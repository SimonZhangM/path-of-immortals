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物品清单" sheetId="2" state="visible" r:id="rId2"/>
    <sheet xmlns:r="http://schemas.openxmlformats.org/officeDocument/2006/relationships" name="效果明细" sheetId="3" state="visible" r:id="rId3"/>
    <sheet xmlns:r="http://schemas.openxmlformats.org/officeDocument/2006/relationships" name="统计汇总" sheetId="4" state="visible" r:id="rId4"/>
  </sheets>
  <definedNames>
    <definedName name="_xlnm._FilterDatabase" localSheetId="1" hidden="1">'物品清单'!$A$1:$U$1692</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8"/>
    </font>
    <font>
      <name val="Microsoft YaHei"/>
      <color rgb="0052606D"/>
      <sz val="10"/>
    </font>
    <font>
      <name val="Microsoft YaHei"/>
      <b val="1"/>
      <color rgb="001F4E3D"/>
    </font>
    <font>
      <name val="Microsoft YaHei"/>
      <b val="1"/>
      <color rgb="00FFFFFF"/>
    </font>
    <font>
      <name val="Microsoft YaHei"/>
      <color rgb="00008000"/>
      <sz val="10"/>
    </font>
  </fonts>
  <fills count="5">
    <fill>
      <patternFill/>
    </fill>
    <fill>
      <patternFill patternType="gray125"/>
    </fill>
    <fill>
      <patternFill patternType="solid">
        <fgColor rgb="001F4E3D"/>
      </patternFill>
    </fill>
    <fill>
      <patternFill patternType="solid">
        <fgColor rgb="00DCEFE6"/>
      </patternFill>
    </fill>
    <fill>
      <patternFill patternType="solid">
        <fgColor rgb="002F6B55"/>
      </patternFill>
    </fill>
  </fills>
  <borders count="2">
    <border>
      <left/>
      <right/>
      <top/>
      <bottom/>
      <diagonal/>
    </border>
    <border>
      <bottom style="thin">
        <color rgb="00D9E2E8"/>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1" pivotButton="0" quotePrefix="0" xfId="0"/>
    <xf numFmtId="0" fontId="0" fillId="0" borderId="1" applyAlignment="1" pivotButton="0" quotePrefix="0" xfId="0">
      <alignment vertical="top" wrapText="1"/>
    </xf>
    <xf numFmtId="0" fontId="4" fillId="4" borderId="0" applyAlignment="1" pivotButton="0" quotePrefix="0" xfId="0">
      <alignment horizontal="center" vertical="center" wrapText="1"/>
    </xf>
    <xf numFmtId="0" fontId="5" fillId="0" borderId="0" applyAlignment="1" pivotButton="0" quotePrefix="0" xfId="0">
      <alignment vertical="top"/>
    </xf>
    <xf numFmtId="0" fontId="5" fillId="0" borderId="0"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4" fillId="4" borderId="1" pivotButton="0" quotePrefix="0" xfId="0"/>
    <xf numFmtId="0" fontId="4" fillId="4" borderId="0" pivotButton="0" quotePrefix="0" xfId="0"/>
    <xf numFmtId="0" fontId="0" fillId="0" borderId="1" pivotButton="0" quotePrefix="0" xfId="0"/>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各类别有效物品数量</a:t>
            </a:r>
          </a:p>
        </rich>
      </tx>
    </title>
    <plotArea>
      <barChart>
        <barDir val="bar"/>
        <grouping val="clustered"/>
        <ser>
          <idx val="0"/>
          <order val="0"/>
          <tx>
            <strRef>
              <f>'统计汇总'!C8</f>
            </strRef>
          </tx>
          <spPr>
            <a:ln xmlns:a="http://schemas.openxmlformats.org/drawingml/2006/main">
              <a:prstDash val="solid"/>
            </a:ln>
          </spPr>
          <cat>
            <numRef>
              <f>'统计汇总'!$A$9:$A$18</f>
            </numRef>
          </cat>
          <val>
            <numRef>
              <f>'统计汇总'!$C$9:$C$18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物品数</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类别</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ItemCatalog" displayName="ItemCatalog" ref="A1:U1692" headerRowCount="1">
  <autoFilter ref="A1:U1692"/>
  <tableColumns count="21">
    <tableColumn id="1" name="序号"/>
    <tableColumn id="2" name="物品ID"/>
    <tableColumn id="3" name="名称"/>
    <tableColumn id="4" name="类别"/>
    <tableColumn id="5" name="类别代码"/>
    <tableColumn id="6" name="品阶代码"/>
    <tableColumn id="7" name="元素"/>
    <tableColumn id="8" name="元素代码"/>
    <tableColumn id="9" name="尺寸"/>
    <tableColumn id="10" name="占格数"/>
    <tableColumn id="11" name="价格"/>
    <tableColumn id="12" name="可获得"/>
    <tableColumn id="13" name="获取渠道"/>
    <tableColumn id="14" name="效果数"/>
    <tableColumn id="15" name="效果类型"/>
    <tableColumn id="16" name="效果类型代码"/>
    <tableColumn id="17" name="效果摘要"/>
    <tableColumn id="18" name="标签"/>
    <tableColumn id="19" name="物品描述"/>
    <tableColumn id="20" name="图标名"/>
    <tableColumn id="21" name="覆写策略"/>
  </tableColumns>
  <tableStyleInfo name="TableStyleMedium4" showFirstColumn="0" showLastColumn="0" showRowStripes="1" showColumnStripes="0"/>
</table>
</file>

<file path=xl/tables/table2.xml><?xml version="1.0" encoding="utf-8"?>
<table xmlns="http://schemas.openxmlformats.org/spreadsheetml/2006/main" id="2" name="EffectDetails" displayName="EffectDetails" ref="A1:R2065" headerRowCount="1">
  <autoFilter ref="A1:R2065"/>
  <tableColumns count="18">
    <tableColumn id="1" name="物品ID"/>
    <tableColumn id="2" name="名称"/>
    <tableColumn id="3" name="类别"/>
    <tableColumn id="4" name="品阶代码"/>
    <tableColumn id="5" name="元素代码"/>
    <tableColumn id="6" name="顶层效果序号"/>
    <tableColumn id="7" name="作用层级"/>
    <tableColumn id="8" name="功法层数"/>
    <tableColumn id="9" name="突破要求"/>
    <tableColumn id="10" name="突破目标"/>
    <tableColumn id="11" name="限时(秒)"/>
    <tableColumn id="12" name="冷却(秒)"/>
    <tableColumn id="13" name="效果类型"/>
    <tableColumn id="14" name="效果类型代码"/>
    <tableColumn id="15" name="效果文字"/>
    <tableColumn id="16" name="触发器代码"/>
    <tableColumn id="17" name="机制类型代码"/>
    <tableColumn id="18" name="效果JS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14"/>
  <sheetViews>
    <sheetView showGridLines="0" workbookViewId="0">
      <pane ySplit="3" topLeftCell="A4" activePane="bottomLeft" state="frozen"/>
      <selection pane="bottomLeft" activeCell="A1" sqref="A1"/>
    </sheetView>
  </sheetViews>
  <sheetFormatPr baseColWidth="8" defaultRowHeight="15"/>
  <cols>
    <col width="18" customWidth="1" min="1" max="1"/>
    <col width="105" customWidth="1" min="2" max="2"/>
  </cols>
  <sheetData>
    <row r="1" ht="30" customHeight="1">
      <c r="A1" s="1" t="inlineStr">
        <is>
          <t>《口袋修仙》有效物品效果清单</t>
        </is>
      </c>
    </row>
    <row r="2" ht="32" customHeight="1">
      <c r="A2" s="2" t="inlineStr">
        <is>
          <t>当前 Demo 0.1.4 SDK 中 effectList 非空的 1691 件公开物品；一个工作簿内含主清单、逐条效果明细和统计汇总。</t>
        </is>
      </c>
    </row>
    <row r="3"/>
    <row r="4">
      <c r="A4" s="3" t="inlineStr">
        <is>
          <t>数据版本</t>
        </is>
      </c>
      <c r="B4" s="4" t="inlineStr">
        <is>
          <t>0.1.4</t>
        </is>
      </c>
    </row>
    <row r="5">
      <c r="A5" s="3" t="inlineStr">
        <is>
          <t>生成时间</t>
        </is>
      </c>
      <c r="B5" s="4" t="inlineStr">
        <is>
          <t>2026-09-24 22:30:03</t>
        </is>
      </c>
    </row>
    <row r="6">
      <c r="A6" s="3" t="inlineStr">
        <is>
          <t>物品数量</t>
        </is>
      </c>
      <c r="B6" s="4" t="inlineStr">
        <is>
          <t>1691</t>
        </is>
      </c>
    </row>
    <row r="7">
      <c r="A7" s="3" t="inlineStr">
        <is>
          <t>筛选规则</t>
        </is>
      </c>
      <c r="B7" s="4" t="inlineStr">
        <is>
          <t>只收录 effectList 非空的物品；空效果的材料、配方、储物袋等未纳入。</t>
        </is>
      </c>
    </row>
    <row r="8">
      <c r="A8" s="3" t="inlineStr">
        <is>
          <t>来源文件</t>
        </is>
      </c>
      <c r="B8" s="4" t="inlineStr">
        <is>
          <t>D:\SteamLibrary\steamapps\common\口袋修仙 Demo\ModSDK\reference\domains\items\base-item-public-catalog.json</t>
        </is>
      </c>
    </row>
    <row r="9">
      <c r="A9" s="3" t="inlineStr">
        <is>
          <t>来源 SHA-256</t>
        </is>
      </c>
      <c r="B9" s="4" t="inlineStr">
        <is>
          <t>bc235fc8b3753e4e656ab89731336b73107b5b4802e07cd41aa86b6f07a7b2ea</t>
        </is>
      </c>
    </row>
    <row r="10">
      <c r="A10" s="3" t="inlineStr">
        <is>
          <t>主清单</t>
        </is>
      </c>
      <c r="B10" s="4" t="inlineStr">
        <is>
          <t>一行一件物品，适合按 ID、类别、品阶、元素、效果类型和摘要筛选。</t>
        </is>
      </c>
    </row>
    <row r="11">
      <c r="A11" s="3" t="inlineStr">
        <is>
          <t>效果明细</t>
        </is>
      </c>
      <c r="B11" s="4" t="inlineStr">
        <is>
          <t>一行一条基础效果或一条功法成长层效果；保留对应 JSON，便于核对精确字段。</t>
        </is>
      </c>
    </row>
    <row r="12">
      <c r="A12" s="3" t="inlineStr">
        <is>
          <t>统计汇总</t>
        </is>
      </c>
      <c r="B12" s="4" t="inlineStr">
        <is>
          <t>类别、品阶、元素和效果类型的数量统计；打开 Excel 后自动重算公式。</t>
        </is>
      </c>
    </row>
    <row r="13">
      <c r="A13" s="3" t="inlineStr">
        <is>
          <t>字段说明</t>
        </is>
      </c>
      <c r="B13" s="4" t="inlineStr">
        <is>
          <t>品阶保留 SDK 原始代码，避免对未在文档中明确公布的中文名称进行猜译。</t>
        </is>
      </c>
    </row>
    <row r="14">
      <c r="A14" s="3" t="inlineStr">
        <is>
          <t>注意</t>
        </is>
      </c>
      <c r="B14" s="4" t="inlineStr">
        <is>
          <t>这是 SDK 对外公开目录，不代表游戏内部未公开/未发布内容。</t>
        </is>
      </c>
    </row>
  </sheetData>
  <mergeCells count="2">
    <mergeCell ref="A2:H2"/>
    <mergeCell ref="A1:H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U169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4" customWidth="1" min="3" max="3"/>
    <col width="13" customWidth="1" min="4" max="4"/>
    <col width="15" customWidth="1" min="5" max="5"/>
    <col width="14" customWidth="1" min="6" max="6"/>
    <col width="10" customWidth="1" min="7" max="7"/>
    <col width="13" customWidth="1" min="8" max="8"/>
    <col width="9" customWidth="1" min="9" max="9"/>
    <col width="9" customWidth="1" min="10" max="10"/>
    <col width="10" customWidth="1" min="11" max="11"/>
    <col width="10" customWidth="1" min="12" max="12"/>
    <col width="28" customWidth="1" min="13" max="13"/>
    <col width="10" customWidth="1" min="14" max="14"/>
    <col width="25" customWidth="1" min="15" max="15"/>
    <col width="28" customWidth="1" min="16" max="16"/>
    <col width="80" customWidth="1" min="17" max="17"/>
    <col width="28" customWidth="1" min="18" max="18"/>
    <col width="50" customWidth="1" min="19" max="19"/>
    <col width="35" customWidth="1" min="20" max="20"/>
    <col width="20" customWidth="1" min="21" max="21"/>
  </cols>
  <sheetData>
    <row r="1">
      <c r="A1" s="5" t="inlineStr">
        <is>
          <t>序号</t>
        </is>
      </c>
      <c r="B1" s="5" t="inlineStr">
        <is>
          <t>物品ID</t>
        </is>
      </c>
      <c r="C1" s="5" t="inlineStr">
        <is>
          <t>名称</t>
        </is>
      </c>
      <c r="D1" s="5" t="inlineStr">
        <is>
          <t>类别</t>
        </is>
      </c>
      <c r="E1" s="5" t="inlineStr">
        <is>
          <t>类别代码</t>
        </is>
      </c>
      <c r="F1" s="5" t="inlineStr">
        <is>
          <t>品阶代码</t>
        </is>
      </c>
      <c r="G1" s="5" t="inlineStr">
        <is>
          <t>元素</t>
        </is>
      </c>
      <c r="H1" s="5" t="inlineStr">
        <is>
          <t>元素代码</t>
        </is>
      </c>
      <c r="I1" s="5" t="inlineStr">
        <is>
          <t>尺寸</t>
        </is>
      </c>
      <c r="J1" s="5" t="inlineStr">
        <is>
          <t>占格数</t>
        </is>
      </c>
      <c r="K1" s="5" t="inlineStr">
        <is>
          <t>价格</t>
        </is>
      </c>
      <c r="L1" s="5" t="inlineStr">
        <is>
          <t>可获得</t>
        </is>
      </c>
      <c r="M1" s="5" t="inlineStr">
        <is>
          <t>获取渠道</t>
        </is>
      </c>
      <c r="N1" s="5" t="inlineStr">
        <is>
          <t>效果数</t>
        </is>
      </c>
      <c r="O1" s="5" t="inlineStr">
        <is>
          <t>效果类型</t>
        </is>
      </c>
      <c r="P1" s="5" t="inlineStr">
        <is>
          <t>效果类型代码</t>
        </is>
      </c>
      <c r="Q1" s="5" t="inlineStr">
        <is>
          <t>效果摘要</t>
        </is>
      </c>
      <c r="R1" s="5" t="inlineStr">
        <is>
          <t>标签</t>
        </is>
      </c>
      <c r="S1" s="5" t="inlineStr">
        <is>
          <t>物品描述</t>
        </is>
      </c>
      <c r="T1" s="5" t="inlineStr">
        <is>
          <t>图标名</t>
        </is>
      </c>
      <c r="U1" s="5" t="inlineStr">
        <is>
          <t>覆写策略</t>
        </is>
      </c>
    </row>
    <row r="2" ht="34" customHeight="1">
      <c r="A2" s="6" t="n">
        <v>1</v>
      </c>
      <c r="B2" s="6" t="n">
        <v>100001</v>
      </c>
      <c r="C2" s="6" t="inlineStr">
        <is>
          <t>炼体术</t>
        </is>
      </c>
      <c r="D2" s="6" t="inlineStr">
        <is>
          <t>功法</t>
        </is>
      </c>
      <c r="E2" s="6" t="inlineStr">
        <is>
          <t>scripture</t>
        </is>
      </c>
      <c r="F2" s="6" t="inlineStr">
        <is>
          <t>common</t>
        </is>
      </c>
      <c r="G2" s="6" t="inlineStr">
        <is>
          <t>无</t>
        </is>
      </c>
      <c r="H2" s="6" t="inlineStr">
        <is>
          <t>none</t>
        </is>
      </c>
      <c r="I2" s="6" t="inlineStr">
        <is>
          <t>1×1</t>
        </is>
      </c>
      <c r="J2" s="6" t="n">
        <v>1</v>
      </c>
      <c r="K2" s="6" t="n">
        <v>35</v>
      </c>
      <c r="L2" s="6" t="inlineStr">
        <is>
          <t>是</t>
        </is>
      </c>
      <c r="M2" s="7" t="inlineStr">
        <is>
          <t>bazaar</t>
        </is>
      </c>
      <c r="N2" s="6" t="n">
        <v>2</v>
      </c>
      <c r="O2" s="7" t="inlineStr">
        <is>
          <t>被动效果；功法成长</t>
        </is>
      </c>
      <c r="P2" s="7" t="inlineStr">
        <is>
          <t>passive；scriptureProgression</t>
        </is>
      </c>
      <c r="Q2" s="7" t="inlineStr">
        <is>
          <t>被动效果：每消耗 1 点体力，获得 1 点修为 | 功法成长：第1层（无）：每消耗 1 点体力，获得 1 点修为 | 第2层（修为≥120）：每消耗 1 点体力，获得 2 点修为 | 第3层（修为≥760；境界≥炼气4层）：每消耗 1 点体力，获得 3 点修为 | 第4层（修为≥2450；境界≥炼气4层）：每消耗 1 点体力，获得 4 点修为</t>
        </is>
      </c>
      <c r="R2" s="7" t="inlineStr"/>
      <c r="S2" s="7" t="inlineStr">
        <is>
          <t>麻绳束起的旧竹简外覆符纹封皮，字迹不尚玄奥，却处处透着打熬筋骨的笨功夫。</t>
        </is>
      </c>
      <c r="T2" s="6" t="inlineStr">
        <is>
          <t>scripture_bound_bamboo_scroll_1x1</t>
        </is>
      </c>
      <c r="U2" s="6" t="inlineStr">
        <is>
          <t>onboardingProtected</t>
        </is>
      </c>
    </row>
    <row r="3" ht="34" customHeight="1">
      <c r="A3" s="8" t="n">
        <v>2</v>
      </c>
      <c r="B3" s="8" t="n">
        <v>100002</v>
      </c>
      <c r="C3" s="8" t="inlineStr">
        <is>
          <t>云字养气册</t>
        </is>
      </c>
      <c r="D3" s="8" t="inlineStr">
        <is>
          <t>功法</t>
        </is>
      </c>
      <c r="E3" s="8" t="inlineStr">
        <is>
          <t>scripture</t>
        </is>
      </c>
      <c r="F3" s="8" t="inlineStr">
        <is>
          <t>common</t>
        </is>
      </c>
      <c r="G3" s="8" t="inlineStr">
        <is>
          <t>木</t>
        </is>
      </c>
      <c r="H3" s="8" t="inlineStr">
        <is>
          <t>wood</t>
        </is>
      </c>
      <c r="I3" s="8" t="inlineStr">
        <is>
          <t>1×1</t>
        </is>
      </c>
      <c r="J3" s="8" t="n">
        <v>1</v>
      </c>
      <c r="K3" s="8" t="n">
        <v>35</v>
      </c>
      <c r="L3" s="8" t="inlineStr">
        <is>
          <t>是</t>
        </is>
      </c>
      <c r="M3" s="9" t="inlineStr">
        <is>
          <t>bazaar</t>
        </is>
      </c>
      <c r="N3" s="8" t="n">
        <v>2</v>
      </c>
      <c r="O3" s="9" t="inlineStr">
        <is>
          <t>条件触发；功法成长</t>
        </is>
      </c>
      <c r="P3" s="9" t="inlineStr">
        <is>
          <t>triggered；scriptureProgression</t>
        </is>
      </c>
      <c r="Q3" s="9" t="inlineStr">
        <is>
          <t>条件触发：每获得 1 点气血，获得 3 点修为 | 功法成长：第1层（无）：每获得 1 点气血，获得 3 点修为 | 第2层（修为≥210）：每获得 1 点气血，获得 6 点修为 | 第3层（修为≥540）：每获得 1 点气血，获得 9 点修为 | 第4层（修为≥2950）：每获得 1 点气血，获得 12 点修为</t>
        </is>
      </c>
      <c r="R3" s="9" t="inlineStr"/>
      <c r="S3" s="9" t="inlineStr">
        <is>
          <t>青润玉简卷筒上云纹鎏金细密，展开时清气如云字舒卷，像宗门内门才许借阅的养气灵简。</t>
        </is>
      </c>
      <c r="T3" s="8" t="inlineStr">
        <is>
          <t>scripture_cloudseal_manual_1x1</t>
        </is>
      </c>
      <c r="U3" s="8" t="inlineStr">
        <is>
          <t>allowed</t>
        </is>
      </c>
    </row>
    <row r="4" ht="34" customHeight="1">
      <c r="A4" s="8" t="n">
        <v>3</v>
      </c>
      <c r="B4" s="8" t="n">
        <v>100003</v>
      </c>
      <c r="C4" s="8" t="inlineStr">
        <is>
          <t>聚气册</t>
        </is>
      </c>
      <c r="D4" s="8" t="inlineStr">
        <is>
          <t>功法</t>
        </is>
      </c>
      <c r="E4" s="8" t="inlineStr">
        <is>
          <t>scripture</t>
        </is>
      </c>
      <c r="F4" s="8" t="inlineStr">
        <is>
          <t>common</t>
        </is>
      </c>
      <c r="G4" s="8" t="inlineStr">
        <is>
          <t>火</t>
        </is>
      </c>
      <c r="H4" s="8" t="inlineStr">
        <is>
          <t>fire</t>
        </is>
      </c>
      <c r="I4" s="8" t="inlineStr">
        <is>
          <t>1×1</t>
        </is>
      </c>
      <c r="J4" s="8" t="n">
        <v>1</v>
      </c>
      <c r="K4" s="8" t="n">
        <v>35</v>
      </c>
      <c r="L4" s="8" t="inlineStr">
        <is>
          <t>是</t>
        </is>
      </c>
      <c r="M4" s="9" t="inlineStr">
        <is>
          <t>bazaar</t>
        </is>
      </c>
      <c r="N4" s="8" t="n">
        <v>3</v>
      </c>
      <c r="O4" s="9" t="inlineStr">
        <is>
          <t>周期触发；条件触发；功法成长</t>
        </is>
      </c>
      <c r="P4" s="9" t="inlineStr">
        <is>
          <t>periodicPulse；triggered；scriptureProgression</t>
        </is>
      </c>
      <c r="Q4" s="9" t="inlineStr">
        <is>
          <t>周期触发：获得 10 点修为 | 条件触发：每当有丹药耗尽时，获得 10 点修为 | 功法成长：第1层（无）：获得 10 点修为；每当有丹药耗尽时，获得 10 点修为 | 第2层（修为≥210）：获得 25 点修为；每当有丹药耗尽时，获得 20 点修为 | 第3层（修为≥760）：获得 40 点修为；每当有丹药耗尽时，获得 30 点修为</t>
        </is>
      </c>
      <c r="R4" s="9" t="inlineStr"/>
      <c r="S4" s="9" t="inlineStr">
        <is>
          <t>厚册封面云纹回旋，纸页间藏着温和灵息，读来像把散乱真气一圈圈收回丹田。</t>
        </is>
      </c>
      <c r="T4" s="8" t="inlineStr">
        <is>
          <t>scripture_qi_growth_manual_1x1</t>
        </is>
      </c>
      <c r="U4" s="8" t="inlineStr">
        <is>
          <t>allowed</t>
        </is>
      </c>
    </row>
    <row r="5" ht="34" customHeight="1">
      <c r="A5" s="8" t="n">
        <v>4</v>
      </c>
      <c r="B5" s="8" t="n">
        <v>100004</v>
      </c>
      <c r="C5" s="8" t="inlineStr">
        <is>
          <t>月痕养息册</t>
        </is>
      </c>
      <c r="D5" s="8" t="inlineStr">
        <is>
          <t>功法</t>
        </is>
      </c>
      <c r="E5" s="8" t="inlineStr">
        <is>
          <t>scripture</t>
        </is>
      </c>
      <c r="F5" s="8" t="inlineStr">
        <is>
          <t>common</t>
        </is>
      </c>
      <c r="G5" s="8" t="inlineStr">
        <is>
          <t>无</t>
        </is>
      </c>
      <c r="H5" s="8" t="inlineStr">
        <is>
          <t>none</t>
        </is>
      </c>
      <c r="I5" s="8" t="inlineStr">
        <is>
          <t>1×2</t>
        </is>
      </c>
      <c r="J5" s="8" t="n">
        <v>2</v>
      </c>
      <c r="K5" s="8" t="n">
        <v>35</v>
      </c>
      <c r="L5" s="8" t="inlineStr">
        <is>
          <t>是</t>
        </is>
      </c>
      <c r="M5" s="9" t="inlineStr">
        <is>
          <t>bazaar</t>
        </is>
      </c>
      <c r="N5" s="8" t="n">
        <v>3</v>
      </c>
      <c r="O5" s="9" t="inlineStr">
        <is>
          <t>条件触发；被动效果；功法成长</t>
        </is>
      </c>
      <c r="P5" s="9" t="inlineStr">
        <is>
          <t>triggered；passive；scriptureProgression</t>
        </is>
      </c>
      <c r="Q5" s="9" t="inlineStr">
        <is>
          <t>条件触发：每获得 1 点法力，获得 1 点修为 | 被动效果：法力上限 +10 | 功法成长：第1层（无）：每获得 1 点法力，获得 1 点修为；法力上限 +10 | 第2层（修为≥150）：每获得 1 点法力，获得 2 点修为；法力上限 +20 | 第3层（修为≥780）：每获得 1 点法力，获得 3 点修为；法力上限 +30 | 第4层（修为≥3800）：每获得 1 点法力，获得 4 点修为；法力上限 +40</t>
        </is>
      </c>
      <c r="R5" s="9" t="inlineStr"/>
      <c r="S5" s="9" t="inlineStr">
        <is>
          <t>竖长厚册封着一弯淡月痕，夜色下翻页时清辉入息，最能安顿浮躁心神。</t>
        </is>
      </c>
      <c r="T5" s="8" t="inlineStr">
        <is>
          <t>scripture_moon_mark_codex_1x2</t>
        </is>
      </c>
      <c r="U5" s="8" t="inlineStr">
        <is>
          <t>allowed</t>
        </is>
      </c>
    </row>
    <row r="6" ht="34" customHeight="1">
      <c r="A6" s="8" t="n">
        <v>5</v>
      </c>
      <c r="B6" s="8" t="n">
        <v>100010</v>
      </c>
      <c r="C6" s="8" t="inlineStr">
        <is>
          <t>五行入门篇</t>
        </is>
      </c>
      <c r="D6" s="8" t="inlineStr">
        <is>
          <t>功法</t>
        </is>
      </c>
      <c r="E6" s="8" t="inlineStr">
        <is>
          <t>scripture</t>
        </is>
      </c>
      <c r="F6" s="8" t="inlineStr">
        <is>
          <t>common</t>
        </is>
      </c>
      <c r="G6" s="8" t="inlineStr">
        <is>
          <t>无</t>
        </is>
      </c>
      <c r="H6" s="8" t="inlineStr">
        <is>
          <t>none</t>
        </is>
      </c>
      <c r="I6" s="8" t="inlineStr">
        <is>
          <t>1×1</t>
        </is>
      </c>
      <c r="J6" s="8" t="n">
        <v>1</v>
      </c>
      <c r="K6" s="8" t="n">
        <v>35</v>
      </c>
      <c r="L6" s="8" t="inlineStr">
        <is>
          <t>是</t>
        </is>
      </c>
      <c r="M6" s="9" t="inlineStr">
        <is>
          <t>bazaar</t>
        </is>
      </c>
      <c r="N6" s="8" t="n">
        <v>2</v>
      </c>
      <c r="O6" s="9" t="inlineStr">
        <is>
          <t>被动效果；功法成长</t>
        </is>
      </c>
      <c r="P6" s="9" t="inlineStr">
        <is>
          <t>passive；scriptureProgression</t>
        </is>
      </c>
      <c r="Q6" s="9" t="inlineStr">
        <is>
          <t>被动效果：每消耗 1 点法力，获得 1 点修为 | 功法成长：第1层（无）：每消耗 1 点法力，获得 1 点修为 | 第2层（修为≥140；境界≥炼气4层）：每消耗 1 点法力，获得 2 点修为 | 第3层（修为≥1000）：每消耗 1 点法力，获得 3 点修为 | 第4层（修为≥6000）：每消耗 1 点法力，获得 4 点修为</t>
        </is>
      </c>
      <c r="R6" s="9" t="inlineStr"/>
      <c r="S6" s="9" t="inlineStr">
        <is>
          <t>米黄竹简以细绳整齐束起，五色细线隐约贯穿其间，像初入山门时领到的第一册传功简。</t>
        </is>
      </c>
      <c r="T6" s="8" t="inlineStr">
        <is>
          <t>scripture_bound_bamboo_slips_1x1</t>
        </is>
      </c>
      <c r="U6" s="8" t="inlineStr">
        <is>
          <t>allowed</t>
        </is>
      </c>
    </row>
    <row r="7" ht="34" customHeight="1">
      <c r="A7" s="8" t="n">
        <v>6</v>
      </c>
      <c r="B7" s="8" t="n">
        <v>100011</v>
      </c>
      <c r="C7" s="8" t="inlineStr">
        <is>
          <t>烈阳诀</t>
        </is>
      </c>
      <c r="D7" s="8" t="inlineStr">
        <is>
          <t>功法</t>
        </is>
      </c>
      <c r="E7" s="8" t="inlineStr">
        <is>
          <t>scripture</t>
        </is>
      </c>
      <c r="F7" s="8" t="inlineStr">
        <is>
          <t>common</t>
        </is>
      </c>
      <c r="G7" s="8" t="inlineStr">
        <is>
          <t>火</t>
        </is>
      </c>
      <c r="H7" s="8" t="inlineStr">
        <is>
          <t>fire</t>
        </is>
      </c>
      <c r="I7" s="8" t="inlineStr">
        <is>
          <t>1×1</t>
        </is>
      </c>
      <c r="J7" s="8" t="n">
        <v>1</v>
      </c>
      <c r="K7" s="8" t="n">
        <v>35</v>
      </c>
      <c r="L7" s="8" t="inlineStr">
        <is>
          <t>是</t>
        </is>
      </c>
      <c r="M7" s="9" t="inlineStr">
        <is>
          <t>bazaar；beastDrop</t>
        </is>
      </c>
      <c r="N7" s="8" t="n">
        <v>3</v>
      </c>
      <c r="O7" s="9" t="inlineStr">
        <is>
          <t>条件触发；被动效果；功法成长</t>
        </is>
      </c>
      <c r="P7" s="9" t="inlineStr">
        <is>
          <t>triggered；passive；scriptureProgression</t>
        </is>
      </c>
      <c r="Q7" s="9" t="inlineStr">
        <is>
          <t>条件触发：每获得 1 层炎热，获得 2 点修为 | 被动效果：炎热层数上限 +3 | 功法成长：第1层（无）：每获得 1 层炎热，获得 2 点修为；炎热层数上限 +3 | 第2层（修为≥160）：每获得 1 层炎热，获得 4 点修为；炎热层数上限 +6 | 第3层（修为≥840）：每获得 1 层炎热，获得 6 点修为；炎热层数上限 +9 | 第4层（修为≥2900）：每获得 1 层炎热，获得 8 点修为；炎热层数上限 +15</t>
        </is>
      </c>
      <c r="R7" s="9" t="inlineStr"/>
      <c r="S7" s="9" t="inlineStr">
        <is>
          <t>卷轴正面日芒灼灼，金纹映得纸面微暖，展开时仿佛晨阳越过云海照进静室。</t>
        </is>
      </c>
      <c r="T7" s="8" t="inlineStr">
        <is>
          <t>scripture_sunflare_scroll_1x1</t>
        </is>
      </c>
      <c r="U7" s="8" t="inlineStr">
        <is>
          <t>allowed</t>
        </is>
      </c>
    </row>
    <row r="8" ht="34" customHeight="1">
      <c r="A8" s="8" t="n">
        <v>7</v>
      </c>
      <c r="B8" s="8" t="n">
        <v>100012</v>
      </c>
      <c r="C8" s="8" t="inlineStr">
        <is>
          <t>玄水雷纹诀</t>
        </is>
      </c>
      <c r="D8" s="8" t="inlineStr">
        <is>
          <t>功法</t>
        </is>
      </c>
      <c r="E8" s="8" t="inlineStr">
        <is>
          <t>scripture</t>
        </is>
      </c>
      <c r="F8" s="8" t="inlineStr">
        <is>
          <t>common</t>
        </is>
      </c>
      <c r="G8" s="8" t="inlineStr">
        <is>
          <t>雷</t>
        </is>
      </c>
      <c r="H8" s="8" t="inlineStr">
        <is>
          <t>thunder</t>
        </is>
      </c>
      <c r="I8" s="8" t="inlineStr">
        <is>
          <t>1×1</t>
        </is>
      </c>
      <c r="J8" s="8" t="n">
        <v>1</v>
      </c>
      <c r="K8" s="8" t="n">
        <v>45</v>
      </c>
      <c r="L8" s="8" t="inlineStr">
        <is>
          <t>是</t>
        </is>
      </c>
      <c r="M8" s="9" t="inlineStr">
        <is>
          <t>bazaar</t>
        </is>
      </c>
      <c r="N8" s="8" t="n">
        <v>3</v>
      </c>
      <c r="O8" s="9" t="inlineStr">
        <is>
          <t>说明/执行器；被动效果；功法成长</t>
        </is>
      </c>
      <c r="P8" s="9" t="inlineStr">
        <is>
          <t>effectNote；passive；scriptureProgression</t>
        </is>
      </c>
      <c r="Q8" s="9" t="inlineStr">
        <is>
          <t>说明/执行器：每获得 1 层引雷，获得 3 点修为 | 被动效果：引雷层数上限 +3 | 功法成长：第1层（无）：每获得 1 层引雷，获得 3 点修为；引雷层数上限 +3 | 第2层（修为≥200）：每获得 1 层引雷，获得 6 点修为；引雷层数上限 +6 | 第3层（修为≥920）：每获得 1 层引雷，获得 9 点修为；引雷层数上限 +9 | 第4层（修为≥1880）：每获得 1 层引雷，获得 12 点修为；引雷层数上限 +12</t>
        </is>
      </c>
      <c r="R8" s="9" t="inlineStr">
        <is>
          <t>early_map_market</t>
        </is>
      </c>
      <c r="S8" s="9" t="inlineStr">
        <is>
          <t>蓝金卷面雷纹与水流缠绕，冰晶碎芒沿卷轴边缘闪没，如深潭之下暗藏远雷。</t>
        </is>
      </c>
      <c r="T8" s="8" t="inlineStr">
        <is>
          <t>scripture_waterthunder_scroll_1x1</t>
        </is>
      </c>
      <c r="U8" s="8" t="inlineStr">
        <is>
          <t>allowed</t>
        </is>
      </c>
    </row>
    <row r="9" ht="34" customHeight="1">
      <c r="A9" s="8" t="n">
        <v>8</v>
      </c>
      <c r="B9" s="8" t="n">
        <v>100013</v>
      </c>
      <c r="C9" s="8" t="inlineStr">
        <is>
          <t>纳元印诀</t>
        </is>
      </c>
      <c r="D9" s="8" t="inlineStr">
        <is>
          <t>功法</t>
        </is>
      </c>
      <c r="E9" s="8" t="inlineStr">
        <is>
          <t>scripture</t>
        </is>
      </c>
      <c r="F9" s="8" t="inlineStr">
        <is>
          <t>common</t>
        </is>
      </c>
      <c r="G9" s="8" t="inlineStr">
        <is>
          <t>无</t>
        </is>
      </c>
      <c r="H9" s="8" t="inlineStr">
        <is>
          <t>none</t>
        </is>
      </c>
      <c r="I9" s="8" t="inlineStr">
        <is>
          <t>1×1</t>
        </is>
      </c>
      <c r="J9" s="8" t="n">
        <v>1</v>
      </c>
      <c r="K9" s="8" t="n">
        <v>35</v>
      </c>
      <c r="L9" s="8" t="inlineStr">
        <is>
          <t>是</t>
        </is>
      </c>
      <c r="M9" s="9" t="inlineStr">
        <is>
          <t>bazaar</t>
        </is>
      </c>
      <c r="N9" s="8" t="n">
        <v>3</v>
      </c>
      <c r="O9" s="9" t="inlineStr">
        <is>
          <t>被动效果；条件触发；功法成长</t>
        </is>
      </c>
      <c r="P9" s="9" t="inlineStr">
        <is>
          <t>passive；triggered；scriptureProgression</t>
        </is>
      </c>
      <c r="Q9" s="9" t="inlineStr">
        <is>
          <t>被动效果：法力上限 +0，任意功法突破后效果升级。；法力上限 | 条件触发：任意招式使用时，获得 10 点修为 | 功法成长：第1层（无）：法力上限 +0，任意功法突破后效果升级。；法力上限；任意招式使用时，获得 10 点修为 | 第2层（修为≥180）：法力上限 +0，任意功法突破后效果升级。；法力上限；任意招式使用时，获得 20 点修为 | 第3层（修为≥800）：法力上限 +0，任意功法突破后效果升级。；法力上限；任意招式使用时，获得 30 点修为 | 第4层（修为≥3500）：法力上限 +0，任意功法突破后效果升级。；法力上限；任意招式使用时，获得 40 点修为</t>
        </is>
      </c>
      <c r="R9" s="9" t="inlineStr"/>
      <c r="S9" s="9" t="inlineStr">
        <is>
          <t>方形玉印牌层层收束云纹，印心一点灵光内敛，像把纳元心法压成可随身参悟的印诀。</t>
        </is>
      </c>
      <c r="T9" s="8" t="inlineStr">
        <is>
          <t>implement_jade_tally_slips_1x1</t>
        </is>
      </c>
      <c r="U9" s="8" t="inlineStr">
        <is>
          <t>allowed</t>
        </is>
      </c>
    </row>
    <row r="10" ht="34" customHeight="1">
      <c r="A10" s="8" t="n">
        <v>9</v>
      </c>
      <c r="B10" s="8" t="n">
        <v>100014</v>
      </c>
      <c r="C10" s="8" t="inlineStr">
        <is>
          <t>悟道玉简</t>
        </is>
      </c>
      <c r="D10" s="8" t="inlineStr">
        <is>
          <t>功法</t>
        </is>
      </c>
      <c r="E10" s="8" t="inlineStr">
        <is>
          <t>scripture</t>
        </is>
      </c>
      <c r="F10" s="8" t="inlineStr">
        <is>
          <t>common</t>
        </is>
      </c>
      <c r="G10" s="8" t="inlineStr">
        <is>
          <t>无</t>
        </is>
      </c>
      <c r="H10" s="8" t="inlineStr">
        <is>
          <t>none</t>
        </is>
      </c>
      <c r="I10" s="8" t="inlineStr">
        <is>
          <t>1×2</t>
        </is>
      </c>
      <c r="J10" s="8" t="n">
        <v>2</v>
      </c>
      <c r="K10" s="8" t="n">
        <v>40</v>
      </c>
      <c r="L10" s="8" t="inlineStr">
        <is>
          <t>是</t>
        </is>
      </c>
      <c r="M10" s="9" t="inlineStr">
        <is>
          <t>bazaar</t>
        </is>
      </c>
      <c r="N10" s="8" t="n">
        <v>2</v>
      </c>
      <c r="O10" s="9" t="inlineStr">
        <is>
          <t>条件触发；功法成长</t>
        </is>
      </c>
      <c r="P10" s="9" t="inlineStr">
        <is>
          <t>triggered；scriptureProgression</t>
        </is>
      </c>
      <c r="Q10" s="9" t="inlineStr">
        <is>
          <t>条件触发：每当其他功法累计获得 10 点修为时，本功法获得 1 点修为 | 功法成长：第1层（无）：每当其他功法累计获得 10 点修为时，本功法获得 1 点修为 | 第2层（修为≥190）：每当其他功法累计获得 10 点修为时，本功法获得 2 点修为 | 第3层（修为≥780）：每当其他功法累计获得 10 点修为时，本功法获得 3 点修为 | 第4层（修为≥2100）：每当其他功法累计获得 10 点修为时，本功法获得 4 点修为</t>
        </is>
      </c>
      <c r="R10" s="9" t="inlineStr"/>
      <c r="S10" s="9" t="inlineStr">
        <is>
          <t>修长玉简并合成册，温白简面篆痕若隐若现，静置案头便有久经讲席的澄明气韵。</t>
        </is>
      </c>
      <c r="T10" s="8" t="inlineStr">
        <is>
          <t>scripture_jade_slip_codex_f2315v1_1x2</t>
        </is>
      </c>
      <c r="U10" s="8" t="inlineStr">
        <is>
          <t>allowed</t>
        </is>
      </c>
    </row>
    <row r="11" ht="34" customHeight="1">
      <c r="A11" s="8" t="n">
        <v>10</v>
      </c>
      <c r="B11" s="8" t="n">
        <v>100015</v>
      </c>
      <c r="C11" s="8" t="inlineStr">
        <is>
          <t>焰纹秘卷</t>
        </is>
      </c>
      <c r="D11" s="8" t="inlineStr">
        <is>
          <t>功法</t>
        </is>
      </c>
      <c r="E11" s="8" t="inlineStr">
        <is>
          <t>scripture</t>
        </is>
      </c>
      <c r="F11" s="8" t="inlineStr">
        <is>
          <t>spirit</t>
        </is>
      </c>
      <c r="G11" s="8" t="inlineStr">
        <is>
          <t>火</t>
        </is>
      </c>
      <c r="H11" s="8" t="inlineStr">
        <is>
          <t>fire</t>
        </is>
      </c>
      <c r="I11" s="8" t="inlineStr">
        <is>
          <t>1×1</t>
        </is>
      </c>
      <c r="J11" s="8" t="n">
        <v>1</v>
      </c>
      <c r="K11" s="8" t="n">
        <v>70</v>
      </c>
      <c r="L11" s="8" t="inlineStr">
        <is>
          <t>否</t>
        </is>
      </c>
      <c r="M11" s="9" t="inlineStr">
        <is>
          <t>bazaar</t>
        </is>
      </c>
      <c r="N11" s="8" t="n">
        <v>3</v>
      </c>
      <c r="O11" s="9" t="inlineStr">
        <is>
          <t>条件触发；被动效果；功法成长</t>
        </is>
      </c>
      <c r="P11" s="9" t="inlineStr">
        <is>
          <t>triggered；passive；scriptureProgression</t>
        </is>
      </c>
      <c r="Q11" s="9" t="inlineStr">
        <is>
          <t>条件触发：将每 1 层炎热转化为 4 点修为 | 被动效果：炎热层数上限 +6 | 功法成长：第1层（无）：将每 1 层炎热转化为 4 点修为；炎热层数上限 +6 | 第2层（修为≥15400）：将每 1 层炎热转化为 8 点修为；炎热层数上限 +12 | 第3层（修为≥44700）：将每 1 层炎热转化为 12 点修为；炎热层数上限 +18 | 第4层（修为≥52500）：将每 1 层炎热转化为 16 点修为；炎热层数上限 +24</t>
        </is>
      </c>
      <c r="R11" s="9" t="inlineStr"/>
      <c r="S11" s="9" t="inlineStr">
        <is>
          <t>卷轴之上燃起赤焰纹路，似封存火行法诀。</t>
        </is>
      </c>
      <c r="T11" s="8" t="inlineStr">
        <is>
          <t>scripture_flamecrest_scroll_1x1</t>
        </is>
      </c>
      <c r="U11" s="8" t="inlineStr">
        <is>
          <t>allowed</t>
        </is>
      </c>
    </row>
    <row r="12" ht="34" customHeight="1">
      <c r="A12" s="8" t="n">
        <v>11</v>
      </c>
      <c r="B12" s="8" t="n">
        <v>100016</v>
      </c>
      <c r="C12" s="8" t="inlineStr">
        <is>
          <t>青木引灵简</t>
        </is>
      </c>
      <c r="D12" s="8" t="inlineStr">
        <is>
          <t>功法</t>
        </is>
      </c>
      <c r="E12" s="8" t="inlineStr">
        <is>
          <t>scripture</t>
        </is>
      </c>
      <c r="F12" s="8" t="inlineStr">
        <is>
          <t>common</t>
        </is>
      </c>
      <c r="G12" s="8" t="inlineStr">
        <is>
          <t>木</t>
        </is>
      </c>
      <c r="H12" s="8" t="inlineStr">
        <is>
          <t>wood</t>
        </is>
      </c>
      <c r="I12" s="8" t="inlineStr">
        <is>
          <t>1×1</t>
        </is>
      </c>
      <c r="J12" s="8" t="n">
        <v>1</v>
      </c>
      <c r="K12" s="8" t="n">
        <v>35</v>
      </c>
      <c r="L12" s="8" t="inlineStr">
        <is>
          <t>是</t>
        </is>
      </c>
      <c r="M12" s="9" t="inlineStr">
        <is>
          <t>bazaar</t>
        </is>
      </c>
      <c r="N12" s="8" t="n">
        <v>3</v>
      </c>
      <c r="O12" s="9" t="inlineStr">
        <is>
          <t>条件触发；被动效果；功法成长</t>
        </is>
      </c>
      <c r="P12" s="9" t="inlineStr">
        <is>
          <t>triggered；passive；scriptureProgression</t>
        </is>
      </c>
      <c r="Q12" s="9" t="inlineStr">
        <is>
          <t>条件触发：每当获得 1 层再生时，获得 2 点修为 | 被动效果：再生层数上限 +3 | 功法成长：第1层（无）：每当获得 1 层再生时，获得 2 点修为；再生层数上限 +3 | 第2层（修为≥95）：每当获得 1 层再生时，获得 4 点修为；再生层数上限 +6 | 第3层（修为≥920）：每当获得 1 层再生时，获得 6 点修为；再生层数上限 +9 | 第4层（修为≥2300）：每当获得 1 层再生时，获得 8 点修为；再生层数上限 +12</t>
        </is>
      </c>
      <c r="R12" s="9" t="inlineStr"/>
      <c r="S12" s="9" t="inlineStr">
        <is>
          <t>成册竹简刻有叶纹，专擅引动青木灵息。</t>
        </is>
      </c>
      <c r="T12" s="8" t="inlineStr">
        <is>
          <t>scripture_greenwood_spirit_slips_1x1</t>
        </is>
      </c>
      <c r="U12" s="8" t="inlineStr">
        <is>
          <t>allowed</t>
        </is>
      </c>
    </row>
    <row r="13" ht="34" customHeight="1">
      <c r="A13" s="8" t="n">
        <v>12</v>
      </c>
      <c r="B13" s="8" t="n">
        <v>100017</v>
      </c>
      <c r="C13" s="8" t="inlineStr">
        <is>
          <t>寒波调息诀</t>
        </is>
      </c>
      <c r="D13" s="8" t="inlineStr">
        <is>
          <t>功法</t>
        </is>
      </c>
      <c r="E13" s="8" t="inlineStr">
        <is>
          <t>scripture</t>
        </is>
      </c>
      <c r="F13" s="8" t="inlineStr">
        <is>
          <t>common</t>
        </is>
      </c>
      <c r="G13" s="8" t="inlineStr">
        <is>
          <t>水</t>
        </is>
      </c>
      <c r="H13" s="8" t="inlineStr">
        <is>
          <t>water</t>
        </is>
      </c>
      <c r="I13" s="8" t="inlineStr">
        <is>
          <t>1×2</t>
        </is>
      </c>
      <c r="J13" s="8" t="n">
        <v>2</v>
      </c>
      <c r="K13" s="8" t="n">
        <v>35</v>
      </c>
      <c r="L13" s="8" t="inlineStr">
        <is>
          <t>是</t>
        </is>
      </c>
      <c r="M13" s="9" t="inlineStr">
        <is>
          <t>bazaar</t>
        </is>
      </c>
      <c r="N13" s="8" t="n">
        <v>4</v>
      </c>
      <c r="O13" s="9" t="inlineStr">
        <is>
          <t>说明/执行器；被动效果；功法成长</t>
        </is>
      </c>
      <c r="P13" s="9" t="inlineStr">
        <is>
          <t>effectNote；passive；scriptureProgression</t>
        </is>
      </c>
      <c r="Q13" s="9" t="inlineStr">
        <is>
          <t>说明/执行器：每获得 1 层寒冷或露水，获得 2 点修为 | 被动效果：寒冷层数上限 +5 | 被动效果：露水层数上限 +5 | 功法成长：第1层（无）：每获得 1 层寒冷或露水，获得 2 点修为；寒冷层数上限 +5；露水层数上限 +5 | 第2层（修为≥180）：每获得 1 层寒冷或露水，获得 4 点修为；寒冷层数上限 +10；露水层数上限 +10 | 第3层（修为≥840）：每获得 1 层寒冷或露水，获得 6 点修为；寒冷层数上限 +15；露水层数上限 +15 | 第4层（修为≥2350）：每获得 1 层寒冷或露水，获得 8 点修为；寒冷层数上限 +20；露水层数上限 +20</t>
        </is>
      </c>
      <c r="R13" s="9" t="inlineStr"/>
      <c r="S13" s="9" t="inlineStr">
        <is>
          <t>蓝白卷页似有寒波细纹起伏，修行时能借寒意回纳法力。</t>
        </is>
      </c>
      <c r="T13" s="8" t="inlineStr">
        <is>
          <t>scripture_bluejade_slip_1x2</t>
        </is>
      </c>
      <c r="U13" s="8" t="inlineStr">
        <is>
          <t>allowed</t>
        </is>
      </c>
    </row>
    <row r="14" ht="34" customHeight="1">
      <c r="A14" s="8" t="n">
        <v>13</v>
      </c>
      <c r="B14" s="8" t="n">
        <v>100018</v>
      </c>
      <c r="C14" s="8" t="inlineStr">
        <is>
          <t>凝金阵诀</t>
        </is>
      </c>
      <c r="D14" s="8" t="inlineStr">
        <is>
          <t>功法</t>
        </is>
      </c>
      <c r="E14" s="8" t="inlineStr">
        <is>
          <t>scripture</t>
        </is>
      </c>
      <c r="F14" s="8" t="inlineStr">
        <is>
          <t>common</t>
        </is>
      </c>
      <c r="G14" s="8" t="inlineStr">
        <is>
          <t>金</t>
        </is>
      </c>
      <c r="H14" s="8" t="inlineStr">
        <is>
          <t>metal</t>
        </is>
      </c>
      <c r="I14" s="8" t="inlineStr">
        <is>
          <t>1×1</t>
        </is>
      </c>
      <c r="J14" s="8" t="n">
        <v>1</v>
      </c>
      <c r="K14" s="8" t="n">
        <v>35</v>
      </c>
      <c r="L14" s="8" t="inlineStr">
        <is>
          <t>是</t>
        </is>
      </c>
      <c r="M14" s="9" t="inlineStr">
        <is>
          <t>questStoryReward</t>
        </is>
      </c>
      <c r="N14" s="8" t="n">
        <v>3</v>
      </c>
      <c r="O14" s="9" t="inlineStr">
        <is>
          <t>条件触发；被动效果；功法成长</t>
        </is>
      </c>
      <c r="P14" s="9" t="inlineStr">
        <is>
          <t>triggered；passive；scriptureProgression</t>
        </is>
      </c>
      <c r="Q14" s="9" t="inlineStr">
        <is>
          <t>条件触发：每获得 1 层凝金，获得 2 点修为 | 被动效果：凝金层数上限 +3 | 功法成长：第1层（无）：每获得 1 层凝金，获得 2 点修为；凝金层数上限 +3 | 第2层（修为≥160）：每获得 1 层凝金，获得 4 点修为；凝金层数上限 +6 | 第3层（修为≥960）：每获得 1 层凝金，获得 6 点修为；凝金层数上限 +9 | 第4层（修为≥3500）：每获得 1 层凝金，获得 8 点修为；凝金层数上限 +12</t>
        </is>
      </c>
      <c r="R14" s="9" t="inlineStr"/>
      <c r="S14" s="9" t="inlineStr">
        <is>
          <t>金纹短卷记着凝金阵列的入门法，需借周遭金气才会稳定运转。</t>
        </is>
      </c>
      <c r="T14" s="8" t="inlineStr">
        <is>
          <t>scripture_crimson_talisman_scroll_1x1</t>
        </is>
      </c>
      <c r="U14" s="8" t="inlineStr">
        <is>
          <t>allowed</t>
        </is>
      </c>
    </row>
    <row r="15" ht="34" customHeight="1">
      <c r="A15" s="8" t="n">
        <v>14</v>
      </c>
      <c r="B15" s="8" t="n">
        <v>100020</v>
      </c>
      <c r="C15" s="8" t="inlineStr">
        <is>
          <t>沉息归元诀</t>
        </is>
      </c>
      <c r="D15" s="8" t="inlineStr">
        <is>
          <t>功法</t>
        </is>
      </c>
      <c r="E15" s="8" t="inlineStr">
        <is>
          <t>scripture</t>
        </is>
      </c>
      <c r="F15" s="8" t="inlineStr">
        <is>
          <t>common</t>
        </is>
      </c>
      <c r="G15" s="8" t="inlineStr">
        <is>
          <t>土</t>
        </is>
      </c>
      <c r="H15" s="8" t="inlineStr">
        <is>
          <t>earth</t>
        </is>
      </c>
      <c r="I15" s="8" t="inlineStr">
        <is>
          <t>1×2</t>
        </is>
      </c>
      <c r="J15" s="8" t="n">
        <v>2</v>
      </c>
      <c r="K15" s="8" t="n">
        <v>35</v>
      </c>
      <c r="L15" s="8" t="inlineStr">
        <is>
          <t>是</t>
        </is>
      </c>
      <c r="M15" s="9" t="inlineStr">
        <is>
          <t>bazaar；beastDrop</t>
        </is>
      </c>
      <c r="N15" s="8" t="n">
        <v>3</v>
      </c>
      <c r="O15" s="9" t="inlineStr">
        <is>
          <t>条件触发；被动效果；功法成长</t>
        </is>
      </c>
      <c r="P15" s="9" t="inlineStr">
        <is>
          <t>triggered；passive；scriptureProgression</t>
        </is>
      </c>
      <c r="Q15" s="9" t="inlineStr">
        <is>
          <t>条件触发：每获得 1 层蓄势，获得 2 点修为 | 被动效果：蓄势层数上限 +3 | 功法成长：第1层（无）：每获得 1 层蓄势，获得 2 点修为；蓄势层数上限 +3 | 第2层（修为≥130）：每获得 1 层蓄势，获得 4 点修为；蓄势层数上限 +6 | 第3层（修为≥1120）：每获得 1 层蓄势，获得 6 点修为；蓄势层数上限 +9 | 第4层（修为≥1900）：每获得 1 层蓄势，获得 8 点修为；蓄势层数上限 +12</t>
        </is>
      </c>
      <c r="R15" s="9" t="inlineStr"/>
      <c r="S15" s="9" t="inlineStr">
        <is>
          <t>土色册页沉稳厚重，字里行间像把重压一点点炼回体魄。</t>
        </is>
      </c>
      <c r="T15" s="8" t="inlineStr">
        <is>
          <t>scripture_mountain_warding_stele_1x2</t>
        </is>
      </c>
      <c r="U15" s="8" t="inlineStr">
        <is>
          <t>allowed</t>
        </is>
      </c>
    </row>
    <row r="16" ht="34" customHeight="1">
      <c r="A16" s="8" t="n">
        <v>15</v>
      </c>
      <c r="B16" s="8" t="n">
        <v>100022</v>
      </c>
      <c r="C16" s="8" t="inlineStr">
        <is>
          <t>搬山运气诀</t>
        </is>
      </c>
      <c r="D16" s="8" t="inlineStr">
        <is>
          <t>功法</t>
        </is>
      </c>
      <c r="E16" s="8" t="inlineStr">
        <is>
          <t>scripture</t>
        </is>
      </c>
      <c r="F16" s="8" t="inlineStr">
        <is>
          <t>common</t>
        </is>
      </c>
      <c r="G16" s="8" t="inlineStr">
        <is>
          <t>土</t>
        </is>
      </c>
      <c r="H16" s="8" t="inlineStr">
        <is>
          <t>earth</t>
        </is>
      </c>
      <c r="I16" s="8" t="inlineStr">
        <is>
          <t>1×1</t>
        </is>
      </c>
      <c r="J16" s="8" t="n">
        <v>1</v>
      </c>
      <c r="K16" s="8" t="n">
        <v>35</v>
      </c>
      <c r="L16" s="8" t="inlineStr">
        <is>
          <t>是</t>
        </is>
      </c>
      <c r="M16" s="9" t="inlineStr">
        <is>
          <t>bazaar；beastDrop</t>
        </is>
      </c>
      <c r="N16" s="8" t="n">
        <v>4</v>
      </c>
      <c r="O16" s="9" t="inlineStr">
        <is>
          <t>条件触发；被动效果；功法成长</t>
        </is>
      </c>
      <c r="P16" s="9" t="inlineStr">
        <is>
          <t>triggered；passive；scriptureProgression</t>
        </is>
      </c>
      <c r="Q16" s="9" t="inlineStr">
        <is>
          <t>条件触发：每获得 1 点体力，获得 1 点修为 | 被动效果：蓄势层数上限 +3 | 被动效果：体力上限 +10 | 功法成长：第1层（无）：每获得 1 点体力，获得 1 点修为；蓄势层数上限 +3；体力上限 +10 | 第2层（修为≥190）：每获得 1 点体力，获得 2 点修为；蓄势层数上限 +6；体力上限 +20 | 第3层（修为≥860）：每获得 1 点体力，获得 3 点修为；蓄势层数上限 +9；体力上限 +30 | 第4层（修为≥1940）：每获得 1 点体力，获得 4 点修为；蓄势层数上限 +12；体力上限 +40</t>
        </is>
      </c>
      <c r="R16" s="9" t="inlineStr"/>
      <c r="S16" s="9" t="inlineStr">
        <is>
          <t>旧卷上绘着搬山行气的小人图，笔势沉稳，像把筋骨余力一点点转入丹田。</t>
        </is>
      </c>
      <c r="T16" s="8" t="inlineStr">
        <is>
          <t>scripture_bamboo_cloud_scroll_1x1</t>
        </is>
      </c>
      <c r="U16" s="8" t="inlineStr">
        <is>
          <t>allowed</t>
        </is>
      </c>
    </row>
    <row r="17" ht="34" customHeight="1">
      <c r="A17" s="8" t="n">
        <v>16</v>
      </c>
      <c r="B17" s="8" t="n">
        <v>100023</v>
      </c>
      <c r="C17" s="8" t="inlineStr">
        <is>
          <t>丹霞养火诀</t>
        </is>
      </c>
      <c r="D17" s="8" t="inlineStr">
        <is>
          <t>功法</t>
        </is>
      </c>
      <c r="E17" s="8" t="inlineStr">
        <is>
          <t>scripture</t>
        </is>
      </c>
      <c r="F17" s="8" t="inlineStr">
        <is>
          <t>common</t>
        </is>
      </c>
      <c r="G17" s="8" t="inlineStr">
        <is>
          <t>火</t>
        </is>
      </c>
      <c r="H17" s="8" t="inlineStr">
        <is>
          <t>fire</t>
        </is>
      </c>
      <c r="I17" s="8" t="inlineStr">
        <is>
          <t>2×2</t>
        </is>
      </c>
      <c r="J17" s="8" t="n">
        <v>4</v>
      </c>
      <c r="K17" s="8" t="n">
        <v>70</v>
      </c>
      <c r="L17" s="8" t="inlineStr">
        <is>
          <t>是</t>
        </is>
      </c>
      <c r="M17" s="9" t="inlineStr">
        <is>
          <t>questStoryReward</t>
        </is>
      </c>
      <c r="N17" s="8" t="n">
        <v>3</v>
      </c>
      <c r="O17" s="9" t="inlineStr">
        <is>
          <t>说明/执行器；被动效果；功法成长</t>
        </is>
      </c>
      <c r="P17" s="9" t="inlineStr">
        <is>
          <t>effectNote；passive；scriptureProgression</t>
        </is>
      </c>
      <c r="Q17" s="9" t="inlineStr">
        <is>
          <t>说明/执行器：每成功炼制 1 颗丹药，获得 200 点修为 | 被动效果：炼丹成功率 +5% | 功法成长：第1层（无）：每成功炼制 1 颗丹药，获得 200 点修为；炼丹成功率 +5% | 第2层（修为≥2150）：每成功炼制 1 颗丹药，获得 300 点修为；炼丹成功率 +10% | 第3层（修为≥5100）：每成功炼制 1 颗丹药，获得 400 点修为；炼丹成功率 +15% | 第4层（修为≥19100）：每成功炼制 1 颗丹药，获得 500 点修为；炼丹成功率 +20%</t>
        </is>
      </c>
      <c r="R17" s="9" t="inlineStr"/>
      <c r="S17" s="9" t="inlineStr">
        <is>
          <t>丹霞外院入门功法，重在以细火养息，先稳体力，再引火气入周天。</t>
        </is>
      </c>
      <c r="T17" s="8" t="inlineStr">
        <is>
          <t>scripture_crimson_blaze_scroll_2x2</t>
        </is>
      </c>
      <c r="U17" s="8" t="inlineStr">
        <is>
          <t>allowed</t>
        </is>
      </c>
    </row>
    <row r="18" ht="34" customHeight="1">
      <c r="A18" s="8" t="n">
        <v>17</v>
      </c>
      <c r="B18" s="8" t="n">
        <v>100024</v>
      </c>
      <c r="C18" s="8" t="inlineStr">
        <is>
          <t>青阙符旗诀</t>
        </is>
      </c>
      <c r="D18" s="8" t="inlineStr">
        <is>
          <t>功法</t>
        </is>
      </c>
      <c r="E18" s="8" t="inlineStr">
        <is>
          <t>scripture</t>
        </is>
      </c>
      <c r="F18" s="8" t="inlineStr">
        <is>
          <t>common</t>
        </is>
      </c>
      <c r="G18" s="8" t="inlineStr">
        <is>
          <t>土</t>
        </is>
      </c>
      <c r="H18" s="8" t="inlineStr">
        <is>
          <t>earth</t>
        </is>
      </c>
      <c r="I18" s="8" t="inlineStr">
        <is>
          <t>2×2</t>
        </is>
      </c>
      <c r="J18" s="8" t="n">
        <v>4</v>
      </c>
      <c r="K18" s="8" t="n">
        <v>70</v>
      </c>
      <c r="L18" s="8" t="inlineStr">
        <is>
          <t>是</t>
        </is>
      </c>
      <c r="M18" s="9" t="inlineStr">
        <is>
          <t>questStoryReward</t>
        </is>
      </c>
      <c r="N18" s="8" t="n">
        <v>3</v>
      </c>
      <c r="O18" s="9" t="inlineStr">
        <is>
          <t>条件触发；被动效果；功法成长</t>
        </is>
      </c>
      <c r="P18" s="9" t="inlineStr">
        <is>
          <t>triggered；passive；scriptureProgression</t>
        </is>
      </c>
      <c r="Q18" s="9" t="inlineStr">
        <is>
          <t>条件触发：每消耗 1 层蓄势时，获得 4 点修为 | 被动效果：蓄势层数上限 +15 | 功法成长：第1层（无）：每消耗 1 层蓄势时，获得 4 点修为；蓄势层数上限 +15 | 第2层（修为≥1640）：每消耗 1 层蓄势时，获得 8 点修为；蓄势层数上限 +20 | 第3层（修为≥6200）：每消耗 1 层蓄势时，获得 12 点修为；蓄势层数上限 +25 | 第4层（修为≥17500）：每消耗 1 层蓄势时，获得 16 点修为；蓄势层数上限 +30</t>
        </is>
      </c>
      <c r="R18" s="9" t="inlineStr">
        <is>
          <t>scripture_100024</t>
        </is>
      </c>
      <c r="S18" s="9" t="inlineStr">
        <is>
          <t>青阙门入门功法，讲究以符意镇息，先立根基，再借阵势行气。</t>
        </is>
      </c>
      <c r="T18" s="8" t="inlineStr">
        <is>
          <t>scripture_jade_hidden_scroll_2x2</t>
        </is>
      </c>
      <c r="U18" s="8" t="inlineStr">
        <is>
          <t>allowed</t>
        </is>
      </c>
    </row>
    <row r="19" ht="34" customHeight="1">
      <c r="A19" s="8" t="n">
        <v>18</v>
      </c>
      <c r="B19" s="8" t="n">
        <v>100025</v>
      </c>
      <c r="C19" s="8" t="inlineStr">
        <is>
          <t>水月调息篇</t>
        </is>
      </c>
      <c r="D19" s="8" t="inlineStr">
        <is>
          <t>功法</t>
        </is>
      </c>
      <c r="E19" s="8" t="inlineStr">
        <is>
          <t>scripture</t>
        </is>
      </c>
      <c r="F19" s="8" t="inlineStr">
        <is>
          <t>common</t>
        </is>
      </c>
      <c r="G19" s="8" t="inlineStr">
        <is>
          <t>水</t>
        </is>
      </c>
      <c r="H19" s="8" t="inlineStr">
        <is>
          <t>water</t>
        </is>
      </c>
      <c r="I19" s="8" t="inlineStr">
        <is>
          <t>1×1</t>
        </is>
      </c>
      <c r="J19" s="8" t="n">
        <v>1</v>
      </c>
      <c r="K19" s="8" t="n">
        <v>70</v>
      </c>
      <c r="L19" s="8" t="inlineStr">
        <is>
          <t>是</t>
        </is>
      </c>
      <c r="M19" s="9" t="inlineStr">
        <is>
          <t>questStoryReward</t>
        </is>
      </c>
      <c r="N19" s="8" t="n">
        <v>3</v>
      </c>
      <c r="O19" s="9" t="inlineStr">
        <is>
          <t>条件触发；被动效果；功法成长</t>
        </is>
      </c>
      <c r="P19" s="9" t="inlineStr">
        <is>
          <t>triggered；passive；scriptureProgression</t>
        </is>
      </c>
      <c r="Q19" s="9" t="inlineStr">
        <is>
          <t>条件触发：每层露水恢复气血时，获得 4 点修为 | 被动效果：露水层数上限 +10 | 功法成长：第1层（无）：每层露水恢复气血时，获得 4 点修为；露水层数上限 +10 | 第2层（修为≥1840）：每层露水恢复气血时，获得 8 点修为；露水层数上限 +20 | 第3层（修为≥4600）：每层露水恢复气血时，获得 12 点修为；露水层数上限 +30 | 第4层（修为≥19800）：每层露水恢复气血时，获得 16 点修为；露水层数上限 +40</t>
        </is>
      </c>
      <c r="R19" s="9" t="inlineStr"/>
      <c r="S19" s="9" t="inlineStr">
        <is>
          <t>水月别院入门功法，取月照静水之意，重在调息、回气与久战不乱。</t>
        </is>
      </c>
      <c r="T19" s="8" t="inlineStr">
        <is>
          <t>scripture_astrolabe_scroll_1x1</t>
        </is>
      </c>
      <c r="U19" s="8" t="inlineStr">
        <is>
          <t>allowed</t>
        </is>
      </c>
    </row>
    <row r="20" ht="34" customHeight="1">
      <c r="A20" s="8" t="n">
        <v>19</v>
      </c>
      <c r="B20" s="8" t="n">
        <v>100027</v>
      </c>
      <c r="C20" s="8" t="inlineStr">
        <is>
          <t>金刃诀</t>
        </is>
      </c>
      <c r="D20" s="8" t="inlineStr">
        <is>
          <t>功法</t>
        </is>
      </c>
      <c r="E20" s="8" t="inlineStr">
        <is>
          <t>scripture</t>
        </is>
      </c>
      <c r="F20" s="8" t="inlineStr">
        <is>
          <t>common</t>
        </is>
      </c>
      <c r="G20" s="8" t="inlineStr">
        <is>
          <t>金</t>
        </is>
      </c>
      <c r="H20" s="8" t="inlineStr">
        <is>
          <t>metal</t>
        </is>
      </c>
      <c r="I20" s="8" t="inlineStr">
        <is>
          <t>1×1</t>
        </is>
      </c>
      <c r="J20" s="8" t="n">
        <v>1</v>
      </c>
      <c r="K20" s="8" t="n">
        <v>35</v>
      </c>
      <c r="L20" s="8" t="inlineStr">
        <is>
          <t>是</t>
        </is>
      </c>
      <c r="M20" s="9" t="inlineStr">
        <is>
          <t>bazaar</t>
        </is>
      </c>
      <c r="N20" s="8" t="n">
        <v>3</v>
      </c>
      <c r="O20" s="9" t="inlineStr">
        <is>
          <t>条件触发；被动效果；功法成长</t>
        </is>
      </c>
      <c r="P20" s="9" t="inlineStr">
        <is>
          <t>triggered；passive；scriptureProgression</t>
        </is>
      </c>
      <c r="Q20" s="9" t="inlineStr">
        <is>
          <t>条件触发：每消耗 1 层凝金时，获得 2 点修为 | 被动效果：凝金层数上限 +3 | 功法成长：第1层（无）：每消耗 1 层凝金时，获得 2 点修为；凝金层数上限 +3 | 第2层（修为≥110）：每消耗 1 层凝金时，获得 4 点修为；凝金层数上限 +6 | 第3层（修为≥900）：每消耗 1 层凝金时，获得 6 点修为；凝金层数上限 +9 | 第4层（修为≥2450）：每消耗 1 层凝金时，获得 8 点修为；凝金层数上限 +12</t>
        </is>
      </c>
      <c r="R20" s="9" t="inlineStr"/>
      <c r="S20" s="9" t="inlineStr">
        <is>
          <t>青绿秘册内页压着细密金纹，行气篇章如刀锋层叠，教人凝金养刃、借锋破敌。</t>
        </is>
      </c>
      <c r="T20" s="8" t="inlineStr">
        <is>
          <t>scripture_jinrenjue_1x1</t>
        </is>
      </c>
      <c r="U20" s="8" t="inlineStr">
        <is>
          <t>allowed</t>
        </is>
      </c>
    </row>
    <row r="21" ht="34" customHeight="1">
      <c r="A21" s="8" t="n">
        <v>20</v>
      </c>
      <c r="B21" s="8" t="n">
        <v>100028</v>
      </c>
      <c r="C21" s="8" t="inlineStr">
        <is>
          <t>铁甲诀</t>
        </is>
      </c>
      <c r="D21" s="8" t="inlineStr">
        <is>
          <t>功法</t>
        </is>
      </c>
      <c r="E21" s="8" t="inlineStr">
        <is>
          <t>scripture</t>
        </is>
      </c>
      <c r="F21" s="8" t="inlineStr">
        <is>
          <t>common</t>
        </is>
      </c>
      <c r="G21" s="8" t="inlineStr">
        <is>
          <t>无</t>
        </is>
      </c>
      <c r="H21" s="8" t="inlineStr">
        <is>
          <t>none</t>
        </is>
      </c>
      <c r="I21" s="8" t="inlineStr">
        <is>
          <t>1×1</t>
        </is>
      </c>
      <c r="J21" s="8" t="n">
        <v>1</v>
      </c>
      <c r="K21" s="8" t="n">
        <v>35</v>
      </c>
      <c r="L21" s="8" t="inlineStr">
        <is>
          <t>是</t>
        </is>
      </c>
      <c r="M21" s="9" t="inlineStr">
        <is>
          <t>bazaar</t>
        </is>
      </c>
      <c r="N21" s="8" t="n">
        <v>3</v>
      </c>
      <c r="O21" s="9" t="inlineStr">
        <is>
          <t>周期触发；被动效果；功法成长</t>
        </is>
      </c>
      <c r="P21" s="9" t="inlineStr">
        <is>
          <t>periodicPulse；passive；scriptureProgression</t>
        </is>
      </c>
      <c r="Q21" s="9" t="inlineStr">
        <is>
          <t>周期触发：消耗所有护甲，每消耗 1 层护甲，获得 1 点修为；每层护甲消耗时，获得 1 点修为 | 被动效果：护甲层数上限 +5 | 功法成长：第1层（无）：消耗所有护甲，每消耗 1 层护甲，获得 1 点修为；每层护甲消耗时，获得 1 点修为；护甲层数上限 +5 | 第2层（修为≥150）：消耗所有护甲，每消耗 1 层护甲，获得 2 点修为；每层护甲消耗时，获得 2 点修为；护甲层数上限 +10 | 第3层（修为≥470；境界≥炼气4层）：消耗所有护甲，每消耗 1 层护甲，获得 3 点修为；每层护甲消耗时，获得 3 点修为；护甲层数上限 +15 | 第4层（修为≥3150；境界≥炼气4层）：消耗所有护甲，每消耗 1 层护甲，获得 4 点修为；每层护甲消耗时，获得 4 点修为；护甲层数上限 +20</t>
        </is>
      </c>
      <c r="R21" s="9" t="inlineStr"/>
      <c r="S21" s="9" t="inlineStr">
        <is>
          <t>青绿秘册绘满披甲负重的小人图，笔势厚拙，讲究以沉身磨力、以甲势护体。</t>
        </is>
      </c>
      <c r="T21" s="8" t="inlineStr">
        <is>
          <t>scripture_tiejiajue_1x1</t>
        </is>
      </c>
      <c r="U21" s="8" t="inlineStr">
        <is>
          <t>allowed</t>
        </is>
      </c>
    </row>
    <row r="22" ht="34" customHeight="1">
      <c r="A22" s="8" t="n">
        <v>21</v>
      </c>
      <c r="B22" s="8" t="n">
        <v>100029</v>
      </c>
      <c r="C22" s="8" t="inlineStr">
        <is>
          <t>青河听潮篇</t>
        </is>
      </c>
      <c r="D22" s="8" t="inlineStr">
        <is>
          <t>功法</t>
        </is>
      </c>
      <c r="E22" s="8" t="inlineStr">
        <is>
          <t>scripture</t>
        </is>
      </c>
      <c r="F22" s="8" t="inlineStr">
        <is>
          <t>common</t>
        </is>
      </c>
      <c r="G22" s="8" t="inlineStr">
        <is>
          <t>水</t>
        </is>
      </c>
      <c r="H22" s="8" t="inlineStr">
        <is>
          <t>water</t>
        </is>
      </c>
      <c r="I22" s="8" t="inlineStr">
        <is>
          <t>1×1</t>
        </is>
      </c>
      <c r="J22" s="8" t="n">
        <v>1</v>
      </c>
      <c r="K22" s="8" t="n">
        <v>35</v>
      </c>
      <c r="L22" s="8" t="inlineStr">
        <is>
          <t>是</t>
        </is>
      </c>
      <c r="M22" s="9" t="inlineStr">
        <is>
          <t>bazaar</t>
        </is>
      </c>
      <c r="N22" s="8" t="n">
        <v>3</v>
      </c>
      <c r="O22" s="9" t="inlineStr">
        <is>
          <t>条件触发；被动效果；功法成长</t>
        </is>
      </c>
      <c r="P22" s="9" t="inlineStr">
        <is>
          <t>triggered；passive；scriptureProgression</t>
        </is>
      </c>
      <c r="Q22" s="9" t="inlineStr">
        <is>
          <t>条件触发：每消耗 1 层露水时，获得 2 点修为 | 被动效果：露水层数上限 +3 | 功法成长：第1层（无）：每消耗 1 层露水时，获得 2 点修为；露水层数上限 +3 | 第2层（修为≥120；境界≥炼气层）：每消耗 1 层露水时，获得 4 点修为；露水层数上限 +6 | 第3层（修为≥760；境界≥炼气层）：每消耗 1 层露水时，获得 6 点修为；露水层数上限 +9 | 第4层（修为≥3950；境界≥炼气层）：每消耗 1 层露水时，获得 8 点修为；露水层数上限 +12</t>
        </is>
      </c>
      <c r="R22" s="9" t="inlineStr"/>
      <c r="S22" s="9" t="inlineStr">
        <is>
          <t>潮声入息，辨微澜以静心。卷页含青河宗传承的水纹与旧印，静置时仍似能听见远处河声。</t>
        </is>
      </c>
      <c r="T22" s="8" t="inlineStr">
        <is>
          <t>scripture_qinghe_tingchao_1x1</t>
        </is>
      </c>
      <c r="U22" s="8" t="inlineStr">
        <is>
          <t>allowed</t>
        </is>
      </c>
    </row>
    <row r="23" ht="34" customHeight="1">
      <c r="A23" s="8" t="n">
        <v>22</v>
      </c>
      <c r="B23" s="8" t="n">
        <v>100030</v>
      </c>
      <c r="C23" s="8" t="inlineStr">
        <is>
          <t>伏流追息诀</t>
        </is>
      </c>
      <c r="D23" s="8" t="inlineStr">
        <is>
          <t>功法</t>
        </is>
      </c>
      <c r="E23" s="8" t="inlineStr">
        <is>
          <t>scripture</t>
        </is>
      </c>
      <c r="F23" s="8" t="inlineStr">
        <is>
          <t>common</t>
        </is>
      </c>
      <c r="G23" s="8" t="inlineStr">
        <is>
          <t>风</t>
        </is>
      </c>
      <c r="H23" s="8" t="inlineStr">
        <is>
          <t>wind</t>
        </is>
      </c>
      <c r="I23" s="8" t="inlineStr">
        <is>
          <t>1×1</t>
        </is>
      </c>
      <c r="J23" s="8" t="n">
        <v>1</v>
      </c>
      <c r="K23" s="8" t="n">
        <v>35</v>
      </c>
      <c r="L23" s="8" t="inlineStr">
        <is>
          <t>是</t>
        </is>
      </c>
      <c r="M23" s="9" t="inlineStr">
        <is>
          <t>bazaar</t>
        </is>
      </c>
      <c r="N23" s="8" t="n">
        <v>4</v>
      </c>
      <c r="O23" s="9" t="inlineStr">
        <is>
          <t>条件触发；被动效果；功法成长</t>
        </is>
      </c>
      <c r="P23" s="9" t="inlineStr">
        <is>
          <t>triggered；passive；scriptureProgression</t>
        </is>
      </c>
      <c r="Q23" s="9" t="inlineStr">
        <is>
          <t>条件触发：每获得 1 层敏捷或闪避时，获得 3 点修为 | 条件触发：每获得 1 层敏捷或闪避时，获得 3 点修为 | 被动效果：敏捷层数上限 +3 | 功法成长：第1层（无）：每获得 1 层敏捷或闪避时，获得 3 点修为；敏捷层数上限 +3 | 第2层（修为≥210；境界≥炼气层）：每获得 1 层敏捷或闪避时，获得 6 点修为；敏捷层数上限 +6 | 第3层（修为≥640；境界≥炼气层）：每获得 1 层敏捷或闪避时，获得 9 点修为；敏捷层数上限 +9 | 第4层（修为≥3200；境界≥炼气层）：每获得 1 层敏捷或闪避时，获得 12 点修为；敏捷层数上限 +12</t>
        </is>
      </c>
      <c r="R23" s="9" t="inlineStr"/>
      <c r="S23" s="9" t="inlineStr">
        <is>
          <t>循伏流残痕，追索未绝之息。卷页含青河宗传承的水纹与旧印，静置时仍似能听见远处河声。</t>
        </is>
      </c>
      <c r="T23" s="8" t="inlineStr">
        <is>
          <t>scripture_fuliu_zhuixi_1x1</t>
        </is>
      </c>
      <c r="U23" s="8" t="inlineStr">
        <is>
          <t>allowed</t>
        </is>
      </c>
    </row>
    <row r="24" ht="34" customHeight="1">
      <c r="A24" s="8" t="n">
        <v>23</v>
      </c>
      <c r="B24" s="8" t="n">
        <v>100031</v>
      </c>
      <c r="C24" s="8" t="inlineStr">
        <is>
          <t>回澜牵机诀</t>
        </is>
      </c>
      <c r="D24" s="8" t="inlineStr">
        <is>
          <t>功法</t>
        </is>
      </c>
      <c r="E24" s="8" t="inlineStr">
        <is>
          <t>scripture</t>
        </is>
      </c>
      <c r="F24" s="8" t="inlineStr">
        <is>
          <t>common</t>
        </is>
      </c>
      <c r="G24" s="8" t="inlineStr">
        <is>
          <t>水</t>
        </is>
      </c>
      <c r="H24" s="8" t="inlineStr">
        <is>
          <t>water</t>
        </is>
      </c>
      <c r="I24" s="8" t="inlineStr">
        <is>
          <t>1×1</t>
        </is>
      </c>
      <c r="J24" s="8" t="n">
        <v>1</v>
      </c>
      <c r="K24" s="8" t="n">
        <v>35</v>
      </c>
      <c r="L24" s="8" t="inlineStr">
        <is>
          <t>是</t>
        </is>
      </c>
      <c r="M24" s="9" t="inlineStr">
        <is>
          <t>bazaar</t>
        </is>
      </c>
      <c r="N24" s="8" t="n">
        <v>4</v>
      </c>
      <c r="O24" s="9" t="inlineStr">
        <is>
          <t>条件触发；被动效果；功法成长</t>
        </is>
      </c>
      <c r="P24" s="9" t="inlineStr">
        <is>
          <t>triggered；passive；scriptureProgression</t>
        </is>
      </c>
      <c r="Q24" s="9" t="inlineStr">
        <is>
          <t>条件触发：每层露水恢复体力时，获得 1 点修为 | 被动效果：露水层数上限 +3 | 被动效果：体力上限 +10 | 功法成长：第1层（无）：每层露水恢复体力时，获得 1 点修为；露水层数上限 +3；体力上限 +10 | 第2层（修为≥210；境界≥炼气层）：每层露水恢复体力时，获得 2 点修为；露水层数上限 +6；体力上限 +20 | 第3层（修为≥680；境界≥炼气层）：每层露水恢复体力时，获得 3 点修为；露水层数上限 +9；体力上限 +30 | 第4层（修为≥4300；境界≥炼气层）：每层露水恢复体力时，获得 4 点修为；露水层数上限 +12；体力上限 +40</t>
        </is>
      </c>
      <c r="R24" s="9" t="inlineStr"/>
      <c r="S24" s="9" t="inlineStr">
        <is>
          <t>借舟索阵钉卸力转势。卷页含青河宗传承的水纹与旧印，静置时仍似能听见远处河声。</t>
        </is>
      </c>
      <c r="T24" s="8" t="inlineStr">
        <is>
          <t>scripture_huilan_qianji_1x1</t>
        </is>
      </c>
      <c r="U24" s="8" t="inlineStr">
        <is>
          <t>allowed</t>
        </is>
      </c>
    </row>
    <row r="25" ht="34" customHeight="1">
      <c r="A25" s="8" t="n">
        <v>24</v>
      </c>
      <c r="B25" s="8" t="n">
        <v>100042</v>
      </c>
      <c r="C25" s="8" t="inlineStr">
        <is>
          <t>九川归海经</t>
        </is>
      </c>
      <c r="D25" s="8" t="inlineStr">
        <is>
          <t>功法</t>
        </is>
      </c>
      <c r="E25" s="8" t="inlineStr">
        <is>
          <t>scripture</t>
        </is>
      </c>
      <c r="F25" s="8" t="inlineStr">
        <is>
          <t>common</t>
        </is>
      </c>
      <c r="G25" s="8" t="inlineStr">
        <is>
          <t>水</t>
        </is>
      </c>
      <c r="H25" s="8" t="inlineStr">
        <is>
          <t>water</t>
        </is>
      </c>
      <c r="I25" s="8" t="inlineStr">
        <is>
          <t>2×3</t>
        </is>
      </c>
      <c r="J25" s="8" t="n">
        <v>6</v>
      </c>
      <c r="K25" s="8" t="n">
        <v>50</v>
      </c>
      <c r="L25" s="8" t="inlineStr">
        <is>
          <t>是</t>
        </is>
      </c>
      <c r="M25" s="9" t="inlineStr">
        <is>
          <t>bazaar</t>
        </is>
      </c>
      <c r="N25" s="8" t="n">
        <v>3</v>
      </c>
      <c r="O25" s="9" t="inlineStr">
        <is>
          <t>周期触发；被动效果；功法成长</t>
        </is>
      </c>
      <c r="P25" s="9" t="inlineStr">
        <is>
          <t>periodicPulse；passive；scriptureProgression</t>
        </is>
      </c>
      <c r="Q25" s="9" t="inlineStr">
        <is>
          <t>周期触发：消耗所有露水，每消耗 1 层获得 1 点修为 | 被动效果：露水层数上限 +10 | 功法成长：第1层（无）：消耗所有露水，每消耗 1 层获得 1 点修为；露水层数上限 +10 | 第2层（修为≥160；境界≥炼气4层）：消耗所有露水，每消耗 1 层获得 2 点修为；露水层数上限 +15 | 第3层（修为≥840；境界≥炼气6层）：消耗所有露水，每消耗 1 层获得 3 点修为；露水层数上限 +20 | 第4层（修为≥2250；境界≥筑基1层）：消耗所有露水，每消耗 1 层获得 4 点修为；露水层数上限 +25 | 第5层（修为≥10600；境界≥筑基2层）：消耗所有露水，每消耗 1 层获得 5 点修为；露水层数上限 +30 | 第6层（修为≥36700；境界≥筑基3层）：消耗所有露水，每消耗 1 层获得 6 点修为；露水层数上限 +35</t>
        </is>
      </c>
      <c r="R25" s="9" t="inlineStr"/>
      <c r="S25" s="9" t="inlineStr">
        <is>
          <t>玉溪阁分汊水工以支流疏导总势的行气图谱，页间水线层层分合。</t>
        </is>
      </c>
      <c r="T25" s="8" t="inlineStr">
        <is>
          <t>scripture_yuxi_jiuchuan_guihai_2x3</t>
        </is>
      </c>
      <c r="U25" s="8" t="inlineStr">
        <is>
          <t>allowed</t>
        </is>
      </c>
    </row>
    <row r="26" ht="34" customHeight="1">
      <c r="A26" s="8" t="n">
        <v>25</v>
      </c>
      <c r="B26" s="8" t="n">
        <v>100043</v>
      </c>
      <c r="C26" s="8" t="inlineStr">
        <is>
          <t>青木引风诀</t>
        </is>
      </c>
      <c r="D26" s="8" t="inlineStr">
        <is>
          <t>功法</t>
        </is>
      </c>
      <c r="E26" s="8" t="inlineStr">
        <is>
          <t>scripture</t>
        </is>
      </c>
      <c r="F26" s="8" t="inlineStr">
        <is>
          <t>common</t>
        </is>
      </c>
      <c r="G26" s="8" t="inlineStr">
        <is>
          <t>木</t>
        </is>
      </c>
      <c r="H26" s="8" t="inlineStr">
        <is>
          <t>wood</t>
        </is>
      </c>
      <c r="I26" s="8" t="inlineStr">
        <is>
          <t>2×3</t>
        </is>
      </c>
      <c r="J26" s="8" t="n">
        <v>6</v>
      </c>
      <c r="K26" s="8" t="n">
        <v>50</v>
      </c>
      <c r="L26" s="8" t="inlineStr">
        <is>
          <t>是</t>
        </is>
      </c>
      <c r="M26" s="9" t="inlineStr">
        <is>
          <t>bazaar；questStoryReward</t>
        </is>
      </c>
      <c r="N26" s="8" t="n">
        <v>5</v>
      </c>
      <c r="O26" s="9" t="inlineStr">
        <is>
          <t>周期触发；条件触发；被动效果；功法成长</t>
        </is>
      </c>
      <c r="P26" s="9" t="inlineStr">
        <is>
          <t>periodicPulse；triggered；passive；scriptureProgression</t>
        </is>
      </c>
      <c r="Q26" s="9" t="inlineStr">
        <is>
          <t>周期触发：消耗所有再生，每消耗 1 层获得 2 点修为 | 条件触发：每当消耗 1 层敏捷时，获得 2 点修为 | 被动效果：再生层数上限 +2 | 被动效果：敏捷层数上限 +2 | 功法成长：第1层（无）：消耗所有再生，每消耗 1 层获得 2 点修为；每当消耗 1 层敏捷时，获得 2 点修为；再生层数上限 +2；敏捷层数上限 +2 | 第2层（修为≥170；境界≥炼气4层）：消耗所有再生，每消耗 1 层获得 4 点修为；每当消耗 1 层敏捷时，获得 4 点修为；再生层数上限 +4；敏捷层数上限 +4 | 第3层（修为≥800；境界≥炼气6层）：消耗所有再生，每消耗 1 层获得 6 点修为；每当消耗 1 层敏捷时，获得 6 点修为；再生层数上限 +6；敏捷层数上限 +6 | 第4层（修为≥2550；境界≥炼气10层）：消耗所有再生，每消耗 1 层获得 8 点修为；每当消耗 1 层敏捷时，获得 8 点修为；再生层数上限 +8；敏捷层数上限 +8 | 第5层（修为≥10800；境界≥筑基2层）：消耗所有再生，每消耗 1 层获得 10 点修为；每当消耗 1 层敏捷时，获得 10 点修为；再生层数上限 +10；敏捷层数上限 +10 | 第6层（修为≥32100；境界≥筑基3层）：消耗所有再生，每消耗 1 层获得 12 点修为；每当消耗 1 层敏捷时，获得 12 点修为；再生层数上限 +12；敏捷层数上限 +12</t>
        </is>
      </c>
      <c r="R26" s="9" t="inlineStr"/>
      <c r="S26" s="9" t="inlineStr">
        <is>
          <t>以水息养木，以风势引灵；行气如舟，不与逆流争先。</t>
        </is>
      </c>
      <c r="T26" s="8" t="inlineStr">
        <is>
          <t>scripture_yuxi_jiefeng_xingzhou_2x3</t>
        </is>
      </c>
      <c r="U26" s="8" t="inlineStr">
        <is>
          <t>allowed</t>
        </is>
      </c>
    </row>
    <row r="27" ht="34" customHeight="1">
      <c r="A27" s="8" t="n">
        <v>26</v>
      </c>
      <c r="B27" s="8" t="n">
        <v>100044</v>
      </c>
      <c r="C27" s="8" t="inlineStr">
        <is>
          <t>金契封河十二章</t>
        </is>
      </c>
      <c r="D27" s="8" t="inlineStr">
        <is>
          <t>功法</t>
        </is>
      </c>
      <c r="E27" s="8" t="inlineStr">
        <is>
          <t>scripture</t>
        </is>
      </c>
      <c r="F27" s="8" t="inlineStr">
        <is>
          <t>common</t>
        </is>
      </c>
      <c r="G27" s="8" t="inlineStr">
        <is>
          <t>金</t>
        </is>
      </c>
      <c r="H27" s="8" t="inlineStr">
        <is>
          <t>metal</t>
        </is>
      </c>
      <c r="I27" s="8" t="inlineStr">
        <is>
          <t>2×3</t>
        </is>
      </c>
      <c r="J27" s="8" t="n">
        <v>6</v>
      </c>
      <c r="K27" s="8" t="n">
        <v>50</v>
      </c>
      <c r="L27" s="8" t="inlineStr">
        <is>
          <t>是</t>
        </is>
      </c>
      <c r="M27" s="9" t="inlineStr">
        <is>
          <t>bazaar</t>
        </is>
      </c>
      <c r="N27" s="8" t="n">
        <v>2</v>
      </c>
      <c r="O27" s="9" t="inlineStr">
        <is>
          <t>周期触发；功法成长</t>
        </is>
      </c>
      <c r="P27" s="9" t="inlineStr">
        <is>
          <t>periodicPulse；scriptureProgression</t>
        </is>
      </c>
      <c r="Q27" s="9" t="inlineStr">
        <is>
          <t>周期触发：消耗所有凝金，每消耗 1 层凝金，获得 4 点修为 | 功法成长：第1层（无）：消耗所有凝金，每消耗 1 层凝金，获得 4 点修为 | 第2层（修为≥210；境界≥炼气4层）：消耗所有凝金，每消耗 1 层凝金，获得 8 点修为 | 第3层（修为≥620；境界≥炼气6层）：消耗所有凝金，每消耗 1 层凝金，获得 12 点修为 | 第4层（修为≥2900；境界≥筑基1层）：消耗所有凝金，每消耗 1 层凝金，获得 16 点修为 | 第5层（修为≥12100；境界≥筑基2层）：消耗所有凝金，每消耗 1 层凝金，获得 20 点修为 | 第6层（修为≥40500；境界≥筑基3层）：消耗所有凝金，每消耗 1 层凝金，获得 24 点修为</t>
        </is>
      </c>
      <c r="R27" s="9" t="inlineStr"/>
      <c r="S27" s="9" t="inlineStr">
        <is>
          <t>玉溪阁检校河契与器印的旧录，金线批注如水尺般严整分明。</t>
        </is>
      </c>
      <c r="T27" s="8" t="inlineStr">
        <is>
          <t>scripture_yuxi_jinqi_fenghe_shierzhang_2x3</t>
        </is>
      </c>
      <c r="U27" s="8" t="inlineStr">
        <is>
          <t>allowed</t>
        </is>
      </c>
    </row>
    <row r="28" ht="34" customHeight="1">
      <c r="A28" s="8" t="n">
        <v>27</v>
      </c>
      <c r="B28" s="8" t="n">
        <v>100045</v>
      </c>
      <c r="C28" s="8" t="inlineStr">
        <is>
          <t>炉火照寒潭</t>
        </is>
      </c>
      <c r="D28" s="8" t="inlineStr">
        <is>
          <t>功法</t>
        </is>
      </c>
      <c r="E28" s="8" t="inlineStr">
        <is>
          <t>scripture</t>
        </is>
      </c>
      <c r="F28" s="8" t="inlineStr">
        <is>
          <t>common</t>
        </is>
      </c>
      <c r="G28" s="8" t="inlineStr">
        <is>
          <t>火</t>
        </is>
      </c>
      <c r="H28" s="8" t="inlineStr">
        <is>
          <t>fire</t>
        </is>
      </c>
      <c r="I28" s="8" t="inlineStr">
        <is>
          <t>2×3</t>
        </is>
      </c>
      <c r="J28" s="8" t="n">
        <v>6</v>
      </c>
      <c r="K28" s="8" t="n">
        <v>50</v>
      </c>
      <c r="L28" s="8" t="inlineStr">
        <is>
          <t>是</t>
        </is>
      </c>
      <c r="M28" s="9" t="inlineStr">
        <is>
          <t>bazaar</t>
        </is>
      </c>
      <c r="N28" s="8" t="n">
        <v>3</v>
      </c>
      <c r="O28" s="9" t="inlineStr">
        <is>
          <t>周期触发；被动效果；功法成长</t>
        </is>
      </c>
      <c r="P28" s="9" t="inlineStr">
        <is>
          <t>periodicPulse；passive；scriptureProgression</t>
        </is>
      </c>
      <c r="Q28" s="9" t="inlineStr">
        <is>
          <t>周期触发：消耗所有炎热，每消耗 1 层炎热，获得 4 点修为 | 被动效果：炎热层数上限 +3 | 功法成长：第1层（无）：消耗所有炎热，每消耗 1 层炎热，获得 4 点修为；消耗所有炎热，每消耗 1 层炎热，获得 8 点修为；炎热层数上限 +3 | 第2层（修为≥140；境界≥炼气4层）：消耗所有炎热，每消耗 1 层炎热，获得 8 点修为；消耗所有炎热，每消耗 1 层炎热，获得 12 点修为；炎热层数上限 +6 | 第3层（修为≥640；境界≥炼气6层）：消耗所有炎热，每消耗 1 层炎热，获得 12 点修为；消耗所有炎热，每消耗 1 层炎热，获得 16 点修为；炎热层数上限 +9 | 第4层（修为≥2750；境界≥筑基1层）：消耗所有炎热，每消耗 1 层炎热，获得 16 点修为；炎热层数上限 +12 | 第5层（修为≥10900；境界≥筑基2层）：消耗所有炎热，每消耗 1 层炎热，获得 20 点修为；炎热层数上限 +15 | 第6层（修为≥27500；境界≥筑基3层）：消耗所有炎热，每消耗 1 层炎热，获得 24 点修为；炎热层数上限 +18</t>
        </is>
      </c>
      <c r="R28" s="9" t="inlineStr"/>
      <c r="S28" s="9" t="inlineStr">
        <is>
          <t>玉溪阁百炉同开时收束冷热余势的秘诀，朱墨炉记之间留有冷蓝水痕。</t>
        </is>
      </c>
      <c r="T28" s="8" t="inlineStr">
        <is>
          <t>scripture_yuxi_luhuo_zhao_hantan_2x3</t>
        </is>
      </c>
      <c r="U28" s="8" t="inlineStr">
        <is>
          <t>allowed</t>
        </is>
      </c>
    </row>
    <row r="29" ht="34" customHeight="1">
      <c r="A29" s="8" t="n">
        <v>28</v>
      </c>
      <c r="B29" s="8" t="n">
        <v>100046</v>
      </c>
      <c r="C29" s="8" t="inlineStr">
        <is>
          <t>镇澜功</t>
        </is>
      </c>
      <c r="D29" s="8" t="inlineStr">
        <is>
          <t>功法</t>
        </is>
      </c>
      <c r="E29" s="8" t="inlineStr">
        <is>
          <t>scripture</t>
        </is>
      </c>
      <c r="F29" s="8" t="inlineStr">
        <is>
          <t>common</t>
        </is>
      </c>
      <c r="G29" s="8" t="inlineStr">
        <is>
          <t>土</t>
        </is>
      </c>
      <c r="H29" s="8" t="inlineStr">
        <is>
          <t>earth</t>
        </is>
      </c>
      <c r="I29" s="8" t="inlineStr">
        <is>
          <t>2×3</t>
        </is>
      </c>
      <c r="J29" s="8" t="n">
        <v>6</v>
      </c>
      <c r="K29" s="8" t="n">
        <v>50</v>
      </c>
      <c r="L29" s="8" t="inlineStr">
        <is>
          <t>是</t>
        </is>
      </c>
      <c r="M29" s="9" t="inlineStr">
        <is>
          <t>bazaar</t>
        </is>
      </c>
      <c r="N29" s="8" t="n">
        <v>4</v>
      </c>
      <c r="O29" s="9" t="inlineStr">
        <is>
          <t>周期触发；被动效果；功法成长</t>
        </is>
      </c>
      <c r="P29" s="9" t="inlineStr">
        <is>
          <t>periodicPulse；passive；scriptureProgression</t>
        </is>
      </c>
      <c r="Q29" s="9" t="inlineStr">
        <is>
          <t>周期触发：消耗所有蓄势，每消耗 1 层蓄势，获得 3 点修为 | 被动效果：护甲层数上限 +3 | 被动效果：蓄势层数上限 +2 | 功法成长：第1层（无）：消耗所有蓄势，每消耗 1 层蓄势，获得 3 点修为；护甲层数上限 +3；蓄势层数上限 +2 | 第2层（修为≥140；境界≥炼气4层）：消耗所有蓄势，每消耗 1 层蓄势，获得 6 点修为；护甲层数上限 +6；蓄势层数上限 +4 | 第3层（修为≥740；境界≥炼气6层）：消耗所有蓄势，每消耗 1 层蓄势，获得 9 点修为；护甲层数上限 +9；蓄势层数上限 +6 | 第4层（修为≥2900；境界≥筑基1层）：消耗所有蓄势，每消耗 1 层蓄势，获得 12 点修为；护甲层数上限 +12；蓄势层数上限 +8 | 第5层（修为≥11100；境界≥筑基2层）：消耗所有蓄势，每消耗 1 层蓄势，获得 15 点修为；护甲层数上限 +15；蓄势层数上限 +10 | 第6层（修为≥35900；境界≥筑基3层）：消耗所有蓄势，每消耗 1 层蓄势，获得 18 点修为；护甲层数上限 +18；蓄势层数上限 +12</t>
        </is>
      </c>
      <c r="R29" s="9" t="inlineStr"/>
      <c r="S29" s="9" t="inlineStr">
        <is>
          <t>玉溪阁门闸承压与回澜的阵图，厚重闸线围住层层倒卷的水纹。</t>
        </is>
      </c>
      <c r="T29" s="8" t="inlineStr">
        <is>
          <t>scripture_yuxi_zhenlan_gong_2x3</t>
        </is>
      </c>
      <c r="U29" s="8" t="inlineStr">
        <is>
          <t>allowed</t>
        </is>
      </c>
    </row>
    <row r="30" ht="34" customHeight="1">
      <c r="A30" s="8" t="n">
        <v>29</v>
      </c>
      <c r="B30" s="8" t="n">
        <v>100047</v>
      </c>
      <c r="C30" s="8" t="inlineStr">
        <is>
          <t>太阴玄霜诀</t>
        </is>
      </c>
      <c r="D30" s="8" t="inlineStr">
        <is>
          <t>功法</t>
        </is>
      </c>
      <c r="E30" s="8" t="inlineStr">
        <is>
          <t>scripture</t>
        </is>
      </c>
      <c r="F30" s="8" t="inlineStr">
        <is>
          <t>common</t>
        </is>
      </c>
      <c r="G30" s="8" t="inlineStr">
        <is>
          <t>冰</t>
        </is>
      </c>
      <c r="H30" s="8" t="inlineStr">
        <is>
          <t>ice</t>
        </is>
      </c>
      <c r="I30" s="8" t="inlineStr">
        <is>
          <t>1×2</t>
        </is>
      </c>
      <c r="J30" s="8" t="n">
        <v>2</v>
      </c>
      <c r="K30" s="8" t="n">
        <v>35</v>
      </c>
      <c r="L30" s="8" t="inlineStr">
        <is>
          <t>是</t>
        </is>
      </c>
      <c r="M30" s="9" t="inlineStr">
        <is>
          <t>bazaar</t>
        </is>
      </c>
      <c r="N30" s="8" t="n">
        <v>3</v>
      </c>
      <c r="O30" s="9" t="inlineStr">
        <is>
          <t>条件触发；被动效果；功法成长</t>
        </is>
      </c>
      <c r="P30" s="9" t="inlineStr">
        <is>
          <t>triggered；passive；scriptureProgression</t>
        </is>
      </c>
      <c r="Q30" s="9" t="inlineStr">
        <is>
          <t>条件触发：每消耗 1 层寒冷，获得 2 点修为 | 被动效果：寒冷层数上限 +5 | 功法成长：第1层（无）：每消耗 1 层寒冷，获得 2 点修为；寒冷层数上限 +5 | 第2层（修为≥120；境界≥炼气层）：每消耗 1 层寒冷，获得 4 点修为；寒冷层数上限 +10 | 第3层（修为≥740；境界≥炼气层）：每消耗 1 层寒冷，获得 6 点修为；寒冷层数上限 +15 | 第4层（修为≥3550；境界≥炼气层）：每消耗 1 层寒冷，获得 8 点修为；寒冷层数上限 +20</t>
        </is>
      </c>
      <c r="R30" s="9" t="inlineStr"/>
      <c r="S30" s="9" t="inlineStr">
        <is>
          <t>月白绢册以冰蚕丝装订，卷中水脉与霜纹交叠，讲究先蓄寒、再渡霜、终以万籁冰封镇住敌阵。</t>
        </is>
      </c>
      <c r="T30" s="8" t="inlineStr">
        <is>
          <t>scripture_lunar_mystic_frost_art_1x2</t>
        </is>
      </c>
      <c r="U30" s="8" t="inlineStr">
        <is>
          <t>allowed</t>
        </is>
      </c>
    </row>
    <row r="31" ht="34" customHeight="1">
      <c r="A31" s="8" t="n">
        <v>30</v>
      </c>
      <c r="B31" s="8" t="n">
        <v>300001</v>
      </c>
      <c r="C31" s="8" t="inlineStr">
        <is>
          <t>硬气丹</t>
        </is>
      </c>
      <c r="D31" s="8" t="inlineStr">
        <is>
          <t>丹药</t>
        </is>
      </c>
      <c r="E31" s="8" t="inlineStr">
        <is>
          <t>pill</t>
        </is>
      </c>
      <c r="F31" s="8" t="inlineStr">
        <is>
          <t>common</t>
        </is>
      </c>
      <c r="G31" s="8" t="inlineStr">
        <is>
          <t>土</t>
        </is>
      </c>
      <c r="H31" s="8" t="inlineStr">
        <is>
          <t>earth</t>
        </is>
      </c>
      <c r="I31" s="8" t="inlineStr">
        <is>
          <t>1×1</t>
        </is>
      </c>
      <c r="J31" s="8" t="n">
        <v>1</v>
      </c>
      <c r="K31" s="8" t="n">
        <v>5</v>
      </c>
      <c r="L31" s="8" t="inlineStr">
        <is>
          <t>是</t>
        </is>
      </c>
      <c r="M31" s="9" t="inlineStr">
        <is>
          <t>bazaar；alchemyCrafting；dynamicRandomReward</t>
        </is>
      </c>
      <c r="N31" s="8" t="n">
        <v>1</v>
      </c>
      <c r="O31" s="9" t="inlineStr">
        <is>
          <t>消耗品效果</t>
        </is>
      </c>
      <c r="P31" s="9" t="inlineStr">
        <is>
          <t>consumable</t>
        </is>
      </c>
      <c r="Q31" s="9" t="inlineStr">
        <is>
          <t>消耗品效果：坚硬上限永久 +1</t>
        </is>
      </c>
      <c r="R31" s="9" t="inlineStr">
        <is>
          <t>buff_upper_limit</t>
        </is>
      </c>
      <c r="S31" s="9" t="inlineStr">
        <is>
          <t>土金阵纹压在沉色丹丸表面，药气不浮不躁，入口后像把散劲慢慢坠进筋骨。</t>
        </is>
      </c>
      <c r="T31" s="8" t="inlineStr">
        <is>
          <t>pill_hard_qi_pill_1x1</t>
        </is>
      </c>
      <c r="U31" s="8" t="inlineStr">
        <is>
          <t>allowed</t>
        </is>
      </c>
    </row>
    <row r="32" ht="34" customHeight="1">
      <c r="A32" s="8" t="n">
        <v>31</v>
      </c>
      <c r="B32" s="8" t="n">
        <v>300002</v>
      </c>
      <c r="C32" s="8" t="inlineStr">
        <is>
          <t>温炉丹</t>
        </is>
      </c>
      <c r="D32" s="8" t="inlineStr">
        <is>
          <t>丹药</t>
        </is>
      </c>
      <c r="E32" s="8" t="inlineStr">
        <is>
          <t>pill</t>
        </is>
      </c>
      <c r="F32" s="8" t="inlineStr">
        <is>
          <t>common</t>
        </is>
      </c>
      <c r="G32" s="8" t="inlineStr">
        <is>
          <t>火</t>
        </is>
      </c>
      <c r="H32" s="8" t="inlineStr">
        <is>
          <t>fire</t>
        </is>
      </c>
      <c r="I32" s="8" t="inlineStr">
        <is>
          <t>1×1</t>
        </is>
      </c>
      <c r="J32" s="8" t="n">
        <v>1</v>
      </c>
      <c r="K32" s="8" t="n">
        <v>2</v>
      </c>
      <c r="L32" s="8" t="inlineStr">
        <is>
          <t>是</t>
        </is>
      </c>
      <c r="M32" s="9" t="inlineStr">
        <is>
          <t>bazaar；alchemyCrafting；dynamicRandomReward</t>
        </is>
      </c>
      <c r="N32" s="8" t="n">
        <v>1</v>
      </c>
      <c r="O32" s="9" t="inlineStr">
        <is>
          <t>消耗品效果</t>
        </is>
      </c>
      <c r="P32" s="9" t="inlineStr">
        <is>
          <t>consumable</t>
        </is>
      </c>
      <c r="Q32" s="9" t="inlineStr">
        <is>
          <t>消耗品效果：炎热上限永久 +1</t>
        </is>
      </c>
      <c r="R32" s="9" t="inlineStr">
        <is>
          <t>buff_upper_limit</t>
        </is>
      </c>
      <c r="S32" s="9" t="inlineStr">
        <is>
          <t>温润丹胚里封着一缕细火，热意不急不烈，只在靠近炉烟时显出柔和的助燃气。</t>
        </is>
      </c>
      <c r="T32" s="8" t="inlineStr">
        <is>
          <t>pill_wenling_core_pellet_1x1</t>
        </is>
      </c>
      <c r="U32" s="8" t="inlineStr">
        <is>
          <t>allowed</t>
        </is>
      </c>
    </row>
    <row r="33" ht="34" customHeight="1">
      <c r="A33" s="8" t="n">
        <v>32</v>
      </c>
      <c r="B33" s="8" t="n">
        <v>300003</v>
      </c>
      <c r="C33" s="8" t="inlineStr">
        <is>
          <t>温脉露丸</t>
        </is>
      </c>
      <c r="D33" s="8" t="inlineStr">
        <is>
          <t>丹药</t>
        </is>
      </c>
      <c r="E33" s="8" t="inlineStr">
        <is>
          <t>pill</t>
        </is>
      </c>
      <c r="F33" s="8" t="inlineStr">
        <is>
          <t>common</t>
        </is>
      </c>
      <c r="G33" s="8" t="inlineStr">
        <is>
          <t>无</t>
        </is>
      </c>
      <c r="H33" s="8" t="inlineStr">
        <is>
          <t>none</t>
        </is>
      </c>
      <c r="I33" s="8" t="inlineStr">
        <is>
          <t>1×1</t>
        </is>
      </c>
      <c r="J33" s="8" t="n">
        <v>1</v>
      </c>
      <c r="K33" s="8" t="n">
        <v>3</v>
      </c>
      <c r="L33" s="8" t="inlineStr">
        <is>
          <t>是</t>
        </is>
      </c>
      <c r="M33" s="9" t="inlineStr">
        <is>
          <t>bazaar；alchemyCrafting；dynamicRandomReward</t>
        </is>
      </c>
      <c r="N33" s="8" t="n">
        <v>1</v>
      </c>
      <c r="O33" s="9" t="inlineStr">
        <is>
          <t>消耗品效果</t>
        </is>
      </c>
      <c r="P33" s="9" t="inlineStr">
        <is>
          <t>consumable</t>
        </is>
      </c>
      <c r="Q33" s="9" t="inlineStr">
        <is>
          <t>消耗品效果：气血上限永久 +3</t>
        </is>
      </c>
      <c r="R33" s="9" t="inlineStr">
        <is>
          <t>stat_upper_limit</t>
        </is>
      </c>
      <c r="S33" s="9" t="inlineStr">
        <is>
          <t>青绿小瓶晶润轻盈，瓶中药露贴壁流转，开塞便有温脉回气的草木清香。</t>
        </is>
      </c>
      <c r="T33" s="8" t="inlineStr">
        <is>
          <t>pill_verdant_dew_vial_1x1</t>
        </is>
      </c>
      <c r="U33" s="8" t="inlineStr">
        <is>
          <t>allowed</t>
        </is>
      </c>
    </row>
    <row r="34" ht="34" customHeight="1">
      <c r="A34" s="8" t="n">
        <v>33</v>
      </c>
      <c r="B34" s="8" t="n">
        <v>300004</v>
      </c>
      <c r="C34" s="8" t="inlineStr">
        <is>
          <t>固元丸</t>
        </is>
      </c>
      <c r="D34" s="8" t="inlineStr">
        <is>
          <t>丹药</t>
        </is>
      </c>
      <c r="E34" s="8" t="inlineStr">
        <is>
          <t>pill</t>
        </is>
      </c>
      <c r="F34" s="8" t="inlineStr">
        <is>
          <t>common</t>
        </is>
      </c>
      <c r="G34" s="8" t="inlineStr">
        <is>
          <t>无</t>
        </is>
      </c>
      <c r="H34" s="8" t="inlineStr">
        <is>
          <t>none</t>
        </is>
      </c>
      <c r="I34" s="8" t="inlineStr">
        <is>
          <t>1×1</t>
        </is>
      </c>
      <c r="J34" s="8" t="n">
        <v>1</v>
      </c>
      <c r="K34" s="8" t="n">
        <v>5</v>
      </c>
      <c r="L34" s="8" t="inlineStr">
        <is>
          <t>是</t>
        </is>
      </c>
      <c r="M34" s="9" t="inlineStr">
        <is>
          <t>bazaar；beastDrop；alchemyCrafting；dynamicRandomReward</t>
        </is>
      </c>
      <c r="N34" s="8" t="n">
        <v>1</v>
      </c>
      <c r="O34" s="9" t="inlineStr">
        <is>
          <t>消耗品效果</t>
        </is>
      </c>
      <c r="P34" s="9" t="inlineStr">
        <is>
          <t>consumable</t>
        </is>
      </c>
      <c r="Q34" s="9" t="inlineStr">
        <is>
          <t>消耗品效果：体力上限永久 +3</t>
        </is>
      </c>
      <c r="R34" s="9" t="inlineStr">
        <is>
          <t>stat_upper_limit</t>
        </is>
      </c>
      <c r="S34" s="9" t="inlineStr">
        <is>
          <t>米白丹丸厚润如玉，金纹伏在表层不散，含入口中有一股稳稳固住根基的暖意。</t>
        </is>
      </c>
      <c r="T34" s="8" t="inlineStr">
        <is>
          <t>pill_golden_pattern_foundation_dan_1x1</t>
        </is>
      </c>
      <c r="U34" s="8" t="inlineStr">
        <is>
          <t>allowed</t>
        </is>
      </c>
    </row>
    <row r="35" ht="34" customHeight="1">
      <c r="A35" s="8" t="n">
        <v>34</v>
      </c>
      <c r="B35" s="8" t="n">
        <v>300005</v>
      </c>
      <c r="C35" s="8" t="inlineStr">
        <is>
          <t>聚气丹</t>
        </is>
      </c>
      <c r="D35" s="8" t="inlineStr">
        <is>
          <t>丹药</t>
        </is>
      </c>
      <c r="E35" s="8" t="inlineStr">
        <is>
          <t>pill</t>
        </is>
      </c>
      <c r="F35" s="8" t="inlineStr">
        <is>
          <t>common</t>
        </is>
      </c>
      <c r="G35" s="8" t="inlineStr">
        <is>
          <t>无</t>
        </is>
      </c>
      <c r="H35" s="8" t="inlineStr">
        <is>
          <t>none</t>
        </is>
      </c>
      <c r="I35" s="8" t="inlineStr">
        <is>
          <t>1×1</t>
        </is>
      </c>
      <c r="J35" s="8" t="n">
        <v>1</v>
      </c>
      <c r="K35" s="8" t="n">
        <v>5</v>
      </c>
      <c r="L35" s="8" t="inlineStr">
        <is>
          <t>是</t>
        </is>
      </c>
      <c r="M35" s="9" t="inlineStr">
        <is>
          <t>bazaar；alchemyCrafting；dynamicRandomReward</t>
        </is>
      </c>
      <c r="N35" s="8" t="n">
        <v>1</v>
      </c>
      <c r="O35" s="9" t="inlineStr">
        <is>
          <t>消耗品效果</t>
        </is>
      </c>
      <c r="P35" s="9" t="inlineStr">
        <is>
          <t>consumable</t>
        </is>
      </c>
      <c r="Q35" s="9" t="inlineStr">
        <is>
          <t>消耗品效果：法力上限永久 +3</t>
        </is>
      </c>
      <c r="R35" s="9" t="inlineStr">
        <is>
          <t>stat_upper_limit</t>
        </is>
      </c>
      <c r="S35" s="9" t="inlineStr">
        <is>
          <t>碧绿丹珠通透圆满，金纹细绕如聚拢云气，静置时也像在缓缓收纳游离灵息。</t>
        </is>
      </c>
      <c r="T35" s="8" t="inlineStr">
        <is>
          <t>pill_qi_gathering_dan_1x1</t>
        </is>
      </c>
      <c r="U35" s="8" t="inlineStr">
        <is>
          <t>allowed</t>
        </is>
      </c>
    </row>
    <row r="36" ht="34" customHeight="1">
      <c r="A36" s="8" t="n">
        <v>35</v>
      </c>
      <c r="B36" s="8" t="n">
        <v>300011</v>
      </c>
      <c r="C36" s="8" t="inlineStr">
        <is>
          <t>云纹聚气丹</t>
        </is>
      </c>
      <c r="D36" s="8" t="inlineStr">
        <is>
          <t>丹药</t>
        </is>
      </c>
      <c r="E36" s="8" t="inlineStr">
        <is>
          <t>pill</t>
        </is>
      </c>
      <c r="F36" s="8" t="inlineStr">
        <is>
          <t>spirit</t>
        </is>
      </c>
      <c r="G36" s="8" t="inlineStr">
        <is>
          <t>无</t>
        </is>
      </c>
      <c r="H36" s="8" t="inlineStr">
        <is>
          <t>none</t>
        </is>
      </c>
      <c r="I36" s="8" t="inlineStr">
        <is>
          <t>1×1</t>
        </is>
      </c>
      <c r="J36" s="8" t="n">
        <v>1</v>
      </c>
      <c r="K36" s="8" t="n">
        <v>50</v>
      </c>
      <c r="L36" s="8" t="inlineStr">
        <is>
          <t>是</t>
        </is>
      </c>
      <c r="M36" s="9" t="inlineStr">
        <is>
          <t>bazaar；alchemyCrafting；dynamicRandomReward</t>
        </is>
      </c>
      <c r="N36" s="8" t="n">
        <v>1</v>
      </c>
      <c r="O36" s="9" t="inlineStr">
        <is>
          <t>消耗品效果</t>
        </is>
      </c>
      <c r="P36" s="9" t="inlineStr">
        <is>
          <t>consumable</t>
        </is>
      </c>
      <c r="Q36" s="9" t="inlineStr">
        <is>
          <t>消耗品效果：法力上限永久 +30；法力上限 +30</t>
        </is>
      </c>
      <c r="R36" s="9" t="inlineStr">
        <is>
          <t>stat_upper_limit</t>
        </is>
      </c>
      <c r="S36" s="9" t="inlineStr">
        <is>
          <t>金黄丹珠外绕云气，珠体浑圆厚润，掌心一托便似晨雾凝成的温亮灵核。</t>
        </is>
      </c>
      <c r="T36" s="8" t="inlineStr">
        <is>
          <t>pill_cloudpattern_golden_dan_1x1</t>
        </is>
      </c>
      <c r="U36" s="8" t="inlineStr">
        <is>
          <t>allowed</t>
        </is>
      </c>
    </row>
    <row r="37" ht="34" customHeight="1">
      <c r="A37" s="8" t="n">
        <v>36</v>
      </c>
      <c r="B37" s="8" t="n">
        <v>300012</v>
      </c>
      <c r="C37" s="8" t="inlineStr">
        <is>
          <t>固元壮体丹</t>
        </is>
      </c>
      <c r="D37" s="8" t="inlineStr">
        <is>
          <t>丹药</t>
        </is>
      </c>
      <c r="E37" s="8" t="inlineStr">
        <is>
          <t>pill</t>
        </is>
      </c>
      <c r="F37" s="8" t="inlineStr">
        <is>
          <t>spirit</t>
        </is>
      </c>
      <c r="G37" s="8" t="inlineStr">
        <is>
          <t>无</t>
        </is>
      </c>
      <c r="H37" s="8" t="inlineStr">
        <is>
          <t>none</t>
        </is>
      </c>
      <c r="I37" s="8" t="inlineStr">
        <is>
          <t>1×1</t>
        </is>
      </c>
      <c r="J37" s="8" t="n">
        <v>1</v>
      </c>
      <c r="K37" s="8" t="n">
        <v>50</v>
      </c>
      <c r="L37" s="8" t="inlineStr">
        <is>
          <t>是</t>
        </is>
      </c>
      <c r="M37" s="9" t="inlineStr">
        <is>
          <t>bazaar；beastDrop；alchemyCrafting；dynamicRandomReward</t>
        </is>
      </c>
      <c r="N37" s="8" t="n">
        <v>1</v>
      </c>
      <c r="O37" s="9" t="inlineStr">
        <is>
          <t>消耗品效果</t>
        </is>
      </c>
      <c r="P37" s="9" t="inlineStr">
        <is>
          <t>consumable</t>
        </is>
      </c>
      <c r="Q37" s="9" t="inlineStr">
        <is>
          <t>消耗品效果：体力上限永久 +30；体力上限 +30</t>
        </is>
      </c>
      <c r="R37" s="9" t="inlineStr">
        <is>
          <t>stat_upper_limit</t>
        </is>
      </c>
      <c r="S37" s="9" t="inlineStr">
        <is>
          <t>暗红褐色丹丸置于厚实木碗，表面锻纹朴拙，药香沉入筋骨而不外扬。</t>
        </is>
      </c>
      <c r="T37" s="8" t="inlineStr">
        <is>
          <t>pill_body_strengthening_pill_1x1</t>
        </is>
      </c>
      <c r="U37" s="8" t="inlineStr">
        <is>
          <t>allowed</t>
        </is>
      </c>
    </row>
    <row r="38" ht="34" customHeight="1">
      <c r="A38" s="8" t="n">
        <v>37</v>
      </c>
      <c r="B38" s="8" t="n">
        <v>300013</v>
      </c>
      <c r="C38" s="8" t="inlineStr">
        <is>
          <t>凝血丹</t>
        </is>
      </c>
      <c r="D38" s="8" t="inlineStr">
        <is>
          <t>丹药</t>
        </is>
      </c>
      <c r="E38" s="8" t="inlineStr">
        <is>
          <t>pill</t>
        </is>
      </c>
      <c r="F38" s="8" t="inlineStr">
        <is>
          <t>spirit</t>
        </is>
      </c>
      <c r="G38" s="8" t="inlineStr">
        <is>
          <t>无</t>
        </is>
      </c>
      <c r="H38" s="8" t="inlineStr">
        <is>
          <t>none</t>
        </is>
      </c>
      <c r="I38" s="8" t="inlineStr">
        <is>
          <t>1×1</t>
        </is>
      </c>
      <c r="J38" s="8" t="n">
        <v>1</v>
      </c>
      <c r="K38" s="8" t="n">
        <v>75</v>
      </c>
      <c r="L38" s="8" t="inlineStr">
        <is>
          <t>是</t>
        </is>
      </c>
      <c r="M38" s="9" t="inlineStr">
        <is>
          <t>bazaar；alchemyCrafting；dynamicRandomReward</t>
        </is>
      </c>
      <c r="N38" s="8" t="n">
        <v>1</v>
      </c>
      <c r="O38" s="9" t="inlineStr">
        <is>
          <t>消耗品效果</t>
        </is>
      </c>
      <c r="P38" s="9" t="inlineStr">
        <is>
          <t>consumable</t>
        </is>
      </c>
      <c r="Q38" s="9" t="inlineStr">
        <is>
          <t>消耗品效果：精血上限永久 +6；精血上限 +6</t>
        </is>
      </c>
      <c r="R38" s="9" t="inlineStr">
        <is>
          <t>stat_upper_limit</t>
        </is>
      </c>
      <c r="S38" s="9" t="inlineStr">
        <is>
          <t>圆盒半启，赤金丹丸柔光内敛，药香中透出温厚血气。</t>
        </is>
      </c>
      <c r="T38" s="8" t="inlineStr">
        <is>
          <t>pill_goldcore_case_1x1</t>
        </is>
      </c>
      <c r="U38" s="8" t="inlineStr">
        <is>
          <t>allowed</t>
        </is>
      </c>
    </row>
    <row r="39" ht="34" customHeight="1">
      <c r="A39" s="8" t="n">
        <v>38</v>
      </c>
      <c r="B39" s="8" t="n">
        <v>300015</v>
      </c>
      <c r="C39" s="8" t="inlineStr">
        <is>
          <t>紫极蕴神丹</t>
        </is>
      </c>
      <c r="D39" s="8" t="inlineStr">
        <is>
          <t>丹药</t>
        </is>
      </c>
      <c r="E39" s="8" t="inlineStr">
        <is>
          <t>pill</t>
        </is>
      </c>
      <c r="F39" s="8" t="inlineStr">
        <is>
          <t>spirit</t>
        </is>
      </c>
      <c r="G39" s="8" t="inlineStr">
        <is>
          <t>无</t>
        </is>
      </c>
      <c r="H39" s="8" t="inlineStr">
        <is>
          <t>none</t>
        </is>
      </c>
      <c r="I39" s="8" t="inlineStr">
        <is>
          <t>1×1</t>
        </is>
      </c>
      <c r="J39" s="8" t="n">
        <v>1</v>
      </c>
      <c r="K39" s="8" t="n">
        <v>75</v>
      </c>
      <c r="L39" s="8" t="inlineStr">
        <is>
          <t>是</t>
        </is>
      </c>
      <c r="M39" s="9" t="inlineStr">
        <is>
          <t>bazaar；alchemyCrafting；dynamicRandomReward</t>
        </is>
      </c>
      <c r="N39" s="8" t="n">
        <v>1</v>
      </c>
      <c r="O39" s="9" t="inlineStr">
        <is>
          <t>消耗品效果</t>
        </is>
      </c>
      <c r="P39" s="9" t="inlineStr">
        <is>
          <t>consumable</t>
        </is>
      </c>
      <c r="Q39" s="9" t="inlineStr">
        <is>
          <t>消耗品效果：神识上限永久 +6；神识上限 +6</t>
        </is>
      </c>
      <c r="R39" s="9" t="inlineStr">
        <is>
          <t>stat_upper_limit</t>
        </is>
      </c>
      <c r="S39" s="9" t="inlineStr">
        <is>
          <t>深紫丹丸卧在细口瓷瓶旁，丹壳神纹细密如星，气息沉静而凝定，适合温养神识。</t>
        </is>
      </c>
      <c r="T39" s="8" t="inlineStr">
        <is>
          <t>pill_purple_apex_spirit_nurturing_pill_1x1</t>
        </is>
      </c>
      <c r="U39" s="8" t="inlineStr">
        <is>
          <t>allowed</t>
        </is>
      </c>
    </row>
    <row r="40" ht="34" customHeight="1">
      <c r="A40" s="8" t="n">
        <v>39</v>
      </c>
      <c r="B40" s="8" t="n">
        <v>300016</v>
      </c>
      <c r="C40" s="8" t="inlineStr">
        <is>
          <t>通玄丹</t>
        </is>
      </c>
      <c r="D40" s="8" t="inlineStr">
        <is>
          <t>丹药</t>
        </is>
      </c>
      <c r="E40" s="8" t="inlineStr">
        <is>
          <t>pill</t>
        </is>
      </c>
      <c r="F40" s="8" t="inlineStr">
        <is>
          <t>spirit</t>
        </is>
      </c>
      <c r="G40" s="8" t="inlineStr">
        <is>
          <t>无</t>
        </is>
      </c>
      <c r="H40" s="8" t="inlineStr">
        <is>
          <t>none</t>
        </is>
      </c>
      <c r="I40" s="8" t="inlineStr">
        <is>
          <t>1×1</t>
        </is>
      </c>
      <c r="J40" s="8" t="n">
        <v>1</v>
      </c>
      <c r="K40" s="8" t="n">
        <v>75</v>
      </c>
      <c r="L40" s="8" t="inlineStr">
        <is>
          <t>否</t>
        </is>
      </c>
      <c r="M40" s="9" t="inlineStr">
        <is>
          <t>bazaar；alchemyCrafting</t>
        </is>
      </c>
      <c r="N40" s="8" t="n">
        <v>1</v>
      </c>
      <c r="O40" s="9" t="inlineStr">
        <is>
          <t>消耗品效果</t>
        </is>
      </c>
      <c r="P40" s="9" t="inlineStr">
        <is>
          <t>consumable</t>
        </is>
      </c>
      <c r="Q40" s="9" t="inlineStr">
        <is>
          <t>消耗品效果：精血上限永久 +6；精血上限 +6</t>
        </is>
      </c>
      <c r="R40" s="9" t="inlineStr">
        <is>
          <t>stat_upper_limit</t>
        </is>
      </c>
      <c r="S40" s="9" t="inlineStr">
        <is>
          <t>蓝青丹丸置于细长瓷盘中央，纹理多向交织而不乱，像把纷繁灵思梳成一线清明。</t>
        </is>
      </c>
      <c r="T40" s="8" t="inlineStr">
        <is>
          <t>pill_mystic_insight_pill_1x1</t>
        </is>
      </c>
      <c r="U40" s="8" t="inlineStr">
        <is>
          <t>allowed</t>
        </is>
      </c>
    </row>
    <row r="41" ht="34" customHeight="1">
      <c r="A41" s="8" t="n">
        <v>40</v>
      </c>
      <c r="B41" s="8" t="n">
        <v>300017</v>
      </c>
      <c r="C41" s="8" t="inlineStr">
        <is>
          <t>续力丸</t>
        </is>
      </c>
      <c r="D41" s="8" t="inlineStr">
        <is>
          <t>丹药</t>
        </is>
      </c>
      <c r="E41" s="8" t="inlineStr">
        <is>
          <t>pill</t>
        </is>
      </c>
      <c r="F41" s="8" t="inlineStr">
        <is>
          <t>common</t>
        </is>
      </c>
      <c r="G41" s="8" t="inlineStr">
        <is>
          <t>无</t>
        </is>
      </c>
      <c r="H41" s="8" t="inlineStr">
        <is>
          <t>none</t>
        </is>
      </c>
      <c r="I41" s="8" t="inlineStr">
        <is>
          <t>1×1</t>
        </is>
      </c>
      <c r="J41" s="8" t="n">
        <v>1</v>
      </c>
      <c r="K41" s="8" t="n">
        <v>2</v>
      </c>
      <c r="L41" s="8" t="inlineStr">
        <is>
          <t>是</t>
        </is>
      </c>
      <c r="M41" s="9" t="inlineStr">
        <is>
          <t>bazaar；beastDrop；journeyChest；alchemyCrafting；dynamicRandomReward</t>
        </is>
      </c>
      <c r="N41" s="8" t="n">
        <v>1</v>
      </c>
      <c r="O41" s="9" t="inlineStr">
        <is>
          <t>消耗品效果</t>
        </is>
      </c>
      <c r="P41" s="9" t="inlineStr">
        <is>
          <t>consumable</t>
        </is>
      </c>
      <c r="Q41" s="9" t="inlineStr">
        <is>
          <t>消耗品效果：恢复 20 点体力</t>
        </is>
      </c>
      <c r="R41" s="9" t="inlineStr">
        <is>
          <t>gain_stat</t>
        </is>
      </c>
      <c r="S41" s="9" t="inlineStr">
        <is>
          <t>棕褐小丸藏在浅木匣中，药气朴实，入口后只求迅速接上一口余力。</t>
        </is>
      </c>
      <c r="T41" s="8" t="inlineStr">
        <is>
          <t>pill_stamina_restoring_pellet_1x1</t>
        </is>
      </c>
      <c r="U41" s="8" t="inlineStr">
        <is>
          <t>allowed</t>
        </is>
      </c>
    </row>
    <row r="42" ht="34" customHeight="1">
      <c r="A42" s="8" t="n">
        <v>41</v>
      </c>
      <c r="B42" s="8" t="n">
        <v>300018</v>
      </c>
      <c r="C42" s="8" t="inlineStr">
        <is>
          <t>回法丹</t>
        </is>
      </c>
      <c r="D42" s="8" t="inlineStr">
        <is>
          <t>丹药</t>
        </is>
      </c>
      <c r="E42" s="8" t="inlineStr">
        <is>
          <t>pill</t>
        </is>
      </c>
      <c r="F42" s="8" t="inlineStr">
        <is>
          <t>common</t>
        </is>
      </c>
      <c r="G42" s="8" t="inlineStr">
        <is>
          <t>无</t>
        </is>
      </c>
      <c r="H42" s="8" t="inlineStr">
        <is>
          <t>none</t>
        </is>
      </c>
      <c r="I42" s="8" t="inlineStr">
        <is>
          <t>1×1</t>
        </is>
      </c>
      <c r="J42" s="8" t="n">
        <v>1</v>
      </c>
      <c r="K42" s="8" t="n">
        <v>2</v>
      </c>
      <c r="L42" s="8" t="inlineStr">
        <is>
          <t>是</t>
        </is>
      </c>
      <c r="M42" s="9" t="inlineStr">
        <is>
          <t>bazaar；beastDrop；journeyChest；alchemyCrafting；dynamicRandomReward</t>
        </is>
      </c>
      <c r="N42" s="8" t="n">
        <v>1</v>
      </c>
      <c r="O42" s="9" t="inlineStr">
        <is>
          <t>消耗品效果</t>
        </is>
      </c>
      <c r="P42" s="9" t="inlineStr">
        <is>
          <t>consumable</t>
        </is>
      </c>
      <c r="Q42" s="9" t="inlineStr">
        <is>
          <t>消耗品效果：恢复 10 点法力</t>
        </is>
      </c>
      <c r="R42" s="9" t="inlineStr">
        <is>
          <t>gain_stat</t>
        </is>
      </c>
      <c r="S42" s="9" t="inlineStr">
        <is>
          <t>淡蓝药丸卧在白瓷小盏中，丹纹像回旋的细流，专为短促回纳法力而炼。</t>
        </is>
      </c>
      <c r="T42" s="8" t="inlineStr">
        <is>
          <t>pill_spirit_restoring_pill_1x1</t>
        </is>
      </c>
      <c r="U42" s="8" t="inlineStr">
        <is>
          <t>allowed</t>
        </is>
      </c>
    </row>
    <row r="43" ht="34" customHeight="1">
      <c r="A43" s="8" t="n">
        <v>42</v>
      </c>
      <c r="B43" s="8" t="n">
        <v>300019</v>
      </c>
      <c r="C43" s="8" t="inlineStr">
        <is>
          <t>青息回法丸</t>
        </is>
      </c>
      <c r="D43" s="8" t="inlineStr">
        <is>
          <t>丹药</t>
        </is>
      </c>
      <c r="E43" s="8" t="inlineStr">
        <is>
          <t>pill</t>
        </is>
      </c>
      <c r="F43" s="8" t="inlineStr">
        <is>
          <t>common</t>
        </is>
      </c>
      <c r="G43" s="8" t="inlineStr">
        <is>
          <t>无</t>
        </is>
      </c>
      <c r="H43" s="8" t="inlineStr">
        <is>
          <t>none</t>
        </is>
      </c>
      <c r="I43" s="8" t="inlineStr">
        <is>
          <t>1×1</t>
        </is>
      </c>
      <c r="J43" s="8" t="n">
        <v>1</v>
      </c>
      <c r="K43" s="8" t="n">
        <v>3</v>
      </c>
      <c r="L43" s="8" t="inlineStr">
        <is>
          <t>是</t>
        </is>
      </c>
      <c r="M43" s="9" t="inlineStr">
        <is>
          <t>bazaar；beastDrop；journeyChest；alchemyCrafting；dynamicRandomReward</t>
        </is>
      </c>
      <c r="N43" s="8" t="n">
        <v>1</v>
      </c>
      <c r="O43" s="9" t="inlineStr">
        <is>
          <t>消耗品效果</t>
        </is>
      </c>
      <c r="P43" s="9" t="inlineStr">
        <is>
          <t>consumable</t>
        </is>
      </c>
      <c r="Q43" s="9" t="inlineStr">
        <is>
          <t>消耗品效果：轮转时，恢复 4 点法力</t>
        </is>
      </c>
      <c r="R43" s="9" t="inlineStr">
        <is>
          <t>gain_stat</t>
        </is>
      </c>
      <c r="S43" s="9" t="inlineStr">
        <is>
          <t>青白丹丸裹着细薄药霜，捧在掌心时有一缕清凉灵息沿指节回旋。</t>
        </is>
      </c>
      <c r="T43" s="8" t="inlineStr">
        <is>
          <t>pill_qi_nourishing_pellet_1x1</t>
        </is>
      </c>
      <c r="U43" s="8" t="inlineStr">
        <is>
          <t>allowed</t>
        </is>
      </c>
    </row>
    <row r="44" ht="34" customHeight="1">
      <c r="A44" s="8" t="n">
        <v>43</v>
      </c>
      <c r="B44" s="8" t="n">
        <v>300020</v>
      </c>
      <c r="C44" s="8" t="inlineStr">
        <is>
          <t>小还元丹</t>
        </is>
      </c>
      <c r="D44" s="8" t="inlineStr">
        <is>
          <t>丹药</t>
        </is>
      </c>
      <c r="E44" s="8" t="inlineStr">
        <is>
          <t>pill</t>
        </is>
      </c>
      <c r="F44" s="8" t="inlineStr">
        <is>
          <t>common</t>
        </is>
      </c>
      <c r="G44" s="8" t="inlineStr">
        <is>
          <t>无</t>
        </is>
      </c>
      <c r="H44" s="8" t="inlineStr">
        <is>
          <t>none</t>
        </is>
      </c>
      <c r="I44" s="8" t="inlineStr">
        <is>
          <t>1×1</t>
        </is>
      </c>
      <c r="J44" s="8" t="n">
        <v>1</v>
      </c>
      <c r="K44" s="8" t="n">
        <v>3</v>
      </c>
      <c r="L44" s="8" t="inlineStr">
        <is>
          <t>是</t>
        </is>
      </c>
      <c r="M44" s="9" t="inlineStr">
        <is>
          <t>bazaar；beastDrop；journeyChest；alchemyCrafting；dynamicRandomReward</t>
        </is>
      </c>
      <c r="N44" s="8" t="n">
        <v>1</v>
      </c>
      <c r="O44" s="9" t="inlineStr">
        <is>
          <t>消耗品效果</t>
        </is>
      </c>
      <c r="P44" s="9" t="inlineStr">
        <is>
          <t>consumable</t>
        </is>
      </c>
      <c r="Q44" s="9" t="inlineStr">
        <is>
          <t>消耗品效果：轮转时，恢复 5 点气血</t>
        </is>
      </c>
      <c r="R44" s="9" t="inlineStr">
        <is>
          <t>gain_stat</t>
        </is>
      </c>
      <c r="S44" s="9" t="inlineStr">
        <is>
          <t>暖玉色小丹圆润沉稳，丹面有浅浅回纹，像把散去的元气一丝丝牵回。</t>
        </is>
      </c>
      <c r="T44" s="8" t="inlineStr">
        <is>
          <t>pill_spring_return_pellet_1x1</t>
        </is>
      </c>
      <c r="U44" s="8" t="inlineStr">
        <is>
          <t>allowed</t>
        </is>
      </c>
    </row>
    <row r="45" ht="34" customHeight="1">
      <c r="A45" s="8" t="n">
        <v>44</v>
      </c>
      <c r="B45" s="8" t="n">
        <v>300021</v>
      </c>
      <c r="C45" s="8" t="inlineStr">
        <is>
          <t>行脉露</t>
        </is>
      </c>
      <c r="D45" s="8" t="inlineStr">
        <is>
          <t>丹药</t>
        </is>
      </c>
      <c r="E45" s="8" t="inlineStr">
        <is>
          <t>pill</t>
        </is>
      </c>
      <c r="F45" s="8" t="inlineStr">
        <is>
          <t>common</t>
        </is>
      </c>
      <c r="G45" s="8" t="inlineStr">
        <is>
          <t>无</t>
        </is>
      </c>
      <c r="H45" s="8" t="inlineStr">
        <is>
          <t>none</t>
        </is>
      </c>
      <c r="I45" s="8" t="inlineStr">
        <is>
          <t>1×2</t>
        </is>
      </c>
      <c r="J45" s="8" t="n">
        <v>2</v>
      </c>
      <c r="K45" s="8" t="n">
        <v>5</v>
      </c>
      <c r="L45" s="8" t="inlineStr">
        <is>
          <t>是</t>
        </is>
      </c>
      <c r="M45" s="9" t="inlineStr">
        <is>
          <t>bazaar；beastDrop；journeyChest；alchemyCrafting；dynamicRandomReward</t>
        </is>
      </c>
      <c r="N45" s="8" t="n">
        <v>1</v>
      </c>
      <c r="O45" s="9" t="inlineStr">
        <is>
          <t>消耗品效果</t>
        </is>
      </c>
      <c r="P45" s="9" t="inlineStr">
        <is>
          <t>consumable</t>
        </is>
      </c>
      <c r="Q45" s="9" t="inlineStr">
        <is>
          <t>消耗品效果：恢复 30 点气血</t>
        </is>
      </c>
      <c r="R45" s="9" t="inlineStr">
        <is>
          <t>gain_stat</t>
        </is>
      </c>
      <c r="S45" s="9" t="inlineStr">
        <is>
          <t>细颈药瓶内浮着淡绿药露，轻摇时液线贴着瓶壁游走，如同顺脉而行。</t>
        </is>
      </c>
      <c r="T45" s="8" t="inlineStr">
        <is>
          <t>pill_leafbrew_vial_1x2</t>
        </is>
      </c>
      <c r="U45" s="8" t="inlineStr">
        <is>
          <t>allowed</t>
        </is>
      </c>
    </row>
    <row r="46" ht="34" customHeight="1">
      <c r="A46" s="8" t="n">
        <v>45</v>
      </c>
      <c r="B46" s="8" t="n">
        <v>300022</v>
      </c>
      <c r="C46" s="8" t="inlineStr">
        <is>
          <t>纳气丸</t>
        </is>
      </c>
      <c r="D46" s="8" t="inlineStr">
        <is>
          <t>丹药</t>
        </is>
      </c>
      <c r="E46" s="8" t="inlineStr">
        <is>
          <t>pill</t>
        </is>
      </c>
      <c r="F46" s="8" t="inlineStr">
        <is>
          <t>common</t>
        </is>
      </c>
      <c r="G46" s="8" t="inlineStr">
        <is>
          <t>无</t>
        </is>
      </c>
      <c r="H46" s="8" t="inlineStr">
        <is>
          <t>none</t>
        </is>
      </c>
      <c r="I46" s="8" t="inlineStr">
        <is>
          <t>1×1</t>
        </is>
      </c>
      <c r="J46" s="8" t="n">
        <v>1</v>
      </c>
      <c r="K46" s="8" t="n">
        <v>5</v>
      </c>
      <c r="L46" s="8" t="inlineStr">
        <is>
          <t>是</t>
        </is>
      </c>
      <c r="M46" s="9" t="inlineStr">
        <is>
          <t>bazaar；beastDrop；journeyChest；alchemyCrafting；dynamicRandomReward</t>
        </is>
      </c>
      <c r="N46" s="8" t="n">
        <v>1</v>
      </c>
      <c r="O46" s="9" t="inlineStr">
        <is>
          <t>消耗品效果</t>
        </is>
      </c>
      <c r="P46" s="9" t="inlineStr">
        <is>
          <t>consumable</t>
        </is>
      </c>
      <c r="Q46" s="9" t="inlineStr">
        <is>
          <t>消耗品效果：恢复 25 点法力</t>
        </is>
      </c>
      <c r="R46" s="9" t="inlineStr">
        <is>
          <t>gain_stat</t>
        </is>
      </c>
      <c r="S46" s="9" t="inlineStr">
        <is>
          <t>碧色丹珠内含一圈金丝，静置时隐约有细小气旋贴着丹心缓缓收束。</t>
        </is>
      </c>
      <c r="T46" s="8" t="inlineStr">
        <is>
          <t>pill_qi_gathering_pill_1x1</t>
        </is>
      </c>
      <c r="U46" s="8" t="inlineStr">
        <is>
          <t>allowed</t>
        </is>
      </c>
    </row>
    <row r="47" ht="34" customHeight="1">
      <c r="A47" s="8" t="n">
        <v>46</v>
      </c>
      <c r="B47" s="8" t="n">
        <v>300023</v>
      </c>
      <c r="C47" s="8" t="inlineStr">
        <is>
          <t>温血丸</t>
        </is>
      </c>
      <c r="D47" s="8" t="inlineStr">
        <is>
          <t>丹药</t>
        </is>
      </c>
      <c r="E47" s="8" t="inlineStr">
        <is>
          <t>pill</t>
        </is>
      </c>
      <c r="F47" s="8" t="inlineStr">
        <is>
          <t>common</t>
        </is>
      </c>
      <c r="G47" s="8" t="inlineStr">
        <is>
          <t>无</t>
        </is>
      </c>
      <c r="H47" s="8" t="inlineStr">
        <is>
          <t>none</t>
        </is>
      </c>
      <c r="I47" s="8" t="inlineStr">
        <is>
          <t>1×1</t>
        </is>
      </c>
      <c r="J47" s="8" t="n">
        <v>1</v>
      </c>
      <c r="K47" s="8" t="n">
        <v>5</v>
      </c>
      <c r="L47" s="8" t="inlineStr">
        <is>
          <t>是</t>
        </is>
      </c>
      <c r="M47" s="9" t="inlineStr">
        <is>
          <t>bazaar；beastDrop；alchemyCrafting；dynamicRandomReward</t>
        </is>
      </c>
      <c r="N47" s="8" t="n">
        <v>1</v>
      </c>
      <c r="O47" s="9" t="inlineStr">
        <is>
          <t>消耗品效果</t>
        </is>
      </c>
      <c r="P47" s="9" t="inlineStr">
        <is>
          <t>consumable</t>
        </is>
      </c>
      <c r="Q47" s="9" t="inlineStr">
        <is>
          <t>消耗品效果：轮转时，恢复 5 点体力</t>
        </is>
      </c>
      <c r="R47" s="9" t="inlineStr">
        <is>
          <t>gain_stat</t>
        </is>
      </c>
      <c r="S47" s="9" t="inlineStr">
        <is>
          <t>赤红小丸色泽温润，丹衣下有暗金纹理沉浮，闻来带着淡淡暖辛。</t>
        </is>
      </c>
      <c r="T47" s="8" t="inlineStr">
        <is>
          <t>pill_blood_replenishing_pill_1x1</t>
        </is>
      </c>
      <c r="U47" s="8" t="inlineStr">
        <is>
          <t>allowed</t>
        </is>
      </c>
    </row>
    <row r="48" ht="34" customHeight="1">
      <c r="A48" s="8" t="n">
        <v>47</v>
      </c>
      <c r="B48" s="8" t="n">
        <v>300024</v>
      </c>
      <c r="C48" s="8" t="inlineStr">
        <is>
          <t>守脉膏</t>
        </is>
      </c>
      <c r="D48" s="8" t="inlineStr">
        <is>
          <t>丹药</t>
        </is>
      </c>
      <c r="E48" s="8" t="inlineStr">
        <is>
          <t>pill</t>
        </is>
      </c>
      <c r="F48" s="8" t="inlineStr">
        <is>
          <t>common</t>
        </is>
      </c>
      <c r="G48" s="8" t="inlineStr">
        <is>
          <t>无</t>
        </is>
      </c>
      <c r="H48" s="8" t="inlineStr">
        <is>
          <t>none</t>
        </is>
      </c>
      <c r="I48" s="8" t="inlineStr">
        <is>
          <t>1×1</t>
        </is>
      </c>
      <c r="J48" s="8" t="n">
        <v>1</v>
      </c>
      <c r="K48" s="8" t="n">
        <v>2</v>
      </c>
      <c r="L48" s="8" t="inlineStr">
        <is>
          <t>是</t>
        </is>
      </c>
      <c r="M48" s="9" t="inlineStr">
        <is>
          <t>bazaar；beastDrop；alchemyCrafting；dynamicRandomReward</t>
        </is>
      </c>
      <c r="N48" s="8" t="n">
        <v>1</v>
      </c>
      <c r="O48" s="9" t="inlineStr">
        <is>
          <t>消耗品效果</t>
        </is>
      </c>
      <c r="P48" s="9" t="inlineStr">
        <is>
          <t>consumable</t>
        </is>
      </c>
      <c r="Q48" s="9" t="inlineStr">
        <is>
          <t>消耗品效果：获得 5 层坚硬</t>
        </is>
      </c>
      <c r="R48" s="9" t="inlineStr">
        <is>
          <t>gain_buff</t>
        </is>
      </c>
      <c r="S48" s="9" t="inlineStr">
        <is>
          <t>白玉小匣里盛着淡金药膏，膏面平滑如脂，贴近时能闻到柔和药香。</t>
        </is>
      </c>
      <c r="T48" s="8" t="inlineStr">
        <is>
          <t>pill_meridian_guarding_pill_1x1</t>
        </is>
      </c>
      <c r="U48" s="8" t="inlineStr">
        <is>
          <t>allowed</t>
        </is>
      </c>
    </row>
    <row r="49" ht="34" customHeight="1">
      <c r="A49" s="8" t="n">
        <v>48</v>
      </c>
      <c r="B49" s="8" t="n">
        <v>300025</v>
      </c>
      <c r="C49" s="8" t="inlineStr">
        <is>
          <t>清浊丸</t>
        </is>
      </c>
      <c r="D49" s="8" t="inlineStr">
        <is>
          <t>丹药</t>
        </is>
      </c>
      <c r="E49" s="8" t="inlineStr">
        <is>
          <t>pill</t>
        </is>
      </c>
      <c r="F49" s="8" t="inlineStr">
        <is>
          <t>common</t>
        </is>
      </c>
      <c r="G49" s="8" t="inlineStr">
        <is>
          <t>无</t>
        </is>
      </c>
      <c r="H49" s="8" t="inlineStr">
        <is>
          <t>none</t>
        </is>
      </c>
      <c r="I49" s="8" t="inlineStr">
        <is>
          <t>1×1</t>
        </is>
      </c>
      <c r="J49" s="8" t="n">
        <v>1</v>
      </c>
      <c r="K49" s="8" t="n">
        <v>2</v>
      </c>
      <c r="L49" s="8" t="inlineStr">
        <is>
          <t>是</t>
        </is>
      </c>
      <c r="M49" s="9" t="inlineStr">
        <is>
          <t>bazaar；beastDrop；journeyChest；alchemyCrafting；dynamicRandomReward</t>
        </is>
      </c>
      <c r="N49" s="8" t="n">
        <v>1</v>
      </c>
      <c r="O49" s="9" t="inlineStr">
        <is>
          <t>消耗品效果</t>
        </is>
      </c>
      <c r="P49" s="9" t="inlineStr">
        <is>
          <t>consumable</t>
        </is>
      </c>
      <c r="Q49" s="9" t="inlineStr">
        <is>
          <t>消耗品效果：随机移除 5 层负面效果</t>
        </is>
      </c>
      <c r="R49" s="9" t="inlineStr"/>
      <c r="S49" s="9" t="inlineStr">
        <is>
          <t>黑白两色药纹在丹面交错分明，握久了却渐渐沉静下来，像浊气被滤去。</t>
        </is>
      </c>
      <c r="T49" s="8" t="inlineStr">
        <is>
          <t>pill_clarity_turbidity_pellet_1x1</t>
        </is>
      </c>
      <c r="U49" s="8" t="inlineStr">
        <is>
          <t>allowed</t>
        </is>
      </c>
    </row>
    <row r="50" ht="34" customHeight="1">
      <c r="A50" s="8" t="n">
        <v>49</v>
      </c>
      <c r="B50" s="8" t="n">
        <v>300026</v>
      </c>
      <c r="C50" s="8" t="inlineStr">
        <is>
          <t>玉露瓶</t>
        </is>
      </c>
      <c r="D50" s="8" t="inlineStr">
        <is>
          <t>丹药</t>
        </is>
      </c>
      <c r="E50" s="8" t="inlineStr">
        <is>
          <t>pill</t>
        </is>
      </c>
      <c r="F50" s="8" t="inlineStr">
        <is>
          <t>common</t>
        </is>
      </c>
      <c r="G50" s="8" t="inlineStr">
        <is>
          <t>水</t>
        </is>
      </c>
      <c r="H50" s="8" t="inlineStr">
        <is>
          <t>water</t>
        </is>
      </c>
      <c r="I50" s="8" t="inlineStr">
        <is>
          <t>1×1</t>
        </is>
      </c>
      <c r="J50" s="8" t="n">
        <v>1</v>
      </c>
      <c r="K50" s="8" t="n">
        <v>4</v>
      </c>
      <c r="L50" s="8" t="inlineStr">
        <is>
          <t>是</t>
        </is>
      </c>
      <c r="M50" s="9" t="inlineStr">
        <is>
          <t>bazaar；beastDrop；journeyChest；alchemyCrafting；dynamicRandomReward</t>
        </is>
      </c>
      <c r="N50" s="8" t="n">
        <v>1</v>
      </c>
      <c r="O50" s="9" t="inlineStr">
        <is>
          <t>消耗品效果</t>
        </is>
      </c>
      <c r="P50" s="9" t="inlineStr">
        <is>
          <t>consumable</t>
        </is>
      </c>
      <c r="Q50" s="9" t="inlineStr">
        <is>
          <t>消耗品效果：获得 10 层露水</t>
        </is>
      </c>
      <c r="R50" s="9" t="inlineStr">
        <is>
          <t>gain_buff</t>
        </is>
      </c>
      <c r="S50" s="9" t="inlineStr">
        <is>
          <t>透明小瓶中凝着一泓玉色露液，瓶口封蜡晶亮，药香清甜而不浮散。</t>
        </is>
      </c>
      <c r="T50" s="8" t="inlineStr">
        <is>
          <t>pill_batch11_046_1x1</t>
        </is>
      </c>
      <c r="U50" s="8" t="inlineStr">
        <is>
          <t>allowed</t>
        </is>
      </c>
    </row>
    <row r="51" ht="34" customHeight="1">
      <c r="A51" s="8" t="n">
        <v>50</v>
      </c>
      <c r="B51" s="8" t="n">
        <v>300027</v>
      </c>
      <c r="C51" s="8" t="inlineStr">
        <is>
          <t>固息丹</t>
        </is>
      </c>
      <c r="D51" s="8" t="inlineStr">
        <is>
          <t>丹药</t>
        </is>
      </c>
      <c r="E51" s="8" t="inlineStr">
        <is>
          <t>pill</t>
        </is>
      </c>
      <c r="F51" s="8" t="inlineStr">
        <is>
          <t>common</t>
        </is>
      </c>
      <c r="G51" s="8" t="inlineStr">
        <is>
          <t>无</t>
        </is>
      </c>
      <c r="H51" s="8" t="inlineStr">
        <is>
          <t>none</t>
        </is>
      </c>
      <c r="I51" s="8" t="inlineStr">
        <is>
          <t>1×1</t>
        </is>
      </c>
      <c r="J51" s="8" t="n">
        <v>1</v>
      </c>
      <c r="K51" s="8" t="n">
        <v>2</v>
      </c>
      <c r="L51" s="8" t="inlineStr">
        <is>
          <t>是</t>
        </is>
      </c>
      <c r="M51" s="9" t="inlineStr">
        <is>
          <t>bazaar；beastDrop；journeyChest；alchemyCrafting；dynamicRandomReward</t>
        </is>
      </c>
      <c r="N51" s="8" t="n">
        <v>1</v>
      </c>
      <c r="O51" s="9" t="inlineStr">
        <is>
          <t>消耗品效果</t>
        </is>
      </c>
      <c r="P51" s="9" t="inlineStr">
        <is>
          <t>consumable</t>
        </is>
      </c>
      <c r="Q51" s="9" t="inlineStr">
        <is>
          <t>消耗品效果：本局内体力上限 +20</t>
        </is>
      </c>
      <c r="R51" s="9" t="inlineStr">
        <is>
          <t>temp_stat_upper_limit</t>
        </is>
      </c>
      <c r="S51" s="9" t="inlineStr">
        <is>
          <t>浅青圆丸静置于薄碟中，丸面细点如凝息纹，像把躁动气机稳稳压回丹心。</t>
        </is>
      </c>
      <c r="T51" s="8" t="inlineStr">
        <is>
          <t>pill_asthma_calming_pellet_1x1</t>
        </is>
      </c>
      <c r="U51" s="8" t="inlineStr">
        <is>
          <t>allowed</t>
        </is>
      </c>
    </row>
    <row r="52" ht="34" customHeight="1">
      <c r="A52" s="8" t="n">
        <v>51</v>
      </c>
      <c r="B52" s="8" t="n">
        <v>300028</v>
      </c>
      <c r="C52" s="8" t="inlineStr">
        <is>
          <t>暖髓丸</t>
        </is>
      </c>
      <c r="D52" s="8" t="inlineStr">
        <is>
          <t>丹药</t>
        </is>
      </c>
      <c r="E52" s="8" t="inlineStr">
        <is>
          <t>pill</t>
        </is>
      </c>
      <c r="F52" s="8" t="inlineStr">
        <is>
          <t>common</t>
        </is>
      </c>
      <c r="G52" s="8" t="inlineStr">
        <is>
          <t>无</t>
        </is>
      </c>
      <c r="H52" s="8" t="inlineStr">
        <is>
          <t>none</t>
        </is>
      </c>
      <c r="I52" s="8" t="inlineStr">
        <is>
          <t>1×1</t>
        </is>
      </c>
      <c r="J52" s="8" t="n">
        <v>1</v>
      </c>
      <c r="K52" s="8" t="n">
        <v>2</v>
      </c>
      <c r="L52" s="8" t="inlineStr">
        <is>
          <t>是</t>
        </is>
      </c>
      <c r="M52" s="9" t="inlineStr">
        <is>
          <t>bazaar；alchemyCrafting；dynamicRandomReward</t>
        </is>
      </c>
      <c r="N52" s="8" t="n">
        <v>1</v>
      </c>
      <c r="O52" s="9" t="inlineStr">
        <is>
          <t>消耗品效果</t>
        </is>
      </c>
      <c r="P52" s="9" t="inlineStr">
        <is>
          <t>consumable</t>
        </is>
      </c>
      <c r="Q52" s="9" t="inlineStr">
        <is>
          <t>消耗品效果：本局内法力上限 +20</t>
        </is>
      </c>
      <c r="R52" s="9" t="inlineStr">
        <is>
          <t>temp_stat_upper_limit</t>
        </is>
      </c>
      <c r="S52" s="9" t="inlineStr">
        <is>
          <t>赭色丹丸带着温润光泽，丹心隐有细金浮点，贴近掌心便泛起绵长暖意。</t>
        </is>
      </c>
      <c r="T52" s="8" t="inlineStr">
        <is>
          <t>pill_marrow_warming_pill_1x1</t>
        </is>
      </c>
      <c r="U52" s="8" t="inlineStr">
        <is>
          <t>allowed</t>
        </is>
      </c>
    </row>
    <row r="53" ht="34" customHeight="1">
      <c r="A53" s="8" t="n">
        <v>52</v>
      </c>
      <c r="B53" s="8" t="n">
        <v>300029</v>
      </c>
      <c r="C53" s="8" t="inlineStr">
        <is>
          <t>青鳞寿果</t>
        </is>
      </c>
      <c r="D53" s="8" t="inlineStr">
        <is>
          <t>丹药</t>
        </is>
      </c>
      <c r="E53" s="8" t="inlineStr">
        <is>
          <t>pill</t>
        </is>
      </c>
      <c r="F53" s="8" t="inlineStr">
        <is>
          <t>common</t>
        </is>
      </c>
      <c r="G53" s="8" t="inlineStr">
        <is>
          <t>无</t>
        </is>
      </c>
      <c r="H53" s="8" t="inlineStr">
        <is>
          <t>none</t>
        </is>
      </c>
      <c r="I53" s="8" t="inlineStr">
        <is>
          <t>1×1</t>
        </is>
      </c>
      <c r="J53" s="8" t="n">
        <v>1</v>
      </c>
      <c r="K53" s="8" t="n">
        <v>4</v>
      </c>
      <c r="L53" s="8" t="inlineStr">
        <is>
          <t>是</t>
        </is>
      </c>
      <c r="M53" s="9" t="inlineStr">
        <is>
          <t>beastDrop</t>
        </is>
      </c>
      <c r="N53" s="8" t="n">
        <v>1</v>
      </c>
      <c r="O53" s="9" t="inlineStr">
        <is>
          <t>消耗品效果</t>
        </is>
      </c>
      <c r="P53" s="9" t="inlineStr">
        <is>
          <t>consumable</t>
        </is>
      </c>
      <c r="Q53" s="9" t="inlineStr">
        <is>
          <t>消耗品效果：寿元增加 1~2 年</t>
        </is>
      </c>
      <c r="R53" s="9" t="inlineStr">
        <is>
          <t>life_extend</t>
        </is>
      </c>
      <c r="S53" s="9" t="inlineStr">
        <is>
          <t>青碧果皮层叠如鳞，叶隙间凝着晨露，入口清甜而微带草木香。</t>
        </is>
      </c>
      <c r="T53" s="8" t="inlineStr">
        <is>
          <t>material_batch14_008_1x1</t>
        </is>
      </c>
      <c r="U53" s="8" t="inlineStr">
        <is>
          <t>allowed</t>
        </is>
      </c>
    </row>
    <row r="54" ht="34" customHeight="1">
      <c r="A54" s="8" t="n">
        <v>53</v>
      </c>
      <c r="B54" s="8" t="n">
        <v>300030</v>
      </c>
      <c r="C54" s="8" t="inlineStr">
        <is>
          <t>秋赤寿果</t>
        </is>
      </c>
      <c r="D54" s="8" t="inlineStr">
        <is>
          <t>丹药</t>
        </is>
      </c>
      <c r="E54" s="8" t="inlineStr">
        <is>
          <t>pill</t>
        </is>
      </c>
      <c r="F54" s="8" t="inlineStr">
        <is>
          <t>common</t>
        </is>
      </c>
      <c r="G54" s="8" t="inlineStr">
        <is>
          <t>无</t>
        </is>
      </c>
      <c r="H54" s="8" t="inlineStr">
        <is>
          <t>none</t>
        </is>
      </c>
      <c r="I54" s="8" t="inlineStr">
        <is>
          <t>1×1</t>
        </is>
      </c>
      <c r="J54" s="8" t="n">
        <v>1</v>
      </c>
      <c r="K54" s="8" t="n">
        <v>7</v>
      </c>
      <c r="L54" s="8" t="inlineStr">
        <is>
          <t>是</t>
        </is>
      </c>
      <c r="M54" s="9" t="inlineStr">
        <is>
          <t>beastDrop</t>
        </is>
      </c>
      <c r="N54" s="8" t="n">
        <v>1</v>
      </c>
      <c r="O54" s="9" t="inlineStr">
        <is>
          <t>消耗品效果</t>
        </is>
      </c>
      <c r="P54" s="9" t="inlineStr">
        <is>
          <t>consumable</t>
        </is>
      </c>
      <c r="Q54" s="9" t="inlineStr">
        <is>
          <t>消耗品效果：寿元增加 1~3 年</t>
        </is>
      </c>
      <c r="R54" s="9" t="inlineStr">
        <is>
          <t>life_extend</t>
        </is>
      </c>
      <c r="S54" s="9" t="inlineStr">
        <is>
          <t>赤红果皮上留着细密秋纹，果肉温润，咽下后余香久久不散。</t>
        </is>
      </c>
      <c r="T54" s="8" t="inlineStr">
        <is>
          <t>material_pale_down_leaf_1x1</t>
        </is>
      </c>
      <c r="U54" s="8" t="inlineStr">
        <is>
          <t>allowed</t>
        </is>
      </c>
    </row>
    <row r="55" ht="34" customHeight="1">
      <c r="A55" s="8" t="n">
        <v>54</v>
      </c>
      <c r="B55" s="8" t="n">
        <v>300031</v>
      </c>
      <c r="C55" s="8" t="inlineStr">
        <is>
          <t>回纹寿果</t>
        </is>
      </c>
      <c r="D55" s="8" t="inlineStr">
        <is>
          <t>丹药</t>
        </is>
      </c>
      <c r="E55" s="8" t="inlineStr">
        <is>
          <t>pill</t>
        </is>
      </c>
      <c r="F55" s="8" t="inlineStr">
        <is>
          <t>common</t>
        </is>
      </c>
      <c r="G55" s="8" t="inlineStr">
        <is>
          <t>无</t>
        </is>
      </c>
      <c r="H55" s="8" t="inlineStr">
        <is>
          <t>none</t>
        </is>
      </c>
      <c r="I55" s="8" t="inlineStr">
        <is>
          <t>1×1</t>
        </is>
      </c>
      <c r="J55" s="8" t="n">
        <v>1</v>
      </c>
      <c r="K55" s="8" t="n">
        <v>10</v>
      </c>
      <c r="L55" s="8" t="inlineStr">
        <is>
          <t>是</t>
        </is>
      </c>
      <c r="M55" s="9" t="inlineStr">
        <is>
          <t>beastDrop</t>
        </is>
      </c>
      <c r="N55" s="8" t="n">
        <v>1</v>
      </c>
      <c r="O55" s="9" t="inlineStr">
        <is>
          <t>消耗品效果</t>
        </is>
      </c>
      <c r="P55" s="9" t="inlineStr">
        <is>
          <t>consumable</t>
        </is>
      </c>
      <c r="Q55" s="9" t="inlineStr">
        <is>
          <t>消耗品效果：寿元增加 2~4 年</t>
        </is>
      </c>
      <c r="R55" s="9" t="inlineStr">
        <is>
          <t>life_extend</t>
        </is>
      </c>
      <c r="S55" s="9" t="inlineStr">
        <is>
          <t>暗红果皮盘绕着层层回纹，轻轻转动便有细微灵光沿沟纹流过。</t>
        </is>
      </c>
      <c r="T55" s="8" t="inlineStr">
        <is>
          <t>material_frost_crystal_cluster_1x1</t>
        </is>
      </c>
      <c r="U55" s="8" t="inlineStr">
        <is>
          <t>allowed</t>
        </is>
      </c>
    </row>
    <row r="56" ht="34" customHeight="1">
      <c r="A56" s="8" t="n">
        <v>55</v>
      </c>
      <c r="B56" s="8" t="n">
        <v>300032</v>
      </c>
      <c r="C56" s="8" t="inlineStr">
        <is>
          <t>赤阳寿果</t>
        </is>
      </c>
      <c r="D56" s="8" t="inlineStr">
        <is>
          <t>丹药</t>
        </is>
      </c>
      <c r="E56" s="8" t="inlineStr">
        <is>
          <t>pill</t>
        </is>
      </c>
      <c r="F56" s="8" t="inlineStr">
        <is>
          <t>spirit</t>
        </is>
      </c>
      <c r="G56" s="8" t="inlineStr">
        <is>
          <t>无</t>
        </is>
      </c>
      <c r="H56" s="8" t="inlineStr">
        <is>
          <t>none</t>
        </is>
      </c>
      <c r="I56" s="8" t="inlineStr">
        <is>
          <t>1×1</t>
        </is>
      </c>
      <c r="J56" s="8" t="n">
        <v>1</v>
      </c>
      <c r="K56" s="8" t="n">
        <v>45</v>
      </c>
      <c r="L56" s="8" t="inlineStr">
        <is>
          <t>是</t>
        </is>
      </c>
      <c r="M56" s="9" t="inlineStr">
        <is>
          <t>bazaar；dynamicRandomReward</t>
        </is>
      </c>
      <c r="N56" s="8" t="n">
        <v>1</v>
      </c>
      <c r="O56" s="9" t="inlineStr">
        <is>
          <t>消耗品效果</t>
        </is>
      </c>
      <c r="P56" s="9" t="inlineStr">
        <is>
          <t>consumable</t>
        </is>
      </c>
      <c r="Q56" s="9" t="inlineStr">
        <is>
          <t>消耗品效果：寿元增加 18~34 年</t>
        </is>
      </c>
      <c r="R56" s="9" t="inlineStr">
        <is>
          <t>life_extend</t>
        </is>
      </c>
      <c r="S56" s="9" t="inlineStr">
        <is>
          <t>果心如藏微阳，赤色果皮映出柔和暖光，握久了掌心也不觉灼热。</t>
        </is>
      </c>
      <c r="T56" s="8" t="inlineStr">
        <is>
          <t>material_duskleaf_cloudmark_1x1</t>
        </is>
      </c>
      <c r="U56" s="8" t="inlineStr">
        <is>
          <t>allowed</t>
        </is>
      </c>
    </row>
    <row r="57" ht="34" customHeight="1">
      <c r="A57" s="8" t="n">
        <v>56</v>
      </c>
      <c r="B57" s="8" t="n">
        <v>300037</v>
      </c>
      <c r="C57" s="8" t="inlineStr">
        <is>
          <t>庚金养根丹</t>
        </is>
      </c>
      <c r="D57" s="8" t="inlineStr">
        <is>
          <t>丹药</t>
        </is>
      </c>
      <c r="E57" s="8" t="inlineStr">
        <is>
          <t>pill</t>
        </is>
      </c>
      <c r="F57" s="8" t="inlineStr">
        <is>
          <t>common</t>
        </is>
      </c>
      <c r="G57" s="8" t="inlineStr">
        <is>
          <t>金</t>
        </is>
      </c>
      <c r="H57" s="8" t="inlineStr">
        <is>
          <t>metal</t>
        </is>
      </c>
      <c r="I57" s="8" t="inlineStr">
        <is>
          <t>1×1</t>
        </is>
      </c>
      <c r="J57" s="8" t="n">
        <v>1</v>
      </c>
      <c r="K57" s="8" t="n">
        <v>100</v>
      </c>
      <c r="L57" s="8" t="inlineStr">
        <is>
          <t>是</t>
        </is>
      </c>
      <c r="M57" s="9" t="inlineStr">
        <is>
          <t>bazaar；dynamicRandomReward</t>
        </is>
      </c>
      <c r="N57" s="8" t="n">
        <v>1</v>
      </c>
      <c r="O57" s="9" t="inlineStr">
        <is>
          <t>消耗品效果</t>
        </is>
      </c>
      <c r="P57" s="9" t="inlineStr">
        <is>
          <t>consumable</t>
        </is>
      </c>
      <c r="Q57" s="9" t="inlineStr">
        <is>
          <t>消耗品效果：拥有金灵根时，金灵根永久 +1；金灵根永久 +1</t>
        </is>
      </c>
      <c r="R57" s="9" t="inlineStr">
        <is>
          <t>spirit_root_nurture</t>
        </is>
      </c>
      <c r="S57" s="9" t="inlineStr">
        <is>
          <t>淡金丹丸上刻一线庚金锋纹，药壳坚实细润，内蕴的锐气收束如针。</t>
        </is>
      </c>
      <c r="T57" s="8" t="inlineStr">
        <is>
          <t>pill_gengjin_root_nourishing_1x1</t>
        </is>
      </c>
      <c r="U57" s="8" t="inlineStr">
        <is>
          <t>allowed</t>
        </is>
      </c>
    </row>
    <row r="58" ht="34" customHeight="1">
      <c r="A58" s="8" t="n">
        <v>57</v>
      </c>
      <c r="B58" s="8" t="n">
        <v>300038</v>
      </c>
      <c r="C58" s="8" t="inlineStr">
        <is>
          <t>乙木养根丹</t>
        </is>
      </c>
      <c r="D58" s="8" t="inlineStr">
        <is>
          <t>丹药</t>
        </is>
      </c>
      <c r="E58" s="8" t="inlineStr">
        <is>
          <t>pill</t>
        </is>
      </c>
      <c r="F58" s="8" t="inlineStr">
        <is>
          <t>common</t>
        </is>
      </c>
      <c r="G58" s="8" t="inlineStr">
        <is>
          <t>木</t>
        </is>
      </c>
      <c r="H58" s="8" t="inlineStr">
        <is>
          <t>wood</t>
        </is>
      </c>
      <c r="I58" s="8" t="inlineStr">
        <is>
          <t>1×1</t>
        </is>
      </c>
      <c r="J58" s="8" t="n">
        <v>1</v>
      </c>
      <c r="K58" s="8" t="n">
        <v>100</v>
      </c>
      <c r="L58" s="8" t="inlineStr">
        <is>
          <t>是</t>
        </is>
      </c>
      <c r="M58" s="9" t="inlineStr">
        <is>
          <t>bazaar；dynamicRandomReward</t>
        </is>
      </c>
      <c r="N58" s="8" t="n">
        <v>1</v>
      </c>
      <c r="O58" s="9" t="inlineStr">
        <is>
          <t>消耗品效果</t>
        </is>
      </c>
      <c r="P58" s="9" t="inlineStr">
        <is>
          <t>consumable</t>
        </is>
      </c>
      <c r="Q58" s="9" t="inlineStr">
        <is>
          <t>消耗品效果：拥有木灵根时，木灵根永久 +1；木灵根永久 +1</t>
        </is>
      </c>
      <c r="R58" s="9" t="inlineStr">
        <is>
          <t>spirit_root_nurture</t>
        </is>
      </c>
      <c r="S58" s="9" t="inlineStr">
        <is>
          <t>青碧丹丸裹着细密叶脉，草木清香凝而不散，丹心透出柔韧生机。</t>
        </is>
      </c>
      <c r="T58" s="8" t="inlineStr">
        <is>
          <t>pill_yimu_root_nourishing_1x1</t>
        </is>
      </c>
      <c r="U58" s="8" t="inlineStr">
        <is>
          <t>allowed</t>
        </is>
      </c>
    </row>
    <row r="59" ht="34" customHeight="1">
      <c r="A59" s="8" t="n">
        <v>58</v>
      </c>
      <c r="B59" s="8" t="n">
        <v>300039</v>
      </c>
      <c r="C59" s="8" t="inlineStr">
        <is>
          <t>癸水养根丹</t>
        </is>
      </c>
      <c r="D59" s="8" t="inlineStr">
        <is>
          <t>丹药</t>
        </is>
      </c>
      <c r="E59" s="8" t="inlineStr">
        <is>
          <t>pill</t>
        </is>
      </c>
      <c r="F59" s="8" t="inlineStr">
        <is>
          <t>common</t>
        </is>
      </c>
      <c r="G59" s="8" t="inlineStr">
        <is>
          <t>水</t>
        </is>
      </c>
      <c r="H59" s="8" t="inlineStr">
        <is>
          <t>water</t>
        </is>
      </c>
      <c r="I59" s="8" t="inlineStr">
        <is>
          <t>1×1</t>
        </is>
      </c>
      <c r="J59" s="8" t="n">
        <v>1</v>
      </c>
      <c r="K59" s="8" t="n">
        <v>100</v>
      </c>
      <c r="L59" s="8" t="inlineStr">
        <is>
          <t>是</t>
        </is>
      </c>
      <c r="M59" s="9" t="inlineStr">
        <is>
          <t>bazaar；dynamicRandomReward</t>
        </is>
      </c>
      <c r="N59" s="8" t="n">
        <v>1</v>
      </c>
      <c r="O59" s="9" t="inlineStr">
        <is>
          <t>消耗品效果</t>
        </is>
      </c>
      <c r="P59" s="9" t="inlineStr">
        <is>
          <t>consumable</t>
        </is>
      </c>
      <c r="Q59" s="9" t="inlineStr">
        <is>
          <t>消耗品效果：拥有水灵根时，水灵根永久 +1；水灵根永久 +1</t>
        </is>
      </c>
      <c r="R59" s="9" t="inlineStr">
        <is>
          <t>spirit_root_nurture</t>
        </is>
      </c>
      <c r="S59" s="9" t="inlineStr">
        <is>
          <t>深蓝丹丸表面浮着细小水纹，触手清凉，药气如静泉般缓缓回旋。</t>
        </is>
      </c>
      <c r="T59" s="8" t="inlineStr">
        <is>
          <t>pill_guishui_root_nourishing_1x1</t>
        </is>
      </c>
      <c r="U59" s="8" t="inlineStr">
        <is>
          <t>allowed</t>
        </is>
      </c>
    </row>
    <row r="60" ht="34" customHeight="1">
      <c r="A60" s="8" t="n">
        <v>59</v>
      </c>
      <c r="B60" s="8" t="n">
        <v>300040</v>
      </c>
      <c r="C60" s="8" t="inlineStr">
        <is>
          <t>丙火养根丹</t>
        </is>
      </c>
      <c r="D60" s="8" t="inlineStr">
        <is>
          <t>丹药</t>
        </is>
      </c>
      <c r="E60" s="8" t="inlineStr">
        <is>
          <t>pill</t>
        </is>
      </c>
      <c r="F60" s="8" t="inlineStr">
        <is>
          <t>common</t>
        </is>
      </c>
      <c r="G60" s="8" t="inlineStr">
        <is>
          <t>火</t>
        </is>
      </c>
      <c r="H60" s="8" t="inlineStr">
        <is>
          <t>fire</t>
        </is>
      </c>
      <c r="I60" s="8" t="inlineStr">
        <is>
          <t>1×1</t>
        </is>
      </c>
      <c r="J60" s="8" t="n">
        <v>1</v>
      </c>
      <c r="K60" s="8" t="n">
        <v>100</v>
      </c>
      <c r="L60" s="8" t="inlineStr">
        <is>
          <t>是</t>
        </is>
      </c>
      <c r="M60" s="9" t="inlineStr">
        <is>
          <t>bazaar；dynamicRandomReward</t>
        </is>
      </c>
      <c r="N60" s="8" t="n">
        <v>1</v>
      </c>
      <c r="O60" s="9" t="inlineStr">
        <is>
          <t>消耗品效果</t>
        </is>
      </c>
      <c r="P60" s="9" t="inlineStr">
        <is>
          <t>consumable</t>
        </is>
      </c>
      <c r="Q60" s="9" t="inlineStr">
        <is>
          <t>消耗品效果：拥有火灵根时，火灵根永久 +1；火灵根永久 +1</t>
        </is>
      </c>
      <c r="R60" s="9" t="inlineStr">
        <is>
          <t>spirit_root_nurture</t>
        </is>
      </c>
      <c r="S60" s="9" t="inlineStr">
        <is>
          <t>赤红丹丸内藏一点明亮火心，暖意均匀透出，丹衣却不见焦痕。</t>
        </is>
      </c>
      <c r="T60" s="8" t="inlineStr">
        <is>
          <t>pill_binghuo_root_nourishing_1x1</t>
        </is>
      </c>
      <c r="U60" s="8" t="inlineStr">
        <is>
          <t>allowed</t>
        </is>
      </c>
    </row>
    <row r="61" ht="34" customHeight="1">
      <c r="A61" s="8" t="n">
        <v>60</v>
      </c>
      <c r="B61" s="8" t="n">
        <v>300041</v>
      </c>
      <c r="C61" s="8" t="inlineStr">
        <is>
          <t>戊土养根丹</t>
        </is>
      </c>
      <c r="D61" s="8" t="inlineStr">
        <is>
          <t>丹药</t>
        </is>
      </c>
      <c r="E61" s="8" t="inlineStr">
        <is>
          <t>pill</t>
        </is>
      </c>
      <c r="F61" s="8" t="inlineStr">
        <is>
          <t>common</t>
        </is>
      </c>
      <c r="G61" s="8" t="inlineStr">
        <is>
          <t>土</t>
        </is>
      </c>
      <c r="H61" s="8" t="inlineStr">
        <is>
          <t>earth</t>
        </is>
      </c>
      <c r="I61" s="8" t="inlineStr">
        <is>
          <t>1×1</t>
        </is>
      </c>
      <c r="J61" s="8" t="n">
        <v>1</v>
      </c>
      <c r="K61" s="8" t="n">
        <v>100</v>
      </c>
      <c r="L61" s="8" t="inlineStr">
        <is>
          <t>是</t>
        </is>
      </c>
      <c r="M61" s="9" t="inlineStr">
        <is>
          <t>bazaar；dynamicRandomReward</t>
        </is>
      </c>
      <c r="N61" s="8" t="n">
        <v>1</v>
      </c>
      <c r="O61" s="9" t="inlineStr">
        <is>
          <t>消耗品效果</t>
        </is>
      </c>
      <c r="P61" s="9" t="inlineStr">
        <is>
          <t>consumable</t>
        </is>
      </c>
      <c r="Q61" s="9" t="inlineStr">
        <is>
          <t>消耗品效果：拥有土灵根时，土灵根永久 +1；土灵根永久 +1</t>
        </is>
      </c>
      <c r="R61" s="9" t="inlineStr">
        <is>
          <t>spirit_root_nurture</t>
        </is>
      </c>
      <c r="S61" s="9" t="inlineStr">
        <is>
          <t>赭黄丹丸厚重圆实，表面有层叠山纹，药香沉稳得如同新翻沃土。</t>
        </is>
      </c>
      <c r="T61" s="8" t="inlineStr">
        <is>
          <t>pill_wutu_root_nourishing_1x1</t>
        </is>
      </c>
      <c r="U61" s="8" t="inlineStr">
        <is>
          <t>allowed</t>
        </is>
      </c>
    </row>
    <row r="62" ht="34" customHeight="1">
      <c r="A62" s="8" t="n">
        <v>61</v>
      </c>
      <c r="B62" s="8" t="n">
        <v>300042</v>
      </c>
      <c r="C62" s="8" t="inlineStr">
        <is>
          <t>太白凝根丹</t>
        </is>
      </c>
      <c r="D62" s="8" t="inlineStr">
        <is>
          <t>丹药</t>
        </is>
      </c>
      <c r="E62" s="8" t="inlineStr">
        <is>
          <t>pill</t>
        </is>
      </c>
      <c r="F62" s="8" t="inlineStr">
        <is>
          <t>spirit</t>
        </is>
      </c>
      <c r="G62" s="8" t="inlineStr">
        <is>
          <t>金</t>
        </is>
      </c>
      <c r="H62" s="8" t="inlineStr">
        <is>
          <t>metal</t>
        </is>
      </c>
      <c r="I62" s="8" t="inlineStr">
        <is>
          <t>1×1</t>
        </is>
      </c>
      <c r="J62" s="8" t="n">
        <v>1</v>
      </c>
      <c r="K62" s="8" t="n">
        <v>500</v>
      </c>
      <c r="L62" s="8" t="inlineStr">
        <is>
          <t>是</t>
        </is>
      </c>
      <c r="M62" s="9" t="inlineStr">
        <is>
          <t>bazaar；alchemyCrafting；dynamicRandomReward</t>
        </is>
      </c>
      <c r="N62" s="8" t="n">
        <v>1</v>
      </c>
      <c r="O62" s="9" t="inlineStr">
        <is>
          <t>消耗品效果</t>
        </is>
      </c>
      <c r="P62" s="9" t="inlineStr">
        <is>
          <t>consumable</t>
        </is>
      </c>
      <c r="Q62" s="9" t="inlineStr">
        <is>
          <t>消耗品效果：拥有金灵根时，金灵根永久 +4；金灵根永久 +4</t>
        </is>
      </c>
      <c r="R62" s="9" t="inlineStr">
        <is>
          <t>spirit_root_nurture</t>
        </is>
      </c>
      <c r="S62" s="9" t="inlineStr">
        <is>
          <t>银白丹丸嵌着五道锋棱金纹，光泽冷冽内敛，仿佛一粒凝住的星铁。</t>
        </is>
      </c>
      <c r="T62" s="8" t="inlineStr">
        <is>
          <t>pill_taibai_root_condensing_1x1</t>
        </is>
      </c>
      <c r="U62" s="8" t="inlineStr">
        <is>
          <t>allowed</t>
        </is>
      </c>
    </row>
    <row r="63" ht="34" customHeight="1">
      <c r="A63" s="8" t="n">
        <v>62</v>
      </c>
      <c r="B63" s="8" t="n">
        <v>300043</v>
      </c>
      <c r="C63" s="8" t="inlineStr">
        <is>
          <t>青华凝根丹</t>
        </is>
      </c>
      <c r="D63" s="8" t="inlineStr">
        <is>
          <t>丹药</t>
        </is>
      </c>
      <c r="E63" s="8" t="inlineStr">
        <is>
          <t>pill</t>
        </is>
      </c>
      <c r="F63" s="8" t="inlineStr">
        <is>
          <t>spirit</t>
        </is>
      </c>
      <c r="G63" s="8" t="inlineStr">
        <is>
          <t>木</t>
        </is>
      </c>
      <c r="H63" s="8" t="inlineStr">
        <is>
          <t>wood</t>
        </is>
      </c>
      <c r="I63" s="8" t="inlineStr">
        <is>
          <t>1×1</t>
        </is>
      </c>
      <c r="J63" s="8" t="n">
        <v>1</v>
      </c>
      <c r="K63" s="8" t="n">
        <v>500</v>
      </c>
      <c r="L63" s="8" t="inlineStr">
        <is>
          <t>是</t>
        </is>
      </c>
      <c r="M63" s="9" t="inlineStr">
        <is>
          <t>bazaar；alchemyCrafting；dynamicRandomReward</t>
        </is>
      </c>
      <c r="N63" s="8" t="n">
        <v>1</v>
      </c>
      <c r="O63" s="9" t="inlineStr">
        <is>
          <t>消耗品效果</t>
        </is>
      </c>
      <c r="P63" s="9" t="inlineStr">
        <is>
          <t>consumable</t>
        </is>
      </c>
      <c r="Q63" s="9" t="inlineStr">
        <is>
          <t>消耗品效果：拥有木灵根时，木灵根永久 +4；木灵根永久 +4</t>
        </is>
      </c>
      <c r="R63" s="9" t="inlineStr">
        <is>
          <t>spirit_root_nurture</t>
        </is>
      </c>
      <c r="S63" s="9" t="inlineStr">
        <is>
          <t>翠玉丹丸由三层莲瓣状丹衣合拢，细藤纹环抱丹心，生机绵长。</t>
        </is>
      </c>
      <c r="T63" s="8" t="inlineStr">
        <is>
          <t>pill_qinghua_root_condensing_1x1</t>
        </is>
      </c>
      <c r="U63" s="8" t="inlineStr">
        <is>
          <t>allowed</t>
        </is>
      </c>
    </row>
    <row r="64" ht="34" customHeight="1">
      <c r="A64" s="8" t="n">
        <v>63</v>
      </c>
      <c r="B64" s="8" t="n">
        <v>300044</v>
      </c>
      <c r="C64" s="8" t="inlineStr">
        <is>
          <t>沧溟凝根丹</t>
        </is>
      </c>
      <c r="D64" s="8" t="inlineStr">
        <is>
          <t>丹药</t>
        </is>
      </c>
      <c r="E64" s="8" t="inlineStr">
        <is>
          <t>pill</t>
        </is>
      </c>
      <c r="F64" s="8" t="inlineStr">
        <is>
          <t>spirit</t>
        </is>
      </c>
      <c r="G64" s="8" t="inlineStr">
        <is>
          <t>水</t>
        </is>
      </c>
      <c r="H64" s="8" t="inlineStr">
        <is>
          <t>water</t>
        </is>
      </c>
      <c r="I64" s="8" t="inlineStr">
        <is>
          <t>1×1</t>
        </is>
      </c>
      <c r="J64" s="8" t="n">
        <v>1</v>
      </c>
      <c r="K64" s="8" t="n">
        <v>500</v>
      </c>
      <c r="L64" s="8" t="inlineStr">
        <is>
          <t>是</t>
        </is>
      </c>
      <c r="M64" s="9" t="inlineStr">
        <is>
          <t>bazaar；alchemyCrafting；dynamicRandomReward</t>
        </is>
      </c>
      <c r="N64" s="8" t="n">
        <v>1</v>
      </c>
      <c r="O64" s="9" t="inlineStr">
        <is>
          <t>消耗品效果</t>
        </is>
      </c>
      <c r="P64" s="9" t="inlineStr">
        <is>
          <t>consumable</t>
        </is>
      </c>
      <c r="Q64" s="9" t="inlineStr">
        <is>
          <t>消耗品效果：拥有水灵根时，水灵根永久 +4；水灵根永久 +4</t>
        </is>
      </c>
      <c r="R64" s="9" t="inlineStr">
        <is>
          <t>spirit_root_nurture</t>
        </is>
      </c>
      <c r="S64" s="9" t="inlineStr">
        <is>
          <t>靛蓝丹丸环绕两圈银色潮纹，丹面如深水般温润，寒意藏而不露。</t>
        </is>
      </c>
      <c r="T64" s="8" t="inlineStr">
        <is>
          <t>pill_cangming_root_condensing_1x1</t>
        </is>
      </c>
      <c r="U64" s="8" t="inlineStr">
        <is>
          <t>allowed</t>
        </is>
      </c>
    </row>
    <row r="65" ht="34" customHeight="1">
      <c r="A65" s="8" t="n">
        <v>64</v>
      </c>
      <c r="B65" s="8" t="n">
        <v>300045</v>
      </c>
      <c r="C65" s="8" t="inlineStr">
        <is>
          <t>朱明凝根丹</t>
        </is>
      </c>
      <c r="D65" s="8" t="inlineStr">
        <is>
          <t>丹药</t>
        </is>
      </c>
      <c r="E65" s="8" t="inlineStr">
        <is>
          <t>pill</t>
        </is>
      </c>
      <c r="F65" s="8" t="inlineStr">
        <is>
          <t>spirit</t>
        </is>
      </c>
      <c r="G65" s="8" t="inlineStr">
        <is>
          <t>火</t>
        </is>
      </c>
      <c r="H65" s="8" t="inlineStr">
        <is>
          <t>fire</t>
        </is>
      </c>
      <c r="I65" s="8" t="inlineStr">
        <is>
          <t>1×1</t>
        </is>
      </c>
      <c r="J65" s="8" t="n">
        <v>1</v>
      </c>
      <c r="K65" s="8" t="n">
        <v>500</v>
      </c>
      <c r="L65" s="8" t="inlineStr">
        <is>
          <t>是</t>
        </is>
      </c>
      <c r="M65" s="9" t="inlineStr">
        <is>
          <t>bazaar；alchemyCrafting；dynamicRandomReward</t>
        </is>
      </c>
      <c r="N65" s="8" t="n">
        <v>1</v>
      </c>
      <c r="O65" s="9" t="inlineStr">
        <is>
          <t>消耗品效果</t>
        </is>
      </c>
      <c r="P65" s="9" t="inlineStr">
        <is>
          <t>consumable</t>
        </is>
      </c>
      <c r="Q65" s="9" t="inlineStr">
        <is>
          <t>消耗品效果：拥有火灵根时，火灵根永久 +4；火灵根永久 +4</t>
        </is>
      </c>
      <c r="R65" s="9" t="inlineStr">
        <is>
          <t>spirit_root_nurture</t>
        </is>
      </c>
      <c r="S65" s="9" t="inlineStr">
        <is>
          <t>朱红丹丸以金色焰纹束住丹心，火色层次分明，温度凝聚而不外散。</t>
        </is>
      </c>
      <c r="T65" s="8" t="inlineStr">
        <is>
          <t>pill_zhuming_root_condensing_1x1</t>
        </is>
      </c>
      <c r="U65" s="8" t="inlineStr">
        <is>
          <t>allowed</t>
        </is>
      </c>
    </row>
    <row r="66" ht="34" customHeight="1">
      <c r="A66" s="8" t="n">
        <v>65</v>
      </c>
      <c r="B66" s="8" t="n">
        <v>300046</v>
      </c>
      <c r="C66" s="8" t="inlineStr">
        <is>
          <t>坤元凝根丹</t>
        </is>
      </c>
      <c r="D66" s="8" t="inlineStr">
        <is>
          <t>丹药</t>
        </is>
      </c>
      <c r="E66" s="8" t="inlineStr">
        <is>
          <t>pill</t>
        </is>
      </c>
      <c r="F66" s="8" t="inlineStr">
        <is>
          <t>spirit</t>
        </is>
      </c>
      <c r="G66" s="8" t="inlineStr">
        <is>
          <t>土</t>
        </is>
      </c>
      <c r="H66" s="8" t="inlineStr">
        <is>
          <t>earth</t>
        </is>
      </c>
      <c r="I66" s="8" t="inlineStr">
        <is>
          <t>1×1</t>
        </is>
      </c>
      <c r="J66" s="8" t="n">
        <v>1</v>
      </c>
      <c r="K66" s="8" t="n">
        <v>500</v>
      </c>
      <c r="L66" s="8" t="inlineStr">
        <is>
          <t>是</t>
        </is>
      </c>
      <c r="M66" s="9" t="inlineStr">
        <is>
          <t>bazaar；alchemyCrafting；dynamicRandomReward</t>
        </is>
      </c>
      <c r="N66" s="8" t="n">
        <v>1</v>
      </c>
      <c r="O66" s="9" t="inlineStr">
        <is>
          <t>消耗品效果</t>
        </is>
      </c>
      <c r="P66" s="9" t="inlineStr">
        <is>
          <t>consumable</t>
        </is>
      </c>
      <c r="Q66" s="9" t="inlineStr">
        <is>
          <t>消耗品效果：拥有土灵根时，土灵根永久 +4；土灵根永久 +4</t>
        </is>
      </c>
      <c r="R66" s="9" t="inlineStr">
        <is>
          <t>spirit_root_nurture</t>
        </is>
      </c>
      <c r="S66" s="9" t="inlineStr">
        <is>
          <t>土黄丹丸外覆玉质地脉纹，六面纹路向丹心汇聚，气息厚重安定。</t>
        </is>
      </c>
      <c r="T66" s="8" t="inlineStr">
        <is>
          <t>pill_kunyuan_root_condensing_1x1</t>
        </is>
      </c>
      <c r="U66" s="8" t="inlineStr">
        <is>
          <t>allowed</t>
        </is>
      </c>
    </row>
    <row r="67" ht="34" customHeight="1">
      <c r="A67" s="8" t="n">
        <v>66</v>
      </c>
      <c r="B67" s="8" t="n">
        <v>300047</v>
      </c>
      <c r="C67" s="8" t="inlineStr">
        <is>
          <t>白虎洗根丹</t>
        </is>
      </c>
      <c r="D67" s="8" t="inlineStr">
        <is>
          <t>丹药</t>
        </is>
      </c>
      <c r="E67" s="8" t="inlineStr">
        <is>
          <t>pill</t>
        </is>
      </c>
      <c r="F67" s="8" t="inlineStr">
        <is>
          <t>mystic</t>
        </is>
      </c>
      <c r="G67" s="8" t="inlineStr">
        <is>
          <t>金</t>
        </is>
      </c>
      <c r="H67" s="8" t="inlineStr">
        <is>
          <t>metal</t>
        </is>
      </c>
      <c r="I67" s="8" t="inlineStr">
        <is>
          <t>1×1</t>
        </is>
      </c>
      <c r="J67" s="8" t="n">
        <v>1</v>
      </c>
      <c r="K67" s="8" t="n">
        <v>2500</v>
      </c>
      <c r="L67" s="8" t="inlineStr">
        <is>
          <t>是</t>
        </is>
      </c>
      <c r="M67" s="9" t="inlineStr">
        <is>
          <t>bazaar；dynamicRandomReward</t>
        </is>
      </c>
      <c r="N67" s="8" t="n">
        <v>1</v>
      </c>
      <c r="O67" s="9" t="inlineStr">
        <is>
          <t>消耗品效果</t>
        </is>
      </c>
      <c r="P67" s="9" t="inlineStr">
        <is>
          <t>consumable</t>
        </is>
      </c>
      <c r="Q67" s="9" t="inlineStr">
        <is>
          <t>消耗品效果：拥有金灵根时，金灵根永久 +12；金灵根永久 +12</t>
        </is>
      </c>
      <c r="R67" s="9" t="inlineStr">
        <is>
          <t>spirit_root_nurture</t>
        </is>
      </c>
      <c r="S67" s="9" t="inlineStr">
        <is>
          <t>白金丹丸塑出收敛的虎纹轮廓，银色锋痕交错成势，威严而不张扬。</t>
        </is>
      </c>
      <c r="T67" s="8" t="inlineStr">
        <is>
          <t>pill_white_tiger_root_cleansing_1x1</t>
        </is>
      </c>
      <c r="U67" s="8" t="inlineStr">
        <is>
          <t>allowed</t>
        </is>
      </c>
    </row>
    <row r="68" ht="34" customHeight="1">
      <c r="A68" s="8" t="n">
        <v>67</v>
      </c>
      <c r="B68" s="8" t="n">
        <v>300048</v>
      </c>
      <c r="C68" s="8" t="inlineStr">
        <is>
          <t>青龙洗根丹</t>
        </is>
      </c>
      <c r="D68" s="8" t="inlineStr">
        <is>
          <t>丹药</t>
        </is>
      </c>
      <c r="E68" s="8" t="inlineStr">
        <is>
          <t>pill</t>
        </is>
      </c>
      <c r="F68" s="8" t="inlineStr">
        <is>
          <t>mystic</t>
        </is>
      </c>
      <c r="G68" s="8" t="inlineStr">
        <is>
          <t>木</t>
        </is>
      </c>
      <c r="H68" s="8" t="inlineStr">
        <is>
          <t>wood</t>
        </is>
      </c>
      <c r="I68" s="8" t="inlineStr">
        <is>
          <t>1×1</t>
        </is>
      </c>
      <c r="J68" s="8" t="n">
        <v>1</v>
      </c>
      <c r="K68" s="8" t="n">
        <v>2500</v>
      </c>
      <c r="L68" s="8" t="inlineStr">
        <is>
          <t>是</t>
        </is>
      </c>
      <c r="M68" s="9" t="inlineStr">
        <is>
          <t>bazaar；dynamicRandomReward</t>
        </is>
      </c>
      <c r="N68" s="8" t="n">
        <v>1</v>
      </c>
      <c r="O68" s="9" t="inlineStr">
        <is>
          <t>消耗品效果</t>
        </is>
      </c>
      <c r="P68" s="9" t="inlineStr">
        <is>
          <t>consumable</t>
        </is>
      </c>
      <c r="Q68" s="9" t="inlineStr">
        <is>
          <t>消耗品效果：拥有木灵根时，木灵根永久 +12；木灵根永久 +12</t>
        </is>
      </c>
      <c r="R68" s="9" t="inlineStr">
        <is>
          <t>spirit_root_nurture</t>
        </is>
      </c>
      <c r="S68" s="9" t="inlineStr">
        <is>
          <t>青玉丹丸盘绕一圈龙鳞藤纹，木质与玉质层层咬合，丹心生意盎然。</t>
        </is>
      </c>
      <c r="T68" s="8" t="inlineStr">
        <is>
          <t>pill_azure_dragon_root_cleansing_1x1</t>
        </is>
      </c>
      <c r="U68" s="8" t="inlineStr">
        <is>
          <t>allowed</t>
        </is>
      </c>
    </row>
    <row r="69" ht="34" customHeight="1">
      <c r="A69" s="8" t="n">
        <v>68</v>
      </c>
      <c r="B69" s="8" t="n">
        <v>300049</v>
      </c>
      <c r="C69" s="8" t="inlineStr">
        <is>
          <t>玄武洗根丹</t>
        </is>
      </c>
      <c r="D69" s="8" t="inlineStr">
        <is>
          <t>丹药</t>
        </is>
      </c>
      <c r="E69" s="8" t="inlineStr">
        <is>
          <t>pill</t>
        </is>
      </c>
      <c r="F69" s="8" t="inlineStr">
        <is>
          <t>mystic</t>
        </is>
      </c>
      <c r="G69" s="8" t="inlineStr">
        <is>
          <t>水</t>
        </is>
      </c>
      <c r="H69" s="8" t="inlineStr">
        <is>
          <t>water</t>
        </is>
      </c>
      <c r="I69" s="8" t="inlineStr">
        <is>
          <t>1×1</t>
        </is>
      </c>
      <c r="J69" s="8" t="n">
        <v>1</v>
      </c>
      <c r="K69" s="8" t="n">
        <v>2500</v>
      </c>
      <c r="L69" s="8" t="inlineStr">
        <is>
          <t>是</t>
        </is>
      </c>
      <c r="M69" s="9" t="inlineStr">
        <is>
          <t>bazaar；dynamicRandomReward</t>
        </is>
      </c>
      <c r="N69" s="8" t="n">
        <v>1</v>
      </c>
      <c r="O69" s="9" t="inlineStr">
        <is>
          <t>消耗品效果</t>
        </is>
      </c>
      <c r="P69" s="9" t="inlineStr">
        <is>
          <t>consumable</t>
        </is>
      </c>
      <c r="Q69" s="9" t="inlineStr">
        <is>
          <t>消耗品效果：拥有水灵根时，水灵根永久 +12；水灵根永久 +12</t>
        </is>
      </c>
      <c r="R69" s="9" t="inlineStr">
        <is>
          <t>spirit_root_nurture</t>
        </is>
      </c>
      <c r="S69" s="9" t="inlineStr">
        <is>
          <t>玄蓝丹丸由龟甲状水纹分格，幽黑丹心被清澈波纹环护，沉静深邃。</t>
        </is>
      </c>
      <c r="T69" s="8" t="inlineStr">
        <is>
          <t>pill_black_tortoise_root_cleansing_1x1</t>
        </is>
      </c>
      <c r="U69" s="8" t="inlineStr">
        <is>
          <t>allowed</t>
        </is>
      </c>
    </row>
    <row r="70" ht="34" customHeight="1">
      <c r="A70" s="8" t="n">
        <v>69</v>
      </c>
      <c r="B70" s="8" t="n">
        <v>300050</v>
      </c>
      <c r="C70" s="8" t="inlineStr">
        <is>
          <t>朱雀洗根丹</t>
        </is>
      </c>
      <c r="D70" s="8" t="inlineStr">
        <is>
          <t>丹药</t>
        </is>
      </c>
      <c r="E70" s="8" t="inlineStr">
        <is>
          <t>pill</t>
        </is>
      </c>
      <c r="F70" s="8" t="inlineStr">
        <is>
          <t>mystic</t>
        </is>
      </c>
      <c r="G70" s="8" t="inlineStr">
        <is>
          <t>火</t>
        </is>
      </c>
      <c r="H70" s="8" t="inlineStr">
        <is>
          <t>fire</t>
        </is>
      </c>
      <c r="I70" s="8" t="inlineStr">
        <is>
          <t>1×1</t>
        </is>
      </c>
      <c r="J70" s="8" t="n">
        <v>1</v>
      </c>
      <c r="K70" s="8" t="n">
        <v>2500</v>
      </c>
      <c r="L70" s="8" t="inlineStr">
        <is>
          <t>是</t>
        </is>
      </c>
      <c r="M70" s="9" t="inlineStr">
        <is>
          <t>bazaar；dynamicRandomReward</t>
        </is>
      </c>
      <c r="N70" s="8" t="n">
        <v>1</v>
      </c>
      <c r="O70" s="9" t="inlineStr">
        <is>
          <t>消耗品效果</t>
        </is>
      </c>
      <c r="P70" s="9" t="inlineStr">
        <is>
          <t>consumable</t>
        </is>
      </c>
      <c r="Q70" s="9" t="inlineStr">
        <is>
          <t>消耗品效果：拥有火灵根时，火灵根永久 +12；火灵根永久 +12</t>
        </is>
      </c>
      <c r="R70" s="9" t="inlineStr">
        <is>
          <t>spirit_root_nurture</t>
        </is>
      </c>
      <c r="S70" s="9" t="inlineStr">
        <is>
          <t>赤金丹丸展开羽翎般的焰纹，朱红丹衣层层收拢，火息清亮纯净。</t>
        </is>
      </c>
      <c r="T70" s="8" t="inlineStr">
        <is>
          <t>pill_vermilion_bird_root_cleansing_1x1</t>
        </is>
      </c>
      <c r="U70" s="8" t="inlineStr">
        <is>
          <t>allowed</t>
        </is>
      </c>
    </row>
    <row r="71" ht="34" customHeight="1">
      <c r="A71" s="8" t="n">
        <v>70</v>
      </c>
      <c r="B71" s="8" t="n">
        <v>300051</v>
      </c>
      <c r="C71" s="8" t="inlineStr">
        <is>
          <t>麒麟洗根丹</t>
        </is>
      </c>
      <c r="D71" s="8" t="inlineStr">
        <is>
          <t>丹药</t>
        </is>
      </c>
      <c r="E71" s="8" t="inlineStr">
        <is>
          <t>pill</t>
        </is>
      </c>
      <c r="F71" s="8" t="inlineStr">
        <is>
          <t>mystic</t>
        </is>
      </c>
      <c r="G71" s="8" t="inlineStr">
        <is>
          <t>土</t>
        </is>
      </c>
      <c r="H71" s="8" t="inlineStr">
        <is>
          <t>earth</t>
        </is>
      </c>
      <c r="I71" s="8" t="inlineStr">
        <is>
          <t>1×1</t>
        </is>
      </c>
      <c r="J71" s="8" t="n">
        <v>1</v>
      </c>
      <c r="K71" s="8" t="n">
        <v>2500</v>
      </c>
      <c r="L71" s="8" t="inlineStr">
        <is>
          <t>是</t>
        </is>
      </c>
      <c r="M71" s="9" t="inlineStr">
        <is>
          <t>bazaar；dynamicRandomReward</t>
        </is>
      </c>
      <c r="N71" s="8" t="n">
        <v>1</v>
      </c>
      <c r="O71" s="9" t="inlineStr">
        <is>
          <t>消耗品效果</t>
        </is>
      </c>
      <c r="P71" s="9" t="inlineStr">
        <is>
          <t>consumable</t>
        </is>
      </c>
      <c r="Q71" s="9" t="inlineStr">
        <is>
          <t>消耗品效果：拥有土灵根时，土灵根永久 +12；土灵根永久 +12</t>
        </is>
      </c>
      <c r="R71" s="9" t="inlineStr">
        <is>
          <t>spirit_root_nurture</t>
        </is>
      </c>
      <c r="S71" s="9" t="inlineStr">
        <is>
          <t>金褐丹丸覆着细密麟纹，中央地脉印沉稳端正，丹体温厚如暖玉。</t>
        </is>
      </c>
      <c r="T71" s="8" t="inlineStr">
        <is>
          <t>pill_qilin_root_cleansing_1x1</t>
        </is>
      </c>
      <c r="U71" s="8" t="inlineStr">
        <is>
          <t>allowed</t>
        </is>
      </c>
    </row>
    <row r="72" ht="34" customHeight="1">
      <c r="A72" s="8" t="n">
        <v>71</v>
      </c>
      <c r="B72" s="8" t="n">
        <v>300052</v>
      </c>
      <c r="C72" s="8" t="inlineStr">
        <is>
          <t>白帝铸根丹</t>
        </is>
      </c>
      <c r="D72" s="8" t="inlineStr">
        <is>
          <t>丹药</t>
        </is>
      </c>
      <c r="E72" s="8" t="inlineStr">
        <is>
          <t>pill</t>
        </is>
      </c>
      <c r="F72" s="8" t="inlineStr">
        <is>
          <t>earth</t>
        </is>
      </c>
      <c r="G72" s="8" t="inlineStr">
        <is>
          <t>金</t>
        </is>
      </c>
      <c r="H72" s="8" t="inlineStr">
        <is>
          <t>metal</t>
        </is>
      </c>
      <c r="I72" s="8" t="inlineStr">
        <is>
          <t>1×1</t>
        </is>
      </c>
      <c r="J72" s="8" t="n">
        <v>1</v>
      </c>
      <c r="K72" s="8" t="n">
        <v>10000</v>
      </c>
      <c r="L72" s="8" t="inlineStr">
        <is>
          <t>是</t>
        </is>
      </c>
      <c r="M72" s="9" t="inlineStr">
        <is>
          <t>bazaar；dynamicRandomReward</t>
        </is>
      </c>
      <c r="N72" s="8" t="n">
        <v>1</v>
      </c>
      <c r="O72" s="9" t="inlineStr">
        <is>
          <t>消耗品效果</t>
        </is>
      </c>
      <c r="P72" s="9" t="inlineStr">
        <is>
          <t>consumable</t>
        </is>
      </c>
      <c r="Q72" s="9" t="inlineStr">
        <is>
          <t>消耗品效果：拥有金灵根时，金灵根永久 +30；金灵根永久 +30</t>
        </is>
      </c>
      <c r="R72" s="9" t="inlineStr">
        <is>
          <t>spirit_root_nurture</t>
        </is>
      </c>
      <c r="S72" s="9" t="inlineStr">
        <is>
          <t>帝金色丹丸外有冠冕般的银白锋环，繁复金纹层层锁住澄澈丹心。</t>
        </is>
      </c>
      <c r="T72" s="8" t="inlineStr">
        <is>
          <t>pill_white_emperor_root_forging_1x1</t>
        </is>
      </c>
      <c r="U72" s="8" t="inlineStr">
        <is>
          <t>allowed</t>
        </is>
      </c>
    </row>
    <row r="73" ht="34" customHeight="1">
      <c r="A73" s="8" t="n">
        <v>72</v>
      </c>
      <c r="B73" s="8" t="n">
        <v>300053</v>
      </c>
      <c r="C73" s="8" t="inlineStr">
        <is>
          <t>青帝铸根丹</t>
        </is>
      </c>
      <c r="D73" s="8" t="inlineStr">
        <is>
          <t>丹药</t>
        </is>
      </c>
      <c r="E73" s="8" t="inlineStr">
        <is>
          <t>pill</t>
        </is>
      </c>
      <c r="F73" s="8" t="inlineStr">
        <is>
          <t>earth</t>
        </is>
      </c>
      <c r="G73" s="8" t="inlineStr">
        <is>
          <t>木</t>
        </is>
      </c>
      <c r="H73" s="8" t="inlineStr">
        <is>
          <t>wood</t>
        </is>
      </c>
      <c r="I73" s="8" t="inlineStr">
        <is>
          <t>1×1</t>
        </is>
      </c>
      <c r="J73" s="8" t="n">
        <v>1</v>
      </c>
      <c r="K73" s="8" t="n">
        <v>10000</v>
      </c>
      <c r="L73" s="8" t="inlineStr">
        <is>
          <t>是</t>
        </is>
      </c>
      <c r="M73" s="9" t="inlineStr">
        <is>
          <t>bazaar；dynamicRandomReward</t>
        </is>
      </c>
      <c r="N73" s="8" t="n">
        <v>1</v>
      </c>
      <c r="O73" s="9" t="inlineStr">
        <is>
          <t>消耗品效果</t>
        </is>
      </c>
      <c r="P73" s="9" t="inlineStr">
        <is>
          <t>consumable</t>
        </is>
      </c>
      <c r="Q73" s="9" t="inlineStr">
        <is>
          <t>消耗品效果：拥有木灵根时，木灵根永久 +30；木灵根永久 +30</t>
        </is>
      </c>
      <c r="R73" s="9" t="inlineStr">
        <is>
          <t>spirit_root_nurture</t>
        </is>
      </c>
      <c r="S73" s="9" t="inlineStr">
        <is>
          <t>帝青丹丸由玉叶与龙纹交叠成冠，翠色丹心如古木年轮般深厚。</t>
        </is>
      </c>
      <c r="T73" s="8" t="inlineStr">
        <is>
          <t>pill_azure_emperor_root_forging_1x1</t>
        </is>
      </c>
      <c r="U73" s="8" t="inlineStr">
        <is>
          <t>allowed</t>
        </is>
      </c>
    </row>
    <row r="74" ht="34" customHeight="1">
      <c r="A74" s="8" t="n">
        <v>73</v>
      </c>
      <c r="B74" s="8" t="n">
        <v>300054</v>
      </c>
      <c r="C74" s="8" t="inlineStr">
        <is>
          <t>黑帝铸根丹</t>
        </is>
      </c>
      <c r="D74" s="8" t="inlineStr">
        <is>
          <t>丹药</t>
        </is>
      </c>
      <c r="E74" s="8" t="inlineStr">
        <is>
          <t>pill</t>
        </is>
      </c>
      <c r="F74" s="8" t="inlineStr">
        <is>
          <t>earth</t>
        </is>
      </c>
      <c r="G74" s="8" t="inlineStr">
        <is>
          <t>水</t>
        </is>
      </c>
      <c r="H74" s="8" t="inlineStr">
        <is>
          <t>water</t>
        </is>
      </c>
      <c r="I74" s="8" t="inlineStr">
        <is>
          <t>1×1</t>
        </is>
      </c>
      <c r="J74" s="8" t="n">
        <v>1</v>
      </c>
      <c r="K74" s="8" t="n">
        <v>10000</v>
      </c>
      <c r="L74" s="8" t="inlineStr">
        <is>
          <t>是</t>
        </is>
      </c>
      <c r="M74" s="9" t="inlineStr">
        <is>
          <t>bazaar；dynamicRandomReward</t>
        </is>
      </c>
      <c r="N74" s="8" t="n">
        <v>1</v>
      </c>
      <c r="O74" s="9" t="inlineStr">
        <is>
          <t>消耗品效果</t>
        </is>
      </c>
      <c r="P74" s="9" t="inlineStr">
        <is>
          <t>consumable</t>
        </is>
      </c>
      <c r="Q74" s="9" t="inlineStr">
        <is>
          <t>消耗品效果：拥有水灵根时，水灵根永久 +30；水灵根永久 +30</t>
        </is>
      </c>
      <c r="R74" s="9" t="inlineStr">
        <is>
          <t>spirit_root_nurture</t>
        </is>
      </c>
      <c r="S74" s="9" t="inlineStr">
        <is>
          <t>玄黑丹丸托着深蓝水冠，银色潮纹围成多重环带，幽光凝练庄重。</t>
        </is>
      </c>
      <c r="T74" s="8" t="inlineStr">
        <is>
          <t>pill_black_emperor_root_forging_1x1</t>
        </is>
      </c>
      <c r="U74" s="8" t="inlineStr">
        <is>
          <t>allowed</t>
        </is>
      </c>
    </row>
    <row r="75" ht="34" customHeight="1">
      <c r="A75" s="8" t="n">
        <v>74</v>
      </c>
      <c r="B75" s="8" t="n">
        <v>300055</v>
      </c>
      <c r="C75" s="8" t="inlineStr">
        <is>
          <t>赤帝铸根丹</t>
        </is>
      </c>
      <c r="D75" s="8" t="inlineStr">
        <is>
          <t>丹药</t>
        </is>
      </c>
      <c r="E75" s="8" t="inlineStr">
        <is>
          <t>pill</t>
        </is>
      </c>
      <c r="F75" s="8" t="inlineStr">
        <is>
          <t>earth</t>
        </is>
      </c>
      <c r="G75" s="8" t="inlineStr">
        <is>
          <t>火</t>
        </is>
      </c>
      <c r="H75" s="8" t="inlineStr">
        <is>
          <t>fire</t>
        </is>
      </c>
      <c r="I75" s="8" t="inlineStr">
        <is>
          <t>1×1</t>
        </is>
      </c>
      <c r="J75" s="8" t="n">
        <v>1</v>
      </c>
      <c r="K75" s="8" t="n">
        <v>10000</v>
      </c>
      <c r="L75" s="8" t="inlineStr">
        <is>
          <t>是</t>
        </is>
      </c>
      <c r="M75" s="9" t="inlineStr">
        <is>
          <t>bazaar；dynamicRandomReward</t>
        </is>
      </c>
      <c r="N75" s="8" t="n">
        <v>1</v>
      </c>
      <c r="O75" s="9" t="inlineStr">
        <is>
          <t>消耗品效果</t>
        </is>
      </c>
      <c r="P75" s="9" t="inlineStr">
        <is>
          <t>consumable</t>
        </is>
      </c>
      <c r="Q75" s="9" t="inlineStr">
        <is>
          <t>消耗品效果：拥有火灵根时，火灵根永久 +30；火灵根永久 +30</t>
        </is>
      </c>
      <c r="R75" s="9" t="inlineStr">
        <is>
          <t>spirit_root_nurture</t>
        </is>
      </c>
      <c r="S75" s="9" t="inlineStr">
        <is>
          <t>赤金丹丸以五重焰瓣围合，丹心明亮如炉中真火，纹饰庄严精工。</t>
        </is>
      </c>
      <c r="T75" s="8" t="inlineStr">
        <is>
          <t>pill_red_emperor_root_forging_1x1</t>
        </is>
      </c>
      <c r="U75" s="8" t="inlineStr">
        <is>
          <t>allowed</t>
        </is>
      </c>
    </row>
    <row r="76" ht="34" customHeight="1">
      <c r="A76" s="8" t="n">
        <v>75</v>
      </c>
      <c r="B76" s="8" t="n">
        <v>300056</v>
      </c>
      <c r="C76" s="8" t="inlineStr">
        <is>
          <t>黄帝铸根丹</t>
        </is>
      </c>
      <c r="D76" s="8" t="inlineStr">
        <is>
          <t>丹药</t>
        </is>
      </c>
      <c r="E76" s="8" t="inlineStr">
        <is>
          <t>pill</t>
        </is>
      </c>
      <c r="F76" s="8" t="inlineStr">
        <is>
          <t>earth</t>
        </is>
      </c>
      <c r="G76" s="8" t="inlineStr">
        <is>
          <t>土</t>
        </is>
      </c>
      <c r="H76" s="8" t="inlineStr">
        <is>
          <t>earth</t>
        </is>
      </c>
      <c r="I76" s="8" t="inlineStr">
        <is>
          <t>1×1</t>
        </is>
      </c>
      <c r="J76" s="8" t="n">
        <v>1</v>
      </c>
      <c r="K76" s="8" t="n">
        <v>10000</v>
      </c>
      <c r="L76" s="8" t="inlineStr">
        <is>
          <t>是</t>
        </is>
      </c>
      <c r="M76" s="9" t="inlineStr">
        <is>
          <t>bazaar；dynamicRandomReward</t>
        </is>
      </c>
      <c r="N76" s="8" t="n">
        <v>1</v>
      </c>
      <c r="O76" s="9" t="inlineStr">
        <is>
          <t>消耗品效果</t>
        </is>
      </c>
      <c r="P76" s="9" t="inlineStr">
        <is>
          <t>consumable</t>
        </is>
      </c>
      <c r="Q76" s="9" t="inlineStr">
        <is>
          <t>消耗品效果：拥有土灵根时，土灵根永久 +30；土灵根永久 +30</t>
        </is>
      </c>
      <c r="R76" s="9" t="inlineStr">
        <is>
          <t>spirit_root_nurture</t>
        </is>
      </c>
      <c r="S76" s="9" t="inlineStr">
        <is>
          <t>帝黄色丹丸承载山河般的层叠地纹，玉质丹壳厚重，中央土印端凝。</t>
        </is>
      </c>
      <c r="T76" s="8" t="inlineStr">
        <is>
          <t>pill_yellow_emperor_root_forging_1x1</t>
        </is>
      </c>
      <c r="U76" s="8" t="inlineStr">
        <is>
          <t>allowed</t>
        </is>
      </c>
    </row>
    <row r="77" ht="34" customHeight="1">
      <c r="A77" s="8" t="n">
        <v>76</v>
      </c>
      <c r="B77" s="8" t="n">
        <v>300057</v>
      </c>
      <c r="C77" s="8" t="inlineStr">
        <is>
          <t>金髓丹</t>
        </is>
      </c>
      <c r="D77" s="8" t="inlineStr">
        <is>
          <t>丹药</t>
        </is>
      </c>
      <c r="E77" s="8" t="inlineStr">
        <is>
          <t>pill</t>
        </is>
      </c>
      <c r="F77" s="8" t="inlineStr">
        <is>
          <t>spirit</t>
        </is>
      </c>
      <c r="G77" s="8" t="inlineStr">
        <is>
          <t>火</t>
        </is>
      </c>
      <c r="H77" s="8" t="inlineStr">
        <is>
          <t>fire</t>
        </is>
      </c>
      <c r="I77" s="8" t="inlineStr">
        <is>
          <t>1×1</t>
        </is>
      </c>
      <c r="J77" s="8" t="n">
        <v>1</v>
      </c>
      <c r="K77" s="8" t="n">
        <v>25</v>
      </c>
      <c r="L77" s="8" t="inlineStr">
        <is>
          <t>是</t>
        </is>
      </c>
      <c r="M77" s="9" t="inlineStr">
        <is>
          <t>bazaar；alchemyCrafting；dynamicRandomReward</t>
        </is>
      </c>
      <c r="N77" s="8" t="n">
        <v>1</v>
      </c>
      <c r="O77" s="9" t="inlineStr">
        <is>
          <t>消耗品效果</t>
        </is>
      </c>
      <c r="P77" s="9" t="inlineStr">
        <is>
          <t>consumable</t>
        </is>
      </c>
      <c r="Q77" s="9" t="inlineStr">
        <is>
          <t>消耗品效果：恢复 100 点气血、100 点体力和 100 点法力</t>
        </is>
      </c>
      <c r="R77" s="9" t="inlineStr">
        <is>
          <t>qingque_special</t>
        </is>
      </c>
      <c r="S77" s="9" t="inlineStr">
        <is>
          <t>金色丹丸凝着温润药辉，入口后如一缕暖流缓缓行遍周身。</t>
        </is>
      </c>
      <c r="T77" s="8" t="inlineStr">
        <is>
          <t>pill_cloudfire_talisman_1x1</t>
        </is>
      </c>
      <c r="U77" s="8" t="inlineStr">
        <is>
          <t>allowed</t>
        </is>
      </c>
    </row>
    <row r="78" ht="34" customHeight="1">
      <c r="A78" s="8" t="n">
        <v>77</v>
      </c>
      <c r="B78" s="8" t="n">
        <v>300058</v>
      </c>
      <c r="C78" s="8" t="inlineStr">
        <is>
          <t>养元丹</t>
        </is>
      </c>
      <c r="D78" s="8" t="inlineStr">
        <is>
          <t>丹药</t>
        </is>
      </c>
      <c r="E78" s="8" t="inlineStr">
        <is>
          <t>pill</t>
        </is>
      </c>
      <c r="F78" s="8" t="inlineStr">
        <is>
          <t>spirit</t>
        </is>
      </c>
      <c r="G78" s="8" t="inlineStr">
        <is>
          <t>木</t>
        </is>
      </c>
      <c r="H78" s="8" t="inlineStr">
        <is>
          <t>wood</t>
        </is>
      </c>
      <c r="I78" s="8" t="inlineStr">
        <is>
          <t>1×1</t>
        </is>
      </c>
      <c r="J78" s="8" t="n">
        <v>1</v>
      </c>
      <c r="K78" s="8" t="n">
        <v>25</v>
      </c>
      <c r="L78" s="8" t="inlineStr">
        <is>
          <t>是</t>
        </is>
      </c>
      <c r="M78" s="9" t="inlineStr">
        <is>
          <t>bazaar；alchemyCrafting；dynamicRandomReward</t>
        </is>
      </c>
      <c r="N78" s="8" t="n">
        <v>1</v>
      </c>
      <c r="O78" s="9" t="inlineStr">
        <is>
          <t>消耗品效果</t>
        </is>
      </c>
      <c r="P78" s="9" t="inlineStr">
        <is>
          <t>consumable</t>
        </is>
      </c>
      <c r="Q78" s="9" t="inlineStr">
        <is>
          <t>消耗品效果：获得 50 层再生</t>
        </is>
      </c>
      <c r="R78" s="9" t="inlineStr">
        <is>
          <t>qingque_special</t>
        </is>
      </c>
      <c r="S78" s="9" t="inlineStr">
        <is>
          <t>金白药丸伏在叶纹小盏中，药香沉静，像把一缕温润生机藏入腹内。</t>
        </is>
      </c>
      <c r="T78" s="8" t="inlineStr">
        <is>
          <t>pill_leaf_cradled_reliquary_f2324v1_1x1</t>
        </is>
      </c>
      <c r="U78" s="8" t="inlineStr">
        <is>
          <t>allowed</t>
        </is>
      </c>
    </row>
    <row r="79" ht="34" customHeight="1">
      <c r="A79" s="8" t="n">
        <v>78</v>
      </c>
      <c r="B79" s="8" t="n">
        <v>300059</v>
      </c>
      <c r="C79" s="8" t="inlineStr">
        <is>
          <t>回灵丹</t>
        </is>
      </c>
      <c r="D79" s="8" t="inlineStr">
        <is>
          <t>丹药</t>
        </is>
      </c>
      <c r="E79" s="8" t="inlineStr">
        <is>
          <t>pill</t>
        </is>
      </c>
      <c r="F79" s="8" t="inlineStr">
        <is>
          <t>spirit</t>
        </is>
      </c>
      <c r="G79" s="8" t="inlineStr">
        <is>
          <t>水</t>
        </is>
      </c>
      <c r="H79" s="8" t="inlineStr">
        <is>
          <t>water</t>
        </is>
      </c>
      <c r="I79" s="8" t="inlineStr">
        <is>
          <t>1×1</t>
        </is>
      </c>
      <c r="J79" s="8" t="n">
        <v>1</v>
      </c>
      <c r="K79" s="8" t="n">
        <v>25</v>
      </c>
      <c r="L79" s="8" t="inlineStr">
        <is>
          <t>是</t>
        </is>
      </c>
      <c r="M79" s="9" t="inlineStr">
        <is>
          <t>bazaar；alchemyCrafting；dynamicRandomReward</t>
        </is>
      </c>
      <c r="N79" s="8" t="n">
        <v>1</v>
      </c>
      <c r="O79" s="9" t="inlineStr">
        <is>
          <t>消耗品效果</t>
        </is>
      </c>
      <c r="P79" s="9" t="inlineStr">
        <is>
          <t>consumable</t>
        </is>
      </c>
      <c r="Q79" s="9" t="inlineStr">
        <is>
          <t>消耗品效果：恢复 300 点法力</t>
        </is>
      </c>
      <c r="R79" s="9" t="inlineStr">
        <is>
          <t>qingque_special</t>
        </is>
      </c>
      <c r="S79" s="9" t="inlineStr">
        <is>
          <t>青瓷小瓶中浮着一丸清凉丹气，拔塞时仿佛有月下水汽漫上眉心。</t>
        </is>
      </c>
      <c r="T79" s="8" t="inlineStr">
        <is>
          <t>pill_leaf_talisman_sheet_1x1</t>
        </is>
      </c>
      <c r="U79" s="8" t="inlineStr">
        <is>
          <t>allowed</t>
        </is>
      </c>
    </row>
    <row r="80" ht="34" customHeight="1">
      <c r="A80" s="8" t="n">
        <v>79</v>
      </c>
      <c r="B80" s="8" t="n">
        <v>300060</v>
      </c>
      <c r="C80" s="8" t="inlineStr">
        <is>
          <t>凡品残丹</t>
        </is>
      </c>
      <c r="D80" s="8" t="inlineStr">
        <is>
          <t>丹药</t>
        </is>
      </c>
      <c r="E80" s="8" t="inlineStr">
        <is>
          <t>pill</t>
        </is>
      </c>
      <c r="F80" s="8" t="inlineStr">
        <is>
          <t>common</t>
        </is>
      </c>
      <c r="G80" s="8" t="inlineStr">
        <is>
          <t>无</t>
        </is>
      </c>
      <c r="H80" s="8" t="inlineStr">
        <is>
          <t>none</t>
        </is>
      </c>
      <c r="I80" s="8" t="inlineStr">
        <is>
          <t>1×1</t>
        </is>
      </c>
      <c r="J80" s="8" t="n">
        <v>1</v>
      </c>
      <c r="K80" s="8" t="n">
        <v>0</v>
      </c>
      <c r="L80" s="8" t="inlineStr">
        <is>
          <t>是</t>
        </is>
      </c>
      <c r="M80" s="9" t="inlineStr">
        <is>
          <t>alchemyCrafting</t>
        </is>
      </c>
      <c r="N80" s="8" t="n">
        <v>1</v>
      </c>
      <c r="O80" s="9" t="inlineStr">
        <is>
          <t>消耗品效果</t>
        </is>
      </c>
      <c r="P80" s="9" t="inlineStr">
        <is>
          <t>consumable</t>
        </is>
      </c>
      <c r="Q80" s="9" t="inlineStr">
        <is>
          <t>消耗品效果：恢复 3 点法力</t>
        </is>
      </c>
      <c r="R80" s="9" t="inlineStr"/>
      <c r="S80" s="9" t="inlineStr">
        <is>
          <t>炼制失败后留下的凡品残丹，裂纹间还留着一点温吞药性，勉强可作行路时的回气之用。</t>
        </is>
      </c>
      <c r="T80" s="8" t="inlineStr">
        <is>
          <t>pill_alchemy_residual_common_1x1</t>
        </is>
      </c>
      <c r="U80" s="8" t="inlineStr">
        <is>
          <t>allowed</t>
        </is>
      </c>
    </row>
    <row r="81" ht="34" customHeight="1">
      <c r="A81" s="8" t="n">
        <v>80</v>
      </c>
      <c r="B81" s="8" t="n">
        <v>300061</v>
      </c>
      <c r="C81" s="8" t="inlineStr">
        <is>
          <t>灵品残丹</t>
        </is>
      </c>
      <c r="D81" s="8" t="inlineStr">
        <is>
          <t>丹药</t>
        </is>
      </c>
      <c r="E81" s="8" t="inlineStr">
        <is>
          <t>pill</t>
        </is>
      </c>
      <c r="F81" s="8" t="inlineStr">
        <is>
          <t>spirit</t>
        </is>
      </c>
      <c r="G81" s="8" t="inlineStr">
        <is>
          <t>无</t>
        </is>
      </c>
      <c r="H81" s="8" t="inlineStr">
        <is>
          <t>none</t>
        </is>
      </c>
      <c r="I81" s="8" t="inlineStr">
        <is>
          <t>1×1</t>
        </is>
      </c>
      <c r="J81" s="8" t="n">
        <v>1</v>
      </c>
      <c r="K81" s="8" t="n">
        <v>0</v>
      </c>
      <c r="L81" s="8" t="inlineStr">
        <is>
          <t>是</t>
        </is>
      </c>
      <c r="M81" s="9" t="inlineStr">
        <is>
          <t>bazaar；dynamicRandomReward</t>
        </is>
      </c>
      <c r="N81" s="8" t="n">
        <v>1</v>
      </c>
      <c r="O81" s="9" t="inlineStr">
        <is>
          <t>消耗品效果</t>
        </is>
      </c>
      <c r="P81" s="9" t="inlineStr">
        <is>
          <t>consumable</t>
        </is>
      </c>
      <c r="Q81" s="9" t="inlineStr">
        <is>
          <t>消耗品效果：恢复 30 点法力</t>
        </is>
      </c>
      <c r="R81" s="9" t="inlineStr"/>
      <c r="S81" s="9" t="inlineStr">
        <is>
          <t>灵火收束时略偏一线，紫青丹壳虽裂，内里仍封着可供回纳的一缕灵息。</t>
        </is>
      </c>
      <c r="T81" s="8" t="inlineStr">
        <is>
          <t>pill_alchemy_residual_spirit_1x1</t>
        </is>
      </c>
      <c r="U81" s="8" t="inlineStr">
        <is>
          <t>allowed</t>
        </is>
      </c>
    </row>
    <row r="82" ht="34" customHeight="1">
      <c r="A82" s="8" t="n">
        <v>81</v>
      </c>
      <c r="B82" s="8" t="n">
        <v>300062</v>
      </c>
      <c r="C82" s="8" t="inlineStr">
        <is>
          <t>筑基丹</t>
        </is>
      </c>
      <c r="D82" s="8" t="inlineStr">
        <is>
          <t>丹药</t>
        </is>
      </c>
      <c r="E82" s="8" t="inlineStr">
        <is>
          <t>pill</t>
        </is>
      </c>
      <c r="F82" s="8" t="inlineStr">
        <is>
          <t>common</t>
        </is>
      </c>
      <c r="G82" s="8" t="inlineStr">
        <is>
          <t>无</t>
        </is>
      </c>
      <c r="H82" s="8" t="inlineStr">
        <is>
          <t>none</t>
        </is>
      </c>
      <c r="I82" s="8" t="inlineStr">
        <is>
          <t>1×1</t>
        </is>
      </c>
      <c r="J82" s="8" t="n">
        <v>1</v>
      </c>
      <c r="K82" s="8" t="n">
        <v>240</v>
      </c>
      <c r="L82" s="8" t="inlineStr">
        <is>
          <t>是</t>
        </is>
      </c>
      <c r="M82" s="9" t="inlineStr">
        <is>
          <t>alchemyCrafting；questStoryReward</t>
        </is>
      </c>
      <c r="N82" s="8" t="n">
        <v>1</v>
      </c>
      <c r="O82" s="9" t="inlineStr">
        <is>
          <t>消耗品效果</t>
        </is>
      </c>
      <c r="P82" s="9" t="inlineStr">
        <is>
          <t>consumable</t>
        </is>
      </c>
      <c r="Q82" s="9" t="inlineStr">
        <is>
          <t>消耗品效果：服下此丹，助力筑基破境</t>
        </is>
      </c>
      <c r="R82" s="9" t="inlineStr"/>
      <c r="S82" s="9" t="inlineStr">
        <is>
          <t>金纹收束在青黑丹皮里，丹心像一枚尚未点亮的地脉星火；从仓库服下后，药力便会沉入经脉，留下可核验的破境印记。</t>
        </is>
      </c>
      <c r="T82" s="8" t="inlineStr">
        <is>
          <t>pill_foundation_breakthrough_dan_1x1</t>
        </is>
      </c>
      <c r="U82" s="8" t="inlineStr">
        <is>
          <t>allowed</t>
        </is>
      </c>
    </row>
    <row r="83" ht="34" customHeight="1">
      <c r="A83" s="8" t="n">
        <v>82</v>
      </c>
      <c r="B83" s="8" t="n">
        <v>300063</v>
      </c>
      <c r="C83" s="8" t="inlineStr">
        <is>
          <t>凝寒丹</t>
        </is>
      </c>
      <c r="D83" s="8" t="inlineStr">
        <is>
          <t>丹药</t>
        </is>
      </c>
      <c r="E83" s="8" t="inlineStr">
        <is>
          <t>pill</t>
        </is>
      </c>
      <c r="F83" s="8" t="inlineStr">
        <is>
          <t>common</t>
        </is>
      </c>
      <c r="G83" s="8" t="inlineStr">
        <is>
          <t>水</t>
        </is>
      </c>
      <c r="H83" s="8" t="inlineStr">
        <is>
          <t>water</t>
        </is>
      </c>
      <c r="I83" s="8" t="inlineStr">
        <is>
          <t>1×1</t>
        </is>
      </c>
      <c r="J83" s="8" t="n">
        <v>1</v>
      </c>
      <c r="K83" s="8" t="n">
        <v>2</v>
      </c>
      <c r="L83" s="8" t="inlineStr">
        <is>
          <t>是</t>
        </is>
      </c>
      <c r="M83" s="9" t="inlineStr">
        <is>
          <t>bazaar；dynamicRandomReward</t>
        </is>
      </c>
      <c r="N83" s="8" t="n">
        <v>1</v>
      </c>
      <c r="O83" s="9" t="inlineStr">
        <is>
          <t>消耗品效果</t>
        </is>
      </c>
      <c r="P83" s="9" t="inlineStr">
        <is>
          <t>consumable</t>
        </is>
      </c>
      <c r="Q83" s="9" t="inlineStr">
        <is>
          <t>消耗品效果：寒冷上限永久 +1</t>
        </is>
      </c>
      <c r="R83" s="9" t="inlineStr">
        <is>
          <t>buff_upper_limit</t>
        </is>
      </c>
      <c r="S83" s="9" t="inlineStr">
        <is>
          <t>冰蓝丹丸封着一圈细霜，丹心清凉如晨雪初融。</t>
        </is>
      </c>
      <c r="T83" s="8" t="inlineStr">
        <is>
          <t>pill_jade_void_life_returning_pill_1x1</t>
        </is>
      </c>
      <c r="U83" s="8" t="inlineStr">
        <is>
          <t>allowed</t>
        </is>
      </c>
    </row>
    <row r="84" ht="34" customHeight="1">
      <c r="A84" s="8" t="n">
        <v>83</v>
      </c>
      <c r="B84" s="8" t="n">
        <v>300064</v>
      </c>
      <c r="C84" s="8" t="inlineStr">
        <is>
          <t>负岳丹</t>
        </is>
      </c>
      <c r="D84" s="8" t="inlineStr">
        <is>
          <t>丹药</t>
        </is>
      </c>
      <c r="E84" s="8" t="inlineStr">
        <is>
          <t>pill</t>
        </is>
      </c>
      <c r="F84" s="8" t="inlineStr">
        <is>
          <t>common</t>
        </is>
      </c>
      <c r="G84" s="8" t="inlineStr">
        <is>
          <t>土</t>
        </is>
      </c>
      <c r="H84" s="8" t="inlineStr">
        <is>
          <t>earth</t>
        </is>
      </c>
      <c r="I84" s="8" t="inlineStr">
        <is>
          <t>1×1</t>
        </is>
      </c>
      <c r="J84" s="8" t="n">
        <v>1</v>
      </c>
      <c r="K84" s="8" t="n">
        <v>2</v>
      </c>
      <c r="L84" s="8" t="inlineStr">
        <is>
          <t>是</t>
        </is>
      </c>
      <c r="M84" s="9" t="inlineStr">
        <is>
          <t>bazaar；dynamicRandomReward</t>
        </is>
      </c>
      <c r="N84" s="8" t="n">
        <v>1</v>
      </c>
      <c r="O84" s="9" t="inlineStr">
        <is>
          <t>消耗品效果</t>
        </is>
      </c>
      <c r="P84" s="9" t="inlineStr">
        <is>
          <t>consumable</t>
        </is>
      </c>
      <c r="Q84" s="9" t="inlineStr">
        <is>
          <t>消耗品效果：蓄势上限永久 +1</t>
        </is>
      </c>
      <c r="R84" s="9" t="inlineStr">
        <is>
          <t>buff_upper_limit</t>
        </is>
      </c>
      <c r="S84" s="9" t="inlineStr">
        <is>
          <t>土黄厚丸沉稳如石，药纹层层叠起，入口便有坠地之感。</t>
        </is>
      </c>
      <c r="T84" s="8" t="inlineStr">
        <is>
          <t>pill_condensed_earth_powder_1x1</t>
        </is>
      </c>
      <c r="U84" s="8" t="inlineStr">
        <is>
          <t>allowed</t>
        </is>
      </c>
    </row>
    <row r="85" ht="34" customHeight="1">
      <c r="A85" s="8" t="n">
        <v>84</v>
      </c>
      <c r="B85" s="8" t="n">
        <v>300065</v>
      </c>
      <c r="C85" s="8" t="inlineStr">
        <is>
          <t>轻身丹</t>
        </is>
      </c>
      <c r="D85" s="8" t="inlineStr">
        <is>
          <t>丹药</t>
        </is>
      </c>
      <c r="E85" s="8" t="inlineStr">
        <is>
          <t>pill</t>
        </is>
      </c>
      <c r="F85" s="8" t="inlineStr">
        <is>
          <t>common</t>
        </is>
      </c>
      <c r="G85" s="8" t="inlineStr">
        <is>
          <t>风</t>
        </is>
      </c>
      <c r="H85" s="8" t="inlineStr">
        <is>
          <t>wind</t>
        </is>
      </c>
      <c r="I85" s="8" t="inlineStr">
        <is>
          <t>1×1</t>
        </is>
      </c>
      <c r="J85" s="8" t="n">
        <v>1</v>
      </c>
      <c r="K85" s="8" t="n">
        <v>5</v>
      </c>
      <c r="L85" s="8" t="inlineStr">
        <is>
          <t>是</t>
        </is>
      </c>
      <c r="M85" s="9" t="inlineStr">
        <is>
          <t>bazaar；dynamicRandomReward</t>
        </is>
      </c>
      <c r="N85" s="8" t="n">
        <v>1</v>
      </c>
      <c r="O85" s="9" t="inlineStr">
        <is>
          <t>消耗品效果</t>
        </is>
      </c>
      <c r="P85" s="9" t="inlineStr">
        <is>
          <t>consumable</t>
        </is>
      </c>
      <c r="Q85" s="9" t="inlineStr">
        <is>
          <t>消耗品效果：敏捷上限永久 +1</t>
        </is>
      </c>
      <c r="R85" s="9" t="inlineStr">
        <is>
          <t>buff_upper_limit</t>
        </is>
      </c>
      <c r="S85" s="9" t="inlineStr">
        <is>
          <t>青碧小丹浮着细叶纹，药气轻灵，仿佛一口风贴过脚踝。</t>
        </is>
      </c>
      <c r="T85" s="8" t="inlineStr">
        <is>
          <t>pill_breath_concealing_pellet_1x1</t>
        </is>
      </c>
      <c r="U85" s="8" t="inlineStr">
        <is>
          <t>allowed</t>
        </is>
      </c>
    </row>
    <row r="86" ht="34" customHeight="1">
      <c r="A86" s="8" t="n">
        <v>85</v>
      </c>
      <c r="B86" s="8" t="n">
        <v>300066</v>
      </c>
      <c r="C86" s="8" t="inlineStr">
        <is>
          <t>露华丹</t>
        </is>
      </c>
      <c r="D86" s="8" t="inlineStr">
        <is>
          <t>丹药</t>
        </is>
      </c>
      <c r="E86" s="8" t="inlineStr">
        <is>
          <t>pill</t>
        </is>
      </c>
      <c r="F86" s="8" t="inlineStr">
        <is>
          <t>common</t>
        </is>
      </c>
      <c r="G86" s="8" t="inlineStr">
        <is>
          <t>水</t>
        </is>
      </c>
      <c r="H86" s="8" t="inlineStr">
        <is>
          <t>water</t>
        </is>
      </c>
      <c r="I86" s="8" t="inlineStr">
        <is>
          <t>1×1</t>
        </is>
      </c>
      <c r="J86" s="8" t="n">
        <v>1</v>
      </c>
      <c r="K86" s="8" t="n">
        <v>2</v>
      </c>
      <c r="L86" s="8" t="inlineStr">
        <is>
          <t>是</t>
        </is>
      </c>
      <c r="M86" s="9" t="inlineStr">
        <is>
          <t>bazaar；dynamicRandomReward</t>
        </is>
      </c>
      <c r="N86" s="8" t="n">
        <v>1</v>
      </c>
      <c r="O86" s="9" t="inlineStr">
        <is>
          <t>消耗品效果</t>
        </is>
      </c>
      <c r="P86" s="9" t="inlineStr">
        <is>
          <t>consumable</t>
        </is>
      </c>
      <c r="Q86" s="9" t="inlineStr">
        <is>
          <t>消耗品效果：露水上限永久 +1</t>
        </is>
      </c>
      <c r="R86" s="9" t="inlineStr">
        <is>
          <t>buff_upper_limit</t>
        </is>
      </c>
      <c r="S86" s="9" t="inlineStr">
        <is>
          <t>水润丹壳透出一线青光，摇动时像有晨露在丹心凝聚。</t>
        </is>
      </c>
      <c r="T86" s="8" t="inlineStr">
        <is>
          <t>pill_nine_blossom_jade_dew_pill_1x1</t>
        </is>
      </c>
      <c r="U86" s="8" t="inlineStr">
        <is>
          <t>allowed</t>
        </is>
      </c>
    </row>
    <row r="87" ht="34" customHeight="1">
      <c r="A87" s="8" t="n">
        <v>86</v>
      </c>
      <c r="B87" s="8" t="n">
        <v>300067</v>
      </c>
      <c r="C87" s="8" t="inlineStr">
        <is>
          <t>凝金丹</t>
        </is>
      </c>
      <c r="D87" s="8" t="inlineStr">
        <is>
          <t>丹药</t>
        </is>
      </c>
      <c r="E87" s="8" t="inlineStr">
        <is>
          <t>pill</t>
        </is>
      </c>
      <c r="F87" s="8" t="inlineStr">
        <is>
          <t>common</t>
        </is>
      </c>
      <c r="G87" s="8" t="inlineStr">
        <is>
          <t>金</t>
        </is>
      </c>
      <c r="H87" s="8" t="inlineStr">
        <is>
          <t>metal</t>
        </is>
      </c>
      <c r="I87" s="8" t="inlineStr">
        <is>
          <t>1×1</t>
        </is>
      </c>
      <c r="J87" s="8" t="n">
        <v>1</v>
      </c>
      <c r="K87" s="8" t="n">
        <v>2</v>
      </c>
      <c r="L87" s="8" t="inlineStr">
        <is>
          <t>是</t>
        </is>
      </c>
      <c r="M87" s="9" t="inlineStr">
        <is>
          <t>bazaar；dynamicRandomReward</t>
        </is>
      </c>
      <c r="N87" s="8" t="n">
        <v>1</v>
      </c>
      <c r="O87" s="9" t="inlineStr">
        <is>
          <t>消耗品效果</t>
        </is>
      </c>
      <c r="P87" s="9" t="inlineStr">
        <is>
          <t>consumable</t>
        </is>
      </c>
      <c r="Q87" s="9" t="inlineStr">
        <is>
          <t>消耗品效果：凝金上限永久 +1</t>
        </is>
      </c>
      <c r="R87" s="9" t="inlineStr">
        <is>
          <t>buff_upper_limit</t>
        </is>
      </c>
      <c r="S87" s="9" t="inlineStr">
        <is>
          <t>银灰丹珠边缘泛起金属冷辉，药纹细密得像新铸的鳞片。</t>
        </is>
      </c>
      <c r="T87" s="8" t="inlineStr">
        <is>
          <t>pill_jade_dew_pill_1x1</t>
        </is>
      </c>
      <c r="U87" s="8" t="inlineStr">
        <is>
          <t>allowed</t>
        </is>
      </c>
    </row>
    <row r="88" ht="34" customHeight="1">
      <c r="A88" s="8" t="n">
        <v>87</v>
      </c>
      <c r="B88" s="8" t="n">
        <v>300068</v>
      </c>
      <c r="C88" s="8" t="inlineStr">
        <is>
          <t>护甲丹</t>
        </is>
      </c>
      <c r="D88" s="8" t="inlineStr">
        <is>
          <t>丹药</t>
        </is>
      </c>
      <c r="E88" s="8" t="inlineStr">
        <is>
          <t>pill</t>
        </is>
      </c>
      <c r="F88" s="8" t="inlineStr">
        <is>
          <t>common</t>
        </is>
      </c>
      <c r="G88" s="8" t="inlineStr">
        <is>
          <t>无</t>
        </is>
      </c>
      <c r="H88" s="8" t="inlineStr">
        <is>
          <t>none</t>
        </is>
      </c>
      <c r="I88" s="8" t="inlineStr">
        <is>
          <t>1×1</t>
        </is>
      </c>
      <c r="J88" s="8" t="n">
        <v>1</v>
      </c>
      <c r="K88" s="8" t="n">
        <v>2</v>
      </c>
      <c r="L88" s="8" t="inlineStr">
        <is>
          <t>是</t>
        </is>
      </c>
      <c r="M88" s="9" t="inlineStr">
        <is>
          <t>bazaar；dynamicRandomReward</t>
        </is>
      </c>
      <c r="N88" s="8" t="n">
        <v>1</v>
      </c>
      <c r="O88" s="9" t="inlineStr">
        <is>
          <t>消耗品效果</t>
        </is>
      </c>
      <c r="P88" s="9" t="inlineStr">
        <is>
          <t>consumable</t>
        </is>
      </c>
      <c r="Q88" s="9" t="inlineStr">
        <is>
          <t>消耗品效果：护甲上限永久 +2</t>
        </is>
      </c>
      <c r="R88" s="9" t="inlineStr">
        <is>
          <t>buff_upper_limit</t>
        </is>
      </c>
      <c r="S88" s="9" t="inlineStr">
        <is>
          <t>灰白丹丸裹着硬亮药膜，触手微凉，像一枚收拢的甲片。</t>
        </is>
      </c>
      <c r="T88" s="8" t="inlineStr">
        <is>
          <t>pill_iron_skin_pill_1x1</t>
        </is>
      </c>
      <c r="U88" s="8" t="inlineStr">
        <is>
          <t>allowed</t>
        </is>
      </c>
    </row>
    <row r="89" ht="34" customHeight="1">
      <c r="A89" s="8" t="n">
        <v>88</v>
      </c>
      <c r="B89" s="8" t="n">
        <v>300069</v>
      </c>
      <c r="C89" s="8" t="inlineStr">
        <is>
          <t>逐影丹</t>
        </is>
      </c>
      <c r="D89" s="8" t="inlineStr">
        <is>
          <t>丹药</t>
        </is>
      </c>
      <c r="E89" s="8" t="inlineStr">
        <is>
          <t>pill</t>
        </is>
      </c>
      <c r="F89" s="8" t="inlineStr">
        <is>
          <t>common</t>
        </is>
      </c>
      <c r="G89" s="8" t="inlineStr">
        <is>
          <t>无</t>
        </is>
      </c>
      <c r="H89" s="8" t="inlineStr">
        <is>
          <t>none</t>
        </is>
      </c>
      <c r="I89" s="8" t="inlineStr">
        <is>
          <t>1×1</t>
        </is>
      </c>
      <c r="J89" s="8" t="n">
        <v>1</v>
      </c>
      <c r="K89" s="8" t="n">
        <v>5</v>
      </c>
      <c r="L89" s="8" t="inlineStr">
        <is>
          <t>是</t>
        </is>
      </c>
      <c r="M89" s="9" t="inlineStr">
        <is>
          <t>bazaar；dynamicRandomReward</t>
        </is>
      </c>
      <c r="N89" s="8" t="n">
        <v>1</v>
      </c>
      <c r="O89" s="9" t="inlineStr">
        <is>
          <t>消耗品效果</t>
        </is>
      </c>
      <c r="P89" s="9" t="inlineStr">
        <is>
          <t>consumable</t>
        </is>
      </c>
      <c r="Q89" s="9" t="inlineStr">
        <is>
          <t>消耗品效果：闪避上限永久 +1</t>
        </is>
      </c>
      <c r="R89" s="9" t="inlineStr">
        <is>
          <t>buff_upper_limit</t>
        </is>
      </c>
      <c r="S89" s="9" t="inlineStr">
        <is>
          <t>无色小丹映着淡淡残影，丹面光泽一转，便似退入暗处。</t>
        </is>
      </c>
      <c r="T89" s="8" t="inlineStr">
        <is>
          <t>pill_mind_concentrating_pill_1x1</t>
        </is>
      </c>
      <c r="U89" s="8" t="inlineStr">
        <is>
          <t>allowed</t>
        </is>
      </c>
    </row>
    <row r="90" ht="34" customHeight="1">
      <c r="A90" s="8" t="n">
        <v>89</v>
      </c>
      <c r="B90" s="8" t="n">
        <v>300070</v>
      </c>
      <c r="C90" s="8" t="inlineStr">
        <is>
          <t>青木回春丹</t>
        </is>
      </c>
      <c r="D90" s="8" t="inlineStr">
        <is>
          <t>丹药</t>
        </is>
      </c>
      <c r="E90" s="8" t="inlineStr">
        <is>
          <t>pill</t>
        </is>
      </c>
      <c r="F90" s="8" t="inlineStr">
        <is>
          <t>common</t>
        </is>
      </c>
      <c r="G90" s="8" t="inlineStr">
        <is>
          <t>木</t>
        </is>
      </c>
      <c r="H90" s="8" t="inlineStr">
        <is>
          <t>wood</t>
        </is>
      </c>
      <c r="I90" s="8" t="inlineStr">
        <is>
          <t>1×1</t>
        </is>
      </c>
      <c r="J90" s="8" t="n">
        <v>1</v>
      </c>
      <c r="K90" s="8" t="n">
        <v>5</v>
      </c>
      <c r="L90" s="8" t="inlineStr">
        <is>
          <t>是</t>
        </is>
      </c>
      <c r="M90" s="9" t="inlineStr">
        <is>
          <t>bazaar；dynamicRandomReward</t>
        </is>
      </c>
      <c r="N90" s="8" t="n">
        <v>1</v>
      </c>
      <c r="O90" s="9" t="inlineStr">
        <is>
          <t>消耗品效果</t>
        </is>
      </c>
      <c r="P90" s="9" t="inlineStr">
        <is>
          <t>consumable</t>
        </is>
      </c>
      <c r="Q90" s="9" t="inlineStr">
        <is>
          <t>消耗品效果：再生上限永久 +1</t>
        </is>
      </c>
      <c r="R90" s="9" t="inlineStr">
        <is>
          <t>buff_upper_limit</t>
        </is>
      </c>
      <c r="S90" s="9" t="inlineStr">
        <is>
          <t>青翠丹衣带着木纹药痕，捧在掌中便有细微生机回环。</t>
        </is>
      </c>
      <c r="T90" s="8" t="inlineStr">
        <is>
          <t>pill_vitality_regenerating_pill_1x1</t>
        </is>
      </c>
      <c r="U90" s="8" t="inlineStr">
        <is>
          <t>allowed</t>
        </is>
      </c>
    </row>
    <row r="91" ht="34" customHeight="1">
      <c r="A91" s="8" t="n">
        <v>90</v>
      </c>
      <c r="B91" s="8" t="n">
        <v>300071</v>
      </c>
      <c r="C91" s="8" t="inlineStr">
        <is>
          <t>坚元丹</t>
        </is>
      </c>
      <c r="D91" s="8" t="inlineStr">
        <is>
          <t>丹药</t>
        </is>
      </c>
      <c r="E91" s="8" t="inlineStr">
        <is>
          <t>pill</t>
        </is>
      </c>
      <c r="F91" s="8" t="inlineStr">
        <is>
          <t>common</t>
        </is>
      </c>
      <c r="G91" s="8" t="inlineStr">
        <is>
          <t>土</t>
        </is>
      </c>
      <c r="H91" s="8" t="inlineStr">
        <is>
          <t>earth</t>
        </is>
      </c>
      <c r="I91" s="8" t="inlineStr">
        <is>
          <t>1×1</t>
        </is>
      </c>
      <c r="J91" s="8" t="n">
        <v>1</v>
      </c>
      <c r="K91" s="8" t="n">
        <v>2</v>
      </c>
      <c r="L91" s="8" t="inlineStr">
        <is>
          <t>是</t>
        </is>
      </c>
      <c r="M91" s="9" t="inlineStr">
        <is>
          <t>bazaar；dynamicRandomReward</t>
        </is>
      </c>
      <c r="N91" s="8" t="n">
        <v>1</v>
      </c>
      <c r="O91" s="9" t="inlineStr">
        <is>
          <t>消耗品效果</t>
        </is>
      </c>
      <c r="P91" s="9" t="inlineStr">
        <is>
          <t>consumable</t>
        </is>
      </c>
      <c r="Q91" s="9" t="inlineStr">
        <is>
          <t>消耗品效果：获得 3 层坚硬</t>
        </is>
      </c>
      <c r="R91" s="9" t="inlineStr">
        <is>
          <t>gain_buff</t>
        </is>
      </c>
      <c r="S91" s="9" t="inlineStr">
        <is>
          <t>土色小丸压着厚重纹路，药香沉静，像把筋骨重新钉牢。</t>
        </is>
      </c>
      <c r="T91" s="8" t="inlineStr">
        <is>
          <t>pill_bone_forging_pill_1x1</t>
        </is>
      </c>
      <c r="U91" s="8" t="inlineStr">
        <is>
          <t>allowed</t>
        </is>
      </c>
    </row>
    <row r="92" ht="34" customHeight="1">
      <c r="A92" s="8" t="n">
        <v>91</v>
      </c>
      <c r="B92" s="8" t="n">
        <v>300072</v>
      </c>
      <c r="C92" s="8" t="inlineStr">
        <is>
          <t>炎息丹</t>
        </is>
      </c>
      <c r="D92" s="8" t="inlineStr">
        <is>
          <t>丹药</t>
        </is>
      </c>
      <c r="E92" s="8" t="inlineStr">
        <is>
          <t>pill</t>
        </is>
      </c>
      <c r="F92" s="8" t="inlineStr">
        <is>
          <t>common</t>
        </is>
      </c>
      <c r="G92" s="8" t="inlineStr">
        <is>
          <t>火</t>
        </is>
      </c>
      <c r="H92" s="8" t="inlineStr">
        <is>
          <t>fire</t>
        </is>
      </c>
      <c r="I92" s="8" t="inlineStr">
        <is>
          <t>1×1</t>
        </is>
      </c>
      <c r="J92" s="8" t="n">
        <v>1</v>
      </c>
      <c r="K92" s="8" t="n">
        <v>1</v>
      </c>
      <c r="L92" s="8" t="inlineStr">
        <is>
          <t>是</t>
        </is>
      </c>
      <c r="M92" s="9" t="inlineStr">
        <is>
          <t>bazaar；dynamicRandomReward</t>
        </is>
      </c>
      <c r="N92" s="8" t="n">
        <v>1</v>
      </c>
      <c r="O92" s="9" t="inlineStr">
        <is>
          <t>消耗品效果</t>
        </is>
      </c>
      <c r="P92" s="9" t="inlineStr">
        <is>
          <t>consumable</t>
        </is>
      </c>
      <c r="Q92" s="9" t="inlineStr">
        <is>
          <t>消耗品效果：获得 10 层炎热</t>
        </is>
      </c>
      <c r="R92" s="9" t="inlineStr">
        <is>
          <t>gain_buff</t>
        </is>
      </c>
      <c r="S92" s="9" t="inlineStr">
        <is>
          <t>赤红丹壳里有微光游走，靠近时能感到一丝温热吐息。</t>
        </is>
      </c>
      <c r="T92" s="8" t="inlineStr">
        <is>
          <t>pill_blazing_origin_pill_1x1</t>
        </is>
      </c>
      <c r="U92" s="8" t="inlineStr">
        <is>
          <t>allowed</t>
        </is>
      </c>
    </row>
    <row r="93" ht="34" customHeight="1">
      <c r="A93" s="8" t="n">
        <v>92</v>
      </c>
      <c r="B93" s="8" t="n">
        <v>300073</v>
      </c>
      <c r="C93" s="8" t="inlineStr">
        <is>
          <t>寒息丹</t>
        </is>
      </c>
      <c r="D93" s="8" t="inlineStr">
        <is>
          <t>丹药</t>
        </is>
      </c>
      <c r="E93" s="8" t="inlineStr">
        <is>
          <t>pill</t>
        </is>
      </c>
      <c r="F93" s="8" t="inlineStr">
        <is>
          <t>common</t>
        </is>
      </c>
      <c r="G93" s="8" t="inlineStr">
        <is>
          <t>水</t>
        </is>
      </c>
      <c r="H93" s="8" t="inlineStr">
        <is>
          <t>water</t>
        </is>
      </c>
      <c r="I93" s="8" t="inlineStr">
        <is>
          <t>1×1</t>
        </is>
      </c>
      <c r="J93" s="8" t="n">
        <v>1</v>
      </c>
      <c r="K93" s="8" t="n">
        <v>1</v>
      </c>
      <c r="L93" s="8" t="inlineStr">
        <is>
          <t>是</t>
        </is>
      </c>
      <c r="M93" s="9" t="inlineStr">
        <is>
          <t>bazaar；dynamicRandomReward</t>
        </is>
      </c>
      <c r="N93" s="8" t="n">
        <v>1</v>
      </c>
      <c r="O93" s="9" t="inlineStr">
        <is>
          <t>消耗品效果</t>
        </is>
      </c>
      <c r="P93" s="9" t="inlineStr">
        <is>
          <t>consumable</t>
        </is>
      </c>
      <c r="Q93" s="9" t="inlineStr">
        <is>
          <t>消耗品效果：获得 10 层寒冷</t>
        </is>
      </c>
      <c r="R93" s="9" t="inlineStr">
        <is>
          <t>gain_buff</t>
        </is>
      </c>
      <c r="S93" s="9" t="inlineStr">
        <is>
          <t>蓝白药霜沿丹面缓慢舒展，入口时如寒雾从喉间散开。</t>
        </is>
      </c>
      <c r="T93" s="8" t="inlineStr">
        <is>
          <t>pill_cold_dispelling_pellet_1x1</t>
        </is>
      </c>
      <c r="U93" s="8" t="inlineStr">
        <is>
          <t>allowed</t>
        </is>
      </c>
    </row>
    <row r="94" ht="34" customHeight="1">
      <c r="A94" s="8" t="n">
        <v>93</v>
      </c>
      <c r="B94" s="8" t="n">
        <v>300074</v>
      </c>
      <c r="C94" s="8" t="inlineStr">
        <is>
          <t>负岳丸</t>
        </is>
      </c>
      <c r="D94" s="8" t="inlineStr">
        <is>
          <t>丹药</t>
        </is>
      </c>
      <c r="E94" s="8" t="inlineStr">
        <is>
          <t>pill</t>
        </is>
      </c>
      <c r="F94" s="8" t="inlineStr">
        <is>
          <t>common</t>
        </is>
      </c>
      <c r="G94" s="8" t="inlineStr">
        <is>
          <t>土</t>
        </is>
      </c>
      <c r="H94" s="8" t="inlineStr">
        <is>
          <t>earth</t>
        </is>
      </c>
      <c r="I94" s="8" t="inlineStr">
        <is>
          <t>1×1</t>
        </is>
      </c>
      <c r="J94" s="8" t="n">
        <v>1</v>
      </c>
      <c r="K94" s="8" t="n">
        <v>2</v>
      </c>
      <c r="L94" s="8" t="inlineStr">
        <is>
          <t>是</t>
        </is>
      </c>
      <c r="M94" s="9" t="inlineStr">
        <is>
          <t>bazaar；dynamicRandomReward</t>
        </is>
      </c>
      <c r="N94" s="8" t="n">
        <v>1</v>
      </c>
      <c r="O94" s="9" t="inlineStr">
        <is>
          <t>消耗品效果</t>
        </is>
      </c>
      <c r="P94" s="9" t="inlineStr">
        <is>
          <t>consumable</t>
        </is>
      </c>
      <c r="Q94" s="9" t="inlineStr">
        <is>
          <t>消耗品效果：获得 3 层蓄势</t>
        </is>
      </c>
      <c r="R94" s="9" t="inlineStr">
        <is>
          <t>gain_buff</t>
        </is>
      </c>
      <c r="S94" s="9" t="inlineStr">
        <is>
          <t>暗黄药丸厚实低沉，轻敲丹壳便有闷闷回声。</t>
        </is>
      </c>
      <c r="T94" s="8" t="inlineStr">
        <is>
          <t>pill_bone_tempering_pill_1x1</t>
        </is>
      </c>
      <c r="U94" s="8" t="inlineStr">
        <is>
          <t>allowed</t>
        </is>
      </c>
    </row>
    <row r="95" ht="34" customHeight="1">
      <c r="A95" s="8" t="n">
        <v>94</v>
      </c>
      <c r="B95" s="8" t="n">
        <v>300075</v>
      </c>
      <c r="C95" s="8" t="inlineStr">
        <is>
          <t>轻身丸</t>
        </is>
      </c>
      <c r="D95" s="8" t="inlineStr">
        <is>
          <t>丹药</t>
        </is>
      </c>
      <c r="E95" s="8" t="inlineStr">
        <is>
          <t>pill</t>
        </is>
      </c>
      <c r="F95" s="8" t="inlineStr">
        <is>
          <t>common</t>
        </is>
      </c>
      <c r="G95" s="8" t="inlineStr">
        <is>
          <t>风</t>
        </is>
      </c>
      <c r="H95" s="8" t="inlineStr">
        <is>
          <t>wind</t>
        </is>
      </c>
      <c r="I95" s="8" t="inlineStr">
        <is>
          <t>1×1</t>
        </is>
      </c>
      <c r="J95" s="8" t="n">
        <v>1</v>
      </c>
      <c r="K95" s="8" t="n">
        <v>2</v>
      </c>
      <c r="L95" s="8" t="inlineStr">
        <is>
          <t>是</t>
        </is>
      </c>
      <c r="M95" s="9" t="inlineStr">
        <is>
          <t>bazaar；dynamicRandomReward</t>
        </is>
      </c>
      <c r="N95" s="8" t="n">
        <v>1</v>
      </c>
      <c r="O95" s="9" t="inlineStr">
        <is>
          <t>消耗品效果</t>
        </is>
      </c>
      <c r="P95" s="9" t="inlineStr">
        <is>
          <t>consumable</t>
        </is>
      </c>
      <c r="Q95" s="9" t="inlineStr">
        <is>
          <t>消耗品效果：获得 3 层敏捷</t>
        </is>
      </c>
      <c r="R95" s="9" t="inlineStr">
        <is>
          <t>gain_buff</t>
        </is>
      </c>
      <c r="S95" s="9" t="inlineStr">
        <is>
          <t>青绿丹丸泛着细亮叶光，药气一散便像轻风穿袖。</t>
        </is>
      </c>
      <c r="T95" s="8" t="inlineStr">
        <is>
          <t>pill_spring_return_pill_1x1</t>
        </is>
      </c>
      <c r="U95" s="8" t="inlineStr">
        <is>
          <t>allowed</t>
        </is>
      </c>
    </row>
    <row r="96" ht="34" customHeight="1">
      <c r="A96" s="8" t="n">
        <v>95</v>
      </c>
      <c r="B96" s="8" t="n">
        <v>300076</v>
      </c>
      <c r="C96" s="8" t="inlineStr">
        <is>
          <t>露华丸</t>
        </is>
      </c>
      <c r="D96" s="8" t="inlineStr">
        <is>
          <t>丹药</t>
        </is>
      </c>
      <c r="E96" s="8" t="inlineStr">
        <is>
          <t>pill</t>
        </is>
      </c>
      <c r="F96" s="8" t="inlineStr">
        <is>
          <t>common</t>
        </is>
      </c>
      <c r="G96" s="8" t="inlineStr">
        <is>
          <t>水</t>
        </is>
      </c>
      <c r="H96" s="8" t="inlineStr">
        <is>
          <t>water</t>
        </is>
      </c>
      <c r="I96" s="8" t="inlineStr">
        <is>
          <t>1×1</t>
        </is>
      </c>
      <c r="J96" s="8" t="n">
        <v>1</v>
      </c>
      <c r="K96" s="8" t="n">
        <v>1</v>
      </c>
      <c r="L96" s="8" t="inlineStr">
        <is>
          <t>是</t>
        </is>
      </c>
      <c r="M96" s="9" t="inlineStr">
        <is>
          <t>bazaar；dynamicRandomReward</t>
        </is>
      </c>
      <c r="N96" s="8" t="n">
        <v>1</v>
      </c>
      <c r="O96" s="9" t="inlineStr">
        <is>
          <t>消耗品效果</t>
        </is>
      </c>
      <c r="P96" s="9" t="inlineStr">
        <is>
          <t>consumable</t>
        </is>
      </c>
      <c r="Q96" s="9" t="inlineStr">
        <is>
          <t>消耗品效果：获得 10 层露水</t>
        </is>
      </c>
      <c r="R96" s="9" t="inlineStr">
        <is>
          <t>gain_buff</t>
        </is>
      </c>
      <c r="S96" s="9" t="inlineStr">
        <is>
          <t>清亮丹丸中有水珠般的光点浮沉，药香清甜而不浮。</t>
        </is>
      </c>
      <c r="T96" s="8" t="inlineStr">
        <is>
          <t>pill_dew_elixir_bottle_1x1</t>
        </is>
      </c>
      <c r="U96" s="8" t="inlineStr">
        <is>
          <t>allowed</t>
        </is>
      </c>
    </row>
    <row r="97" ht="34" customHeight="1">
      <c r="A97" s="8" t="n">
        <v>96</v>
      </c>
      <c r="B97" s="8" t="n">
        <v>300077</v>
      </c>
      <c r="C97" s="8" t="inlineStr">
        <is>
          <t>凝金丸</t>
        </is>
      </c>
      <c r="D97" s="8" t="inlineStr">
        <is>
          <t>丹药</t>
        </is>
      </c>
      <c r="E97" s="8" t="inlineStr">
        <is>
          <t>pill</t>
        </is>
      </c>
      <c r="F97" s="8" t="inlineStr">
        <is>
          <t>common</t>
        </is>
      </c>
      <c r="G97" s="8" t="inlineStr">
        <is>
          <t>金</t>
        </is>
      </c>
      <c r="H97" s="8" t="inlineStr">
        <is>
          <t>metal</t>
        </is>
      </c>
      <c r="I97" s="8" t="inlineStr">
        <is>
          <t>1×1</t>
        </is>
      </c>
      <c r="J97" s="8" t="n">
        <v>1</v>
      </c>
      <c r="K97" s="8" t="n">
        <v>1</v>
      </c>
      <c r="L97" s="8" t="inlineStr">
        <is>
          <t>是</t>
        </is>
      </c>
      <c r="M97" s="9" t="inlineStr">
        <is>
          <t>bazaar；dynamicRandomReward</t>
        </is>
      </c>
      <c r="N97" s="8" t="n">
        <v>1</v>
      </c>
      <c r="O97" s="9" t="inlineStr">
        <is>
          <t>消耗品效果</t>
        </is>
      </c>
      <c r="P97" s="9" t="inlineStr">
        <is>
          <t>consumable</t>
        </is>
      </c>
      <c r="Q97" s="9" t="inlineStr">
        <is>
          <t>消耗品效果：获得 10 层凝金</t>
        </is>
      </c>
      <c r="R97" s="9" t="inlineStr">
        <is>
          <t>gain_buff</t>
        </is>
      </c>
      <c r="S97" s="9" t="inlineStr">
        <is>
          <t>淡金丹丸映着银色细纹，像把一缕金气藏进了丹衣。</t>
        </is>
      </c>
      <c r="T97" s="8" t="inlineStr">
        <is>
          <t>pill_nine_turns_golden_pill_1x1</t>
        </is>
      </c>
      <c r="U97" s="8" t="inlineStr">
        <is>
          <t>allowed</t>
        </is>
      </c>
    </row>
    <row r="98" ht="34" customHeight="1">
      <c r="A98" s="8" t="n">
        <v>97</v>
      </c>
      <c r="B98" s="8" t="n">
        <v>300078</v>
      </c>
      <c r="C98" s="8" t="inlineStr">
        <is>
          <t>护甲散</t>
        </is>
      </c>
      <c r="D98" s="8" t="inlineStr">
        <is>
          <t>丹药</t>
        </is>
      </c>
      <c r="E98" s="8" t="inlineStr">
        <is>
          <t>pill</t>
        </is>
      </c>
      <c r="F98" s="8" t="inlineStr">
        <is>
          <t>common</t>
        </is>
      </c>
      <c r="G98" s="8" t="inlineStr">
        <is>
          <t>无</t>
        </is>
      </c>
      <c r="H98" s="8" t="inlineStr">
        <is>
          <t>none</t>
        </is>
      </c>
      <c r="I98" s="8" t="inlineStr">
        <is>
          <t>1×1</t>
        </is>
      </c>
      <c r="J98" s="8" t="n">
        <v>1</v>
      </c>
      <c r="K98" s="8" t="n">
        <v>2</v>
      </c>
      <c r="L98" s="8" t="inlineStr">
        <is>
          <t>是</t>
        </is>
      </c>
      <c r="M98" s="9" t="inlineStr">
        <is>
          <t>bazaar；dynamicRandomReward</t>
        </is>
      </c>
      <c r="N98" s="8" t="n">
        <v>1</v>
      </c>
      <c r="O98" s="9" t="inlineStr">
        <is>
          <t>消耗品效果</t>
        </is>
      </c>
      <c r="P98" s="9" t="inlineStr">
        <is>
          <t>consumable</t>
        </is>
      </c>
      <c r="Q98" s="9" t="inlineStr">
        <is>
          <t>消耗品效果：获得 15 层护甲</t>
        </is>
      </c>
      <c r="R98" s="9" t="inlineStr">
        <is>
          <t>gain_buff</t>
        </is>
      </c>
      <c r="S98" s="9" t="inlineStr">
        <is>
          <t>灰白药散装在小纸封里，气味干净，结成细薄的护膜。</t>
        </is>
      </c>
      <c r="T98" s="8" t="inlineStr">
        <is>
          <t>pill_golden_guard_mirror_1x1</t>
        </is>
      </c>
      <c r="U98" s="8" t="inlineStr">
        <is>
          <t>allowed</t>
        </is>
      </c>
    </row>
    <row r="99" ht="34" customHeight="1">
      <c r="A99" s="8" t="n">
        <v>98</v>
      </c>
      <c r="B99" s="8" t="n">
        <v>300079</v>
      </c>
      <c r="C99" s="8" t="inlineStr">
        <is>
          <t>流影散</t>
        </is>
      </c>
      <c r="D99" s="8" t="inlineStr">
        <is>
          <t>丹药</t>
        </is>
      </c>
      <c r="E99" s="8" t="inlineStr">
        <is>
          <t>pill</t>
        </is>
      </c>
      <c r="F99" s="8" t="inlineStr">
        <is>
          <t>common</t>
        </is>
      </c>
      <c r="G99" s="8" t="inlineStr">
        <is>
          <t>无</t>
        </is>
      </c>
      <c r="H99" s="8" t="inlineStr">
        <is>
          <t>none</t>
        </is>
      </c>
      <c r="I99" s="8" t="inlineStr">
        <is>
          <t>1×1</t>
        </is>
      </c>
      <c r="J99" s="8" t="n">
        <v>1</v>
      </c>
      <c r="K99" s="8" t="n">
        <v>3</v>
      </c>
      <c r="L99" s="8" t="inlineStr">
        <is>
          <t>是</t>
        </is>
      </c>
      <c r="M99" s="9" t="inlineStr">
        <is>
          <t>bazaar；dynamicRandomReward</t>
        </is>
      </c>
      <c r="N99" s="8" t="n">
        <v>1</v>
      </c>
      <c r="O99" s="9" t="inlineStr">
        <is>
          <t>消耗品效果</t>
        </is>
      </c>
      <c r="P99" s="9" t="inlineStr">
        <is>
          <t>consumable</t>
        </is>
      </c>
      <c r="Q99" s="9" t="inlineStr">
        <is>
          <t>消耗品效果：获得 5 层闪避</t>
        </is>
      </c>
      <c r="R99" s="9" t="inlineStr">
        <is>
          <t>gain_buff</t>
        </is>
      </c>
      <c r="S99" s="9" t="inlineStr">
        <is>
          <t>无色药散落在掌心时几不可见，收拢后只留一线灵光。</t>
        </is>
      </c>
      <c r="T99" s="8" t="inlineStr">
        <is>
          <t>pill_shadow_swirl_elixir_dawnmist_1x1</t>
        </is>
      </c>
      <c r="U99" s="8" t="inlineStr">
        <is>
          <t>allowed</t>
        </is>
      </c>
    </row>
    <row r="100" ht="34" customHeight="1">
      <c r="A100" s="8" t="n">
        <v>99</v>
      </c>
      <c r="B100" s="8" t="n">
        <v>300080</v>
      </c>
      <c r="C100" s="8" t="inlineStr">
        <is>
          <t>回春散</t>
        </is>
      </c>
      <c r="D100" s="8" t="inlineStr">
        <is>
          <t>丹药</t>
        </is>
      </c>
      <c r="E100" s="8" t="inlineStr">
        <is>
          <t>pill</t>
        </is>
      </c>
      <c r="F100" s="8" t="inlineStr">
        <is>
          <t>common</t>
        </is>
      </c>
      <c r="G100" s="8" t="inlineStr">
        <is>
          <t>木</t>
        </is>
      </c>
      <c r="H100" s="8" t="inlineStr">
        <is>
          <t>wood</t>
        </is>
      </c>
      <c r="I100" s="8" t="inlineStr">
        <is>
          <t>1×1</t>
        </is>
      </c>
      <c r="J100" s="8" t="n">
        <v>1</v>
      </c>
      <c r="K100" s="8" t="n">
        <v>3</v>
      </c>
      <c r="L100" s="8" t="inlineStr">
        <is>
          <t>是</t>
        </is>
      </c>
      <c r="M100" s="9" t="inlineStr">
        <is>
          <t>bazaar；dynamicRandomReward</t>
        </is>
      </c>
      <c r="N100" s="8" t="n">
        <v>1</v>
      </c>
      <c r="O100" s="9" t="inlineStr">
        <is>
          <t>消耗品效果</t>
        </is>
      </c>
      <c r="P100" s="9" t="inlineStr">
        <is>
          <t>consumable</t>
        </is>
      </c>
      <c r="Q100" s="9" t="inlineStr">
        <is>
          <t>消耗品效果：获得 5 层再生</t>
        </is>
      </c>
      <c r="R100" s="9" t="inlineStr">
        <is>
          <t>gain_buff</t>
        </is>
      </c>
      <c r="S100" s="9" t="inlineStr">
        <is>
          <t>青木药散带着湿润清香，封纸一开便有细小生机散出。</t>
        </is>
      </c>
      <c r="T100" s="8" t="inlineStr">
        <is>
          <t>pill_returnspring_dew_dan_1x1</t>
        </is>
      </c>
      <c r="U100" s="8" t="inlineStr">
        <is>
          <t>allowed</t>
        </is>
      </c>
    </row>
    <row r="101" ht="34" customHeight="1">
      <c r="A101" s="8" t="n">
        <v>100</v>
      </c>
      <c r="B101" s="8" t="n">
        <v>300081</v>
      </c>
      <c r="C101" s="8" t="inlineStr">
        <is>
          <t>血魄养元丹</t>
        </is>
      </c>
      <c r="D101" s="8" t="inlineStr">
        <is>
          <t>丹药</t>
        </is>
      </c>
      <c r="E101" s="8" t="inlineStr">
        <is>
          <t>pill</t>
        </is>
      </c>
      <c r="F101" s="8" t="inlineStr">
        <is>
          <t>spirit</t>
        </is>
      </c>
      <c r="G101" s="8" t="inlineStr">
        <is>
          <t>无</t>
        </is>
      </c>
      <c r="H101" s="8" t="inlineStr">
        <is>
          <t>none</t>
        </is>
      </c>
      <c r="I101" s="8" t="inlineStr">
        <is>
          <t>1×1</t>
        </is>
      </c>
      <c r="J101" s="8" t="n">
        <v>1</v>
      </c>
      <c r="K101" s="8" t="n">
        <v>30</v>
      </c>
      <c r="L101" s="8" t="inlineStr">
        <is>
          <t>是</t>
        </is>
      </c>
      <c r="M101" s="9" t="inlineStr">
        <is>
          <t>bazaar；alchemyCrafting；dynamicRandomReward</t>
        </is>
      </c>
      <c r="N101" s="8" t="n">
        <v>1</v>
      </c>
      <c r="O101" s="9" t="inlineStr">
        <is>
          <t>消耗品效果</t>
        </is>
      </c>
      <c r="P101" s="9" t="inlineStr">
        <is>
          <t>consumable</t>
        </is>
      </c>
      <c r="Q101" s="9" t="inlineStr">
        <is>
          <t>消耗品效果：气血上限永久 +30</t>
        </is>
      </c>
      <c r="R101" s="9" t="inlineStr">
        <is>
          <t>stat_upper_limit</t>
        </is>
      </c>
      <c r="S101" s="9" t="inlineStr">
        <is>
          <t>赤金丹丸内藏一缕厚重血光，药气沉入脉底后才缓缓舒展。</t>
        </is>
      </c>
      <c r="T101" s="8" t="inlineStr">
        <is>
          <t>pill_dragon_marrow_gold_elixir_pill_1x1</t>
        </is>
      </c>
      <c r="U101" s="8" t="inlineStr">
        <is>
          <t>allowed</t>
        </is>
      </c>
    </row>
    <row r="102" ht="34" customHeight="1">
      <c r="A102" s="8" t="n">
        <v>101</v>
      </c>
      <c r="B102" s="8" t="n">
        <v>300082</v>
      </c>
      <c r="C102" s="8" t="inlineStr">
        <is>
          <t>回元护脉丹</t>
        </is>
      </c>
      <c r="D102" s="8" t="inlineStr">
        <is>
          <t>丹药</t>
        </is>
      </c>
      <c r="E102" s="8" t="inlineStr">
        <is>
          <t>pill</t>
        </is>
      </c>
      <c r="F102" s="8" t="inlineStr">
        <is>
          <t>common</t>
        </is>
      </c>
      <c r="G102" s="8" t="inlineStr">
        <is>
          <t>无</t>
        </is>
      </c>
      <c r="H102" s="8" t="inlineStr">
        <is>
          <t>none</t>
        </is>
      </c>
      <c r="I102" s="8" t="inlineStr">
        <is>
          <t>1×1</t>
        </is>
      </c>
      <c r="J102" s="8" t="n">
        <v>1</v>
      </c>
      <c r="K102" s="8" t="n">
        <v>2</v>
      </c>
      <c r="L102" s="8" t="inlineStr">
        <is>
          <t>是</t>
        </is>
      </c>
      <c r="M102" s="9" t="inlineStr">
        <is>
          <t>bazaar；dynamicRandomReward</t>
        </is>
      </c>
      <c r="N102" s="8" t="n">
        <v>1</v>
      </c>
      <c r="O102" s="9" t="inlineStr">
        <is>
          <t>消耗品效果</t>
        </is>
      </c>
      <c r="P102" s="9" t="inlineStr">
        <is>
          <t>consumable</t>
        </is>
      </c>
      <c r="Q102" s="9" t="inlineStr">
        <is>
          <t>消耗品效果：本局内气血上限 +30</t>
        </is>
      </c>
      <c r="R102" s="9" t="inlineStr">
        <is>
          <t>temp_stat_upper_limit</t>
        </is>
      </c>
      <c r="S102" s="9" t="inlineStr">
        <is>
          <t>乳白丹丸带着温润脉息，丹纹像一圈护住心脉的细环。</t>
        </is>
      </c>
      <c r="T102" s="8" t="inlineStr">
        <is>
          <t>pill_jade_ointment_jar_1x1</t>
        </is>
      </c>
      <c r="U102" s="8" t="inlineStr">
        <is>
          <t>allowed</t>
        </is>
      </c>
    </row>
    <row r="103" ht="34" customHeight="1">
      <c r="A103" s="8" t="n">
        <v>102</v>
      </c>
      <c r="B103" s="8" t="n">
        <v>300083</v>
      </c>
      <c r="C103" s="8" t="inlineStr">
        <is>
          <t>磐石铸骨丹</t>
        </is>
      </c>
      <c r="D103" s="8" t="inlineStr">
        <is>
          <t>丹药</t>
        </is>
      </c>
      <c r="E103" s="8" t="inlineStr">
        <is>
          <t>pill</t>
        </is>
      </c>
      <c r="F103" s="8" t="inlineStr">
        <is>
          <t>spirit</t>
        </is>
      </c>
      <c r="G103" s="8" t="inlineStr">
        <is>
          <t>土</t>
        </is>
      </c>
      <c r="H103" s="8" t="inlineStr">
        <is>
          <t>earth</t>
        </is>
      </c>
      <c r="I103" s="8" t="inlineStr">
        <is>
          <t>1×1</t>
        </is>
      </c>
      <c r="J103" s="8" t="n">
        <v>1</v>
      </c>
      <c r="K103" s="8" t="n">
        <v>50</v>
      </c>
      <c r="L103" s="8" t="inlineStr">
        <is>
          <t>是</t>
        </is>
      </c>
      <c r="M103" s="9" t="inlineStr">
        <is>
          <t>bazaar；alchemyCrafting；dynamicRandomReward</t>
        </is>
      </c>
      <c r="N103" s="8" t="n">
        <v>1</v>
      </c>
      <c r="O103" s="9" t="inlineStr">
        <is>
          <t>消耗品效果</t>
        </is>
      </c>
      <c r="P103" s="9" t="inlineStr">
        <is>
          <t>consumable</t>
        </is>
      </c>
      <c r="Q103" s="9" t="inlineStr">
        <is>
          <t>消耗品效果：坚硬上限永久 +4</t>
        </is>
      </c>
      <c r="R103" s="9" t="inlineStr">
        <is>
          <t>buff_upper_limit</t>
        </is>
      </c>
      <c r="S103" s="9" t="inlineStr">
        <is>
          <t>赭金丹壳压着纵横骨纹，药力沉入关节，像把周身筋骨重新铸成一块整石。</t>
        </is>
      </c>
      <c r="T103" s="8" t="inlineStr">
        <is>
          <t>pill_barrier_breaking_pill_1x1</t>
        </is>
      </c>
      <c r="U103" s="8" t="inlineStr">
        <is>
          <t>allowed</t>
        </is>
      </c>
    </row>
    <row r="104" ht="34" customHeight="1">
      <c r="A104" s="8" t="n">
        <v>103</v>
      </c>
      <c r="B104" s="8" t="n">
        <v>300084</v>
      </c>
      <c r="C104" s="8" t="inlineStr">
        <is>
          <t>赤炉蕴火丹</t>
        </is>
      </c>
      <c r="D104" s="8" t="inlineStr">
        <is>
          <t>丹药</t>
        </is>
      </c>
      <c r="E104" s="8" t="inlineStr">
        <is>
          <t>pill</t>
        </is>
      </c>
      <c r="F104" s="8" t="inlineStr">
        <is>
          <t>spirit</t>
        </is>
      </c>
      <c r="G104" s="8" t="inlineStr">
        <is>
          <t>火</t>
        </is>
      </c>
      <c r="H104" s="8" t="inlineStr">
        <is>
          <t>fire</t>
        </is>
      </c>
      <c r="I104" s="8" t="inlineStr">
        <is>
          <t>1×1</t>
        </is>
      </c>
      <c r="J104" s="8" t="n">
        <v>1</v>
      </c>
      <c r="K104" s="8" t="n">
        <v>30</v>
      </c>
      <c r="L104" s="8" t="inlineStr">
        <is>
          <t>是</t>
        </is>
      </c>
      <c r="M104" s="9" t="inlineStr">
        <is>
          <t>bazaar；alchemyCrafting；dynamicRandomReward</t>
        </is>
      </c>
      <c r="N104" s="8" t="n">
        <v>1</v>
      </c>
      <c r="O104" s="9" t="inlineStr">
        <is>
          <t>消耗品效果</t>
        </is>
      </c>
      <c r="P104" s="9" t="inlineStr">
        <is>
          <t>consumable</t>
        </is>
      </c>
      <c r="Q104" s="9" t="inlineStr">
        <is>
          <t>消耗品效果：炎热上限永久 +5</t>
        </is>
      </c>
      <c r="R104" s="9" t="inlineStr">
        <is>
          <t>buff_upper_limit</t>
        </is>
      </c>
      <c r="S104" s="9" t="inlineStr">
        <is>
          <t>双腹赤葫芦收着一簇不燥的炉火，丹香温厚，靠近时仿佛听见炉膛轻鸣。</t>
        </is>
      </c>
      <c r="T104" s="8" t="inlineStr">
        <is>
          <t>pill_essence_stabilizing_pellet_1x1</t>
        </is>
      </c>
      <c r="U104" s="8" t="inlineStr">
        <is>
          <t>allowed</t>
        </is>
      </c>
    </row>
    <row r="105" ht="34" customHeight="1">
      <c r="A105" s="8" t="n">
        <v>104</v>
      </c>
      <c r="B105" s="8" t="n">
        <v>300085</v>
      </c>
      <c r="C105" s="8" t="inlineStr">
        <is>
          <t>玄霜镇脉丹</t>
        </is>
      </c>
      <c r="D105" s="8" t="inlineStr">
        <is>
          <t>丹药</t>
        </is>
      </c>
      <c r="E105" s="8" t="inlineStr">
        <is>
          <t>pill</t>
        </is>
      </c>
      <c r="F105" s="8" t="inlineStr">
        <is>
          <t>spirit</t>
        </is>
      </c>
      <c r="G105" s="8" t="inlineStr">
        <is>
          <t>水</t>
        </is>
      </c>
      <c r="H105" s="8" t="inlineStr">
        <is>
          <t>water</t>
        </is>
      </c>
      <c r="I105" s="8" t="inlineStr">
        <is>
          <t>1×1</t>
        </is>
      </c>
      <c r="J105" s="8" t="n">
        <v>1</v>
      </c>
      <c r="K105" s="8" t="n">
        <v>30</v>
      </c>
      <c r="L105" s="8" t="inlineStr">
        <is>
          <t>是</t>
        </is>
      </c>
      <c r="M105" s="9" t="inlineStr">
        <is>
          <t>bazaar；alchemyCrafting；dynamicRandomReward</t>
        </is>
      </c>
      <c r="N105" s="8" t="n">
        <v>1</v>
      </c>
      <c r="O105" s="9" t="inlineStr">
        <is>
          <t>消耗品效果</t>
        </is>
      </c>
      <c r="P105" s="9" t="inlineStr">
        <is>
          <t>consumable</t>
        </is>
      </c>
      <c r="Q105" s="9" t="inlineStr">
        <is>
          <t>消耗品效果：寒冷上限永久 +5</t>
        </is>
      </c>
      <c r="R105" s="9" t="inlineStr">
        <is>
          <t>buff_upper_limit</t>
        </is>
      </c>
      <c r="S105" s="9" t="inlineStr">
        <is>
          <t>冰蓝丹丸覆着细密霜纹，寒意被严整收在丹壳里，握久也只留下清冽凉意。</t>
        </is>
      </c>
      <c r="T105" s="8" t="inlineStr">
        <is>
          <t>pill_red_cloud_pill_1x1</t>
        </is>
      </c>
      <c r="U105" s="8" t="inlineStr">
        <is>
          <t>allowed</t>
        </is>
      </c>
    </row>
    <row r="106" ht="34" customHeight="1">
      <c r="A106" s="8" t="n">
        <v>105</v>
      </c>
      <c r="B106" s="8" t="n">
        <v>300086</v>
      </c>
      <c r="C106" s="8" t="inlineStr">
        <is>
          <t>镇岳沉元丹</t>
        </is>
      </c>
      <c r="D106" s="8" t="inlineStr">
        <is>
          <t>丹药</t>
        </is>
      </c>
      <c r="E106" s="8" t="inlineStr">
        <is>
          <t>pill</t>
        </is>
      </c>
      <c r="F106" s="8" t="inlineStr">
        <is>
          <t>spirit</t>
        </is>
      </c>
      <c r="G106" s="8" t="inlineStr">
        <is>
          <t>土</t>
        </is>
      </c>
      <c r="H106" s="8" t="inlineStr">
        <is>
          <t>earth</t>
        </is>
      </c>
      <c r="I106" s="8" t="inlineStr">
        <is>
          <t>1×1</t>
        </is>
      </c>
      <c r="J106" s="8" t="n">
        <v>1</v>
      </c>
      <c r="K106" s="8" t="n">
        <v>30</v>
      </c>
      <c r="L106" s="8" t="inlineStr">
        <is>
          <t>是</t>
        </is>
      </c>
      <c r="M106" s="9" t="inlineStr">
        <is>
          <t>bazaar；alchemyCrafting；dynamicRandomReward</t>
        </is>
      </c>
      <c r="N106" s="8" t="n">
        <v>1</v>
      </c>
      <c r="O106" s="9" t="inlineStr">
        <is>
          <t>消耗品效果</t>
        </is>
      </c>
      <c r="P106" s="9" t="inlineStr">
        <is>
          <t>consumable</t>
        </is>
      </c>
      <c r="Q106" s="9" t="inlineStr">
        <is>
          <t>消耗品效果：蓄势上限永久 +5</t>
        </is>
      </c>
      <c r="R106" s="9" t="inlineStr">
        <is>
          <t>buff_upper_limit</t>
        </is>
      </c>
      <c r="S106" s="9" t="inlineStr">
        <is>
          <t>暗红丹面像压缩的山脉，纹路一层层向丹心下沉，入口后四肢自有厚重定力。</t>
        </is>
      </c>
      <c r="T106" s="8" t="inlineStr">
        <is>
          <t>pill_batch10_003_1x1</t>
        </is>
      </c>
      <c r="U106" s="8" t="inlineStr">
        <is>
          <t>allowed</t>
        </is>
      </c>
    </row>
    <row r="107" ht="34" customHeight="1">
      <c r="A107" s="8" t="n">
        <v>106</v>
      </c>
      <c r="B107" s="8" t="n">
        <v>300087</v>
      </c>
      <c r="C107" s="8" t="inlineStr">
        <is>
          <t>流风轻灵丹</t>
        </is>
      </c>
      <c r="D107" s="8" t="inlineStr">
        <is>
          <t>丹药</t>
        </is>
      </c>
      <c r="E107" s="8" t="inlineStr">
        <is>
          <t>pill</t>
        </is>
      </c>
      <c r="F107" s="8" t="inlineStr">
        <is>
          <t>spirit</t>
        </is>
      </c>
      <c r="G107" s="8" t="inlineStr">
        <is>
          <t>风</t>
        </is>
      </c>
      <c r="H107" s="8" t="inlineStr">
        <is>
          <t>wind</t>
        </is>
      </c>
      <c r="I107" s="8" t="inlineStr">
        <is>
          <t>1×1</t>
        </is>
      </c>
      <c r="J107" s="8" t="n">
        <v>1</v>
      </c>
      <c r="K107" s="8" t="n">
        <v>50</v>
      </c>
      <c r="L107" s="8" t="inlineStr">
        <is>
          <t>是</t>
        </is>
      </c>
      <c r="M107" s="9" t="inlineStr">
        <is>
          <t>bazaar；alchemyCrafting；dynamicRandomReward</t>
        </is>
      </c>
      <c r="N107" s="8" t="n">
        <v>1</v>
      </c>
      <c r="O107" s="9" t="inlineStr">
        <is>
          <t>消耗品效果</t>
        </is>
      </c>
      <c r="P107" s="9" t="inlineStr">
        <is>
          <t>consumable</t>
        </is>
      </c>
      <c r="Q107" s="9" t="inlineStr">
        <is>
          <t>消耗品效果：敏捷上限永久 +4</t>
        </is>
      </c>
      <c r="R107" s="9" t="inlineStr">
        <is>
          <t>buff_upper_limit</t>
        </is>
      </c>
      <c r="S107" s="9" t="inlineStr">
        <is>
          <t>青绿药叶卷成轻巧丹束，叶脉如风线交错，药气一散便沿经脉迅疾游走。</t>
        </is>
      </c>
      <c r="T107" s="8" t="inlineStr">
        <is>
          <t>pill_mistjade_vial_1x1</t>
        </is>
      </c>
      <c r="U107" s="8" t="inlineStr">
        <is>
          <t>allowed</t>
        </is>
      </c>
    </row>
    <row r="108" ht="34" customHeight="1">
      <c r="A108" s="8" t="n">
        <v>107</v>
      </c>
      <c r="B108" s="8" t="n">
        <v>300088</v>
      </c>
      <c r="C108" s="8" t="inlineStr">
        <is>
          <t>碧露凝华丹</t>
        </is>
      </c>
      <c r="D108" s="8" t="inlineStr">
        <is>
          <t>丹药</t>
        </is>
      </c>
      <c r="E108" s="8" t="inlineStr">
        <is>
          <t>pill</t>
        </is>
      </c>
      <c r="F108" s="8" t="inlineStr">
        <is>
          <t>spirit</t>
        </is>
      </c>
      <c r="G108" s="8" t="inlineStr">
        <is>
          <t>水</t>
        </is>
      </c>
      <c r="H108" s="8" t="inlineStr">
        <is>
          <t>water</t>
        </is>
      </c>
      <c r="I108" s="8" t="inlineStr">
        <is>
          <t>1×1</t>
        </is>
      </c>
      <c r="J108" s="8" t="n">
        <v>1</v>
      </c>
      <c r="K108" s="8" t="n">
        <v>30</v>
      </c>
      <c r="L108" s="8" t="inlineStr">
        <is>
          <t>是</t>
        </is>
      </c>
      <c r="M108" s="9" t="inlineStr">
        <is>
          <t>bazaar；alchemyCrafting；dynamicRandomReward</t>
        </is>
      </c>
      <c r="N108" s="8" t="n">
        <v>1</v>
      </c>
      <c r="O108" s="9" t="inlineStr">
        <is>
          <t>消耗品效果</t>
        </is>
      </c>
      <c r="P108" s="9" t="inlineStr">
        <is>
          <t>consumable</t>
        </is>
      </c>
      <c r="Q108" s="9" t="inlineStr">
        <is>
          <t>消耗品效果：露水上限永久 +5</t>
        </is>
      </c>
      <c r="R108" s="9" t="inlineStr">
        <is>
          <t>buff_upper_limit</t>
        </is>
      </c>
      <c r="S108" s="9" t="inlineStr">
        <is>
          <t>青碧丹面凝着两色水纹，细小露珠般的光泽在纹心间聚散不定。</t>
        </is>
      </c>
      <c r="T108" s="8" t="inlineStr">
        <is>
          <t>pill_batch10_001_1x1</t>
        </is>
      </c>
      <c r="U108" s="8" t="inlineStr">
        <is>
          <t>allowed</t>
        </is>
      </c>
    </row>
    <row r="109" ht="34" customHeight="1">
      <c r="A109" s="8" t="n">
        <v>108</v>
      </c>
      <c r="B109" s="8" t="n">
        <v>300089</v>
      </c>
      <c r="C109" s="8" t="inlineStr">
        <is>
          <t>太白敛锋丹</t>
        </is>
      </c>
      <c r="D109" s="8" t="inlineStr">
        <is>
          <t>丹药</t>
        </is>
      </c>
      <c r="E109" s="8" t="inlineStr">
        <is>
          <t>pill</t>
        </is>
      </c>
      <c r="F109" s="8" t="inlineStr">
        <is>
          <t>spirit</t>
        </is>
      </c>
      <c r="G109" s="8" t="inlineStr">
        <is>
          <t>金</t>
        </is>
      </c>
      <c r="H109" s="8" t="inlineStr">
        <is>
          <t>metal</t>
        </is>
      </c>
      <c r="I109" s="8" t="inlineStr">
        <is>
          <t>1×1</t>
        </is>
      </c>
      <c r="J109" s="8" t="n">
        <v>1</v>
      </c>
      <c r="K109" s="8" t="n">
        <v>30</v>
      </c>
      <c r="L109" s="8" t="inlineStr">
        <is>
          <t>是</t>
        </is>
      </c>
      <c r="M109" s="9" t="inlineStr">
        <is>
          <t>bazaar；alchemyCrafting；dynamicRandomReward</t>
        </is>
      </c>
      <c r="N109" s="8" t="n">
        <v>1</v>
      </c>
      <c r="O109" s="9" t="inlineStr">
        <is>
          <t>消耗品效果</t>
        </is>
      </c>
      <c r="P109" s="9" t="inlineStr">
        <is>
          <t>consumable</t>
        </is>
      </c>
      <c r="Q109" s="9" t="inlineStr">
        <is>
          <t>消耗品效果：凝金上限永久 +5</t>
        </is>
      </c>
      <c r="R109" s="9" t="inlineStr">
        <is>
          <t>buff_upper_limit</t>
        </is>
      </c>
      <c r="S109" s="9" t="inlineStr">
        <is>
          <t>紫银丹衣收束成利落锋环，金属冷辉藏在内层，像一截尚未出鞘的星铁。</t>
        </is>
      </c>
      <c r="T109" s="8" t="inlineStr">
        <is>
          <t>pill_mystic_heaven_breakthrough_pill_1x1</t>
        </is>
      </c>
      <c r="U109" s="8" t="inlineStr">
        <is>
          <t>allowed</t>
        </is>
      </c>
    </row>
    <row r="110" ht="34" customHeight="1">
      <c r="A110" s="8" t="n">
        <v>109</v>
      </c>
      <c r="B110" s="8" t="n">
        <v>300090</v>
      </c>
      <c r="C110" s="8" t="inlineStr">
        <is>
          <t>玄甲固元丹</t>
        </is>
      </c>
      <c r="D110" s="8" t="inlineStr">
        <is>
          <t>丹药</t>
        </is>
      </c>
      <c r="E110" s="8" t="inlineStr">
        <is>
          <t>pill</t>
        </is>
      </c>
      <c r="F110" s="8" t="inlineStr">
        <is>
          <t>spirit</t>
        </is>
      </c>
      <c r="G110" s="8" t="inlineStr">
        <is>
          <t>无</t>
        </is>
      </c>
      <c r="H110" s="8" t="inlineStr">
        <is>
          <t>none</t>
        </is>
      </c>
      <c r="I110" s="8" t="inlineStr">
        <is>
          <t>1×1</t>
        </is>
      </c>
      <c r="J110" s="8" t="n">
        <v>1</v>
      </c>
      <c r="K110" s="8" t="n">
        <v>30</v>
      </c>
      <c r="L110" s="8" t="inlineStr">
        <is>
          <t>是</t>
        </is>
      </c>
      <c r="M110" s="9" t="inlineStr">
        <is>
          <t>bazaar；alchemyCrafting；dynamicRandomReward</t>
        </is>
      </c>
      <c r="N110" s="8" t="n">
        <v>1</v>
      </c>
      <c r="O110" s="9" t="inlineStr">
        <is>
          <t>消耗品效果</t>
        </is>
      </c>
      <c r="P110" s="9" t="inlineStr">
        <is>
          <t>consumable</t>
        </is>
      </c>
      <c r="Q110" s="9" t="inlineStr">
        <is>
          <t>消耗品效果：护甲上限永久 +10</t>
        </is>
      </c>
      <c r="R110" s="9" t="inlineStr">
        <is>
          <t>buff_upper_limit</t>
        </is>
      </c>
      <c r="S110" s="9" t="inlineStr">
        <is>
          <t>黑灰丹丸藏在厚匣之中，裂纹如甲片咬合，药力沉稳得像一面合拢的重盾。</t>
        </is>
      </c>
      <c r="T110" s="8" t="inlineStr">
        <is>
          <t>pill_cracked_black_pill_casket_1x1</t>
        </is>
      </c>
      <c r="U110" s="8" t="inlineStr">
        <is>
          <t>allowed</t>
        </is>
      </c>
    </row>
    <row r="111" ht="34" customHeight="1">
      <c r="A111" s="8" t="n">
        <v>110</v>
      </c>
      <c r="B111" s="8" t="n">
        <v>300091</v>
      </c>
      <c r="C111" s="8" t="inlineStr">
        <is>
          <t>幻影无痕丹</t>
        </is>
      </c>
      <c r="D111" s="8" t="inlineStr">
        <is>
          <t>丹药</t>
        </is>
      </c>
      <c r="E111" s="8" t="inlineStr">
        <is>
          <t>pill</t>
        </is>
      </c>
      <c r="F111" s="8" t="inlineStr">
        <is>
          <t>spirit</t>
        </is>
      </c>
      <c r="G111" s="8" t="inlineStr">
        <is>
          <t>无</t>
        </is>
      </c>
      <c r="H111" s="8" t="inlineStr">
        <is>
          <t>none</t>
        </is>
      </c>
      <c r="I111" s="8" t="inlineStr">
        <is>
          <t>1×1</t>
        </is>
      </c>
      <c r="J111" s="8" t="n">
        <v>1</v>
      </c>
      <c r="K111" s="8" t="n">
        <v>50</v>
      </c>
      <c r="L111" s="8" t="inlineStr">
        <is>
          <t>是</t>
        </is>
      </c>
      <c r="M111" s="9" t="inlineStr">
        <is>
          <t>bazaar；alchemyCrafting；dynamicRandomReward</t>
        </is>
      </c>
      <c r="N111" s="8" t="n">
        <v>1</v>
      </c>
      <c r="O111" s="9" t="inlineStr">
        <is>
          <t>消耗品效果</t>
        </is>
      </c>
      <c r="P111" s="9" t="inlineStr">
        <is>
          <t>consumable</t>
        </is>
      </c>
      <c r="Q111" s="9" t="inlineStr">
        <is>
          <t>消耗品效果：闪避上限永久 +5</t>
        </is>
      </c>
      <c r="R111" s="9" t="inlineStr">
        <is>
          <t>buff_upper_limit</t>
        </is>
      </c>
      <c r="S111" s="9" t="inlineStr">
        <is>
          <t>紫金丹面铺开细碎星纹，转动时轮廓仿佛被夜色抹平，只留一线难捉的余光。</t>
        </is>
      </c>
      <c r="T111" s="8" t="inlineStr">
        <is>
          <t>pill_heart_clearing_pill_1x1</t>
        </is>
      </c>
      <c r="U111" s="8" t="inlineStr">
        <is>
          <t>allowed</t>
        </is>
      </c>
    </row>
    <row r="112" ht="34" customHeight="1">
      <c r="A112" s="8" t="n">
        <v>111</v>
      </c>
      <c r="B112" s="8" t="n">
        <v>300092</v>
      </c>
      <c r="C112" s="8" t="inlineStr">
        <is>
          <t>青木续生丹</t>
        </is>
      </c>
      <c r="D112" s="8" t="inlineStr">
        <is>
          <t>丹药</t>
        </is>
      </c>
      <c r="E112" s="8" t="inlineStr">
        <is>
          <t>pill</t>
        </is>
      </c>
      <c r="F112" s="8" t="inlineStr">
        <is>
          <t>spirit</t>
        </is>
      </c>
      <c r="G112" s="8" t="inlineStr">
        <is>
          <t>木</t>
        </is>
      </c>
      <c r="H112" s="8" t="inlineStr">
        <is>
          <t>wood</t>
        </is>
      </c>
      <c r="I112" s="8" t="inlineStr">
        <is>
          <t>1×1</t>
        </is>
      </c>
      <c r="J112" s="8" t="n">
        <v>1</v>
      </c>
      <c r="K112" s="8" t="n">
        <v>50</v>
      </c>
      <c r="L112" s="8" t="inlineStr">
        <is>
          <t>是</t>
        </is>
      </c>
      <c r="M112" s="9" t="inlineStr">
        <is>
          <t>bazaar；alchemyCrafting；dynamicRandomReward</t>
        </is>
      </c>
      <c r="N112" s="8" t="n">
        <v>1</v>
      </c>
      <c r="O112" s="9" t="inlineStr">
        <is>
          <t>消耗品效果</t>
        </is>
      </c>
      <c r="P112" s="9" t="inlineStr">
        <is>
          <t>consumable</t>
        </is>
      </c>
      <c r="Q112" s="9" t="inlineStr">
        <is>
          <t>消耗品效果：再生上限永久 +5</t>
        </is>
      </c>
      <c r="R112" s="9" t="inlineStr">
        <is>
          <t>buff_upper_limit</t>
        </is>
      </c>
      <c r="S112" s="9" t="inlineStr">
        <is>
          <t>青玉丹丸外有环环生纹，药香像雨后新枝，细微生机从丹心一圈圈向外回荡。</t>
        </is>
      </c>
      <c r="T112" s="8" t="inlineStr">
        <is>
          <t>pill_soul_nourishing_pill_1x1</t>
        </is>
      </c>
      <c r="U112" s="8" t="inlineStr">
        <is>
          <t>allowed</t>
        </is>
      </c>
    </row>
    <row r="113" ht="34" customHeight="1">
      <c r="A113" s="8" t="n">
        <v>112</v>
      </c>
      <c r="B113" s="8" t="n">
        <v>300093</v>
      </c>
      <c r="C113" s="8" t="inlineStr">
        <is>
          <t>玉髓护骨膏</t>
        </is>
      </c>
      <c r="D113" s="8" t="inlineStr">
        <is>
          <t>丹药</t>
        </is>
      </c>
      <c r="E113" s="8" t="inlineStr">
        <is>
          <t>pill</t>
        </is>
      </c>
      <c r="F113" s="8" t="inlineStr">
        <is>
          <t>spirit</t>
        </is>
      </c>
      <c r="G113" s="8" t="inlineStr">
        <is>
          <t>无</t>
        </is>
      </c>
      <c r="H113" s="8" t="inlineStr">
        <is>
          <t>none</t>
        </is>
      </c>
      <c r="I113" s="8" t="inlineStr">
        <is>
          <t>1×1</t>
        </is>
      </c>
      <c r="J113" s="8" t="n">
        <v>1</v>
      </c>
      <c r="K113" s="8" t="n">
        <v>30</v>
      </c>
      <c r="L113" s="8" t="inlineStr">
        <is>
          <t>是</t>
        </is>
      </c>
      <c r="M113" s="9" t="inlineStr">
        <is>
          <t>bazaar；beastDrop；alchemyCrafting；dynamicRandomReward</t>
        </is>
      </c>
      <c r="N113" s="8" t="n">
        <v>1</v>
      </c>
      <c r="O113" s="9" t="inlineStr">
        <is>
          <t>消耗品效果</t>
        </is>
      </c>
      <c r="P113" s="9" t="inlineStr">
        <is>
          <t>consumable</t>
        </is>
      </c>
      <c r="Q113" s="9" t="inlineStr">
        <is>
          <t>消耗品效果：获得 40 层坚硬</t>
        </is>
      </c>
      <c r="R113" s="9" t="inlineStr">
        <is>
          <t>gain_buff</t>
        </is>
      </c>
      <c r="S113" s="9" t="inlineStr">
        <is>
          <t>贝色药匣里盛着乳白膏体，膏面细腻无波，贴近骨节便有温润坚实的药意。</t>
        </is>
      </c>
      <c r="T113" s="8" t="inlineStr">
        <is>
          <t>pill_ointment_casket_1x1</t>
        </is>
      </c>
      <c r="U113" s="8" t="inlineStr">
        <is>
          <t>allowed</t>
        </is>
      </c>
    </row>
    <row r="114" ht="34" customHeight="1">
      <c r="A114" s="8" t="n">
        <v>113</v>
      </c>
      <c r="B114" s="8" t="n">
        <v>300094</v>
      </c>
      <c r="C114" s="8" t="inlineStr">
        <is>
          <t>瑶池凝露瓶</t>
        </is>
      </c>
      <c r="D114" s="8" t="inlineStr">
        <is>
          <t>丹药</t>
        </is>
      </c>
      <c r="E114" s="8" t="inlineStr">
        <is>
          <t>pill</t>
        </is>
      </c>
      <c r="F114" s="8" t="inlineStr">
        <is>
          <t>spirit</t>
        </is>
      </c>
      <c r="G114" s="8" t="inlineStr">
        <is>
          <t>水</t>
        </is>
      </c>
      <c r="H114" s="8" t="inlineStr">
        <is>
          <t>water</t>
        </is>
      </c>
      <c r="I114" s="8" t="inlineStr">
        <is>
          <t>1×1</t>
        </is>
      </c>
      <c r="J114" s="8" t="n">
        <v>1</v>
      </c>
      <c r="K114" s="8" t="n">
        <v>30</v>
      </c>
      <c r="L114" s="8" t="inlineStr">
        <is>
          <t>是</t>
        </is>
      </c>
      <c r="M114" s="9" t="inlineStr">
        <is>
          <t>bazaar；alchemyCrafting；dynamicRandomReward</t>
        </is>
      </c>
      <c r="N114" s="8" t="n">
        <v>1</v>
      </c>
      <c r="O114" s="9" t="inlineStr">
        <is>
          <t>消耗品效果</t>
        </is>
      </c>
      <c r="P114" s="9" t="inlineStr">
        <is>
          <t>consumable</t>
        </is>
      </c>
      <c r="Q114" s="9" t="inlineStr">
        <is>
          <t>消耗品效果：轮转时，获得 100 层露水</t>
        </is>
      </c>
      <c r="R114" s="9" t="inlineStr">
        <is>
          <t>gain_buff</t>
        </is>
      </c>
      <c r="S114" s="9" t="inlineStr">
        <is>
          <t>双耳玉盏托着两团清润药露，露光像晨池水面，轻轻摇晃便泛起细密涟漪。</t>
        </is>
      </c>
      <c r="T114" s="8" t="inlineStr">
        <is>
          <t>pill_pearljade_basin_1x1</t>
        </is>
      </c>
      <c r="U114" s="8" t="inlineStr">
        <is>
          <t>allowed</t>
        </is>
      </c>
    </row>
    <row r="115" ht="34" customHeight="1">
      <c r="A115" s="8" t="n">
        <v>114</v>
      </c>
      <c r="B115" s="8" t="n">
        <v>300095</v>
      </c>
      <c r="C115" s="8" t="inlineStr">
        <is>
          <t>山河镇骨丹</t>
        </is>
      </c>
      <c r="D115" s="8" t="inlineStr">
        <is>
          <t>丹药</t>
        </is>
      </c>
      <c r="E115" s="8" t="inlineStr">
        <is>
          <t>pill</t>
        </is>
      </c>
      <c r="F115" s="8" t="inlineStr">
        <is>
          <t>spirit</t>
        </is>
      </c>
      <c r="G115" s="8" t="inlineStr">
        <is>
          <t>土</t>
        </is>
      </c>
      <c r="H115" s="8" t="inlineStr">
        <is>
          <t>earth</t>
        </is>
      </c>
      <c r="I115" s="8" t="inlineStr">
        <is>
          <t>1×1</t>
        </is>
      </c>
      <c r="J115" s="8" t="n">
        <v>1</v>
      </c>
      <c r="K115" s="8" t="n">
        <v>30</v>
      </c>
      <c r="L115" s="8" t="inlineStr">
        <is>
          <t>是</t>
        </is>
      </c>
      <c r="M115" s="9" t="inlineStr">
        <is>
          <t>bazaar；alchemyCrafting；dynamicRandomReward</t>
        </is>
      </c>
      <c r="N115" s="8" t="n">
        <v>1</v>
      </c>
      <c r="O115" s="9" t="inlineStr">
        <is>
          <t>消耗品效果</t>
        </is>
      </c>
      <c r="P115" s="9" t="inlineStr">
        <is>
          <t>consumable</t>
        </is>
      </c>
      <c r="Q115" s="9" t="inlineStr">
        <is>
          <t>消耗品效果：获得 24 层坚硬</t>
        </is>
      </c>
      <c r="R115" s="9" t="inlineStr">
        <is>
          <t>gain_buff</t>
        </is>
      </c>
      <c r="S115" s="9" t="inlineStr">
        <is>
          <t>棕金丹丸刻着层叠地脉纹，木匣边角厚重，仿佛把一小段山河的分量封进了丹中。</t>
        </is>
      </c>
      <c r="T115" s="8" t="inlineStr">
        <is>
          <t>pill_supreme_clarity_mystic_pill_1x1</t>
        </is>
      </c>
      <c r="U115" s="8" t="inlineStr">
        <is>
          <t>allowed</t>
        </is>
      </c>
    </row>
    <row r="116" ht="34" customHeight="1">
      <c r="A116" s="8" t="n">
        <v>115</v>
      </c>
      <c r="B116" s="8" t="n">
        <v>300096</v>
      </c>
      <c r="C116" s="8" t="inlineStr">
        <is>
          <t>离火温元丹</t>
        </is>
      </c>
      <c r="D116" s="8" t="inlineStr">
        <is>
          <t>丹药</t>
        </is>
      </c>
      <c r="E116" s="8" t="inlineStr">
        <is>
          <t>pill</t>
        </is>
      </c>
      <c r="F116" s="8" t="inlineStr">
        <is>
          <t>spirit</t>
        </is>
      </c>
      <c r="G116" s="8" t="inlineStr">
        <is>
          <t>火</t>
        </is>
      </c>
      <c r="H116" s="8" t="inlineStr">
        <is>
          <t>fire</t>
        </is>
      </c>
      <c r="I116" s="8" t="inlineStr">
        <is>
          <t>1×1</t>
        </is>
      </c>
      <c r="J116" s="8" t="n">
        <v>1</v>
      </c>
      <c r="K116" s="8" t="n">
        <v>30</v>
      </c>
      <c r="L116" s="8" t="inlineStr">
        <is>
          <t>是</t>
        </is>
      </c>
      <c r="M116" s="9" t="inlineStr">
        <is>
          <t>bazaar；alchemyCrafting；dynamicRandomReward</t>
        </is>
      </c>
      <c r="N116" s="8" t="n">
        <v>1</v>
      </c>
      <c r="O116" s="9" t="inlineStr">
        <is>
          <t>消耗品效果</t>
        </is>
      </c>
      <c r="P116" s="9" t="inlineStr">
        <is>
          <t>consumable</t>
        </is>
      </c>
      <c r="Q116" s="9" t="inlineStr">
        <is>
          <t>消耗品效果：获得 100 层炎热</t>
        </is>
      </c>
      <c r="R116" s="9" t="inlineStr">
        <is>
          <t>gain_buff</t>
        </is>
      </c>
      <c r="S116" s="9" t="inlineStr">
        <is>
          <t>赤焰纹沿丹壳盘成双层火舌，丹心温热而不灼，像炉火在药脉中安静燃烧。</t>
        </is>
      </c>
      <c r="T116" s="8" t="inlineStr">
        <is>
          <t>pill_pain_suppressing_pellet_1x1</t>
        </is>
      </c>
      <c r="U116" s="8" t="inlineStr">
        <is>
          <t>allowed</t>
        </is>
      </c>
    </row>
    <row r="117" ht="34" customHeight="1">
      <c r="A117" s="8" t="n">
        <v>116</v>
      </c>
      <c r="B117" s="8" t="n">
        <v>300097</v>
      </c>
      <c r="C117" s="8" t="inlineStr">
        <is>
          <t>冰魄凝息丹</t>
        </is>
      </c>
      <c r="D117" s="8" t="inlineStr">
        <is>
          <t>丹药</t>
        </is>
      </c>
      <c r="E117" s="8" t="inlineStr">
        <is>
          <t>pill</t>
        </is>
      </c>
      <c r="F117" s="8" t="inlineStr">
        <is>
          <t>spirit</t>
        </is>
      </c>
      <c r="G117" s="8" t="inlineStr">
        <is>
          <t>水</t>
        </is>
      </c>
      <c r="H117" s="8" t="inlineStr">
        <is>
          <t>water</t>
        </is>
      </c>
      <c r="I117" s="8" t="inlineStr">
        <is>
          <t>1×1</t>
        </is>
      </c>
      <c r="J117" s="8" t="n">
        <v>1</v>
      </c>
      <c r="K117" s="8" t="n">
        <v>30</v>
      </c>
      <c r="L117" s="8" t="inlineStr">
        <is>
          <t>是</t>
        </is>
      </c>
      <c r="M117" s="9" t="inlineStr">
        <is>
          <t>bazaar；alchemyCrafting；dynamicRandomReward</t>
        </is>
      </c>
      <c r="N117" s="8" t="n">
        <v>1</v>
      </c>
      <c r="O117" s="9" t="inlineStr">
        <is>
          <t>消耗品效果</t>
        </is>
      </c>
      <c r="P117" s="9" t="inlineStr">
        <is>
          <t>consumable</t>
        </is>
      </c>
      <c r="Q117" s="9" t="inlineStr">
        <is>
          <t>消耗品效果：获得 100 层寒冷</t>
        </is>
      </c>
      <c r="R117" s="9" t="inlineStr">
        <is>
          <t>gain_buff</t>
        </is>
      </c>
      <c r="S117" s="9" t="inlineStr">
        <is>
          <t>冰蓝圆丹被白霜裂纹包住，寒气清透如冬夜月光，药香落入口中便化作一线冷息。</t>
        </is>
      </c>
      <c r="T117" s="8" t="inlineStr">
        <is>
          <t>pill_azure_vortex_elixir_cleartide_1x1</t>
        </is>
      </c>
      <c r="U117" s="8" t="inlineStr">
        <is>
          <t>allowed</t>
        </is>
      </c>
    </row>
    <row r="118" ht="34" customHeight="1">
      <c r="A118" s="8" t="n">
        <v>117</v>
      </c>
      <c r="B118" s="8" t="n">
        <v>300098</v>
      </c>
      <c r="C118" s="8" t="inlineStr">
        <is>
          <t>负岳沉身丸</t>
        </is>
      </c>
      <c r="D118" s="8" t="inlineStr">
        <is>
          <t>丹药</t>
        </is>
      </c>
      <c r="E118" s="8" t="inlineStr">
        <is>
          <t>pill</t>
        </is>
      </c>
      <c r="F118" s="8" t="inlineStr">
        <is>
          <t>spirit</t>
        </is>
      </c>
      <c r="G118" s="8" t="inlineStr">
        <is>
          <t>土</t>
        </is>
      </c>
      <c r="H118" s="8" t="inlineStr">
        <is>
          <t>earth</t>
        </is>
      </c>
      <c r="I118" s="8" t="inlineStr">
        <is>
          <t>1×1</t>
        </is>
      </c>
      <c r="J118" s="8" t="n">
        <v>1</v>
      </c>
      <c r="K118" s="8" t="n">
        <v>30</v>
      </c>
      <c r="L118" s="8" t="inlineStr">
        <is>
          <t>是</t>
        </is>
      </c>
      <c r="M118" s="9" t="inlineStr">
        <is>
          <t>bazaar；alchemyCrafting；dynamicRandomReward</t>
        </is>
      </c>
      <c r="N118" s="8" t="n">
        <v>1</v>
      </c>
      <c r="O118" s="9" t="inlineStr">
        <is>
          <t>消耗品效果</t>
        </is>
      </c>
      <c r="P118" s="9" t="inlineStr">
        <is>
          <t>consumable</t>
        </is>
      </c>
      <c r="Q118" s="9" t="inlineStr">
        <is>
          <t>消耗品效果：获得 30 层蓄势</t>
        </is>
      </c>
      <c r="R118" s="9" t="inlineStr">
        <is>
          <t>gain_buff</t>
        </is>
      </c>
      <c r="S118" s="9" t="inlineStr">
        <is>
          <t>金褐丹丸压着层层岩纹，捧起时似有微沉坠感，药力沿腰腹稳稳向下扎根。</t>
        </is>
      </c>
      <c r="T118" s="8" t="inlineStr">
        <is>
          <t>pill_nirvana_pill_1x1</t>
        </is>
      </c>
      <c r="U118" s="8" t="inlineStr">
        <is>
          <t>allowed</t>
        </is>
      </c>
    </row>
    <row r="119" ht="34" customHeight="1">
      <c r="A119" s="8" t="n">
        <v>118</v>
      </c>
      <c r="B119" s="8" t="n">
        <v>300099</v>
      </c>
      <c r="C119" s="8" t="inlineStr">
        <is>
          <t>青羽逐风丸</t>
        </is>
      </c>
      <c r="D119" s="8" t="inlineStr">
        <is>
          <t>丹药</t>
        </is>
      </c>
      <c r="E119" s="8" t="inlineStr">
        <is>
          <t>pill</t>
        </is>
      </c>
      <c r="F119" s="8" t="inlineStr">
        <is>
          <t>spirit</t>
        </is>
      </c>
      <c r="G119" s="8" t="inlineStr">
        <is>
          <t>风</t>
        </is>
      </c>
      <c r="H119" s="8" t="inlineStr">
        <is>
          <t>wind</t>
        </is>
      </c>
      <c r="I119" s="8" t="inlineStr">
        <is>
          <t>1×1</t>
        </is>
      </c>
      <c r="J119" s="8" t="n">
        <v>1</v>
      </c>
      <c r="K119" s="8" t="n">
        <v>30</v>
      </c>
      <c r="L119" s="8" t="inlineStr">
        <is>
          <t>是</t>
        </is>
      </c>
      <c r="M119" s="9" t="inlineStr">
        <is>
          <t>bazaar；alchemyCrafting；dynamicRandomReward</t>
        </is>
      </c>
      <c r="N119" s="8" t="n">
        <v>1</v>
      </c>
      <c r="O119" s="9" t="inlineStr">
        <is>
          <t>消耗品效果</t>
        </is>
      </c>
      <c r="P119" s="9" t="inlineStr">
        <is>
          <t>consumable</t>
        </is>
      </c>
      <c r="Q119" s="9" t="inlineStr">
        <is>
          <t>消耗品效果：获得 24 层敏捷</t>
        </is>
      </c>
      <c r="R119" s="9" t="inlineStr">
        <is>
          <t>gain_buff</t>
        </is>
      </c>
      <c r="S119" s="9" t="inlineStr">
        <is>
          <t>青玉药瓶旁的叶羽纹路轻快舒展，药气像一阵穿林短风，来去无声却极利落。</t>
        </is>
      </c>
      <c r="T119" s="8" t="inlineStr">
        <is>
          <t>pill_verdant_jade_flask_1x1</t>
        </is>
      </c>
      <c r="U119" s="8" t="inlineStr">
        <is>
          <t>allowed</t>
        </is>
      </c>
    </row>
    <row r="120" ht="34" customHeight="1">
      <c r="A120" s="8" t="n">
        <v>119</v>
      </c>
      <c r="B120" s="8" t="n">
        <v>300100</v>
      </c>
      <c r="C120" s="8" t="inlineStr">
        <is>
          <t>双华润泽丹</t>
        </is>
      </c>
      <c r="D120" s="8" t="inlineStr">
        <is>
          <t>丹药</t>
        </is>
      </c>
      <c r="E120" s="8" t="inlineStr">
        <is>
          <t>pill</t>
        </is>
      </c>
      <c r="F120" s="8" t="inlineStr">
        <is>
          <t>spirit</t>
        </is>
      </c>
      <c r="G120" s="8" t="inlineStr">
        <is>
          <t>水</t>
        </is>
      </c>
      <c r="H120" s="8" t="inlineStr">
        <is>
          <t>water</t>
        </is>
      </c>
      <c r="I120" s="8" t="inlineStr">
        <is>
          <t>1×1</t>
        </is>
      </c>
      <c r="J120" s="8" t="n">
        <v>1</v>
      </c>
      <c r="K120" s="8" t="n">
        <v>30</v>
      </c>
      <c r="L120" s="8" t="inlineStr">
        <is>
          <t>是</t>
        </is>
      </c>
      <c r="M120" s="9" t="inlineStr">
        <is>
          <t>bazaar；alchemyCrafting；dynamicRandomReward</t>
        </is>
      </c>
      <c r="N120" s="8" t="n">
        <v>1</v>
      </c>
      <c r="O120" s="9" t="inlineStr">
        <is>
          <t>消耗品效果</t>
        </is>
      </c>
      <c r="P120" s="9" t="inlineStr">
        <is>
          <t>consumable</t>
        </is>
      </c>
      <c r="Q120" s="9" t="inlineStr">
        <is>
          <t>消耗品效果：获得 100 层露水</t>
        </is>
      </c>
      <c r="R120" s="9" t="inlineStr">
        <is>
          <t>gain_buff</t>
        </is>
      </c>
      <c r="S120" s="9" t="inlineStr">
        <is>
          <t>红青两色丹衣以回旋纹相抱，表面凝着润亮水光，像把花露与晨霞一同封存。</t>
        </is>
      </c>
      <c r="T120" s="8" t="inlineStr">
        <is>
          <t>pill_myriad_return_origin_pill_1x1</t>
        </is>
      </c>
      <c r="U120" s="8" t="inlineStr">
        <is>
          <t>allowed</t>
        </is>
      </c>
    </row>
    <row r="121" ht="34" customHeight="1">
      <c r="A121" s="8" t="n">
        <v>120</v>
      </c>
      <c r="B121" s="8" t="n">
        <v>300101</v>
      </c>
      <c r="C121" s="8" t="inlineStr">
        <is>
          <t>金篆凝锋丸</t>
        </is>
      </c>
      <c r="D121" s="8" t="inlineStr">
        <is>
          <t>丹药</t>
        </is>
      </c>
      <c r="E121" s="8" t="inlineStr">
        <is>
          <t>pill</t>
        </is>
      </c>
      <c r="F121" s="8" t="inlineStr">
        <is>
          <t>spirit</t>
        </is>
      </c>
      <c r="G121" s="8" t="inlineStr">
        <is>
          <t>金</t>
        </is>
      </c>
      <c r="H121" s="8" t="inlineStr">
        <is>
          <t>metal</t>
        </is>
      </c>
      <c r="I121" s="8" t="inlineStr">
        <is>
          <t>1×1</t>
        </is>
      </c>
      <c r="J121" s="8" t="n">
        <v>1</v>
      </c>
      <c r="K121" s="8" t="n">
        <v>30</v>
      </c>
      <c r="L121" s="8" t="inlineStr">
        <is>
          <t>是</t>
        </is>
      </c>
      <c r="M121" s="9" t="inlineStr">
        <is>
          <t>bazaar；alchemyCrafting；dynamicRandomReward</t>
        </is>
      </c>
      <c r="N121" s="8" t="n">
        <v>1</v>
      </c>
      <c r="O121" s="9" t="inlineStr">
        <is>
          <t>消耗品效果</t>
        </is>
      </c>
      <c r="P121" s="9" t="inlineStr">
        <is>
          <t>consumable</t>
        </is>
      </c>
      <c r="Q121" s="9" t="inlineStr">
        <is>
          <t>消耗品效果：获得 100 层凝金</t>
        </is>
      </c>
      <c r="R121" s="9" t="inlineStr">
        <is>
          <t>gain_buff</t>
        </is>
      </c>
      <c r="S121" s="9" t="inlineStr">
        <is>
          <t>青玉瓶中封着一枚金纹药丸，细密锋篆沿丹面收拢，冷亮药意不外泄。</t>
        </is>
      </c>
      <c r="T121" s="8" t="inlineStr">
        <is>
          <t>pill_tempered_edge_elixir_1x1</t>
        </is>
      </c>
      <c r="U121" s="8" t="inlineStr">
        <is>
          <t>allowed</t>
        </is>
      </c>
    </row>
    <row r="122" ht="34" customHeight="1">
      <c r="A122" s="8" t="n">
        <v>121</v>
      </c>
      <c r="B122" s="8" t="n">
        <v>300102</v>
      </c>
      <c r="C122" s="8" t="inlineStr">
        <is>
          <t>碧垒护身散</t>
        </is>
      </c>
      <c r="D122" s="8" t="inlineStr">
        <is>
          <t>丹药</t>
        </is>
      </c>
      <c r="E122" s="8" t="inlineStr">
        <is>
          <t>pill</t>
        </is>
      </c>
      <c r="F122" s="8" t="inlineStr">
        <is>
          <t>spirit</t>
        </is>
      </c>
      <c r="G122" s="8" t="inlineStr">
        <is>
          <t>无</t>
        </is>
      </c>
      <c r="H122" s="8" t="inlineStr">
        <is>
          <t>none</t>
        </is>
      </c>
      <c r="I122" s="8" t="inlineStr">
        <is>
          <t>1×1</t>
        </is>
      </c>
      <c r="J122" s="8" t="n">
        <v>1</v>
      </c>
      <c r="K122" s="8" t="n">
        <v>30</v>
      </c>
      <c r="L122" s="8" t="inlineStr">
        <is>
          <t>是</t>
        </is>
      </c>
      <c r="M122" s="9" t="inlineStr">
        <is>
          <t>bazaar；alchemyCrafting；dynamicRandomReward</t>
        </is>
      </c>
      <c r="N122" s="8" t="n">
        <v>1</v>
      </c>
      <c r="O122" s="9" t="inlineStr">
        <is>
          <t>消耗品效果</t>
        </is>
      </c>
      <c r="P122" s="9" t="inlineStr">
        <is>
          <t>consumable</t>
        </is>
      </c>
      <c r="Q122" s="9" t="inlineStr">
        <is>
          <t>消耗品效果：获得 150 层护甲</t>
        </is>
      </c>
      <c r="R122" s="9" t="inlineStr">
        <is>
          <t>gain_buff</t>
        </is>
      </c>
      <c r="S122" s="9" t="inlineStr">
        <is>
          <t>青碧药散盛在开匣中，颗粒如叠起的鳞片，药香清冷，像一层细密护壁贴住周身。</t>
        </is>
      </c>
      <c r="T122" s="8" t="inlineStr">
        <is>
          <t>pill_marrow_cleansing_pill_1x1</t>
        </is>
      </c>
      <c r="U122" s="8" t="inlineStr">
        <is>
          <t>allowed</t>
        </is>
      </c>
    </row>
    <row r="123" ht="34" customHeight="1">
      <c r="A123" s="8" t="n">
        <v>122</v>
      </c>
      <c r="B123" s="8" t="n">
        <v>300103</v>
      </c>
      <c r="C123" s="8" t="inlineStr">
        <is>
          <t>月隐遁形散</t>
        </is>
      </c>
      <c r="D123" s="8" t="inlineStr">
        <is>
          <t>丹药</t>
        </is>
      </c>
      <c r="E123" s="8" t="inlineStr">
        <is>
          <t>pill</t>
        </is>
      </c>
      <c r="F123" s="8" t="inlineStr">
        <is>
          <t>spirit</t>
        </is>
      </c>
      <c r="G123" s="8" t="inlineStr">
        <is>
          <t>无</t>
        </is>
      </c>
      <c r="H123" s="8" t="inlineStr">
        <is>
          <t>none</t>
        </is>
      </c>
      <c r="I123" s="8" t="inlineStr">
        <is>
          <t>1×1</t>
        </is>
      </c>
      <c r="J123" s="8" t="n">
        <v>1</v>
      </c>
      <c r="K123" s="8" t="n">
        <v>30</v>
      </c>
      <c r="L123" s="8" t="inlineStr">
        <is>
          <t>是</t>
        </is>
      </c>
      <c r="M123" s="9" t="inlineStr">
        <is>
          <t>bazaar；alchemyCrafting；dynamicRandomReward</t>
        </is>
      </c>
      <c r="N123" s="8" t="n">
        <v>1</v>
      </c>
      <c r="O123" s="9" t="inlineStr">
        <is>
          <t>消耗品效果</t>
        </is>
      </c>
      <c r="P123" s="9" t="inlineStr">
        <is>
          <t>consumable</t>
        </is>
      </c>
      <c r="Q123" s="9" t="inlineStr">
        <is>
          <t>消耗品效果：获得 50 层闪避</t>
        </is>
      </c>
      <c r="R123" s="9" t="inlineStr">
        <is>
          <t>gain_buff</t>
        </is>
      </c>
      <c r="S123" s="9" t="inlineStr">
        <is>
          <t>月白药球卧在浅盘中，星点纹路向边缘散开，光线一转便像藏进了夜色深处。</t>
        </is>
      </c>
      <c r="T123" s="8" t="inlineStr">
        <is>
          <t>pill_moon_orb_on_dish_1x1</t>
        </is>
      </c>
      <c r="U123" s="8" t="inlineStr">
        <is>
          <t>allowed</t>
        </is>
      </c>
    </row>
    <row r="124" ht="34" customHeight="1">
      <c r="A124" s="8" t="n">
        <v>123</v>
      </c>
      <c r="B124" s="8" t="n">
        <v>300104</v>
      </c>
      <c r="C124" s="8" t="inlineStr">
        <is>
          <t>长青回元散</t>
        </is>
      </c>
      <c r="D124" s="8" t="inlineStr">
        <is>
          <t>丹药</t>
        </is>
      </c>
      <c r="E124" s="8" t="inlineStr">
        <is>
          <t>pill</t>
        </is>
      </c>
      <c r="F124" s="8" t="inlineStr">
        <is>
          <t>spirit</t>
        </is>
      </c>
      <c r="G124" s="8" t="inlineStr">
        <is>
          <t>木</t>
        </is>
      </c>
      <c r="H124" s="8" t="inlineStr">
        <is>
          <t>wood</t>
        </is>
      </c>
      <c r="I124" s="8" t="inlineStr">
        <is>
          <t>1×1</t>
        </is>
      </c>
      <c r="J124" s="8" t="n">
        <v>1</v>
      </c>
      <c r="K124" s="8" t="n">
        <v>30</v>
      </c>
      <c r="L124" s="8" t="inlineStr">
        <is>
          <t>是</t>
        </is>
      </c>
      <c r="M124" s="9" t="inlineStr">
        <is>
          <t>bazaar；alchemyCrafting；dynamicRandomReward</t>
        </is>
      </c>
      <c r="N124" s="8" t="n">
        <v>1</v>
      </c>
      <c r="O124" s="9" t="inlineStr">
        <is>
          <t>消耗品效果</t>
        </is>
      </c>
      <c r="P124" s="9" t="inlineStr">
        <is>
          <t>consumable</t>
        </is>
      </c>
      <c r="Q124" s="9" t="inlineStr">
        <is>
          <t>消耗品效果：获得 50 层再生</t>
        </is>
      </c>
      <c r="R124" s="9" t="inlineStr">
        <is>
          <t>gain_buff</t>
        </is>
      </c>
      <c r="S124" s="9" t="inlineStr">
        <is>
          <t>青玉小瓶盛着细润药散，瓶身藤纹环抱，启封时有新叶破土般的清甜生机。</t>
        </is>
      </c>
      <c r="T124" s="8" t="inlineStr">
        <is>
          <t>pill_verdant_jade_vial_1x1</t>
        </is>
      </c>
      <c r="U124" s="8" t="inlineStr">
        <is>
          <t>allowed</t>
        </is>
      </c>
    </row>
    <row r="125" ht="34" customHeight="1">
      <c r="A125" s="8" t="n">
        <v>124</v>
      </c>
      <c r="B125" s="8" t="n">
        <v>300105</v>
      </c>
      <c r="C125" s="8" t="inlineStr">
        <is>
          <t>厚土续力丸</t>
        </is>
      </c>
      <c r="D125" s="8" t="inlineStr">
        <is>
          <t>丹药</t>
        </is>
      </c>
      <c r="E125" s="8" t="inlineStr">
        <is>
          <t>pill</t>
        </is>
      </c>
      <c r="F125" s="8" t="inlineStr">
        <is>
          <t>spirit</t>
        </is>
      </c>
      <c r="G125" s="8" t="inlineStr">
        <is>
          <t>无</t>
        </is>
      </c>
      <c r="H125" s="8" t="inlineStr">
        <is>
          <t>none</t>
        </is>
      </c>
      <c r="I125" s="8" t="inlineStr">
        <is>
          <t>1×1</t>
        </is>
      </c>
      <c r="J125" s="8" t="n">
        <v>1</v>
      </c>
      <c r="K125" s="8" t="n">
        <v>30</v>
      </c>
      <c r="L125" s="8" t="inlineStr">
        <is>
          <t>是</t>
        </is>
      </c>
      <c r="M125" s="9" t="inlineStr">
        <is>
          <t>bazaar；beastDrop；alchemyCrafting；dynamicRandomReward</t>
        </is>
      </c>
      <c r="N125" s="8" t="n">
        <v>1</v>
      </c>
      <c r="O125" s="9" t="inlineStr">
        <is>
          <t>消耗品效果</t>
        </is>
      </c>
      <c r="P125" s="9" t="inlineStr">
        <is>
          <t>consumable</t>
        </is>
      </c>
      <c r="Q125" s="9" t="inlineStr">
        <is>
          <t>消耗品效果：恢复 200 点体力</t>
        </is>
      </c>
      <c r="R125" s="9" t="inlineStr">
        <is>
          <t>gain_stat</t>
        </is>
      </c>
      <c r="S125" s="9" t="inlineStr">
        <is>
          <t>棕褐丹丸落在木托上，丹面纹路朴实有力，药气沉入四肢后像把耗散的力道重新接回。</t>
        </is>
      </c>
      <c r="T125" s="8" t="inlineStr">
        <is>
          <t>pill_hemostasis_pellet_1x1</t>
        </is>
      </c>
      <c r="U125" s="8" t="inlineStr">
        <is>
          <t>allowed</t>
        </is>
      </c>
    </row>
    <row r="126" ht="34" customHeight="1">
      <c r="A126" s="8" t="n">
        <v>125</v>
      </c>
      <c r="B126" s="8" t="n">
        <v>300106</v>
      </c>
      <c r="C126" s="8" t="inlineStr">
        <is>
          <t>青冥回法丹</t>
        </is>
      </c>
      <c r="D126" s="8" t="inlineStr">
        <is>
          <t>丹药</t>
        </is>
      </c>
      <c r="E126" s="8" t="inlineStr">
        <is>
          <t>pill</t>
        </is>
      </c>
      <c r="F126" s="8" t="inlineStr">
        <is>
          <t>spirit</t>
        </is>
      </c>
      <c r="G126" s="8" t="inlineStr">
        <is>
          <t>无</t>
        </is>
      </c>
      <c r="H126" s="8" t="inlineStr">
        <is>
          <t>none</t>
        </is>
      </c>
      <c r="I126" s="8" t="inlineStr">
        <is>
          <t>1×1</t>
        </is>
      </c>
      <c r="J126" s="8" t="n">
        <v>1</v>
      </c>
      <c r="K126" s="8" t="n">
        <v>30</v>
      </c>
      <c r="L126" s="8" t="inlineStr">
        <is>
          <t>是</t>
        </is>
      </c>
      <c r="M126" s="9" t="inlineStr">
        <is>
          <t>bazaar；alchemyCrafting；dynamicRandomReward</t>
        </is>
      </c>
      <c r="N126" s="8" t="n">
        <v>1</v>
      </c>
      <c r="O126" s="9" t="inlineStr">
        <is>
          <t>消耗品效果</t>
        </is>
      </c>
      <c r="P126" s="9" t="inlineStr">
        <is>
          <t>consumable</t>
        </is>
      </c>
      <c r="Q126" s="9" t="inlineStr">
        <is>
          <t>消耗品效果：恢复 100 点法力</t>
        </is>
      </c>
      <c r="R126" s="9" t="inlineStr">
        <is>
          <t>gain_stat</t>
        </is>
      </c>
      <c r="S126" s="9" t="inlineStr">
        <is>
          <t>青色药条整齐收在木盘里，端面纹理如细小水道，灵息沿经脉回旋而不滞。</t>
        </is>
      </c>
      <c r="T126" s="8" t="inlineStr">
        <is>
          <t>pill_spiritwood_bottle_1x1</t>
        </is>
      </c>
      <c r="U126" s="8" t="inlineStr">
        <is>
          <t>allowed</t>
        </is>
      </c>
    </row>
    <row r="127" ht="34" customHeight="1">
      <c r="A127" s="8" t="n">
        <v>126</v>
      </c>
      <c r="B127" s="8" t="n">
        <v>300107</v>
      </c>
      <c r="C127" s="8" t="inlineStr">
        <is>
          <t>引潮纳元瓶</t>
        </is>
      </c>
      <c r="D127" s="8" t="inlineStr">
        <is>
          <t>丹药</t>
        </is>
      </c>
      <c r="E127" s="8" t="inlineStr">
        <is>
          <t>pill</t>
        </is>
      </c>
      <c r="F127" s="8" t="inlineStr">
        <is>
          <t>spirit</t>
        </is>
      </c>
      <c r="G127" s="8" t="inlineStr">
        <is>
          <t>无</t>
        </is>
      </c>
      <c r="H127" s="8" t="inlineStr">
        <is>
          <t>none</t>
        </is>
      </c>
      <c r="I127" s="8" t="inlineStr">
        <is>
          <t>1×1</t>
        </is>
      </c>
      <c r="J127" s="8" t="n">
        <v>1</v>
      </c>
      <c r="K127" s="8" t="n">
        <v>30</v>
      </c>
      <c r="L127" s="8" t="inlineStr">
        <is>
          <t>是</t>
        </is>
      </c>
      <c r="M127" s="9" t="inlineStr">
        <is>
          <t>bazaar；alchemyCrafting；dynamicRandomReward</t>
        </is>
      </c>
      <c r="N127" s="8" t="n">
        <v>1</v>
      </c>
      <c r="O127" s="9" t="inlineStr">
        <is>
          <t>消耗品效果</t>
        </is>
      </c>
      <c r="P127" s="9" t="inlineStr">
        <is>
          <t>consumable</t>
        </is>
      </c>
      <c r="Q127" s="9" t="inlineStr">
        <is>
          <t>消耗品效果：轮转时，恢复 40 点法力</t>
        </is>
      </c>
      <c r="R127" s="9" t="inlineStr">
        <is>
          <t>gain_stat</t>
        </is>
      </c>
      <c r="S127" s="9" t="inlineStr">
        <is>
          <t>木色药瓶缀着叶纹，瓶腹仿佛藏着一股潮汐，灵气来回推涌却始终不乱。</t>
        </is>
      </c>
      <c r="T127" s="8" t="inlineStr">
        <is>
          <t>pill_mana_potion_02_1x1</t>
        </is>
      </c>
      <c r="U127" s="8" t="inlineStr">
        <is>
          <t>allowed</t>
        </is>
      </c>
    </row>
    <row r="128" ht="34" customHeight="1">
      <c r="A128" s="8" t="n">
        <v>127</v>
      </c>
      <c r="B128" s="8" t="n">
        <v>300108</v>
      </c>
      <c r="C128" s="8" t="inlineStr">
        <is>
          <t>青叶养血丸</t>
        </is>
      </c>
      <c r="D128" s="8" t="inlineStr">
        <is>
          <t>丹药</t>
        </is>
      </c>
      <c r="E128" s="8" t="inlineStr">
        <is>
          <t>pill</t>
        </is>
      </c>
      <c r="F128" s="8" t="inlineStr">
        <is>
          <t>spirit</t>
        </is>
      </c>
      <c r="G128" s="8" t="inlineStr">
        <is>
          <t>无</t>
        </is>
      </c>
      <c r="H128" s="8" t="inlineStr">
        <is>
          <t>none</t>
        </is>
      </c>
      <c r="I128" s="8" t="inlineStr">
        <is>
          <t>1×1</t>
        </is>
      </c>
      <c r="J128" s="8" t="n">
        <v>1</v>
      </c>
      <c r="K128" s="8" t="n">
        <v>30</v>
      </c>
      <c r="L128" s="8" t="inlineStr">
        <is>
          <t>是</t>
        </is>
      </c>
      <c r="M128" s="9" t="inlineStr">
        <is>
          <t>bazaar；beastDrop；alchemyCrafting；dynamicRandomReward</t>
        </is>
      </c>
      <c r="N128" s="8" t="n">
        <v>1</v>
      </c>
      <c r="O128" s="9" t="inlineStr">
        <is>
          <t>消耗品效果</t>
        </is>
      </c>
      <c r="P128" s="9" t="inlineStr">
        <is>
          <t>consumable</t>
        </is>
      </c>
      <c r="Q128" s="9" t="inlineStr">
        <is>
          <t>消耗品效果：轮转时，恢复 50 点气血</t>
        </is>
      </c>
      <c r="R128" s="9" t="inlineStr">
        <is>
          <t>gain_stat</t>
        </is>
      </c>
      <c r="S128" s="9" t="inlineStr">
        <is>
          <t>黄绿丹丸覆着叶脉金纹，清香柔和，像把春日新叶的生息揉进了药壳。</t>
        </is>
      </c>
      <c r="T128" s="8" t="inlineStr">
        <is>
          <t>pill_vein_fortifying_pellet_1x1</t>
        </is>
      </c>
      <c r="U128" s="8" t="inlineStr">
        <is>
          <t>allowed</t>
        </is>
      </c>
    </row>
    <row r="129" ht="34" customHeight="1">
      <c r="A129" s="8" t="n">
        <v>128</v>
      </c>
      <c r="B129" s="8" t="n">
        <v>300109</v>
      </c>
      <c r="C129" s="8" t="inlineStr">
        <is>
          <t>云岚回脉露</t>
        </is>
      </c>
      <c r="D129" s="8" t="inlineStr">
        <is>
          <t>丹药</t>
        </is>
      </c>
      <c r="E129" s="8" t="inlineStr">
        <is>
          <t>pill</t>
        </is>
      </c>
      <c r="F129" s="8" t="inlineStr">
        <is>
          <t>spirit</t>
        </is>
      </c>
      <c r="G129" s="8" t="inlineStr">
        <is>
          <t>无</t>
        </is>
      </c>
      <c r="H129" s="8" t="inlineStr">
        <is>
          <t>none</t>
        </is>
      </c>
      <c r="I129" s="8" t="inlineStr">
        <is>
          <t>1×2</t>
        </is>
      </c>
      <c r="J129" s="8" t="n">
        <v>2</v>
      </c>
      <c r="K129" s="8" t="n">
        <v>50</v>
      </c>
      <c r="L129" s="8" t="inlineStr">
        <is>
          <t>是</t>
        </is>
      </c>
      <c r="M129" s="9" t="inlineStr">
        <is>
          <t>bazaar；alchemyCrafting；dynamicRandomReward</t>
        </is>
      </c>
      <c r="N129" s="8" t="n">
        <v>1</v>
      </c>
      <c r="O129" s="9" t="inlineStr">
        <is>
          <t>消耗品效果</t>
        </is>
      </c>
      <c r="P129" s="9" t="inlineStr">
        <is>
          <t>consumable</t>
        </is>
      </c>
      <c r="Q129" s="9" t="inlineStr">
        <is>
          <t>消耗品效果：恢复 300 点气血</t>
        </is>
      </c>
      <c r="R129" s="9" t="inlineStr">
        <is>
          <t>gain_stat</t>
        </is>
      </c>
      <c r="S129" s="9" t="inlineStr">
        <is>
          <t>青岚山纹长瓶盛着澄澈药露，瓶中水色如远峰薄雾，拔塞时先有清凉气息贴上心脉。</t>
        </is>
      </c>
      <c r="T129" s="8" t="inlineStr">
        <is>
          <t>pill_mountain_pattern_bottle_1x2</t>
        </is>
      </c>
      <c r="U129" s="8" t="inlineStr">
        <is>
          <t>allowed</t>
        </is>
      </c>
    </row>
    <row r="130" ht="34" customHeight="1">
      <c r="A130" s="8" t="n">
        <v>129</v>
      </c>
      <c r="B130" s="8" t="n">
        <v>300110</v>
      </c>
      <c r="C130" s="8" t="inlineStr">
        <is>
          <t>太虚纳灵丹</t>
        </is>
      </c>
      <c r="D130" s="8" t="inlineStr">
        <is>
          <t>丹药</t>
        </is>
      </c>
      <c r="E130" s="8" t="inlineStr">
        <is>
          <t>pill</t>
        </is>
      </c>
      <c r="F130" s="8" t="inlineStr">
        <is>
          <t>spirit</t>
        </is>
      </c>
      <c r="G130" s="8" t="inlineStr">
        <is>
          <t>无</t>
        </is>
      </c>
      <c r="H130" s="8" t="inlineStr">
        <is>
          <t>none</t>
        </is>
      </c>
      <c r="I130" s="8" t="inlineStr">
        <is>
          <t>1×1</t>
        </is>
      </c>
      <c r="J130" s="8" t="n">
        <v>1</v>
      </c>
      <c r="K130" s="8" t="n">
        <v>50</v>
      </c>
      <c r="L130" s="8" t="inlineStr">
        <is>
          <t>是</t>
        </is>
      </c>
      <c r="M130" s="9" t="inlineStr">
        <is>
          <t>bazaar；alchemyCrafting；dynamicRandomReward</t>
        </is>
      </c>
      <c r="N130" s="8" t="n">
        <v>1</v>
      </c>
      <c r="O130" s="9" t="inlineStr">
        <is>
          <t>消耗品效果</t>
        </is>
      </c>
      <c r="P130" s="9" t="inlineStr">
        <is>
          <t>consumable</t>
        </is>
      </c>
      <c r="Q130" s="9" t="inlineStr">
        <is>
          <t>消耗品效果：恢复 250 点法力</t>
        </is>
      </c>
      <c r="R130" s="9" t="inlineStr">
        <is>
          <t>gain_stat</t>
        </is>
      </c>
      <c r="S130" s="9" t="inlineStr">
        <is>
          <t>白玉小瓶中藏着一枚清润药丸，云水纹绕瓶腹回旋，静置时也像在收拢四周灵息。</t>
        </is>
      </c>
      <c r="T130" s="8" t="inlineStr">
        <is>
          <t>pill_whitejade_vial_1x1</t>
        </is>
      </c>
      <c r="U130" s="8" t="inlineStr">
        <is>
          <t>allowed</t>
        </is>
      </c>
    </row>
    <row r="131" ht="34" customHeight="1">
      <c r="A131" s="8" t="n">
        <v>130</v>
      </c>
      <c r="B131" s="8" t="n">
        <v>300111</v>
      </c>
      <c r="C131" s="8" t="inlineStr">
        <is>
          <t>紫府温元丸</t>
        </is>
      </c>
      <c r="D131" s="8" t="inlineStr">
        <is>
          <t>丹药</t>
        </is>
      </c>
      <c r="E131" s="8" t="inlineStr">
        <is>
          <t>pill</t>
        </is>
      </c>
      <c r="F131" s="8" t="inlineStr">
        <is>
          <t>spirit</t>
        </is>
      </c>
      <c r="G131" s="8" t="inlineStr">
        <is>
          <t>无</t>
        </is>
      </c>
      <c r="H131" s="8" t="inlineStr">
        <is>
          <t>none</t>
        </is>
      </c>
      <c r="I131" s="8" t="inlineStr">
        <is>
          <t>1×1</t>
        </is>
      </c>
      <c r="J131" s="8" t="n">
        <v>1</v>
      </c>
      <c r="K131" s="8" t="n">
        <v>50</v>
      </c>
      <c r="L131" s="8" t="inlineStr">
        <is>
          <t>是</t>
        </is>
      </c>
      <c r="M131" s="9" t="inlineStr">
        <is>
          <t>bazaar；beastDrop；alchemyCrafting；dynamicRandomReward</t>
        </is>
      </c>
      <c r="N131" s="8" t="n">
        <v>1</v>
      </c>
      <c r="O131" s="9" t="inlineStr">
        <is>
          <t>消耗品效果</t>
        </is>
      </c>
      <c r="P131" s="9" t="inlineStr">
        <is>
          <t>consumable</t>
        </is>
      </c>
      <c r="Q131" s="9" t="inlineStr">
        <is>
          <t>消耗品效果：轮转时，恢复 50 点体力</t>
        </is>
      </c>
      <c r="R131" s="9" t="inlineStr">
        <is>
          <t>gain_stat</t>
        </is>
      </c>
      <c r="S131" s="9" t="inlineStr">
        <is>
          <t>月白与紫纹交叠在丹面，药气温和绵长，入口后像有一股暖流沿筋骨缓缓铺开。</t>
        </is>
      </c>
      <c r="T131" s="8" t="inlineStr">
        <is>
          <t>pill_stomach_nourishing_pellet_1x1</t>
        </is>
      </c>
      <c r="U131" s="8" t="inlineStr">
        <is>
          <t>allowed</t>
        </is>
      </c>
    </row>
    <row r="132" ht="34" customHeight="1">
      <c r="A132" s="8" t="n">
        <v>131</v>
      </c>
      <c r="B132" s="8" t="n">
        <v>300112</v>
      </c>
      <c r="C132" s="8" t="inlineStr">
        <is>
          <t>金阙壮体丹</t>
        </is>
      </c>
      <c r="D132" s="8" t="inlineStr">
        <is>
          <t>丹药</t>
        </is>
      </c>
      <c r="E132" s="8" t="inlineStr">
        <is>
          <t>pill</t>
        </is>
      </c>
      <c r="F132" s="8" t="inlineStr">
        <is>
          <t>spirit</t>
        </is>
      </c>
      <c r="G132" s="8" t="inlineStr">
        <is>
          <t>无</t>
        </is>
      </c>
      <c r="H132" s="8" t="inlineStr">
        <is>
          <t>none</t>
        </is>
      </c>
      <c r="I132" s="8" t="inlineStr">
        <is>
          <t>1×1</t>
        </is>
      </c>
      <c r="J132" s="8" t="n">
        <v>1</v>
      </c>
      <c r="K132" s="8" t="n">
        <v>30</v>
      </c>
      <c r="L132" s="8" t="inlineStr">
        <is>
          <t>是</t>
        </is>
      </c>
      <c r="M132" s="9" t="inlineStr">
        <is>
          <t>bazaar；alchemyCrafting；dynamicRandomReward</t>
        </is>
      </c>
      <c r="N132" s="8" t="n">
        <v>1</v>
      </c>
      <c r="O132" s="9" t="inlineStr">
        <is>
          <t>消耗品效果</t>
        </is>
      </c>
      <c r="P132" s="9" t="inlineStr">
        <is>
          <t>consumable</t>
        </is>
      </c>
      <c r="Q132" s="9" t="inlineStr">
        <is>
          <t>消耗品效果：本局内体力上限 +200</t>
        </is>
      </c>
      <c r="R132" s="9" t="inlineStr">
        <is>
          <t>temp_stat_upper_limit</t>
        </is>
      </c>
      <c r="S132" s="9" t="inlineStr">
        <is>
          <t>蓝金丹丸以层层金纹束住丹心，药力厚实而短促，像一座小小暖炉在体内撑开。</t>
        </is>
      </c>
      <c r="T132" s="8" t="inlineStr">
        <is>
          <t>pill_soul_calming_pill_1x1</t>
        </is>
      </c>
      <c r="U132" s="8" t="inlineStr">
        <is>
          <t>allowed</t>
        </is>
      </c>
    </row>
    <row r="133" ht="34" customHeight="1">
      <c r="A133" s="8" t="n">
        <v>132</v>
      </c>
      <c r="B133" s="8" t="n">
        <v>300113</v>
      </c>
      <c r="C133" s="8" t="inlineStr">
        <is>
          <t>紫府开玄丸</t>
        </is>
      </c>
      <c r="D133" s="8" t="inlineStr">
        <is>
          <t>丹药</t>
        </is>
      </c>
      <c r="E133" s="8" t="inlineStr">
        <is>
          <t>pill</t>
        </is>
      </c>
      <c r="F133" s="8" t="inlineStr">
        <is>
          <t>spirit</t>
        </is>
      </c>
      <c r="G133" s="8" t="inlineStr">
        <is>
          <t>无</t>
        </is>
      </c>
      <c r="H133" s="8" t="inlineStr">
        <is>
          <t>none</t>
        </is>
      </c>
      <c r="I133" s="8" t="inlineStr">
        <is>
          <t>1×1</t>
        </is>
      </c>
      <c r="J133" s="8" t="n">
        <v>1</v>
      </c>
      <c r="K133" s="8" t="n">
        <v>30</v>
      </c>
      <c r="L133" s="8" t="inlineStr">
        <is>
          <t>是</t>
        </is>
      </c>
      <c r="M133" s="9" t="inlineStr">
        <is>
          <t>bazaar；alchemyCrafting；dynamicRandomReward</t>
        </is>
      </c>
      <c r="N133" s="8" t="n">
        <v>1</v>
      </c>
      <c r="O133" s="9" t="inlineStr">
        <is>
          <t>消耗品效果</t>
        </is>
      </c>
      <c r="P133" s="9" t="inlineStr">
        <is>
          <t>consumable</t>
        </is>
      </c>
      <c r="Q133" s="9" t="inlineStr">
        <is>
          <t>消耗品效果：本局内法力上限 +200</t>
        </is>
      </c>
      <c r="R133" s="9" t="inlineStr">
        <is>
          <t>temp_stat_upper_limit</t>
        </is>
      </c>
      <c r="S133" s="9" t="inlineStr">
        <is>
          <t>紫晶药丸置于木匣，晶纹如星门交错，灵意清明，仿佛能把闭塞的气海暂时撑开。</t>
        </is>
      </c>
      <c r="T133" s="8" t="inlineStr">
        <is>
          <t>pill_heavenly_mind_enlightenment_pill_1x1</t>
        </is>
      </c>
      <c r="U133" s="8" t="inlineStr">
        <is>
          <t>allowed</t>
        </is>
      </c>
    </row>
    <row r="134" ht="34" customHeight="1">
      <c r="A134" s="8" t="n">
        <v>133</v>
      </c>
      <c r="B134" s="8" t="n">
        <v>300114</v>
      </c>
      <c r="C134" s="8" t="inlineStr">
        <is>
          <t>双生护脉丹</t>
        </is>
      </c>
      <c r="D134" s="8" t="inlineStr">
        <is>
          <t>丹药</t>
        </is>
      </c>
      <c r="E134" s="8" t="inlineStr">
        <is>
          <t>pill</t>
        </is>
      </c>
      <c r="F134" s="8" t="inlineStr">
        <is>
          <t>spirit</t>
        </is>
      </c>
      <c r="G134" s="8" t="inlineStr">
        <is>
          <t>无</t>
        </is>
      </c>
      <c r="H134" s="8" t="inlineStr">
        <is>
          <t>none</t>
        </is>
      </c>
      <c r="I134" s="8" t="inlineStr">
        <is>
          <t>1×1</t>
        </is>
      </c>
      <c r="J134" s="8" t="n">
        <v>1</v>
      </c>
      <c r="K134" s="8" t="n">
        <v>30</v>
      </c>
      <c r="L134" s="8" t="inlineStr">
        <is>
          <t>是</t>
        </is>
      </c>
      <c r="M134" s="9" t="inlineStr">
        <is>
          <t>bazaar；alchemyCrafting；dynamicRandomReward</t>
        </is>
      </c>
      <c r="N134" s="8" t="n">
        <v>1</v>
      </c>
      <c r="O134" s="9" t="inlineStr">
        <is>
          <t>消耗品效果</t>
        </is>
      </c>
      <c r="P134" s="9" t="inlineStr">
        <is>
          <t>consumable</t>
        </is>
      </c>
      <c r="Q134" s="9" t="inlineStr">
        <is>
          <t>消耗品效果：本局内气血上限 +300</t>
        </is>
      </c>
      <c r="R134" s="9" t="inlineStr">
        <is>
          <t>temp_stat_upper_limit</t>
        </is>
      </c>
      <c r="S134" s="9" t="inlineStr">
        <is>
          <t>圆匣中并列两枚棕金丹丸，回纹围住匣心，药香温厚，像两道相扣的护脉环。</t>
        </is>
      </c>
      <c r="T134" s="8" t="inlineStr">
        <is>
          <t>pill_twinpearl_casket_1x1</t>
        </is>
      </c>
      <c r="U134" s="8" t="inlineStr">
        <is>
          <t>allowed</t>
        </is>
      </c>
    </row>
    <row r="135" ht="34" customHeight="1">
      <c r="A135" s="8" t="n">
        <v>134</v>
      </c>
      <c r="B135" s="8" t="n">
        <v>300115</v>
      </c>
      <c r="C135" s="8" t="inlineStr">
        <is>
          <t>化龙丹</t>
        </is>
      </c>
      <c r="D135" s="8" t="inlineStr">
        <is>
          <t>丹药</t>
        </is>
      </c>
      <c r="E135" s="8" t="inlineStr">
        <is>
          <t>pill</t>
        </is>
      </c>
      <c r="F135" s="8" t="inlineStr">
        <is>
          <t>spirit</t>
        </is>
      </c>
      <c r="G135" s="8" t="inlineStr">
        <is>
          <t>火</t>
        </is>
      </c>
      <c r="H135" s="8" t="inlineStr">
        <is>
          <t>fire</t>
        </is>
      </c>
      <c r="I135" s="8" t="inlineStr">
        <is>
          <t>1×1</t>
        </is>
      </c>
      <c r="J135" s="8" t="n">
        <v>1</v>
      </c>
      <c r="K135" s="8" t="n">
        <v>1200</v>
      </c>
      <c r="L135" s="8" t="inlineStr">
        <is>
          <t>是</t>
        </is>
      </c>
      <c r="M135" s="9" t="inlineStr">
        <is>
          <t>questStoryReward；bazaar；alchemyCrafting</t>
        </is>
      </c>
      <c r="N135" s="8" t="n">
        <v>1</v>
      </c>
      <c r="O135" s="9" t="inlineStr">
        <is>
          <t>消耗品效果</t>
        </is>
      </c>
      <c r="P135" s="9" t="inlineStr">
        <is>
          <t>consumable</t>
        </is>
      </c>
      <c r="Q135" s="9" t="inlineStr">
        <is>
          <t>消耗品效果：服下此丹，助力结丹破境</t>
        </is>
      </c>
      <c r="R135" s="9" t="inlineStr"/>
      <c r="S135" s="9" t="inlineStr">
        <is>
          <t>青金与赤金龙鳞纹在丹皮上交缠收束。依自身木、火灵根配量从仓库服下，方能引气蜕变。</t>
        </is>
      </c>
      <c r="T135" s="8" t="inlineStr">
        <is>
          <t>pill_core_formation_dragon_1x1</t>
        </is>
      </c>
      <c r="U135" s="8" t="inlineStr">
        <is>
          <t>allowed</t>
        </is>
      </c>
    </row>
    <row r="136" ht="34" customHeight="1">
      <c r="A136" s="8" t="n">
        <v>135</v>
      </c>
      <c r="B136" s="8" t="n">
        <v>300116</v>
      </c>
      <c r="C136" s="8" t="inlineStr">
        <is>
          <t>伏虎丹</t>
        </is>
      </c>
      <c r="D136" s="8" t="inlineStr">
        <is>
          <t>丹药</t>
        </is>
      </c>
      <c r="E136" s="8" t="inlineStr">
        <is>
          <t>pill</t>
        </is>
      </c>
      <c r="F136" s="8" t="inlineStr">
        <is>
          <t>spirit</t>
        </is>
      </c>
      <c r="G136" s="8" t="inlineStr">
        <is>
          <t>水</t>
        </is>
      </c>
      <c r="H136" s="8" t="inlineStr">
        <is>
          <t>water</t>
        </is>
      </c>
      <c r="I136" s="8" t="inlineStr">
        <is>
          <t>1×1</t>
        </is>
      </c>
      <c r="J136" s="8" t="n">
        <v>1</v>
      </c>
      <c r="K136" s="8" t="n">
        <v>1200</v>
      </c>
      <c r="L136" s="8" t="inlineStr">
        <is>
          <t>是</t>
        </is>
      </c>
      <c r="M136" s="9" t="inlineStr">
        <is>
          <t>questStoryReward；bazaar；alchemyCrafting</t>
        </is>
      </c>
      <c r="N136" s="8" t="n">
        <v>1</v>
      </c>
      <c r="O136" s="9" t="inlineStr">
        <is>
          <t>消耗品效果</t>
        </is>
      </c>
      <c r="P136" s="9" t="inlineStr">
        <is>
          <t>consumable</t>
        </is>
      </c>
      <c r="Q136" s="9" t="inlineStr">
        <is>
          <t>消耗品效果：服下此丹，助力结丹破境</t>
        </is>
      </c>
      <c r="R136" s="9" t="inlineStr"/>
      <c r="S136" s="9" t="inlineStr">
        <is>
          <t>白金虎纹伏于深蓝丹皮之上。依自身金、水灵根配量从仓库服下，方能镇伏躁动气机。</t>
        </is>
      </c>
      <c r="T136" s="8" t="inlineStr">
        <is>
          <t>pill_core_formation_tiger_1x1</t>
        </is>
      </c>
      <c r="U136" s="8" t="inlineStr">
        <is>
          <t>allowed</t>
        </is>
      </c>
    </row>
    <row r="137" ht="34" customHeight="1">
      <c r="A137" s="8" t="n">
        <v>136</v>
      </c>
      <c r="B137" s="8" t="n">
        <v>300117</v>
      </c>
      <c r="C137" s="8" t="inlineStr">
        <is>
          <t>抱一丹</t>
        </is>
      </c>
      <c r="D137" s="8" t="inlineStr">
        <is>
          <t>丹药</t>
        </is>
      </c>
      <c r="E137" s="8" t="inlineStr">
        <is>
          <t>pill</t>
        </is>
      </c>
      <c r="F137" s="8" t="inlineStr">
        <is>
          <t>spirit</t>
        </is>
      </c>
      <c r="G137" s="8" t="inlineStr">
        <is>
          <t>土</t>
        </is>
      </c>
      <c r="H137" s="8" t="inlineStr">
        <is>
          <t>earth</t>
        </is>
      </c>
      <c r="I137" s="8" t="inlineStr">
        <is>
          <t>1×1</t>
        </is>
      </c>
      <c r="J137" s="8" t="n">
        <v>1</v>
      </c>
      <c r="K137" s="8" t="n">
        <v>1200</v>
      </c>
      <c r="L137" s="8" t="inlineStr">
        <is>
          <t>是</t>
        </is>
      </c>
      <c r="M137" s="9" t="inlineStr">
        <is>
          <t>questStoryReward；bazaar；alchemyCrafting</t>
        </is>
      </c>
      <c r="N137" s="8" t="n">
        <v>1</v>
      </c>
      <c r="O137" s="9" t="inlineStr">
        <is>
          <t>消耗品效果</t>
        </is>
      </c>
      <c r="P137" s="9" t="inlineStr">
        <is>
          <t>consumable</t>
        </is>
      </c>
      <c r="Q137" s="9" t="inlineStr">
        <is>
          <t>消耗品效果：服下此丹，助力结丹破境</t>
        </is>
      </c>
      <c r="R137" s="9" t="inlineStr"/>
      <c r="S137" s="9" t="inlineStr">
        <is>
          <t>沉金山环层层抱合玄褐丹心。依自身土灵根配量从仓库服下，方能使五气归一、丹基自固。</t>
        </is>
      </c>
      <c r="T137" s="8" t="inlineStr">
        <is>
          <t>pill_core_formation_unity_1x1</t>
        </is>
      </c>
      <c r="U137" s="8" t="inlineStr">
        <is>
          <t>allowed</t>
        </is>
      </c>
    </row>
    <row r="138" ht="34" customHeight="1">
      <c r="A138" s="8" t="n">
        <v>137</v>
      </c>
      <c r="B138" s="8" t="n">
        <v>400001</v>
      </c>
      <c r="C138" s="8" t="inlineStr">
        <is>
          <t>活血石</t>
        </is>
      </c>
      <c r="D138" s="8" t="inlineStr">
        <is>
          <t>法器</t>
        </is>
      </c>
      <c r="E138" s="8" t="inlineStr">
        <is>
          <t>implement</t>
        </is>
      </c>
      <c r="F138" s="8" t="inlineStr">
        <is>
          <t>common</t>
        </is>
      </c>
      <c r="G138" s="8" t="inlineStr">
        <is>
          <t>无</t>
        </is>
      </c>
      <c r="H138" s="8" t="inlineStr">
        <is>
          <t>none</t>
        </is>
      </c>
      <c r="I138" s="8" t="inlineStr">
        <is>
          <t>1×1</t>
        </is>
      </c>
      <c r="J138" s="8" t="n">
        <v>1</v>
      </c>
      <c r="K138" s="8" t="n">
        <v>3</v>
      </c>
      <c r="L138" s="8" t="inlineStr">
        <is>
          <t>是</t>
        </is>
      </c>
      <c r="M138" s="9" t="inlineStr">
        <is>
          <t>bazaar；beastDrop；dynamicRandomReward；itemReforge</t>
        </is>
      </c>
      <c r="N138" s="8" t="n">
        <v>1</v>
      </c>
      <c r="O138" s="9" t="inlineStr">
        <is>
          <t>周期触发</t>
        </is>
      </c>
      <c r="P138" s="9" t="inlineStr">
        <is>
          <t>periodicPulse</t>
        </is>
      </c>
      <c r="Q138" s="9" t="inlineStr">
        <is>
          <t>周期触发：体力低于 50% 时，恢复 1 点体力；体力低于 50% 时，恢复 2 点体力；体力低于 50% 时，恢复 3 点体力；体力低于 50% 时，恢复 4 点体力</t>
        </is>
      </c>
      <c r="R138" s="9" t="inlineStr">
        <is>
          <t>starter_yangzhen</t>
        </is>
      </c>
      <c r="S138" s="9" t="inlineStr">
        <is>
          <t>赤褐玉牌中央螺纹缓缓收拢，细砂般的表面带着温热触感，像能把散血重新引回脉中。</t>
        </is>
      </c>
      <c r="T138" s="8" t="inlineStr">
        <is>
          <t>implement_spiral_jade_talisman_1x1</t>
        </is>
      </c>
      <c r="U138" s="8" t="inlineStr">
        <is>
          <t>onboardingProtected</t>
        </is>
      </c>
    </row>
    <row r="139" ht="34" customHeight="1">
      <c r="A139" s="8" t="n">
        <v>138</v>
      </c>
      <c r="B139" s="8" t="n">
        <v>400002</v>
      </c>
      <c r="C139" s="8" t="inlineStr">
        <is>
          <t>沉重石锤</t>
        </is>
      </c>
      <c r="D139" s="8" t="inlineStr">
        <is>
          <t>法器</t>
        </is>
      </c>
      <c r="E139" s="8" t="inlineStr">
        <is>
          <t>implement</t>
        </is>
      </c>
      <c r="F139" s="8" t="inlineStr">
        <is>
          <t>common</t>
        </is>
      </c>
      <c r="G139" s="8" t="inlineStr">
        <is>
          <t>无</t>
        </is>
      </c>
      <c r="H139" s="8" t="inlineStr">
        <is>
          <t>none</t>
        </is>
      </c>
      <c r="I139" s="8" t="inlineStr">
        <is>
          <t>1×1</t>
        </is>
      </c>
      <c r="J139" s="8" t="n">
        <v>1</v>
      </c>
      <c r="K139" s="8" t="n">
        <v>3</v>
      </c>
      <c r="L139" s="8" t="inlineStr">
        <is>
          <t>是</t>
        </is>
      </c>
      <c r="M139" s="9" t="inlineStr">
        <is>
          <t>bazaar；dynamicRandomReward；itemReforge</t>
        </is>
      </c>
      <c r="N139" s="8" t="n">
        <v>1</v>
      </c>
      <c r="O139" s="9" t="inlineStr">
        <is>
          <t>周期触发</t>
        </is>
      </c>
      <c r="P139" s="9" t="inlineStr">
        <is>
          <t>periodicPulse</t>
        </is>
      </c>
      <c r="Q139" s="9" t="inlineStr">
        <is>
          <t>周期触发：消耗 1 点体力，对敌人造成 1 点伤害；消耗 2 点体力，对敌人造成 2 点伤害；消耗 3 点体力，对敌人造成 3 点伤害；消耗 4 点体力，对敌人造成 4 点伤害</t>
        </is>
      </c>
      <c r="R139" s="9" t="inlineStr"/>
      <c r="S139" s="9" t="inlineStr">
        <is>
          <t>石制重锤带着金属包边与缠带木柄，握久了臂骨发沉，浊气也被迫压入筋肉。</t>
        </is>
      </c>
      <c r="T139" s="8" t="inlineStr">
        <is>
          <t>implement_stone_war_hammer_1x1</t>
        </is>
      </c>
      <c r="U139" s="8" t="inlineStr">
        <is>
          <t>onboardingProtected</t>
        </is>
      </c>
    </row>
    <row r="140" ht="34" customHeight="1">
      <c r="A140" s="8" t="n">
        <v>139</v>
      </c>
      <c r="B140" s="8" t="n">
        <v>400003</v>
      </c>
      <c r="C140" s="8" t="inlineStr">
        <is>
          <t>转灵佩</t>
        </is>
      </c>
      <c r="D140" s="8" t="inlineStr">
        <is>
          <t>法器</t>
        </is>
      </c>
      <c r="E140" s="8" t="inlineStr">
        <is>
          <t>implement</t>
        </is>
      </c>
      <c r="F140" s="8" t="inlineStr">
        <is>
          <t>common</t>
        </is>
      </c>
      <c r="G140" s="8" t="inlineStr">
        <is>
          <t>无</t>
        </is>
      </c>
      <c r="H140" s="8" t="inlineStr">
        <is>
          <t>none</t>
        </is>
      </c>
      <c r="I140" s="8" t="inlineStr">
        <is>
          <t>1×2</t>
        </is>
      </c>
      <c r="J140" s="8" t="n">
        <v>2</v>
      </c>
      <c r="K140" s="8" t="n">
        <v>10</v>
      </c>
      <c r="L140" s="8" t="inlineStr">
        <is>
          <t>是</t>
        </is>
      </c>
      <c r="M140" s="9" t="inlineStr">
        <is>
          <t>bazaar；dynamicRandomReward；itemReforge</t>
        </is>
      </c>
      <c r="N140" s="8" t="n">
        <v>1</v>
      </c>
      <c r="O140" s="9" t="inlineStr">
        <is>
          <t>周期触发</t>
        </is>
      </c>
      <c r="P140" s="9" t="inlineStr">
        <is>
          <t>periodicPulse</t>
        </is>
      </c>
      <c r="Q140" s="9" t="inlineStr">
        <is>
          <t>周期触发：体力未满时，将 1 块灵石转化为 8 点体力；体力未满时，将 1 块灵石转化为 16 点体力；体力未满时，将 1 块灵石转化为 24 点体力；体力未满时，将 1 块灵石转化为 32 点体力</t>
        </is>
      </c>
      <c r="R140" s="9" t="inlineStr"/>
      <c r="S140" s="9" t="inlineStr">
        <is>
          <t>狭长石佩刻着盘绕道纹，贴近心口时微微发凉，仿佛把游散灵机牵回一条稳线。</t>
        </is>
      </c>
      <c r="T140" s="8" t="inlineStr">
        <is>
          <t>scripture_dao_stone_tablet_1x2</t>
        </is>
      </c>
      <c r="U140" s="8" t="inlineStr">
        <is>
          <t>allowed</t>
        </is>
      </c>
    </row>
    <row r="141" ht="34" customHeight="1">
      <c r="A141" s="8" t="n">
        <v>140</v>
      </c>
      <c r="B141" s="8" t="n">
        <v>400004</v>
      </c>
      <c r="C141" s="8" t="inlineStr">
        <is>
          <t>铁砂绑腿</t>
        </is>
      </c>
      <c r="D141" s="8" t="inlineStr">
        <is>
          <t>法器</t>
        </is>
      </c>
      <c r="E141" s="8" t="inlineStr">
        <is>
          <t>implement</t>
        </is>
      </c>
      <c r="F141" s="8" t="inlineStr">
        <is>
          <t>common</t>
        </is>
      </c>
      <c r="G141" s="8" t="inlineStr">
        <is>
          <t>无</t>
        </is>
      </c>
      <c r="H141" s="8" t="inlineStr">
        <is>
          <t>none</t>
        </is>
      </c>
      <c r="I141" s="8" t="inlineStr">
        <is>
          <t>1×2</t>
        </is>
      </c>
      <c r="J141" s="8" t="n">
        <v>2</v>
      </c>
      <c r="K141" s="8" t="n">
        <v>1</v>
      </c>
      <c r="L141" s="8" t="inlineStr">
        <is>
          <t>是</t>
        </is>
      </c>
      <c r="M141" s="9" t="inlineStr">
        <is>
          <t>bazaar；dynamicRandomReward；itemReforge</t>
        </is>
      </c>
      <c r="N141" s="8" t="n">
        <v>1</v>
      </c>
      <c r="O141" s="9" t="inlineStr">
        <is>
          <t>被动效果</t>
        </is>
      </c>
      <c r="P141" s="9" t="inlineStr">
        <is>
          <t>passive</t>
        </is>
      </c>
      <c r="Q141" s="9" t="inlineStr">
        <is>
          <t>被动效果：位于储物袋底部时，体力上限 +2；位于储物袋底部时，体力上限 +4；位于储物袋底部时，体力上限 +6；位于储物袋底部时，体力上限 +8</t>
        </is>
      </c>
      <c r="R141" s="9" t="inlineStr"/>
      <c r="S141" s="9" t="inlineStr">
        <is>
          <t>深色束扣卷带里灌着细铁砂，系紧后每一步都沉坠踏实，久行反而稳住脚底气息。</t>
        </is>
      </c>
      <c r="T141" s="8" t="inlineStr">
        <is>
          <t>implement_iron_sand_legwraps_1x2</t>
        </is>
      </c>
      <c r="U141" s="8" t="inlineStr">
        <is>
          <t>onboardingProtected</t>
        </is>
      </c>
    </row>
    <row r="142" ht="34" customHeight="1">
      <c r="A142" s="8" t="n">
        <v>141</v>
      </c>
      <c r="B142" s="8" t="n">
        <v>400005</v>
      </c>
      <c r="C142" s="8" t="inlineStr">
        <is>
          <t>铜皮腰带</t>
        </is>
      </c>
      <c r="D142" s="8" t="inlineStr">
        <is>
          <t>法器</t>
        </is>
      </c>
      <c r="E142" s="8" t="inlineStr">
        <is>
          <t>implement</t>
        </is>
      </c>
      <c r="F142" s="8" t="inlineStr">
        <is>
          <t>common</t>
        </is>
      </c>
      <c r="G142" s="8" t="inlineStr">
        <is>
          <t>无</t>
        </is>
      </c>
      <c r="H142" s="8" t="inlineStr">
        <is>
          <t>none</t>
        </is>
      </c>
      <c r="I142" s="8" t="inlineStr">
        <is>
          <t>1×1</t>
        </is>
      </c>
      <c r="J142" s="8" t="n">
        <v>1</v>
      </c>
      <c r="K142" s="8" t="n">
        <v>1</v>
      </c>
      <c r="L142" s="8" t="inlineStr">
        <is>
          <t>是</t>
        </is>
      </c>
      <c r="M142" s="9" t="inlineStr">
        <is>
          <t>bazaar；dynamicRandomReward；itemReforge</t>
        </is>
      </c>
      <c r="N142" s="8" t="n">
        <v>1</v>
      </c>
      <c r="O142" s="9" t="inlineStr">
        <is>
          <t>被动效果</t>
        </is>
      </c>
      <c r="P142" s="9" t="inlineStr">
        <is>
          <t>passive</t>
        </is>
      </c>
      <c r="Q142" s="9" t="inlineStr">
        <is>
          <t>被动效果：未贴住储物袋边缘时，体力上限 +3；未贴住储物袋边缘时，体力上限 +6；未贴住储物袋边缘时，体力上限 +9；未贴住储物袋边缘时，体力上限 +12</t>
        </is>
      </c>
      <c r="R142" s="9" t="inlineStr"/>
      <c r="S142" s="9" t="inlineStr">
        <is>
          <t>厚皮环带缀着铜扣与铆钉，束上腰身略显拘束，却能把松散力气重新箍回躯壳。</t>
        </is>
      </c>
      <c r="T142" s="8" t="inlineStr">
        <is>
          <t>implement_leather_restraint_collar_1x1</t>
        </is>
      </c>
      <c r="U142" s="8" t="inlineStr">
        <is>
          <t>onboardingProtected</t>
        </is>
      </c>
    </row>
    <row r="143" ht="34" customHeight="1">
      <c r="A143" s="8" t="n">
        <v>142</v>
      </c>
      <c r="B143" s="8" t="n">
        <v>400006</v>
      </c>
      <c r="C143" s="8" t="inlineStr">
        <is>
          <t>引火匣</t>
        </is>
      </c>
      <c r="D143" s="8" t="inlineStr">
        <is>
          <t>法器</t>
        </is>
      </c>
      <c r="E143" s="8" t="inlineStr">
        <is>
          <t>implement</t>
        </is>
      </c>
      <c r="F143" s="8" t="inlineStr">
        <is>
          <t>common</t>
        </is>
      </c>
      <c r="G143" s="8" t="inlineStr">
        <is>
          <t>火</t>
        </is>
      </c>
      <c r="H143" s="8" t="inlineStr">
        <is>
          <t>fire</t>
        </is>
      </c>
      <c r="I143" s="8" t="inlineStr">
        <is>
          <t>2×2</t>
        </is>
      </c>
      <c r="J143" s="8" t="n">
        <v>4</v>
      </c>
      <c r="K143" s="8" t="n">
        <v>5</v>
      </c>
      <c r="L143" s="8" t="inlineStr">
        <is>
          <t>是</t>
        </is>
      </c>
      <c r="M143" s="9" t="inlineStr">
        <is>
          <t>bazaar；dynamicRandomReward；itemReforge</t>
        </is>
      </c>
      <c r="N143" s="8" t="n">
        <v>1</v>
      </c>
      <c r="O143" s="9" t="inlineStr">
        <is>
          <t>条件触发</t>
        </is>
      </c>
      <c r="P143" s="9" t="inlineStr">
        <is>
          <t>triggered</t>
        </is>
      </c>
      <c r="Q143" s="9" t="inlineStr">
        <is>
          <t>条件触发：右侧相邻火属性道具获得炎热时，额外获得 3 层炎热；右侧相邻火属性道具获得炎热时，额外获得 5 层炎热；右侧相邻火属性道具获得炎热时，额外获得 7 层炎热；右侧相邻火属性道具获得炎热时，额外获得 9 层炎热</t>
        </is>
      </c>
      <c r="R143" s="9" t="inlineStr">
        <is>
          <t>starter_yangzhen</t>
        </is>
      </c>
      <c r="S143" s="9" t="inlineStr">
        <is>
          <t>暗红鎏金匣中藏着一缕偏火，焰光不烈，却总沿匣缝往丹室深处钻。</t>
        </is>
      </c>
      <c r="T143" s="8" t="inlineStr">
        <is>
          <t>implement_yinhuo_bias_box_2x2</t>
        </is>
      </c>
      <c r="U143" s="8" t="inlineStr">
        <is>
          <t>allowed</t>
        </is>
      </c>
    </row>
    <row r="144" ht="34" customHeight="1">
      <c r="A144" s="8" t="n">
        <v>143</v>
      </c>
      <c r="B144" s="8" t="n">
        <v>400007</v>
      </c>
      <c r="C144" s="8" t="inlineStr">
        <is>
          <t>回元壶</t>
        </is>
      </c>
      <c r="D144" s="8" t="inlineStr">
        <is>
          <t>法器</t>
        </is>
      </c>
      <c r="E144" s="8" t="inlineStr">
        <is>
          <t>implement</t>
        </is>
      </c>
      <c r="F144" s="8" t="inlineStr">
        <is>
          <t>common</t>
        </is>
      </c>
      <c r="G144" s="8" t="inlineStr">
        <is>
          <t>无</t>
        </is>
      </c>
      <c r="H144" s="8" t="inlineStr">
        <is>
          <t>none</t>
        </is>
      </c>
      <c r="I144" s="8" t="inlineStr">
        <is>
          <t>1×2</t>
        </is>
      </c>
      <c r="J144" s="8" t="n">
        <v>2</v>
      </c>
      <c r="K144" s="8" t="n">
        <v>3</v>
      </c>
      <c r="L144" s="8" t="inlineStr">
        <is>
          <t>是</t>
        </is>
      </c>
      <c r="M144" s="9" t="inlineStr">
        <is>
          <t>bazaar；journeyChest；dynamicRandomReward；itemReforge</t>
        </is>
      </c>
      <c r="N144" s="8" t="n">
        <v>1</v>
      </c>
      <c r="O144" s="9" t="inlineStr">
        <is>
          <t>周期触发</t>
        </is>
      </c>
      <c r="P144" s="9" t="inlineStr">
        <is>
          <t>periodicPulse</t>
        </is>
      </c>
      <c r="Q144" s="9" t="inlineStr">
        <is>
          <t>周期触发：将 1 点法力转化为 2 点体力；将 2 点法力转化为 4 点体力；将 3 点法力转化为 6 点体力；将 4 点法力转化为 8 点体力</t>
        </is>
      </c>
      <c r="R144" s="9" t="inlineStr">
        <is>
          <t>starter_yangzhen</t>
        </is>
      </c>
      <c r="S144" s="9" t="inlineStr">
        <is>
          <t>青玉葫芦接着竹管滴露，药液温润如新雨，壶口常有回气的湿意不散。</t>
        </is>
      </c>
      <c r="T144" s="8" t="inlineStr">
        <is>
          <t>implement_huiyuan_drip_1x2</t>
        </is>
      </c>
      <c r="U144" s="8" t="inlineStr">
        <is>
          <t>allowed</t>
        </is>
      </c>
    </row>
    <row r="145" ht="34" customHeight="1">
      <c r="A145" s="8" t="n">
        <v>144</v>
      </c>
      <c r="B145" s="8" t="n">
        <v>400009</v>
      </c>
      <c r="C145" s="8" t="inlineStr">
        <is>
          <t>养魄筹</t>
        </is>
      </c>
      <c r="D145" s="8" t="inlineStr">
        <is>
          <t>法器</t>
        </is>
      </c>
      <c r="E145" s="8" t="inlineStr">
        <is>
          <t>implement</t>
        </is>
      </c>
      <c r="F145" s="8" t="inlineStr">
        <is>
          <t>common</t>
        </is>
      </c>
      <c r="G145" s="8" t="inlineStr">
        <is>
          <t>无</t>
        </is>
      </c>
      <c r="H145" s="8" t="inlineStr">
        <is>
          <t>none</t>
        </is>
      </c>
      <c r="I145" s="8" t="inlineStr">
        <is>
          <t>3×1</t>
        </is>
      </c>
      <c r="J145" s="8" t="n">
        <v>3</v>
      </c>
      <c r="K145" s="8" t="n">
        <v>6</v>
      </c>
      <c r="L145" s="8" t="inlineStr">
        <is>
          <t>是</t>
        </is>
      </c>
      <c r="M145" s="9" t="inlineStr">
        <is>
          <t>bazaar；dynamicRandomReward；itemReforge</t>
        </is>
      </c>
      <c r="N145" s="8" t="n">
        <v>1</v>
      </c>
      <c r="O145" s="9" t="inlineStr">
        <is>
          <t>周期触发</t>
        </is>
      </c>
      <c r="P145" s="9" t="inlineStr">
        <is>
          <t>periodicPulse</t>
        </is>
      </c>
      <c r="Q145" s="9" t="inlineStr">
        <is>
          <t>周期触发：和功法相邻时，恢复 4 点体力；和功法相邻时，恢复 5 点体力；和功法相邻时，恢复 6 点体力；和功法相邻时，恢复 7 点体力</t>
        </is>
      </c>
      <c r="R145" s="9" t="inlineStr">
        <is>
          <t>starter_yangzhen</t>
        </is>
      </c>
      <c r="S145" s="9" t="inlineStr">
        <is>
          <t>褐色木筹刻满金纹符字，浸过苦药的纹理温沉，握在手里会把气血慢慢拢稳。</t>
        </is>
      </c>
      <c r="T145" s="8" t="inlineStr">
        <is>
          <t>implement_yangpo_wood_tally_3x1</t>
        </is>
      </c>
      <c r="U145" s="8" t="inlineStr">
        <is>
          <t>allowed</t>
        </is>
      </c>
    </row>
    <row r="146" ht="34" customHeight="1">
      <c r="A146" s="8" t="n">
        <v>145</v>
      </c>
      <c r="B146" s="8" t="n">
        <v>400010</v>
      </c>
      <c r="C146" s="8" t="inlineStr">
        <is>
          <t>回响小铃</t>
        </is>
      </c>
      <c r="D146" s="8" t="inlineStr">
        <is>
          <t>法器</t>
        </is>
      </c>
      <c r="E146" s="8" t="inlineStr">
        <is>
          <t>implement</t>
        </is>
      </c>
      <c r="F146" s="8" t="inlineStr">
        <is>
          <t>common</t>
        </is>
      </c>
      <c r="G146" s="8" t="inlineStr">
        <is>
          <t>无</t>
        </is>
      </c>
      <c r="H146" s="8" t="inlineStr">
        <is>
          <t>none</t>
        </is>
      </c>
      <c r="I146" s="8" t="inlineStr">
        <is>
          <t>1×1</t>
        </is>
      </c>
      <c r="J146" s="8" t="n">
        <v>1</v>
      </c>
      <c r="K146" s="8" t="n">
        <v>7</v>
      </c>
      <c r="L146" s="8" t="inlineStr">
        <is>
          <t>是</t>
        </is>
      </c>
      <c r="M146" s="9" t="inlineStr">
        <is>
          <t>bazaar；dynamicRandomReward；itemReforge</t>
        </is>
      </c>
      <c r="N146" s="8" t="n">
        <v>1</v>
      </c>
      <c r="O146" s="9" t="inlineStr">
        <is>
          <t>条件触发</t>
        </is>
      </c>
      <c r="P146" s="9" t="inlineStr">
        <is>
          <t>triggered</t>
        </is>
      </c>
      <c r="Q146" s="9" t="inlineStr">
        <is>
          <t>条件触发：主动释放招式时，恢复 3 点法力；主动释放招式时，恢复 4 点法力；主动释放招式时，恢复 5 点法力；主动释放招式时，恢复 6 点法力</t>
        </is>
      </c>
      <c r="R146" s="9" t="inlineStr"/>
      <c r="S146" s="9" t="inlineStr">
        <is>
          <t>小铃清亮而壁薄，轻振时灵音层层回返，像能把散开的心神召回耳畔。</t>
        </is>
      </c>
      <c r="T146" s="8" t="inlineStr">
        <is>
          <t>implement_echospirit_bell_1x1</t>
        </is>
      </c>
      <c r="U146" s="8" t="inlineStr">
        <is>
          <t>allowed</t>
        </is>
      </c>
    </row>
    <row r="147" ht="34" customHeight="1">
      <c r="A147" s="8" t="n">
        <v>146</v>
      </c>
      <c r="B147" s="8" t="n">
        <v>400011</v>
      </c>
      <c r="C147" s="8" t="inlineStr">
        <is>
          <t>护心小镜</t>
        </is>
      </c>
      <c r="D147" s="8" t="inlineStr">
        <is>
          <t>法器</t>
        </is>
      </c>
      <c r="E147" s="8" t="inlineStr">
        <is>
          <t>implement</t>
        </is>
      </c>
      <c r="F147" s="8" t="inlineStr">
        <is>
          <t>common</t>
        </is>
      </c>
      <c r="G147" s="8" t="inlineStr">
        <is>
          <t>无</t>
        </is>
      </c>
      <c r="H147" s="8" t="inlineStr">
        <is>
          <t>none</t>
        </is>
      </c>
      <c r="I147" s="8" t="inlineStr">
        <is>
          <t>1×1</t>
        </is>
      </c>
      <c r="J147" s="8" t="n">
        <v>1</v>
      </c>
      <c r="K147" s="8" t="n">
        <v>2</v>
      </c>
      <c r="L147" s="8" t="inlineStr">
        <is>
          <t>是</t>
        </is>
      </c>
      <c r="M147" s="9" t="inlineStr">
        <is>
          <t>bazaar；dynamicRandomReward；itemReforge</t>
        </is>
      </c>
      <c r="N147" s="8" t="n">
        <v>1</v>
      </c>
      <c r="O147" s="9" t="inlineStr">
        <is>
          <t>周期触发</t>
        </is>
      </c>
      <c r="P147" s="9" t="inlineStr">
        <is>
          <t>periodicPulse</t>
        </is>
      </c>
      <c r="Q147" s="9" t="inlineStr">
        <is>
          <t>周期触发：开局：如果上方相邻装备，获得 4 层护甲；开局：如果上方相邻装备，获得 8 层护甲；开局：如果上方相邻装备，获得 12 层护甲；开局：如果上方相邻装备，获得 16 层护甲</t>
        </is>
      </c>
      <c r="R147" s="9" t="inlineStr"/>
      <c r="S147" s="9" t="inlineStr">
        <is>
          <t>圆镜金属外沿厚重，镜背旧纹细密，照面时光色安静，像替心口挡下一缕浮邪。</t>
        </is>
      </c>
      <c r="T147" s="8" t="inlineStr">
        <is>
          <t>implement_guardward_mirror_1x1</t>
        </is>
      </c>
      <c r="U147" s="8" t="inlineStr">
        <is>
          <t>allowed</t>
        </is>
      </c>
    </row>
    <row r="148" ht="34" customHeight="1">
      <c r="A148" s="8" t="n">
        <v>147</v>
      </c>
      <c r="B148" s="8" t="n">
        <v>400012</v>
      </c>
      <c r="C148" s="8" t="inlineStr">
        <is>
          <t>青壶露瓶</t>
        </is>
      </c>
      <c r="D148" s="8" t="inlineStr">
        <is>
          <t>法器</t>
        </is>
      </c>
      <c r="E148" s="8" t="inlineStr">
        <is>
          <t>implement</t>
        </is>
      </c>
      <c r="F148" s="8" t="inlineStr">
        <is>
          <t>common</t>
        </is>
      </c>
      <c r="G148" s="8" t="inlineStr">
        <is>
          <t>无</t>
        </is>
      </c>
      <c r="H148" s="8" t="inlineStr">
        <is>
          <t>none</t>
        </is>
      </c>
      <c r="I148" s="8" t="inlineStr">
        <is>
          <t>1×2</t>
        </is>
      </c>
      <c r="J148" s="8" t="n">
        <v>2</v>
      </c>
      <c r="K148" s="8" t="n">
        <v>10</v>
      </c>
      <c r="L148" s="8" t="inlineStr">
        <is>
          <t>是</t>
        </is>
      </c>
      <c r="M148" s="9" t="inlineStr">
        <is>
          <t>bazaar；dynamicRandomReward；itemReforge</t>
        </is>
      </c>
      <c r="N148" s="8" t="n">
        <v>1</v>
      </c>
      <c r="O148" s="9" t="inlineStr">
        <is>
          <t>条件触发</t>
        </is>
      </c>
      <c r="P148" s="9" t="inlineStr">
        <is>
          <t>triggered</t>
        </is>
      </c>
      <c r="Q148" s="9" t="inlineStr">
        <is>
          <t>条件触发：相邻 2x2 道具使用时，恢复 1 点法力；相邻 2x2 道具使用时，恢复 2 点法力；相邻 2x2 道具使用时，恢复 3 点法力；相邻 2x2 道具使用时，恢复 4 点法力</t>
        </is>
      </c>
      <c r="R148" s="9" t="inlineStr"/>
      <c r="S148" s="9" t="inlineStr">
        <is>
          <t>青绿开片葫芦瓶温润如玉，瓶腹常凝细露，久置静处便积出一圈清润水气。</t>
        </is>
      </c>
      <c r="T148" s="8" t="inlineStr">
        <is>
          <t>pill_emerald_gourd_vial_1x2</t>
        </is>
      </c>
      <c r="U148" s="8" t="inlineStr">
        <is>
          <t>allowed</t>
        </is>
      </c>
    </row>
    <row r="149" ht="34" customHeight="1">
      <c r="A149" s="8" t="n">
        <v>148</v>
      </c>
      <c r="B149" s="8" t="n">
        <v>400013</v>
      </c>
      <c r="C149" s="8" t="inlineStr">
        <is>
          <t>小丹匣</t>
        </is>
      </c>
      <c r="D149" s="8" t="inlineStr">
        <is>
          <t>宝箱</t>
        </is>
      </c>
      <c r="E149" s="8" t="inlineStr">
        <is>
          <t>chest</t>
        </is>
      </c>
      <c r="F149" s="8" t="inlineStr">
        <is>
          <t>common</t>
        </is>
      </c>
      <c r="G149" s="8" t="inlineStr">
        <is>
          <t>无</t>
        </is>
      </c>
      <c r="H149" s="8" t="inlineStr">
        <is>
          <t>none</t>
        </is>
      </c>
      <c r="I149" s="8" t="inlineStr">
        <is>
          <t>1×1</t>
        </is>
      </c>
      <c r="J149" s="8" t="n">
        <v>1</v>
      </c>
      <c r="K149" s="8" t="n">
        <v>4</v>
      </c>
      <c r="L149" s="8" t="inlineStr">
        <is>
          <t>否</t>
        </is>
      </c>
      <c r="M149" s="9" t="inlineStr">
        <is>
          <t>bazaar；beastDrop</t>
        </is>
      </c>
      <c r="N149" s="8" t="n">
        <v>1</v>
      </c>
      <c r="O149" s="9" t="inlineStr">
        <is>
          <t>消耗品效果</t>
        </is>
      </c>
      <c r="P149" s="9" t="inlineStr">
        <is>
          <t>consumable</t>
        </is>
      </c>
      <c r="Q149" s="9" t="inlineStr">
        <is>
          <t>消耗品效果：获得 5 个聚气丹</t>
        </is>
      </c>
      <c r="R149" s="9" t="inlineStr"/>
      <c r="S149" s="9" t="inlineStr">
        <is>
          <t>浅色方盒分作六格，白色丹丸各安其位，合盖后仍有细细药香藏在木缝里。</t>
        </is>
      </c>
      <c r="T149" s="8" t="inlineStr">
        <is>
          <t>chest_pill_box_1x1</t>
        </is>
      </c>
      <c r="U149" s="8" t="inlineStr">
        <is>
          <t>allowed</t>
        </is>
      </c>
    </row>
    <row r="150" ht="34" customHeight="1">
      <c r="A150" s="8" t="n">
        <v>149</v>
      </c>
      <c r="B150" s="8" t="n">
        <v>400014</v>
      </c>
      <c r="C150" s="8" t="inlineStr">
        <is>
          <t>初阶丹炉</t>
        </is>
      </c>
      <c r="D150" s="8" t="inlineStr">
        <is>
          <t>法器</t>
        </is>
      </c>
      <c r="E150" s="8" t="inlineStr">
        <is>
          <t>implement</t>
        </is>
      </c>
      <c r="F150" s="8" t="inlineStr">
        <is>
          <t>common</t>
        </is>
      </c>
      <c r="G150" s="8" t="inlineStr">
        <is>
          <t>无</t>
        </is>
      </c>
      <c r="H150" s="8" t="inlineStr">
        <is>
          <t>none</t>
        </is>
      </c>
      <c r="I150" s="8" t="inlineStr">
        <is>
          <t>2×2</t>
        </is>
      </c>
      <c r="J150" s="8" t="n">
        <v>4</v>
      </c>
      <c r="K150" s="8" t="n">
        <v>30</v>
      </c>
      <c r="L150" s="8" t="inlineStr">
        <is>
          <t>是</t>
        </is>
      </c>
      <c r="M150" s="9" t="inlineStr">
        <is>
          <t>bazaar；itemReforge</t>
        </is>
      </c>
      <c r="N150" s="8" t="n">
        <v>1</v>
      </c>
      <c r="O150" s="9" t="inlineStr">
        <is>
          <t>周期触发</t>
        </is>
      </c>
      <c r="P150" s="9" t="inlineStr">
        <is>
          <t>periodicPulse</t>
        </is>
      </c>
      <c r="Q150" s="9" t="inlineStr">
        <is>
          <t>周期触发：适用于凡品丹方，成功率 +25%，大成功率 +5%</t>
        </is>
      </c>
      <c r="R150" s="9" t="inlineStr">
        <is>
          <t>basic_pill_furnace</t>
        </is>
      </c>
      <c r="S150" s="9" t="inlineStr">
        <is>
          <t>凡铁旧炉火痕斑驳，炉腹常带余温，像散修静室里用过多年的老炉。</t>
        </is>
      </c>
      <c r="T150" s="8" t="inlineStr">
        <is>
          <t>implement_emberheart_censer_2x2</t>
        </is>
      </c>
      <c r="U150" s="8" t="inlineStr">
        <is>
          <t>allowed</t>
        </is>
      </c>
    </row>
    <row r="151" ht="34" customHeight="1">
      <c r="A151" s="8" t="n">
        <v>150</v>
      </c>
      <c r="B151" s="8" t="n">
        <v>400015</v>
      </c>
      <c r="C151" s="8" t="inlineStr">
        <is>
          <t>聚气石盆</t>
        </is>
      </c>
      <c r="D151" s="8" t="inlineStr">
        <is>
          <t>法器</t>
        </is>
      </c>
      <c r="E151" s="8" t="inlineStr">
        <is>
          <t>implement</t>
        </is>
      </c>
      <c r="F151" s="8" t="inlineStr">
        <is>
          <t>common</t>
        </is>
      </c>
      <c r="G151" s="8" t="inlineStr">
        <is>
          <t>水</t>
        </is>
      </c>
      <c r="H151" s="8" t="inlineStr">
        <is>
          <t>water</t>
        </is>
      </c>
      <c r="I151" s="8" t="inlineStr">
        <is>
          <t>2×2</t>
        </is>
      </c>
      <c r="J151" s="8" t="n">
        <v>4</v>
      </c>
      <c r="K151" s="8" t="n">
        <v>10</v>
      </c>
      <c r="L151" s="8" t="inlineStr">
        <is>
          <t>是</t>
        </is>
      </c>
      <c r="M151" s="9" t="inlineStr">
        <is>
          <t>bazaar；dynamicRandomReward；itemReforge</t>
        </is>
      </c>
      <c r="N151" s="8" t="n">
        <v>1</v>
      </c>
      <c r="O151" s="9" t="inlineStr">
        <is>
          <t>条件触发</t>
        </is>
      </c>
      <c r="P151" s="9" t="inlineStr">
        <is>
          <t>triggered</t>
        </is>
      </c>
      <c r="Q151" s="9" t="inlineStr">
        <is>
          <t>条件触发：累计生成 30 层露水后，恢复 20 点法力；累计生成 30 层露水后，恢复 30 点法力；累计生成 30 层露水后，恢复 40 点法力；累计生成 30 层露水后，恢复 50 点法力</t>
        </is>
      </c>
      <c r="R151" s="9" t="inlineStr"/>
      <c r="S151" s="9" t="inlineStr">
        <is>
          <t>原石半凿成盆，内里灵液回旋不散，周遭散气落到盆沿便像被轻轻收住。</t>
        </is>
      </c>
      <c r="T151" s="8" t="inlineStr">
        <is>
          <t>implement_jade_spirit_basin_2x2</t>
        </is>
      </c>
      <c r="U151" s="8" t="inlineStr">
        <is>
          <t>allowed</t>
        </is>
      </c>
    </row>
    <row r="152" ht="34" customHeight="1">
      <c r="A152" s="8" t="n">
        <v>151</v>
      </c>
      <c r="B152" s="8" t="n">
        <v>400016</v>
      </c>
      <c r="C152" s="8" t="inlineStr">
        <is>
          <t>青铜丹炉</t>
        </is>
      </c>
      <c r="D152" s="8" t="inlineStr">
        <is>
          <t>法器</t>
        </is>
      </c>
      <c r="E152" s="8" t="inlineStr">
        <is>
          <t>implement</t>
        </is>
      </c>
      <c r="F152" s="8" t="inlineStr">
        <is>
          <t>common</t>
        </is>
      </c>
      <c r="G152" s="8" t="inlineStr">
        <is>
          <t>无</t>
        </is>
      </c>
      <c r="H152" s="8" t="inlineStr">
        <is>
          <t>none</t>
        </is>
      </c>
      <c r="I152" s="8" t="inlineStr">
        <is>
          <t>2×2</t>
        </is>
      </c>
      <c r="J152" s="8" t="n">
        <v>4</v>
      </c>
      <c r="K152" s="8" t="n">
        <v>60</v>
      </c>
      <c r="L152" s="8" t="inlineStr">
        <is>
          <t>是</t>
        </is>
      </c>
      <c r="M152" s="9" t="inlineStr">
        <is>
          <t>bazaar；itemReforge</t>
        </is>
      </c>
      <c r="N152" s="8" t="n">
        <v>1</v>
      </c>
      <c r="O152" s="9" t="inlineStr">
        <is>
          <t>周期触发</t>
        </is>
      </c>
      <c r="P152" s="9" t="inlineStr">
        <is>
          <t>periodicPulse</t>
        </is>
      </c>
      <c r="Q152" s="9" t="inlineStr">
        <is>
          <t>周期触发：适用于凡品丹方，成功率 +45%，大成功率 +5%</t>
        </is>
      </c>
      <c r="R152" s="9" t="inlineStr"/>
      <c r="S152" s="9" t="inlineStr">
        <is>
          <t>青铜炉身厚实朴拙，双耳与炉足皆有长期温养留下的暗润火色。</t>
        </is>
      </c>
      <c r="T152" s="8" t="inlineStr">
        <is>
          <t>implement_bronze_alchemy_furnace_2x2</t>
        </is>
      </c>
      <c r="U152" s="8" t="inlineStr">
        <is>
          <t>allowed</t>
        </is>
      </c>
    </row>
    <row r="153" ht="34" customHeight="1">
      <c r="A153" s="8" t="n">
        <v>152</v>
      </c>
      <c r="B153" s="8" t="n">
        <v>400017</v>
      </c>
      <c r="C153" s="8" t="inlineStr">
        <is>
          <t>养火丹炉</t>
        </is>
      </c>
      <c r="D153" s="8" t="inlineStr">
        <is>
          <t>法器</t>
        </is>
      </c>
      <c r="E153" s="8" t="inlineStr">
        <is>
          <t>implement</t>
        </is>
      </c>
      <c r="F153" s="8" t="inlineStr">
        <is>
          <t>common</t>
        </is>
      </c>
      <c r="G153" s="8" t="inlineStr">
        <is>
          <t>火</t>
        </is>
      </c>
      <c r="H153" s="8" t="inlineStr">
        <is>
          <t>fire</t>
        </is>
      </c>
      <c r="I153" s="8" t="inlineStr">
        <is>
          <t>2×3</t>
        </is>
      </c>
      <c r="J153" s="8" t="n">
        <v>6</v>
      </c>
      <c r="K153" s="8" t="n">
        <v>30</v>
      </c>
      <c r="L153" s="8" t="inlineStr">
        <is>
          <t>是</t>
        </is>
      </c>
      <c r="M153" s="9" t="inlineStr">
        <is>
          <t>bazaar；itemReforge</t>
        </is>
      </c>
      <c r="N153" s="8" t="n">
        <v>1</v>
      </c>
      <c r="O153" s="9" t="inlineStr">
        <is>
          <t>周期触发</t>
        </is>
      </c>
      <c r="P153" s="9" t="inlineStr">
        <is>
          <t>periodicPulse</t>
        </is>
      </c>
      <c r="Q153" s="9" t="inlineStr">
        <is>
          <t>周期触发：适用于凡品丹方，成功率 +25%，大成功率 +5%</t>
        </is>
      </c>
      <c r="R153" s="9" t="inlineStr"/>
      <c r="S153" s="9" t="inlineStr">
        <is>
          <t>细长炉腹内铺着耐火陶胆，炉门常开一线，使旺盛火气能够迅速穿行。</t>
        </is>
      </c>
      <c r="T153" s="8" t="inlineStr">
        <is>
          <t>implement_fire_nurturing_alchemy_furnace_2x3</t>
        </is>
      </c>
      <c r="U153" s="8" t="inlineStr">
        <is>
          <t>allowed</t>
        </is>
      </c>
    </row>
    <row r="154" ht="34" customHeight="1">
      <c r="A154" s="8" t="n">
        <v>153</v>
      </c>
      <c r="B154" s="8" t="n">
        <v>400018</v>
      </c>
      <c r="C154" s="8" t="inlineStr">
        <is>
          <t>宽腹丹炉</t>
        </is>
      </c>
      <c r="D154" s="8" t="inlineStr">
        <is>
          <t>法器</t>
        </is>
      </c>
      <c r="E154" s="8" t="inlineStr">
        <is>
          <t>implement</t>
        </is>
      </c>
      <c r="F154" s="8" t="inlineStr">
        <is>
          <t>spirit</t>
        </is>
      </c>
      <c r="G154" s="8" t="inlineStr">
        <is>
          <t>无</t>
        </is>
      </c>
      <c r="H154" s="8" t="inlineStr">
        <is>
          <t>none</t>
        </is>
      </c>
      <c r="I154" s="8" t="inlineStr">
        <is>
          <t>3×3</t>
        </is>
      </c>
      <c r="J154" s="8" t="n">
        <v>9</v>
      </c>
      <c r="K154" s="8" t="n">
        <v>188</v>
      </c>
      <c r="L154" s="8" t="inlineStr">
        <is>
          <t>是</t>
        </is>
      </c>
      <c r="M154" s="9" t="inlineStr">
        <is>
          <t>bazaar；dynamicRandomReward；itemReforge</t>
        </is>
      </c>
      <c r="N154" s="8" t="n">
        <v>1</v>
      </c>
      <c r="O154" s="9" t="inlineStr">
        <is>
          <t>周期触发</t>
        </is>
      </c>
      <c r="P154" s="9" t="inlineStr">
        <is>
          <t>periodicPulse</t>
        </is>
      </c>
      <c r="Q154" s="9" t="inlineStr">
        <is>
          <t>周期触发：成功率 +63%，大成功率 +10%（适用于灵品以下丹方）</t>
        </is>
      </c>
      <c r="R154" s="9" t="inlineStr"/>
      <c r="S154" s="9" t="inlineStr">
        <is>
          <t>宽阔炉腹由整片熟铁围成，内壁分层承火，足以容下形制复杂的凡品、灵品丹方与灵材。</t>
        </is>
      </c>
      <c r="T154" s="8" t="inlineStr">
        <is>
          <t>implement_wide_bellied_alchemy_furnace_3x3</t>
        </is>
      </c>
      <c r="U154" s="8" t="inlineStr">
        <is>
          <t>allowed</t>
        </is>
      </c>
    </row>
    <row r="155" ht="34" customHeight="1">
      <c r="A155" s="8" t="n">
        <v>154</v>
      </c>
      <c r="B155" s="8" t="n">
        <v>400019</v>
      </c>
      <c r="C155" s="8" t="inlineStr">
        <is>
          <t>玄铜定灵炉</t>
        </is>
      </c>
      <c r="D155" s="8" t="inlineStr">
        <is>
          <t>法器</t>
        </is>
      </c>
      <c r="E155" s="8" t="inlineStr">
        <is>
          <t>implement</t>
        </is>
      </c>
      <c r="F155" s="8" t="inlineStr">
        <is>
          <t>spirit</t>
        </is>
      </c>
      <c r="G155" s="8" t="inlineStr">
        <is>
          <t>无</t>
        </is>
      </c>
      <c r="H155" s="8" t="inlineStr">
        <is>
          <t>none</t>
        </is>
      </c>
      <c r="I155" s="8" t="inlineStr">
        <is>
          <t>3×3</t>
        </is>
      </c>
      <c r="J155" s="8" t="n">
        <v>9</v>
      </c>
      <c r="K155" s="8" t="n">
        <v>200</v>
      </c>
      <c r="L155" s="8" t="inlineStr">
        <is>
          <t>是</t>
        </is>
      </c>
      <c r="M155" s="9" t="inlineStr">
        <is>
          <t>bazaar；dynamicRandomReward；itemReforge</t>
        </is>
      </c>
      <c r="N155" s="8" t="n">
        <v>1</v>
      </c>
      <c r="O155" s="9" t="inlineStr">
        <is>
          <t>周期触发</t>
        </is>
      </c>
      <c r="P155" s="9" t="inlineStr">
        <is>
          <t>periodicPulse</t>
        </is>
      </c>
      <c r="Q155" s="9" t="inlineStr">
        <is>
          <t>周期触发：成功率 +50%，大成功率 +17%（适用于灵品以下丹方）</t>
        </is>
      </c>
      <c r="R155" s="9" t="inlineStr"/>
      <c r="S155" s="9" t="inlineStr">
        <is>
          <t>深青玄铜炉腹由三道镇灵铜箍收紧，云雷纹与压火铆钉把炉火稳稳锁在厚重炉盖之下。</t>
        </is>
      </c>
      <c r="T155" s="8" t="inlineStr">
        <is>
          <t>implement_xuantong_spirit_stabilizing_furnace_3x3</t>
        </is>
      </c>
      <c r="U155" s="8" t="inlineStr">
        <is>
          <t>allowed</t>
        </is>
      </c>
    </row>
    <row r="156" ht="34" customHeight="1">
      <c r="A156" s="8" t="n">
        <v>155</v>
      </c>
      <c r="B156" s="8" t="n">
        <v>400020</v>
      </c>
      <c r="C156" s="8" t="inlineStr">
        <is>
          <t>流焰丹炉</t>
        </is>
      </c>
      <c r="D156" s="8" t="inlineStr">
        <is>
          <t>法器</t>
        </is>
      </c>
      <c r="E156" s="8" t="inlineStr">
        <is>
          <t>implement</t>
        </is>
      </c>
      <c r="F156" s="8" t="inlineStr">
        <is>
          <t>spirit</t>
        </is>
      </c>
      <c r="G156" s="8" t="inlineStr">
        <is>
          <t>火</t>
        </is>
      </c>
      <c r="H156" s="8" t="inlineStr">
        <is>
          <t>fire</t>
        </is>
      </c>
      <c r="I156" s="8" t="inlineStr">
        <is>
          <t>3×3</t>
        </is>
      </c>
      <c r="J156" s="8" t="n">
        <v>9</v>
      </c>
      <c r="K156" s="8" t="n">
        <v>280</v>
      </c>
      <c r="L156" s="8" t="inlineStr">
        <is>
          <t>是</t>
        </is>
      </c>
      <c r="M156" s="9" t="inlineStr">
        <is>
          <t>bazaar；dynamicRandomReward；itemReforge</t>
        </is>
      </c>
      <c r="N156" s="8" t="n">
        <v>1</v>
      </c>
      <c r="O156" s="9" t="inlineStr">
        <is>
          <t>周期触发</t>
        </is>
      </c>
      <c r="P156" s="9" t="inlineStr">
        <is>
          <t>periodicPulse</t>
        </is>
      </c>
      <c r="Q156" s="9" t="inlineStr">
        <is>
          <t>周期触发：成功率 +30%，大成功率 +30%（适用于灵品以下丹方）</t>
        </is>
      </c>
      <c r="R156" s="9" t="inlineStr"/>
      <c r="S156" s="9" t="inlineStr">
        <is>
          <t>赤铜导火槽绕着暗红陶胆回旋，通风鳍片与小火门令炉腹里的热流始终奔走不息。</t>
        </is>
      </c>
      <c r="T156" s="8" t="inlineStr">
        <is>
          <t>implement_flowing_flame_alchemy_furnace_3x3</t>
        </is>
      </c>
      <c r="U156" s="8" t="inlineStr">
        <is>
          <t>allowed</t>
        </is>
      </c>
    </row>
    <row r="157" ht="34" customHeight="1">
      <c r="A157" s="8" t="n">
        <v>156</v>
      </c>
      <c r="B157" s="8" t="n">
        <v>400021</v>
      </c>
      <c r="C157" s="8" t="inlineStr">
        <is>
          <t>龙首焰戒</t>
        </is>
      </c>
      <c r="D157" s="8" t="inlineStr">
        <is>
          <t>法器</t>
        </is>
      </c>
      <c r="E157" s="8" t="inlineStr">
        <is>
          <t>implement</t>
        </is>
      </c>
      <c r="F157" s="8" t="inlineStr">
        <is>
          <t>common</t>
        </is>
      </c>
      <c r="G157" s="8" t="inlineStr">
        <is>
          <t>火</t>
        </is>
      </c>
      <c r="H157" s="8" t="inlineStr">
        <is>
          <t>fire</t>
        </is>
      </c>
      <c r="I157" s="8" t="inlineStr">
        <is>
          <t>1×1</t>
        </is>
      </c>
      <c r="J157" s="8" t="n">
        <v>1</v>
      </c>
      <c r="K157" s="8" t="n">
        <v>5</v>
      </c>
      <c r="L157" s="8" t="inlineStr">
        <is>
          <t>是</t>
        </is>
      </c>
      <c r="M157" s="9" t="inlineStr">
        <is>
          <t>bazaar；dynamicRandomReward；itemReforge</t>
        </is>
      </c>
      <c r="N157" s="8" t="n">
        <v>1</v>
      </c>
      <c r="O157" s="9" t="inlineStr">
        <is>
          <t>周期触发</t>
        </is>
      </c>
      <c r="P157" s="9" t="inlineStr">
        <is>
          <t>periodicPulse</t>
        </is>
      </c>
      <c r="Q157" s="9" t="inlineStr">
        <is>
          <t>周期触发：每相邻 1 件火属性饰品，获得 3 层炎热；每相邻 1 件火属性饰品，获得 6 层炎热；每相邻 1 件火属性饰品，获得 9 层炎热；每相邻 1 件火属性饰品，获得 12 层炎热</t>
        </is>
      </c>
      <c r="R157" s="9" t="inlineStr"/>
      <c r="S157" s="9" t="inlineStr">
        <is>
          <t>金属龙首盘绕成戒，鳞角间赤金暗光内敛，似有余焰蛰伏在眼眶深处。</t>
        </is>
      </c>
      <c r="T157" s="8" t="inlineStr">
        <is>
          <t>implement_dragon_ring_1x1</t>
        </is>
      </c>
      <c r="U157" s="8" t="inlineStr">
        <is>
          <t>allowed</t>
        </is>
      </c>
    </row>
    <row r="158" ht="34" customHeight="1">
      <c r="A158" s="8" t="n">
        <v>157</v>
      </c>
      <c r="B158" s="8" t="n">
        <v>400022</v>
      </c>
      <c r="C158" s="8" t="inlineStr">
        <is>
          <t>玄纹束带</t>
        </is>
      </c>
      <c r="D158" s="8" t="inlineStr">
        <is>
          <t>法器</t>
        </is>
      </c>
      <c r="E158" s="8" t="inlineStr">
        <is>
          <t>implement</t>
        </is>
      </c>
      <c r="F158" s="8" t="inlineStr">
        <is>
          <t>common</t>
        </is>
      </c>
      <c r="G158" s="8" t="inlineStr">
        <is>
          <t>无</t>
        </is>
      </c>
      <c r="H158" s="8" t="inlineStr">
        <is>
          <t>none</t>
        </is>
      </c>
      <c r="I158" s="8" t="inlineStr">
        <is>
          <t>3×1</t>
        </is>
      </c>
      <c r="J158" s="8" t="n">
        <v>3</v>
      </c>
      <c r="K158" s="8" t="n">
        <v>25</v>
      </c>
      <c r="L158" s="8" t="inlineStr">
        <is>
          <t>是</t>
        </is>
      </c>
      <c r="M158" s="9" t="inlineStr">
        <is>
          <t>bazaar；dynamicRandomReward；itemReforge</t>
        </is>
      </c>
      <c r="N158" s="8" t="n">
        <v>1</v>
      </c>
      <c r="O158" s="9" t="inlineStr">
        <is>
          <t>周期触发</t>
        </is>
      </c>
      <c r="P158" s="9" t="inlineStr">
        <is>
          <t>periodicPulse</t>
        </is>
      </c>
      <c r="Q158" s="9" t="inlineStr">
        <is>
          <t>周期触发：每有 1 层炎热，使上方相邻装备获得 0.1 秒加速（最多计算 50 层）；每有 1 层炎热，使上方相邻装备获得 0.2 秒加速（最多计算 50 层）；每有 1 层炎热，使上方相邻装备获得 0.3 秒加速（最多计算 50 层）；每有 1 层炎热，使上方相邻装备获得 0.4 秒加速（最多计算 50 层）</t>
        </is>
      </c>
      <c r="R158" s="9" t="inlineStr"/>
      <c r="S158" s="9" t="inlineStr">
        <is>
          <t>黑灰编纹腰带配着冷银扣件，横束时线纹层层咬合，像把奔散火息拢成一线。</t>
        </is>
      </c>
      <c r="T158" s="8" t="inlineStr">
        <is>
          <t>implement_dark_braided_belt_3x1</t>
        </is>
      </c>
      <c r="U158" s="8" t="inlineStr">
        <is>
          <t>allowed</t>
        </is>
      </c>
    </row>
    <row r="159" ht="34" customHeight="1">
      <c r="A159" s="8" t="n">
        <v>158</v>
      </c>
      <c r="B159" s="8" t="n">
        <v>400023</v>
      </c>
      <c r="C159" s="8" t="inlineStr">
        <is>
          <t>沉岳锤</t>
        </is>
      </c>
      <c r="D159" s="8" t="inlineStr">
        <is>
          <t>法器</t>
        </is>
      </c>
      <c r="E159" s="8" t="inlineStr">
        <is>
          <t>implement</t>
        </is>
      </c>
      <c r="F159" s="8" t="inlineStr">
        <is>
          <t>common</t>
        </is>
      </c>
      <c r="G159" s="8" t="inlineStr">
        <is>
          <t>土</t>
        </is>
      </c>
      <c r="H159" s="8" t="inlineStr">
        <is>
          <t>earth</t>
        </is>
      </c>
      <c r="I159" s="8" t="inlineStr">
        <is>
          <t>2×2</t>
        </is>
      </c>
      <c r="J159" s="8" t="n">
        <v>4</v>
      </c>
      <c r="K159" s="8" t="n">
        <v>6</v>
      </c>
      <c r="L159" s="8" t="inlineStr">
        <is>
          <t>是</t>
        </is>
      </c>
      <c r="M159" s="9" t="inlineStr">
        <is>
          <t>bazaar；dynamicRandomReward；itemReforge</t>
        </is>
      </c>
      <c r="N159" s="8" t="n">
        <v>1</v>
      </c>
      <c r="O159" s="9" t="inlineStr">
        <is>
          <t>周期触发</t>
        </is>
      </c>
      <c r="P159" s="9" t="inlineStr">
        <is>
          <t>periodicPulse</t>
        </is>
      </c>
      <c r="Q159" s="9" t="inlineStr">
        <is>
          <t>周期触发：消耗 10 点体力，对敌人造成 10 点伤害；消耗 15 点体力，对敌人造成 15 点伤害；消耗 20 点体力，对敌人造成 20 点伤害；消耗 25 点体力，对敌人造成 25 点伤害</t>
        </is>
      </c>
      <c r="R159" s="9" t="inlineStr"/>
      <c r="S159" s="9" t="inlineStr">
        <is>
          <t>银白刺锤垂着黑链与青缨，锤头沉猛压尘，未挥动时便已有镇煞破阵之势。</t>
        </is>
      </c>
      <c r="T159" s="8" t="inlineStr">
        <is>
          <t>implement_exorcist_meteor_hammer_2x2</t>
        </is>
      </c>
      <c r="U159" s="8" t="inlineStr">
        <is>
          <t>allowed</t>
        </is>
      </c>
    </row>
    <row r="160" ht="34" customHeight="1">
      <c r="A160" s="8" t="n">
        <v>159</v>
      </c>
      <c r="B160" s="8" t="n">
        <v>400024</v>
      </c>
      <c r="C160" s="8" t="inlineStr">
        <is>
          <t>回元佩</t>
        </is>
      </c>
      <c r="D160" s="8" t="inlineStr">
        <is>
          <t>法器</t>
        </is>
      </c>
      <c r="E160" s="8" t="inlineStr">
        <is>
          <t>implement</t>
        </is>
      </c>
      <c r="F160" s="8" t="inlineStr">
        <is>
          <t>common</t>
        </is>
      </c>
      <c r="G160" s="8" t="inlineStr">
        <is>
          <t>木</t>
        </is>
      </c>
      <c r="H160" s="8" t="inlineStr">
        <is>
          <t>wood</t>
        </is>
      </c>
      <c r="I160" s="8" t="inlineStr">
        <is>
          <t>1×1</t>
        </is>
      </c>
      <c r="J160" s="8" t="n">
        <v>1</v>
      </c>
      <c r="K160" s="8" t="n">
        <v>12</v>
      </c>
      <c r="L160" s="8" t="inlineStr">
        <is>
          <t>是</t>
        </is>
      </c>
      <c r="M160" s="9" t="inlineStr">
        <is>
          <t>bazaar；dynamicRandomReward；itemReforge</t>
        </is>
      </c>
      <c r="N160" s="8" t="n">
        <v>1</v>
      </c>
      <c r="O160" s="9" t="inlineStr">
        <is>
          <t>周期触发</t>
        </is>
      </c>
      <c r="P160" s="9" t="inlineStr">
        <is>
          <t>periodicPulse</t>
        </is>
      </c>
      <c r="Q160" s="9" t="inlineStr">
        <is>
          <t>周期触发：恢复 5 法力；恢复 6 法力；恢复 7 法力；恢复 8 法力</t>
        </is>
      </c>
      <c r="R160" s="9" t="inlineStr"/>
      <c r="S160" s="9" t="inlineStr">
        <is>
          <t>青碧玉佩嵌着灵珠，浅纹如水波在心处回环，贴近时有雨后玉石的清凉气。</t>
        </is>
      </c>
      <c r="T160" s="8" t="inlineStr">
        <is>
          <t>implement_azureheart_pendant_1x1</t>
        </is>
      </c>
      <c r="U160" s="8" t="inlineStr">
        <is>
          <t>allowed</t>
        </is>
      </c>
    </row>
    <row r="161" ht="34" customHeight="1">
      <c r="A161" s="8" t="n">
        <v>160</v>
      </c>
      <c r="B161" s="8" t="n">
        <v>400026</v>
      </c>
      <c r="C161" s="8" t="inlineStr">
        <is>
          <t>羽纹护臂</t>
        </is>
      </c>
      <c r="D161" s="8" t="inlineStr">
        <is>
          <t>法器</t>
        </is>
      </c>
      <c r="E161" s="8" t="inlineStr">
        <is>
          <t>implement</t>
        </is>
      </c>
      <c r="F161" s="8" t="inlineStr">
        <is>
          <t>common</t>
        </is>
      </c>
      <c r="G161" s="8" t="inlineStr">
        <is>
          <t>无</t>
        </is>
      </c>
      <c r="H161" s="8" t="inlineStr">
        <is>
          <t>none</t>
        </is>
      </c>
      <c r="I161" s="8" t="inlineStr">
        <is>
          <t>2×1</t>
        </is>
      </c>
      <c r="J161" s="8" t="n">
        <v>2</v>
      </c>
      <c r="K161" s="8" t="n">
        <v>10</v>
      </c>
      <c r="L161" s="8" t="inlineStr">
        <is>
          <t>是</t>
        </is>
      </c>
      <c r="M161" s="9" t="inlineStr">
        <is>
          <t>bazaar；dynamicRandomReward；itemReforge</t>
        </is>
      </c>
      <c r="N161" s="8" t="n">
        <v>1</v>
      </c>
      <c r="O161" s="9" t="inlineStr">
        <is>
          <t>周期触发</t>
        </is>
      </c>
      <c r="P161" s="9" t="inlineStr">
        <is>
          <t>periodicPulse</t>
        </is>
      </c>
      <c r="Q161" s="9" t="inlineStr">
        <is>
          <t>周期触发：获得 2 层护甲；获得 3 层护甲；获得 4 层护甲；获得 5 层护甲</t>
        </is>
      </c>
      <c r="R161" s="9" t="inlineStr"/>
      <c r="S161" s="9" t="inlineStr">
        <is>
          <t>金羽外展的护臂轻贴腕侧，银灰边线如风掠袖口，抬手时有羽影相随。</t>
        </is>
      </c>
      <c r="T161" s="8" t="inlineStr">
        <is>
          <t>implement_feather_bracer_2x1</t>
        </is>
      </c>
      <c r="U161" s="8" t="inlineStr">
        <is>
          <t>allowed</t>
        </is>
      </c>
    </row>
    <row r="162" ht="34" customHeight="1">
      <c r="A162" s="8" t="n">
        <v>161</v>
      </c>
      <c r="B162" s="8" t="n">
        <v>400027</v>
      </c>
      <c r="C162" s="8" t="inlineStr">
        <is>
          <t>焰纹法袍</t>
        </is>
      </c>
      <c r="D162" s="8" t="inlineStr">
        <is>
          <t>法器</t>
        </is>
      </c>
      <c r="E162" s="8" t="inlineStr">
        <is>
          <t>implement</t>
        </is>
      </c>
      <c r="F162" s="8" t="inlineStr">
        <is>
          <t>common</t>
        </is>
      </c>
      <c r="G162" s="8" t="inlineStr">
        <is>
          <t>火</t>
        </is>
      </c>
      <c r="H162" s="8" t="inlineStr">
        <is>
          <t>fire</t>
        </is>
      </c>
      <c r="I162" s="8" t="inlineStr">
        <is>
          <t>2×3</t>
        </is>
      </c>
      <c r="J162" s="8" t="n">
        <v>6</v>
      </c>
      <c r="K162" s="8" t="n">
        <v>20</v>
      </c>
      <c r="L162" s="8" t="inlineStr">
        <is>
          <t>是</t>
        </is>
      </c>
      <c r="M162" s="9" t="inlineStr">
        <is>
          <t>bazaar；dynamicRandomReward；itemReforge</t>
        </is>
      </c>
      <c r="N162" s="8" t="n">
        <v>1</v>
      </c>
      <c r="O162" s="9" t="inlineStr">
        <is>
          <t>周期触发</t>
        </is>
      </c>
      <c r="P162" s="9" t="inlineStr">
        <is>
          <t>periodicPulse</t>
        </is>
      </c>
      <c r="Q162" s="9" t="inlineStr">
        <is>
          <t>周期触发：获得 8 层炎热；获得 16 层炎热；获得 24 层炎热；获得 32 层炎热</t>
        </is>
      </c>
      <c r="R162" s="9" t="inlineStr"/>
      <c r="S162" s="9" t="inlineStr">
        <is>
          <t>红色宽袖法袍垂坠如霞，下摆火焰纹细密舒展，像晚照被一针针缝进布面。</t>
        </is>
      </c>
      <c r="T162" s="8" t="inlineStr">
        <is>
          <t>implement_flame_trim_robe_2x3</t>
        </is>
      </c>
      <c r="U162" s="8" t="inlineStr">
        <is>
          <t>allowed</t>
        </is>
      </c>
    </row>
    <row r="163" ht="34" customHeight="1">
      <c r="A163" s="8" t="n">
        <v>162</v>
      </c>
      <c r="B163" s="8" t="n">
        <v>400028</v>
      </c>
      <c r="C163" s="8" t="inlineStr">
        <is>
          <t>负山护符</t>
        </is>
      </c>
      <c r="D163" s="8" t="inlineStr">
        <is>
          <t>法器</t>
        </is>
      </c>
      <c r="E163" s="8" t="inlineStr">
        <is>
          <t>implement</t>
        </is>
      </c>
      <c r="F163" s="8" t="inlineStr">
        <is>
          <t>common</t>
        </is>
      </c>
      <c r="G163" s="8" t="inlineStr">
        <is>
          <t>土</t>
        </is>
      </c>
      <c r="H163" s="8" t="inlineStr">
        <is>
          <t>earth</t>
        </is>
      </c>
      <c r="I163" s="8" t="inlineStr">
        <is>
          <t>1×1</t>
        </is>
      </c>
      <c r="J163" s="8" t="n">
        <v>1</v>
      </c>
      <c r="K163" s="8" t="n">
        <v>8</v>
      </c>
      <c r="L163" s="8" t="inlineStr">
        <is>
          <t>是</t>
        </is>
      </c>
      <c r="M163" s="9" t="inlineStr">
        <is>
          <t>bazaar；dynamicRandomReward；itemReforge</t>
        </is>
      </c>
      <c r="N163" s="8" t="n">
        <v>1</v>
      </c>
      <c r="O163" s="9" t="inlineStr">
        <is>
          <t>周期触发</t>
        </is>
      </c>
      <c r="P163" s="9" t="inlineStr">
        <is>
          <t>periodicPulse</t>
        </is>
      </c>
      <c r="Q163" s="9" t="inlineStr">
        <is>
          <t>周期触发：位于角落时，获得 1 层蓄势；位于角落时，获得 2 层蓄势；位于角落时，获得 3 层蓄势；位于角落时，获得 4 层蓄势</t>
        </is>
      </c>
      <c r="R163" s="9" t="inlineStr"/>
      <c r="S163" s="9" t="inlineStr">
        <is>
          <t>方印金纹厚重古拙，边角似经山风磨平，握住时有一股沉稳地气贴在掌心。</t>
        </is>
      </c>
      <c r="T163" s="8" t="inlineStr">
        <is>
          <t>implement_mountainward_seal_1x1</t>
        </is>
      </c>
      <c r="U163" s="8" t="inlineStr">
        <is>
          <t>allowed</t>
        </is>
      </c>
    </row>
    <row r="164" ht="34" customHeight="1">
      <c r="A164" s="8" t="n">
        <v>163</v>
      </c>
      <c r="B164" s="8" t="n">
        <v>400029</v>
      </c>
      <c r="C164" s="8" t="inlineStr">
        <is>
          <t>嵌玉负岳甲</t>
        </is>
      </c>
      <c r="D164" s="8" t="inlineStr">
        <is>
          <t>法器</t>
        </is>
      </c>
      <c r="E164" s="8" t="inlineStr">
        <is>
          <t>implement</t>
        </is>
      </c>
      <c r="F164" s="8" t="inlineStr">
        <is>
          <t>common</t>
        </is>
      </c>
      <c r="G164" s="8" t="inlineStr">
        <is>
          <t>土</t>
        </is>
      </c>
      <c r="H164" s="8" t="inlineStr">
        <is>
          <t>earth</t>
        </is>
      </c>
      <c r="I164" s="8" t="inlineStr">
        <is>
          <t>2×2</t>
        </is>
      </c>
      <c r="J164" s="8" t="n">
        <v>4</v>
      </c>
      <c r="K164" s="8" t="n">
        <v>20</v>
      </c>
      <c r="L164" s="8" t="inlineStr">
        <is>
          <t>是</t>
        </is>
      </c>
      <c r="M164" s="9" t="inlineStr">
        <is>
          <t>bazaar；dynamicRandomReward；itemReforge</t>
        </is>
      </c>
      <c r="N164" s="8" t="n">
        <v>1</v>
      </c>
      <c r="O164" s="9" t="inlineStr">
        <is>
          <t>周期触发</t>
        </is>
      </c>
      <c r="P164" s="9" t="inlineStr">
        <is>
          <t>periodicPulse</t>
        </is>
      </c>
      <c r="Q164" s="9" t="inlineStr">
        <is>
          <t>周期触发：位于储物袋顶部时，获得 6 层蓄势；位于储物袋顶部时，获得 12 层蓄势；位于储物袋顶部时，获得 18 层蓄势；位于储物袋顶部时，获得 24 层蓄势</t>
        </is>
      </c>
      <c r="R164" s="9" t="inlineStr"/>
      <c r="S164" s="9" t="inlineStr">
        <is>
          <t>深色护甲嵌青玉、镶金边，肩甲厚重如小峰压胸，光泽内敛而坚实。</t>
        </is>
      </c>
      <c r="T164" s="8" t="inlineStr">
        <is>
          <t>implement_gemset_guard_cuirass_2x2</t>
        </is>
      </c>
      <c r="U164" s="8" t="inlineStr">
        <is>
          <t>allowed</t>
        </is>
      </c>
    </row>
    <row r="165" ht="34" customHeight="1">
      <c r="A165" s="8" t="n">
        <v>164</v>
      </c>
      <c r="B165" s="8" t="n">
        <v>400030</v>
      </c>
      <c r="C165" s="8" t="inlineStr">
        <is>
          <t>逆息铜铃</t>
        </is>
      </c>
      <c r="D165" s="8" t="inlineStr">
        <is>
          <t>法器</t>
        </is>
      </c>
      <c r="E165" s="8" t="inlineStr">
        <is>
          <t>implement</t>
        </is>
      </c>
      <c r="F165" s="8" t="inlineStr">
        <is>
          <t>common</t>
        </is>
      </c>
      <c r="G165" s="8" t="inlineStr">
        <is>
          <t>无</t>
        </is>
      </c>
      <c r="H165" s="8" t="inlineStr">
        <is>
          <t>none</t>
        </is>
      </c>
      <c r="I165" s="8" t="inlineStr">
        <is>
          <t>1×1</t>
        </is>
      </c>
      <c r="J165" s="8" t="n">
        <v>1</v>
      </c>
      <c r="K165" s="8" t="n">
        <v>8</v>
      </c>
      <c r="L165" s="8" t="inlineStr">
        <is>
          <t>是</t>
        </is>
      </c>
      <c r="M165" s="9" t="inlineStr">
        <is>
          <t>bazaar；dynamicRandomReward；itemReforge</t>
        </is>
      </c>
      <c r="N165" s="8" t="n">
        <v>1</v>
      </c>
      <c r="O165" s="9" t="inlineStr">
        <is>
          <t>条件触发</t>
        </is>
      </c>
      <c r="P165" s="9" t="inlineStr">
        <is>
          <t>triggered</t>
        </is>
      </c>
      <c r="Q165" s="9" t="inlineStr">
        <is>
          <t>条件触发：使用相邻装备时，将 1 点气血转化为 1 点体力；使用相邻装备时，将 2 点气血转化为 2 点体力；使用相邻装备时，将 3 点气血转化为 3 点体力；使用相邻装备时，将 4 点气血转化为 4 点体力</t>
        </is>
      </c>
      <c r="R165" s="9" t="inlineStr"/>
      <c r="S165" s="9" t="inlineStr">
        <is>
          <t>青铜小铃古意沉沉，铃身倒行气纹细密，低声一响便像把浊气重新压回经脉。</t>
        </is>
      </c>
      <c r="T165" s="8" t="inlineStr">
        <is>
          <t>implement_bronze_spirit_bell_1x1</t>
        </is>
      </c>
      <c r="U165" s="8" t="inlineStr">
        <is>
          <t>allowed</t>
        </is>
      </c>
    </row>
    <row r="166" ht="34" customHeight="1">
      <c r="A166" s="8" t="n">
        <v>165</v>
      </c>
      <c r="B166" s="8" t="n">
        <v>400031</v>
      </c>
      <c r="C166" s="8" t="inlineStr">
        <is>
          <t>磨骨针囊</t>
        </is>
      </c>
      <c r="D166" s="8" t="inlineStr">
        <is>
          <t>法器</t>
        </is>
      </c>
      <c r="E166" s="8" t="inlineStr">
        <is>
          <t>implement</t>
        </is>
      </c>
      <c r="F166" s="8" t="inlineStr">
        <is>
          <t>common</t>
        </is>
      </c>
      <c r="G166" s="8" t="inlineStr">
        <is>
          <t>无</t>
        </is>
      </c>
      <c r="H166" s="8" t="inlineStr">
        <is>
          <t>none</t>
        </is>
      </c>
      <c r="I166" s="8" t="inlineStr">
        <is>
          <t>1×1</t>
        </is>
      </c>
      <c r="J166" s="8" t="n">
        <v>1</v>
      </c>
      <c r="K166" s="8" t="n">
        <v>14</v>
      </c>
      <c r="L166" s="8" t="inlineStr">
        <is>
          <t>是</t>
        </is>
      </c>
      <c r="M166" s="9" t="inlineStr">
        <is>
          <t>bazaar；dynamicRandomReward；itemReforge</t>
        </is>
      </c>
      <c r="N166" s="8" t="n">
        <v>1</v>
      </c>
      <c r="O166" s="9" t="inlineStr">
        <is>
          <t>被动效果</t>
        </is>
      </c>
      <c r="P166" s="9" t="inlineStr">
        <is>
          <t>passive</t>
        </is>
      </c>
      <c r="Q166" s="9" t="inlineStr">
        <is>
          <t>被动效果：每当一次性消耗至少 4 点体力时，恢复 2 点体力；每当一次性消耗至少 6 点体力时，恢复 3 点体力；每当一次性消耗至少 8 点体力时，恢复 4 点体力；每当一次性消耗至少 10 点体力时，恢复 5 点体力</t>
        </is>
      </c>
      <c r="R166" s="9" t="inlineStr"/>
      <c r="S166" s="9" t="inlineStr">
        <is>
          <t>旧布针囊斜插寒亮细针，针尾齐整如骨缝冷芒，贴身携带时隐隐有磨骨刺意。</t>
        </is>
      </c>
      <c r="T166" s="8" t="inlineStr">
        <is>
          <t>implement_needle_pouch_1x1</t>
        </is>
      </c>
      <c r="U166" s="8" t="inlineStr">
        <is>
          <t>allowed</t>
        </is>
      </c>
    </row>
    <row r="167" ht="34" customHeight="1">
      <c r="A167" s="8" t="n">
        <v>166</v>
      </c>
      <c r="B167" s="8" t="n">
        <v>400032</v>
      </c>
      <c r="C167" s="8" t="inlineStr">
        <is>
          <t>冷月砚</t>
        </is>
      </c>
      <c r="D167" s="8" t="inlineStr">
        <is>
          <t>法器</t>
        </is>
      </c>
      <c r="E167" s="8" t="inlineStr">
        <is>
          <t>implement</t>
        </is>
      </c>
      <c r="F167" s="8" t="inlineStr">
        <is>
          <t>common</t>
        </is>
      </c>
      <c r="G167" s="8" t="inlineStr">
        <is>
          <t>冰</t>
        </is>
      </c>
      <c r="H167" s="8" t="inlineStr">
        <is>
          <t>ice</t>
        </is>
      </c>
      <c r="I167" s="8" t="inlineStr">
        <is>
          <t>1×1</t>
        </is>
      </c>
      <c r="J167" s="8" t="n">
        <v>1</v>
      </c>
      <c r="K167" s="8" t="n">
        <v>20</v>
      </c>
      <c r="L167" s="8" t="inlineStr">
        <is>
          <t>是</t>
        </is>
      </c>
      <c r="M167" s="9" t="inlineStr">
        <is>
          <t>bazaar；dynamicRandomReward；itemReforge</t>
        </is>
      </c>
      <c r="N167" s="8" t="n">
        <v>1</v>
      </c>
      <c r="O167" s="9" t="inlineStr">
        <is>
          <t>被动效果</t>
        </is>
      </c>
      <c r="P167" s="9" t="inlineStr">
        <is>
          <t>passive</t>
        </is>
      </c>
      <c r="Q167" s="9" t="inlineStr">
        <is>
          <t>被动效果：寒冷超过 10 层时，所有道具伤害 +1；寒冷超过 15 层时，所有道具伤害 +2；寒冷超过 20 层时，所有道具伤害 +3；寒冷超过 25 层时，所有道具伤害 +4</t>
        </is>
      </c>
      <c r="R167" s="9" t="inlineStr">
        <is>
          <t>water_scripture_support；cold_stack_gate</t>
        </is>
      </c>
      <c r="S167" s="9" t="inlineStr">
        <is>
          <t>黑石砚台厚实如冷月沉池，浅雕纹路锁住水色墨光，静置时寒意凝而不散。</t>
        </is>
      </c>
      <c r="T167" s="8" t="inlineStr">
        <is>
          <t>implement_carved_inkstone_1x1</t>
        </is>
      </c>
      <c r="U167" s="8" t="inlineStr">
        <is>
          <t>allowed</t>
        </is>
      </c>
    </row>
    <row r="168" ht="34" customHeight="1">
      <c r="A168" s="8" t="n">
        <v>167</v>
      </c>
      <c r="B168" s="8" t="n">
        <v>400033</v>
      </c>
      <c r="C168" s="8" t="inlineStr">
        <is>
          <t>听潮贝</t>
        </is>
      </c>
      <c r="D168" s="8" t="inlineStr">
        <is>
          <t>法器</t>
        </is>
      </c>
      <c r="E168" s="8" t="inlineStr">
        <is>
          <t>implement</t>
        </is>
      </c>
      <c r="F168" s="8" t="inlineStr">
        <is>
          <t>common</t>
        </is>
      </c>
      <c r="G168" s="8" t="inlineStr">
        <is>
          <t>冰</t>
        </is>
      </c>
      <c r="H168" s="8" t="inlineStr">
        <is>
          <t>ice</t>
        </is>
      </c>
      <c r="I168" s="8" t="inlineStr">
        <is>
          <t>1×1</t>
        </is>
      </c>
      <c r="J168" s="8" t="n">
        <v>1</v>
      </c>
      <c r="K168" s="8" t="n">
        <v>20</v>
      </c>
      <c r="L168" s="8" t="inlineStr">
        <is>
          <t>是</t>
        </is>
      </c>
      <c r="M168" s="9" t="inlineStr">
        <is>
          <t>bazaar；dynamicRandomReward；itemReforge</t>
        </is>
      </c>
      <c r="N168" s="8" t="n">
        <v>1</v>
      </c>
      <c r="O168" s="9" t="inlineStr">
        <is>
          <t>被动效果</t>
        </is>
      </c>
      <c r="P168" s="9" t="inlineStr">
        <is>
          <t>passive</t>
        </is>
      </c>
      <c r="Q168" s="9" t="inlineStr">
        <is>
          <t>被动效果：寒冷状态持续时间 +5 秒；寒冷状态持续时间 +6 秒；寒冷状态持续时间 +7 秒；寒冷状态持续时间 +8 秒</t>
        </is>
      </c>
      <c r="R168" s="9" t="inlineStr">
        <is>
          <t>cold_duration_support；water_accessory</t>
        </is>
      </c>
      <c r="S168" s="9" t="inlineStr">
        <is>
          <t>螺旋贝壳内壁泛着水灵微光，贴近耳畔便似听见远海月下的细潮。</t>
        </is>
      </c>
      <c r="T168" s="8" t="inlineStr">
        <is>
          <t>material_spirit_conch_1x1</t>
        </is>
      </c>
      <c r="U168" s="8" t="inlineStr">
        <is>
          <t>allowed</t>
        </is>
      </c>
    </row>
    <row r="169" ht="34" customHeight="1">
      <c r="A169" s="8" t="n">
        <v>168</v>
      </c>
      <c r="B169" s="8" t="n">
        <v>400034</v>
      </c>
      <c r="C169" s="8" t="inlineStr">
        <is>
          <t>听火铜铃</t>
        </is>
      </c>
      <c r="D169" s="8" t="inlineStr">
        <is>
          <t>法器</t>
        </is>
      </c>
      <c r="E169" s="8" t="inlineStr">
        <is>
          <t>implement</t>
        </is>
      </c>
      <c r="F169" s="8" t="inlineStr">
        <is>
          <t>common</t>
        </is>
      </c>
      <c r="G169" s="8" t="inlineStr">
        <is>
          <t>火</t>
        </is>
      </c>
      <c r="H169" s="8" t="inlineStr">
        <is>
          <t>fire</t>
        </is>
      </c>
      <c r="I169" s="8" t="inlineStr">
        <is>
          <t>1×2</t>
        </is>
      </c>
      <c r="J169" s="8" t="n">
        <v>2</v>
      </c>
      <c r="K169" s="8" t="n">
        <v>7</v>
      </c>
      <c r="L169" s="8" t="inlineStr">
        <is>
          <t>是</t>
        </is>
      </c>
      <c r="M169" s="9" t="inlineStr">
        <is>
          <t>bazaar；dynamicRandomReward；itemReforge</t>
        </is>
      </c>
      <c r="N169" s="8" t="n">
        <v>1</v>
      </c>
      <c r="O169" s="9" t="inlineStr">
        <is>
          <t>条件触发</t>
        </is>
      </c>
      <c r="P169" s="9" t="inlineStr">
        <is>
          <t>triggered</t>
        </is>
      </c>
      <c r="Q169" s="9" t="inlineStr">
        <is>
          <t>条件触发：相邻法器轮转时，获得 1 层炎热；相邻法器轮转时，获得 2 层炎热；相邻法器轮转时，获得 3 层炎热；相邻法器轮转时，获得 4 层炎热</t>
        </is>
      </c>
      <c r="R169" s="9" t="inlineStr"/>
      <c r="S169" s="9" t="inlineStr">
        <is>
          <t>高挑青铜法铃提梁古拙，铃腹留着暗火纹，轻晃时像有余焰在铜腔里回声。</t>
        </is>
      </c>
      <c r="T169" s="8" t="inlineStr">
        <is>
          <t>implement_bronze_ritual_bell_f2314v1_1x2</t>
        </is>
      </c>
      <c r="U169" s="8" t="inlineStr">
        <is>
          <t>allowed</t>
        </is>
      </c>
    </row>
    <row r="170" ht="34" customHeight="1">
      <c r="A170" s="8" t="n">
        <v>169</v>
      </c>
      <c r="B170" s="8" t="n">
        <v>400035</v>
      </c>
      <c r="C170" s="8" t="inlineStr">
        <is>
          <t>封焰金珠</t>
        </is>
      </c>
      <c r="D170" s="8" t="inlineStr">
        <is>
          <t>法器</t>
        </is>
      </c>
      <c r="E170" s="8" t="inlineStr">
        <is>
          <t>implement</t>
        </is>
      </c>
      <c r="F170" s="8" t="inlineStr">
        <is>
          <t>common</t>
        </is>
      </c>
      <c r="G170" s="8" t="inlineStr">
        <is>
          <t>火</t>
        </is>
      </c>
      <c r="H170" s="8" t="inlineStr">
        <is>
          <t>fire</t>
        </is>
      </c>
      <c r="I170" s="8" t="inlineStr">
        <is>
          <t>1×1</t>
        </is>
      </c>
      <c r="J170" s="8" t="n">
        <v>1</v>
      </c>
      <c r="K170" s="8" t="n">
        <v>12</v>
      </c>
      <c r="L170" s="8" t="inlineStr">
        <is>
          <t>是</t>
        </is>
      </c>
      <c r="M170" s="9" t="inlineStr">
        <is>
          <t>bazaar；dynamicRandomReward；itemReforge</t>
        </is>
      </c>
      <c r="N170" s="8" t="n">
        <v>1</v>
      </c>
      <c r="O170" s="9" t="inlineStr">
        <is>
          <t>被动效果</t>
        </is>
      </c>
      <c r="P170" s="9" t="inlineStr">
        <is>
          <t>passive</t>
        </is>
      </c>
      <c r="Q170" s="9" t="inlineStr">
        <is>
          <t>被动效果：左侧相邻道具每次获得炎热时，额外获得 1 层炎热；左侧相邻道具每次获得炎热时，额外获得 2 层炎热；左侧相邻道具每次获得炎热时，额外获得 3 层炎热；左侧相邻道具每次获得炎热时，额外获得 4 层炎热</t>
        </is>
      </c>
      <c r="R170" s="9" t="inlineStr"/>
      <c r="S170" s="9" t="inlineStr">
        <is>
          <t>金色圆珠覆着细密封纹，赤色符印压住珠心余火，像一枚被法印镇住的蓄焰器核。</t>
        </is>
      </c>
      <c r="T170" s="8" t="inlineStr">
        <is>
          <t>implement_sealed_golden_orb_1x1</t>
        </is>
      </c>
      <c r="U170" s="8" t="inlineStr">
        <is>
          <t>allowed</t>
        </is>
      </c>
    </row>
    <row r="171" ht="34" customHeight="1">
      <c r="A171" s="8" t="n">
        <v>170</v>
      </c>
      <c r="B171" s="8" t="n">
        <v>400036</v>
      </c>
      <c r="C171" s="8" t="inlineStr">
        <is>
          <t>同焰阵幡</t>
        </is>
      </c>
      <c r="D171" s="8" t="inlineStr">
        <is>
          <t>法器</t>
        </is>
      </c>
      <c r="E171" s="8" t="inlineStr">
        <is>
          <t>implement</t>
        </is>
      </c>
      <c r="F171" s="8" t="inlineStr">
        <is>
          <t>common</t>
        </is>
      </c>
      <c r="G171" s="8" t="inlineStr">
        <is>
          <t>火</t>
        </is>
      </c>
      <c r="H171" s="8" t="inlineStr">
        <is>
          <t>fire</t>
        </is>
      </c>
      <c r="I171" s="8" t="inlineStr">
        <is>
          <t>1×1</t>
        </is>
      </c>
      <c r="J171" s="8" t="n">
        <v>1</v>
      </c>
      <c r="K171" s="8" t="n">
        <v>18</v>
      </c>
      <c r="L171" s="8" t="inlineStr">
        <is>
          <t>是</t>
        </is>
      </c>
      <c r="M171" s="9" t="inlineStr">
        <is>
          <t>bazaar；dynamicRandomReward；itemReforge</t>
        </is>
      </c>
      <c r="N171" s="8" t="n">
        <v>1</v>
      </c>
      <c r="O171" s="9" t="inlineStr">
        <is>
          <t>条件触发</t>
        </is>
      </c>
      <c r="P171" s="9" t="inlineStr">
        <is>
          <t>triggered</t>
        </is>
      </c>
      <c r="Q171" s="9" t="inlineStr">
        <is>
          <t>条件触发：火属性道具累计使用 12 次后，对敌方施加 6 层灼烧；火属性道具累计使用 12 次后，对敌方施加 9 层灼烧；火属性道具累计使用 12 次后，对敌方施加 12 层灼烧；火属性道具累计使用 12 次后，对敌方施加 15 层灼烧</t>
        </is>
      </c>
      <c r="R171" s="9" t="inlineStr"/>
      <c r="S171" s="9" t="inlineStr">
        <is>
          <t>木杆长幡垂着流苏与祥云纹，展开时青底下透出同焰赤光，像能牵起一行火息。</t>
        </is>
      </c>
      <c r="T171" s="8" t="inlineStr">
        <is>
          <t>implement_azurecloud_banner_1x1</t>
        </is>
      </c>
      <c r="U171" s="8" t="inlineStr">
        <is>
          <t>allowed</t>
        </is>
      </c>
    </row>
    <row r="172" ht="34" customHeight="1">
      <c r="A172" s="8" t="n">
        <v>171</v>
      </c>
      <c r="B172" s="8" t="n">
        <v>400038</v>
      </c>
      <c r="C172" s="8" t="inlineStr">
        <is>
          <t>问运签束</t>
        </is>
      </c>
      <c r="D172" s="8" t="inlineStr">
        <is>
          <t>法器</t>
        </is>
      </c>
      <c r="E172" s="8" t="inlineStr">
        <is>
          <t>implement</t>
        </is>
      </c>
      <c r="F172" s="8" t="inlineStr">
        <is>
          <t>common</t>
        </is>
      </c>
      <c r="G172" s="8" t="inlineStr">
        <is>
          <t>无</t>
        </is>
      </c>
      <c r="H172" s="8" t="inlineStr">
        <is>
          <t>none</t>
        </is>
      </c>
      <c r="I172" s="8" t="inlineStr">
        <is>
          <t>1×2</t>
        </is>
      </c>
      <c r="J172" s="8" t="n">
        <v>2</v>
      </c>
      <c r="K172" s="8" t="n">
        <v>5</v>
      </c>
      <c r="L172" s="8" t="inlineStr">
        <is>
          <t>是</t>
        </is>
      </c>
      <c r="M172" s="9" t="inlineStr">
        <is>
          <t>bazaar；dynamicRandomReward；itemReforge</t>
        </is>
      </c>
      <c r="N172" s="8" t="n">
        <v>1</v>
      </c>
      <c r="O172" s="9" t="inlineStr">
        <is>
          <t>周期触发</t>
        </is>
      </c>
      <c r="P172" s="9" t="inlineStr">
        <is>
          <t>periodicPulse</t>
        </is>
      </c>
      <c r="Q172" s="9" t="inlineStr">
        <is>
          <t>周期触发：开局时有 30% 概率恢复 10 点气血；开局时有 40% 概率恢复 15 点气血；开局时有 50% 概率恢复 20 点气血；开局时有 60% 概率恢复 25 点气血</t>
        </is>
      </c>
      <c r="R172" s="9" t="inlineStr"/>
      <c r="S172" s="9" t="inlineStr">
        <is>
          <t>数枚骨白卜签以细绳束起，签首刻着微小吉凶纹，轻摇时像把散落运势重新归拢。</t>
        </is>
      </c>
      <c r="T172" s="8" t="inlineStr">
        <is>
          <t>implement_divination_stick_bundle_1x2</t>
        </is>
      </c>
      <c r="U172" s="8" t="inlineStr">
        <is>
          <t>allowed</t>
        </is>
      </c>
    </row>
    <row r="173" ht="34" customHeight="1">
      <c r="A173" s="8" t="n">
        <v>172</v>
      </c>
      <c r="B173" s="8" t="n">
        <v>400039</v>
      </c>
      <c r="C173" s="8" t="inlineStr">
        <is>
          <t>碧云灵珠</t>
        </is>
      </c>
      <c r="D173" s="8" t="inlineStr">
        <is>
          <t>法器</t>
        </is>
      </c>
      <c r="E173" s="8" t="inlineStr">
        <is>
          <t>implement</t>
        </is>
      </c>
      <c r="F173" s="8" t="inlineStr">
        <is>
          <t>common</t>
        </is>
      </c>
      <c r="G173" s="8" t="inlineStr">
        <is>
          <t>木</t>
        </is>
      </c>
      <c r="H173" s="8" t="inlineStr">
        <is>
          <t>wood</t>
        </is>
      </c>
      <c r="I173" s="8" t="inlineStr">
        <is>
          <t>1×1</t>
        </is>
      </c>
      <c r="J173" s="8" t="n">
        <v>1</v>
      </c>
      <c r="K173" s="8" t="n">
        <v>7</v>
      </c>
      <c r="L173" s="8" t="inlineStr">
        <is>
          <t>是</t>
        </is>
      </c>
      <c r="M173" s="9" t="inlineStr">
        <is>
          <t>bazaar；dynamicRandomReward；itemReforge</t>
        </is>
      </c>
      <c r="N173" s="8" t="n">
        <v>1</v>
      </c>
      <c r="O173" s="9" t="inlineStr">
        <is>
          <t>条件触发</t>
        </is>
      </c>
      <c r="P173" s="9" t="inlineStr">
        <is>
          <t>triggered</t>
        </is>
      </c>
      <c r="Q173" s="9" t="inlineStr">
        <is>
          <t>条件触发：每当有道具耗尽时，恢复 4 点法力；每当有道具耗尽时，恢复 6 点法力；每当有道具耗尽时，恢复 8 点法力；每当有道具耗尽时，恢复 10 点法力</t>
        </is>
      </c>
      <c r="R173" s="9" t="inlineStr"/>
      <c r="S173" s="9" t="inlineStr">
        <is>
          <t>青绿灵珠安在木座之上，珠心云纹缓缓流动，像能在万物耗散后替丹田多留一缕余息。</t>
        </is>
      </c>
      <c r="T173" s="8" t="inlineStr">
        <is>
          <t>implement_cloudpattern_spirit_pearl_1x1</t>
        </is>
      </c>
      <c r="U173" s="8" t="inlineStr">
        <is>
          <t>allowed</t>
        </is>
      </c>
    </row>
    <row r="174" ht="34" customHeight="1">
      <c r="A174" s="8" t="n">
        <v>173</v>
      </c>
      <c r="B174" s="8" t="n">
        <v>400040</v>
      </c>
      <c r="C174" s="8" t="inlineStr">
        <is>
          <t>琥珀法印</t>
        </is>
      </c>
      <c r="D174" s="8" t="inlineStr">
        <is>
          <t>法器</t>
        </is>
      </c>
      <c r="E174" s="8" t="inlineStr">
        <is>
          <t>implement</t>
        </is>
      </c>
      <c r="F174" s="8" t="inlineStr">
        <is>
          <t>common</t>
        </is>
      </c>
      <c r="G174" s="8" t="inlineStr">
        <is>
          <t>土</t>
        </is>
      </c>
      <c r="H174" s="8" t="inlineStr">
        <is>
          <t>earth</t>
        </is>
      </c>
      <c r="I174" s="8" t="inlineStr">
        <is>
          <t>1×1</t>
        </is>
      </c>
      <c r="J174" s="8" t="n">
        <v>1</v>
      </c>
      <c r="K174" s="8" t="n">
        <v>20</v>
      </c>
      <c r="L174" s="8" t="inlineStr">
        <is>
          <t>是</t>
        </is>
      </c>
      <c r="M174" s="9" t="inlineStr">
        <is>
          <t>bazaar；dynamicRandomReward；itemReforge</t>
        </is>
      </c>
      <c r="N174" s="8" t="n">
        <v>1</v>
      </c>
      <c r="O174" s="9" t="inlineStr">
        <is>
          <t>条件触发</t>
        </is>
      </c>
      <c r="P174" s="9" t="inlineStr">
        <is>
          <t>triggered</t>
        </is>
      </c>
      <c r="Q174" s="9" t="inlineStr">
        <is>
          <t>条件触发：每当有道具耗尽时，恢复 10 点体力；每当有道具耗尽时，恢复 15 点体力；每当有道具耗尽时，恢复 20 点体力；每当有道具耗尽时，恢复 25 点体力</t>
        </is>
      </c>
      <c r="R174" s="9" t="inlineStr"/>
      <c r="S174" s="9" t="inlineStr">
        <is>
          <t>温黄琥珀嵌在方印中央，印面刻着地脉云纹，像用于镇定余息的随身法器。</t>
        </is>
      </c>
      <c r="T174" s="8" t="inlineStr">
        <is>
          <t>implement_runic_seal_plaque_1x1</t>
        </is>
      </c>
      <c r="U174" s="8" t="inlineStr">
        <is>
          <t>allowed</t>
        </is>
      </c>
    </row>
    <row r="175" ht="34" customHeight="1">
      <c r="A175" s="8" t="n">
        <v>174</v>
      </c>
      <c r="B175" s="8" t="n">
        <v>400041</v>
      </c>
      <c r="C175" s="8" t="inlineStr">
        <is>
          <t>寒渊冰涡盘</t>
        </is>
      </c>
      <c r="D175" s="8" t="inlineStr">
        <is>
          <t>法器</t>
        </is>
      </c>
      <c r="E175" s="8" t="inlineStr">
        <is>
          <t>implement</t>
        </is>
      </c>
      <c r="F175" s="8" t="inlineStr">
        <is>
          <t>common</t>
        </is>
      </c>
      <c r="G175" s="8" t="inlineStr">
        <is>
          <t>水</t>
        </is>
      </c>
      <c r="H175" s="8" t="inlineStr">
        <is>
          <t>water</t>
        </is>
      </c>
      <c r="I175" s="8" t="inlineStr">
        <is>
          <t>1×1</t>
        </is>
      </c>
      <c r="J175" s="8" t="n">
        <v>1</v>
      </c>
      <c r="K175" s="8" t="n">
        <v>23</v>
      </c>
      <c r="L175" s="8" t="inlineStr">
        <is>
          <t>是</t>
        </is>
      </c>
      <c r="M175" s="9" t="inlineStr">
        <is>
          <t>bazaar；dynamicRandomReward；itemReforge</t>
        </is>
      </c>
      <c r="N175" s="8" t="n">
        <v>1</v>
      </c>
      <c r="O175" s="9" t="inlineStr">
        <is>
          <t>条件触发</t>
        </is>
      </c>
      <c r="P175" s="9" t="inlineStr">
        <is>
          <t>triggered</t>
        </is>
      </c>
      <c r="Q175" s="9" t="inlineStr">
        <is>
          <t>条件触发：相邻道具恢复法力时，额外恢复 1 点法力；相邻道具恢复法力时，额外恢复 2 点法力；相邻道具恢复法力时，额外恢复 3 点法力；相邻道具恢复法力时，额外恢复 4 点法力</t>
        </is>
      </c>
      <c r="R175" s="9" t="inlineStr"/>
      <c r="S175" s="9" t="inlineStr">
        <is>
          <t>冰蓝圆盘内旋着深寒涡纹，边缘霜晶细密，静置时也像在缓缓牵引周遭水气。</t>
        </is>
      </c>
      <c r="T175" s="8" t="inlineStr">
        <is>
          <t>formation_abyssal_frost_disk_dawnmist_1x1</t>
        </is>
      </c>
      <c r="U175" s="8" t="inlineStr">
        <is>
          <t>allowed</t>
        </is>
      </c>
    </row>
    <row r="176" ht="34" customHeight="1">
      <c r="A176" s="8" t="n">
        <v>175</v>
      </c>
      <c r="B176" s="8" t="n">
        <v>400042</v>
      </c>
      <c r="C176" s="8" t="inlineStr">
        <is>
          <t>烈焰下裳</t>
        </is>
      </c>
      <c r="D176" s="8" t="inlineStr">
        <is>
          <t>法器</t>
        </is>
      </c>
      <c r="E176" s="8" t="inlineStr">
        <is>
          <t>implement</t>
        </is>
      </c>
      <c r="F176" s="8" t="inlineStr">
        <is>
          <t>common</t>
        </is>
      </c>
      <c r="G176" s="8" t="inlineStr">
        <is>
          <t>火</t>
        </is>
      </c>
      <c r="H176" s="8" t="inlineStr">
        <is>
          <t>fire</t>
        </is>
      </c>
      <c r="I176" s="8" t="inlineStr">
        <is>
          <t>1×2</t>
        </is>
      </c>
      <c r="J176" s="8" t="n">
        <v>2</v>
      </c>
      <c r="K176" s="8" t="n">
        <v>6</v>
      </c>
      <c r="L176" s="8" t="inlineStr">
        <is>
          <t>是</t>
        </is>
      </c>
      <c r="M176" s="9" t="inlineStr">
        <is>
          <t>bazaar；dynamicRandomReward；itemReforge</t>
        </is>
      </c>
      <c r="N176" s="8" t="n">
        <v>1</v>
      </c>
      <c r="O176" s="9" t="inlineStr">
        <is>
          <t>条件触发</t>
        </is>
      </c>
      <c r="P176" s="9" t="inlineStr">
        <is>
          <t>triggered</t>
        </is>
      </c>
      <c r="Q176" s="9" t="inlineStr">
        <is>
          <t>条件触发：上方相邻道具获得炎热时，恢复 3 点法力并额外获得 1 层炎热；上方相邻道具获得炎热时，恢复 6 点法力并额外获得 2 层炎热；上方相邻道具获得炎热时，恢复 9 点法力并额外获得 3 层炎热；上方相邻道具获得炎热时，恢复 12 点法力并额外获得 4 层炎热</t>
        </is>
      </c>
      <c r="R176" s="9" t="inlineStr"/>
      <c r="S176" s="9" t="inlineStr">
        <is>
          <t>鲜红长下裳带火焰纹，下摆醒目。</t>
        </is>
      </c>
      <c r="T176" s="8" t="inlineStr">
        <is>
          <t>implement_flame_skirt_1x2</t>
        </is>
      </c>
      <c r="U176" s="8" t="inlineStr">
        <is>
          <t>allowed</t>
        </is>
      </c>
    </row>
    <row r="177" ht="34" customHeight="1">
      <c r="A177" s="8" t="n">
        <v>176</v>
      </c>
      <c r="B177" s="8" t="n">
        <v>400043</v>
      </c>
      <c r="C177" s="8" t="inlineStr">
        <is>
          <t>银锋双铭剑</t>
        </is>
      </c>
      <c r="D177" s="8" t="inlineStr">
        <is>
          <t>法器</t>
        </is>
      </c>
      <c r="E177" s="8" t="inlineStr">
        <is>
          <t>implement</t>
        </is>
      </c>
      <c r="F177" s="8" t="inlineStr">
        <is>
          <t>common</t>
        </is>
      </c>
      <c r="G177" s="8" t="inlineStr">
        <is>
          <t>金</t>
        </is>
      </c>
      <c r="H177" s="8" t="inlineStr">
        <is>
          <t>metal</t>
        </is>
      </c>
      <c r="I177" s="8" t="inlineStr">
        <is>
          <t>2×2</t>
        </is>
      </c>
      <c r="J177" s="8" t="n">
        <v>4</v>
      </c>
      <c r="K177" s="8" t="n">
        <v>16</v>
      </c>
      <c r="L177" s="8" t="inlineStr">
        <is>
          <t>是</t>
        </is>
      </c>
      <c r="M177" s="9" t="inlineStr">
        <is>
          <t>bazaar；dynamicRandomReward；itemReforge</t>
        </is>
      </c>
      <c r="N177" s="8" t="n">
        <v>1</v>
      </c>
      <c r="O177" s="9" t="inlineStr">
        <is>
          <t>周期触发</t>
        </is>
      </c>
      <c r="P177" s="9" t="inlineStr">
        <is>
          <t>periodicPulse</t>
        </is>
      </c>
      <c r="Q177" s="9" t="inlineStr">
        <is>
          <t>周期触发：对敌方造成 6 点伤害，使用 2 次；对敌方造成 9 点伤害，使用 2 次；对敌方造成 12 点伤害，使用 2 次；对敌方造成 15 点伤害，使用 2 次</t>
        </is>
      </c>
      <c r="R177" s="9" t="inlineStr"/>
      <c r="S177" s="9" t="inlineStr">
        <is>
          <t>两柄短剑交错成形，银锋上刻着细密符铭，冷光收束在剑脊间，适合近身破禁。</t>
        </is>
      </c>
      <c r="T177" s="8" t="inlineStr">
        <is>
          <t>implement_batch11_010_2x2</t>
        </is>
      </c>
      <c r="U177" s="8" t="inlineStr">
        <is>
          <t>allowed</t>
        </is>
      </c>
    </row>
    <row r="178" ht="34" customHeight="1">
      <c r="A178" s="8" t="n">
        <v>177</v>
      </c>
      <c r="B178" s="8" t="n">
        <v>400044</v>
      </c>
      <c r="C178" s="8" t="inlineStr">
        <is>
          <t>木索胸甲</t>
        </is>
      </c>
      <c r="D178" s="8" t="inlineStr">
        <is>
          <t>法器</t>
        </is>
      </c>
      <c r="E178" s="8" t="inlineStr">
        <is>
          <t>implement</t>
        </is>
      </c>
      <c r="F178" s="8" t="inlineStr">
        <is>
          <t>common</t>
        </is>
      </c>
      <c r="G178" s="8" t="inlineStr">
        <is>
          <t>木</t>
        </is>
      </c>
      <c r="H178" s="8" t="inlineStr">
        <is>
          <t>wood</t>
        </is>
      </c>
      <c r="I178" s="8" t="inlineStr">
        <is>
          <t>2×2</t>
        </is>
      </c>
      <c r="J178" s="8" t="n">
        <v>4</v>
      </c>
      <c r="K178" s="8" t="n">
        <v>10</v>
      </c>
      <c r="L178" s="8" t="inlineStr">
        <is>
          <t>是</t>
        </is>
      </c>
      <c r="M178" s="9" t="inlineStr">
        <is>
          <t>bazaar；dynamicRandomReward；itemReforge</t>
        </is>
      </c>
      <c r="N178" s="8" t="n">
        <v>1</v>
      </c>
      <c r="O178" s="9" t="inlineStr">
        <is>
          <t>被动效果</t>
        </is>
      </c>
      <c r="P178" s="9" t="inlineStr">
        <is>
          <t>passive</t>
        </is>
      </c>
      <c r="Q178" s="9" t="inlineStr">
        <is>
          <t>被动效果：每有 1 个相邻法器，法力上限 +5；每有 1 个相邻法器，法力上限 +10；每有 1 个相邻法器，法力上限 +15；每有 1 个相邻法器，法力上限 +20</t>
        </is>
      </c>
      <c r="R178" s="9" t="inlineStr"/>
      <c r="S178" s="9" t="inlineStr">
        <is>
          <t>木片与粗绳绑缚成的原始护胸，质感粗粝。</t>
        </is>
      </c>
      <c r="T178" s="8" t="inlineStr">
        <is>
          <t>implement_wood_rope_chest_armor_2x2</t>
        </is>
      </c>
      <c r="U178" s="8" t="inlineStr">
        <is>
          <t>allowed</t>
        </is>
      </c>
    </row>
    <row r="179" ht="34" customHeight="1">
      <c r="A179" s="8" t="n">
        <v>178</v>
      </c>
      <c r="B179" s="8" t="n">
        <v>400045</v>
      </c>
      <c r="C179" s="8" t="inlineStr">
        <is>
          <t>青竹灵剑</t>
        </is>
      </c>
      <c r="D179" s="8" t="inlineStr">
        <is>
          <t>法器</t>
        </is>
      </c>
      <c r="E179" s="8" t="inlineStr">
        <is>
          <t>implement</t>
        </is>
      </c>
      <c r="F179" s="8" t="inlineStr">
        <is>
          <t>common</t>
        </is>
      </c>
      <c r="G179" s="8" t="inlineStr">
        <is>
          <t>木</t>
        </is>
      </c>
      <c r="H179" s="8" t="inlineStr">
        <is>
          <t>wood</t>
        </is>
      </c>
      <c r="I179" s="8" t="inlineStr">
        <is>
          <t>1×3</t>
        </is>
      </c>
      <c r="J179" s="8" t="n">
        <v>3</v>
      </c>
      <c r="K179" s="8" t="n">
        <v>12</v>
      </c>
      <c r="L179" s="8" t="inlineStr">
        <is>
          <t>是</t>
        </is>
      </c>
      <c r="M179" s="9" t="inlineStr">
        <is>
          <t>bazaar；dynamicRandomReward；itemReforge</t>
        </is>
      </c>
      <c r="N179" s="8" t="n">
        <v>1</v>
      </c>
      <c r="O179" s="9" t="inlineStr">
        <is>
          <t>周期触发</t>
        </is>
      </c>
      <c r="P179" s="9" t="inlineStr">
        <is>
          <t>periodicPulse</t>
        </is>
      </c>
      <c r="Q179" s="9" t="inlineStr">
        <is>
          <t>周期触发：每有 1 个相邻招式，对敌方造成 3 点伤害；每有 1 个相邻招式，对敌方造成 4 点伤害；每有 1 个相邻招式，对敌方造成 5 点伤害；每有 1 个相邻招式，对敌方造成 6 点伤害</t>
        </is>
      </c>
      <c r="R179" s="9" t="inlineStr"/>
      <c r="S179" s="9" t="inlineStr">
        <is>
          <t>一柄细长竹剑通体青翠，竹节清晰，锋意轻灵又带山林清气。</t>
        </is>
      </c>
      <c r="T179" s="8" t="inlineStr">
        <is>
          <t>implement_bamboo_spirit_sword_1x3</t>
        </is>
      </c>
      <c r="U179" s="8" t="inlineStr">
        <is>
          <t>allowed</t>
        </is>
      </c>
    </row>
    <row r="180" ht="34" customHeight="1">
      <c r="A180" s="8" t="n">
        <v>179</v>
      </c>
      <c r="B180" s="8" t="n">
        <v>400046</v>
      </c>
      <c r="C180" s="8" t="inlineStr">
        <is>
          <t>蓝灵护心佩</t>
        </is>
      </c>
      <c r="D180" s="8" t="inlineStr">
        <is>
          <t>法器</t>
        </is>
      </c>
      <c r="E180" s="8" t="inlineStr">
        <is>
          <t>implement</t>
        </is>
      </c>
      <c r="F180" s="8" t="inlineStr">
        <is>
          <t>common</t>
        </is>
      </c>
      <c r="G180" s="8" t="inlineStr">
        <is>
          <t>水</t>
        </is>
      </c>
      <c r="H180" s="8" t="inlineStr">
        <is>
          <t>water</t>
        </is>
      </c>
      <c r="I180" s="8" t="inlineStr">
        <is>
          <t>1×1</t>
        </is>
      </c>
      <c r="J180" s="8" t="n">
        <v>1</v>
      </c>
      <c r="K180" s="8" t="n">
        <v>5</v>
      </c>
      <c r="L180" s="8" t="inlineStr">
        <is>
          <t>是</t>
        </is>
      </c>
      <c r="M180" s="9" t="inlineStr">
        <is>
          <t>bazaar；dynamicRandomReward；itemReforge</t>
        </is>
      </c>
      <c r="N180" s="8" t="n">
        <v>1</v>
      </c>
      <c r="O180" s="9" t="inlineStr">
        <is>
          <t>被动效果</t>
        </is>
      </c>
      <c r="P180" s="9" t="inlineStr">
        <is>
          <t>passive</t>
        </is>
      </c>
      <c r="Q180" s="9" t="inlineStr">
        <is>
          <t>被动效果：每有 1 个相邻防具，护甲上限 +2；每有 1 个相邻防具，护甲上限 +4；每有 1 个相邻防具，护甲上限 +6；每有 1 个相邻防具，护甲上限 +8</t>
        </is>
      </c>
      <c r="R180" s="9" t="inlineStr"/>
      <c r="S180" s="9" t="inlineStr">
        <is>
          <t>黑银镶边椭圆玉佩，中央嵌澄蓝灵石</t>
        </is>
      </c>
      <c r="T180" s="8" t="inlineStr">
        <is>
          <t>implement_blueheart_pendant_1x1</t>
        </is>
      </c>
      <c r="U180" s="8" t="inlineStr">
        <is>
          <t>allowed</t>
        </is>
      </c>
    </row>
    <row r="181" ht="34" customHeight="1">
      <c r="A181" s="8" t="n">
        <v>180</v>
      </c>
      <c r="B181" s="8" t="n">
        <v>400047</v>
      </c>
      <c r="C181" s="8" t="inlineStr">
        <is>
          <t>清水陶珠</t>
        </is>
      </c>
      <c r="D181" s="8" t="inlineStr">
        <is>
          <t>法器</t>
        </is>
      </c>
      <c r="E181" s="8" t="inlineStr">
        <is>
          <t>implement</t>
        </is>
      </c>
      <c r="F181" s="8" t="inlineStr">
        <is>
          <t>common</t>
        </is>
      </c>
      <c r="G181" s="8" t="inlineStr">
        <is>
          <t>水</t>
        </is>
      </c>
      <c r="H181" s="8" t="inlineStr">
        <is>
          <t>water</t>
        </is>
      </c>
      <c r="I181" s="8" t="inlineStr">
        <is>
          <t>1×1</t>
        </is>
      </c>
      <c r="J181" s="8" t="n">
        <v>1</v>
      </c>
      <c r="K181" s="8" t="n">
        <v>8</v>
      </c>
      <c r="L181" s="8" t="inlineStr">
        <is>
          <t>是</t>
        </is>
      </c>
      <c r="M181" s="9" t="inlineStr">
        <is>
          <t>bazaar；dynamicRandomReward；itemReforge</t>
        </is>
      </c>
      <c r="N181" s="8" t="n">
        <v>1</v>
      </c>
      <c r="O181" s="9" t="inlineStr">
        <is>
          <t>周期触发</t>
        </is>
      </c>
      <c r="P181" s="9" t="inlineStr">
        <is>
          <t>periodicPulse</t>
        </is>
      </c>
      <c r="Q181" s="9" t="inlineStr">
        <is>
          <t>周期触发：获得 1 层露水；获得 2 层露水；获得 3 层露水；获得 4 层露水</t>
        </is>
      </c>
      <c r="R181" s="9" t="inlineStr"/>
      <c r="S181" s="9" t="inlineStr">
        <is>
          <t>一枚浅蓝陶珠带着窑烧留下的细小斑点，珠面只凝着一滴未落的清水。</t>
        </is>
      </c>
      <c r="T181" s="8" t="inlineStr">
        <is>
          <t>implement_plain_water_pottery_bead_1x1</t>
        </is>
      </c>
      <c r="U181" s="8" t="inlineStr">
        <is>
          <t>allowed</t>
        </is>
      </c>
    </row>
    <row r="182" ht="34" customHeight="1">
      <c r="A182" s="8" t="n">
        <v>181</v>
      </c>
      <c r="B182" s="8" t="n">
        <v>400048</v>
      </c>
      <c r="C182" s="8" t="inlineStr">
        <is>
          <t>黄铜聚气铃</t>
        </is>
      </c>
      <c r="D182" s="8" t="inlineStr">
        <is>
          <t>法器</t>
        </is>
      </c>
      <c r="E182" s="8" t="inlineStr">
        <is>
          <t>implement</t>
        </is>
      </c>
      <c r="F182" s="8" t="inlineStr">
        <is>
          <t>common</t>
        </is>
      </c>
      <c r="G182" s="8" t="inlineStr">
        <is>
          <t>金</t>
        </is>
      </c>
      <c r="H182" s="8" t="inlineStr">
        <is>
          <t>metal</t>
        </is>
      </c>
      <c r="I182" s="8" t="inlineStr">
        <is>
          <t>1×1</t>
        </is>
      </c>
      <c r="J182" s="8" t="n">
        <v>1</v>
      </c>
      <c r="K182" s="8" t="n">
        <v>8</v>
      </c>
      <c r="L182" s="8" t="inlineStr">
        <is>
          <t>是</t>
        </is>
      </c>
      <c r="M182" s="9" t="inlineStr">
        <is>
          <t>bazaar；dynamicRandomReward；itemReforge</t>
        </is>
      </c>
      <c r="N182" s="8" t="n">
        <v>1</v>
      </c>
      <c r="O182" s="9" t="inlineStr">
        <is>
          <t>周期触发</t>
        </is>
      </c>
      <c r="P182" s="9" t="inlineStr">
        <is>
          <t>periodicPulse</t>
        </is>
      </c>
      <c r="Q182" s="9" t="inlineStr">
        <is>
          <t>周期触发：获得 1 层凝金；获得 2 层凝金；获得 3 层凝金；获得 4 层凝金</t>
        </is>
      </c>
      <c r="R182" s="9" t="inlineStr"/>
      <c r="S182" s="9" t="inlineStr">
        <is>
          <t>薄黄铜片敲成的小铃留着一道浅刻线，铃口有些旧痕，轻晃时只发出低低一声。</t>
        </is>
      </c>
      <c r="T182" s="8" t="inlineStr">
        <is>
          <t>implement_worn_brass_qi_bell_1x1</t>
        </is>
      </c>
      <c r="U182" s="8" t="inlineStr">
        <is>
          <t>allowed</t>
        </is>
      </c>
    </row>
    <row r="183" ht="34" customHeight="1">
      <c r="A183" s="8" t="n">
        <v>182</v>
      </c>
      <c r="B183" s="8" t="n">
        <v>400049</v>
      </c>
      <c r="C183" s="8" t="inlineStr">
        <is>
          <t>云篆封灵石印</t>
        </is>
      </c>
      <c r="D183" s="8" t="inlineStr">
        <is>
          <t>法器</t>
        </is>
      </c>
      <c r="E183" s="8" t="inlineStr">
        <is>
          <t>implement</t>
        </is>
      </c>
      <c r="F183" s="8" t="inlineStr">
        <is>
          <t>spirit</t>
        </is>
      </c>
      <c r="G183" s="8" t="inlineStr">
        <is>
          <t>土</t>
        </is>
      </c>
      <c r="H183" s="8" t="inlineStr">
        <is>
          <t>earth</t>
        </is>
      </c>
      <c r="I183" s="8" t="inlineStr">
        <is>
          <t>1×1</t>
        </is>
      </c>
      <c r="J183" s="8" t="n">
        <v>1</v>
      </c>
      <c r="K183" s="8" t="n">
        <v>100</v>
      </c>
      <c r="L183" s="8" t="inlineStr">
        <is>
          <t>是</t>
        </is>
      </c>
      <c r="M183" s="9" t="inlineStr">
        <is>
          <t>bazaar；dynamicRandomReward；itemReforge</t>
        </is>
      </c>
      <c r="N183" s="8" t="n">
        <v>1</v>
      </c>
      <c r="O183" s="9" t="inlineStr">
        <is>
          <t>条件触发</t>
        </is>
      </c>
      <c r="P183" s="9" t="inlineStr">
        <is>
          <t>triggered</t>
        </is>
      </c>
      <c r="Q183" s="9" t="inlineStr">
        <is>
          <t>条件触发：相邻道具使用时，获得 20 点修为；相邻道具使用时，获得 40 点修为；相邻道具使用时，获得 60 点修为；相邻道具使用时，获得 80 点修为</t>
        </is>
      </c>
      <c r="R183" s="9" t="inlineStr"/>
      <c r="S183" s="9" t="inlineStr">
        <is>
          <t>圆润石印刻满云纹古篆，符线温黄，像秘境遗留的封印信物。</t>
        </is>
      </c>
      <c r="T183" s="8" t="inlineStr">
        <is>
          <t>formation_cloudscript_seal_1x1</t>
        </is>
      </c>
      <c r="U183" s="8" t="inlineStr">
        <is>
          <t>allowed</t>
        </is>
      </c>
    </row>
    <row r="184" ht="34" customHeight="1">
      <c r="A184" s="8" t="n">
        <v>183</v>
      </c>
      <c r="B184" s="8" t="n">
        <v>400050</v>
      </c>
      <c r="C184" s="8" t="inlineStr">
        <is>
          <t>年轮木符</t>
        </is>
      </c>
      <c r="D184" s="8" t="inlineStr">
        <is>
          <t>法器</t>
        </is>
      </c>
      <c r="E184" s="8" t="inlineStr">
        <is>
          <t>implement</t>
        </is>
      </c>
      <c r="F184" s="8" t="inlineStr">
        <is>
          <t>spirit</t>
        </is>
      </c>
      <c r="G184" s="8" t="inlineStr">
        <is>
          <t>木</t>
        </is>
      </c>
      <c r="H184" s="8" t="inlineStr">
        <is>
          <t>wood</t>
        </is>
      </c>
      <c r="I184" s="8" t="inlineStr">
        <is>
          <t>1×1</t>
        </is>
      </c>
      <c r="J184" s="8" t="n">
        <v>1</v>
      </c>
      <c r="K184" s="8" t="n">
        <v>100</v>
      </c>
      <c r="L184" s="8" t="inlineStr">
        <is>
          <t>是</t>
        </is>
      </c>
      <c r="M184" s="9" t="inlineStr">
        <is>
          <t>bazaar；dynamicRandomReward；itemReforge</t>
        </is>
      </c>
      <c r="N184" s="8" t="n">
        <v>1</v>
      </c>
      <c r="O184" s="9" t="inlineStr">
        <is>
          <t>条件触发</t>
        </is>
      </c>
      <c r="P184" s="9" t="inlineStr">
        <is>
          <t>triggered</t>
        </is>
      </c>
      <c r="Q184" s="9" t="inlineStr">
        <is>
          <t>条件触发：每当相邻道具使用时，随机恢复总共 20 点气血、体力或法力；每当相邻道具使用时，随机恢复总共 40 点气血、体力或法力；每当相邻道具使用时，随机恢复总共 60 点气血、体力或法力；每当相邻道具使用时，随机恢复总共 80 点气血、体力或法力</t>
        </is>
      </c>
      <c r="R184" s="9" t="inlineStr"/>
      <c r="S184" s="9" t="inlineStr">
        <is>
          <t>方形木符中央露出年轮纹心，木面厚实，像可镇宅或辟邪的木制符牌。</t>
        </is>
      </c>
      <c r="T184" s="8" t="inlineStr">
        <is>
          <t>formation_tree_ring_wood_talisman_f2306v1_1x1</t>
        </is>
      </c>
      <c r="U184" s="8" t="inlineStr">
        <is>
          <t>allowed</t>
        </is>
      </c>
    </row>
    <row r="185" ht="34" customHeight="1">
      <c r="A185" s="8" t="n">
        <v>184</v>
      </c>
      <c r="B185" s="8" t="n">
        <v>400051</v>
      </c>
      <c r="C185" s="8" t="inlineStr">
        <is>
          <t>碧纱护面</t>
        </is>
      </c>
      <c r="D185" s="8" t="inlineStr">
        <is>
          <t>法器</t>
        </is>
      </c>
      <c r="E185" s="8" t="inlineStr">
        <is>
          <t>implement</t>
        </is>
      </c>
      <c r="F185" s="8" t="inlineStr">
        <is>
          <t>common</t>
        </is>
      </c>
      <c r="G185" s="8" t="inlineStr">
        <is>
          <t>土</t>
        </is>
      </c>
      <c r="H185" s="8" t="inlineStr">
        <is>
          <t>earth</t>
        </is>
      </c>
      <c r="I185" s="8" t="inlineStr">
        <is>
          <t>2×2</t>
        </is>
      </c>
      <c r="J185" s="8" t="n">
        <v>4</v>
      </c>
      <c r="K185" s="8" t="n">
        <v>20</v>
      </c>
      <c r="L185" s="8" t="inlineStr">
        <is>
          <t>是</t>
        </is>
      </c>
      <c r="M185" s="9" t="inlineStr">
        <is>
          <t>bazaar；dynamicRandomReward；itemReforge</t>
        </is>
      </c>
      <c r="N185" s="8" t="n">
        <v>1</v>
      </c>
      <c r="O185" s="9" t="inlineStr">
        <is>
          <t>周期触发</t>
        </is>
      </c>
      <c r="P185" s="9" t="inlineStr">
        <is>
          <t>periodicPulse</t>
        </is>
      </c>
      <c r="Q185" s="9" t="inlineStr">
        <is>
          <t>周期触发：将 3 层蓄势转化为 9 点护甲；将 4 层蓄势转化为 12 点护甲；将 5 层蓄势转化为 15 点护甲；将 6 层蓄势转化为 18 点护甲</t>
        </is>
      </c>
      <c r="R185" s="9" t="inlineStr"/>
      <c r="S185" s="9" t="inlineStr">
        <is>
          <t>青碧罩纱与银纹面甲结合，像遮面护具。</t>
        </is>
      </c>
      <c r="T185" s="8" t="inlineStr">
        <is>
          <t>implement_veilguard_face_armor_2x2</t>
        </is>
      </c>
      <c r="U185" s="8" t="inlineStr">
        <is>
          <t>allowed</t>
        </is>
      </c>
    </row>
    <row r="186" ht="34" customHeight="1">
      <c r="A186" s="8" t="n">
        <v>185</v>
      </c>
      <c r="B186" s="8" t="n">
        <v>400052</v>
      </c>
      <c r="C186" s="8" t="inlineStr">
        <is>
          <t>青纹玉佩</t>
        </is>
      </c>
      <c r="D186" s="8" t="inlineStr">
        <is>
          <t>法器</t>
        </is>
      </c>
      <c r="E186" s="8" t="inlineStr">
        <is>
          <t>implement</t>
        </is>
      </c>
      <c r="F186" s="8" t="inlineStr">
        <is>
          <t>common</t>
        </is>
      </c>
      <c r="G186" s="8" t="inlineStr">
        <is>
          <t>木</t>
        </is>
      </c>
      <c r="H186" s="8" t="inlineStr">
        <is>
          <t>wood</t>
        </is>
      </c>
      <c r="I186" s="8" t="inlineStr">
        <is>
          <t>1×1</t>
        </is>
      </c>
      <c r="J186" s="8" t="n">
        <v>1</v>
      </c>
      <c r="K186" s="8" t="n">
        <v>5</v>
      </c>
      <c r="L186" s="8" t="inlineStr">
        <is>
          <t>是</t>
        </is>
      </c>
      <c r="M186" s="9" t="inlineStr">
        <is>
          <t>bazaar；dynamicRandomReward；itemReforge</t>
        </is>
      </c>
      <c r="N186" s="8" t="n">
        <v>1</v>
      </c>
      <c r="O186" s="9" t="inlineStr">
        <is>
          <t>条件触发</t>
        </is>
      </c>
      <c r="P186" s="9" t="inlineStr">
        <is>
          <t>triggered</t>
        </is>
      </c>
      <c r="Q186" s="9" t="inlineStr">
        <is>
          <t>条件触发：上方相邻木属性招式使用时，恢复 10 点法力；上方相邻木属性招式使用时，恢复 12 点法力；上方相邻木属性招式使用时，恢复 14 点法力；上方相邻木属性招式使用时，恢复 16 点法力</t>
        </is>
      </c>
      <c r="R186" s="9" t="inlineStr"/>
      <c r="S186" s="9" t="inlineStr">
        <is>
          <t>翠玉佩饰纹理简雅，带有护身与养灵兼具的古风饰器感。</t>
        </is>
      </c>
      <c r="T186" s="8" t="inlineStr">
        <is>
          <t>implement_verdant_jade_pendant_1x1</t>
        </is>
      </c>
      <c r="U186" s="8" t="inlineStr">
        <is>
          <t>allowed</t>
        </is>
      </c>
    </row>
    <row r="187" ht="34" customHeight="1">
      <c r="A187" s="8" t="n">
        <v>186</v>
      </c>
      <c r="B187" s="8" t="n">
        <v>400053</v>
      </c>
      <c r="C187" s="8" t="inlineStr">
        <is>
          <t>木叶灵环</t>
        </is>
      </c>
      <c r="D187" s="8" t="inlineStr">
        <is>
          <t>法器</t>
        </is>
      </c>
      <c r="E187" s="8" t="inlineStr">
        <is>
          <t>implement</t>
        </is>
      </c>
      <c r="F187" s="8" t="inlineStr">
        <is>
          <t>common</t>
        </is>
      </c>
      <c r="G187" s="8" t="inlineStr">
        <is>
          <t>无</t>
        </is>
      </c>
      <c r="H187" s="8" t="inlineStr">
        <is>
          <t>none</t>
        </is>
      </c>
      <c r="I187" s="8" t="inlineStr">
        <is>
          <t>1×1</t>
        </is>
      </c>
      <c r="J187" s="8" t="n">
        <v>1</v>
      </c>
      <c r="K187" s="8" t="n">
        <v>30</v>
      </c>
      <c r="L187" s="8" t="inlineStr">
        <is>
          <t>是</t>
        </is>
      </c>
      <c r="M187" s="9" t="inlineStr">
        <is>
          <t>bazaar；dynamicRandomReward；itemReforge</t>
        </is>
      </c>
      <c r="N187" s="8" t="n">
        <v>1</v>
      </c>
      <c r="O187" s="9" t="inlineStr">
        <is>
          <t>条件触发</t>
        </is>
      </c>
      <c r="P187" s="9" t="inlineStr">
        <is>
          <t>triggered</t>
        </is>
      </c>
      <c r="Q187" s="9" t="inlineStr">
        <is>
          <t>条件触发：累计使用 6 次木属性道具后，获得 3 层再生；累计使用 6 次木属性道具后，获得 6 层再生；累计使用 6 次木属性道具后，获得 9 层再生；累计使用 6 次木属性道具后，获得 12 层再生</t>
        </is>
      </c>
      <c r="R187" s="9" t="inlineStr"/>
      <c r="S187" s="9" t="inlineStr">
        <is>
          <t>木质圆环雕有叶纹，气息轻灵，适合木行辅修之物。</t>
        </is>
      </c>
      <c r="T187" s="8" t="inlineStr">
        <is>
          <t>implement_leafcarved_ring_1x1</t>
        </is>
      </c>
      <c r="U187" s="8" t="inlineStr">
        <is>
          <t>allowed</t>
        </is>
      </c>
    </row>
    <row r="188" ht="34" customHeight="1">
      <c r="A188" s="8" t="n">
        <v>187</v>
      </c>
      <c r="B188" s="8" t="n">
        <v>400054</v>
      </c>
      <c r="C188" s="8" t="inlineStr">
        <is>
          <t>锈锋镇轮剑</t>
        </is>
      </c>
      <c r="D188" s="8" t="inlineStr">
        <is>
          <t>法器</t>
        </is>
      </c>
      <c r="E188" s="8" t="inlineStr">
        <is>
          <t>implement</t>
        </is>
      </c>
      <c r="F188" s="8" t="inlineStr">
        <is>
          <t>spirit</t>
        </is>
      </c>
      <c r="G188" s="8" t="inlineStr">
        <is>
          <t>金</t>
        </is>
      </c>
      <c r="H188" s="8" t="inlineStr">
        <is>
          <t>metal</t>
        </is>
      </c>
      <c r="I188" s="8" t="inlineStr">
        <is>
          <t>1×3</t>
        </is>
      </c>
      <c r="J188" s="8" t="n">
        <v>3</v>
      </c>
      <c r="K188" s="8" t="n">
        <v>100</v>
      </c>
      <c r="L188" s="8" t="inlineStr">
        <is>
          <t>是</t>
        </is>
      </c>
      <c r="M188" s="9" t="inlineStr">
        <is>
          <t>bazaar；dynamicRandomReward；itemReforge</t>
        </is>
      </c>
      <c r="N188" s="8" t="n">
        <v>1</v>
      </c>
      <c r="O188" s="9" t="inlineStr">
        <is>
          <t>周期触发</t>
        </is>
      </c>
      <c r="P188" s="9" t="inlineStr">
        <is>
          <t>periodicPulse</t>
        </is>
      </c>
      <c r="Q188" s="9" t="inlineStr">
        <is>
          <t>周期触发：使下方相邻道具加速 4 秒，获得 12 层敏捷；使下方相邻道具加速 5 秒，获得 12 层敏捷；使下方相邻道具加速 6 秒，获得 12 层敏捷；使下方相邻道具加速 7 秒，获得 12 层敏捷</t>
        </is>
      </c>
      <c r="R188" s="9" t="inlineStr"/>
      <c r="S188" s="9" t="inlineStr">
        <is>
          <t>三尺旧剑锈痕沉暗，剑脊上压着止轮纹，近旁法器的灵机都会短暂停涩。</t>
        </is>
      </c>
      <c r="T188" s="8" t="inlineStr">
        <is>
          <t>implement_cloudcrest_jade_sword_1x3</t>
        </is>
      </c>
      <c r="U188" s="8" t="inlineStr">
        <is>
          <t>allowed</t>
        </is>
      </c>
    </row>
    <row r="189" ht="34" customHeight="1">
      <c r="A189" s="8" t="n">
        <v>188</v>
      </c>
      <c r="B189" s="8" t="n">
        <v>400055</v>
      </c>
      <c r="C189" s="8" t="inlineStr">
        <is>
          <t>炎纹聚法佩</t>
        </is>
      </c>
      <c r="D189" s="8" t="inlineStr">
        <is>
          <t>法器</t>
        </is>
      </c>
      <c r="E189" s="8" t="inlineStr">
        <is>
          <t>implement</t>
        </is>
      </c>
      <c r="F189" s="8" t="inlineStr">
        <is>
          <t>common</t>
        </is>
      </c>
      <c r="G189" s="8" t="inlineStr">
        <is>
          <t>火</t>
        </is>
      </c>
      <c r="H189" s="8" t="inlineStr">
        <is>
          <t>fire</t>
        </is>
      </c>
      <c r="I189" s="8" t="inlineStr">
        <is>
          <t>1×1</t>
        </is>
      </c>
      <c r="J189" s="8" t="n">
        <v>1</v>
      </c>
      <c r="K189" s="8" t="n">
        <v>30</v>
      </c>
      <c r="L189" s="8" t="inlineStr">
        <is>
          <t>是</t>
        </is>
      </c>
      <c r="M189" s="9" t="inlineStr">
        <is>
          <t>bazaar；dynamicRandomReward；itemReforge</t>
        </is>
      </c>
      <c r="N189" s="8" t="n">
        <v>1</v>
      </c>
      <c r="O189" s="9" t="inlineStr">
        <is>
          <t>周期触发</t>
        </is>
      </c>
      <c r="P189" s="9" t="inlineStr">
        <is>
          <t>periodicPulse</t>
        </is>
      </c>
      <c r="Q189" s="9" t="inlineStr">
        <is>
          <t>周期触发：将 5 层炎热转化为 10 点法力；将 10 层炎热转化为 20 点法力；将 15 层炎热转化为 30 点法力；将 20 层炎热转化为 40 点法力</t>
        </is>
      </c>
      <c r="R189" s="9" t="inlineStr"/>
      <c r="S189" s="9" t="inlineStr">
        <is>
          <t>金羽片层层护住赤红灵珠，火意被收在珠心，能把过盛炎息转回法力。</t>
        </is>
      </c>
      <c r="T189" s="8" t="inlineStr">
        <is>
          <t>implement_batch10_055_1x1</t>
        </is>
      </c>
      <c r="U189" s="8" t="inlineStr">
        <is>
          <t>allowed</t>
        </is>
      </c>
    </row>
    <row r="190" ht="34" customHeight="1">
      <c r="A190" s="8" t="n">
        <v>189</v>
      </c>
      <c r="B190" s="8" t="n">
        <v>400060</v>
      </c>
      <c r="C190" s="8" t="inlineStr">
        <is>
          <t>炎息护甲</t>
        </is>
      </c>
      <c r="D190" s="8" t="inlineStr">
        <is>
          <t>法器</t>
        </is>
      </c>
      <c r="E190" s="8" t="inlineStr">
        <is>
          <t>implement</t>
        </is>
      </c>
      <c r="F190" s="8" t="inlineStr">
        <is>
          <t>common</t>
        </is>
      </c>
      <c r="G190" s="8" t="inlineStr">
        <is>
          <t>火</t>
        </is>
      </c>
      <c r="H190" s="8" t="inlineStr">
        <is>
          <t>fire</t>
        </is>
      </c>
      <c r="I190" s="8" t="inlineStr">
        <is>
          <t>1×1</t>
        </is>
      </c>
      <c r="J190" s="8" t="n">
        <v>1</v>
      </c>
      <c r="K190" s="8" t="n">
        <v>18</v>
      </c>
      <c r="L190" s="8" t="inlineStr">
        <is>
          <t>是</t>
        </is>
      </c>
      <c r="M190" s="9" t="inlineStr">
        <is>
          <t>bazaar；dynamicRandomReward；itemReforge</t>
        </is>
      </c>
      <c r="N190" s="8" t="n">
        <v>1</v>
      </c>
      <c r="O190" s="9" t="inlineStr">
        <is>
          <t>周期触发</t>
        </is>
      </c>
      <c r="P190" s="9" t="inlineStr">
        <is>
          <t>periodicPulse</t>
        </is>
      </c>
      <c r="Q190" s="9" t="inlineStr">
        <is>
          <t>周期触发：将 4 点体力转化为 4 层炎热；将 6 点体力转化为 6 层炎热；将 8 点体力转化为 8 层炎热；将 10 点体力转化为 10 层炎热</t>
        </is>
      </c>
      <c r="R190" s="9" t="inlineStr"/>
      <c r="S190" s="9" t="inlineStr">
        <is>
          <t>暗红护甲内层藏着蓄热纹，穿戴时会把体力烧成更直白的炎息。</t>
        </is>
      </c>
      <c r="T190" s="8" t="inlineStr">
        <is>
          <t>implement_scale_cuirass_1x1</t>
        </is>
      </c>
      <c r="U190" s="8" t="inlineStr">
        <is>
          <t>allowed</t>
        </is>
      </c>
    </row>
    <row r="191" ht="34" customHeight="1">
      <c r="A191" s="8" t="n">
        <v>190</v>
      </c>
      <c r="B191" s="8" t="n">
        <v>400061</v>
      </c>
      <c r="C191" s="8" t="inlineStr">
        <is>
          <t>澄法珠</t>
        </is>
      </c>
      <c r="D191" s="8" t="inlineStr">
        <is>
          <t>法器</t>
        </is>
      </c>
      <c r="E191" s="8" t="inlineStr">
        <is>
          <t>implement</t>
        </is>
      </c>
      <c r="F191" s="8" t="inlineStr">
        <is>
          <t>common</t>
        </is>
      </c>
      <c r="G191" s="8" t="inlineStr">
        <is>
          <t>水</t>
        </is>
      </c>
      <c r="H191" s="8" t="inlineStr">
        <is>
          <t>water</t>
        </is>
      </c>
      <c r="I191" s="8" t="inlineStr">
        <is>
          <t>1×1</t>
        </is>
      </c>
      <c r="J191" s="8" t="n">
        <v>1</v>
      </c>
      <c r="K191" s="8" t="n">
        <v>8</v>
      </c>
      <c r="L191" s="8" t="inlineStr">
        <is>
          <t>是</t>
        </is>
      </c>
      <c r="M191" s="9" t="inlineStr">
        <is>
          <t>bazaar；dynamicRandomReward；itemReforge</t>
        </is>
      </c>
      <c r="N191" s="8" t="n">
        <v>1</v>
      </c>
      <c r="O191" s="9" t="inlineStr">
        <is>
          <t>周期触发</t>
        </is>
      </c>
      <c r="P191" s="9" t="inlineStr">
        <is>
          <t>periodicPulse</t>
        </is>
      </c>
      <c r="Q191" s="9" t="inlineStr">
        <is>
          <t>周期触发：拥有不少于 6 层露水时，恢复 2 点法力；拥有不少于 6 层露水时，恢复 4 点法力；拥有不少于 6 层露水时，恢复 6 点法力；拥有不少于 6 层露水时，恢复 8 点法力</t>
        </is>
      </c>
      <c r="R191" s="9" t="inlineStr"/>
      <c r="S191" s="9" t="inlineStr">
        <is>
          <t>浅蓝灵珠内水光澄明，法力充盈时才会缓缓吐出回流。</t>
        </is>
      </c>
      <c r="T191" s="8" t="inlineStr">
        <is>
          <t>pill_lotus_guard_pearl_1x1</t>
        </is>
      </c>
      <c r="U191" s="8" t="inlineStr">
        <is>
          <t>allowed</t>
        </is>
      </c>
    </row>
    <row r="192" ht="34" customHeight="1">
      <c r="A192" s="8" t="n">
        <v>191</v>
      </c>
      <c r="B192" s="8" t="n">
        <v>400062</v>
      </c>
      <c r="C192" s="8" t="inlineStr">
        <is>
          <t>壮息护腕</t>
        </is>
      </c>
      <c r="D192" s="8" t="inlineStr">
        <is>
          <t>法器</t>
        </is>
      </c>
      <c r="E192" s="8" t="inlineStr">
        <is>
          <t>implement</t>
        </is>
      </c>
      <c r="F192" s="8" t="inlineStr">
        <is>
          <t>common</t>
        </is>
      </c>
      <c r="G192" s="8" t="inlineStr">
        <is>
          <t>土</t>
        </is>
      </c>
      <c r="H192" s="8" t="inlineStr">
        <is>
          <t>earth</t>
        </is>
      </c>
      <c r="I192" s="8" t="inlineStr">
        <is>
          <t>1×1</t>
        </is>
      </c>
      <c r="J192" s="8" t="n">
        <v>1</v>
      </c>
      <c r="K192" s="8" t="n">
        <v>12</v>
      </c>
      <c r="L192" s="8" t="inlineStr">
        <is>
          <t>是</t>
        </is>
      </c>
      <c r="M192" s="9" t="inlineStr">
        <is>
          <t>bazaar；dynamicRandomReward；itemReforge</t>
        </is>
      </c>
      <c r="N192" s="8" t="n">
        <v>1</v>
      </c>
      <c r="O192" s="9" t="inlineStr">
        <is>
          <t>周期触发</t>
        </is>
      </c>
      <c r="P192" s="9" t="inlineStr">
        <is>
          <t>periodicPulse</t>
        </is>
      </c>
      <c r="Q192" s="9" t="inlineStr">
        <is>
          <t>周期触发：体力不低于 50% 时，恢复 3 点体力；体力不低于 50% 时，恢复 6 点体力；体力不低于 50% 时，恢复 9 点体力；体力不低于 50% 时，恢复 12 点体力</t>
        </is>
      </c>
      <c r="R192" s="9" t="inlineStr"/>
      <c r="S192" s="9" t="inlineStr">
        <is>
          <t>银蓝束腕分成三段云纹甲片，扣上时沉稳贴臂，气血饱满后会把余劲缓缓压回筋骨。</t>
        </is>
      </c>
      <c r="T192" s="8" t="inlineStr">
        <is>
          <t>implement_batch24_039_1x1</t>
        </is>
      </c>
      <c r="U192" s="8" t="inlineStr">
        <is>
          <t>allowed</t>
        </is>
      </c>
    </row>
    <row r="193" ht="34" customHeight="1">
      <c r="A193" s="8" t="n">
        <v>192</v>
      </c>
      <c r="B193" s="8" t="n">
        <v>400063</v>
      </c>
      <c r="C193" s="8" t="inlineStr">
        <is>
          <t>寒火转轮</t>
        </is>
      </c>
      <c r="D193" s="8" t="inlineStr">
        <is>
          <t>法器</t>
        </is>
      </c>
      <c r="E193" s="8" t="inlineStr">
        <is>
          <t>implement</t>
        </is>
      </c>
      <c r="F193" s="8" t="inlineStr">
        <is>
          <t>common</t>
        </is>
      </c>
      <c r="G193" s="8" t="inlineStr">
        <is>
          <t>火</t>
        </is>
      </c>
      <c r="H193" s="8" t="inlineStr">
        <is>
          <t>fire</t>
        </is>
      </c>
      <c r="I193" s="8" t="inlineStr">
        <is>
          <t>1×1</t>
        </is>
      </c>
      <c r="J193" s="8" t="n">
        <v>1</v>
      </c>
      <c r="K193" s="8" t="n">
        <v>50</v>
      </c>
      <c r="L193" s="8" t="inlineStr">
        <is>
          <t>是</t>
        </is>
      </c>
      <c r="M193" s="9" t="inlineStr">
        <is>
          <t>bazaar；dynamicRandomReward；itemReforge</t>
        </is>
      </c>
      <c r="N193" s="8" t="n">
        <v>1</v>
      </c>
      <c r="O193" s="9" t="inlineStr">
        <is>
          <t>周期触发</t>
        </is>
      </c>
      <c r="P193" s="9" t="inlineStr">
        <is>
          <t>periodicPulse</t>
        </is>
      </c>
      <c r="Q193" s="9" t="inlineStr">
        <is>
          <t>周期触发：将所有寒冷转化为相同层数的炎热，寒冷层数为 0 时，将所有炎热转化为相同层数的寒冷</t>
        </is>
      </c>
      <c r="R193" s="9" t="inlineStr"/>
      <c r="S193" s="9" t="inlineStr">
        <is>
          <t>半冷半赤的轮盘缓慢咬合，能把积寒碾碎后转成炎热。</t>
        </is>
      </c>
      <c r="T193" s="8" t="inlineStr">
        <is>
          <t>implement_astral_spike_wheel_1x1</t>
        </is>
      </c>
      <c r="U193" s="8" t="inlineStr">
        <is>
          <t>allowed</t>
        </is>
      </c>
    </row>
    <row r="194" ht="34" customHeight="1">
      <c r="A194" s="8" t="n">
        <v>193</v>
      </c>
      <c r="B194" s="8" t="n">
        <v>400064</v>
      </c>
      <c r="C194" s="8" t="inlineStr">
        <is>
          <t>重寒转轮</t>
        </is>
      </c>
      <c r="D194" s="8" t="inlineStr">
        <is>
          <t>法器</t>
        </is>
      </c>
      <c r="E194" s="8" t="inlineStr">
        <is>
          <t>implement</t>
        </is>
      </c>
      <c r="F194" s="8" t="inlineStr">
        <is>
          <t>common</t>
        </is>
      </c>
      <c r="G194" s="8" t="inlineStr">
        <is>
          <t>水</t>
        </is>
      </c>
      <c r="H194" s="8" t="inlineStr">
        <is>
          <t>water</t>
        </is>
      </c>
      <c r="I194" s="8" t="inlineStr">
        <is>
          <t>1×1</t>
        </is>
      </c>
      <c r="J194" s="8" t="n">
        <v>1</v>
      </c>
      <c r="K194" s="8" t="n">
        <v>10</v>
      </c>
      <c r="L194" s="8" t="inlineStr">
        <is>
          <t>是</t>
        </is>
      </c>
      <c r="M194" s="9" t="inlineStr">
        <is>
          <t>bazaar；dynamicRandomReward；itemReforge</t>
        </is>
      </c>
      <c r="N194" s="8" t="n">
        <v>1</v>
      </c>
      <c r="O194" s="9" t="inlineStr">
        <is>
          <t>周期触发</t>
        </is>
      </c>
      <c r="P194" s="9" t="inlineStr">
        <is>
          <t>periodicPulse</t>
        </is>
      </c>
      <c r="Q194" s="9" t="inlineStr">
        <is>
          <t>周期触发：最多将 10 层蓄势转化为等量寒冷</t>
        </is>
      </c>
      <c r="R194" s="9" t="inlineStr"/>
      <c r="S194" s="9" t="inlineStr">
        <is>
          <t>沉旧的铁轮边缘结着薄霜，轮心的铆钉已有锈色，转起来时带出一阵冷风。</t>
        </is>
      </c>
      <c r="T194" s="8" t="inlineStr">
        <is>
          <t>implement_heavy_cold_wheel_1x1</t>
        </is>
      </c>
      <c r="U194" s="8" t="inlineStr">
        <is>
          <t>allowed</t>
        </is>
      </c>
    </row>
    <row r="195" ht="34" customHeight="1">
      <c r="A195" s="8" t="n">
        <v>194</v>
      </c>
      <c r="B195" s="8" t="n">
        <v>400065</v>
      </c>
      <c r="C195" s="8" t="inlineStr">
        <is>
          <t>沉甲纹带</t>
        </is>
      </c>
      <c r="D195" s="8" t="inlineStr">
        <is>
          <t>法器</t>
        </is>
      </c>
      <c r="E195" s="8" t="inlineStr">
        <is>
          <t>implement</t>
        </is>
      </c>
      <c r="F195" s="8" t="inlineStr">
        <is>
          <t>common</t>
        </is>
      </c>
      <c r="G195" s="8" t="inlineStr">
        <is>
          <t>土</t>
        </is>
      </c>
      <c r="H195" s="8" t="inlineStr">
        <is>
          <t>earth</t>
        </is>
      </c>
      <c r="I195" s="8" t="inlineStr">
        <is>
          <t>1×1</t>
        </is>
      </c>
      <c r="J195" s="8" t="n">
        <v>1</v>
      </c>
      <c r="K195" s="8" t="n">
        <v>12</v>
      </c>
      <c r="L195" s="8" t="inlineStr">
        <is>
          <t>是</t>
        </is>
      </c>
      <c r="M195" s="9" t="inlineStr">
        <is>
          <t>bazaar；dynamicRandomReward；itemReforge</t>
        </is>
      </c>
      <c r="N195" s="8" t="n">
        <v>1</v>
      </c>
      <c r="O195" s="9" t="inlineStr">
        <is>
          <t>周期触发</t>
        </is>
      </c>
      <c r="P195" s="9" t="inlineStr">
        <is>
          <t>periodicPulse</t>
        </is>
      </c>
      <c r="Q195" s="9" t="inlineStr">
        <is>
          <t>周期触发：每有 3 层蓄势，使上方相邻装备获得 0.1 秒加速（最多计算 30 层）；每有 3 层蓄势，使上方相邻装备获得 0.2 秒加速（最多计算 30 层）；每有 3 层蓄势，使上方相邻装备获得 0.3 秒加速（最多计算 30 层）；每有 3 层蓄势，使上方相邻装备获得 0.4 秒加速（最多计算 30 层）</t>
        </is>
      </c>
      <c r="R195" s="9" t="inlineStr"/>
      <c r="S195" s="9" t="inlineStr">
        <is>
          <t>厚重纹带像一截土色甲片，沉重越深，越能催动成套护具的轮转。</t>
        </is>
      </c>
      <c r="T195" s="8" t="inlineStr">
        <is>
          <t>implement_cloudlock_belt_1x1</t>
        </is>
      </c>
      <c r="U195" s="8" t="inlineStr">
        <is>
          <t>allowed</t>
        </is>
      </c>
    </row>
    <row r="196" ht="34" customHeight="1">
      <c r="A196" s="8" t="n">
        <v>195</v>
      </c>
      <c r="B196" s="8" t="n">
        <v>400066</v>
      </c>
      <c r="C196" s="8" t="inlineStr">
        <is>
          <t>延运玉圭</t>
        </is>
      </c>
      <c r="D196" s="8" t="inlineStr">
        <is>
          <t>法器</t>
        </is>
      </c>
      <c r="E196" s="8" t="inlineStr">
        <is>
          <t>implement</t>
        </is>
      </c>
      <c r="F196" s="8" t="inlineStr">
        <is>
          <t>common</t>
        </is>
      </c>
      <c r="G196" s="8" t="inlineStr">
        <is>
          <t>无</t>
        </is>
      </c>
      <c r="H196" s="8" t="inlineStr">
        <is>
          <t>none</t>
        </is>
      </c>
      <c r="I196" s="8" t="inlineStr">
        <is>
          <t>1×1</t>
        </is>
      </c>
      <c r="J196" s="8" t="n">
        <v>1</v>
      </c>
      <c r="K196" s="8" t="n">
        <v>18</v>
      </c>
      <c r="L196" s="8" t="inlineStr">
        <is>
          <t>是</t>
        </is>
      </c>
      <c r="M196" s="9" t="inlineStr">
        <is>
          <t>bazaar；dynamicRandomReward；itemReforge</t>
        </is>
      </c>
      <c r="N196" s="8" t="n">
        <v>1</v>
      </c>
      <c r="O196" s="9" t="inlineStr">
        <is>
          <t>条件触发</t>
        </is>
      </c>
      <c r="P196" s="9" t="inlineStr">
        <is>
          <t>triggered</t>
        </is>
      </c>
      <c r="Q196" s="9" t="inlineStr">
        <is>
          <t>条件触发：战斗结束时，每有 1 种属性满值，获得 6 点机缘；战斗结束时，每有 1 种属性满值，获得 8 点机缘；战斗结束时，每有 1 种属性满值，获得 11 点机缘；战斗结束时，每有 1 种属性满值，获得 13 点机缘</t>
        </is>
      </c>
      <c r="R196" s="9" t="inlineStr"/>
      <c r="S196" s="9" t="inlineStr">
        <is>
          <t>白玉小圭上刻着细密灵纹，诸项属性越充盈，越能替功法突破省下门槛。</t>
        </is>
      </c>
      <c r="T196" s="8" t="inlineStr">
        <is>
          <t>implement_white_jade_seal_box_f2611v1_1x1</t>
        </is>
      </c>
      <c r="U196" s="8" t="inlineStr">
        <is>
          <t>allowed</t>
        </is>
      </c>
    </row>
    <row r="197" ht="34" customHeight="1">
      <c r="A197" s="8" t="n">
        <v>196</v>
      </c>
      <c r="B197" s="8" t="n">
        <v>400067</v>
      </c>
      <c r="C197" s="8" t="inlineStr">
        <is>
          <t>青运木刃</t>
        </is>
      </c>
      <c r="D197" s="8" t="inlineStr">
        <is>
          <t>法器</t>
        </is>
      </c>
      <c r="E197" s="8" t="inlineStr">
        <is>
          <t>implement</t>
        </is>
      </c>
      <c r="F197" s="8" t="inlineStr">
        <is>
          <t>common</t>
        </is>
      </c>
      <c r="G197" s="8" t="inlineStr">
        <is>
          <t>木</t>
        </is>
      </c>
      <c r="H197" s="8" t="inlineStr">
        <is>
          <t>wood</t>
        </is>
      </c>
      <c r="I197" s="8" t="inlineStr">
        <is>
          <t>1×3</t>
        </is>
      </c>
      <c r="J197" s="8" t="n">
        <v>3</v>
      </c>
      <c r="K197" s="8" t="n">
        <v>25</v>
      </c>
      <c r="L197" s="8" t="inlineStr">
        <is>
          <t>是</t>
        </is>
      </c>
      <c r="M197" s="9" t="inlineStr">
        <is>
          <t>bazaar；dynamicRandomReward；itemReforge</t>
        </is>
      </c>
      <c r="N197" s="8" t="n">
        <v>1</v>
      </c>
      <c r="O197" s="9" t="inlineStr">
        <is>
          <t>周期触发</t>
        </is>
      </c>
      <c r="P197" s="9" t="inlineStr">
        <is>
          <t>periodicPulse</t>
        </is>
      </c>
      <c r="Q197" s="9" t="inlineStr">
        <is>
          <t>周期触发：对敌方造成 3 点伤害，且有 50% 几率获得 3 层再生；对敌方造成 6 点伤害，且有 60% 几率获得 4 层再生；对敌方造成 9 点伤害，且有 70% 几率获得 5 层再生；对敌方造成 12 点伤害，且有 80% 几率获得 6 层再生</t>
        </is>
      </c>
      <c r="R197" s="9" t="inlineStr"/>
      <c r="S197" s="9" t="inlineStr">
        <is>
          <t>木质短刃青纹细密，运势被刃口牵动时会析出一缕温润灵气。</t>
        </is>
      </c>
      <c r="T197" s="8" t="inlineStr">
        <is>
          <t>implement_taiji_gilded_sword_1x3</t>
        </is>
      </c>
      <c r="U197" s="8" t="inlineStr">
        <is>
          <t>allowed</t>
        </is>
      </c>
    </row>
    <row r="198" ht="34" customHeight="1">
      <c r="A198" s="8" t="n">
        <v>197</v>
      </c>
      <c r="B198" s="8" t="n">
        <v>400068</v>
      </c>
      <c r="C198" s="8" t="inlineStr">
        <is>
          <t>凝金算筹佩</t>
        </is>
      </c>
      <c r="D198" s="8" t="inlineStr">
        <is>
          <t>法器</t>
        </is>
      </c>
      <c r="E198" s="8" t="inlineStr">
        <is>
          <t>implement</t>
        </is>
      </c>
      <c r="F198" s="8" t="inlineStr">
        <is>
          <t>common</t>
        </is>
      </c>
      <c r="G198" s="8" t="inlineStr">
        <is>
          <t>金</t>
        </is>
      </c>
      <c r="H198" s="8" t="inlineStr">
        <is>
          <t>metal</t>
        </is>
      </c>
      <c r="I198" s="8" t="inlineStr">
        <is>
          <t>1×1</t>
        </is>
      </c>
      <c r="J198" s="8" t="n">
        <v>1</v>
      </c>
      <c r="K198" s="8" t="n">
        <v>15</v>
      </c>
      <c r="L198" s="8" t="inlineStr">
        <is>
          <t>是</t>
        </is>
      </c>
      <c r="M198" s="9" t="inlineStr">
        <is>
          <t>bazaar；dynamicRandomReward；itemReforge</t>
        </is>
      </c>
      <c r="N198" s="8" t="n">
        <v>1</v>
      </c>
      <c r="O198" s="9" t="inlineStr">
        <is>
          <t>周期触发</t>
        </is>
      </c>
      <c r="P198" s="9" t="inlineStr">
        <is>
          <t>periodicPulse</t>
        </is>
      </c>
      <c r="Q198" s="9" t="inlineStr">
        <is>
          <t>周期触发：每有 1 层凝金，对敌人造成 1 点伤害</t>
        </is>
      </c>
      <c r="R198" s="9" t="inlineStr"/>
      <c r="S198" s="9" t="inlineStr">
        <is>
          <t>金边玉佩嵌着细小算筹纹，凝金之气越盛，算筹灵纹引出的锋芒越强。</t>
        </is>
      </c>
      <c r="T198" s="8" t="inlineStr">
        <is>
          <t>implement_amethyst_astro_disk_1x1</t>
        </is>
      </c>
      <c r="U198" s="8" t="inlineStr">
        <is>
          <t>allowed</t>
        </is>
      </c>
    </row>
    <row r="199" ht="34" customHeight="1">
      <c r="A199" s="8" t="n">
        <v>198</v>
      </c>
      <c r="B199" s="8" t="n">
        <v>400071</v>
      </c>
      <c r="C199" s="8" t="inlineStr">
        <is>
          <t>金魄照心镜</t>
        </is>
      </c>
      <c r="D199" s="8" t="inlineStr">
        <is>
          <t>法器</t>
        </is>
      </c>
      <c r="E199" s="8" t="inlineStr">
        <is>
          <t>implement</t>
        </is>
      </c>
      <c r="F199" s="8" t="inlineStr">
        <is>
          <t>common</t>
        </is>
      </c>
      <c r="G199" s="8" t="inlineStr">
        <is>
          <t>金</t>
        </is>
      </c>
      <c r="H199" s="8" t="inlineStr">
        <is>
          <t>metal</t>
        </is>
      </c>
      <c r="I199" s="8" t="inlineStr">
        <is>
          <t>1×1</t>
        </is>
      </c>
      <c r="J199" s="8" t="n">
        <v>1</v>
      </c>
      <c r="K199" s="8" t="n">
        <v>15</v>
      </c>
      <c r="L199" s="8" t="inlineStr">
        <is>
          <t>是</t>
        </is>
      </c>
      <c r="M199" s="9" t="inlineStr">
        <is>
          <t>bazaar；dynamicRandomReward；itemReforge</t>
        </is>
      </c>
      <c r="N199" s="8" t="n">
        <v>1</v>
      </c>
      <c r="O199" s="9" t="inlineStr">
        <is>
          <t>周期触发</t>
        </is>
      </c>
      <c r="P199" s="9" t="inlineStr">
        <is>
          <t>periodicPulse</t>
        </is>
      </c>
      <c r="Q199" s="9" t="inlineStr">
        <is>
          <t>周期触发：最多将 6 层凝金转化为等量法力；最多将 12 层凝金转化为等量法力；最多将 18 层凝金转化为等量法力；最多将 24 层凝金转化为等量法力</t>
        </is>
      </c>
      <c r="R199" s="9" t="inlineStr"/>
      <c r="S199" s="9" t="inlineStr">
        <is>
          <t>金纹圆镜内敛锋芒，镜面不照形貌，只映出心念里最细的一线光。</t>
        </is>
      </c>
      <c r="T199" s="8" t="inlineStr">
        <is>
          <t>implement_beaded_magic_mirror_1x1</t>
        </is>
      </c>
      <c r="U199" s="8" t="inlineStr">
        <is>
          <t>allowed</t>
        </is>
      </c>
    </row>
    <row r="200" ht="34" customHeight="1">
      <c r="A200" s="8" t="n">
        <v>199</v>
      </c>
      <c r="B200" s="8" t="n">
        <v>400072</v>
      </c>
      <c r="C200" s="8" t="inlineStr">
        <is>
          <t>大活血石</t>
        </is>
      </c>
      <c r="D200" s="8" t="inlineStr">
        <is>
          <t>法器</t>
        </is>
      </c>
      <c r="E200" s="8" t="inlineStr">
        <is>
          <t>implement</t>
        </is>
      </c>
      <c r="F200" s="8" t="inlineStr">
        <is>
          <t>common</t>
        </is>
      </c>
      <c r="G200" s="8" t="inlineStr">
        <is>
          <t>无</t>
        </is>
      </c>
      <c r="H200" s="8" t="inlineStr">
        <is>
          <t>none</t>
        </is>
      </c>
      <c r="I200" s="8" t="inlineStr">
        <is>
          <t>1×1</t>
        </is>
      </c>
      <c r="J200" s="8" t="n">
        <v>1</v>
      </c>
      <c r="K200" s="8" t="n">
        <v>6</v>
      </c>
      <c r="L200" s="8" t="inlineStr">
        <is>
          <t>是</t>
        </is>
      </c>
      <c r="M200" s="9" t="inlineStr">
        <is>
          <t>bazaar；dynamicRandomReward；itemReforge</t>
        </is>
      </c>
      <c r="N200" s="8" t="n">
        <v>1</v>
      </c>
      <c r="O200" s="9" t="inlineStr">
        <is>
          <t>周期触发</t>
        </is>
      </c>
      <c r="P200" s="9" t="inlineStr">
        <is>
          <t>periodicPulse</t>
        </is>
      </c>
      <c r="Q200" s="9" t="inlineStr">
        <is>
          <t>周期触发：体力低于 40% 时，恢复 2 点体力；体力低于 40% 时，恢复 3 点体力；体力低于 40% 时，恢复 4 点体力；体力低于 40% 时，恢复 5 点体力</t>
        </is>
      </c>
      <c r="R200" s="9" t="inlineStr"/>
      <c r="S200" s="9" t="inlineStr">
        <is>
          <t>青符纹路像细雨入脉，符面常有微凉水意，贴近时筋骨慢慢松开。</t>
        </is>
      </c>
      <c r="T200" s="8" t="inlineStr">
        <is>
          <t>implement_carved_spirit_talisman_1x1</t>
        </is>
      </c>
      <c r="U200" s="8" t="inlineStr">
        <is>
          <t>allowed</t>
        </is>
      </c>
    </row>
    <row r="201" ht="34" customHeight="1">
      <c r="A201" s="8" t="n">
        <v>200</v>
      </c>
      <c r="B201" s="8" t="n">
        <v>400073</v>
      </c>
      <c r="C201" s="8" t="inlineStr">
        <is>
          <t>折缘钱母</t>
        </is>
      </c>
      <c r="D201" s="8" t="inlineStr">
        <is>
          <t>法器</t>
        </is>
      </c>
      <c r="E201" s="8" t="inlineStr">
        <is>
          <t>implement</t>
        </is>
      </c>
      <c r="F201" s="8" t="inlineStr">
        <is>
          <t>common</t>
        </is>
      </c>
      <c r="G201" s="8" t="inlineStr">
        <is>
          <t>金</t>
        </is>
      </c>
      <c r="H201" s="8" t="inlineStr">
        <is>
          <t>metal</t>
        </is>
      </c>
      <c r="I201" s="8" t="inlineStr">
        <is>
          <t>1×1</t>
        </is>
      </c>
      <c r="J201" s="8" t="n">
        <v>1</v>
      </c>
      <c r="K201" s="8" t="n">
        <v>15</v>
      </c>
      <c r="L201" s="8" t="inlineStr">
        <is>
          <t>是</t>
        </is>
      </c>
      <c r="M201" s="9" t="inlineStr">
        <is>
          <t>bazaar；dynamicRandomReward；itemReforge</t>
        </is>
      </c>
      <c r="N201" s="8" t="n">
        <v>1</v>
      </c>
      <c r="O201" s="9" t="inlineStr">
        <is>
          <t>周期触发</t>
        </is>
      </c>
      <c r="P201" s="9" t="inlineStr">
        <is>
          <t>periodicPulse</t>
        </is>
      </c>
      <c r="Q201" s="9" t="inlineStr">
        <is>
          <t>周期触发：将 1 点机缘转化为 2 点修为；将 2 点机缘转化为 4 点修为；将 3 点机缘转化为 6 点修为；将 4 点机缘转化为 8 点修为</t>
        </is>
      </c>
      <c r="R201" s="9" t="inlineStr"/>
      <c r="S201" s="9" t="inlineStr">
        <is>
          <t>黑玉钱环内侧刻着细密缘纹，每次轻转都像把一段机缘压成可炼化的灵气。</t>
        </is>
      </c>
      <c r="T201" s="8" t="inlineStr">
        <is>
          <t>implement_obsidian_coin_ring_1x1</t>
        </is>
      </c>
      <c r="U201" s="8" t="inlineStr">
        <is>
          <t>allowed</t>
        </is>
      </c>
    </row>
    <row r="202" ht="34" customHeight="1">
      <c r="A202" s="8" t="n">
        <v>201</v>
      </c>
      <c r="B202" s="8" t="n">
        <v>400074</v>
      </c>
      <c r="C202" s="8" t="inlineStr">
        <is>
          <t>问路铜钱</t>
        </is>
      </c>
      <c r="D202" s="8" t="inlineStr">
        <is>
          <t>法器</t>
        </is>
      </c>
      <c r="E202" s="8" t="inlineStr">
        <is>
          <t>implement</t>
        </is>
      </c>
      <c r="F202" s="8" t="inlineStr">
        <is>
          <t>common</t>
        </is>
      </c>
      <c r="G202" s="8" t="inlineStr">
        <is>
          <t>土</t>
        </is>
      </c>
      <c r="H202" s="8" t="inlineStr">
        <is>
          <t>earth</t>
        </is>
      </c>
      <c r="I202" s="8" t="inlineStr">
        <is>
          <t>1×1</t>
        </is>
      </c>
      <c r="J202" s="8" t="n">
        <v>1</v>
      </c>
      <c r="K202" s="8" t="n">
        <v>5</v>
      </c>
      <c r="L202" s="8" t="inlineStr">
        <is>
          <t>是</t>
        </is>
      </c>
      <c r="M202" s="9" t="inlineStr">
        <is>
          <t>bazaar；dynamicRandomReward；itemReforge</t>
        </is>
      </c>
      <c r="N202" s="8" t="n">
        <v>1</v>
      </c>
      <c r="O202" s="9" t="inlineStr">
        <is>
          <t>周期触发</t>
        </is>
      </c>
      <c r="P202" s="9" t="inlineStr">
        <is>
          <t>periodicPulse</t>
        </is>
      </c>
      <c r="Q202" s="9" t="inlineStr">
        <is>
          <t>周期触发：将 2 块灵石转化为 10 点修为；将 4 块灵石转化为 20 点修为；将 6 块灵石转化为 30 点修为；将 8 块灵石转化为 40 点修为</t>
        </is>
      </c>
      <c r="R202" s="9" t="inlineStr"/>
      <c r="S202" s="9" t="inlineStr">
        <is>
          <t>圆钱覆着山纹旧绿，掷落时会轻轻一偏，像替人指向一条不太显眼的岔路。</t>
        </is>
      </c>
      <c r="T202" s="8" t="inlineStr">
        <is>
          <t>material_mountain_warding_coin_1x1</t>
        </is>
      </c>
      <c r="U202" s="8" t="inlineStr">
        <is>
          <t>allowed</t>
        </is>
      </c>
    </row>
    <row r="203" ht="34" customHeight="1">
      <c r="A203" s="8" t="n">
        <v>202</v>
      </c>
      <c r="B203" s="8" t="n">
        <v>400075</v>
      </c>
      <c r="C203" s="8" t="inlineStr">
        <is>
          <t>燃石法炉</t>
        </is>
      </c>
      <c r="D203" s="8" t="inlineStr">
        <is>
          <t>法器</t>
        </is>
      </c>
      <c r="E203" s="8" t="inlineStr">
        <is>
          <t>implement</t>
        </is>
      </c>
      <c r="F203" s="8" t="inlineStr">
        <is>
          <t>common</t>
        </is>
      </c>
      <c r="G203" s="8" t="inlineStr">
        <is>
          <t>火</t>
        </is>
      </c>
      <c r="H203" s="8" t="inlineStr">
        <is>
          <t>fire</t>
        </is>
      </c>
      <c r="I203" s="8" t="inlineStr">
        <is>
          <t>2×2</t>
        </is>
      </c>
      <c r="J203" s="8" t="n">
        <v>4</v>
      </c>
      <c r="K203" s="8" t="n">
        <v>20</v>
      </c>
      <c r="L203" s="8" t="inlineStr">
        <is>
          <t>是</t>
        </is>
      </c>
      <c r="M203" s="9" t="inlineStr">
        <is>
          <t>bazaar；dynamicRandomReward；itemReforge</t>
        </is>
      </c>
      <c r="N203" s="8" t="n">
        <v>1</v>
      </c>
      <c r="O203" s="9" t="inlineStr">
        <is>
          <t>周期触发</t>
        </is>
      </c>
      <c r="P203" s="9" t="inlineStr">
        <is>
          <t>periodicPulse</t>
        </is>
      </c>
      <c r="Q203" s="9" t="inlineStr">
        <is>
          <t>周期触发：将 4 块灵石转化为 30 点法力；将 8 块灵石转化为 60 点法力；将 12 块灵石转化为 90 点法力；将 16 块灵石转化为 120 点法力</t>
        </is>
      </c>
      <c r="R203" s="9" t="inlineStr"/>
      <c r="S203" s="9" t="inlineStr">
        <is>
          <t>小炉炉壁厚实，灵石投入后炉心只起一线青焰，慢慢把石中灵息炼成可用法力。</t>
        </is>
      </c>
      <c r="T203" s="8" t="inlineStr">
        <is>
          <t>implement_common_alchemy_furnace_2x2</t>
        </is>
      </c>
      <c r="U203" s="8" t="inlineStr">
        <is>
          <t>allowed</t>
        </is>
      </c>
    </row>
    <row r="204" ht="34" customHeight="1">
      <c r="A204" s="8" t="n">
        <v>203</v>
      </c>
      <c r="B204" s="8" t="n">
        <v>400076</v>
      </c>
      <c r="C204" s="8" t="inlineStr">
        <is>
          <t>借运签筒</t>
        </is>
      </c>
      <c r="D204" s="8" t="inlineStr">
        <is>
          <t>法器</t>
        </is>
      </c>
      <c r="E204" s="8" t="inlineStr">
        <is>
          <t>implement</t>
        </is>
      </c>
      <c r="F204" s="8" t="inlineStr">
        <is>
          <t>common</t>
        </is>
      </c>
      <c r="G204" s="8" t="inlineStr">
        <is>
          <t>木</t>
        </is>
      </c>
      <c r="H204" s="8" t="inlineStr">
        <is>
          <t>wood</t>
        </is>
      </c>
      <c r="I204" s="8" t="inlineStr">
        <is>
          <t>1×2</t>
        </is>
      </c>
      <c r="J204" s="8" t="n">
        <v>2</v>
      </c>
      <c r="K204" s="8" t="n">
        <v>8</v>
      </c>
      <c r="L204" s="8" t="inlineStr">
        <is>
          <t>是</t>
        </is>
      </c>
      <c r="M204" s="9" t="inlineStr">
        <is>
          <t>bazaar；dynamicRandomReward；itemReforge</t>
        </is>
      </c>
      <c r="N204" s="8" t="n">
        <v>1</v>
      </c>
      <c r="O204" s="9" t="inlineStr">
        <is>
          <t>周期触发</t>
        </is>
      </c>
      <c r="P204" s="9" t="inlineStr">
        <is>
          <t>periodicPulse</t>
        </is>
      </c>
      <c r="Q204" s="9" t="inlineStr">
        <is>
          <t>周期触发：开局：有 25% 的概率为所有己方道具施加加速效果，持续 3 秒；开局：有 30% 的概率为所有己方道具施加加速效果，持续 3 秒；开局：有 35% 的概率为所有己方道具施加加速效果，持续 3 秒；开局：有 40% 的概率为所有己方道具施加加速效果，持续 3 秒</t>
        </is>
      </c>
      <c r="R204" s="9" t="inlineStr"/>
      <c r="S204" s="9" t="inlineStr">
        <is>
          <t>竹签静立筒中，签头一点朱砂若隐若现，像在等一段机缘换来片刻顺风。</t>
        </is>
      </c>
      <c r="T204" s="8" t="inlineStr">
        <is>
          <t>implement_divination_stick_basket_f2614v1_1x2</t>
        </is>
      </c>
      <c r="U204" s="8" t="inlineStr">
        <is>
          <t>allowed</t>
        </is>
      </c>
    </row>
    <row r="205" ht="34" customHeight="1">
      <c r="A205" s="8" t="n">
        <v>204</v>
      </c>
      <c r="B205" s="8" t="n">
        <v>400077</v>
      </c>
      <c r="C205" s="8" t="inlineStr">
        <is>
          <t>照念回灵珠</t>
        </is>
      </c>
      <c r="D205" s="8" t="inlineStr">
        <is>
          <t>法器</t>
        </is>
      </c>
      <c r="E205" s="8" t="inlineStr">
        <is>
          <t>implement</t>
        </is>
      </c>
      <c r="F205" s="8" t="inlineStr">
        <is>
          <t>common</t>
        </is>
      </c>
      <c r="G205" s="8" t="inlineStr">
        <is>
          <t>水</t>
        </is>
      </c>
      <c r="H205" s="8" t="inlineStr">
        <is>
          <t>water</t>
        </is>
      </c>
      <c r="I205" s="8" t="inlineStr">
        <is>
          <t>1×1</t>
        </is>
      </c>
      <c r="J205" s="8" t="n">
        <v>1</v>
      </c>
      <c r="K205" s="8" t="n">
        <v>10</v>
      </c>
      <c r="L205" s="8" t="inlineStr">
        <is>
          <t>是</t>
        </is>
      </c>
      <c r="M205" s="9" t="inlineStr">
        <is>
          <t>bazaar；dynamicRandomReward；itemReforge</t>
        </is>
      </c>
      <c r="N205" s="8" t="n">
        <v>1</v>
      </c>
      <c r="O205" s="9" t="inlineStr">
        <is>
          <t>周期触发</t>
        </is>
      </c>
      <c r="P205" s="9" t="inlineStr">
        <is>
          <t>periodicPulse</t>
        </is>
      </c>
      <c r="Q205" s="9" t="inlineStr">
        <is>
          <t>周期触发：开局：获得 2 层露水、2 层闪避、2 层再生；开局：获得 3 层露水、3 层闪避、3 层再生；开局：获得 4 层露水、4 层闪避、4 层再生；开局：获得 5 层露水、5 层闪避、5 层再生</t>
        </is>
      </c>
      <c r="R205" s="9" t="inlineStr"/>
      <c r="S205" s="9" t="inlineStr">
        <is>
          <t>青白灵珠内有一点静光，握在掌心时念头沉下，余光缓缓回入法脉。</t>
        </is>
      </c>
      <c r="T205" s="8" t="inlineStr">
        <is>
          <t>material_starlight_spirit_pearl_1x1</t>
        </is>
      </c>
      <c r="U205" s="8" t="inlineStr">
        <is>
          <t>allowed</t>
        </is>
      </c>
    </row>
    <row r="206" ht="34" customHeight="1">
      <c r="A206" s="8" t="n">
        <v>205</v>
      </c>
      <c r="B206" s="8" t="n">
        <v>400078</v>
      </c>
      <c r="C206" s="8" t="inlineStr">
        <is>
          <t>窥缘灵目镜</t>
        </is>
      </c>
      <c r="D206" s="8" t="inlineStr">
        <is>
          <t>法器</t>
        </is>
      </c>
      <c r="E206" s="8" t="inlineStr">
        <is>
          <t>implement</t>
        </is>
      </c>
      <c r="F206" s="8" t="inlineStr">
        <is>
          <t>common</t>
        </is>
      </c>
      <c r="G206" s="8" t="inlineStr">
        <is>
          <t>金</t>
        </is>
      </c>
      <c r="H206" s="8" t="inlineStr">
        <is>
          <t>metal</t>
        </is>
      </c>
      <c r="I206" s="8" t="inlineStr">
        <is>
          <t>1×1</t>
        </is>
      </c>
      <c r="J206" s="8" t="n">
        <v>1</v>
      </c>
      <c r="K206" s="8" t="n">
        <v>18</v>
      </c>
      <c r="L206" s="8" t="inlineStr">
        <is>
          <t>是</t>
        </is>
      </c>
      <c r="M206" s="9" t="inlineStr">
        <is>
          <t>bazaar；dynamicRandomReward；itemReforge</t>
        </is>
      </c>
      <c r="N206" s="8" t="n">
        <v>1</v>
      </c>
      <c r="O206" s="9" t="inlineStr">
        <is>
          <t>周期触发</t>
        </is>
      </c>
      <c r="P206" s="9" t="inlineStr">
        <is>
          <t>periodicPulse</t>
        </is>
      </c>
      <c r="Q206" s="9" t="inlineStr">
        <is>
          <t>周期触发：开局：使敌方一件最大道具冻结 1 秒；开局：使敌方一件最大道具冻结 2 秒；开局：使敌方一件最大道具冻结 3 秒；开局：使敌方一件最大道具冻结 4 秒</t>
        </is>
      </c>
      <c r="R206" s="9" t="inlineStr"/>
      <c r="S206" s="9" t="inlineStr">
        <is>
          <t>镜面泛着浅蓝涟光，凝神看去时，远处细碎灵机在镜中一闪而过。</t>
        </is>
      </c>
      <c r="T206" s="8" t="inlineStr">
        <is>
          <t>implement_celestial_disc_mirror_1x1</t>
        </is>
      </c>
      <c r="U206" s="8" t="inlineStr">
        <is>
          <t>allowed</t>
        </is>
      </c>
    </row>
    <row r="207" ht="34" customHeight="1">
      <c r="A207" s="8" t="n">
        <v>206</v>
      </c>
      <c r="B207" s="8" t="n">
        <v>400079</v>
      </c>
      <c r="C207" s="8" t="inlineStr">
        <is>
          <t>断脉残碑</t>
        </is>
      </c>
      <c r="D207" s="8" t="inlineStr">
        <is>
          <t>法器</t>
        </is>
      </c>
      <c r="E207" s="8" t="inlineStr">
        <is>
          <t>implement</t>
        </is>
      </c>
      <c r="F207" s="8" t="inlineStr">
        <is>
          <t>common</t>
        </is>
      </c>
      <c r="G207" s="8" t="inlineStr">
        <is>
          <t>土</t>
        </is>
      </c>
      <c r="H207" s="8" t="inlineStr">
        <is>
          <t>earth</t>
        </is>
      </c>
      <c r="I207" s="8" t="inlineStr">
        <is>
          <t>1×2</t>
        </is>
      </c>
      <c r="J207" s="8" t="n">
        <v>2</v>
      </c>
      <c r="K207" s="8" t="n">
        <v>10</v>
      </c>
      <c r="L207" s="8" t="inlineStr">
        <is>
          <t>是</t>
        </is>
      </c>
      <c r="M207" s="9" t="inlineStr">
        <is>
          <t>bazaar；dynamicRandomReward；itemReforge</t>
        </is>
      </c>
      <c r="N207" s="8" t="n">
        <v>1</v>
      </c>
      <c r="O207" s="9" t="inlineStr">
        <is>
          <t>条件触发</t>
        </is>
      </c>
      <c r="P207" s="9" t="inlineStr">
        <is>
          <t>triggered</t>
        </is>
      </c>
      <c r="Q207" s="9" t="inlineStr">
        <is>
          <t>条件触发：当敌方气血首次低于 50% 时，对其造成 10 点伤害；当敌方气血首次低于 60% 时，对其造成 15 点伤害；当敌方气血首次低于 70% 时，对其造成 20 点伤害；当敌方气血首次低于 80% 时，对其造成 25 点伤害</t>
        </is>
      </c>
      <c r="R207" s="9" t="inlineStr"/>
      <c r="S207" s="9" t="inlineStr">
        <is>
          <t>灰褐残碑裂纹纵横，半环血纹沉在石面，久经风沙仍透出一瞬断绝气机的冷硬。</t>
        </is>
      </c>
      <c r="T207" s="8" t="inlineStr">
        <is>
          <t>implement_duanmai_stele_1x2</t>
        </is>
      </c>
      <c r="U207" s="8" t="inlineStr">
        <is>
          <t>allowed</t>
        </is>
      </c>
    </row>
    <row r="208" ht="34" customHeight="1">
      <c r="A208" s="8" t="n">
        <v>207</v>
      </c>
      <c r="B208" s="8" t="n">
        <v>400080</v>
      </c>
      <c r="C208" s="8" t="inlineStr">
        <is>
          <t>祭运金钱</t>
        </is>
      </c>
      <c r="D208" s="8" t="inlineStr">
        <is>
          <t>法器</t>
        </is>
      </c>
      <c r="E208" s="8" t="inlineStr">
        <is>
          <t>implement</t>
        </is>
      </c>
      <c r="F208" s="8" t="inlineStr">
        <is>
          <t>common</t>
        </is>
      </c>
      <c r="G208" s="8" t="inlineStr">
        <is>
          <t>金</t>
        </is>
      </c>
      <c r="H208" s="8" t="inlineStr">
        <is>
          <t>metal</t>
        </is>
      </c>
      <c r="I208" s="8" t="inlineStr">
        <is>
          <t>1×1</t>
        </is>
      </c>
      <c r="J208" s="8" t="n">
        <v>1</v>
      </c>
      <c r="K208" s="8" t="n">
        <v>10</v>
      </c>
      <c r="L208" s="8" t="inlineStr">
        <is>
          <t>是</t>
        </is>
      </c>
      <c r="M208" s="9" t="inlineStr">
        <is>
          <t>bazaar；dynamicRandomReward；itemReforge</t>
        </is>
      </c>
      <c r="N208" s="8" t="n">
        <v>1</v>
      </c>
      <c r="O208" s="9" t="inlineStr">
        <is>
          <t>周期触发</t>
        </is>
      </c>
      <c r="P208" s="9" t="inlineStr">
        <is>
          <t>periodicPulse</t>
        </is>
      </c>
      <c r="Q208" s="9" t="inlineStr">
        <is>
          <t>周期触发：将 1 块灵石转化为 2 点机缘；将 2 块灵石转化为 4 点机缘；将 3 块灵石转化为 6 点机缘；将 4 块灵石转化为 8 点机缘</t>
        </is>
      </c>
      <c r="R208" s="9" t="inlineStr"/>
      <c r="S208" s="9" t="inlineStr">
        <is>
          <t>金钱边缘有细密祭纹，投入灵石后钱面微亮，像把财气暂时借作运势。</t>
        </is>
      </c>
      <c r="T208" s="8" t="inlineStr">
        <is>
          <t>material_kunyuan_coin_1x1</t>
        </is>
      </c>
      <c r="U208" s="8" t="inlineStr">
        <is>
          <t>allowed</t>
        </is>
      </c>
    </row>
    <row r="209" ht="34" customHeight="1">
      <c r="A209" s="8" t="n">
        <v>208</v>
      </c>
      <c r="B209" s="8" t="n">
        <v>400082</v>
      </c>
      <c r="C209" s="8" t="inlineStr">
        <is>
          <t>清悟滴露盏</t>
        </is>
      </c>
      <c r="D209" s="8" t="inlineStr">
        <is>
          <t>法器</t>
        </is>
      </c>
      <c r="E209" s="8" t="inlineStr">
        <is>
          <t>implement</t>
        </is>
      </c>
      <c r="F209" s="8" t="inlineStr">
        <is>
          <t>common</t>
        </is>
      </c>
      <c r="G209" s="8" t="inlineStr">
        <is>
          <t>水</t>
        </is>
      </c>
      <c r="H209" s="8" t="inlineStr">
        <is>
          <t>water</t>
        </is>
      </c>
      <c r="I209" s="8" t="inlineStr">
        <is>
          <t>1×1</t>
        </is>
      </c>
      <c r="J209" s="8" t="n">
        <v>1</v>
      </c>
      <c r="K209" s="8" t="n">
        <v>6</v>
      </c>
      <c r="L209" s="8" t="inlineStr">
        <is>
          <t>是</t>
        </is>
      </c>
      <c r="M209" s="9" t="inlineStr">
        <is>
          <t>bazaar；dynamicRandomReward；itemReforge</t>
        </is>
      </c>
      <c r="N209" s="8" t="n">
        <v>1</v>
      </c>
      <c r="O209" s="9" t="inlineStr">
        <is>
          <t>周期触发</t>
        </is>
      </c>
      <c r="P209" s="9" t="inlineStr">
        <is>
          <t>periodicPulse</t>
        </is>
      </c>
      <c r="Q209" s="9" t="inlineStr">
        <is>
          <t>周期触发：开局：每有 1 个其他开局道具，获得 1 层露水；开局：每有 1 个其他开局道具，获得 2 层露水；开局：每有 1 个其他开局道具，获得 3 层露水；开局：每有 1 个其他开局道具，获得 4 层露水</t>
        </is>
      </c>
      <c r="R209" s="9" t="inlineStr"/>
      <c r="S209" s="9" t="inlineStr">
        <is>
          <t>青玉小盏常凝一滴露水，悟念落入盏中，便化成润物无声的水意。</t>
        </is>
      </c>
      <c r="T209" s="8" t="inlineStr">
        <is>
          <t>implement_jade_tripod_cup_1x1</t>
        </is>
      </c>
      <c r="U209" s="8" t="inlineStr">
        <is>
          <t>allowed</t>
        </is>
      </c>
    </row>
    <row r="210" ht="34" customHeight="1">
      <c r="A210" s="8" t="n">
        <v>209</v>
      </c>
      <c r="B210" s="8" t="n">
        <v>400083</v>
      </c>
      <c r="C210" s="8" t="inlineStr">
        <is>
          <t>煅火凝石匣</t>
        </is>
      </c>
      <c r="D210" s="8" t="inlineStr">
        <is>
          <t>法器</t>
        </is>
      </c>
      <c r="E210" s="8" t="inlineStr">
        <is>
          <t>implement</t>
        </is>
      </c>
      <c r="F210" s="8" t="inlineStr">
        <is>
          <t>common</t>
        </is>
      </c>
      <c r="G210" s="8" t="inlineStr">
        <is>
          <t>火</t>
        </is>
      </c>
      <c r="H210" s="8" t="inlineStr">
        <is>
          <t>fire</t>
        </is>
      </c>
      <c r="I210" s="8" t="inlineStr">
        <is>
          <t>1×1</t>
        </is>
      </c>
      <c r="J210" s="8" t="n">
        <v>1</v>
      </c>
      <c r="K210" s="8" t="n">
        <v>6</v>
      </c>
      <c r="L210" s="8" t="inlineStr">
        <is>
          <t>是</t>
        </is>
      </c>
      <c r="M210" s="9" t="inlineStr">
        <is>
          <t>bazaar；dynamicRandomReward；itemReforge</t>
        </is>
      </c>
      <c r="N210" s="8" t="n">
        <v>1</v>
      </c>
      <c r="O210" s="9" t="inlineStr">
        <is>
          <t>周期触发</t>
        </is>
      </c>
      <c r="P210" s="9" t="inlineStr">
        <is>
          <t>periodicPulse</t>
        </is>
      </c>
      <c r="Q210" s="9" t="inlineStr">
        <is>
          <t>周期触发：开局：每有 1 个投掷物，获得 1 层炎热；开局：每有 1 个投掷物，获得 2 层炎热；开局：每有 1 个投掷物，获得 3 层炎热；开局：每有 1 个投掷物，获得 4 层炎热</t>
        </is>
      </c>
      <c r="R210" s="9" t="inlineStr"/>
      <c r="S210" s="9" t="inlineStr">
        <is>
          <t>石匣四角嵌着金属护片，盖上火纹如炉膛余烬，收得住灼息也养得住静火。</t>
        </is>
      </c>
      <c r="T210" s="8" t="inlineStr">
        <is>
          <t>implement_carved_jade_casket_f2307v1_1x1</t>
        </is>
      </c>
      <c r="U210" s="8" t="inlineStr">
        <is>
          <t>allowed</t>
        </is>
      </c>
    </row>
    <row r="211" ht="34" customHeight="1">
      <c r="A211" s="8" t="n">
        <v>210</v>
      </c>
      <c r="B211" s="8" t="n">
        <v>400084</v>
      </c>
      <c r="C211" s="8" t="inlineStr">
        <is>
          <t>金纹聚法佩</t>
        </is>
      </c>
      <c r="D211" s="8" t="inlineStr">
        <is>
          <t>法器</t>
        </is>
      </c>
      <c r="E211" s="8" t="inlineStr">
        <is>
          <t>implement</t>
        </is>
      </c>
      <c r="F211" s="8" t="inlineStr">
        <is>
          <t>common</t>
        </is>
      </c>
      <c r="G211" s="8" t="inlineStr">
        <is>
          <t>金</t>
        </is>
      </c>
      <c r="H211" s="8" t="inlineStr">
        <is>
          <t>metal</t>
        </is>
      </c>
      <c r="I211" s="8" t="inlineStr">
        <is>
          <t>1×1</t>
        </is>
      </c>
      <c r="J211" s="8" t="n">
        <v>1</v>
      </c>
      <c r="K211" s="8" t="n">
        <v>6</v>
      </c>
      <c r="L211" s="8" t="inlineStr">
        <is>
          <t>是</t>
        </is>
      </c>
      <c r="M211" s="9" t="inlineStr">
        <is>
          <t>bazaar；dynamicRandomReward；itemReforge</t>
        </is>
      </c>
      <c r="N211" s="8" t="n">
        <v>1</v>
      </c>
      <c r="O211" s="9" t="inlineStr">
        <is>
          <t>被动效果</t>
        </is>
      </c>
      <c r="P211" s="9" t="inlineStr">
        <is>
          <t>passive</t>
        </is>
      </c>
      <c r="Q211" s="9" t="inlineStr">
        <is>
          <t>被动效果：每有 1 个金属性道具，法力上限本局临时 +2；每有 1 个金属性道具，法力上限本局临时 +4；每有 1 个金属性道具，法力上限本局临时 +6；每有 1 个金属性道具，法力上限本局临时 +8</t>
        </is>
      </c>
      <c r="R211" s="9" t="inlineStr"/>
      <c r="S211" s="9" t="inlineStr">
        <is>
          <t>金纹玉佩线条简净，凝金之气入佩后微微发亮，散开的灵息也随之重新聚拢。</t>
        </is>
      </c>
      <c r="T211" s="8" t="inlineStr">
        <is>
          <t>implement_duality_jade_pendant_1x1</t>
        </is>
      </c>
      <c r="U211" s="8" t="inlineStr">
        <is>
          <t>allowed</t>
        </is>
      </c>
    </row>
    <row r="212" ht="34" customHeight="1">
      <c r="A212" s="8" t="n">
        <v>211</v>
      </c>
      <c r="B212" s="8" t="n">
        <v>400085</v>
      </c>
      <c r="C212" s="8" t="inlineStr">
        <is>
          <t>锦绣行囊</t>
        </is>
      </c>
      <c r="D212" s="8" t="inlineStr">
        <is>
          <t>法器</t>
        </is>
      </c>
      <c r="E212" s="8" t="inlineStr">
        <is>
          <t>implement</t>
        </is>
      </c>
      <c r="F212" s="8" t="inlineStr">
        <is>
          <t>common</t>
        </is>
      </c>
      <c r="G212" s="8" t="inlineStr">
        <is>
          <t>无</t>
        </is>
      </c>
      <c r="H212" s="8" t="inlineStr">
        <is>
          <t>none</t>
        </is>
      </c>
      <c r="I212" s="8" t="inlineStr">
        <is>
          <t>1×1</t>
        </is>
      </c>
      <c r="J212" s="8" t="n">
        <v>1</v>
      </c>
      <c r="K212" s="8" t="n">
        <v>6</v>
      </c>
      <c r="L212" s="8" t="inlineStr">
        <is>
          <t>是</t>
        </is>
      </c>
      <c r="M212" s="9" t="inlineStr">
        <is>
          <t>bazaar；dynamicRandomReward；itemReforge</t>
        </is>
      </c>
      <c r="N212" s="8" t="n">
        <v>1</v>
      </c>
      <c r="O212" s="9" t="inlineStr">
        <is>
          <t>条件触发</t>
        </is>
      </c>
      <c r="P212" s="9" t="inlineStr">
        <is>
          <t>triggered</t>
        </is>
      </c>
      <c r="Q212" s="9" t="inlineStr">
        <is>
          <t>条件触发：战斗结束时，获得 3 点机缘；战斗结束时，获得 4 点机缘；战斗结束时，获得 5 点机缘；战斗结束时，获得 6 点机缘</t>
        </is>
      </c>
      <c r="R212" s="9" t="inlineStr"/>
      <c r="S212" s="9" t="inlineStr">
        <is>
          <t>米白束口布袋绘着盘龙纹章，袋口灵光沉稳，像随身封存的一份小补给。</t>
        </is>
      </c>
      <c r="T212" s="8" t="inlineStr">
        <is>
          <t>implement_cosmos_satchel_1x1</t>
        </is>
      </c>
      <c r="U212" s="8" t="inlineStr">
        <is>
          <t>allowed</t>
        </is>
      </c>
    </row>
    <row r="213" ht="34" customHeight="1">
      <c r="A213" s="8" t="n">
        <v>212</v>
      </c>
      <c r="B213" s="8" t="n">
        <v>400086</v>
      </c>
      <c r="C213" s="8" t="inlineStr">
        <is>
          <t>赤橙焰盘</t>
        </is>
      </c>
      <c r="D213" s="8" t="inlineStr">
        <is>
          <t>法器</t>
        </is>
      </c>
      <c r="E213" s="8" t="inlineStr">
        <is>
          <t>implement</t>
        </is>
      </c>
      <c r="F213" s="8" t="inlineStr">
        <is>
          <t>common</t>
        </is>
      </c>
      <c r="G213" s="8" t="inlineStr">
        <is>
          <t>火</t>
        </is>
      </c>
      <c r="H213" s="8" t="inlineStr">
        <is>
          <t>fire</t>
        </is>
      </c>
      <c r="I213" s="8" t="inlineStr">
        <is>
          <t>1×1</t>
        </is>
      </c>
      <c r="J213" s="8" t="n">
        <v>1</v>
      </c>
      <c r="K213" s="8" t="n">
        <v>7</v>
      </c>
      <c r="L213" s="8" t="inlineStr">
        <is>
          <t>是</t>
        </is>
      </c>
      <c r="M213" s="9" t="inlineStr">
        <is>
          <t>bazaar；dynamicRandomReward；itemReforge</t>
        </is>
      </c>
      <c r="N213" s="8" t="n">
        <v>1</v>
      </c>
      <c r="O213" s="9" t="inlineStr">
        <is>
          <t>条件触发</t>
        </is>
      </c>
      <c r="P213" s="9" t="inlineStr">
        <is>
          <t>triggered</t>
        </is>
      </c>
      <c r="Q213" s="9" t="inlineStr">
        <is>
          <t>条件触发：受到伤害时，获得 1 层炎热；受到伤害时，获得 2 层炎热；受到伤害时，获得 3 层炎热；受到伤害时，获得 4 层炎热</t>
        </is>
      </c>
      <c r="R213" s="9" t="inlineStr"/>
      <c r="S213" s="9" t="inlineStr">
        <is>
          <t>赤橙阵盘边缘火纹层叠，受击时盘心焰光回旋，将侵入的劲力化作一缕热息。</t>
        </is>
      </c>
      <c r="T213" s="8" t="inlineStr">
        <is>
          <t>implement_eightpoint_star_mirror_frostveil_1x1</t>
        </is>
      </c>
      <c r="U213" s="8" t="inlineStr">
        <is>
          <t>allowed</t>
        </is>
      </c>
    </row>
    <row r="214" ht="34" customHeight="1">
      <c r="A214" s="8" t="n">
        <v>213</v>
      </c>
      <c r="B214" s="8" t="n">
        <v>400087</v>
      </c>
      <c r="C214" s="8" t="inlineStr">
        <is>
          <t>活血晶石</t>
        </is>
      </c>
      <c r="D214" s="8" t="inlineStr">
        <is>
          <t>法器</t>
        </is>
      </c>
      <c r="E214" s="8" t="inlineStr">
        <is>
          <t>implement</t>
        </is>
      </c>
      <c r="F214" s="8" t="inlineStr">
        <is>
          <t>common</t>
        </is>
      </c>
      <c r="G214" s="8" t="inlineStr">
        <is>
          <t>无</t>
        </is>
      </c>
      <c r="H214" s="8" t="inlineStr">
        <is>
          <t>none</t>
        </is>
      </c>
      <c r="I214" s="8" t="inlineStr">
        <is>
          <t>1×1</t>
        </is>
      </c>
      <c r="J214" s="8" t="n">
        <v>1</v>
      </c>
      <c r="K214" s="8" t="n">
        <v>6</v>
      </c>
      <c r="L214" s="8" t="inlineStr">
        <is>
          <t>是</t>
        </is>
      </c>
      <c r="M214" s="9" t="inlineStr">
        <is>
          <t>bazaar；dynamicRandomReward；itemReforge</t>
        </is>
      </c>
      <c r="N214" s="8" t="n">
        <v>1</v>
      </c>
      <c r="O214" s="9" t="inlineStr">
        <is>
          <t>周期触发</t>
        </is>
      </c>
      <c r="P214" s="9" t="inlineStr">
        <is>
          <t>periodicPulse</t>
        </is>
      </c>
      <c r="Q214" s="9" t="inlineStr">
        <is>
          <t>周期触发：体力低于 20% 时，恢复 6 点体力；体力低于 20% 时，恢复 7 点体力；体力低于 20% 时，恢复 8 点体力；体力低于 20% 时，恢复 9 点体力</t>
        </is>
      </c>
      <c r="R214" s="9" t="inlineStr"/>
      <c r="S214" s="9" t="inlineStr">
        <is>
          <t>褐玉符牌孔纹斑驳，边框嵌着暗金细线，贴身携带时气机缓缓归入丹田。</t>
        </is>
      </c>
      <c r="T214" s="8" t="inlineStr">
        <is>
          <t>implement_pitted_jade_talisman_1x1</t>
        </is>
      </c>
      <c r="U214" s="8" t="inlineStr">
        <is>
          <t>allowed</t>
        </is>
      </c>
    </row>
    <row r="215" ht="34" customHeight="1">
      <c r="A215" s="8" t="n">
        <v>214</v>
      </c>
      <c r="B215" s="8" t="n">
        <v>400088</v>
      </c>
      <c r="C215" s="8" t="inlineStr">
        <is>
          <t>采脉飞爪</t>
        </is>
      </c>
      <c r="D215" s="8" t="inlineStr">
        <is>
          <t>法器</t>
        </is>
      </c>
      <c r="E215" s="8" t="inlineStr">
        <is>
          <t>implement</t>
        </is>
      </c>
      <c r="F215" s="8" t="inlineStr">
        <is>
          <t>common</t>
        </is>
      </c>
      <c r="G215" s="8" t="inlineStr">
        <is>
          <t>金</t>
        </is>
      </c>
      <c r="H215" s="8" t="inlineStr">
        <is>
          <t>metal</t>
        </is>
      </c>
      <c r="I215" s="8" t="inlineStr">
        <is>
          <t>1×1</t>
        </is>
      </c>
      <c r="J215" s="8" t="n">
        <v>1</v>
      </c>
      <c r="K215" s="8" t="n">
        <v>28</v>
      </c>
      <c r="L215" s="8" t="inlineStr">
        <is>
          <t>是</t>
        </is>
      </c>
      <c r="M215" s="9" t="inlineStr">
        <is>
          <t>bazaar；dynamicRandomReward；itemReforge</t>
        </is>
      </c>
      <c r="N215" s="8" t="n">
        <v>1</v>
      </c>
      <c r="O215" s="9" t="inlineStr">
        <is>
          <t>周期触发</t>
        </is>
      </c>
      <c r="P215" s="9" t="inlineStr">
        <is>
          <t>periodicPulse</t>
        </is>
      </c>
      <c r="Q215" s="9" t="inlineStr">
        <is>
          <t>周期触发：将 5 点体力转化为 1 点修为；将 5 点体力转化为 2 点修为；将 5 点体力转化为 3 点修为；将 5 点体力转化为 4 点修为</t>
        </is>
      </c>
      <c r="R215" s="9" t="inlineStr"/>
      <c r="S215" s="9" t="inlineStr">
        <is>
          <t>玄铁飞爪爪尖外弯，短链盘成紧凑弧形，像专为探入矿脉缝隙汲取灵气而铸。</t>
        </is>
      </c>
      <c r="T215" s="8" t="inlineStr">
        <is>
          <t>implement_batch13_019_1x1</t>
        </is>
      </c>
      <c r="U215" s="8" t="inlineStr">
        <is>
          <t>allowed</t>
        </is>
      </c>
    </row>
    <row r="216" ht="34" customHeight="1">
      <c r="A216" s="8" t="n">
        <v>215</v>
      </c>
      <c r="B216" s="8" t="n">
        <v>400089</v>
      </c>
      <c r="C216" s="8" t="inlineStr">
        <is>
          <t>雪髓回澜瓶</t>
        </is>
      </c>
      <c r="D216" s="8" t="inlineStr">
        <is>
          <t>法器</t>
        </is>
      </c>
      <c r="E216" s="8" t="inlineStr">
        <is>
          <t>implement</t>
        </is>
      </c>
      <c r="F216" s="8" t="inlineStr">
        <is>
          <t>common</t>
        </is>
      </c>
      <c r="G216" s="8" t="inlineStr">
        <is>
          <t>水</t>
        </is>
      </c>
      <c r="H216" s="8" t="inlineStr">
        <is>
          <t>water</t>
        </is>
      </c>
      <c r="I216" s="8" t="inlineStr">
        <is>
          <t>1×1</t>
        </is>
      </c>
      <c r="J216" s="8" t="n">
        <v>1</v>
      </c>
      <c r="K216" s="8" t="n">
        <v>6</v>
      </c>
      <c r="L216" s="8" t="inlineStr">
        <is>
          <t>是</t>
        </is>
      </c>
      <c r="M216" s="9" t="inlineStr">
        <is>
          <t>bazaar；dynamicRandomReward；itemReforge</t>
        </is>
      </c>
      <c r="N216" s="8" t="n">
        <v>2</v>
      </c>
      <c r="O216" s="9" t="inlineStr">
        <is>
          <t>周期触发；被动效果</t>
        </is>
      </c>
      <c r="P216" s="9" t="inlineStr">
        <is>
          <t>periodicPulse；passive</t>
        </is>
      </c>
      <c r="Q216" s="9" t="inlineStr">
        <is>
          <t>周期触发：开局：获得 2 层露水；开局：获得 4 层露水；开局：获得 6 层露水；开局：获得 8 层露水 | 被动效果：露水层数上限 +5；露水层数上限 +7；露水层数上限 +9；露水层数上限 +11</t>
        </is>
      </c>
      <c r="R216" s="9" t="inlineStr"/>
      <c r="S216" s="9" t="inlineStr">
        <is>
          <t>冰蓝小瓶内水纹回旋，瓶壁常有细霜凝住，像把寒髓化成温和灵液。</t>
        </is>
      </c>
      <c r="T216" s="8" t="inlineStr">
        <is>
          <t>implement_tidewave_basin_1x1</t>
        </is>
      </c>
      <c r="U216" s="8" t="inlineStr">
        <is>
          <t>allowed</t>
        </is>
      </c>
    </row>
    <row r="217" ht="34" customHeight="1">
      <c r="A217" s="8" t="n">
        <v>216</v>
      </c>
      <c r="B217" s="8" t="n">
        <v>400090</v>
      </c>
      <c r="C217" s="8" t="inlineStr">
        <is>
          <t>承露问缘盏</t>
        </is>
      </c>
      <c r="D217" s="8" t="inlineStr">
        <is>
          <t>法器</t>
        </is>
      </c>
      <c r="E217" s="8" t="inlineStr">
        <is>
          <t>implement</t>
        </is>
      </c>
      <c r="F217" s="8" t="inlineStr">
        <is>
          <t>common</t>
        </is>
      </c>
      <c r="G217" s="8" t="inlineStr">
        <is>
          <t>水</t>
        </is>
      </c>
      <c r="H217" s="8" t="inlineStr">
        <is>
          <t>water</t>
        </is>
      </c>
      <c r="I217" s="8" t="inlineStr">
        <is>
          <t>1×1</t>
        </is>
      </c>
      <c r="J217" s="8" t="n">
        <v>1</v>
      </c>
      <c r="K217" s="8" t="n">
        <v>18</v>
      </c>
      <c r="L217" s="8" t="inlineStr">
        <is>
          <t>是</t>
        </is>
      </c>
      <c r="M217" s="9" t="inlineStr">
        <is>
          <t>bazaar；dynamicRandomReward；itemReforge</t>
        </is>
      </c>
      <c r="N217" s="8" t="n">
        <v>1</v>
      </c>
      <c r="O217" s="9" t="inlineStr">
        <is>
          <t>条件触发</t>
        </is>
      </c>
      <c r="P217" s="9" t="inlineStr">
        <is>
          <t>triggered</t>
        </is>
      </c>
      <c r="Q217" s="9" t="inlineStr">
        <is>
          <t>条件触发：服用丹药时，获得 3 层露水；服用丹药时，获得 4 层露水；服用丹药时，获得 5 层露水；服用丹药时，获得 6 层露水</t>
        </is>
      </c>
      <c r="R217" s="9" t="inlineStr"/>
      <c r="S217" s="9" t="inlineStr">
        <is>
          <t>浅蓝玉盏托着一汪灵液，露气凝在盏沿，仿佛能映出细小的缘机波纹。</t>
        </is>
      </c>
      <c r="T217" s="8" t="inlineStr">
        <is>
          <t>implement_azure_essence_basin_1x1</t>
        </is>
      </c>
      <c r="U217" s="8" t="inlineStr">
        <is>
          <t>allowed</t>
        </is>
      </c>
    </row>
    <row r="218" ht="34" customHeight="1">
      <c r="A218" s="8" t="n">
        <v>217</v>
      </c>
      <c r="B218" s="8" t="n">
        <v>400092</v>
      </c>
      <c r="C218" s="8" t="inlineStr">
        <is>
          <t>参悟玉简</t>
        </is>
      </c>
      <c r="D218" s="8" t="inlineStr">
        <is>
          <t>法器</t>
        </is>
      </c>
      <c r="E218" s="8" t="inlineStr">
        <is>
          <t>implement</t>
        </is>
      </c>
      <c r="F218" s="8" t="inlineStr">
        <is>
          <t>common</t>
        </is>
      </c>
      <c r="G218" s="8" t="inlineStr">
        <is>
          <t>木</t>
        </is>
      </c>
      <c r="H218" s="8" t="inlineStr">
        <is>
          <t>wood</t>
        </is>
      </c>
      <c r="I218" s="8" t="inlineStr">
        <is>
          <t>1×2</t>
        </is>
      </c>
      <c r="J218" s="8" t="n">
        <v>2</v>
      </c>
      <c r="K218" s="8" t="n">
        <v>7</v>
      </c>
      <c r="L218" s="8" t="inlineStr">
        <is>
          <t>是</t>
        </is>
      </c>
      <c r="M218" s="9" t="inlineStr">
        <is>
          <t>bazaar；dynamicRandomReward；itemReforge</t>
        </is>
      </c>
      <c r="N218" s="8" t="n">
        <v>1</v>
      </c>
      <c r="O218" s="9" t="inlineStr">
        <is>
          <t>周期触发</t>
        </is>
      </c>
      <c r="P218" s="9" t="inlineStr">
        <is>
          <t>periodicPulse</t>
        </is>
      </c>
      <c r="Q218" s="9" t="inlineStr">
        <is>
          <t>周期触发：每相邻 1 个功法，获得 5 点修为；每相邻 1 个功法，获得 10 点修为；每相邻 1 个功法，获得 15 点修为；每相邻 1 个功法，获得 20 点修为</t>
        </is>
      </c>
      <c r="R218" s="9" t="inlineStr"/>
      <c r="S218" s="9" t="inlineStr">
        <is>
          <t>细长玉简盘着回旋纹路，简身青白通透，展开时有旧日心得在纹中明灭。</t>
        </is>
      </c>
      <c r="T218" s="8" t="inlineStr">
        <is>
          <t>scripture_spiral_jade_slip_f2305v1_1x2</t>
        </is>
      </c>
      <c r="U218" s="8" t="inlineStr">
        <is>
          <t>allowed</t>
        </is>
      </c>
    </row>
    <row r="219" ht="34" customHeight="1">
      <c r="A219" s="8" t="n">
        <v>218</v>
      </c>
      <c r="B219" s="8" t="n">
        <v>400093</v>
      </c>
      <c r="C219" s="8" t="inlineStr">
        <is>
          <t>炼魄金砂匣</t>
        </is>
      </c>
      <c r="D219" s="8" t="inlineStr">
        <is>
          <t>法器</t>
        </is>
      </c>
      <c r="E219" s="8" t="inlineStr">
        <is>
          <t>implement</t>
        </is>
      </c>
      <c r="F219" s="8" t="inlineStr">
        <is>
          <t>common</t>
        </is>
      </c>
      <c r="G219" s="8" t="inlineStr">
        <is>
          <t>金</t>
        </is>
      </c>
      <c r="H219" s="8" t="inlineStr">
        <is>
          <t>metal</t>
        </is>
      </c>
      <c r="I219" s="8" t="inlineStr">
        <is>
          <t>1×1</t>
        </is>
      </c>
      <c r="J219" s="8" t="n">
        <v>1</v>
      </c>
      <c r="K219" s="8" t="n">
        <v>10</v>
      </c>
      <c r="L219" s="8" t="inlineStr">
        <is>
          <t>是</t>
        </is>
      </c>
      <c r="M219" s="9" t="inlineStr">
        <is>
          <t>bazaar；dynamicRandomReward；itemReforge</t>
        </is>
      </c>
      <c r="N219" s="8" t="n">
        <v>1</v>
      </c>
      <c r="O219" s="9" t="inlineStr">
        <is>
          <t>被动效果</t>
        </is>
      </c>
      <c r="P219" s="9" t="inlineStr">
        <is>
          <t>passive</t>
        </is>
      </c>
      <c r="Q219" s="9" t="inlineStr">
        <is>
          <t>被动效果：气血上限 +0，每击杀一只妖兽后效果升级。；气血上限</t>
        </is>
      </c>
      <c r="R219" s="9" t="inlineStr"/>
      <c r="S219" s="9" t="inlineStr">
        <is>
          <t>玉匣中嵌着一颗沉亮金珠，匣底铺着细砂般的金光，像能把心火压成矿息。</t>
        </is>
      </c>
      <c r="T219" s="8" t="inlineStr">
        <is>
          <t>implement_pearl_casket_1x1</t>
        </is>
      </c>
      <c r="U219" s="8" t="inlineStr">
        <is>
          <t>allowed</t>
        </is>
      </c>
    </row>
    <row r="220" ht="34" customHeight="1">
      <c r="A220" s="8" t="n">
        <v>219</v>
      </c>
      <c r="B220" s="8" t="n">
        <v>400094</v>
      </c>
      <c r="C220" s="8" t="inlineStr">
        <is>
          <t>重息归元甲</t>
        </is>
      </c>
      <c r="D220" s="8" t="inlineStr">
        <is>
          <t>法器</t>
        </is>
      </c>
      <c r="E220" s="8" t="inlineStr">
        <is>
          <t>implement</t>
        </is>
      </c>
      <c r="F220" s="8" t="inlineStr">
        <is>
          <t>common</t>
        </is>
      </c>
      <c r="G220" s="8" t="inlineStr">
        <is>
          <t>土</t>
        </is>
      </c>
      <c r="H220" s="8" t="inlineStr">
        <is>
          <t>earth</t>
        </is>
      </c>
      <c r="I220" s="8" t="inlineStr">
        <is>
          <t>2×3</t>
        </is>
      </c>
      <c r="J220" s="8" t="n">
        <v>6</v>
      </c>
      <c r="K220" s="8" t="n">
        <v>8</v>
      </c>
      <c r="L220" s="8" t="inlineStr">
        <is>
          <t>是</t>
        </is>
      </c>
      <c r="M220" s="9" t="inlineStr">
        <is>
          <t>bazaar；dynamicRandomReward；itemReforge</t>
        </is>
      </c>
      <c r="N220" s="8" t="n">
        <v>1</v>
      </c>
      <c r="O220" s="9" t="inlineStr">
        <is>
          <t>周期触发</t>
        </is>
      </c>
      <c r="P220" s="9" t="inlineStr">
        <is>
          <t>periodicPulse</t>
        </is>
      </c>
      <c r="Q220" s="9" t="inlineStr">
        <is>
          <t>周期触发：将 4 层蓄势转化为 20 点体力；将 6 层蓄势转化为 30 点体力；将 8 层蓄势转化为 40 点体力；将 10 层蓄势转化为 50 点体力</t>
        </is>
      </c>
      <c r="R220" s="9" t="inlineStr"/>
      <c r="S220" s="9" t="inlineStr">
        <is>
          <t>青金宝甲甲片分明，肩胸处有厚重护纹，沉息压入甲内后会缓缓回涌。</t>
        </is>
      </c>
      <c r="T220" s="8" t="inlineStr">
        <is>
          <t>implement_cloudscale_cuirass_2x3</t>
        </is>
      </c>
      <c r="U220" s="8" t="inlineStr">
        <is>
          <t>allowed</t>
        </is>
      </c>
    </row>
    <row r="221" ht="34" customHeight="1">
      <c r="A221" s="8" t="n">
        <v>220</v>
      </c>
      <c r="B221" s="8" t="n">
        <v>400095</v>
      </c>
      <c r="C221" s="8" t="inlineStr">
        <is>
          <t>薪莲灵珠</t>
        </is>
      </c>
      <c r="D221" s="8" t="inlineStr">
        <is>
          <t>法器</t>
        </is>
      </c>
      <c r="E221" s="8" t="inlineStr">
        <is>
          <t>implement</t>
        </is>
      </c>
      <c r="F221" s="8" t="inlineStr">
        <is>
          <t>common</t>
        </is>
      </c>
      <c r="G221" s="8" t="inlineStr">
        <is>
          <t>火</t>
        </is>
      </c>
      <c r="H221" s="8" t="inlineStr">
        <is>
          <t>fire</t>
        </is>
      </c>
      <c r="I221" s="8" t="inlineStr">
        <is>
          <t>1×1</t>
        </is>
      </c>
      <c r="J221" s="8" t="n">
        <v>1</v>
      </c>
      <c r="K221" s="8" t="n">
        <v>12</v>
      </c>
      <c r="L221" s="8" t="inlineStr">
        <is>
          <t>是</t>
        </is>
      </c>
      <c r="M221" s="9" t="inlineStr">
        <is>
          <t>bazaar；dynamicRandomReward；itemReforge</t>
        </is>
      </c>
      <c r="N221" s="8" t="n">
        <v>1</v>
      </c>
      <c r="O221" s="9" t="inlineStr">
        <is>
          <t>周期触发</t>
        </is>
      </c>
      <c r="P221" s="9" t="inlineStr">
        <is>
          <t>periodicPulse</t>
        </is>
      </c>
      <c r="Q221" s="9" t="inlineStr">
        <is>
          <t>周期触发：获得 1 层炎热和 2 层再生</t>
        </is>
      </c>
      <c r="R221" s="9" t="inlineStr"/>
      <c r="S221" s="9" t="inlineStr">
        <is>
          <t>青藤缠成莲纹灵珠，珠心压着一点薪火，贴近木行灵材时会把鲜活木气慢慢吐成热息。</t>
        </is>
      </c>
      <c r="T221" s="8" t="inlineStr">
        <is>
          <t>implement_vine_lotus_pearl_1x1</t>
        </is>
      </c>
      <c r="U221" s="8" t="inlineStr">
        <is>
          <t>allowed</t>
        </is>
      </c>
    </row>
    <row r="222" ht="34" customHeight="1">
      <c r="A222" s="8" t="n">
        <v>221</v>
      </c>
      <c r="B222" s="8" t="n">
        <v>400096</v>
      </c>
      <c r="C222" s="8" t="inlineStr">
        <is>
          <t>熔金火钳</t>
        </is>
      </c>
      <c r="D222" s="8" t="inlineStr">
        <is>
          <t>法器</t>
        </is>
      </c>
      <c r="E222" s="8" t="inlineStr">
        <is>
          <t>implement</t>
        </is>
      </c>
      <c r="F222" s="8" t="inlineStr">
        <is>
          <t>common</t>
        </is>
      </c>
      <c r="G222" s="8" t="inlineStr">
        <is>
          <t>火</t>
        </is>
      </c>
      <c r="H222" s="8" t="inlineStr">
        <is>
          <t>fire</t>
        </is>
      </c>
      <c r="I222" s="8" t="inlineStr">
        <is>
          <t>1×1</t>
        </is>
      </c>
      <c r="J222" s="8" t="n">
        <v>1</v>
      </c>
      <c r="K222" s="8" t="n">
        <v>6</v>
      </c>
      <c r="L222" s="8" t="inlineStr">
        <is>
          <t>是</t>
        </is>
      </c>
      <c r="M222" s="9" t="inlineStr">
        <is>
          <t>bazaar；dynamicRandomReward；itemReforge</t>
        </is>
      </c>
      <c r="N222" s="8" t="n">
        <v>1</v>
      </c>
      <c r="O222" s="9" t="inlineStr">
        <is>
          <t>条件触发</t>
        </is>
      </c>
      <c r="P222" s="9" t="inlineStr">
        <is>
          <t>triggered</t>
        </is>
      </c>
      <c r="Q222" s="9" t="inlineStr">
        <is>
          <t>条件触发：相邻金属性招式释放时，获得 5 层炎热；相邻金属性招式释放时，获得 10 层炎热；相邻金属性招式释放时，获得 15 层炎热；相邻金属性招式释放时，获得 20 层炎热</t>
        </is>
      </c>
      <c r="R222" s="9" t="inlineStr"/>
      <c r="S222" s="9" t="inlineStr">
        <is>
          <t>一对赤柄金环相扣如钳，钳口残留熔金亮痕，似能从金器震动中夹出余焰。</t>
        </is>
      </c>
      <c r="T222" s="8" t="inlineStr">
        <is>
          <t>implement_twin_metal_rings_1x1</t>
        </is>
      </c>
      <c r="U222" s="8" t="inlineStr">
        <is>
          <t>allowed</t>
        </is>
      </c>
    </row>
    <row r="223" ht="34" customHeight="1">
      <c r="A223" s="8" t="n">
        <v>222</v>
      </c>
      <c r="B223" s="8" t="n">
        <v>400097</v>
      </c>
      <c r="C223" s="8" t="inlineStr">
        <is>
          <t>蒸云铜鼎</t>
        </is>
      </c>
      <c r="D223" s="8" t="inlineStr">
        <is>
          <t>法器</t>
        </is>
      </c>
      <c r="E223" s="8" t="inlineStr">
        <is>
          <t>implement</t>
        </is>
      </c>
      <c r="F223" s="8" t="inlineStr">
        <is>
          <t>common</t>
        </is>
      </c>
      <c r="G223" s="8" t="inlineStr">
        <is>
          <t>火</t>
        </is>
      </c>
      <c r="H223" s="8" t="inlineStr">
        <is>
          <t>fire</t>
        </is>
      </c>
      <c r="I223" s="8" t="inlineStr">
        <is>
          <t>2×2</t>
        </is>
      </c>
      <c r="J223" s="8" t="n">
        <v>4</v>
      </c>
      <c r="K223" s="8" t="n">
        <v>12</v>
      </c>
      <c r="L223" s="8" t="inlineStr">
        <is>
          <t>是</t>
        </is>
      </c>
      <c r="M223" s="9" t="inlineStr">
        <is>
          <t>bazaar；dynamicRandomReward；itemReforge</t>
        </is>
      </c>
      <c r="N223" s="8" t="n">
        <v>1</v>
      </c>
      <c r="O223" s="9" t="inlineStr">
        <is>
          <t>条件触发</t>
        </is>
      </c>
      <c r="P223" s="9" t="inlineStr">
        <is>
          <t>triggered</t>
        </is>
      </c>
      <c r="Q223" s="9" t="inlineStr">
        <is>
          <t>条件触发：上方相邻水属性道具使用时，获得 6 层炎热；上方相邻水属性道具使用时，获得 12 层炎热；上方相邻水属性道具使用时，获得 18 层炎热；上方相邻水属性道具使用时，获得 24 层炎热</t>
        </is>
      </c>
      <c r="R223" s="9" t="inlineStr"/>
      <c r="S223" s="9" t="inlineStr">
        <is>
          <t>青铜小鼎腹部云纹层叠，鼎口常有白汽盘旋，水气入内便会被暗火蒸成热流。</t>
        </is>
      </c>
      <c r="T223" s="8" t="inlineStr">
        <is>
          <t>implement_cloudrune_cauldron_2x2</t>
        </is>
      </c>
      <c r="U223" s="8" t="inlineStr">
        <is>
          <t>allowed</t>
        </is>
      </c>
    </row>
    <row r="224" ht="34" customHeight="1">
      <c r="A224" s="8" t="n">
        <v>223</v>
      </c>
      <c r="B224" s="8" t="n">
        <v>400098</v>
      </c>
      <c r="C224" s="8" t="inlineStr">
        <is>
          <t>地炉铜铃</t>
        </is>
      </c>
      <c r="D224" s="8" t="inlineStr">
        <is>
          <t>法器</t>
        </is>
      </c>
      <c r="E224" s="8" t="inlineStr">
        <is>
          <t>implement</t>
        </is>
      </c>
      <c r="F224" s="8" t="inlineStr">
        <is>
          <t>common</t>
        </is>
      </c>
      <c r="G224" s="8" t="inlineStr">
        <is>
          <t>火</t>
        </is>
      </c>
      <c r="H224" s="8" t="inlineStr">
        <is>
          <t>fire</t>
        </is>
      </c>
      <c r="I224" s="8" t="inlineStr">
        <is>
          <t>1×1</t>
        </is>
      </c>
      <c r="J224" s="8" t="n">
        <v>1</v>
      </c>
      <c r="K224" s="8" t="n">
        <v>15</v>
      </c>
      <c r="L224" s="8" t="inlineStr">
        <is>
          <t>是</t>
        </is>
      </c>
      <c r="M224" s="9" t="inlineStr">
        <is>
          <t>bazaar；dynamicRandomReward；itemReforge</t>
        </is>
      </c>
      <c r="N224" s="8" t="n">
        <v>1</v>
      </c>
      <c r="O224" s="9" t="inlineStr">
        <is>
          <t>周期触发</t>
        </is>
      </c>
      <c r="P224" s="9" t="inlineStr">
        <is>
          <t>periodicPulse</t>
        </is>
      </c>
      <c r="Q224" s="9" t="inlineStr">
        <is>
          <t>周期触发：位于储物袋底部且上方相邻土属性装备时，获得 8 层炎热；位于储物袋底部且上方相邻土属性装备时，获得 12 层炎热；位于储物袋底部且上方相邻土属性装备时，获得 16 层炎热；位于储物袋底部且上方相邻土属性装备时，获得 20 层炎热</t>
        </is>
      </c>
      <c r="R224" s="9" t="inlineStr"/>
      <c r="S224" s="9" t="inlineStr">
        <is>
          <t>青铜小铃外壁刻着层层炉纹，铃口沉着暗火，压在袋底时像替火势稳住根基。</t>
        </is>
      </c>
      <c r="T224" s="8" t="inlineStr">
        <is>
          <t>implement_six_array_tiles_1x1</t>
        </is>
      </c>
      <c r="U224" s="8" t="inlineStr">
        <is>
          <t>allowed</t>
        </is>
      </c>
    </row>
    <row r="225" ht="34" customHeight="1">
      <c r="A225" s="8" t="n">
        <v>224</v>
      </c>
      <c r="B225" s="8" t="n">
        <v>400099</v>
      </c>
      <c r="C225" s="8" t="inlineStr">
        <is>
          <t>赤凤素印</t>
        </is>
      </c>
      <c r="D225" s="8" t="inlineStr">
        <is>
          <t>法器</t>
        </is>
      </c>
      <c r="E225" s="8" t="inlineStr">
        <is>
          <t>implement</t>
        </is>
      </c>
      <c r="F225" s="8" t="inlineStr">
        <is>
          <t>common</t>
        </is>
      </c>
      <c r="G225" s="8" t="inlineStr">
        <is>
          <t>火</t>
        </is>
      </c>
      <c r="H225" s="8" t="inlineStr">
        <is>
          <t>fire</t>
        </is>
      </c>
      <c r="I225" s="8" t="inlineStr">
        <is>
          <t>1×1</t>
        </is>
      </c>
      <c r="J225" s="8" t="n">
        <v>1</v>
      </c>
      <c r="K225" s="8" t="n">
        <v>14</v>
      </c>
      <c r="L225" s="8" t="inlineStr">
        <is>
          <t>是</t>
        </is>
      </c>
      <c r="M225" s="9" t="inlineStr">
        <is>
          <t>bazaar；dynamicRandomReward；itemReforge</t>
        </is>
      </c>
      <c r="N225" s="8" t="n">
        <v>1</v>
      </c>
      <c r="O225" s="9" t="inlineStr">
        <is>
          <t>说明/执行器</t>
        </is>
      </c>
      <c r="P225" s="9" t="inlineStr">
        <is>
          <t>effectNote</t>
        </is>
      </c>
      <c r="Q225" s="9" t="inlineStr">
        <is>
          <t>说明/执行器：相邻火属性招式释放时，获得 5 层炎热；有 5 件火属性道具时，效果翻倍；相邻火属性招式释放时，获得 10 层炎热；有 5 件火属性道具时，效果翻倍；相邻火属性招式释放时，获得 15 层炎热；有 5 件火属性道具时，效果翻倍；相邻火属性招式释放时，获得 20 层炎热；有 5 件火属性道具时，效果翻倍</t>
        </is>
      </c>
      <c r="R225" s="9" t="inlineStr"/>
      <c r="S225" s="9" t="inlineStr">
        <is>
          <t>白玉方印上立着赤凤纹饰，印面素净却藏朱火，像专为火行经卷引出余烬。</t>
        </is>
      </c>
      <c r="T225" s="8" t="inlineStr">
        <is>
          <t>implement_red_phoenix_plain_seal_1x1</t>
        </is>
      </c>
      <c r="U225" s="8" t="inlineStr">
        <is>
          <t>allowed</t>
        </is>
      </c>
    </row>
    <row r="226" ht="34" customHeight="1">
      <c r="A226" s="8" t="n">
        <v>225</v>
      </c>
      <c r="B226" s="8" t="n">
        <v>400100</v>
      </c>
      <c r="C226" s="8" t="inlineStr">
        <is>
          <t>金纹盘香炉</t>
        </is>
      </c>
      <c r="D226" s="8" t="inlineStr">
        <is>
          <t>法器</t>
        </is>
      </c>
      <c r="E226" s="8" t="inlineStr">
        <is>
          <t>implement</t>
        </is>
      </c>
      <c r="F226" s="8" t="inlineStr">
        <is>
          <t>common</t>
        </is>
      </c>
      <c r="G226" s="8" t="inlineStr">
        <is>
          <t>火</t>
        </is>
      </c>
      <c r="H226" s="8" t="inlineStr">
        <is>
          <t>fire</t>
        </is>
      </c>
      <c r="I226" s="8" t="inlineStr">
        <is>
          <t>1×1</t>
        </is>
      </c>
      <c r="J226" s="8" t="n">
        <v>1</v>
      </c>
      <c r="K226" s="8" t="n">
        <v>6</v>
      </c>
      <c r="L226" s="8" t="inlineStr">
        <is>
          <t>是</t>
        </is>
      </c>
      <c r="M226" s="9" t="inlineStr">
        <is>
          <t>bazaar；dynamicRandomReward；itemReforge</t>
        </is>
      </c>
      <c r="N226" s="8" t="n">
        <v>1</v>
      </c>
      <c r="O226" s="9" t="inlineStr">
        <is>
          <t>条件触发</t>
        </is>
      </c>
      <c r="P226" s="9" t="inlineStr">
        <is>
          <t>triggered</t>
        </is>
      </c>
      <c r="Q226" s="9" t="inlineStr">
        <is>
          <t>条件触发：上方相邻火属性法器使用时，获得 1 层炎热；上方相邻火属性法器使用时，获得 2 层炎热；上方相邻火属性法器使用时，获得 3 层炎热；上方相邻火属性法器使用时，获得 4 层炎热</t>
        </is>
      </c>
      <c r="R226" s="9" t="inlineStr"/>
      <c r="S226" s="9" t="inlineStr">
        <is>
          <t>浅盘香炉托着一圈螺旋香篆，金纹沿炉壁细细收束，像会替上方法器守住炉前余温。</t>
        </is>
      </c>
      <c r="T226" s="8" t="inlineStr">
        <is>
          <t>implement_spiral_incense_burner_1x1</t>
        </is>
      </c>
      <c r="U226" s="8" t="inlineStr">
        <is>
          <t>allowed</t>
        </is>
      </c>
    </row>
    <row r="227" ht="34" customHeight="1">
      <c r="A227" s="8" t="n">
        <v>226</v>
      </c>
      <c r="B227" s="8" t="n">
        <v>400101</v>
      </c>
      <c r="C227" s="8" t="inlineStr">
        <is>
          <t>焚丹残灰盏</t>
        </is>
      </c>
      <c r="D227" s="8" t="inlineStr">
        <is>
          <t>法器</t>
        </is>
      </c>
      <c r="E227" s="8" t="inlineStr">
        <is>
          <t>implement</t>
        </is>
      </c>
      <c r="F227" s="8" t="inlineStr">
        <is>
          <t>common</t>
        </is>
      </c>
      <c r="G227" s="8" t="inlineStr">
        <is>
          <t>火</t>
        </is>
      </c>
      <c r="H227" s="8" t="inlineStr">
        <is>
          <t>fire</t>
        </is>
      </c>
      <c r="I227" s="8" t="inlineStr">
        <is>
          <t>1×1</t>
        </is>
      </c>
      <c r="J227" s="8" t="n">
        <v>1</v>
      </c>
      <c r="K227" s="8" t="n">
        <v>14</v>
      </c>
      <c r="L227" s="8" t="inlineStr">
        <is>
          <t>是</t>
        </is>
      </c>
      <c r="M227" s="9" t="inlineStr">
        <is>
          <t>bazaar；dynamicRandomReward；itemReforge</t>
        </is>
      </c>
      <c r="N227" s="8" t="n">
        <v>1</v>
      </c>
      <c r="O227" s="9" t="inlineStr">
        <is>
          <t>条件触发</t>
        </is>
      </c>
      <c r="P227" s="9" t="inlineStr">
        <is>
          <t>triggered</t>
        </is>
      </c>
      <c r="Q227" s="9" t="inlineStr">
        <is>
          <t>条件触发：相邻丹药耗尽时，获得 2 层炎热；相邻丹药耗尽时，获得 4 层炎热；相邻丹药耗尽时，获得 6 层炎热；相邻丹药耗尽时，获得 8 层炎热</t>
        </is>
      </c>
      <c r="R227" s="9" t="inlineStr"/>
      <c r="S227" s="9" t="inlineStr">
        <is>
          <t>双耳小炉盏中盛着细灰，灰底隐约有丹砂赤点，像能把丹药余温重新拢成火息。</t>
        </is>
      </c>
      <c r="T227" s="8" t="inlineStr">
        <is>
          <t>implement_twin_handle_censer_f2312v1_1x1</t>
        </is>
      </c>
      <c r="U227" s="8" t="inlineStr">
        <is>
          <t>allowed</t>
        </is>
      </c>
    </row>
    <row r="228" ht="34" customHeight="1">
      <c r="A228" s="8" t="n">
        <v>227</v>
      </c>
      <c r="B228" s="8" t="n">
        <v>400102</v>
      </c>
      <c r="C228" s="8" t="inlineStr">
        <is>
          <t>朱砂引焰匣</t>
        </is>
      </c>
      <c r="D228" s="8" t="inlineStr">
        <is>
          <t>法器</t>
        </is>
      </c>
      <c r="E228" s="8" t="inlineStr">
        <is>
          <t>implement</t>
        </is>
      </c>
      <c r="F228" s="8" t="inlineStr">
        <is>
          <t>common</t>
        </is>
      </c>
      <c r="G228" s="8" t="inlineStr">
        <is>
          <t>火</t>
        </is>
      </c>
      <c r="H228" s="8" t="inlineStr">
        <is>
          <t>fire</t>
        </is>
      </c>
      <c r="I228" s="8" t="inlineStr">
        <is>
          <t>1×1</t>
        </is>
      </c>
      <c r="J228" s="8" t="n">
        <v>1</v>
      </c>
      <c r="K228" s="8" t="n">
        <v>6</v>
      </c>
      <c r="L228" s="8" t="inlineStr">
        <is>
          <t>是</t>
        </is>
      </c>
      <c r="M228" s="9" t="inlineStr">
        <is>
          <t>bazaar；dynamicRandomReward；itemReforge</t>
        </is>
      </c>
      <c r="N228" s="8" t="n">
        <v>1</v>
      </c>
      <c r="O228" s="9" t="inlineStr">
        <is>
          <t>条件触发</t>
        </is>
      </c>
      <c r="P228" s="9" t="inlineStr">
        <is>
          <t>triggered</t>
        </is>
      </c>
      <c r="Q228" s="9" t="inlineStr">
        <is>
          <t>条件触发：相邻符箓耗尽时，获得 10 层炎热；相邻符箓耗尽时，获得 15 层炎热；相邻符箓耗尽时，获得 20 层炎热；相邻符箓耗尽时，获得 25 层炎热</t>
        </is>
      </c>
      <c r="R228" s="9" t="inlineStr"/>
      <c r="S228" s="9" t="inlineStr">
        <is>
          <t>木质小匣四角压着朱砂符线，匣缝里有暗红细光，像专门收束符火残势。</t>
        </is>
      </c>
      <c r="T228" s="8" t="inlineStr">
        <is>
          <t>implement_woodspirit_seal_1x1</t>
        </is>
      </c>
      <c r="U228" s="8" t="inlineStr">
        <is>
          <t>allowed</t>
        </is>
      </c>
    </row>
    <row r="229" ht="34" customHeight="1">
      <c r="A229" s="8" t="n">
        <v>228</v>
      </c>
      <c r="B229" s="8" t="n">
        <v>400103</v>
      </c>
      <c r="C229" s="8" t="inlineStr">
        <is>
          <t>凝晨荷盏</t>
        </is>
      </c>
      <c r="D229" s="8" t="inlineStr">
        <is>
          <t>法器</t>
        </is>
      </c>
      <c r="E229" s="8" t="inlineStr">
        <is>
          <t>implement</t>
        </is>
      </c>
      <c r="F229" s="8" t="inlineStr">
        <is>
          <t>common</t>
        </is>
      </c>
      <c r="G229" s="8" t="inlineStr">
        <is>
          <t>水</t>
        </is>
      </c>
      <c r="H229" s="8" t="inlineStr">
        <is>
          <t>water</t>
        </is>
      </c>
      <c r="I229" s="8" t="inlineStr">
        <is>
          <t>1×1</t>
        </is>
      </c>
      <c r="J229" s="8" t="n">
        <v>1</v>
      </c>
      <c r="K229" s="8" t="n">
        <v>14</v>
      </c>
      <c r="L229" s="8" t="inlineStr">
        <is>
          <t>是</t>
        </is>
      </c>
      <c r="M229" s="9" t="inlineStr">
        <is>
          <t>bazaar；dynamicRandomReward；itemReforge</t>
        </is>
      </c>
      <c r="N229" s="8" t="n">
        <v>1</v>
      </c>
      <c r="O229" s="9" t="inlineStr">
        <is>
          <t>条件触发</t>
        </is>
      </c>
      <c r="P229" s="9" t="inlineStr">
        <is>
          <t>triggered</t>
        </is>
      </c>
      <c r="Q229" s="9" t="inlineStr">
        <is>
          <t>条件触发：上方相邻水属性法器使用时，获得 2 层露水；上方相邻水属性法器使用时，获得 4 层露水；上方相邻水属性法器使用时，获得 6 层露水；上方相邻水属性法器使用时，获得 8 层露水</t>
        </is>
      </c>
      <c r="R229" s="9" t="inlineStr"/>
      <c r="S229" s="9" t="inlineStr">
        <is>
          <t>青瓷浅盏托着一痕晨光，盏沿常凝细珠，靠近水气流转时便泛起清亮涟漪。</t>
        </is>
      </c>
      <c r="T229" s="8" t="inlineStr">
        <is>
          <t>implement_celadon_vase_1x1</t>
        </is>
      </c>
      <c r="U229" s="8" t="inlineStr">
        <is>
          <t>allowed</t>
        </is>
      </c>
    </row>
    <row r="230" ht="34" customHeight="1">
      <c r="A230" s="8" t="n">
        <v>229</v>
      </c>
      <c r="B230" s="8" t="n">
        <v>400104</v>
      </c>
      <c r="C230" s="8" t="inlineStr">
        <is>
          <t>栖露藤环</t>
        </is>
      </c>
      <c r="D230" s="8" t="inlineStr">
        <is>
          <t>法器</t>
        </is>
      </c>
      <c r="E230" s="8" t="inlineStr">
        <is>
          <t>implement</t>
        </is>
      </c>
      <c r="F230" s="8" t="inlineStr">
        <is>
          <t>common</t>
        </is>
      </c>
      <c r="G230" s="8" t="inlineStr">
        <is>
          <t>木</t>
        </is>
      </c>
      <c r="H230" s="8" t="inlineStr">
        <is>
          <t>wood</t>
        </is>
      </c>
      <c r="I230" s="8" t="inlineStr">
        <is>
          <t>1×1</t>
        </is>
      </c>
      <c r="J230" s="8" t="n">
        <v>1</v>
      </c>
      <c r="K230" s="8" t="n">
        <v>12</v>
      </c>
      <c r="L230" s="8" t="inlineStr">
        <is>
          <t>是</t>
        </is>
      </c>
      <c r="M230" s="9" t="inlineStr">
        <is>
          <t>bazaar；dynamicRandomReward；itemReforge</t>
        </is>
      </c>
      <c r="N230" s="8" t="n">
        <v>1</v>
      </c>
      <c r="O230" s="9" t="inlineStr">
        <is>
          <t>周期触发</t>
        </is>
      </c>
      <c r="P230" s="9" t="inlineStr">
        <is>
          <t>periodicPulse</t>
        </is>
      </c>
      <c r="Q230" s="9" t="inlineStr">
        <is>
          <t>周期触发：每有 1 件相邻木属性道具，获得 2 层再生；每有 1 件相邻木属性道具，获得 4 层再生；每有 1 件相邻木属性道具，获得 6 层再生；每有 1 件相邻木属性道具，获得 8 层再生</t>
        </is>
      </c>
      <c r="R230" s="9" t="inlineStr"/>
      <c r="S230" s="9" t="inlineStr">
        <is>
          <t>青藤编成细环，叶脉间挂着晶亮水珠，像把灵材上的晨露轻轻拢在一处。</t>
        </is>
      </c>
      <c r="T230" s="8" t="inlineStr">
        <is>
          <t>implement_braided_vine_ring_f2610v1_1x1</t>
        </is>
      </c>
      <c r="U230" s="8" t="inlineStr">
        <is>
          <t>allowed</t>
        </is>
      </c>
    </row>
    <row r="231" ht="34" customHeight="1">
      <c r="A231" s="8" t="n">
        <v>230</v>
      </c>
      <c r="B231" s="8" t="n">
        <v>400105</v>
      </c>
      <c r="C231" s="8" t="inlineStr">
        <is>
          <t>听雨竹简</t>
        </is>
      </c>
      <c r="D231" s="8" t="inlineStr">
        <is>
          <t>法器</t>
        </is>
      </c>
      <c r="E231" s="8" t="inlineStr">
        <is>
          <t>implement</t>
        </is>
      </c>
      <c r="F231" s="8" t="inlineStr">
        <is>
          <t>common</t>
        </is>
      </c>
      <c r="G231" s="8" t="inlineStr">
        <is>
          <t>木</t>
        </is>
      </c>
      <c r="H231" s="8" t="inlineStr">
        <is>
          <t>wood</t>
        </is>
      </c>
      <c r="I231" s="8" t="inlineStr">
        <is>
          <t>1×1</t>
        </is>
      </c>
      <c r="J231" s="8" t="n">
        <v>1</v>
      </c>
      <c r="K231" s="8" t="n">
        <v>12</v>
      </c>
      <c r="L231" s="8" t="inlineStr">
        <is>
          <t>是</t>
        </is>
      </c>
      <c r="M231" s="9" t="inlineStr">
        <is>
          <t>bazaar；dynamicRandomReward；itemReforge</t>
        </is>
      </c>
      <c r="N231" s="8" t="n">
        <v>1</v>
      </c>
      <c r="O231" s="9" t="inlineStr">
        <is>
          <t>周期触发</t>
        </is>
      </c>
      <c r="P231" s="9" t="inlineStr">
        <is>
          <t>periodicPulse</t>
        </is>
      </c>
      <c r="Q231" s="9" t="inlineStr">
        <is>
          <t>周期触发：最多将 2 层露水转化为修为，每 1 层转化为 3 点修为；最多将 4 层露水转化为修为，每 1 层转化为 3 点修为；最多将 6 层露水转化为修为，每 1 层转化为 3 点修为；最多将 8 层露水转化为修为，每 1 层转化为 3 点修为</t>
        </is>
      </c>
      <c r="R231" s="9" t="inlineStr"/>
      <c r="S231" s="9" t="inlineStr">
        <is>
          <t>青竹简册由浅绿竹片并排束起，轻晃时有雨声在简缝间回旋，像把露水化作绵长灵思。</t>
        </is>
      </c>
      <c r="T231" s="8" t="inlineStr">
        <is>
          <t>implement_batch10_102_1x1</t>
        </is>
      </c>
      <c r="U231" s="8" t="inlineStr">
        <is>
          <t>allowed</t>
        </is>
      </c>
    </row>
    <row r="232" ht="34" customHeight="1">
      <c r="A232" s="8" t="n">
        <v>231</v>
      </c>
      <c r="B232" s="8" t="n">
        <v>400106</v>
      </c>
      <c r="C232" s="8" t="inlineStr">
        <is>
          <t>润神玉铃</t>
        </is>
      </c>
      <c r="D232" s="8" t="inlineStr">
        <is>
          <t>法器</t>
        </is>
      </c>
      <c r="E232" s="8" t="inlineStr">
        <is>
          <t>implement</t>
        </is>
      </c>
      <c r="F232" s="8" t="inlineStr">
        <is>
          <t>common</t>
        </is>
      </c>
      <c r="G232" s="8" t="inlineStr">
        <is>
          <t>水</t>
        </is>
      </c>
      <c r="H232" s="8" t="inlineStr">
        <is>
          <t>water</t>
        </is>
      </c>
      <c r="I232" s="8" t="inlineStr">
        <is>
          <t>1×1</t>
        </is>
      </c>
      <c r="J232" s="8" t="n">
        <v>1</v>
      </c>
      <c r="K232" s="8" t="n">
        <v>12</v>
      </c>
      <c r="L232" s="8" t="inlineStr">
        <is>
          <t>否</t>
        </is>
      </c>
      <c r="M232" s="9" t="inlineStr">
        <is>
          <t>bazaar；dynamicRandomReward；itemReforge</t>
        </is>
      </c>
      <c r="N232" s="8" t="n">
        <v>1</v>
      </c>
      <c r="O232" s="9" t="inlineStr">
        <is>
          <t>周期触发</t>
        </is>
      </c>
      <c r="P232" s="9" t="inlineStr">
        <is>
          <t>periodicPulse</t>
        </is>
      </c>
      <c r="Q232" s="9" t="inlineStr">
        <is>
          <t>周期触发：将 2 层露水转化为 2 层敏捷；将 4 层露水转化为 4 层敏捷；将 8 层露水转化为 8 层敏捷；将 16 层露水转化为 16 层敏捷</t>
        </is>
      </c>
      <c r="R232" s="9" t="inlineStr"/>
      <c r="S232" s="9" t="inlineStr">
        <is>
          <t>青玉铃垂饰下悬一粒清亮小铃，铃音像露水轻坠，贴身时让神念逐渐澄明。</t>
        </is>
      </c>
      <c r="T232" s="8" t="inlineStr">
        <is>
          <t>implement_jade_bell_charm_1x1</t>
        </is>
      </c>
      <c r="U232" s="8" t="inlineStr">
        <is>
          <t>allowed</t>
        </is>
      </c>
    </row>
    <row r="233" ht="34" customHeight="1">
      <c r="A233" s="8" t="n">
        <v>232</v>
      </c>
      <c r="B233" s="8" t="n">
        <v>400107</v>
      </c>
      <c r="C233" s="8" t="inlineStr">
        <is>
          <t>甘霖石匣</t>
        </is>
      </c>
      <c r="D233" s="8" t="inlineStr">
        <is>
          <t>法器</t>
        </is>
      </c>
      <c r="E233" s="8" t="inlineStr">
        <is>
          <t>implement</t>
        </is>
      </c>
      <c r="F233" s="8" t="inlineStr">
        <is>
          <t>common</t>
        </is>
      </c>
      <c r="G233" s="8" t="inlineStr">
        <is>
          <t>水</t>
        </is>
      </c>
      <c r="H233" s="8" t="inlineStr">
        <is>
          <t>water</t>
        </is>
      </c>
      <c r="I233" s="8" t="inlineStr">
        <is>
          <t>1×1</t>
        </is>
      </c>
      <c r="J233" s="8" t="n">
        <v>1</v>
      </c>
      <c r="K233" s="8" t="n">
        <v>10</v>
      </c>
      <c r="L233" s="8" t="inlineStr">
        <is>
          <t>是</t>
        </is>
      </c>
      <c r="M233" s="9" t="inlineStr">
        <is>
          <t>bazaar；dynamicRandomReward；itemReforge</t>
        </is>
      </c>
      <c r="N233" s="8" t="n">
        <v>1</v>
      </c>
      <c r="O233" s="9" t="inlineStr">
        <is>
          <t>周期触发</t>
        </is>
      </c>
      <c r="P233" s="9" t="inlineStr">
        <is>
          <t>periodicPulse</t>
        </is>
      </c>
      <c r="Q233" s="9" t="inlineStr">
        <is>
          <t>周期触发：最多将 8 层露水转化为等量修为；最多将 10 层露水转化为等量修为；最多将 12 层露水转化为等量修为；最多将 14 层露水转化为等量修为</t>
        </is>
      </c>
      <c r="R233" s="9" t="inlineStr"/>
      <c r="S233" s="9" t="inlineStr">
        <is>
          <t>玉匣内壁有细密雨纹，匣底沉着淡淡灵光，像能把久聚甘霖慢慢凝成修行气息。</t>
        </is>
      </c>
      <c r="T233" s="8" t="inlineStr">
        <is>
          <t>implement_carved_jade_casket_f2605v1_1x1</t>
        </is>
      </c>
      <c r="U233" s="8" t="inlineStr">
        <is>
          <t>allowed</t>
        </is>
      </c>
    </row>
    <row r="234" ht="34" customHeight="1">
      <c r="A234" s="8" t="n">
        <v>233</v>
      </c>
      <c r="B234" s="8" t="n">
        <v>400108</v>
      </c>
      <c r="C234" s="8" t="inlineStr">
        <is>
          <t>寒露回潮瓶</t>
        </is>
      </c>
      <c r="D234" s="8" t="inlineStr">
        <is>
          <t>法器</t>
        </is>
      </c>
      <c r="E234" s="8" t="inlineStr">
        <is>
          <t>implement</t>
        </is>
      </c>
      <c r="F234" s="8" t="inlineStr">
        <is>
          <t>common</t>
        </is>
      </c>
      <c r="G234" s="8" t="inlineStr">
        <is>
          <t>水</t>
        </is>
      </c>
      <c r="H234" s="8" t="inlineStr">
        <is>
          <t>water</t>
        </is>
      </c>
      <c r="I234" s="8" t="inlineStr">
        <is>
          <t>1×1</t>
        </is>
      </c>
      <c r="J234" s="8" t="n">
        <v>1</v>
      </c>
      <c r="K234" s="8" t="n">
        <v>15</v>
      </c>
      <c r="L234" s="8" t="inlineStr">
        <is>
          <t>否</t>
        </is>
      </c>
      <c r="M234" s="9" t="inlineStr">
        <is>
          <t>bazaar；dynamicRandomReward；itemReforge</t>
        </is>
      </c>
      <c r="N234" s="8" t="n">
        <v>1</v>
      </c>
      <c r="O234" s="9" t="inlineStr">
        <is>
          <t>周期触发</t>
        </is>
      </c>
      <c r="P234" s="9" t="inlineStr">
        <is>
          <t>periodicPulse</t>
        </is>
      </c>
      <c r="Q234" s="9" t="inlineStr">
        <is>
          <t>周期触发：最多将 2 层寒冷转化为露水；最多将 4 层寒冷转化为露水；最多将 6 层寒冷转化为露水；最多将 8 层寒冷转化为露水</t>
        </is>
      </c>
      <c r="R234" s="9" t="inlineStr"/>
      <c r="S234" s="9" t="inlineStr">
        <is>
          <t>云纹玉葫芦透着微凉潮声，瓶口白气盘旋，能把冷意引成一缕回潮露水。</t>
        </is>
      </c>
      <c r="T234" s="8" t="inlineStr">
        <is>
          <t>implement_cloud_jade_gourd_1x1</t>
        </is>
      </c>
      <c r="U234" s="8" t="inlineStr">
        <is>
          <t>allowed</t>
        </is>
      </c>
    </row>
    <row r="235" ht="34" customHeight="1">
      <c r="A235" s="8" t="n">
        <v>234</v>
      </c>
      <c r="B235" s="8" t="n">
        <v>400109</v>
      </c>
      <c r="C235" s="8" t="inlineStr">
        <is>
          <t>春泥引露盘</t>
        </is>
      </c>
      <c r="D235" s="8" t="inlineStr">
        <is>
          <t>法器</t>
        </is>
      </c>
      <c r="E235" s="8" t="inlineStr">
        <is>
          <t>implement</t>
        </is>
      </c>
      <c r="F235" s="8" t="inlineStr">
        <is>
          <t>common</t>
        </is>
      </c>
      <c r="G235" s="8" t="inlineStr">
        <is>
          <t>水</t>
        </is>
      </c>
      <c r="H235" s="8" t="inlineStr">
        <is>
          <t>water</t>
        </is>
      </c>
      <c r="I235" s="8" t="inlineStr">
        <is>
          <t>1×1</t>
        </is>
      </c>
      <c r="J235" s="8" t="n">
        <v>1</v>
      </c>
      <c r="K235" s="8" t="n">
        <v>10</v>
      </c>
      <c r="L235" s="8" t="inlineStr">
        <is>
          <t>是</t>
        </is>
      </c>
      <c r="M235" s="9" t="inlineStr">
        <is>
          <t>bazaar；dynamicRandomReward；itemReforge</t>
        </is>
      </c>
      <c r="N235" s="8" t="n">
        <v>1</v>
      </c>
      <c r="O235" s="9" t="inlineStr">
        <is>
          <t>周期触发</t>
        </is>
      </c>
      <c r="P235" s="9" t="inlineStr">
        <is>
          <t>periodicPulse</t>
        </is>
      </c>
      <c r="Q235" s="9" t="inlineStr">
        <is>
          <t>周期触发：位于储物袋底部且上方相邻土属性道具时，获得 3 层露水；位于储物袋底部且上方相邻土属性道具时，获得 6 层露水；位于储物袋底部且上方相邻土属性道具时，获得 9 层露水；位于储物袋底部且上方相邻土属性道具时，获得 12 层露水</t>
        </is>
      </c>
      <c r="R235" s="9" t="inlineStr"/>
      <c r="S235" s="9" t="inlineStr">
        <is>
          <t>花纹圆盘带着湿润泥色，盘心草叶纹舒展，像在厚土边缘引出一圈春露。</t>
        </is>
      </c>
      <c r="T235" s="8" t="inlineStr">
        <is>
          <t>implement_floral_seal_disc_f2333v1_1x1</t>
        </is>
      </c>
      <c r="U235" s="8" t="inlineStr">
        <is>
          <t>allowed</t>
        </is>
      </c>
    </row>
    <row r="236" ht="34" customHeight="1">
      <c r="A236" s="8" t="n">
        <v>235</v>
      </c>
      <c r="B236" s="8" t="n">
        <v>400110</v>
      </c>
      <c r="C236" s="8" t="inlineStr">
        <is>
          <t>药圃针盘</t>
        </is>
      </c>
      <c r="D236" s="8" t="inlineStr">
        <is>
          <t>法器</t>
        </is>
      </c>
      <c r="E236" s="8" t="inlineStr">
        <is>
          <t>implement</t>
        </is>
      </c>
      <c r="F236" s="8" t="inlineStr">
        <is>
          <t>common</t>
        </is>
      </c>
      <c r="G236" s="8" t="inlineStr">
        <is>
          <t>木</t>
        </is>
      </c>
      <c r="H236" s="8" t="inlineStr">
        <is>
          <t>wood</t>
        </is>
      </c>
      <c r="I236" s="8" t="inlineStr">
        <is>
          <t>1×1</t>
        </is>
      </c>
      <c r="J236" s="8" t="n">
        <v>1</v>
      </c>
      <c r="K236" s="8" t="n">
        <v>10</v>
      </c>
      <c r="L236" s="8" t="inlineStr">
        <is>
          <t>是</t>
        </is>
      </c>
      <c r="M236" s="9" t="inlineStr">
        <is>
          <t>bazaar；dynamicRandomReward；itemReforge</t>
        </is>
      </c>
      <c r="N236" s="8" t="n">
        <v>1</v>
      </c>
      <c r="O236" s="9" t="inlineStr">
        <is>
          <t>条件触发</t>
        </is>
      </c>
      <c r="P236" s="9" t="inlineStr">
        <is>
          <t>triggered</t>
        </is>
      </c>
      <c r="Q236" s="9" t="inlineStr">
        <is>
          <t>条件触发：相邻丹药耗尽时，获得 4 层再生；相邻丹药耗尽时，获得 8 层再生；相邻丹药耗尽时，获得 12 层再生；相邻丹药耗尽时，获得 16 层再生</t>
        </is>
      </c>
      <c r="R236" s="9" t="inlineStr"/>
      <c r="S236" s="9" t="inlineStr">
        <is>
          <t>深色针盘里并列细针，针尖常凝药圃生机，等丹香散尽时才缓缓汇成养元灵息。</t>
        </is>
      </c>
      <c r="T236" s="8" t="inlineStr">
        <is>
          <t>implement_needle_tray_1x1</t>
        </is>
      </c>
      <c r="U236" s="8" t="inlineStr">
        <is>
          <t>allowed</t>
        </is>
      </c>
    </row>
    <row r="237" ht="34" customHeight="1">
      <c r="A237" s="8" t="n">
        <v>236</v>
      </c>
      <c r="B237" s="8" t="n">
        <v>400111</v>
      </c>
      <c r="C237" s="8" t="inlineStr">
        <is>
          <t>符缘檀匣</t>
        </is>
      </c>
      <c r="D237" s="8" t="inlineStr">
        <is>
          <t>法器</t>
        </is>
      </c>
      <c r="E237" s="8" t="inlineStr">
        <is>
          <t>implement</t>
        </is>
      </c>
      <c r="F237" s="8" t="inlineStr">
        <is>
          <t>common</t>
        </is>
      </c>
      <c r="G237" s="8" t="inlineStr">
        <is>
          <t>木</t>
        </is>
      </c>
      <c r="H237" s="8" t="inlineStr">
        <is>
          <t>wood</t>
        </is>
      </c>
      <c r="I237" s="8" t="inlineStr">
        <is>
          <t>1×1</t>
        </is>
      </c>
      <c r="J237" s="8" t="n">
        <v>1</v>
      </c>
      <c r="K237" s="8" t="n">
        <v>10</v>
      </c>
      <c r="L237" s="8" t="inlineStr">
        <is>
          <t>是</t>
        </is>
      </c>
      <c r="M237" s="9" t="inlineStr">
        <is>
          <t>bazaar；dynamicRandomReward；itemReforge</t>
        </is>
      </c>
      <c r="N237" s="8" t="n">
        <v>1</v>
      </c>
      <c r="O237" s="9" t="inlineStr">
        <is>
          <t>条件触发</t>
        </is>
      </c>
      <c r="P237" s="9" t="inlineStr">
        <is>
          <t>triggered</t>
        </is>
      </c>
      <c r="Q237" s="9" t="inlineStr">
        <is>
          <t>条件触发：相邻符箓耗尽时，获得 4 层再生；相邻符箓耗尽时，获得 8 层再生；相邻符箓耗尽时，获得 12 层再生；相邻符箓耗尽时，获得 16 层再生</t>
        </is>
      </c>
      <c r="R237" s="9" t="inlineStr"/>
      <c r="S237" s="9" t="inlineStr">
        <is>
          <t>檀木小匣内嵌青藤银线，符纸余气散尽时，匣缝便渗出温润绵长的生机。</t>
        </is>
      </c>
      <c r="T237" s="8" t="inlineStr">
        <is>
          <t>implement_coil_incense_box_f2620v1_1x1</t>
        </is>
      </c>
      <c r="U237" s="8" t="inlineStr">
        <is>
          <t>allowed</t>
        </is>
      </c>
    </row>
    <row r="238" ht="34" customHeight="1">
      <c r="A238" s="8" t="n">
        <v>237</v>
      </c>
      <c r="B238" s="8" t="n">
        <v>400112</v>
      </c>
      <c r="C238" s="8" t="inlineStr">
        <is>
          <t>返青玉璧</t>
        </is>
      </c>
      <c r="D238" s="8" t="inlineStr">
        <is>
          <t>法器</t>
        </is>
      </c>
      <c r="E238" s="8" t="inlineStr">
        <is>
          <t>implement</t>
        </is>
      </c>
      <c r="F238" s="8" t="inlineStr">
        <is>
          <t>common</t>
        </is>
      </c>
      <c r="G238" s="8" t="inlineStr">
        <is>
          <t>木</t>
        </is>
      </c>
      <c r="H238" s="8" t="inlineStr">
        <is>
          <t>wood</t>
        </is>
      </c>
      <c r="I238" s="8" t="inlineStr">
        <is>
          <t>1×1</t>
        </is>
      </c>
      <c r="J238" s="8" t="n">
        <v>1</v>
      </c>
      <c r="K238" s="8" t="n">
        <v>20</v>
      </c>
      <c r="L238" s="8" t="inlineStr">
        <is>
          <t>是</t>
        </is>
      </c>
      <c r="M238" s="9" t="inlineStr">
        <is>
          <t>bazaar；dynamicRandomReward；itemReforge</t>
        </is>
      </c>
      <c r="N238" s="8" t="n">
        <v>1</v>
      </c>
      <c r="O238" s="9" t="inlineStr">
        <is>
          <t>周期触发</t>
        </is>
      </c>
      <c r="P238" s="9" t="inlineStr">
        <is>
          <t>periodicPulse</t>
        </is>
      </c>
      <c r="Q238" s="9" t="inlineStr">
        <is>
          <t>周期触发：露水超过 10 层时，恢复 6 点法力；露水超过 10 层时，恢复 9 点法力；露水超过 10 层时，恢复 12 点法力；露水超过 10 层时，恢复 15 点法力</t>
        </is>
      </c>
      <c r="R238" s="9" t="inlineStr"/>
      <c r="S238" s="9" t="inlineStr">
        <is>
          <t>浅绿玉璧温润通透，环身像有新芽影子浮动，露水渗入纹路后便化成回春气息。</t>
        </is>
      </c>
      <c r="T238" s="8" t="inlineStr">
        <is>
          <t>implement_mintjade_bi_1x1</t>
        </is>
      </c>
      <c r="U238" s="8" t="inlineStr">
        <is>
          <t>allowed</t>
        </is>
      </c>
    </row>
    <row r="239" ht="34" customHeight="1">
      <c r="A239" s="8" t="n">
        <v>238</v>
      </c>
      <c r="B239" s="8" t="n">
        <v>400113</v>
      </c>
      <c r="C239" s="8" t="inlineStr">
        <is>
          <t>坠岳木筹</t>
        </is>
      </c>
      <c r="D239" s="8" t="inlineStr">
        <is>
          <t>法器</t>
        </is>
      </c>
      <c r="E239" s="8" t="inlineStr">
        <is>
          <t>implement</t>
        </is>
      </c>
      <c r="F239" s="8" t="inlineStr">
        <is>
          <t>common</t>
        </is>
      </c>
      <c r="G239" s="8" t="inlineStr">
        <is>
          <t>土</t>
        </is>
      </c>
      <c r="H239" s="8" t="inlineStr">
        <is>
          <t>earth</t>
        </is>
      </c>
      <c r="I239" s="8" t="inlineStr">
        <is>
          <t>1×1</t>
        </is>
      </c>
      <c r="J239" s="8" t="n">
        <v>1</v>
      </c>
      <c r="K239" s="8" t="n">
        <v>12</v>
      </c>
      <c r="L239" s="8" t="inlineStr">
        <is>
          <t>是</t>
        </is>
      </c>
      <c r="M239" s="9" t="inlineStr">
        <is>
          <t>bazaar；dynamicRandomReward；itemReforge</t>
        </is>
      </c>
      <c r="N239" s="8" t="n">
        <v>1</v>
      </c>
      <c r="O239" s="9" t="inlineStr">
        <is>
          <t>周期触发</t>
        </is>
      </c>
      <c r="P239" s="9" t="inlineStr">
        <is>
          <t>periodicPulse</t>
        </is>
      </c>
      <c r="Q239" s="9" t="inlineStr">
        <is>
          <t>周期触发：位于储物袋角落时，消耗 5 点体力；位于储物袋角落时，消耗 8 点体力；位于储物袋角落时，消耗 11 点体力；位于储物袋角落时，消耗 14 点体力</t>
        </is>
      </c>
      <c r="R239" s="9" t="inlineStr"/>
      <c r="S239" s="9" t="inlineStr">
        <is>
          <t>一束木筹刻着山纹压线，落在袋角时像把一缕沉坠地气悄悄钉进四隅。</t>
        </is>
      </c>
      <c r="T239" s="8" t="inlineStr">
        <is>
          <t>implement_mountain_jade_token_1x1</t>
        </is>
      </c>
      <c r="U239" s="8" t="inlineStr">
        <is>
          <t>allowed</t>
        </is>
      </c>
    </row>
    <row r="240" ht="34" customHeight="1">
      <c r="A240" s="8" t="n">
        <v>239</v>
      </c>
      <c r="B240" s="8" t="n">
        <v>400114</v>
      </c>
      <c r="C240" s="8" t="inlineStr">
        <is>
          <t>钢制匕首</t>
        </is>
      </c>
      <c r="D240" s="8" t="inlineStr">
        <is>
          <t>法器</t>
        </is>
      </c>
      <c r="E240" s="8" t="inlineStr">
        <is>
          <t>implement</t>
        </is>
      </c>
      <c r="F240" s="8" t="inlineStr">
        <is>
          <t>common</t>
        </is>
      </c>
      <c r="G240" s="8" t="inlineStr">
        <is>
          <t>无</t>
        </is>
      </c>
      <c r="H240" s="8" t="inlineStr">
        <is>
          <t>none</t>
        </is>
      </c>
      <c r="I240" s="8" t="inlineStr">
        <is>
          <t>1×1</t>
        </is>
      </c>
      <c r="J240" s="8" t="n">
        <v>1</v>
      </c>
      <c r="K240" s="8" t="n">
        <v>6</v>
      </c>
      <c r="L240" s="8" t="inlineStr">
        <is>
          <t>是</t>
        </is>
      </c>
      <c r="M240" s="9" t="inlineStr">
        <is>
          <t>bazaar；dynamicRandomReward；itemReforge</t>
        </is>
      </c>
      <c r="N240" s="8" t="n">
        <v>1</v>
      </c>
      <c r="O240" s="9" t="inlineStr">
        <is>
          <t>周期触发</t>
        </is>
      </c>
      <c r="P240" s="9" t="inlineStr">
        <is>
          <t>periodicPulse</t>
        </is>
      </c>
      <c r="Q240" s="9" t="inlineStr">
        <is>
          <t>周期触发：对敌人造成 1 点伤害；对敌人造成 2 点伤害；对敌人造成 3 点伤害；对敌人造成 4 点伤害</t>
        </is>
      </c>
      <c r="R240" s="9" t="inlineStr"/>
      <c r="S240" s="9" t="inlineStr">
        <is>
          <t>寒铁短匕刃身冷白，皮革握柄沉稳，贴近时有细冷锋意顺着指节游走。</t>
        </is>
      </c>
      <c r="T240" s="8" t="inlineStr">
        <is>
          <t>implement_batch13_009_1x1</t>
        </is>
      </c>
      <c r="U240" s="8" t="inlineStr">
        <is>
          <t>allowed</t>
        </is>
      </c>
    </row>
    <row r="241" ht="34" customHeight="1">
      <c r="A241" s="8" t="n">
        <v>240</v>
      </c>
      <c r="B241" s="8" t="n">
        <v>400115</v>
      </c>
      <c r="C241" s="8" t="inlineStr">
        <is>
          <t>三影飞针</t>
        </is>
      </c>
      <c r="D241" s="8" t="inlineStr">
        <is>
          <t>法器</t>
        </is>
      </c>
      <c r="E241" s="8" t="inlineStr">
        <is>
          <t>implement</t>
        </is>
      </c>
      <c r="F241" s="8" t="inlineStr">
        <is>
          <t>common</t>
        </is>
      </c>
      <c r="G241" s="8" t="inlineStr">
        <is>
          <t>无</t>
        </is>
      </c>
      <c r="H241" s="8" t="inlineStr">
        <is>
          <t>none</t>
        </is>
      </c>
      <c r="I241" s="8" t="inlineStr">
        <is>
          <t>1×2</t>
        </is>
      </c>
      <c r="J241" s="8" t="n">
        <v>2</v>
      </c>
      <c r="K241" s="8" t="n">
        <v>12</v>
      </c>
      <c r="L241" s="8" t="inlineStr">
        <is>
          <t>是</t>
        </is>
      </c>
      <c r="M241" s="9" t="inlineStr">
        <is>
          <t>bazaar；dynamicRandomReward；itemReforge</t>
        </is>
      </c>
      <c r="N241" s="8" t="n">
        <v>1</v>
      </c>
      <c r="O241" s="9" t="inlineStr">
        <is>
          <t>周期触发</t>
        </is>
      </c>
      <c r="P241" s="9" t="inlineStr">
        <is>
          <t>periodicPulse</t>
        </is>
      </c>
      <c r="Q241" s="9" t="inlineStr">
        <is>
          <t>周期触发：开局时，消耗 1 点法力，对敌人造成 1 点伤害，使用 3 次；开局时，消耗 2 点法力，对敌人造成 2 点伤害，使用 3 次；开局时，消耗 3 点法力，对敌人造成 3 点伤害，使用 3 次；开局时，消耗 4 点法力，对敌人造成 4 点伤害，使用 3 次</t>
        </is>
      </c>
      <c r="R241" s="9" t="inlineStr"/>
      <c r="S241" s="9" t="inlineStr">
        <is>
          <t>三枚细长飞针并排收束，针尖金寒分明，轻掷时像三道细影一同掠出。</t>
        </is>
      </c>
      <c r="T241" s="8" t="inlineStr">
        <is>
          <t>implement_batch11_021_1x2</t>
        </is>
      </c>
      <c r="U241" s="8" t="inlineStr">
        <is>
          <t>allowed</t>
        </is>
      </c>
    </row>
    <row r="242" ht="34" customHeight="1">
      <c r="A242" s="8" t="n">
        <v>241</v>
      </c>
      <c r="B242" s="8" t="n">
        <v>400116</v>
      </c>
      <c r="C242" s="8" t="inlineStr">
        <is>
          <t>破甲爪腕</t>
        </is>
      </c>
      <c r="D242" s="8" t="inlineStr">
        <is>
          <t>法器</t>
        </is>
      </c>
      <c r="E242" s="8" t="inlineStr">
        <is>
          <t>implement</t>
        </is>
      </c>
      <c r="F242" s="8" t="inlineStr">
        <is>
          <t>common</t>
        </is>
      </c>
      <c r="G242" s="8" t="inlineStr">
        <is>
          <t>无</t>
        </is>
      </c>
      <c r="H242" s="8" t="inlineStr">
        <is>
          <t>none</t>
        </is>
      </c>
      <c r="I242" s="8" t="inlineStr">
        <is>
          <t>2×2</t>
        </is>
      </c>
      <c r="J242" s="8" t="n">
        <v>4</v>
      </c>
      <c r="K242" s="8" t="n">
        <v>8</v>
      </c>
      <c r="L242" s="8" t="inlineStr">
        <is>
          <t>是</t>
        </is>
      </c>
      <c r="M242" s="9" t="inlineStr">
        <is>
          <t>bazaar；dynamicRandomReward；itemReforge</t>
        </is>
      </c>
      <c r="N242" s="8" t="n">
        <v>1</v>
      </c>
      <c r="O242" s="9" t="inlineStr">
        <is>
          <t>周期触发</t>
        </is>
      </c>
      <c r="P242" s="9" t="inlineStr">
        <is>
          <t>periodicPulse</t>
        </is>
      </c>
      <c r="Q242" s="9" t="inlineStr">
        <is>
          <t>周期触发：移除敌人 6 层护甲，对敌人造成 2 点伤害；移除敌人 12 层护甲，对敌人造成 4 点伤害；移除敌人 18 层护甲，对敌人造成 6 点伤害；移除敌人 24 层护甲，对敌人造成 8 点伤害</t>
        </is>
      </c>
      <c r="R242" s="9" t="inlineStr"/>
      <c r="S242" s="9" t="inlineStr">
        <is>
          <t>骨白爪刃从黑铁腕具上并列伸出，刃根皮扣厚实，近身时最适合撕开护势。</t>
        </is>
      </c>
      <c r="T242" s="8" t="inlineStr">
        <is>
          <t>implement_batch12_006_2x2</t>
        </is>
      </c>
      <c r="U242" s="8" t="inlineStr">
        <is>
          <t>allowed</t>
        </is>
      </c>
    </row>
    <row r="243" ht="34" customHeight="1">
      <c r="A243" s="8" t="n">
        <v>242</v>
      </c>
      <c r="B243" s="8" t="n">
        <v>400117</v>
      </c>
      <c r="C243" s="8" t="inlineStr">
        <is>
          <t>引灵短剑</t>
        </is>
      </c>
      <c r="D243" s="8" t="inlineStr">
        <is>
          <t>法器</t>
        </is>
      </c>
      <c r="E243" s="8" t="inlineStr">
        <is>
          <t>implement</t>
        </is>
      </c>
      <c r="F243" s="8" t="inlineStr">
        <is>
          <t>common</t>
        </is>
      </c>
      <c r="G243" s="8" t="inlineStr">
        <is>
          <t>无</t>
        </is>
      </c>
      <c r="H243" s="8" t="inlineStr">
        <is>
          <t>none</t>
        </is>
      </c>
      <c r="I243" s="8" t="inlineStr">
        <is>
          <t>1×1</t>
        </is>
      </c>
      <c r="J243" s="8" t="n">
        <v>1</v>
      </c>
      <c r="K243" s="8" t="n">
        <v>10</v>
      </c>
      <c r="L243" s="8" t="inlineStr">
        <is>
          <t>是</t>
        </is>
      </c>
      <c r="M243" s="9" t="inlineStr">
        <is>
          <t>bazaar；beastDrop；dynamicRandomReward；itemReforge</t>
        </is>
      </c>
      <c r="N243" s="8" t="n">
        <v>1</v>
      </c>
      <c r="O243" s="9" t="inlineStr">
        <is>
          <t>周期触发</t>
        </is>
      </c>
      <c r="P243" s="9" t="inlineStr">
        <is>
          <t>periodicPulse</t>
        </is>
      </c>
      <c r="Q243" s="9" t="inlineStr">
        <is>
          <t>周期触发：消耗 1 点法力，对敌人造成 4 点伤害；消耗 2 点法力，对敌人造成 8 点伤害；消耗 3 点法力，对敌人造成 12 点伤害；消耗 4 点法力，对敌人造成 16 点伤害</t>
        </is>
      </c>
      <c r="R243" s="9" t="inlineStr"/>
      <c r="S243" s="9" t="inlineStr">
        <is>
          <t>银亮短剑嵌着赤色小芯石，剑脊花纹细密，灌入灵息后锋口微微发热。</t>
        </is>
      </c>
      <c r="T243" s="8" t="inlineStr">
        <is>
          <t>implement_batch12_010_1x1</t>
        </is>
      </c>
      <c r="U243" s="8" t="inlineStr">
        <is>
          <t>allowed</t>
        </is>
      </c>
    </row>
    <row r="244" ht="34" customHeight="1">
      <c r="A244" s="8" t="n">
        <v>243</v>
      </c>
      <c r="B244" s="8" t="n">
        <v>400118</v>
      </c>
      <c r="C244" s="8" t="inlineStr">
        <is>
          <t>银鳞臂甲</t>
        </is>
      </c>
      <c r="D244" s="8" t="inlineStr">
        <is>
          <t>法器</t>
        </is>
      </c>
      <c r="E244" s="8" t="inlineStr">
        <is>
          <t>implement</t>
        </is>
      </c>
      <c r="F244" s="8" t="inlineStr">
        <is>
          <t>common</t>
        </is>
      </c>
      <c r="G244" s="8" t="inlineStr">
        <is>
          <t>无</t>
        </is>
      </c>
      <c r="H244" s="8" t="inlineStr">
        <is>
          <t>none</t>
        </is>
      </c>
      <c r="I244" s="8" t="inlineStr">
        <is>
          <t>2×2</t>
        </is>
      </c>
      <c r="J244" s="8" t="n">
        <v>4</v>
      </c>
      <c r="K244" s="8" t="n">
        <v>12</v>
      </c>
      <c r="L244" s="8" t="inlineStr">
        <is>
          <t>是</t>
        </is>
      </c>
      <c r="M244" s="9" t="inlineStr">
        <is>
          <t>bazaar；dynamicRandomReward；itemReforge</t>
        </is>
      </c>
      <c r="N244" s="8" t="n">
        <v>1</v>
      </c>
      <c r="O244" s="9" t="inlineStr">
        <is>
          <t>周期触发</t>
        </is>
      </c>
      <c r="P244" s="9" t="inlineStr">
        <is>
          <t>periodicPulse</t>
        </is>
      </c>
      <c r="Q244" s="9" t="inlineStr">
        <is>
          <t>周期触发：开局时，获得 6 层护甲；开局时，获得 8 层护甲；开局时，获得 10 层护甲；开局时，获得 12 层护甲</t>
        </is>
      </c>
      <c r="R244" s="9" t="inlineStr"/>
      <c r="S244" s="9" t="inlineStr">
        <is>
          <t>银灰臂甲层层扣合如鳞，边缘铆钉压得紧实，佩上后手臂气脉更易稳住。</t>
        </is>
      </c>
      <c r="T244" s="8" t="inlineStr">
        <is>
          <t>implement_batch10_106_2x2</t>
        </is>
      </c>
      <c r="U244" s="8" t="inlineStr">
        <is>
          <t>allowed</t>
        </is>
      </c>
    </row>
    <row r="245" ht="34" customHeight="1">
      <c r="A245" s="8" t="n">
        <v>244</v>
      </c>
      <c r="B245" s="8" t="n">
        <v>400119</v>
      </c>
      <c r="C245" s="8" t="inlineStr">
        <is>
          <t>金纹护胸甲</t>
        </is>
      </c>
      <c r="D245" s="8" t="inlineStr">
        <is>
          <t>法器</t>
        </is>
      </c>
      <c r="E245" s="8" t="inlineStr">
        <is>
          <t>implement</t>
        </is>
      </c>
      <c r="F245" s="8" t="inlineStr">
        <is>
          <t>common</t>
        </is>
      </c>
      <c r="G245" s="8" t="inlineStr">
        <is>
          <t>无</t>
        </is>
      </c>
      <c r="H245" s="8" t="inlineStr">
        <is>
          <t>none</t>
        </is>
      </c>
      <c r="I245" s="8" t="inlineStr">
        <is>
          <t>2×2</t>
        </is>
      </c>
      <c r="J245" s="8" t="n">
        <v>4</v>
      </c>
      <c r="K245" s="8" t="n">
        <v>10</v>
      </c>
      <c r="L245" s="8" t="inlineStr">
        <is>
          <t>是</t>
        </is>
      </c>
      <c r="M245" s="9" t="inlineStr">
        <is>
          <t>bazaar；dynamicRandomReward；itemReforge</t>
        </is>
      </c>
      <c r="N245" s="8" t="n">
        <v>1</v>
      </c>
      <c r="O245" s="9" t="inlineStr">
        <is>
          <t>周期触发</t>
        </is>
      </c>
      <c r="P245" s="9" t="inlineStr">
        <is>
          <t>periodicPulse</t>
        </is>
      </c>
      <c r="Q245" s="9" t="inlineStr">
        <is>
          <t>周期触发：恢复 4 点体力；恢复 6 点体力；恢复 8 点体力；恢复 10 点体力</t>
        </is>
      </c>
      <c r="R245" s="9" t="inlineStr"/>
      <c r="S245" s="9" t="inlineStr">
        <is>
          <t>黑金胸甲正面纹路繁复，甲片贴合心口，沉稳金线像把散乱气血重新压回胸中。</t>
        </is>
      </c>
      <c r="T245" s="8" t="inlineStr">
        <is>
          <t>implement_batch10_107_2x2</t>
        </is>
      </c>
      <c r="U245" s="8" t="inlineStr">
        <is>
          <t>allowed</t>
        </is>
      </c>
    </row>
    <row r="246" ht="34" customHeight="1">
      <c r="A246" s="8" t="n">
        <v>245</v>
      </c>
      <c r="B246" s="8" t="n">
        <v>400120</v>
      </c>
      <c r="C246" s="8" t="inlineStr">
        <is>
          <t>迅捷短匕</t>
        </is>
      </c>
      <c r="D246" s="8" t="inlineStr">
        <is>
          <t>法器</t>
        </is>
      </c>
      <c r="E246" s="8" t="inlineStr">
        <is>
          <t>implement</t>
        </is>
      </c>
      <c r="F246" s="8" t="inlineStr">
        <is>
          <t>common</t>
        </is>
      </c>
      <c r="G246" s="8" t="inlineStr">
        <is>
          <t>无</t>
        </is>
      </c>
      <c r="H246" s="8" t="inlineStr">
        <is>
          <t>none</t>
        </is>
      </c>
      <c r="I246" s="8" t="inlineStr">
        <is>
          <t>1×1</t>
        </is>
      </c>
      <c r="J246" s="8" t="n">
        <v>1</v>
      </c>
      <c r="K246" s="8" t="n">
        <v>8</v>
      </c>
      <c r="L246" s="8" t="inlineStr">
        <is>
          <t>是</t>
        </is>
      </c>
      <c r="M246" s="9" t="inlineStr">
        <is>
          <t>bazaar；dynamicRandomReward；itemReforge</t>
        </is>
      </c>
      <c r="N246" s="8" t="n">
        <v>1</v>
      </c>
      <c r="O246" s="9" t="inlineStr">
        <is>
          <t>周期触发</t>
        </is>
      </c>
      <c r="P246" s="9" t="inlineStr">
        <is>
          <t>periodicPulse</t>
        </is>
      </c>
      <c r="Q246" s="9" t="inlineStr">
        <is>
          <t>周期触发：消耗 1 点法力，对敌人造成 1 点伤害；消耗 1 点法力，对敌人造成 2 点伤害；消耗 1 点法力，对敌人造成 3 点伤害；消耗 1 点法力，对敌人造成 4 点伤害</t>
        </is>
      </c>
      <c r="R246" s="9" t="inlineStr"/>
      <c r="S246" s="9" t="inlineStr">
        <is>
          <t>短匕刃面带着兽牙般的浅纹，握柄暗红沉实，贴身催动时锋口带一点搏命狠劲。</t>
        </is>
      </c>
      <c r="T246" s="8" t="inlineStr">
        <is>
          <t>implement_batch13_006_1x1</t>
        </is>
      </c>
      <c r="U246" s="8" t="inlineStr">
        <is>
          <t>allowed</t>
        </is>
      </c>
    </row>
    <row r="247" ht="34" customHeight="1">
      <c r="A247" s="8" t="n">
        <v>246</v>
      </c>
      <c r="B247" s="8" t="n">
        <v>400121</v>
      </c>
      <c r="C247" s="8" t="inlineStr">
        <is>
          <t>对扣护臂</t>
        </is>
      </c>
      <c r="D247" s="8" t="inlineStr">
        <is>
          <t>法器</t>
        </is>
      </c>
      <c r="E247" s="8" t="inlineStr">
        <is>
          <t>implement</t>
        </is>
      </c>
      <c r="F247" s="8" t="inlineStr">
        <is>
          <t>common</t>
        </is>
      </c>
      <c r="G247" s="8" t="inlineStr">
        <is>
          <t>无</t>
        </is>
      </c>
      <c r="H247" s="8" t="inlineStr">
        <is>
          <t>none</t>
        </is>
      </c>
      <c r="I247" s="8" t="inlineStr">
        <is>
          <t>2×2</t>
        </is>
      </c>
      <c r="J247" s="8" t="n">
        <v>4</v>
      </c>
      <c r="K247" s="8" t="n">
        <v>10</v>
      </c>
      <c r="L247" s="8" t="inlineStr">
        <is>
          <t>是</t>
        </is>
      </c>
      <c r="M247" s="9" t="inlineStr">
        <is>
          <t>bazaar；dynamicRandomReward；itemReforge</t>
        </is>
      </c>
      <c r="N247" s="8" t="n">
        <v>1</v>
      </c>
      <c r="O247" s="9" t="inlineStr">
        <is>
          <t>条件触发</t>
        </is>
      </c>
      <c r="P247" s="9" t="inlineStr">
        <is>
          <t>triggered</t>
        </is>
      </c>
      <c r="Q247" s="9" t="inlineStr">
        <is>
          <t>条件触发：使用两侧相邻武器时，对敌人造成 1 点伤害；使用两侧相邻武器时，对敌人造成 2 点伤害；使用两侧相邻武器时，对敌人造成 3 点伤害；使用两侧相邻武器时，对敌人造成 4 点伤害</t>
        </is>
      </c>
      <c r="R247" s="9" t="inlineStr"/>
      <c r="S247" s="9" t="inlineStr">
        <is>
          <t>一对银扣护臂左右成套，甲片弧度圆整，扣紧后能把灵息缓缓引回臂脉。</t>
        </is>
      </c>
      <c r="T247" s="8" t="inlineStr">
        <is>
          <t>implement_batch10_120_2x2</t>
        </is>
      </c>
      <c r="U247" s="8" t="inlineStr">
        <is>
          <t>allowed</t>
        </is>
      </c>
    </row>
    <row r="248" ht="34" customHeight="1">
      <c r="A248" s="8" t="n">
        <v>247</v>
      </c>
      <c r="B248" s="8" t="n">
        <v>400122</v>
      </c>
      <c r="C248" s="8" t="inlineStr">
        <is>
          <t>龟纹刃盾</t>
        </is>
      </c>
      <c r="D248" s="8" t="inlineStr">
        <is>
          <t>法器</t>
        </is>
      </c>
      <c r="E248" s="8" t="inlineStr">
        <is>
          <t>implement</t>
        </is>
      </c>
      <c r="F248" s="8" t="inlineStr">
        <is>
          <t>common</t>
        </is>
      </c>
      <c r="G248" s="8" t="inlineStr">
        <is>
          <t>无</t>
        </is>
      </c>
      <c r="H248" s="8" t="inlineStr">
        <is>
          <t>none</t>
        </is>
      </c>
      <c r="I248" s="8" t="inlineStr">
        <is>
          <t>2×2</t>
        </is>
      </c>
      <c r="J248" s="8" t="n">
        <v>4</v>
      </c>
      <c r="K248" s="8" t="n">
        <v>7</v>
      </c>
      <c r="L248" s="8" t="inlineStr">
        <is>
          <t>是</t>
        </is>
      </c>
      <c r="M248" s="9" t="inlineStr">
        <is>
          <t>bazaar；beastDrop；dynamicRandomReward；itemReforge</t>
        </is>
      </c>
      <c r="N248" s="8" t="n">
        <v>1</v>
      </c>
      <c r="O248" s="9" t="inlineStr">
        <is>
          <t>周期触发</t>
        </is>
      </c>
      <c r="P248" s="9" t="inlineStr">
        <is>
          <t>periodicPulse</t>
        </is>
      </c>
      <c r="Q248" s="9" t="inlineStr">
        <is>
          <t>周期触发：获得 3 层护甲；获得 6 层护甲；获得 9 层护甲；获得 12 层护甲</t>
        </is>
      </c>
      <c r="R248" s="9" t="inlineStr"/>
      <c r="S248" s="9" t="inlineStr">
        <is>
          <t>圆盾表面龟甲纹清晰，边缘短刃微微外露，举盾时既能护身也能撞出锋口。</t>
        </is>
      </c>
      <c r="T248" s="8" t="inlineStr">
        <is>
          <t>implement_batch13_020_2x2</t>
        </is>
      </c>
      <c r="U248" s="8" t="inlineStr">
        <is>
          <t>allowed</t>
        </is>
      </c>
    </row>
    <row r="249" ht="34" customHeight="1">
      <c r="A249" s="8" t="n">
        <v>248</v>
      </c>
      <c r="B249" s="8" t="n">
        <v>400123</v>
      </c>
      <c r="C249" s="8" t="inlineStr">
        <is>
          <t>山纹方锤</t>
        </is>
      </c>
      <c r="D249" s="8" t="inlineStr">
        <is>
          <t>法器</t>
        </is>
      </c>
      <c r="E249" s="8" t="inlineStr">
        <is>
          <t>implement</t>
        </is>
      </c>
      <c r="F249" s="8" t="inlineStr">
        <is>
          <t>common</t>
        </is>
      </c>
      <c r="G249" s="8" t="inlineStr">
        <is>
          <t>无</t>
        </is>
      </c>
      <c r="H249" s="8" t="inlineStr">
        <is>
          <t>none</t>
        </is>
      </c>
      <c r="I249" s="8" t="inlineStr">
        <is>
          <t>2×2</t>
        </is>
      </c>
      <c r="J249" s="8" t="n">
        <v>4</v>
      </c>
      <c r="K249" s="8" t="n">
        <v>12</v>
      </c>
      <c r="L249" s="8" t="inlineStr">
        <is>
          <t>是</t>
        </is>
      </c>
      <c r="M249" s="9" t="inlineStr">
        <is>
          <t>bazaar；dynamicRandomReward；itemReforge</t>
        </is>
      </c>
      <c r="N249" s="8" t="n">
        <v>1</v>
      </c>
      <c r="O249" s="9" t="inlineStr">
        <is>
          <t>周期触发</t>
        </is>
      </c>
      <c r="P249" s="9" t="inlineStr">
        <is>
          <t>periodicPulse</t>
        </is>
      </c>
      <c r="Q249" s="9" t="inlineStr">
        <is>
          <t>周期触发：消耗 3 点体力，对敌人造成 12 点伤害；消耗 6 点体力，对敌人造成 24 点伤害；消耗 9 点体力，对敌人造成 36 点伤害；消耗 12 点体力，对敌人造成 48 点伤害</t>
        </is>
      </c>
      <c r="R249" s="9" t="inlineStr"/>
      <c r="S249" s="9" t="inlineStr">
        <is>
          <t>方形重锤锤面绘着山纹，短柄皮缠厚实，挥起时有沉重山势压在腕间。</t>
        </is>
      </c>
      <c r="T249" s="8" t="inlineStr">
        <is>
          <t>implement_batch13_014_2x2</t>
        </is>
      </c>
      <c r="U249" s="8" t="inlineStr">
        <is>
          <t>allowed</t>
        </is>
      </c>
    </row>
    <row r="250" ht="34" customHeight="1">
      <c r="A250" s="8" t="n">
        <v>249</v>
      </c>
      <c r="B250" s="8" t="n">
        <v>400124</v>
      </c>
      <c r="C250" s="8" t="inlineStr">
        <is>
          <t>剜心轮刃</t>
        </is>
      </c>
      <c r="D250" s="8" t="inlineStr">
        <is>
          <t>法器</t>
        </is>
      </c>
      <c r="E250" s="8" t="inlineStr">
        <is>
          <t>implement</t>
        </is>
      </c>
      <c r="F250" s="8" t="inlineStr">
        <is>
          <t>common</t>
        </is>
      </c>
      <c r="G250" s="8" t="inlineStr">
        <is>
          <t>无</t>
        </is>
      </c>
      <c r="H250" s="8" t="inlineStr">
        <is>
          <t>none</t>
        </is>
      </c>
      <c r="I250" s="8" t="inlineStr">
        <is>
          <t>1×1</t>
        </is>
      </c>
      <c r="J250" s="8" t="n">
        <v>1</v>
      </c>
      <c r="K250" s="8" t="n">
        <v>9</v>
      </c>
      <c r="L250" s="8" t="inlineStr">
        <is>
          <t>是</t>
        </is>
      </c>
      <c r="M250" s="9" t="inlineStr">
        <is>
          <t>bazaar；dynamicRandomReward；itemReforge</t>
        </is>
      </c>
      <c r="N250" s="8" t="n">
        <v>1</v>
      </c>
      <c r="O250" s="9" t="inlineStr">
        <is>
          <t>周期触发</t>
        </is>
      </c>
      <c r="P250" s="9" t="inlineStr">
        <is>
          <t>periodicPulse</t>
        </is>
      </c>
      <c r="Q250" s="9" t="inlineStr">
        <is>
          <t>周期触发：消耗 1 点气血，对敌人造成 2 点伤害；消耗 2 点气血，对敌人造成 4 点伤害；消耗 3 点气血，对敌人造成 6 点伤害；消耗 4 点气血，对敌人造成 8 点伤害</t>
        </is>
      </c>
      <c r="R250" s="9" t="inlineStr"/>
      <c r="S250" s="9" t="inlineStr">
        <is>
          <t>小巧环刃内沿泛着暗红寒光，指尖一拨便贴着掌心旋开，像把心口的狠意压进锋刃。</t>
        </is>
      </c>
      <c r="T250" s="8" t="inlineStr">
        <is>
          <t>implement_batch11_032_1x1</t>
        </is>
      </c>
      <c r="U250" s="8" t="inlineStr">
        <is>
          <t>allowed</t>
        </is>
      </c>
    </row>
    <row r="251" ht="34" customHeight="1">
      <c r="A251" s="8" t="n">
        <v>250</v>
      </c>
      <c r="B251" s="8" t="n">
        <v>400125</v>
      </c>
      <c r="C251" s="8" t="inlineStr">
        <is>
          <t>血纹短矛</t>
        </is>
      </c>
      <c r="D251" s="8" t="inlineStr">
        <is>
          <t>法器</t>
        </is>
      </c>
      <c r="E251" s="8" t="inlineStr">
        <is>
          <t>implement</t>
        </is>
      </c>
      <c r="F251" s="8" t="inlineStr">
        <is>
          <t>common</t>
        </is>
      </c>
      <c r="G251" s="8" t="inlineStr">
        <is>
          <t>无</t>
        </is>
      </c>
      <c r="H251" s="8" t="inlineStr">
        <is>
          <t>none</t>
        </is>
      </c>
      <c r="I251" s="8" t="inlineStr">
        <is>
          <t>3×1</t>
        </is>
      </c>
      <c r="J251" s="8" t="n">
        <v>3</v>
      </c>
      <c r="K251" s="8" t="n">
        <v>7</v>
      </c>
      <c r="L251" s="8" t="inlineStr">
        <is>
          <t>是</t>
        </is>
      </c>
      <c r="M251" s="9" t="inlineStr">
        <is>
          <t>bazaar；dynamicRandomReward；itemReforge</t>
        </is>
      </c>
      <c r="N251" s="8" t="n">
        <v>1</v>
      </c>
      <c r="O251" s="9" t="inlineStr">
        <is>
          <t>周期触发</t>
        </is>
      </c>
      <c r="P251" s="9" t="inlineStr">
        <is>
          <t>periodicPulse</t>
        </is>
      </c>
      <c r="Q251" s="9" t="inlineStr">
        <is>
          <t>周期触发：消耗 4 点体力，对敌人造成 8 点伤害；消耗 8 点体力，对敌人造成 16 点伤害；消耗 12 点体力，对敌人造成 24 点伤害；消耗 16 点体力，对敌人造成 32 点伤害</t>
        </is>
      </c>
      <c r="R251" s="9" t="inlineStr"/>
      <c r="S251" s="9" t="inlineStr">
        <is>
          <t>短矛矛尖刻着细密血纹，木柄缠线发旧，握紧时锋芒会顺着脉搏轻轻震动。</t>
        </is>
      </c>
      <c r="T251" s="8" t="inlineStr">
        <is>
          <t>implement_batch11_009_3x1</t>
        </is>
      </c>
      <c r="U251" s="8" t="inlineStr">
        <is>
          <t>allowed</t>
        </is>
      </c>
    </row>
    <row r="252" ht="34" customHeight="1">
      <c r="A252" s="8" t="n">
        <v>251</v>
      </c>
      <c r="B252" s="8" t="n">
        <v>400126</v>
      </c>
      <c r="C252" s="8" t="inlineStr">
        <is>
          <t>裂心照影镜</t>
        </is>
      </c>
      <c r="D252" s="8" t="inlineStr">
        <is>
          <t>法器</t>
        </is>
      </c>
      <c r="E252" s="8" t="inlineStr">
        <is>
          <t>implement</t>
        </is>
      </c>
      <c r="F252" s="8" t="inlineStr">
        <is>
          <t>mystic</t>
        </is>
      </c>
      <c r="G252" s="8" t="inlineStr">
        <is>
          <t>金</t>
        </is>
      </c>
      <c r="H252" s="8" t="inlineStr">
        <is>
          <t>metal</t>
        </is>
      </c>
      <c r="I252" s="8" t="inlineStr">
        <is>
          <t>1×1</t>
        </is>
      </c>
      <c r="J252" s="8" t="n">
        <v>1</v>
      </c>
      <c r="K252" s="8" t="n">
        <v>800</v>
      </c>
      <c r="L252" s="8" t="inlineStr">
        <is>
          <t>是</t>
        </is>
      </c>
      <c r="M252" s="9" t="inlineStr">
        <is>
          <t>bazaar；dynamicRandomReward；itemReforge</t>
        </is>
      </c>
      <c r="N252" s="8" t="n">
        <v>2</v>
      </c>
      <c r="O252" s="9" t="inlineStr">
        <is>
          <t>周期触发；条件触发</t>
        </is>
      </c>
      <c r="P252" s="9" t="inlineStr">
        <is>
          <t>periodicPulse；triggered</t>
        </is>
      </c>
      <c r="Q252" s="9" t="inlineStr">
        <is>
          <t>周期触发：使敌方随机 2 件道具减速 5 秒 | 条件触发：上方相邻道具轮转时，该道具获得 5 秒加速</t>
        </is>
      </c>
      <c r="R252" s="9" t="inlineStr"/>
      <c r="S252" s="9" t="inlineStr">
        <is>
          <t>圆镜边缘嵌着细碎红纹，镜面不照人脸，只映出一线将裂未裂的暗影。</t>
        </is>
      </c>
      <c r="T252" s="8" t="inlineStr">
        <is>
          <t>implement_batch11_047_1x1</t>
        </is>
      </c>
      <c r="U252" s="8" t="inlineStr">
        <is>
          <t>allowed</t>
        </is>
      </c>
    </row>
    <row r="253" ht="34" customHeight="1">
      <c r="A253" s="8" t="n">
        <v>252</v>
      </c>
      <c r="B253" s="8" t="n">
        <v>400127</v>
      </c>
      <c r="C253" s="8" t="inlineStr">
        <is>
          <t>血锚臂甲</t>
        </is>
      </c>
      <c r="D253" s="8" t="inlineStr">
        <is>
          <t>法器</t>
        </is>
      </c>
      <c r="E253" s="8" t="inlineStr">
        <is>
          <t>implement</t>
        </is>
      </c>
      <c r="F253" s="8" t="inlineStr">
        <is>
          <t>common</t>
        </is>
      </c>
      <c r="G253" s="8" t="inlineStr">
        <is>
          <t>无</t>
        </is>
      </c>
      <c r="H253" s="8" t="inlineStr">
        <is>
          <t>none</t>
        </is>
      </c>
      <c r="I253" s="8" t="inlineStr">
        <is>
          <t>2×2</t>
        </is>
      </c>
      <c r="J253" s="8" t="n">
        <v>4</v>
      </c>
      <c r="K253" s="8" t="n">
        <v>12</v>
      </c>
      <c r="L253" s="8" t="inlineStr">
        <is>
          <t>是</t>
        </is>
      </c>
      <c r="M253" s="9" t="inlineStr">
        <is>
          <t>bazaar；dynamicRandomReward；itemReforge</t>
        </is>
      </c>
      <c r="N253" s="8" t="n">
        <v>1</v>
      </c>
      <c r="O253" s="9" t="inlineStr">
        <is>
          <t>周期触发</t>
        </is>
      </c>
      <c r="P253" s="9" t="inlineStr">
        <is>
          <t>periodicPulse</t>
        </is>
      </c>
      <c r="Q253" s="9" t="inlineStr">
        <is>
          <t>周期触发：消耗 3 点气血，获得 6 层护甲；消耗 6 点气血，获得 12 层护甲；消耗 9 点气血，获得 18 层护甲；消耗 12 点气血，获得 24 层护甲</t>
        </is>
      </c>
      <c r="R253" s="9" t="inlineStr"/>
      <c r="S253" s="9" t="inlineStr">
        <is>
          <t>臂甲甲片层叠如锚齿，内侧刻着暗红细槽，催动时会把一股沉劲钉进拳锋。</t>
        </is>
      </c>
      <c r="T253" s="8" t="inlineStr">
        <is>
          <t>implement_batch10_124_2x2</t>
        </is>
      </c>
      <c r="U253" s="8" t="inlineStr">
        <is>
          <t>allowed</t>
        </is>
      </c>
    </row>
    <row r="254" ht="34" customHeight="1">
      <c r="A254" s="8" t="n">
        <v>253</v>
      </c>
      <c r="B254" s="8" t="n">
        <v>400128</v>
      </c>
      <c r="C254" s="8" t="inlineStr">
        <is>
          <t>回灵玉牌</t>
        </is>
      </c>
      <c r="D254" s="8" t="inlineStr">
        <is>
          <t>法器</t>
        </is>
      </c>
      <c r="E254" s="8" t="inlineStr">
        <is>
          <t>implement</t>
        </is>
      </c>
      <c r="F254" s="8" t="inlineStr">
        <is>
          <t>common</t>
        </is>
      </c>
      <c r="G254" s="8" t="inlineStr">
        <is>
          <t>无</t>
        </is>
      </c>
      <c r="H254" s="8" t="inlineStr">
        <is>
          <t>none</t>
        </is>
      </c>
      <c r="I254" s="8" t="inlineStr">
        <is>
          <t>1×1</t>
        </is>
      </c>
      <c r="J254" s="8" t="n">
        <v>1</v>
      </c>
      <c r="K254" s="8" t="n">
        <v>10</v>
      </c>
      <c r="L254" s="8" t="inlineStr">
        <is>
          <t>是</t>
        </is>
      </c>
      <c r="M254" s="9" t="inlineStr">
        <is>
          <t>bazaar；journeyChest；dynamicRandomReward；itemReforge</t>
        </is>
      </c>
      <c r="N254" s="8" t="n">
        <v>1</v>
      </c>
      <c r="O254" s="9" t="inlineStr">
        <is>
          <t>周期触发</t>
        </is>
      </c>
      <c r="P254" s="9" t="inlineStr">
        <is>
          <t>periodicPulse</t>
        </is>
      </c>
      <c r="Q254" s="9" t="inlineStr">
        <is>
          <t>周期触发：恢复 2 点法力；恢复 4 点法力；恢复 6 点法力；恢复 8 点法力</t>
        </is>
      </c>
      <c r="R254" s="9" t="inlineStr"/>
      <c r="S254" s="9" t="inlineStr">
        <is>
          <t>长方玉牌温润微凉，金色云纹在牌面缓缓回旋，贴身佩着时能把散乱心神重新收稳。</t>
        </is>
      </c>
      <c r="T254" s="8" t="inlineStr">
        <is>
          <t>implement_spiritward_jade_tablet_1x1</t>
        </is>
      </c>
      <c r="U254" s="8" t="inlineStr">
        <is>
          <t>allowed</t>
        </is>
      </c>
    </row>
    <row r="255" ht="34" customHeight="1">
      <c r="A255" s="8" t="n">
        <v>254</v>
      </c>
      <c r="B255" s="8" t="n">
        <v>400129</v>
      </c>
      <c r="C255" s="8" t="inlineStr">
        <is>
          <t>汲法银针</t>
        </is>
      </c>
      <c r="D255" s="8" t="inlineStr">
        <is>
          <t>法器</t>
        </is>
      </c>
      <c r="E255" s="8" t="inlineStr">
        <is>
          <t>implement</t>
        </is>
      </c>
      <c r="F255" s="8" t="inlineStr">
        <is>
          <t>common</t>
        </is>
      </c>
      <c r="G255" s="8" t="inlineStr">
        <is>
          <t>无</t>
        </is>
      </c>
      <c r="H255" s="8" t="inlineStr">
        <is>
          <t>none</t>
        </is>
      </c>
      <c r="I255" s="8" t="inlineStr">
        <is>
          <t>1×1</t>
        </is>
      </c>
      <c r="J255" s="8" t="n">
        <v>1</v>
      </c>
      <c r="K255" s="8" t="n">
        <v>10</v>
      </c>
      <c r="L255" s="8" t="inlineStr">
        <is>
          <t>是</t>
        </is>
      </c>
      <c r="M255" s="9" t="inlineStr">
        <is>
          <t>bazaar；dynamicRandomReward；itemReforge</t>
        </is>
      </c>
      <c r="N255" s="8" t="n">
        <v>1</v>
      </c>
      <c r="O255" s="9" t="inlineStr">
        <is>
          <t>周期触发</t>
        </is>
      </c>
      <c r="P255" s="9" t="inlineStr">
        <is>
          <t>periodicPulse</t>
        </is>
      </c>
      <c r="Q255" s="9" t="inlineStr">
        <is>
          <t>周期触发：吸取敌人 4 点法力；吸取敌人 8 点法力；吸取敌人 12 点法力；吸取敌人 16 点法力</t>
        </is>
      </c>
      <c r="R255" s="9" t="inlineStr"/>
      <c r="S255" s="9" t="inlineStr">
        <is>
          <t>细长银针收在素纹针囊里，针尖冷光极细，像能从经脉缝隙里挑出一缕游散法力。</t>
        </is>
      </c>
      <c r="T255" s="8" t="inlineStr">
        <is>
          <t>implement_ritual_needle_bundle_f2619v1_1x1</t>
        </is>
      </c>
      <c r="U255" s="8" t="inlineStr">
        <is>
          <t>allowed</t>
        </is>
      </c>
    </row>
    <row r="256" ht="34" customHeight="1">
      <c r="A256" s="8" t="n">
        <v>255</v>
      </c>
      <c r="B256" s="8" t="n">
        <v>400130</v>
      </c>
      <c r="C256" s="8" t="inlineStr">
        <is>
          <t>锁灵潮镜</t>
        </is>
      </c>
      <c r="D256" s="8" t="inlineStr">
        <is>
          <t>法器</t>
        </is>
      </c>
      <c r="E256" s="8" t="inlineStr">
        <is>
          <t>implement</t>
        </is>
      </c>
      <c r="F256" s="8" t="inlineStr">
        <is>
          <t>common</t>
        </is>
      </c>
      <c r="G256" s="8" t="inlineStr">
        <is>
          <t>水</t>
        </is>
      </c>
      <c r="H256" s="8" t="inlineStr">
        <is>
          <t>water</t>
        </is>
      </c>
      <c r="I256" s="8" t="inlineStr">
        <is>
          <t>1×2</t>
        </is>
      </c>
      <c r="J256" s="8" t="n">
        <v>2</v>
      </c>
      <c r="K256" s="8" t="n">
        <v>30</v>
      </c>
      <c r="L256" s="8" t="inlineStr">
        <is>
          <t>是</t>
        </is>
      </c>
      <c r="M256" s="9" t="inlineStr">
        <is>
          <t>bazaar；dynamicRandomReward；itemReforge</t>
        </is>
      </c>
      <c r="N256" s="8" t="n">
        <v>1</v>
      </c>
      <c r="O256" s="9" t="inlineStr">
        <is>
          <t>周期触发</t>
        </is>
      </c>
      <c r="P256" s="9" t="inlineStr">
        <is>
          <t>periodicPulse</t>
        </is>
      </c>
      <c r="Q256" s="9" t="inlineStr">
        <is>
          <t>周期触发：消耗全部露水，吸取敌人 10 点法力；消耗全部露水；消耗全部露水，吸取敌人 15 点法力；消耗全部露水，吸取敌人 20 点法力；消耗全部露水，吸取敌人 25 点法力</t>
        </is>
      </c>
      <c r="R256" s="9" t="inlineStr"/>
      <c r="S256" s="9" t="inlineStr">
        <is>
          <t>窄长铜镜覆着暗潮纹，镜心微蓝，照向对手时像有细水悄悄缠住对方气机。</t>
        </is>
      </c>
      <c r="T256" s="8" t="inlineStr">
        <is>
          <t>implement_tide_scrying_mirror_1x2</t>
        </is>
      </c>
      <c r="U256" s="8" t="inlineStr">
        <is>
          <t>allowed</t>
        </is>
      </c>
    </row>
    <row r="257" ht="34" customHeight="1">
      <c r="A257" s="8" t="n">
        <v>256</v>
      </c>
      <c r="B257" s="8" t="n">
        <v>400131</v>
      </c>
      <c r="C257" s="8" t="inlineStr">
        <is>
          <t>夺法月铃</t>
        </is>
      </c>
      <c r="D257" s="8" t="inlineStr">
        <is>
          <t>法器</t>
        </is>
      </c>
      <c r="E257" s="8" t="inlineStr">
        <is>
          <t>implement</t>
        </is>
      </c>
      <c r="F257" s="8" t="inlineStr">
        <is>
          <t>common</t>
        </is>
      </c>
      <c r="G257" s="8" t="inlineStr">
        <is>
          <t>金</t>
        </is>
      </c>
      <c r="H257" s="8" t="inlineStr">
        <is>
          <t>metal</t>
        </is>
      </c>
      <c r="I257" s="8" t="inlineStr">
        <is>
          <t>1×1</t>
        </is>
      </c>
      <c r="J257" s="8" t="n">
        <v>1</v>
      </c>
      <c r="K257" s="8" t="n">
        <v>16</v>
      </c>
      <c r="L257" s="8" t="inlineStr">
        <is>
          <t>是</t>
        </is>
      </c>
      <c r="M257" s="9" t="inlineStr">
        <is>
          <t>bazaar；dynamicRandomReward；itemReforge</t>
        </is>
      </c>
      <c r="N257" s="8" t="n">
        <v>1</v>
      </c>
      <c r="O257" s="9" t="inlineStr">
        <is>
          <t>周期触发</t>
        </is>
      </c>
      <c r="P257" s="9" t="inlineStr">
        <is>
          <t>periodicPulse</t>
        </is>
      </c>
      <c r="Q257" s="9" t="inlineStr">
        <is>
          <t>周期触发：吸取敌人 1 点法力；吸取敌人 2 点法力；吸取敌人 3 点法力；吸取敌人 4 点法力</t>
        </is>
      </c>
      <c r="R257" s="9" t="inlineStr"/>
      <c r="S257" s="9" t="inlineStr">
        <is>
          <t>小铃垂着半月银舌，轻晃时响声不高，却像会贴着对手法力回路缓缓回旋。</t>
        </is>
      </c>
      <c r="T257" s="8" t="inlineStr">
        <is>
          <t>implement_moonchime_bell_1x1</t>
        </is>
      </c>
      <c r="U257" s="8" t="inlineStr">
        <is>
          <t>allowed</t>
        </is>
      </c>
    </row>
    <row r="258" ht="34" customHeight="1">
      <c r="A258" s="8" t="n">
        <v>257</v>
      </c>
      <c r="B258" s="8" t="n">
        <v>400132</v>
      </c>
      <c r="C258" s="8" t="inlineStr">
        <is>
          <t>护命玉扣</t>
        </is>
      </c>
      <c r="D258" s="8" t="inlineStr">
        <is>
          <t>法器</t>
        </is>
      </c>
      <c r="E258" s="8" t="inlineStr">
        <is>
          <t>implement</t>
        </is>
      </c>
      <c r="F258" s="8" t="inlineStr">
        <is>
          <t>common</t>
        </is>
      </c>
      <c r="G258" s="8" t="inlineStr">
        <is>
          <t>无</t>
        </is>
      </c>
      <c r="H258" s="8" t="inlineStr">
        <is>
          <t>none</t>
        </is>
      </c>
      <c r="I258" s="8" t="inlineStr">
        <is>
          <t>1×1</t>
        </is>
      </c>
      <c r="J258" s="8" t="n">
        <v>1</v>
      </c>
      <c r="K258" s="8" t="n">
        <v>10</v>
      </c>
      <c r="L258" s="8" t="inlineStr">
        <is>
          <t>是</t>
        </is>
      </c>
      <c r="M258" s="9" t="inlineStr">
        <is>
          <t>journeyChest；bazaar；dynamicRandomReward；itemReforge</t>
        </is>
      </c>
      <c r="N258" s="8" t="n">
        <v>1</v>
      </c>
      <c r="O258" s="9" t="inlineStr">
        <is>
          <t>周期触发</t>
        </is>
      </c>
      <c r="P258" s="9" t="inlineStr">
        <is>
          <t>periodicPulse</t>
        </is>
      </c>
      <c r="Q258" s="9" t="inlineStr">
        <is>
          <t>周期触发：每有 1 件相邻装备，恢复 1 点气血；每有 1 件相邻装备，恢复 2 点气血；每有 1 件相邻装备，恢复 3 点气血；每有 1 件相邻装备，恢复 4 点气血</t>
        </is>
      </c>
      <c r="R258" s="9" t="inlineStr"/>
      <c r="S258" s="9" t="inlineStr">
        <is>
          <t>青润小玉扣内嵌细金护纹，贴近衣襟时有一线温意沿着血脉缓缓收拢。</t>
        </is>
      </c>
      <c r="T258" s="8" t="inlineStr">
        <is>
          <t>implement_openwork_jade_ring_1x1</t>
        </is>
      </c>
      <c r="U258" s="8" t="inlineStr">
        <is>
          <t>allowed</t>
        </is>
      </c>
    </row>
    <row r="259" ht="34" customHeight="1">
      <c r="A259" s="8" t="n">
        <v>258</v>
      </c>
      <c r="B259" s="8" t="n">
        <v>400133</v>
      </c>
      <c r="C259" s="8" t="inlineStr">
        <is>
          <t>碧螳破阵臂</t>
        </is>
      </c>
      <c r="D259" s="8" t="inlineStr">
        <is>
          <t>法器</t>
        </is>
      </c>
      <c r="E259" s="8" t="inlineStr">
        <is>
          <t>implement</t>
        </is>
      </c>
      <c r="F259" s="8" t="inlineStr">
        <is>
          <t>common</t>
        </is>
      </c>
      <c r="G259" s="8" t="inlineStr">
        <is>
          <t>无</t>
        </is>
      </c>
      <c r="H259" s="8" t="inlineStr">
        <is>
          <t>none</t>
        </is>
      </c>
      <c r="I259" s="8" t="inlineStr">
        <is>
          <t>1×2</t>
        </is>
      </c>
      <c r="J259" s="8" t="n">
        <v>2</v>
      </c>
      <c r="K259" s="8" t="n">
        <v>12</v>
      </c>
      <c r="L259" s="8" t="inlineStr">
        <is>
          <t>是</t>
        </is>
      </c>
      <c r="M259" s="9" t="inlineStr">
        <is>
          <t>bazaar；dynamicRandomReward；itemReforge</t>
        </is>
      </c>
      <c r="N259" s="8" t="n">
        <v>1</v>
      </c>
      <c r="O259" s="9" t="inlineStr">
        <is>
          <t>条件触发</t>
        </is>
      </c>
      <c r="P259" s="9" t="inlineStr">
        <is>
          <t>triggered</t>
        </is>
      </c>
      <c r="Q259" s="9" t="inlineStr">
        <is>
          <t>条件触发：使用左侧相邻武器时，对敌人造成 1 点伤害；使用左侧相邻武器时，对敌人造成 2 点伤害；使用左侧相邻武器时，对敌人造成 3 点伤害；使用左侧相邻武器时，对敌人造成 4 点伤害</t>
        </is>
      </c>
      <c r="R259" s="9" t="inlineStr"/>
      <c r="S259" s="9" t="inlineStr">
        <is>
          <t>翠绿弯刃嵌在臂甲外侧，甲节层层扣紧，挥臂时刃光会顺着身侧兵器一并掠出。</t>
        </is>
      </c>
      <c r="T259" s="8" t="inlineStr">
        <is>
          <t>implement_beastmat_bi_jia_tang_bi_ke_pozhen_bracer_1x2</t>
        </is>
      </c>
      <c r="U259" s="8" t="inlineStr">
        <is>
          <t>allowed</t>
        </is>
      </c>
    </row>
    <row r="260" ht="34" customHeight="1">
      <c r="A260" s="8" t="n">
        <v>259</v>
      </c>
      <c r="B260" s="8" t="n">
        <v>400134</v>
      </c>
      <c r="C260" s="8" t="inlineStr">
        <is>
          <t>饮血铜匕</t>
        </is>
      </c>
      <c r="D260" s="8" t="inlineStr">
        <is>
          <t>法器</t>
        </is>
      </c>
      <c r="E260" s="8" t="inlineStr">
        <is>
          <t>implement</t>
        </is>
      </c>
      <c r="F260" s="8" t="inlineStr">
        <is>
          <t>common</t>
        </is>
      </c>
      <c r="G260" s="8" t="inlineStr">
        <is>
          <t>无</t>
        </is>
      </c>
      <c r="H260" s="8" t="inlineStr">
        <is>
          <t>none</t>
        </is>
      </c>
      <c r="I260" s="8" t="inlineStr">
        <is>
          <t>1×2</t>
        </is>
      </c>
      <c r="J260" s="8" t="n">
        <v>2</v>
      </c>
      <c r="K260" s="8" t="n">
        <v>8</v>
      </c>
      <c r="L260" s="8" t="inlineStr">
        <is>
          <t>是</t>
        </is>
      </c>
      <c r="M260" s="9" t="inlineStr">
        <is>
          <t>bazaar；dynamicRandomReward；itemReforge</t>
        </is>
      </c>
      <c r="N260" s="8" t="n">
        <v>1</v>
      </c>
      <c r="O260" s="9" t="inlineStr">
        <is>
          <t>周期触发</t>
        </is>
      </c>
      <c r="P260" s="9" t="inlineStr">
        <is>
          <t>periodicPulse</t>
        </is>
      </c>
      <c r="Q260" s="9" t="inlineStr">
        <is>
          <t>周期触发：消耗 1 点体力，吸取敌人 2 点气血；消耗 2 点体力，吸取敌人 4 点气血；消耗 3 点体力，吸取敌人 6 点气血；消耗 4 点体力，吸取敌人 8 点气血</t>
        </is>
      </c>
      <c r="R260" s="9" t="inlineStr"/>
      <c r="S260" s="9" t="inlineStr">
        <is>
          <t>青铜护手短匕沉在暗红皮鞘中，拔出时刃根微热，像仍沾着旧战留下的血气。</t>
        </is>
      </c>
      <c r="T260" s="8" t="inlineStr">
        <is>
          <t>implement_bronzeguard_dagger_1x2</t>
        </is>
      </c>
      <c r="U260" s="8" t="inlineStr">
        <is>
          <t>allowed</t>
        </is>
      </c>
    </row>
    <row r="261" ht="34" customHeight="1">
      <c r="A261" s="8" t="n">
        <v>260</v>
      </c>
      <c r="B261" s="8" t="n">
        <v>400135</v>
      </c>
      <c r="C261" s="8" t="inlineStr">
        <is>
          <t>血月刃轮</t>
        </is>
      </c>
      <c r="D261" s="8" t="inlineStr">
        <is>
          <t>法器</t>
        </is>
      </c>
      <c r="E261" s="8" t="inlineStr">
        <is>
          <t>implement</t>
        </is>
      </c>
      <c r="F261" s="8" t="inlineStr">
        <is>
          <t>common</t>
        </is>
      </c>
      <c r="G261" s="8" t="inlineStr">
        <is>
          <t>无</t>
        </is>
      </c>
      <c r="H261" s="8" t="inlineStr">
        <is>
          <t>none</t>
        </is>
      </c>
      <c r="I261" s="8" t="inlineStr">
        <is>
          <t>1×1</t>
        </is>
      </c>
      <c r="J261" s="8" t="n">
        <v>1</v>
      </c>
      <c r="K261" s="8" t="n">
        <v>10</v>
      </c>
      <c r="L261" s="8" t="inlineStr">
        <is>
          <t>是</t>
        </is>
      </c>
      <c r="M261" s="9" t="inlineStr">
        <is>
          <t>bazaar；dynamicRandomReward；itemReforge</t>
        </is>
      </c>
      <c r="N261" s="8" t="n">
        <v>1</v>
      </c>
      <c r="O261" s="9" t="inlineStr">
        <is>
          <t>周期触发</t>
        </is>
      </c>
      <c r="P261" s="9" t="inlineStr">
        <is>
          <t>periodicPulse</t>
        </is>
      </c>
      <c r="Q261" s="9" t="inlineStr">
        <is>
          <t>周期触发：对敌人造成 1 点伤害，使用 3 次；对敌人造成 2 点伤害，使用 3 次；对敌人造成 3 点伤害，使用 3 次；对敌人造成 4 点伤害，使用 3 次</t>
        </is>
      </c>
      <c r="R261" s="9" t="inlineStr"/>
      <c r="S261" s="9" t="inlineStr">
        <is>
          <t>三弯刃片扣成小轮，刃锋带着暗红月痕，转动时像会把伤口余息一并卷回。</t>
        </is>
      </c>
      <c r="T261" s="8" t="inlineStr">
        <is>
          <t>implement_triple_moon_blade_1x1</t>
        </is>
      </c>
      <c r="U261" s="8" t="inlineStr">
        <is>
          <t>allowed</t>
        </is>
      </c>
    </row>
    <row r="262" ht="34" customHeight="1">
      <c r="A262" s="8" t="n">
        <v>261</v>
      </c>
      <c r="B262" s="8" t="n">
        <v>400136</v>
      </c>
      <c r="C262" s="8" t="inlineStr">
        <is>
          <t>云纹护心甲</t>
        </is>
      </c>
      <c r="D262" s="8" t="inlineStr">
        <is>
          <t>法器</t>
        </is>
      </c>
      <c r="E262" s="8" t="inlineStr">
        <is>
          <t>implement</t>
        </is>
      </c>
      <c r="F262" s="8" t="inlineStr">
        <is>
          <t>common</t>
        </is>
      </c>
      <c r="G262" s="8" t="inlineStr">
        <is>
          <t>无</t>
        </is>
      </c>
      <c r="H262" s="8" t="inlineStr">
        <is>
          <t>none</t>
        </is>
      </c>
      <c r="I262" s="8" t="inlineStr">
        <is>
          <t>2×2</t>
        </is>
      </c>
      <c r="J262" s="8" t="n">
        <v>4</v>
      </c>
      <c r="K262" s="8" t="n">
        <v>10</v>
      </c>
      <c r="L262" s="8" t="inlineStr">
        <is>
          <t>是</t>
        </is>
      </c>
      <c r="M262" s="9" t="inlineStr">
        <is>
          <t>bazaar；dynamicRandomReward；itemReforge</t>
        </is>
      </c>
      <c r="N262" s="8" t="n">
        <v>1</v>
      </c>
      <c r="O262" s="9" t="inlineStr">
        <is>
          <t>条件触发</t>
        </is>
      </c>
      <c r="P262" s="9" t="inlineStr">
        <is>
          <t>triggered</t>
        </is>
      </c>
      <c r="Q262" s="9" t="inlineStr">
        <is>
          <t>条件触发：使用相邻道具时，恢复 1 点气血；使用相邻道具时，恢复 2 点气血；使用相邻道具时，恢复 3 点气血；使用相邻道具时，恢复 4 点气血</t>
        </is>
      </c>
      <c r="R262" s="9" t="inlineStr"/>
      <c r="S262" s="9" t="inlineStr">
        <is>
          <t>青玉胸甲嵌着金色云纹，贴身时有温润气息在心口盘旋，像一层缓慢回拢的护罩。</t>
        </is>
      </c>
      <c r="T262" s="8" t="inlineStr">
        <is>
          <t>implement_jadecloud_cuirass_2x2</t>
        </is>
      </c>
      <c r="U262" s="8" t="inlineStr">
        <is>
          <t>allowed</t>
        </is>
      </c>
    </row>
    <row r="263" ht="34" customHeight="1">
      <c r="A263" s="8" t="n">
        <v>262</v>
      </c>
      <c r="B263" s="8" t="n">
        <v>400137</v>
      </c>
      <c r="C263" s="8" t="inlineStr">
        <is>
          <t>镇符石牌</t>
        </is>
      </c>
      <c r="D263" s="8" t="inlineStr">
        <is>
          <t>法器</t>
        </is>
      </c>
      <c r="E263" s="8" t="inlineStr">
        <is>
          <t>implement</t>
        </is>
      </c>
      <c r="F263" s="8" t="inlineStr">
        <is>
          <t>common</t>
        </is>
      </c>
      <c r="G263" s="8" t="inlineStr">
        <is>
          <t>土</t>
        </is>
      </c>
      <c r="H263" s="8" t="inlineStr">
        <is>
          <t>earth</t>
        </is>
      </c>
      <c r="I263" s="8" t="inlineStr">
        <is>
          <t>1×1</t>
        </is>
      </c>
      <c r="J263" s="8" t="n">
        <v>1</v>
      </c>
      <c r="K263" s="8" t="n">
        <v>10</v>
      </c>
      <c r="L263" s="8" t="inlineStr">
        <is>
          <t>是</t>
        </is>
      </c>
      <c r="M263" s="9" t="inlineStr">
        <is>
          <t>bazaar；dynamicRandomReward；itemReforge</t>
        </is>
      </c>
      <c r="N263" s="8" t="n">
        <v>1</v>
      </c>
      <c r="O263" s="9" t="inlineStr">
        <is>
          <t>周期触发</t>
        </is>
      </c>
      <c r="P263" s="9" t="inlineStr">
        <is>
          <t>periodicPulse</t>
        </is>
      </c>
      <c r="Q263" s="9" t="inlineStr">
        <is>
          <t>周期触发：相邻至少 3 个功法时，恢复 10 点法力；相邻至少 3 个功法时，恢复 20 点法力；相邻至少 3 个功法时，恢复 30 点法力；相邻至少 3 个功法时，恢复 40 点法力</t>
        </is>
      </c>
      <c r="R263" s="9" t="inlineStr"/>
      <c r="S263" s="9" t="inlineStr">
        <is>
          <t>厚石小牌压着一角符旗纹，置于袋中可让气息更稳。</t>
        </is>
      </c>
      <c r="T263" s="8" t="inlineStr">
        <is>
          <t>implement_character_seal_plaque_1x1</t>
        </is>
      </c>
      <c r="U263" s="8" t="inlineStr">
        <is>
          <t>allowed</t>
        </is>
      </c>
    </row>
    <row r="264" ht="34" customHeight="1">
      <c r="A264" s="8" t="n">
        <v>263</v>
      </c>
      <c r="B264" s="8" t="n">
        <v>400139</v>
      </c>
      <c r="C264" s="8" t="inlineStr">
        <is>
          <t>温炉丹匣</t>
        </is>
      </c>
      <c r="D264" s="8" t="inlineStr">
        <is>
          <t>法器</t>
        </is>
      </c>
      <c r="E264" s="8" t="inlineStr">
        <is>
          <t>implement</t>
        </is>
      </c>
      <c r="F264" s="8" t="inlineStr">
        <is>
          <t>common</t>
        </is>
      </c>
      <c r="G264" s="8" t="inlineStr">
        <is>
          <t>火</t>
        </is>
      </c>
      <c r="H264" s="8" t="inlineStr">
        <is>
          <t>fire</t>
        </is>
      </c>
      <c r="I264" s="8" t="inlineStr">
        <is>
          <t>2×2</t>
        </is>
      </c>
      <c r="J264" s="8" t="n">
        <v>4</v>
      </c>
      <c r="K264" s="8" t="n">
        <v>6</v>
      </c>
      <c r="L264" s="8" t="inlineStr">
        <is>
          <t>是</t>
        </is>
      </c>
      <c r="M264" s="9" t="inlineStr">
        <is>
          <t>bazaar；dynamicRandomReward；itemReforge</t>
        </is>
      </c>
      <c r="N264" s="8" t="n">
        <v>1</v>
      </c>
      <c r="O264" s="9" t="inlineStr">
        <is>
          <t>周期触发</t>
        </is>
      </c>
      <c r="P264" s="9" t="inlineStr">
        <is>
          <t>periodicPulse</t>
        </is>
      </c>
      <c r="Q264" s="9" t="inlineStr">
        <is>
          <t>周期触发：相邻至少 3 个丹药时，恢复 10 点体力；相邻至少 3 个丹药时，恢复 20 点体力；相邻至少 3 个丹药时，恢复 30 点体力；相邻至少 3 个丹药时，恢复 40 点体力</t>
        </is>
      </c>
      <c r="R264" s="9" t="inlineStr"/>
      <c r="S264" s="9" t="inlineStr">
        <is>
          <t>小匣内壁覆有温火纹，适合丹霞弟子初学时收束火息。</t>
        </is>
      </c>
      <c r="T264" s="8" t="inlineStr">
        <is>
          <t>implement_flame_censer_2x2</t>
        </is>
      </c>
      <c r="U264" s="8" t="inlineStr">
        <is>
          <t>allowed</t>
        </is>
      </c>
    </row>
    <row r="265" ht="34" customHeight="1">
      <c r="A265" s="8" t="n">
        <v>264</v>
      </c>
      <c r="B265" s="8" t="n">
        <v>400140</v>
      </c>
      <c r="C265" s="8" t="inlineStr">
        <is>
          <t>炙魂铜针</t>
        </is>
      </c>
      <c r="D265" s="8" t="inlineStr">
        <is>
          <t>法器</t>
        </is>
      </c>
      <c r="E265" s="8" t="inlineStr">
        <is>
          <t>implement</t>
        </is>
      </c>
      <c r="F265" s="8" t="inlineStr">
        <is>
          <t>common</t>
        </is>
      </c>
      <c r="G265" s="8" t="inlineStr">
        <is>
          <t>火</t>
        </is>
      </c>
      <c r="H265" s="8" t="inlineStr">
        <is>
          <t>fire</t>
        </is>
      </c>
      <c r="I265" s="8" t="inlineStr">
        <is>
          <t>1×2</t>
        </is>
      </c>
      <c r="J265" s="8" t="n">
        <v>2</v>
      </c>
      <c r="K265" s="8" t="n">
        <v>8</v>
      </c>
      <c r="L265" s="8" t="inlineStr">
        <is>
          <t>是</t>
        </is>
      </c>
      <c r="M265" s="9" t="inlineStr">
        <is>
          <t>bazaar；dynamicRandomReward；itemReforge</t>
        </is>
      </c>
      <c r="N265" s="8" t="n">
        <v>1</v>
      </c>
      <c r="O265" s="9" t="inlineStr">
        <is>
          <t>周期触发</t>
        </is>
      </c>
      <c r="P265" s="9" t="inlineStr">
        <is>
          <t>periodicPulse</t>
        </is>
      </c>
      <c r="Q265" s="9" t="inlineStr">
        <is>
          <t>周期触发：消耗 6 点体力，最多触发 2 次；每次消耗敌方 3 层灼烧，并对其造成 20 点伤害；消耗 8 点体力，最多触发 3 次；每次消耗敌方 3 层灼烧，并对其造成 20 点伤害；消耗 10 点体力，最多触发 4 次；每次消耗敌方 3 层灼烧，并对其造成 20 点伤害；消耗 12 点体力，最多触发 5 次；每次消耗敌方 3 层灼烧，并对其造成 20 点伤害</t>
        </is>
      </c>
      <c r="R265" s="9" t="inlineStr"/>
      <c r="S265" s="9" t="inlineStr">
        <is>
          <t>三枚赤铜长针束在火纹扣环中，针尖常凝着一线追魂灼光。</t>
        </is>
      </c>
      <c r="T265" s="8" t="inlineStr">
        <is>
          <t>implement_flametip_needle_bundle_1x2</t>
        </is>
      </c>
      <c r="U265" s="8" t="inlineStr">
        <is>
          <t>allowed</t>
        </is>
      </c>
    </row>
    <row r="266" ht="34" customHeight="1">
      <c r="A266" s="8" t="n">
        <v>265</v>
      </c>
      <c r="B266" s="8" t="n">
        <v>400141</v>
      </c>
      <c r="C266" s="8" t="inlineStr">
        <is>
          <t>两仪焚心镜</t>
        </is>
      </c>
      <c r="D266" s="8" t="inlineStr">
        <is>
          <t>法器</t>
        </is>
      </c>
      <c r="E266" s="8" t="inlineStr">
        <is>
          <t>implement</t>
        </is>
      </c>
      <c r="F266" s="8" t="inlineStr">
        <is>
          <t>common</t>
        </is>
      </c>
      <c r="G266" s="8" t="inlineStr">
        <is>
          <t>火</t>
        </is>
      </c>
      <c r="H266" s="8" t="inlineStr">
        <is>
          <t>fire</t>
        </is>
      </c>
      <c r="I266" s="8" t="inlineStr">
        <is>
          <t>2×2</t>
        </is>
      </c>
      <c r="J266" s="8" t="n">
        <v>4</v>
      </c>
      <c r="K266" s="8" t="n">
        <v>9</v>
      </c>
      <c r="L266" s="8" t="inlineStr">
        <is>
          <t>是</t>
        </is>
      </c>
      <c r="M266" s="9" t="inlineStr">
        <is>
          <t>bazaar；dynamicRandomReward；itemReforge</t>
        </is>
      </c>
      <c r="N266" s="8" t="n">
        <v>1</v>
      </c>
      <c r="O266" s="9" t="inlineStr">
        <is>
          <t>周期触发</t>
        </is>
      </c>
      <c r="P266" s="9" t="inlineStr">
        <is>
          <t>periodicPulse</t>
        </is>
      </c>
      <c r="Q266" s="9" t="inlineStr">
        <is>
          <t>周期触发：最多触发 3 次；每次消耗自身 3 层炎热和敌方 3 层灼烧，并对敌方造成 20 点伤害；最多触发 4 次；每次消耗自身 4 层炎热和敌方 4 层灼烧，并对敌方造成 20 点伤害；最多触发 5 次；每次消耗自身 5 层炎热和敌方 5 层灼烧，并对敌方造成 20 点伤害；最多触发 6 次；每次消耗自身 6 层炎热和敌方 6 层灼烧，并对敌方造成 20 点伤害</t>
        </is>
      </c>
      <c r="R266" s="9" t="inlineStr"/>
      <c r="S266" s="9" t="inlineStr">
        <is>
          <t>赤金圆镜分映敌我两道火影，镜心八芒随两边热息一同明灭。</t>
        </is>
      </c>
      <c r="T266" s="8" t="inlineStr">
        <is>
          <t>implement_flame_lock_disc_2x2</t>
        </is>
      </c>
      <c r="U266" s="8" t="inlineStr">
        <is>
          <t>allowed</t>
        </is>
      </c>
    </row>
    <row r="267" ht="34" customHeight="1">
      <c r="A267" s="8" t="n">
        <v>266</v>
      </c>
      <c r="B267" s="8" t="n">
        <v>400142</v>
      </c>
      <c r="C267" s="8" t="inlineStr">
        <is>
          <t>追火飞剑匣</t>
        </is>
      </c>
      <c r="D267" s="8" t="inlineStr">
        <is>
          <t>法器</t>
        </is>
      </c>
      <c r="E267" s="8" t="inlineStr">
        <is>
          <t>implement</t>
        </is>
      </c>
      <c r="F267" s="8" t="inlineStr">
        <is>
          <t>common</t>
        </is>
      </c>
      <c r="G267" s="8" t="inlineStr">
        <is>
          <t>火</t>
        </is>
      </c>
      <c r="H267" s="8" t="inlineStr">
        <is>
          <t>fire</t>
        </is>
      </c>
      <c r="I267" s="8" t="inlineStr">
        <is>
          <t>1×1</t>
        </is>
      </c>
      <c r="J267" s="8" t="n">
        <v>1</v>
      </c>
      <c r="K267" s="8" t="n">
        <v>9</v>
      </c>
      <c r="L267" s="8" t="inlineStr">
        <is>
          <t>是</t>
        </is>
      </c>
      <c r="M267" s="9" t="inlineStr">
        <is>
          <t>bazaar；dynamicRandomReward；itemReforge</t>
        </is>
      </c>
      <c r="N267" s="8" t="n">
        <v>1</v>
      </c>
      <c r="O267" s="9" t="inlineStr">
        <is>
          <t>条件触发</t>
        </is>
      </c>
      <c r="P267" s="9" t="inlineStr">
        <is>
          <t>triggered</t>
        </is>
      </c>
      <c r="Q267" s="9" t="inlineStr">
        <is>
          <t>条件触发：右侧相邻道具对敌方造成伤害时，消耗敌方 3 层灼烧并追加 21 点伤害；右侧相邻道具对敌方造成伤害时，消耗敌方 6 层灼烧并追加 42 点伤害；右侧相邻道具对敌方造成伤害时，消耗敌方 9 层灼烧并追加 63 点伤害；右侧相邻道具对敌方造成伤害时，消耗敌方 12 层灼烧并追加 84 点伤害</t>
        </is>
      </c>
      <c r="R267" s="9" t="inlineStr"/>
      <c r="S267" s="9" t="inlineStr">
        <is>
          <t>小型赤铜剑匣内藏三枚短锋，右侧火光一起，匣中飞剑便循热追击。</t>
        </is>
      </c>
      <c r="T267" s="8" t="inlineStr">
        <is>
          <t>implement_batch13_017_1x1</t>
        </is>
      </c>
      <c r="U267" s="8" t="inlineStr">
        <is>
          <t>allowed</t>
        </is>
      </c>
    </row>
    <row r="268" ht="34" customHeight="1">
      <c r="A268" s="8" t="n">
        <v>267</v>
      </c>
      <c r="B268" s="8" t="n">
        <v>400143</v>
      </c>
      <c r="C268" s="8" t="inlineStr">
        <is>
          <t>返照焰甲</t>
        </is>
      </c>
      <c r="D268" s="8" t="inlineStr">
        <is>
          <t>法器</t>
        </is>
      </c>
      <c r="E268" s="8" t="inlineStr">
        <is>
          <t>implement</t>
        </is>
      </c>
      <c r="F268" s="8" t="inlineStr">
        <is>
          <t>common</t>
        </is>
      </c>
      <c r="G268" s="8" t="inlineStr">
        <is>
          <t>火</t>
        </is>
      </c>
      <c r="H268" s="8" t="inlineStr">
        <is>
          <t>fire</t>
        </is>
      </c>
      <c r="I268" s="8" t="inlineStr">
        <is>
          <t>2×2</t>
        </is>
      </c>
      <c r="J268" s="8" t="n">
        <v>4</v>
      </c>
      <c r="K268" s="8" t="n">
        <v>50</v>
      </c>
      <c r="L268" s="8" t="inlineStr">
        <is>
          <t>是</t>
        </is>
      </c>
      <c r="M268" s="9" t="inlineStr">
        <is>
          <t>bazaar；dynamicRandomReward；itemReforge</t>
        </is>
      </c>
      <c r="N268" s="8" t="n">
        <v>1</v>
      </c>
      <c r="O268" s="9" t="inlineStr">
        <is>
          <t>条件触发</t>
        </is>
      </c>
      <c r="P268" s="9" t="inlineStr">
        <is>
          <t>triggered</t>
        </is>
      </c>
      <c r="Q268" s="9" t="inlineStr">
        <is>
          <t>条件触发：受到伤害时，最多消耗 3 层炎热，每消耗 1 层，对敌方造成 3 点伤害；受到伤害时，最多消耗 4 层炎热，每消耗 1 层，对敌方造成 6 点伤害；受到伤害时，最多消耗 5 层炎热，每消耗 1 层，对敌方造成 9 点伤害；受到伤害时，最多消耗 6 层炎热，每消耗 1 层，对敌方造成 12 点伤害</t>
        </is>
      </c>
      <c r="R268" s="9" t="inlineStr"/>
      <c r="S268" s="9" t="inlineStr">
        <is>
          <t>红金重甲的火纹向内收束，受击时便将护体余焰反照向来敌。</t>
        </is>
      </c>
      <c r="T268" s="8" t="inlineStr">
        <is>
          <t>implement_blazing_cuirass_2x2</t>
        </is>
      </c>
      <c r="U268" s="8" t="inlineStr">
        <is>
          <t>allowed</t>
        </is>
      </c>
    </row>
    <row r="269" ht="34" customHeight="1">
      <c r="A269" s="8" t="n">
        <v>268</v>
      </c>
      <c r="B269" s="8" t="n">
        <v>400144</v>
      </c>
      <c r="C269" s="8" t="inlineStr">
        <is>
          <t>巡焰镇脉幡</t>
        </is>
      </c>
      <c r="D269" s="8" t="inlineStr">
        <is>
          <t>法器</t>
        </is>
      </c>
      <c r="E269" s="8" t="inlineStr">
        <is>
          <t>implement</t>
        </is>
      </c>
      <c r="F269" s="8" t="inlineStr">
        <is>
          <t>common</t>
        </is>
      </c>
      <c r="G269" s="8" t="inlineStr">
        <is>
          <t>火</t>
        </is>
      </c>
      <c r="H269" s="8" t="inlineStr">
        <is>
          <t>fire</t>
        </is>
      </c>
      <c r="I269" s="8" t="inlineStr">
        <is>
          <t>2×3</t>
        </is>
      </c>
      <c r="J269" s="8" t="n">
        <v>6</v>
      </c>
      <c r="K269" s="8" t="n">
        <v>18</v>
      </c>
      <c r="L269" s="8" t="inlineStr">
        <is>
          <t>是</t>
        </is>
      </c>
      <c r="M269" s="9" t="inlineStr">
        <is>
          <t>bazaar；dynamicRandomReward；itemReforge</t>
        </is>
      </c>
      <c r="N269" s="8" t="n">
        <v>1</v>
      </c>
      <c r="O269" s="9" t="inlineStr">
        <is>
          <t>周期触发</t>
        </is>
      </c>
      <c r="P269" s="9" t="inlineStr">
        <is>
          <t>periodicPulse</t>
        </is>
      </c>
      <c r="Q269" s="9" t="inlineStr">
        <is>
          <t>周期触发：对敌方造成 3 点伤害并施加 3 层灼烧；对敌方造成 6 点伤害并施加 6 层灼烧；对敌方造成 9 点伤害并施加 9 层灼烧；对敌方造成 12 点伤害并施加 12 层灼烧</t>
        </is>
      </c>
      <c r="R269" s="9" t="inlineStr"/>
      <c r="S269" s="9" t="inlineStr">
        <is>
          <t>赤铜幡骨托起层叠丹霞火纹，巡山时沿脉展开，先封住对手换气，再引铜针循热追灼。</t>
        </is>
      </c>
      <c r="T269" s="8" t="inlineStr">
        <is>
          <t>implement_patrolling_flame_banner_2x3</t>
        </is>
      </c>
      <c r="U269" s="8" t="inlineStr">
        <is>
          <t>allowed</t>
        </is>
      </c>
    </row>
    <row r="270" ht="34" customHeight="1">
      <c r="A270" s="8" t="n">
        <v>269</v>
      </c>
      <c r="B270" s="8" t="n">
        <v>400145</v>
      </c>
      <c r="C270" s="8" t="inlineStr">
        <is>
          <t>合炉收焰令</t>
        </is>
      </c>
      <c r="D270" s="8" t="inlineStr">
        <is>
          <t>法器</t>
        </is>
      </c>
      <c r="E270" s="8" t="inlineStr">
        <is>
          <t>implement</t>
        </is>
      </c>
      <c r="F270" s="8" t="inlineStr">
        <is>
          <t>common</t>
        </is>
      </c>
      <c r="G270" s="8" t="inlineStr">
        <is>
          <t>火</t>
        </is>
      </c>
      <c r="H270" s="8" t="inlineStr">
        <is>
          <t>fire</t>
        </is>
      </c>
      <c r="I270" s="8" t="inlineStr">
        <is>
          <t>1×2</t>
        </is>
      </c>
      <c r="J270" s="8" t="n">
        <v>2</v>
      </c>
      <c r="K270" s="8" t="n">
        <v>15</v>
      </c>
      <c r="L270" s="8" t="inlineStr">
        <is>
          <t>是</t>
        </is>
      </c>
      <c r="M270" s="9" t="inlineStr">
        <is>
          <t>bazaar；dynamicRandomReward；itemReforge</t>
        </is>
      </c>
      <c r="N270" s="8" t="n">
        <v>1</v>
      </c>
      <c r="O270" s="9" t="inlineStr">
        <is>
          <t>周期触发</t>
        </is>
      </c>
      <c r="P270" s="9" t="inlineStr">
        <is>
          <t>periodicPulse</t>
        </is>
      </c>
      <c r="Q270" s="9" t="inlineStr">
        <is>
          <t>周期触发：敌方有不少于 6 层灼烧时，消耗敌方 6 层灼烧，对敌方造成 42 点伤害；敌方有不少于 8 层灼烧时，消耗敌方 8 层灼烧，对敌方造成 56 点伤害；敌方有不少于 10 层灼烧时，消耗敌方 10 层灼烧，对敌方造成 70 点伤害；敌方有不少于 12 层灼烧时，消耗敌方 12 层灼烧，对敌方造成 84 点伤害</t>
        </is>
      </c>
      <c r="R270" s="9" t="inlineStr"/>
      <c r="S270" s="9" t="inlineStr">
        <is>
          <t>赤铜长令合着炉门纹路，十道收火刻痕由外向内层层闭合，令心只余一线沉亮赤芒。</t>
        </is>
      </c>
      <c r="T270" s="8" t="inlineStr">
        <is>
          <t>implement_furnace_closing_flame_token_1x2</t>
        </is>
      </c>
      <c r="U270" s="8" t="inlineStr">
        <is>
          <t>allowed</t>
        </is>
      </c>
    </row>
    <row r="271" ht="34" customHeight="1">
      <c r="A271" s="8" t="n">
        <v>270</v>
      </c>
      <c r="B271" s="8" t="n">
        <v>400210</v>
      </c>
      <c r="C271" s="8" t="inlineStr">
        <is>
          <t>丹霞外院弟子令</t>
        </is>
      </c>
      <c r="D271" s="8" t="inlineStr">
        <is>
          <t>法器</t>
        </is>
      </c>
      <c r="E271" s="8" t="inlineStr">
        <is>
          <t>implement</t>
        </is>
      </c>
      <c r="F271" s="8" t="inlineStr">
        <is>
          <t>common</t>
        </is>
      </c>
      <c r="G271" s="8" t="inlineStr">
        <is>
          <t>火</t>
        </is>
      </c>
      <c r="H271" s="8" t="inlineStr">
        <is>
          <t>fire</t>
        </is>
      </c>
      <c r="I271" s="8" t="inlineStr">
        <is>
          <t>1×1</t>
        </is>
      </c>
      <c r="J271" s="8" t="n">
        <v>1</v>
      </c>
      <c r="K271" s="8" t="n">
        <v>1</v>
      </c>
      <c r="L271" s="8" t="inlineStr">
        <is>
          <t>是</t>
        </is>
      </c>
      <c r="M271" s="9" t="inlineStr">
        <is>
          <t>questStoryReward</t>
        </is>
      </c>
      <c r="N271" s="8" t="n">
        <v>1</v>
      </c>
      <c r="O271" s="9" t="inlineStr">
        <is>
          <t>被动效果</t>
        </is>
      </c>
      <c r="P271" s="9" t="inlineStr">
        <is>
          <t>passive</t>
        </is>
      </c>
      <c r="Q271" s="9" t="inlineStr">
        <is>
          <t>被动效果：炎热层数上限 +10</t>
        </is>
      </c>
      <c r="R271" s="9" t="inlineStr"/>
      <c r="S271" s="9" t="inlineStr">
        <is>
          <t>赤铜小令边缘留有炉火纹，持之可证明已入丹霞外院门墙。</t>
        </is>
      </c>
      <c r="T271" s="8" t="inlineStr">
        <is>
          <t>implement_crimson_flame_token_1x1</t>
        </is>
      </c>
      <c r="U271" s="8" t="inlineStr">
        <is>
          <t>allowed</t>
        </is>
      </c>
    </row>
    <row r="272" ht="34" customHeight="1">
      <c r="A272" s="8" t="n">
        <v>271</v>
      </c>
      <c r="B272" s="8" t="n">
        <v>400213</v>
      </c>
      <c r="C272" s="8" t="inlineStr">
        <is>
          <t>青阙门弟子令</t>
        </is>
      </c>
      <c r="D272" s="8" t="inlineStr">
        <is>
          <t>法器</t>
        </is>
      </c>
      <c r="E272" s="8" t="inlineStr">
        <is>
          <t>implement</t>
        </is>
      </c>
      <c r="F272" s="8" t="inlineStr">
        <is>
          <t>common</t>
        </is>
      </c>
      <c r="G272" s="8" t="inlineStr">
        <is>
          <t>土</t>
        </is>
      </c>
      <c r="H272" s="8" t="inlineStr">
        <is>
          <t>earth</t>
        </is>
      </c>
      <c r="I272" s="8" t="inlineStr">
        <is>
          <t>1×1</t>
        </is>
      </c>
      <c r="J272" s="8" t="n">
        <v>1</v>
      </c>
      <c r="K272" s="8" t="n">
        <v>1</v>
      </c>
      <c r="L272" s="8" t="inlineStr">
        <is>
          <t>是</t>
        </is>
      </c>
      <c r="M272" s="9" t="inlineStr">
        <is>
          <t>questStoryReward</t>
        </is>
      </c>
      <c r="N272" s="8" t="n">
        <v>1</v>
      </c>
      <c r="O272" s="9" t="inlineStr">
        <is>
          <t>被动效果</t>
        </is>
      </c>
      <c r="P272" s="9" t="inlineStr">
        <is>
          <t>passive</t>
        </is>
      </c>
      <c r="Q272" s="9" t="inlineStr">
        <is>
          <t>被动效果：气血上限 +10，体力上限 +10，法力上限 +10</t>
        </is>
      </c>
      <c r="R272" s="9" t="inlineStr"/>
      <c r="S272" s="9" t="inlineStr">
        <is>
          <t>石青色门令刻着符旗纹，背面压有青阙门入门印记。</t>
        </is>
      </c>
      <c r="T272" s="8" t="inlineStr">
        <is>
          <t>talisman_beast_script_token_1x1</t>
        </is>
      </c>
      <c r="U272" s="8" t="inlineStr">
        <is>
          <t>allowed</t>
        </is>
      </c>
    </row>
    <row r="273" ht="34" customHeight="1">
      <c r="A273" s="8" t="n">
        <v>272</v>
      </c>
      <c r="B273" s="8" t="n">
        <v>400216</v>
      </c>
      <c r="C273" s="8" t="inlineStr">
        <is>
          <t>水月别院弟子令</t>
        </is>
      </c>
      <c r="D273" s="8" t="inlineStr">
        <is>
          <t>法器</t>
        </is>
      </c>
      <c r="E273" s="8" t="inlineStr">
        <is>
          <t>implement</t>
        </is>
      </c>
      <c r="F273" s="8" t="inlineStr">
        <is>
          <t>common</t>
        </is>
      </c>
      <c r="G273" s="8" t="inlineStr">
        <is>
          <t>无</t>
        </is>
      </c>
      <c r="H273" s="8" t="inlineStr">
        <is>
          <t>none</t>
        </is>
      </c>
      <c r="I273" s="8" t="inlineStr">
        <is>
          <t>1×2</t>
        </is>
      </c>
      <c r="J273" s="8" t="n">
        <v>2</v>
      </c>
      <c r="K273" s="8" t="n">
        <v>1</v>
      </c>
      <c r="L273" s="8" t="inlineStr">
        <is>
          <t>是</t>
        </is>
      </c>
      <c r="M273" s="9" t="inlineStr">
        <is>
          <t>questStoryReward</t>
        </is>
      </c>
      <c r="N273" s="8" t="n">
        <v>1</v>
      </c>
      <c r="O273" s="9" t="inlineStr">
        <is>
          <t>被动效果</t>
        </is>
      </c>
      <c r="P273" s="9" t="inlineStr">
        <is>
          <t>passive</t>
        </is>
      </c>
      <c r="Q273" s="9" t="inlineStr">
        <is>
          <t>被动效果：露水层数上限 +10</t>
        </is>
      </c>
      <c r="R273" s="9" t="inlineStr"/>
      <c r="S273" s="9" t="inlineStr">
        <is>
          <t>厚玉令中央压着阴阳式纹心，牌身平整沉稳，持之可入水月别院外堂听训。</t>
        </is>
      </c>
      <c r="T273" s="8" t="inlineStr">
        <is>
          <t>implement_yin_yang_token_f2313v2_1x2</t>
        </is>
      </c>
      <c r="U273" s="8" t="inlineStr">
        <is>
          <t>allowed</t>
        </is>
      </c>
    </row>
    <row r="274" ht="34" customHeight="1">
      <c r="A274" s="8" t="n">
        <v>273</v>
      </c>
      <c r="B274" s="8" t="n">
        <v>400217</v>
      </c>
      <c r="C274" s="8" t="inlineStr">
        <is>
          <t>微光机缘匣</t>
        </is>
      </c>
      <c r="D274" s="8" t="inlineStr">
        <is>
          <t>宝箱</t>
        </is>
      </c>
      <c r="E274" s="8" t="inlineStr">
        <is>
          <t>chest</t>
        </is>
      </c>
      <c r="F274" s="8" t="inlineStr">
        <is>
          <t>common</t>
        </is>
      </c>
      <c r="G274" s="8" t="inlineStr">
        <is>
          <t>无</t>
        </is>
      </c>
      <c r="H274" s="8" t="inlineStr">
        <is>
          <t>none</t>
        </is>
      </c>
      <c r="I274" s="8" t="inlineStr">
        <is>
          <t>1×1</t>
        </is>
      </c>
      <c r="J274" s="8" t="n">
        <v>1</v>
      </c>
      <c r="K274" s="8" t="n">
        <v>1</v>
      </c>
      <c r="L274" s="8" t="inlineStr">
        <is>
          <t>是</t>
        </is>
      </c>
      <c r="M274" s="9" t="inlineStr">
        <is>
          <t>beastDrop；itemReforge</t>
        </is>
      </c>
      <c r="N274" s="8" t="n">
        <v>1</v>
      </c>
      <c r="O274" s="9" t="inlineStr">
        <is>
          <t>消耗品效果</t>
        </is>
      </c>
      <c r="P274" s="9" t="inlineStr">
        <is>
          <t>consumable</t>
        </is>
      </c>
      <c r="Q274" s="9" t="inlineStr">
        <is>
          <t>消耗品效果：获得 4 点机缘</t>
        </is>
      </c>
      <c r="R274" s="9" t="inlineStr"/>
      <c r="S274" s="9" t="inlineStr">
        <is>
          <t>小匣边角嵌着浅金纹路，启封时会漏出一线微光，像是战后偶然捡到的一点善缘。</t>
        </is>
      </c>
      <c r="T274" s="8" t="inlineStr">
        <is>
          <t>chest_lucky_small_cache_1x1</t>
        </is>
      </c>
      <c r="U274" s="8" t="inlineStr">
        <is>
          <t>allowed</t>
        </is>
      </c>
    </row>
    <row r="275" ht="34" customHeight="1">
      <c r="A275" s="8" t="n">
        <v>274</v>
      </c>
      <c r="B275" s="8" t="n">
        <v>400218</v>
      </c>
      <c r="C275" s="8" t="inlineStr">
        <is>
          <t>流金机缘匣</t>
        </is>
      </c>
      <c r="D275" s="8" t="inlineStr">
        <is>
          <t>宝箱</t>
        </is>
      </c>
      <c r="E275" s="8" t="inlineStr">
        <is>
          <t>chest</t>
        </is>
      </c>
      <c r="F275" s="8" t="inlineStr">
        <is>
          <t>common</t>
        </is>
      </c>
      <c r="G275" s="8" t="inlineStr">
        <is>
          <t>无</t>
        </is>
      </c>
      <c r="H275" s="8" t="inlineStr">
        <is>
          <t>none</t>
        </is>
      </c>
      <c r="I275" s="8" t="inlineStr">
        <is>
          <t>2×1</t>
        </is>
      </c>
      <c r="J275" s="8" t="n">
        <v>2</v>
      </c>
      <c r="K275" s="8" t="n">
        <v>1</v>
      </c>
      <c r="L275" s="8" t="inlineStr">
        <is>
          <t>是</t>
        </is>
      </c>
      <c r="M275" s="9" t="inlineStr">
        <is>
          <t>beastDrop；itemReforge</t>
        </is>
      </c>
      <c r="N275" s="8" t="n">
        <v>1</v>
      </c>
      <c r="O275" s="9" t="inlineStr">
        <is>
          <t>消耗品效果</t>
        </is>
      </c>
      <c r="P275" s="9" t="inlineStr">
        <is>
          <t>consumable</t>
        </is>
      </c>
      <c r="Q275" s="9" t="inlineStr">
        <is>
          <t>消耗品效果：获得 10 点机缘</t>
        </is>
      </c>
      <c r="R275" s="9" t="inlineStr"/>
      <c r="S275" s="9" t="inlineStr">
        <is>
          <t>扁长匣盖上金线游走不定，像把妖兽余威里散出的灵机暂且收束起来。</t>
        </is>
      </c>
      <c r="T275" s="8" t="inlineStr">
        <is>
          <t>chest_lucky_wide_cache_2x1</t>
        </is>
      </c>
      <c r="U275" s="8" t="inlineStr">
        <is>
          <t>allowed</t>
        </is>
      </c>
    </row>
    <row r="276" ht="34" customHeight="1">
      <c r="A276" s="8" t="n">
        <v>275</v>
      </c>
      <c r="B276" s="8" t="n">
        <v>400219</v>
      </c>
      <c r="C276" s="8" t="inlineStr">
        <is>
          <t>立纹机缘柜</t>
        </is>
      </c>
      <c r="D276" s="8" t="inlineStr">
        <is>
          <t>宝箱</t>
        </is>
      </c>
      <c r="E276" s="8" t="inlineStr">
        <is>
          <t>chest</t>
        </is>
      </c>
      <c r="F276" s="8" t="inlineStr">
        <is>
          <t>common</t>
        </is>
      </c>
      <c r="G276" s="8" t="inlineStr">
        <is>
          <t>无</t>
        </is>
      </c>
      <c r="H276" s="8" t="inlineStr">
        <is>
          <t>none</t>
        </is>
      </c>
      <c r="I276" s="8" t="inlineStr">
        <is>
          <t>1×2</t>
        </is>
      </c>
      <c r="J276" s="8" t="n">
        <v>2</v>
      </c>
      <c r="K276" s="8" t="n">
        <v>1</v>
      </c>
      <c r="L276" s="8" t="inlineStr">
        <is>
          <t>是</t>
        </is>
      </c>
      <c r="M276" s="9" t="inlineStr">
        <is>
          <t>beastDrop；itemReforge</t>
        </is>
      </c>
      <c r="N276" s="8" t="n">
        <v>1</v>
      </c>
      <c r="O276" s="9" t="inlineStr">
        <is>
          <t>消耗品效果</t>
        </is>
      </c>
      <c r="P276" s="9" t="inlineStr">
        <is>
          <t>consumable</t>
        </is>
      </c>
      <c r="Q276" s="9" t="inlineStr">
        <is>
          <t>消耗品效果：获得 15 点机缘</t>
        </is>
      </c>
      <c r="R276" s="9" t="inlineStr"/>
      <c r="S276" s="9" t="inlineStr">
        <is>
          <t>立柜纹路层叠如符，柜缝里有淡淡金芒沉浮，需静置片刻才会把机缘吐出。</t>
        </is>
      </c>
      <c r="T276" s="8" t="inlineStr">
        <is>
          <t>chest_lucky_tall_cabinet_1x2</t>
        </is>
      </c>
      <c r="U276" s="8" t="inlineStr">
        <is>
          <t>allowed</t>
        </is>
      </c>
    </row>
    <row r="277" ht="34" customHeight="1">
      <c r="A277" s="8" t="n">
        <v>276</v>
      </c>
      <c r="B277" s="8" t="n">
        <v>400220</v>
      </c>
      <c r="C277" s="8" t="inlineStr">
        <is>
          <t>聚缘宝箱</t>
        </is>
      </c>
      <c r="D277" s="8" t="inlineStr">
        <is>
          <t>宝箱</t>
        </is>
      </c>
      <c r="E277" s="8" t="inlineStr">
        <is>
          <t>chest</t>
        </is>
      </c>
      <c r="F277" s="8" t="inlineStr">
        <is>
          <t>common</t>
        </is>
      </c>
      <c r="G277" s="8" t="inlineStr">
        <is>
          <t>无</t>
        </is>
      </c>
      <c r="H277" s="8" t="inlineStr">
        <is>
          <t>none</t>
        </is>
      </c>
      <c r="I277" s="8" t="inlineStr">
        <is>
          <t>2×2</t>
        </is>
      </c>
      <c r="J277" s="8" t="n">
        <v>4</v>
      </c>
      <c r="K277" s="8" t="n">
        <v>1</v>
      </c>
      <c r="L277" s="8" t="inlineStr">
        <is>
          <t>是</t>
        </is>
      </c>
      <c r="M277" s="9" t="inlineStr">
        <is>
          <t>beastDrop；itemReforge</t>
        </is>
      </c>
      <c r="N277" s="8" t="n">
        <v>1</v>
      </c>
      <c r="O277" s="9" t="inlineStr">
        <is>
          <t>消耗品效果</t>
        </is>
      </c>
      <c r="P277" s="9" t="inlineStr">
        <is>
          <t>consumable</t>
        </is>
      </c>
      <c r="Q277" s="9" t="inlineStr">
        <is>
          <t>消耗品效果：获得 30 点机缘</t>
        </is>
      </c>
      <c r="R277" s="9" t="inlineStr"/>
      <c r="S277" s="9" t="inlineStr">
        <is>
          <t>方正宝箱扣着厚重金锁，箱中灵光起伏，像一场险战后被命数额外记下的收获。</t>
        </is>
      </c>
      <c r="T277" s="8" t="inlineStr">
        <is>
          <t>chest_lucky_large_cache_2x2</t>
        </is>
      </c>
      <c r="U277" s="8" t="inlineStr">
        <is>
          <t>allowed</t>
        </is>
      </c>
    </row>
    <row r="278" ht="34" customHeight="1">
      <c r="A278" s="8" t="n">
        <v>277</v>
      </c>
      <c r="B278" s="8" t="n">
        <v>400221</v>
      </c>
      <c r="C278" s="8" t="inlineStr">
        <is>
          <t>满蕴机缘巨箱</t>
        </is>
      </c>
      <c r="D278" s="8" t="inlineStr">
        <is>
          <t>宝箱</t>
        </is>
      </c>
      <c r="E278" s="8" t="inlineStr">
        <is>
          <t>chest</t>
        </is>
      </c>
      <c r="F278" s="8" t="inlineStr">
        <is>
          <t>common</t>
        </is>
      </c>
      <c r="G278" s="8" t="inlineStr">
        <is>
          <t>无</t>
        </is>
      </c>
      <c r="H278" s="8" t="inlineStr">
        <is>
          <t>none</t>
        </is>
      </c>
      <c r="I278" s="8" t="inlineStr">
        <is>
          <t>3×2</t>
        </is>
      </c>
      <c r="J278" s="8" t="n">
        <v>6</v>
      </c>
      <c r="K278" s="8" t="n">
        <v>1</v>
      </c>
      <c r="L278" s="8" t="inlineStr">
        <is>
          <t>是</t>
        </is>
      </c>
      <c r="M278" s="9" t="inlineStr">
        <is>
          <t>beastDrop；itemReforge</t>
        </is>
      </c>
      <c r="N278" s="8" t="n">
        <v>1</v>
      </c>
      <c r="O278" s="9" t="inlineStr">
        <is>
          <t>消耗品效果</t>
        </is>
      </c>
      <c r="P278" s="9" t="inlineStr">
        <is>
          <t>consumable</t>
        </is>
      </c>
      <c r="Q278" s="9" t="inlineStr">
        <is>
          <t>消耗品效果：获得 50 点机缘</t>
        </is>
      </c>
      <c r="R278" s="9" t="inlineStr"/>
      <c r="S278" s="9" t="inlineStr">
        <is>
          <t>巨箱金纹满布，箱体沉得不像凡物，开启前能听见其中灵机缓缓回旋。</t>
        </is>
      </c>
      <c r="T278" s="8" t="inlineStr">
        <is>
          <t>chest_lucky_giant_cache_3x2</t>
        </is>
      </c>
      <c r="U278" s="8" t="inlineStr">
        <is>
          <t>allowed</t>
        </is>
      </c>
    </row>
    <row r="279" ht="34" customHeight="1">
      <c r="A279" s="8" t="n">
        <v>278</v>
      </c>
      <c r="B279" s="8" t="n">
        <v>400222</v>
      </c>
      <c r="C279" s="8" t="inlineStr">
        <is>
          <t>碎灵石匣</t>
        </is>
      </c>
      <c r="D279" s="8" t="inlineStr">
        <is>
          <t>宝箱</t>
        </is>
      </c>
      <c r="E279" s="8" t="inlineStr">
        <is>
          <t>chest</t>
        </is>
      </c>
      <c r="F279" s="8" t="inlineStr">
        <is>
          <t>common</t>
        </is>
      </c>
      <c r="G279" s="8" t="inlineStr">
        <is>
          <t>无</t>
        </is>
      </c>
      <c r="H279" s="8" t="inlineStr">
        <is>
          <t>none</t>
        </is>
      </c>
      <c r="I279" s="8" t="inlineStr">
        <is>
          <t>1×1</t>
        </is>
      </c>
      <c r="J279" s="8" t="n">
        <v>1</v>
      </c>
      <c r="K279" s="8" t="n">
        <v>1</v>
      </c>
      <c r="L279" s="8" t="inlineStr">
        <is>
          <t>是</t>
        </is>
      </c>
      <c r="M279" s="9" t="inlineStr">
        <is>
          <t>beastDrop；itemReforge</t>
        </is>
      </c>
      <c r="N279" s="8" t="n">
        <v>1</v>
      </c>
      <c r="O279" s="9" t="inlineStr">
        <is>
          <t>消耗品效果</t>
        </is>
      </c>
      <c r="P279" s="9" t="inlineStr">
        <is>
          <t>consumable</t>
        </is>
      </c>
      <c r="Q279" s="9" t="inlineStr">
        <is>
          <t>消耗品效果：获得 1 枚灵石</t>
        </is>
      </c>
      <c r="R279" s="9" t="inlineStr"/>
      <c r="S279" s="9" t="inlineStr">
        <is>
          <t>小匣内壁映着细碎石光，轻轻一晃便有清脆声响，像收着几枚刚凝成的灵石。</t>
        </is>
      </c>
      <c r="T279" s="8" t="inlineStr">
        <is>
          <t>chest_lingstone_small_cache_1x1</t>
        </is>
      </c>
      <c r="U279" s="8" t="inlineStr">
        <is>
          <t>allowed</t>
        </is>
      </c>
    </row>
    <row r="280" ht="34" customHeight="1">
      <c r="A280" s="8" t="n">
        <v>279</v>
      </c>
      <c r="B280" s="8" t="n">
        <v>400223</v>
      </c>
      <c r="C280" s="8" t="inlineStr">
        <is>
          <t>藏灵石匣</t>
        </is>
      </c>
      <c r="D280" s="8" t="inlineStr">
        <is>
          <t>宝箱</t>
        </is>
      </c>
      <c r="E280" s="8" t="inlineStr">
        <is>
          <t>chest</t>
        </is>
      </c>
      <c r="F280" s="8" t="inlineStr">
        <is>
          <t>common</t>
        </is>
      </c>
      <c r="G280" s="8" t="inlineStr">
        <is>
          <t>无</t>
        </is>
      </c>
      <c r="H280" s="8" t="inlineStr">
        <is>
          <t>none</t>
        </is>
      </c>
      <c r="I280" s="8" t="inlineStr">
        <is>
          <t>2×1</t>
        </is>
      </c>
      <c r="J280" s="8" t="n">
        <v>2</v>
      </c>
      <c r="K280" s="8" t="n">
        <v>1</v>
      </c>
      <c r="L280" s="8" t="inlineStr">
        <is>
          <t>是</t>
        </is>
      </c>
      <c r="M280" s="9" t="inlineStr">
        <is>
          <t>beastDrop；itemReforge</t>
        </is>
      </c>
      <c r="N280" s="8" t="n">
        <v>1</v>
      </c>
      <c r="O280" s="9" t="inlineStr">
        <is>
          <t>消耗品效果</t>
        </is>
      </c>
      <c r="P280" s="9" t="inlineStr">
        <is>
          <t>consumable</t>
        </is>
      </c>
      <c r="Q280" s="9" t="inlineStr">
        <is>
          <t>消耗品效果：获得 2 枚灵石</t>
        </is>
      </c>
      <c r="R280" s="9" t="inlineStr"/>
      <c r="S280" s="9" t="inlineStr">
        <is>
          <t>扁匣以青铜包边，匣底铺着薄薄石辉，开启后能取出几枚尚带温润气息的灵石。</t>
        </is>
      </c>
      <c r="T280" s="8" t="inlineStr">
        <is>
          <t>chest_lingstone_wide_cache_2x1</t>
        </is>
      </c>
      <c r="U280" s="8" t="inlineStr">
        <is>
          <t>allowed</t>
        </is>
      </c>
    </row>
    <row r="281" ht="34" customHeight="1">
      <c r="A281" s="8" t="n">
        <v>280</v>
      </c>
      <c r="B281" s="8" t="n">
        <v>400224</v>
      </c>
      <c r="C281" s="8" t="inlineStr">
        <is>
          <t>立纹灵石柜</t>
        </is>
      </c>
      <c r="D281" s="8" t="inlineStr">
        <is>
          <t>宝箱</t>
        </is>
      </c>
      <c r="E281" s="8" t="inlineStr">
        <is>
          <t>chest</t>
        </is>
      </c>
      <c r="F281" s="8" t="inlineStr">
        <is>
          <t>common</t>
        </is>
      </c>
      <c r="G281" s="8" t="inlineStr">
        <is>
          <t>无</t>
        </is>
      </c>
      <c r="H281" s="8" t="inlineStr">
        <is>
          <t>none</t>
        </is>
      </c>
      <c r="I281" s="8" t="inlineStr">
        <is>
          <t>1×2</t>
        </is>
      </c>
      <c r="J281" s="8" t="n">
        <v>2</v>
      </c>
      <c r="K281" s="8" t="n">
        <v>1</v>
      </c>
      <c r="L281" s="8" t="inlineStr">
        <is>
          <t>是</t>
        </is>
      </c>
      <c r="M281" s="9" t="inlineStr">
        <is>
          <t>beastDrop；itemReforge</t>
        </is>
      </c>
      <c r="N281" s="8" t="n">
        <v>1</v>
      </c>
      <c r="O281" s="9" t="inlineStr">
        <is>
          <t>消耗品效果</t>
        </is>
      </c>
      <c r="P281" s="9" t="inlineStr">
        <is>
          <t>consumable</t>
        </is>
      </c>
      <c r="Q281" s="9" t="inlineStr">
        <is>
          <t>消耗品效果：获得 2 枚灵石</t>
        </is>
      </c>
      <c r="R281" s="9" t="inlineStr"/>
      <c r="S281" s="9" t="inlineStr">
        <is>
          <t>细高石柜封口严密，柜身透出稳稳灵辉，像把散落的石气重新压成灵石。</t>
        </is>
      </c>
      <c r="T281" s="8" t="inlineStr">
        <is>
          <t>chest_lingstone_tall_cabinet_1x2</t>
        </is>
      </c>
      <c r="U281" s="8" t="inlineStr">
        <is>
          <t>allowed</t>
        </is>
      </c>
    </row>
    <row r="282" ht="34" customHeight="1">
      <c r="A282" s="8" t="n">
        <v>281</v>
      </c>
      <c r="B282" s="8" t="n">
        <v>400225</v>
      </c>
      <c r="C282" s="8" t="inlineStr">
        <is>
          <t>聚灵石箱</t>
        </is>
      </c>
      <c r="D282" s="8" t="inlineStr">
        <is>
          <t>宝箱</t>
        </is>
      </c>
      <c r="E282" s="8" t="inlineStr">
        <is>
          <t>chest</t>
        </is>
      </c>
      <c r="F282" s="8" t="inlineStr">
        <is>
          <t>common</t>
        </is>
      </c>
      <c r="G282" s="8" t="inlineStr">
        <is>
          <t>无</t>
        </is>
      </c>
      <c r="H282" s="8" t="inlineStr">
        <is>
          <t>none</t>
        </is>
      </c>
      <c r="I282" s="8" t="inlineStr">
        <is>
          <t>2×2</t>
        </is>
      </c>
      <c r="J282" s="8" t="n">
        <v>4</v>
      </c>
      <c r="K282" s="8" t="n">
        <v>1</v>
      </c>
      <c r="L282" s="8" t="inlineStr">
        <is>
          <t>是</t>
        </is>
      </c>
      <c r="M282" s="9" t="inlineStr">
        <is>
          <t>beastDrop；itemReforge</t>
        </is>
      </c>
      <c r="N282" s="8" t="n">
        <v>1</v>
      </c>
      <c r="O282" s="9" t="inlineStr">
        <is>
          <t>消耗品效果</t>
        </is>
      </c>
      <c r="P282" s="9" t="inlineStr">
        <is>
          <t>consumable</t>
        </is>
      </c>
      <c r="Q282" s="9" t="inlineStr">
        <is>
          <t>消耗品效果：获得 5 枚灵石</t>
        </is>
      </c>
      <c r="R282" s="9" t="inlineStr"/>
      <c r="S282" s="9" t="inlineStr">
        <is>
          <t>方箱箱角嵌着沉青石片，箱内灵辉不散，像是一小堆从妖兽巢穴里搜出的硬通货。</t>
        </is>
      </c>
      <c r="T282" s="8" t="inlineStr">
        <is>
          <t>chest_lingstone_large_cache_2x2</t>
        </is>
      </c>
      <c r="U282" s="8" t="inlineStr">
        <is>
          <t>allowed</t>
        </is>
      </c>
    </row>
    <row r="283" ht="34" customHeight="1">
      <c r="A283" s="8" t="n">
        <v>282</v>
      </c>
      <c r="B283" s="8" t="n">
        <v>400226</v>
      </c>
      <c r="C283" s="8" t="inlineStr">
        <is>
          <t>满蕴灵石巨箱</t>
        </is>
      </c>
      <c r="D283" s="8" t="inlineStr">
        <is>
          <t>宝箱</t>
        </is>
      </c>
      <c r="E283" s="8" t="inlineStr">
        <is>
          <t>chest</t>
        </is>
      </c>
      <c r="F283" s="8" t="inlineStr">
        <is>
          <t>common</t>
        </is>
      </c>
      <c r="G283" s="8" t="inlineStr">
        <is>
          <t>无</t>
        </is>
      </c>
      <c r="H283" s="8" t="inlineStr">
        <is>
          <t>none</t>
        </is>
      </c>
      <c r="I283" s="8" t="inlineStr">
        <is>
          <t>3×2</t>
        </is>
      </c>
      <c r="J283" s="8" t="n">
        <v>6</v>
      </c>
      <c r="K283" s="8" t="n">
        <v>1</v>
      </c>
      <c r="L283" s="8" t="inlineStr">
        <is>
          <t>是</t>
        </is>
      </c>
      <c r="M283" s="9" t="inlineStr">
        <is>
          <t>beastDrop；itemReforge</t>
        </is>
      </c>
      <c r="N283" s="8" t="n">
        <v>1</v>
      </c>
      <c r="O283" s="9" t="inlineStr">
        <is>
          <t>消耗品效果</t>
        </is>
      </c>
      <c r="P283" s="9" t="inlineStr">
        <is>
          <t>consumable</t>
        </is>
      </c>
      <c r="Q283" s="9" t="inlineStr">
        <is>
          <t>消耗品效果：获得 12 枚灵石</t>
        </is>
      </c>
      <c r="R283" s="9" t="inlineStr"/>
      <c r="S283" s="9" t="inlineStr">
        <is>
          <t>巨箱封条压着厚重灵纹，箱体内石光成片，只有击败强横妖兽后才偶然得见。</t>
        </is>
      </c>
      <c r="T283" s="8" t="inlineStr">
        <is>
          <t>chest_lingstone_giant_cache_3x2</t>
        </is>
      </c>
      <c r="U283" s="8" t="inlineStr">
        <is>
          <t>allowed</t>
        </is>
      </c>
    </row>
    <row r="284" ht="34" customHeight="1">
      <c r="A284" s="8" t="n">
        <v>283</v>
      </c>
      <c r="B284" s="8" t="n">
        <v>400227</v>
      </c>
      <c r="C284" s="8" t="inlineStr">
        <is>
          <t>裂锋反甲盾</t>
        </is>
      </c>
      <c r="D284" s="8" t="inlineStr">
        <is>
          <t>法器</t>
        </is>
      </c>
      <c r="E284" s="8" t="inlineStr">
        <is>
          <t>implement</t>
        </is>
      </c>
      <c r="F284" s="8" t="inlineStr">
        <is>
          <t>common</t>
        </is>
      </c>
      <c r="G284" s="8" t="inlineStr">
        <is>
          <t>金</t>
        </is>
      </c>
      <c r="H284" s="8" t="inlineStr">
        <is>
          <t>metal</t>
        </is>
      </c>
      <c r="I284" s="8" t="inlineStr">
        <is>
          <t>2×2</t>
        </is>
      </c>
      <c r="J284" s="8" t="n">
        <v>4</v>
      </c>
      <c r="K284" s="8" t="n">
        <v>10</v>
      </c>
      <c r="L284" s="8" t="inlineStr">
        <is>
          <t>是</t>
        </is>
      </c>
      <c r="M284" s="9" t="inlineStr">
        <is>
          <t>bazaar；dynamicRandomReward；itemReforge</t>
        </is>
      </c>
      <c r="N284" s="8" t="n">
        <v>1</v>
      </c>
      <c r="O284" s="9" t="inlineStr">
        <is>
          <t>周期触发</t>
        </is>
      </c>
      <c r="P284" s="9" t="inlineStr">
        <is>
          <t>periodicPulse</t>
        </is>
      </c>
      <c r="Q284" s="9" t="inlineStr">
        <is>
          <t>周期触发：消耗所有护甲，对敌人造成等量伤害</t>
        </is>
      </c>
      <c r="R284" s="9" t="inlineStr"/>
      <c r="S284" s="9" t="inlineStr">
        <is>
          <t>乌铁圆盾外沿嵌着数道回折锋刃，盾面蓄住的护甲之力会沿刃脊反震而出。</t>
        </is>
      </c>
      <c r="T284" s="8" t="inlineStr">
        <is>
          <t>implement_batch13_032_2x2</t>
        </is>
      </c>
      <c r="U284" s="8" t="inlineStr">
        <is>
          <t>allowed</t>
        </is>
      </c>
    </row>
    <row r="285" ht="34" customHeight="1">
      <c r="A285" s="8" t="n">
        <v>284</v>
      </c>
      <c r="B285" s="8" t="n">
        <v>400238</v>
      </c>
      <c r="C285" s="8" t="inlineStr">
        <is>
          <t>点火针匣</t>
        </is>
      </c>
      <c r="D285" s="8" t="inlineStr">
        <is>
          <t>法器</t>
        </is>
      </c>
      <c r="E285" s="8" t="inlineStr">
        <is>
          <t>implement</t>
        </is>
      </c>
      <c r="F285" s="8" t="inlineStr">
        <is>
          <t>common</t>
        </is>
      </c>
      <c r="G285" s="8" t="inlineStr">
        <is>
          <t>火</t>
        </is>
      </c>
      <c r="H285" s="8" t="inlineStr">
        <is>
          <t>fire</t>
        </is>
      </c>
      <c r="I285" s="8" t="inlineStr">
        <is>
          <t>1×1</t>
        </is>
      </c>
      <c r="J285" s="8" t="n">
        <v>1</v>
      </c>
      <c r="K285" s="8" t="n">
        <v>8</v>
      </c>
      <c r="L285" s="8" t="inlineStr">
        <is>
          <t>是</t>
        </is>
      </c>
      <c r="M285" s="9" t="inlineStr">
        <is>
          <t>bazaar；dynamicRandomReward；itemReforge</t>
        </is>
      </c>
      <c r="N285" s="8" t="n">
        <v>1</v>
      </c>
      <c r="O285" s="9" t="inlineStr">
        <is>
          <t>周期触发</t>
        </is>
      </c>
      <c r="P285" s="9" t="inlineStr">
        <is>
          <t>periodicPulse</t>
        </is>
      </c>
      <c r="Q285" s="9" t="inlineStr">
        <is>
          <t>周期触发：开局：将 10 点体力转化为 3 层炎热；开局：将 15 点体力转化为 5 层炎热；开局：将 20 点体力转化为 7 层炎热；开局：将 25 点体力转化为 9 层炎热</t>
        </is>
      </c>
      <c r="R285" s="9" t="inlineStr"/>
      <c r="S285" s="9" t="inlineStr">
        <is>
          <t>赤铜针匣中排着数枚引火银针，开匣时针锋迸出细碎火星，将蓄积体力引作炎热火息。</t>
        </is>
      </c>
      <c r="T285" s="8" t="inlineStr">
        <is>
          <t>implement_long_needle_case_1x1</t>
        </is>
      </c>
      <c r="U285" s="8" t="inlineStr">
        <is>
          <t>allowed</t>
        </is>
      </c>
    </row>
    <row r="286" ht="34" customHeight="1">
      <c r="A286" s="8" t="n">
        <v>285</v>
      </c>
      <c r="B286" s="8" t="n">
        <v>400239</v>
      </c>
      <c r="C286" s="8" t="inlineStr">
        <is>
          <t>凝金回音铃</t>
        </is>
      </c>
      <c r="D286" s="8" t="inlineStr">
        <is>
          <t>法器</t>
        </is>
      </c>
      <c r="E286" s="8" t="inlineStr">
        <is>
          <t>implement</t>
        </is>
      </c>
      <c r="F286" s="8" t="inlineStr">
        <is>
          <t>common</t>
        </is>
      </c>
      <c r="G286" s="8" t="inlineStr">
        <is>
          <t>金</t>
        </is>
      </c>
      <c r="H286" s="8" t="inlineStr">
        <is>
          <t>metal</t>
        </is>
      </c>
      <c r="I286" s="8" t="inlineStr">
        <is>
          <t>1×1</t>
        </is>
      </c>
      <c r="J286" s="8" t="n">
        <v>1</v>
      </c>
      <c r="K286" s="8" t="n">
        <v>24</v>
      </c>
      <c r="L286" s="8" t="inlineStr">
        <is>
          <t>是</t>
        </is>
      </c>
      <c r="M286" s="9" t="inlineStr">
        <is>
          <t>bazaar；dynamicRandomReward；itemReforge</t>
        </is>
      </c>
      <c r="N286" s="8" t="n">
        <v>1</v>
      </c>
      <c r="O286" s="9" t="inlineStr">
        <is>
          <t>条件触发</t>
        </is>
      </c>
      <c r="P286" s="9" t="inlineStr">
        <is>
          <t>triggered</t>
        </is>
      </c>
      <c r="Q286" s="9" t="inlineStr">
        <is>
          <t>条件触发：每当消耗法力后，每消耗 1 点法力获得 1 层凝金，单次最多获得 4 层；每当消耗法力后，每消耗 1 点法力获得 2 层凝金，单次最多获得 8 层；每当消耗法力后，每消耗 1 点法力获得 3 层凝金，单次最多获得 12 层；每当消耗法力后，每消耗 1 点法力获得 4 层凝金，单次最多获得 16 层</t>
        </is>
      </c>
      <c r="R286" s="9" t="inlineStr"/>
      <c r="S286" s="9" t="inlineStr">
        <is>
          <t>银白小铃内悬着一粒金精，法力流过铃壁时会荡出清越金鸣，将余韵凝作锐利金气。</t>
        </is>
      </c>
      <c r="T286" s="8" t="inlineStr">
        <is>
          <t>implement_batch11_040_1x1</t>
        </is>
      </c>
      <c r="U286" s="8" t="inlineStr">
        <is>
          <t>allowed</t>
        </is>
      </c>
    </row>
    <row r="287" ht="34" customHeight="1">
      <c r="A287" s="8" t="n">
        <v>286</v>
      </c>
      <c r="B287" s="8" t="n">
        <v>400240</v>
      </c>
      <c r="C287" s="8" t="inlineStr">
        <is>
          <t>霜露凝珠盏</t>
        </is>
      </c>
      <c r="D287" s="8" t="inlineStr">
        <is>
          <t>法器</t>
        </is>
      </c>
      <c r="E287" s="8" t="inlineStr">
        <is>
          <t>implement</t>
        </is>
      </c>
      <c r="F287" s="8" t="inlineStr">
        <is>
          <t>common</t>
        </is>
      </c>
      <c r="G287" s="8" t="inlineStr">
        <is>
          <t>水</t>
        </is>
      </c>
      <c r="H287" s="8" t="inlineStr">
        <is>
          <t>water</t>
        </is>
      </c>
      <c r="I287" s="8" t="inlineStr">
        <is>
          <t>1×1</t>
        </is>
      </c>
      <c r="J287" s="8" t="n">
        <v>1</v>
      </c>
      <c r="K287" s="8" t="n">
        <v>7</v>
      </c>
      <c r="L287" s="8" t="inlineStr">
        <is>
          <t>是</t>
        </is>
      </c>
      <c r="M287" s="9" t="inlineStr">
        <is>
          <t>bazaar；dynamicRandomReward；itemReforge</t>
        </is>
      </c>
      <c r="N287" s="8" t="n">
        <v>1</v>
      </c>
      <c r="O287" s="9" t="inlineStr">
        <is>
          <t>周期触发</t>
        </is>
      </c>
      <c r="P287" s="9" t="inlineStr">
        <is>
          <t>periodicPulse</t>
        </is>
      </c>
      <c r="Q287" s="9" t="inlineStr">
        <is>
          <t>周期触发：最多将 4 层露水转化为寒冷；最多将 6 层露水转化为寒冷；最多将 8 层露水转化为寒冷；最多将 10 层露水转化为寒冷</t>
        </is>
      </c>
      <c r="R287" s="9" t="inlineStr"/>
      <c r="S287" s="9" t="inlineStr">
        <is>
          <t>浅蓝玉盏托着一枚霜白水珠，露水落入盏中便沿杯壁凝成冷亮冰纹。</t>
        </is>
      </c>
      <c r="T287" s="8" t="inlineStr">
        <is>
          <t>implement_batch10_086_1x1</t>
        </is>
      </c>
      <c r="U287" s="8" t="inlineStr">
        <is>
          <t>allowed</t>
        </is>
      </c>
    </row>
    <row r="288" ht="34" customHeight="1">
      <c r="A288" s="8" t="n">
        <v>287</v>
      </c>
      <c r="B288" s="8" t="n">
        <v>400241</v>
      </c>
      <c r="C288" s="8" t="inlineStr">
        <is>
          <t>覆霜木匣</t>
        </is>
      </c>
      <c r="D288" s="8" t="inlineStr">
        <is>
          <t>法器</t>
        </is>
      </c>
      <c r="E288" s="8" t="inlineStr">
        <is>
          <t>implement</t>
        </is>
      </c>
      <c r="F288" s="8" t="inlineStr">
        <is>
          <t>common</t>
        </is>
      </c>
      <c r="G288" s="8" t="inlineStr">
        <is>
          <t>冰</t>
        </is>
      </c>
      <c r="H288" s="8" t="inlineStr">
        <is>
          <t>ice</t>
        </is>
      </c>
      <c r="I288" s="8" t="inlineStr">
        <is>
          <t>1×1</t>
        </is>
      </c>
      <c r="J288" s="8" t="n">
        <v>1</v>
      </c>
      <c r="K288" s="8" t="n">
        <v>10</v>
      </c>
      <c r="L288" s="8" t="inlineStr">
        <is>
          <t>是</t>
        </is>
      </c>
      <c r="M288" s="9" t="inlineStr">
        <is>
          <t>bazaar；dynamicRandomReward；itemReforge</t>
        </is>
      </c>
      <c r="N288" s="8" t="n">
        <v>1</v>
      </c>
      <c r="O288" s="9" t="inlineStr">
        <is>
          <t>被动效果</t>
        </is>
      </c>
      <c r="P288" s="9" t="inlineStr">
        <is>
          <t>passive</t>
        </is>
      </c>
      <c r="Q288" s="9" t="inlineStr">
        <is>
          <t>被动效果：寒冷不少于 10 层时，露水层数上限 +5；寒冷不少于 10 层时，露水层数上限 +6；寒冷不少于 10 层时，露水层数上限 +7；寒冷不少于 10 层时，露水层数上限 +8</t>
        </is>
      </c>
      <c r="R288" s="9" t="inlineStr"/>
      <c r="S288" s="9" t="inlineStr">
        <is>
          <t>旧木小匣的铁扣已经发暗，匣盖边缘覆着一层薄霜，像刚从寒夜里取回。</t>
        </is>
      </c>
      <c r="T288" s="8" t="inlineStr">
        <is>
          <t>implement_frosted_wood_box_1x1</t>
        </is>
      </c>
      <c r="U288" s="8" t="inlineStr">
        <is>
          <t>allowed</t>
        </is>
      </c>
    </row>
    <row r="289" ht="34" customHeight="1">
      <c r="A289" s="8" t="n">
        <v>288</v>
      </c>
      <c r="B289" s="8" t="n">
        <v>400242</v>
      </c>
      <c r="C289" s="8" t="inlineStr">
        <is>
          <t>玄冰行轮</t>
        </is>
      </c>
      <c r="D289" s="8" t="inlineStr">
        <is>
          <t>法器</t>
        </is>
      </c>
      <c r="E289" s="8" t="inlineStr">
        <is>
          <t>implement</t>
        </is>
      </c>
      <c r="F289" s="8" t="inlineStr">
        <is>
          <t>common</t>
        </is>
      </c>
      <c r="G289" s="8" t="inlineStr">
        <is>
          <t>水</t>
        </is>
      </c>
      <c r="H289" s="8" t="inlineStr">
        <is>
          <t>water</t>
        </is>
      </c>
      <c r="I289" s="8" t="inlineStr">
        <is>
          <t>2×2</t>
        </is>
      </c>
      <c r="J289" s="8" t="n">
        <v>4</v>
      </c>
      <c r="K289" s="8" t="n">
        <v>28</v>
      </c>
      <c r="L289" s="8" t="inlineStr">
        <is>
          <t>是</t>
        </is>
      </c>
      <c r="M289" s="9" t="inlineStr">
        <is>
          <t>bazaar；dynamicRandomReward；itemReforge</t>
        </is>
      </c>
      <c r="N289" s="8" t="n">
        <v>1</v>
      </c>
      <c r="O289" s="9" t="inlineStr">
        <is>
          <t>周期触发</t>
        </is>
      </c>
      <c r="P289" s="9" t="inlineStr">
        <is>
          <t>periodicPulse</t>
        </is>
      </c>
      <c r="Q289" s="9" t="inlineStr">
        <is>
          <t>周期触发：寒冷达到 12 层时，使所有冰属性道具获得 4 秒加速；寒冷达到 16 层时，使所有冰属性道具获得 6 秒加速；寒冷达到 20 层时，使所有冰属性道具获得 8 秒加速；寒冷达到 24 层时，使所有冰属性道具获得 10 秒加速</t>
        </is>
      </c>
      <c r="R289" s="9" t="inlineStr"/>
      <c r="S289" s="9" t="inlineStr">
        <is>
          <t>双层星环以寒玉相扣，轮心悬着幽蓝冰晶，寒意充盈时诸环会同时加速旋转。</t>
        </is>
      </c>
      <c r="T289" s="8" t="inlineStr">
        <is>
          <t>formation_batch100_005_2x2</t>
        </is>
      </c>
      <c r="U289" s="8" t="inlineStr">
        <is>
          <t>allowed</t>
        </is>
      </c>
    </row>
    <row r="290" ht="34" customHeight="1">
      <c r="A290" s="8" t="n">
        <v>289</v>
      </c>
      <c r="B290" s="8" t="n">
        <v>400243</v>
      </c>
      <c r="C290" s="8" t="inlineStr">
        <is>
          <t>寒魄护心甲</t>
        </is>
      </c>
      <c r="D290" s="8" t="inlineStr">
        <is>
          <t>法器</t>
        </is>
      </c>
      <c r="E290" s="8" t="inlineStr">
        <is>
          <t>implement</t>
        </is>
      </c>
      <c r="F290" s="8" t="inlineStr">
        <is>
          <t>common</t>
        </is>
      </c>
      <c r="G290" s="8" t="inlineStr">
        <is>
          <t>水</t>
        </is>
      </c>
      <c r="H290" s="8" t="inlineStr">
        <is>
          <t>water</t>
        </is>
      </c>
      <c r="I290" s="8" t="inlineStr">
        <is>
          <t>2×2</t>
        </is>
      </c>
      <c r="J290" s="8" t="n">
        <v>4</v>
      </c>
      <c r="K290" s="8" t="n">
        <v>14</v>
      </c>
      <c r="L290" s="8" t="inlineStr">
        <is>
          <t>是</t>
        </is>
      </c>
      <c r="M290" s="9" t="inlineStr">
        <is>
          <t>bazaar；dynamicRandomReward；itemReforge</t>
        </is>
      </c>
      <c r="N290" s="8" t="n">
        <v>1</v>
      </c>
      <c r="O290" s="9" t="inlineStr">
        <is>
          <t>周期触发</t>
        </is>
      </c>
      <c r="P290" s="9" t="inlineStr">
        <is>
          <t>periodicPulse</t>
        </is>
      </c>
      <c r="Q290" s="9" t="inlineStr">
        <is>
          <t>周期触发：将 4 层寒冷转化为 3 层坚硬；将 6 层寒冷转化为 5 层坚硬；将 8 层寒冷转化为 7 层坚硬；将 10 层寒冷转化为 9 层坚硬</t>
        </is>
      </c>
      <c r="R290" s="9" t="inlineStr"/>
      <c r="S290" s="9" t="inlineStr">
        <is>
          <t>深色护甲中央嵌着霜蓝寒玉，甲片会将逼近心口的寒气层层压成坚硬冰壳。</t>
        </is>
      </c>
      <c r="T290" s="8" t="inlineStr">
        <is>
          <t>implement_beastmat_han_gui_fu_jia_wen_pian_zhenshou_shield_2x2</t>
        </is>
      </c>
      <c r="U290" s="8" t="inlineStr">
        <is>
          <t>allowed</t>
        </is>
      </c>
    </row>
    <row r="291" ht="34" customHeight="1">
      <c r="A291" s="8" t="n">
        <v>290</v>
      </c>
      <c r="B291" s="8" t="n">
        <v>400244</v>
      </c>
      <c r="C291" s="8" t="inlineStr">
        <is>
          <t>渡寒水镜</t>
        </is>
      </c>
      <c r="D291" s="8" t="inlineStr">
        <is>
          <t>法器</t>
        </is>
      </c>
      <c r="E291" s="8" t="inlineStr">
        <is>
          <t>implement</t>
        </is>
      </c>
      <c r="F291" s="8" t="inlineStr">
        <is>
          <t>common</t>
        </is>
      </c>
      <c r="G291" s="8" t="inlineStr">
        <is>
          <t>水</t>
        </is>
      </c>
      <c r="H291" s="8" t="inlineStr">
        <is>
          <t>water</t>
        </is>
      </c>
      <c r="I291" s="8" t="inlineStr">
        <is>
          <t>2×2</t>
        </is>
      </c>
      <c r="J291" s="8" t="n">
        <v>4</v>
      </c>
      <c r="K291" s="8" t="n">
        <v>20</v>
      </c>
      <c r="L291" s="8" t="inlineStr">
        <is>
          <t>是</t>
        </is>
      </c>
      <c r="M291" s="9" t="inlineStr">
        <is>
          <t>bazaar；dynamicRandomReward；itemReforge</t>
        </is>
      </c>
      <c r="N291" s="8" t="n">
        <v>1</v>
      </c>
      <c r="O291" s="9" t="inlineStr">
        <is>
          <t>周期触发</t>
        </is>
      </c>
      <c r="P291" s="9" t="inlineStr">
        <is>
          <t>periodicPulse</t>
        </is>
      </c>
      <c r="Q291" s="9" t="inlineStr">
        <is>
          <t>周期触发：消耗自身最多 4 层寒冷，对敌方施加等量冰霜；消耗自身最多 8 层寒冷，对敌方施加等量冰霜；消耗自身最多 12 层寒冷，对敌方施加等量冰霜；消耗自身最多 16 层寒冷，对敌方施加等量冰霜</t>
        </is>
      </c>
      <c r="R291" s="9" t="inlineStr"/>
      <c r="S291" s="9" t="inlineStr">
        <is>
          <t>长柄水镜映着倒卷寒潮，镜面每次翻转，都会把一缕寒意送向对面的气机。</t>
        </is>
      </c>
      <c r="T291" s="8" t="inlineStr">
        <is>
          <t>implement_canglan_divination_mirror_2x2</t>
        </is>
      </c>
      <c r="U291" s="8" t="inlineStr">
        <is>
          <t>allowed</t>
        </is>
      </c>
    </row>
    <row r="292" ht="34" customHeight="1">
      <c r="A292" s="8" t="n">
        <v>291</v>
      </c>
      <c r="B292" s="8" t="n">
        <v>400245</v>
      </c>
      <c r="C292" s="8" t="inlineStr">
        <is>
          <t>蚀骨霜铃</t>
        </is>
      </c>
      <c r="D292" s="8" t="inlineStr">
        <is>
          <t>法器</t>
        </is>
      </c>
      <c r="E292" s="8" t="inlineStr">
        <is>
          <t>implement</t>
        </is>
      </c>
      <c r="F292" s="8" t="inlineStr">
        <is>
          <t>common</t>
        </is>
      </c>
      <c r="G292" s="8" t="inlineStr">
        <is>
          <t>水</t>
        </is>
      </c>
      <c r="H292" s="8" t="inlineStr">
        <is>
          <t>water</t>
        </is>
      </c>
      <c r="I292" s="8" t="inlineStr">
        <is>
          <t>1×1</t>
        </is>
      </c>
      <c r="J292" s="8" t="n">
        <v>1</v>
      </c>
      <c r="K292" s="8" t="n">
        <v>25</v>
      </c>
      <c r="L292" s="8" t="inlineStr">
        <is>
          <t>是</t>
        </is>
      </c>
      <c r="M292" s="9" t="inlineStr">
        <is>
          <t>bazaar；dynamicRandomReward；itemReforge</t>
        </is>
      </c>
      <c r="N292" s="8" t="n">
        <v>1</v>
      </c>
      <c r="O292" s="9" t="inlineStr">
        <is>
          <t>周期触发</t>
        </is>
      </c>
      <c r="P292" s="9" t="inlineStr">
        <is>
          <t>periodicPulse</t>
        </is>
      </c>
      <c r="Q292" s="9" t="inlineStr">
        <is>
          <t>周期触发：消耗敌方 4 层冰霜，造成 6 点伤害，并使敌方随机 2 件道具减速 3 秒；消耗敌方 8 层冰霜，造成 8 点伤害，并使敌方随机 2 件道具减速 4 秒；消耗敌方 12 层冰霜，造成 10 点伤害，并使敌方随机 2 件道具减速 6 秒；消耗敌方 16 层冰霜，造成 12 点伤害，并使敌方随机 2 件道具减速 8 秒</t>
        </is>
      </c>
      <c r="R292" s="9" t="inlineStr"/>
      <c r="S292" s="9" t="inlineStr">
        <is>
          <t>白骨铃架下悬着一枚冷青小铃，铃声落处霜纹会沿敌方器物的缝隙缓慢侵入。</t>
        </is>
      </c>
      <c r="T292" s="8" t="inlineStr">
        <is>
          <t>implement_beastmat_ling_shou_jiao_zhenhun_bell_1x1</t>
        </is>
      </c>
      <c r="U292" s="8" t="inlineStr">
        <is>
          <t>allowed</t>
        </is>
      </c>
    </row>
    <row r="293" ht="34" customHeight="1">
      <c r="A293" s="8" t="n">
        <v>292</v>
      </c>
      <c r="B293" s="8" t="n">
        <v>400246</v>
      </c>
      <c r="C293" s="8" t="inlineStr">
        <is>
          <t>岁寒回响碑</t>
        </is>
      </c>
      <c r="D293" s="8" t="inlineStr">
        <is>
          <t>法器</t>
        </is>
      </c>
      <c r="E293" s="8" t="inlineStr">
        <is>
          <t>implement</t>
        </is>
      </c>
      <c r="F293" s="8" t="inlineStr">
        <is>
          <t>common</t>
        </is>
      </c>
      <c r="G293" s="8" t="inlineStr">
        <is>
          <t>水</t>
        </is>
      </c>
      <c r="H293" s="8" t="inlineStr">
        <is>
          <t>water</t>
        </is>
      </c>
      <c r="I293" s="8" t="inlineStr">
        <is>
          <t>2×2</t>
        </is>
      </c>
      <c r="J293" s="8" t="n">
        <v>4</v>
      </c>
      <c r="K293" s="8" t="n">
        <v>27</v>
      </c>
      <c r="L293" s="8" t="inlineStr">
        <is>
          <t>是</t>
        </is>
      </c>
      <c r="M293" s="9" t="inlineStr">
        <is>
          <t>bazaar；dynamicRandomReward；itemReforge</t>
        </is>
      </c>
      <c r="N293" s="8" t="n">
        <v>1</v>
      </c>
      <c r="O293" s="9" t="inlineStr">
        <is>
          <t>周期触发</t>
        </is>
      </c>
      <c r="P293" s="9" t="inlineStr">
        <is>
          <t>periodicPulse</t>
        </is>
      </c>
      <c r="Q293" s="9" t="inlineStr">
        <is>
          <t>周期触发：最多将 4 层寒冷转化为等量修为；最多将 8 层寒冷转化为等量修为；最多将 12 层寒冷转化为等量修为；最多将 16 层寒冷转化为等量修为</t>
        </is>
      </c>
      <c r="R293" s="9" t="inlineStr"/>
      <c r="S293" s="9" t="inlineStr">
        <is>
          <t>青黑石碑中央嵌着霜白符晶，寒气消融时，碑面旧纹会逐笔亮起并化作修行回响。</t>
        </is>
      </c>
      <c r="T293" s="8" t="inlineStr">
        <is>
          <t>implement_mountainseal_altar_2x2</t>
        </is>
      </c>
      <c r="U293" s="8" t="inlineStr">
        <is>
          <t>allowed</t>
        </is>
      </c>
    </row>
    <row r="294" ht="34" customHeight="1">
      <c r="A294" s="8" t="n">
        <v>293</v>
      </c>
      <c r="B294" s="8" t="n">
        <v>400247</v>
      </c>
      <c r="C294" s="8" t="inlineStr">
        <is>
          <t>伏脉金枪</t>
        </is>
      </c>
      <c r="D294" s="8" t="inlineStr">
        <is>
          <t>法器</t>
        </is>
      </c>
      <c r="E294" s="8" t="inlineStr">
        <is>
          <t>implement</t>
        </is>
      </c>
      <c r="F294" s="8" t="inlineStr">
        <is>
          <t>common</t>
        </is>
      </c>
      <c r="G294" s="8" t="inlineStr">
        <is>
          <t>金</t>
        </is>
      </c>
      <c r="H294" s="8" t="inlineStr">
        <is>
          <t>metal</t>
        </is>
      </c>
      <c r="I294" s="8" t="inlineStr">
        <is>
          <t>1×2</t>
        </is>
      </c>
      <c r="J294" s="8" t="n">
        <v>2</v>
      </c>
      <c r="K294" s="8" t="n">
        <v>6</v>
      </c>
      <c r="L294" s="8" t="inlineStr">
        <is>
          <t>是</t>
        </is>
      </c>
      <c r="M294" s="9" t="inlineStr">
        <is>
          <t>bazaar；dynamicRandomReward；itemReforge</t>
        </is>
      </c>
      <c r="N294" s="8" t="n">
        <v>1</v>
      </c>
      <c r="O294" s="9" t="inlineStr">
        <is>
          <t>周期触发</t>
        </is>
      </c>
      <c r="P294" s="9" t="inlineStr">
        <is>
          <t>periodicPulse</t>
        </is>
      </c>
      <c r="Q294" s="9" t="inlineStr">
        <is>
          <t>周期触发：开局时，相邻至少 2 件金属性道具时，获得 8 层凝金；开局时，相邻至少 2 件金属性道具时，获得 10 层凝金；开局时，相邻至少 2 件金属性道具时，获得 12 层凝金；开局时，相邻至少 2 件金属性道具时，获得 14 层凝金</t>
        </is>
      </c>
      <c r="R294" s="9" t="inlineStr"/>
      <c r="S294" s="9" t="inlineStr">
        <is>
          <t>玄金长针刻着细密地脉纹，贴近袋壁时便能钉住四散金气，使其沿针身缓缓凝聚。</t>
        </is>
      </c>
      <c r="T294" s="8" t="inlineStr">
        <is>
          <t>implement_batch11_029_1x2</t>
        </is>
      </c>
      <c r="U294" s="8" t="inlineStr">
        <is>
          <t>allowed</t>
        </is>
      </c>
    </row>
    <row r="295" ht="34" customHeight="1">
      <c r="A295" s="8" t="n">
        <v>294</v>
      </c>
      <c r="B295" s="8" t="n">
        <v>400248</v>
      </c>
      <c r="C295" s="8" t="inlineStr">
        <is>
          <t>镇金玄匣</t>
        </is>
      </c>
      <c r="D295" s="8" t="inlineStr">
        <is>
          <t>法器</t>
        </is>
      </c>
      <c r="E295" s="8" t="inlineStr">
        <is>
          <t>implement</t>
        </is>
      </c>
      <c r="F295" s="8" t="inlineStr">
        <is>
          <t>common</t>
        </is>
      </c>
      <c r="G295" s="8" t="inlineStr">
        <is>
          <t>金</t>
        </is>
      </c>
      <c r="H295" s="8" t="inlineStr">
        <is>
          <t>metal</t>
        </is>
      </c>
      <c r="I295" s="8" t="inlineStr">
        <is>
          <t>2×2</t>
        </is>
      </c>
      <c r="J295" s="8" t="n">
        <v>4</v>
      </c>
      <c r="K295" s="8" t="n">
        <v>30</v>
      </c>
      <c r="L295" s="8" t="inlineStr">
        <is>
          <t>是</t>
        </is>
      </c>
      <c r="M295" s="9" t="inlineStr">
        <is>
          <t>bazaar；dynamicRandomReward；itemReforge</t>
        </is>
      </c>
      <c r="N295" s="8" t="n">
        <v>1</v>
      </c>
      <c r="O295" s="9" t="inlineStr">
        <is>
          <t>周期触发</t>
        </is>
      </c>
      <c r="P295" s="9" t="inlineStr">
        <is>
          <t>periodicPulse</t>
        </is>
      </c>
      <c r="Q295" s="9" t="inlineStr">
        <is>
          <t>周期触发：开局时，获得 4 层凝金和 4 层蓄势，战斗胜利时效果升级；凝金；蓄势；开局时，获得 6 层凝金和 6 层蓄势，战斗胜利时效果升级；开局时，获得 8 层凝金和 8 层蓄势，战斗胜利时效果升级；开局时，获得 10 层凝金和 10 层蓄势，战斗胜利时效果升级</t>
        </is>
      </c>
      <c r="R295" s="9" t="inlineStr"/>
      <c r="S295" s="9" t="inlineStr">
        <is>
          <t>厚重铜匣内嵌山形金脉，匣盖开启的一瞬，积蓄其中的金气便会涌入周身。</t>
        </is>
      </c>
      <c r="T295" s="8" t="inlineStr">
        <is>
          <t>implement_batch12_046_2x2</t>
        </is>
      </c>
      <c r="U295" s="8" t="inlineStr">
        <is>
          <t>allowed</t>
        </is>
      </c>
    </row>
    <row r="296" ht="34" customHeight="1">
      <c r="A296" s="8" t="n">
        <v>295</v>
      </c>
      <c r="B296" s="8" t="n">
        <v>400249</v>
      </c>
      <c r="C296" s="8" t="inlineStr">
        <is>
          <t>金罡藏心甲</t>
        </is>
      </c>
      <c r="D296" s="8" t="inlineStr">
        <is>
          <t>法器</t>
        </is>
      </c>
      <c r="E296" s="8" t="inlineStr">
        <is>
          <t>implement</t>
        </is>
      </c>
      <c r="F296" s="8" t="inlineStr">
        <is>
          <t>common</t>
        </is>
      </c>
      <c r="G296" s="8" t="inlineStr">
        <is>
          <t>土</t>
        </is>
      </c>
      <c r="H296" s="8" t="inlineStr">
        <is>
          <t>earth</t>
        </is>
      </c>
      <c r="I296" s="8" t="inlineStr">
        <is>
          <t>2×2</t>
        </is>
      </c>
      <c r="J296" s="8" t="n">
        <v>4</v>
      </c>
      <c r="K296" s="8" t="n">
        <v>30</v>
      </c>
      <c r="L296" s="8" t="inlineStr">
        <is>
          <t>是</t>
        </is>
      </c>
      <c r="M296" s="9" t="inlineStr">
        <is>
          <t>bazaar；dynamicRandomReward；itemReforge</t>
        </is>
      </c>
      <c r="N296" s="8" t="n">
        <v>2</v>
      </c>
      <c r="O296" s="9" t="inlineStr">
        <is>
          <t>条件触发</t>
        </is>
      </c>
      <c r="P296" s="9" t="inlineStr">
        <is>
          <t>triggered</t>
        </is>
      </c>
      <c r="Q296" s="9" t="inlineStr">
        <is>
          <t>条件触发：服用丹药时，获得 5 层坚硬；服用丹药时，获得 8 层坚硬；服用丹药时，获得 11 层坚硬；服用丹药时，获得 14 层坚硬 | 条件触发：凝金层数不少于 15 时，服用丹药额外获得 5 层坚硬；凝金层数不少于 15 时，服用丹药额外获得 8 层坚硬；凝金层数不少于 15 时，服用丹药额外获得 11 层坚硬；凝金层数不少于 15 时，服用丹药额外获得 14 层坚硬</t>
        </is>
      </c>
      <c r="R296" s="9" t="inlineStr"/>
      <c r="S296" s="9" t="inlineStr">
        <is>
          <t>银灰护甲以金纹锁住胸腹要害，凝金之气流入甲片后，会层层叠成沉稳护势。</t>
        </is>
      </c>
      <c r="T296" s="8" t="inlineStr">
        <is>
          <t>implement_batch10_119_2x2</t>
        </is>
      </c>
      <c r="U296" s="8" t="inlineStr">
        <is>
          <t>allowed</t>
        </is>
      </c>
    </row>
    <row r="297" ht="34" customHeight="1">
      <c r="A297" s="8" t="n">
        <v>296</v>
      </c>
      <c r="B297" s="8" t="n">
        <v>400250</v>
      </c>
      <c r="C297" s="8" t="inlineStr">
        <is>
          <t>石板剑</t>
        </is>
      </c>
      <c r="D297" s="8" t="inlineStr">
        <is>
          <t>法器</t>
        </is>
      </c>
      <c r="E297" s="8" t="inlineStr">
        <is>
          <t>implement</t>
        </is>
      </c>
      <c r="F297" s="8" t="inlineStr">
        <is>
          <t>common</t>
        </is>
      </c>
      <c r="G297" s="8" t="inlineStr">
        <is>
          <t>土</t>
        </is>
      </c>
      <c r="H297" s="8" t="inlineStr">
        <is>
          <t>earth</t>
        </is>
      </c>
      <c r="I297" s="8" t="inlineStr">
        <is>
          <t>3×1</t>
        </is>
      </c>
      <c r="J297" s="8" t="n">
        <v>3</v>
      </c>
      <c r="K297" s="8" t="n">
        <v>12</v>
      </c>
      <c r="L297" s="8" t="inlineStr">
        <is>
          <t>是</t>
        </is>
      </c>
      <c r="M297" s="9" t="inlineStr">
        <is>
          <t>bazaar；dynamicRandomReward；itemReforge</t>
        </is>
      </c>
      <c r="N297" s="8" t="n">
        <v>1</v>
      </c>
      <c r="O297" s="9" t="inlineStr">
        <is>
          <t>周期触发</t>
        </is>
      </c>
      <c r="P297" s="9" t="inlineStr">
        <is>
          <t>periodicPulse</t>
        </is>
      </c>
      <c r="Q297" s="9" t="inlineStr">
        <is>
          <t>周期触发：消耗 4 层护甲；对敌方造成 12 点伤害；消耗 4 层护甲；消耗 6 层护甲；对敌方造成 18 点伤害；消耗 6 层护甲；消耗 8 层护甲；对敌方造成 24 点伤害；消耗 8 层护甲；消耗 10 层护甲；对敌方造成 30 点伤害；消耗 10 层护甲</t>
        </is>
      </c>
      <c r="R297" s="9" t="inlineStr"/>
      <c r="S297" s="9" t="inlineStr">
        <is>
          <t>银锋短剑宽脊沉重，凝金之气灌入刃身后，剑势便如断岳般直落而下。</t>
        </is>
      </c>
      <c r="T297" s="8" t="inlineStr">
        <is>
          <t>implement_silver_shortblade_3x1</t>
        </is>
      </c>
      <c r="U297" s="8" t="inlineStr">
        <is>
          <t>allowed</t>
        </is>
      </c>
    </row>
    <row r="298" ht="34" customHeight="1">
      <c r="A298" s="8" t="n">
        <v>297</v>
      </c>
      <c r="B298" s="8" t="n">
        <v>400251</v>
      </c>
      <c r="C298" s="8" t="inlineStr">
        <is>
          <t>锁脉金勾</t>
        </is>
      </c>
      <c r="D298" s="8" t="inlineStr">
        <is>
          <t>法器</t>
        </is>
      </c>
      <c r="E298" s="8" t="inlineStr">
        <is>
          <t>implement</t>
        </is>
      </c>
      <c r="F298" s="8" t="inlineStr">
        <is>
          <t>common</t>
        </is>
      </c>
      <c r="G298" s="8" t="inlineStr">
        <is>
          <t>金</t>
        </is>
      </c>
      <c r="H298" s="8" t="inlineStr">
        <is>
          <t>metal</t>
        </is>
      </c>
      <c r="I298" s="8" t="inlineStr">
        <is>
          <t>2×1</t>
        </is>
      </c>
      <c r="J298" s="8" t="n">
        <v>2</v>
      </c>
      <c r="K298" s="8" t="n">
        <v>9</v>
      </c>
      <c r="L298" s="8" t="inlineStr">
        <is>
          <t>是</t>
        </is>
      </c>
      <c r="M298" s="9" t="inlineStr">
        <is>
          <t>bazaar；dynamicRandomReward；itemReforge</t>
        </is>
      </c>
      <c r="N298" s="8" t="n">
        <v>1</v>
      </c>
      <c r="O298" s="9" t="inlineStr">
        <is>
          <t>周期触发</t>
        </is>
      </c>
      <c r="P298" s="9" t="inlineStr">
        <is>
          <t>periodicPulse</t>
        </is>
      </c>
      <c r="Q298" s="9" t="inlineStr">
        <is>
          <t>周期触发：消耗 4 层凝金，获得 4 层护甲；消耗 8 层凝金，获得 8 层护甲；消耗 12 层凝金，获得 12 层护甲；消耗 16 层凝金，获得 16 层护甲</t>
        </is>
      </c>
      <c r="R298" s="9" t="inlineStr"/>
      <c r="S298" s="9" t="inlineStr">
        <is>
          <t>金色弯钩连着乌沉锁扣，凝金沿锁节游走时，能将对手气机一并压得沉滞。</t>
        </is>
      </c>
      <c r="T298" s="8" t="inlineStr">
        <is>
          <t>implement_beastmat_jin_jia_shou_zhua_fuhun_hook_2x1</t>
        </is>
      </c>
      <c r="U298" s="8" t="inlineStr">
        <is>
          <t>allowed</t>
        </is>
      </c>
    </row>
    <row r="299" ht="34" customHeight="1">
      <c r="A299" s="8" t="n">
        <v>298</v>
      </c>
      <c r="B299" s="8" t="n">
        <v>400252</v>
      </c>
      <c r="C299" s="8" t="inlineStr">
        <is>
          <t>金息化生盏</t>
        </is>
      </c>
      <c r="D299" s="8" t="inlineStr">
        <is>
          <t>法器</t>
        </is>
      </c>
      <c r="E299" s="8" t="inlineStr">
        <is>
          <t>implement</t>
        </is>
      </c>
      <c r="F299" s="8" t="inlineStr">
        <is>
          <t>common</t>
        </is>
      </c>
      <c r="G299" s="8" t="inlineStr">
        <is>
          <t>水</t>
        </is>
      </c>
      <c r="H299" s="8" t="inlineStr">
        <is>
          <t>water</t>
        </is>
      </c>
      <c r="I299" s="8" t="inlineStr">
        <is>
          <t>1×1</t>
        </is>
      </c>
      <c r="J299" s="8" t="n">
        <v>1</v>
      </c>
      <c r="K299" s="8" t="n">
        <v>6</v>
      </c>
      <c r="L299" s="8" t="inlineStr">
        <is>
          <t>是</t>
        </is>
      </c>
      <c r="M299" s="9" t="inlineStr">
        <is>
          <t>bazaar；dynamicRandomReward；itemReforge</t>
        </is>
      </c>
      <c r="N299" s="8" t="n">
        <v>1</v>
      </c>
      <c r="O299" s="9" t="inlineStr">
        <is>
          <t>周期触发</t>
        </is>
      </c>
      <c r="P299" s="9" t="inlineStr">
        <is>
          <t>periodicPulse</t>
        </is>
      </c>
      <c r="Q299" s="9" t="inlineStr">
        <is>
          <t>周期触发：最多将 4 层凝金转化为体力，每 1 层转化为 2 点体力；最多将 8 层凝金转化为体力，每 1 层转化为 2 点体力；最多将 12 层凝金转化为体力，每 1 层转化为 2 点体力；最多将 16 层凝金转化为体力，每 1 层转化为 2 点体力</t>
        </is>
      </c>
      <c r="R299" s="9" t="inlineStr"/>
      <c r="S299" s="9" t="inlineStr">
        <is>
          <t>青玉莲盏能将沉凝金息化作温润生机，盏中清光每一次回旋，都令筋脉重新舒展。</t>
        </is>
      </c>
      <c r="T299" s="8" t="inlineStr">
        <is>
          <t>implement_batch10_081_1x1</t>
        </is>
      </c>
      <c r="U299" s="8" t="inlineStr">
        <is>
          <t>allowed</t>
        </is>
      </c>
    </row>
    <row r="300" ht="34" customHeight="1">
      <c r="A300" s="8" t="n">
        <v>299</v>
      </c>
      <c r="B300" s="8" t="n">
        <v>400253</v>
      </c>
      <c r="C300" s="8" t="inlineStr">
        <is>
          <t>裂金分流印</t>
        </is>
      </c>
      <c r="D300" s="8" t="inlineStr">
        <is>
          <t>法器</t>
        </is>
      </c>
      <c r="E300" s="8" t="inlineStr">
        <is>
          <t>implement</t>
        </is>
      </c>
      <c r="F300" s="8" t="inlineStr">
        <is>
          <t>common</t>
        </is>
      </c>
      <c r="G300" s="8" t="inlineStr">
        <is>
          <t>金</t>
        </is>
      </c>
      <c r="H300" s="8" t="inlineStr">
        <is>
          <t>metal</t>
        </is>
      </c>
      <c r="I300" s="8" t="inlineStr">
        <is>
          <t>1×1</t>
        </is>
      </c>
      <c r="J300" s="8" t="n">
        <v>1</v>
      </c>
      <c r="K300" s="8" t="n">
        <v>6</v>
      </c>
      <c r="L300" s="8" t="inlineStr">
        <is>
          <t>是</t>
        </is>
      </c>
      <c r="M300" s="9" t="inlineStr">
        <is>
          <t>bazaar；dynamicRandomReward；itemReforge</t>
        </is>
      </c>
      <c r="N300" s="8" t="n">
        <v>1</v>
      </c>
      <c r="O300" s="9" t="inlineStr">
        <is>
          <t>周期触发</t>
        </is>
      </c>
      <c r="P300" s="9" t="inlineStr">
        <is>
          <t>periodicPulse</t>
        </is>
      </c>
      <c r="Q300" s="9" t="inlineStr">
        <is>
          <t>周期触发：最多将 4 层凝金转化为修为，每 1 层转化为 4 点修为；最多将 8 层凝金转化为修为，每 1 层转化为 4 点修为；最多将 12 层凝金转化为修为，每 1 层转化为 4 点修为；最多将 16 层凝金转化为修为，每 1 层转化为 4 点修为</t>
        </is>
      </c>
      <c r="R300" s="9" t="inlineStr"/>
      <c r="S300" s="9" t="inlineStr">
        <is>
          <t>铜龙盘踞于方印之上，碎散金息经过印底回纹后，会被重新导回修行根基。</t>
        </is>
      </c>
      <c r="T300" s="8" t="inlineStr">
        <is>
          <t>implement_bronze_dragon_plain_seal_1x1</t>
        </is>
      </c>
      <c r="U300" s="8" t="inlineStr">
        <is>
          <t>allowed</t>
        </is>
      </c>
    </row>
    <row r="301" ht="34" customHeight="1">
      <c r="A301" s="8" t="n">
        <v>300</v>
      </c>
      <c r="B301" s="8" t="n">
        <v>400254</v>
      </c>
      <c r="C301" s="8" t="inlineStr">
        <is>
          <t>逐风履</t>
        </is>
      </c>
      <c r="D301" s="8" t="inlineStr">
        <is>
          <t>法器</t>
        </is>
      </c>
      <c r="E301" s="8" t="inlineStr">
        <is>
          <t>implement</t>
        </is>
      </c>
      <c r="F301" s="8" t="inlineStr">
        <is>
          <t>common</t>
        </is>
      </c>
      <c r="G301" s="8" t="inlineStr">
        <is>
          <t>风</t>
        </is>
      </c>
      <c r="H301" s="8" t="inlineStr">
        <is>
          <t>wind</t>
        </is>
      </c>
      <c r="I301" s="8" t="inlineStr">
        <is>
          <t>1×2</t>
        </is>
      </c>
      <c r="J301" s="8" t="n">
        <v>2</v>
      </c>
      <c r="K301" s="8" t="n">
        <v>8</v>
      </c>
      <c r="L301" s="8" t="inlineStr">
        <is>
          <t>是</t>
        </is>
      </c>
      <c r="M301" s="9" t="inlineStr">
        <is>
          <t>bazaar；dynamicRandomReward；itemReforge</t>
        </is>
      </c>
      <c r="N301" s="8" t="n">
        <v>1</v>
      </c>
      <c r="O301" s="9" t="inlineStr">
        <is>
          <t>周期触发</t>
        </is>
      </c>
      <c r="P301" s="9" t="inlineStr">
        <is>
          <t>periodicPulse</t>
        </is>
      </c>
      <c r="Q301" s="9" t="inlineStr">
        <is>
          <t>周期触发：位于储物袋底部时，获得 1 层敏捷；位于储物袋底部时，获得 2 层敏捷；位于储物袋底部时，获得 3 层敏捷；位于储物袋底部时，获得 4 层敏捷</t>
        </is>
      </c>
      <c r="R301" s="9" t="inlineStr"/>
      <c r="S301" s="9" t="inlineStr">
        <is>
          <t>青羽短履轻薄贴足，靴尖与后跟各缀一道流风纹，踏到袋底时便有清风托起脚步。</t>
        </is>
      </c>
      <c r="T301" s="8" t="inlineStr">
        <is>
          <t>implement_equipment_batch8_028_1x2</t>
        </is>
      </c>
      <c r="U301" s="8" t="inlineStr">
        <is>
          <t>allowed</t>
        </is>
      </c>
    </row>
    <row r="302" ht="34" customHeight="1">
      <c r="A302" s="8" t="n">
        <v>301</v>
      </c>
      <c r="B302" s="8" t="n">
        <v>400255</v>
      </c>
      <c r="C302" s="8" t="inlineStr">
        <is>
          <t>破滞银针</t>
        </is>
      </c>
      <c r="D302" s="8" t="inlineStr">
        <is>
          <t>法器</t>
        </is>
      </c>
      <c r="E302" s="8" t="inlineStr">
        <is>
          <t>implement</t>
        </is>
      </c>
      <c r="F302" s="8" t="inlineStr">
        <is>
          <t>common</t>
        </is>
      </c>
      <c r="G302" s="8" t="inlineStr">
        <is>
          <t>金</t>
        </is>
      </c>
      <c r="H302" s="8" t="inlineStr">
        <is>
          <t>metal</t>
        </is>
      </c>
      <c r="I302" s="8" t="inlineStr">
        <is>
          <t>1×1</t>
        </is>
      </c>
      <c r="J302" s="8" t="n">
        <v>1</v>
      </c>
      <c r="K302" s="8" t="n">
        <v>9</v>
      </c>
      <c r="L302" s="8" t="inlineStr">
        <is>
          <t>是</t>
        </is>
      </c>
      <c r="M302" s="9" t="inlineStr">
        <is>
          <t>bazaar；dynamicRandomReward；itemReforge</t>
        </is>
      </c>
      <c r="N302" s="8" t="n">
        <v>1</v>
      </c>
      <c r="O302" s="9" t="inlineStr">
        <is>
          <t>周期触发</t>
        </is>
      </c>
      <c r="P302" s="9" t="inlineStr">
        <is>
          <t>periodicPulse</t>
        </is>
      </c>
      <c r="Q302" s="9" t="inlineStr">
        <is>
          <t>周期触发：将 2 层蓄势转化为 1 层敏捷；将 4 层蓄势转化为 2 层敏捷；将 6 层蓄势转化为 3 层敏捷；将 8 层蓄势转化为 4 层敏捷</t>
        </is>
      </c>
      <c r="R302" s="9" t="inlineStr"/>
      <c r="S302" s="9" t="inlineStr">
        <is>
          <t>银针尾端展开两片金翅，针锋专破凝滞经络，沉浊一散，身法便随之轻快。</t>
        </is>
      </c>
      <c r="T302" s="8" t="inlineStr">
        <is>
          <t>implement_batch10_123_1x1</t>
        </is>
      </c>
      <c r="U302" s="8" t="inlineStr">
        <is>
          <t>allowed</t>
        </is>
      </c>
    </row>
    <row r="303" ht="34" customHeight="1">
      <c r="A303" s="8" t="n">
        <v>302</v>
      </c>
      <c r="B303" s="8" t="n">
        <v>400256</v>
      </c>
      <c r="C303" s="8" t="inlineStr">
        <is>
          <t>游丝护腕</t>
        </is>
      </c>
      <c r="D303" s="8" t="inlineStr">
        <is>
          <t>法器</t>
        </is>
      </c>
      <c r="E303" s="8" t="inlineStr">
        <is>
          <t>implement</t>
        </is>
      </c>
      <c r="F303" s="8" t="inlineStr">
        <is>
          <t>common</t>
        </is>
      </c>
      <c r="G303" s="8" t="inlineStr">
        <is>
          <t>风</t>
        </is>
      </c>
      <c r="H303" s="8" t="inlineStr">
        <is>
          <t>wind</t>
        </is>
      </c>
      <c r="I303" s="8" t="inlineStr">
        <is>
          <t>1×1</t>
        </is>
      </c>
      <c r="J303" s="8" t="n">
        <v>1</v>
      </c>
      <c r="K303" s="8" t="n">
        <v>10</v>
      </c>
      <c r="L303" s="8" t="inlineStr">
        <is>
          <t>是</t>
        </is>
      </c>
      <c r="M303" s="9" t="inlineStr">
        <is>
          <t>bazaar；dynamicRandomReward；itemReforge</t>
        </is>
      </c>
      <c r="N303" s="8" t="n">
        <v>1</v>
      </c>
      <c r="O303" s="9" t="inlineStr">
        <is>
          <t>周期触发</t>
        </is>
      </c>
      <c r="P303" s="9" t="inlineStr">
        <is>
          <t>periodicPulse</t>
        </is>
      </c>
      <c r="Q303" s="9" t="inlineStr">
        <is>
          <t>周期触发：每有 1 层敏捷，使所有招式获得 0.1 秒加速（最多计算 10 层）；每有 1 层敏捷，使所有招式获得 0.2 秒加速（最多计算 10 层）；每有 1 层敏捷，使所有招式获得 0.3 秒加速（最多计算 10 层）；每有 1 层敏捷，使所有招式获得 0.4 秒加速（最多计算 10 层）</t>
        </is>
      </c>
      <c r="R303" s="9" t="inlineStr"/>
      <c r="S303" s="9" t="inlineStr">
        <is>
          <t>彩丝护腕编得细密轻韧，腕上灵风越盛，兵刃越能借势连转。</t>
        </is>
      </c>
      <c r="T303" s="8" t="inlineStr">
        <is>
          <t>implement_batch10_131_1x1</t>
        </is>
      </c>
      <c r="U303" s="8" t="inlineStr">
        <is>
          <t>allowed</t>
        </is>
      </c>
    </row>
    <row r="304" ht="34" customHeight="1">
      <c r="A304" s="8" t="n">
        <v>303</v>
      </c>
      <c r="B304" s="8" t="n">
        <v>400257</v>
      </c>
      <c r="C304" s="8" t="inlineStr">
        <is>
          <t>翻羽披风</t>
        </is>
      </c>
      <c r="D304" s="8" t="inlineStr">
        <is>
          <t>法器</t>
        </is>
      </c>
      <c r="E304" s="8" t="inlineStr">
        <is>
          <t>implement</t>
        </is>
      </c>
      <c r="F304" s="8" t="inlineStr">
        <is>
          <t>common</t>
        </is>
      </c>
      <c r="G304" s="8" t="inlineStr">
        <is>
          <t>风</t>
        </is>
      </c>
      <c r="H304" s="8" t="inlineStr">
        <is>
          <t>wind</t>
        </is>
      </c>
      <c r="I304" s="8" t="inlineStr">
        <is>
          <t>2×2</t>
        </is>
      </c>
      <c r="J304" s="8" t="n">
        <v>4</v>
      </c>
      <c r="K304" s="8" t="n">
        <v>12</v>
      </c>
      <c r="L304" s="8" t="inlineStr">
        <is>
          <t>是</t>
        </is>
      </c>
      <c r="M304" s="9" t="inlineStr">
        <is>
          <t>bazaar；dynamicRandomReward；itemReforge</t>
        </is>
      </c>
      <c r="N304" s="8" t="n">
        <v>1</v>
      </c>
      <c r="O304" s="9" t="inlineStr">
        <is>
          <t>周期触发</t>
        </is>
      </c>
      <c r="P304" s="9" t="inlineStr">
        <is>
          <t>periodicPulse</t>
        </is>
      </c>
      <c r="Q304" s="9" t="inlineStr">
        <is>
          <t>周期触发：最多将 2 层敏捷转化为相同层数的闪避；最多将 4 层敏捷转化为相同层数的闪避；最多将 6 层敏捷转化为相同层数的闪避；最多将 8 层敏捷转化为相同层数的闪避</t>
        </is>
      </c>
      <c r="R304" s="9" t="inlineStr"/>
      <c r="S304" s="9" t="inlineStr">
        <is>
          <t>赤金披风绣满翻飞羽纹，风势积到肩背时，羽纹便散作护身残影。</t>
        </is>
      </c>
      <c r="T304" s="8" t="inlineStr">
        <is>
          <t>implement_batch10_105_2x2</t>
        </is>
      </c>
      <c r="U304" s="8" t="inlineStr">
        <is>
          <t>allowed</t>
        </is>
      </c>
    </row>
    <row r="305" ht="34" customHeight="1">
      <c r="A305" s="8" t="n">
        <v>304</v>
      </c>
      <c r="B305" s="8" t="n">
        <v>400258</v>
      </c>
      <c r="C305" s="8" t="inlineStr">
        <is>
          <t>追影飞梭</t>
        </is>
      </c>
      <c r="D305" s="8" t="inlineStr">
        <is>
          <t>法器</t>
        </is>
      </c>
      <c r="E305" s="8" t="inlineStr">
        <is>
          <t>implement</t>
        </is>
      </c>
      <c r="F305" s="8" t="inlineStr">
        <is>
          <t>common</t>
        </is>
      </c>
      <c r="G305" s="8" t="inlineStr">
        <is>
          <t>金</t>
        </is>
      </c>
      <c r="H305" s="8" t="inlineStr">
        <is>
          <t>metal</t>
        </is>
      </c>
      <c r="I305" s="8" t="inlineStr">
        <is>
          <t>2×1</t>
        </is>
      </c>
      <c r="J305" s="8" t="n">
        <v>2</v>
      </c>
      <c r="K305" s="8" t="n">
        <v>11</v>
      </c>
      <c r="L305" s="8" t="inlineStr">
        <is>
          <t>是</t>
        </is>
      </c>
      <c r="M305" s="9" t="inlineStr">
        <is>
          <t>bazaar；dynamicRandomReward；itemReforge</t>
        </is>
      </c>
      <c r="N305" s="8" t="n">
        <v>1</v>
      </c>
      <c r="O305" s="9" t="inlineStr">
        <is>
          <t>周期触发</t>
        </is>
      </c>
      <c r="P305" s="9" t="inlineStr">
        <is>
          <t>periodicPulse</t>
        </is>
      </c>
      <c r="Q305" s="9" t="inlineStr">
        <is>
          <t>周期触发：最多消耗 2 层敏捷；每消耗 1 层，对敌方造成 3 点伤害；最多消耗 2 层敏捷；每消耗 1 层，对敌方造成 6 点伤害；最多消耗 2 层敏捷；每消耗 1 层，对敌方造成 9 点伤害；最多消耗 2 层敏捷；每消耗 1 层，对敌方造成 12 点伤害</t>
        </is>
      </c>
      <c r="R305" s="9" t="inlineStr"/>
      <c r="S305" s="9" t="inlineStr">
        <is>
          <t>青钢飞梭两端收成锐锋，轻风灌入梭身后便贴着残影往复穿刺。</t>
        </is>
      </c>
      <c r="T305" s="8" t="inlineStr">
        <is>
          <t>implement_batch11_015_2x1</t>
        </is>
      </c>
      <c r="U305" s="8" t="inlineStr">
        <is>
          <t>allowed</t>
        </is>
      </c>
    </row>
    <row r="306" ht="34" customHeight="1">
      <c r="A306" s="8" t="n">
        <v>305</v>
      </c>
      <c r="B306" s="8" t="n">
        <v>400259</v>
      </c>
      <c r="C306" s="8" t="inlineStr">
        <is>
          <t>踏云双刃</t>
        </is>
      </c>
      <c r="D306" s="8" t="inlineStr">
        <is>
          <t>法器</t>
        </is>
      </c>
      <c r="E306" s="8" t="inlineStr">
        <is>
          <t>implement</t>
        </is>
      </c>
      <c r="F306" s="8" t="inlineStr">
        <is>
          <t>common</t>
        </is>
      </c>
      <c r="G306" s="8" t="inlineStr">
        <is>
          <t>金</t>
        </is>
      </c>
      <c r="H306" s="8" t="inlineStr">
        <is>
          <t>metal</t>
        </is>
      </c>
      <c r="I306" s="8" t="inlineStr">
        <is>
          <t>2×2</t>
        </is>
      </c>
      <c r="J306" s="8" t="n">
        <v>4</v>
      </c>
      <c r="K306" s="8" t="n">
        <v>20</v>
      </c>
      <c r="L306" s="8" t="inlineStr">
        <is>
          <t>是</t>
        </is>
      </c>
      <c r="M306" s="9" t="inlineStr">
        <is>
          <t>bazaar；dynamicRandomReward；itemReforge</t>
        </is>
      </c>
      <c r="N306" s="8" t="n">
        <v>2</v>
      </c>
      <c r="O306" s="9" t="inlineStr">
        <is>
          <t>周期触发；条件触发</t>
        </is>
      </c>
      <c r="P306" s="9" t="inlineStr">
        <is>
          <t>periodicPulse；triggered</t>
        </is>
      </c>
      <c r="Q306" s="9" t="inlineStr">
        <is>
          <t>周期触发：消耗 2 点体力，对敌方造成 5 点伤害；消耗 4 点体力，对敌方造成 10 点伤害；消耗 6 点体力，对敌方造成 15 点伤害；消耗 8 点体力，对敌方造成 20 点伤害 | 条件触发：每当敏捷将自身的体力消耗降为 0，额外对敌方造成 5 点伤害；每当敏捷将自身的体力消耗降为 0，额外对敌方造成 10 点伤害；每当敏捷将自身的体力消耗降为 0，额外对敌方造成 15 点伤害；每当敏捷将自身的体力消耗降为 0，额外对敌方造成 20 点伤害</t>
        </is>
      </c>
      <c r="R306" s="9" t="inlineStr"/>
      <c r="S306" s="9" t="inlineStr">
        <is>
          <t>一双金翎短刃轻若云羽，出手本要催动体力，若有流风托势便能无耗追斩。</t>
        </is>
      </c>
      <c r="T306" s="8" t="inlineStr">
        <is>
          <t>implement_hybrid19_032_2x2</t>
        </is>
      </c>
      <c r="U306" s="8" t="inlineStr">
        <is>
          <t>allowed</t>
        </is>
      </c>
    </row>
    <row r="307" ht="34" customHeight="1">
      <c r="A307" s="8" t="n">
        <v>306</v>
      </c>
      <c r="B307" s="8" t="n">
        <v>400260</v>
      </c>
      <c r="C307" s="8" t="inlineStr">
        <is>
          <t>听风玉扣</t>
        </is>
      </c>
      <c r="D307" s="8" t="inlineStr">
        <is>
          <t>法器</t>
        </is>
      </c>
      <c r="E307" s="8" t="inlineStr">
        <is>
          <t>implement</t>
        </is>
      </c>
      <c r="F307" s="8" t="inlineStr">
        <is>
          <t>common</t>
        </is>
      </c>
      <c r="G307" s="8" t="inlineStr">
        <is>
          <t>水</t>
        </is>
      </c>
      <c r="H307" s="8" t="inlineStr">
        <is>
          <t>water</t>
        </is>
      </c>
      <c r="I307" s="8" t="inlineStr">
        <is>
          <t>1×1</t>
        </is>
      </c>
      <c r="J307" s="8" t="n">
        <v>1</v>
      </c>
      <c r="K307" s="8" t="n">
        <v>11</v>
      </c>
      <c r="L307" s="8" t="inlineStr">
        <is>
          <t>是</t>
        </is>
      </c>
      <c r="M307" s="9" t="inlineStr">
        <is>
          <t>bazaar；dynamicRandomReward；itemReforge</t>
        </is>
      </c>
      <c r="N307" s="8" t="n">
        <v>1</v>
      </c>
      <c r="O307" s="9" t="inlineStr">
        <is>
          <t>条件触发</t>
        </is>
      </c>
      <c r="P307" s="9" t="inlineStr">
        <is>
          <t>triggered</t>
        </is>
      </c>
      <c r="Q307" s="9" t="inlineStr">
        <is>
          <t>条件触发：每当敏捷将一次体力消耗降为 0，对敌方造成 2 点伤害；每当敏捷将一次体力消耗降为 0，对敌方造成 4 点伤害；每当敏捷将一次体力消耗降为 0，对敌方造成 6 点伤害；每当敏捷将一次体力消耗降为 0，对敌方造成 8 点伤害</t>
        </is>
      </c>
      <c r="R307" s="9" t="inlineStr"/>
      <c r="S307" s="9" t="inlineStr">
        <is>
          <t>青金玉扣内嵌一圈听风涡纹，风势替主人卸去体力时，扣心便弹出一道锐响。</t>
        </is>
      </c>
      <c r="T307" s="8" t="inlineStr">
        <is>
          <t>implement_batch24_027_1x1</t>
        </is>
      </c>
      <c r="U307" s="8" t="inlineStr">
        <is>
          <t>allowed</t>
        </is>
      </c>
    </row>
    <row r="308" ht="34" customHeight="1">
      <c r="A308" s="8" t="n">
        <v>307</v>
      </c>
      <c r="B308" s="8" t="n">
        <v>400261</v>
      </c>
      <c r="C308" s="8" t="inlineStr">
        <is>
          <t>青羽踏风靴</t>
        </is>
      </c>
      <c r="D308" s="8" t="inlineStr">
        <is>
          <t>法器</t>
        </is>
      </c>
      <c r="E308" s="8" t="inlineStr">
        <is>
          <t>implement</t>
        </is>
      </c>
      <c r="F308" s="8" t="inlineStr">
        <is>
          <t>common</t>
        </is>
      </c>
      <c r="G308" s="8" t="inlineStr">
        <is>
          <t>风</t>
        </is>
      </c>
      <c r="H308" s="8" t="inlineStr">
        <is>
          <t>wind</t>
        </is>
      </c>
      <c r="I308" s="8" t="inlineStr">
        <is>
          <t>1×2</t>
        </is>
      </c>
      <c r="J308" s="8" t="n">
        <v>2</v>
      </c>
      <c r="K308" s="8" t="n">
        <v>6</v>
      </c>
      <c r="L308" s="8" t="inlineStr">
        <is>
          <t>是</t>
        </is>
      </c>
      <c r="M308" s="9" t="inlineStr">
        <is>
          <t>bazaar；dynamicRandomReward；itemReforge</t>
        </is>
      </c>
      <c r="N308" s="8" t="n">
        <v>1</v>
      </c>
      <c r="O308" s="9" t="inlineStr">
        <is>
          <t>条件触发</t>
        </is>
      </c>
      <c r="P308" s="9" t="inlineStr">
        <is>
          <t>triggered</t>
        </is>
      </c>
      <c r="Q308" s="9" t="inlineStr">
        <is>
          <t>条件触发：每当成功闪避一次，获得 1 层敏捷；每当成功闪避一次，获得 2 层敏捷；每当成功闪避一次，获得 3 层敏捷；每当成功闪避一次，获得 4 层敏捷</t>
        </is>
      </c>
      <c r="R308" s="9" t="inlineStr"/>
      <c r="S308" s="9" t="inlineStr">
        <is>
          <t>青羽沿靴缘层层压住风纹，身形一晃，靴底便托起一缕轻风。</t>
        </is>
      </c>
      <c r="T308" s="8" t="inlineStr">
        <is>
          <t>implement_equipment_batch8_017_1x2</t>
        </is>
      </c>
      <c r="U308" s="8" t="inlineStr">
        <is>
          <t>allowed</t>
        </is>
      </c>
    </row>
    <row r="309" ht="34" customHeight="1">
      <c r="A309" s="8" t="n">
        <v>308</v>
      </c>
      <c r="B309" s="8" t="n">
        <v>400262</v>
      </c>
      <c r="C309" s="8" t="inlineStr">
        <is>
          <t>负岳借步甲</t>
        </is>
      </c>
      <c r="D309" s="8" t="inlineStr">
        <is>
          <t>法器</t>
        </is>
      </c>
      <c r="E309" s="8" t="inlineStr">
        <is>
          <t>implement</t>
        </is>
      </c>
      <c r="F309" s="8" t="inlineStr">
        <is>
          <t>common</t>
        </is>
      </c>
      <c r="G309" s="8" t="inlineStr">
        <is>
          <t>土</t>
        </is>
      </c>
      <c r="H309" s="8" t="inlineStr">
        <is>
          <t>earth</t>
        </is>
      </c>
      <c r="I309" s="8" t="inlineStr">
        <is>
          <t>2×2</t>
        </is>
      </c>
      <c r="J309" s="8" t="n">
        <v>4</v>
      </c>
      <c r="K309" s="8" t="n">
        <v>15</v>
      </c>
      <c r="L309" s="8" t="inlineStr">
        <is>
          <t>是</t>
        </is>
      </c>
      <c r="M309" s="9" t="inlineStr">
        <is>
          <t>bazaar；dynamicRandomReward；itemReforge</t>
        </is>
      </c>
      <c r="N309" s="8" t="n">
        <v>1</v>
      </c>
      <c r="O309" s="9" t="inlineStr">
        <is>
          <t>周期触发</t>
        </is>
      </c>
      <c r="P309" s="9" t="inlineStr">
        <is>
          <t>periodicPulse</t>
        </is>
      </c>
      <c r="Q309" s="9" t="inlineStr">
        <is>
          <t>周期触发：开局时，获得 3 层坚硬和 2 层蓄势；开局时，获得 6 层坚硬和 4 层蓄势；开局时，获得 9 层坚硬和 6 层蓄势；开局时，获得 12 层坚硬和 8 层蓄势</t>
        </is>
      </c>
      <c r="R309" s="9" t="inlineStr"/>
      <c r="S309" s="9" t="inlineStr">
        <is>
          <t>黑金肩甲沉如山石，甲片错动时，却会把压身之力推出一道疾影。</t>
        </is>
      </c>
      <c r="T309" s="8" t="inlineStr">
        <is>
          <t>implement_equipment_batch20_005_2x2</t>
        </is>
      </c>
      <c r="U309" s="8" t="inlineStr">
        <is>
          <t>allowed</t>
        </is>
      </c>
    </row>
    <row r="310" ht="34" customHeight="1">
      <c r="A310" s="8" t="n">
        <v>309</v>
      </c>
      <c r="B310" s="8" t="n">
        <v>400263</v>
      </c>
      <c r="C310" s="8" t="inlineStr">
        <is>
          <t>卸山回旋带</t>
        </is>
      </c>
      <c r="D310" s="8" t="inlineStr">
        <is>
          <t>法器</t>
        </is>
      </c>
      <c r="E310" s="8" t="inlineStr">
        <is>
          <t>implement</t>
        </is>
      </c>
      <c r="F310" s="8" t="inlineStr">
        <is>
          <t>common</t>
        </is>
      </c>
      <c r="G310" s="8" t="inlineStr">
        <is>
          <t>土</t>
        </is>
      </c>
      <c r="H310" s="8" t="inlineStr">
        <is>
          <t>earth</t>
        </is>
      </c>
      <c r="I310" s="8" t="inlineStr">
        <is>
          <t>1×2</t>
        </is>
      </c>
      <c r="J310" s="8" t="n">
        <v>2</v>
      </c>
      <c r="K310" s="8" t="n">
        <v>6</v>
      </c>
      <c r="L310" s="8" t="inlineStr">
        <is>
          <t>是</t>
        </is>
      </c>
      <c r="M310" s="9" t="inlineStr">
        <is>
          <t>bazaar；dynamicRandomReward；itemReforge</t>
        </is>
      </c>
      <c r="N310" s="8" t="n">
        <v>1</v>
      </c>
      <c r="O310" s="9" t="inlineStr">
        <is>
          <t>说明/执行器</t>
        </is>
      </c>
      <c r="P310" s="9" t="inlineStr">
        <is>
          <t>effectNote</t>
        </is>
      </c>
      <c r="Q310" s="9" t="inlineStr">
        <is>
          <t>说明/执行器：每当成功闪避一次，移除 1 层蓄势，获得 1 层敏捷；每当成功闪避一次，移除 2 层蓄势，获得 2 层敏捷；每当成功闪避一次，移除 3 层蓄势，获得 3 层敏捷；每当成功闪避一次，移除 4 层蓄势，获得 4 层敏捷</t>
        </is>
      </c>
      <c r="R310" s="9" t="inlineStr"/>
      <c r="S310" s="9" t="inlineStr">
        <is>
          <t>宽带内藏回旋卸力纹，脚步避开锋芒时，压在身上的沉势也随之散去。</t>
        </is>
      </c>
      <c r="T310" s="8" t="inlineStr">
        <is>
          <t>implement_equipment_batch20_009_1x2</t>
        </is>
      </c>
      <c r="U310" s="8" t="inlineStr">
        <is>
          <t>allowed</t>
        </is>
      </c>
    </row>
    <row r="311" ht="34" customHeight="1">
      <c r="A311" s="8" t="n">
        <v>310</v>
      </c>
      <c r="B311" s="8" t="n">
        <v>400264</v>
      </c>
      <c r="C311" s="8" t="inlineStr">
        <is>
          <t>烬影换步轮</t>
        </is>
      </c>
      <c r="D311" s="8" t="inlineStr">
        <is>
          <t>法器</t>
        </is>
      </c>
      <c r="E311" s="8" t="inlineStr">
        <is>
          <t>implement</t>
        </is>
      </c>
      <c r="F311" s="8" t="inlineStr">
        <is>
          <t>common</t>
        </is>
      </c>
      <c r="G311" s="8" t="inlineStr">
        <is>
          <t>火</t>
        </is>
      </c>
      <c r="H311" s="8" t="inlineStr">
        <is>
          <t>fire</t>
        </is>
      </c>
      <c r="I311" s="8" t="inlineStr">
        <is>
          <t>1×1</t>
        </is>
      </c>
      <c r="J311" s="8" t="n">
        <v>1</v>
      </c>
      <c r="K311" s="8" t="n">
        <v>10</v>
      </c>
      <c r="L311" s="8" t="inlineStr">
        <is>
          <t>是</t>
        </is>
      </c>
      <c r="M311" s="9" t="inlineStr">
        <is>
          <t>bazaar；dynamicRandomReward；itemReforge</t>
        </is>
      </c>
      <c r="N311" s="8" t="n">
        <v>1</v>
      </c>
      <c r="O311" s="9" t="inlineStr">
        <is>
          <t>周期触发</t>
        </is>
      </c>
      <c r="P311" s="9" t="inlineStr">
        <is>
          <t>periodicPulse</t>
        </is>
      </c>
      <c r="Q311" s="9" t="inlineStr">
        <is>
          <t>周期触发：和装备相邻时，将 3 层炎热转化为 1 层闪避；和装备相邻时，将 6 层炎热转化为 2 层闪避；和装备相邻时，将 9 层炎热转化为 3 层闪避；和装备相邻时，将 12 层炎热转化为 4 层闪避</t>
        </is>
      </c>
      <c r="R311" s="9" t="inlineStr"/>
      <c r="S311" s="9" t="inlineStr">
        <is>
          <t>双月轮刃间压着暗红余烬，火势一收，轮缘便折出一道游移残影。</t>
        </is>
      </c>
      <c r="T311" s="8" t="inlineStr">
        <is>
          <t>implement_batch12_016_1x1</t>
        </is>
      </c>
      <c r="U311" s="8" t="inlineStr">
        <is>
          <t>allowed</t>
        </is>
      </c>
    </row>
    <row r="312" ht="34" customHeight="1">
      <c r="A312" s="8" t="n">
        <v>311</v>
      </c>
      <c r="B312" s="8" t="n">
        <v>400265</v>
      </c>
      <c r="C312" s="8" t="inlineStr">
        <is>
          <t>赤影回锋刃</t>
        </is>
      </c>
      <c r="D312" s="8" t="inlineStr">
        <is>
          <t>法器</t>
        </is>
      </c>
      <c r="E312" s="8" t="inlineStr">
        <is>
          <t>implement</t>
        </is>
      </c>
      <c r="F312" s="8" t="inlineStr">
        <is>
          <t>common</t>
        </is>
      </c>
      <c r="G312" s="8" t="inlineStr">
        <is>
          <t>火</t>
        </is>
      </c>
      <c r="H312" s="8" t="inlineStr">
        <is>
          <t>fire</t>
        </is>
      </c>
      <c r="I312" s="8" t="inlineStr">
        <is>
          <t>1×2</t>
        </is>
      </c>
      <c r="J312" s="8" t="n">
        <v>2</v>
      </c>
      <c r="K312" s="8" t="n">
        <v>8</v>
      </c>
      <c r="L312" s="8" t="inlineStr">
        <is>
          <t>是</t>
        </is>
      </c>
      <c r="M312" s="9" t="inlineStr">
        <is>
          <t>bazaar；dynamicRandomReward；itemReforge</t>
        </is>
      </c>
      <c r="N312" s="8" t="n">
        <v>1</v>
      </c>
      <c r="O312" s="9" t="inlineStr">
        <is>
          <t>说明/执行器</t>
        </is>
      </c>
      <c r="P312" s="9" t="inlineStr">
        <is>
          <t>effectNote</t>
        </is>
      </c>
      <c r="Q312" s="9" t="inlineStr">
        <is>
          <t>说明/执行器：每当成功闪避一次，对敌方造成 7 点伤害；若敌方拥有灼烧，再移除敌方 1 层灼烧；每当成功闪避一次，对敌方造成 7 点伤害；若敌方拥有灼烧，再移除敌方 1 层灼烧；每当成功闪避一次，对敌方造成 14 点伤害；若敌方拥有灼烧，再移除敌方 2 层灼烧；每当成功闪避一次，对敌方造成 14 点伤害；若敌方拥有灼烧，再移除敌方 2 层灼烧；每当成功闪避一次，对敌方造成 21 点伤害；若敌方拥有灼烧，再移除敌方 3 层灼烧；每当成功闪避一次，对敌方造成 21 点伤害；若敌方拥有灼烧，再移除敌方 3 层灼烧；每当成功闪避一次，对敌方造成 28 点伤害；若敌方拥有灼烧，再移除敌方 4 层灼烧；每当成功闪避一次，对敌方造成 28 点伤害；若敌方拥有灼烧，再移除敌方 4 层灼烧</t>
        </is>
      </c>
      <c r="R312" s="9" t="inlineStr"/>
      <c r="S312" s="9" t="inlineStr">
        <is>
          <t>赤黑钩刃沿锋口伏着细焰，身形错开一击时，余火便顺势倒卷向敌。</t>
        </is>
      </c>
      <c r="T312" s="8" t="inlineStr">
        <is>
          <t>implement_emberhook_demon_spike_1x2</t>
        </is>
      </c>
      <c r="U312" s="8" t="inlineStr">
        <is>
          <t>allowed</t>
        </is>
      </c>
    </row>
    <row r="313" ht="34" customHeight="1">
      <c r="A313" s="8" t="n">
        <v>312</v>
      </c>
      <c r="B313" s="8" t="n">
        <v>400266</v>
      </c>
      <c r="C313" s="8" t="inlineStr">
        <is>
          <t>碧毒逐影囊</t>
        </is>
      </c>
      <c r="D313" s="8" t="inlineStr">
        <is>
          <t>法器</t>
        </is>
      </c>
      <c r="E313" s="8" t="inlineStr">
        <is>
          <t>implement</t>
        </is>
      </c>
      <c r="F313" s="8" t="inlineStr">
        <is>
          <t>common</t>
        </is>
      </c>
      <c r="G313" s="8" t="inlineStr">
        <is>
          <t>木</t>
        </is>
      </c>
      <c r="H313" s="8" t="inlineStr">
        <is>
          <t>wood</t>
        </is>
      </c>
      <c r="I313" s="8" t="inlineStr">
        <is>
          <t>2×2</t>
        </is>
      </c>
      <c r="J313" s="8" t="n">
        <v>4</v>
      </c>
      <c r="K313" s="8" t="n">
        <v>20</v>
      </c>
      <c r="L313" s="8" t="inlineStr">
        <is>
          <t>是</t>
        </is>
      </c>
      <c r="M313" s="9" t="inlineStr">
        <is>
          <t>bazaar；dynamicRandomReward；itemReforge</t>
        </is>
      </c>
      <c r="N313" s="8" t="n">
        <v>1</v>
      </c>
      <c r="O313" s="9" t="inlineStr">
        <is>
          <t>条件触发</t>
        </is>
      </c>
      <c r="P313" s="9" t="inlineStr">
        <is>
          <t>triggered</t>
        </is>
      </c>
      <c r="Q313" s="9" t="inlineStr">
        <is>
          <t>条件触发：每当成功闪避一次，对敌人施加 1 层中毒；每当成功闪避一次，对敌人施加 2 层中毒；每当成功闪避一次，对敌人施加 3 层中毒；每当成功闪避一次，对敌人施加 4 层中毒</t>
        </is>
      </c>
      <c r="R313" s="9" t="inlineStr"/>
      <c r="S313" s="9" t="inlineStr">
        <is>
          <t>碧色锦囊封着一团游走毒雾，每次身影错位，囊口都会泄出一线青烟。</t>
        </is>
      </c>
      <c r="T313" s="8" t="inlineStr">
        <is>
          <t>implement_beastcrest_satchel_2x2</t>
        </is>
      </c>
      <c r="U313" s="8" t="inlineStr">
        <is>
          <t>allowed</t>
        </is>
      </c>
    </row>
    <row r="314" ht="34" customHeight="1">
      <c r="A314" s="8" t="n">
        <v>313</v>
      </c>
      <c r="B314" s="8" t="n">
        <v>400267</v>
      </c>
      <c r="C314" s="8" t="inlineStr">
        <is>
          <t>蛇雾寻隙铃</t>
        </is>
      </c>
      <c r="D314" s="8" t="inlineStr">
        <is>
          <t>法器</t>
        </is>
      </c>
      <c r="E314" s="8" t="inlineStr">
        <is>
          <t>implement</t>
        </is>
      </c>
      <c r="F314" s="8" t="inlineStr">
        <is>
          <t>common</t>
        </is>
      </c>
      <c r="G314" s="8" t="inlineStr">
        <is>
          <t>木</t>
        </is>
      </c>
      <c r="H314" s="8" t="inlineStr">
        <is>
          <t>wood</t>
        </is>
      </c>
      <c r="I314" s="8" t="inlineStr">
        <is>
          <t>2×2</t>
        </is>
      </c>
      <c r="J314" s="8" t="n">
        <v>4</v>
      </c>
      <c r="K314" s="8" t="n">
        <v>25</v>
      </c>
      <c r="L314" s="8" t="inlineStr">
        <is>
          <t>是</t>
        </is>
      </c>
      <c r="M314" s="9" t="inlineStr">
        <is>
          <t>bazaar；dynamicRandomReward；itemReforge</t>
        </is>
      </c>
      <c r="N314" s="8" t="n">
        <v>1</v>
      </c>
      <c r="O314" s="9" t="inlineStr">
        <is>
          <t>周期触发</t>
        </is>
      </c>
      <c r="P314" s="9" t="inlineStr">
        <is>
          <t>periodicPulse</t>
        </is>
      </c>
      <c r="Q314" s="9" t="inlineStr">
        <is>
          <t>周期触发：敌人拥有中毒时，获得 1 层闪避；敌人拥有中毒时，获得 2 层闪避；敌人拥有中毒时，获得 3 层闪避；敌人拥有中毒时，获得 4 层闪避</t>
        </is>
      </c>
      <c r="R314" s="9" t="inlineStr"/>
      <c r="S314" s="9" t="inlineStr">
        <is>
          <t>青金铃枝间缠着蛇雾细纹，毒息未散时，铃声总能替主人寻出退路。</t>
        </is>
      </c>
      <c r="T314" s="8" t="inlineStr">
        <is>
          <t>implement_batch12_021_2x2</t>
        </is>
      </c>
      <c r="U314" s="8" t="inlineStr">
        <is>
          <t>allowed</t>
        </is>
      </c>
    </row>
    <row r="315" ht="34" customHeight="1">
      <c r="A315" s="8" t="n">
        <v>314</v>
      </c>
      <c r="B315" s="8" t="n">
        <v>400268</v>
      </c>
      <c r="C315" s="8" t="inlineStr">
        <is>
          <t>狮面护心镜</t>
        </is>
      </c>
      <c r="D315" s="8" t="inlineStr">
        <is>
          <t>法器</t>
        </is>
      </c>
      <c r="E315" s="8" t="inlineStr">
        <is>
          <t>implement</t>
        </is>
      </c>
      <c r="F315" s="8" t="inlineStr">
        <is>
          <t>common</t>
        </is>
      </c>
      <c r="G315" s="8" t="inlineStr">
        <is>
          <t>金</t>
        </is>
      </c>
      <c r="H315" s="8" t="inlineStr">
        <is>
          <t>metal</t>
        </is>
      </c>
      <c r="I315" s="8" t="inlineStr">
        <is>
          <t>2×2</t>
        </is>
      </c>
      <c r="J315" s="8" t="n">
        <v>4</v>
      </c>
      <c r="K315" s="8" t="n">
        <v>25</v>
      </c>
      <c r="L315" s="8" t="inlineStr">
        <is>
          <t>是</t>
        </is>
      </c>
      <c r="M315" s="9" t="inlineStr">
        <is>
          <t>bazaar；dynamicRandomReward；itemReforge</t>
        </is>
      </c>
      <c r="N315" s="8" t="n">
        <v>1</v>
      </c>
      <c r="O315" s="9" t="inlineStr">
        <is>
          <t>条件触发</t>
        </is>
      </c>
      <c r="P315" s="9" t="inlineStr">
        <is>
          <t>triggered</t>
        </is>
      </c>
      <c r="Q315" s="9" t="inlineStr">
        <is>
          <t>条件触发：每当成功闪避一次，获得 4 层护甲；每当成功闪避一次，获得 6 层护甲；每当成功闪避一次，获得 8 层护甲；每当成功闪避一次，获得 10 层护甲</t>
        </is>
      </c>
      <c r="R315" s="9" t="inlineStr"/>
      <c r="S315" s="9" t="inlineStr">
        <is>
          <t>金边宝镜层层映出护身甲影，避开一次锋芒，镜中便多凝一重甲光。</t>
        </is>
      </c>
      <c r="T315" s="8" t="inlineStr">
        <is>
          <t>implement_batch10_114_2x2</t>
        </is>
      </c>
      <c r="U315" s="8" t="inlineStr">
        <is>
          <t>allowed</t>
        </is>
      </c>
    </row>
    <row r="316" ht="34" customHeight="1">
      <c r="A316" s="8" t="n">
        <v>315</v>
      </c>
      <c r="B316" s="8" t="n">
        <v>400269</v>
      </c>
      <c r="C316" s="8" t="inlineStr">
        <is>
          <t>坚垒藏影匣</t>
        </is>
      </c>
      <c r="D316" s="8" t="inlineStr">
        <is>
          <t>法器</t>
        </is>
      </c>
      <c r="E316" s="8" t="inlineStr">
        <is>
          <t>implement</t>
        </is>
      </c>
      <c r="F316" s="8" t="inlineStr">
        <is>
          <t>common</t>
        </is>
      </c>
      <c r="G316" s="8" t="inlineStr">
        <is>
          <t>土</t>
        </is>
      </c>
      <c r="H316" s="8" t="inlineStr">
        <is>
          <t>earth</t>
        </is>
      </c>
      <c r="I316" s="8" t="inlineStr">
        <is>
          <t>2×2</t>
        </is>
      </c>
      <c r="J316" s="8" t="n">
        <v>4</v>
      </c>
      <c r="K316" s="8" t="n">
        <v>10</v>
      </c>
      <c r="L316" s="8" t="inlineStr">
        <is>
          <t>是</t>
        </is>
      </c>
      <c r="M316" s="9" t="inlineStr">
        <is>
          <t>bazaar；dynamicRandomReward；itemReforge</t>
        </is>
      </c>
      <c r="N316" s="8" t="n">
        <v>1</v>
      </c>
      <c r="O316" s="9" t="inlineStr">
        <is>
          <t>周期触发</t>
        </is>
      </c>
      <c r="P316" s="9" t="inlineStr">
        <is>
          <t>periodicPulse</t>
        </is>
      </c>
      <c r="Q316" s="9" t="inlineStr">
        <is>
          <t>周期触发：将 1 层坚硬转化为 5 层护甲；将 2 层坚硬转化为 10 层护甲；将 3 层坚硬转化为 15 层护甲；将 4 层坚硬转化为 20 层护甲</t>
        </is>
      </c>
      <c r="R316" s="9" t="inlineStr"/>
      <c r="S316" s="9" t="inlineStr">
        <is>
          <t>青黑甲片合成紧密小匣，坚实护力沉入匣心后，会从另一侧放出轻捷虚影。</t>
        </is>
      </c>
      <c r="T316" s="8" t="inlineStr">
        <is>
          <t>implement_beastmat_han_gui_fu_jia_wen_pian_huling_casket_2x2</t>
        </is>
      </c>
      <c r="U316" s="8" t="inlineStr">
        <is>
          <t>allowed</t>
        </is>
      </c>
    </row>
    <row r="317" ht="34" customHeight="1">
      <c r="A317" s="8" t="n">
        <v>316</v>
      </c>
      <c r="B317" s="8" t="n">
        <v>400272</v>
      </c>
      <c r="C317" s="8" t="inlineStr">
        <is>
          <t>衡山木尺</t>
        </is>
      </c>
      <c r="D317" s="8" t="inlineStr">
        <is>
          <t>法器</t>
        </is>
      </c>
      <c r="E317" s="8" t="inlineStr">
        <is>
          <t>implement</t>
        </is>
      </c>
      <c r="F317" s="8" t="inlineStr">
        <is>
          <t>common</t>
        </is>
      </c>
      <c r="G317" s="8" t="inlineStr">
        <is>
          <t>无</t>
        </is>
      </c>
      <c r="H317" s="8" t="inlineStr">
        <is>
          <t>none</t>
        </is>
      </c>
      <c r="I317" s="8" t="inlineStr">
        <is>
          <t>1×1</t>
        </is>
      </c>
      <c r="J317" s="8" t="n">
        <v>1</v>
      </c>
      <c r="K317" s="8" t="n">
        <v>12</v>
      </c>
      <c r="L317" s="8" t="inlineStr">
        <is>
          <t>是</t>
        </is>
      </c>
      <c r="M317" s="9" t="inlineStr">
        <is>
          <t>bazaar；dynamicRandomReward；itemReforge</t>
        </is>
      </c>
      <c r="N317" s="8" t="n">
        <v>1</v>
      </c>
      <c r="O317" s="9" t="inlineStr">
        <is>
          <t>周期触发</t>
        </is>
      </c>
      <c r="P317" s="9" t="inlineStr">
        <is>
          <t>periodicPulse</t>
        </is>
      </c>
      <c r="Q317" s="9" t="inlineStr">
        <is>
          <t>周期触发：使最大道具获得 1 秒加速；使最大道具获得 2 秒加速；使最大道具获得 3 秒加速；使最大道具获得 4 秒加速</t>
        </is>
      </c>
      <c r="R317" s="9" t="inlineStr"/>
      <c r="S317" s="9" t="inlineStr">
        <is>
          <t>木尺两端嵌着沉铜，尺面刻度专量器物的占格与分量。</t>
        </is>
      </c>
      <c r="T317" s="8" t="inlineStr">
        <is>
          <t>implement_azure_lion_seal_1x1</t>
        </is>
      </c>
      <c r="U317" s="8" t="inlineStr">
        <is>
          <t>allowed</t>
        </is>
      </c>
    </row>
    <row r="318" ht="34" customHeight="1">
      <c r="A318" s="8" t="n">
        <v>317</v>
      </c>
      <c r="B318" s="8" t="n">
        <v>400273</v>
      </c>
      <c r="C318" s="8" t="inlineStr">
        <is>
          <t>司重铜轮</t>
        </is>
      </c>
      <c r="D318" s="8" t="inlineStr">
        <is>
          <t>法器</t>
        </is>
      </c>
      <c r="E318" s="8" t="inlineStr">
        <is>
          <t>implement</t>
        </is>
      </c>
      <c r="F318" s="8" t="inlineStr">
        <is>
          <t>mystic</t>
        </is>
      </c>
      <c r="G318" s="8" t="inlineStr">
        <is>
          <t>无</t>
        </is>
      </c>
      <c r="H318" s="8" t="inlineStr">
        <is>
          <t>none</t>
        </is>
      </c>
      <c r="I318" s="8" t="inlineStr">
        <is>
          <t>1×1</t>
        </is>
      </c>
      <c r="J318" s="8" t="n">
        <v>1</v>
      </c>
      <c r="K318" s="8" t="n">
        <v>800</v>
      </c>
      <c r="L318" s="8" t="inlineStr">
        <is>
          <t>是</t>
        </is>
      </c>
      <c r="M318" s="9" t="inlineStr">
        <is>
          <t>bazaar；dynamicRandomReward；itemReforge</t>
        </is>
      </c>
      <c r="N318" s="8" t="n">
        <v>1</v>
      </c>
      <c r="O318" s="9" t="inlineStr">
        <is>
          <t>周期触发</t>
        </is>
      </c>
      <c r="P318" s="9" t="inlineStr">
        <is>
          <t>periodicPulse</t>
        </is>
      </c>
      <c r="Q318" s="9" t="inlineStr">
        <is>
          <t>周期触发：最大道具的轮转快进 1 秒</t>
        </is>
      </c>
      <c r="R318" s="9" t="inlineStr"/>
      <c r="S318" s="9" t="inlineStr">
        <is>
          <t>铜轮每转一周，轮缘的配重便向袋中最沉的一处偏去。</t>
        </is>
      </c>
      <c r="T318" s="8" t="inlineStr">
        <is>
          <t>implement_batch10_082_1x1</t>
        </is>
      </c>
      <c r="U318" s="8" t="inlineStr">
        <is>
          <t>allowed</t>
        </is>
      </c>
    </row>
    <row r="319" ht="34" customHeight="1">
      <c r="A319" s="8" t="n">
        <v>318</v>
      </c>
      <c r="B319" s="8" t="n">
        <v>400274</v>
      </c>
      <c r="C319" s="8" t="inlineStr">
        <is>
          <t>托岳油壶</t>
        </is>
      </c>
      <c r="D319" s="8" t="inlineStr">
        <is>
          <t>法器</t>
        </is>
      </c>
      <c r="E319" s="8" t="inlineStr">
        <is>
          <t>implement</t>
        </is>
      </c>
      <c r="F319" s="8" t="inlineStr">
        <is>
          <t>common</t>
        </is>
      </c>
      <c r="G319" s="8" t="inlineStr">
        <is>
          <t>无</t>
        </is>
      </c>
      <c r="H319" s="8" t="inlineStr">
        <is>
          <t>none</t>
        </is>
      </c>
      <c r="I319" s="8" t="inlineStr">
        <is>
          <t>1×2</t>
        </is>
      </c>
      <c r="J319" s="8" t="n">
        <v>2</v>
      </c>
      <c r="K319" s="8" t="n">
        <v>14</v>
      </c>
      <c r="L319" s="8" t="inlineStr">
        <is>
          <t>是</t>
        </is>
      </c>
      <c r="M319" s="9" t="inlineStr">
        <is>
          <t>bazaar；dynamicRandomReward；itemReforge</t>
        </is>
      </c>
      <c r="N319" s="8" t="n">
        <v>1</v>
      </c>
      <c r="O319" s="9" t="inlineStr">
        <is>
          <t>周期触发</t>
        </is>
      </c>
      <c r="P319" s="9" t="inlineStr">
        <is>
          <t>periodicPulse</t>
        </is>
      </c>
      <c r="Q319" s="9" t="inlineStr">
        <is>
          <t>周期触发：使所有 1×1 招式获得 2 秒加速；使所有 1×1 招式获得 3 秒加速；使所有 1×1 招式获得 4 秒加速；使所有 1×1 招式获得 5 秒加速</t>
        </is>
      </c>
      <c r="R319" s="9" t="inlineStr"/>
      <c r="S319" s="9" t="inlineStr">
        <is>
          <t>扁长油壶盛着润轮灵脂，壶嘴正好够探入狭长机括。</t>
        </is>
      </c>
      <c r="T319" s="8" t="inlineStr">
        <is>
          <t>implement_batch11_043_1x2</t>
        </is>
      </c>
      <c r="U319" s="8" t="inlineStr">
        <is>
          <t>allowed</t>
        </is>
      </c>
    </row>
    <row r="320" ht="34" customHeight="1">
      <c r="A320" s="8" t="n">
        <v>319</v>
      </c>
      <c r="B320" s="8" t="n">
        <v>400275</v>
      </c>
      <c r="C320" s="8" t="inlineStr">
        <is>
          <t>引峰机簧</t>
        </is>
      </c>
      <c r="D320" s="8" t="inlineStr">
        <is>
          <t>法器</t>
        </is>
      </c>
      <c r="E320" s="8" t="inlineStr">
        <is>
          <t>implement</t>
        </is>
      </c>
      <c r="F320" s="8" t="inlineStr">
        <is>
          <t>common</t>
        </is>
      </c>
      <c r="G320" s="8" t="inlineStr">
        <is>
          <t>无</t>
        </is>
      </c>
      <c r="H320" s="8" t="inlineStr">
        <is>
          <t>none</t>
        </is>
      </c>
      <c r="I320" s="8" t="inlineStr">
        <is>
          <t>2×1</t>
        </is>
      </c>
      <c r="J320" s="8" t="n">
        <v>2</v>
      </c>
      <c r="K320" s="8" t="n">
        <v>14</v>
      </c>
      <c r="L320" s="8" t="inlineStr">
        <is>
          <t>是</t>
        </is>
      </c>
      <c r="M320" s="9" t="inlineStr">
        <is>
          <t>bazaar；dynamicRandomReward；itemReforge</t>
        </is>
      </c>
      <c r="N320" s="8" t="n">
        <v>1</v>
      </c>
      <c r="O320" s="9" t="inlineStr">
        <is>
          <t>周期触发</t>
        </is>
      </c>
      <c r="P320" s="9" t="inlineStr">
        <is>
          <t>periodicPulse</t>
        </is>
      </c>
      <c r="Q320" s="9" t="inlineStr">
        <is>
          <t>周期触发：使所有 2×2 招式获得 2 秒加速；使所有 2×2 招式获得 3 秒加速；使所有 2×2 招式获得 4 秒加速；使所有 2×2 招式获得 5 秒加速</t>
        </is>
      </c>
      <c r="R320" s="9" t="inlineStr"/>
      <c r="S320" s="9" t="inlineStr">
        <is>
          <t>横置机簧绷得笔直，弹动时会牵引六格大器的轮轴。</t>
        </is>
      </c>
      <c r="T320" s="8" t="inlineStr">
        <is>
          <t>implement_batch11_019_2x1</t>
        </is>
      </c>
      <c r="U320" s="8" t="inlineStr">
        <is>
          <t>allowed</t>
        </is>
      </c>
    </row>
    <row r="321" ht="34" customHeight="1">
      <c r="A321" s="8" t="n">
        <v>320</v>
      </c>
      <c r="B321" s="8" t="n">
        <v>400276</v>
      </c>
      <c r="C321" s="8" t="inlineStr">
        <is>
          <t>压轮砂袋</t>
        </is>
      </c>
      <c r="D321" s="8" t="inlineStr">
        <is>
          <t>法器</t>
        </is>
      </c>
      <c r="E321" s="8" t="inlineStr">
        <is>
          <t>implement</t>
        </is>
      </c>
      <c r="F321" s="8" t="inlineStr">
        <is>
          <t>common</t>
        </is>
      </c>
      <c r="G321" s="8" t="inlineStr">
        <is>
          <t>土</t>
        </is>
      </c>
      <c r="H321" s="8" t="inlineStr">
        <is>
          <t>earth</t>
        </is>
      </c>
      <c r="I321" s="8" t="inlineStr">
        <is>
          <t>1×2</t>
        </is>
      </c>
      <c r="J321" s="8" t="n">
        <v>2</v>
      </c>
      <c r="K321" s="8" t="n">
        <v>14</v>
      </c>
      <c r="L321" s="8" t="inlineStr">
        <is>
          <t>是</t>
        </is>
      </c>
      <c r="M321" s="9" t="inlineStr">
        <is>
          <t>bazaar；dynamicRandomReward；itemReforge</t>
        </is>
      </c>
      <c r="N321" s="8" t="n">
        <v>1</v>
      </c>
      <c r="O321" s="9" t="inlineStr">
        <is>
          <t>周期触发</t>
        </is>
      </c>
      <c r="P321" s="9" t="inlineStr">
        <is>
          <t>periodicPulse</t>
        </is>
      </c>
      <c r="Q321" s="9" t="inlineStr">
        <is>
          <t>周期触发：使最大道具获得 1 秒加速</t>
        </is>
      </c>
      <c r="R321" s="9" t="inlineStr"/>
      <c r="S321" s="9" t="inlineStr">
        <is>
          <t>长袋中细砂随轮声沉降，袋口的铜轮一转，沉重器物也被催得更快。</t>
        </is>
      </c>
      <c r="T321" s="8" t="inlineStr">
        <is>
          <t>implement_blackiron_tablet_1x2</t>
        </is>
      </c>
      <c r="U321" s="8" t="inlineStr">
        <is>
          <t>allowed</t>
        </is>
      </c>
    </row>
    <row r="322" ht="34" customHeight="1">
      <c r="A322" s="8" t="n">
        <v>321</v>
      </c>
      <c r="B322" s="8" t="n">
        <v>400277</v>
      </c>
      <c r="C322" s="8" t="inlineStr">
        <is>
          <t>负岳水囊</t>
        </is>
      </c>
      <c r="D322" s="8" t="inlineStr">
        <is>
          <t>法器</t>
        </is>
      </c>
      <c r="E322" s="8" t="inlineStr">
        <is>
          <t>implement</t>
        </is>
      </c>
      <c r="F322" s="8" t="inlineStr">
        <is>
          <t>mystic</t>
        </is>
      </c>
      <c r="G322" s="8" t="inlineStr">
        <is>
          <t>无</t>
        </is>
      </c>
      <c r="H322" s="8" t="inlineStr">
        <is>
          <t>none</t>
        </is>
      </c>
      <c r="I322" s="8" t="inlineStr">
        <is>
          <t>1×1</t>
        </is>
      </c>
      <c r="J322" s="8" t="n">
        <v>1</v>
      </c>
      <c r="K322" s="8" t="n">
        <v>800</v>
      </c>
      <c r="L322" s="8" t="inlineStr">
        <is>
          <t>是</t>
        </is>
      </c>
      <c r="M322" s="9" t="inlineStr">
        <is>
          <t>bazaar；dynamicRandomReward；itemReforge</t>
        </is>
      </c>
      <c r="N322" s="8" t="n">
        <v>1</v>
      </c>
      <c r="O322" s="9" t="inlineStr">
        <is>
          <t>条件触发</t>
        </is>
      </c>
      <c r="P322" s="9" t="inlineStr">
        <is>
          <t>triggered</t>
        </is>
      </c>
      <c r="Q322" s="9" t="inlineStr">
        <is>
          <t>条件触发：最大道具轮转时，其左侧相邻道具的轮转快进 1 秒</t>
        </is>
      </c>
      <c r="R322" s="9" t="inlineStr"/>
      <c r="S322" s="9" t="inlineStr">
        <is>
          <t>深蓝水囊以银线束口，囊身山纹层叠如负岳而行，提起时清凉水气在掌中回旋。</t>
        </is>
      </c>
      <c r="T322" s="8" t="inlineStr">
        <is>
          <t>implement_batch10_075_1x1</t>
        </is>
      </c>
      <c r="U322" s="8" t="inlineStr">
        <is>
          <t>allowed</t>
        </is>
      </c>
    </row>
    <row r="323" ht="34" customHeight="1">
      <c r="A323" s="8" t="n">
        <v>322</v>
      </c>
      <c r="B323" s="8" t="n">
        <v>400278</v>
      </c>
      <c r="C323" s="8" t="inlineStr">
        <is>
          <t>纳息玉盏</t>
        </is>
      </c>
      <c r="D323" s="8" t="inlineStr">
        <is>
          <t>法器</t>
        </is>
      </c>
      <c r="E323" s="8" t="inlineStr">
        <is>
          <t>implement</t>
        </is>
      </c>
      <c r="F323" s="8" t="inlineStr">
        <is>
          <t>common</t>
        </is>
      </c>
      <c r="G323" s="8" t="inlineStr">
        <is>
          <t>无</t>
        </is>
      </c>
      <c r="H323" s="8" t="inlineStr">
        <is>
          <t>none</t>
        </is>
      </c>
      <c r="I323" s="8" t="inlineStr">
        <is>
          <t>1×1</t>
        </is>
      </c>
      <c r="J323" s="8" t="n">
        <v>1</v>
      </c>
      <c r="K323" s="8" t="n">
        <v>12</v>
      </c>
      <c r="L323" s="8" t="inlineStr">
        <is>
          <t>是</t>
        </is>
      </c>
      <c r="M323" s="9" t="inlineStr">
        <is>
          <t>bazaar；dynamicRandomReward；itemReforge</t>
        </is>
      </c>
      <c r="N323" s="8" t="n">
        <v>1</v>
      </c>
      <c r="O323" s="9" t="inlineStr">
        <is>
          <t>条件触发</t>
        </is>
      </c>
      <c r="P323" s="9" t="inlineStr">
        <is>
          <t>triggered</t>
        </is>
      </c>
      <c r="Q323" s="9" t="inlineStr">
        <is>
          <t>条件触发：1×2 道具轮转时，恢复 2 点法力；1×2 道具轮转时，恢复 4 点法力；1×2 道具轮转时，恢复 6 点法力；1×2 道具轮转时，恢复 8 点法力</t>
        </is>
      </c>
      <c r="R323" s="9" t="inlineStr"/>
      <c r="S323" s="9" t="inlineStr">
        <is>
          <t>玉盏口沿狭长，专收细长器具转动时逸散的一缕灵息。</t>
        </is>
      </c>
      <c r="T323" s="8" t="inlineStr">
        <is>
          <t>implement_batch10_096_1x1</t>
        </is>
      </c>
      <c r="U323" s="8" t="inlineStr">
        <is>
          <t>allowed</t>
        </is>
      </c>
    </row>
    <row r="324" ht="34" customHeight="1">
      <c r="A324" s="8" t="n">
        <v>323</v>
      </c>
      <c r="B324" s="8" t="n">
        <v>400279</v>
      </c>
      <c r="C324" s="8" t="inlineStr">
        <is>
          <t>养脉温石</t>
        </is>
      </c>
      <c r="D324" s="8" t="inlineStr">
        <is>
          <t>法器</t>
        </is>
      </c>
      <c r="E324" s="8" t="inlineStr">
        <is>
          <t>implement</t>
        </is>
      </c>
      <c r="F324" s="8" t="inlineStr">
        <is>
          <t>common</t>
        </is>
      </c>
      <c r="G324" s="8" t="inlineStr">
        <is>
          <t>土</t>
        </is>
      </c>
      <c r="H324" s="8" t="inlineStr">
        <is>
          <t>earth</t>
        </is>
      </c>
      <c r="I324" s="8" t="inlineStr">
        <is>
          <t>1×1</t>
        </is>
      </c>
      <c r="J324" s="8" t="n">
        <v>1</v>
      </c>
      <c r="K324" s="8" t="n">
        <v>12</v>
      </c>
      <c r="L324" s="8" t="inlineStr">
        <is>
          <t>是</t>
        </is>
      </c>
      <c r="M324" s="9" t="inlineStr">
        <is>
          <t>bazaar；dynamicRandomReward；itemReforge</t>
        </is>
      </c>
      <c r="N324" s="8" t="n">
        <v>1</v>
      </c>
      <c r="O324" s="9" t="inlineStr">
        <is>
          <t>条件触发</t>
        </is>
      </c>
      <c r="P324" s="9" t="inlineStr">
        <is>
          <t>triggered</t>
        </is>
      </c>
      <c r="Q324" s="9" t="inlineStr">
        <is>
          <t>条件触发：最大道具轮转时，恢复 2 点气血；最大道具轮转时，恢复 4 点气血；最大道具轮转时，恢复 6 点气血；最大道具轮转时，恢复 8 点气血</t>
        </is>
      </c>
      <c r="R324" s="9" t="inlineStr"/>
      <c r="S324" s="9" t="inlineStr">
        <is>
          <t>温石贴脉微热，最沉器物一动，石中暖意便顺势散开。</t>
        </is>
      </c>
      <c r="T324" s="8" t="inlineStr">
        <is>
          <t>implement_batch10_087_1x1</t>
        </is>
      </c>
      <c r="U324" s="8" t="inlineStr">
        <is>
          <t>allowed</t>
        </is>
      </c>
    </row>
    <row r="325" ht="34" customHeight="1">
      <c r="A325" s="8" t="n">
        <v>324</v>
      </c>
      <c r="B325" s="8" t="n">
        <v>400280</v>
      </c>
      <c r="C325" s="8" t="inlineStr">
        <is>
          <t>聚气竹筹</t>
        </is>
      </c>
      <c r="D325" s="8" t="inlineStr">
        <is>
          <t>法器</t>
        </is>
      </c>
      <c r="E325" s="8" t="inlineStr">
        <is>
          <t>implement</t>
        </is>
      </c>
      <c r="F325" s="8" t="inlineStr">
        <is>
          <t>common</t>
        </is>
      </c>
      <c r="G325" s="8" t="inlineStr">
        <is>
          <t>木</t>
        </is>
      </c>
      <c r="H325" s="8" t="inlineStr">
        <is>
          <t>wood</t>
        </is>
      </c>
      <c r="I325" s="8" t="inlineStr">
        <is>
          <t>1×1</t>
        </is>
      </c>
      <c r="J325" s="8" t="n">
        <v>1</v>
      </c>
      <c r="K325" s="8" t="n">
        <v>12</v>
      </c>
      <c r="L325" s="8" t="inlineStr">
        <is>
          <t>是</t>
        </is>
      </c>
      <c r="M325" s="9" t="inlineStr">
        <is>
          <t>bazaar；dynamicRandomReward；itemReforge</t>
        </is>
      </c>
      <c r="N325" s="8" t="n">
        <v>1</v>
      </c>
      <c r="O325" s="9" t="inlineStr">
        <is>
          <t>条件触发</t>
        </is>
      </c>
      <c r="P325" s="9" t="inlineStr">
        <is>
          <t>triggered</t>
        </is>
      </c>
      <c r="Q325" s="9" t="inlineStr">
        <is>
          <t>条件触发：2×3 道具轮转时，获得 6 点修为；2×3 道具轮转时，获得 8 点修为；2×3 道具轮转时，获得 10 点修为；2×3 道具轮转时，获得 12 点修为</t>
        </is>
      </c>
      <c r="R325" s="9" t="inlineStr"/>
      <c r="S325" s="9" t="inlineStr">
        <is>
          <t>六格器物一动，竹筹上的聚气纹便逐枚亮起。</t>
        </is>
      </c>
      <c r="T325" s="8" t="inlineStr">
        <is>
          <t>implement_batch10_076_1x1</t>
        </is>
      </c>
      <c r="U325" s="8" t="inlineStr">
        <is>
          <t>allowed</t>
        </is>
      </c>
    </row>
    <row r="326" ht="34" customHeight="1">
      <c r="A326" s="8" t="n">
        <v>325</v>
      </c>
      <c r="B326" s="8" t="n">
        <v>400281</v>
      </c>
      <c r="C326" s="8" t="inlineStr">
        <is>
          <t>轻岳云纹束带</t>
        </is>
      </c>
      <c r="D326" s="8" t="inlineStr">
        <is>
          <t>法器</t>
        </is>
      </c>
      <c r="E326" s="8" t="inlineStr">
        <is>
          <t>implement</t>
        </is>
      </c>
      <c r="F326" s="8" t="inlineStr">
        <is>
          <t>common</t>
        </is>
      </c>
      <c r="G326" s="8" t="inlineStr">
        <is>
          <t>土</t>
        </is>
      </c>
      <c r="H326" s="8" t="inlineStr">
        <is>
          <t>earth</t>
        </is>
      </c>
      <c r="I326" s="8" t="inlineStr">
        <is>
          <t>1×1</t>
        </is>
      </c>
      <c r="J326" s="8" t="n">
        <v>1</v>
      </c>
      <c r="K326" s="8" t="n">
        <v>14</v>
      </c>
      <c r="L326" s="8" t="inlineStr">
        <is>
          <t>是</t>
        </is>
      </c>
      <c r="M326" s="9" t="inlineStr">
        <is>
          <t>bazaar；dynamicRandomReward；itemReforge</t>
        </is>
      </c>
      <c r="N326" s="8" t="n">
        <v>1</v>
      </c>
      <c r="O326" s="9" t="inlineStr">
        <is>
          <t>条件触发</t>
        </is>
      </c>
      <c r="P326" s="9" t="inlineStr">
        <is>
          <t>triggered</t>
        </is>
      </c>
      <c r="Q326" s="9" t="inlineStr">
        <is>
          <t>条件触发：最大道具轮转时，获得 1 层坚硬；最大道具轮转时，获得 2 层坚硬；最大道具轮转时，获得 3 层坚硬；最大道具轮转时，获得 4 层坚硬</t>
        </is>
      </c>
      <c r="R326" s="9" t="inlineStr"/>
      <c r="S326" s="9" t="inlineStr">
        <is>
          <t>云纹束带以青铜扣合，淡云绕着山纹舒展，束起衣袍仍觉轻稳。</t>
        </is>
      </c>
      <c r="T326" s="8" t="inlineStr">
        <is>
          <t>implement_batch10_129_1x1</t>
        </is>
      </c>
      <c r="U326" s="8" t="inlineStr">
        <is>
          <t>allowed</t>
        </is>
      </c>
    </row>
    <row r="327" ht="34" customHeight="1">
      <c r="A327" s="8" t="n">
        <v>326</v>
      </c>
      <c r="B327" s="8" t="n">
        <v>400282</v>
      </c>
      <c r="C327" s="8" t="inlineStr">
        <is>
          <t>听涛瓷片</t>
        </is>
      </c>
      <c r="D327" s="8" t="inlineStr">
        <is>
          <t>法器</t>
        </is>
      </c>
      <c r="E327" s="8" t="inlineStr">
        <is>
          <t>implement</t>
        </is>
      </c>
      <c r="F327" s="8" t="inlineStr">
        <is>
          <t>common</t>
        </is>
      </c>
      <c r="G327" s="8" t="inlineStr">
        <is>
          <t>水</t>
        </is>
      </c>
      <c r="H327" s="8" t="inlineStr">
        <is>
          <t>water</t>
        </is>
      </c>
      <c r="I327" s="8" t="inlineStr">
        <is>
          <t>1×1</t>
        </is>
      </c>
      <c r="J327" s="8" t="n">
        <v>1</v>
      </c>
      <c r="K327" s="8" t="n">
        <v>12</v>
      </c>
      <c r="L327" s="8" t="inlineStr">
        <is>
          <t>是</t>
        </is>
      </c>
      <c r="M327" s="9" t="inlineStr">
        <is>
          <t>bazaar；dynamicRandomReward；itemReforge</t>
        </is>
      </c>
      <c r="N327" s="8" t="n">
        <v>1</v>
      </c>
      <c r="O327" s="9" t="inlineStr">
        <is>
          <t>条件触发</t>
        </is>
      </c>
      <c r="P327" s="9" t="inlineStr">
        <is>
          <t>triggered</t>
        </is>
      </c>
      <c r="Q327" s="9" t="inlineStr">
        <is>
          <t>条件触发：最大道具为水属性时，其轮转时获得 4 层露水；最大道具为水属性时，其轮转时获得 8 层露水；最大道具为水属性时，其轮转时获得 12 层露水；最大道具为水属性时，其轮转时获得 16 层露水</t>
        </is>
      </c>
      <c r="R327" s="9" t="inlineStr"/>
      <c r="S327" s="9" t="inlineStr">
        <is>
          <t>青白瓷片贴耳如闻潮声，只回应袋中最沉的水行器物。</t>
        </is>
      </c>
      <c r="T327" s="8" t="inlineStr">
        <is>
          <t>implement_batch10_079_1x1</t>
        </is>
      </c>
      <c r="U327" s="8" t="inlineStr">
        <is>
          <t>allowed</t>
        </is>
      </c>
    </row>
    <row r="328" ht="34" customHeight="1">
      <c r="A328" s="8" t="n">
        <v>327</v>
      </c>
      <c r="B328" s="8" t="n">
        <v>400283</v>
      </c>
      <c r="C328" s="8" t="inlineStr">
        <is>
          <t>焰纹铜炭盆</t>
        </is>
      </c>
      <c r="D328" s="8" t="inlineStr">
        <is>
          <t>法器</t>
        </is>
      </c>
      <c r="E328" s="8" t="inlineStr">
        <is>
          <t>implement</t>
        </is>
      </c>
      <c r="F328" s="8" t="inlineStr">
        <is>
          <t>common</t>
        </is>
      </c>
      <c r="G328" s="8" t="inlineStr">
        <is>
          <t>火</t>
        </is>
      </c>
      <c r="H328" s="8" t="inlineStr">
        <is>
          <t>fire</t>
        </is>
      </c>
      <c r="I328" s="8" t="inlineStr">
        <is>
          <t>1×1</t>
        </is>
      </c>
      <c r="J328" s="8" t="n">
        <v>1</v>
      </c>
      <c r="K328" s="8" t="n">
        <v>12</v>
      </c>
      <c r="L328" s="8" t="inlineStr">
        <is>
          <t>是</t>
        </is>
      </c>
      <c r="M328" s="9" t="inlineStr">
        <is>
          <t>bazaar；dynamicRandomReward；itemReforge</t>
        </is>
      </c>
      <c r="N328" s="8" t="n">
        <v>1</v>
      </c>
      <c r="O328" s="9" t="inlineStr">
        <is>
          <t>条件触发</t>
        </is>
      </c>
      <c r="P328" s="9" t="inlineStr">
        <is>
          <t>triggered</t>
        </is>
      </c>
      <c r="Q328" s="9" t="inlineStr">
        <is>
          <t>条件触发：若最大道具为火属性，其轮转时获得 2 层炎热；若最大道具为火属性，其轮转时获得 3 层炎热；若最大道具为火属性，其轮转时获得 4 层炎热；若最大道具为火属性，其轮转时获得 5 层炎热</t>
        </is>
      </c>
      <c r="R328" s="9" t="inlineStr"/>
      <c r="S328" s="9" t="inlineStr">
        <is>
          <t>铜炭盆腹刻赤焰纹，盆中暗炭如含熔星，近看暖意微腾。</t>
        </is>
      </c>
      <c r="T328" s="8" t="inlineStr">
        <is>
          <t>implement_batch10_097_1x1</t>
        </is>
      </c>
      <c r="U328" s="8" t="inlineStr">
        <is>
          <t>allowed</t>
        </is>
      </c>
    </row>
    <row r="329" ht="34" customHeight="1">
      <c r="A329" s="8" t="n">
        <v>328</v>
      </c>
      <c r="B329" s="8" t="n">
        <v>400285</v>
      </c>
      <c r="C329" s="8" t="inlineStr">
        <is>
          <t>群钉转盘</t>
        </is>
      </c>
      <c r="D329" s="8" t="inlineStr">
        <is>
          <t>法器</t>
        </is>
      </c>
      <c r="E329" s="8" t="inlineStr">
        <is>
          <t>implement</t>
        </is>
      </c>
      <c r="F329" s="8" t="inlineStr">
        <is>
          <t>mystic</t>
        </is>
      </c>
      <c r="G329" s="8" t="inlineStr">
        <is>
          <t>金</t>
        </is>
      </c>
      <c r="H329" s="8" t="inlineStr">
        <is>
          <t>metal</t>
        </is>
      </c>
      <c r="I329" s="8" t="inlineStr">
        <is>
          <t>2×2</t>
        </is>
      </c>
      <c r="J329" s="8" t="n">
        <v>4</v>
      </c>
      <c r="K329" s="8" t="n">
        <v>800</v>
      </c>
      <c r="L329" s="8" t="inlineStr">
        <is>
          <t>是</t>
        </is>
      </c>
      <c r="M329" s="9" t="inlineStr">
        <is>
          <t>bazaar；dynamicRandomReward；itemReforge</t>
        </is>
      </c>
      <c r="N329" s="8" t="n">
        <v>1</v>
      </c>
      <c r="O329" s="9" t="inlineStr">
        <is>
          <t>条件触发</t>
        </is>
      </c>
      <c r="P329" s="9" t="inlineStr">
        <is>
          <t>triggered</t>
        </is>
      </c>
      <c r="Q329" s="9" t="inlineStr">
        <is>
          <t>条件触发：使用符箓时，所有 1×1 道具的轮转快进 0.3 秒</t>
        </is>
      </c>
      <c r="R329" s="9" t="inlineStr"/>
      <c r="S329" s="9" t="inlineStr">
        <is>
          <t>方盘中心立着转轴，细钉排作环阵；重器一震，盘上钉影便向四周接连拨动。</t>
        </is>
      </c>
      <c r="T329" s="8" t="inlineStr">
        <is>
          <t>implement_batch10_084_2x2</t>
        </is>
      </c>
      <c r="U329" s="8" t="inlineStr">
        <is>
          <t>allowed</t>
        </is>
      </c>
    </row>
    <row r="330" ht="34" customHeight="1">
      <c r="A330" s="8" t="n">
        <v>329</v>
      </c>
      <c r="B330" s="8" t="n">
        <v>400286</v>
      </c>
      <c r="C330" s="8" t="inlineStr">
        <is>
          <t>应诀金针匣</t>
        </is>
      </c>
      <c r="D330" s="8" t="inlineStr">
        <is>
          <t>法器</t>
        </is>
      </c>
      <c r="E330" s="8" t="inlineStr">
        <is>
          <t>implement</t>
        </is>
      </c>
      <c r="F330" s="8" t="inlineStr">
        <is>
          <t>mystic</t>
        </is>
      </c>
      <c r="G330" s="8" t="inlineStr">
        <is>
          <t>金</t>
        </is>
      </c>
      <c r="H330" s="8" t="inlineStr">
        <is>
          <t>metal</t>
        </is>
      </c>
      <c r="I330" s="8" t="inlineStr">
        <is>
          <t>1×3</t>
        </is>
      </c>
      <c r="J330" s="8" t="n">
        <v>3</v>
      </c>
      <c r="K330" s="8" t="n">
        <v>800</v>
      </c>
      <c r="L330" s="8" t="inlineStr">
        <is>
          <t>是</t>
        </is>
      </c>
      <c r="M330" s="9" t="inlineStr">
        <is>
          <t>bazaar；dynamicRandomReward；itemReforge</t>
        </is>
      </c>
      <c r="N330" s="8" t="n">
        <v>1</v>
      </c>
      <c r="O330" s="9" t="inlineStr">
        <is>
          <t>条件触发</t>
        </is>
      </c>
      <c r="P330" s="9" t="inlineStr">
        <is>
          <t>triggered</t>
        </is>
      </c>
      <c r="Q330" s="9" t="inlineStr">
        <is>
          <t>条件触发：招式释放时，所有 2×2 道具的轮转快进 0.5 秒</t>
        </is>
      </c>
      <c r="R330" s="9" t="inlineStr"/>
      <c r="S330" s="9" t="inlineStr">
        <is>
          <t>鎏金长匣内分列细针，匣面朱纹如敕令交叠，启阖时只闻一声清越轻鸣。</t>
        </is>
      </c>
      <c r="T330" s="8" t="inlineStr">
        <is>
          <t>implement_golden_rune_brush_1x3</t>
        </is>
      </c>
      <c r="U330" s="8" t="inlineStr">
        <is>
          <t>allowed</t>
        </is>
      </c>
    </row>
    <row r="331" ht="34" customHeight="1">
      <c r="A331" s="8" t="n">
        <v>330</v>
      </c>
      <c r="B331" s="8" t="n">
        <v>400287</v>
      </c>
      <c r="C331" s="8" t="inlineStr">
        <is>
          <t>回声木架</t>
        </is>
      </c>
      <c r="D331" s="8" t="inlineStr">
        <is>
          <t>法器</t>
        </is>
      </c>
      <c r="E331" s="8" t="inlineStr">
        <is>
          <t>implement</t>
        </is>
      </c>
      <c r="F331" s="8" t="inlineStr">
        <is>
          <t>mystic</t>
        </is>
      </c>
      <c r="G331" s="8" t="inlineStr">
        <is>
          <t>木</t>
        </is>
      </c>
      <c r="H331" s="8" t="inlineStr">
        <is>
          <t>wood</t>
        </is>
      </c>
      <c r="I331" s="8" t="inlineStr">
        <is>
          <t>2×2</t>
        </is>
      </c>
      <c r="J331" s="8" t="n">
        <v>4</v>
      </c>
      <c r="K331" s="8" t="n">
        <v>800</v>
      </c>
      <c r="L331" s="8" t="inlineStr">
        <is>
          <t>是</t>
        </is>
      </c>
      <c r="M331" s="9" t="inlineStr">
        <is>
          <t>bazaar；dynamicRandomReward；itemReforge</t>
        </is>
      </c>
      <c r="N331" s="8" t="n">
        <v>1</v>
      </c>
      <c r="O331" s="9" t="inlineStr">
        <is>
          <t>条件触发</t>
        </is>
      </c>
      <c r="P331" s="9" t="inlineStr">
        <is>
          <t>triggered</t>
        </is>
      </c>
      <c r="Q331" s="9" t="inlineStr">
        <is>
          <t>条件触发：2×2 招式释放时，所有 1×2 道具轮转快进 0.5 秒</t>
        </is>
      </c>
      <c r="R331" s="9" t="inlineStr"/>
      <c r="S331" s="9" t="inlineStr">
        <is>
          <t>方木架能收住大器轰鸣，再把回声送进细长轮轴。</t>
        </is>
      </c>
      <c r="T331" s="8" t="inlineStr">
        <is>
          <t>implement_batch10_090_2x2</t>
        </is>
      </c>
      <c r="U331" s="8" t="inlineStr">
        <is>
          <t>allowed</t>
        </is>
      </c>
    </row>
    <row r="332" ht="34" customHeight="1">
      <c r="A332" s="8" t="n">
        <v>331</v>
      </c>
      <c r="B332" s="8" t="n">
        <v>400288</v>
      </c>
      <c r="C332" s="8" t="inlineStr">
        <is>
          <t>镇岳鸣弦琴</t>
        </is>
      </c>
      <c r="D332" s="8" t="inlineStr">
        <is>
          <t>法器</t>
        </is>
      </c>
      <c r="E332" s="8" t="inlineStr">
        <is>
          <t>implement</t>
        </is>
      </c>
      <c r="F332" s="8" t="inlineStr">
        <is>
          <t>mystic</t>
        </is>
      </c>
      <c r="G332" s="8" t="inlineStr">
        <is>
          <t>无</t>
        </is>
      </c>
      <c r="H332" s="8" t="inlineStr">
        <is>
          <t>none</t>
        </is>
      </c>
      <c r="I332" s="8" t="inlineStr">
        <is>
          <t>2×1</t>
        </is>
      </c>
      <c r="J332" s="8" t="n">
        <v>2</v>
      </c>
      <c r="K332" s="8" t="n">
        <v>800</v>
      </c>
      <c r="L332" s="8" t="inlineStr">
        <is>
          <t>是</t>
        </is>
      </c>
      <c r="M332" s="9" t="inlineStr">
        <is>
          <t>bazaar；dynamicRandomReward；itemReforge</t>
        </is>
      </c>
      <c r="N332" s="8" t="n">
        <v>1</v>
      </c>
      <c r="O332" s="9" t="inlineStr">
        <is>
          <t>条件触发</t>
        </is>
      </c>
      <c r="P332" s="9" t="inlineStr">
        <is>
          <t>triggered</t>
        </is>
      </c>
      <c r="Q332" s="9" t="inlineStr">
        <is>
          <t>条件触发：最大道具轮转后，其下一轮轮转快进 1 秒</t>
        </is>
      </c>
      <c r="R332" s="9" t="inlineStr"/>
      <c r="S332" s="9" t="inlineStr">
        <is>
          <t>鸣弦琴通体乌沉，鎏金岳纹压住长弦，指尖轻拂便有沉厚余音。</t>
        </is>
      </c>
      <c r="T332" s="8" t="inlineStr">
        <is>
          <t>implement_batch11_042_2x1</t>
        </is>
      </c>
      <c r="U332" s="8" t="inlineStr">
        <is>
          <t>allowed</t>
        </is>
      </c>
    </row>
    <row r="333" ht="34" customHeight="1">
      <c r="A333" s="8" t="n">
        <v>332</v>
      </c>
      <c r="B333" s="8" t="n">
        <v>400289</v>
      </c>
      <c r="C333" s="8" t="inlineStr">
        <is>
          <t>续轮小鼓</t>
        </is>
      </c>
      <c r="D333" s="8" t="inlineStr">
        <is>
          <t>法器</t>
        </is>
      </c>
      <c r="E333" s="8" t="inlineStr">
        <is>
          <t>implement</t>
        </is>
      </c>
      <c r="F333" s="8" t="inlineStr">
        <is>
          <t>mystic</t>
        </is>
      </c>
      <c r="G333" s="8" t="inlineStr">
        <is>
          <t>无</t>
        </is>
      </c>
      <c r="H333" s="8" t="inlineStr">
        <is>
          <t>none</t>
        </is>
      </c>
      <c r="I333" s="8" t="inlineStr">
        <is>
          <t>1×1</t>
        </is>
      </c>
      <c r="J333" s="8" t="n">
        <v>1</v>
      </c>
      <c r="K333" s="8" t="n">
        <v>800</v>
      </c>
      <c r="L333" s="8" t="inlineStr">
        <is>
          <t>是</t>
        </is>
      </c>
      <c r="M333" s="9" t="inlineStr">
        <is>
          <t>bazaar；dynamicRandomReward；itemReforge</t>
        </is>
      </c>
      <c r="N333" s="8" t="n">
        <v>1</v>
      </c>
      <c r="O333" s="9" t="inlineStr">
        <is>
          <t>周期触发</t>
        </is>
      </c>
      <c r="P333" s="9" t="inlineStr">
        <is>
          <t>periodicPulse</t>
        </is>
      </c>
      <c r="Q333" s="9" t="inlineStr">
        <is>
          <t>周期触发：消耗 8 点法力，使最大道具的轮转快进 1 秒</t>
        </is>
      </c>
      <c r="R333" s="9" t="inlineStr"/>
      <c r="S333" s="9" t="inlineStr">
        <is>
          <t>小鼓一响，袋中最沉器物的轮轴便多续上一拍。</t>
        </is>
      </c>
      <c r="T333" s="8" t="inlineStr">
        <is>
          <t>implement_batch10_069_1x1</t>
        </is>
      </c>
      <c r="U333" s="8" t="inlineStr">
        <is>
          <t>allowed</t>
        </is>
      </c>
    </row>
    <row r="334" ht="34" customHeight="1">
      <c r="A334" s="8" t="n">
        <v>333</v>
      </c>
      <c r="B334" s="8" t="n">
        <v>400290</v>
      </c>
      <c r="C334" s="8" t="inlineStr">
        <is>
          <t>养岳砚</t>
        </is>
      </c>
      <c r="D334" s="8" t="inlineStr">
        <is>
          <t>法器</t>
        </is>
      </c>
      <c r="E334" s="8" t="inlineStr">
        <is>
          <t>implement</t>
        </is>
      </c>
      <c r="F334" s="8" t="inlineStr">
        <is>
          <t>common</t>
        </is>
      </c>
      <c r="G334" s="8" t="inlineStr">
        <is>
          <t>土</t>
        </is>
      </c>
      <c r="H334" s="8" t="inlineStr">
        <is>
          <t>earth</t>
        </is>
      </c>
      <c r="I334" s="8" t="inlineStr">
        <is>
          <t>1×1</t>
        </is>
      </c>
      <c r="J334" s="8" t="n">
        <v>1</v>
      </c>
      <c r="K334" s="8" t="n">
        <v>13</v>
      </c>
      <c r="L334" s="8" t="inlineStr">
        <is>
          <t>是</t>
        </is>
      </c>
      <c r="M334" s="9" t="inlineStr">
        <is>
          <t>bazaar；dynamicRandomReward；itemReforge</t>
        </is>
      </c>
      <c r="N334" s="8" t="n">
        <v>1</v>
      </c>
      <c r="O334" s="9" t="inlineStr">
        <is>
          <t>条件触发</t>
        </is>
      </c>
      <c r="P334" s="9" t="inlineStr">
        <is>
          <t>triggered</t>
        </is>
      </c>
      <c r="Q334" s="9" t="inlineStr">
        <is>
          <t>条件触发：最大道具轮转时，获得 3 点修为；最大道具轮转时，获得 6 点修为；最大道具轮转时，获得 9 点修为；最大道具轮转时，获得 12 点修为</t>
        </is>
      </c>
      <c r="R334" s="9" t="inlineStr"/>
      <c r="S334" s="9" t="inlineStr">
        <is>
          <t>墨色随重器轮声聚成山影，山影每成一次便化作修为。</t>
        </is>
      </c>
      <c r="T334" s="8" t="inlineStr">
        <is>
          <t>implement_batch10_089_1x1</t>
        </is>
      </c>
      <c r="U334" s="8" t="inlineStr">
        <is>
          <t>allowed</t>
        </is>
      </c>
    </row>
    <row r="335" ht="34" customHeight="1">
      <c r="A335" s="8" t="n">
        <v>334</v>
      </c>
      <c r="B335" s="8" t="n">
        <v>400291</v>
      </c>
      <c r="C335" s="8" t="inlineStr">
        <is>
          <t>聚财镇纸</t>
        </is>
      </c>
      <c r="D335" s="8" t="inlineStr">
        <is>
          <t>法器</t>
        </is>
      </c>
      <c r="E335" s="8" t="inlineStr">
        <is>
          <t>implement</t>
        </is>
      </c>
      <c r="F335" s="8" t="inlineStr">
        <is>
          <t>common</t>
        </is>
      </c>
      <c r="G335" s="8" t="inlineStr">
        <is>
          <t>金</t>
        </is>
      </c>
      <c r="H335" s="8" t="inlineStr">
        <is>
          <t>metal</t>
        </is>
      </c>
      <c r="I335" s="8" t="inlineStr">
        <is>
          <t>2×1</t>
        </is>
      </c>
      <c r="J335" s="8" t="n">
        <v>2</v>
      </c>
      <c r="K335" s="8" t="n">
        <v>16</v>
      </c>
      <c r="L335" s="8" t="inlineStr">
        <is>
          <t>是</t>
        </is>
      </c>
      <c r="M335" s="9" t="inlineStr">
        <is>
          <t>bazaar；dynamicRandomReward；itemReforge</t>
        </is>
      </c>
      <c r="N335" s="8" t="n">
        <v>1</v>
      </c>
      <c r="O335" s="9" t="inlineStr">
        <is>
          <t>条件触发</t>
        </is>
      </c>
      <c r="P335" s="9" t="inlineStr">
        <is>
          <t>triggered</t>
        </is>
      </c>
      <c r="Q335" s="9" t="inlineStr">
        <is>
          <t>条件触发：2×3 道具轮转时，获得 1 点机缘；2×3 道具轮转时，获得 2 点机缘；2×3 道具轮转时，获得 3 点机缘；2×3 道具轮转时，获得 4 点机缘</t>
        </is>
      </c>
      <c r="R335" s="9" t="inlineStr"/>
      <c r="S335" s="9" t="inlineStr">
        <is>
          <t>横镇纸两端缀玉，中央嵌着暖金宝石，压在账页上时连散落的财气也会聚拢。</t>
        </is>
      </c>
      <c r="T335" s="8" t="inlineStr">
        <is>
          <t>implement_dual_jade_rings_2x1</t>
        </is>
      </c>
      <c r="U335" s="8" t="inlineStr">
        <is>
          <t>allowed</t>
        </is>
      </c>
    </row>
    <row r="336" ht="34" customHeight="1">
      <c r="A336" s="8" t="n">
        <v>335</v>
      </c>
      <c r="B336" s="8" t="n">
        <v>400292</v>
      </c>
      <c r="C336" s="8" t="inlineStr">
        <is>
          <t>纳缘铜斗</t>
        </is>
      </c>
      <c r="D336" s="8" t="inlineStr">
        <is>
          <t>法器</t>
        </is>
      </c>
      <c r="E336" s="8" t="inlineStr">
        <is>
          <t>implement</t>
        </is>
      </c>
      <c r="F336" s="8" t="inlineStr">
        <is>
          <t>common</t>
        </is>
      </c>
      <c r="G336" s="8" t="inlineStr">
        <is>
          <t>无</t>
        </is>
      </c>
      <c r="H336" s="8" t="inlineStr">
        <is>
          <t>none</t>
        </is>
      </c>
      <c r="I336" s="8" t="inlineStr">
        <is>
          <t>1×2</t>
        </is>
      </c>
      <c r="J336" s="8" t="n">
        <v>2</v>
      </c>
      <c r="K336" s="8" t="n">
        <v>15</v>
      </c>
      <c r="L336" s="8" t="inlineStr">
        <is>
          <t>是</t>
        </is>
      </c>
      <c r="M336" s="9" t="inlineStr">
        <is>
          <t>bazaar；dynamicRandomReward；itemReforge</t>
        </is>
      </c>
      <c r="N336" s="8" t="n">
        <v>1</v>
      </c>
      <c r="O336" s="9" t="inlineStr">
        <is>
          <t>周期触发</t>
        </is>
      </c>
      <c r="P336" s="9" t="inlineStr">
        <is>
          <t>periodicPulse</t>
        </is>
      </c>
      <c r="Q336" s="9" t="inlineStr">
        <is>
          <t>周期触发：获得 1 点修为；最大道具轮转时，获得 1 点机缘；获得 1 点修为；最大道具轮转时，获得 2 点机缘；获得 1 点修为；最大道具轮转时，获得 3 点机缘；获得 1 点修为；最大道具轮转时，获得 4 点机缘</t>
        </is>
      </c>
      <c r="R336" s="9" t="inlineStr"/>
      <c r="S336" s="9" t="inlineStr">
        <is>
          <t>铜斗四足稳立，斗口映着一团柔光；每逢轮声汇来，缘分便像细砂一样沉入其中。</t>
        </is>
      </c>
      <c r="T336" s="8" t="inlineStr">
        <is>
          <t>implement_bonebead_charm_1x2</t>
        </is>
      </c>
      <c r="U336" s="8" t="inlineStr">
        <is>
          <t>allowed</t>
        </is>
      </c>
    </row>
    <row r="337" ht="34" customHeight="1">
      <c r="A337" s="8" t="n">
        <v>336</v>
      </c>
      <c r="B337" s="8" t="n">
        <v>400294</v>
      </c>
      <c r="C337" s="8" t="inlineStr">
        <is>
          <t>回灵导管</t>
        </is>
      </c>
      <c r="D337" s="8" t="inlineStr">
        <is>
          <t>法器</t>
        </is>
      </c>
      <c r="E337" s="8" t="inlineStr">
        <is>
          <t>implement</t>
        </is>
      </c>
      <c r="F337" s="8" t="inlineStr">
        <is>
          <t>common</t>
        </is>
      </c>
      <c r="G337" s="8" t="inlineStr">
        <is>
          <t>水</t>
        </is>
      </c>
      <c r="H337" s="8" t="inlineStr">
        <is>
          <t>water</t>
        </is>
      </c>
      <c r="I337" s="8" t="inlineStr">
        <is>
          <t>1×2</t>
        </is>
      </c>
      <c r="J337" s="8" t="n">
        <v>2</v>
      </c>
      <c r="K337" s="8" t="n">
        <v>15</v>
      </c>
      <c r="L337" s="8" t="inlineStr">
        <is>
          <t>是</t>
        </is>
      </c>
      <c r="M337" s="9" t="inlineStr">
        <is>
          <t>bazaar；dynamicRandomReward；itemReforge</t>
        </is>
      </c>
      <c r="N337" s="8" t="n">
        <v>1</v>
      </c>
      <c r="O337" s="9" t="inlineStr">
        <is>
          <t>条件触发</t>
        </is>
      </c>
      <c r="P337" s="9" t="inlineStr">
        <is>
          <t>triggered</t>
        </is>
      </c>
      <c r="Q337" s="9" t="inlineStr">
        <is>
          <t>条件触发：最大道具轮转时，恢复 3 点法力；最大道具轮转时，恢复 6 点法力；最大道具轮转时，恢复 9 点法力；最大道具轮转时，恢复 12 点法力</t>
        </is>
      </c>
      <c r="R337" s="9" t="inlineStr"/>
      <c r="S337" s="9" t="inlineStr">
        <is>
          <t>导管把最大器物逸散的灵息引回经脉。</t>
        </is>
      </c>
      <c r="T337" s="8" t="inlineStr">
        <is>
          <t>implement_beastmat_mo_jiao_xu_jie_tingchao_tube_1x2</t>
        </is>
      </c>
      <c r="U337" s="8" t="inlineStr">
        <is>
          <t>allowed</t>
        </is>
      </c>
    </row>
    <row r="338" ht="34" customHeight="1">
      <c r="A338" s="8" t="n">
        <v>337</v>
      </c>
      <c r="B338" s="8" t="n">
        <v>400295</v>
      </c>
      <c r="C338" s="8" t="inlineStr">
        <is>
          <t>护心软甲</t>
        </is>
      </c>
      <c r="D338" s="8" t="inlineStr">
        <is>
          <t>法器</t>
        </is>
      </c>
      <c r="E338" s="8" t="inlineStr">
        <is>
          <t>implement</t>
        </is>
      </c>
      <c r="F338" s="8" t="inlineStr">
        <is>
          <t>common</t>
        </is>
      </c>
      <c r="G338" s="8" t="inlineStr">
        <is>
          <t>无</t>
        </is>
      </c>
      <c r="H338" s="8" t="inlineStr">
        <is>
          <t>none</t>
        </is>
      </c>
      <c r="I338" s="8" t="inlineStr">
        <is>
          <t>2×2</t>
        </is>
      </c>
      <c r="J338" s="8" t="n">
        <v>4</v>
      </c>
      <c r="K338" s="8" t="n">
        <v>20</v>
      </c>
      <c r="L338" s="8" t="inlineStr">
        <is>
          <t>是</t>
        </is>
      </c>
      <c r="M338" s="9" t="inlineStr">
        <is>
          <t>bazaar；dynamicRandomReward；itemReforge</t>
        </is>
      </c>
      <c r="N338" s="8" t="n">
        <v>2</v>
      </c>
      <c r="O338" s="9" t="inlineStr">
        <is>
          <t>条件触发</t>
        </is>
      </c>
      <c r="P338" s="9" t="inlineStr">
        <is>
          <t>triggered</t>
        </is>
      </c>
      <c r="Q338" s="9" t="inlineStr">
        <is>
          <t>条件触发：2×3 道具轮转时，气血、体力、法力各恢复 1 点；2×3 道具轮转时，气血、体力、法力各恢复 2 点；2×3 道具轮转时，气血、体力、法力各恢复 3 点；2×3 道具轮转时，气血、体力、法力各恢复 4 点 | 条件触发：2×3 道具轮转时，获得 1 点机缘</t>
        </is>
      </c>
      <c r="R338" s="9" t="inlineStr"/>
      <c r="S338" s="9" t="inlineStr">
        <is>
          <t>方甲内缝五脉纹，六格大器的震动会依次温养五脉。</t>
        </is>
      </c>
      <c r="T338" s="8" t="inlineStr">
        <is>
          <t>implement_batch10_109_2x2</t>
        </is>
      </c>
      <c r="U338" s="8" t="inlineStr">
        <is>
          <t>allowed</t>
        </is>
      </c>
    </row>
    <row r="339" ht="34" customHeight="1">
      <c r="A339" s="8" t="n">
        <v>338</v>
      </c>
      <c r="B339" s="8" t="n">
        <v>400296</v>
      </c>
      <c r="C339" s="8" t="inlineStr">
        <is>
          <t>独峰令</t>
        </is>
      </c>
      <c r="D339" s="8" t="inlineStr">
        <is>
          <t>法器</t>
        </is>
      </c>
      <c r="E339" s="8" t="inlineStr">
        <is>
          <t>implement</t>
        </is>
      </c>
      <c r="F339" s="8" t="inlineStr">
        <is>
          <t>common</t>
        </is>
      </c>
      <c r="G339" s="8" t="inlineStr">
        <is>
          <t>土</t>
        </is>
      </c>
      <c r="H339" s="8" t="inlineStr">
        <is>
          <t>earth</t>
        </is>
      </c>
      <c r="I339" s="8" t="inlineStr">
        <is>
          <t>1×1</t>
        </is>
      </c>
      <c r="J339" s="8" t="n">
        <v>1</v>
      </c>
      <c r="K339" s="8" t="n">
        <v>14</v>
      </c>
      <c r="L339" s="8" t="inlineStr">
        <is>
          <t>是</t>
        </is>
      </c>
      <c r="M339" s="9" t="inlineStr">
        <is>
          <t>bazaar；dynamicRandomReward；itemReforge</t>
        </is>
      </c>
      <c r="N339" s="8" t="n">
        <v>1</v>
      </c>
      <c r="O339" s="9" t="inlineStr">
        <is>
          <t>周期触发</t>
        </is>
      </c>
      <c r="P339" s="9" t="inlineStr">
        <is>
          <t>periodicPulse</t>
        </is>
      </c>
      <c r="Q339" s="9" t="inlineStr">
        <is>
          <t>周期触发：仅有一个最大道具时，使其获得 4 秒加速；仅有一个最大道具时，使其获得 6 秒加速；仅有一个最大道具时，使其获得 8 秒加速；仅有一个最大道具时，使其获得 10 秒加速</t>
        </is>
      </c>
      <c r="R339" s="9" t="inlineStr"/>
      <c r="S339" s="9" t="inlineStr">
        <is>
          <t>令牌只认袋中独占最高处的一峰，群峰并立时便沉寂。</t>
        </is>
      </c>
      <c r="T339" s="8" t="inlineStr">
        <is>
          <t>implement_bamboo_slip_casket_1x1</t>
        </is>
      </c>
      <c r="U339" s="8" t="inlineStr">
        <is>
          <t>allowed</t>
        </is>
      </c>
    </row>
    <row r="340" ht="34" customHeight="1">
      <c r="A340" s="8" t="n">
        <v>339</v>
      </c>
      <c r="B340" s="8" t="n">
        <v>400297</v>
      </c>
      <c r="C340" s="8" t="inlineStr">
        <is>
          <t>并岳签</t>
        </is>
      </c>
      <c r="D340" s="8" t="inlineStr">
        <is>
          <t>法器</t>
        </is>
      </c>
      <c r="E340" s="8" t="inlineStr">
        <is>
          <t>implement</t>
        </is>
      </c>
      <c r="F340" s="8" t="inlineStr">
        <is>
          <t>common</t>
        </is>
      </c>
      <c r="G340" s="8" t="inlineStr">
        <is>
          <t>土</t>
        </is>
      </c>
      <c r="H340" s="8" t="inlineStr">
        <is>
          <t>earth</t>
        </is>
      </c>
      <c r="I340" s="8" t="inlineStr">
        <is>
          <t>1×1</t>
        </is>
      </c>
      <c r="J340" s="8" t="n">
        <v>1</v>
      </c>
      <c r="K340" s="8" t="n">
        <v>14</v>
      </c>
      <c r="L340" s="8" t="inlineStr">
        <is>
          <t>是</t>
        </is>
      </c>
      <c r="M340" s="9" t="inlineStr">
        <is>
          <t>bazaar；dynamicRandomReward；itemReforge</t>
        </is>
      </c>
      <c r="N340" s="8" t="n">
        <v>1</v>
      </c>
      <c r="O340" s="9" t="inlineStr">
        <is>
          <t>周期触发</t>
        </is>
      </c>
      <c r="P340" s="9" t="inlineStr">
        <is>
          <t>periodicPulse</t>
        </is>
      </c>
      <c r="Q340" s="9" t="inlineStr">
        <is>
          <t>周期触发：若与最大道具同列，使本行所有道具获得 4 秒加速；若与最大道具同列，使本行所有道具获得 6 秒加速；若与最大道具同列，使本行所有道具获得 8 秒加速；若与最大道具同列，使本行所有道具获得 10 秒加速</t>
        </is>
      </c>
      <c r="R340" s="9" t="inlineStr"/>
      <c r="S340" s="9" t="inlineStr">
        <is>
          <t>双峰签彼此映照，只有最大占格并列时才显出灵光。</t>
        </is>
      </c>
      <c r="T340" s="8" t="inlineStr">
        <is>
          <t>implement_azure_lion_painted_seal_1x1</t>
        </is>
      </c>
      <c r="U340" s="8" t="inlineStr">
        <is>
          <t>allowed</t>
        </is>
      </c>
    </row>
    <row r="341" ht="34" customHeight="1">
      <c r="A341" s="8" t="n">
        <v>340</v>
      </c>
      <c r="B341" s="8" t="n">
        <v>400298</v>
      </c>
      <c r="C341" s="8" t="inlineStr">
        <is>
          <t>四方承台</t>
        </is>
      </c>
      <c r="D341" s="8" t="inlineStr">
        <is>
          <t>法器</t>
        </is>
      </c>
      <c r="E341" s="8" t="inlineStr">
        <is>
          <t>implement</t>
        </is>
      </c>
      <c r="F341" s="8" t="inlineStr">
        <is>
          <t>common</t>
        </is>
      </c>
      <c r="G341" s="8" t="inlineStr">
        <is>
          <t>土</t>
        </is>
      </c>
      <c r="H341" s="8" t="inlineStr">
        <is>
          <t>earth</t>
        </is>
      </c>
      <c r="I341" s="8" t="inlineStr">
        <is>
          <t>2×2</t>
        </is>
      </c>
      <c r="J341" s="8" t="n">
        <v>4</v>
      </c>
      <c r="K341" s="8" t="n">
        <v>30</v>
      </c>
      <c r="L341" s="8" t="inlineStr">
        <is>
          <t>是</t>
        </is>
      </c>
      <c r="M341" s="9" t="inlineStr">
        <is>
          <t>bazaar；dynamicRandomReward；itemReforge</t>
        </is>
      </c>
      <c r="N341" s="8" t="n">
        <v>1</v>
      </c>
      <c r="O341" s="9" t="inlineStr">
        <is>
          <t>条件触发</t>
        </is>
      </c>
      <c r="P341" s="9" t="inlineStr">
        <is>
          <t>triggered</t>
        </is>
      </c>
      <c r="Q341" s="9" t="inlineStr">
        <is>
          <t>条件触发：2×2 道具轮转时，获得 4 层护甲；2×2 道具轮转时，获得 8 层护甲；2×2 道具轮转时，获得 12 层护甲；2×2 道具轮转时，获得 16 层护甲</t>
        </is>
      </c>
      <c r="R341" s="9" t="inlineStr"/>
      <c r="S341" s="9" t="inlineStr">
        <is>
          <t>四方承台以厚石垒成，台面浮着淡淡灵雾，方正器物落在其上便有了安稳根脚。</t>
        </is>
      </c>
      <c r="T341" s="8" t="inlineStr">
        <is>
          <t>implement_batch10_080_2x2</t>
        </is>
      </c>
      <c r="U341" s="8" t="inlineStr">
        <is>
          <t>allowed</t>
        </is>
      </c>
    </row>
    <row r="342" ht="34" customHeight="1">
      <c r="A342" s="8" t="n">
        <v>341</v>
      </c>
      <c r="B342" s="8" t="n">
        <v>400299</v>
      </c>
      <c r="C342" s="8" t="inlineStr">
        <is>
          <t>甲山扣</t>
        </is>
      </c>
      <c r="D342" s="8" t="inlineStr">
        <is>
          <t>法器</t>
        </is>
      </c>
      <c r="E342" s="8" t="inlineStr">
        <is>
          <t>implement</t>
        </is>
      </c>
      <c r="F342" s="8" t="inlineStr">
        <is>
          <t>common</t>
        </is>
      </c>
      <c r="G342" s="8" t="inlineStr">
        <is>
          <t>土</t>
        </is>
      </c>
      <c r="H342" s="8" t="inlineStr">
        <is>
          <t>earth</t>
        </is>
      </c>
      <c r="I342" s="8" t="inlineStr">
        <is>
          <t>1×1</t>
        </is>
      </c>
      <c r="J342" s="8" t="n">
        <v>1</v>
      </c>
      <c r="K342" s="8" t="n">
        <v>14</v>
      </c>
      <c r="L342" s="8" t="inlineStr">
        <is>
          <t>是</t>
        </is>
      </c>
      <c r="M342" s="9" t="inlineStr">
        <is>
          <t>bazaar；dynamicRandomReward；itemReforge</t>
        </is>
      </c>
      <c r="N342" s="8" t="n">
        <v>1</v>
      </c>
      <c r="O342" s="9" t="inlineStr">
        <is>
          <t>条件触发</t>
        </is>
      </c>
      <c r="P342" s="9" t="inlineStr">
        <is>
          <t>triggered</t>
        </is>
      </c>
      <c r="Q342" s="9" t="inlineStr">
        <is>
          <t>条件触发：2×2 道具轮转时，获得 1 层坚硬；2×2 道具轮转时，获得 2 层坚硬；2×2 道具轮转时，获得 3 层坚硬；2×2 道具轮转时，获得 4 层坚硬</t>
        </is>
      </c>
      <c r="R342" s="9" t="inlineStr"/>
      <c r="S342" s="9" t="inlineStr">
        <is>
          <t>甲扣内外各一重山纹，方形器物转动时便结成护势。</t>
        </is>
      </c>
      <c r="T342" s="8" t="inlineStr">
        <is>
          <t>implement_batch10_133_1x1</t>
        </is>
      </c>
      <c r="U342" s="8" t="inlineStr">
        <is>
          <t>allowed</t>
        </is>
      </c>
    </row>
    <row r="343" ht="34" customHeight="1">
      <c r="A343" s="8" t="n">
        <v>342</v>
      </c>
      <c r="B343" s="8" t="n">
        <v>400300</v>
      </c>
      <c r="C343" s="8" t="inlineStr">
        <is>
          <t>经岳书镇</t>
        </is>
      </c>
      <c r="D343" s="8" t="inlineStr">
        <is>
          <t>法器</t>
        </is>
      </c>
      <c r="E343" s="8" t="inlineStr">
        <is>
          <t>implement</t>
        </is>
      </c>
      <c r="F343" s="8" t="inlineStr">
        <is>
          <t>common</t>
        </is>
      </c>
      <c r="G343" s="8" t="inlineStr">
        <is>
          <t>土</t>
        </is>
      </c>
      <c r="H343" s="8" t="inlineStr">
        <is>
          <t>earth</t>
        </is>
      </c>
      <c r="I343" s="8" t="inlineStr">
        <is>
          <t>2×1</t>
        </is>
      </c>
      <c r="J343" s="8" t="n">
        <v>2</v>
      </c>
      <c r="K343" s="8" t="n">
        <v>16</v>
      </c>
      <c r="L343" s="8" t="inlineStr">
        <is>
          <t>是</t>
        </is>
      </c>
      <c r="M343" s="9" t="inlineStr">
        <is>
          <t>bazaar；dynamicRandomReward；itemReforge</t>
        </is>
      </c>
      <c r="N343" s="8" t="n">
        <v>1</v>
      </c>
      <c r="O343" s="9" t="inlineStr">
        <is>
          <t>条件触发</t>
        </is>
      </c>
      <c r="P343" s="9" t="inlineStr">
        <is>
          <t>triggered</t>
        </is>
      </c>
      <c r="Q343" s="9" t="inlineStr">
        <is>
          <t>条件触发：1×3 道具轮转时，获得 3 点修为；1×3 道具轮转时，获得 6 点修为；1×3 道具轮转时，获得 9 点修为；1×3 道具轮转时，获得 12 点修为</t>
        </is>
      </c>
      <c r="R343" s="9" t="inlineStr"/>
      <c r="S343" s="9" t="inlineStr">
        <is>
          <t>山纹书镇横卧经页，两端铜角压得纸页平整，翻卷间仿佛能听见峰峦深处的书声。</t>
        </is>
      </c>
      <c r="T343" s="8" t="inlineStr">
        <is>
          <t>implement_compartment_incense_tray_f2616v1_2x1</t>
        </is>
      </c>
      <c r="U343" s="8" t="inlineStr">
        <is>
          <t>allowed</t>
        </is>
      </c>
    </row>
    <row r="344" ht="34" customHeight="1">
      <c r="A344" s="8" t="n">
        <v>343</v>
      </c>
      <c r="B344" s="8" t="n">
        <v>400301</v>
      </c>
      <c r="C344" s="8" t="inlineStr">
        <is>
          <t>器岳鸣环</t>
        </is>
      </c>
      <c r="D344" s="8" t="inlineStr">
        <is>
          <t>法器</t>
        </is>
      </c>
      <c r="E344" s="8" t="inlineStr">
        <is>
          <t>implement</t>
        </is>
      </c>
      <c r="F344" s="8" t="inlineStr">
        <is>
          <t>common</t>
        </is>
      </c>
      <c r="G344" s="8" t="inlineStr">
        <is>
          <t>金</t>
        </is>
      </c>
      <c r="H344" s="8" t="inlineStr">
        <is>
          <t>metal</t>
        </is>
      </c>
      <c r="I344" s="8" t="inlineStr">
        <is>
          <t>1×1</t>
        </is>
      </c>
      <c r="J344" s="8" t="n">
        <v>1</v>
      </c>
      <c r="K344" s="8" t="n">
        <v>14</v>
      </c>
      <c r="L344" s="8" t="inlineStr">
        <is>
          <t>是</t>
        </is>
      </c>
      <c r="M344" s="9" t="inlineStr">
        <is>
          <t>bazaar；dynamicRandomReward；itemReforge</t>
        </is>
      </c>
      <c r="N344" s="8" t="n">
        <v>1</v>
      </c>
      <c r="O344" s="9" t="inlineStr">
        <is>
          <t>条件触发</t>
        </is>
      </c>
      <c r="P344" s="9" t="inlineStr">
        <is>
          <t>triggered</t>
        </is>
      </c>
      <c r="Q344" s="9" t="inlineStr">
        <is>
          <t>条件触发：2×2 道具轮转时，恢复 2 点法力和 2 点体力；2×2 道具轮转时，恢复 4 点法力和 4 点体力；2×2 道具轮转时，恢复 6 点法力和 6 点体力；2×2 道具轮转时，恢复 8 点法力和 8 点体力</t>
        </is>
      </c>
      <c r="R344" s="9" t="inlineStr"/>
      <c r="S344" s="9" t="inlineStr">
        <is>
          <t>铜环悬在方架中央，四格器物一转便鸣出回灵清音。</t>
        </is>
      </c>
      <c r="T344" s="8" t="inlineStr">
        <is>
          <t>implement_batch11_020_1x1</t>
        </is>
      </c>
      <c r="U344" s="8" t="inlineStr">
        <is>
          <t>allowed</t>
        </is>
      </c>
    </row>
    <row r="345" ht="34" customHeight="1">
      <c r="A345" s="8" t="n">
        <v>344</v>
      </c>
      <c r="B345" s="8" t="n">
        <v>400322</v>
      </c>
      <c r="C345" s="8" t="inlineStr">
        <is>
          <t>映月蚀骨霜铃</t>
        </is>
      </c>
      <c r="D345" s="8" t="inlineStr">
        <is>
          <t>法器</t>
        </is>
      </c>
      <c r="E345" s="8" t="inlineStr">
        <is>
          <t>implement</t>
        </is>
      </c>
      <c r="F345" s="8" t="inlineStr">
        <is>
          <t>common</t>
        </is>
      </c>
      <c r="G345" s="8" t="inlineStr">
        <is>
          <t>水</t>
        </is>
      </c>
      <c r="H345" s="8" t="inlineStr">
        <is>
          <t>water</t>
        </is>
      </c>
      <c r="I345" s="8" t="inlineStr">
        <is>
          <t>1×1</t>
        </is>
      </c>
      <c r="J345" s="8" t="n">
        <v>1</v>
      </c>
      <c r="K345" s="8" t="n">
        <v>10</v>
      </c>
      <c r="L345" s="8" t="inlineStr">
        <is>
          <t>是</t>
        </is>
      </c>
      <c r="M345" s="9" t="inlineStr"/>
      <c r="N345" s="8" t="n">
        <v>1</v>
      </c>
      <c r="O345" s="9" t="inlineStr">
        <is>
          <t>周期触发</t>
        </is>
      </c>
      <c r="P345" s="9" t="inlineStr">
        <is>
          <t>periodicPulse</t>
        </is>
      </c>
      <c r="Q345" s="9" t="inlineStr">
        <is>
          <t>周期触发：消耗敌方 4 层冰霜，造成 18 点伤害，并使敌方随机 2 件道具减速 3 秒；消耗敌方 5 层冰霜，造成 24 点伤害，并使敌方随机 2 件道具减速 4 秒；消耗敌方 6 层冰霜，造成 30 点伤害，并使敌方随机 2 件道具减速 5 秒；消耗敌方 7 层冰霜，造成 36 点伤害，并使敌方随机 2 件道具减速 6 秒</t>
        </is>
      </c>
      <c r="R345" s="9" t="inlineStr"/>
      <c r="S345" s="9" t="inlineStr">
        <is>
          <t>冷青小铃承着沈映月淬炼多年的月寒，铃音一落，霜痕便循着对手气机直入骨隙。</t>
        </is>
      </c>
      <c r="T345" s="8" t="inlineStr">
        <is>
          <t>implement_silver_bell_1x1</t>
        </is>
      </c>
      <c r="U345" s="8" t="inlineStr">
        <is>
          <t>allowed</t>
        </is>
      </c>
    </row>
    <row r="346" ht="34" customHeight="1">
      <c r="A346" s="8" t="n">
        <v>345</v>
      </c>
      <c r="B346" s="8" t="n">
        <v>400323</v>
      </c>
      <c r="C346" s="8" t="inlineStr">
        <is>
          <t>映月锁脉镜</t>
        </is>
      </c>
      <c r="D346" s="8" t="inlineStr">
        <is>
          <t>法器</t>
        </is>
      </c>
      <c r="E346" s="8" t="inlineStr">
        <is>
          <t>implement</t>
        </is>
      </c>
      <c r="F346" s="8" t="inlineStr">
        <is>
          <t>spirit</t>
        </is>
      </c>
      <c r="G346" s="8" t="inlineStr">
        <is>
          <t>水</t>
        </is>
      </c>
      <c r="H346" s="8" t="inlineStr">
        <is>
          <t>water</t>
        </is>
      </c>
      <c r="I346" s="8" t="inlineStr">
        <is>
          <t>1×1</t>
        </is>
      </c>
      <c r="J346" s="8" t="n">
        <v>1</v>
      </c>
      <c r="K346" s="8" t="inlineStr"/>
      <c r="L346" s="8" t="inlineStr">
        <is>
          <t>否</t>
        </is>
      </c>
      <c r="M346" s="9" t="inlineStr"/>
      <c r="N346" s="8" t="n">
        <v>1</v>
      </c>
      <c r="O346" s="9" t="inlineStr">
        <is>
          <t>周期触发</t>
        </is>
      </c>
      <c r="P346" s="9" t="inlineStr">
        <is>
          <t>periodicPulse</t>
        </is>
      </c>
      <c r="Q346" s="9" t="inlineStr">
        <is>
          <t>周期触发：吸取敌方 30 点体力，自身获得 30 层坚硬；吸取敌方 38 点体力，自身获得 38 层坚硬；吸取敌方 46 点体力，自身获得 46 层坚硬；吸取敌方 52 点体力，自身获得 52 层坚硬</t>
        </is>
      </c>
      <c r="R346" s="9" t="inlineStr"/>
      <c r="S346" s="9" t="inlineStr">
        <is>
          <t>银蓝月镜映着一泓深水，细密水纹沿镜缘经络汇入晶心，将散乱气力凝成清硬灵光。</t>
        </is>
      </c>
      <c r="T346" s="8" t="inlineStr">
        <is>
          <t>implement_eightpoint_star_mirror_glowstream_1x1</t>
        </is>
      </c>
      <c r="U346" s="8" t="inlineStr">
        <is>
          <t>allowed</t>
        </is>
      </c>
    </row>
    <row r="347" ht="34" customHeight="1">
      <c r="A347" s="8" t="n">
        <v>346</v>
      </c>
      <c r="B347" s="8" t="n">
        <v>400325</v>
      </c>
      <c r="C347" s="8" t="inlineStr">
        <is>
          <t>缚石布带</t>
        </is>
      </c>
      <c r="D347" s="8" t="inlineStr">
        <is>
          <t>法器</t>
        </is>
      </c>
      <c r="E347" s="8" t="inlineStr">
        <is>
          <t>implement</t>
        </is>
      </c>
      <c r="F347" s="8" t="inlineStr">
        <is>
          <t>common</t>
        </is>
      </c>
      <c r="G347" s="8" t="inlineStr">
        <is>
          <t>土</t>
        </is>
      </c>
      <c r="H347" s="8" t="inlineStr">
        <is>
          <t>earth</t>
        </is>
      </c>
      <c r="I347" s="8" t="inlineStr">
        <is>
          <t>1×1</t>
        </is>
      </c>
      <c r="J347" s="8" t="n">
        <v>1</v>
      </c>
      <c r="K347" s="8" t="n">
        <v>8</v>
      </c>
      <c r="L347" s="8" t="inlineStr">
        <is>
          <t>是</t>
        </is>
      </c>
      <c r="M347" s="9" t="inlineStr">
        <is>
          <t>bazaar；dynamicRandomReward；itemReforge</t>
        </is>
      </c>
      <c r="N347" s="8" t="n">
        <v>1</v>
      </c>
      <c r="O347" s="9" t="inlineStr">
        <is>
          <t>周期触发</t>
        </is>
      </c>
      <c r="P347" s="9" t="inlineStr">
        <is>
          <t>periodicPulse</t>
        </is>
      </c>
      <c r="Q347" s="9" t="inlineStr">
        <is>
          <t>周期触发：获得 1 层蓄势；获得 2 层蓄势；获得 3 层蓄势；获得 4 层蓄势</t>
        </is>
      </c>
      <c r="R347" s="9" t="inlineStr"/>
      <c r="S347" s="9" t="inlineStr">
        <is>
          <t>褪色的粗布带把两颗河滩石扎在一起，线头松散，却仍能稳稳压住衣角。</t>
        </is>
      </c>
      <c r="T347" s="8" t="inlineStr">
        <is>
          <t>implement_stonebound_cloth_sash_1x1</t>
        </is>
      </c>
      <c r="U347" s="8" t="inlineStr">
        <is>
          <t>allowed</t>
        </is>
      </c>
    </row>
    <row r="348" ht="34" customHeight="1">
      <c r="A348" s="8" t="n">
        <v>347</v>
      </c>
      <c r="B348" s="8" t="n">
        <v>400326</v>
      </c>
      <c r="C348" s="8" t="inlineStr">
        <is>
          <t>粗铁护腕</t>
        </is>
      </c>
      <c r="D348" s="8" t="inlineStr">
        <is>
          <t>法器</t>
        </is>
      </c>
      <c r="E348" s="8" t="inlineStr">
        <is>
          <t>implement</t>
        </is>
      </c>
      <c r="F348" s="8" t="inlineStr">
        <is>
          <t>common</t>
        </is>
      </c>
      <c r="G348" s="8" t="inlineStr">
        <is>
          <t>土</t>
        </is>
      </c>
      <c r="H348" s="8" t="inlineStr">
        <is>
          <t>earth</t>
        </is>
      </c>
      <c r="I348" s="8" t="inlineStr">
        <is>
          <t>1×2</t>
        </is>
      </c>
      <c r="J348" s="8" t="n">
        <v>2</v>
      </c>
      <c r="K348" s="8" t="n">
        <v>9</v>
      </c>
      <c r="L348" s="8" t="inlineStr">
        <is>
          <t>是</t>
        </is>
      </c>
      <c r="M348" s="9" t="inlineStr">
        <is>
          <t>bazaar；dynamicRandomReward；itemReforge</t>
        </is>
      </c>
      <c r="N348" s="8" t="n">
        <v>1</v>
      </c>
      <c r="O348" s="9" t="inlineStr">
        <is>
          <t>周期触发</t>
        </is>
      </c>
      <c r="P348" s="9" t="inlineStr">
        <is>
          <t>periodicPulse</t>
        </is>
      </c>
      <c r="Q348" s="9" t="inlineStr">
        <is>
          <t>周期触发：蓄势不超过 2 层时，获得 1 层蓄势</t>
        </is>
      </c>
      <c r="R348" s="9" t="inlineStr"/>
      <c r="S348" s="9" t="inlineStr">
        <is>
          <t>两片未打磨平整的黑铁由皮绳系在腕上，锤痕深浅不一，沉手却耐用。</t>
        </is>
      </c>
      <c r="T348" s="8" t="inlineStr">
        <is>
          <t>implement_crude_iron_bracer_1x2</t>
        </is>
      </c>
      <c r="U348" s="8" t="inlineStr">
        <is>
          <t>allowed</t>
        </is>
      </c>
    </row>
    <row r="349" ht="34" customHeight="1">
      <c r="A349" s="8" t="n">
        <v>348</v>
      </c>
      <c r="B349" s="8" t="n">
        <v>400327</v>
      </c>
      <c r="C349" s="8" t="inlineStr">
        <is>
          <t>背石木架</t>
        </is>
      </c>
      <c r="D349" s="8" t="inlineStr">
        <is>
          <t>法器</t>
        </is>
      </c>
      <c r="E349" s="8" t="inlineStr">
        <is>
          <t>implement</t>
        </is>
      </c>
      <c r="F349" s="8" t="inlineStr">
        <is>
          <t>common</t>
        </is>
      </c>
      <c r="G349" s="8" t="inlineStr">
        <is>
          <t>土</t>
        </is>
      </c>
      <c r="H349" s="8" t="inlineStr">
        <is>
          <t>earth</t>
        </is>
      </c>
      <c r="I349" s="8" t="inlineStr">
        <is>
          <t>2×2</t>
        </is>
      </c>
      <c r="J349" s="8" t="n">
        <v>4</v>
      </c>
      <c r="K349" s="8" t="n">
        <v>20</v>
      </c>
      <c r="L349" s="8" t="inlineStr">
        <is>
          <t>是</t>
        </is>
      </c>
      <c r="M349" s="9" t="inlineStr">
        <is>
          <t>bazaar；dynamicRandomReward；itemReforge</t>
        </is>
      </c>
      <c r="N349" s="8" t="n">
        <v>1</v>
      </c>
      <c r="O349" s="9" t="inlineStr">
        <is>
          <t>周期触发</t>
        </is>
      </c>
      <c r="P349" s="9" t="inlineStr">
        <is>
          <t>periodicPulse</t>
        </is>
      </c>
      <c r="Q349" s="9" t="inlineStr">
        <is>
          <t>周期触发：开局：相邻功法时，获得 7 层蓄势；开局：相邻功法时，获得 9 层蓄势；开局：相邻功法时，获得 11 层蓄势；开局：相邻功法时，获得 13 层蓄势</t>
        </is>
      </c>
      <c r="R349" s="9" t="inlineStr"/>
      <c r="S349" s="9" t="inlineStr">
        <is>
          <t>粗木条以麻绳捆成负重架，几块普通山石压在背板上，木角已被磨得发白。</t>
        </is>
      </c>
      <c r="T349" s="8" t="inlineStr">
        <is>
          <t>implement_backstone_wood_frame_2x2</t>
        </is>
      </c>
      <c r="U349" s="8" t="inlineStr">
        <is>
          <t>allowed</t>
        </is>
      </c>
    </row>
    <row r="350" ht="34" customHeight="1">
      <c r="A350" s="8" t="n">
        <v>349</v>
      </c>
      <c r="B350" s="8" t="n">
        <v>400328</v>
      </c>
      <c r="C350" s="8" t="inlineStr">
        <is>
          <t>磨肩石板</t>
        </is>
      </c>
      <c r="D350" s="8" t="inlineStr">
        <is>
          <t>法器</t>
        </is>
      </c>
      <c r="E350" s="8" t="inlineStr">
        <is>
          <t>implement</t>
        </is>
      </c>
      <c r="F350" s="8" t="inlineStr">
        <is>
          <t>common</t>
        </is>
      </c>
      <c r="G350" s="8" t="inlineStr">
        <is>
          <t>土</t>
        </is>
      </c>
      <c r="H350" s="8" t="inlineStr">
        <is>
          <t>earth</t>
        </is>
      </c>
      <c r="I350" s="8" t="inlineStr">
        <is>
          <t>1×2</t>
        </is>
      </c>
      <c r="J350" s="8" t="n">
        <v>2</v>
      </c>
      <c r="K350" s="8" t="n">
        <v>8</v>
      </c>
      <c r="L350" s="8" t="inlineStr">
        <is>
          <t>是</t>
        </is>
      </c>
      <c r="M350" s="9" t="inlineStr">
        <is>
          <t>bazaar；dynamicRandomReward；itemReforge</t>
        </is>
      </c>
      <c r="N350" s="8" t="n">
        <v>1</v>
      </c>
      <c r="O350" s="9" t="inlineStr">
        <is>
          <t>周期触发</t>
        </is>
      </c>
      <c r="P350" s="9" t="inlineStr">
        <is>
          <t>periodicPulse</t>
        </is>
      </c>
      <c r="Q350" s="9" t="inlineStr">
        <is>
          <t>周期触发：开局：将 5 点气血转化为 3 层蓄势；开局：将 5 点气血转化为 4 层蓄势；开局：将 5 点气血转化为 5 层蓄势；开局：将 5 点气血转化为 6 层蓄势</t>
        </is>
      </c>
      <c r="R350" s="9" t="inlineStr"/>
      <c r="S350" s="9" t="inlineStr">
        <is>
          <t>窄石板垫着旧麻布，以粗绳缚住，石面留下长年磨肩的浅白痕。</t>
        </is>
      </c>
      <c r="T350" s="8" t="inlineStr">
        <is>
          <t>implement_worn_shoulder_slab_1x2</t>
        </is>
      </c>
      <c r="U350" s="8" t="inlineStr">
        <is>
          <t>allowed</t>
        </is>
      </c>
    </row>
    <row r="351" ht="34" customHeight="1">
      <c r="A351" s="8" t="n">
        <v>350</v>
      </c>
      <c r="B351" s="8" t="n">
        <v>400329</v>
      </c>
      <c r="C351" s="8" t="inlineStr">
        <is>
          <t>扁石压肩</t>
        </is>
      </c>
      <c r="D351" s="8" t="inlineStr">
        <is>
          <t>法器</t>
        </is>
      </c>
      <c r="E351" s="8" t="inlineStr">
        <is>
          <t>implement</t>
        </is>
      </c>
      <c r="F351" s="8" t="inlineStr">
        <is>
          <t>common</t>
        </is>
      </c>
      <c r="G351" s="8" t="inlineStr">
        <is>
          <t>土</t>
        </is>
      </c>
      <c r="H351" s="8" t="inlineStr">
        <is>
          <t>earth</t>
        </is>
      </c>
      <c r="I351" s="8" t="inlineStr">
        <is>
          <t>2×1</t>
        </is>
      </c>
      <c r="J351" s="8" t="n">
        <v>2</v>
      </c>
      <c r="K351" s="8" t="n">
        <v>10</v>
      </c>
      <c r="L351" s="8" t="inlineStr">
        <is>
          <t>是</t>
        </is>
      </c>
      <c r="M351" s="9" t="inlineStr">
        <is>
          <t>bazaar；dynamicRandomReward；itemReforge</t>
        </is>
      </c>
      <c r="N351" s="8" t="n">
        <v>1</v>
      </c>
      <c r="O351" s="9" t="inlineStr">
        <is>
          <t>条件触发</t>
        </is>
      </c>
      <c r="P351" s="9" t="inlineStr">
        <is>
          <t>triggered</t>
        </is>
      </c>
      <c r="Q351" s="9" t="inlineStr">
        <is>
          <t>条件触发：左右两侧均紧邻装备时，每当其中一件装备轮转，该装备获得 1 层蓄势；左右两侧均紧邻装备时，每当其中一件装备轮转，该装备获得 2 层蓄势；左右两侧均紧邻装备时，每当其中一件装备轮转，该装备获得 3 层蓄势；左右两侧均紧邻装备时，每当其中一件装备轮转，该装备获得 4 层蓄势</t>
        </is>
      </c>
      <c r="R351" s="9" t="inlineStr"/>
      <c r="S351" s="9" t="inlineStr">
        <is>
          <t>扁平石块垫在短木横担上，用粗绳紧紧勒住，没有纹饰，只剩肩头压出的旧痕。</t>
        </is>
      </c>
      <c r="T351" s="8" t="inlineStr">
        <is>
          <t>implement_flatstone_shoulder_yoke_2x1</t>
        </is>
      </c>
      <c r="U351" s="8" t="inlineStr">
        <is>
          <t>allowed</t>
        </is>
      </c>
    </row>
    <row r="352" ht="34" customHeight="1">
      <c r="A352" s="8" t="n">
        <v>351</v>
      </c>
      <c r="B352" s="8" t="n">
        <v>400330</v>
      </c>
      <c r="C352" s="8" t="inlineStr">
        <is>
          <t>粗陶镇纸</t>
        </is>
      </c>
      <c r="D352" s="8" t="inlineStr">
        <is>
          <t>法器</t>
        </is>
      </c>
      <c r="E352" s="8" t="inlineStr">
        <is>
          <t>implement</t>
        </is>
      </c>
      <c r="F352" s="8" t="inlineStr">
        <is>
          <t>common</t>
        </is>
      </c>
      <c r="G352" s="8" t="inlineStr">
        <is>
          <t>土</t>
        </is>
      </c>
      <c r="H352" s="8" t="inlineStr">
        <is>
          <t>earth</t>
        </is>
      </c>
      <c r="I352" s="8" t="inlineStr">
        <is>
          <t>1×1</t>
        </is>
      </c>
      <c r="J352" s="8" t="n">
        <v>1</v>
      </c>
      <c r="K352" s="8" t="n">
        <v>9</v>
      </c>
      <c r="L352" s="8" t="inlineStr">
        <is>
          <t>是</t>
        </is>
      </c>
      <c r="M352" s="9" t="inlineStr">
        <is>
          <t>bazaar；dynamicRandomReward；itemReforge</t>
        </is>
      </c>
      <c r="N352" s="8" t="n">
        <v>1</v>
      </c>
      <c r="O352" s="9" t="inlineStr">
        <is>
          <t>条件触发</t>
        </is>
      </c>
      <c r="P352" s="9" t="inlineStr">
        <is>
          <t>triggered</t>
        </is>
      </c>
      <c r="Q352" s="9" t="inlineStr">
        <is>
          <t>条件触发：右侧相邻招式成功施放后，获得 1 层蓄势；右侧相邻招式成功施放后，获得 2 层蓄势；右侧相邻招式成功施放后，获得 3 层蓄势；右侧相邻招式成功施放后，获得 4 层蓄势</t>
        </is>
      </c>
      <c r="R352" s="9" t="inlineStr"/>
      <c r="S352" s="9" t="inlineStr">
        <is>
          <t>缺了一角的土陶镇纸压着纸页，底部磨得发亮，只留一道粗浅的土字印。</t>
        </is>
      </c>
      <c r="T352" s="8" t="inlineStr">
        <is>
          <t>implement_crude_pottery_paperweight_1x1</t>
        </is>
      </c>
      <c r="U352" s="8" t="inlineStr">
        <is>
          <t>allowed</t>
        </is>
      </c>
    </row>
    <row r="353" ht="34" customHeight="1">
      <c r="A353" s="8" t="n">
        <v>352</v>
      </c>
      <c r="B353" s="8" t="n">
        <v>400331</v>
      </c>
      <c r="C353" s="8" t="inlineStr">
        <is>
          <t>压纹石片</t>
        </is>
      </c>
      <c r="D353" s="8" t="inlineStr">
        <is>
          <t>法器</t>
        </is>
      </c>
      <c r="E353" s="8" t="inlineStr">
        <is>
          <t>implement</t>
        </is>
      </c>
      <c r="F353" s="8" t="inlineStr">
        <is>
          <t>common</t>
        </is>
      </c>
      <c r="G353" s="8" t="inlineStr">
        <is>
          <t>土</t>
        </is>
      </c>
      <c r="H353" s="8" t="inlineStr">
        <is>
          <t>earth</t>
        </is>
      </c>
      <c r="I353" s="8" t="inlineStr">
        <is>
          <t>1×1</t>
        </is>
      </c>
      <c r="J353" s="8" t="n">
        <v>1</v>
      </c>
      <c r="K353" s="8" t="n">
        <v>14</v>
      </c>
      <c r="L353" s="8" t="inlineStr">
        <is>
          <t>是</t>
        </is>
      </c>
      <c r="M353" s="9" t="inlineStr">
        <is>
          <t>bazaar；dynamicRandomReward；itemReforge</t>
        </is>
      </c>
      <c r="N353" s="8" t="n">
        <v>1</v>
      </c>
      <c r="O353" s="9" t="inlineStr">
        <is>
          <t>周期触发</t>
        </is>
      </c>
      <c r="P353" s="9" t="inlineStr">
        <is>
          <t>periodicPulse</t>
        </is>
      </c>
      <c r="Q353" s="9" t="inlineStr">
        <is>
          <t>周期触发：将 6 层蓄势转化为 1 层坚硬</t>
        </is>
      </c>
      <c r="R353" s="9" t="inlineStr"/>
      <c r="S353" s="9" t="inlineStr">
        <is>
          <t>薄石片上压着几道不齐的纹路，边缘有细小缺口，像从旧墙脚掰下的护石。</t>
        </is>
      </c>
      <c r="T353" s="8" t="inlineStr">
        <is>
          <t>implement_imprinted_stone_chip_1x1</t>
        </is>
      </c>
      <c r="U353" s="8" t="inlineStr">
        <is>
          <t>allowed</t>
        </is>
      </c>
    </row>
    <row r="354" ht="34" customHeight="1">
      <c r="A354" s="8" t="n">
        <v>353</v>
      </c>
      <c r="B354" s="8" t="n">
        <v>400332</v>
      </c>
      <c r="C354" s="8" t="inlineStr">
        <is>
          <t>铁片护心</t>
        </is>
      </c>
      <c r="D354" s="8" t="inlineStr">
        <is>
          <t>法器</t>
        </is>
      </c>
      <c r="E354" s="8" t="inlineStr">
        <is>
          <t>implement</t>
        </is>
      </c>
      <c r="F354" s="8" t="inlineStr">
        <is>
          <t>common</t>
        </is>
      </c>
      <c r="G354" s="8" t="inlineStr">
        <is>
          <t>土</t>
        </is>
      </c>
      <c r="H354" s="8" t="inlineStr">
        <is>
          <t>earth</t>
        </is>
      </c>
      <c r="I354" s="8" t="inlineStr">
        <is>
          <t>1×1</t>
        </is>
      </c>
      <c r="J354" s="8" t="n">
        <v>1</v>
      </c>
      <c r="K354" s="8" t="n">
        <v>12</v>
      </c>
      <c r="L354" s="8" t="inlineStr">
        <is>
          <t>是</t>
        </is>
      </c>
      <c r="M354" s="9" t="inlineStr">
        <is>
          <t>bazaar；dynamicRandomReward；itemReforge</t>
        </is>
      </c>
      <c r="N354" s="8" t="n">
        <v>1</v>
      </c>
      <c r="O354" s="9" t="inlineStr">
        <is>
          <t>周期触发</t>
        </is>
      </c>
      <c r="P354" s="9" t="inlineStr">
        <is>
          <t>periodicPulse</t>
        </is>
      </c>
      <c r="Q354" s="9" t="inlineStr">
        <is>
          <t>周期触发：最多将 2 层蓄势转化为护甲，每层获得 2 层护甲</t>
        </is>
      </c>
      <c r="R354" s="9" t="inlineStr"/>
      <c r="S354" s="9" t="inlineStr">
        <is>
          <t>几片旧铁片以麻线缀在胸前，边缘参差，贴着心口时带着沉冷的踏实感。</t>
        </is>
      </c>
      <c r="T354" s="8" t="inlineStr">
        <is>
          <t>implement_iron_heartguard_plate_1x1</t>
        </is>
      </c>
      <c r="U354" s="8" t="inlineStr">
        <is>
          <t>allowed</t>
        </is>
      </c>
    </row>
    <row r="355" ht="34" customHeight="1">
      <c r="A355" s="8" t="n">
        <v>354</v>
      </c>
      <c r="B355" s="8" t="n">
        <v>400333</v>
      </c>
      <c r="C355" s="8" t="inlineStr">
        <is>
          <t>厚布护腕</t>
        </is>
      </c>
      <c r="D355" s="8" t="inlineStr">
        <is>
          <t>法器</t>
        </is>
      </c>
      <c r="E355" s="8" t="inlineStr">
        <is>
          <t>implement</t>
        </is>
      </c>
      <c r="F355" s="8" t="inlineStr">
        <is>
          <t>common</t>
        </is>
      </c>
      <c r="G355" s="8" t="inlineStr">
        <is>
          <t>土</t>
        </is>
      </c>
      <c r="H355" s="8" t="inlineStr">
        <is>
          <t>earth</t>
        </is>
      </c>
      <c r="I355" s="8" t="inlineStr">
        <is>
          <t>1×2</t>
        </is>
      </c>
      <c r="J355" s="8" t="n">
        <v>2</v>
      </c>
      <c r="K355" s="8" t="n">
        <v>9</v>
      </c>
      <c r="L355" s="8" t="inlineStr">
        <is>
          <t>是</t>
        </is>
      </c>
      <c r="M355" s="9" t="inlineStr">
        <is>
          <t>bazaar；dynamicRandomReward；itemReforge</t>
        </is>
      </c>
      <c r="N355" s="8" t="n">
        <v>1</v>
      </c>
      <c r="O355" s="9" t="inlineStr">
        <is>
          <t>条件触发</t>
        </is>
      </c>
      <c r="P355" s="9" t="inlineStr">
        <is>
          <t>triggered</t>
        </is>
      </c>
      <c r="Q355" s="9" t="inlineStr">
        <is>
          <t>条件触发：每次实际消耗体力后，最多将 1 层蓄势转化为 3 层护甲；每次实际消耗体力后，最多将 2 层蓄势转化为 6 层护甲；每次实际消耗体力后，最多将 3 层蓄势转化为 9 层护甲；每次实际消耗体力后，最多将 4 层蓄势转化为 12 层护甲</t>
        </is>
      </c>
      <c r="R355" s="9" t="inlineStr"/>
      <c r="S355" s="9" t="inlineStr">
        <is>
          <t>粗布在腕上缠了厚厚几层，补丁针脚歪斜，却能把负重磨出的力道稳稳兜住。</t>
        </is>
      </c>
      <c r="T355" s="8" t="inlineStr">
        <is>
          <t>implement_thick_cloth_bracer_1x2</t>
        </is>
      </c>
      <c r="U355" s="8" t="inlineStr">
        <is>
          <t>allowed</t>
        </is>
      </c>
    </row>
    <row r="356" ht="34" customHeight="1">
      <c r="A356" s="8" t="n">
        <v>355</v>
      </c>
      <c r="B356" s="8" t="n">
        <v>400334</v>
      </c>
      <c r="C356" s="8" t="inlineStr">
        <is>
          <t>旧甲扣</t>
        </is>
      </c>
      <c r="D356" s="8" t="inlineStr">
        <is>
          <t>法器</t>
        </is>
      </c>
      <c r="E356" s="8" t="inlineStr">
        <is>
          <t>implement</t>
        </is>
      </c>
      <c r="F356" s="8" t="inlineStr">
        <is>
          <t>common</t>
        </is>
      </c>
      <c r="G356" s="8" t="inlineStr">
        <is>
          <t>土</t>
        </is>
      </c>
      <c r="H356" s="8" t="inlineStr">
        <is>
          <t>earth</t>
        </is>
      </c>
      <c r="I356" s="8" t="inlineStr">
        <is>
          <t>1×1</t>
        </is>
      </c>
      <c r="J356" s="8" t="n">
        <v>1</v>
      </c>
      <c r="K356" s="8" t="n">
        <v>11</v>
      </c>
      <c r="L356" s="8" t="inlineStr">
        <is>
          <t>是</t>
        </is>
      </c>
      <c r="M356" s="9" t="inlineStr">
        <is>
          <t>bazaar；dynamicRandomReward；itemReforge</t>
        </is>
      </c>
      <c r="N356" s="8" t="n">
        <v>1</v>
      </c>
      <c r="O356" s="9" t="inlineStr">
        <is>
          <t>条件触发</t>
        </is>
      </c>
      <c r="P356" s="9" t="inlineStr">
        <is>
          <t>triggered</t>
        </is>
      </c>
      <c r="Q356" s="9" t="inlineStr">
        <is>
          <t>条件触发：每次获得蓄势后，蓄势不少于 3 层时，将 1 层蓄势转化为 2 层护甲；每次获得蓄势后，蓄势不少于 4 层时，将 2 层蓄势转化为 4 层护甲；每次获得蓄势后，蓄势不少于 5 层时，将 3 层蓄势转化为 6 层护甲；每次获得蓄势后，蓄势不少于 6 层时，将 4 层蓄势转化为 8 层护甲</t>
        </is>
      </c>
      <c r="R356" s="9" t="inlineStr"/>
      <c r="S356" s="9" t="inlineStr">
        <is>
          <t>发暗的旧甲扣边缘已有裂纹，扣舌仍能咬住皮带，像把多余的重力压进甲片。</t>
        </is>
      </c>
      <c r="T356" s="8" t="inlineStr">
        <is>
          <t>implement_old_armor_buckle_1x1</t>
        </is>
      </c>
      <c r="U356" s="8" t="inlineStr">
        <is>
          <t>allowed</t>
        </is>
      </c>
    </row>
    <row r="357" ht="34" customHeight="1">
      <c r="A357" s="8" t="n">
        <v>356</v>
      </c>
      <c r="B357" s="8" t="n">
        <v>400335</v>
      </c>
      <c r="C357" s="8" t="inlineStr">
        <is>
          <t>冷水布巾</t>
        </is>
      </c>
      <c r="D357" s="8" t="inlineStr">
        <is>
          <t>法器</t>
        </is>
      </c>
      <c r="E357" s="8" t="inlineStr">
        <is>
          <t>implement</t>
        </is>
      </c>
      <c r="F357" s="8" t="inlineStr">
        <is>
          <t>common</t>
        </is>
      </c>
      <c r="G357" s="8" t="inlineStr">
        <is>
          <t>水</t>
        </is>
      </c>
      <c r="H357" s="8" t="inlineStr">
        <is>
          <t>water</t>
        </is>
      </c>
      <c r="I357" s="8" t="inlineStr">
        <is>
          <t>1×1</t>
        </is>
      </c>
      <c r="J357" s="8" t="n">
        <v>1</v>
      </c>
      <c r="K357" s="8" t="n">
        <v>8</v>
      </c>
      <c r="L357" s="8" t="inlineStr">
        <is>
          <t>是</t>
        </is>
      </c>
      <c r="M357" s="9" t="inlineStr">
        <is>
          <t>bazaar；dynamicRandomReward；itemReforge</t>
        </is>
      </c>
      <c r="N357" s="8" t="n">
        <v>1</v>
      </c>
      <c r="O357" s="9" t="inlineStr">
        <is>
          <t>周期触发</t>
        </is>
      </c>
      <c r="P357" s="9" t="inlineStr">
        <is>
          <t>periodicPulse</t>
        </is>
      </c>
      <c r="Q357" s="9" t="inlineStr">
        <is>
          <t>周期触发：寒冷不超过 2 层时，获得 1 层寒冷；寒冷不超过 4 层时，获得 2 层寒冷；寒冷不超过 6 层时，获得 3 层寒冷；寒冷不超过 8 层时，获得 4 层寒冷</t>
        </is>
      </c>
      <c r="R357" s="9" t="inlineStr"/>
      <c r="S357" s="9" t="inlineStr">
        <is>
          <t>一方折叠的粗布巾边角浸湿，布丝间凝着薄薄的白霜，摸上去带着河水的凉意。</t>
        </is>
      </c>
      <c r="T357" s="8" t="inlineStr">
        <is>
          <t>implement_cold_water_cloth_1x1</t>
        </is>
      </c>
      <c r="U357" s="8" t="inlineStr">
        <is>
          <t>allowed</t>
        </is>
      </c>
    </row>
    <row r="358" ht="34" customHeight="1">
      <c r="A358" s="8" t="n">
        <v>357</v>
      </c>
      <c r="B358" s="8" t="n">
        <v>400336</v>
      </c>
      <c r="C358" s="8" t="inlineStr">
        <is>
          <t>素面冰盘</t>
        </is>
      </c>
      <c r="D358" s="8" t="inlineStr">
        <is>
          <t>法器</t>
        </is>
      </c>
      <c r="E358" s="8" t="inlineStr">
        <is>
          <t>implement</t>
        </is>
      </c>
      <c r="F358" s="8" t="inlineStr">
        <is>
          <t>common</t>
        </is>
      </c>
      <c r="G358" s="8" t="inlineStr">
        <is>
          <t>冰</t>
        </is>
      </c>
      <c r="H358" s="8" t="inlineStr">
        <is>
          <t>ice</t>
        </is>
      </c>
      <c r="I358" s="8" t="inlineStr">
        <is>
          <t>2×1</t>
        </is>
      </c>
      <c r="J358" s="8" t="n">
        <v>2</v>
      </c>
      <c r="K358" s="8" t="n">
        <v>10</v>
      </c>
      <c r="L358" s="8" t="inlineStr">
        <is>
          <t>是</t>
        </is>
      </c>
      <c r="M358" s="9" t="inlineStr">
        <is>
          <t>bazaar；dynamicRandomReward；itemReforge</t>
        </is>
      </c>
      <c r="N358" s="8" t="n">
        <v>1</v>
      </c>
      <c r="O358" s="9" t="inlineStr">
        <is>
          <t>周期触发</t>
        </is>
      </c>
      <c r="P358" s="9" t="inlineStr">
        <is>
          <t>periodicPulse</t>
        </is>
      </c>
      <c r="Q358" s="9" t="inlineStr">
        <is>
          <t>周期触发：开局：相邻水属性功法时，获得 4 层寒冷；开局：相邻水属性功法时，获得 5 层寒冷；开局：相邻水属性功法时，获得 6 层寒冷；开局：相邻水属性功法时，获得 7 层寒冷</t>
        </is>
      </c>
      <c r="R358" s="9" t="inlineStr"/>
      <c r="S358" s="9" t="inlineStr">
        <is>
          <t>浅陶盘的素面覆着一层薄冰，盘沿有几道手作留下的细痕，寒气静静伏在其中。</t>
        </is>
      </c>
      <c r="T358" s="8" t="inlineStr">
        <is>
          <t>implement_plain_ice_plate_2x1</t>
        </is>
      </c>
      <c r="U358" s="8" t="inlineStr">
        <is>
          <t>allowed</t>
        </is>
      </c>
    </row>
    <row r="359" ht="34" customHeight="1">
      <c r="A359" s="8" t="n">
        <v>358</v>
      </c>
      <c r="B359" s="8" t="n">
        <v>400337</v>
      </c>
      <c r="C359" s="8" t="inlineStr">
        <is>
          <t>粗布滤露袋</t>
        </is>
      </c>
      <c r="D359" s="8" t="inlineStr">
        <is>
          <t>法器</t>
        </is>
      </c>
      <c r="E359" s="8" t="inlineStr">
        <is>
          <t>implement</t>
        </is>
      </c>
      <c r="F359" s="8" t="inlineStr">
        <is>
          <t>common</t>
        </is>
      </c>
      <c r="G359" s="8" t="inlineStr">
        <is>
          <t>水</t>
        </is>
      </c>
      <c r="H359" s="8" t="inlineStr">
        <is>
          <t>water</t>
        </is>
      </c>
      <c r="I359" s="8" t="inlineStr">
        <is>
          <t>1×1</t>
        </is>
      </c>
      <c r="J359" s="8" t="n">
        <v>1</v>
      </c>
      <c r="K359" s="8" t="n">
        <v>9</v>
      </c>
      <c r="L359" s="8" t="inlineStr">
        <is>
          <t>是</t>
        </is>
      </c>
      <c r="M359" s="9" t="inlineStr">
        <is>
          <t>bazaar；dynamicRandomReward；itemReforge</t>
        </is>
      </c>
      <c r="N359" s="8" t="n">
        <v>1</v>
      </c>
      <c r="O359" s="9" t="inlineStr">
        <is>
          <t>周期触发</t>
        </is>
      </c>
      <c r="P359" s="9" t="inlineStr">
        <is>
          <t>periodicPulse</t>
        </is>
      </c>
      <c r="Q359" s="9" t="inlineStr">
        <is>
          <t>周期触发：开局：将 2 点体力转化为 2 层露水；开局：将 4 点体力转化为 4 层露水；开局：将 6 点体力转化为 6 层露水；开局：将 8 点体力转化为 8 层露水</t>
        </is>
      </c>
      <c r="R359" s="9" t="inlineStr"/>
      <c r="S359" s="9" t="inlineStr">
        <is>
          <t>粗布滤袋套在一只小木圈上，湿润的布面渗出清水，袋口还系着未剪齐的麻线。</t>
        </is>
      </c>
      <c r="T359" s="8" t="inlineStr">
        <is>
          <t>implement_coarse_dew_filter_bag_1x1</t>
        </is>
      </c>
      <c r="U359" s="8" t="inlineStr">
        <is>
          <t>allowed</t>
        </is>
      </c>
    </row>
    <row r="360" ht="34" customHeight="1">
      <c r="A360" s="8" t="n">
        <v>359</v>
      </c>
      <c r="B360" s="8" t="n">
        <v>400338</v>
      </c>
      <c r="C360" s="8" t="inlineStr">
        <is>
          <t>粗铁凝砂盘</t>
        </is>
      </c>
      <c r="D360" s="8" t="inlineStr">
        <is>
          <t>法器</t>
        </is>
      </c>
      <c r="E360" s="8" t="inlineStr">
        <is>
          <t>implement</t>
        </is>
      </c>
      <c r="F360" s="8" t="inlineStr">
        <is>
          <t>common</t>
        </is>
      </c>
      <c r="G360" s="8" t="inlineStr">
        <is>
          <t>金</t>
        </is>
      </c>
      <c r="H360" s="8" t="inlineStr">
        <is>
          <t>metal</t>
        </is>
      </c>
      <c r="I360" s="8" t="inlineStr">
        <is>
          <t>1×1</t>
        </is>
      </c>
      <c r="J360" s="8" t="n">
        <v>1</v>
      </c>
      <c r="K360" s="8" t="n">
        <v>9</v>
      </c>
      <c r="L360" s="8" t="inlineStr">
        <is>
          <t>是</t>
        </is>
      </c>
      <c r="M360" s="9" t="inlineStr">
        <is>
          <t>bazaar；dynamicRandomReward；itemReforge</t>
        </is>
      </c>
      <c r="N360" s="8" t="n">
        <v>1</v>
      </c>
      <c r="O360" s="9" t="inlineStr">
        <is>
          <t>周期触发</t>
        </is>
      </c>
      <c r="P360" s="9" t="inlineStr">
        <is>
          <t>periodicPulse</t>
        </is>
      </c>
      <c r="Q360" s="9" t="inlineStr">
        <is>
          <t>周期触发：开局：将 2 点法力转化为 3 层凝金；开局：将 4 点法力转化为 4 层凝金；开局：将 6 点法力转化为 5 层凝金；开局：将 8 点法力转化为 6 层凝金</t>
        </is>
      </c>
      <c r="R360" s="9" t="inlineStr"/>
      <c r="S360" s="9" t="inlineStr">
        <is>
          <t>浅口粗铁盘里盛着细碎黄铜屑，盘沿留有锤痕和锈斑，端起时沉甸甸压手。</t>
        </is>
      </c>
      <c r="T360" s="8" t="inlineStr">
        <is>
          <t>implement_crude_iron_sand_tray_1x1</t>
        </is>
      </c>
      <c r="U360" s="8" t="inlineStr">
        <is>
          <t>allowed</t>
        </is>
      </c>
    </row>
    <row r="361" ht="34" customHeight="1">
      <c r="A361" s="8" t="n">
        <v>360</v>
      </c>
      <c r="B361" s="8" t="n">
        <v>400339</v>
      </c>
      <c r="C361" s="8" t="inlineStr">
        <is>
          <t>叠铁护片</t>
        </is>
      </c>
      <c r="D361" s="8" t="inlineStr">
        <is>
          <t>法器</t>
        </is>
      </c>
      <c r="E361" s="8" t="inlineStr">
        <is>
          <t>implement</t>
        </is>
      </c>
      <c r="F361" s="8" t="inlineStr">
        <is>
          <t>common</t>
        </is>
      </c>
      <c r="G361" s="8" t="inlineStr">
        <is>
          <t>金</t>
        </is>
      </c>
      <c r="H361" s="8" t="inlineStr">
        <is>
          <t>metal</t>
        </is>
      </c>
      <c r="I361" s="8" t="inlineStr">
        <is>
          <t>1×2</t>
        </is>
      </c>
      <c r="J361" s="8" t="n">
        <v>2</v>
      </c>
      <c r="K361" s="8" t="n">
        <v>12</v>
      </c>
      <c r="L361" s="8" t="inlineStr">
        <is>
          <t>是</t>
        </is>
      </c>
      <c r="M361" s="9" t="inlineStr">
        <is>
          <t>bazaar；dynamicRandomReward；itemReforge</t>
        </is>
      </c>
      <c r="N361" s="8" t="n">
        <v>1</v>
      </c>
      <c r="O361" s="9" t="inlineStr">
        <is>
          <t>周期触发</t>
        </is>
      </c>
      <c r="P361" s="9" t="inlineStr">
        <is>
          <t>periodicPulse</t>
        </is>
      </c>
      <c r="Q361" s="9" t="inlineStr">
        <is>
          <t>周期触发：最多将 3 层凝金转化为护甲，每层获得 2 层护甲</t>
        </is>
      </c>
      <c r="R361" s="9" t="inlineStr"/>
      <c r="S361" s="9" t="inlineStr">
        <is>
          <t>三块未抛光的铁片用旧皮绳叠绑，边缘并不齐整，铆钉处还留着打制时的毛刺。</t>
        </is>
      </c>
      <c r="T361" s="8" t="inlineStr">
        <is>
          <t>implement_layered_iron_guard_1x2</t>
        </is>
      </c>
      <c r="U361" s="8" t="inlineStr">
        <is>
          <t>allowed</t>
        </is>
      </c>
    </row>
    <row r="362" ht="34" customHeight="1">
      <c r="A362" s="8" t="n">
        <v>361</v>
      </c>
      <c r="B362" s="8" t="n">
        <v>400340</v>
      </c>
      <c r="C362" s="8" t="inlineStr">
        <is>
          <t>竹编引露笠</t>
        </is>
      </c>
      <c r="D362" s="8" t="inlineStr">
        <is>
          <t>法器</t>
        </is>
      </c>
      <c r="E362" s="8" t="inlineStr">
        <is>
          <t>implement</t>
        </is>
      </c>
      <c r="F362" s="8" t="inlineStr">
        <is>
          <t>common</t>
        </is>
      </c>
      <c r="G362" s="8" t="inlineStr">
        <is>
          <t>木</t>
        </is>
      </c>
      <c r="H362" s="8" t="inlineStr">
        <is>
          <t>wood</t>
        </is>
      </c>
      <c r="I362" s="8" t="inlineStr">
        <is>
          <t>1×1</t>
        </is>
      </c>
      <c r="J362" s="8" t="n">
        <v>1</v>
      </c>
      <c r="K362" s="8" t="n">
        <v>10</v>
      </c>
      <c r="L362" s="8" t="inlineStr">
        <is>
          <t>是</t>
        </is>
      </c>
      <c r="M362" s="9" t="inlineStr">
        <is>
          <t>bazaar；dynamicRandomReward；itemReforge</t>
        </is>
      </c>
      <c r="N362" s="8" t="n">
        <v>1</v>
      </c>
      <c r="O362" s="9" t="inlineStr">
        <is>
          <t>周期触发</t>
        </is>
      </c>
      <c r="P362" s="9" t="inlineStr">
        <is>
          <t>periodicPulse</t>
        </is>
      </c>
      <c r="Q362" s="9" t="inlineStr">
        <is>
          <t>周期触发：消耗 3 层露水，对敌方造成 9 点伤害；消耗 6 层露水，对敌方造成 18 点伤害；消耗 9 层露水，对敌方造成 27 点伤害；消耗 12 层露水，对敌方造成 36 点伤害</t>
        </is>
      </c>
      <c r="R362" s="9" t="inlineStr"/>
      <c r="S362" s="9" t="inlineStr">
        <is>
          <t>旧竹片编成的小斗笠，帽沿积下的露水偶尔会滚成一串水珠。</t>
        </is>
      </c>
      <c r="T362" s="8" t="inlineStr">
        <is>
          <t>implement_woven_bamboo_hat_1x1</t>
        </is>
      </c>
      <c r="U362" s="8" t="inlineStr">
        <is>
          <t>allowed</t>
        </is>
      </c>
    </row>
    <row r="363" ht="34" customHeight="1">
      <c r="A363" s="8" t="n">
        <v>362</v>
      </c>
      <c r="B363" s="8" t="n">
        <v>400341</v>
      </c>
      <c r="C363" s="8" t="inlineStr">
        <is>
          <t>瘴息香炉</t>
        </is>
      </c>
      <c r="D363" s="8" t="inlineStr">
        <is>
          <t>法器</t>
        </is>
      </c>
      <c r="E363" s="8" t="inlineStr">
        <is>
          <t>implement</t>
        </is>
      </c>
      <c r="F363" s="8" t="inlineStr">
        <is>
          <t>common</t>
        </is>
      </c>
      <c r="G363" s="8" t="inlineStr">
        <is>
          <t>木</t>
        </is>
      </c>
      <c r="H363" s="8" t="inlineStr">
        <is>
          <t>wood</t>
        </is>
      </c>
      <c r="I363" s="8" t="inlineStr">
        <is>
          <t>1×2</t>
        </is>
      </c>
      <c r="J363" s="8" t="n">
        <v>2</v>
      </c>
      <c r="K363" s="8" t="n">
        <v>8</v>
      </c>
      <c r="L363" s="8" t="inlineStr">
        <is>
          <t>是</t>
        </is>
      </c>
      <c r="M363" s="9" t="inlineStr">
        <is>
          <t>bazaar；journeyChest；dynamicRandomReward；itemReforge</t>
        </is>
      </c>
      <c r="N363" s="8" t="n">
        <v>1</v>
      </c>
      <c r="O363" s="9" t="inlineStr">
        <is>
          <t>周期触发</t>
        </is>
      </c>
      <c r="P363" s="9" t="inlineStr">
        <is>
          <t>periodicPulse</t>
        </is>
      </c>
      <c r="Q363" s="9" t="inlineStr">
        <is>
          <t>周期触发：对敌方施加 1 层中毒；对敌方施加 2 层中毒；对敌方施加 3 层中毒；对敌方施加 4 层中毒</t>
        </is>
      </c>
      <c r="R363" s="9" t="inlineStr"/>
      <c r="S363" s="9" t="inlineStr">
        <is>
          <t>小巧铜炉以粗麻封口，炉腹盛着晒干的瘴草，温火一催便有淡青烟气沿地游走。</t>
        </is>
      </c>
      <c r="T363" s="8" t="inlineStr">
        <is>
          <t>implement_miasma_breath_incense_burner_1x2</t>
        </is>
      </c>
      <c r="U363" s="8" t="inlineStr">
        <is>
          <t>allowed</t>
        </is>
      </c>
    </row>
    <row r="364" ht="34" customHeight="1">
      <c r="A364" s="8" t="n">
        <v>363</v>
      </c>
      <c r="B364" s="8" t="n">
        <v>400342</v>
      </c>
      <c r="C364" s="8" t="inlineStr">
        <is>
          <t>余烬引火灯</t>
        </is>
      </c>
      <c r="D364" s="8" t="inlineStr">
        <is>
          <t>法器</t>
        </is>
      </c>
      <c r="E364" s="8" t="inlineStr">
        <is>
          <t>implement</t>
        </is>
      </c>
      <c r="F364" s="8" t="inlineStr">
        <is>
          <t>common</t>
        </is>
      </c>
      <c r="G364" s="8" t="inlineStr">
        <is>
          <t>火</t>
        </is>
      </c>
      <c r="H364" s="8" t="inlineStr">
        <is>
          <t>fire</t>
        </is>
      </c>
      <c r="I364" s="8" t="inlineStr">
        <is>
          <t>1×2</t>
        </is>
      </c>
      <c r="J364" s="8" t="n">
        <v>2</v>
      </c>
      <c r="K364" s="8" t="n">
        <v>8</v>
      </c>
      <c r="L364" s="8" t="inlineStr">
        <is>
          <t>是</t>
        </is>
      </c>
      <c r="M364" s="9" t="inlineStr">
        <is>
          <t>bazaar；dynamicRandomReward；itemReforge</t>
        </is>
      </c>
      <c r="N364" s="8" t="n">
        <v>1</v>
      </c>
      <c r="O364" s="9" t="inlineStr">
        <is>
          <t>周期触发</t>
        </is>
      </c>
      <c r="P364" s="9" t="inlineStr">
        <is>
          <t>periodicPulse</t>
        </is>
      </c>
      <c r="Q364" s="9" t="inlineStr">
        <is>
          <t>周期触发：开局：消耗 3 点法力，对敌方施加 3 层灼烧；开局：消耗 4 点法力，对敌方施加 4 层灼烧；开局：消耗 5 点法力，对敌方施加 5 层灼烧；开局：消耗 6 点法力，对敌方施加 6 层灼烧</t>
        </is>
      </c>
      <c r="R364" s="9" t="inlineStr"/>
      <c r="S364" s="9" t="inlineStr">
        <is>
          <t>灯盏由旧赤陶烧成，灯芯常留一点未熄的灰红余烬，静置时也像在等一阵风。</t>
        </is>
      </c>
      <c r="T364" s="8" t="inlineStr">
        <is>
          <t>implement_ember_kindling_lamp_1x2</t>
        </is>
      </c>
      <c r="U364" s="8" t="inlineStr">
        <is>
          <t>allowed</t>
        </is>
      </c>
    </row>
    <row r="365" ht="34" customHeight="1">
      <c r="A365" s="8" t="n">
        <v>364</v>
      </c>
      <c r="B365" s="8" t="n">
        <v>400343</v>
      </c>
      <c r="C365" s="8" t="inlineStr">
        <is>
          <t>霜砂漏壶</t>
        </is>
      </c>
      <c r="D365" s="8" t="inlineStr">
        <is>
          <t>法器</t>
        </is>
      </c>
      <c r="E365" s="8" t="inlineStr">
        <is>
          <t>implement</t>
        </is>
      </c>
      <c r="F365" s="8" t="inlineStr">
        <is>
          <t>common</t>
        </is>
      </c>
      <c r="G365" s="8" t="inlineStr">
        <is>
          <t>水</t>
        </is>
      </c>
      <c r="H365" s="8" t="inlineStr">
        <is>
          <t>water</t>
        </is>
      </c>
      <c r="I365" s="8" t="inlineStr">
        <is>
          <t>1×2</t>
        </is>
      </c>
      <c r="J365" s="8" t="n">
        <v>2</v>
      </c>
      <c r="K365" s="8" t="n">
        <v>8</v>
      </c>
      <c r="L365" s="8" t="inlineStr">
        <is>
          <t>是</t>
        </is>
      </c>
      <c r="M365" s="9" t="inlineStr">
        <is>
          <t>bazaar；dynamicRandomReward；itemReforge</t>
        </is>
      </c>
      <c r="N365" s="8" t="n">
        <v>2</v>
      </c>
      <c r="O365" s="9" t="inlineStr">
        <is>
          <t>周期触发</t>
        </is>
      </c>
      <c r="P365" s="9" t="inlineStr">
        <is>
          <t>periodicPulse</t>
        </is>
      </c>
      <c r="Q365" s="9" t="inlineStr">
        <is>
          <t>周期触发：对敌方施加 2 层冰霜；对敌方施加 3 层冰霜；对敌方施加 4 层冰霜；对敌方施加 5 层冰霜 | 周期触发：使敌方随机 1 件道具减速 2 秒；使敌方随机 1 件道具减速 3 秒；使敌方随机 1 件道具减速 4 秒；使敌方随机 1 件道具减速 5 秒</t>
        </is>
      </c>
      <c r="R365" s="9" t="inlineStr"/>
      <c r="S365" s="9" t="inlineStr">
        <is>
          <t>小壶腹内装着细白霜砂，砂粒沿窄颈落下时，总在壶口凝出一线薄冷的白气。</t>
        </is>
      </c>
      <c r="T365" s="8" t="inlineStr">
        <is>
          <t>implement_frost_sand_clepsydra_1x2</t>
        </is>
      </c>
      <c r="U365" s="8" t="inlineStr">
        <is>
          <t>allowed</t>
        </is>
      </c>
    </row>
    <row r="366" ht="34" customHeight="1">
      <c r="A366" s="8" t="n">
        <v>365</v>
      </c>
      <c r="B366" s="8" t="n">
        <v>400344</v>
      </c>
      <c r="C366" s="8" t="inlineStr">
        <is>
          <t>惊络铜铃</t>
        </is>
      </c>
      <c r="D366" s="8" t="inlineStr">
        <is>
          <t>法器</t>
        </is>
      </c>
      <c r="E366" s="8" t="inlineStr">
        <is>
          <t>implement</t>
        </is>
      </c>
      <c r="F366" s="8" t="inlineStr">
        <is>
          <t>common</t>
        </is>
      </c>
      <c r="G366" s="8" t="inlineStr">
        <is>
          <t>雷</t>
        </is>
      </c>
      <c r="H366" s="8" t="inlineStr">
        <is>
          <t>thunder</t>
        </is>
      </c>
      <c r="I366" s="8" t="inlineStr">
        <is>
          <t>1×2</t>
        </is>
      </c>
      <c r="J366" s="8" t="n">
        <v>2</v>
      </c>
      <c r="K366" s="8" t="n">
        <v>9</v>
      </c>
      <c r="L366" s="8" t="inlineStr">
        <is>
          <t>是</t>
        </is>
      </c>
      <c r="M366" s="9" t="inlineStr">
        <is>
          <t>bazaar；dynamicRandomReward；itemReforge</t>
        </is>
      </c>
      <c r="N366" s="8" t="n">
        <v>1</v>
      </c>
      <c r="O366" s="9" t="inlineStr">
        <is>
          <t>周期触发</t>
        </is>
      </c>
      <c r="P366" s="9" t="inlineStr">
        <is>
          <t>periodicPulse</t>
        </is>
      </c>
      <c r="Q366" s="9" t="inlineStr">
        <is>
          <t>周期触发：对敌方施加 1 层麻痹；对敌方施加 2 层麻痹；对敌方施加 3 层麻痹；对敌方施加 4 层麻痹</t>
        </is>
      </c>
      <c r="R366" s="9" t="inlineStr"/>
      <c r="S366" s="9" t="inlineStr">
        <is>
          <t>铜铃腹内藏着细碎雷砂，轻晃时只发出一声短促脆响，像有微电掠过经络。</t>
        </is>
      </c>
      <c r="T366" s="8" t="inlineStr">
        <is>
          <t>implement_startled_meridian_bell_1x2</t>
        </is>
      </c>
      <c r="U366" s="8" t="inlineStr">
        <is>
          <t>allowed</t>
        </is>
      </c>
    </row>
    <row r="367" ht="34" customHeight="1">
      <c r="A367" s="8" t="n">
        <v>366</v>
      </c>
      <c r="B367" s="8" t="n">
        <v>400345</v>
      </c>
      <c r="C367" s="8" t="inlineStr">
        <is>
          <t>雷砂引针</t>
        </is>
      </c>
      <c r="D367" s="8" t="inlineStr">
        <is>
          <t>法器</t>
        </is>
      </c>
      <c r="E367" s="8" t="inlineStr">
        <is>
          <t>implement</t>
        </is>
      </c>
      <c r="F367" s="8" t="inlineStr">
        <is>
          <t>common</t>
        </is>
      </c>
      <c r="G367" s="8" t="inlineStr">
        <is>
          <t>雷</t>
        </is>
      </c>
      <c r="H367" s="8" t="inlineStr">
        <is>
          <t>thunder</t>
        </is>
      </c>
      <c r="I367" s="8" t="inlineStr">
        <is>
          <t>1×1</t>
        </is>
      </c>
      <c r="J367" s="8" t="n">
        <v>1</v>
      </c>
      <c r="K367" s="8" t="n">
        <v>7</v>
      </c>
      <c r="L367" s="8" t="inlineStr">
        <is>
          <t>是</t>
        </is>
      </c>
      <c r="M367" s="9" t="inlineStr">
        <is>
          <t>bazaar；dynamicRandomReward；itemReforge</t>
        </is>
      </c>
      <c r="N367" s="8" t="n">
        <v>1</v>
      </c>
      <c r="O367" s="9" t="inlineStr">
        <is>
          <t>周期触发</t>
        </is>
      </c>
      <c r="P367" s="9" t="inlineStr">
        <is>
          <t>periodicPulse</t>
        </is>
      </c>
      <c r="Q367" s="9" t="inlineStr">
        <is>
          <t>周期触发：获得 1 层引雷；获得 2 层引雷；获得 3 层引雷；获得 4 层引雷</t>
        </is>
      </c>
      <c r="R367" s="9" t="inlineStr"/>
      <c r="S367" s="9" t="inlineStr">
        <is>
          <t>一枚细针浸过雷砂，针身暗纹在掌心微颤，仿佛正替人牵住远处的闷雷。</t>
        </is>
      </c>
      <c r="T367" s="8" t="inlineStr">
        <is>
          <t>implement_thunder_sand_guiding_needle_1x1</t>
        </is>
      </c>
      <c r="U367" s="8" t="inlineStr">
        <is>
          <t>allowed</t>
        </is>
      </c>
    </row>
    <row r="368" ht="34" customHeight="1">
      <c r="A368" s="8" t="n">
        <v>367</v>
      </c>
      <c r="B368" s="8" t="n">
        <v>400346</v>
      </c>
      <c r="C368" s="8" t="inlineStr">
        <is>
          <t>蓄霆木匣</t>
        </is>
      </c>
      <c r="D368" s="8" t="inlineStr">
        <is>
          <t>法器</t>
        </is>
      </c>
      <c r="E368" s="8" t="inlineStr">
        <is>
          <t>implement</t>
        </is>
      </c>
      <c r="F368" s="8" t="inlineStr">
        <is>
          <t>common</t>
        </is>
      </c>
      <c r="G368" s="8" t="inlineStr">
        <is>
          <t>雷</t>
        </is>
      </c>
      <c r="H368" s="8" t="inlineStr">
        <is>
          <t>thunder</t>
        </is>
      </c>
      <c r="I368" s="8" t="inlineStr">
        <is>
          <t>1×2</t>
        </is>
      </c>
      <c r="J368" s="8" t="n">
        <v>2</v>
      </c>
      <c r="K368" s="8" t="n">
        <v>9</v>
      </c>
      <c r="L368" s="8" t="inlineStr">
        <is>
          <t>是</t>
        </is>
      </c>
      <c r="M368" s="9" t="inlineStr">
        <is>
          <t>bazaar；dynamicRandomReward；itemReforge</t>
        </is>
      </c>
      <c r="N368" s="8" t="n">
        <v>1</v>
      </c>
      <c r="O368" s="9" t="inlineStr">
        <is>
          <t>周期触发</t>
        </is>
      </c>
      <c r="P368" s="9" t="inlineStr">
        <is>
          <t>periodicPulse</t>
        </is>
      </c>
      <c r="Q368" s="9" t="inlineStr">
        <is>
          <t>周期触发：开局时，获得 4 层引雷；开局时，获得 5 层引雷；开局时，获得 6 层引雷；开局时，获得 7 层引雷</t>
        </is>
      </c>
      <c r="R368" s="9" t="inlineStr"/>
      <c r="S368" s="9" t="inlineStr">
        <is>
          <t>温润木匣的缝隙间总藏着淡淡焦香，启封时仿佛能听见雷意在匣中翻滚。</t>
        </is>
      </c>
      <c r="T368" s="8" t="inlineStr">
        <is>
          <t>implement_thunder_storing_wooden_box_1x2</t>
        </is>
      </c>
      <c r="U368" s="8" t="inlineStr">
        <is>
          <t>allowed</t>
        </is>
      </c>
    </row>
    <row r="369" ht="34" customHeight="1">
      <c r="A369" s="8" t="n">
        <v>368</v>
      </c>
      <c r="B369" s="8" t="n">
        <v>400347</v>
      </c>
      <c r="C369" s="8" t="inlineStr">
        <is>
          <t>听脉雷环</t>
        </is>
      </c>
      <c r="D369" s="8" t="inlineStr">
        <is>
          <t>法器</t>
        </is>
      </c>
      <c r="E369" s="8" t="inlineStr">
        <is>
          <t>implement</t>
        </is>
      </c>
      <c r="F369" s="8" t="inlineStr">
        <is>
          <t>common</t>
        </is>
      </c>
      <c r="G369" s="8" t="inlineStr">
        <is>
          <t>雷</t>
        </is>
      </c>
      <c r="H369" s="8" t="inlineStr">
        <is>
          <t>thunder</t>
        </is>
      </c>
      <c r="I369" s="8" t="inlineStr">
        <is>
          <t>1×1</t>
        </is>
      </c>
      <c r="J369" s="8" t="n">
        <v>1</v>
      </c>
      <c r="K369" s="8" t="n">
        <v>9</v>
      </c>
      <c r="L369" s="8" t="inlineStr">
        <is>
          <t>是</t>
        </is>
      </c>
      <c r="M369" s="9" t="inlineStr">
        <is>
          <t>bazaar；dynamicRandomReward；itemReforge</t>
        </is>
      </c>
      <c r="N369" s="8" t="n">
        <v>1</v>
      </c>
      <c r="O369" s="9" t="inlineStr">
        <is>
          <t>条件触发</t>
        </is>
      </c>
      <c r="P369" s="9" t="inlineStr">
        <is>
          <t>triggered</t>
        </is>
      </c>
      <c r="Q369" s="9" t="inlineStr">
        <is>
          <t>条件触发：每当消耗法力后，每消耗 3 点法力获得 1 层引雷，单次最多获得 2 层；每当消耗法力后，每消耗 3 点法力获得 1 层引雷，单次最多获得 3 层；每当消耗法力后，每消耗 3 点法力获得 1 层引雷，单次最多获得 4 层；每当消耗法力后，每消耗 3 点法力获得 1 层引雷，单次最多获得 5 层</t>
        </is>
      </c>
      <c r="R369" s="9" t="inlineStr"/>
      <c r="S369" s="9" t="inlineStr">
        <is>
          <t>素铜小环贴腕微鸣，法力流过经脉时，环上的浅雷纹便轻轻亮起。</t>
        </is>
      </c>
      <c r="T369" s="8" t="inlineStr">
        <is>
          <t>implement_pulse_listening_thunder_ring_1x1</t>
        </is>
      </c>
      <c r="U369" s="8" t="inlineStr">
        <is>
          <t>allowed</t>
        </is>
      </c>
    </row>
    <row r="370" ht="34" customHeight="1">
      <c r="A370" s="8" t="n">
        <v>369</v>
      </c>
      <c r="B370" s="8" t="n">
        <v>400348</v>
      </c>
      <c r="C370" s="8" t="inlineStr">
        <is>
          <t>应雷小鼓</t>
        </is>
      </c>
      <c r="D370" s="8" t="inlineStr">
        <is>
          <t>法器</t>
        </is>
      </c>
      <c r="E370" s="8" t="inlineStr">
        <is>
          <t>implement</t>
        </is>
      </c>
      <c r="F370" s="8" t="inlineStr">
        <is>
          <t>common</t>
        </is>
      </c>
      <c r="G370" s="8" t="inlineStr">
        <is>
          <t>雷</t>
        </is>
      </c>
      <c r="H370" s="8" t="inlineStr">
        <is>
          <t>thunder</t>
        </is>
      </c>
      <c r="I370" s="8" t="inlineStr">
        <is>
          <t>2×1</t>
        </is>
      </c>
      <c r="J370" s="8" t="n">
        <v>2</v>
      </c>
      <c r="K370" s="8" t="n">
        <v>10</v>
      </c>
      <c r="L370" s="8" t="inlineStr">
        <is>
          <t>是</t>
        </is>
      </c>
      <c r="M370" s="9" t="inlineStr">
        <is>
          <t>bazaar；dynamicRandomReward；itemReforge</t>
        </is>
      </c>
      <c r="N370" s="8" t="n">
        <v>1</v>
      </c>
      <c r="O370" s="9" t="inlineStr">
        <is>
          <t>条件触发</t>
        </is>
      </c>
      <c r="P370" s="9" t="inlineStr">
        <is>
          <t>triggered</t>
        </is>
      </c>
      <c r="Q370" s="9" t="inlineStr">
        <is>
          <t>条件触发：其他道具的开局效果触发时，获得 1 层引雷；其他道具的开局效果触发时，获得 2 层引雷；其他道具的开局效果触发时，获得 3 层引雷；其他道具的开局效果触发时，获得 4 层引雷</t>
        </is>
      </c>
      <c r="R370" s="9" t="inlineStr"/>
      <c r="S370" s="9" t="inlineStr">
        <is>
          <t>小鼓蒙着薄皮，别的法器初动时，鼓面便会自行应上一声闷雷。</t>
        </is>
      </c>
      <c r="T370" s="8" t="inlineStr">
        <is>
          <t>implement_answering_thunder_hand_drum_2x1</t>
        </is>
      </c>
      <c r="U370" s="8" t="inlineStr">
        <is>
          <t>allowed</t>
        </is>
      </c>
    </row>
    <row r="371" ht="34" customHeight="1">
      <c r="A371" s="8" t="n">
        <v>370</v>
      </c>
      <c r="B371" s="8" t="n">
        <v>400349</v>
      </c>
      <c r="C371" s="8" t="inlineStr">
        <is>
          <t>露引铜盘</t>
        </is>
      </c>
      <c r="D371" s="8" t="inlineStr">
        <is>
          <t>法器</t>
        </is>
      </c>
      <c r="E371" s="8" t="inlineStr">
        <is>
          <t>implement</t>
        </is>
      </c>
      <c r="F371" s="8" t="inlineStr">
        <is>
          <t>common</t>
        </is>
      </c>
      <c r="G371" s="8" t="inlineStr">
        <is>
          <t>雷</t>
        </is>
      </c>
      <c r="H371" s="8" t="inlineStr">
        <is>
          <t>thunder</t>
        </is>
      </c>
      <c r="I371" s="8" t="inlineStr">
        <is>
          <t>2×2</t>
        </is>
      </c>
      <c r="J371" s="8" t="n">
        <v>4</v>
      </c>
      <c r="K371" s="8" t="n">
        <v>30</v>
      </c>
      <c r="L371" s="8" t="inlineStr">
        <is>
          <t>是</t>
        </is>
      </c>
      <c r="M371" s="9" t="inlineStr">
        <is>
          <t>bazaar；dynamicRandomReward；itemReforge</t>
        </is>
      </c>
      <c r="N371" s="8" t="n">
        <v>1</v>
      </c>
      <c r="O371" s="9" t="inlineStr">
        <is>
          <t>条件触发</t>
        </is>
      </c>
      <c r="P371" s="9" t="inlineStr">
        <is>
          <t>triggered</t>
        </is>
      </c>
      <c r="Q371" s="9" t="inlineStr">
        <is>
          <t>条件触发：每当其他道具使我方获得露水时，获得 1 层引雷；每当其他道具使我方获得露水时，获得 2 层引雷；每当其他道具使我方获得露水时，获得 3 层引雷；每当其他道具使我方获得露水时，获得 4 层引雷</t>
        </is>
      </c>
      <c r="R371" s="9" t="inlineStr"/>
      <c r="S371" s="9" t="inlineStr">
        <is>
          <t>浅口铜盘常凝一层露水，露珠滚过盘心时，会牵出细细的雷光。</t>
        </is>
      </c>
      <c r="T371" s="8" t="inlineStr">
        <is>
          <t>implement_dew_guiding_copper_plate_2x2</t>
        </is>
      </c>
      <c r="U371" s="8" t="inlineStr">
        <is>
          <t>allowed</t>
        </is>
      </c>
    </row>
    <row r="372" ht="34" customHeight="1">
      <c r="A372" s="8" t="n">
        <v>371</v>
      </c>
      <c r="B372" s="8" t="n">
        <v>400350</v>
      </c>
      <c r="C372" s="8" t="inlineStr">
        <is>
          <t>玄铁蕴锋盏</t>
        </is>
      </c>
      <c r="D372" s="8" t="inlineStr">
        <is>
          <t>法器</t>
        </is>
      </c>
      <c r="E372" s="8" t="inlineStr">
        <is>
          <t>implement</t>
        </is>
      </c>
      <c r="F372" s="8" t="inlineStr">
        <is>
          <t>common</t>
        </is>
      </c>
      <c r="G372" s="8" t="inlineStr">
        <is>
          <t>金</t>
        </is>
      </c>
      <c r="H372" s="8" t="inlineStr">
        <is>
          <t>metal</t>
        </is>
      </c>
      <c r="I372" s="8" t="inlineStr">
        <is>
          <t>1×2</t>
        </is>
      </c>
      <c r="J372" s="8" t="n">
        <v>2</v>
      </c>
      <c r="K372" s="8" t="n">
        <v>9</v>
      </c>
      <c r="L372" s="8" t="inlineStr">
        <is>
          <t>是</t>
        </is>
      </c>
      <c r="M372" s="9" t="inlineStr">
        <is>
          <t>bazaar；dynamicRandomReward；itemReforge</t>
        </is>
      </c>
      <c r="N372" s="8" t="n">
        <v>1</v>
      </c>
      <c r="O372" s="9" t="inlineStr">
        <is>
          <t>周期触发</t>
        </is>
      </c>
      <c r="P372" s="9" t="inlineStr">
        <is>
          <t>periodicPulse</t>
        </is>
      </c>
      <c r="Q372" s="9" t="inlineStr">
        <is>
          <t>周期触发：位于储物袋边缘时，将 10 点法力转化为 4 层凝金；位于储物袋边缘时，将 12 点法力转化为 5 层凝金；位于储物袋边缘时，将 14 点法力转化为 6 层凝金；位于储物袋边缘时，将 16 点法力转化为 7 层凝金</t>
        </is>
      </c>
      <c r="R372" s="9" t="inlineStr"/>
      <c r="S372" s="9" t="inlineStr">
        <is>
          <t>黑铁小盏的盏腹留着细密锤纹，盏沿收得很薄，静置时像仍藏着未尽的锋意。</t>
        </is>
      </c>
      <c r="T372" s="8" t="inlineStr">
        <is>
          <t>implement_dark_iron_edge_qi_cup_1x2</t>
        </is>
      </c>
      <c r="U372" s="8" t="inlineStr">
        <is>
          <t>allowed</t>
        </is>
      </c>
    </row>
    <row r="373" ht="34" customHeight="1">
      <c r="A373" s="8" t="n">
        <v>372</v>
      </c>
      <c r="B373" s="8" t="n">
        <v>400351</v>
      </c>
      <c r="C373" s="8" t="inlineStr">
        <is>
          <t>四隅聚金盘</t>
        </is>
      </c>
      <c r="D373" s="8" t="inlineStr">
        <is>
          <t>法器</t>
        </is>
      </c>
      <c r="E373" s="8" t="inlineStr">
        <is>
          <t>implement</t>
        </is>
      </c>
      <c r="F373" s="8" t="inlineStr">
        <is>
          <t>common</t>
        </is>
      </c>
      <c r="G373" s="8" t="inlineStr">
        <is>
          <t>金</t>
        </is>
      </c>
      <c r="H373" s="8" t="inlineStr">
        <is>
          <t>metal</t>
        </is>
      </c>
      <c r="I373" s="8" t="inlineStr">
        <is>
          <t>1×1</t>
        </is>
      </c>
      <c r="J373" s="8" t="n">
        <v>1</v>
      </c>
      <c r="K373" s="8" t="n">
        <v>9</v>
      </c>
      <c r="L373" s="8" t="inlineStr">
        <is>
          <t>是</t>
        </is>
      </c>
      <c r="M373" s="9" t="inlineStr">
        <is>
          <t>bazaar；dynamicRandomReward；itemReforge</t>
        </is>
      </c>
      <c r="N373" s="8" t="n">
        <v>1</v>
      </c>
      <c r="O373" s="9" t="inlineStr">
        <is>
          <t>周期触发</t>
        </is>
      </c>
      <c r="P373" s="9" t="inlineStr">
        <is>
          <t>periodicPulse</t>
        </is>
      </c>
      <c r="Q373" s="9" t="inlineStr">
        <is>
          <t>周期触发：每有 1 件相邻金属性道具，获得 2 层凝金，最多计算 3 件；每有 1 件相邻金属性道具，获得 3 层凝金，最多计算 3 件；每有 1 件相邻金属性道具，获得 4 层凝金，最多计算 3 件；每有 1 件相邻金属性道具，获得 5 层凝金，最多计算 3 件</t>
        </is>
      </c>
      <c r="R373" s="9" t="inlineStr"/>
      <c r="S373" s="9" t="inlineStr">
        <is>
          <t>方盘四角各嵌一粒暗金铆钉，盘面平整如镜，搬动时会发出极轻的金石相击声。</t>
        </is>
      </c>
      <c r="T373" s="8" t="inlineStr">
        <is>
          <t>implement_four_corner_metal_gathering_disc_1x1</t>
        </is>
      </c>
      <c r="U373" s="8" t="inlineStr">
        <is>
          <t>allowed</t>
        </is>
      </c>
    </row>
    <row r="374" ht="34" customHeight="1">
      <c r="A374" s="8" t="n">
        <v>373</v>
      </c>
      <c r="B374" s="8" t="n">
        <v>400352</v>
      </c>
      <c r="C374" s="8" t="inlineStr">
        <is>
          <t>青芽回生灯</t>
        </is>
      </c>
      <c r="D374" s="8" t="inlineStr">
        <is>
          <t>法器</t>
        </is>
      </c>
      <c r="E374" s="8" t="inlineStr">
        <is>
          <t>implement</t>
        </is>
      </c>
      <c r="F374" s="8" t="inlineStr">
        <is>
          <t>common</t>
        </is>
      </c>
      <c r="G374" s="8" t="inlineStr">
        <is>
          <t>木</t>
        </is>
      </c>
      <c r="H374" s="8" t="inlineStr">
        <is>
          <t>wood</t>
        </is>
      </c>
      <c r="I374" s="8" t="inlineStr">
        <is>
          <t>1×2</t>
        </is>
      </c>
      <c r="J374" s="8" t="n">
        <v>2</v>
      </c>
      <c r="K374" s="8" t="n">
        <v>9</v>
      </c>
      <c r="L374" s="8" t="inlineStr">
        <is>
          <t>是</t>
        </is>
      </c>
      <c r="M374" s="9" t="inlineStr">
        <is>
          <t>bazaar；dynamicRandomReward；itemReforge</t>
        </is>
      </c>
      <c r="N374" s="8" t="n">
        <v>1</v>
      </c>
      <c r="O374" s="9" t="inlineStr">
        <is>
          <t>周期触发</t>
        </is>
      </c>
      <c r="P374" s="9" t="inlineStr">
        <is>
          <t>periodicPulse</t>
        </is>
      </c>
      <c r="Q374" s="9" t="inlineStr">
        <is>
          <t>周期触发：位于储物袋边缘时，将 3 点体力转化为 2 层再生；位于储物袋边缘时，将 6 点体力转化为 4 层再生；位于储物袋边缘时，将 9 点体力转化为 6 层再生；位于储物袋边缘时，将 12 点体力转化为 8 层再生</t>
        </is>
      </c>
      <c r="R374" s="9" t="inlineStr"/>
      <c r="S374" s="9" t="inlineStr">
        <is>
          <t>细木灯座托着一豆青焰，灯罩内壁有嫩芽般的浅痕，光色温和而安静。</t>
        </is>
      </c>
      <c r="T374" s="8" t="inlineStr">
        <is>
          <t>implement_green_sprout_regeneration_lamp_1x2</t>
        </is>
      </c>
      <c r="U374" s="8" t="inlineStr">
        <is>
          <t>allowed</t>
        </is>
      </c>
    </row>
    <row r="375" ht="34" customHeight="1">
      <c r="A375" s="8" t="n">
        <v>374</v>
      </c>
      <c r="B375" s="8" t="n">
        <v>400353</v>
      </c>
      <c r="C375" s="8" t="inlineStr">
        <is>
          <t>汲露藤壶</t>
        </is>
      </c>
      <c r="D375" s="8" t="inlineStr">
        <is>
          <t>法器</t>
        </is>
      </c>
      <c r="E375" s="8" t="inlineStr">
        <is>
          <t>implement</t>
        </is>
      </c>
      <c r="F375" s="8" t="inlineStr">
        <is>
          <t>common</t>
        </is>
      </c>
      <c r="G375" s="8" t="inlineStr">
        <is>
          <t>木</t>
        </is>
      </c>
      <c r="H375" s="8" t="inlineStr">
        <is>
          <t>wood</t>
        </is>
      </c>
      <c r="I375" s="8" t="inlineStr">
        <is>
          <t>1×1</t>
        </is>
      </c>
      <c r="J375" s="8" t="n">
        <v>1</v>
      </c>
      <c r="K375" s="8" t="n">
        <v>9</v>
      </c>
      <c r="L375" s="8" t="inlineStr">
        <is>
          <t>是</t>
        </is>
      </c>
      <c r="M375" s="9" t="inlineStr">
        <is>
          <t>bazaar；dynamicRandomReward；itemReforge</t>
        </is>
      </c>
      <c r="N375" s="8" t="n">
        <v>1</v>
      </c>
      <c r="O375" s="9" t="inlineStr">
        <is>
          <t>周期触发</t>
        </is>
      </c>
      <c r="P375" s="9" t="inlineStr">
        <is>
          <t>periodicPulse</t>
        </is>
      </c>
      <c r="Q375" s="9" t="inlineStr">
        <is>
          <t>周期触发：上方相邻水属性道具时，将 5 点法力转化为 2 层再生；上方相邻水属性道具时，将 10 点法力转化为 4 层再生；上方相邻水属性道具时，将 15 点法力转化为 6 层再生；上方相邻水属性道具时，将 20 点法力转化为 8 层再生</t>
        </is>
      </c>
      <c r="R375" s="9" t="inlineStr"/>
      <c r="S375" s="9" t="inlineStr">
        <is>
          <t>藤壶外皮被细藤缠成疏密纹路，壶口常凝着一点湿润的凉光。</t>
        </is>
      </c>
      <c r="T375" s="8" t="inlineStr">
        <is>
          <t>implement_dew_drawing_vine_gourd_1x1</t>
        </is>
      </c>
      <c r="U375" s="8" t="inlineStr">
        <is>
          <t>allowed</t>
        </is>
      </c>
    </row>
    <row r="376" ht="34" customHeight="1">
      <c r="A376" s="8" t="n">
        <v>375</v>
      </c>
      <c r="B376" s="8" t="n">
        <v>400354</v>
      </c>
      <c r="C376" s="8" t="inlineStr">
        <is>
          <t>锻息铜炉</t>
        </is>
      </c>
      <c r="D376" s="8" t="inlineStr">
        <is>
          <t>法器</t>
        </is>
      </c>
      <c r="E376" s="8" t="inlineStr">
        <is>
          <t>implement</t>
        </is>
      </c>
      <c r="F376" s="8" t="inlineStr">
        <is>
          <t>common</t>
        </is>
      </c>
      <c r="G376" s="8" t="inlineStr">
        <is>
          <t>金</t>
        </is>
      </c>
      <c r="H376" s="8" t="inlineStr">
        <is>
          <t>metal</t>
        </is>
      </c>
      <c r="I376" s="8" t="inlineStr">
        <is>
          <t>1×1</t>
        </is>
      </c>
      <c r="J376" s="8" t="n">
        <v>1</v>
      </c>
      <c r="K376" s="8" t="n">
        <v>9</v>
      </c>
      <c r="L376" s="8" t="inlineStr">
        <is>
          <t>是</t>
        </is>
      </c>
      <c r="M376" s="9" t="inlineStr">
        <is>
          <t>bazaar；dynamicRandomReward；itemReforge</t>
        </is>
      </c>
      <c r="N376" s="8" t="n">
        <v>1</v>
      </c>
      <c r="O376" s="9" t="inlineStr">
        <is>
          <t>周期触发</t>
        </is>
      </c>
      <c r="P376" s="9" t="inlineStr">
        <is>
          <t>periodicPulse</t>
        </is>
      </c>
      <c r="Q376" s="9" t="inlineStr">
        <is>
          <t>周期触发：将 2 点法力转化为 3 层凝金；将 2 点法力转化为 4 层凝金；将 3 点法力转化为 5 层凝金；将 3 点法力转化为 6 层凝金</t>
        </is>
      </c>
      <c r="R376" s="9" t="inlineStr"/>
      <c r="S376" s="9" t="inlineStr">
        <is>
          <t>小铜炉的炉腹浑圆，炉盖上留有常年摩挲出的暗亮痕迹，内里仍存一丝暖气。</t>
        </is>
      </c>
      <c r="T376" s="8" t="inlineStr">
        <is>
          <t>implement_breath_forging_copper_furnace_1x1</t>
        </is>
      </c>
      <c r="U376" s="8" t="inlineStr">
        <is>
          <t>allowed</t>
        </is>
      </c>
    </row>
    <row r="377" ht="34" customHeight="1">
      <c r="A377" s="8" t="n">
        <v>376</v>
      </c>
      <c r="B377" s="8" t="n">
        <v>400355</v>
      </c>
      <c r="C377" s="8" t="inlineStr">
        <is>
          <t>吞锋磁匣</t>
        </is>
      </c>
      <c r="D377" s="8" t="inlineStr">
        <is>
          <t>法器</t>
        </is>
      </c>
      <c r="E377" s="8" t="inlineStr">
        <is>
          <t>implement</t>
        </is>
      </c>
      <c r="F377" s="8" t="inlineStr">
        <is>
          <t>common</t>
        </is>
      </c>
      <c r="G377" s="8" t="inlineStr">
        <is>
          <t>金</t>
        </is>
      </c>
      <c r="H377" s="8" t="inlineStr">
        <is>
          <t>metal</t>
        </is>
      </c>
      <c r="I377" s="8" t="inlineStr">
        <is>
          <t>1×2</t>
        </is>
      </c>
      <c r="J377" s="8" t="n">
        <v>2</v>
      </c>
      <c r="K377" s="8" t="n">
        <v>9</v>
      </c>
      <c r="L377" s="8" t="inlineStr">
        <is>
          <t>是</t>
        </is>
      </c>
      <c r="M377" s="9" t="inlineStr">
        <is>
          <t>bazaar；dynamicRandomReward；itemReforge</t>
        </is>
      </c>
      <c r="N377" s="8" t="n">
        <v>1</v>
      </c>
      <c r="O377" s="9" t="inlineStr">
        <is>
          <t>周期触发</t>
        </is>
      </c>
      <c r="P377" s="9" t="inlineStr">
        <is>
          <t>periodicPulse</t>
        </is>
      </c>
      <c r="Q377" s="9" t="inlineStr">
        <is>
          <t>周期触发：将 8 点体力转化为 4 层凝金；将 12 点体力转化为 6 层凝金；将 16 点体力转化为 8 层凝金；将 20 点体力转化为 10 层凝金</t>
        </is>
      </c>
      <c r="R377" s="9" t="inlineStr"/>
      <c r="S377" s="9" t="inlineStr">
        <is>
          <t>长匣以乌铁包角，盖面嵌着一枚暗磁石，靠近兵刃时会泛起微不可察的颤动。</t>
        </is>
      </c>
      <c r="T377" s="8" t="inlineStr">
        <is>
          <t>implement_blade_devouring_magnetic_casket_1x2</t>
        </is>
      </c>
      <c r="U377" s="8" t="inlineStr">
        <is>
          <t>allowed</t>
        </is>
      </c>
    </row>
    <row r="378" ht="34" customHeight="1">
      <c r="A378" s="8" t="n">
        <v>377</v>
      </c>
      <c r="B378" s="8" t="n">
        <v>400356</v>
      </c>
      <c r="C378" s="8" t="inlineStr">
        <is>
          <t>双锋锁气架</t>
        </is>
      </c>
      <c r="D378" s="8" t="inlineStr">
        <is>
          <t>法器</t>
        </is>
      </c>
      <c r="E378" s="8" t="inlineStr">
        <is>
          <t>implement</t>
        </is>
      </c>
      <c r="F378" s="8" t="inlineStr">
        <is>
          <t>common</t>
        </is>
      </c>
      <c r="G378" s="8" t="inlineStr">
        <is>
          <t>金</t>
        </is>
      </c>
      <c r="H378" s="8" t="inlineStr">
        <is>
          <t>metal</t>
        </is>
      </c>
      <c r="I378" s="8" t="inlineStr">
        <is>
          <t>1×1</t>
        </is>
      </c>
      <c r="J378" s="8" t="n">
        <v>1</v>
      </c>
      <c r="K378" s="8" t="n">
        <v>9</v>
      </c>
      <c r="L378" s="8" t="inlineStr">
        <is>
          <t>是</t>
        </is>
      </c>
      <c r="M378" s="9" t="inlineStr">
        <is>
          <t>bazaar；dynamicRandomReward；itemReforge</t>
        </is>
      </c>
      <c r="N378" s="8" t="n">
        <v>1</v>
      </c>
      <c r="O378" s="9" t="inlineStr">
        <is>
          <t>周期触发</t>
        </is>
      </c>
      <c r="P378" s="9" t="inlineStr">
        <is>
          <t>periodicPulse</t>
        </is>
      </c>
      <c r="Q378" s="9" t="inlineStr">
        <is>
          <t>周期触发：左右两侧均相邻金属性道具时，将 8 点法力转化为 4 层凝金；左右两侧均相邻金属性道具时，将 10 点法力转化为 5 层凝金；左右两侧均相邻金属性道具时，将 12 点法力转化为 6 层凝金；左右两侧均相邻金属性道具时，将 14 点法力转化为 7 层凝金</t>
        </is>
      </c>
      <c r="R378" s="9" t="inlineStr"/>
      <c r="S378" s="9" t="inlineStr">
        <is>
          <t>双叉铁架的两端各有一道窄槽，架身短而沉，像是专为并置的兵器留出的卡口。</t>
        </is>
      </c>
      <c r="T378" s="8" t="inlineStr">
        <is>
          <t>implement_twin_blade_qi_locking_rack_1x1</t>
        </is>
      </c>
      <c r="U378" s="8" t="inlineStr">
        <is>
          <t>allowed</t>
        </is>
      </c>
    </row>
    <row r="379" ht="34" customHeight="1">
      <c r="A379" s="8" t="n">
        <v>378</v>
      </c>
      <c r="B379" s="8" t="n">
        <v>400357</v>
      </c>
      <c r="C379" s="8" t="inlineStr">
        <is>
          <t>养元木鱼</t>
        </is>
      </c>
      <c r="D379" s="8" t="inlineStr">
        <is>
          <t>法器</t>
        </is>
      </c>
      <c r="E379" s="8" t="inlineStr">
        <is>
          <t>implement</t>
        </is>
      </c>
      <c r="F379" s="8" t="inlineStr">
        <is>
          <t>common</t>
        </is>
      </c>
      <c r="G379" s="8" t="inlineStr">
        <is>
          <t>木</t>
        </is>
      </c>
      <c r="H379" s="8" t="inlineStr">
        <is>
          <t>wood</t>
        </is>
      </c>
      <c r="I379" s="8" t="inlineStr">
        <is>
          <t>1×1</t>
        </is>
      </c>
      <c r="J379" s="8" t="n">
        <v>1</v>
      </c>
      <c r="K379" s="8" t="n">
        <v>9</v>
      </c>
      <c r="L379" s="8" t="inlineStr">
        <is>
          <t>是</t>
        </is>
      </c>
      <c r="M379" s="9" t="inlineStr">
        <is>
          <t>bazaar；dynamicRandomReward；itemReforge</t>
        </is>
      </c>
      <c r="N379" s="8" t="n">
        <v>1</v>
      </c>
      <c r="O379" s="9" t="inlineStr">
        <is>
          <t>周期触发</t>
        </is>
      </c>
      <c r="P379" s="9" t="inlineStr">
        <is>
          <t>periodicPulse</t>
        </is>
      </c>
      <c r="Q379" s="9" t="inlineStr">
        <is>
          <t>周期触发：将 7 点法力转化为 3 层再生；将 9 点法力转化为 4 层再生；将 11 点法力转化为 5 层再生；将 13 点法力转化为 6 层再生</t>
        </is>
      </c>
      <c r="R379" s="9" t="inlineStr"/>
      <c r="S379" s="9" t="inlineStr">
        <is>
          <t>木鱼表面温润，敲痕沿鱼脊一圈圈散开，贴近时能闻到淡淡的松脂香。</t>
        </is>
      </c>
      <c r="T379" s="8" t="inlineStr">
        <is>
          <t>implement_vitality_nourishing_wooden_fish_1x1</t>
        </is>
      </c>
      <c r="U379" s="8" t="inlineStr">
        <is>
          <t>allowed</t>
        </is>
      </c>
    </row>
    <row r="380" ht="34" customHeight="1">
      <c r="A380" s="8" t="n">
        <v>379</v>
      </c>
      <c r="B380" s="8" t="n">
        <v>400358</v>
      </c>
      <c r="C380" s="8" t="inlineStr">
        <is>
          <t>血芽药钵</t>
        </is>
      </c>
      <c r="D380" s="8" t="inlineStr">
        <is>
          <t>法器</t>
        </is>
      </c>
      <c r="E380" s="8" t="inlineStr">
        <is>
          <t>implement</t>
        </is>
      </c>
      <c r="F380" s="8" t="inlineStr">
        <is>
          <t>common</t>
        </is>
      </c>
      <c r="G380" s="8" t="inlineStr">
        <is>
          <t>木</t>
        </is>
      </c>
      <c r="H380" s="8" t="inlineStr">
        <is>
          <t>wood</t>
        </is>
      </c>
      <c r="I380" s="8" t="inlineStr">
        <is>
          <t>1×2</t>
        </is>
      </c>
      <c r="J380" s="8" t="n">
        <v>2</v>
      </c>
      <c r="K380" s="8" t="n">
        <v>9</v>
      </c>
      <c r="L380" s="8" t="inlineStr">
        <is>
          <t>是</t>
        </is>
      </c>
      <c r="M380" s="9" t="inlineStr">
        <is>
          <t>bazaar；dynamicRandomReward；itemReforge</t>
        </is>
      </c>
      <c r="N380" s="8" t="n">
        <v>1</v>
      </c>
      <c r="O380" s="9" t="inlineStr">
        <is>
          <t>周期触发</t>
        </is>
      </c>
      <c r="P380" s="9" t="inlineStr">
        <is>
          <t>periodicPulse</t>
        </is>
      </c>
      <c r="Q380" s="9" t="inlineStr">
        <is>
          <t>周期触发：将 12 点体力转化为 7 层再生；将 14 点体力转化为 8 层再生；将 16 点体力转化为 9 层再生；将 18 点体力转化为 10 层再生</t>
        </is>
      </c>
      <c r="R380" s="9" t="inlineStr"/>
      <c r="S380" s="9" t="inlineStr">
        <is>
          <t>暗红药钵的内壁浮着芽叶纹，钵沿磨得圆润，盛水时水色会显得格外浓些。</t>
        </is>
      </c>
      <c r="T380" s="8" t="inlineStr">
        <is>
          <t>implement_blood_sprout_medicine_mortar_1x2</t>
        </is>
      </c>
      <c r="U380" s="8" t="inlineStr">
        <is>
          <t>allowed</t>
        </is>
      </c>
    </row>
    <row r="381" ht="34" customHeight="1">
      <c r="A381" s="8" t="n">
        <v>380</v>
      </c>
      <c r="B381" s="8" t="n">
        <v>400359</v>
      </c>
      <c r="C381" s="8" t="inlineStr">
        <is>
          <t>四时栽盘</t>
        </is>
      </c>
      <c r="D381" s="8" t="inlineStr">
        <is>
          <t>法器</t>
        </is>
      </c>
      <c r="E381" s="8" t="inlineStr">
        <is>
          <t>implement</t>
        </is>
      </c>
      <c r="F381" s="8" t="inlineStr">
        <is>
          <t>common</t>
        </is>
      </c>
      <c r="G381" s="8" t="inlineStr">
        <is>
          <t>木</t>
        </is>
      </c>
      <c r="H381" s="8" t="inlineStr">
        <is>
          <t>wood</t>
        </is>
      </c>
      <c r="I381" s="8" t="inlineStr">
        <is>
          <t>2×1</t>
        </is>
      </c>
      <c r="J381" s="8" t="n">
        <v>2</v>
      </c>
      <c r="K381" s="8" t="n">
        <v>9</v>
      </c>
      <c r="L381" s="8" t="inlineStr">
        <is>
          <t>是</t>
        </is>
      </c>
      <c r="M381" s="9" t="inlineStr">
        <is>
          <t>bazaar；dynamicRandomReward；itemReforge</t>
        </is>
      </c>
      <c r="N381" s="8" t="n">
        <v>1</v>
      </c>
      <c r="O381" s="9" t="inlineStr">
        <is>
          <t>周期触发</t>
        </is>
      </c>
      <c r="P381" s="9" t="inlineStr">
        <is>
          <t>periodicPulse</t>
        </is>
      </c>
      <c r="Q381" s="9" t="inlineStr">
        <is>
          <t>周期触发：每有 1 件相邻木属性道具，获得 1 层再生，最多计算 3 件；每有 1 件相邻木属性道具，获得 2 层再生，最多计算 3 件；每有 1 件相邻木属性道具，获得 3 层再生，最多计算 3 件；每有 1 件相邻木属性道具，获得 4 层再生，最多计算 3 件</t>
        </is>
      </c>
      <c r="R381" s="9" t="inlineStr"/>
      <c r="S381" s="9" t="inlineStr">
        <is>
          <t>长盘分作四畦，畦土颜色深浅不同，盘沿刻着几片随季节更替的叶纹。</t>
        </is>
      </c>
      <c r="T381" s="8" t="inlineStr">
        <is>
          <t>implement_four_season_planting_tray_2x1</t>
        </is>
      </c>
      <c r="U381" s="8" t="inlineStr">
        <is>
          <t>allowed</t>
        </is>
      </c>
    </row>
    <row r="382" ht="34" customHeight="1">
      <c r="A382" s="8" t="n">
        <v>381</v>
      </c>
      <c r="B382" s="8" t="n">
        <v>400360</v>
      </c>
      <c r="C382" s="8" t="inlineStr">
        <is>
          <t>聚露青盏</t>
        </is>
      </c>
      <c r="D382" s="8" t="inlineStr">
        <is>
          <t>法器</t>
        </is>
      </c>
      <c r="E382" s="8" t="inlineStr">
        <is>
          <t>implement</t>
        </is>
      </c>
      <c r="F382" s="8" t="inlineStr">
        <is>
          <t>common</t>
        </is>
      </c>
      <c r="G382" s="8" t="inlineStr">
        <is>
          <t>水</t>
        </is>
      </c>
      <c r="H382" s="8" t="inlineStr">
        <is>
          <t>water</t>
        </is>
      </c>
      <c r="I382" s="8" t="inlineStr">
        <is>
          <t>1×1</t>
        </is>
      </c>
      <c r="J382" s="8" t="n">
        <v>1</v>
      </c>
      <c r="K382" s="8" t="n">
        <v>9</v>
      </c>
      <c r="L382" s="8" t="inlineStr">
        <is>
          <t>是</t>
        </is>
      </c>
      <c r="M382" s="9" t="inlineStr">
        <is>
          <t>bazaar；dynamicRandomReward；itemReforge</t>
        </is>
      </c>
      <c r="N382" s="8" t="n">
        <v>1</v>
      </c>
      <c r="O382" s="9" t="inlineStr">
        <is>
          <t>周期触发</t>
        </is>
      </c>
      <c r="P382" s="9" t="inlineStr">
        <is>
          <t>periodicPulse</t>
        </is>
      </c>
      <c r="Q382" s="9" t="inlineStr">
        <is>
          <t>周期触发：将 2 点法力转化为 3 层露水；将 2 点法力转化为 4 层露水；将 3 点法力转化为 5 层露水；将 3 点法力转化为 6 层露水</t>
        </is>
      </c>
      <c r="R382" s="9" t="inlineStr"/>
      <c r="S382" s="9" t="inlineStr">
        <is>
          <t>青瓷小盏釉色澄净，盏底的卷云纹在光下微微浮起，像刚收住一层晨雾。</t>
        </is>
      </c>
      <c r="T382" s="8" t="inlineStr">
        <is>
          <t>implement_dew_gathering_celadon_cup_1x1</t>
        </is>
      </c>
      <c r="U382" s="8" t="inlineStr">
        <is>
          <t>allowed</t>
        </is>
      </c>
    </row>
    <row r="383" ht="34" customHeight="1">
      <c r="A383" s="8" t="n">
        <v>382</v>
      </c>
      <c r="B383" s="8" t="n">
        <v>400361</v>
      </c>
      <c r="C383" s="8" t="inlineStr">
        <is>
          <t>化息水轮</t>
        </is>
      </c>
      <c r="D383" s="8" t="inlineStr">
        <is>
          <t>法器</t>
        </is>
      </c>
      <c r="E383" s="8" t="inlineStr">
        <is>
          <t>implement</t>
        </is>
      </c>
      <c r="F383" s="8" t="inlineStr">
        <is>
          <t>common</t>
        </is>
      </c>
      <c r="G383" s="8" t="inlineStr">
        <is>
          <t>水</t>
        </is>
      </c>
      <c r="H383" s="8" t="inlineStr">
        <is>
          <t>water</t>
        </is>
      </c>
      <c r="I383" s="8" t="inlineStr">
        <is>
          <t>1×2</t>
        </is>
      </c>
      <c r="J383" s="8" t="n">
        <v>2</v>
      </c>
      <c r="K383" s="8" t="n">
        <v>9</v>
      </c>
      <c r="L383" s="8" t="inlineStr">
        <is>
          <t>是</t>
        </is>
      </c>
      <c r="M383" s="9" t="inlineStr">
        <is>
          <t>bazaar；dynamicRandomReward；itemReforge</t>
        </is>
      </c>
      <c r="N383" s="8" t="n">
        <v>1</v>
      </c>
      <c r="O383" s="9" t="inlineStr">
        <is>
          <t>周期触发</t>
        </is>
      </c>
      <c r="P383" s="9" t="inlineStr">
        <is>
          <t>periodicPulse</t>
        </is>
      </c>
      <c r="Q383" s="9" t="inlineStr">
        <is>
          <t>周期触发：将 4 点体力转化为 7 层露水；将 4 点体力转化为 8 层露水；将 5 点体力转化为 9 层露水；将 5 点体力转化为 10 层露水</t>
        </is>
      </c>
      <c r="R383" s="9" t="inlineStr"/>
      <c r="S383" s="9" t="inlineStr">
        <is>
          <t>双叶水轮装在细木架上，轮叶纹路被水汽浸得发亮，轻推时转得很稳。</t>
        </is>
      </c>
      <c r="T383" s="8" t="inlineStr">
        <is>
          <t>implement_breath_transforming_water_wheel_1x2</t>
        </is>
      </c>
      <c r="U383" s="8" t="inlineStr">
        <is>
          <t>allowed</t>
        </is>
      </c>
    </row>
    <row r="384" ht="34" customHeight="1">
      <c r="A384" s="8" t="n">
        <v>383</v>
      </c>
      <c r="B384" s="8" t="n">
        <v>400362</v>
      </c>
      <c r="C384" s="8" t="inlineStr">
        <is>
          <t>四泉砚</t>
        </is>
      </c>
      <c r="D384" s="8" t="inlineStr">
        <is>
          <t>法器</t>
        </is>
      </c>
      <c r="E384" s="8" t="inlineStr">
        <is>
          <t>implement</t>
        </is>
      </c>
      <c r="F384" s="8" t="inlineStr">
        <is>
          <t>common</t>
        </is>
      </c>
      <c r="G384" s="8" t="inlineStr">
        <is>
          <t>水</t>
        </is>
      </c>
      <c r="H384" s="8" t="inlineStr">
        <is>
          <t>water</t>
        </is>
      </c>
      <c r="I384" s="8" t="inlineStr">
        <is>
          <t>1×1</t>
        </is>
      </c>
      <c r="J384" s="8" t="n">
        <v>1</v>
      </c>
      <c r="K384" s="8" t="n">
        <v>9</v>
      </c>
      <c r="L384" s="8" t="inlineStr">
        <is>
          <t>是</t>
        </is>
      </c>
      <c r="M384" s="9" t="inlineStr">
        <is>
          <t>bazaar；dynamicRandomReward；itemReforge</t>
        </is>
      </c>
      <c r="N384" s="8" t="n">
        <v>1</v>
      </c>
      <c r="O384" s="9" t="inlineStr">
        <is>
          <t>周期触发</t>
        </is>
      </c>
      <c r="P384" s="9" t="inlineStr">
        <is>
          <t>periodicPulse</t>
        </is>
      </c>
      <c r="Q384" s="9" t="inlineStr">
        <is>
          <t>周期触发：每有 1 件相邻水属性道具，获得 2 层露水，最多计算 3 件；每有 1 件相邻水属性道具，获得 3 层露水，最多计算 3 件；每有 1 件相邻水属性道具，获得 4 层露水，最多计算 3 件；每有 1 件相邻水属性道具，获得 5 层露水，最多计算 3 件</t>
        </is>
      </c>
      <c r="R384" s="9" t="inlineStr"/>
      <c r="S384" s="9" t="inlineStr">
        <is>
          <t>方砚四角各凿一泓浅泉，砚池里墨色清淡，边缘仍带着被溪水磨过的细纹。</t>
        </is>
      </c>
      <c r="T384" s="8" t="inlineStr">
        <is>
          <t>implement_four_spring_inkstone_1x1</t>
        </is>
      </c>
      <c r="U384" s="8" t="inlineStr">
        <is>
          <t>allowed</t>
        </is>
      </c>
    </row>
    <row r="385" ht="34" customHeight="1">
      <c r="A385" s="8" t="n">
        <v>384</v>
      </c>
      <c r="B385" s="8" t="n">
        <v>400363</v>
      </c>
      <c r="C385" s="8" t="inlineStr">
        <is>
          <t>引焰油灯</t>
        </is>
      </c>
      <c r="D385" s="8" t="inlineStr">
        <is>
          <t>法器</t>
        </is>
      </c>
      <c r="E385" s="8" t="inlineStr">
        <is>
          <t>implement</t>
        </is>
      </c>
      <c r="F385" s="8" t="inlineStr">
        <is>
          <t>common</t>
        </is>
      </c>
      <c r="G385" s="8" t="inlineStr">
        <is>
          <t>火</t>
        </is>
      </c>
      <c r="H385" s="8" t="inlineStr">
        <is>
          <t>fire</t>
        </is>
      </c>
      <c r="I385" s="8" t="inlineStr">
        <is>
          <t>1×1</t>
        </is>
      </c>
      <c r="J385" s="8" t="n">
        <v>1</v>
      </c>
      <c r="K385" s="8" t="n">
        <v>9</v>
      </c>
      <c r="L385" s="8" t="inlineStr">
        <is>
          <t>是</t>
        </is>
      </c>
      <c r="M385" s="9" t="inlineStr">
        <is>
          <t>bazaar；dynamicRandomReward；itemReforge</t>
        </is>
      </c>
      <c r="N385" s="8" t="n">
        <v>1</v>
      </c>
      <c r="O385" s="9" t="inlineStr">
        <is>
          <t>周期触发</t>
        </is>
      </c>
      <c r="P385" s="9" t="inlineStr">
        <is>
          <t>periodicPulse</t>
        </is>
      </c>
      <c r="Q385" s="9" t="inlineStr">
        <is>
          <t>周期触发：将 2 点法力转化为 3 层炎热；将 2 点法力转化为 4 层炎热；将 3 点法力转化为 5 层炎热；将 3 点法力转化为 6 层炎热</t>
        </is>
      </c>
      <c r="R385" s="9" t="inlineStr"/>
      <c r="S385" s="9" t="inlineStr">
        <is>
          <t>黄铜灯盏盛着淡赤灯油，灯芯短而结实，火苗贴近时总比寻常油灯亮一分。</t>
        </is>
      </c>
      <c r="T385" s="8" t="inlineStr">
        <is>
          <t>implement_flame_kindling_oil_lamp_1x1</t>
        </is>
      </c>
      <c r="U385" s="8" t="inlineStr">
        <is>
          <t>allowed</t>
        </is>
      </c>
    </row>
    <row r="386" ht="34" customHeight="1">
      <c r="A386" s="8" t="n">
        <v>385</v>
      </c>
      <c r="B386" s="8" t="n">
        <v>400364</v>
      </c>
      <c r="C386" s="8" t="inlineStr">
        <is>
          <t>燃血赤炉</t>
        </is>
      </c>
      <c r="D386" s="8" t="inlineStr">
        <is>
          <t>法器</t>
        </is>
      </c>
      <c r="E386" s="8" t="inlineStr">
        <is>
          <t>implement</t>
        </is>
      </c>
      <c r="F386" s="8" t="inlineStr">
        <is>
          <t>common</t>
        </is>
      </c>
      <c r="G386" s="8" t="inlineStr">
        <is>
          <t>火</t>
        </is>
      </c>
      <c r="H386" s="8" t="inlineStr">
        <is>
          <t>fire</t>
        </is>
      </c>
      <c r="I386" s="8" t="inlineStr">
        <is>
          <t>1×2</t>
        </is>
      </c>
      <c r="J386" s="8" t="n">
        <v>2</v>
      </c>
      <c r="K386" s="8" t="n">
        <v>9</v>
      </c>
      <c r="L386" s="8" t="inlineStr">
        <is>
          <t>是</t>
        </is>
      </c>
      <c r="M386" s="9" t="inlineStr">
        <is>
          <t>bazaar；dynamicRandomReward；itemReforge</t>
        </is>
      </c>
      <c r="N386" s="8" t="n">
        <v>1</v>
      </c>
      <c r="O386" s="9" t="inlineStr">
        <is>
          <t>周期触发</t>
        </is>
      </c>
      <c r="P386" s="9" t="inlineStr">
        <is>
          <t>periodicPulse</t>
        </is>
      </c>
      <c r="Q386" s="9" t="inlineStr">
        <is>
          <t>周期触发：将 4 点体力转化为 7 层炎热；将 4 点体力转化为 8 层炎热；将 5 点体力转化为 9 层炎热；将 5 点体力转化为 10 层炎热</t>
        </is>
      </c>
      <c r="R386" s="9" t="inlineStr"/>
      <c r="S386" s="9" t="inlineStr">
        <is>
          <t>赤陶小炉的炉壁布满深色釉裂，炉口边缘被久热熏得发黑，握在手里仍有暖意。</t>
        </is>
      </c>
      <c r="T386" s="8" t="inlineStr">
        <is>
          <t>implement_blood_burning_crimson_furnace_1x2</t>
        </is>
      </c>
      <c r="U386" s="8" t="inlineStr">
        <is>
          <t>allowed</t>
        </is>
      </c>
    </row>
    <row r="387" ht="34" customHeight="1">
      <c r="A387" s="8" t="n">
        <v>386</v>
      </c>
      <c r="B387" s="8" t="n">
        <v>400365</v>
      </c>
      <c r="C387" s="8" t="inlineStr">
        <is>
          <t>三阳炭盘</t>
        </is>
      </c>
      <c r="D387" s="8" t="inlineStr">
        <is>
          <t>法器</t>
        </is>
      </c>
      <c r="E387" s="8" t="inlineStr">
        <is>
          <t>implement</t>
        </is>
      </c>
      <c r="F387" s="8" t="inlineStr">
        <is>
          <t>common</t>
        </is>
      </c>
      <c r="G387" s="8" t="inlineStr">
        <is>
          <t>火</t>
        </is>
      </c>
      <c r="H387" s="8" t="inlineStr">
        <is>
          <t>fire</t>
        </is>
      </c>
      <c r="I387" s="8" t="inlineStr">
        <is>
          <t>1×1</t>
        </is>
      </c>
      <c r="J387" s="8" t="n">
        <v>1</v>
      </c>
      <c r="K387" s="8" t="n">
        <v>9</v>
      </c>
      <c r="L387" s="8" t="inlineStr">
        <is>
          <t>是</t>
        </is>
      </c>
      <c r="M387" s="9" t="inlineStr">
        <is>
          <t>bazaar；dynamicRandomReward；itemReforge</t>
        </is>
      </c>
      <c r="N387" s="8" t="n">
        <v>1</v>
      </c>
      <c r="O387" s="9" t="inlineStr">
        <is>
          <t>周期触发</t>
        </is>
      </c>
      <c r="P387" s="9" t="inlineStr">
        <is>
          <t>periodicPulse</t>
        </is>
      </c>
      <c r="Q387" s="9" t="inlineStr">
        <is>
          <t>周期触发：每有 1 件相邻火属性道具，获得 2 层炎热，最多计算 3 件；每有 1 件相邻火属性道具，获得 3 层炎热，最多计算 3 件；每有 1 件相邻火属性道具，获得 4 层炎热，最多计算 3 件；每有 1 件相邻火属性道具，获得 5 层炎热，最多计算 3 件</t>
        </is>
      </c>
      <c r="R387" s="9" t="inlineStr"/>
      <c r="S387" s="9" t="inlineStr">
        <is>
          <t>浅盘里平码着三块乌炭，炭纹间隐有赤色余烬，盘脚被烟火熏成了温厚的褐色。</t>
        </is>
      </c>
      <c r="T387" s="8" t="inlineStr">
        <is>
          <t>implement_three_yang_charcoal_tray_1x1</t>
        </is>
      </c>
      <c r="U387" s="8" t="inlineStr">
        <is>
          <t>allowed</t>
        </is>
      </c>
    </row>
    <row r="388" ht="34" customHeight="1">
      <c r="A388" s="8" t="n">
        <v>387</v>
      </c>
      <c r="B388" s="8" t="n">
        <v>400366</v>
      </c>
      <c r="C388" s="8" t="inlineStr">
        <is>
          <t>压脉石坠</t>
        </is>
      </c>
      <c r="D388" s="8" t="inlineStr">
        <is>
          <t>法器</t>
        </is>
      </c>
      <c r="E388" s="8" t="inlineStr">
        <is>
          <t>implement</t>
        </is>
      </c>
      <c r="F388" s="8" t="inlineStr">
        <is>
          <t>common</t>
        </is>
      </c>
      <c r="G388" s="8" t="inlineStr">
        <is>
          <t>土</t>
        </is>
      </c>
      <c r="H388" s="8" t="inlineStr">
        <is>
          <t>earth</t>
        </is>
      </c>
      <c r="I388" s="8" t="inlineStr">
        <is>
          <t>1×1</t>
        </is>
      </c>
      <c r="J388" s="8" t="n">
        <v>1</v>
      </c>
      <c r="K388" s="8" t="n">
        <v>9</v>
      </c>
      <c r="L388" s="8" t="inlineStr">
        <is>
          <t>是</t>
        </is>
      </c>
      <c r="M388" s="9" t="inlineStr">
        <is>
          <t>bazaar；dynamicRandomReward；itemReforge</t>
        </is>
      </c>
      <c r="N388" s="8" t="n">
        <v>1</v>
      </c>
      <c r="O388" s="9" t="inlineStr">
        <is>
          <t>周期触发</t>
        </is>
      </c>
      <c r="P388" s="9" t="inlineStr">
        <is>
          <t>periodicPulse</t>
        </is>
      </c>
      <c r="Q388" s="9" t="inlineStr">
        <is>
          <t>周期触发：将 2 点体力转化为 3 层蓄势；将 2 点体力转化为 4 层蓄势；将 3 点体力转化为 5 层蓄势；将 3 点体力转化为 6 层蓄势</t>
        </is>
      </c>
      <c r="R388" s="9" t="inlineStr"/>
      <c r="S388" s="9" t="inlineStr">
        <is>
          <t>灰石坠以细绳穿起，石面仅磨出一道浅槽，坠在掌心时沉得格外安稳。</t>
        </is>
      </c>
      <c r="T388" s="8" t="inlineStr">
        <is>
          <t>implement_meridian_pressing_stone_pendant_1x1</t>
        </is>
      </c>
      <c r="U388" s="8" t="inlineStr">
        <is>
          <t>allowed</t>
        </is>
      </c>
    </row>
    <row r="389" ht="34" customHeight="1">
      <c r="A389" s="8" t="n">
        <v>388</v>
      </c>
      <c r="B389" s="8" t="n">
        <v>400367</v>
      </c>
      <c r="C389" s="8" t="inlineStr">
        <is>
          <t>纳灵镇岳鼓</t>
        </is>
      </c>
      <c r="D389" s="8" t="inlineStr">
        <is>
          <t>法器</t>
        </is>
      </c>
      <c r="E389" s="8" t="inlineStr">
        <is>
          <t>implement</t>
        </is>
      </c>
      <c r="F389" s="8" t="inlineStr">
        <is>
          <t>common</t>
        </is>
      </c>
      <c r="G389" s="8" t="inlineStr">
        <is>
          <t>土</t>
        </is>
      </c>
      <c r="H389" s="8" t="inlineStr">
        <is>
          <t>earth</t>
        </is>
      </c>
      <c r="I389" s="8" t="inlineStr">
        <is>
          <t>2×2</t>
        </is>
      </c>
      <c r="J389" s="8" t="n">
        <v>4</v>
      </c>
      <c r="K389" s="8" t="n">
        <v>30</v>
      </c>
      <c r="L389" s="8" t="inlineStr">
        <is>
          <t>是</t>
        </is>
      </c>
      <c r="M389" s="9" t="inlineStr">
        <is>
          <t>bazaar；dynamicRandomReward；itemReforge</t>
        </is>
      </c>
      <c r="N389" s="8" t="n">
        <v>1</v>
      </c>
      <c r="O389" s="9" t="inlineStr">
        <is>
          <t>周期触发</t>
        </is>
      </c>
      <c r="P389" s="9" t="inlineStr">
        <is>
          <t>periodicPulse</t>
        </is>
      </c>
      <c r="Q389" s="9" t="inlineStr">
        <is>
          <t>周期触发：将 5 点法力转化为 6 层蓄势；将 6 点法力转化为 10 层蓄势；将 7 点法力转化为 14 层蓄势；将 8 点法力转化为 18 层蓄势</t>
        </is>
      </c>
      <c r="R389" s="9" t="inlineStr"/>
      <c r="S389" s="9" t="inlineStr">
        <is>
          <t>方鼓蒙着厚实的褐皮，鼓钉围成一圈沉静的山纹，鼓槌落下时声响很短却很重。</t>
        </is>
      </c>
      <c r="T389" s="8" t="inlineStr">
        <is>
          <t>implement_spirit_gathering_mountain_drum_2x2</t>
        </is>
      </c>
      <c r="U389" s="8" t="inlineStr">
        <is>
          <t>allowed</t>
        </is>
      </c>
    </row>
    <row r="390" ht="34" customHeight="1">
      <c r="A390" s="8" t="n">
        <v>389</v>
      </c>
      <c r="B390" s="8" t="n">
        <v>400368</v>
      </c>
      <c r="C390" s="8" t="inlineStr">
        <is>
          <t>四角负山架</t>
        </is>
      </c>
      <c r="D390" s="8" t="inlineStr">
        <is>
          <t>法器</t>
        </is>
      </c>
      <c r="E390" s="8" t="inlineStr">
        <is>
          <t>implement</t>
        </is>
      </c>
      <c r="F390" s="8" t="inlineStr">
        <is>
          <t>common</t>
        </is>
      </c>
      <c r="G390" s="8" t="inlineStr">
        <is>
          <t>土</t>
        </is>
      </c>
      <c r="H390" s="8" t="inlineStr">
        <is>
          <t>earth</t>
        </is>
      </c>
      <c r="I390" s="8" t="inlineStr">
        <is>
          <t>2×2</t>
        </is>
      </c>
      <c r="J390" s="8" t="n">
        <v>4</v>
      </c>
      <c r="K390" s="8" t="n">
        <v>18</v>
      </c>
      <c r="L390" s="8" t="inlineStr">
        <is>
          <t>是</t>
        </is>
      </c>
      <c r="M390" s="9" t="inlineStr">
        <is>
          <t>bazaar；dynamicRandomReward；itemReforge</t>
        </is>
      </c>
      <c r="N390" s="8" t="n">
        <v>1</v>
      </c>
      <c r="O390" s="9" t="inlineStr">
        <is>
          <t>周期触发</t>
        </is>
      </c>
      <c r="P390" s="9" t="inlineStr">
        <is>
          <t>periodicPulse</t>
        </is>
      </c>
      <c r="Q390" s="9" t="inlineStr">
        <is>
          <t>周期触发：每有 1 件相邻土属性道具，获得 1 层蓄势，最多计算 4 件；每有 1 件相邻土属性道具，获得 2 层蓄势，最多计算 4 件；每有 1 件相邻土属性道具，获得 3 层蓄势，最多计算 4 件；每有 1 件相邻土属性道具，获得 4 层蓄势，最多计算 4 件</t>
        </is>
      </c>
      <c r="R390" s="9" t="inlineStr"/>
      <c r="S390" s="9" t="inlineStr">
        <is>
          <t>厚木架的四角各嵌一块沉石，横梁上留着旧绳勒出的凹痕，放稳后几乎不再晃动。</t>
        </is>
      </c>
      <c r="T390" s="8" t="inlineStr">
        <is>
          <t>implement_four_corner_mountain_burden_frame_2x2</t>
        </is>
      </c>
      <c r="U390" s="8" t="inlineStr">
        <is>
          <t>allowed</t>
        </is>
      </c>
    </row>
    <row r="391" ht="34" customHeight="1">
      <c r="A391" s="8" t="n">
        <v>390</v>
      </c>
      <c r="B391" s="8" t="n">
        <v>400369</v>
      </c>
      <c r="C391" s="8" t="inlineStr">
        <is>
          <t>雨线飞针</t>
        </is>
      </c>
      <c r="D391" s="8" t="inlineStr">
        <is>
          <t>法器</t>
        </is>
      </c>
      <c r="E391" s="8" t="inlineStr">
        <is>
          <t>implement</t>
        </is>
      </c>
      <c r="F391" s="8" t="inlineStr">
        <is>
          <t>common</t>
        </is>
      </c>
      <c r="G391" s="8" t="inlineStr">
        <is>
          <t>水</t>
        </is>
      </c>
      <c r="H391" s="8" t="inlineStr">
        <is>
          <t>water</t>
        </is>
      </c>
      <c r="I391" s="8" t="inlineStr">
        <is>
          <t>1×1</t>
        </is>
      </c>
      <c r="J391" s="8" t="n">
        <v>1</v>
      </c>
      <c r="K391" s="8" t="n">
        <v>10</v>
      </c>
      <c r="L391" s="8" t="inlineStr">
        <is>
          <t>是</t>
        </is>
      </c>
      <c r="M391" s="9" t="inlineStr">
        <is>
          <t>bazaar；dynamicRandomReward；itemReforge</t>
        </is>
      </c>
      <c r="N391" s="8" t="n">
        <v>1</v>
      </c>
      <c r="O391" s="9" t="inlineStr">
        <is>
          <t>周期触发</t>
        </is>
      </c>
      <c r="P391" s="9" t="inlineStr">
        <is>
          <t>periodicPulse</t>
        </is>
      </c>
      <c r="Q391" s="9" t="inlineStr">
        <is>
          <t>周期触发：最多消耗 2 层露水；每消耗 1 层，对敌方造成 3 点伤害；最多消耗 3 层露水；每消耗 1 层，对敌方造成 3 点伤害；最多消耗 4 层露水；每消耗 1 层，对敌方造成 3 点伤害；最多消耗 5 层露水；每消耗 1 层，对敌方造成 3 点伤害</t>
        </is>
      </c>
      <c r="R391" s="9" t="inlineStr"/>
      <c r="S391" s="9" t="inlineStr">
        <is>
          <t>青铜针囊会把露珠牵成细线，轮转一到，针尖便循着水线疾射而出。</t>
        </is>
      </c>
      <c r="T391" s="8" t="inlineStr">
        <is>
          <t>implement_rainline_dart_1x1</t>
        </is>
      </c>
      <c r="U391" s="8" t="inlineStr">
        <is>
          <t>allowed</t>
        </is>
      </c>
    </row>
    <row r="392" ht="34" customHeight="1">
      <c r="A392" s="8" t="n">
        <v>391</v>
      </c>
      <c r="B392" s="8" t="n">
        <v>400370</v>
      </c>
      <c r="C392" s="8" t="inlineStr">
        <is>
          <t>破浪凿</t>
        </is>
      </c>
      <c r="D392" s="8" t="inlineStr">
        <is>
          <t>法器</t>
        </is>
      </c>
      <c r="E392" s="8" t="inlineStr">
        <is>
          <t>implement</t>
        </is>
      </c>
      <c r="F392" s="8" t="inlineStr">
        <is>
          <t>common</t>
        </is>
      </c>
      <c r="G392" s="8" t="inlineStr">
        <is>
          <t>水</t>
        </is>
      </c>
      <c r="H392" s="8" t="inlineStr">
        <is>
          <t>water</t>
        </is>
      </c>
      <c r="I392" s="8" t="inlineStr">
        <is>
          <t>1×2</t>
        </is>
      </c>
      <c r="J392" s="8" t="n">
        <v>2</v>
      </c>
      <c r="K392" s="8" t="n">
        <v>11</v>
      </c>
      <c r="L392" s="8" t="inlineStr">
        <is>
          <t>是</t>
        </is>
      </c>
      <c r="M392" s="9" t="inlineStr">
        <is>
          <t>bazaar；dynamicRandomReward；itemReforge</t>
        </is>
      </c>
      <c r="N392" s="8" t="n">
        <v>1</v>
      </c>
      <c r="O392" s="9" t="inlineStr">
        <is>
          <t>周期触发</t>
        </is>
      </c>
      <c r="P392" s="9" t="inlineStr">
        <is>
          <t>periodicPulse</t>
        </is>
      </c>
      <c r="Q392" s="9" t="inlineStr">
        <is>
          <t>周期触发：消耗 4 层露水；对敌方造成 8 点伤害，并移除 2 层护甲；消耗 6 层露水；对敌方造成 12 点伤害，并移除 3 层护甲；消耗 8 层露水；对敌方造成 16 点伤害，并移除 4 层护甲；消耗 10 层露水；对敌方造成 20 点伤害，并移除 5 层护甲</t>
        </is>
      </c>
      <c r="R392" s="9" t="inlineStr"/>
      <c r="S392" s="9" t="inlineStr">
        <is>
          <t>凿尖刻着逆浪纹，蓄足露水后一击穿潮，也能顺势削开敌方护甲。</t>
        </is>
      </c>
      <c r="T392" s="8" t="inlineStr">
        <is>
          <t>implement_wavebreaker_chisel_1x2</t>
        </is>
      </c>
      <c r="U392" s="8" t="inlineStr">
        <is>
          <t>allowed</t>
        </is>
      </c>
    </row>
    <row r="393" ht="34" customHeight="1">
      <c r="A393" s="8" t="n">
        <v>392</v>
      </c>
      <c r="B393" s="8" t="n">
        <v>400371</v>
      </c>
      <c r="C393" s="8" t="inlineStr">
        <is>
          <t>寒涟钩</t>
        </is>
      </c>
      <c r="D393" s="8" t="inlineStr">
        <is>
          <t>法器</t>
        </is>
      </c>
      <c r="E393" s="8" t="inlineStr">
        <is>
          <t>implement</t>
        </is>
      </c>
      <c r="F393" s="8" t="inlineStr">
        <is>
          <t>common</t>
        </is>
      </c>
      <c r="G393" s="8" t="inlineStr">
        <is>
          <t>水</t>
        </is>
      </c>
      <c r="H393" s="8" t="inlineStr">
        <is>
          <t>water</t>
        </is>
      </c>
      <c r="I393" s="8" t="inlineStr">
        <is>
          <t>1×2</t>
        </is>
      </c>
      <c r="J393" s="8" t="n">
        <v>2</v>
      </c>
      <c r="K393" s="8" t="n">
        <v>12</v>
      </c>
      <c r="L393" s="8" t="inlineStr">
        <is>
          <t>是</t>
        </is>
      </c>
      <c r="M393" s="9" t="inlineStr">
        <is>
          <t>bazaar；dynamicRandomReward；itemReforge</t>
        </is>
      </c>
      <c r="N393" s="8" t="n">
        <v>1</v>
      </c>
      <c r="O393" s="9" t="inlineStr">
        <is>
          <t>周期触发</t>
        </is>
      </c>
      <c r="P393" s="9" t="inlineStr">
        <is>
          <t>periodicPulse</t>
        </is>
      </c>
      <c r="Q393" s="9" t="inlineStr">
        <is>
          <t>周期触发：最多消耗 4 层露水；每消耗 1 层，对敌方施加 1 层冰霜；最多消耗 6 层露水；每消耗 1 层，对敌方施加 1 层冰霜；最多消耗 8 层露水；每消耗 1 层，对敌方施加 1 层冰霜；最多消耗 10 层露水；每消耗 1 层，对敌方施加 1 层冰霜</t>
        </is>
      </c>
      <c r="R393" s="9" t="inlineStr"/>
      <c r="S393" s="9" t="inlineStr">
        <is>
          <t>钩刃掠过露水便凝出白霜，寒涟沿锋口卷向对手，迟滞其气机。</t>
        </is>
      </c>
      <c r="T393" s="8" t="inlineStr">
        <is>
          <t>implement_frost_ripple_hook_1x2</t>
        </is>
      </c>
      <c r="U393" s="8" t="inlineStr">
        <is>
          <t>allowed</t>
        </is>
      </c>
    </row>
    <row r="394" ht="34" customHeight="1">
      <c r="A394" s="8" t="n">
        <v>393</v>
      </c>
      <c r="B394" s="8" t="n">
        <v>400372</v>
      </c>
      <c r="C394" s="8" t="inlineStr">
        <is>
          <t>压潮骨锤</t>
        </is>
      </c>
      <c r="D394" s="8" t="inlineStr">
        <is>
          <t>法器</t>
        </is>
      </c>
      <c r="E394" s="8" t="inlineStr">
        <is>
          <t>implement</t>
        </is>
      </c>
      <c r="F394" s="8" t="inlineStr">
        <is>
          <t>common</t>
        </is>
      </c>
      <c r="G394" s="8" t="inlineStr">
        <is>
          <t>水</t>
        </is>
      </c>
      <c r="H394" s="8" t="inlineStr">
        <is>
          <t>water</t>
        </is>
      </c>
      <c r="I394" s="8" t="inlineStr">
        <is>
          <t>1×2</t>
        </is>
      </c>
      <c r="J394" s="8" t="n">
        <v>2</v>
      </c>
      <c r="K394" s="8" t="n">
        <v>13</v>
      </c>
      <c r="L394" s="8" t="inlineStr">
        <is>
          <t>是</t>
        </is>
      </c>
      <c r="M394" s="9" t="inlineStr">
        <is>
          <t>bazaar；dynamicRandomReward；itemReforge</t>
        </is>
      </c>
      <c r="N394" s="8" t="n">
        <v>1</v>
      </c>
      <c r="O394" s="9" t="inlineStr">
        <is>
          <t>周期触发</t>
        </is>
      </c>
      <c r="P394" s="9" t="inlineStr">
        <is>
          <t>periodicPulse</t>
        </is>
      </c>
      <c r="Q394" s="9" t="inlineStr">
        <is>
          <t>周期触发：消耗 5 层露水；对敌方施加 5 层冰霜；消耗 7 层露水；对敌方施加 7 层冰霜；消耗 9 层露水；对敌方施加 9 层冰霜；消耗 11 层露水；对敌方施加 11 层冰霜</t>
        </is>
      </c>
      <c r="R394" s="9" t="inlineStr"/>
      <c r="S394" s="9" t="inlineStr">
        <is>
          <t>骨锤挥下时把露水压成沉潮，水势贴住敌身，令其步履愈发滞重。</t>
        </is>
      </c>
      <c r="T394" s="8" t="inlineStr">
        <is>
          <t>implement_tidepress_bone_hammer_1x2</t>
        </is>
      </c>
      <c r="U394" s="8" t="inlineStr">
        <is>
          <t>allowed</t>
        </is>
      </c>
    </row>
    <row r="395" ht="34" customHeight="1">
      <c r="A395" s="8" t="n">
        <v>394</v>
      </c>
      <c r="B395" s="8" t="n">
        <v>400373</v>
      </c>
      <c r="C395" s="8" t="inlineStr">
        <is>
          <t>回雨短刃</t>
        </is>
      </c>
      <c r="D395" s="8" t="inlineStr">
        <is>
          <t>法器</t>
        </is>
      </c>
      <c r="E395" s="8" t="inlineStr">
        <is>
          <t>implement</t>
        </is>
      </c>
      <c r="F395" s="8" t="inlineStr">
        <is>
          <t>common</t>
        </is>
      </c>
      <c r="G395" s="8" t="inlineStr">
        <is>
          <t>水</t>
        </is>
      </c>
      <c r="H395" s="8" t="inlineStr">
        <is>
          <t>water</t>
        </is>
      </c>
      <c r="I395" s="8" t="inlineStr">
        <is>
          <t>1×1</t>
        </is>
      </c>
      <c r="J395" s="8" t="n">
        <v>1</v>
      </c>
      <c r="K395" s="8" t="n">
        <v>10</v>
      </c>
      <c r="L395" s="8" t="inlineStr">
        <is>
          <t>是</t>
        </is>
      </c>
      <c r="M395" s="9" t="inlineStr">
        <is>
          <t>bazaar；dynamicRandomReward；itemReforge</t>
        </is>
      </c>
      <c r="N395" s="8" t="n">
        <v>1</v>
      </c>
      <c r="O395" s="9" t="inlineStr">
        <is>
          <t>条件触发</t>
        </is>
      </c>
      <c r="P395" s="9" t="inlineStr">
        <is>
          <t>triggered</t>
        </is>
      </c>
      <c r="Q395" s="9" t="inlineStr">
        <is>
          <t>条件触发：受到伤害时，最多消耗 2 层露水，每消耗 1 层，对敌方造成 3 点伤害；受到伤害时，最多消耗 3 层露水，每消耗 1 层，对敌方造成 3 点伤害；受到伤害时，最多消耗 4 层露水，每消耗 1 层，对敌方造成 3 点伤害；受到伤害时，最多消耗 5 层露水，每消耗 1 层，对敌方造成 3 点伤害</t>
        </is>
      </c>
      <c r="R395" s="9" t="inlineStr"/>
      <c r="S395" s="9" t="inlineStr">
        <is>
          <t>短刃受击便震落柄尾积露，雨珠沿反手刀势回射来敌。</t>
        </is>
      </c>
      <c r="T395" s="8" t="inlineStr">
        <is>
          <t>implement_returning_rain_blade_1x1</t>
        </is>
      </c>
      <c r="U395" s="8" t="inlineStr">
        <is>
          <t>allowed</t>
        </is>
      </c>
    </row>
    <row r="396" ht="34" customHeight="1">
      <c r="A396" s="8" t="n">
        <v>395</v>
      </c>
      <c r="B396" s="8" t="n">
        <v>400374</v>
      </c>
      <c r="C396" s="8" t="inlineStr">
        <is>
          <t>晨露破阵枪</t>
        </is>
      </c>
      <c r="D396" s="8" t="inlineStr">
        <is>
          <t>法器</t>
        </is>
      </c>
      <c r="E396" s="8" t="inlineStr">
        <is>
          <t>implement</t>
        </is>
      </c>
      <c r="F396" s="8" t="inlineStr">
        <is>
          <t>common</t>
        </is>
      </c>
      <c r="G396" s="8" t="inlineStr">
        <is>
          <t>水</t>
        </is>
      </c>
      <c r="H396" s="8" t="inlineStr">
        <is>
          <t>water</t>
        </is>
      </c>
      <c r="I396" s="8" t="inlineStr">
        <is>
          <t>1×3</t>
        </is>
      </c>
      <c r="J396" s="8" t="n">
        <v>3</v>
      </c>
      <c r="K396" s="8" t="n">
        <v>14</v>
      </c>
      <c r="L396" s="8" t="inlineStr">
        <is>
          <t>是</t>
        </is>
      </c>
      <c r="M396" s="9" t="inlineStr">
        <is>
          <t>bazaar；dynamicRandomReward；itemReforge</t>
        </is>
      </c>
      <c r="N396" s="8" t="n">
        <v>1</v>
      </c>
      <c r="O396" s="9" t="inlineStr">
        <is>
          <t>周期触发</t>
        </is>
      </c>
      <c r="P396" s="9" t="inlineStr">
        <is>
          <t>periodicPulse</t>
        </is>
      </c>
      <c r="Q396" s="9" t="inlineStr">
        <is>
          <t>周期触发：开局时，最多消耗 6 层露水；每消耗 1 层，对敌方造成 4 点伤害；最多消耗 6 层露水；每消耗 1 层，对敌方造成 4 点伤害；开局时，最多消耗 8 层露水；每消耗 1 层，对敌方造成 4 点伤害；最多消耗 8 层露水；每消耗 1 层，对敌方造成 4 点伤害；开局时，最多消耗 10 层露水；每消耗 1 层，对敌方造成 4 点伤害；最多消耗 10 层露水；每消耗 1 层，对敌方造成 4 点伤害；开局时，最多消耗 12 层露水；每消耗 1 层，对敌方造成 4 点伤害；最多消耗 12 层露水；每消耗 1 层，对敌方造成 4 点伤害</t>
        </is>
      </c>
      <c r="R396" s="9" t="inlineStr"/>
      <c r="S396" s="9" t="inlineStr">
        <is>
          <t>枪缨只在晨光中收露，开战第一枪便把整夜积下的水势一并贯出。</t>
        </is>
      </c>
      <c r="T396" s="8" t="inlineStr">
        <is>
          <t>implement_morning_dew_spear_1x3</t>
        </is>
      </c>
      <c r="U396" s="8" t="inlineStr">
        <is>
          <t>allowed</t>
        </is>
      </c>
    </row>
    <row r="397" ht="34" customHeight="1">
      <c r="A397" s="8" t="n">
        <v>396</v>
      </c>
      <c r="B397" s="8" t="n">
        <v>400375</v>
      </c>
      <c r="C397" s="8" t="inlineStr">
        <is>
          <t>断流斩水刀</t>
        </is>
      </c>
      <c r="D397" s="8" t="inlineStr">
        <is>
          <t>法器</t>
        </is>
      </c>
      <c r="E397" s="8" t="inlineStr">
        <is>
          <t>implement</t>
        </is>
      </c>
      <c r="F397" s="8" t="inlineStr">
        <is>
          <t>common</t>
        </is>
      </c>
      <c r="G397" s="8" t="inlineStr">
        <is>
          <t>水</t>
        </is>
      </c>
      <c r="H397" s="8" t="inlineStr">
        <is>
          <t>water</t>
        </is>
      </c>
      <c r="I397" s="8" t="inlineStr">
        <is>
          <t>1×2</t>
        </is>
      </c>
      <c r="J397" s="8" t="n">
        <v>2</v>
      </c>
      <c r="K397" s="8" t="n">
        <v>14</v>
      </c>
      <c r="L397" s="8" t="inlineStr">
        <is>
          <t>是</t>
        </is>
      </c>
      <c r="M397" s="9" t="inlineStr">
        <is>
          <t>bazaar；dynamicRandomReward；itemReforge</t>
        </is>
      </c>
      <c r="N397" s="8" t="n">
        <v>1</v>
      </c>
      <c r="O397" s="9" t="inlineStr">
        <is>
          <t>条件触发</t>
        </is>
      </c>
      <c r="P397" s="9" t="inlineStr">
        <is>
          <t>triggered</t>
        </is>
      </c>
      <c r="Q397" s="9" t="inlineStr">
        <is>
          <t>条件触发：当敌方气血首次低于 50% 时，消耗 4 层露水，对其造成 20 点伤害；当敌方气血首次低于 60% 时，消耗 5 层露水，对其造成 25 点伤害；当敌方气血首次低于 70% 时，消耗 6 层露水，对其造成 30 点伤害；当敌方气血首次低于 80% 时，消耗 7 层露水，对其造成 35 点伤害</t>
        </is>
      </c>
      <c r="R397" s="9" t="inlineStr"/>
      <c r="S397" s="9" t="inlineStr">
        <is>
          <t>刀背蓄露、刃口断流，只待对手气血衰落，便借水势补上决绝一斩。</t>
        </is>
      </c>
      <c r="T397" s="8" t="inlineStr">
        <is>
          <t>implement_streamsevering_saber_1x2</t>
        </is>
      </c>
      <c r="U397" s="8" t="inlineStr">
        <is>
          <t>allowed</t>
        </is>
      </c>
    </row>
    <row r="398" ht="34" customHeight="1">
      <c r="A398" s="8" t="n">
        <v>397</v>
      </c>
      <c r="B398" s="8" t="n">
        <v>400376</v>
      </c>
      <c r="C398" s="8" t="inlineStr">
        <is>
          <t>惊蛰铜签</t>
        </is>
      </c>
      <c r="D398" s="8" t="inlineStr">
        <is>
          <t>法器</t>
        </is>
      </c>
      <c r="E398" s="8" t="inlineStr">
        <is>
          <t>implement</t>
        </is>
      </c>
      <c r="F398" s="8" t="inlineStr">
        <is>
          <t>common</t>
        </is>
      </c>
      <c r="G398" s="8" t="inlineStr">
        <is>
          <t>雷</t>
        </is>
      </c>
      <c r="H398" s="8" t="inlineStr">
        <is>
          <t>thunder</t>
        </is>
      </c>
      <c r="I398" s="8" t="inlineStr">
        <is>
          <t>1×1</t>
        </is>
      </c>
      <c r="J398" s="8" t="n">
        <v>1</v>
      </c>
      <c r="K398" s="8" t="n">
        <v>7</v>
      </c>
      <c r="L398" s="8" t="inlineStr">
        <is>
          <t>是</t>
        </is>
      </c>
      <c r="M398" s="9" t="inlineStr">
        <is>
          <t>bazaar；dynamicRandomReward；itemReforge</t>
        </is>
      </c>
      <c r="N398" s="8" t="n">
        <v>1</v>
      </c>
      <c r="O398" s="9" t="inlineStr">
        <is>
          <t>周期触发</t>
        </is>
      </c>
      <c r="P398" s="9" t="inlineStr">
        <is>
          <t>periodicPulse</t>
        </is>
      </c>
      <c r="Q398" s="9" t="inlineStr">
        <is>
          <t>周期触发：获得 1 层引雷；获得 2 层引雷；获得 3 层引雷；获得 4 层引雷</t>
        </is>
      </c>
      <c r="R398" s="9" t="inlineStr"/>
      <c r="S398" s="9" t="inlineStr">
        <is>
          <t>细长铜签刻着初雷般的裂纹，轻触时会传来惊蛰前低沉的震颤。</t>
        </is>
      </c>
      <c r="T398" s="8" t="inlineStr">
        <is>
          <t>implement_awakening_thunder_tally_1x1</t>
        </is>
      </c>
      <c r="U398" s="8" t="inlineStr">
        <is>
          <t>allowed</t>
        </is>
      </c>
    </row>
    <row r="399" ht="34" customHeight="1">
      <c r="A399" s="8" t="n">
        <v>398</v>
      </c>
      <c r="B399" s="8" t="n">
        <v>400377</v>
      </c>
      <c r="C399" s="8" t="inlineStr">
        <is>
          <t>悬霆竹匣</t>
        </is>
      </c>
      <c r="D399" s="8" t="inlineStr">
        <is>
          <t>法器</t>
        </is>
      </c>
      <c r="E399" s="8" t="inlineStr">
        <is>
          <t>implement</t>
        </is>
      </c>
      <c r="F399" s="8" t="inlineStr">
        <is>
          <t>common</t>
        </is>
      </c>
      <c r="G399" s="8" t="inlineStr">
        <is>
          <t>雷</t>
        </is>
      </c>
      <c r="H399" s="8" t="inlineStr">
        <is>
          <t>thunder</t>
        </is>
      </c>
      <c r="I399" s="8" t="inlineStr">
        <is>
          <t>1×2</t>
        </is>
      </c>
      <c r="J399" s="8" t="n">
        <v>2</v>
      </c>
      <c r="K399" s="8" t="n">
        <v>10</v>
      </c>
      <c r="L399" s="8" t="inlineStr">
        <is>
          <t>是</t>
        </is>
      </c>
      <c r="M399" s="9" t="inlineStr">
        <is>
          <t>bazaar；dynamicRandomReward；itemReforge</t>
        </is>
      </c>
      <c r="N399" s="8" t="n">
        <v>1</v>
      </c>
      <c r="O399" s="9" t="inlineStr">
        <is>
          <t>周期触发</t>
        </is>
      </c>
      <c r="P399" s="9" t="inlineStr">
        <is>
          <t>periodicPulse</t>
        </is>
      </c>
      <c r="Q399" s="9" t="inlineStr">
        <is>
          <t>周期触发：开局时，位于储物袋顶部，获得 5 层引雷；开局时，位于储物袋顶部，获得 6 层引雷；开局时，位于储物袋顶部，获得 7 层引雷；开局时，位于储物袋顶部，获得 8 层引雷</t>
        </is>
      </c>
      <c r="R399" s="9" t="inlineStr"/>
      <c r="S399" s="9" t="inlineStr">
        <is>
          <t>窄长竹匣以铜扣悬系，匣缝里偶尔闪过被收住的细碎电光。</t>
        </is>
      </c>
      <c r="T399" s="8" t="inlineStr">
        <is>
          <t>implement_hanging_thunder_bamboo_case_1x2</t>
        </is>
      </c>
      <c r="U399" s="8" t="inlineStr">
        <is>
          <t>allowed</t>
        </is>
      </c>
    </row>
    <row r="400" ht="34" customHeight="1">
      <c r="A400" s="8" t="n">
        <v>399</v>
      </c>
      <c r="B400" s="8" t="n">
        <v>400378</v>
      </c>
      <c r="C400" s="8" t="inlineStr">
        <is>
          <t>走脉雷扣</t>
        </is>
      </c>
      <c r="D400" s="8" t="inlineStr">
        <is>
          <t>法器</t>
        </is>
      </c>
      <c r="E400" s="8" t="inlineStr">
        <is>
          <t>implement</t>
        </is>
      </c>
      <c r="F400" s="8" t="inlineStr">
        <is>
          <t>common</t>
        </is>
      </c>
      <c r="G400" s="8" t="inlineStr">
        <is>
          <t>雷</t>
        </is>
      </c>
      <c r="H400" s="8" t="inlineStr">
        <is>
          <t>thunder</t>
        </is>
      </c>
      <c r="I400" s="8" t="inlineStr">
        <is>
          <t>1×1</t>
        </is>
      </c>
      <c r="J400" s="8" t="n">
        <v>1</v>
      </c>
      <c r="K400" s="8" t="n">
        <v>8</v>
      </c>
      <c r="L400" s="8" t="inlineStr">
        <is>
          <t>是</t>
        </is>
      </c>
      <c r="M400" s="9" t="inlineStr">
        <is>
          <t>bazaar；dynamicRandomReward；itemReforge</t>
        </is>
      </c>
      <c r="N400" s="8" t="n">
        <v>1</v>
      </c>
      <c r="O400" s="9" t="inlineStr">
        <is>
          <t>条件触发</t>
        </is>
      </c>
      <c r="P400" s="9" t="inlineStr">
        <is>
          <t>triggered</t>
        </is>
      </c>
      <c r="Q400" s="9" t="inlineStr">
        <is>
          <t>条件触发：每当消耗体力后，获得 1 层引雷；每当消耗体力后，获得 2 层引雷；每当消耗体力后，获得 3 层引雷；每当消耗体力后，获得 4 层引雷</t>
        </is>
      </c>
      <c r="R400" s="9" t="inlineStr"/>
      <c r="S400" s="9" t="inlineStr">
        <is>
          <t>圆铜扣内嵌一圈导雷细槽，体力流转时雷意便沿槽纹绕行。</t>
        </is>
      </c>
      <c r="T400" s="8" t="inlineStr">
        <is>
          <t>implement_pulse_running_thunder_clasp_1x1</t>
        </is>
      </c>
      <c r="U400" s="8" t="inlineStr">
        <is>
          <t>allowed</t>
        </is>
      </c>
    </row>
    <row r="401" ht="34" customHeight="1">
      <c r="A401" s="8" t="n">
        <v>400</v>
      </c>
      <c r="B401" s="8" t="n">
        <v>400379</v>
      </c>
      <c r="C401" s="8" t="inlineStr">
        <is>
          <t>歇焰雷瓶</t>
        </is>
      </c>
      <c r="D401" s="8" t="inlineStr">
        <is>
          <t>法器</t>
        </is>
      </c>
      <c r="E401" s="8" t="inlineStr">
        <is>
          <t>implement</t>
        </is>
      </c>
      <c r="F401" s="8" t="inlineStr">
        <is>
          <t>common</t>
        </is>
      </c>
      <c r="G401" s="8" t="inlineStr">
        <is>
          <t>雷</t>
        </is>
      </c>
      <c r="H401" s="8" t="inlineStr">
        <is>
          <t>thunder</t>
        </is>
      </c>
      <c r="I401" s="8" t="inlineStr">
        <is>
          <t>1×1</t>
        </is>
      </c>
      <c r="J401" s="8" t="n">
        <v>1</v>
      </c>
      <c r="K401" s="8" t="n">
        <v>9</v>
      </c>
      <c r="L401" s="8" t="inlineStr">
        <is>
          <t>是</t>
        </is>
      </c>
      <c r="M401" s="9" t="inlineStr">
        <is>
          <t>bazaar；dynamicRandomReward；itemReforge</t>
        </is>
      </c>
      <c r="N401" s="8" t="n">
        <v>1</v>
      </c>
      <c r="O401" s="9" t="inlineStr">
        <is>
          <t>周期触发</t>
        </is>
      </c>
      <c r="P401" s="9" t="inlineStr">
        <is>
          <t>periodicPulse</t>
        </is>
      </c>
      <c r="Q401" s="9" t="inlineStr">
        <is>
          <t>周期触发：将 2 层炎热转化为 2 层引雷</t>
        </is>
      </c>
      <c r="R401" s="9" t="inlineStr"/>
      <c r="S401" s="9" t="inlineStr">
        <is>
          <t>矮腹铜瓶一半留着余烬红光，一半爬着细雷，冷热交界处不断轻鸣。</t>
        </is>
      </c>
      <c r="T401" s="8" t="inlineStr">
        <is>
          <t>implement_banked_flame_thunder_bottle_1x1</t>
        </is>
      </c>
      <c r="U401" s="8" t="inlineStr">
        <is>
          <t>allowed</t>
        </is>
      </c>
    </row>
    <row r="402" ht="34" customHeight="1">
      <c r="A402" s="8" t="n">
        <v>401</v>
      </c>
      <c r="B402" s="8" t="n">
        <v>400380</v>
      </c>
      <c r="C402" s="8" t="inlineStr">
        <is>
          <t>伏霆铁尺</t>
        </is>
      </c>
      <c r="D402" s="8" t="inlineStr">
        <is>
          <t>法器</t>
        </is>
      </c>
      <c r="E402" s="8" t="inlineStr">
        <is>
          <t>implement</t>
        </is>
      </c>
      <c r="F402" s="8" t="inlineStr">
        <is>
          <t>common</t>
        </is>
      </c>
      <c r="G402" s="8" t="inlineStr">
        <is>
          <t>雷</t>
        </is>
      </c>
      <c r="H402" s="8" t="inlineStr">
        <is>
          <t>thunder</t>
        </is>
      </c>
      <c r="I402" s="8" t="inlineStr">
        <is>
          <t>1×2</t>
        </is>
      </c>
      <c r="J402" s="8" t="n">
        <v>2</v>
      </c>
      <c r="K402" s="8" t="n">
        <v>11</v>
      </c>
      <c r="L402" s="8" t="inlineStr">
        <is>
          <t>是</t>
        </is>
      </c>
      <c r="M402" s="9" t="inlineStr">
        <is>
          <t>bazaar；dynamicRandomReward；itemReforge</t>
        </is>
      </c>
      <c r="N402" s="8" t="n">
        <v>1</v>
      </c>
      <c r="O402" s="9" t="inlineStr">
        <is>
          <t>条件触发</t>
        </is>
      </c>
      <c r="P402" s="9" t="inlineStr">
        <is>
          <t>triggered</t>
        </is>
      </c>
      <c r="Q402" s="9" t="inlineStr">
        <is>
          <t>条件触发：左侧相邻武器使用时，获得 1 层引雷，并对敌方施加 1 层冰霜；左侧相邻武器使用时，对敌方施加 1 层冰霜；左侧相邻武器使用时，获得 2 层引雷，并对敌方施加 2 层冰霜；左侧相邻武器使用时，对敌方施加 2 层冰霜；左侧相邻武器使用时，获得 3 层引雷，并对敌方施加 3 层冰霜；左侧相邻武器使用时，对敌方施加 3 层冰霜；左侧相邻武器使用时，获得 4 层引雷，并对敌方施加 4 层冰霜；左侧相邻武器使用时，对敌方施加 4 层冰霜</t>
        </is>
      </c>
      <c r="R402" s="9" t="inlineStr"/>
      <c r="S402" s="9" t="inlineStr">
        <is>
          <t>乌铁长尺边缘布着节状雷齿，邻近兵刃挥动时便回以一记闷雷。</t>
        </is>
      </c>
      <c r="T402" s="8" t="inlineStr">
        <is>
          <t>implement_subdued_thunder_iron_ruler_1x2</t>
        </is>
      </c>
      <c r="U402" s="8" t="inlineStr">
        <is>
          <t>allowed</t>
        </is>
      </c>
    </row>
    <row r="403" ht="34" customHeight="1">
      <c r="A403" s="8" t="n">
        <v>402</v>
      </c>
      <c r="B403" s="8" t="n">
        <v>400381</v>
      </c>
      <c r="C403" s="8" t="inlineStr">
        <is>
          <t>四隅鸣雷盘</t>
        </is>
      </c>
      <c r="D403" s="8" t="inlineStr">
        <is>
          <t>法器</t>
        </is>
      </c>
      <c r="E403" s="8" t="inlineStr">
        <is>
          <t>implement</t>
        </is>
      </c>
      <c r="F403" s="8" t="inlineStr">
        <is>
          <t>common</t>
        </is>
      </c>
      <c r="G403" s="8" t="inlineStr">
        <is>
          <t>雷</t>
        </is>
      </c>
      <c r="H403" s="8" t="inlineStr">
        <is>
          <t>thunder</t>
        </is>
      </c>
      <c r="I403" s="8" t="inlineStr">
        <is>
          <t>2×2</t>
        </is>
      </c>
      <c r="J403" s="8" t="n">
        <v>4</v>
      </c>
      <c r="K403" s="8" t="n">
        <v>25</v>
      </c>
      <c r="L403" s="8" t="inlineStr">
        <is>
          <t>是</t>
        </is>
      </c>
      <c r="M403" s="9" t="inlineStr">
        <is>
          <t>bazaar；dynamicRandomReward；itemReforge</t>
        </is>
      </c>
      <c r="N403" s="8" t="n">
        <v>1</v>
      </c>
      <c r="O403" s="9" t="inlineStr">
        <is>
          <t>周期触发</t>
        </is>
      </c>
      <c r="P403" s="9" t="inlineStr">
        <is>
          <t>periodicPulse</t>
        </is>
      </c>
      <c r="Q403" s="9" t="inlineStr">
        <is>
          <t>周期触发：相邻至少 3 件雷属性道具时，获得 3 层引雷；相邻至少 3 件雷属性道具时，获得 4 层引雷；相邻至少 3 件雷属性道具时，获得 5 层引雷；相邻至少 3 件雷属性道具时，获得 6 层引雷</t>
        </is>
      </c>
      <c r="R403" s="9" t="inlineStr"/>
      <c r="S403" s="9" t="inlineStr">
        <is>
          <t>方盘四角各嵌一枚铜雷珠，邻近雷器越多，四角鸣声越趋整齐。</t>
        </is>
      </c>
      <c r="T403" s="8" t="inlineStr">
        <is>
          <t>implement_four_corner_thunder_plate_2x2</t>
        </is>
      </c>
      <c r="U403" s="8" t="inlineStr">
        <is>
          <t>allowed</t>
        </is>
      </c>
    </row>
    <row r="404" ht="34" customHeight="1">
      <c r="A404" s="8" t="n">
        <v>403</v>
      </c>
      <c r="B404" s="8" t="n">
        <v>400382</v>
      </c>
      <c r="C404" s="8" t="inlineStr">
        <is>
          <t>霆息木鱼</t>
        </is>
      </c>
      <c r="D404" s="8" t="inlineStr">
        <is>
          <t>法器</t>
        </is>
      </c>
      <c r="E404" s="8" t="inlineStr">
        <is>
          <t>implement</t>
        </is>
      </c>
      <c r="F404" s="8" t="inlineStr">
        <is>
          <t>common</t>
        </is>
      </c>
      <c r="G404" s="8" t="inlineStr">
        <is>
          <t>雷</t>
        </is>
      </c>
      <c r="H404" s="8" t="inlineStr">
        <is>
          <t>thunder</t>
        </is>
      </c>
      <c r="I404" s="8" t="inlineStr">
        <is>
          <t>1×1</t>
        </is>
      </c>
      <c r="J404" s="8" t="n">
        <v>1</v>
      </c>
      <c r="K404" s="8" t="n">
        <v>8</v>
      </c>
      <c r="L404" s="8" t="inlineStr">
        <is>
          <t>是</t>
        </is>
      </c>
      <c r="M404" s="9" t="inlineStr">
        <is>
          <t>bazaar；dynamicRandomReward；itemReforge</t>
        </is>
      </c>
      <c r="N404" s="8" t="n">
        <v>1</v>
      </c>
      <c r="O404" s="9" t="inlineStr">
        <is>
          <t>条件触发</t>
        </is>
      </c>
      <c r="P404" s="9" t="inlineStr">
        <is>
          <t>triggered</t>
        </is>
      </c>
      <c r="Q404" s="9" t="inlineStr">
        <is>
          <t>条件触发：其他道具消耗露水时，获得 1 层引雷；其他道具消耗露水时，获得 2 层引雷；其他道具消耗露水时，获得 3 层引雷；其他道具消耗露水时，获得 4 层引雷</t>
        </is>
      </c>
      <c r="R404" s="9" t="inlineStr"/>
      <c r="S404" s="9" t="inlineStr">
        <is>
          <t>深色木鱼腹内藏着细铜簧，露水被别的器物耗去时便自行敲出雷音。</t>
        </is>
      </c>
      <c r="T404" s="8" t="inlineStr">
        <is>
          <t>implement_thunder_breath_wooden_fish_1x1</t>
        </is>
      </c>
      <c r="U404" s="8" t="inlineStr">
        <is>
          <t>allowed</t>
        </is>
      </c>
    </row>
    <row r="405" ht="34" customHeight="1">
      <c r="A405" s="8" t="n">
        <v>404</v>
      </c>
      <c r="B405" s="8" t="n">
        <v>400383</v>
      </c>
      <c r="C405" s="8" t="inlineStr">
        <is>
          <t>护心雷甲</t>
        </is>
      </c>
      <c r="D405" s="8" t="inlineStr">
        <is>
          <t>法器</t>
        </is>
      </c>
      <c r="E405" s="8" t="inlineStr">
        <is>
          <t>implement</t>
        </is>
      </c>
      <c r="F405" s="8" t="inlineStr">
        <is>
          <t>common</t>
        </is>
      </c>
      <c r="G405" s="8" t="inlineStr">
        <is>
          <t>雷</t>
        </is>
      </c>
      <c r="H405" s="8" t="inlineStr">
        <is>
          <t>thunder</t>
        </is>
      </c>
      <c r="I405" s="8" t="inlineStr">
        <is>
          <t>2×1</t>
        </is>
      </c>
      <c r="J405" s="8" t="n">
        <v>2</v>
      </c>
      <c r="K405" s="8" t="n">
        <v>11</v>
      </c>
      <c r="L405" s="8" t="inlineStr">
        <is>
          <t>是</t>
        </is>
      </c>
      <c r="M405" s="9" t="inlineStr">
        <is>
          <t>bazaar；dynamicRandomReward；itemReforge</t>
        </is>
      </c>
      <c r="N405" s="8" t="n">
        <v>1</v>
      </c>
      <c r="O405" s="9" t="inlineStr">
        <is>
          <t>条件触发</t>
        </is>
      </c>
      <c r="P405" s="9" t="inlineStr">
        <is>
          <t>triggered</t>
        </is>
      </c>
      <c r="Q405" s="9" t="inlineStr">
        <is>
          <t>条件触发：受到伤害时，获得 2 层引雷；受到伤害时，获得 3 层引雷；受到伤害时，获得 4 层引雷；受到伤害时，获得 5 层引雷</t>
        </is>
      </c>
      <c r="R405" s="9" t="inlineStr"/>
      <c r="S405" s="9" t="inlineStr">
        <is>
          <t>横覆胸前的铜甲片中嵌着护心雷石，受击时会将震力收成电光。</t>
        </is>
      </c>
      <c r="T405" s="8" t="inlineStr">
        <is>
          <t>implement_heart_guard_thunder_armor_2x1</t>
        </is>
      </c>
      <c r="U405" s="8" t="inlineStr">
        <is>
          <t>allowed</t>
        </is>
      </c>
    </row>
    <row r="406" ht="34" customHeight="1">
      <c r="A406" s="8" t="n">
        <v>405</v>
      </c>
      <c r="B406" s="8" t="n">
        <v>400384</v>
      </c>
      <c r="C406" s="8" t="inlineStr">
        <is>
          <t>破霜雷盏</t>
        </is>
      </c>
      <c r="D406" s="8" t="inlineStr">
        <is>
          <t>法器</t>
        </is>
      </c>
      <c r="E406" s="8" t="inlineStr">
        <is>
          <t>implement</t>
        </is>
      </c>
      <c r="F406" s="8" t="inlineStr">
        <is>
          <t>common</t>
        </is>
      </c>
      <c r="G406" s="8" t="inlineStr">
        <is>
          <t>雷</t>
        </is>
      </c>
      <c r="H406" s="8" t="inlineStr">
        <is>
          <t>thunder</t>
        </is>
      </c>
      <c r="I406" s="8" t="inlineStr">
        <is>
          <t>1×1</t>
        </is>
      </c>
      <c r="J406" s="8" t="n">
        <v>1</v>
      </c>
      <c r="K406" s="8" t="n">
        <v>9</v>
      </c>
      <c r="L406" s="8" t="inlineStr">
        <is>
          <t>是</t>
        </is>
      </c>
      <c r="M406" s="9" t="inlineStr">
        <is>
          <t>bazaar；dynamicRandomReward；itemReforge</t>
        </is>
      </c>
      <c r="N406" s="8" t="n">
        <v>1</v>
      </c>
      <c r="O406" s="9" t="inlineStr">
        <is>
          <t>周期触发</t>
        </is>
      </c>
      <c r="P406" s="9" t="inlineStr">
        <is>
          <t>periodicPulse</t>
        </is>
      </c>
      <c r="Q406" s="9" t="inlineStr">
        <is>
          <t>周期触发：将 2 层寒冷转化为 2 层引雷</t>
        </is>
      </c>
      <c r="R406" s="9" t="inlineStr"/>
      <c r="S406" s="9" t="inlineStr">
        <is>
          <t>浅银雷盏的杯沿凝着白霜，盏底电光一闪便将霜意击碎。</t>
        </is>
      </c>
      <c r="T406" s="8" t="inlineStr">
        <is>
          <t>implement_frost_breaking_thunder_cup_1x1</t>
        </is>
      </c>
      <c r="U406" s="8" t="inlineStr">
        <is>
          <t>allowed</t>
        </is>
      </c>
    </row>
    <row r="407" ht="34" customHeight="1">
      <c r="A407" s="8" t="n">
        <v>406</v>
      </c>
      <c r="B407" s="8" t="n">
        <v>400385</v>
      </c>
      <c r="C407" s="8" t="inlineStr">
        <is>
          <t>应法雷轮</t>
        </is>
      </c>
      <c r="D407" s="8" t="inlineStr">
        <is>
          <t>法器</t>
        </is>
      </c>
      <c r="E407" s="8" t="inlineStr">
        <is>
          <t>implement</t>
        </is>
      </c>
      <c r="F407" s="8" t="inlineStr">
        <is>
          <t>common</t>
        </is>
      </c>
      <c r="G407" s="8" t="inlineStr">
        <is>
          <t>雷</t>
        </is>
      </c>
      <c r="H407" s="8" t="inlineStr">
        <is>
          <t>thunder</t>
        </is>
      </c>
      <c r="I407" s="8" t="inlineStr">
        <is>
          <t>1×2</t>
        </is>
      </c>
      <c r="J407" s="8" t="n">
        <v>2</v>
      </c>
      <c r="K407" s="8" t="n">
        <v>10</v>
      </c>
      <c r="L407" s="8" t="inlineStr">
        <is>
          <t>是</t>
        </is>
      </c>
      <c r="M407" s="9" t="inlineStr">
        <is>
          <t>bazaar；dynamicRandomReward；itemReforge</t>
        </is>
      </c>
      <c r="N407" s="8" t="n">
        <v>1</v>
      </c>
      <c r="O407" s="9" t="inlineStr">
        <is>
          <t>条件触发</t>
        </is>
      </c>
      <c r="P407" s="9" t="inlineStr">
        <is>
          <t>triggered</t>
        </is>
      </c>
      <c r="Q407" s="9" t="inlineStr">
        <is>
          <t>条件触发：右侧相邻招式使用时，获得 1 层引雷；右侧相邻招式使用时，获得 2 层引雷；右侧相邻招式使用时，获得 3 层引雷；右侧相邻招式使用时，获得 4 层引雷</t>
        </is>
      </c>
      <c r="R407" s="9" t="inlineStr"/>
      <c r="S407" s="9" t="inlineStr">
        <is>
          <t>窄长雷轮以铜轴串起三层齿环，邻近法术起势时便顺势转鸣。</t>
        </is>
      </c>
      <c r="T407" s="8" t="inlineStr">
        <is>
          <t>implement_spell_answering_thunder_wheel_1x2</t>
        </is>
      </c>
      <c r="U407" s="8" t="inlineStr">
        <is>
          <t>allowed</t>
        </is>
      </c>
    </row>
    <row r="408" ht="34" customHeight="1">
      <c r="A408" s="8" t="n">
        <v>407</v>
      </c>
      <c r="B408" s="8" t="n">
        <v>400386</v>
      </c>
      <c r="C408" s="8" t="inlineStr">
        <is>
          <t>甲纹凝金盏</t>
        </is>
      </c>
      <c r="D408" s="8" t="inlineStr">
        <is>
          <t>法器</t>
        </is>
      </c>
      <c r="E408" s="8" t="inlineStr">
        <is>
          <t>implement</t>
        </is>
      </c>
      <c r="F408" s="8" t="inlineStr">
        <is>
          <t>common</t>
        </is>
      </c>
      <c r="G408" s="8" t="inlineStr">
        <is>
          <t>金</t>
        </is>
      </c>
      <c r="H408" s="8" t="inlineStr">
        <is>
          <t>metal</t>
        </is>
      </c>
      <c r="I408" s="8" t="inlineStr">
        <is>
          <t>1×1</t>
        </is>
      </c>
      <c r="J408" s="8" t="n">
        <v>1</v>
      </c>
      <c r="K408" s="8" t="n">
        <v>8</v>
      </c>
      <c r="L408" s="8" t="inlineStr">
        <is>
          <t>是</t>
        </is>
      </c>
      <c r="M408" s="9" t="inlineStr">
        <is>
          <t>bazaar；dynamicRandomReward；itemReforge</t>
        </is>
      </c>
      <c r="N408" s="8" t="n">
        <v>1</v>
      </c>
      <c r="O408" s="9" t="inlineStr">
        <is>
          <t>周期触发</t>
        </is>
      </c>
      <c r="P408" s="9" t="inlineStr">
        <is>
          <t>periodicPulse</t>
        </is>
      </c>
      <c r="Q408" s="9" t="inlineStr">
        <is>
          <t>周期触发：拥有不少于 3 层护甲时，获得 2 层凝金；拥有不少于 3 层护甲时，获得 3 层凝金；拥有不少于 3 层护甲时，获得 4 层凝金；拥有不少于 3 层护甲时，获得 5 层凝金</t>
        </is>
      </c>
      <c r="R408" s="9" t="inlineStr"/>
      <c r="S408" s="9" t="inlineStr">
        <is>
          <t>小盏外壁压着层叠甲纹，护甲气息充盈时盏心会析出细金芒。</t>
        </is>
      </c>
      <c r="T408" s="8" t="inlineStr">
        <is>
          <t>implement_armor_pattern_metal_cup_1x1</t>
        </is>
      </c>
      <c r="U408" s="8" t="inlineStr">
        <is>
          <t>allowed</t>
        </is>
      </c>
    </row>
    <row r="409" ht="34" customHeight="1">
      <c r="A409" s="8" t="n">
        <v>408</v>
      </c>
      <c r="B409" s="8" t="n">
        <v>400387</v>
      </c>
      <c r="C409" s="8" t="inlineStr">
        <is>
          <t>贴壁聚锋尺</t>
        </is>
      </c>
      <c r="D409" s="8" t="inlineStr">
        <is>
          <t>法器</t>
        </is>
      </c>
      <c r="E409" s="8" t="inlineStr">
        <is>
          <t>implement</t>
        </is>
      </c>
      <c r="F409" s="8" t="inlineStr">
        <is>
          <t>common</t>
        </is>
      </c>
      <c r="G409" s="8" t="inlineStr">
        <is>
          <t>金</t>
        </is>
      </c>
      <c r="H409" s="8" t="inlineStr">
        <is>
          <t>metal</t>
        </is>
      </c>
      <c r="I409" s="8" t="inlineStr">
        <is>
          <t>1×2</t>
        </is>
      </c>
      <c r="J409" s="8" t="n">
        <v>2</v>
      </c>
      <c r="K409" s="8" t="n">
        <v>9</v>
      </c>
      <c r="L409" s="8" t="inlineStr">
        <is>
          <t>是</t>
        </is>
      </c>
      <c r="M409" s="9" t="inlineStr">
        <is>
          <t>bazaar；dynamicRandomReward；itemReforge</t>
        </is>
      </c>
      <c r="N409" s="8" t="n">
        <v>1</v>
      </c>
      <c r="O409" s="9" t="inlineStr">
        <is>
          <t>周期触发</t>
        </is>
      </c>
      <c r="P409" s="9" t="inlineStr">
        <is>
          <t>periodicPulse</t>
        </is>
      </c>
      <c r="Q409" s="9" t="inlineStr">
        <is>
          <t>周期触发：位于储物袋边缘时，将 4 点法力转化为 3 层凝金；位于储物袋边缘时，将 5 点法力转化为 4 层凝金；位于储物袋边缘时，将 6 点法力转化为 5 层凝金；位于储物袋边缘时，将 7 点法力转化为 6 层凝金</t>
        </is>
      </c>
      <c r="R409" s="9" t="inlineStr"/>
      <c r="S409" s="9" t="inlineStr">
        <is>
          <t>窄长金尺一侧磨得平直，贴着袋壁时能把散乱法力压成锋利金气。</t>
        </is>
      </c>
      <c r="T409" s="8" t="inlineStr">
        <is>
          <t>implement_edge_clinging_edge_ruler_1x2</t>
        </is>
      </c>
      <c r="U409" s="8" t="inlineStr">
        <is>
          <t>allowed</t>
        </is>
      </c>
    </row>
    <row r="410" ht="34" customHeight="1">
      <c r="A410" s="8" t="n">
        <v>409</v>
      </c>
      <c r="B410" s="8" t="n">
        <v>400388</v>
      </c>
      <c r="C410" s="8" t="inlineStr">
        <is>
          <t>沉腕铸息环</t>
        </is>
      </c>
      <c r="D410" s="8" t="inlineStr">
        <is>
          <t>法器</t>
        </is>
      </c>
      <c r="E410" s="8" t="inlineStr">
        <is>
          <t>implement</t>
        </is>
      </c>
      <c r="F410" s="8" t="inlineStr">
        <is>
          <t>common</t>
        </is>
      </c>
      <c r="G410" s="8" t="inlineStr">
        <is>
          <t>金</t>
        </is>
      </c>
      <c r="H410" s="8" t="inlineStr">
        <is>
          <t>metal</t>
        </is>
      </c>
      <c r="I410" s="8" t="inlineStr">
        <is>
          <t>1×1</t>
        </is>
      </c>
      <c r="J410" s="8" t="n">
        <v>1</v>
      </c>
      <c r="K410" s="8" t="n">
        <v>8</v>
      </c>
      <c r="L410" s="8" t="inlineStr">
        <is>
          <t>是</t>
        </is>
      </c>
      <c r="M410" s="9" t="inlineStr">
        <is>
          <t>bazaar；dynamicRandomReward；itemReforge</t>
        </is>
      </c>
      <c r="N410" s="8" t="n">
        <v>1</v>
      </c>
      <c r="O410" s="9" t="inlineStr">
        <is>
          <t>条件触发</t>
        </is>
      </c>
      <c r="P410" s="9" t="inlineStr">
        <is>
          <t>triggered</t>
        </is>
      </c>
      <c r="Q410" s="9" t="inlineStr">
        <is>
          <t>条件触发：每当消耗体力后，获得 1 层凝金；每当消耗体力后，获得 2 层凝金；每当消耗体力后，获得 3 层凝金；每当消耗体力后，获得 4 层凝金</t>
        </is>
      </c>
      <c r="R410" s="9" t="inlineStr"/>
      <c r="S410" s="9" t="inlineStr">
        <is>
          <t>沉实铁环贴腕而戴，体力一经发劲，环内便凝出一线金锋。</t>
        </is>
      </c>
      <c r="T410" s="8" t="inlineStr">
        <is>
          <t>implement_wrist_casting_breath_ring_1x1</t>
        </is>
      </c>
      <c r="U410" s="8" t="inlineStr">
        <is>
          <t>allowed</t>
        </is>
      </c>
    </row>
    <row r="411" ht="34" customHeight="1">
      <c r="A411" s="8" t="n">
        <v>410</v>
      </c>
      <c r="B411" s="8" t="n">
        <v>400389</v>
      </c>
      <c r="C411" s="8" t="inlineStr">
        <is>
          <t>雷锻金簇</t>
        </is>
      </c>
      <c r="D411" s="8" t="inlineStr">
        <is>
          <t>法器</t>
        </is>
      </c>
      <c r="E411" s="8" t="inlineStr">
        <is>
          <t>implement</t>
        </is>
      </c>
      <c r="F411" s="8" t="inlineStr">
        <is>
          <t>common</t>
        </is>
      </c>
      <c r="G411" s="8" t="inlineStr">
        <is>
          <t>金</t>
        </is>
      </c>
      <c r="H411" s="8" t="inlineStr">
        <is>
          <t>metal</t>
        </is>
      </c>
      <c r="I411" s="8" t="inlineStr">
        <is>
          <t>1×1</t>
        </is>
      </c>
      <c r="J411" s="8" t="n">
        <v>1</v>
      </c>
      <c r="K411" s="8" t="n">
        <v>9</v>
      </c>
      <c r="L411" s="8" t="inlineStr">
        <is>
          <t>是</t>
        </is>
      </c>
      <c r="M411" s="9" t="inlineStr">
        <is>
          <t>bazaar；dynamicRandomReward；itemReforge</t>
        </is>
      </c>
      <c r="N411" s="8" t="n">
        <v>1</v>
      </c>
      <c r="O411" s="9" t="inlineStr">
        <is>
          <t>条件触发</t>
        </is>
      </c>
      <c r="P411" s="9" t="inlineStr">
        <is>
          <t>triggered</t>
        </is>
      </c>
      <c r="Q411" s="9" t="inlineStr">
        <is>
          <t>条件触发：其他道具使我方获得引雷时，获得 1 层凝金；其他道具使我方获得引雷时，获得 2 层凝金；其他道具使我方获得引雷时，获得 3 层凝金；其他道具使我方获得引雷时，获得 4 层凝金</t>
        </is>
      </c>
      <c r="R411" s="9" t="inlineStr"/>
      <c r="S411" s="9" t="inlineStr">
        <is>
          <t>几枚短金簇被雷火熔在一处，引雷落下时表面会泛起新鲜锻光。</t>
        </is>
      </c>
      <c r="T411" s="8" t="inlineStr">
        <is>
          <t>implement_thunder_forged_metal_cluster_1x1</t>
        </is>
      </c>
      <c r="U411" s="8" t="inlineStr">
        <is>
          <t>allowed</t>
        </is>
      </c>
    </row>
    <row r="412" ht="34" customHeight="1">
      <c r="A412" s="8" t="n">
        <v>411</v>
      </c>
      <c r="B412" s="8" t="n">
        <v>400390</v>
      </c>
      <c r="C412" s="8" t="inlineStr">
        <is>
          <t>露洗金砂盘</t>
        </is>
      </c>
      <c r="D412" s="8" t="inlineStr">
        <is>
          <t>法器</t>
        </is>
      </c>
      <c r="E412" s="8" t="inlineStr">
        <is>
          <t>implement</t>
        </is>
      </c>
      <c r="F412" s="8" t="inlineStr">
        <is>
          <t>common</t>
        </is>
      </c>
      <c r="G412" s="8" t="inlineStr">
        <is>
          <t>金</t>
        </is>
      </c>
      <c r="H412" s="8" t="inlineStr">
        <is>
          <t>metal</t>
        </is>
      </c>
      <c r="I412" s="8" t="inlineStr">
        <is>
          <t>2×1</t>
        </is>
      </c>
      <c r="J412" s="8" t="n">
        <v>2</v>
      </c>
      <c r="K412" s="8" t="n">
        <v>10</v>
      </c>
      <c r="L412" s="8" t="inlineStr">
        <is>
          <t>是</t>
        </is>
      </c>
      <c r="M412" s="9" t="inlineStr">
        <is>
          <t>bazaar；dynamicRandomReward；itemReforge</t>
        </is>
      </c>
      <c r="N412" s="8" t="n">
        <v>1</v>
      </c>
      <c r="O412" s="9" t="inlineStr">
        <is>
          <t>条件触发</t>
        </is>
      </c>
      <c r="P412" s="9" t="inlineStr">
        <is>
          <t>triggered</t>
        </is>
      </c>
      <c r="Q412" s="9" t="inlineStr">
        <is>
          <t>条件触发：其他道具使我方获得露水时，获得 1 层凝金；其他道具使我方获得露水时，获得 2 层凝金；其他道具使我方获得露水时，获得 3 层凝金；其他道具使我方获得露水时，获得 4 层凝金</t>
        </is>
      </c>
      <c r="R412" s="9" t="inlineStr"/>
      <c r="S412" s="9" t="inlineStr">
        <is>
          <t>横盘里铺着一层细金砂，露珠滚过后会留下清亮而紧密的金线。</t>
        </is>
      </c>
      <c r="T412" s="8" t="inlineStr">
        <is>
          <t>implement_dew_washed_gold_sand_plate_2x1</t>
        </is>
      </c>
      <c r="U412" s="8" t="inlineStr">
        <is>
          <t>allowed</t>
        </is>
      </c>
    </row>
    <row r="413" ht="34" customHeight="1">
      <c r="A413" s="8" t="n">
        <v>412</v>
      </c>
      <c r="B413" s="8" t="n">
        <v>400391</v>
      </c>
      <c r="C413" s="8" t="inlineStr">
        <is>
          <t>受锋铜砧</t>
        </is>
      </c>
      <c r="D413" s="8" t="inlineStr">
        <is>
          <t>法器</t>
        </is>
      </c>
      <c r="E413" s="8" t="inlineStr">
        <is>
          <t>implement</t>
        </is>
      </c>
      <c r="F413" s="8" t="inlineStr">
        <is>
          <t>common</t>
        </is>
      </c>
      <c r="G413" s="8" t="inlineStr">
        <is>
          <t>金</t>
        </is>
      </c>
      <c r="H413" s="8" t="inlineStr">
        <is>
          <t>metal</t>
        </is>
      </c>
      <c r="I413" s="8" t="inlineStr">
        <is>
          <t>2×1</t>
        </is>
      </c>
      <c r="J413" s="8" t="n">
        <v>2</v>
      </c>
      <c r="K413" s="8" t="n">
        <v>10</v>
      </c>
      <c r="L413" s="8" t="inlineStr">
        <is>
          <t>是</t>
        </is>
      </c>
      <c r="M413" s="9" t="inlineStr">
        <is>
          <t>bazaar；dynamicRandomReward；itemReforge</t>
        </is>
      </c>
      <c r="N413" s="8" t="n">
        <v>1</v>
      </c>
      <c r="O413" s="9" t="inlineStr">
        <is>
          <t>条件触发</t>
        </is>
      </c>
      <c r="P413" s="9" t="inlineStr">
        <is>
          <t>triggered</t>
        </is>
      </c>
      <c r="Q413" s="9" t="inlineStr">
        <is>
          <t>条件触发：相邻武器使用时，获得 1 层凝金；相邻武器使用时，获得 2 层凝金；相邻武器使用时，获得 3 层凝金；相邻武器使用时，获得 4 层凝金</t>
        </is>
      </c>
      <c r="R413" s="9" t="inlineStr"/>
      <c r="S413" s="9" t="inlineStr">
        <is>
          <t>小铜砧表面布满兵刃留下的浅痕，每次邻近锋鸣都会震下一点金屑。</t>
        </is>
      </c>
      <c r="T413" s="8" t="inlineStr">
        <is>
          <t>implement_edge_receiving_copper_anvil_2x1</t>
        </is>
      </c>
      <c r="U413" s="8" t="inlineStr">
        <is>
          <t>allowed</t>
        </is>
      </c>
    </row>
    <row r="414" ht="34" customHeight="1">
      <c r="A414" s="8" t="n">
        <v>413</v>
      </c>
      <c r="B414" s="8" t="n">
        <v>400392</v>
      </c>
      <c r="C414" s="8" t="inlineStr">
        <is>
          <t>纳甲金匣</t>
        </is>
      </c>
      <c r="D414" s="8" t="inlineStr">
        <is>
          <t>法器</t>
        </is>
      </c>
      <c r="E414" s="8" t="inlineStr">
        <is>
          <t>implement</t>
        </is>
      </c>
      <c r="F414" s="8" t="inlineStr">
        <is>
          <t>common</t>
        </is>
      </c>
      <c r="G414" s="8" t="inlineStr">
        <is>
          <t>金</t>
        </is>
      </c>
      <c r="H414" s="8" t="inlineStr">
        <is>
          <t>metal</t>
        </is>
      </c>
      <c r="I414" s="8" t="inlineStr">
        <is>
          <t>1×2</t>
        </is>
      </c>
      <c r="J414" s="8" t="n">
        <v>2</v>
      </c>
      <c r="K414" s="8" t="n">
        <v>10</v>
      </c>
      <c r="L414" s="8" t="inlineStr">
        <is>
          <t>是</t>
        </is>
      </c>
      <c r="M414" s="9" t="inlineStr">
        <is>
          <t>bazaar；dynamicRandomReward；itemReforge</t>
        </is>
      </c>
      <c r="N414" s="8" t="n">
        <v>1</v>
      </c>
      <c r="O414" s="9" t="inlineStr">
        <is>
          <t>周期触发</t>
        </is>
      </c>
      <c r="P414" s="9" t="inlineStr">
        <is>
          <t>periodicPulse</t>
        </is>
      </c>
      <c r="Q414" s="9" t="inlineStr">
        <is>
          <t>周期触发：凝金为 0 且拥有不少于 4 层护甲时，获得 2 层凝金；凝金为 0 且拥有不少于 4 层护甲时，获得 3 层凝金；凝金为 0 且拥有不少于 4 层护甲时，获得 4 层凝金；凝金为 0 且拥有不少于 4 层护甲时，获得 5 层凝金</t>
        </is>
      </c>
      <c r="R414" s="9" t="inlineStr"/>
      <c r="S414" s="9" t="inlineStr">
        <is>
          <t>竖匣里叠放着几片薄金甲叶，凝金耗尽时才会自行弹开一角。</t>
        </is>
      </c>
      <c r="T414" s="8" t="inlineStr">
        <is>
          <t>implement_armor_storing_gold_case_1x2</t>
        </is>
      </c>
      <c r="U414" s="8" t="inlineStr">
        <is>
          <t>allowed</t>
        </is>
      </c>
    </row>
    <row r="415" ht="34" customHeight="1">
      <c r="A415" s="8" t="n">
        <v>414</v>
      </c>
      <c r="B415" s="8" t="n">
        <v>400393</v>
      </c>
      <c r="C415" s="8" t="inlineStr">
        <is>
          <t>落炉金签</t>
        </is>
      </c>
      <c r="D415" s="8" t="inlineStr">
        <is>
          <t>法器</t>
        </is>
      </c>
      <c r="E415" s="8" t="inlineStr">
        <is>
          <t>implement</t>
        </is>
      </c>
      <c r="F415" s="8" t="inlineStr">
        <is>
          <t>common</t>
        </is>
      </c>
      <c r="G415" s="8" t="inlineStr">
        <is>
          <t>金</t>
        </is>
      </c>
      <c r="H415" s="8" t="inlineStr">
        <is>
          <t>metal</t>
        </is>
      </c>
      <c r="I415" s="8" t="inlineStr">
        <is>
          <t>1×1</t>
        </is>
      </c>
      <c r="J415" s="8" t="n">
        <v>1</v>
      </c>
      <c r="K415" s="8" t="n">
        <v>8</v>
      </c>
      <c r="L415" s="8" t="inlineStr">
        <is>
          <t>是</t>
        </is>
      </c>
      <c r="M415" s="9" t="inlineStr">
        <is>
          <t>bazaar；dynamicRandomReward；itemReforge</t>
        </is>
      </c>
      <c r="N415" s="8" t="n">
        <v>1</v>
      </c>
      <c r="O415" s="9" t="inlineStr">
        <is>
          <t>条件触发</t>
        </is>
      </c>
      <c r="P415" s="9" t="inlineStr">
        <is>
          <t>triggered</t>
        </is>
      </c>
      <c r="Q415" s="9" t="inlineStr">
        <is>
          <t>条件触发：其他消耗品耗尽时，获得 3 层凝金；其他消耗品耗尽时，获得 4 层凝金；其他消耗品耗尽时，获得 5 层凝金；其他消耗品耗尽时，获得 6 层凝金</t>
        </is>
      </c>
      <c r="R415" s="9" t="inlineStr"/>
      <c r="S415" s="9" t="inlineStr">
        <is>
          <t>短金签边缘留着炉火熏痕，消耗品燃尽时便吸住最后一点余温凝成金芒。</t>
        </is>
      </c>
      <c r="T415" s="8" t="inlineStr">
        <is>
          <t>implement_furnace_falling_gold_tally_1x1</t>
        </is>
      </c>
      <c r="U415" s="8" t="inlineStr">
        <is>
          <t>allowed</t>
        </is>
      </c>
    </row>
    <row r="416" ht="34" customHeight="1">
      <c r="A416" s="8" t="n">
        <v>415</v>
      </c>
      <c r="B416" s="8" t="n">
        <v>400394</v>
      </c>
      <c r="C416" s="8" t="inlineStr">
        <is>
          <t>底脉金桩</t>
        </is>
      </c>
      <c r="D416" s="8" t="inlineStr">
        <is>
          <t>法器</t>
        </is>
      </c>
      <c r="E416" s="8" t="inlineStr">
        <is>
          <t>implement</t>
        </is>
      </c>
      <c r="F416" s="8" t="inlineStr">
        <is>
          <t>common</t>
        </is>
      </c>
      <c r="G416" s="8" t="inlineStr">
        <is>
          <t>金</t>
        </is>
      </c>
      <c r="H416" s="8" t="inlineStr">
        <is>
          <t>metal</t>
        </is>
      </c>
      <c r="I416" s="8" t="inlineStr">
        <is>
          <t>1×2</t>
        </is>
      </c>
      <c r="J416" s="8" t="n">
        <v>2</v>
      </c>
      <c r="K416" s="8" t="n">
        <v>10</v>
      </c>
      <c r="L416" s="8" t="inlineStr">
        <is>
          <t>是</t>
        </is>
      </c>
      <c r="M416" s="9" t="inlineStr">
        <is>
          <t>bazaar；dynamicRandomReward；itemReforge</t>
        </is>
      </c>
      <c r="N416" s="8" t="n">
        <v>1</v>
      </c>
      <c r="O416" s="9" t="inlineStr">
        <is>
          <t>周期触发</t>
        </is>
      </c>
      <c r="P416" s="9" t="inlineStr">
        <is>
          <t>periodicPulse</t>
        </is>
      </c>
      <c r="Q416" s="9" t="inlineStr">
        <is>
          <t>周期触发：开局时，位于储物袋底部，获得 5 层凝金；开局时，位于储物袋底部，获得 6 层凝金；开局时，位于储物袋底部，获得 7 层凝金；开局时，位于储物袋底部，获得 8 层凝金</t>
        </is>
      </c>
      <c r="R416" s="9" t="inlineStr"/>
      <c r="S416" s="9" t="inlineStr">
        <is>
          <t>沉重金桩底端刻着定脉纹，压在袋底时会将散气稳稳锁成金脉。</t>
        </is>
      </c>
      <c r="T416" s="8" t="inlineStr">
        <is>
          <t>implement_bottom_vein_gold_stake_1x2</t>
        </is>
      </c>
      <c r="U416" s="8" t="inlineStr">
        <is>
          <t>allowed</t>
        </is>
      </c>
    </row>
    <row r="417" ht="34" customHeight="1">
      <c r="A417" s="8" t="n">
        <v>416</v>
      </c>
      <c r="B417" s="8" t="n">
        <v>400395</v>
      </c>
      <c r="C417" s="8" t="inlineStr">
        <is>
          <t>三邻锁金盘</t>
        </is>
      </c>
      <c r="D417" s="8" t="inlineStr">
        <is>
          <t>法器</t>
        </is>
      </c>
      <c r="E417" s="8" t="inlineStr">
        <is>
          <t>implement</t>
        </is>
      </c>
      <c r="F417" s="8" t="inlineStr">
        <is>
          <t>common</t>
        </is>
      </c>
      <c r="G417" s="8" t="inlineStr">
        <is>
          <t>金</t>
        </is>
      </c>
      <c r="H417" s="8" t="inlineStr">
        <is>
          <t>metal</t>
        </is>
      </c>
      <c r="I417" s="8" t="inlineStr">
        <is>
          <t>2×2</t>
        </is>
      </c>
      <c r="J417" s="8" t="n">
        <v>4</v>
      </c>
      <c r="K417" s="8" t="n">
        <v>25</v>
      </c>
      <c r="L417" s="8" t="inlineStr">
        <is>
          <t>是</t>
        </is>
      </c>
      <c r="M417" s="9" t="inlineStr">
        <is>
          <t>bazaar；dynamicRandomReward；itemReforge</t>
        </is>
      </c>
      <c r="N417" s="8" t="n">
        <v>1</v>
      </c>
      <c r="O417" s="9" t="inlineStr">
        <is>
          <t>周期触发</t>
        </is>
      </c>
      <c r="P417" s="9" t="inlineStr">
        <is>
          <t>periodicPulse</t>
        </is>
      </c>
      <c r="Q417" s="9" t="inlineStr">
        <is>
          <t>周期触发：相邻至少 3 件装备时，获得 3 层凝金；相邻至少 3 件装备时，获得 4 层凝金；相邻至少 3 件装备时，获得 5 层凝金；相邻至少 3 件装备时，获得 6 层凝金</t>
        </is>
      </c>
      <c r="R417" s="9" t="inlineStr"/>
      <c r="S417" s="9" t="inlineStr">
        <is>
          <t>方形锁金盘伸出三组卡齿，周围装备齐备时盘心金锁才会闭合。</t>
        </is>
      </c>
      <c r="T417" s="8" t="inlineStr">
        <is>
          <t>implement_three_neighbor_gold_lock_plate_2x2</t>
        </is>
      </c>
      <c r="U417" s="8" t="inlineStr">
        <is>
          <t>allowed</t>
        </is>
      </c>
    </row>
    <row r="418" ht="34" customHeight="1">
      <c r="A418" s="8" t="n">
        <v>417</v>
      </c>
      <c r="B418" s="8" t="n">
        <v>400396</v>
      </c>
      <c r="C418" s="8" t="inlineStr">
        <is>
          <t>损气坠石</t>
        </is>
      </c>
      <c r="D418" s="8" t="inlineStr">
        <is>
          <t>法器</t>
        </is>
      </c>
      <c r="E418" s="8" t="inlineStr">
        <is>
          <t>implement</t>
        </is>
      </c>
      <c r="F418" s="8" t="inlineStr">
        <is>
          <t>common</t>
        </is>
      </c>
      <c r="G418" s="8" t="inlineStr">
        <is>
          <t>土</t>
        </is>
      </c>
      <c r="H418" s="8" t="inlineStr">
        <is>
          <t>earth</t>
        </is>
      </c>
      <c r="I418" s="8" t="inlineStr">
        <is>
          <t>1×1</t>
        </is>
      </c>
      <c r="J418" s="8" t="n">
        <v>1</v>
      </c>
      <c r="K418" s="8" t="n">
        <v>8</v>
      </c>
      <c r="L418" s="8" t="inlineStr">
        <is>
          <t>是</t>
        </is>
      </c>
      <c r="M418" s="9" t="inlineStr">
        <is>
          <t>bazaar；dynamicRandomReward；itemReforge</t>
        </is>
      </c>
      <c r="N418" s="8" t="n">
        <v>1</v>
      </c>
      <c r="O418" s="9" t="inlineStr">
        <is>
          <t>条件触发</t>
        </is>
      </c>
      <c r="P418" s="9" t="inlineStr">
        <is>
          <t>triggered</t>
        </is>
      </c>
      <c r="Q418" s="9" t="inlineStr">
        <is>
          <t>条件触发：每当消耗气血后，获得 2 层蓄势；每当消耗气血后，获得 3 层蓄势；每当消耗气血后，获得 4 层蓄势；每当消耗气血后，获得 5 层蓄势</t>
        </is>
      </c>
      <c r="R418" s="9" t="inlineStr"/>
      <c r="S418" s="9" t="inlineStr">
        <is>
          <t>暗红石坠压着一圈土纹，气血付出代价时坠身便愈发沉实。</t>
        </is>
      </c>
      <c r="T418" s="8" t="inlineStr">
        <is>
          <t>implement_blood_draining_weight_stone_1x1</t>
        </is>
      </c>
      <c r="U418" s="8" t="inlineStr">
        <is>
          <t>allowed</t>
        </is>
      </c>
    </row>
    <row r="419" ht="34" customHeight="1">
      <c r="A419" s="8" t="n">
        <v>418</v>
      </c>
      <c r="B419" s="8" t="n">
        <v>400397</v>
      </c>
      <c r="C419" s="8" t="inlineStr">
        <is>
          <t>压锋肩甲</t>
        </is>
      </c>
      <c r="D419" s="8" t="inlineStr">
        <is>
          <t>法器</t>
        </is>
      </c>
      <c r="E419" s="8" t="inlineStr">
        <is>
          <t>implement</t>
        </is>
      </c>
      <c r="F419" s="8" t="inlineStr">
        <is>
          <t>common</t>
        </is>
      </c>
      <c r="G419" s="8" t="inlineStr">
        <is>
          <t>土</t>
        </is>
      </c>
      <c r="H419" s="8" t="inlineStr">
        <is>
          <t>earth</t>
        </is>
      </c>
      <c r="I419" s="8" t="inlineStr">
        <is>
          <t>2×1</t>
        </is>
      </c>
      <c r="J419" s="8" t="n">
        <v>2</v>
      </c>
      <c r="K419" s="8" t="n">
        <v>10</v>
      </c>
      <c r="L419" s="8" t="inlineStr">
        <is>
          <t>是</t>
        </is>
      </c>
      <c r="M419" s="9" t="inlineStr">
        <is>
          <t>bazaar；dynamicRandomReward；itemReforge</t>
        </is>
      </c>
      <c r="N419" s="8" t="n">
        <v>1</v>
      </c>
      <c r="O419" s="9" t="inlineStr">
        <is>
          <t>条件触发</t>
        </is>
      </c>
      <c r="P419" s="9" t="inlineStr">
        <is>
          <t>triggered</t>
        </is>
      </c>
      <c r="Q419" s="9" t="inlineStr">
        <is>
          <t>条件触发：相邻武器使用时，获得 1 层蓄势；相邻武器使用时，获得 2 层蓄势；相邻武器使用时，获得 3 层蓄势；相邻武器使用时，获得 4 层蓄势</t>
        </is>
      </c>
      <c r="R419" s="9" t="inlineStr"/>
      <c r="S419" s="9" t="inlineStr">
        <is>
          <t>横展肩甲压着粗粝石片，邻近兵刃起落时都会把震力沉入甲中。</t>
        </is>
      </c>
      <c r="T419" s="8" t="inlineStr">
        <is>
          <t>implement_edge_pressing_shoulder_armor_2x1</t>
        </is>
      </c>
      <c r="U419" s="8" t="inlineStr">
        <is>
          <t>allowed</t>
        </is>
      </c>
    </row>
    <row r="420" ht="34" customHeight="1">
      <c r="A420" s="8" t="n">
        <v>419</v>
      </c>
      <c r="B420" s="8" t="n">
        <v>400398</v>
      </c>
      <c r="C420" s="8" t="inlineStr">
        <is>
          <t>纳甲沉砣</t>
        </is>
      </c>
      <c r="D420" s="8" t="inlineStr">
        <is>
          <t>法器</t>
        </is>
      </c>
      <c r="E420" s="8" t="inlineStr">
        <is>
          <t>implement</t>
        </is>
      </c>
      <c r="F420" s="8" t="inlineStr">
        <is>
          <t>common</t>
        </is>
      </c>
      <c r="G420" s="8" t="inlineStr">
        <is>
          <t>土</t>
        </is>
      </c>
      <c r="H420" s="8" t="inlineStr">
        <is>
          <t>earth</t>
        </is>
      </c>
      <c r="I420" s="8" t="inlineStr">
        <is>
          <t>1×1</t>
        </is>
      </c>
      <c r="J420" s="8" t="n">
        <v>1</v>
      </c>
      <c r="K420" s="8" t="n">
        <v>8</v>
      </c>
      <c r="L420" s="8" t="inlineStr">
        <is>
          <t>是</t>
        </is>
      </c>
      <c r="M420" s="9" t="inlineStr">
        <is>
          <t>bazaar；dynamicRandomReward；itemReforge</t>
        </is>
      </c>
      <c r="N420" s="8" t="n">
        <v>1</v>
      </c>
      <c r="O420" s="9" t="inlineStr">
        <is>
          <t>条件触发</t>
        </is>
      </c>
      <c r="P420" s="9" t="inlineStr">
        <is>
          <t>triggered</t>
        </is>
      </c>
      <c r="Q420" s="9" t="inlineStr">
        <is>
          <t>条件触发：其他道具使我方获得护甲时，获得 1 层蓄势；其他道具使我方获得护甲时，获得 2 层蓄势；其他道具使我方获得护甲时，获得 3 层蓄势；其他道具使我方获得护甲时，获得 4 层蓄势</t>
        </is>
      </c>
      <c r="R420" s="9" t="inlineStr"/>
      <c r="S420" s="9" t="inlineStr">
        <is>
          <t>圆石砣外箍一圈旧甲片，护甲增加时砣心会发出沉闷回响。</t>
        </is>
      </c>
      <c r="T420" s="8" t="inlineStr">
        <is>
          <t>implement_armor_gathering_heavy_weight_1x1</t>
        </is>
      </c>
      <c r="U420" s="8" t="inlineStr">
        <is>
          <t>allowed</t>
        </is>
      </c>
    </row>
    <row r="421" ht="34" customHeight="1">
      <c r="A421" s="8" t="n">
        <v>420</v>
      </c>
      <c r="B421" s="8" t="n">
        <v>400399</v>
      </c>
      <c r="C421" s="8" t="inlineStr">
        <is>
          <t>伏底镇息架</t>
        </is>
      </c>
      <c r="D421" s="8" t="inlineStr">
        <is>
          <t>法器</t>
        </is>
      </c>
      <c r="E421" s="8" t="inlineStr">
        <is>
          <t>implement</t>
        </is>
      </c>
      <c r="F421" s="8" t="inlineStr">
        <is>
          <t>common</t>
        </is>
      </c>
      <c r="G421" s="8" t="inlineStr">
        <is>
          <t>土</t>
        </is>
      </c>
      <c r="H421" s="8" t="inlineStr">
        <is>
          <t>earth</t>
        </is>
      </c>
      <c r="I421" s="8" t="inlineStr">
        <is>
          <t>1×2</t>
        </is>
      </c>
      <c r="J421" s="8" t="n">
        <v>2</v>
      </c>
      <c r="K421" s="8" t="n">
        <v>10</v>
      </c>
      <c r="L421" s="8" t="inlineStr">
        <is>
          <t>是</t>
        </is>
      </c>
      <c r="M421" s="9" t="inlineStr">
        <is>
          <t>bazaar；dynamicRandomReward；itemReforge</t>
        </is>
      </c>
      <c r="N421" s="8" t="n">
        <v>1</v>
      </c>
      <c r="O421" s="9" t="inlineStr">
        <is>
          <t>周期触发</t>
        </is>
      </c>
      <c r="P421" s="9" t="inlineStr">
        <is>
          <t>periodicPulse</t>
        </is>
      </c>
      <c r="Q421" s="9" t="inlineStr">
        <is>
          <t>周期触发：开局时，位于储物袋底部，获得 4 层蓄势；开局时，位于储物袋底部，获得 5 层蓄势；开局时，位于储物袋底部，获得 6 层蓄势；开局时，位于储物袋底部，获得 7 层蓄势</t>
        </is>
      </c>
      <c r="R421" s="9" t="inlineStr"/>
      <c r="S421" s="9" t="inlineStr">
        <is>
          <t>竖架以粗木和石脚钉成，立在袋底时能把浮动气息尽数压低。</t>
        </is>
      </c>
      <c r="T421" s="8" t="inlineStr">
        <is>
          <t>implement_bottom_breath_suppressing_rack_1x2</t>
        </is>
      </c>
      <c r="U421" s="8" t="inlineStr">
        <is>
          <t>allowed</t>
        </is>
      </c>
    </row>
    <row r="422" ht="34" customHeight="1">
      <c r="A422" s="8" t="n">
        <v>421</v>
      </c>
      <c r="B422" s="8" t="n">
        <v>400400</v>
      </c>
      <c r="C422" s="8" t="inlineStr">
        <is>
          <t>金坠负岳锁</t>
        </is>
      </c>
      <c r="D422" s="8" t="inlineStr">
        <is>
          <t>法器</t>
        </is>
      </c>
      <c r="E422" s="8" t="inlineStr">
        <is>
          <t>implement</t>
        </is>
      </c>
      <c r="F422" s="8" t="inlineStr">
        <is>
          <t>common</t>
        </is>
      </c>
      <c r="G422" s="8" t="inlineStr">
        <is>
          <t>土</t>
        </is>
      </c>
      <c r="H422" s="8" t="inlineStr">
        <is>
          <t>earth</t>
        </is>
      </c>
      <c r="I422" s="8" t="inlineStr">
        <is>
          <t>2×1</t>
        </is>
      </c>
      <c r="J422" s="8" t="n">
        <v>2</v>
      </c>
      <c r="K422" s="8" t="n">
        <v>11</v>
      </c>
      <c r="L422" s="8" t="inlineStr">
        <is>
          <t>是</t>
        </is>
      </c>
      <c r="M422" s="9" t="inlineStr">
        <is>
          <t>bazaar；dynamicRandomReward；itemReforge</t>
        </is>
      </c>
      <c r="N422" s="8" t="n">
        <v>1</v>
      </c>
      <c r="O422" s="9" t="inlineStr">
        <is>
          <t>条件触发</t>
        </is>
      </c>
      <c r="P422" s="9" t="inlineStr">
        <is>
          <t>triggered</t>
        </is>
      </c>
      <c r="Q422" s="9" t="inlineStr">
        <is>
          <t>条件触发：其他道具使我方获得凝金时，获得 1 层蓄势；其他道具使我方获得凝金时，获得 2 层蓄势；其他道具使我方获得凝金时，获得 3 层蓄势；其他道具使我方获得凝金时，获得 4 层蓄势</t>
        </is>
      </c>
      <c r="R422" s="9" t="inlineStr"/>
      <c r="S422" s="9" t="inlineStr">
        <is>
          <t>横锁两端悬着金坠与石坠，凝金生出时便像又添一分山岳重量。</t>
        </is>
      </c>
      <c r="T422" s="8" t="inlineStr">
        <is>
          <t>implement_gold_weight_mountain_lock_2x1</t>
        </is>
      </c>
      <c r="U422" s="8" t="inlineStr">
        <is>
          <t>allowed</t>
        </is>
      </c>
    </row>
    <row r="423" ht="34" customHeight="1">
      <c r="A423" s="8" t="n">
        <v>422</v>
      </c>
      <c r="B423" s="8" t="n">
        <v>400401</v>
      </c>
      <c r="C423" s="8" t="inlineStr">
        <is>
          <t>轻羽转轴</t>
        </is>
      </c>
      <c r="D423" s="8" t="inlineStr">
        <is>
          <t>法器</t>
        </is>
      </c>
      <c r="E423" s="8" t="inlineStr">
        <is>
          <t>implement</t>
        </is>
      </c>
      <c r="F423" s="8" t="inlineStr">
        <is>
          <t>common</t>
        </is>
      </c>
      <c r="G423" s="8" t="inlineStr">
        <is>
          <t>风</t>
        </is>
      </c>
      <c r="H423" s="8" t="inlineStr">
        <is>
          <t>wind</t>
        </is>
      </c>
      <c r="I423" s="8" t="inlineStr">
        <is>
          <t>1×1</t>
        </is>
      </c>
      <c r="J423" s="8" t="n">
        <v>1</v>
      </c>
      <c r="K423" s="8" t="n">
        <v>7</v>
      </c>
      <c r="L423" s="8" t="inlineStr">
        <is>
          <t>是</t>
        </is>
      </c>
      <c r="M423" s="9" t="inlineStr">
        <is>
          <t>bazaar；dynamicRandomReward；itemReforge</t>
        </is>
      </c>
      <c r="N423" s="8" t="n">
        <v>1</v>
      </c>
      <c r="O423" s="9" t="inlineStr">
        <is>
          <t>周期触发</t>
        </is>
      </c>
      <c r="P423" s="9" t="inlineStr">
        <is>
          <t>periodicPulse</t>
        </is>
      </c>
      <c r="Q423" s="9" t="inlineStr">
        <is>
          <t>周期触发：获得 1 层敏捷；获得 2 层敏捷；获得 3 层敏捷；获得 4 层敏捷</t>
        </is>
      </c>
      <c r="R423" s="9" t="inlineStr"/>
      <c r="S423" s="9" t="inlineStr">
        <is>
          <t>小木轴两侧嵌着轻羽，气流一动便无声自转，留下淡青风痕。</t>
        </is>
      </c>
      <c r="T423" s="8" t="inlineStr">
        <is>
          <t>implement_light_feather_spindle_1x1</t>
        </is>
      </c>
      <c r="U423" s="8" t="inlineStr">
        <is>
          <t>allowed</t>
        </is>
      </c>
    </row>
    <row r="424" ht="34" customHeight="1">
      <c r="A424" s="8" t="n">
        <v>423</v>
      </c>
      <c r="B424" s="8" t="n">
        <v>400402</v>
      </c>
      <c r="C424" s="8" t="inlineStr">
        <is>
          <t>悬风小旗</t>
        </is>
      </c>
      <c r="D424" s="8" t="inlineStr">
        <is>
          <t>法器</t>
        </is>
      </c>
      <c r="E424" s="8" t="inlineStr">
        <is>
          <t>implement</t>
        </is>
      </c>
      <c r="F424" s="8" t="inlineStr">
        <is>
          <t>common</t>
        </is>
      </c>
      <c r="G424" s="8" t="inlineStr">
        <is>
          <t>风</t>
        </is>
      </c>
      <c r="H424" s="8" t="inlineStr">
        <is>
          <t>wind</t>
        </is>
      </c>
      <c r="I424" s="8" t="inlineStr">
        <is>
          <t>1×1</t>
        </is>
      </c>
      <c r="J424" s="8" t="n">
        <v>1</v>
      </c>
      <c r="K424" s="8" t="n">
        <v>8</v>
      </c>
      <c r="L424" s="8" t="inlineStr">
        <is>
          <t>是</t>
        </is>
      </c>
      <c r="M424" s="9" t="inlineStr">
        <is>
          <t>bazaar；dynamicRandomReward；itemReforge</t>
        </is>
      </c>
      <c r="N424" s="8" t="n">
        <v>1</v>
      </c>
      <c r="O424" s="9" t="inlineStr">
        <is>
          <t>周期触发</t>
        </is>
      </c>
      <c r="P424" s="9" t="inlineStr">
        <is>
          <t>periodicPulse</t>
        </is>
      </c>
      <c r="Q424" s="9" t="inlineStr">
        <is>
          <t>周期触发：开局时，位于储物袋顶部，获得 3 层敏捷；开局时，位于储物袋顶部，获得 4 层敏捷；开局时，位于储物袋顶部，获得 5 层敏捷；开局时，位于储物袋顶部，获得 6 层敏捷</t>
        </is>
      </c>
      <c r="R424" s="9" t="inlineStr"/>
      <c r="S424" s="9" t="inlineStr">
        <is>
          <t>短杆小旗边缘裁成燕尾，悬在高处时总被一股细风托起。</t>
        </is>
      </c>
      <c r="T424" s="8" t="inlineStr">
        <is>
          <t>implement_hanging_wind_pennant_1x1</t>
        </is>
      </c>
      <c r="U424" s="8" t="inlineStr">
        <is>
          <t>allowed</t>
        </is>
      </c>
    </row>
    <row r="425" ht="34" customHeight="1">
      <c r="A425" s="8" t="n">
        <v>424</v>
      </c>
      <c r="B425" s="8" t="n">
        <v>400403</v>
      </c>
      <c r="C425" s="8" t="inlineStr">
        <is>
          <t>回步腕环</t>
        </is>
      </c>
      <c r="D425" s="8" t="inlineStr">
        <is>
          <t>法器</t>
        </is>
      </c>
      <c r="E425" s="8" t="inlineStr">
        <is>
          <t>implement</t>
        </is>
      </c>
      <c r="F425" s="8" t="inlineStr">
        <is>
          <t>common</t>
        </is>
      </c>
      <c r="G425" s="8" t="inlineStr">
        <is>
          <t>风</t>
        </is>
      </c>
      <c r="H425" s="8" t="inlineStr">
        <is>
          <t>wind</t>
        </is>
      </c>
      <c r="I425" s="8" t="inlineStr">
        <is>
          <t>1×1</t>
        </is>
      </c>
      <c r="J425" s="8" t="n">
        <v>1</v>
      </c>
      <c r="K425" s="8" t="n">
        <v>8</v>
      </c>
      <c r="L425" s="8" t="inlineStr">
        <is>
          <t>是</t>
        </is>
      </c>
      <c r="M425" s="9" t="inlineStr">
        <is>
          <t>bazaar；dynamicRandomReward；itemReforge</t>
        </is>
      </c>
      <c r="N425" s="8" t="n">
        <v>1</v>
      </c>
      <c r="O425" s="9" t="inlineStr">
        <is>
          <t>条件触发</t>
        </is>
      </c>
      <c r="P425" s="9" t="inlineStr">
        <is>
          <t>triggered</t>
        </is>
      </c>
      <c r="Q425" s="9" t="inlineStr">
        <is>
          <t>条件触发：每当消耗体力后，获得 1 层敏捷；每当消耗体力后，获得 2 层敏捷；每当消耗体力后，获得 3 层敏捷；每当消耗体力后，获得 4 层敏捷</t>
        </is>
      </c>
      <c r="R425" s="9" t="inlineStr"/>
      <c r="S425" s="9" t="inlineStr">
        <is>
          <t>轻银腕环内刻回步纹，发力之后总有一缕风从腕后托回。</t>
        </is>
      </c>
      <c r="T425" s="8" t="inlineStr">
        <is>
          <t>implement_returning_step_wrist_ring_1x1</t>
        </is>
      </c>
      <c r="U425" s="8" t="inlineStr">
        <is>
          <t>allowed</t>
        </is>
      </c>
    </row>
    <row r="426" ht="34" customHeight="1">
      <c r="A426" s="8" t="n">
        <v>425</v>
      </c>
      <c r="B426" s="8" t="n">
        <v>400404</v>
      </c>
      <c r="C426" s="8" t="inlineStr">
        <is>
          <t>露行叶轮</t>
        </is>
      </c>
      <c r="D426" s="8" t="inlineStr">
        <is>
          <t>法器</t>
        </is>
      </c>
      <c r="E426" s="8" t="inlineStr">
        <is>
          <t>implement</t>
        </is>
      </c>
      <c r="F426" s="8" t="inlineStr">
        <is>
          <t>common</t>
        </is>
      </c>
      <c r="G426" s="8" t="inlineStr">
        <is>
          <t>风</t>
        </is>
      </c>
      <c r="H426" s="8" t="inlineStr">
        <is>
          <t>wind</t>
        </is>
      </c>
      <c r="I426" s="8" t="inlineStr">
        <is>
          <t>1×1</t>
        </is>
      </c>
      <c r="J426" s="8" t="n">
        <v>1</v>
      </c>
      <c r="K426" s="8" t="n">
        <v>8</v>
      </c>
      <c r="L426" s="8" t="inlineStr">
        <is>
          <t>是</t>
        </is>
      </c>
      <c r="M426" s="9" t="inlineStr">
        <is>
          <t>bazaar；dynamicRandomReward；itemReforge</t>
        </is>
      </c>
      <c r="N426" s="8" t="n">
        <v>1</v>
      </c>
      <c r="O426" s="9" t="inlineStr">
        <is>
          <t>条件触发</t>
        </is>
      </c>
      <c r="P426" s="9" t="inlineStr">
        <is>
          <t>triggered</t>
        </is>
      </c>
      <c r="Q426" s="9" t="inlineStr">
        <is>
          <t>条件触发：其他道具消耗露水时，获得 1 层敏捷；其他道具消耗露水时，获得 2 层敏捷；其他道具消耗露水时，获得 3 层敏捷；其他道具消耗露水时，获得 4 层敏捷</t>
        </is>
      </c>
      <c r="R426" s="9" t="inlineStr"/>
      <c r="S426" s="9" t="inlineStr">
        <is>
          <t>几片硬叶围成小轮，露水从别处消散时，叶尖便顺势掀起轻风。</t>
        </is>
      </c>
      <c r="T426" s="8" t="inlineStr">
        <is>
          <t>implement_dew_running_leaf_wheel_1x1</t>
        </is>
      </c>
      <c r="U426" s="8" t="inlineStr">
        <is>
          <t>allowed</t>
        </is>
      </c>
    </row>
    <row r="427" ht="34" customHeight="1">
      <c r="A427" s="8" t="n">
        <v>426</v>
      </c>
      <c r="B427" s="8" t="n">
        <v>400405</v>
      </c>
      <c r="C427" s="8" t="inlineStr">
        <is>
          <t>引锋丝带</t>
        </is>
      </c>
      <c r="D427" s="8" t="inlineStr">
        <is>
          <t>法器</t>
        </is>
      </c>
      <c r="E427" s="8" t="inlineStr">
        <is>
          <t>implement</t>
        </is>
      </c>
      <c r="F427" s="8" t="inlineStr">
        <is>
          <t>common</t>
        </is>
      </c>
      <c r="G427" s="8" t="inlineStr">
        <is>
          <t>风</t>
        </is>
      </c>
      <c r="H427" s="8" t="inlineStr">
        <is>
          <t>wind</t>
        </is>
      </c>
      <c r="I427" s="8" t="inlineStr">
        <is>
          <t>1×2</t>
        </is>
      </c>
      <c r="J427" s="8" t="n">
        <v>2</v>
      </c>
      <c r="K427" s="8" t="n">
        <v>9</v>
      </c>
      <c r="L427" s="8" t="inlineStr">
        <is>
          <t>是</t>
        </is>
      </c>
      <c r="M427" s="9" t="inlineStr">
        <is>
          <t>bazaar；dynamicRandomReward；itemReforge</t>
        </is>
      </c>
      <c r="N427" s="8" t="n">
        <v>1</v>
      </c>
      <c r="O427" s="9" t="inlineStr">
        <is>
          <t>条件触发</t>
        </is>
      </c>
      <c r="P427" s="9" t="inlineStr">
        <is>
          <t>triggered</t>
        </is>
      </c>
      <c r="Q427" s="9" t="inlineStr">
        <is>
          <t>条件触发：上方相邻武器使用时，获得 1 层敏捷；上方相邻武器使用时，获得 2 层敏捷；上方相邻武器使用时，获得 3 层敏捷；上方相邻武器使用时，获得 4 层敏捷</t>
        </is>
      </c>
      <c r="R427" s="9" t="inlineStr"/>
      <c r="S427" s="9" t="inlineStr">
        <is>
          <t>窄长青丝带缀着小银坠，上方兵刃划动时便顺着锋路飘起。</t>
        </is>
      </c>
      <c r="T427" s="8" t="inlineStr">
        <is>
          <t>implement_blade_guiding_ribbon_1x2</t>
        </is>
      </c>
      <c r="U427" s="8" t="inlineStr">
        <is>
          <t>allowed</t>
        </is>
      </c>
    </row>
    <row r="428" ht="34" customHeight="1">
      <c r="A428" s="8" t="n">
        <v>427</v>
      </c>
      <c r="B428" s="8" t="n">
        <v>400406</v>
      </c>
      <c r="C428" s="8" t="inlineStr">
        <is>
          <t>应法风哨</t>
        </is>
      </c>
      <c r="D428" s="8" t="inlineStr">
        <is>
          <t>法器</t>
        </is>
      </c>
      <c r="E428" s="8" t="inlineStr">
        <is>
          <t>implement</t>
        </is>
      </c>
      <c r="F428" s="8" t="inlineStr">
        <is>
          <t>common</t>
        </is>
      </c>
      <c r="G428" s="8" t="inlineStr">
        <is>
          <t>风</t>
        </is>
      </c>
      <c r="H428" s="8" t="inlineStr">
        <is>
          <t>wind</t>
        </is>
      </c>
      <c r="I428" s="8" t="inlineStr">
        <is>
          <t>1×1</t>
        </is>
      </c>
      <c r="J428" s="8" t="n">
        <v>1</v>
      </c>
      <c r="K428" s="8" t="n">
        <v>8</v>
      </c>
      <c r="L428" s="8" t="inlineStr">
        <is>
          <t>是</t>
        </is>
      </c>
      <c r="M428" s="9" t="inlineStr">
        <is>
          <t>bazaar；dynamicRandomReward；itemReforge</t>
        </is>
      </c>
      <c r="N428" s="8" t="n">
        <v>1</v>
      </c>
      <c r="O428" s="9" t="inlineStr">
        <is>
          <t>条件触发</t>
        </is>
      </c>
      <c r="P428" s="9" t="inlineStr">
        <is>
          <t>triggered</t>
        </is>
      </c>
      <c r="Q428" s="9" t="inlineStr">
        <is>
          <t>条件触发：右侧相邻招式使用时，获得 1 层敏捷；右侧相邻招式使用时，获得 2 层敏捷；右侧相邻招式使用时，获得 3 层敏捷；右侧相邻招式使用时，获得 4 层敏捷</t>
        </is>
      </c>
      <c r="R428" s="9" t="inlineStr"/>
      <c r="S428" s="9" t="inlineStr">
        <is>
          <t>青竹短哨开着三枚风孔，右侧法术起势时便吹出清亮短音。</t>
        </is>
      </c>
      <c r="T428" s="8" t="inlineStr">
        <is>
          <t>implement_spell_answering_wind_whistle_1x1</t>
        </is>
      </c>
      <c r="U428" s="8" t="inlineStr">
        <is>
          <t>allowed</t>
        </is>
      </c>
    </row>
    <row r="429" ht="34" customHeight="1">
      <c r="A429" s="8" t="n">
        <v>428</v>
      </c>
      <c r="B429" s="8" t="n">
        <v>400407</v>
      </c>
      <c r="C429" s="8" t="inlineStr">
        <is>
          <t>解寒羽扣</t>
        </is>
      </c>
      <c r="D429" s="8" t="inlineStr">
        <is>
          <t>法器</t>
        </is>
      </c>
      <c r="E429" s="8" t="inlineStr">
        <is>
          <t>implement</t>
        </is>
      </c>
      <c r="F429" s="8" t="inlineStr">
        <is>
          <t>common</t>
        </is>
      </c>
      <c r="G429" s="8" t="inlineStr">
        <is>
          <t>风</t>
        </is>
      </c>
      <c r="H429" s="8" t="inlineStr">
        <is>
          <t>wind</t>
        </is>
      </c>
      <c r="I429" s="8" t="inlineStr">
        <is>
          <t>1×1</t>
        </is>
      </c>
      <c r="J429" s="8" t="n">
        <v>1</v>
      </c>
      <c r="K429" s="8" t="n">
        <v>8</v>
      </c>
      <c r="L429" s="8" t="inlineStr">
        <is>
          <t>是</t>
        </is>
      </c>
      <c r="M429" s="9" t="inlineStr">
        <is>
          <t>bazaar；dynamicRandomReward；itemReforge</t>
        </is>
      </c>
      <c r="N429" s="8" t="n">
        <v>1</v>
      </c>
      <c r="O429" s="9" t="inlineStr">
        <is>
          <t>条件触发</t>
        </is>
      </c>
      <c r="P429" s="9" t="inlineStr">
        <is>
          <t>triggered</t>
        </is>
      </c>
      <c r="Q429" s="9" t="inlineStr">
        <is>
          <t>条件触发：其他道具使我方获得寒冷时，获得 1 层敏捷；其他道具使我方获得寒冷时，获得 2 层敏捷；其他道具使我方获得寒冷时，获得 3 层敏捷；其他道具使我方获得寒冷时，获得 4 层敏捷</t>
        </is>
      </c>
      <c r="R429" s="9" t="inlineStr"/>
      <c r="S429" s="9" t="inlineStr">
        <is>
          <t>白羽扣住一枚青玉珠，寒意从别处升起时，羽梗便轻颤着抖开冷气。</t>
        </is>
      </c>
      <c r="T429" s="8" t="inlineStr">
        <is>
          <t>implement_cold_releasing_feather_clasp_1x1</t>
        </is>
      </c>
      <c r="U429" s="8" t="inlineStr">
        <is>
          <t>allowed</t>
        </is>
      </c>
    </row>
    <row r="430" ht="34" customHeight="1">
      <c r="A430" s="8" t="n">
        <v>429</v>
      </c>
      <c r="B430" s="8" t="n">
        <v>400408</v>
      </c>
      <c r="C430" s="8" t="inlineStr">
        <is>
          <t>三面风帆</t>
        </is>
      </c>
      <c r="D430" s="8" t="inlineStr">
        <is>
          <t>法器</t>
        </is>
      </c>
      <c r="E430" s="8" t="inlineStr">
        <is>
          <t>implement</t>
        </is>
      </c>
      <c r="F430" s="8" t="inlineStr">
        <is>
          <t>common</t>
        </is>
      </c>
      <c r="G430" s="8" t="inlineStr">
        <is>
          <t>风</t>
        </is>
      </c>
      <c r="H430" s="8" t="inlineStr">
        <is>
          <t>wind</t>
        </is>
      </c>
      <c r="I430" s="8" t="inlineStr">
        <is>
          <t>2×2</t>
        </is>
      </c>
      <c r="J430" s="8" t="n">
        <v>4</v>
      </c>
      <c r="K430" s="8" t="n">
        <v>20</v>
      </c>
      <c r="L430" s="8" t="inlineStr">
        <is>
          <t>是</t>
        </is>
      </c>
      <c r="M430" s="9" t="inlineStr">
        <is>
          <t>bazaar；dynamicRandomReward；itemReforge</t>
        </is>
      </c>
      <c r="N430" s="8" t="n">
        <v>1</v>
      </c>
      <c r="O430" s="9" t="inlineStr">
        <is>
          <t>周期触发</t>
        </is>
      </c>
      <c r="P430" s="9" t="inlineStr">
        <is>
          <t>periodicPulse</t>
        </is>
      </c>
      <c r="Q430" s="9" t="inlineStr">
        <is>
          <t>周期触发：相邻至少 3 件风属性道具时，获得 3 层敏捷；相邻至少 3 件风属性道具时，获得 6 层敏捷；相邻至少 3 件风属性道具时，获得 9 层敏捷；相邻至少 3 件风属性道具时，获得 12 层敏捷</t>
        </is>
      </c>
      <c r="R430" s="9" t="inlineStr"/>
      <c r="S430" s="9" t="inlineStr">
        <is>
          <t>三面小帆绕着中央短桅展开，邻近风器齐备时会朝同一方向鼓起。</t>
        </is>
      </c>
      <c r="T430" s="8" t="inlineStr">
        <is>
          <t>implement_three_faced_wind_sail_2x2</t>
        </is>
      </c>
      <c r="U430" s="8" t="inlineStr">
        <is>
          <t>allowed</t>
        </is>
      </c>
    </row>
    <row r="431" ht="34" customHeight="1">
      <c r="A431" s="8" t="n">
        <v>430</v>
      </c>
      <c r="B431" s="8" t="n">
        <v>400409</v>
      </c>
      <c r="C431" s="8" t="inlineStr">
        <is>
          <t>受击滑步甲</t>
        </is>
      </c>
      <c r="D431" s="8" t="inlineStr">
        <is>
          <t>法器</t>
        </is>
      </c>
      <c r="E431" s="8" t="inlineStr">
        <is>
          <t>implement</t>
        </is>
      </c>
      <c r="F431" s="8" t="inlineStr">
        <is>
          <t>common</t>
        </is>
      </c>
      <c r="G431" s="8" t="inlineStr">
        <is>
          <t>风</t>
        </is>
      </c>
      <c r="H431" s="8" t="inlineStr">
        <is>
          <t>wind</t>
        </is>
      </c>
      <c r="I431" s="8" t="inlineStr">
        <is>
          <t>2×1</t>
        </is>
      </c>
      <c r="J431" s="8" t="n">
        <v>2</v>
      </c>
      <c r="K431" s="8" t="n">
        <v>10</v>
      </c>
      <c r="L431" s="8" t="inlineStr">
        <is>
          <t>是</t>
        </is>
      </c>
      <c r="M431" s="9" t="inlineStr">
        <is>
          <t>bazaar；dynamicRandomReward；itemReforge</t>
        </is>
      </c>
      <c r="N431" s="8" t="n">
        <v>1</v>
      </c>
      <c r="O431" s="9" t="inlineStr">
        <is>
          <t>条件触发</t>
        </is>
      </c>
      <c r="P431" s="9" t="inlineStr">
        <is>
          <t>triggered</t>
        </is>
      </c>
      <c r="Q431" s="9" t="inlineStr">
        <is>
          <t>条件触发：受到伤害时，获得 1 层敏捷；受到伤害时，获得 2 层敏捷；受到伤害时，获得 3 层敏捷；受到伤害时，获得 4 层敏捷</t>
        </is>
      </c>
      <c r="R431" s="9" t="inlineStr"/>
      <c r="S431" s="9" t="inlineStr">
        <is>
          <t>轻甲片以滑槽相连，受击时甲面会横移卸力，带出一阵侧风。</t>
        </is>
      </c>
      <c r="T431" s="8" t="inlineStr">
        <is>
          <t>implement_impact_sliding_armor_2x1</t>
        </is>
      </c>
      <c r="U431" s="8" t="inlineStr">
        <is>
          <t>allowed</t>
        </is>
      </c>
    </row>
    <row r="432" ht="34" customHeight="1">
      <c r="A432" s="8" t="n">
        <v>431</v>
      </c>
      <c r="B432" s="8" t="n">
        <v>400410</v>
      </c>
      <c r="C432" s="8" t="inlineStr">
        <is>
          <t>药尽轻舟佩</t>
        </is>
      </c>
      <c r="D432" s="8" t="inlineStr">
        <is>
          <t>法器</t>
        </is>
      </c>
      <c r="E432" s="8" t="inlineStr">
        <is>
          <t>implement</t>
        </is>
      </c>
      <c r="F432" s="8" t="inlineStr">
        <is>
          <t>common</t>
        </is>
      </c>
      <c r="G432" s="8" t="inlineStr">
        <is>
          <t>风</t>
        </is>
      </c>
      <c r="H432" s="8" t="inlineStr">
        <is>
          <t>wind</t>
        </is>
      </c>
      <c r="I432" s="8" t="inlineStr">
        <is>
          <t>1×1</t>
        </is>
      </c>
      <c r="J432" s="8" t="n">
        <v>1</v>
      </c>
      <c r="K432" s="8" t="n">
        <v>9</v>
      </c>
      <c r="L432" s="8" t="inlineStr">
        <is>
          <t>是</t>
        </is>
      </c>
      <c r="M432" s="9" t="inlineStr">
        <is>
          <t>bazaar；dynamicRandomReward；itemReforge</t>
        </is>
      </c>
      <c r="N432" s="8" t="n">
        <v>1</v>
      </c>
      <c r="O432" s="9" t="inlineStr">
        <is>
          <t>条件触发</t>
        </is>
      </c>
      <c r="P432" s="9" t="inlineStr">
        <is>
          <t>triggered</t>
        </is>
      </c>
      <c r="Q432" s="9" t="inlineStr">
        <is>
          <t>条件触发：其他丹药耗尽时，获得 2 层敏捷；其他丹药耗尽时，获得 3 层敏捷；其他丹药耗尽时，获得 4 层敏捷；其他丹药耗尽时，获得 5 层敏捷</t>
        </is>
      </c>
      <c r="R432" s="9" t="inlineStr"/>
      <c r="S432" s="9" t="inlineStr">
        <is>
          <t>小舟玉佩薄如叶片，丹药药力散尽时便像顺流的小舟般轻轻摆动。</t>
        </is>
      </c>
      <c r="T432" s="8" t="inlineStr">
        <is>
          <t>implement_spent_medicine_light_boat_pendant_1x1</t>
        </is>
      </c>
      <c r="U432" s="8" t="inlineStr">
        <is>
          <t>allowed</t>
        </is>
      </c>
    </row>
    <row r="433" ht="34" customHeight="1">
      <c r="A433" s="8" t="n">
        <v>432</v>
      </c>
      <c r="B433" s="8" t="n">
        <v>400411</v>
      </c>
      <c r="C433" s="8" t="inlineStr">
        <is>
          <t>引霆潮叉</t>
        </is>
      </c>
      <c r="D433" s="8" t="inlineStr">
        <is>
          <t>法器</t>
        </is>
      </c>
      <c r="E433" s="8" t="inlineStr">
        <is>
          <t>implement</t>
        </is>
      </c>
      <c r="F433" s="8" t="inlineStr">
        <is>
          <t>common</t>
        </is>
      </c>
      <c r="G433" s="8" t="inlineStr">
        <is>
          <t>雷</t>
        </is>
      </c>
      <c r="H433" s="8" t="inlineStr">
        <is>
          <t>thunder</t>
        </is>
      </c>
      <c r="I433" s="8" t="inlineStr">
        <is>
          <t>2×1</t>
        </is>
      </c>
      <c r="J433" s="8" t="n">
        <v>2</v>
      </c>
      <c r="K433" s="8" t="n">
        <v>12</v>
      </c>
      <c r="L433" s="8" t="inlineStr">
        <is>
          <t>是</t>
        </is>
      </c>
      <c r="M433" s="9" t="inlineStr">
        <is>
          <t>bazaar；dynamicRandomReward；itemReforge</t>
        </is>
      </c>
      <c r="N433" s="8" t="n">
        <v>1</v>
      </c>
      <c r="O433" s="9" t="inlineStr">
        <is>
          <t>周期触发</t>
        </is>
      </c>
      <c r="P433" s="9" t="inlineStr">
        <is>
          <t>periodicPulse</t>
        </is>
      </c>
      <c r="Q433" s="9" t="inlineStr">
        <is>
          <t>周期触发：引雷不少于 4 层时，消耗 2 层露水；对敌方造成 10 点伤害；引雷不少于 4 层时，消耗 2 层露水；对敌方造成 12 点伤害；引雷不少于 4 层时，消耗 2 层露水；对敌方造成 14 点伤害；引雷不少于 4 层时，消耗 2 层露水；对敌方造成 16 点伤害</t>
        </is>
      </c>
      <c r="R433" s="9" t="inlineStr"/>
      <c r="S433" s="9" t="inlineStr">
        <is>
          <t>三股潮叉横展如浪，叉脊雷纹亮起时，露水会沿锋尖化作霆击。</t>
        </is>
      </c>
      <c r="T433" s="8" t="inlineStr">
        <is>
          <t>implement_thunder_tide_trident_2x1</t>
        </is>
      </c>
      <c r="U433" s="8" t="inlineStr">
        <is>
          <t>allowed</t>
        </is>
      </c>
    </row>
    <row r="434" ht="34" customHeight="1">
      <c r="A434" s="8" t="n">
        <v>433</v>
      </c>
      <c r="B434" s="8" t="n">
        <v>400412</v>
      </c>
      <c r="C434" s="8" t="inlineStr">
        <is>
          <t>逐滴轻刃</t>
        </is>
      </c>
      <c r="D434" s="8" t="inlineStr">
        <is>
          <t>法器</t>
        </is>
      </c>
      <c r="E434" s="8" t="inlineStr">
        <is>
          <t>implement</t>
        </is>
      </c>
      <c r="F434" s="8" t="inlineStr">
        <is>
          <t>common</t>
        </is>
      </c>
      <c r="G434" s="8" t="inlineStr">
        <is>
          <t>水</t>
        </is>
      </c>
      <c r="H434" s="8" t="inlineStr">
        <is>
          <t>water</t>
        </is>
      </c>
      <c r="I434" s="8" t="inlineStr">
        <is>
          <t>1×1</t>
        </is>
      </c>
      <c r="J434" s="8" t="n">
        <v>1</v>
      </c>
      <c r="K434" s="8" t="n">
        <v>10</v>
      </c>
      <c r="L434" s="8" t="inlineStr">
        <is>
          <t>是</t>
        </is>
      </c>
      <c r="M434" s="9" t="inlineStr">
        <is>
          <t>bazaar；dynamicRandomReward；itemReforge</t>
        </is>
      </c>
      <c r="N434" s="8" t="n">
        <v>1</v>
      </c>
      <c r="O434" s="9" t="inlineStr">
        <is>
          <t>周期触发</t>
        </is>
      </c>
      <c r="P434" s="9" t="inlineStr">
        <is>
          <t>periodicPulse</t>
        </is>
      </c>
      <c r="Q434" s="9" t="inlineStr">
        <is>
          <t>周期触发：敏捷不少于 3 层时，消耗 2 层露水；对敌方造成 8 点伤害；敏捷不少于 3 层时，消耗 2 层露水；对敌方造成 10 点伤害；敏捷不少于 3 层时，消耗 2 层露水；对敌方造成 12 点伤害；敏捷不少于 3 层时，消耗 2 层露水；对敌方造成 14 点伤害</t>
        </is>
      </c>
      <c r="R434" s="9" t="inlineStr"/>
      <c r="S434" s="9" t="inlineStr">
        <is>
          <t>轻薄短刃沿着水滴弧线开锋，身法轻捷时每一滴露水都会被刃口追上。</t>
        </is>
      </c>
      <c r="T434" s="8" t="inlineStr">
        <is>
          <t>implement_droplet_chasing_light_blade_1x1</t>
        </is>
      </c>
      <c r="U434" s="8" t="inlineStr">
        <is>
          <t>allowed</t>
        </is>
      </c>
    </row>
    <row r="435" ht="34" customHeight="1">
      <c r="A435" s="8" t="n">
        <v>434</v>
      </c>
      <c r="B435" s="8" t="n">
        <v>400413</v>
      </c>
      <c r="C435" s="8" t="inlineStr">
        <is>
          <t>洗甲水锤</t>
        </is>
      </c>
      <c r="D435" s="8" t="inlineStr">
        <is>
          <t>法器</t>
        </is>
      </c>
      <c r="E435" s="8" t="inlineStr">
        <is>
          <t>implement</t>
        </is>
      </c>
      <c r="F435" s="8" t="inlineStr">
        <is>
          <t>common</t>
        </is>
      </c>
      <c r="G435" s="8" t="inlineStr">
        <is>
          <t>水</t>
        </is>
      </c>
      <c r="H435" s="8" t="inlineStr">
        <is>
          <t>water</t>
        </is>
      </c>
      <c r="I435" s="8" t="inlineStr">
        <is>
          <t>2×1</t>
        </is>
      </c>
      <c r="J435" s="8" t="n">
        <v>2</v>
      </c>
      <c r="K435" s="8" t="n">
        <v>12</v>
      </c>
      <c r="L435" s="8" t="inlineStr">
        <is>
          <t>是</t>
        </is>
      </c>
      <c r="M435" s="9" t="inlineStr">
        <is>
          <t>bazaar；dynamicRandomReward；itemReforge</t>
        </is>
      </c>
      <c r="N435" s="8" t="n">
        <v>1</v>
      </c>
      <c r="O435" s="9" t="inlineStr">
        <is>
          <t>周期触发</t>
        </is>
      </c>
      <c r="P435" s="9" t="inlineStr">
        <is>
          <t>periodicPulse</t>
        </is>
      </c>
      <c r="Q435" s="9" t="inlineStr">
        <is>
          <t>周期触发：我方护甲不少于 5 层时，消耗 2 层露水，移除敌方 3 层护甲；我方护甲不少于 5 层时，消耗 2 层露水，移除敌方 4 层护甲；我方护甲不少于 5 层时，消耗 2 层露水，移除敌方 5 层护甲；我方护甲不少于 5 层时，消耗 2 层露水，移除敌方 6 层护甲</t>
        </is>
      </c>
      <c r="R435" s="9" t="inlineStr"/>
      <c r="S435" s="9" t="inlineStr">
        <is>
          <t>横头水锤的锤面刻着冲甲槽，己方甲势稳固时便以露水洗开敌甲。</t>
        </is>
      </c>
      <c r="T435" s="8" t="inlineStr">
        <is>
          <t>implement_armor_washing_water_hammer_2x1</t>
        </is>
      </c>
      <c r="U435" s="8" t="inlineStr">
        <is>
          <t>allowed</t>
        </is>
      </c>
    </row>
    <row r="436" ht="34" customHeight="1">
      <c r="A436" s="8" t="n">
        <v>435</v>
      </c>
      <c r="B436" s="8" t="n">
        <v>400414</v>
      </c>
      <c r="C436" s="8" t="inlineStr">
        <is>
          <t>镇澜阔剑</t>
        </is>
      </c>
      <c r="D436" s="8" t="inlineStr">
        <is>
          <t>法器</t>
        </is>
      </c>
      <c r="E436" s="8" t="inlineStr">
        <is>
          <t>implement</t>
        </is>
      </c>
      <c r="F436" s="8" t="inlineStr">
        <is>
          <t>common</t>
        </is>
      </c>
      <c r="G436" s="8" t="inlineStr">
        <is>
          <t>水</t>
        </is>
      </c>
      <c r="H436" s="8" t="inlineStr">
        <is>
          <t>water</t>
        </is>
      </c>
      <c r="I436" s="8" t="inlineStr">
        <is>
          <t>1×2</t>
        </is>
      </c>
      <c r="J436" s="8" t="n">
        <v>2</v>
      </c>
      <c r="K436" s="8" t="n">
        <v>13</v>
      </c>
      <c r="L436" s="8" t="inlineStr">
        <is>
          <t>是</t>
        </is>
      </c>
      <c r="M436" s="9" t="inlineStr">
        <is>
          <t>bazaar；dynamicRandomReward；itemReforge</t>
        </is>
      </c>
      <c r="N436" s="8" t="n">
        <v>1</v>
      </c>
      <c r="O436" s="9" t="inlineStr">
        <is>
          <t>周期触发</t>
        </is>
      </c>
      <c r="P436" s="9" t="inlineStr">
        <is>
          <t>periodicPulse</t>
        </is>
      </c>
      <c r="Q436" s="9" t="inlineStr">
        <is>
          <t>周期触发：消耗 3 层露水；对敌方造成 12 点伤害；消耗 3 层露水；对敌方造成 15 点伤害；消耗 3 层露水；对敌方造成 18 点伤害；消耗 3 层露水；对敌方造成 21 点伤害</t>
        </is>
      </c>
      <c r="R436" s="9" t="inlineStr"/>
      <c r="S436" s="9" t="inlineStr">
        <is>
          <t>阔剑剑脊厚重如堤，露水汇入宽刃后便化成一记沉稳压浪斩。</t>
        </is>
      </c>
      <c r="T436" s="8" t="inlineStr">
        <is>
          <t>implement_wave_suppressing_broadsword_1x2</t>
        </is>
      </c>
      <c r="U436" s="8" t="inlineStr">
        <is>
          <t>allowed</t>
        </is>
      </c>
    </row>
    <row r="437" ht="34" customHeight="1">
      <c r="A437" s="8" t="n">
        <v>436</v>
      </c>
      <c r="B437" s="8" t="n">
        <v>400415</v>
      </c>
      <c r="C437" s="8" t="inlineStr">
        <is>
          <t>回波双匕</t>
        </is>
      </c>
      <c r="D437" s="8" t="inlineStr">
        <is>
          <t>法器</t>
        </is>
      </c>
      <c r="E437" s="8" t="inlineStr">
        <is>
          <t>implement</t>
        </is>
      </c>
      <c r="F437" s="8" t="inlineStr">
        <is>
          <t>common</t>
        </is>
      </c>
      <c r="G437" s="8" t="inlineStr">
        <is>
          <t>水</t>
        </is>
      </c>
      <c r="H437" s="8" t="inlineStr">
        <is>
          <t>water</t>
        </is>
      </c>
      <c r="I437" s="8" t="inlineStr">
        <is>
          <t>2×1</t>
        </is>
      </c>
      <c r="J437" s="8" t="n">
        <v>2</v>
      </c>
      <c r="K437" s="8" t="n">
        <v>11</v>
      </c>
      <c r="L437" s="8" t="inlineStr">
        <is>
          <t>是</t>
        </is>
      </c>
      <c r="M437" s="9" t="inlineStr">
        <is>
          <t>bazaar；dynamicRandomReward；itemReforge</t>
        </is>
      </c>
      <c r="N437" s="8" t="n">
        <v>1</v>
      </c>
      <c r="O437" s="9" t="inlineStr">
        <is>
          <t>条件触发</t>
        </is>
      </c>
      <c r="P437" s="9" t="inlineStr">
        <is>
          <t>triggered</t>
        </is>
      </c>
      <c r="Q437" s="9" t="inlineStr">
        <is>
          <t>条件触发：下方相邻武器使用时，消耗 1 层露水，对敌方造成 3 点伤害；下方相邻武器使用时，消耗 1 层露水，对敌方造成 4 点伤害；下方相邻武器使用时，消耗 1 层露水，对敌方造成 5 点伤害；下方相邻武器使用时，消耗 1 层露水，对敌方造成 6 点伤害</t>
        </is>
      </c>
      <c r="R437" s="9" t="inlineStr"/>
      <c r="S437" s="9" t="inlineStr">
        <is>
          <t>一对短匕刃形相反，下方兵刃出手时，两刃间便荡起追击回波。</t>
        </is>
      </c>
      <c r="T437" s="8" t="inlineStr">
        <is>
          <t>implement_echo_wave_twin_daggers_2x1</t>
        </is>
      </c>
      <c r="U437" s="8" t="inlineStr">
        <is>
          <t>allowed</t>
        </is>
      </c>
    </row>
    <row r="438" ht="34" customHeight="1">
      <c r="A438" s="8" t="n">
        <v>437</v>
      </c>
      <c r="B438" s="8" t="n">
        <v>400416</v>
      </c>
      <c r="C438" s="8" t="inlineStr">
        <is>
          <t>养锋柳枪</t>
        </is>
      </c>
      <c r="D438" s="8" t="inlineStr">
        <is>
          <t>法器</t>
        </is>
      </c>
      <c r="E438" s="8" t="inlineStr">
        <is>
          <t>implement</t>
        </is>
      </c>
      <c r="F438" s="8" t="inlineStr">
        <is>
          <t>common</t>
        </is>
      </c>
      <c r="G438" s="8" t="inlineStr">
        <is>
          <t>木</t>
        </is>
      </c>
      <c r="H438" s="8" t="inlineStr">
        <is>
          <t>wood</t>
        </is>
      </c>
      <c r="I438" s="8" t="inlineStr">
        <is>
          <t>1×2</t>
        </is>
      </c>
      <c r="J438" s="8" t="n">
        <v>2</v>
      </c>
      <c r="K438" s="8" t="n">
        <v>12</v>
      </c>
      <c r="L438" s="8" t="inlineStr">
        <is>
          <t>是</t>
        </is>
      </c>
      <c r="M438" s="9" t="inlineStr">
        <is>
          <t>bazaar；dynamicRandomReward；itemReforge</t>
        </is>
      </c>
      <c r="N438" s="8" t="n">
        <v>1</v>
      </c>
      <c r="O438" s="9" t="inlineStr">
        <is>
          <t>周期触发</t>
        </is>
      </c>
      <c r="P438" s="9" t="inlineStr">
        <is>
          <t>periodicPulse</t>
        </is>
      </c>
      <c r="Q438" s="9" t="inlineStr">
        <is>
          <t>周期触发：再生不少于 3 层时，消耗 2 层露水，使敌方随机 1 件道具减速 3 秒；再生不少于 3 层时，消耗 2 层露水，使敌方随机 1 件道具减速 4 秒；再生不少于 3 层时，消耗 2 层露水，使敌方随机 1 件道具减速 5 秒；再生不少于 3 层时，消耗 2 层露水，使敌方随机 1 件道具减速 6 秒</t>
        </is>
      </c>
      <c r="R438" s="9" t="inlineStr"/>
      <c r="S438" s="9" t="inlineStr">
        <is>
          <t>柳木枪杆仍带青意，再生气息旺盛时，枪缨露珠会化作缠敌水线。</t>
        </is>
      </c>
      <c r="T438" s="8" t="inlineStr">
        <is>
          <t>implement_willow_nurtured_spear_1x2</t>
        </is>
      </c>
      <c r="U438" s="8" t="inlineStr">
        <is>
          <t>allowed</t>
        </is>
      </c>
    </row>
    <row r="439" ht="34" customHeight="1">
      <c r="A439" s="8" t="n">
        <v>438</v>
      </c>
      <c r="B439" s="8" t="n">
        <v>400417</v>
      </c>
      <c r="C439" s="8" t="inlineStr">
        <is>
          <t>暖潮短刀</t>
        </is>
      </c>
      <c r="D439" s="8" t="inlineStr">
        <is>
          <t>法器</t>
        </is>
      </c>
      <c r="E439" s="8" t="inlineStr">
        <is>
          <t>implement</t>
        </is>
      </c>
      <c r="F439" s="8" t="inlineStr">
        <is>
          <t>common</t>
        </is>
      </c>
      <c r="G439" s="8" t="inlineStr">
        <is>
          <t>火</t>
        </is>
      </c>
      <c r="H439" s="8" t="inlineStr">
        <is>
          <t>fire</t>
        </is>
      </c>
      <c r="I439" s="8" t="inlineStr">
        <is>
          <t>1×1</t>
        </is>
      </c>
      <c r="J439" s="8" t="n">
        <v>1</v>
      </c>
      <c r="K439" s="8" t="n">
        <v>10</v>
      </c>
      <c r="L439" s="8" t="inlineStr">
        <is>
          <t>是</t>
        </is>
      </c>
      <c r="M439" s="9" t="inlineStr">
        <is>
          <t>bazaar；dynamicRandomReward；itemReforge</t>
        </is>
      </c>
      <c r="N439" s="8" t="n">
        <v>1</v>
      </c>
      <c r="O439" s="9" t="inlineStr">
        <is>
          <t>周期触发</t>
        </is>
      </c>
      <c r="P439" s="9" t="inlineStr">
        <is>
          <t>periodicPulse</t>
        </is>
      </c>
      <c r="Q439" s="9" t="inlineStr">
        <is>
          <t>周期触发：消耗 2 层露水，对敌方施加 2 层中毒；消耗 2 层露水，对敌方施加 4 层中毒；消耗 2 层露水，对敌方施加 6 层中毒；消耗 2 层露水，对敌方施加 8 层中毒</t>
        </is>
      </c>
      <c r="R439" s="9" t="inlineStr"/>
      <c r="S439" s="9" t="inlineStr">
        <is>
          <t>短刀刃根泛着暖红潮光，露水掠过热刃后会化成带毒的湿雾。</t>
        </is>
      </c>
      <c r="T439" s="8" t="inlineStr">
        <is>
          <t>implement_warm_tide_short_saber_1x1</t>
        </is>
      </c>
      <c r="U439" s="8" t="inlineStr">
        <is>
          <t>allowed</t>
        </is>
      </c>
    </row>
    <row r="440" ht="34" customHeight="1">
      <c r="A440" s="8" t="n">
        <v>439</v>
      </c>
      <c r="B440" s="8" t="n">
        <v>400418</v>
      </c>
      <c r="C440" s="8" t="inlineStr">
        <is>
          <t>负露石锏</t>
        </is>
      </c>
      <c r="D440" s="8" t="inlineStr">
        <is>
          <t>法器</t>
        </is>
      </c>
      <c r="E440" s="8" t="inlineStr">
        <is>
          <t>implement</t>
        </is>
      </c>
      <c r="F440" s="8" t="inlineStr">
        <is>
          <t>common</t>
        </is>
      </c>
      <c r="G440" s="8" t="inlineStr">
        <is>
          <t>土</t>
        </is>
      </c>
      <c r="H440" s="8" t="inlineStr">
        <is>
          <t>earth</t>
        </is>
      </c>
      <c r="I440" s="8" t="inlineStr">
        <is>
          <t>1×2</t>
        </is>
      </c>
      <c r="J440" s="8" t="n">
        <v>2</v>
      </c>
      <c r="K440" s="8" t="n">
        <v>12</v>
      </c>
      <c r="L440" s="8" t="inlineStr">
        <is>
          <t>是</t>
        </is>
      </c>
      <c r="M440" s="9" t="inlineStr">
        <is>
          <t>bazaar；dynamicRandomReward；itemReforge</t>
        </is>
      </c>
      <c r="N440" s="8" t="n">
        <v>1</v>
      </c>
      <c r="O440" s="9" t="inlineStr">
        <is>
          <t>周期触发</t>
        </is>
      </c>
      <c r="P440" s="9" t="inlineStr">
        <is>
          <t>periodicPulse</t>
        </is>
      </c>
      <c r="Q440" s="9" t="inlineStr">
        <is>
          <t>周期触发：我方蓄势不少于 3 层时，消耗 2 层露水，对敌方施加 4 层冰霜；我方蓄势不少于 3 层时，消耗 2 层露水，对敌方施加 6 层冰霜；我方蓄势不少于 3 层时，消耗 2 层露水，对敌方施加 8 层冰霜；我方蓄势不少于 3 层时，消耗 2 层露水，对敌方施加 10 层冰霜</t>
        </is>
      </c>
      <c r="R440" s="9" t="inlineStr"/>
      <c r="S440" s="9" t="inlineStr">
        <is>
          <t>石锏棱槽里常积着露水，自身沉重足够时，露水便化为压向敌手的石潮。</t>
        </is>
      </c>
      <c r="T440" s="8" t="inlineStr">
        <is>
          <t>implement_dew_bearing_stone_mace_1x2</t>
        </is>
      </c>
      <c r="U440" s="8" t="inlineStr">
        <is>
          <t>allowed</t>
        </is>
      </c>
    </row>
    <row r="441" ht="34" customHeight="1">
      <c r="A441" s="8" t="n">
        <v>440</v>
      </c>
      <c r="B441" s="8" t="n">
        <v>400419</v>
      </c>
      <c r="C441" s="8" t="inlineStr">
        <is>
          <t>听雨长钩</t>
        </is>
      </c>
      <c r="D441" s="8" t="inlineStr">
        <is>
          <t>法器</t>
        </is>
      </c>
      <c r="E441" s="8" t="inlineStr">
        <is>
          <t>implement</t>
        </is>
      </c>
      <c r="F441" s="8" t="inlineStr">
        <is>
          <t>common</t>
        </is>
      </c>
      <c r="G441" s="8" t="inlineStr">
        <is>
          <t>水</t>
        </is>
      </c>
      <c r="H441" s="8" t="inlineStr">
        <is>
          <t>water</t>
        </is>
      </c>
      <c r="I441" s="8" t="inlineStr">
        <is>
          <t>2×1</t>
        </is>
      </c>
      <c r="J441" s="8" t="n">
        <v>2</v>
      </c>
      <c r="K441" s="8" t="n">
        <v>11</v>
      </c>
      <c r="L441" s="8" t="inlineStr">
        <is>
          <t>是</t>
        </is>
      </c>
      <c r="M441" s="9" t="inlineStr">
        <is>
          <t>bazaar；dynamicRandomReward；itemReforge</t>
        </is>
      </c>
      <c r="N441" s="8" t="n">
        <v>1</v>
      </c>
      <c r="O441" s="9" t="inlineStr">
        <is>
          <t>周期触发</t>
        </is>
      </c>
      <c r="P441" s="9" t="inlineStr">
        <is>
          <t>periodicPulse</t>
        </is>
      </c>
      <c r="Q441" s="9" t="inlineStr">
        <is>
          <t>周期触发：上方相邻水属性法器时，消耗 1 层露水，使敌方随机 1 件道具减速 2 秒；上方相邻水属性法器时，消耗 1 层露水，使敌方随机 1 件道具减速 3 秒；上方相邻水属性法器时，消耗 1 层露水，使敌方随机 1 件道具减速 4 秒；上方相邻水属性法器时，消耗 1 层露水，使敌方随机 1 件道具减速 5 秒</t>
        </is>
      </c>
      <c r="R441" s="9" t="inlineStr"/>
      <c r="S441" s="9" t="inlineStr">
        <is>
          <t>长钩沿横刃开着听雨孔，上方水器运转时，孔中水声会牵住敌方器物。</t>
        </is>
      </c>
      <c r="T441" s="8" t="inlineStr">
        <is>
          <t>implement_rain_listening_long_hook_2x1</t>
        </is>
      </c>
      <c r="U441" s="8" t="inlineStr">
        <is>
          <t>allowed</t>
        </is>
      </c>
    </row>
    <row r="442" ht="34" customHeight="1">
      <c r="A442" s="8" t="n">
        <v>441</v>
      </c>
      <c r="B442" s="8" t="n">
        <v>400420</v>
      </c>
      <c r="C442" s="8" t="inlineStr">
        <is>
          <t>纳百川重刃</t>
        </is>
      </c>
      <c r="D442" s="8" t="inlineStr">
        <is>
          <t>法器</t>
        </is>
      </c>
      <c r="E442" s="8" t="inlineStr">
        <is>
          <t>implement</t>
        </is>
      </c>
      <c r="F442" s="8" t="inlineStr">
        <is>
          <t>common</t>
        </is>
      </c>
      <c r="G442" s="8" t="inlineStr">
        <is>
          <t>水</t>
        </is>
      </c>
      <c r="H442" s="8" t="inlineStr">
        <is>
          <t>water</t>
        </is>
      </c>
      <c r="I442" s="8" t="inlineStr">
        <is>
          <t>2×2</t>
        </is>
      </c>
      <c r="J442" s="8" t="n">
        <v>4</v>
      </c>
      <c r="K442" s="8" t="n">
        <v>15</v>
      </c>
      <c r="L442" s="8" t="inlineStr">
        <is>
          <t>是</t>
        </is>
      </c>
      <c r="M442" s="9" t="inlineStr">
        <is>
          <t>bazaar；dynamicRandomReward；itemReforge</t>
        </is>
      </c>
      <c r="N442" s="8" t="n">
        <v>1</v>
      </c>
      <c r="O442" s="9" t="inlineStr">
        <is>
          <t>周期触发</t>
        </is>
      </c>
      <c r="P442" s="9" t="inlineStr">
        <is>
          <t>periodicPulse</t>
        </is>
      </c>
      <c r="Q442" s="9" t="inlineStr">
        <is>
          <t>周期触发：消耗 4 层露水，使敌方一件最大道具冻结 0.5 秒；消耗 4 层露水，使敌方一件最大道具冻结 1 秒；消耗 4 层露水，使敌方一件最大道具冻结 1.5 秒；消耗 4 层露水，使敌方一件最大道具冻结 2 秒</t>
        </is>
      </c>
      <c r="R442" s="9" t="inlineStr"/>
      <c r="S442" s="9" t="inlineStr">
        <is>
          <t>重刃宽阔如汇流石门，四道水槽纳露成潮，斩下时连敌方大器也会封冻。</t>
        </is>
      </c>
      <c r="T442" s="8" t="inlineStr">
        <is>
          <t>implement_hundred_river_heavy_blade_2x2</t>
        </is>
      </c>
      <c r="U442" s="8" t="inlineStr">
        <is>
          <t>allowed</t>
        </is>
      </c>
    </row>
    <row r="443" ht="34" customHeight="1">
      <c r="A443" s="8" t="n">
        <v>442</v>
      </c>
      <c r="B443" s="8" t="n">
        <v>400421</v>
      </c>
      <c r="C443" s="8" t="inlineStr">
        <is>
          <t>养血蕴境筹</t>
        </is>
      </c>
      <c r="D443" s="8" t="inlineStr">
        <is>
          <t>占卜</t>
        </is>
      </c>
      <c r="E443" s="8" t="inlineStr">
        <is>
          <t>divination</t>
        </is>
      </c>
      <c r="F443" s="8" t="inlineStr">
        <is>
          <t>common</t>
        </is>
      </c>
      <c r="G443" s="8" t="inlineStr">
        <is>
          <t>木</t>
        </is>
      </c>
      <c r="H443" s="8" t="inlineStr">
        <is>
          <t>wood</t>
        </is>
      </c>
      <c r="I443" s="8" t="inlineStr">
        <is>
          <t>2×2</t>
        </is>
      </c>
      <c r="J443" s="8" t="n">
        <v>4</v>
      </c>
      <c r="K443" s="8" t="n">
        <v>6</v>
      </c>
      <c r="L443" s="8" t="inlineStr">
        <is>
          <t>是</t>
        </is>
      </c>
      <c r="M443" s="9" t="inlineStr">
        <is>
          <t>divination</t>
        </is>
      </c>
      <c r="N443" s="8" t="n">
        <v>1</v>
      </c>
      <c r="O443" s="9" t="inlineStr">
        <is>
          <t>条件触发</t>
        </is>
      </c>
      <c r="P443" s="9" t="inlineStr">
        <is>
          <t>triggered</t>
        </is>
      </c>
      <c r="Q443" s="9" t="inlineStr">
        <is>
          <t>条件触发：获得 150 点气血后完成充能：境界突破成功时，气血上限永久 +1；销毁此道具</t>
        </is>
      </c>
      <c r="R443" s="9" t="inlineStr">
        <is>
          <t>breakthrough_charge</t>
        </is>
      </c>
      <c r="S443" s="9" t="inlineStr">
        <is>
          <t>器身会把周天内的气血流转刻成细纹，唯有成功破境时才释放积蓄。</t>
        </is>
      </c>
      <c r="T443" s="8" t="inlineStr">
        <is>
          <t>implement_breakthrough_charge_common_health_max_2x2</t>
        </is>
      </c>
      <c r="U443" s="8" t="inlineStr">
        <is>
          <t>allowed</t>
        </is>
      </c>
    </row>
    <row r="444" ht="34" customHeight="1">
      <c r="A444" s="8" t="n">
        <v>443</v>
      </c>
      <c r="B444" s="8" t="n">
        <v>400422</v>
      </c>
      <c r="C444" s="8" t="inlineStr">
        <is>
          <t>固元蕴境筹</t>
        </is>
      </c>
      <c r="D444" s="8" t="inlineStr">
        <is>
          <t>占卜</t>
        </is>
      </c>
      <c r="E444" s="8" t="inlineStr">
        <is>
          <t>divination</t>
        </is>
      </c>
      <c r="F444" s="8" t="inlineStr">
        <is>
          <t>common</t>
        </is>
      </c>
      <c r="G444" s="8" t="inlineStr">
        <is>
          <t>土</t>
        </is>
      </c>
      <c r="H444" s="8" t="inlineStr">
        <is>
          <t>earth</t>
        </is>
      </c>
      <c r="I444" s="8" t="inlineStr">
        <is>
          <t>2×2</t>
        </is>
      </c>
      <c r="J444" s="8" t="n">
        <v>4</v>
      </c>
      <c r="K444" s="8" t="n">
        <v>6</v>
      </c>
      <c r="L444" s="8" t="inlineStr">
        <is>
          <t>是</t>
        </is>
      </c>
      <c r="M444" s="9" t="inlineStr">
        <is>
          <t>divination</t>
        </is>
      </c>
      <c r="N444" s="8" t="n">
        <v>1</v>
      </c>
      <c r="O444" s="9" t="inlineStr">
        <is>
          <t>条件触发</t>
        </is>
      </c>
      <c r="P444" s="9" t="inlineStr">
        <is>
          <t>triggered</t>
        </is>
      </c>
      <c r="Q444" s="9" t="inlineStr">
        <is>
          <t>条件触发：获得 150 点体力后完成充能：境界突破成功时，体力上限永久 +1；销毁此道具</t>
        </is>
      </c>
      <c r="R444" s="9" t="inlineStr">
        <is>
          <t>breakthrough_charge</t>
        </is>
      </c>
      <c r="S444" s="9" t="inlineStr">
        <is>
          <t>器身会把周天内的体力流转刻成细纹，唯有成功破境时才释放积蓄。</t>
        </is>
      </c>
      <c r="T444" s="8" t="inlineStr">
        <is>
          <t>implement_breakthrough_charge_common_stamina_max_2x2</t>
        </is>
      </c>
      <c r="U444" s="8" t="inlineStr">
        <is>
          <t>allowed</t>
        </is>
      </c>
    </row>
    <row r="445" ht="34" customHeight="1">
      <c r="A445" s="8" t="n">
        <v>444</v>
      </c>
      <c r="B445" s="8" t="n">
        <v>400423</v>
      </c>
      <c r="C445" s="8" t="inlineStr">
        <is>
          <t>纳法蕴境筹</t>
        </is>
      </c>
      <c r="D445" s="8" t="inlineStr">
        <is>
          <t>占卜</t>
        </is>
      </c>
      <c r="E445" s="8" t="inlineStr">
        <is>
          <t>divination</t>
        </is>
      </c>
      <c r="F445" s="8" t="inlineStr">
        <is>
          <t>common</t>
        </is>
      </c>
      <c r="G445" s="8" t="inlineStr">
        <is>
          <t>水</t>
        </is>
      </c>
      <c r="H445" s="8" t="inlineStr">
        <is>
          <t>water</t>
        </is>
      </c>
      <c r="I445" s="8" t="inlineStr">
        <is>
          <t>2×2</t>
        </is>
      </c>
      <c r="J445" s="8" t="n">
        <v>4</v>
      </c>
      <c r="K445" s="8" t="n">
        <v>6</v>
      </c>
      <c r="L445" s="8" t="inlineStr">
        <is>
          <t>是</t>
        </is>
      </c>
      <c r="M445" s="9" t="inlineStr">
        <is>
          <t>divination</t>
        </is>
      </c>
      <c r="N445" s="8" t="n">
        <v>1</v>
      </c>
      <c r="O445" s="9" t="inlineStr">
        <is>
          <t>条件触发</t>
        </is>
      </c>
      <c r="P445" s="9" t="inlineStr">
        <is>
          <t>triggered</t>
        </is>
      </c>
      <c r="Q445" s="9" t="inlineStr">
        <is>
          <t>条件触发：获得 150 点法力后完成充能：境界突破成功时，法力上限永久 +1；销毁此道具</t>
        </is>
      </c>
      <c r="R445" s="9" t="inlineStr">
        <is>
          <t>breakthrough_charge</t>
        </is>
      </c>
      <c r="S445" s="9" t="inlineStr">
        <is>
          <t>器身会把周天内的法力流转刻成细纹，唯有成功破境时才释放积蓄。</t>
        </is>
      </c>
      <c r="T445" s="8" t="inlineStr">
        <is>
          <t>implement_breakthrough_charge_common_mana_max_2x2</t>
        </is>
      </c>
      <c r="U445" s="8" t="inlineStr">
        <is>
          <t>allowed</t>
        </is>
      </c>
    </row>
    <row r="446" ht="34" customHeight="1">
      <c r="A446" s="8" t="n">
        <v>445</v>
      </c>
      <c r="B446" s="8" t="n">
        <v>400424</v>
      </c>
      <c r="C446" s="8" t="inlineStr">
        <is>
          <t>淬血蕴境筹</t>
        </is>
      </c>
      <c r="D446" s="8" t="inlineStr">
        <is>
          <t>占卜</t>
        </is>
      </c>
      <c r="E446" s="8" t="inlineStr">
        <is>
          <t>divination</t>
        </is>
      </c>
      <c r="F446" s="8" t="inlineStr">
        <is>
          <t>common</t>
        </is>
      </c>
      <c r="G446" s="8" t="inlineStr">
        <is>
          <t>金</t>
        </is>
      </c>
      <c r="H446" s="8" t="inlineStr">
        <is>
          <t>metal</t>
        </is>
      </c>
      <c r="I446" s="8" t="inlineStr">
        <is>
          <t>2×2</t>
        </is>
      </c>
      <c r="J446" s="8" t="n">
        <v>4</v>
      </c>
      <c r="K446" s="8" t="n">
        <v>6</v>
      </c>
      <c r="L446" s="8" t="inlineStr">
        <is>
          <t>是</t>
        </is>
      </c>
      <c r="M446" s="9" t="inlineStr">
        <is>
          <t>divination</t>
        </is>
      </c>
      <c r="N446" s="8" t="n">
        <v>1</v>
      </c>
      <c r="O446" s="9" t="inlineStr">
        <is>
          <t>条件触发</t>
        </is>
      </c>
      <c r="P446" s="9" t="inlineStr">
        <is>
          <t>triggered</t>
        </is>
      </c>
      <c r="Q446" s="9" t="inlineStr">
        <is>
          <t>条件触发：消耗 150 点气血后完成充能：境界突破成功时，气血上限永久 +2；销毁此道具</t>
        </is>
      </c>
      <c r="R446" s="9" t="inlineStr">
        <is>
          <t>breakthrough_charge</t>
        </is>
      </c>
      <c r="S446" s="9" t="inlineStr">
        <is>
          <t>器身会把周天内的气血流转刻成细纹，唯有成功破境时才释放积蓄。</t>
        </is>
      </c>
      <c r="T446" s="8" t="inlineStr">
        <is>
          <t>implement_breakthrough_charge_common_spirit_sense_max_2x2</t>
        </is>
      </c>
      <c r="U446" s="8" t="inlineStr">
        <is>
          <t>allowed</t>
        </is>
      </c>
    </row>
    <row r="447" ht="34" customHeight="1">
      <c r="A447" s="8" t="n">
        <v>446</v>
      </c>
      <c r="B447" s="8" t="n">
        <v>400425</v>
      </c>
      <c r="C447" s="8" t="inlineStr">
        <is>
          <t>炼息蕴境筹</t>
        </is>
      </c>
      <c r="D447" s="8" t="inlineStr">
        <is>
          <t>占卜</t>
        </is>
      </c>
      <c r="E447" s="8" t="inlineStr">
        <is>
          <t>divination</t>
        </is>
      </c>
      <c r="F447" s="8" t="inlineStr">
        <is>
          <t>common</t>
        </is>
      </c>
      <c r="G447" s="8" t="inlineStr">
        <is>
          <t>火</t>
        </is>
      </c>
      <c r="H447" s="8" t="inlineStr">
        <is>
          <t>fire</t>
        </is>
      </c>
      <c r="I447" s="8" t="inlineStr">
        <is>
          <t>2×2</t>
        </is>
      </c>
      <c r="J447" s="8" t="n">
        <v>4</v>
      </c>
      <c r="K447" s="8" t="n">
        <v>6</v>
      </c>
      <c r="L447" s="8" t="inlineStr">
        <is>
          <t>是</t>
        </is>
      </c>
      <c r="M447" s="9" t="inlineStr">
        <is>
          <t>divination</t>
        </is>
      </c>
      <c r="N447" s="8" t="n">
        <v>1</v>
      </c>
      <c r="O447" s="9" t="inlineStr">
        <is>
          <t>条件触发</t>
        </is>
      </c>
      <c r="P447" s="9" t="inlineStr">
        <is>
          <t>triggered</t>
        </is>
      </c>
      <c r="Q447" s="9" t="inlineStr">
        <is>
          <t>条件触发：消耗 150 点体力后完成充能：境界突破成功时，体力上限永久 +2；销毁此道具</t>
        </is>
      </c>
      <c r="R447" s="9" t="inlineStr">
        <is>
          <t>breakthrough_charge</t>
        </is>
      </c>
      <c r="S447" s="9" t="inlineStr">
        <is>
          <t>器身会把周天内的体力流转刻成细纹，唯有成功破境时才释放积蓄。</t>
        </is>
      </c>
      <c r="T447" s="8" t="inlineStr">
        <is>
          <t>implement_breakthrough_charge_common_blood_essence_max_2x2</t>
        </is>
      </c>
      <c r="U447" s="8" t="inlineStr">
        <is>
          <t>allowed</t>
        </is>
      </c>
    </row>
    <row r="448" ht="34" customHeight="1">
      <c r="A448" s="8" t="n">
        <v>447</v>
      </c>
      <c r="B448" s="8" t="n">
        <v>400426</v>
      </c>
      <c r="C448" s="8" t="inlineStr">
        <is>
          <t>延年蕴境筹</t>
        </is>
      </c>
      <c r="D448" s="8" t="inlineStr">
        <is>
          <t>占卜</t>
        </is>
      </c>
      <c r="E448" s="8" t="inlineStr">
        <is>
          <t>divination</t>
        </is>
      </c>
      <c r="F448" s="8" t="inlineStr">
        <is>
          <t>common</t>
        </is>
      </c>
      <c r="G448" s="8" t="inlineStr">
        <is>
          <t>木</t>
        </is>
      </c>
      <c r="H448" s="8" t="inlineStr">
        <is>
          <t>wood</t>
        </is>
      </c>
      <c r="I448" s="8" t="inlineStr">
        <is>
          <t>2×2</t>
        </is>
      </c>
      <c r="J448" s="8" t="n">
        <v>4</v>
      </c>
      <c r="K448" s="8" t="n">
        <v>6</v>
      </c>
      <c r="L448" s="8" t="inlineStr">
        <is>
          <t>是</t>
        </is>
      </c>
      <c r="M448" s="9" t="inlineStr">
        <is>
          <t>divination</t>
        </is>
      </c>
      <c r="N448" s="8" t="n">
        <v>1</v>
      </c>
      <c r="O448" s="9" t="inlineStr">
        <is>
          <t>条件触发</t>
        </is>
      </c>
      <c r="P448" s="9" t="inlineStr">
        <is>
          <t>triggered</t>
        </is>
      </c>
      <c r="Q448" s="9" t="inlineStr">
        <is>
          <t>条件触发：获得 150 层再生后完成充能：境界突破成功时，寿元永久 +1 年；销毁此道具</t>
        </is>
      </c>
      <c r="R448" s="9" t="inlineStr">
        <is>
          <t>breakthrough_charge</t>
        </is>
      </c>
      <c r="S448" s="9" t="inlineStr">
        <is>
          <t>器身以周天精血温养岁痕，唯有成功破境时才把积蓄化作寿元。</t>
        </is>
      </c>
      <c r="T448" s="8" t="inlineStr">
        <is>
          <t>implement_breakthrough_charge_common_lifespan_2x2</t>
        </is>
      </c>
      <c r="U448" s="8" t="inlineStr">
        <is>
          <t>allowed</t>
        </is>
      </c>
    </row>
    <row r="449" ht="34" customHeight="1">
      <c r="A449" s="8" t="n">
        <v>448</v>
      </c>
      <c r="B449" s="8" t="n">
        <v>400427</v>
      </c>
      <c r="C449" s="8" t="inlineStr">
        <is>
          <t>金灵根蕴境筹</t>
        </is>
      </c>
      <c r="D449" s="8" t="inlineStr">
        <is>
          <t>占卜</t>
        </is>
      </c>
      <c r="E449" s="8" t="inlineStr">
        <is>
          <t>divination</t>
        </is>
      </c>
      <c r="F449" s="8" t="inlineStr">
        <is>
          <t>common</t>
        </is>
      </c>
      <c r="G449" s="8" t="inlineStr">
        <is>
          <t>金</t>
        </is>
      </c>
      <c r="H449" s="8" t="inlineStr">
        <is>
          <t>metal</t>
        </is>
      </c>
      <c r="I449" s="8" t="inlineStr">
        <is>
          <t>1×2</t>
        </is>
      </c>
      <c r="J449" s="8" t="n">
        <v>2</v>
      </c>
      <c r="K449" s="8" t="n">
        <v>6</v>
      </c>
      <c r="L449" s="8" t="inlineStr">
        <is>
          <t>是</t>
        </is>
      </c>
      <c r="M449" s="9" t="inlineStr">
        <is>
          <t>divination</t>
        </is>
      </c>
      <c r="N449" s="8" t="n">
        <v>1</v>
      </c>
      <c r="O449" s="9" t="inlineStr">
        <is>
          <t>条件触发</t>
        </is>
      </c>
      <c r="P449" s="9" t="inlineStr">
        <is>
          <t>triggered</t>
        </is>
      </c>
      <c r="Q449" s="9" t="inlineStr">
        <is>
          <t>条件触发：获得 150 层凝金后完成充能：境界突破成功时，金灵根 +1（如有该灵根）；销毁此道具</t>
        </is>
      </c>
      <c r="R449" s="9" t="inlineStr">
        <is>
          <t>breakthrough_charge</t>
        </is>
      </c>
      <c r="S449" s="9" t="inlineStr">
        <is>
          <t>器身会收拢凝金气机，唯有成功破境时才反哺已有的金灵根。</t>
        </is>
      </c>
      <c r="T449" s="8" t="inlineStr">
        <is>
          <t>implement_breakthrough_charge_common_metal_root_1x2</t>
        </is>
      </c>
      <c r="U449" s="8" t="inlineStr">
        <is>
          <t>allowed</t>
        </is>
      </c>
    </row>
    <row r="450" ht="34" customHeight="1">
      <c r="A450" s="8" t="n">
        <v>449</v>
      </c>
      <c r="B450" s="8" t="n">
        <v>400428</v>
      </c>
      <c r="C450" s="8" t="inlineStr">
        <is>
          <t>木灵根蕴境筹</t>
        </is>
      </c>
      <c r="D450" s="8" t="inlineStr">
        <is>
          <t>占卜</t>
        </is>
      </c>
      <c r="E450" s="8" t="inlineStr">
        <is>
          <t>divination</t>
        </is>
      </c>
      <c r="F450" s="8" t="inlineStr">
        <is>
          <t>common</t>
        </is>
      </c>
      <c r="G450" s="8" t="inlineStr">
        <is>
          <t>木</t>
        </is>
      </c>
      <c r="H450" s="8" t="inlineStr">
        <is>
          <t>wood</t>
        </is>
      </c>
      <c r="I450" s="8" t="inlineStr">
        <is>
          <t>1×2</t>
        </is>
      </c>
      <c r="J450" s="8" t="n">
        <v>2</v>
      </c>
      <c r="K450" s="8" t="n">
        <v>6</v>
      </c>
      <c r="L450" s="8" t="inlineStr">
        <is>
          <t>是</t>
        </is>
      </c>
      <c r="M450" s="9" t="inlineStr">
        <is>
          <t>divination</t>
        </is>
      </c>
      <c r="N450" s="8" t="n">
        <v>1</v>
      </c>
      <c r="O450" s="9" t="inlineStr">
        <is>
          <t>条件触发</t>
        </is>
      </c>
      <c r="P450" s="9" t="inlineStr">
        <is>
          <t>triggered</t>
        </is>
      </c>
      <c r="Q450" s="9" t="inlineStr">
        <is>
          <t>条件触发：获得 150 层再生后完成充能：境界突破成功时，木灵根 +1（如有该灵根）；销毁此道具</t>
        </is>
      </c>
      <c r="R450" s="9" t="inlineStr">
        <is>
          <t>breakthrough_charge</t>
        </is>
      </c>
      <c r="S450" s="9" t="inlineStr">
        <is>
          <t>器身会收拢再生气机，唯有成功破境时才反哺已有的木灵根。</t>
        </is>
      </c>
      <c r="T450" s="8" t="inlineStr">
        <is>
          <t>implement_breakthrough_charge_common_wood_root_1x2</t>
        </is>
      </c>
      <c r="U450" s="8" t="inlineStr">
        <is>
          <t>allowed</t>
        </is>
      </c>
    </row>
    <row r="451" ht="34" customHeight="1">
      <c r="A451" s="8" t="n">
        <v>450</v>
      </c>
      <c r="B451" s="8" t="n">
        <v>400429</v>
      </c>
      <c r="C451" s="8" t="inlineStr">
        <is>
          <t>水灵根蕴境筹</t>
        </is>
      </c>
      <c r="D451" s="8" t="inlineStr">
        <is>
          <t>占卜</t>
        </is>
      </c>
      <c r="E451" s="8" t="inlineStr">
        <is>
          <t>divination</t>
        </is>
      </c>
      <c r="F451" s="8" t="inlineStr">
        <is>
          <t>common</t>
        </is>
      </c>
      <c r="G451" s="8" t="inlineStr">
        <is>
          <t>水</t>
        </is>
      </c>
      <c r="H451" s="8" t="inlineStr">
        <is>
          <t>water</t>
        </is>
      </c>
      <c r="I451" s="8" t="inlineStr">
        <is>
          <t>1×2</t>
        </is>
      </c>
      <c r="J451" s="8" t="n">
        <v>2</v>
      </c>
      <c r="K451" s="8" t="n">
        <v>6</v>
      </c>
      <c r="L451" s="8" t="inlineStr">
        <is>
          <t>是</t>
        </is>
      </c>
      <c r="M451" s="9" t="inlineStr">
        <is>
          <t>divination</t>
        </is>
      </c>
      <c r="N451" s="8" t="n">
        <v>1</v>
      </c>
      <c r="O451" s="9" t="inlineStr">
        <is>
          <t>条件触发</t>
        </is>
      </c>
      <c r="P451" s="9" t="inlineStr">
        <is>
          <t>triggered</t>
        </is>
      </c>
      <c r="Q451" s="9" t="inlineStr">
        <is>
          <t>条件触发：获得 150 层露水后完成充能：境界突破成功时，水灵根 +1（如有该灵根）；销毁此道具</t>
        </is>
      </c>
      <c r="R451" s="9" t="inlineStr">
        <is>
          <t>breakthrough_charge</t>
        </is>
      </c>
      <c r="S451" s="9" t="inlineStr">
        <is>
          <t>器身会收拢露水气机，唯有成功破境时才反哺已有的水灵根。</t>
        </is>
      </c>
      <c r="T451" s="8" t="inlineStr">
        <is>
          <t>implement_breakthrough_charge_common_water_root_1x2</t>
        </is>
      </c>
      <c r="U451" s="8" t="inlineStr">
        <is>
          <t>allowed</t>
        </is>
      </c>
    </row>
    <row r="452" ht="34" customHeight="1">
      <c r="A452" s="8" t="n">
        <v>451</v>
      </c>
      <c r="B452" s="8" t="n">
        <v>400430</v>
      </c>
      <c r="C452" s="8" t="inlineStr">
        <is>
          <t>火灵根蕴境筹</t>
        </is>
      </c>
      <c r="D452" s="8" t="inlineStr">
        <is>
          <t>占卜</t>
        </is>
      </c>
      <c r="E452" s="8" t="inlineStr">
        <is>
          <t>divination</t>
        </is>
      </c>
      <c r="F452" s="8" t="inlineStr">
        <is>
          <t>common</t>
        </is>
      </c>
      <c r="G452" s="8" t="inlineStr">
        <is>
          <t>火</t>
        </is>
      </c>
      <c r="H452" s="8" t="inlineStr">
        <is>
          <t>fire</t>
        </is>
      </c>
      <c r="I452" s="8" t="inlineStr">
        <is>
          <t>1×2</t>
        </is>
      </c>
      <c r="J452" s="8" t="n">
        <v>2</v>
      </c>
      <c r="K452" s="8" t="n">
        <v>6</v>
      </c>
      <c r="L452" s="8" t="inlineStr">
        <is>
          <t>是</t>
        </is>
      </c>
      <c r="M452" s="9" t="inlineStr">
        <is>
          <t>divination</t>
        </is>
      </c>
      <c r="N452" s="8" t="n">
        <v>1</v>
      </c>
      <c r="O452" s="9" t="inlineStr">
        <is>
          <t>条件触发</t>
        </is>
      </c>
      <c r="P452" s="9" t="inlineStr">
        <is>
          <t>triggered</t>
        </is>
      </c>
      <c r="Q452" s="9" t="inlineStr">
        <is>
          <t>条件触发：获得 150 层炎热后完成充能：境界突破成功时，火灵根 +1（如有该灵根）；销毁此道具</t>
        </is>
      </c>
      <c r="R452" s="9" t="inlineStr">
        <is>
          <t>breakthrough_charge</t>
        </is>
      </c>
      <c r="S452" s="9" t="inlineStr">
        <is>
          <t>器身会收拢炎热气机，唯有成功破境时才反哺已有的火灵根。</t>
        </is>
      </c>
      <c r="T452" s="8" t="inlineStr">
        <is>
          <t>implement_breakthrough_charge_common_fire_root_1x2</t>
        </is>
      </c>
      <c r="U452" s="8" t="inlineStr">
        <is>
          <t>allowed</t>
        </is>
      </c>
    </row>
    <row r="453" ht="34" customHeight="1">
      <c r="A453" s="8" t="n">
        <v>452</v>
      </c>
      <c r="B453" s="8" t="n">
        <v>400431</v>
      </c>
      <c r="C453" s="8" t="inlineStr">
        <is>
          <t>土灵根蕴境筹</t>
        </is>
      </c>
      <c r="D453" s="8" t="inlineStr">
        <is>
          <t>占卜</t>
        </is>
      </c>
      <c r="E453" s="8" t="inlineStr">
        <is>
          <t>divination</t>
        </is>
      </c>
      <c r="F453" s="8" t="inlineStr">
        <is>
          <t>common</t>
        </is>
      </c>
      <c r="G453" s="8" t="inlineStr">
        <is>
          <t>土</t>
        </is>
      </c>
      <c r="H453" s="8" t="inlineStr">
        <is>
          <t>earth</t>
        </is>
      </c>
      <c r="I453" s="8" t="inlineStr">
        <is>
          <t>1×2</t>
        </is>
      </c>
      <c r="J453" s="8" t="n">
        <v>2</v>
      </c>
      <c r="K453" s="8" t="n">
        <v>6</v>
      </c>
      <c r="L453" s="8" t="inlineStr">
        <is>
          <t>是</t>
        </is>
      </c>
      <c r="M453" s="9" t="inlineStr">
        <is>
          <t>divination</t>
        </is>
      </c>
      <c r="N453" s="8" t="n">
        <v>1</v>
      </c>
      <c r="O453" s="9" t="inlineStr">
        <is>
          <t>条件触发</t>
        </is>
      </c>
      <c r="P453" s="9" t="inlineStr">
        <is>
          <t>triggered</t>
        </is>
      </c>
      <c r="Q453" s="9" t="inlineStr">
        <is>
          <t>条件触发：获得 150 层坚硬后完成充能：境界突破成功时，土灵根 +1（如有该灵根）；销毁此道具</t>
        </is>
      </c>
      <c r="R453" s="9" t="inlineStr">
        <is>
          <t>breakthrough_charge</t>
        </is>
      </c>
      <c r="S453" s="9" t="inlineStr">
        <is>
          <t>器身会收拢坚硬气机，唯有成功破境时才反哺已有的土灵根。</t>
        </is>
      </c>
      <c r="T453" s="8" t="inlineStr">
        <is>
          <t>implement_breakthrough_charge_common_earth_root_1x2</t>
        </is>
      </c>
      <c r="U453" s="8" t="inlineStr">
        <is>
          <t>allowed</t>
        </is>
      </c>
    </row>
    <row r="454" ht="34" customHeight="1">
      <c r="A454" s="8" t="n">
        <v>453</v>
      </c>
      <c r="B454" s="8" t="n">
        <v>400432</v>
      </c>
      <c r="C454" s="8" t="inlineStr">
        <is>
          <t>炎热承层蕴境筹</t>
        </is>
      </c>
      <c r="D454" s="8" t="inlineStr">
        <is>
          <t>占卜</t>
        </is>
      </c>
      <c r="E454" s="8" t="inlineStr">
        <is>
          <t>divination</t>
        </is>
      </c>
      <c r="F454" s="8" t="inlineStr">
        <is>
          <t>common</t>
        </is>
      </c>
      <c r="G454" s="8" t="inlineStr">
        <is>
          <t>火</t>
        </is>
      </c>
      <c r="H454" s="8" t="inlineStr">
        <is>
          <t>fire</t>
        </is>
      </c>
      <c r="I454" s="8" t="inlineStr">
        <is>
          <t>1×1</t>
        </is>
      </c>
      <c r="J454" s="8" t="n">
        <v>1</v>
      </c>
      <c r="K454" s="8" t="n">
        <v>6</v>
      </c>
      <c r="L454" s="8" t="inlineStr">
        <is>
          <t>是</t>
        </is>
      </c>
      <c r="M454" s="9" t="inlineStr">
        <is>
          <t>divination</t>
        </is>
      </c>
      <c r="N454" s="8" t="n">
        <v>1</v>
      </c>
      <c r="O454" s="9" t="inlineStr">
        <is>
          <t>条件触发</t>
        </is>
      </c>
      <c r="P454" s="9" t="inlineStr">
        <is>
          <t>triggered</t>
        </is>
      </c>
      <c r="Q454" s="9" t="inlineStr">
        <is>
          <t>条件触发：获得 150 层炎热后完成充能：境界突破成功时，炎热层数上限永久 +1；销毁此道具</t>
        </is>
      </c>
      <c r="R454" s="9" t="inlineStr">
        <is>
          <t>breakthrough_charge</t>
        </is>
      </c>
      <c r="S454" s="9" t="inlineStr">
        <is>
          <t>器身会收拢周天内新生的炎热气机，唯有成功破境时才拓宽承载。</t>
        </is>
      </c>
      <c r="T454" s="8" t="inlineStr">
        <is>
          <t>implement_breakthrough_charge_common_heat_cap_1x1</t>
        </is>
      </c>
      <c r="U454" s="8" t="inlineStr">
        <is>
          <t>allowed</t>
        </is>
      </c>
    </row>
    <row r="455" ht="34" customHeight="1">
      <c r="A455" s="8" t="n">
        <v>454</v>
      </c>
      <c r="B455" s="8" t="n">
        <v>400433</v>
      </c>
      <c r="C455" s="8" t="inlineStr">
        <is>
          <t>寒冷承层蕴境筹</t>
        </is>
      </c>
      <c r="D455" s="8" t="inlineStr">
        <is>
          <t>占卜</t>
        </is>
      </c>
      <c r="E455" s="8" t="inlineStr">
        <is>
          <t>divination</t>
        </is>
      </c>
      <c r="F455" s="8" t="inlineStr">
        <is>
          <t>common</t>
        </is>
      </c>
      <c r="G455" s="8" t="inlineStr">
        <is>
          <t>水</t>
        </is>
      </c>
      <c r="H455" s="8" t="inlineStr">
        <is>
          <t>water</t>
        </is>
      </c>
      <c r="I455" s="8" t="inlineStr">
        <is>
          <t>1×1</t>
        </is>
      </c>
      <c r="J455" s="8" t="n">
        <v>1</v>
      </c>
      <c r="K455" s="8" t="n">
        <v>6</v>
      </c>
      <c r="L455" s="8" t="inlineStr">
        <is>
          <t>是</t>
        </is>
      </c>
      <c r="M455" s="9" t="inlineStr">
        <is>
          <t>divination</t>
        </is>
      </c>
      <c r="N455" s="8" t="n">
        <v>1</v>
      </c>
      <c r="O455" s="9" t="inlineStr">
        <is>
          <t>条件触发</t>
        </is>
      </c>
      <c r="P455" s="9" t="inlineStr">
        <is>
          <t>triggered</t>
        </is>
      </c>
      <c r="Q455" s="9" t="inlineStr">
        <is>
          <t>条件触发：获得 150 层寒冷后完成充能：境界突破成功时，寒冷层数上限永久 +1；销毁此道具</t>
        </is>
      </c>
      <c r="R455" s="9" t="inlineStr">
        <is>
          <t>breakthrough_charge</t>
        </is>
      </c>
      <c r="S455" s="9" t="inlineStr">
        <is>
          <t>器身会收拢周天内新生的寒冷气机，唯有成功破境时才拓宽承载。</t>
        </is>
      </c>
      <c r="T455" s="8" t="inlineStr">
        <is>
          <t>implement_breakthrough_charge_common_cold_cap_1x1</t>
        </is>
      </c>
      <c r="U455" s="8" t="inlineStr">
        <is>
          <t>allowed</t>
        </is>
      </c>
    </row>
    <row r="456" ht="34" customHeight="1">
      <c r="A456" s="8" t="n">
        <v>455</v>
      </c>
      <c r="B456" s="8" t="n">
        <v>400434</v>
      </c>
      <c r="C456" s="8" t="inlineStr">
        <is>
          <t>沉重承层蕴境筹</t>
        </is>
      </c>
      <c r="D456" s="8" t="inlineStr">
        <is>
          <t>占卜</t>
        </is>
      </c>
      <c r="E456" s="8" t="inlineStr">
        <is>
          <t>divination</t>
        </is>
      </c>
      <c r="F456" s="8" t="inlineStr">
        <is>
          <t>common</t>
        </is>
      </c>
      <c r="G456" s="8" t="inlineStr">
        <is>
          <t>土</t>
        </is>
      </c>
      <c r="H456" s="8" t="inlineStr">
        <is>
          <t>earth</t>
        </is>
      </c>
      <c r="I456" s="8" t="inlineStr">
        <is>
          <t>1×1</t>
        </is>
      </c>
      <c r="J456" s="8" t="n">
        <v>1</v>
      </c>
      <c r="K456" s="8" t="n">
        <v>6</v>
      </c>
      <c r="L456" s="8" t="inlineStr">
        <is>
          <t>是</t>
        </is>
      </c>
      <c r="M456" s="9" t="inlineStr">
        <is>
          <t>divination</t>
        </is>
      </c>
      <c r="N456" s="8" t="n">
        <v>1</v>
      </c>
      <c r="O456" s="9" t="inlineStr">
        <is>
          <t>条件触发</t>
        </is>
      </c>
      <c r="P456" s="9" t="inlineStr">
        <is>
          <t>triggered</t>
        </is>
      </c>
      <c r="Q456" s="9" t="inlineStr">
        <is>
          <t>条件触发：获得 150 层蓄势后完成充能：境界突破成功时，蓄势层数上限永久 +1；销毁此道具</t>
        </is>
      </c>
      <c r="R456" s="9" t="inlineStr">
        <is>
          <t>breakthrough_charge</t>
        </is>
      </c>
      <c r="S456" s="9" t="inlineStr">
        <is>
          <t>器身会收拢周天内新生的沉重气机，唯有成功破境时才拓宽承载。</t>
        </is>
      </c>
      <c r="T456" s="8" t="inlineStr">
        <is>
          <t>implement_breakthrough_charge_common_heavy_cap_1x1</t>
        </is>
      </c>
      <c r="U456" s="8" t="inlineStr">
        <is>
          <t>allowed</t>
        </is>
      </c>
    </row>
    <row r="457" ht="34" customHeight="1">
      <c r="A457" s="8" t="n">
        <v>456</v>
      </c>
      <c r="B457" s="8" t="n">
        <v>400435</v>
      </c>
      <c r="C457" s="8" t="inlineStr">
        <is>
          <t>敏捷承层蕴境筹</t>
        </is>
      </c>
      <c r="D457" s="8" t="inlineStr">
        <is>
          <t>占卜</t>
        </is>
      </c>
      <c r="E457" s="8" t="inlineStr">
        <is>
          <t>divination</t>
        </is>
      </c>
      <c r="F457" s="8" t="inlineStr">
        <is>
          <t>common</t>
        </is>
      </c>
      <c r="G457" s="8" t="inlineStr">
        <is>
          <t>风</t>
        </is>
      </c>
      <c r="H457" s="8" t="inlineStr">
        <is>
          <t>wind</t>
        </is>
      </c>
      <c r="I457" s="8" t="inlineStr">
        <is>
          <t>1×1</t>
        </is>
      </c>
      <c r="J457" s="8" t="n">
        <v>1</v>
      </c>
      <c r="K457" s="8" t="n">
        <v>6</v>
      </c>
      <c r="L457" s="8" t="inlineStr">
        <is>
          <t>是</t>
        </is>
      </c>
      <c r="M457" s="9" t="inlineStr">
        <is>
          <t>divination</t>
        </is>
      </c>
      <c r="N457" s="8" t="n">
        <v>1</v>
      </c>
      <c r="O457" s="9" t="inlineStr">
        <is>
          <t>条件触发</t>
        </is>
      </c>
      <c r="P457" s="9" t="inlineStr">
        <is>
          <t>triggered</t>
        </is>
      </c>
      <c r="Q457" s="9" t="inlineStr">
        <is>
          <t>条件触发：获得 150 层敏捷后完成充能：境界突破成功时，敏捷层数上限永久 +1；销毁此道具</t>
        </is>
      </c>
      <c r="R457" s="9" t="inlineStr">
        <is>
          <t>breakthrough_charge</t>
        </is>
      </c>
      <c r="S457" s="9" t="inlineStr">
        <is>
          <t>器身会收拢周天内新生的敏捷气机，唯有成功破境时才拓宽承载。</t>
        </is>
      </c>
      <c r="T457" s="8" t="inlineStr">
        <is>
          <t>implement_breakthrough_charge_common_agile_cap_1x1</t>
        </is>
      </c>
      <c r="U457" s="8" t="inlineStr">
        <is>
          <t>allowed</t>
        </is>
      </c>
    </row>
    <row r="458" ht="34" customHeight="1">
      <c r="A458" s="8" t="n">
        <v>457</v>
      </c>
      <c r="B458" s="8" t="n">
        <v>400436</v>
      </c>
      <c r="C458" s="8" t="inlineStr">
        <is>
          <t>露水承层蕴境筹</t>
        </is>
      </c>
      <c r="D458" s="8" t="inlineStr">
        <is>
          <t>占卜</t>
        </is>
      </c>
      <c r="E458" s="8" t="inlineStr">
        <is>
          <t>divination</t>
        </is>
      </c>
      <c r="F458" s="8" t="inlineStr">
        <is>
          <t>common</t>
        </is>
      </c>
      <c r="G458" s="8" t="inlineStr">
        <is>
          <t>水</t>
        </is>
      </c>
      <c r="H458" s="8" t="inlineStr">
        <is>
          <t>water</t>
        </is>
      </c>
      <c r="I458" s="8" t="inlineStr">
        <is>
          <t>1×1</t>
        </is>
      </c>
      <c r="J458" s="8" t="n">
        <v>1</v>
      </c>
      <c r="K458" s="8" t="n">
        <v>6</v>
      </c>
      <c r="L458" s="8" t="inlineStr">
        <is>
          <t>是</t>
        </is>
      </c>
      <c r="M458" s="9" t="inlineStr">
        <is>
          <t>divination</t>
        </is>
      </c>
      <c r="N458" s="8" t="n">
        <v>1</v>
      </c>
      <c r="O458" s="9" t="inlineStr">
        <is>
          <t>条件触发</t>
        </is>
      </c>
      <c r="P458" s="9" t="inlineStr">
        <is>
          <t>triggered</t>
        </is>
      </c>
      <c r="Q458" s="9" t="inlineStr">
        <is>
          <t>条件触发：获得 150 层露水后完成充能：境界突破成功时，露水层数上限永久 +1；销毁此道具</t>
        </is>
      </c>
      <c r="R458" s="9" t="inlineStr">
        <is>
          <t>breakthrough_charge</t>
        </is>
      </c>
      <c r="S458" s="9" t="inlineStr">
        <is>
          <t>器身会收拢周天内新生的露水气机，唯有成功破境时才拓宽承载。</t>
        </is>
      </c>
      <c r="T458" s="8" t="inlineStr">
        <is>
          <t>implement_breakthrough_charge_common_dew_cap_1x1</t>
        </is>
      </c>
      <c r="U458" s="8" t="inlineStr">
        <is>
          <t>allowed</t>
        </is>
      </c>
    </row>
    <row r="459" ht="34" customHeight="1">
      <c r="A459" s="8" t="n">
        <v>458</v>
      </c>
      <c r="B459" s="8" t="n">
        <v>400437</v>
      </c>
      <c r="C459" s="8" t="inlineStr">
        <is>
          <t>凝金承层蕴境筹</t>
        </is>
      </c>
      <c r="D459" s="8" t="inlineStr">
        <is>
          <t>占卜</t>
        </is>
      </c>
      <c r="E459" s="8" t="inlineStr">
        <is>
          <t>divination</t>
        </is>
      </c>
      <c r="F459" s="8" t="inlineStr">
        <is>
          <t>common</t>
        </is>
      </c>
      <c r="G459" s="8" t="inlineStr">
        <is>
          <t>金</t>
        </is>
      </c>
      <c r="H459" s="8" t="inlineStr">
        <is>
          <t>metal</t>
        </is>
      </c>
      <c r="I459" s="8" t="inlineStr">
        <is>
          <t>1×1</t>
        </is>
      </c>
      <c r="J459" s="8" t="n">
        <v>1</v>
      </c>
      <c r="K459" s="8" t="n">
        <v>6</v>
      </c>
      <c r="L459" s="8" t="inlineStr">
        <is>
          <t>是</t>
        </is>
      </c>
      <c r="M459" s="9" t="inlineStr">
        <is>
          <t>divination</t>
        </is>
      </c>
      <c r="N459" s="8" t="n">
        <v>1</v>
      </c>
      <c r="O459" s="9" t="inlineStr">
        <is>
          <t>条件触发</t>
        </is>
      </c>
      <c r="P459" s="9" t="inlineStr">
        <is>
          <t>triggered</t>
        </is>
      </c>
      <c r="Q459" s="9" t="inlineStr">
        <is>
          <t>条件触发：获得 150 层凝金后完成充能：境界突破成功时，凝金层数上限永久 +1；销毁此道具</t>
        </is>
      </c>
      <c r="R459" s="9" t="inlineStr">
        <is>
          <t>breakthrough_charge</t>
        </is>
      </c>
      <c r="S459" s="9" t="inlineStr">
        <is>
          <t>器身会收拢周天内新生的凝金气机，唯有成功破境时才拓宽承载。</t>
        </is>
      </c>
      <c r="T459" s="8" t="inlineStr">
        <is>
          <t>implement_breakthrough_charge_common_condensed_metal_cap_1x1</t>
        </is>
      </c>
      <c r="U459" s="8" t="inlineStr">
        <is>
          <t>allowed</t>
        </is>
      </c>
    </row>
    <row r="460" ht="34" customHeight="1">
      <c r="A460" s="8" t="n">
        <v>459</v>
      </c>
      <c r="B460" s="8" t="n">
        <v>400438</v>
      </c>
      <c r="C460" s="8" t="inlineStr">
        <is>
          <t>护甲承层蕴境筹</t>
        </is>
      </c>
      <c r="D460" s="8" t="inlineStr">
        <is>
          <t>占卜</t>
        </is>
      </c>
      <c r="E460" s="8" t="inlineStr">
        <is>
          <t>divination</t>
        </is>
      </c>
      <c r="F460" s="8" t="inlineStr">
        <is>
          <t>common</t>
        </is>
      </c>
      <c r="G460" s="8" t="inlineStr">
        <is>
          <t>金</t>
        </is>
      </c>
      <c r="H460" s="8" t="inlineStr">
        <is>
          <t>metal</t>
        </is>
      </c>
      <c r="I460" s="8" t="inlineStr">
        <is>
          <t>1×1</t>
        </is>
      </c>
      <c r="J460" s="8" t="n">
        <v>1</v>
      </c>
      <c r="K460" s="8" t="n">
        <v>6</v>
      </c>
      <c r="L460" s="8" t="inlineStr">
        <is>
          <t>是</t>
        </is>
      </c>
      <c r="M460" s="9" t="inlineStr">
        <is>
          <t>divination</t>
        </is>
      </c>
      <c r="N460" s="8" t="n">
        <v>1</v>
      </c>
      <c r="O460" s="9" t="inlineStr">
        <is>
          <t>条件触发</t>
        </is>
      </c>
      <c r="P460" s="9" t="inlineStr">
        <is>
          <t>triggered</t>
        </is>
      </c>
      <c r="Q460" s="9" t="inlineStr">
        <is>
          <t>条件触发：获得 150 层护甲后完成充能：境界突破成功时，护甲层数上限永久 +1；销毁此道具</t>
        </is>
      </c>
      <c r="R460" s="9" t="inlineStr">
        <is>
          <t>breakthrough_charge</t>
        </is>
      </c>
      <c r="S460" s="9" t="inlineStr">
        <is>
          <t>器身会收拢周天内新生的护甲气机，唯有成功破境时才拓宽承载。</t>
        </is>
      </c>
      <c r="T460" s="8" t="inlineStr">
        <is>
          <t>implement_breakthrough_charge_common_armor_cap_1x1</t>
        </is>
      </c>
      <c r="U460" s="8" t="inlineStr">
        <is>
          <t>allowed</t>
        </is>
      </c>
    </row>
    <row r="461" ht="34" customHeight="1">
      <c r="A461" s="8" t="n">
        <v>460</v>
      </c>
      <c r="B461" s="8" t="n">
        <v>400439</v>
      </c>
      <c r="C461" s="8" t="inlineStr">
        <is>
          <t>坚硬承层蕴境筹</t>
        </is>
      </c>
      <c r="D461" s="8" t="inlineStr">
        <is>
          <t>占卜</t>
        </is>
      </c>
      <c r="E461" s="8" t="inlineStr">
        <is>
          <t>divination</t>
        </is>
      </c>
      <c r="F461" s="8" t="inlineStr">
        <is>
          <t>common</t>
        </is>
      </c>
      <c r="G461" s="8" t="inlineStr">
        <is>
          <t>土</t>
        </is>
      </c>
      <c r="H461" s="8" t="inlineStr">
        <is>
          <t>earth</t>
        </is>
      </c>
      <c r="I461" s="8" t="inlineStr">
        <is>
          <t>1×1</t>
        </is>
      </c>
      <c r="J461" s="8" t="n">
        <v>1</v>
      </c>
      <c r="K461" s="8" t="n">
        <v>6</v>
      </c>
      <c r="L461" s="8" t="inlineStr">
        <is>
          <t>是</t>
        </is>
      </c>
      <c r="M461" s="9" t="inlineStr">
        <is>
          <t>divination</t>
        </is>
      </c>
      <c r="N461" s="8" t="n">
        <v>1</v>
      </c>
      <c r="O461" s="9" t="inlineStr">
        <is>
          <t>条件触发</t>
        </is>
      </c>
      <c r="P461" s="9" t="inlineStr">
        <is>
          <t>triggered</t>
        </is>
      </c>
      <c r="Q461" s="9" t="inlineStr">
        <is>
          <t>条件触发：获得 150 层坚硬后完成充能：境界突破成功时，坚硬层数上限永久 +1；销毁此道具</t>
        </is>
      </c>
      <c r="R461" s="9" t="inlineStr">
        <is>
          <t>breakthrough_charge</t>
        </is>
      </c>
      <c r="S461" s="9" t="inlineStr">
        <is>
          <t>器身会收拢周天内新生的坚硬气机，唯有成功破境时才拓宽承载。</t>
        </is>
      </c>
      <c r="T461" s="8" t="inlineStr">
        <is>
          <t>implement_breakthrough_charge_common_sturdy_cap_1x1</t>
        </is>
      </c>
      <c r="U461" s="8" t="inlineStr">
        <is>
          <t>allowed</t>
        </is>
      </c>
    </row>
    <row r="462" ht="34" customHeight="1">
      <c r="A462" s="8" t="n">
        <v>461</v>
      </c>
      <c r="B462" s="8" t="n">
        <v>400441</v>
      </c>
      <c r="C462" s="8" t="inlineStr">
        <is>
          <t>闪避承层蕴境筹</t>
        </is>
      </c>
      <c r="D462" s="8" t="inlineStr">
        <is>
          <t>占卜</t>
        </is>
      </c>
      <c r="E462" s="8" t="inlineStr">
        <is>
          <t>divination</t>
        </is>
      </c>
      <c r="F462" s="8" t="inlineStr">
        <is>
          <t>common</t>
        </is>
      </c>
      <c r="G462" s="8" t="inlineStr">
        <is>
          <t>木</t>
        </is>
      </c>
      <c r="H462" s="8" t="inlineStr">
        <is>
          <t>wood</t>
        </is>
      </c>
      <c r="I462" s="8" t="inlineStr">
        <is>
          <t>1×1</t>
        </is>
      </c>
      <c r="J462" s="8" t="n">
        <v>1</v>
      </c>
      <c r="K462" s="8" t="n">
        <v>6</v>
      </c>
      <c r="L462" s="8" t="inlineStr">
        <is>
          <t>是</t>
        </is>
      </c>
      <c r="M462" s="9" t="inlineStr">
        <is>
          <t>divination</t>
        </is>
      </c>
      <c r="N462" s="8" t="n">
        <v>1</v>
      </c>
      <c r="O462" s="9" t="inlineStr">
        <is>
          <t>条件触发</t>
        </is>
      </c>
      <c r="P462" s="9" t="inlineStr">
        <is>
          <t>triggered</t>
        </is>
      </c>
      <c r="Q462" s="9" t="inlineStr">
        <is>
          <t>条件触发：获得 150 层闪避后完成充能：境界突破成功时，闪避层数上限永久 +1；销毁此道具</t>
        </is>
      </c>
      <c r="R462" s="9" t="inlineStr">
        <is>
          <t>breakthrough_charge</t>
        </is>
      </c>
      <c r="S462" s="9" t="inlineStr">
        <is>
          <t>器身会收拢周天内新生的闪避气机，唯有成功破境时才拓宽承载。</t>
        </is>
      </c>
      <c r="T462" s="8" t="inlineStr">
        <is>
          <t>implement_breakthrough_charge_common_dodge_cap_1x1</t>
        </is>
      </c>
      <c r="U462" s="8" t="inlineStr">
        <is>
          <t>allowed</t>
        </is>
      </c>
    </row>
    <row r="463" ht="34" customHeight="1">
      <c r="A463" s="8" t="n">
        <v>462</v>
      </c>
      <c r="B463" s="8" t="n">
        <v>400442</v>
      </c>
      <c r="C463" s="8" t="inlineStr">
        <is>
          <t>再生承层蕴境筹</t>
        </is>
      </c>
      <c r="D463" s="8" t="inlineStr">
        <is>
          <t>占卜</t>
        </is>
      </c>
      <c r="E463" s="8" t="inlineStr">
        <is>
          <t>divination</t>
        </is>
      </c>
      <c r="F463" s="8" t="inlineStr">
        <is>
          <t>common</t>
        </is>
      </c>
      <c r="G463" s="8" t="inlineStr">
        <is>
          <t>木</t>
        </is>
      </c>
      <c r="H463" s="8" t="inlineStr">
        <is>
          <t>wood</t>
        </is>
      </c>
      <c r="I463" s="8" t="inlineStr">
        <is>
          <t>1×1</t>
        </is>
      </c>
      <c r="J463" s="8" t="n">
        <v>1</v>
      </c>
      <c r="K463" s="8" t="n">
        <v>6</v>
      </c>
      <c r="L463" s="8" t="inlineStr">
        <is>
          <t>是</t>
        </is>
      </c>
      <c r="M463" s="9" t="inlineStr">
        <is>
          <t>divination</t>
        </is>
      </c>
      <c r="N463" s="8" t="n">
        <v>1</v>
      </c>
      <c r="O463" s="9" t="inlineStr">
        <is>
          <t>条件触发</t>
        </is>
      </c>
      <c r="P463" s="9" t="inlineStr">
        <is>
          <t>triggered</t>
        </is>
      </c>
      <c r="Q463" s="9" t="inlineStr">
        <is>
          <t>条件触发：获得 150 层再生后完成充能：境界突破成功时，再生层数上限永久 +1；销毁此道具</t>
        </is>
      </c>
      <c r="R463" s="9" t="inlineStr">
        <is>
          <t>breakthrough_charge</t>
        </is>
      </c>
      <c r="S463" s="9" t="inlineStr">
        <is>
          <t>器身会收拢周天内新生的再生气机，唯有成功破境时才拓宽承载。</t>
        </is>
      </c>
      <c r="T463" s="8" t="inlineStr">
        <is>
          <t>implement_breakthrough_charge_common_regeneration_cap_1x1</t>
        </is>
      </c>
      <c r="U463" s="8" t="inlineStr">
        <is>
          <t>allowed</t>
        </is>
      </c>
    </row>
    <row r="464" ht="34" customHeight="1">
      <c r="A464" s="8" t="n">
        <v>463</v>
      </c>
      <c r="B464" s="8" t="n">
        <v>400443</v>
      </c>
      <c r="C464" s="8" t="inlineStr">
        <is>
          <t>引雷承层蕴境筹</t>
        </is>
      </c>
      <c r="D464" s="8" t="inlineStr">
        <is>
          <t>占卜</t>
        </is>
      </c>
      <c r="E464" s="8" t="inlineStr">
        <is>
          <t>divination</t>
        </is>
      </c>
      <c r="F464" s="8" t="inlineStr">
        <is>
          <t>common</t>
        </is>
      </c>
      <c r="G464" s="8" t="inlineStr">
        <is>
          <t>金</t>
        </is>
      </c>
      <c r="H464" s="8" t="inlineStr">
        <is>
          <t>metal</t>
        </is>
      </c>
      <c r="I464" s="8" t="inlineStr">
        <is>
          <t>1×1</t>
        </is>
      </c>
      <c r="J464" s="8" t="n">
        <v>1</v>
      </c>
      <c r="K464" s="8" t="n">
        <v>6</v>
      </c>
      <c r="L464" s="8" t="inlineStr">
        <is>
          <t>是</t>
        </is>
      </c>
      <c r="M464" s="9" t="inlineStr">
        <is>
          <t>divination</t>
        </is>
      </c>
      <c r="N464" s="8" t="n">
        <v>1</v>
      </c>
      <c r="O464" s="9" t="inlineStr">
        <is>
          <t>条件触发</t>
        </is>
      </c>
      <c r="P464" s="9" t="inlineStr">
        <is>
          <t>triggered</t>
        </is>
      </c>
      <c r="Q464" s="9" t="inlineStr">
        <is>
          <t>条件触发：获得 150 层引雷后完成充能：境界突破成功时，引雷层数上限永久 +1；销毁此道具</t>
        </is>
      </c>
      <c r="R464" s="9" t="inlineStr">
        <is>
          <t>breakthrough_charge</t>
        </is>
      </c>
      <c r="S464" s="9" t="inlineStr">
        <is>
          <t>器身会收拢周天内新生的引雷气机，唯有成功破境时才拓宽承载。</t>
        </is>
      </c>
      <c r="T464" s="8" t="inlineStr">
        <is>
          <t>implement_breakthrough_charge_common_lightning_charge_cap_1x1</t>
        </is>
      </c>
      <c r="U464" s="8" t="inlineStr">
        <is>
          <t>allowed</t>
        </is>
      </c>
    </row>
    <row r="465" ht="34" customHeight="1">
      <c r="A465" s="8" t="n">
        <v>464</v>
      </c>
      <c r="B465" s="8" t="n">
        <v>400447</v>
      </c>
      <c r="C465" s="8" t="inlineStr">
        <is>
          <t>回元蕴境筹</t>
        </is>
      </c>
      <c r="D465" s="8" t="inlineStr">
        <is>
          <t>占卜</t>
        </is>
      </c>
      <c r="E465" s="8" t="inlineStr">
        <is>
          <t>divination</t>
        </is>
      </c>
      <c r="F465" s="8" t="inlineStr">
        <is>
          <t>common</t>
        </is>
      </c>
      <c r="G465" s="8" t="inlineStr">
        <is>
          <t>木</t>
        </is>
      </c>
      <c r="H465" s="8" t="inlineStr">
        <is>
          <t>wood</t>
        </is>
      </c>
      <c r="I465" s="8" t="inlineStr">
        <is>
          <t>2×2</t>
        </is>
      </c>
      <c r="J465" s="8" t="n">
        <v>4</v>
      </c>
      <c r="K465" s="8" t="n">
        <v>6</v>
      </c>
      <c r="L465" s="8" t="inlineStr">
        <is>
          <t>是</t>
        </is>
      </c>
      <c r="M465" s="9" t="inlineStr">
        <is>
          <t>divination</t>
        </is>
      </c>
      <c r="N465" s="8" t="n">
        <v>1</v>
      </c>
      <c r="O465" s="9" t="inlineStr">
        <is>
          <t>条件触发</t>
        </is>
      </c>
      <c r="P465" s="9" t="inlineStr">
        <is>
          <t>triggered</t>
        </is>
      </c>
      <c r="Q465" s="9" t="inlineStr">
        <is>
          <t>条件触发：消耗 150 点法力后完成充能：境界突破成功时，法力上限永久 +2；销毁此道具</t>
        </is>
      </c>
      <c r="R465" s="9" t="inlineStr">
        <is>
          <t>breakthrough_charge</t>
        </is>
      </c>
      <c r="S465" s="9" t="inlineStr">
        <is>
          <t>器身会收拢周天内新生的风压气机，唯有成功破境时才拓宽承载。</t>
        </is>
      </c>
      <c r="T465" s="8" t="inlineStr">
        <is>
          <t>implement_breakthrough_charge_common_wind_pressure_cap_2x2</t>
        </is>
      </c>
      <c r="U465" s="8" t="inlineStr">
        <is>
          <t>allowed</t>
        </is>
      </c>
    </row>
    <row r="466" ht="34" customHeight="1">
      <c r="A466" s="8" t="n">
        <v>465</v>
      </c>
      <c r="B466" s="8" t="n">
        <v>400448</v>
      </c>
      <c r="C466" s="8" t="inlineStr">
        <is>
          <t>聚石蕴境筹</t>
        </is>
      </c>
      <c r="D466" s="8" t="inlineStr">
        <is>
          <t>占卜</t>
        </is>
      </c>
      <c r="E466" s="8" t="inlineStr">
        <is>
          <t>divination</t>
        </is>
      </c>
      <c r="F466" s="8" t="inlineStr">
        <is>
          <t>common</t>
        </is>
      </c>
      <c r="G466" s="8" t="inlineStr">
        <is>
          <t>土</t>
        </is>
      </c>
      <c r="H466" s="8" t="inlineStr">
        <is>
          <t>earth</t>
        </is>
      </c>
      <c r="I466" s="8" t="inlineStr">
        <is>
          <t>2×2</t>
        </is>
      </c>
      <c r="J466" s="8" t="n">
        <v>4</v>
      </c>
      <c r="K466" s="8" t="n">
        <v>6</v>
      </c>
      <c r="L466" s="8" t="inlineStr">
        <is>
          <t>是</t>
        </is>
      </c>
      <c r="M466" s="9" t="inlineStr">
        <is>
          <t>divination</t>
        </is>
      </c>
      <c r="N466" s="8" t="n">
        <v>1</v>
      </c>
      <c r="O466" s="9" t="inlineStr">
        <is>
          <t>条件触发</t>
        </is>
      </c>
      <c r="P466" s="9" t="inlineStr">
        <is>
          <t>triggered</t>
        </is>
      </c>
      <c r="Q466" s="9" t="inlineStr">
        <is>
          <t>条件触发：消耗 150 点法力后完成充能：境界突破成功时，法力上限永久 +3；销毁此道具</t>
        </is>
      </c>
      <c r="R466" s="9" t="inlineStr">
        <is>
          <t>breakthrough_charge</t>
        </is>
      </c>
      <c r="S466" s="9" t="inlineStr">
        <is>
          <t>器身会把周天法力耗转凝成石纹，唯有成功破境时才化为灵石。</t>
        </is>
      </c>
      <c r="T466" s="8" t="inlineStr">
        <is>
          <t>implement_breakthrough_charge_common_spirit_stone_2x2</t>
        </is>
      </c>
      <c r="U466" s="8" t="inlineStr">
        <is>
          <t>allowed</t>
        </is>
      </c>
    </row>
    <row r="467" ht="34" customHeight="1">
      <c r="A467" s="8" t="n">
        <v>466</v>
      </c>
      <c r="B467" s="8" t="n">
        <v>400449</v>
      </c>
      <c r="C467" s="8" t="inlineStr">
        <is>
          <t>引缘蕴境筹</t>
        </is>
      </c>
      <c r="D467" s="8" t="inlineStr">
        <is>
          <t>占卜</t>
        </is>
      </c>
      <c r="E467" s="8" t="inlineStr">
        <is>
          <t>divination</t>
        </is>
      </c>
      <c r="F467" s="8" t="inlineStr">
        <is>
          <t>common</t>
        </is>
      </c>
      <c r="G467" s="8" t="inlineStr">
        <is>
          <t>无</t>
        </is>
      </c>
      <c r="H467" s="8" t="inlineStr">
        <is>
          <t>none</t>
        </is>
      </c>
      <c r="I467" s="8" t="inlineStr">
        <is>
          <t>2×2</t>
        </is>
      </c>
      <c r="J467" s="8" t="n">
        <v>4</v>
      </c>
      <c r="K467" s="8" t="n">
        <v>6</v>
      </c>
      <c r="L467" s="8" t="inlineStr">
        <is>
          <t>是</t>
        </is>
      </c>
      <c r="M467" s="9" t="inlineStr">
        <is>
          <t>divination</t>
        </is>
      </c>
      <c r="N467" s="8" t="n">
        <v>1</v>
      </c>
      <c r="O467" s="9" t="inlineStr">
        <is>
          <t>说明/执行器</t>
        </is>
      </c>
      <c r="P467" s="9" t="inlineStr">
        <is>
          <t>effectNote</t>
        </is>
      </c>
      <c r="Q467" s="9" t="inlineStr">
        <is>
          <t>说明/执行器：消耗 300 点气血、体力或法力后完成充能：境界突破成功时，气血、体力及法力上限永久 +1；销毁此道具</t>
        </is>
      </c>
      <c r="R467" s="9" t="inlineStr">
        <is>
          <t>breakthrough_charge</t>
        </is>
      </c>
      <c r="S467" s="9" t="inlineStr">
        <is>
          <t>器身会记录周天内付出的元气，唯有成功破境时才把积蓄牵成机缘。</t>
        </is>
      </c>
      <c r="T467" s="8" t="inlineStr">
        <is>
          <t>implement_breakthrough_charge_common_lucky_2x2</t>
        </is>
      </c>
      <c r="U467" s="8" t="inlineStr">
        <is>
          <t>allowed</t>
        </is>
      </c>
    </row>
    <row r="468" ht="34" customHeight="1">
      <c r="A468" s="8" t="n">
        <v>467</v>
      </c>
      <c r="B468" s="8" t="n">
        <v>400508</v>
      </c>
      <c r="C468" s="8" t="inlineStr">
        <is>
          <t>霜息灯</t>
        </is>
      </c>
      <c r="D468" s="8" t="inlineStr">
        <is>
          <t>法器</t>
        </is>
      </c>
      <c r="E468" s="8" t="inlineStr">
        <is>
          <t>implement</t>
        </is>
      </c>
      <c r="F468" s="8" t="inlineStr">
        <is>
          <t>common</t>
        </is>
      </c>
      <c r="G468" s="8" t="inlineStr">
        <is>
          <t>冰</t>
        </is>
      </c>
      <c r="H468" s="8" t="inlineStr">
        <is>
          <t>ice</t>
        </is>
      </c>
      <c r="I468" s="8" t="inlineStr">
        <is>
          <t>1×1</t>
        </is>
      </c>
      <c r="J468" s="8" t="n">
        <v>1</v>
      </c>
      <c r="K468" s="8" t="n">
        <v>8</v>
      </c>
      <c r="L468" s="8" t="inlineStr">
        <is>
          <t>是</t>
        </is>
      </c>
      <c r="M468" s="9" t="inlineStr">
        <is>
          <t>bazaar；dynamicRandomReward；itemReforge</t>
        </is>
      </c>
      <c r="N468" s="8" t="n">
        <v>1</v>
      </c>
      <c r="O468" s="9" t="inlineStr">
        <is>
          <t>周期触发</t>
        </is>
      </c>
      <c r="P468" s="9" t="inlineStr">
        <is>
          <t>periodicPulse</t>
        </is>
      </c>
      <c r="Q468" s="9" t="inlineStr">
        <is>
          <t>周期触发：将 4 点法力转化为 6 层寒冷；将 4 点法力转化为 8 层寒冷；将 4 点法力转化为 10 层寒冷；将 4 点法力转化为 12 层寒冷</t>
        </is>
      </c>
      <c r="R468" s="9" t="inlineStr"/>
      <c r="S468" s="9" t="inlineStr">
        <is>
          <t>青铜灯盏内封着一缕淡蓝寒焰，灯芯不燃烟火，只把周围灵气缓缓凝成霜息。</t>
        </is>
      </c>
      <c r="T468" s="8" t="inlineStr">
        <is>
          <t>implement_frost_breath_lamp_1x1</t>
        </is>
      </c>
      <c r="U468" s="8" t="inlineStr">
        <is>
          <t>allowed</t>
        </is>
      </c>
    </row>
    <row r="469" ht="34" customHeight="1">
      <c r="A469" s="8" t="n">
        <v>468</v>
      </c>
      <c r="B469" s="8" t="n">
        <v>400509</v>
      </c>
      <c r="C469" s="8" t="inlineStr">
        <is>
          <t>冰纹水盏</t>
        </is>
      </c>
      <c r="D469" s="8" t="inlineStr">
        <is>
          <t>法器</t>
        </is>
      </c>
      <c r="E469" s="8" t="inlineStr">
        <is>
          <t>implement</t>
        </is>
      </c>
      <c r="F469" s="8" t="inlineStr">
        <is>
          <t>common</t>
        </is>
      </c>
      <c r="G469" s="8" t="inlineStr">
        <is>
          <t>冰</t>
        </is>
      </c>
      <c r="H469" s="8" t="inlineStr">
        <is>
          <t>ice</t>
        </is>
      </c>
      <c r="I469" s="8" t="inlineStr">
        <is>
          <t>1×1</t>
        </is>
      </c>
      <c r="J469" s="8" t="n">
        <v>1</v>
      </c>
      <c r="K469" s="8" t="n">
        <v>7</v>
      </c>
      <c r="L469" s="8" t="inlineStr">
        <is>
          <t>是</t>
        </is>
      </c>
      <c r="M469" s="9" t="inlineStr">
        <is>
          <t>bazaar；dynamicRandomReward；itemReforge</t>
        </is>
      </c>
      <c r="N469" s="8" t="n">
        <v>1</v>
      </c>
      <c r="O469" s="9" t="inlineStr">
        <is>
          <t>周期触发</t>
        </is>
      </c>
      <c r="P469" s="9" t="inlineStr">
        <is>
          <t>periodicPulse</t>
        </is>
      </c>
      <c r="Q469" s="9" t="inlineStr">
        <is>
          <t>周期触发：开局：与水属性道具相邻时，获得 5 层寒冷；开局：与水属性道具相邻时，获得 6 层寒冷；开局：与水属性道具相邻时，获得 7 层寒冷；开局：与水属性道具相邻时，获得 8 层寒冷</t>
        </is>
      </c>
      <c r="R469" s="9" t="inlineStr"/>
      <c r="S469" s="9" t="inlineStr">
        <is>
          <t>白瓷水盏内壁刻着回旋冰纹，贴近水属器物时，盏中清水会在开局瞬间凝出寒意。</t>
        </is>
      </c>
      <c r="T469" s="8" t="inlineStr">
        <is>
          <t>implement_ice_ripple_water_cup_1x1</t>
        </is>
      </c>
      <c r="U469" s="8" t="inlineStr">
        <is>
          <t>allowed</t>
        </is>
      </c>
    </row>
    <row r="470" ht="34" customHeight="1">
      <c r="A470" s="8" t="n">
        <v>469</v>
      </c>
      <c r="B470" s="8" t="n">
        <v>400510</v>
      </c>
      <c r="C470" s="8" t="inlineStr">
        <is>
          <t>寒髓匣</t>
        </is>
      </c>
      <c r="D470" s="8" t="inlineStr">
        <is>
          <t>法器</t>
        </is>
      </c>
      <c r="E470" s="8" t="inlineStr">
        <is>
          <t>implement</t>
        </is>
      </c>
      <c r="F470" s="8" t="inlineStr">
        <is>
          <t>common</t>
        </is>
      </c>
      <c r="G470" s="8" t="inlineStr">
        <is>
          <t>冰</t>
        </is>
      </c>
      <c r="H470" s="8" t="inlineStr">
        <is>
          <t>ice</t>
        </is>
      </c>
      <c r="I470" s="8" t="inlineStr">
        <is>
          <t>1×2</t>
        </is>
      </c>
      <c r="J470" s="8" t="n">
        <v>2</v>
      </c>
      <c r="K470" s="8" t="n">
        <v>12</v>
      </c>
      <c r="L470" s="8" t="inlineStr">
        <is>
          <t>是</t>
        </is>
      </c>
      <c r="M470" s="9" t="inlineStr">
        <is>
          <t>bazaar；dynamicRandomReward；itemReforge</t>
        </is>
      </c>
      <c r="N470" s="8" t="n">
        <v>2</v>
      </c>
      <c r="O470" s="9" t="inlineStr">
        <is>
          <t>被动效果</t>
        </is>
      </c>
      <c r="P470" s="9" t="inlineStr">
        <is>
          <t>passive</t>
        </is>
      </c>
      <c r="Q470" s="9" t="inlineStr">
        <is>
          <t>被动效果：寒冷层数上限 +6；寒冷层数上限 +8；寒冷层数上限 +10；寒冷层数上限 +12 | 被动效果：每有 1 件相邻冰属性道具，寒冷层数上限 +2（最多计算 3 件）</t>
        </is>
      </c>
      <c r="R470" s="9" t="inlineStr"/>
      <c r="S470" s="9" t="inlineStr">
        <is>
          <t>乌木长匣以冰髓封边，匣内寒气层层叠蓄，邻近的冰属器物越多，匣身霜纹越亮。</t>
        </is>
      </c>
      <c r="T470" s="8" t="inlineStr">
        <is>
          <t>implement_cold_marrow_box_1x2</t>
        </is>
      </c>
      <c r="U470" s="8" t="inlineStr">
        <is>
          <t>allowed</t>
        </is>
      </c>
    </row>
    <row r="471" ht="34" customHeight="1">
      <c r="A471" s="8" t="n">
        <v>470</v>
      </c>
      <c r="B471" s="8" t="n">
        <v>400511</v>
      </c>
      <c r="C471" s="8" t="inlineStr">
        <is>
          <t>凝露冰盘</t>
        </is>
      </c>
      <c r="D471" s="8" t="inlineStr">
        <is>
          <t>法器</t>
        </is>
      </c>
      <c r="E471" s="8" t="inlineStr">
        <is>
          <t>implement</t>
        </is>
      </c>
      <c r="F471" s="8" t="inlineStr">
        <is>
          <t>common</t>
        </is>
      </c>
      <c r="G471" s="8" t="inlineStr">
        <is>
          <t>冰</t>
        </is>
      </c>
      <c r="H471" s="8" t="inlineStr">
        <is>
          <t>ice</t>
        </is>
      </c>
      <c r="I471" s="8" t="inlineStr">
        <is>
          <t>1×2</t>
        </is>
      </c>
      <c r="J471" s="8" t="n">
        <v>2</v>
      </c>
      <c r="K471" s="8" t="n">
        <v>9</v>
      </c>
      <c r="L471" s="8" t="inlineStr">
        <is>
          <t>是</t>
        </is>
      </c>
      <c r="M471" s="9" t="inlineStr">
        <is>
          <t>bazaar；dynamicRandomReward；itemReforge</t>
        </is>
      </c>
      <c r="N471" s="8" t="n">
        <v>1</v>
      </c>
      <c r="O471" s="9" t="inlineStr">
        <is>
          <t>周期触发</t>
        </is>
      </c>
      <c r="P471" s="9" t="inlineStr">
        <is>
          <t>periodicPulse</t>
        </is>
      </c>
      <c r="Q471" s="9" t="inlineStr">
        <is>
          <t>周期触发：将 3 层露水转化为 6 层寒冷；将 3 层露水转化为 9 层寒冷；将 3 层露水转化为 12 层寒冷；将 3 层露水转化为 15 层寒冷</t>
        </is>
      </c>
      <c r="R471" s="9" t="inlineStr"/>
      <c r="S471" s="9" t="inlineStr">
        <is>
          <t>浅蓝玉盘上凝着一圈露珠，盘底寒纹轮转时，会将露水收束成清冽寒息。</t>
        </is>
      </c>
      <c r="T471" s="8" t="inlineStr">
        <is>
          <t>implement_dew_frost_plate_1x2</t>
        </is>
      </c>
      <c r="U471" s="8" t="inlineStr">
        <is>
          <t>allowed</t>
        </is>
      </c>
    </row>
    <row r="472" ht="34" customHeight="1">
      <c r="A472" s="8" t="n">
        <v>471</v>
      </c>
      <c r="B472" s="8" t="n">
        <v>400512</v>
      </c>
      <c r="C472" s="8" t="inlineStr">
        <is>
          <t>霜渡镜</t>
        </is>
      </c>
      <c r="D472" s="8" t="inlineStr">
        <is>
          <t>法器</t>
        </is>
      </c>
      <c r="E472" s="8" t="inlineStr">
        <is>
          <t>implement</t>
        </is>
      </c>
      <c r="F472" s="8" t="inlineStr">
        <is>
          <t>common</t>
        </is>
      </c>
      <c r="G472" s="8" t="inlineStr">
        <is>
          <t>冰</t>
        </is>
      </c>
      <c r="H472" s="8" t="inlineStr">
        <is>
          <t>ice</t>
        </is>
      </c>
      <c r="I472" s="8" t="inlineStr">
        <is>
          <t>1×2</t>
        </is>
      </c>
      <c r="J472" s="8" t="n">
        <v>2</v>
      </c>
      <c r="K472" s="8" t="n">
        <v>10</v>
      </c>
      <c r="L472" s="8" t="inlineStr">
        <is>
          <t>是</t>
        </is>
      </c>
      <c r="M472" s="9" t="inlineStr">
        <is>
          <t>bazaar；dynamicRandomReward；itemReforge</t>
        </is>
      </c>
      <c r="N472" s="8" t="n">
        <v>1</v>
      </c>
      <c r="O472" s="9" t="inlineStr">
        <is>
          <t>周期触发</t>
        </is>
      </c>
      <c r="P472" s="9" t="inlineStr">
        <is>
          <t>periodicPulse</t>
        </is>
      </c>
      <c r="Q472" s="9" t="inlineStr">
        <is>
          <t>周期触发：消耗 3 层寒冷；对敌方施加 6 层冰霜；消耗 3 层寒冷；对敌方施加 9 层冰霜；消耗 3 层寒冷；对敌方施加 12 层冰霜；消耗 3 层寒冷；对敌方施加 15 层冰霜</t>
        </is>
      </c>
      <c r="R472" s="9" t="inlineStr"/>
      <c r="S472" s="9" t="inlineStr">
        <is>
          <t>银背小镜映不出人影，只映出一线渡霜寒光，催动时会把自身寒意送入敌阵。</t>
        </is>
      </c>
      <c r="T472" s="8" t="inlineStr">
        <is>
          <t>implement_frost_crossing_mirror_1x2</t>
        </is>
      </c>
      <c r="U472" s="8" t="inlineStr">
        <is>
          <t>allowed</t>
        </is>
      </c>
    </row>
    <row r="473" ht="34" customHeight="1">
      <c r="A473" s="8" t="n">
        <v>472</v>
      </c>
      <c r="B473" s="8" t="n">
        <v>400513</v>
      </c>
      <c r="C473" s="8" t="inlineStr">
        <is>
          <t>霜鸣玉磬</t>
        </is>
      </c>
      <c r="D473" s="8" t="inlineStr">
        <is>
          <t>法器</t>
        </is>
      </c>
      <c r="E473" s="8" t="inlineStr">
        <is>
          <t>implement</t>
        </is>
      </c>
      <c r="F473" s="8" t="inlineStr">
        <is>
          <t>common</t>
        </is>
      </c>
      <c r="G473" s="8" t="inlineStr">
        <is>
          <t>冰</t>
        </is>
      </c>
      <c r="H473" s="8" t="inlineStr">
        <is>
          <t>ice</t>
        </is>
      </c>
      <c r="I473" s="8" t="inlineStr">
        <is>
          <t>1×1</t>
        </is>
      </c>
      <c r="J473" s="8" t="n">
        <v>1</v>
      </c>
      <c r="K473" s="8" t="n">
        <v>9</v>
      </c>
      <c r="L473" s="8" t="inlineStr">
        <is>
          <t>是</t>
        </is>
      </c>
      <c r="M473" s="9" t="inlineStr">
        <is>
          <t>bazaar；dynamicRandomReward；itemReforge</t>
        </is>
      </c>
      <c r="N473" s="8" t="n">
        <v>1</v>
      </c>
      <c r="O473" s="9" t="inlineStr">
        <is>
          <t>条件触发</t>
        </is>
      </c>
      <c r="P473" s="9" t="inlineStr">
        <is>
          <t>triggered</t>
        </is>
      </c>
      <c r="Q473" s="9" t="inlineStr">
        <is>
          <t>条件触发：上方相邻冰属性道具使我方获得寒冷时，恢复 1 点法力；上方相邻冰属性道具使我方获得寒冷时，恢复 2 点法力；上方相邻冰属性道具使我方获得寒冷时，恢复 3 点法力；上方相邻冰属性道具使我方获得寒冷时，恢复 4 点法力</t>
        </is>
      </c>
      <c r="R473" s="9" t="inlineStr"/>
      <c r="S473" s="9" t="inlineStr">
        <is>
          <t>冰白玉磬悬在银架上，上方寒器一动，磬心便回荡清音，将散失灵气引回经脉。</t>
        </is>
      </c>
      <c r="T473" s="8" t="inlineStr">
        <is>
          <t>implement_frost_chime_1x1</t>
        </is>
      </c>
      <c r="U473" s="8" t="inlineStr">
        <is>
          <t>allowed</t>
        </is>
      </c>
    </row>
    <row r="474" ht="34" customHeight="1">
      <c r="A474" s="8" t="n">
        <v>473</v>
      </c>
      <c r="B474" s="8" t="n">
        <v>400514</v>
      </c>
      <c r="C474" s="8" t="inlineStr">
        <is>
          <t>雪幕护心甲</t>
        </is>
      </c>
      <c r="D474" s="8" t="inlineStr">
        <is>
          <t>法器</t>
        </is>
      </c>
      <c r="E474" s="8" t="inlineStr">
        <is>
          <t>implement</t>
        </is>
      </c>
      <c r="F474" s="8" t="inlineStr">
        <is>
          <t>common</t>
        </is>
      </c>
      <c r="G474" s="8" t="inlineStr">
        <is>
          <t>冰</t>
        </is>
      </c>
      <c r="H474" s="8" t="inlineStr">
        <is>
          <t>ice</t>
        </is>
      </c>
      <c r="I474" s="8" t="inlineStr">
        <is>
          <t>2×2</t>
        </is>
      </c>
      <c r="J474" s="8" t="n">
        <v>4</v>
      </c>
      <c r="K474" s="8" t="n">
        <v>35</v>
      </c>
      <c r="L474" s="8" t="inlineStr">
        <is>
          <t>是</t>
        </is>
      </c>
      <c r="M474" s="9" t="inlineStr">
        <is>
          <t>bazaar；dynamicRandomReward；itemReforge</t>
        </is>
      </c>
      <c r="N474" s="8" t="n">
        <v>1</v>
      </c>
      <c r="O474" s="9" t="inlineStr">
        <is>
          <t>被动效果</t>
        </is>
      </c>
      <c r="P474" s="9" t="inlineStr">
        <is>
          <t>passive</t>
        </is>
      </c>
      <c r="Q474" s="9" t="inlineStr">
        <is>
          <t>被动效果：可使用寒冷抵挡伤害，每层抵挡1点伤害，耐久归零后本场失效。；可使用寒冷抵挡伤害，每层抵挡2点伤害，耐久归零后本场失效。；可使用寒冷抵挡伤害，每层抵挡3点伤害，耐久归零后本场失效。；可使用寒冷抵挡伤害，每层抵挡4点伤害，耐久归零后本场失效。</t>
        </is>
      </c>
      <c r="R474" s="9" t="inlineStr"/>
      <c r="S474" s="9" t="inlineStr">
        <is>
          <t>层叠冰鳞覆住胸腹，寒气受击时化作细密雪幕，逐层削去来势。</t>
        </is>
      </c>
      <c r="T474" s="8" t="inlineStr">
        <is>
          <t>implement_snowveil_heart_armor_2x2</t>
        </is>
      </c>
      <c r="U474" s="8" t="inlineStr">
        <is>
          <t>allowed</t>
        </is>
      </c>
    </row>
    <row r="475" ht="34" customHeight="1">
      <c r="A475" s="8" t="n">
        <v>474</v>
      </c>
      <c r="B475" s="8" t="n">
        <v>400515</v>
      </c>
      <c r="C475" s="8" t="inlineStr">
        <is>
          <t>霜牙短刃</t>
        </is>
      </c>
      <c r="D475" s="8" t="inlineStr">
        <is>
          <t>法器</t>
        </is>
      </c>
      <c r="E475" s="8" t="inlineStr">
        <is>
          <t>implement</t>
        </is>
      </c>
      <c r="F475" s="8" t="inlineStr">
        <is>
          <t>common</t>
        </is>
      </c>
      <c r="G475" s="8" t="inlineStr">
        <is>
          <t>冰</t>
        </is>
      </c>
      <c r="H475" s="8" t="inlineStr">
        <is>
          <t>ice</t>
        </is>
      </c>
      <c r="I475" s="8" t="inlineStr">
        <is>
          <t>1×2</t>
        </is>
      </c>
      <c r="J475" s="8" t="n">
        <v>2</v>
      </c>
      <c r="K475" s="8" t="n">
        <v>11</v>
      </c>
      <c r="L475" s="8" t="inlineStr">
        <is>
          <t>是</t>
        </is>
      </c>
      <c r="M475" s="9" t="inlineStr">
        <is>
          <t>bazaar；dynamicRandomReward；itemReforge</t>
        </is>
      </c>
      <c r="N475" s="8" t="n">
        <v>1</v>
      </c>
      <c r="O475" s="9" t="inlineStr">
        <is>
          <t>周期触发</t>
        </is>
      </c>
      <c r="P475" s="9" t="inlineStr">
        <is>
          <t>periodicPulse</t>
        </is>
      </c>
      <c r="Q475" s="9" t="inlineStr">
        <is>
          <t>周期触发：消耗 2 层寒冷；对敌方造成 8 点伤害；消耗 2 层寒冷；对敌方造成 10 点伤害；消耗 2 层寒冷；对敌方造成 12 点伤害；消耗 2 层寒冷；对敌方造成 16 点伤害</t>
        </is>
      </c>
      <c r="R475" s="9" t="inlineStr"/>
      <c r="S475" s="9" t="inlineStr">
        <is>
          <t>短刃形如冰兽獠牙，刃脊收束寒息，每次轮转都以薄霜换取凌厉一刺。</t>
        </is>
      </c>
      <c r="T475" s="8" t="inlineStr">
        <is>
          <t>implement_frostfang_dagger_1x2</t>
        </is>
      </c>
      <c r="U475" s="8" t="inlineStr">
        <is>
          <t>allowed</t>
        </is>
      </c>
    </row>
    <row r="476" ht="34" customHeight="1">
      <c r="A476" s="8" t="n">
        <v>475</v>
      </c>
      <c r="B476" s="8" t="n">
        <v>400516</v>
      </c>
      <c r="C476" s="8" t="inlineStr">
        <is>
          <t>碎霜铜锤</t>
        </is>
      </c>
      <c r="D476" s="8" t="inlineStr">
        <is>
          <t>法器</t>
        </is>
      </c>
      <c r="E476" s="8" t="inlineStr">
        <is>
          <t>implement</t>
        </is>
      </c>
      <c r="F476" s="8" t="inlineStr">
        <is>
          <t>common</t>
        </is>
      </c>
      <c r="G476" s="8" t="inlineStr">
        <is>
          <t>冰</t>
        </is>
      </c>
      <c r="H476" s="8" t="inlineStr">
        <is>
          <t>ice</t>
        </is>
      </c>
      <c r="I476" s="8" t="inlineStr">
        <is>
          <t>2×2</t>
        </is>
      </c>
      <c r="J476" s="8" t="n">
        <v>4</v>
      </c>
      <c r="K476" s="8" t="n">
        <v>14</v>
      </c>
      <c r="L476" s="8" t="inlineStr">
        <is>
          <t>是</t>
        </is>
      </c>
      <c r="M476" s="9" t="inlineStr">
        <is>
          <t>bazaar；dynamicRandomReward；itemReforge</t>
        </is>
      </c>
      <c r="N476" s="8" t="n">
        <v>1</v>
      </c>
      <c r="O476" s="9" t="inlineStr">
        <is>
          <t>周期触发</t>
        </is>
      </c>
      <c r="P476" s="9" t="inlineStr">
        <is>
          <t>periodicPulse</t>
        </is>
      </c>
      <c r="Q476" s="9" t="inlineStr">
        <is>
          <t>周期触发：消耗敌方 4 层冰霜，对敌方造成 12 点伤害；消耗敌方 4 层冰霜，对敌方造成 16 点伤害；消耗敌方 4 层冰霜，对敌方造成 20 点伤害；消耗敌方 4 层冰霜，对敌方造成 24 点伤害</t>
        </is>
      </c>
      <c r="R476" s="9" t="inlineStr"/>
      <c r="S476" s="9" t="inlineStr">
        <is>
          <t>方首铜锤布满破冰棱齿，敌身霜层越厚，锤落时越能震出碎裂回响。</t>
        </is>
      </c>
      <c r="T476" s="8" t="inlineStr">
        <is>
          <t>implement_frostbreaker_bronze_hammer_2x2</t>
        </is>
      </c>
      <c r="U476" s="8" t="inlineStr">
        <is>
          <t>allowed</t>
        </is>
      </c>
    </row>
    <row r="477" ht="34" customHeight="1">
      <c r="A477" s="8" t="n">
        <v>476</v>
      </c>
      <c r="B477" s="8" t="n">
        <v>400517</v>
      </c>
      <c r="C477" s="8" t="inlineStr">
        <is>
          <t>玄冰莲台</t>
        </is>
      </c>
      <c r="D477" s="8" t="inlineStr">
        <is>
          <t>法器</t>
        </is>
      </c>
      <c r="E477" s="8" t="inlineStr">
        <is>
          <t>implement</t>
        </is>
      </c>
      <c r="F477" s="8" t="inlineStr">
        <is>
          <t>spirit</t>
        </is>
      </c>
      <c r="G477" s="8" t="inlineStr">
        <is>
          <t>冰</t>
        </is>
      </c>
      <c r="H477" s="8" t="inlineStr">
        <is>
          <t>ice</t>
        </is>
      </c>
      <c r="I477" s="8" t="inlineStr">
        <is>
          <t>2×2</t>
        </is>
      </c>
      <c r="J477" s="8" t="n">
        <v>4</v>
      </c>
      <c r="K477" s="8" t="n">
        <v>90</v>
      </c>
      <c r="L477" s="8" t="inlineStr">
        <is>
          <t>是</t>
        </is>
      </c>
      <c r="M477" s="9" t="inlineStr">
        <is>
          <t>bazaar；dynamicRandomReward；itemReforge</t>
        </is>
      </c>
      <c r="N477" s="8" t="n">
        <v>1</v>
      </c>
      <c r="O477" s="9" t="inlineStr">
        <is>
          <t>周期触发</t>
        </is>
      </c>
      <c r="P477" s="9" t="inlineStr">
        <is>
          <t>periodicPulse</t>
        </is>
      </c>
      <c r="Q477" s="9" t="inlineStr">
        <is>
          <t>周期触发：将 50 点法力转化为 150 层寒冷；将 50 点法力转化为 180 层寒冷；将 50 点法力转化为 210 层寒冷；将 50 点法力转化为 250 层寒冷</t>
        </is>
      </c>
      <c r="R477" s="9" t="inlineStr"/>
      <c r="S477" s="9" t="inlineStr">
        <is>
          <t>整座莲台由深蓝玄冰雕成，莲心吞吐灵气，长轮转后会凝出奔涌寒潮。</t>
        </is>
      </c>
      <c r="T477" s="8" t="inlineStr">
        <is>
          <t>implement_mystic_ice_lotus_throne_2x2</t>
        </is>
      </c>
      <c r="U477" s="8" t="inlineStr">
        <is>
          <t>allowed</t>
        </is>
      </c>
    </row>
    <row r="478" ht="34" customHeight="1">
      <c r="A478" s="8" t="n">
        <v>477</v>
      </c>
      <c r="B478" s="8" t="n">
        <v>400518</v>
      </c>
      <c r="C478" s="8" t="inlineStr">
        <is>
          <t>太阴寒匣</t>
        </is>
      </c>
      <c r="D478" s="8" t="inlineStr">
        <is>
          <t>法器</t>
        </is>
      </c>
      <c r="E478" s="8" t="inlineStr">
        <is>
          <t>implement</t>
        </is>
      </c>
      <c r="F478" s="8" t="inlineStr">
        <is>
          <t>spirit</t>
        </is>
      </c>
      <c r="G478" s="8" t="inlineStr">
        <is>
          <t>冰</t>
        </is>
      </c>
      <c r="H478" s="8" t="inlineStr">
        <is>
          <t>ice</t>
        </is>
      </c>
      <c r="I478" s="8" t="inlineStr">
        <is>
          <t>2×3</t>
        </is>
      </c>
      <c r="J478" s="8" t="n">
        <v>6</v>
      </c>
      <c r="K478" s="8" t="n">
        <v>110</v>
      </c>
      <c r="L478" s="8" t="inlineStr">
        <is>
          <t>是</t>
        </is>
      </c>
      <c r="M478" s="9" t="inlineStr">
        <is>
          <t>bazaar；dynamicRandomReward；itemReforge</t>
        </is>
      </c>
      <c r="N478" s="8" t="n">
        <v>2</v>
      </c>
      <c r="O478" s="9" t="inlineStr">
        <is>
          <t>被动效果</t>
        </is>
      </c>
      <c r="P478" s="9" t="inlineStr">
        <is>
          <t>passive</t>
        </is>
      </c>
      <c r="Q478" s="9" t="inlineStr">
        <is>
          <t>被动效果：寒冷层数上限 +50；寒冷层数上限 +60；寒冷层数上限 +75；寒冷层数上限 +90 | 被动效果：每有 1 件其他冰属性道具，寒冷层数上限 +10（最多计算 5 件）；每有 1 件其他冰属性道具，寒冷层数上限 +13（最多计算 5 件）；每有 1 件其他冰属性道具，寒冷层数上限 +15（最多计算 5 件）；每有 1 件其他冰属性道具，寒冷层数上限 +18（最多计算 5 件）</t>
        </is>
      </c>
      <c r="R478" s="9" t="inlineStr"/>
      <c r="S478" s="9" t="inlineStr">
        <is>
          <t>六面寒匣以月银锁住太阴冷辉，袋中每添一件冰属道具，匣内便多结一重寒髓。</t>
        </is>
      </c>
      <c r="T478" s="8" t="inlineStr">
        <is>
          <t>implement_lunar_cold_coffer_2x3</t>
        </is>
      </c>
      <c r="U478" s="8" t="inlineStr">
        <is>
          <t>allowed</t>
        </is>
      </c>
    </row>
    <row r="479" ht="34" customHeight="1">
      <c r="A479" s="8" t="n">
        <v>478</v>
      </c>
      <c r="B479" s="8" t="n">
        <v>400519</v>
      </c>
      <c r="C479" s="8" t="inlineStr">
        <is>
          <t>冰河转经轮</t>
        </is>
      </c>
      <c r="D479" s="8" t="inlineStr">
        <is>
          <t>法器</t>
        </is>
      </c>
      <c r="E479" s="8" t="inlineStr">
        <is>
          <t>implement</t>
        </is>
      </c>
      <c r="F479" s="8" t="inlineStr">
        <is>
          <t>spirit</t>
        </is>
      </c>
      <c r="G479" s="8" t="inlineStr">
        <is>
          <t>冰</t>
        </is>
      </c>
      <c r="H479" s="8" t="inlineStr">
        <is>
          <t>ice</t>
        </is>
      </c>
      <c r="I479" s="8" t="inlineStr">
        <is>
          <t>2×2</t>
        </is>
      </c>
      <c r="J479" s="8" t="n">
        <v>4</v>
      </c>
      <c r="K479" s="8" t="n">
        <v>100</v>
      </c>
      <c r="L479" s="8" t="inlineStr">
        <is>
          <t>是</t>
        </is>
      </c>
      <c r="M479" s="9" t="inlineStr">
        <is>
          <t>bazaar；dynamicRandomReward；itemReforge</t>
        </is>
      </c>
      <c r="N479" s="8" t="n">
        <v>1</v>
      </c>
      <c r="O479" s="9" t="inlineStr">
        <is>
          <t>周期触发</t>
        </is>
      </c>
      <c r="P479" s="9" t="inlineStr">
        <is>
          <t>periodicPulse</t>
        </is>
      </c>
      <c r="Q479" s="9" t="inlineStr">
        <is>
          <t>周期触发：将 25 层寒冷转化为 50 点修为；将 25 层寒冷转化为 75 点修为；将 25 层寒冷转化为 100 点修为；将 25 层寒冷转化为 125 点修为</t>
        </is>
      </c>
      <c r="R479" s="9" t="inlineStr"/>
      <c r="S479" s="9" t="inlineStr">
        <is>
          <t>经轮外圈如冻结长河，转动时会将积蓄寒流磨成澄澈修为，冰纹随之逐寸退去。</t>
        </is>
      </c>
      <c r="T479" s="8" t="inlineStr">
        <is>
          <t>implement_glacial_scripture_wheel_2x2</t>
        </is>
      </c>
      <c r="U479" s="8" t="inlineStr">
        <is>
          <t>allowed</t>
        </is>
      </c>
    </row>
    <row r="480" ht="34" customHeight="1">
      <c r="A480" s="8" t="n">
        <v>479</v>
      </c>
      <c r="B480" s="8" t="n">
        <v>400520</v>
      </c>
      <c r="C480" s="8" t="inlineStr">
        <is>
          <t>寒潮骨笛</t>
        </is>
      </c>
      <c r="D480" s="8" t="inlineStr">
        <is>
          <t>法器</t>
        </is>
      </c>
      <c r="E480" s="8" t="inlineStr">
        <is>
          <t>implement</t>
        </is>
      </c>
      <c r="F480" s="8" t="inlineStr">
        <is>
          <t>spirit</t>
        </is>
      </c>
      <c r="G480" s="8" t="inlineStr">
        <is>
          <t>冰</t>
        </is>
      </c>
      <c r="H480" s="8" t="inlineStr">
        <is>
          <t>ice</t>
        </is>
      </c>
      <c r="I480" s="8" t="inlineStr">
        <is>
          <t>1×2</t>
        </is>
      </c>
      <c r="J480" s="8" t="n">
        <v>2</v>
      </c>
      <c r="K480" s="8" t="n">
        <v>85</v>
      </c>
      <c r="L480" s="8" t="inlineStr">
        <is>
          <t>是</t>
        </is>
      </c>
      <c r="M480" s="9" t="inlineStr">
        <is>
          <t>bazaar；dynamicRandomReward；itemReforge</t>
        </is>
      </c>
      <c r="N480" s="8" t="n">
        <v>1</v>
      </c>
      <c r="O480" s="9" t="inlineStr">
        <is>
          <t>周期触发</t>
        </is>
      </c>
      <c r="P480" s="9" t="inlineStr">
        <is>
          <t>periodicPulse</t>
        </is>
      </c>
      <c r="Q480" s="9" t="inlineStr">
        <is>
          <t>周期触发：消耗 25 层寒冷；对敌方施加 50 层冰霜；消耗 25 层寒冷；对敌方施加 75 层冰霜；消耗 25 层寒冷；对敌方施加 100 层冰霜；消耗 25 层寒冷；对敌方施加 125 层冰霜</t>
        </is>
      </c>
      <c r="R480" s="9" t="inlineStr"/>
      <c r="S480" s="9" t="inlineStr">
        <is>
          <t>冰兽长骨磨成的横笛布满潮纹，笛声催动寒流越过阵线，在敌身结成厚重冰霜。</t>
        </is>
      </c>
      <c r="T480" s="8" t="inlineStr">
        <is>
          <t>implement_cold_tide_bone_flute_1x2</t>
        </is>
      </c>
      <c r="U480" s="8" t="inlineStr">
        <is>
          <t>allowed</t>
        </is>
      </c>
    </row>
    <row r="481" ht="34" customHeight="1">
      <c r="A481" s="8" t="n">
        <v>480</v>
      </c>
      <c r="B481" s="8" t="n">
        <v>400521</v>
      </c>
      <c r="C481" s="8" t="inlineStr">
        <is>
          <t>霜破长铗</t>
        </is>
      </c>
      <c r="D481" s="8" t="inlineStr">
        <is>
          <t>法器</t>
        </is>
      </c>
      <c r="E481" s="8" t="inlineStr">
        <is>
          <t>implement</t>
        </is>
      </c>
      <c r="F481" s="8" t="inlineStr">
        <is>
          <t>spirit</t>
        </is>
      </c>
      <c r="G481" s="8" t="inlineStr">
        <is>
          <t>冰</t>
        </is>
      </c>
      <c r="H481" s="8" t="inlineStr">
        <is>
          <t>ice</t>
        </is>
      </c>
      <c r="I481" s="8" t="inlineStr">
        <is>
          <t>1×3</t>
        </is>
      </c>
      <c r="J481" s="8" t="n">
        <v>3</v>
      </c>
      <c r="K481" s="8" t="n">
        <v>105</v>
      </c>
      <c r="L481" s="8" t="inlineStr">
        <is>
          <t>是</t>
        </is>
      </c>
      <c r="M481" s="9" t="inlineStr">
        <is>
          <t>bazaar；dynamicRandomReward；itemReforge</t>
        </is>
      </c>
      <c r="N481" s="8" t="n">
        <v>1</v>
      </c>
      <c r="O481" s="9" t="inlineStr">
        <is>
          <t>周期触发</t>
        </is>
      </c>
      <c r="P481" s="9" t="inlineStr">
        <is>
          <t>periodicPulse</t>
        </is>
      </c>
      <c r="Q481" s="9" t="inlineStr">
        <is>
          <t>周期触发：消耗 25 层寒冷；对敌方造成 100 点伤害；消耗 25 层寒冷；对敌方造成 125 点伤害；消耗 25 层寒冷；对敌方造成 150 点伤害；消耗 25 层寒冷；对敌方造成 175 点伤害</t>
        </is>
      </c>
      <c r="R481" s="9" t="inlineStr"/>
      <c r="S481" s="9" t="inlineStr">
        <is>
          <t>三尺长铗以玄冰包锋，刃上寒气收束成线，挥出时将自身寒流尽数压入一斩。</t>
        </is>
      </c>
      <c r="T481" s="8" t="inlineStr">
        <is>
          <t>implement_frostcleave_long_blade_1x3</t>
        </is>
      </c>
      <c r="U481" s="8" t="inlineStr">
        <is>
          <t>allowed</t>
        </is>
      </c>
    </row>
    <row r="482" ht="34" customHeight="1">
      <c r="A482" s="8" t="n">
        <v>481</v>
      </c>
      <c r="B482" s="8" t="n">
        <v>400522</v>
      </c>
      <c r="C482" s="8" t="inlineStr">
        <is>
          <t>裂界冰槌</t>
        </is>
      </c>
      <c r="D482" s="8" t="inlineStr">
        <is>
          <t>法器</t>
        </is>
      </c>
      <c r="E482" s="8" t="inlineStr">
        <is>
          <t>implement</t>
        </is>
      </c>
      <c r="F482" s="8" t="inlineStr">
        <is>
          <t>spirit</t>
        </is>
      </c>
      <c r="G482" s="8" t="inlineStr">
        <is>
          <t>冰</t>
        </is>
      </c>
      <c r="H482" s="8" t="inlineStr">
        <is>
          <t>ice</t>
        </is>
      </c>
      <c r="I482" s="8" t="inlineStr">
        <is>
          <t>2×3</t>
        </is>
      </c>
      <c r="J482" s="8" t="n">
        <v>6</v>
      </c>
      <c r="K482" s="8" t="n">
        <v>120</v>
      </c>
      <c r="L482" s="8" t="inlineStr">
        <is>
          <t>是</t>
        </is>
      </c>
      <c r="M482" s="9" t="inlineStr">
        <is>
          <t>bazaar；dynamicRandomReward；itemReforge</t>
        </is>
      </c>
      <c r="N482" s="8" t="n">
        <v>1</v>
      </c>
      <c r="O482" s="9" t="inlineStr">
        <is>
          <t>周期触发</t>
        </is>
      </c>
      <c r="P482" s="9" t="inlineStr">
        <is>
          <t>periodicPulse</t>
        </is>
      </c>
      <c r="Q482" s="9" t="inlineStr">
        <is>
          <t>周期触发：消耗敌方 25 层冰霜，对敌方造成 100 点伤害；消耗敌方 25 层冰霜，对敌方造成 125 点伤害；消耗敌方 25 层冰霜，对敌方造成 150 点伤害；消耗敌方 25 层冰霜，对敌方造成 200 点伤害</t>
        </is>
      </c>
      <c r="R482" s="9" t="inlineStr"/>
      <c r="S482" s="9" t="inlineStr">
        <is>
          <t>巨槌由整块裂界寒晶铸成，敌方霜层一旦凝厚，槌面便能引发贯穿阵线的冰爆。</t>
        </is>
      </c>
      <c r="T482" s="8" t="inlineStr">
        <is>
          <t>implement_worldrift_ice_maul_2x3</t>
        </is>
      </c>
      <c r="U482" s="8" t="inlineStr">
        <is>
          <t>allowed</t>
        </is>
      </c>
    </row>
    <row r="483" ht="34" customHeight="1">
      <c r="A483" s="8" t="n">
        <v>482</v>
      </c>
      <c r="B483" s="8" t="n">
        <v>400523</v>
      </c>
      <c r="C483" s="8" t="inlineStr">
        <is>
          <t>太阴寒轮</t>
        </is>
      </c>
      <c r="D483" s="8" t="inlineStr">
        <is>
          <t>法器</t>
        </is>
      </c>
      <c r="E483" s="8" t="inlineStr">
        <is>
          <t>implement</t>
        </is>
      </c>
      <c r="F483" s="8" t="inlineStr">
        <is>
          <t>spirit</t>
        </is>
      </c>
      <c r="G483" s="8" t="inlineStr">
        <is>
          <t>冰</t>
        </is>
      </c>
      <c r="H483" s="8" t="inlineStr">
        <is>
          <t>ice</t>
        </is>
      </c>
      <c r="I483" s="8" t="inlineStr">
        <is>
          <t>2×2</t>
        </is>
      </c>
      <c r="J483" s="8" t="n">
        <v>4</v>
      </c>
      <c r="K483" s="8" t="n">
        <v>115</v>
      </c>
      <c r="L483" s="8" t="inlineStr">
        <is>
          <t>是</t>
        </is>
      </c>
      <c r="M483" s="9" t="inlineStr">
        <is>
          <t>bazaar；dynamicRandomReward；itemReforge</t>
        </is>
      </c>
      <c r="N483" s="8" t="n">
        <v>1</v>
      </c>
      <c r="O483" s="9" t="inlineStr">
        <is>
          <t>周期触发</t>
        </is>
      </c>
      <c r="P483" s="9" t="inlineStr">
        <is>
          <t>periodicPulse</t>
        </is>
      </c>
      <c r="Q483" s="9" t="inlineStr">
        <is>
          <t>周期触发：寒冷不少于 50 层时，使我方所有冰属性道具加速 5 秒；寒冷不少于 50 层时，使我方所有冰属性道具加速 6 秒；寒冷不少于 50 层时，使我方所有冰属性道具加速 7 秒；寒冷不少于 50 层时，使我方所有冰属性道具加速 9 秒</t>
        </is>
      </c>
      <c r="R483" s="9" t="inlineStr"/>
      <c r="S483" s="9" t="inlineStr">
        <is>
          <t>月白寒轮悬着六枚冰刃，寒冷蓄至极盛时，轮光一转，便催动全袋冰器疾行。</t>
        </is>
      </c>
      <c r="T483" s="8" t="inlineStr">
        <is>
          <t>implement_lunar_cold_wheel_2x2</t>
        </is>
      </c>
      <c r="U483" s="8" t="inlineStr">
        <is>
          <t>allowed</t>
        </is>
      </c>
    </row>
    <row r="484" ht="34" customHeight="1">
      <c r="A484" s="8" t="n">
        <v>483</v>
      </c>
      <c r="B484" s="8" t="n">
        <v>400524</v>
      </c>
      <c r="C484" s="8" t="inlineStr">
        <is>
          <t>牵风铜轴</t>
        </is>
      </c>
      <c r="D484" s="8" t="inlineStr">
        <is>
          <t>法器</t>
        </is>
      </c>
      <c r="E484" s="8" t="inlineStr">
        <is>
          <t>implement</t>
        </is>
      </c>
      <c r="F484" s="8" t="inlineStr">
        <is>
          <t>common</t>
        </is>
      </c>
      <c r="G484" s="8" t="inlineStr">
        <is>
          <t>风</t>
        </is>
      </c>
      <c r="H484" s="8" t="inlineStr">
        <is>
          <t>wind</t>
        </is>
      </c>
      <c r="I484" s="8" t="inlineStr">
        <is>
          <t>1×1</t>
        </is>
      </c>
      <c r="J484" s="8" t="n">
        <v>1</v>
      </c>
      <c r="K484" s="8" t="n">
        <v>12</v>
      </c>
      <c r="L484" s="8" t="inlineStr">
        <is>
          <t>是</t>
        </is>
      </c>
      <c r="M484" s="9" t="inlineStr">
        <is>
          <t>bazaar；dynamicRandomReward；itemReforge</t>
        </is>
      </c>
      <c r="N484" s="8" t="n">
        <v>1</v>
      </c>
      <c r="O484" s="9" t="inlineStr">
        <is>
          <t>周期触发</t>
        </is>
      </c>
      <c r="P484" s="9" t="inlineStr">
        <is>
          <t>periodicPulse</t>
        </is>
      </c>
      <c r="Q484" s="9" t="inlineStr">
        <is>
          <t>周期触发：使右侧相邻道具加速 3 秒；使右侧相邻道具加速 4 秒；使右侧相邻道具加速 5 秒；使右侧相邻道具加速 6 秒</t>
        </is>
      </c>
      <c r="R484" s="9" t="inlineStr"/>
      <c r="S484" s="9" t="inlineStr">
        <is>
          <t>铜轴两端嵌着薄羽，轴身一转，便将散风送往右侧器位。</t>
        </is>
      </c>
      <c r="T484" s="8" t="inlineStr">
        <is>
          <t>implement_draft_guiding_copper_spindle_1x1</t>
        </is>
      </c>
      <c r="U484" s="8" t="inlineStr">
        <is>
          <t>allowed</t>
        </is>
      </c>
    </row>
    <row r="485" ht="34" customHeight="1">
      <c r="A485" s="8" t="n">
        <v>484</v>
      </c>
      <c r="B485" s="8" t="n">
        <v>400525</v>
      </c>
      <c r="C485" s="8" t="inlineStr">
        <is>
          <t>倒风镇片</t>
        </is>
      </c>
      <c r="D485" s="8" t="inlineStr">
        <is>
          <t>法器</t>
        </is>
      </c>
      <c r="E485" s="8" t="inlineStr">
        <is>
          <t>implement</t>
        </is>
      </c>
      <c r="F485" s="8" t="inlineStr">
        <is>
          <t>common</t>
        </is>
      </c>
      <c r="G485" s="8" t="inlineStr">
        <is>
          <t>风</t>
        </is>
      </c>
      <c r="H485" s="8" t="inlineStr">
        <is>
          <t>wind</t>
        </is>
      </c>
      <c r="I485" s="8" t="inlineStr">
        <is>
          <t>1×1</t>
        </is>
      </c>
      <c r="J485" s="8" t="n">
        <v>1</v>
      </c>
      <c r="K485" s="8" t="n">
        <v>14</v>
      </c>
      <c r="L485" s="8" t="inlineStr">
        <is>
          <t>是</t>
        </is>
      </c>
      <c r="M485" s="9" t="inlineStr">
        <is>
          <t>bazaar；dynamicRandomReward；itemReforge</t>
        </is>
      </c>
      <c r="N485" s="8" t="n">
        <v>1</v>
      </c>
      <c r="O485" s="9" t="inlineStr">
        <is>
          <t>周期触发</t>
        </is>
      </c>
      <c r="P485" s="9" t="inlineStr">
        <is>
          <t>periodicPulse</t>
        </is>
      </c>
      <c r="Q485" s="9" t="inlineStr">
        <is>
          <t>周期触发：使上方相邻道具减速 4 秒；若命中，自身获得 4 层敏捷；使上方相邻道具减速 4 秒；若命中，自身获得 5 层敏捷；使上方相邻道具减速 4 秒；若命中，自身获得 6 层敏捷；使上方相邻道具减速 4 秒；若命中，自身获得 7 层敏捷</t>
        </is>
      </c>
      <c r="R485" s="9" t="inlineStr"/>
      <c r="S485" s="9" t="inlineStr">
        <is>
          <t>八角镇片逆着风纹闭合，将上方器物的轮转余势收进盘心。</t>
        </is>
      </c>
      <c r="T485" s="8" t="inlineStr">
        <is>
          <t>implement_windbrake_seal_tablet_1x1</t>
        </is>
      </c>
      <c r="U485" s="8" t="inlineStr">
        <is>
          <t>allowed</t>
        </is>
      </c>
    </row>
    <row r="486" ht="34" customHeight="1">
      <c r="A486" s="8" t="n">
        <v>485</v>
      </c>
      <c r="B486" s="8" t="n">
        <v>400526</v>
      </c>
      <c r="C486" s="8" t="inlineStr">
        <is>
          <t>顺逆风门</t>
        </is>
      </c>
      <c r="D486" s="8" t="inlineStr">
        <is>
          <t>法器</t>
        </is>
      </c>
      <c r="E486" s="8" t="inlineStr">
        <is>
          <t>implement</t>
        </is>
      </c>
      <c r="F486" s="8" t="inlineStr">
        <is>
          <t>common</t>
        </is>
      </c>
      <c r="G486" s="8" t="inlineStr">
        <is>
          <t>风</t>
        </is>
      </c>
      <c r="H486" s="8" t="inlineStr">
        <is>
          <t>wind</t>
        </is>
      </c>
      <c r="I486" s="8" t="inlineStr">
        <is>
          <t>1×2</t>
        </is>
      </c>
      <c r="J486" s="8" t="n">
        <v>2</v>
      </c>
      <c r="K486" s="8" t="n">
        <v>18</v>
      </c>
      <c r="L486" s="8" t="inlineStr">
        <is>
          <t>是</t>
        </is>
      </c>
      <c r="M486" s="9" t="inlineStr">
        <is>
          <t>bazaar；dynamicRandomReward；itemReforge</t>
        </is>
      </c>
      <c r="N486" s="8" t="n">
        <v>1</v>
      </c>
      <c r="O486" s="9" t="inlineStr">
        <is>
          <t>周期触发</t>
        </is>
      </c>
      <c r="P486" s="9" t="inlineStr">
        <is>
          <t>periodicPulse</t>
        </is>
      </c>
      <c r="Q486" s="9" t="inlineStr">
        <is>
          <t>周期触发：使左侧相邻道具减速 4 秒，使右侧相邻道具加速 5 秒；使左侧相邻道具减速 4 秒，使右侧相邻道具加速 6 秒；使左侧相邻道具减速 4 秒，使右侧相邻道具加速 7 秒；使左侧相邻道具减速 4 秒，使右侧相邻道具加速 8 秒</t>
        </is>
      </c>
      <c r="R486" s="9" t="inlineStr"/>
      <c r="S486" s="9" t="inlineStr">
        <is>
          <t>风门两扇一收一放，以左侧滞流换取右侧疾转。</t>
        </is>
      </c>
      <c r="T486" s="8" t="inlineStr">
        <is>
          <t>implement_bidirectional_wind_gate_1x2</t>
        </is>
      </c>
      <c r="U486" s="8" t="inlineStr">
        <is>
          <t>allowed</t>
        </is>
      </c>
    </row>
    <row r="487" ht="34" customHeight="1">
      <c r="A487" s="8" t="n">
        <v>486</v>
      </c>
      <c r="B487" s="8" t="n">
        <v>400527</v>
      </c>
      <c r="C487" s="8" t="inlineStr">
        <is>
          <t>回风阵盘</t>
        </is>
      </c>
      <c r="D487" s="8" t="inlineStr">
        <is>
          <t>法器</t>
        </is>
      </c>
      <c r="E487" s="8" t="inlineStr">
        <is>
          <t>implement</t>
        </is>
      </c>
      <c r="F487" s="8" t="inlineStr">
        <is>
          <t>common</t>
        </is>
      </c>
      <c r="G487" s="8" t="inlineStr">
        <is>
          <t>风</t>
        </is>
      </c>
      <c r="H487" s="8" t="inlineStr">
        <is>
          <t>wind</t>
        </is>
      </c>
      <c r="I487" s="8" t="inlineStr">
        <is>
          <t>2×2</t>
        </is>
      </c>
      <c r="J487" s="8" t="n">
        <v>4</v>
      </c>
      <c r="K487" s="8" t="n">
        <v>24</v>
      </c>
      <c r="L487" s="8" t="inlineStr">
        <is>
          <t>是</t>
        </is>
      </c>
      <c r="M487" s="9" t="inlineStr">
        <is>
          <t>bazaar；dynamicRandomReward；itemReforge</t>
        </is>
      </c>
      <c r="N487" s="8" t="n">
        <v>1</v>
      </c>
      <c r="O487" s="9" t="inlineStr">
        <is>
          <t>周期触发</t>
        </is>
      </c>
      <c r="P487" s="9" t="inlineStr">
        <is>
          <t>periodicPulse</t>
        </is>
      </c>
      <c r="Q487" s="9" t="inlineStr">
        <is>
          <t>周期触发：使相邻风属性道具加速 2 秒；使相邻风属性道具加速 3 秒；使相邻风属性道具加速 4 秒；使相邻风属性道具加速 5 秒</t>
        </is>
      </c>
      <c r="R487" s="9" t="inlineStr"/>
      <c r="S487" s="9" t="inlineStr">
        <is>
          <t>四隅风道首尾相衔，专替近旁同属风行的器物续上轮转。</t>
        </is>
      </c>
      <c r="T487" s="8" t="inlineStr">
        <is>
          <t>implement_returning_wind_array_disc_2x2</t>
        </is>
      </c>
      <c r="U487" s="8" t="inlineStr">
        <is>
          <t>allowed</t>
        </is>
      </c>
    </row>
    <row r="488" ht="34" customHeight="1">
      <c r="A488" s="8" t="n">
        <v>487</v>
      </c>
      <c r="B488" s="8" t="n">
        <v>400528</v>
      </c>
      <c r="C488" s="8" t="inlineStr">
        <is>
          <t>御风灵枢</t>
        </is>
      </c>
      <c r="D488" s="8" t="inlineStr">
        <is>
          <t>法器</t>
        </is>
      </c>
      <c r="E488" s="8" t="inlineStr">
        <is>
          <t>implement</t>
        </is>
      </c>
      <c r="F488" s="8" t="inlineStr">
        <is>
          <t>spirit</t>
        </is>
      </c>
      <c r="G488" s="8" t="inlineStr">
        <is>
          <t>风</t>
        </is>
      </c>
      <c r="H488" s="8" t="inlineStr">
        <is>
          <t>wind</t>
        </is>
      </c>
      <c r="I488" s="8" t="inlineStr">
        <is>
          <t>1×1</t>
        </is>
      </c>
      <c r="J488" s="8" t="n">
        <v>1</v>
      </c>
      <c r="K488" s="8" t="n">
        <v>90</v>
      </c>
      <c r="L488" s="8" t="inlineStr">
        <is>
          <t>是</t>
        </is>
      </c>
      <c r="M488" s="9" t="inlineStr">
        <is>
          <t>bazaar；dynamicRandomReward；itemReforge</t>
        </is>
      </c>
      <c r="N488" s="8" t="n">
        <v>1</v>
      </c>
      <c r="O488" s="9" t="inlineStr">
        <is>
          <t>周期触发</t>
        </is>
      </c>
      <c r="P488" s="9" t="inlineStr">
        <is>
          <t>periodicPulse</t>
        </is>
      </c>
      <c r="Q488" s="9" t="inlineStr">
        <is>
          <t>周期触发：使右侧相邻道具加速 5 秒；使右侧相邻道具加速 6 秒；使右侧相邻道具加速 7 秒；使右侧相邻道具加速 8 秒</t>
        </is>
      </c>
      <c r="R488" s="9" t="inlineStr"/>
      <c r="S488" s="9" t="inlineStr">
        <is>
          <t>白玉灵枢悬着金羽，细风自轴心贯出，催动右侧器位不息。</t>
        </is>
      </c>
      <c r="T488" s="8" t="inlineStr">
        <is>
          <t>implement_spirit_wind_driving_jade_spindle_1x1</t>
        </is>
      </c>
      <c r="U488" s="8" t="inlineStr">
        <is>
          <t>allowed</t>
        </is>
      </c>
    </row>
    <row r="489" ht="34" customHeight="1">
      <c r="A489" s="8" t="n">
        <v>488</v>
      </c>
      <c r="B489" s="8" t="n">
        <v>400529</v>
      </c>
      <c r="C489" s="8" t="inlineStr">
        <is>
          <t>镇岚灵片</t>
        </is>
      </c>
      <c r="D489" s="8" t="inlineStr">
        <is>
          <t>法器</t>
        </is>
      </c>
      <c r="E489" s="8" t="inlineStr">
        <is>
          <t>implement</t>
        </is>
      </c>
      <c r="F489" s="8" t="inlineStr">
        <is>
          <t>spirit</t>
        </is>
      </c>
      <c r="G489" s="8" t="inlineStr">
        <is>
          <t>风</t>
        </is>
      </c>
      <c r="H489" s="8" t="inlineStr">
        <is>
          <t>wind</t>
        </is>
      </c>
      <c r="I489" s="8" t="inlineStr">
        <is>
          <t>1×1</t>
        </is>
      </c>
      <c r="J489" s="8" t="n">
        <v>1</v>
      </c>
      <c r="K489" s="8" t="n">
        <v>95</v>
      </c>
      <c r="L489" s="8" t="inlineStr">
        <is>
          <t>是</t>
        </is>
      </c>
      <c r="M489" s="9" t="inlineStr">
        <is>
          <t>bazaar；dynamicRandomReward；itemReforge</t>
        </is>
      </c>
      <c r="N489" s="8" t="n">
        <v>1</v>
      </c>
      <c r="O489" s="9" t="inlineStr">
        <is>
          <t>周期触发</t>
        </is>
      </c>
      <c r="P489" s="9" t="inlineStr">
        <is>
          <t>periodicPulse</t>
        </is>
      </c>
      <c r="Q489" s="9" t="inlineStr">
        <is>
          <t>周期触发：使上方相邻道具减速 3 秒；若命中，自身获得 8 层敏捷；使上方相邻道具减速 3 秒；若命中，自身获得 10 层敏捷；使上方相邻道具减速 3 秒；若命中，自身获得 12 层敏捷；使上方相邻道具减速 3 秒；若命中，自身获得 14 层敏捷</t>
        </is>
      </c>
      <c r="R489" s="9" t="inlineStr"/>
      <c r="S489" s="9" t="inlineStr">
        <is>
          <t>玉片中央的回风银轮倒卷岚气，以短暂滞涩炼成更厚的风压。</t>
        </is>
      </c>
      <c r="T489" s="8" t="inlineStr">
        <is>
          <t>implement_spirit_wind_suppressing_jade_tablet_1x1</t>
        </is>
      </c>
      <c r="U489" s="8" t="inlineStr">
        <is>
          <t>allowed</t>
        </is>
      </c>
    </row>
    <row r="490" ht="34" customHeight="1">
      <c r="A490" s="8" t="n">
        <v>489</v>
      </c>
      <c r="B490" s="8" t="n">
        <v>400530</v>
      </c>
      <c r="C490" s="8" t="inlineStr">
        <is>
          <t>两仪风阙</t>
        </is>
      </c>
      <c r="D490" s="8" t="inlineStr">
        <is>
          <t>法器</t>
        </is>
      </c>
      <c r="E490" s="8" t="inlineStr">
        <is>
          <t>implement</t>
        </is>
      </c>
      <c r="F490" s="8" t="inlineStr">
        <is>
          <t>spirit</t>
        </is>
      </c>
      <c r="G490" s="8" t="inlineStr">
        <is>
          <t>风</t>
        </is>
      </c>
      <c r="H490" s="8" t="inlineStr">
        <is>
          <t>wind</t>
        </is>
      </c>
      <c r="I490" s="8" t="inlineStr">
        <is>
          <t>1×2</t>
        </is>
      </c>
      <c r="J490" s="8" t="n">
        <v>2</v>
      </c>
      <c r="K490" s="8" t="n">
        <v>110</v>
      </c>
      <c r="L490" s="8" t="inlineStr">
        <is>
          <t>是</t>
        </is>
      </c>
      <c r="M490" s="9" t="inlineStr">
        <is>
          <t>bazaar；dynamicRandomReward；itemReforge</t>
        </is>
      </c>
      <c r="N490" s="8" t="n">
        <v>1</v>
      </c>
      <c r="O490" s="9" t="inlineStr">
        <is>
          <t>周期触发</t>
        </is>
      </c>
      <c r="P490" s="9" t="inlineStr">
        <is>
          <t>periodicPulse</t>
        </is>
      </c>
      <c r="Q490" s="9" t="inlineStr">
        <is>
          <t>周期触发：使左侧相邻道具减速 3 秒，使右侧相邻道具加速 6 秒；使左侧相邻道具减速 3 秒，使右侧相邻道具加速 7 秒；使左侧相邻道具减速 3 秒，使右侧相邻道具加速 8 秒；使左侧相邻道具减速 3 秒，使右侧相邻道具加速 9 秒</t>
        </is>
      </c>
      <c r="R490" s="9" t="inlineStr"/>
      <c r="S490" s="9" t="inlineStr">
        <is>
          <t>阴阳风阙一侧纳流、一侧放流，让相邻两器各循缓急。</t>
        </is>
      </c>
      <c r="T490" s="8" t="inlineStr">
        <is>
          <t>implement_spirit_twin_current_wind_gate_1x2</t>
        </is>
      </c>
      <c r="U490" s="8" t="inlineStr">
        <is>
          <t>allowed</t>
        </is>
      </c>
    </row>
    <row r="491" ht="34" customHeight="1">
      <c r="A491" s="8" t="n">
        <v>490</v>
      </c>
      <c r="B491" s="8" t="n">
        <v>400531</v>
      </c>
      <c r="C491" s="8" t="inlineStr">
        <is>
          <t>八风回环阵</t>
        </is>
      </c>
      <c r="D491" s="8" t="inlineStr">
        <is>
          <t>法器</t>
        </is>
      </c>
      <c r="E491" s="8" t="inlineStr">
        <is>
          <t>implement</t>
        </is>
      </c>
      <c r="F491" s="8" t="inlineStr">
        <is>
          <t>spirit</t>
        </is>
      </c>
      <c r="G491" s="8" t="inlineStr">
        <is>
          <t>风</t>
        </is>
      </c>
      <c r="H491" s="8" t="inlineStr">
        <is>
          <t>wind</t>
        </is>
      </c>
      <c r="I491" s="8" t="inlineStr">
        <is>
          <t>2×2</t>
        </is>
      </c>
      <c r="J491" s="8" t="n">
        <v>4</v>
      </c>
      <c r="K491" s="8" t="n">
        <v>125</v>
      </c>
      <c r="L491" s="8" t="inlineStr">
        <is>
          <t>是</t>
        </is>
      </c>
      <c r="M491" s="9" t="inlineStr">
        <is>
          <t>bazaar；dynamicRandomReward；itemReforge</t>
        </is>
      </c>
      <c r="N491" s="8" t="n">
        <v>1</v>
      </c>
      <c r="O491" s="9" t="inlineStr">
        <is>
          <t>周期触发</t>
        </is>
      </c>
      <c r="P491" s="9" t="inlineStr">
        <is>
          <t>periodicPulse</t>
        </is>
      </c>
      <c r="Q491" s="9" t="inlineStr">
        <is>
          <t>周期触发：使相邻风属性道具加速 5 秒；使相邻风属性道具加速 6 秒；使相邻风属性道具加速 7 秒；使相邻风属性道具加速 8 秒</t>
        </is>
      </c>
      <c r="R491" s="9" t="inlineStr"/>
      <c r="S491" s="9" t="inlineStr">
        <is>
          <t>八枚玉枢环绕金盘，各引一方天风，为近旁风器续接不绝灵流。</t>
        </is>
      </c>
      <c r="T491" s="8" t="inlineStr">
        <is>
          <t>implement_spirit_eight_wind_array_disc_2x2</t>
        </is>
      </c>
      <c r="U491" s="8" t="inlineStr">
        <is>
          <t>allowed</t>
        </is>
      </c>
    </row>
    <row r="492" ht="34" customHeight="1">
      <c r="A492" s="8" t="n">
        <v>491</v>
      </c>
      <c r="B492" s="8" t="n">
        <v>410100</v>
      </c>
      <c r="C492" s="8" t="inlineStr">
        <is>
          <t>须银定息佩</t>
        </is>
      </c>
      <c r="D492" s="8" t="inlineStr">
        <is>
          <t>法器</t>
        </is>
      </c>
      <c r="E492" s="8" t="inlineStr">
        <is>
          <t>implement</t>
        </is>
      </c>
      <c r="F492" s="8" t="inlineStr">
        <is>
          <t>common</t>
        </is>
      </c>
      <c r="G492" s="8" t="inlineStr">
        <is>
          <t>金</t>
        </is>
      </c>
      <c r="H492" s="8" t="inlineStr">
        <is>
          <t>metal</t>
        </is>
      </c>
      <c r="I492" s="8" t="inlineStr">
        <is>
          <t>1×1</t>
        </is>
      </c>
      <c r="J492" s="8" t="n">
        <v>1</v>
      </c>
      <c r="K492" s="8" t="n">
        <v>18</v>
      </c>
      <c r="L492" s="8" t="inlineStr">
        <is>
          <t>是</t>
        </is>
      </c>
      <c r="M492" s="9" t="inlineStr">
        <is>
          <t>bazaar；dynamicRandomReward；itemReforge</t>
        </is>
      </c>
      <c r="N492" s="8" t="n">
        <v>1</v>
      </c>
      <c r="O492" s="9" t="inlineStr">
        <is>
          <t>条件触发</t>
        </is>
      </c>
      <c r="P492" s="9" t="inlineStr">
        <is>
          <t>triggered</t>
        </is>
      </c>
      <c r="Q492" s="9" t="inlineStr">
        <is>
          <t>条件触发：累积使用剑类道具10次后，恢复20点体力；累积使用剑类道具9次后，恢复20点体力；累积使用剑类道具8次后，恢复20点体力；累积使用剑类道具7次后，恢复20点体力</t>
        </is>
      </c>
      <c r="R492" s="9" t="inlineStr"/>
      <c r="S492" s="9" t="inlineStr">
        <is>
          <t>银白双须束成小佩，冷亮须珠随呼吸轻颤，把散乱心念收回一线。</t>
        </is>
      </c>
      <c r="T492" s="8" t="inlineStr">
        <is>
          <t>implement_baimei_whisker_breath_charm_1x1</t>
        </is>
      </c>
      <c r="U492" s="8" t="inlineStr">
        <is>
          <t>allowed</t>
        </is>
      </c>
    </row>
    <row r="493" ht="34" customHeight="1">
      <c r="A493" s="8" t="n">
        <v>492</v>
      </c>
      <c r="B493" s="8" t="n">
        <v>410101</v>
      </c>
      <c r="C493" s="8" t="inlineStr">
        <is>
          <t>刻金识机盘</t>
        </is>
      </c>
      <c r="D493" s="8" t="inlineStr">
        <is>
          <t>法器</t>
        </is>
      </c>
      <c r="E493" s="8" t="inlineStr">
        <is>
          <t>implement</t>
        </is>
      </c>
      <c r="F493" s="8" t="inlineStr">
        <is>
          <t>common</t>
        </is>
      </c>
      <c r="G493" s="8" t="inlineStr">
        <is>
          <t>雷</t>
        </is>
      </c>
      <c r="H493" s="8" t="inlineStr">
        <is>
          <t>thunder</t>
        </is>
      </c>
      <c r="I493" s="8" t="inlineStr">
        <is>
          <t>2×2</t>
        </is>
      </c>
      <c r="J493" s="8" t="n">
        <v>4</v>
      </c>
      <c r="K493" s="8" t="n">
        <v>20</v>
      </c>
      <c r="L493" s="8" t="inlineStr">
        <is>
          <t>是</t>
        </is>
      </c>
      <c r="M493" s="9" t="inlineStr">
        <is>
          <t>bazaar；dynamicRandomReward；itemReforge</t>
        </is>
      </c>
      <c r="N493" s="8" t="n">
        <v>1</v>
      </c>
      <c r="O493" s="9" t="inlineStr">
        <is>
          <t>条件触发</t>
        </is>
      </c>
      <c r="P493" s="9" t="inlineStr">
        <is>
          <t>triggered</t>
        </is>
      </c>
      <c r="Q493" s="9" t="inlineStr">
        <is>
          <t>条件触发：相邻招式成功施放时，获得 3 层引雷；相邻招式成功施放时，获得 6 层引雷；相邻招式成功施放时，获得 9 层引雷；相邻招式成功施放时，获得 12 层引雷</t>
        </is>
      </c>
      <c r="R493" s="9" t="inlineStr"/>
      <c r="S493" s="9" t="inlineStr">
        <is>
          <t>细白鼠齿嵌在方盘中央，淡金齿纹向四角延展，盘面处处留着可循的刻度。</t>
        </is>
      </c>
      <c r="T493" s="8" t="inlineStr">
        <is>
          <t>implement_baimei_tooth_insight_disc_2x2</t>
        </is>
      </c>
      <c r="U493" s="8" t="inlineStr">
        <is>
          <t>allowed</t>
        </is>
      </c>
    </row>
    <row r="494" ht="34" customHeight="1">
      <c r="A494" s="8" t="n">
        <v>493</v>
      </c>
      <c r="B494" s="8" t="n">
        <v>410102</v>
      </c>
      <c r="C494" s="8" t="inlineStr">
        <is>
          <t>偷息钩</t>
        </is>
      </c>
      <c r="D494" s="8" t="inlineStr">
        <is>
          <t>法器</t>
        </is>
      </c>
      <c r="E494" s="8" t="inlineStr">
        <is>
          <t>implement</t>
        </is>
      </c>
      <c r="F494" s="8" t="inlineStr">
        <is>
          <t>common</t>
        </is>
      </c>
      <c r="G494" s="8" t="inlineStr">
        <is>
          <t>poison</t>
        </is>
      </c>
      <c r="H494" s="8" t="inlineStr">
        <is>
          <t>poison</t>
        </is>
      </c>
      <c r="I494" s="8" t="inlineStr">
        <is>
          <t>1×3</t>
        </is>
      </c>
      <c r="J494" s="8" t="n">
        <v>3</v>
      </c>
      <c r="K494" s="8" t="n">
        <v>15</v>
      </c>
      <c r="L494" s="8" t="inlineStr">
        <is>
          <t>是</t>
        </is>
      </c>
      <c r="M494" s="9" t="inlineStr">
        <is>
          <t>bazaar；dynamicRandomReward；itemReforge</t>
        </is>
      </c>
      <c r="N494" s="8" t="n">
        <v>1</v>
      </c>
      <c r="O494" s="9" t="inlineStr">
        <is>
          <t>周期触发</t>
        </is>
      </c>
      <c r="P494" s="9" t="inlineStr">
        <is>
          <t>periodicPulse</t>
        </is>
      </c>
      <c r="Q494" s="9" t="inlineStr">
        <is>
          <t>周期触发：敌方每有1层中毒，吸取敌方1点法力</t>
        </is>
      </c>
      <c r="R494" s="9" t="inlineStr"/>
      <c r="S494" s="9" t="inlineStr">
        <is>
          <t>三枚内扣银爪沿长柄次第排开，白绒与浅蓝旋纹仍贴在钩脊之间。</t>
        </is>
      </c>
      <c r="T494" s="8" t="inlineStr">
        <is>
          <t>implement_baimei_claw_breath_hook_1x3</t>
        </is>
      </c>
      <c r="U494" s="8" t="inlineStr">
        <is>
          <t>allowed</t>
        </is>
      </c>
    </row>
    <row r="495" ht="34" customHeight="1">
      <c r="A495" s="8" t="n">
        <v>494</v>
      </c>
      <c r="B495" s="8" t="n">
        <v>410103</v>
      </c>
      <c r="C495" s="8" t="inlineStr">
        <is>
          <t>节骨养元架</t>
        </is>
      </c>
      <c r="D495" s="8" t="inlineStr">
        <is>
          <t>法器</t>
        </is>
      </c>
      <c r="E495" s="8" t="inlineStr">
        <is>
          <t>implement</t>
        </is>
      </c>
      <c r="F495" s="8" t="inlineStr">
        <is>
          <t>common</t>
        </is>
      </c>
      <c r="G495" s="8" t="inlineStr">
        <is>
          <t>木</t>
        </is>
      </c>
      <c r="H495" s="8" t="inlineStr">
        <is>
          <t>wood</t>
        </is>
      </c>
      <c r="I495" s="8" t="inlineStr">
        <is>
          <t>2×2</t>
        </is>
      </c>
      <c r="J495" s="8" t="n">
        <v>4</v>
      </c>
      <c r="K495" s="8" t="n">
        <v>40</v>
      </c>
      <c r="L495" s="8" t="inlineStr">
        <is>
          <t>是</t>
        </is>
      </c>
      <c r="M495" s="9" t="inlineStr">
        <is>
          <t>bazaar；dynamicRandomReward；itemReforge</t>
        </is>
      </c>
      <c r="N495" s="8" t="n">
        <v>1</v>
      </c>
      <c r="O495" s="9" t="inlineStr">
        <is>
          <t>周期触发</t>
        </is>
      </c>
      <c r="P495" s="9" t="inlineStr">
        <is>
          <t>periodicPulse</t>
        </is>
      </c>
      <c r="Q495" s="9" t="inlineStr">
        <is>
          <t>周期触发：每有1件相邻尸骸道具，获得5层再生；每有1件相邻尸骸道具，获得7层再生；每有1件相邻尸骸道具，获得9层再生；每有1件相邻尸骸道具，获得11层再生</t>
        </is>
      </c>
      <c r="R495" s="9" t="inlineStr"/>
      <c r="S495" s="9" t="inlineStr">
        <is>
          <t>两段乳白尾骨交叠成方架，细密骨节与淡金骨线托住中央的一点温润气息。</t>
        </is>
      </c>
      <c r="T495" s="8" t="inlineStr">
        <is>
          <t>implement_baimei_tailbone_vitality_frame_2x2</t>
        </is>
      </c>
      <c r="U495" s="8" t="inlineStr">
        <is>
          <t>allowed</t>
        </is>
      </c>
    </row>
    <row r="496" ht="34" customHeight="1">
      <c r="A496" s="8" t="n">
        <v>495</v>
      </c>
      <c r="B496" s="8" t="n">
        <v>410104</v>
      </c>
      <c r="C496" s="8" t="inlineStr">
        <is>
          <t>灵须避尘簪</t>
        </is>
      </c>
      <c r="D496" s="8" t="inlineStr">
        <is>
          <t>法器</t>
        </is>
      </c>
      <c r="E496" s="8" t="inlineStr">
        <is>
          <t>implement</t>
        </is>
      </c>
      <c r="F496" s="8" t="inlineStr">
        <is>
          <t>common</t>
        </is>
      </c>
      <c r="G496" s="8" t="inlineStr">
        <is>
          <t>风</t>
        </is>
      </c>
      <c r="H496" s="8" t="inlineStr">
        <is>
          <t>wind</t>
        </is>
      </c>
      <c r="I496" s="8" t="inlineStr">
        <is>
          <t>1×2</t>
        </is>
      </c>
      <c r="J496" s="8" t="n">
        <v>2</v>
      </c>
      <c r="K496" s="8" t="n">
        <v>20</v>
      </c>
      <c r="L496" s="8" t="inlineStr">
        <is>
          <t>是</t>
        </is>
      </c>
      <c r="M496" s="9" t="inlineStr">
        <is>
          <t>bazaar；dynamicRandomReward；itemReforge</t>
        </is>
      </c>
      <c r="N496" s="8" t="n">
        <v>1</v>
      </c>
      <c r="O496" s="9" t="inlineStr">
        <is>
          <t>被动效果</t>
        </is>
      </c>
      <c r="P496" s="9" t="inlineStr">
        <is>
          <t>passive</t>
        </is>
      </c>
      <c r="Q496" s="9" t="inlineStr">
        <is>
          <t>被动效果：敏捷不少于 18 层时，法力上限 +10；敏捷不少于 18 层时，法力上限 +15；敏捷不少于 18 层时，法力上限 +20；敏捷不少于 18 层时，法力上限 +25</t>
        </is>
      </c>
      <c r="R496" s="9" t="inlineStr"/>
      <c r="S496" s="9" t="inlineStr">
        <is>
          <t>雪白灵须束成狭长簪羽，银箍锁住须根，细丝仍保持轻盈而清楚的弧度。</t>
        </is>
      </c>
      <c r="T496" s="8" t="inlineStr">
        <is>
          <t>implement_baimei_spiritwhisker_dustward_pin_1x2</t>
        </is>
      </c>
      <c r="U496" s="8" t="inlineStr">
        <is>
          <t>allowed</t>
        </is>
      </c>
    </row>
    <row r="497" ht="34" customHeight="1">
      <c r="A497" s="8" t="n">
        <v>496</v>
      </c>
      <c r="B497" s="8" t="n">
        <v>410105</v>
      </c>
      <c r="C497" s="8" t="inlineStr">
        <is>
          <t>硬齿护心锥</t>
        </is>
      </c>
      <c r="D497" s="8" t="inlineStr">
        <is>
          <t>法器</t>
        </is>
      </c>
      <c r="E497" s="8" t="inlineStr">
        <is>
          <t>implement</t>
        </is>
      </c>
      <c r="F497" s="8" t="inlineStr">
        <is>
          <t>common</t>
        </is>
      </c>
      <c r="G497" s="8" t="inlineStr">
        <is>
          <t>冰</t>
        </is>
      </c>
      <c r="H497" s="8" t="inlineStr">
        <is>
          <t>ice</t>
        </is>
      </c>
      <c r="I497" s="8" t="inlineStr">
        <is>
          <t>1×2</t>
        </is>
      </c>
      <c r="J497" s="8" t="n">
        <v>2</v>
      </c>
      <c r="K497" s="8" t="n">
        <v>15</v>
      </c>
      <c r="L497" s="8" t="inlineStr">
        <is>
          <t>是</t>
        </is>
      </c>
      <c r="M497" s="9" t="inlineStr">
        <is>
          <t>bazaar；dynamicRandomReward；itemReforge</t>
        </is>
      </c>
      <c r="N497" s="8" t="n">
        <v>1</v>
      </c>
      <c r="O497" s="9" t="inlineStr">
        <is>
          <t>周期触发</t>
        </is>
      </c>
      <c r="P497" s="9" t="inlineStr">
        <is>
          <t>periodicPulse</t>
        </is>
      </c>
      <c r="Q497" s="9" t="inlineStr">
        <is>
          <t>周期触发：每有1层寒冷，获得 1 层护甲；每有1层寒冷，获得 2 层护甲；每有1层寒冷，获得 3 层护甲；每有1层寒冷，获得 4 层护甲</t>
        </is>
      </c>
      <c r="R497" s="9" t="inlineStr"/>
      <c r="S497" s="9" t="inlineStr">
        <is>
          <t>乳白硬齿嵌入狭长金属护座，齿面旧刻纹与暖灰磨痕都被完整保留。</t>
        </is>
      </c>
      <c r="T497" s="8" t="inlineStr">
        <is>
          <t>implement_baimei_hardtooth_heartguard_spike_1x2</t>
        </is>
      </c>
      <c r="U497" s="8" t="inlineStr">
        <is>
          <t>allowed</t>
        </is>
      </c>
    </row>
    <row r="498" ht="34" customHeight="1">
      <c r="A498" s="8" t="n">
        <v>497</v>
      </c>
      <c r="B498" s="8" t="n">
        <v>410152</v>
      </c>
      <c r="C498" s="8" t="inlineStr">
        <is>
          <t>断息牵灵柱</t>
        </is>
      </c>
      <c r="D498" s="8" t="inlineStr">
        <is>
          <t>法器</t>
        </is>
      </c>
      <c r="E498" s="8" t="inlineStr">
        <is>
          <t>implement</t>
        </is>
      </c>
      <c r="F498" s="8" t="inlineStr">
        <is>
          <t>common</t>
        </is>
      </c>
      <c r="G498" s="8" t="inlineStr">
        <is>
          <t>poison</t>
        </is>
      </c>
      <c r="H498" s="8" t="inlineStr">
        <is>
          <t>poison</t>
        </is>
      </c>
      <c r="I498" s="8" t="inlineStr">
        <is>
          <t>1×3</t>
        </is>
      </c>
      <c r="J498" s="8" t="n">
        <v>3</v>
      </c>
      <c r="K498" s="8" t="n">
        <v>16</v>
      </c>
      <c r="L498" s="8" t="inlineStr">
        <is>
          <t>是</t>
        </is>
      </c>
      <c r="M498" s="9" t="inlineStr">
        <is>
          <t>bazaar；dynamicRandomReward；itemReforge</t>
        </is>
      </c>
      <c r="N498" s="8" t="n">
        <v>1</v>
      </c>
      <c r="O498" s="9" t="inlineStr">
        <is>
          <t>周期触发</t>
        </is>
      </c>
      <c r="P498" s="9" t="inlineStr">
        <is>
          <t>periodicPulse</t>
        </is>
      </c>
      <c r="Q498" s="9" t="inlineStr">
        <is>
          <t>周期触发：敌方法力低于50%时，对敌方施加10层中毒</t>
        </is>
      </c>
      <c r="R498" s="9" t="inlineStr"/>
      <c r="S498" s="9" t="inlineStr">
        <is>
          <t>竖长阵脊串起三枚内扣白爪，浅蓝旋纹沿爪根相连，如同一条牵息锁链。</t>
        </is>
      </c>
      <c r="T498" s="8" t="inlineStr">
        <is>
          <t>implement_baimei_claw_breathsnare_array_1x3</t>
        </is>
      </c>
      <c r="U498" s="8" t="inlineStr">
        <is>
          <t>allowed</t>
        </is>
      </c>
    </row>
    <row r="499" ht="34" customHeight="1">
      <c r="A499" s="8" t="n">
        <v>498</v>
      </c>
      <c r="B499" s="8" t="n">
        <v>410154</v>
      </c>
      <c r="C499" s="8" t="inlineStr">
        <is>
          <t>白须游影牌</t>
        </is>
      </c>
      <c r="D499" s="8" t="inlineStr">
        <is>
          <t>法器</t>
        </is>
      </c>
      <c r="E499" s="8" t="inlineStr">
        <is>
          <t>implement</t>
        </is>
      </c>
      <c r="F499" s="8" t="inlineStr">
        <is>
          <t>common</t>
        </is>
      </c>
      <c r="G499" s="8" t="inlineStr">
        <is>
          <t>风</t>
        </is>
      </c>
      <c r="H499" s="8" t="inlineStr">
        <is>
          <t>wind</t>
        </is>
      </c>
      <c r="I499" s="8" t="inlineStr">
        <is>
          <t>1×2</t>
        </is>
      </c>
      <c r="J499" s="8" t="n">
        <v>2</v>
      </c>
      <c r="K499" s="8" t="n">
        <v>15</v>
      </c>
      <c r="L499" s="8" t="inlineStr">
        <is>
          <t>是</t>
        </is>
      </c>
      <c r="M499" s="9" t="inlineStr">
        <is>
          <t>bazaar；dynamicRandomReward；itemReforge</t>
        </is>
      </c>
      <c r="N499" s="8" t="n">
        <v>1</v>
      </c>
      <c r="O499" s="9" t="inlineStr">
        <is>
          <t>被动效果</t>
        </is>
      </c>
      <c r="P499" s="9" t="inlineStr">
        <is>
          <t>passive</t>
        </is>
      </c>
      <c r="Q499" s="9" t="inlineStr">
        <is>
          <t>被动效果：右侧相邻风属性道具获得敏捷时，额外获得 1 层敏捷；右侧相邻风属性道具获得敏捷时，额外获得 2 层敏捷；右侧相邻风属性道具获得敏捷时，额外获得 3 层敏捷；右侧相邻风属性道具获得敏捷时，额外获得 4 层敏捷</t>
        </is>
      </c>
      <c r="R499" s="9" t="inlineStr"/>
      <c r="S499" s="9" t="inlineStr">
        <is>
          <t>两束雪白灵须沿狭长阵骨分向两侧，银箍与须丝层层错开，轻巧得不留定势。</t>
        </is>
      </c>
      <c r="T499" s="8" t="inlineStr">
        <is>
          <t>implement_baimei_spiritwhisker_wandering_array_1x2</t>
        </is>
      </c>
      <c r="U499" s="8" t="inlineStr">
        <is>
          <t>allowed</t>
        </is>
      </c>
    </row>
    <row r="500" ht="34" customHeight="1">
      <c r="A500" s="8" t="n">
        <v>499</v>
      </c>
      <c r="B500" s="8" t="n">
        <v>410155</v>
      </c>
      <c r="C500" s="8" t="inlineStr">
        <is>
          <t>齿轮凝甲牌</t>
        </is>
      </c>
      <c r="D500" s="8" t="inlineStr">
        <is>
          <t>法器</t>
        </is>
      </c>
      <c r="E500" s="8" t="inlineStr">
        <is>
          <t>implement</t>
        </is>
      </c>
      <c r="F500" s="8" t="inlineStr">
        <is>
          <t>common</t>
        </is>
      </c>
      <c r="G500" s="8" t="inlineStr">
        <is>
          <t>土</t>
        </is>
      </c>
      <c r="H500" s="8" t="inlineStr">
        <is>
          <t>earth</t>
        </is>
      </c>
      <c r="I500" s="8" t="inlineStr">
        <is>
          <t>1×2</t>
        </is>
      </c>
      <c r="J500" s="8" t="n">
        <v>2</v>
      </c>
      <c r="K500" s="8" t="n">
        <v>12</v>
      </c>
      <c r="L500" s="8" t="inlineStr">
        <is>
          <t>是</t>
        </is>
      </c>
      <c r="M500" s="9" t="inlineStr">
        <is>
          <t>bazaar；dynamicRandomReward；itemReforge</t>
        </is>
      </c>
      <c r="N500" s="8" t="n">
        <v>1</v>
      </c>
      <c r="O500" s="9" t="inlineStr">
        <is>
          <t>周期触发</t>
        </is>
      </c>
      <c r="P500" s="9" t="inlineStr">
        <is>
          <t>periodicPulse</t>
        </is>
      </c>
      <c r="Q500" s="9" t="inlineStr">
        <is>
          <t>周期触发：上下各相邻 1 件防具时，获得 2 层坚硬；上下各相邻 1 件防具时，获得 3 层坚硬；上下各相邻 1 件防具时，获得 4 层坚硬；上下各相邻 1 件防具时，获得 5 层坚硬</t>
        </is>
      </c>
      <c r="R500" s="9" t="inlineStr"/>
      <c r="S500" s="9" t="inlineStr">
        <is>
          <t>两枚弯齿沿狭长阵轴上下咬合，乳白齿面与暖灰刻纹围出一线坚实阵脊。</t>
        </is>
      </c>
      <c r="T500" s="8" t="inlineStr">
        <is>
          <t>implement_baimei_hardtooth_armor_array_1x2</t>
        </is>
      </c>
      <c r="U500" s="8" t="inlineStr">
        <is>
          <t>allowed</t>
        </is>
      </c>
    </row>
    <row r="501" ht="34" customHeight="1">
      <c r="A501" s="8" t="n">
        <v>500</v>
      </c>
      <c r="B501" s="8" t="n">
        <v>410200</v>
      </c>
      <c r="C501" s="8" t="inlineStr">
        <is>
          <t>碧根缚尾鞭</t>
        </is>
      </c>
      <c r="D501" s="8" t="inlineStr">
        <is>
          <t>法器</t>
        </is>
      </c>
      <c r="E501" s="8" t="inlineStr">
        <is>
          <t>implement</t>
        </is>
      </c>
      <c r="F501" s="8" t="inlineStr">
        <is>
          <t>common</t>
        </is>
      </c>
      <c r="G501" s="8" t="inlineStr">
        <is>
          <t>水</t>
        </is>
      </c>
      <c r="H501" s="8" t="inlineStr">
        <is>
          <t>water</t>
        </is>
      </c>
      <c r="I501" s="8" t="inlineStr">
        <is>
          <t>1×4</t>
        </is>
      </c>
      <c r="J501" s="8" t="n">
        <v>4</v>
      </c>
      <c r="K501" s="8" t="n">
        <v>25</v>
      </c>
      <c r="L501" s="8" t="inlineStr">
        <is>
          <t>是</t>
        </is>
      </c>
      <c r="M501" s="9" t="inlineStr">
        <is>
          <t>bazaar；dynamicRandomReward；itemReforge</t>
        </is>
      </c>
      <c r="N501" s="8" t="n">
        <v>1</v>
      </c>
      <c r="O501" s="9" t="inlineStr">
        <is>
          <t>被动效果</t>
        </is>
      </c>
      <c r="P501" s="9" t="inlineStr">
        <is>
          <t>passive</t>
        </is>
      </c>
      <c r="Q501" s="9" t="inlineStr">
        <is>
          <t>被动效果：每有5层露水，闪避上限增加1层</t>
        </is>
      </c>
      <c r="R501" s="9" t="inlineStr"/>
      <c r="S501" s="9" t="inlineStr">
        <is>
          <t>长尾经藤油反复梳炼，毛束与根筋绞成一体，握处留着温润青铜色。</t>
        </is>
      </c>
      <c r="T501" s="8" t="inlineStr">
        <is>
          <t>implement_bigen_root_tail_binding_whip_1x4</t>
        </is>
      </c>
      <c r="U501" s="8" t="inlineStr">
        <is>
          <t>allowed</t>
        </is>
      </c>
    </row>
    <row r="502" ht="34" customHeight="1">
      <c r="A502" s="8" t="n">
        <v>501</v>
      </c>
      <c r="B502" s="8" t="n">
        <v>410201</v>
      </c>
      <c r="C502" s="8" t="inlineStr">
        <is>
          <t>根泉镇脊甲</t>
        </is>
      </c>
      <c r="D502" s="8" t="inlineStr">
        <is>
          <t>法器</t>
        </is>
      </c>
      <c r="E502" s="8" t="inlineStr">
        <is>
          <t>implement</t>
        </is>
      </c>
      <c r="F502" s="8" t="inlineStr">
        <is>
          <t>common</t>
        </is>
      </c>
      <c r="G502" s="8" t="inlineStr">
        <is>
          <t>土</t>
        </is>
      </c>
      <c r="H502" s="8" t="inlineStr">
        <is>
          <t>earth</t>
        </is>
      </c>
      <c r="I502" s="8" t="inlineStr">
        <is>
          <t>2×2</t>
        </is>
      </c>
      <c r="J502" s="8" t="n">
        <v>4</v>
      </c>
      <c r="K502" s="8" t="n">
        <v>50</v>
      </c>
      <c r="L502" s="8" t="inlineStr">
        <is>
          <t>是</t>
        </is>
      </c>
      <c r="M502" s="9" t="inlineStr">
        <is>
          <t>bazaar；dynamicRandomReward；itemReforge</t>
        </is>
      </c>
      <c r="N502" s="8" t="n">
        <v>1</v>
      </c>
      <c r="O502" s="9" t="inlineStr">
        <is>
          <t>周期触发</t>
        </is>
      </c>
      <c r="P502" s="9" t="inlineStr">
        <is>
          <t>periodicPulse</t>
        </is>
      </c>
      <c r="Q502" s="9" t="inlineStr">
        <is>
          <t>周期触发：每有1层坚硬，获得 1层蓄势（最多40层）</t>
        </is>
      </c>
      <c r="R502" s="9" t="inlineStr"/>
      <c r="S502" s="9" t="inlineStr">
        <is>
          <t>多孔脊棱铺成方阔甲面，深棕毛束与青根在骨节之间彼此咬合。</t>
        </is>
      </c>
      <c r="T502" s="8" t="inlineStr">
        <is>
          <t>implement_bigen_root_spring_spine_guard_2x2</t>
        </is>
      </c>
      <c r="U502" s="8" t="inlineStr">
        <is>
          <t>allowed</t>
        </is>
      </c>
    </row>
    <row r="503" ht="34" customHeight="1">
      <c r="A503" s="8" t="n">
        <v>502</v>
      </c>
      <c r="B503" s="8" t="n">
        <v>410202</v>
      </c>
      <c r="C503" s="8" t="inlineStr">
        <is>
          <t>青露鳞护</t>
        </is>
      </c>
      <c r="D503" s="8" t="inlineStr">
        <is>
          <t>法器</t>
        </is>
      </c>
      <c r="E503" s="8" t="inlineStr">
        <is>
          <t>implement</t>
        </is>
      </c>
      <c r="F503" s="8" t="inlineStr">
        <is>
          <t>common</t>
        </is>
      </c>
      <c r="G503" s="8" t="inlineStr">
        <is>
          <t>水</t>
        </is>
      </c>
      <c r="H503" s="8" t="inlineStr">
        <is>
          <t>water</t>
        </is>
      </c>
      <c r="I503" s="8" t="inlineStr">
        <is>
          <t>1×2</t>
        </is>
      </c>
      <c r="J503" s="8" t="n">
        <v>2</v>
      </c>
      <c r="K503" s="8" t="n">
        <v>35</v>
      </c>
      <c r="L503" s="8" t="inlineStr">
        <is>
          <t>是</t>
        </is>
      </c>
      <c r="M503" s="9" t="inlineStr">
        <is>
          <t>bazaar；dynamicRandomReward；itemReforge</t>
        </is>
      </c>
      <c r="N503" s="8" t="n">
        <v>1</v>
      </c>
      <c r="O503" s="9" t="inlineStr">
        <is>
          <t>被动效果</t>
        </is>
      </c>
      <c r="P503" s="9" t="inlineStr">
        <is>
          <t>passive</t>
        </is>
      </c>
      <c r="Q503" s="9" t="inlineStr">
        <is>
          <t>被动效果：可使用露水抵挡伤害，每层抵挡1点伤害，耐久归零后道具销毁。；可使用露水抵挡伤害，每层抵挡2点伤害，耐久归零后道具销毁。；可使用露水抵挡伤害，每层抵挡3点伤害，耐久归零后道具销毁。；可使用露水抵挡伤害，每层抵挡4点伤害，耐久归零后道具销毁。</t>
        </is>
      </c>
      <c r="R503" s="9" t="inlineStr"/>
      <c r="S503" s="9" t="inlineStr">
        <is>
          <t>青露臂鳞被整片箍成臂护，龟裂甲纹间仍凝着圆润露色。</t>
        </is>
      </c>
      <c r="T503" s="8" t="inlineStr">
        <is>
          <t>implement_bigen_green_dew_scale_guard_1x2</t>
        </is>
      </c>
      <c r="U503" s="8" t="inlineStr">
        <is>
          <t>allowed</t>
        </is>
      </c>
    </row>
    <row r="504" ht="34" customHeight="1">
      <c r="A504" s="8" t="n">
        <v>503</v>
      </c>
      <c r="B504" s="8" t="n">
        <v>410203</v>
      </c>
      <c r="C504" s="8" t="inlineStr">
        <is>
          <t>裂根鉴目</t>
        </is>
      </c>
      <c r="D504" s="8" t="inlineStr">
        <is>
          <t>法器</t>
        </is>
      </c>
      <c r="E504" s="8" t="inlineStr">
        <is>
          <t>implement</t>
        </is>
      </c>
      <c r="F504" s="8" t="inlineStr">
        <is>
          <t>common</t>
        </is>
      </c>
      <c r="G504" s="8" t="inlineStr">
        <is>
          <t>火</t>
        </is>
      </c>
      <c r="H504" s="8" t="inlineStr">
        <is>
          <t>fire</t>
        </is>
      </c>
      <c r="I504" s="8" t="inlineStr">
        <is>
          <t>1×2</t>
        </is>
      </c>
      <c r="J504" s="8" t="n">
        <v>2</v>
      </c>
      <c r="K504" s="8" t="n">
        <v>35</v>
      </c>
      <c r="L504" s="8" t="inlineStr">
        <is>
          <t>是</t>
        </is>
      </c>
      <c r="M504" s="9" t="inlineStr">
        <is>
          <t>bazaar；dynamicRandomReward；itemReforge</t>
        </is>
      </c>
      <c r="N504" s="8" t="n">
        <v>1</v>
      </c>
      <c r="O504" s="9" t="inlineStr">
        <is>
          <t>说明/执行器</t>
        </is>
      </c>
      <c r="P504" s="9" t="inlineStr">
        <is>
          <t>effectNote</t>
        </is>
      </c>
      <c r="Q504" s="9" t="inlineStr">
        <is>
          <t>说明/执行器：相邻道具累计使用20次后，消耗20层炎热对敌方造成 50 点伤害；相邻道具累计使用20次后，消耗20层炎热；相邻道具累计使用20次后，对敌方造成 50 点伤害；相邻道具累计使用18次后，消耗20层炎热对敌方造成 50 点伤害；相邻道具累计使用18次后，消耗20层炎热；相邻道具累计使用18次后，对敌方造成 50 点伤害；相邻道具累计使用16次后，消耗20层炎热对敌方造成 50 点伤害；相邻道具累计使用16次后，消耗20层炎热；相邻道具累计使用16次后，对敌方造成 50 点伤害；相邻道具累计使用14次后，消耗20层炎热对敌方造成 50 点伤害；相邻道具累计使用14次后，消耗20层炎热；相邻道具累计使用14次后，对敌方造成 50 点伤害</t>
        </is>
      </c>
      <c r="R504" s="9" t="inlineStr"/>
      <c r="S504" s="9" t="inlineStr">
        <is>
          <t>裂根木框包住琥珀竖瞳，青绿根纹沿上下短柄悄然伸展。</t>
        </is>
      </c>
      <c r="T504" s="8" t="inlineStr">
        <is>
          <t>implement_bigen_cracked_root_scrying_eye_1x2</t>
        </is>
      </c>
      <c r="U504" s="8" t="inlineStr">
        <is>
          <t>allowed</t>
        </is>
      </c>
    </row>
    <row r="505" ht="34" customHeight="1">
      <c r="A505" s="8" t="n">
        <v>504</v>
      </c>
      <c r="B505" s="8" t="n">
        <v>410204</v>
      </c>
      <c r="C505" s="8" t="inlineStr">
        <is>
          <t>碧根爪钩</t>
        </is>
      </c>
      <c r="D505" s="8" t="inlineStr">
        <is>
          <t>法器</t>
        </is>
      </c>
      <c r="E505" s="8" t="inlineStr">
        <is>
          <t>implement</t>
        </is>
      </c>
      <c r="F505" s="8" t="inlineStr">
        <is>
          <t>common</t>
        </is>
      </c>
      <c r="G505" s="8" t="inlineStr">
        <is>
          <t>poison</t>
        </is>
      </c>
      <c r="H505" s="8" t="inlineStr">
        <is>
          <t>poison</t>
        </is>
      </c>
      <c r="I505" s="8" t="inlineStr">
        <is>
          <t>1×2</t>
        </is>
      </c>
      <c r="J505" s="8" t="n">
        <v>2</v>
      </c>
      <c r="K505" s="8" t="n">
        <v>10</v>
      </c>
      <c r="L505" s="8" t="inlineStr">
        <is>
          <t>是</t>
        </is>
      </c>
      <c r="M505" s="9" t="inlineStr">
        <is>
          <t>bazaar；dynamicRandomReward；itemReforge</t>
        </is>
      </c>
      <c r="N505" s="8" t="n">
        <v>1</v>
      </c>
      <c r="O505" s="9" t="inlineStr">
        <is>
          <t>周期触发</t>
        </is>
      </c>
      <c r="P505" s="9" t="inlineStr">
        <is>
          <t>periodicPulse</t>
        </is>
      </c>
      <c r="Q505" s="9" t="inlineStr">
        <is>
          <t>周期触发：对敌方施加 1 层中毒；对敌方施加 2 层中毒；对敌方施加 3 层中毒；对敌方施加 4 层中毒</t>
        </is>
      </c>
      <c r="R505" s="9" t="inlineStr"/>
      <c r="S505" s="9" t="inlineStr">
        <is>
          <t>弯月爪刃被藤筋缚上铜柄，骨裂与青根脉沿刃腹交错延伸。</t>
        </is>
      </c>
      <c r="T505" s="8" t="inlineStr">
        <is>
          <t>implement_bigen_green_root_claw_hook_1x2</t>
        </is>
      </c>
      <c r="U505" s="8" t="inlineStr">
        <is>
          <t>allowed</t>
        </is>
      </c>
    </row>
    <row r="506" ht="34" customHeight="1">
      <c r="A506" s="8" t="n">
        <v>505</v>
      </c>
      <c r="B506" s="8" t="n">
        <v>410205</v>
      </c>
      <c r="C506" s="8" t="inlineStr">
        <is>
          <t>根泉养脉囊</t>
        </is>
      </c>
      <c r="D506" s="8" t="inlineStr">
        <is>
          <t>法器</t>
        </is>
      </c>
      <c r="E506" s="8" t="inlineStr">
        <is>
          <t>implement</t>
        </is>
      </c>
      <c r="F506" s="8" t="inlineStr">
        <is>
          <t>common</t>
        </is>
      </c>
      <c r="G506" s="8" t="inlineStr">
        <is>
          <t>木</t>
        </is>
      </c>
      <c r="H506" s="8" t="inlineStr">
        <is>
          <t>wood</t>
        </is>
      </c>
      <c r="I506" s="8" t="inlineStr">
        <is>
          <t>1×2</t>
        </is>
      </c>
      <c r="J506" s="8" t="n">
        <v>2</v>
      </c>
      <c r="K506" s="8" t="n">
        <v>30</v>
      </c>
      <c r="L506" s="8" t="inlineStr">
        <is>
          <t>是</t>
        </is>
      </c>
      <c r="M506" s="9" t="inlineStr">
        <is>
          <t>bazaar；dynamicRandomReward；itemReforge</t>
        </is>
      </c>
      <c r="N506" s="8" t="n">
        <v>1</v>
      </c>
      <c r="O506" s="9" t="inlineStr">
        <is>
          <t>周期触发</t>
        </is>
      </c>
      <c r="P506" s="9" t="inlineStr">
        <is>
          <t>periodicPulse</t>
        </is>
      </c>
      <c r="Q506" s="9" t="inlineStr">
        <is>
          <t>周期触发：气血上限 +0，每次轮转后效果升级。；气血上限</t>
        </is>
      </c>
      <c r="R506" s="9" t="inlineStr"/>
      <c r="S506" s="9" t="inlineStr">
        <is>
          <t>根泉灵腺被铜箍束成随身囊器，金黄液滴仍在褐绿囊膜间凝驻。</t>
        </is>
      </c>
      <c r="T506" s="8" t="inlineStr">
        <is>
          <t>implement_bigen_root_spring_gland_vessel_1x2</t>
        </is>
      </c>
      <c r="U506" s="8" t="inlineStr">
        <is>
          <t>allowed</t>
        </is>
      </c>
    </row>
    <row r="507" ht="34" customHeight="1">
      <c r="A507" s="8" t="n">
        <v>506</v>
      </c>
      <c r="B507" s="8" t="n">
        <v>410250</v>
      </c>
      <c r="C507" s="8" t="inlineStr">
        <is>
          <t>碧根裂风索</t>
        </is>
      </c>
      <c r="D507" s="8" t="inlineStr">
        <is>
          <t>法器</t>
        </is>
      </c>
      <c r="E507" s="8" t="inlineStr">
        <is>
          <t>implement</t>
        </is>
      </c>
      <c r="F507" s="8" t="inlineStr">
        <is>
          <t>common</t>
        </is>
      </c>
      <c r="G507" s="8" t="inlineStr">
        <is>
          <t>风</t>
        </is>
      </c>
      <c r="H507" s="8" t="inlineStr">
        <is>
          <t>wind</t>
        </is>
      </c>
      <c r="I507" s="8" t="inlineStr">
        <is>
          <t>1×4</t>
        </is>
      </c>
      <c r="J507" s="8" t="n">
        <v>4</v>
      </c>
      <c r="K507" s="8" t="n">
        <v>30</v>
      </c>
      <c r="L507" s="8" t="inlineStr">
        <is>
          <t>是</t>
        </is>
      </c>
      <c r="M507" s="9" t="inlineStr">
        <is>
          <t>bazaar；dynamicRandomReward；itemReforge</t>
        </is>
      </c>
      <c r="N507" s="8" t="n">
        <v>1</v>
      </c>
      <c r="O507" s="9" t="inlineStr">
        <is>
          <t>条件触发</t>
        </is>
      </c>
      <c r="P507" s="9" t="inlineStr">
        <is>
          <t>triggered</t>
        </is>
      </c>
      <c r="Q507" s="9" t="inlineStr">
        <is>
          <t>条件触发：相邻武器的体力消耗被敏捷完全抵消时，对敌方施加 1 层风压；相邻武器的体力消耗被敏捷完全抵消时，对敌方施加 2 层风压；相邻武器的体力消耗被敏捷完全抵消时，对敌方施加 3 层风压；相邻武器的体力消耗被敏捷完全抵消时，对敌方施加 4 层风压</t>
        </is>
      </c>
      <c r="R507" s="9" t="inlineStr"/>
      <c r="S507" s="9" t="inlineStr">
        <is>
          <t>尾筋被拧作修长灵索，末端青铜破风锥紧扣着层层藤结。</t>
        </is>
      </c>
      <c r="T507" s="8" t="inlineStr">
        <is>
          <t>implement_bigen_root_tail_rending_cord_1x4</t>
        </is>
      </c>
      <c r="U507" s="8" t="inlineStr">
        <is>
          <t>allowed</t>
        </is>
      </c>
    </row>
    <row r="508" ht="34" customHeight="1">
      <c r="A508" s="8" t="n">
        <v>507</v>
      </c>
      <c r="B508" s="8" t="n">
        <v>410251</v>
      </c>
      <c r="C508" s="8" t="inlineStr">
        <is>
          <t>碧根飞爪</t>
        </is>
      </c>
      <c r="D508" s="8" t="inlineStr">
        <is>
          <t>法器</t>
        </is>
      </c>
      <c r="E508" s="8" t="inlineStr">
        <is>
          <t>implement</t>
        </is>
      </c>
      <c r="F508" s="8" t="inlineStr">
        <is>
          <t>common</t>
        </is>
      </c>
      <c r="G508" s="8" t="inlineStr">
        <is>
          <t>风</t>
        </is>
      </c>
      <c r="H508" s="8" t="inlineStr">
        <is>
          <t>wind</t>
        </is>
      </c>
      <c r="I508" s="8" t="inlineStr">
        <is>
          <t>1×2</t>
        </is>
      </c>
      <c r="J508" s="8" t="n">
        <v>2</v>
      </c>
      <c r="K508" s="8" t="n">
        <v>18</v>
      </c>
      <c r="L508" s="8" t="inlineStr">
        <is>
          <t>是</t>
        </is>
      </c>
      <c r="M508" s="9" t="inlineStr">
        <is>
          <t>bazaar；dynamicRandomReward；itemReforge</t>
        </is>
      </c>
      <c r="N508" s="8" t="n">
        <v>1</v>
      </c>
      <c r="O508" s="9" t="inlineStr">
        <is>
          <t>条件触发</t>
        </is>
      </c>
      <c r="P508" s="9" t="inlineStr">
        <is>
          <t>triggered</t>
        </is>
      </c>
      <c r="Q508" s="9" t="inlineStr">
        <is>
          <t>条件触发：相邻武器使用时，获得 1 层敏捷；相邻武器使用时，获得 2 层敏捷；相邻武器使用时，获得 3 层敏捷；相邻武器使用时，获得 4 层敏捷</t>
        </is>
      </c>
      <c r="R508" s="9" t="inlineStr"/>
      <c r="S508" s="9" t="inlineStr">
        <is>
          <t>三枚碧根爪刃围着铜轴张开，毛根与藤筋结成紧凑的催动握部。</t>
        </is>
      </c>
      <c r="T508" s="8" t="inlineStr">
        <is>
          <t>implement_bigen_green_root_claw_throw_1x2</t>
        </is>
      </c>
      <c r="U508" s="8" t="inlineStr">
        <is>
          <t>allowed</t>
        </is>
      </c>
    </row>
    <row r="509" ht="34" customHeight="1">
      <c r="A509" s="8" t="n">
        <v>508</v>
      </c>
      <c r="B509" s="8" t="n">
        <v>410300</v>
      </c>
      <c r="C509" s="8" t="inlineStr">
        <is>
          <t>潭纹镇脉盾</t>
        </is>
      </c>
      <c r="D509" s="8" t="inlineStr">
        <is>
          <t>法器</t>
        </is>
      </c>
      <c r="E509" s="8" t="inlineStr">
        <is>
          <t>implement</t>
        </is>
      </c>
      <c r="F509" s="8" t="inlineStr">
        <is>
          <t>common</t>
        </is>
      </c>
      <c r="G509" s="8" t="inlineStr">
        <is>
          <t>水</t>
        </is>
      </c>
      <c r="H509" s="8" t="inlineStr">
        <is>
          <t>water</t>
        </is>
      </c>
      <c r="I509" s="8" t="inlineStr">
        <is>
          <t>2×2</t>
        </is>
      </c>
      <c r="J509" s="8" t="n">
        <v>4</v>
      </c>
      <c r="K509" s="8" t="n">
        <v>30</v>
      </c>
      <c r="L509" s="8" t="inlineStr">
        <is>
          <t>是</t>
        </is>
      </c>
      <c r="M509" s="9" t="inlineStr">
        <is>
          <t>bazaar；dynamicRandomReward；itemReforge</t>
        </is>
      </c>
      <c r="N509" s="8" t="n">
        <v>1</v>
      </c>
      <c r="O509" s="9" t="inlineStr">
        <is>
          <t>被动效果</t>
        </is>
      </c>
      <c r="P509" s="9" t="inlineStr">
        <is>
          <t>passive</t>
        </is>
      </c>
      <c r="Q509" s="9" t="inlineStr">
        <is>
          <t>被动效果：可承受100点攻击，耐久归零后道具销毁。</t>
        </is>
      </c>
      <c r="R509" s="9" t="inlineStr"/>
      <c r="S509" s="9" t="inlineStr">
        <is>
          <t>碧潭护盘经铜箍重炼，龟裂盘面仍留着层叠水纹，握在手中沉稳如岸。</t>
        </is>
      </c>
      <c r="T509" s="8" t="inlineStr">
        <is>
          <t>implement_bitan_guard_vessel_2x2</t>
        </is>
      </c>
      <c r="U509" s="8" t="inlineStr">
        <is>
          <t>allowed</t>
        </is>
      </c>
    </row>
    <row r="510" ht="34" customHeight="1">
      <c r="A510" s="8" t="n">
        <v>509</v>
      </c>
      <c r="B510" s="8" t="n">
        <v>410301</v>
      </c>
      <c r="C510" s="8" t="inlineStr">
        <is>
          <t>回澜棘槌</t>
        </is>
      </c>
      <c r="D510" s="8" t="inlineStr">
        <is>
          <t>法器</t>
        </is>
      </c>
      <c r="E510" s="8" t="inlineStr">
        <is>
          <t>implement</t>
        </is>
      </c>
      <c r="F510" s="8" t="inlineStr">
        <is>
          <t>common</t>
        </is>
      </c>
      <c r="G510" s="8" t="inlineStr">
        <is>
          <t>雷</t>
        </is>
      </c>
      <c r="H510" s="8" t="inlineStr">
        <is>
          <t>thunder</t>
        </is>
      </c>
      <c r="I510" s="8" t="inlineStr">
        <is>
          <t>2×2</t>
        </is>
      </c>
      <c r="J510" s="8" t="n">
        <v>4</v>
      </c>
      <c r="K510" s="8" t="n">
        <v>15</v>
      </c>
      <c r="L510" s="8" t="inlineStr">
        <is>
          <t>是</t>
        </is>
      </c>
      <c r="M510" s="9" t="inlineStr">
        <is>
          <t>bazaar；dynamicRandomReward；itemReforge</t>
        </is>
      </c>
      <c r="N510" s="8" t="n">
        <v>1</v>
      </c>
      <c r="O510" s="9" t="inlineStr">
        <is>
          <t>条件触发</t>
        </is>
      </c>
      <c r="P510" s="9" t="inlineStr">
        <is>
          <t>triggered</t>
        </is>
      </c>
      <c r="Q510" s="9" t="inlineStr">
        <is>
          <t>条件触发：相邻武器造成伤害时，获得 1 层引雷；相邻武器造成伤害时，获得 2 层引雷；相邻武器造成伤害时，获得 3 层引雷；相邻武器造成伤害时，获得 4 层引雷</t>
        </is>
      </c>
      <c r="R510" s="9" t="inlineStr"/>
      <c r="S510" s="9" t="inlineStr">
        <is>
          <t>回波背刺被整段炼作槌身，棕褐骨木与浅蓝水线在铜箍间交错延伸。</t>
        </is>
      </c>
      <c r="T510" s="8" t="inlineStr">
        <is>
          <t>implement_bitan_echo_spine_maul_2x2</t>
        </is>
      </c>
      <c r="U510" s="8" t="inlineStr">
        <is>
          <t>allowed</t>
        </is>
      </c>
    </row>
    <row r="511" ht="34" customHeight="1">
      <c r="A511" s="8" t="n">
        <v>510</v>
      </c>
      <c r="B511" s="8" t="n">
        <v>410302</v>
      </c>
      <c r="C511" s="8" t="inlineStr">
        <is>
          <t>涉泉连爪钩</t>
        </is>
      </c>
      <c r="D511" s="8" t="inlineStr">
        <is>
          <t>法器</t>
        </is>
      </c>
      <c r="E511" s="8" t="inlineStr">
        <is>
          <t>implement</t>
        </is>
      </c>
      <c r="F511" s="8" t="inlineStr">
        <is>
          <t>common</t>
        </is>
      </c>
      <c r="G511" s="8" t="inlineStr">
        <is>
          <t>poison</t>
        </is>
      </c>
      <c r="H511" s="8" t="inlineStr">
        <is>
          <t>poison</t>
        </is>
      </c>
      <c r="I511" s="8" t="inlineStr">
        <is>
          <t>1×3</t>
        </is>
      </c>
      <c r="J511" s="8" t="n">
        <v>3</v>
      </c>
      <c r="K511" s="8" t="n">
        <v>12</v>
      </c>
      <c r="L511" s="8" t="inlineStr">
        <is>
          <t>是</t>
        </is>
      </c>
      <c r="M511" s="9" t="inlineStr">
        <is>
          <t>bazaar；dynamicRandomReward；itemReforge</t>
        </is>
      </c>
      <c r="N511" s="8" t="n">
        <v>1</v>
      </c>
      <c r="O511" s="9" t="inlineStr">
        <is>
          <t>条件触发</t>
        </is>
      </c>
      <c r="P511" s="9" t="inlineStr">
        <is>
          <t>triggered</t>
        </is>
      </c>
      <c r="Q511" s="9" t="inlineStr">
        <is>
          <t>条件触发：使用左侧相邻武器时，对敌方施加 1 层中毒；使用左侧相邻武器时，对敌方施加 2 层中毒；使用左侧相邻武器时，对敌方施加 3 层中毒；使用左侧相邻武器时，对敌方施加 4 层中毒</t>
        </is>
      </c>
      <c r="R511" s="9" t="inlineStr"/>
      <c r="S511" s="9" t="inlineStr">
        <is>
          <t>两副灵獭连足首尾相接，骨爪与褐毛沿长柄排开，绳结紧密而轻巧。</t>
        </is>
      </c>
      <c r="T511" s="8" t="inlineStr">
        <is>
          <t>implement_bitan_linked_claw_grapple_1x3</t>
        </is>
      </c>
      <c r="U511" s="8" t="inlineStr">
        <is>
          <t>allowed</t>
        </is>
      </c>
    </row>
    <row r="512" ht="34" customHeight="1">
      <c r="A512" s="8" t="n">
        <v>511</v>
      </c>
      <c r="B512" s="8" t="n">
        <v>410303</v>
      </c>
      <c r="C512" s="8" t="inlineStr">
        <is>
          <t>清泉纳息瓶</t>
        </is>
      </c>
      <c r="D512" s="8" t="inlineStr">
        <is>
          <t>法器</t>
        </is>
      </c>
      <c r="E512" s="8" t="inlineStr">
        <is>
          <t>implement</t>
        </is>
      </c>
      <c r="F512" s="8" t="inlineStr">
        <is>
          <t>common</t>
        </is>
      </c>
      <c r="G512" s="8" t="inlineStr">
        <is>
          <t>水</t>
        </is>
      </c>
      <c r="H512" s="8" t="inlineStr">
        <is>
          <t>water</t>
        </is>
      </c>
      <c r="I512" s="8" t="inlineStr">
        <is>
          <t>1×2</t>
        </is>
      </c>
      <c r="J512" s="8" t="n">
        <v>2</v>
      </c>
      <c r="K512" s="8" t="n">
        <v>18</v>
      </c>
      <c r="L512" s="8" t="inlineStr">
        <is>
          <t>是</t>
        </is>
      </c>
      <c r="M512" s="9" t="inlineStr">
        <is>
          <t>bazaar；dynamicRandomReward；itemReforge</t>
        </is>
      </c>
      <c r="N512" s="8" t="n">
        <v>1</v>
      </c>
      <c r="O512" s="9" t="inlineStr">
        <is>
          <t>周期触发</t>
        </is>
      </c>
      <c r="P512" s="9" t="inlineStr">
        <is>
          <t>periodicPulse</t>
        </is>
      </c>
      <c r="Q512" s="9" t="inlineStr">
        <is>
          <t>周期触发：恢复 4 点法力并获得 2 层露水；恢复 6 点法力并获得 4 层露水；恢复 8 点法力并获得 6 层露水；恢复 10 点法力并获得 8 层露水</t>
        </is>
      </c>
      <c r="R512" s="9" t="inlineStr"/>
      <c r="S512" s="9" t="inlineStr">
        <is>
          <t>泉眼灵腺被完整炼作瓶腹，深褐囊壁托着一滴凝定的碧色泉液。</t>
        </is>
      </c>
      <c r="T512" s="8" t="inlineStr">
        <is>
          <t>implement_bitan_spring_gland_flask_1x2</t>
        </is>
      </c>
      <c r="U512" s="8" t="inlineStr">
        <is>
          <t>allowed</t>
        </is>
      </c>
    </row>
    <row r="513" ht="34" customHeight="1">
      <c r="A513" s="8" t="n">
        <v>512</v>
      </c>
      <c r="B513" s="8" t="n">
        <v>410304</v>
      </c>
      <c r="C513" s="8" t="inlineStr">
        <is>
          <t>碧囊回元壶</t>
        </is>
      </c>
      <c r="D513" s="8" t="inlineStr">
        <is>
          <t>法器</t>
        </is>
      </c>
      <c r="E513" s="8" t="inlineStr">
        <is>
          <t>implement</t>
        </is>
      </c>
      <c r="F513" s="8" t="inlineStr">
        <is>
          <t>common</t>
        </is>
      </c>
      <c r="G513" s="8" t="inlineStr">
        <is>
          <t>木</t>
        </is>
      </c>
      <c r="H513" s="8" t="inlineStr">
        <is>
          <t>wood</t>
        </is>
      </c>
      <c r="I513" s="8" t="inlineStr">
        <is>
          <t>1×2</t>
        </is>
      </c>
      <c r="J513" s="8" t="n">
        <v>2</v>
      </c>
      <c r="K513" s="8" t="n">
        <v>30</v>
      </c>
      <c r="L513" s="8" t="inlineStr">
        <is>
          <t>是</t>
        </is>
      </c>
      <c r="M513" s="9" t="inlineStr">
        <is>
          <t>bazaar；dynamicRandomReward；itemReforge</t>
        </is>
      </c>
      <c r="N513" s="8" t="n">
        <v>1</v>
      </c>
      <c r="O513" s="9" t="inlineStr">
        <is>
          <t>周期触发</t>
        </is>
      </c>
      <c r="P513" s="9" t="inlineStr">
        <is>
          <t>periodicPulse</t>
        </is>
      </c>
      <c r="Q513" s="9" t="inlineStr">
        <is>
          <t>周期触发：获得 6 层再生；获得 8 层再生；获得 10 层再生；获得 12 层再生</t>
        </is>
      </c>
      <c r="R513" s="9" t="inlineStr"/>
      <c r="S513" s="9" t="inlineStr">
        <is>
          <t>碧潭水囊天然呈梨形长壶，湿润褐皮上的蓝环与绿缝仍清晰可辨。</t>
        </is>
      </c>
      <c r="T513" s="8" t="inlineStr">
        <is>
          <t>implement_bitan_belly_sac_kettle_1x2</t>
        </is>
      </c>
      <c r="U513" s="8" t="inlineStr">
        <is>
          <t>allowed</t>
        </is>
      </c>
    </row>
    <row r="514" ht="34" customHeight="1">
      <c r="A514" s="8" t="n">
        <v>513</v>
      </c>
      <c r="B514" s="8" t="n">
        <v>410305</v>
      </c>
      <c r="C514" s="8" t="inlineStr">
        <is>
          <t>束泉韧环</t>
        </is>
      </c>
      <c r="D514" s="8" t="inlineStr">
        <is>
          <t>法器</t>
        </is>
      </c>
      <c r="E514" s="8" t="inlineStr">
        <is>
          <t>implement</t>
        </is>
      </c>
      <c r="F514" s="8" t="inlineStr">
        <is>
          <t>common</t>
        </is>
      </c>
      <c r="G514" s="8" t="inlineStr">
        <is>
          <t>风</t>
        </is>
      </c>
      <c r="H514" s="8" t="inlineStr">
        <is>
          <t>wind</t>
        </is>
      </c>
      <c r="I514" s="8" t="inlineStr">
        <is>
          <t>1×1</t>
        </is>
      </c>
      <c r="J514" s="8" t="n">
        <v>1</v>
      </c>
      <c r="K514" s="8" t="n">
        <v>32</v>
      </c>
      <c r="L514" s="8" t="inlineStr">
        <is>
          <t>是</t>
        </is>
      </c>
      <c r="M514" s="9" t="inlineStr">
        <is>
          <t>bazaar；dynamicRandomReward；itemReforge</t>
        </is>
      </c>
      <c r="N514" s="8" t="n">
        <v>1</v>
      </c>
      <c r="O514" s="9" t="inlineStr">
        <is>
          <t>条件触发</t>
        </is>
      </c>
      <c r="P514" s="9" t="inlineStr">
        <is>
          <t>triggered</t>
        </is>
      </c>
      <c r="Q514" s="9" t="inlineStr">
        <is>
          <t>条件触发：每当消耗至少 10 点体力时，获得 3 层敏捷；每当消耗至少 12 点体力时，获得 6 层敏捷；每当消耗至少 14 点体力时，获得 9 层敏捷；每当消耗至少 16 点体力时，获得 12 层敏捷</t>
        </is>
      </c>
      <c r="R514" s="9" t="inlineStr"/>
      <c r="S514" s="9" t="inlineStr">
        <is>
          <t>储水软腱被整束盘成韧环，深褐纤维间仍挂着数滴清亮泉水。</t>
        </is>
      </c>
      <c r="T514" s="8" t="inlineStr">
        <is>
          <t>implement_bitan_tendon_resilience_ring_1x1</t>
        </is>
      </c>
      <c r="U514" s="8" t="inlineStr">
        <is>
          <t>allowed</t>
        </is>
      </c>
    </row>
    <row r="515" ht="34" customHeight="1">
      <c r="A515" s="8" t="n">
        <v>514</v>
      </c>
      <c r="B515" s="8" t="n">
        <v>410351</v>
      </c>
      <c r="C515" s="8" t="inlineStr">
        <is>
          <t>泉脉回环牌</t>
        </is>
      </c>
      <c r="D515" s="8" t="inlineStr">
        <is>
          <t>法器</t>
        </is>
      </c>
      <c r="E515" s="8" t="inlineStr">
        <is>
          <t>implement</t>
        </is>
      </c>
      <c r="F515" s="8" t="inlineStr">
        <is>
          <t>common</t>
        </is>
      </c>
      <c r="G515" s="8" t="inlineStr">
        <is>
          <t>水</t>
        </is>
      </c>
      <c r="H515" s="8" t="inlineStr">
        <is>
          <t>water</t>
        </is>
      </c>
      <c r="I515" s="8" t="inlineStr">
        <is>
          <t>1×2</t>
        </is>
      </c>
      <c r="J515" s="8" t="n">
        <v>2</v>
      </c>
      <c r="K515" s="8" t="n">
        <v>15</v>
      </c>
      <c r="L515" s="8" t="inlineStr">
        <is>
          <t>是</t>
        </is>
      </c>
      <c r="M515" s="9" t="inlineStr">
        <is>
          <t>bazaar；dynamicRandomReward；itemReforge</t>
        </is>
      </c>
      <c r="N515" s="8" t="n">
        <v>1</v>
      </c>
      <c r="O515" s="9" t="inlineStr">
        <is>
          <t>被动效果</t>
        </is>
      </c>
      <c r="P515" s="9" t="inlineStr">
        <is>
          <t>passive</t>
        </is>
      </c>
      <c r="Q515" s="9" t="inlineStr">
        <is>
          <t>被动效果：和水属性武器相邻时，法力上限 +10；和水属性武器相邻时，法力上限 +20；和水属性武器相邻时，法力上限 +30；和水属性武器相邻时，法力上限 +40</t>
        </is>
      </c>
      <c r="R515" s="9" t="inlineStr"/>
      <c r="S515" s="9" t="inlineStr">
        <is>
          <t>双环阵枢竖立于铜座之上，一瓣碧液灵腺嵌在上环中央缓缓沉浮。</t>
        </is>
      </c>
      <c r="T515" s="8" t="inlineStr">
        <is>
          <t>implement_bitan_springpulse_array_1x2</t>
        </is>
      </c>
      <c r="U515" s="8" t="inlineStr">
        <is>
          <t>allowed</t>
        </is>
      </c>
    </row>
    <row r="516" ht="34" customHeight="1">
      <c r="A516" s="8" t="n">
        <v>515</v>
      </c>
      <c r="B516" s="8" t="n">
        <v>410352</v>
      </c>
      <c r="C516" s="8" t="inlineStr">
        <is>
          <t>蓄潭济流牌</t>
        </is>
      </c>
      <c r="D516" s="8" t="inlineStr">
        <is>
          <t>法器</t>
        </is>
      </c>
      <c r="E516" s="8" t="inlineStr">
        <is>
          <t>implement</t>
        </is>
      </c>
      <c r="F516" s="8" t="inlineStr">
        <is>
          <t>common</t>
        </is>
      </c>
      <c r="G516" s="8" t="inlineStr">
        <is>
          <t>水</t>
        </is>
      </c>
      <c r="H516" s="8" t="inlineStr">
        <is>
          <t>water</t>
        </is>
      </c>
      <c r="I516" s="8" t="inlineStr">
        <is>
          <t>1×2</t>
        </is>
      </c>
      <c r="J516" s="8" t="n">
        <v>2</v>
      </c>
      <c r="K516" s="8" t="n">
        <v>20</v>
      </c>
      <c r="L516" s="8" t="inlineStr">
        <is>
          <t>是</t>
        </is>
      </c>
      <c r="M516" s="9" t="inlineStr">
        <is>
          <t>bazaar；dynamicRandomReward；itemReforge</t>
        </is>
      </c>
      <c r="N516" s="8" t="n">
        <v>1</v>
      </c>
      <c r="O516" s="9" t="inlineStr">
        <is>
          <t>条件触发</t>
        </is>
      </c>
      <c r="P516" s="9" t="inlineStr">
        <is>
          <t>triggered</t>
        </is>
      </c>
      <c r="Q516" s="9" t="inlineStr">
        <is>
          <t>条件触发：每消耗 2 点法力，获得 1 层露水，单次最多获得 2 层；每消耗 2 点法力，获得 1 层露水，单次最多获得 3 层；每消耗 2 点法力，获得 1 层露水，单次最多获得 4 层；每消耗 2 点法力，获得 1 层露水，单次最多获得 5 层</t>
        </is>
      </c>
      <c r="R516" s="9" t="inlineStr"/>
      <c r="S516" s="9" t="inlineStr">
        <is>
          <t>三层铜制流枢组成竖阵，折叠水囊嵌在中枢，蓝环纹沿绿缝收束。</t>
        </is>
      </c>
      <c r="T516" s="8" t="inlineStr">
        <is>
          <t>implement_bitan_reservoir_array_1x2</t>
        </is>
      </c>
      <c r="U516" s="8" t="inlineStr">
        <is>
          <t>allowed</t>
        </is>
      </c>
    </row>
    <row r="517" ht="34" customHeight="1">
      <c r="A517" s="8" t="n">
        <v>516</v>
      </c>
      <c r="B517" s="8" t="n">
        <v>410353</v>
      </c>
      <c r="C517" s="8" t="inlineStr">
        <is>
          <t>柔澜牵机枢</t>
        </is>
      </c>
      <c r="D517" s="8" t="inlineStr">
        <is>
          <t>法器</t>
        </is>
      </c>
      <c r="E517" s="8" t="inlineStr">
        <is>
          <t>implement</t>
        </is>
      </c>
      <c r="F517" s="8" t="inlineStr">
        <is>
          <t>common</t>
        </is>
      </c>
      <c r="G517" s="8" t="inlineStr">
        <is>
          <t>雷</t>
        </is>
      </c>
      <c r="H517" s="8" t="inlineStr">
        <is>
          <t>thunder</t>
        </is>
      </c>
      <c r="I517" s="8" t="inlineStr">
        <is>
          <t>1×1</t>
        </is>
      </c>
      <c r="J517" s="8" t="n">
        <v>1</v>
      </c>
      <c r="K517" s="8" t="n">
        <v>10</v>
      </c>
      <c r="L517" s="8" t="inlineStr">
        <is>
          <t>是</t>
        </is>
      </c>
      <c r="M517" s="9" t="inlineStr">
        <is>
          <t>bazaar；dynamicRandomReward；itemReforge</t>
        </is>
      </c>
      <c r="N517" s="8" t="n">
        <v>1</v>
      </c>
      <c r="O517" s="9" t="inlineStr">
        <is>
          <t>周期触发</t>
        </is>
      </c>
      <c r="P517" s="9" t="inlineStr">
        <is>
          <t>periodicPulse</t>
        </is>
      </c>
      <c r="Q517" s="9" t="inlineStr">
        <is>
          <t>周期触发：消耗 3 层引雷，对敌方施加 3 层麻痹；消耗 4 层引雷，对敌方施加 4 层麻痹；消耗 5 层引雷，对敌方施加 5 层麻痹；消耗 6 层引雷，对敌方施加 6 层麻痹</t>
        </is>
      </c>
      <c r="R517" s="9" t="inlineStr"/>
      <c r="S517" s="9" t="inlineStr">
        <is>
          <t>三角铜框牵住三处阵枢，一枚滴水软腱结悬在中央保持张力。</t>
        </is>
      </c>
      <c r="T517" s="8" t="inlineStr">
        <is>
          <t>implement_bitan_tendon_linkage_array_1x1</t>
        </is>
      </c>
      <c r="U517" s="8" t="inlineStr">
        <is>
          <t>allowed</t>
        </is>
      </c>
    </row>
    <row r="518" ht="34" customHeight="1">
      <c r="A518" s="8" t="n">
        <v>517</v>
      </c>
      <c r="B518" s="8" t="n">
        <v>410354</v>
      </c>
      <c r="C518" s="8" t="inlineStr">
        <is>
          <t>叠浪破甲盘</t>
        </is>
      </c>
      <c r="D518" s="8" t="inlineStr">
        <is>
          <t>法器</t>
        </is>
      </c>
      <c r="E518" s="8" t="inlineStr">
        <is>
          <t>implement</t>
        </is>
      </c>
      <c r="F518" s="8" t="inlineStr">
        <is>
          <t>common</t>
        </is>
      </c>
      <c r="G518" s="8" t="inlineStr">
        <is>
          <t>金</t>
        </is>
      </c>
      <c r="H518" s="8" t="inlineStr">
        <is>
          <t>metal</t>
        </is>
      </c>
      <c r="I518" s="8" t="inlineStr">
        <is>
          <t>1×1</t>
        </is>
      </c>
      <c r="J518" s="8" t="n">
        <v>1</v>
      </c>
      <c r="K518" s="8" t="n">
        <v>20</v>
      </c>
      <c r="L518" s="8" t="inlineStr">
        <is>
          <t>是</t>
        </is>
      </c>
      <c r="M518" s="9" t="inlineStr">
        <is>
          <t>bazaar；dynamicRandomReward；itemReforge</t>
        </is>
      </c>
      <c r="N518" s="8" t="n">
        <v>1</v>
      </c>
      <c r="O518" s="9" t="inlineStr">
        <is>
          <t>周期触发</t>
        </is>
      </c>
      <c r="P518" s="9" t="inlineStr">
        <is>
          <t>periodicPulse</t>
        </is>
      </c>
      <c r="Q518" s="9" t="inlineStr">
        <is>
          <t>周期触发：消耗8层露水，对敌方施加 2 层裂甲；消耗8层露水，对敌方施加 3 层裂甲；消耗8层露水，对敌方施加 4 层裂甲；消耗8层露水，对敌方施加 5 层裂甲</t>
        </is>
      </c>
      <c r="R518" s="9" t="inlineStr"/>
      <c r="S518" s="9" t="inlineStr">
        <is>
          <t>护盘被分炼为四片弧刃，青色水纹沿刃背聚向沉铜中轴。</t>
        </is>
      </c>
      <c r="T518" s="8" t="inlineStr">
        <is>
          <t>implement_bitan_guard_breakwave_disc_1x1</t>
        </is>
      </c>
      <c r="U518" s="8" t="inlineStr">
        <is>
          <t>allowed</t>
        </is>
      </c>
    </row>
    <row r="519" ht="34" customHeight="1">
      <c r="A519" s="8" t="n">
        <v>518</v>
      </c>
      <c r="B519" s="8" t="n">
        <v>410355</v>
      </c>
      <c r="C519" s="8" t="inlineStr">
        <is>
          <t>追潮缚足索</t>
        </is>
      </c>
      <c r="D519" s="8" t="inlineStr">
        <is>
          <t>法器</t>
        </is>
      </c>
      <c r="E519" s="8" t="inlineStr">
        <is>
          <t>implement</t>
        </is>
      </c>
      <c r="F519" s="8" t="inlineStr">
        <is>
          <t>common</t>
        </is>
      </c>
      <c r="G519" s="8" t="inlineStr">
        <is>
          <t>冰</t>
        </is>
      </c>
      <c r="H519" s="8" t="inlineStr">
        <is>
          <t>ice</t>
        </is>
      </c>
      <c r="I519" s="8" t="inlineStr">
        <is>
          <t>1×3</t>
        </is>
      </c>
      <c r="J519" s="8" t="n">
        <v>3</v>
      </c>
      <c r="K519" s="8" t="n">
        <v>7</v>
      </c>
      <c r="L519" s="8" t="inlineStr">
        <is>
          <t>是</t>
        </is>
      </c>
      <c r="M519" s="9" t="inlineStr">
        <is>
          <t>bazaar；dynamicRandomReward；itemReforge</t>
        </is>
      </c>
      <c r="N519" s="8" t="n">
        <v>1</v>
      </c>
      <c r="O519" s="9" t="inlineStr">
        <is>
          <t>周期触发</t>
        </is>
      </c>
      <c r="P519" s="9" t="inlineStr">
        <is>
          <t>periodicPulse</t>
        </is>
      </c>
      <c r="Q519" s="9" t="inlineStr">
        <is>
          <t>周期触发：对敌方施加 6 层冰霜；对敌方施加 7 层冰霜；对敌方施加 8 层冰霜；对敌方施加 9 层冰霜</t>
        </is>
      </c>
      <c r="R519" s="9" t="inlineStr"/>
      <c r="S519" s="9" t="inlineStr">
        <is>
          <t>两束骨爪成为长索配重，深色爪尖与褐毛在绳索两端相向收拢。</t>
        </is>
      </c>
      <c r="T519" s="8" t="inlineStr">
        <is>
          <t>implement_bitan_tidebinding_claw_bola_1x3</t>
        </is>
      </c>
      <c r="U519" s="8" t="inlineStr">
        <is>
          <t>allowed</t>
        </is>
      </c>
    </row>
    <row r="520" ht="34" customHeight="1">
      <c r="A520" s="8" t="n">
        <v>519</v>
      </c>
      <c r="B520" s="8" t="n">
        <v>410400</v>
      </c>
      <c r="C520" s="8" t="inlineStr">
        <is>
          <t>沉壳镇潮盾</t>
        </is>
      </c>
      <c r="D520" s="8" t="inlineStr">
        <is>
          <t>法器</t>
        </is>
      </c>
      <c r="E520" s="8" t="inlineStr">
        <is>
          <t>implement</t>
        </is>
      </c>
      <c r="F520" s="8" t="inlineStr">
        <is>
          <t>common</t>
        </is>
      </c>
      <c r="G520" s="8" t="inlineStr">
        <is>
          <t>土</t>
        </is>
      </c>
      <c r="H520" s="8" t="inlineStr">
        <is>
          <t>earth</t>
        </is>
      </c>
      <c r="I520" s="8" t="inlineStr">
        <is>
          <t>2×2</t>
        </is>
      </c>
      <c r="J520" s="8" t="n">
        <v>4</v>
      </c>
      <c r="K520" s="8" t="n">
        <v>30</v>
      </c>
      <c r="L520" s="8" t="inlineStr">
        <is>
          <t>是</t>
        </is>
      </c>
      <c r="M520" s="9" t="inlineStr">
        <is>
          <t>bazaar；dynamicRandomReward；itemReforge</t>
        </is>
      </c>
      <c r="N520" s="8" t="n">
        <v>1</v>
      </c>
      <c r="O520" s="9" t="inlineStr">
        <is>
          <t>条件触发</t>
        </is>
      </c>
      <c r="P520" s="9" t="inlineStr">
        <is>
          <t>triggered</t>
        </is>
      </c>
      <c r="Q520" s="9" t="inlineStr">
        <is>
          <t>条件触发：每当护甲被消耗时，获得 1 层蓄势；每当护甲被消耗时，获得 2 层蓄势；每当护甲被消耗时，获得 3 层蓄势；每当护甲被消耗时，获得 4 层蓄势</t>
        </is>
      </c>
      <c r="R520" s="9" t="inlineStr"/>
      <c r="S520" s="9" t="inlineStr">
        <is>
          <t>厚重蚌片层层咬合成盾，泥金壳纹沿盾面盘旋，边缘仍留着溪石磨出的钝痕。</t>
        </is>
      </c>
      <c r="T520" s="8" t="inlineStr">
        <is>
          <t>implement_chenke_xibang_shell_tide_shield_2x2</t>
        </is>
      </c>
      <c r="U520" s="8" t="inlineStr">
        <is>
          <t>allowed</t>
        </is>
      </c>
    </row>
    <row r="521" ht="34" customHeight="1">
      <c r="A521" s="8" t="n">
        <v>520</v>
      </c>
      <c r="B521" s="8" t="n">
        <v>410401</v>
      </c>
      <c r="C521" s="8" t="inlineStr">
        <is>
          <t>珠膜凝露盏</t>
        </is>
      </c>
      <c r="D521" s="8" t="inlineStr">
        <is>
          <t>法器</t>
        </is>
      </c>
      <c r="E521" s="8" t="inlineStr">
        <is>
          <t>implement</t>
        </is>
      </c>
      <c r="F521" s="8" t="inlineStr">
        <is>
          <t>common</t>
        </is>
      </c>
      <c r="G521" s="8" t="inlineStr">
        <is>
          <t>冰</t>
        </is>
      </c>
      <c r="H521" s="8" t="inlineStr">
        <is>
          <t>ice</t>
        </is>
      </c>
      <c r="I521" s="8" t="inlineStr">
        <is>
          <t>2×2</t>
        </is>
      </c>
      <c r="J521" s="8" t="n">
        <v>4</v>
      </c>
      <c r="K521" s="8" t="n">
        <v>10</v>
      </c>
      <c r="L521" s="8" t="inlineStr">
        <is>
          <t>是</t>
        </is>
      </c>
      <c r="M521" s="9" t="inlineStr">
        <is>
          <t>bazaar；dynamicRandomReward；itemReforge</t>
        </is>
      </c>
      <c r="N521" s="8" t="n">
        <v>1</v>
      </c>
      <c r="O521" s="9" t="inlineStr">
        <is>
          <t>条件触发</t>
        </is>
      </c>
      <c r="P521" s="9" t="inlineStr">
        <is>
          <t>triggered</t>
        </is>
      </c>
      <c r="Q521" s="9" t="inlineStr">
        <is>
          <t>条件触发：相邻水属性法器使我方获得露水时，获得 2 层寒冷；相邻水属性法器使我方获得露水时，获得 3 层寒冷；相邻水属性法器使我方获得露水时，获得 4 层寒冷；相邻水属性法器使我方获得露水时，获得 6 层寒冷</t>
        </is>
      </c>
      <c r="R521" s="9" t="inlineStr"/>
      <c r="S521" s="9" t="inlineStr">
        <is>
          <t>珠白薄膜覆成浅盏，泥褐硬边托住柔润内壁，盏口映着一圈温吞水光。</t>
        </is>
      </c>
      <c r="T521" s="8" t="inlineStr">
        <is>
          <t>implement_chenke_xibang_membrane_dew_cup_2x2</t>
        </is>
      </c>
      <c r="U521" s="8" t="inlineStr">
        <is>
          <t>allowed</t>
        </is>
      </c>
    </row>
    <row r="522" ht="34" customHeight="1">
      <c r="A522" s="8" t="n">
        <v>521</v>
      </c>
      <c r="B522" s="8" t="n">
        <v>410402</v>
      </c>
      <c r="C522" s="8" t="inlineStr">
        <is>
          <t>苔脊养元架</t>
        </is>
      </c>
      <c r="D522" s="8" t="inlineStr">
        <is>
          <t>法器</t>
        </is>
      </c>
      <c r="E522" s="8" t="inlineStr">
        <is>
          <t>implement</t>
        </is>
      </c>
      <c r="F522" s="8" t="inlineStr">
        <is>
          <t>common</t>
        </is>
      </c>
      <c r="G522" s="8" t="inlineStr">
        <is>
          <t>木</t>
        </is>
      </c>
      <c r="H522" s="8" t="inlineStr">
        <is>
          <t>wood</t>
        </is>
      </c>
      <c r="I522" s="8" t="inlineStr">
        <is>
          <t>2×2</t>
        </is>
      </c>
      <c r="J522" s="8" t="n">
        <v>4</v>
      </c>
      <c r="K522" s="8" t="n">
        <v>15</v>
      </c>
      <c r="L522" s="8" t="inlineStr">
        <is>
          <t>是</t>
        </is>
      </c>
      <c r="M522" s="9" t="inlineStr">
        <is>
          <t>bazaar；dynamicRandomReward；itemReforge</t>
        </is>
      </c>
      <c r="N522" s="8" t="n">
        <v>1</v>
      </c>
      <c r="O522" s="9" t="inlineStr">
        <is>
          <t>周期触发</t>
        </is>
      </c>
      <c r="P522" s="9" t="inlineStr">
        <is>
          <t>periodicPulse</t>
        </is>
      </c>
      <c r="Q522" s="9" t="inlineStr">
        <is>
          <t>周期触发：上方相邻每有1件木属性饰品，获得 5 层再生；上方相邻每有1件木属性饰品，获得 7 层再生；上方相邻每有1件木属性饰品，获得 9 层再生；上方相邻每有1件木属性饰品，获得 11 层再生</t>
        </is>
      </c>
      <c r="R522" s="9" t="inlineStr"/>
      <c r="S522" s="9" t="inlineStr">
        <is>
          <t>灰白壳脊交错搭成矮架，凹槽间保留浓密水苔，层边被磨得圆润而结实。</t>
        </is>
      </c>
      <c r="T522" s="8" t="inlineStr">
        <is>
          <t>implement_chenke_xibang_moss_ridge_vitality_rack_2x2</t>
        </is>
      </c>
      <c r="U522" s="8" t="inlineStr">
        <is>
          <t>allowed</t>
        </is>
      </c>
    </row>
    <row r="523" ht="34" customHeight="1">
      <c r="A523" s="8" t="n">
        <v>522</v>
      </c>
      <c r="B523" s="8" t="n">
        <v>410403</v>
      </c>
      <c r="C523" s="8" t="inlineStr">
        <is>
          <t>软筋合壳扣</t>
        </is>
      </c>
      <c r="D523" s="8" t="inlineStr">
        <is>
          <t>法器</t>
        </is>
      </c>
      <c r="E523" s="8" t="inlineStr">
        <is>
          <t>implement</t>
        </is>
      </c>
      <c r="F523" s="8" t="inlineStr">
        <is>
          <t>common</t>
        </is>
      </c>
      <c r="G523" s="8" t="inlineStr">
        <is>
          <t>水</t>
        </is>
      </c>
      <c r="H523" s="8" t="inlineStr">
        <is>
          <t>water</t>
        </is>
      </c>
      <c r="I523" s="8" t="inlineStr">
        <is>
          <t>2×2</t>
        </is>
      </c>
      <c r="J523" s="8" t="n">
        <v>4</v>
      </c>
      <c r="K523" s="8" t="n">
        <v>20</v>
      </c>
      <c r="L523" s="8" t="inlineStr">
        <is>
          <t>是</t>
        </is>
      </c>
      <c r="M523" s="9" t="inlineStr">
        <is>
          <t>bazaar；dynamicRandomReward；itemReforge</t>
        </is>
      </c>
      <c r="N523" s="8" t="n">
        <v>1</v>
      </c>
      <c r="O523" s="9" t="inlineStr">
        <is>
          <t>条件触发</t>
        </is>
      </c>
      <c r="P523" s="9" t="inlineStr">
        <is>
          <t>triggered</t>
        </is>
      </c>
      <c r="Q523" s="9" t="inlineStr">
        <is>
          <t>条件触发：左侧相邻道具获得露水时，对敌方施加 1 层凝滞；左侧相邻道具获得露水时，对敌方施加 2 层凝滞；左侧相邻道具获得露水时，对敌方施加 3 层凝滞；左侧相邻道具获得露水时，对敌方施加 4 层凝滞</t>
        </is>
      </c>
      <c r="R523" s="9" t="inlineStr"/>
      <c r="S523" s="9" t="inlineStr">
        <is>
          <t>灰白软筋反复绞成厚扣，筋束表面保留细密湿纹，中央结眼收得紧实圆润。</t>
        </is>
      </c>
      <c r="T523" s="8" t="inlineStr">
        <is>
          <t>implement_chenke_xibang_tendon_shell_clasp_2x2</t>
        </is>
      </c>
      <c r="U523" s="8" t="inlineStr">
        <is>
          <t>allowed</t>
        </is>
      </c>
    </row>
    <row r="524" ht="34" customHeight="1">
      <c r="A524" s="8" t="n">
        <v>523</v>
      </c>
      <c r="B524" s="8" t="n">
        <v>410450</v>
      </c>
      <c r="C524" s="8" t="inlineStr">
        <is>
          <t>沉壳破浪梭</t>
        </is>
      </c>
      <c r="D524" s="8" t="inlineStr">
        <is>
          <t>法器</t>
        </is>
      </c>
      <c r="E524" s="8" t="inlineStr">
        <is>
          <t>implement</t>
        </is>
      </c>
      <c r="F524" s="8" t="inlineStr">
        <is>
          <t>common</t>
        </is>
      </c>
      <c r="G524" s="8" t="inlineStr">
        <is>
          <t>风</t>
        </is>
      </c>
      <c r="H524" s="8" t="inlineStr">
        <is>
          <t>wind</t>
        </is>
      </c>
      <c r="I524" s="8" t="inlineStr">
        <is>
          <t>2×2</t>
        </is>
      </c>
      <c r="J524" s="8" t="n">
        <v>4</v>
      </c>
      <c r="K524" s="8" t="n">
        <v>20</v>
      </c>
      <c r="L524" s="8" t="inlineStr">
        <is>
          <t>是</t>
        </is>
      </c>
      <c r="M524" s="9" t="inlineStr">
        <is>
          <t>bazaar；dynamicRandomReward；itemReforge</t>
        </is>
      </c>
      <c r="N524" s="8" t="n">
        <v>1</v>
      </c>
      <c r="O524" s="9" t="inlineStr">
        <is>
          <t>周期触发</t>
        </is>
      </c>
      <c r="P524" s="9" t="inlineStr">
        <is>
          <t>periodicPulse</t>
        </is>
      </c>
      <c r="Q524" s="9" t="inlineStr">
        <is>
          <t>周期触发：自身敏捷不少于30层时，对敌方施加 10 层乱流；自身敏捷不少于30层时，对敌方施加 15 层乱流；自身敏捷不少于30层时，对敌方施加 20 层乱流；自身敏捷不少于30层时，对敌方施加 25 层乱流</t>
        </is>
      </c>
      <c r="R524" s="9" t="inlineStr"/>
      <c r="S524" s="9" t="inlineStr">
        <is>
          <t>细长木梭前端嵌着削尖蚌片，层叠壳纹收束成刃，尾翼沾有洗不净的浅溪泥色。</t>
        </is>
      </c>
      <c r="T524" s="8" t="inlineStr">
        <is>
          <t>implement_chenke_xibang_shell_wave_shuttle_2x2</t>
        </is>
      </c>
      <c r="U524" s="8" t="inlineStr">
        <is>
          <t>allowed</t>
        </is>
      </c>
    </row>
    <row r="525" ht="34" customHeight="1">
      <c r="A525" s="8" t="n">
        <v>524</v>
      </c>
      <c r="B525" s="8" t="n">
        <v>410451</v>
      </c>
      <c r="C525" s="8" t="inlineStr">
        <is>
          <t>珠膜裂水刃</t>
        </is>
      </c>
      <c r="D525" s="8" t="inlineStr">
        <is>
          <t>法器</t>
        </is>
      </c>
      <c r="E525" s="8" t="inlineStr">
        <is>
          <t>implement</t>
        </is>
      </c>
      <c r="F525" s="8" t="inlineStr">
        <is>
          <t>common</t>
        </is>
      </c>
      <c r="G525" s="8" t="inlineStr">
        <is>
          <t>金</t>
        </is>
      </c>
      <c r="H525" s="8" t="inlineStr">
        <is>
          <t>metal</t>
        </is>
      </c>
      <c r="I525" s="8" t="inlineStr">
        <is>
          <t>1×1</t>
        </is>
      </c>
      <c r="J525" s="8" t="n">
        <v>1</v>
      </c>
      <c r="K525" s="8" t="n">
        <v>35</v>
      </c>
      <c r="L525" s="8" t="inlineStr">
        <is>
          <t>是</t>
        </is>
      </c>
      <c r="M525" s="9" t="inlineStr">
        <is>
          <t>bazaar；dynamicRandomReward；itemReforge</t>
        </is>
      </c>
      <c r="N525" s="8" t="n">
        <v>1</v>
      </c>
      <c r="O525" s="9" t="inlineStr">
        <is>
          <t>周期触发</t>
        </is>
      </c>
      <c r="P525" s="9" t="inlineStr">
        <is>
          <t>periodicPulse</t>
        </is>
      </c>
      <c r="Q525" s="9" t="inlineStr">
        <is>
          <t>周期触发：消耗35层露水和20层凝金，对敌方造成35点伤害和20层裂甲；消耗35层露水；消耗20层凝金；对敌方造成35点伤害；对敌方施加20层裂甲</t>
        </is>
      </c>
      <c r="R525" s="9" t="inlineStr"/>
      <c r="S525" s="9" t="inlineStr">
        <is>
          <t>弧形飞刃的锋口覆着一层珠膜，泥褐脊骨压住柔白层纹，转动时像剖开一线溪光。</t>
        </is>
      </c>
      <c r="T525" s="8" t="inlineStr">
        <is>
          <t>implement_chenke_xibang_membrane_water_blade_1x1</t>
        </is>
      </c>
      <c r="U525" s="8" t="inlineStr">
        <is>
          <t>allowed</t>
        </is>
      </c>
    </row>
    <row r="526" ht="34" customHeight="1">
      <c r="A526" s="8" t="n">
        <v>525</v>
      </c>
      <c r="B526" s="8" t="n">
        <v>410452</v>
      </c>
      <c r="C526" s="8" t="inlineStr">
        <is>
          <t>苔脊碎浪矛</t>
        </is>
      </c>
      <c r="D526" s="8" t="inlineStr">
        <is>
          <t>法器</t>
        </is>
      </c>
      <c r="E526" s="8" t="inlineStr">
        <is>
          <t>implement</t>
        </is>
      </c>
      <c r="F526" s="8" t="inlineStr">
        <is>
          <t>common</t>
        </is>
      </c>
      <c r="G526" s="8" t="inlineStr">
        <is>
          <t>木</t>
        </is>
      </c>
      <c r="H526" s="8" t="inlineStr">
        <is>
          <t>wood</t>
        </is>
      </c>
      <c r="I526" s="8" t="inlineStr">
        <is>
          <t>2×2</t>
        </is>
      </c>
      <c r="J526" s="8" t="n">
        <v>4</v>
      </c>
      <c r="K526" s="8" t="n">
        <v>50</v>
      </c>
      <c r="L526" s="8" t="inlineStr">
        <is>
          <t>是</t>
        </is>
      </c>
      <c r="M526" s="9" t="inlineStr">
        <is>
          <t>bazaar；dynamicRandomReward；itemReforge</t>
        </is>
      </c>
      <c r="N526" s="8" t="n">
        <v>1</v>
      </c>
      <c r="O526" s="9" t="inlineStr">
        <is>
          <t>周期触发</t>
        </is>
      </c>
      <c r="P526" s="9" t="inlineStr">
        <is>
          <t>periodicPulse</t>
        </is>
      </c>
      <c r="Q526" s="9" t="inlineStr">
        <is>
          <t>周期触发：对敌人造成等于再生层数的伤害</t>
        </is>
      </c>
      <c r="R526" s="9" t="inlineStr"/>
      <c r="S526" s="9" t="inlineStr">
        <is>
          <t>短矛尖端由壳脊削成多棱刃，灰白层边夹着青绿水苔，木柄末端缠有湿润苔绳。</t>
        </is>
      </c>
      <c r="T526" s="8" t="inlineStr">
        <is>
          <t>implement_chenke_xibang_moss_ridge_wave_spear_2x2</t>
        </is>
      </c>
      <c r="U526" s="8" t="inlineStr">
        <is>
          <t>allowed</t>
        </is>
      </c>
    </row>
    <row r="527" ht="34" customHeight="1">
      <c r="A527" s="8" t="n">
        <v>526</v>
      </c>
      <c r="B527" s="8" t="n">
        <v>410453</v>
      </c>
      <c r="C527" s="8" t="inlineStr">
        <is>
          <t>软筋崩潮索</t>
        </is>
      </c>
      <c r="D527" s="8" t="inlineStr">
        <is>
          <t>法器</t>
        </is>
      </c>
      <c r="E527" s="8" t="inlineStr">
        <is>
          <t>implement</t>
        </is>
      </c>
      <c r="F527" s="8" t="inlineStr">
        <is>
          <t>common</t>
        </is>
      </c>
      <c r="G527" s="8" t="inlineStr">
        <is>
          <t>poison</t>
        </is>
      </c>
      <c r="H527" s="8" t="inlineStr">
        <is>
          <t>poison</t>
        </is>
      </c>
      <c r="I527" s="8" t="inlineStr">
        <is>
          <t>2×2</t>
        </is>
      </c>
      <c r="J527" s="8" t="n">
        <v>4</v>
      </c>
      <c r="K527" s="8" t="n">
        <v>22</v>
      </c>
      <c r="L527" s="8" t="inlineStr">
        <is>
          <t>是</t>
        </is>
      </c>
      <c r="M527" s="9" t="inlineStr">
        <is>
          <t>bazaar；dynamicRandomReward；itemReforge</t>
        </is>
      </c>
      <c r="N527" s="8" t="n">
        <v>1</v>
      </c>
      <c r="O527" s="9" t="inlineStr">
        <is>
          <t>周期触发</t>
        </is>
      </c>
      <c r="P527" s="9" t="inlineStr">
        <is>
          <t>periodicPulse</t>
        </is>
      </c>
      <c r="Q527" s="9" t="inlineStr">
        <is>
          <t>周期触发：消耗15点法力，对敌方施加 10 层乱流和4层中毒；消耗15点法力，对敌方施加 20 层乱流和6层中毒；消耗15点法力，对敌方施加 30 层乱流和8层中毒；消耗15点法力，对敌方施加 40 层乱流和10层中毒</t>
        </is>
      </c>
      <c r="R527" s="9" t="inlineStr"/>
      <c r="S527" s="9" t="inlineStr">
        <is>
          <t>短索由数股软筋绞成，前端系着沉重壳坠，灰白湿纹沿索身一直收进紧束结头。</t>
        </is>
      </c>
      <c r="T527" s="8" t="inlineStr">
        <is>
          <t>implement_chenke_xibang_tendon_tide_burst_rope_2x2</t>
        </is>
      </c>
      <c r="U527" s="8" t="inlineStr">
        <is>
          <t>allowed</t>
        </is>
      </c>
    </row>
    <row r="528" ht="34" customHeight="1">
      <c r="A528" s="8" t="n">
        <v>527</v>
      </c>
      <c r="B528" s="8" t="n">
        <v>410500</v>
      </c>
      <c r="C528" s="8" t="inlineStr">
        <is>
          <t>伏岩护甲砚</t>
        </is>
      </c>
      <c r="D528" s="8" t="inlineStr">
        <is>
          <t>法器</t>
        </is>
      </c>
      <c r="E528" s="8" t="inlineStr">
        <is>
          <t>implement</t>
        </is>
      </c>
      <c r="F528" s="8" t="inlineStr">
        <is>
          <t>common</t>
        </is>
      </c>
      <c r="G528" s="8" t="inlineStr">
        <is>
          <t>土</t>
        </is>
      </c>
      <c r="H528" s="8" t="inlineStr">
        <is>
          <t>earth</t>
        </is>
      </c>
      <c r="I528" s="8" t="inlineStr">
        <is>
          <t>2×2</t>
        </is>
      </c>
      <c r="J528" s="8" t="n">
        <v>4</v>
      </c>
      <c r="K528" s="8" t="n">
        <v>30</v>
      </c>
      <c r="L528" s="8" t="inlineStr">
        <is>
          <t>是</t>
        </is>
      </c>
      <c r="M528" s="9" t="inlineStr">
        <is>
          <t>bazaar；dynamicRandomReward；itemReforge</t>
        </is>
      </c>
      <c r="N528" s="8" t="n">
        <v>1</v>
      </c>
      <c r="O528" s="9" t="inlineStr">
        <is>
          <t>条件触发</t>
        </is>
      </c>
      <c r="P528" s="9" t="inlineStr">
        <is>
          <t>triggered</t>
        </is>
      </c>
      <c r="Q528" s="9" t="inlineStr">
        <is>
          <t>条件触发：左侧相邻道具获得坚硬时，获得 1 层蓄势；左侧相邻道具获得坚硬时，获得 2 层蓄势；左侧相邻道具获得坚硬时，获得 3 层蓄势；左侧相邻道具获得坚硬时，获得 4 层蓄势</t>
        </is>
      </c>
      <c r="R528" s="9" t="inlineStr"/>
      <c r="S528" s="9" t="inlineStr">
        <is>
          <t>斑皮层层包住沉石砚心，岩甲与粗绒贴合得严密厚实，落在案上自有一股稳重气息。</t>
        </is>
      </c>
      <c r="T528" s="8" t="inlineStr">
        <is>
          <t>implement_fuyan_heidiao_hide_armor_inkstone_2x2</t>
        </is>
      </c>
      <c r="U528" s="8" t="inlineStr">
        <is>
          <t>allowed</t>
        </is>
      </c>
    </row>
    <row r="529" ht="34" customHeight="1">
      <c r="A529" s="8" t="n">
        <v>528</v>
      </c>
      <c r="B529" s="8" t="n">
        <v>410501</v>
      </c>
      <c r="C529" s="8" t="inlineStr">
        <is>
          <t>黑爪定锋匣</t>
        </is>
      </c>
      <c r="D529" s="8" t="inlineStr">
        <is>
          <t>法器</t>
        </is>
      </c>
      <c r="E529" s="8" t="inlineStr">
        <is>
          <t>implement</t>
        </is>
      </c>
      <c r="F529" s="8" t="inlineStr">
        <is>
          <t>common</t>
        </is>
      </c>
      <c r="G529" s="8" t="inlineStr">
        <is>
          <t>金</t>
        </is>
      </c>
      <c r="H529" s="8" t="inlineStr">
        <is>
          <t>metal</t>
        </is>
      </c>
      <c r="I529" s="8" t="inlineStr">
        <is>
          <t>1×1</t>
        </is>
      </c>
      <c r="J529" s="8" t="n">
        <v>1</v>
      </c>
      <c r="K529" s="8" t="n">
        <v>28</v>
      </c>
      <c r="L529" s="8" t="inlineStr">
        <is>
          <t>是</t>
        </is>
      </c>
      <c r="M529" s="9" t="inlineStr">
        <is>
          <t>bazaar；dynamicRandomReward；itemReforge</t>
        </is>
      </c>
      <c r="N529" s="8" t="n">
        <v>1</v>
      </c>
      <c r="O529" s="9" t="inlineStr">
        <is>
          <t>周期触发</t>
        </is>
      </c>
      <c r="P529" s="9" t="inlineStr">
        <is>
          <t>periodicPulse</t>
        </is>
      </c>
      <c r="Q529" s="9" t="inlineStr">
        <is>
          <t>周期触发：相邻有武器时，获得 1 层凝金，每击杀1只妖兽后效果升级；凝金获得层数</t>
        </is>
      </c>
      <c r="R529" s="9" t="inlineStr"/>
      <c r="S529" s="9" t="inlineStr">
        <is>
          <t>三枚乌黑利爪卧在皮衬铁匣中，弧锋彼此咬合，匣角银边映出冷硬的兽性寒光。</t>
        </is>
      </c>
      <c r="T529" s="8" t="inlineStr">
        <is>
          <t>implement_fuyan_heidiao_claw_edge_case_1x1</t>
        </is>
      </c>
      <c r="U529" s="8" t="inlineStr">
        <is>
          <t>allowed</t>
        </is>
      </c>
    </row>
    <row r="530" ht="34" customHeight="1">
      <c r="A530" s="8" t="n">
        <v>529</v>
      </c>
      <c r="B530" s="8" t="n">
        <v>410502</v>
      </c>
      <c r="C530" s="8" t="inlineStr">
        <is>
          <t>岩尾衡影轮</t>
        </is>
      </c>
      <c r="D530" s="8" t="inlineStr">
        <is>
          <t>法器</t>
        </is>
      </c>
      <c r="E530" s="8" t="inlineStr">
        <is>
          <t>implement</t>
        </is>
      </c>
      <c r="F530" s="8" t="inlineStr">
        <is>
          <t>common</t>
        </is>
      </c>
      <c r="G530" s="8" t="inlineStr">
        <is>
          <t>土</t>
        </is>
      </c>
      <c r="H530" s="8" t="inlineStr">
        <is>
          <t>earth</t>
        </is>
      </c>
      <c r="I530" s="8" t="inlineStr">
        <is>
          <t>2×2</t>
        </is>
      </c>
      <c r="J530" s="8" t="n">
        <v>4</v>
      </c>
      <c r="K530" s="8" t="n">
        <v>20</v>
      </c>
      <c r="L530" s="8" t="inlineStr">
        <is>
          <t>是</t>
        </is>
      </c>
      <c r="M530" s="9" t="inlineStr">
        <is>
          <t>bazaar；dynamicRandomReward；itemReforge</t>
        </is>
      </c>
      <c r="N530" s="8" t="n">
        <v>1</v>
      </c>
      <c r="O530" s="9" t="inlineStr">
        <is>
          <t>周期触发</t>
        </is>
      </c>
      <c r="P530" s="9" t="inlineStr">
        <is>
          <t>periodicPulse</t>
        </is>
      </c>
      <c r="Q530" s="9" t="inlineStr">
        <is>
          <t>周期触发：拥有至少 20 层坚硬时，消耗 30 点法力，获得 30 层蓄势；拥有至少 18 层坚硬时，消耗 30 点法力，获得 30 层蓄势；拥有至少 16 层坚硬时，消耗 30 点法力，获得 30 层蓄势；拥有至少 14 层坚硬时，消耗 30 点法力，获得 30 层蓄势</t>
        </is>
      </c>
      <c r="R530" s="9" t="inlineStr"/>
      <c r="S530" s="9" t="inlineStr">
        <is>
          <t>长尾盘住石轮外沿，深褐兽毛顺着轮势收束，带岩的尾尖恰好指向衡位刻痕。</t>
        </is>
      </c>
      <c r="T530" s="8" t="inlineStr">
        <is>
          <t>implement_fuyan_heidiao_tail_balance_wheel_2x2</t>
        </is>
      </c>
      <c r="U530" s="8" t="inlineStr">
        <is>
          <t>allowed</t>
        </is>
      </c>
    </row>
    <row r="531" ht="34" customHeight="1">
      <c r="A531" s="8" t="n">
        <v>530</v>
      </c>
      <c r="B531" s="8" t="n">
        <v>410503</v>
      </c>
      <c r="C531" s="8" t="inlineStr">
        <is>
          <t>冷须藏针筒</t>
        </is>
      </c>
      <c r="D531" s="8" t="inlineStr">
        <is>
          <t>法器</t>
        </is>
      </c>
      <c r="E531" s="8" t="inlineStr">
        <is>
          <t>implement</t>
        </is>
      </c>
      <c r="F531" s="8" t="inlineStr">
        <is>
          <t>common</t>
        </is>
      </c>
      <c r="G531" s="8" t="inlineStr">
        <is>
          <t>poison</t>
        </is>
      </c>
      <c r="H531" s="8" t="inlineStr">
        <is>
          <t>poison</t>
        </is>
      </c>
      <c r="I531" s="8" t="inlineStr">
        <is>
          <t>2×2</t>
        </is>
      </c>
      <c r="J531" s="8" t="n">
        <v>4</v>
      </c>
      <c r="K531" s="8" t="n">
        <v>50</v>
      </c>
      <c r="L531" s="8" t="inlineStr">
        <is>
          <t>是</t>
        </is>
      </c>
      <c r="M531" s="9" t="inlineStr">
        <is>
          <t>bazaar；dynamicRandomReward；itemReforge</t>
        </is>
      </c>
      <c r="N531" s="8" t="n">
        <v>1</v>
      </c>
      <c r="O531" s="9" t="inlineStr">
        <is>
          <t>周期触发</t>
        </is>
      </c>
      <c r="P531" s="9" t="inlineStr">
        <is>
          <t>periodicPulse</t>
        </is>
      </c>
      <c r="Q531" s="9" t="inlineStr">
        <is>
          <t>周期触发：对敌人施加等于再生层数的禁疗</t>
        </is>
      </c>
      <c r="R531" s="9" t="inlineStr"/>
      <c r="S531" s="9" t="inlineStr">
        <is>
          <t>银白须针编成密实筒壁，深色毛束结成护圈，锐尖在筒口排出一圈冷峻齿缘。</t>
        </is>
      </c>
      <c r="T531" s="8" t="inlineStr">
        <is>
          <t>implement_fuyan_heidiao_whisker_needle_case_2x2</t>
        </is>
      </c>
      <c r="U531" s="8" t="inlineStr">
        <is>
          <t>allowed</t>
        </is>
      </c>
    </row>
    <row r="532" ht="34" customHeight="1">
      <c r="A532" s="8" t="n">
        <v>531</v>
      </c>
      <c r="B532" s="8" t="n">
        <v>410600</v>
      </c>
      <c r="C532" s="8" t="inlineStr">
        <is>
          <t>绛尾护焰披</t>
        </is>
      </c>
      <c r="D532" s="8" t="inlineStr">
        <is>
          <t>法器</t>
        </is>
      </c>
      <c r="E532" s="8" t="inlineStr">
        <is>
          <t>implement</t>
        </is>
      </c>
      <c r="F532" s="8" t="inlineStr">
        <is>
          <t>common</t>
        </is>
      </c>
      <c r="G532" s="8" t="inlineStr">
        <is>
          <t>火</t>
        </is>
      </c>
      <c r="H532" s="8" t="inlineStr">
        <is>
          <t>fire</t>
        </is>
      </c>
      <c r="I532" s="8" t="inlineStr">
        <is>
          <t>1×3</t>
        </is>
      </c>
      <c r="J532" s="8" t="n">
        <v>3</v>
      </c>
      <c r="K532" s="8" t="n">
        <v>15</v>
      </c>
      <c r="L532" s="8" t="inlineStr">
        <is>
          <t>是</t>
        </is>
      </c>
      <c r="M532" s="9" t="inlineStr">
        <is>
          <t>bazaar；dynamicRandomReward；itemReforge</t>
        </is>
      </c>
      <c r="N532" s="8" t="n">
        <v>1</v>
      </c>
      <c r="O532" s="9" t="inlineStr">
        <is>
          <t>周期触发</t>
        </is>
      </c>
      <c r="P532" s="9" t="inlineStr">
        <is>
          <t>periodicPulse</t>
        </is>
      </c>
      <c r="Q532" s="9" t="inlineStr">
        <is>
          <t>周期触发：每有1层炎热，获得 1 层护甲；每有1层炎热，获得 2 层护甲；每有1层炎热，获得 3 层护甲；每有1层炎热，获得 4 层护甲</t>
        </is>
      </c>
      <c r="R532" s="9" t="inlineStr"/>
      <c r="S532" s="9" t="inlineStr">
        <is>
          <t>绛红长绒顺着暗铜肩扣层层垂落，末梢收成一线暖橙，轻摆时仿佛仍循着狐尾旧势。</t>
        </is>
      </c>
      <c r="T532" s="8" t="inlineStr">
        <is>
          <t>implement_jiangwei_tail_guard_mantle_1x3</t>
        </is>
      </c>
      <c r="U532" s="8" t="inlineStr">
        <is>
          <t>allowed</t>
        </is>
      </c>
    </row>
    <row r="533" ht="34" customHeight="1">
      <c r="A533" s="8" t="n">
        <v>532</v>
      </c>
      <c r="B533" s="8" t="n">
        <v>410601</v>
      </c>
      <c r="C533" s="8" t="inlineStr">
        <is>
          <t>赤爪镇火扣</t>
        </is>
      </c>
      <c r="D533" s="8" t="inlineStr">
        <is>
          <t>法器</t>
        </is>
      </c>
      <c r="E533" s="8" t="inlineStr">
        <is>
          <t>implement</t>
        </is>
      </c>
      <c r="F533" s="8" t="inlineStr">
        <is>
          <t>common</t>
        </is>
      </c>
      <c r="G533" s="8" t="inlineStr">
        <is>
          <t>火</t>
        </is>
      </c>
      <c r="H533" s="8" t="inlineStr">
        <is>
          <t>fire</t>
        </is>
      </c>
      <c r="I533" s="8" t="inlineStr">
        <is>
          <t>1×1</t>
        </is>
      </c>
      <c r="J533" s="8" t="n">
        <v>1</v>
      </c>
      <c r="K533" s="8" t="n">
        <v>25</v>
      </c>
      <c r="L533" s="8" t="inlineStr">
        <is>
          <t>是</t>
        </is>
      </c>
      <c r="M533" s="9" t="inlineStr">
        <is>
          <t>bazaar；dynamicRandomReward；itemReforge</t>
        </is>
      </c>
      <c r="N533" s="8" t="n">
        <v>1</v>
      </c>
      <c r="O533" s="9" t="inlineStr">
        <is>
          <t>说明/执行器</t>
        </is>
      </c>
      <c r="P533" s="9" t="inlineStr">
        <is>
          <t>effectNote</t>
        </is>
      </c>
      <c r="Q533" s="9" t="inlineStr">
        <is>
          <t>说明/执行器：战斗中我方首次给敌方施加的灼烧层数翻倍</t>
        </is>
      </c>
      <c r="R533" s="9" t="inlineStr"/>
      <c r="S533" s="9" t="inlineStr">
        <is>
          <t>赤亮爪垫被黑铁爪尖环抱成扣，圆润表面压着浅浅火纹，扣合时发出短促脆响。</t>
        </is>
      </c>
      <c r="T533" s="8" t="inlineStr">
        <is>
          <t>implement_red_flame_claw_guard_clasp_1x1</t>
        </is>
      </c>
      <c r="U533" s="8" t="inlineStr">
        <is>
          <t>allowed</t>
        </is>
      </c>
    </row>
    <row r="534" ht="34" customHeight="1">
      <c r="A534" s="8" t="n">
        <v>533</v>
      </c>
      <c r="B534" s="8" t="n">
        <v>410602</v>
      </c>
      <c r="C534" s="8" t="inlineStr">
        <is>
          <t>丹尾盘焰轮</t>
        </is>
      </c>
      <c r="D534" s="8" t="inlineStr">
        <is>
          <t>法器</t>
        </is>
      </c>
      <c r="E534" s="8" t="inlineStr">
        <is>
          <t>implement</t>
        </is>
      </c>
      <c r="F534" s="8" t="inlineStr">
        <is>
          <t>common</t>
        </is>
      </c>
      <c r="G534" s="8" t="inlineStr">
        <is>
          <t>风</t>
        </is>
      </c>
      <c r="H534" s="8" t="inlineStr">
        <is>
          <t>wind</t>
        </is>
      </c>
      <c r="I534" s="8" t="inlineStr">
        <is>
          <t>2×2</t>
        </is>
      </c>
      <c r="J534" s="8" t="n">
        <v>4</v>
      </c>
      <c r="K534" s="8" t="n">
        <v>16</v>
      </c>
      <c r="L534" s="8" t="inlineStr">
        <is>
          <t>是</t>
        </is>
      </c>
      <c r="M534" s="9" t="inlineStr">
        <is>
          <t>bazaar；dynamicRandomReward；itemReforge</t>
        </is>
      </c>
      <c r="N534" s="8" t="n">
        <v>1</v>
      </c>
      <c r="O534" s="9" t="inlineStr">
        <is>
          <t>条件触发</t>
        </is>
      </c>
      <c r="P534" s="9" t="inlineStr">
        <is>
          <t>triggered</t>
        </is>
      </c>
      <c r="Q534" s="9" t="inlineStr">
        <is>
          <t>条件触发：敌方风压被消耗时，给敌方施加1层灼烧</t>
        </is>
      </c>
      <c r="R534" s="9" t="inlineStr"/>
      <c r="S534" s="9" t="inlineStr">
        <is>
          <t>丹红狐尾盘成饱满圆轮，毛流间嵌着细碎橙晶，轮心以乌铜扣稳稳收束。</t>
        </is>
      </c>
      <c r="T534" s="8" t="inlineStr">
        <is>
          <t>implement_cinnabar_tail_guard_wheel_2x2</t>
        </is>
      </c>
      <c r="U534" s="8" t="inlineStr">
        <is>
          <t>allowed</t>
        </is>
      </c>
    </row>
    <row r="535" ht="34" customHeight="1">
      <c r="A535" s="8" t="n">
        <v>534</v>
      </c>
      <c r="B535" s="8" t="n">
        <v>410603</v>
      </c>
      <c r="C535" s="8" t="inlineStr">
        <is>
          <t>狐齿镇焰刃</t>
        </is>
      </c>
      <c r="D535" s="8" t="inlineStr">
        <is>
          <t>法器</t>
        </is>
      </c>
      <c r="E535" s="8" t="inlineStr">
        <is>
          <t>implement</t>
        </is>
      </c>
      <c r="F535" s="8" t="inlineStr">
        <is>
          <t>common</t>
        </is>
      </c>
      <c r="G535" s="8" t="inlineStr">
        <is>
          <t>金</t>
        </is>
      </c>
      <c r="H535" s="8" t="inlineStr">
        <is>
          <t>metal</t>
        </is>
      </c>
      <c r="I535" s="8" t="inlineStr">
        <is>
          <t>1×1</t>
        </is>
      </c>
      <c r="J535" s="8" t="n">
        <v>1</v>
      </c>
      <c r="K535" s="8" t="n">
        <v>12</v>
      </c>
      <c r="L535" s="8" t="inlineStr">
        <is>
          <t>是</t>
        </is>
      </c>
      <c r="M535" s="9" t="inlineStr">
        <is>
          <t>bazaar；dynamicRandomReward；itemReforge</t>
        </is>
      </c>
      <c r="N535" s="8" t="n">
        <v>1</v>
      </c>
      <c r="O535" s="9" t="inlineStr">
        <is>
          <t>周期触发</t>
        </is>
      </c>
      <c r="P535" s="9" t="inlineStr">
        <is>
          <t>periodicPulse</t>
        </is>
      </c>
      <c r="Q535" s="9" t="inlineStr">
        <is>
          <t>周期触发：每有5层凝金，对敌方施加1层灼烧；每有5层凝金，对敌方施加2层灼烧；每有5层凝金，对敌方施加3层灼烧；每有5层凝金，对敌方施加4层灼烧</t>
        </is>
      </c>
      <c r="R535" s="9" t="inlineStr"/>
      <c r="S535" s="9" t="inlineStr">
        <is>
          <t>细长狐齿沿暗红齿根延成弧刃，橙亮裂纹被乌铜脊条逐段压稳，刃尖凝练而克制。</t>
        </is>
      </c>
      <c r="T535" s="8" t="inlineStr">
        <is>
          <t>implement_foxflame_tooth_guard_blade_1x1</t>
        </is>
      </c>
      <c r="U535" s="8" t="inlineStr">
        <is>
          <t>allowed</t>
        </is>
      </c>
    </row>
    <row r="536" ht="34" customHeight="1">
      <c r="A536" s="8" t="n">
        <v>535</v>
      </c>
      <c r="B536" s="8" t="n">
        <v>410604</v>
      </c>
      <c r="C536" s="8" t="inlineStr">
        <is>
          <t>焦耳听火罩</t>
        </is>
      </c>
      <c r="D536" s="8" t="inlineStr">
        <is>
          <t>法器</t>
        </is>
      </c>
      <c r="E536" s="8" t="inlineStr">
        <is>
          <t>implement</t>
        </is>
      </c>
      <c r="F536" s="8" t="inlineStr">
        <is>
          <t>common</t>
        </is>
      </c>
      <c r="G536" s="8" t="inlineStr">
        <is>
          <t>火</t>
        </is>
      </c>
      <c r="H536" s="8" t="inlineStr">
        <is>
          <t>fire</t>
        </is>
      </c>
      <c r="I536" s="8" t="inlineStr">
        <is>
          <t>1×2</t>
        </is>
      </c>
      <c r="J536" s="8" t="n">
        <v>2</v>
      </c>
      <c r="K536" s="8" t="n">
        <v>20</v>
      </c>
      <c r="L536" s="8" t="inlineStr">
        <is>
          <t>是</t>
        </is>
      </c>
      <c r="M536" s="9" t="inlineStr">
        <is>
          <t>bazaar；dynamicRandomReward；itemReforge</t>
        </is>
      </c>
      <c r="N536" s="8" t="n">
        <v>1</v>
      </c>
      <c r="O536" s="9" t="inlineStr">
        <is>
          <t>条件触发</t>
        </is>
      </c>
      <c r="P536" s="9" t="inlineStr">
        <is>
          <t>triggered</t>
        </is>
      </c>
      <c r="Q536" s="9" t="inlineStr">
        <is>
          <t>条件触发：自身炎热不少于 20 层时，自身每次获得灼烧的层数-1；自身炎热不少于 25 层时，自身每次获得灼烧的层数-2；自身炎热不少于 30 层时，自身每次获得灼烧的层数-3；自身炎热不少于 35 层时，自身每次获得灼烧的层数-4</t>
        </is>
      </c>
      <c r="R536" s="9" t="inlineStr"/>
      <c r="S536" s="9" t="inlineStr">
        <is>
          <t>薄小狐耳张成竖向听罩，米白绒根托住焦卷边缘，内侧绛纹被细铜箍稳稳撑开。</t>
        </is>
      </c>
      <c r="T536" s="8" t="inlineStr">
        <is>
          <t>implement_scorched_ear_listening_hood_1x2</t>
        </is>
      </c>
      <c r="U536" s="8" t="inlineStr">
        <is>
          <t>allowed</t>
        </is>
      </c>
    </row>
    <row r="537" ht="34" customHeight="1">
      <c r="A537" s="8" t="n">
        <v>536</v>
      </c>
      <c r="B537" s="8" t="n">
        <v>410605</v>
      </c>
      <c r="C537" s="8" t="inlineStr">
        <is>
          <t>蓄焰耳炉</t>
        </is>
      </c>
      <c r="D537" s="8" t="inlineStr">
        <is>
          <t>法器</t>
        </is>
      </c>
      <c r="E537" s="8" t="inlineStr">
        <is>
          <t>implement</t>
        </is>
      </c>
      <c r="F537" s="8" t="inlineStr">
        <is>
          <t>common</t>
        </is>
      </c>
      <c r="G537" s="8" t="inlineStr">
        <is>
          <t>火</t>
        </is>
      </c>
      <c r="H537" s="8" t="inlineStr">
        <is>
          <t>fire</t>
        </is>
      </c>
      <c r="I537" s="8" t="inlineStr">
        <is>
          <t>1×2</t>
        </is>
      </c>
      <c r="J537" s="8" t="n">
        <v>2</v>
      </c>
      <c r="K537" s="8" t="n">
        <v>12</v>
      </c>
      <c r="L537" s="8" t="inlineStr">
        <is>
          <t>是</t>
        </is>
      </c>
      <c r="M537" s="9" t="inlineStr">
        <is>
          <t>bazaar；dynamicRandomReward；itemReforge</t>
        </is>
      </c>
      <c r="N537" s="8" t="n">
        <v>1</v>
      </c>
      <c r="O537" s="9" t="inlineStr">
        <is>
          <t>周期触发</t>
        </is>
      </c>
      <c r="P537" s="9" t="inlineStr">
        <is>
          <t>periodicPulse</t>
        </is>
      </c>
      <c r="Q537" s="9" t="inlineStr">
        <is>
          <t>周期触发：每有1层灼烧，对敌方施加1层灼烧</t>
        </is>
      </c>
      <c r="R537" s="9" t="inlineStr"/>
      <c r="S537" s="9" t="inlineStr">
        <is>
          <t>岩褐耳轮中空如竖长小炉，橙红裂纹贯穿炉腹，金棕绒根在底座外沿收成一圈软边。</t>
        </is>
      </c>
      <c r="T537" s="8" t="inlineStr">
        <is>
          <t>implement_heat_storing_ear_ember_brazier_1x2</t>
        </is>
      </c>
      <c r="U537" s="8" t="inlineStr">
        <is>
          <t>allowed</t>
        </is>
      </c>
    </row>
    <row r="538" ht="34" customHeight="1">
      <c r="A538" s="8" t="n">
        <v>537</v>
      </c>
      <c r="B538" s="8" t="n">
        <v>410650</v>
      </c>
      <c r="C538" s="8" t="inlineStr">
        <is>
          <t>绛尾破焰梭</t>
        </is>
      </c>
      <c r="D538" s="8" t="inlineStr">
        <is>
          <t>法器</t>
        </is>
      </c>
      <c r="E538" s="8" t="inlineStr">
        <is>
          <t>implement</t>
        </is>
      </c>
      <c r="F538" s="8" t="inlineStr">
        <is>
          <t>common</t>
        </is>
      </c>
      <c r="G538" s="8" t="inlineStr">
        <is>
          <t>风</t>
        </is>
      </c>
      <c r="H538" s="8" t="inlineStr">
        <is>
          <t>wind</t>
        </is>
      </c>
      <c r="I538" s="8" t="inlineStr">
        <is>
          <t>1×3</t>
        </is>
      </c>
      <c r="J538" s="8" t="n">
        <v>3</v>
      </c>
      <c r="K538" s="8" t="n">
        <v>50</v>
      </c>
      <c r="L538" s="8" t="inlineStr">
        <is>
          <t>是</t>
        </is>
      </c>
      <c r="M538" s="9" t="inlineStr">
        <is>
          <t>bazaar；dynamicRandomReward；itemReforge</t>
        </is>
      </c>
      <c r="N538" s="8" t="n">
        <v>1</v>
      </c>
      <c r="O538" s="9" t="inlineStr">
        <is>
          <t>周期触发</t>
        </is>
      </c>
      <c r="P538" s="9" t="inlineStr">
        <is>
          <t>periodicPulse</t>
        </is>
      </c>
      <c r="Q538" s="9" t="inlineStr">
        <is>
          <t>周期触发：消耗敌方全部风压，每消耗5层，对其施加1层灼烧；消耗敌方全部风压，每消耗4层，对其施加1层灼烧；消耗敌方全部风压，每消耗3层，对其施加1层灼烧；消耗敌方全部风压，每消耗2层，对其施加1层灼烧</t>
        </is>
      </c>
      <c r="R538" s="9" t="inlineStr"/>
      <c r="S538" s="9" t="inlineStr">
        <is>
          <t>暗铜长梭尾端束着绛红焰绒，三棱梭身窄而利落，催动后尾绒会把去势收成一道直线。</t>
        </is>
      </c>
      <c r="T538" s="8" t="inlineStr">
        <is>
          <t>implement_jiangwei_tail_breach_shuttle_1x3</t>
        </is>
      </c>
      <c r="U538" s="8" t="inlineStr">
        <is>
          <t>allowed</t>
        </is>
      </c>
    </row>
    <row r="539" ht="34" customHeight="1">
      <c r="A539" s="8" t="n">
        <v>538</v>
      </c>
      <c r="B539" s="8" t="n">
        <v>410651</v>
      </c>
      <c r="C539" s="8" t="inlineStr">
        <is>
          <t>狐齿破焰轮</t>
        </is>
      </c>
      <c r="D539" s="8" t="inlineStr">
        <is>
          <t>法器</t>
        </is>
      </c>
      <c r="E539" s="8" t="inlineStr">
        <is>
          <t>implement</t>
        </is>
      </c>
      <c r="F539" s="8" t="inlineStr">
        <is>
          <t>common</t>
        </is>
      </c>
      <c r="G539" s="8" t="inlineStr">
        <is>
          <t>poison</t>
        </is>
      </c>
      <c r="H539" s="8" t="inlineStr">
        <is>
          <t>poison</t>
        </is>
      </c>
      <c r="I539" s="8" t="inlineStr">
        <is>
          <t>2×2</t>
        </is>
      </c>
      <c r="J539" s="8" t="n">
        <v>4</v>
      </c>
      <c r="K539" s="8" t="n">
        <v>6</v>
      </c>
      <c r="L539" s="8" t="inlineStr">
        <is>
          <t>是</t>
        </is>
      </c>
      <c r="M539" s="9" t="inlineStr">
        <is>
          <t>bazaar；dynamicRandomReward；itemReforge</t>
        </is>
      </c>
      <c r="N539" s="8" t="n">
        <v>1</v>
      </c>
      <c r="O539" s="9" t="inlineStr">
        <is>
          <t>条件触发</t>
        </is>
      </c>
      <c r="P539" s="9" t="inlineStr">
        <is>
          <t>triggered</t>
        </is>
      </c>
      <c r="Q539" s="9" t="inlineStr">
        <is>
          <t>条件触发：左右相邻道具对敌方施加灼烧时，对敌方施加 1 层中毒；左右相邻道具对敌方施加灼烧时，对敌方施加 2 层中毒；左右相邻道具对敌方施加灼烧时，对敌方施加 3 层中毒；左右相邻道具对敌方施加灼烧时，对敌方施加 4 层中毒</t>
        </is>
      </c>
      <c r="R539" s="9" t="inlineStr"/>
      <c r="S539" s="9" t="inlineStr">
        <is>
          <t>乌铜飞轮外沿嵌着数枚狐齿刃尖，暗红与橙黄裂纹首尾相衔，轮心留出清晰握孔。</t>
        </is>
      </c>
      <c r="T539" s="8" t="inlineStr">
        <is>
          <t>implement_foxflame_tooth_breach_disc_2x2</t>
        </is>
      </c>
      <c r="U539" s="8" t="inlineStr">
        <is>
          <t>allowed</t>
        </is>
      </c>
    </row>
    <row r="540" ht="34" customHeight="1">
      <c r="A540" s="8" t="n">
        <v>539</v>
      </c>
      <c r="B540" s="8" t="n">
        <v>410652</v>
      </c>
      <c r="C540" s="8" t="inlineStr">
        <is>
          <t>耳轮灼风哨</t>
        </is>
      </c>
      <c r="D540" s="8" t="inlineStr">
        <is>
          <t>法器</t>
        </is>
      </c>
      <c r="E540" s="8" t="inlineStr">
        <is>
          <t>implement</t>
        </is>
      </c>
      <c r="F540" s="8" t="inlineStr">
        <is>
          <t>common</t>
        </is>
      </c>
      <c r="G540" s="8" t="inlineStr">
        <is>
          <t>风</t>
        </is>
      </c>
      <c r="H540" s="8" t="inlineStr">
        <is>
          <t>wind</t>
        </is>
      </c>
      <c r="I540" s="8" t="inlineStr">
        <is>
          <t>1×2</t>
        </is>
      </c>
      <c r="J540" s="8" t="n">
        <v>2</v>
      </c>
      <c r="K540" s="8" t="n">
        <v>30</v>
      </c>
      <c r="L540" s="8" t="inlineStr">
        <is>
          <t>是</t>
        </is>
      </c>
      <c r="M540" s="9" t="inlineStr">
        <is>
          <t>bazaar；dynamicRandomReward；itemReforge</t>
        </is>
      </c>
      <c r="N540" s="8" t="n">
        <v>1</v>
      </c>
      <c r="O540" s="9" t="inlineStr">
        <is>
          <t>周期触发</t>
        </is>
      </c>
      <c r="P540" s="9" t="inlineStr">
        <is>
          <t>periodicPulse</t>
        </is>
      </c>
      <c r="Q540" s="9" t="inlineStr">
        <is>
          <t>周期触发：每有1层敏捷，对敌方施加1层灼烧；每有1层敏捷，对敌方施加2层灼烧；每有1层敏捷，对敌方施加3层灼烧；每有1层敏捷，对敌方施加4层灼烧</t>
        </is>
      </c>
      <c r="R540" s="9" t="inlineStr"/>
      <c r="S540" s="9" t="inlineStr">
        <is>
          <t>细长铜哨两侧嵌着岩褐耳轮作共鸣翼，橙红裂纹贴着风槽延伸，尾端留着一撮金棕短绒。</t>
        </is>
      </c>
      <c r="T540" s="8" t="inlineStr">
        <is>
          <t>implement_heat_storing_ear_scorch_whistle_1x2</t>
        </is>
      </c>
      <c r="U540" s="8" t="inlineStr">
        <is>
          <t>allowed</t>
        </is>
      </c>
    </row>
    <row r="541" ht="34" customHeight="1">
      <c r="A541" s="8" t="n">
        <v>540</v>
      </c>
      <c r="B541" s="8" t="n">
        <v>410700</v>
      </c>
      <c r="C541" s="8" t="inlineStr">
        <is>
          <t>裂谷牙盾</t>
        </is>
      </c>
      <c r="D541" s="8" t="inlineStr">
        <is>
          <t>法器</t>
        </is>
      </c>
      <c r="E541" s="8" t="inlineStr">
        <is>
          <t>implement</t>
        </is>
      </c>
      <c r="F541" s="8" t="inlineStr">
        <is>
          <t>common</t>
        </is>
      </c>
      <c r="G541" s="8" t="inlineStr">
        <is>
          <t>金</t>
        </is>
      </c>
      <c r="H541" s="8" t="inlineStr">
        <is>
          <t>metal</t>
        </is>
      </c>
      <c r="I541" s="8" t="inlineStr">
        <is>
          <t>2×2</t>
        </is>
      </c>
      <c r="J541" s="8" t="n">
        <v>4</v>
      </c>
      <c r="K541" s="8" t="n">
        <v>35</v>
      </c>
      <c r="L541" s="8" t="inlineStr">
        <is>
          <t>是</t>
        </is>
      </c>
      <c r="M541" s="9" t="inlineStr">
        <is>
          <t>bazaar；dynamicRandomReward；itemReforge</t>
        </is>
      </c>
      <c r="N541" s="8" t="n">
        <v>1</v>
      </c>
      <c r="O541" s="9" t="inlineStr">
        <is>
          <t>条件触发</t>
        </is>
      </c>
      <c r="P541" s="9" t="inlineStr">
        <is>
          <t>triggered</t>
        </is>
      </c>
      <c r="Q541" s="9" t="inlineStr">
        <is>
          <t>条件触发：护甲被消耗时，对敌方施加 1 层裂甲；护甲被消耗时，对敌方施加 2 层裂甲；护甲被消耗时，对敌方施加 3 层裂甲；护甲被消耗时，对敌方施加 4 层裂甲</t>
        </is>
      </c>
      <c r="R541" s="9" t="inlineStr"/>
      <c r="S541" s="9" t="inlineStr">
        <is>
          <t>风蚀狼牙层叠扣合，裂纹里仍嵌着山谷砂砾。</t>
        </is>
      </c>
      <c r="T541" s="8" t="inlineStr">
        <is>
          <t>implement_liegu_huilang_ravine_fang_buckler_2x2</t>
        </is>
      </c>
      <c r="U541" s="8" t="inlineStr">
        <is>
          <t>allowed</t>
        </is>
      </c>
    </row>
    <row r="542" ht="34" customHeight="1">
      <c r="A542" s="8" t="n">
        <v>541</v>
      </c>
      <c r="B542" s="8" t="n">
        <v>410701</v>
      </c>
      <c r="C542" s="8" t="inlineStr">
        <is>
          <t>灰脊毛护腕</t>
        </is>
      </c>
      <c r="D542" s="8" t="inlineStr">
        <is>
          <t>法器</t>
        </is>
      </c>
      <c r="E542" s="8" t="inlineStr">
        <is>
          <t>implement</t>
        </is>
      </c>
      <c r="F542" s="8" t="inlineStr">
        <is>
          <t>common</t>
        </is>
      </c>
      <c r="G542" s="8" t="inlineStr">
        <is>
          <t>土</t>
        </is>
      </c>
      <c r="H542" s="8" t="inlineStr">
        <is>
          <t>earth</t>
        </is>
      </c>
      <c r="I542" s="8" t="inlineStr">
        <is>
          <t>2×2</t>
        </is>
      </c>
      <c r="J542" s="8" t="n">
        <v>4</v>
      </c>
      <c r="K542" s="8" t="n">
        <v>15</v>
      </c>
      <c r="L542" s="8" t="inlineStr">
        <is>
          <t>是</t>
        </is>
      </c>
      <c r="M542" s="9" t="inlineStr">
        <is>
          <t>bazaar；dynamicRandomReward；itemReforge</t>
        </is>
      </c>
      <c r="N542" s="8" t="n">
        <v>1</v>
      </c>
      <c r="O542" s="9" t="inlineStr">
        <is>
          <t>周期触发</t>
        </is>
      </c>
      <c r="P542" s="9" t="inlineStr">
        <is>
          <t>periodicPulse</t>
        </is>
      </c>
      <c r="Q542" s="9" t="inlineStr">
        <is>
          <t>周期触发：将20层护甲转化为3层坚硬；将24层护甲转化为4层坚硬；将28层护甲转化为5层坚硬；将32层护甲转化为6层坚硬</t>
        </is>
      </c>
      <c r="R542" s="9" t="inlineStr"/>
      <c r="S542" s="9" t="inlineStr">
        <is>
          <t>灰白脊毛顺势缠成护腕，毛梢仍带着扑面疾风。</t>
        </is>
      </c>
      <c r="T542" s="8" t="inlineStr">
        <is>
          <t>implement_liegu_huilang_gray_fur_bracer_2x2</t>
        </is>
      </c>
      <c r="U542" s="8" t="inlineStr">
        <is>
          <t>allowed</t>
        </is>
      </c>
    </row>
    <row r="543" ht="34" customHeight="1">
      <c r="A543" s="8" t="n">
        <v>542</v>
      </c>
      <c r="B543" s="8" t="n">
        <v>410702</v>
      </c>
      <c r="C543" s="8" t="inlineStr">
        <is>
          <t>风蚀爪骨钩</t>
        </is>
      </c>
      <c r="D543" s="8" t="inlineStr">
        <is>
          <t>法器</t>
        </is>
      </c>
      <c r="E543" s="8" t="inlineStr">
        <is>
          <t>implement</t>
        </is>
      </c>
      <c r="F543" s="8" t="inlineStr">
        <is>
          <t>common</t>
        </is>
      </c>
      <c r="G543" s="8" t="inlineStr">
        <is>
          <t>风</t>
        </is>
      </c>
      <c r="H543" s="8" t="inlineStr">
        <is>
          <t>wind</t>
        </is>
      </c>
      <c r="I543" s="8" t="inlineStr">
        <is>
          <t>2×2</t>
        </is>
      </c>
      <c r="J543" s="8" t="n">
        <v>4</v>
      </c>
      <c r="K543" s="8" t="n">
        <v>28</v>
      </c>
      <c r="L543" s="8" t="inlineStr">
        <is>
          <t>是</t>
        </is>
      </c>
      <c r="M543" s="9" t="inlineStr">
        <is>
          <t>bazaar；dynamicRandomReward；itemReforge</t>
        </is>
      </c>
      <c r="N543" s="8" t="n">
        <v>1</v>
      </c>
      <c r="O543" s="9" t="inlineStr">
        <is>
          <t>周期触发</t>
        </is>
      </c>
      <c r="P543" s="9" t="inlineStr">
        <is>
          <t>periodicPulse</t>
        </is>
      </c>
      <c r="Q543" s="9" t="inlineStr">
        <is>
          <t>周期触发：每有1件相邻尸骸道具，消耗敌方最多 4 层风压，每层对其造成 5 点伤害；每有1件相邻尸骸道具，消耗敌方最多 4 层风压，每层对其造成 7 点伤害；每有1件相邻尸骸道具，消耗敌方最多 4 层风压，每层对其造成 9 点伤害；每有1件相邻尸骸道具，消耗敌方最多 4 层风压，每层对其造成 11 点伤害</t>
        </is>
      </c>
      <c r="R543" s="9" t="inlineStr"/>
      <c r="S543" s="9" t="inlineStr">
        <is>
          <t>爪骨关节被扣成弯钩，骨缝间留着暗绿风痕。</t>
        </is>
      </c>
      <c r="T543" s="8" t="inlineStr">
        <is>
          <t>implement_liegu_huilang_clawbone_hook_2x2</t>
        </is>
      </c>
      <c r="U543" s="8" t="inlineStr">
        <is>
          <t>allowed</t>
        </is>
      </c>
    </row>
    <row r="544" ht="34" customHeight="1">
      <c r="A544" s="8" t="n">
        <v>543</v>
      </c>
      <c r="B544" s="8" t="n">
        <v>410703</v>
      </c>
      <c r="C544" s="8" t="inlineStr">
        <is>
          <t>谷尘肩皮软甲</t>
        </is>
      </c>
      <c r="D544" s="8" t="inlineStr">
        <is>
          <t>法器</t>
        </is>
      </c>
      <c r="E544" s="8" t="inlineStr">
        <is>
          <t>implement</t>
        </is>
      </c>
      <c r="F544" s="8" t="inlineStr">
        <is>
          <t>common</t>
        </is>
      </c>
      <c r="G544" s="8" t="inlineStr">
        <is>
          <t>土</t>
        </is>
      </c>
      <c r="H544" s="8" t="inlineStr">
        <is>
          <t>earth</t>
        </is>
      </c>
      <c r="I544" s="8" t="inlineStr">
        <is>
          <t>2×2</t>
        </is>
      </c>
      <c r="J544" s="8" t="n">
        <v>4</v>
      </c>
      <c r="K544" s="8" t="n">
        <v>10</v>
      </c>
      <c r="L544" s="8" t="inlineStr">
        <is>
          <t>是</t>
        </is>
      </c>
      <c r="M544" s="9" t="inlineStr">
        <is>
          <t>bazaar；dynamicRandomReward；itemReforge</t>
        </is>
      </c>
      <c r="N544" s="8" t="n">
        <v>1</v>
      </c>
      <c r="O544" s="9" t="inlineStr">
        <is>
          <t>周期触发</t>
        </is>
      </c>
      <c r="P544" s="9" t="inlineStr">
        <is>
          <t>periodicPulse</t>
        </is>
      </c>
      <c r="Q544" s="9" t="inlineStr">
        <is>
          <t>周期触发：相邻每有1件防具，获得 1 层蓄势；相邻每有1件防具，获得 2 层蓄势；相邻每有1件防具，获得 3 层蓄势；相邻每有1件防具，获得 4 层蓄势</t>
        </is>
      </c>
      <c r="R544" s="9" t="inlineStr"/>
      <c r="S544" s="9" t="inlineStr">
        <is>
          <t>灰褐肩皮裁成软甲，尘砂斑在毛面上连成谷纹。</t>
        </is>
      </c>
      <c r="T544" s="8" t="inlineStr">
        <is>
          <t>implement_liegu_huilang_dusthide_soft_armor_2x2</t>
        </is>
      </c>
      <c r="U544" s="8" t="inlineStr">
        <is>
          <t>allowed</t>
        </is>
      </c>
    </row>
    <row r="545" ht="34" customHeight="1">
      <c r="A545" s="8" t="n">
        <v>544</v>
      </c>
      <c r="B545" s="8" t="n">
        <v>410750</v>
      </c>
      <c r="C545" s="8" t="inlineStr">
        <is>
          <t>裂牙破风锥</t>
        </is>
      </c>
      <c r="D545" s="8" t="inlineStr">
        <is>
          <t>法器</t>
        </is>
      </c>
      <c r="E545" s="8" t="inlineStr">
        <is>
          <t>implement</t>
        </is>
      </c>
      <c r="F545" s="8" t="inlineStr">
        <is>
          <t>common</t>
        </is>
      </c>
      <c r="G545" s="8" t="inlineStr">
        <is>
          <t>风</t>
        </is>
      </c>
      <c r="H545" s="8" t="inlineStr">
        <is>
          <t>wind</t>
        </is>
      </c>
      <c r="I545" s="8" t="inlineStr">
        <is>
          <t>2×2</t>
        </is>
      </c>
      <c r="J545" s="8" t="n">
        <v>4</v>
      </c>
      <c r="K545" s="8" t="n">
        <v>16</v>
      </c>
      <c r="L545" s="8" t="inlineStr">
        <is>
          <t>是</t>
        </is>
      </c>
      <c r="M545" s="9" t="inlineStr">
        <is>
          <t>bazaar；dynamicRandomReward；itemReforge</t>
        </is>
      </c>
      <c r="N545" s="8" t="n">
        <v>1</v>
      </c>
      <c r="O545" s="9" t="inlineStr">
        <is>
          <t>周期触发</t>
        </is>
      </c>
      <c r="P545" s="9" t="inlineStr">
        <is>
          <t>periodicPulse</t>
        </is>
      </c>
      <c r="Q545" s="9" t="inlineStr">
        <is>
          <t>周期触发：每有1件风属性道具，对敌方施加1层裂甲；每有1件风属性道具，对敌方施加2层裂甲；每有1件风属性道具，对敌方施加3层裂甲；每有1件风属性道具，对敌方施加4层裂甲</t>
        </is>
      </c>
      <c r="R545" s="9" t="inlineStr"/>
      <c r="S545" s="9" t="inlineStr">
        <is>
          <t>狼牙被束成短锥，尖端的风蚀裂纹锋利如刃。</t>
        </is>
      </c>
      <c r="T545" s="8" t="inlineStr">
        <is>
          <t>implement_liegu_huilang_ravine_fang_dart_2x2</t>
        </is>
      </c>
      <c r="U545" s="8" t="inlineStr">
        <is>
          <t>allowed</t>
        </is>
      </c>
    </row>
    <row r="546" ht="34" customHeight="1">
      <c r="A546" s="8" t="n">
        <v>545</v>
      </c>
      <c r="B546" s="8" t="n">
        <v>410751</v>
      </c>
      <c r="C546" s="8" t="inlineStr">
        <is>
          <t>风蚀骨针</t>
        </is>
      </c>
      <c r="D546" s="8" t="inlineStr">
        <is>
          <t>法器</t>
        </is>
      </c>
      <c r="E546" s="8" t="inlineStr">
        <is>
          <t>implement</t>
        </is>
      </c>
      <c r="F546" s="8" t="inlineStr">
        <is>
          <t>common</t>
        </is>
      </c>
      <c r="G546" s="8" t="inlineStr">
        <is>
          <t>poison</t>
        </is>
      </c>
      <c r="H546" s="8" t="inlineStr">
        <is>
          <t>poison</t>
        </is>
      </c>
      <c r="I546" s="8" t="inlineStr">
        <is>
          <t>2×2</t>
        </is>
      </c>
      <c r="J546" s="8" t="n">
        <v>4</v>
      </c>
      <c r="K546" s="8" t="n">
        <v>15</v>
      </c>
      <c r="L546" s="8" t="inlineStr">
        <is>
          <t>是</t>
        </is>
      </c>
      <c r="M546" s="9" t="inlineStr">
        <is>
          <t>bazaar；dynamicRandomReward；itemReforge</t>
        </is>
      </c>
      <c r="N546" s="8" t="n">
        <v>1</v>
      </c>
      <c r="O546" s="9" t="inlineStr">
        <is>
          <t>条件触发</t>
        </is>
      </c>
      <c r="P546" s="9" t="inlineStr">
        <is>
          <t>triggered</t>
        </is>
      </c>
      <c r="Q546" s="9" t="inlineStr">
        <is>
          <t>条件触发：相邻尸骸道具使用时，对敌方施加 1 层中毒；相邻尸骸道具使用时，对敌方施加 2 层中毒；相邻尸骸道具使用时，对敌方施加 3 层中毒；相邻尸骸道具使用时，对敌方施加 4 层中毒</t>
        </is>
      </c>
      <c r="R546" s="9" t="inlineStr"/>
      <c r="S546" s="9" t="inlineStr">
        <is>
          <t>四枚爪尖咬合成镖，旋起时骨孔发出低啸。</t>
        </is>
      </c>
      <c r="T546" s="8" t="inlineStr">
        <is>
          <t>implement_liegu_huilang_clawbone_shuriken_2x2</t>
        </is>
      </c>
      <c r="U546" s="8" t="inlineStr">
        <is>
          <t>allowed</t>
        </is>
      </c>
    </row>
    <row r="547" ht="34" customHeight="1">
      <c r="A547" s="8" t="n">
        <v>546</v>
      </c>
      <c r="B547" s="8" t="n">
        <v>410800</v>
      </c>
      <c r="C547" s="8" t="inlineStr">
        <is>
          <t>流尾引息拂</t>
        </is>
      </c>
      <c r="D547" s="8" t="inlineStr">
        <is>
          <t>法器</t>
        </is>
      </c>
      <c r="E547" s="8" t="inlineStr">
        <is>
          <t>implement</t>
        </is>
      </c>
      <c r="F547" s="8" t="inlineStr">
        <is>
          <t>common</t>
        </is>
      </c>
      <c r="G547" s="8" t="inlineStr">
        <is>
          <t>木</t>
        </is>
      </c>
      <c r="H547" s="8" t="inlineStr">
        <is>
          <t>wood</t>
        </is>
      </c>
      <c r="I547" s="8" t="inlineStr">
        <is>
          <t>1×4</t>
        </is>
      </c>
      <c r="J547" s="8" t="n">
        <v>4</v>
      </c>
      <c r="K547" s="8" t="n">
        <v>20</v>
      </c>
      <c r="L547" s="8" t="inlineStr">
        <is>
          <t>是</t>
        </is>
      </c>
      <c r="M547" s="9" t="inlineStr">
        <is>
          <t>bazaar；dynamicRandomReward；itemReforge</t>
        </is>
      </c>
      <c r="N547" s="8" t="n">
        <v>1</v>
      </c>
      <c r="O547" s="9" t="inlineStr">
        <is>
          <t>周期触发</t>
        </is>
      </c>
      <c r="P547" s="9" t="inlineStr">
        <is>
          <t>periodicPulse</t>
        </is>
      </c>
      <c r="Q547" s="9" t="inlineStr">
        <is>
          <t>周期触发：将1层再生转化为5点气血；气血恢复量</t>
        </is>
      </c>
      <c r="R547" s="9" t="inlineStr"/>
      <c r="S547" s="9" t="inlineStr">
        <is>
          <t>鹿尾长毫被束成引息拂，褐金流纹顺着拂丝蜿蜒不散。</t>
        </is>
      </c>
      <c r="T547" s="8" t="inlineStr">
        <is>
          <t>implement_liuguang_tail_breathing_whisk_1x4</t>
        </is>
      </c>
      <c r="U547" s="8" t="inlineStr">
        <is>
          <t>allowed</t>
        </is>
      </c>
    </row>
    <row r="548" ht="34" customHeight="1">
      <c r="A548" s="8" t="n">
        <v>547</v>
      </c>
      <c r="B548" s="8" t="n">
        <v>410801</v>
      </c>
      <c r="C548" s="8" t="inlineStr">
        <is>
          <t>萤纹护心甲</t>
        </is>
      </c>
      <c r="D548" s="8" t="inlineStr">
        <is>
          <t>法器</t>
        </is>
      </c>
      <c r="E548" s="8" t="inlineStr">
        <is>
          <t>implement</t>
        </is>
      </c>
      <c r="F548" s="8" t="inlineStr">
        <is>
          <t>common</t>
        </is>
      </c>
      <c r="G548" s="8" t="inlineStr">
        <is>
          <t>火</t>
        </is>
      </c>
      <c r="H548" s="8" t="inlineStr">
        <is>
          <t>fire</t>
        </is>
      </c>
      <c r="I548" s="8" t="inlineStr">
        <is>
          <t>2×2</t>
        </is>
      </c>
      <c r="J548" s="8" t="n">
        <v>4</v>
      </c>
      <c r="K548" s="8" t="n">
        <v>22</v>
      </c>
      <c r="L548" s="8" t="inlineStr">
        <is>
          <t>是</t>
        </is>
      </c>
      <c r="M548" s="9" t="inlineStr">
        <is>
          <t>bazaar；dynamicRandomReward；itemReforge</t>
        </is>
      </c>
      <c r="N548" s="8" t="n">
        <v>1</v>
      </c>
      <c r="O548" s="9" t="inlineStr">
        <is>
          <t>说明/执行器</t>
        </is>
      </c>
      <c r="P548" s="9" t="inlineStr">
        <is>
          <t>effectNote</t>
        </is>
      </c>
      <c r="Q548" s="9" t="inlineStr">
        <is>
          <t>说明/执行器：累计获得10层炎热时，获得1层护甲和1层闪避；累计获得9层炎热时，获得2层护甲和2层闪避；累计获得8层炎热时，获得3层护甲和3层闪避；累计获得7层炎热时，获得4层护甲和4层闪避</t>
        </is>
      </c>
      <c r="R548" s="9" t="inlineStr"/>
      <c r="S548" s="9" t="inlineStr">
        <is>
          <t>柔韧背皮被裁作方整护心甲，褐白斑纹间仍藏着细碎金点。</t>
        </is>
      </c>
      <c r="T548" s="8" t="inlineStr">
        <is>
          <t>implement_glow_hide_heartguard_2x2</t>
        </is>
      </c>
      <c r="U548" s="8" t="inlineStr">
        <is>
          <t>allowed</t>
        </is>
      </c>
    </row>
    <row r="549" ht="34" customHeight="1">
      <c r="A549" s="8" t="n">
        <v>548</v>
      </c>
      <c r="B549" s="8" t="n">
        <v>410803</v>
      </c>
      <c r="C549" s="8" t="inlineStr">
        <is>
          <t>月白观微镜</t>
        </is>
      </c>
      <c r="D549" s="8" t="inlineStr">
        <is>
          <t>法器</t>
        </is>
      </c>
      <c r="E549" s="8" t="inlineStr">
        <is>
          <t>implement</t>
        </is>
      </c>
      <c r="F549" s="8" t="inlineStr">
        <is>
          <t>common</t>
        </is>
      </c>
      <c r="G549" s="8" t="inlineStr">
        <is>
          <t>冰</t>
        </is>
      </c>
      <c r="H549" s="8" t="inlineStr">
        <is>
          <t>ice</t>
        </is>
      </c>
      <c r="I549" s="8" t="inlineStr">
        <is>
          <t>1×1</t>
        </is>
      </c>
      <c r="J549" s="8" t="n">
        <v>1</v>
      </c>
      <c r="K549" s="8" t="n">
        <v>30</v>
      </c>
      <c r="L549" s="8" t="inlineStr">
        <is>
          <t>是</t>
        </is>
      </c>
      <c r="M549" s="9" t="inlineStr">
        <is>
          <t>bazaar；dynamicRandomReward；itemReforge</t>
        </is>
      </c>
      <c r="N549" s="8" t="n">
        <v>1</v>
      </c>
      <c r="O549" s="9" t="inlineStr">
        <is>
          <t>周期触发</t>
        </is>
      </c>
      <c r="P549" s="9" t="inlineStr">
        <is>
          <t>periodicPulse</t>
        </is>
      </c>
      <c r="Q549" s="9" t="inlineStr">
        <is>
          <t>周期触发：拥有至少 20 层寒冷时，消耗 30 点法力，获得 30 层蓄势；拥有至少 18 层寒冷时，消耗 30 点法力，获得 30 层蓄势；拥有至少 16 层寒冷时，消耗 30 点法力，获得 30 层蓄势；拥有至少 14 层寒冷时，消耗 30 点法力，获得 30 层蓄势</t>
        </is>
      </c>
      <c r="R549" s="9" t="inlineStr"/>
      <c r="S549" s="9" t="inlineStr">
        <is>
          <t>月白覆眼膜蒙在青铜小镜上，金色泪纹像一弯静月。</t>
        </is>
      </c>
      <c r="T549" s="8" t="inlineStr">
        <is>
          <t>implement_moonlit_eye_insight_mirror_1x1</t>
        </is>
      </c>
      <c r="U549" s="8" t="inlineStr">
        <is>
          <t>allowed</t>
        </is>
      </c>
    </row>
    <row r="550" ht="34" customHeight="1">
      <c r="A550" s="8" t="n">
        <v>549</v>
      </c>
      <c r="B550" s="8" t="n">
        <v>410804</v>
      </c>
      <c r="C550" s="8" t="inlineStr">
        <is>
          <t>流腹调息鼓</t>
        </is>
      </c>
      <c r="D550" s="8" t="inlineStr">
        <is>
          <t>法器</t>
        </is>
      </c>
      <c r="E550" s="8" t="inlineStr">
        <is>
          <t>implement</t>
        </is>
      </c>
      <c r="F550" s="8" t="inlineStr">
        <is>
          <t>common</t>
        </is>
      </c>
      <c r="G550" s="8" t="inlineStr">
        <is>
          <t>木</t>
        </is>
      </c>
      <c r="H550" s="8" t="inlineStr">
        <is>
          <t>wood</t>
        </is>
      </c>
      <c r="I550" s="8" t="inlineStr">
        <is>
          <t>1×1</t>
        </is>
      </c>
      <c r="J550" s="8" t="n">
        <v>1</v>
      </c>
      <c r="K550" s="8" t="n">
        <v>15</v>
      </c>
      <c r="L550" s="8" t="inlineStr">
        <is>
          <t>是</t>
        </is>
      </c>
      <c r="M550" s="9" t="inlineStr">
        <is>
          <t>bazaar；dynamicRandomReward；itemReforge</t>
        </is>
      </c>
      <c r="N550" s="8" t="n">
        <v>1</v>
      </c>
      <c r="O550" s="9" t="inlineStr">
        <is>
          <t>说明/执行器</t>
        </is>
      </c>
      <c r="P550" s="9" t="inlineStr">
        <is>
          <t>effectNote</t>
        </is>
      </c>
      <c r="Q550" s="9" t="inlineStr">
        <is>
          <t>说明/执行器：累计受到30次攻击时，恢复30点气血，并对敌方施加30层禁疗；累计受到30次攻击时，恢复40点气血，并对敌方施加40层禁疗；累计受到30次攻击时，恢复50点气血，并对敌方施加50层禁疗；累计受到30次攻击时，恢复60点气血，并对敌方施加60层禁疗</t>
        </is>
      </c>
      <c r="R550" s="9" t="inlineStr"/>
      <c r="S550" s="9" t="inlineStr">
        <is>
          <t>流光腹膜绷成小鼓，褐金纹孔会随每次轻震依次收拢。</t>
        </is>
      </c>
      <c r="T550" s="8" t="inlineStr">
        <is>
          <t>implement_resonant_belly_breathing_drum_1x1</t>
        </is>
      </c>
      <c r="U550" s="8" t="inlineStr">
        <is>
          <t>allowed</t>
        </is>
      </c>
    </row>
    <row r="551" ht="34" customHeight="1">
      <c r="A551" s="8" t="n">
        <v>550</v>
      </c>
      <c r="B551" s="8" t="n">
        <v>410805</v>
      </c>
      <c r="C551" s="8" t="inlineStr">
        <is>
          <t>晶蹄定脉锥</t>
        </is>
      </c>
      <c r="D551" s="8" t="inlineStr">
        <is>
          <t>法器</t>
        </is>
      </c>
      <c r="E551" s="8" t="inlineStr">
        <is>
          <t>implement</t>
        </is>
      </c>
      <c r="F551" s="8" t="inlineStr">
        <is>
          <t>common</t>
        </is>
      </c>
      <c r="G551" s="8" t="inlineStr">
        <is>
          <t>雷</t>
        </is>
      </c>
      <c r="H551" s="8" t="inlineStr">
        <is>
          <t>thunder</t>
        </is>
      </c>
      <c r="I551" s="8" t="inlineStr">
        <is>
          <t>1×1</t>
        </is>
      </c>
      <c r="J551" s="8" t="n">
        <v>1</v>
      </c>
      <c r="K551" s="8" t="n">
        <v>20</v>
      </c>
      <c r="L551" s="8" t="inlineStr">
        <is>
          <t>是</t>
        </is>
      </c>
      <c r="M551" s="9" t="inlineStr">
        <is>
          <t>bazaar；dynamicRandomReward；itemReforge</t>
        </is>
      </c>
      <c r="N551" s="8" t="n">
        <v>1</v>
      </c>
      <c r="O551" s="9" t="inlineStr">
        <is>
          <t>周期触发</t>
        </is>
      </c>
      <c r="P551" s="9" t="inlineStr">
        <is>
          <t>periodicPulse</t>
        </is>
      </c>
      <c r="Q551" s="9" t="inlineStr">
        <is>
          <t>周期触发：消耗20点体力，对敌方施加10层麻痹和10层凝滞；消耗20点体力，对敌方施加12层麻痹和12层凝滞；消耗20点体力，对敌方施加14层麻痹和14层凝滞；消耗20点体力，对敌方施加16层麻痹和16层凝滞</t>
        </is>
      </c>
      <c r="R551" s="9" t="inlineStr"/>
      <c r="S551" s="9" t="inlineStr">
        <is>
          <t>晶蹄趾骨被磨作定脉短锥，灰晶棱面沿骨孔整齐嵌合。</t>
        </is>
      </c>
      <c r="T551" s="8" t="inlineStr">
        <is>
          <t>implement_crystal_hoof_meridian_awl_1x1</t>
        </is>
      </c>
      <c r="U551" s="8" t="inlineStr">
        <is>
          <t>allowed</t>
        </is>
      </c>
    </row>
    <row r="552" ht="34" customHeight="1">
      <c r="A552" s="8" t="n">
        <v>551</v>
      </c>
      <c r="B552" s="8" t="n">
        <v>410806</v>
      </c>
      <c r="C552" s="8" t="inlineStr">
        <is>
          <t>石露温养壶</t>
        </is>
      </c>
      <c r="D552" s="8" t="inlineStr">
        <is>
          <t>法器</t>
        </is>
      </c>
      <c r="E552" s="8" t="inlineStr">
        <is>
          <t>implement</t>
        </is>
      </c>
      <c r="F552" s="8" t="inlineStr">
        <is>
          <t>common</t>
        </is>
      </c>
      <c r="G552" s="8" t="inlineStr">
        <is>
          <t>木</t>
        </is>
      </c>
      <c r="H552" s="8" t="inlineStr">
        <is>
          <t>wood</t>
        </is>
      </c>
      <c r="I552" s="8" t="inlineStr">
        <is>
          <t>1×1</t>
        </is>
      </c>
      <c r="J552" s="8" t="n">
        <v>1</v>
      </c>
      <c r="K552" s="8" t="n">
        <v>40</v>
      </c>
      <c r="L552" s="8" t="inlineStr">
        <is>
          <t>是</t>
        </is>
      </c>
      <c r="M552" s="9" t="inlineStr">
        <is>
          <t>bazaar；dynamicRandomReward；itemReforge</t>
        </is>
      </c>
      <c r="N552" s="8" t="n">
        <v>1</v>
      </c>
      <c r="O552" s="9" t="inlineStr">
        <is>
          <t>周期触发</t>
        </is>
      </c>
      <c r="P552" s="9" t="inlineStr">
        <is>
          <t>periodicPulse</t>
        </is>
      </c>
      <c r="Q552" s="9" t="inlineStr">
        <is>
          <t>周期触发：拥有不少于50层露水时，获得 10 层再生；拥有不少于50层露水时，获得 15 层再生；拥有不少于50层露水时，获得 20 层再生；拥有不少于50层露水时，获得 25 层再生</t>
        </is>
      </c>
      <c r="R552" s="9" t="inlineStr"/>
      <c r="S552" s="9" t="inlineStr">
        <is>
          <t>石台露囊被嵌进小壶腹中，灰石裂纹托住数点琥珀青露。</t>
        </is>
      </c>
      <c r="T552" s="8" t="inlineStr">
        <is>
          <t>implement_stone_dew_nurturing_flask_1x1</t>
        </is>
      </c>
      <c r="U552" s="8" t="inlineStr">
        <is>
          <t>allowed</t>
        </is>
      </c>
    </row>
    <row r="553" ht="34" customHeight="1">
      <c r="A553" s="8" t="n">
        <v>552</v>
      </c>
      <c r="B553" s="8" t="n">
        <v>410850</v>
      </c>
      <c r="C553" s="8" t="inlineStr">
        <is>
          <t>萤皮叠纹盘</t>
        </is>
      </c>
      <c r="D553" s="8" t="inlineStr">
        <is>
          <t>法器</t>
        </is>
      </c>
      <c r="E553" s="8" t="inlineStr">
        <is>
          <t>implement</t>
        </is>
      </c>
      <c r="F553" s="8" t="inlineStr">
        <is>
          <t>common</t>
        </is>
      </c>
      <c r="G553" s="8" t="inlineStr">
        <is>
          <t>火</t>
        </is>
      </c>
      <c r="H553" s="8" t="inlineStr">
        <is>
          <t>fire</t>
        </is>
      </c>
      <c r="I553" s="8" t="inlineStr">
        <is>
          <t>2×2</t>
        </is>
      </c>
      <c r="J553" s="8" t="n">
        <v>4</v>
      </c>
      <c r="K553" s="8" t="n">
        <v>34</v>
      </c>
      <c r="L553" s="8" t="inlineStr">
        <is>
          <t>是</t>
        </is>
      </c>
      <c r="M553" s="9" t="inlineStr">
        <is>
          <t>bazaar；dynamicRandomReward；itemReforge</t>
        </is>
      </c>
      <c r="N553" s="8" t="n">
        <v>1</v>
      </c>
      <c r="O553" s="9" t="inlineStr">
        <is>
          <t>说明/执行器</t>
        </is>
      </c>
      <c r="P553" s="9" t="inlineStr">
        <is>
          <t>effectNote</t>
        </is>
      </c>
      <c r="Q553" s="9" t="inlineStr">
        <is>
          <t>说明/执行器：每当我方对敌方施加灼烧时，获得1层闪避和1层护甲；每当我方对敌方施加灼烧时，获得2层闪避和2层护甲；每当我方对敌方施加灼烧时，获得3层闪避和3层护甲；每当我方对敌方施加灼烧时，获得4层闪避和4层护甲</t>
        </is>
      </c>
      <c r="R553" s="9" t="inlineStr"/>
      <c r="S553" s="9" t="inlineStr">
        <is>
          <t>四角萤皮被绷入叠纹阵框，皮面斑纹在催动时彼此咬合。</t>
        </is>
      </c>
      <c r="T553" s="8" t="inlineStr">
        <is>
          <t>implement_glow_hide_layered_frame_2x2</t>
        </is>
      </c>
      <c r="U553" s="8" t="inlineStr">
        <is>
          <t>allowed</t>
        </is>
      </c>
    </row>
    <row r="554" ht="34" customHeight="1">
      <c r="A554" s="8" t="n">
        <v>553</v>
      </c>
      <c r="B554" s="8" t="n">
        <v>410851</v>
      </c>
      <c r="C554" s="8" t="inlineStr">
        <is>
          <t>腹纹共鸣枢</t>
        </is>
      </c>
      <c r="D554" s="8" t="inlineStr">
        <is>
          <t>法器</t>
        </is>
      </c>
      <c r="E554" s="8" t="inlineStr">
        <is>
          <t>implement</t>
        </is>
      </c>
      <c r="F554" s="8" t="inlineStr">
        <is>
          <t>common</t>
        </is>
      </c>
      <c r="G554" s="8" t="inlineStr">
        <is>
          <t>雷</t>
        </is>
      </c>
      <c r="H554" s="8" t="inlineStr">
        <is>
          <t>thunder</t>
        </is>
      </c>
      <c r="I554" s="8" t="inlineStr">
        <is>
          <t>1×1</t>
        </is>
      </c>
      <c r="J554" s="8" t="n">
        <v>1</v>
      </c>
      <c r="K554" s="8" t="n">
        <v>50</v>
      </c>
      <c r="L554" s="8" t="inlineStr">
        <is>
          <t>是</t>
        </is>
      </c>
      <c r="M554" s="9" t="inlineStr">
        <is>
          <t>bazaar；dynamicRandomReward；itemReforge</t>
        </is>
      </c>
      <c r="N554" s="8" t="n">
        <v>1</v>
      </c>
      <c r="O554" s="9" t="inlineStr">
        <is>
          <t>周期触发</t>
        </is>
      </c>
      <c r="P554" s="9" t="inlineStr">
        <is>
          <t>periodicPulse</t>
        </is>
      </c>
      <c r="Q554" s="9" t="inlineStr">
        <is>
          <t>周期触发：消耗20点体力、5层凝金及5层护甲，获得50层引雷；消耗20点体力、5层凝金及5层护甲，获得60层引雷；消耗20点体力、5层凝金及5层护甲，获得70层引雷；消耗20点体力、5层凝金及5层护甲，获得80层引雷</t>
        </is>
      </c>
      <c r="R554" s="9" t="inlineStr"/>
      <c r="S554" s="9" t="inlineStr">
        <is>
          <t>一片腹膜被嵌进共鸣阵框，流光纹孔环绕中央铜簧。</t>
        </is>
      </c>
      <c r="T554" s="8" t="inlineStr">
        <is>
          <t>implement_resonant_belly_resonance_array_1x1</t>
        </is>
      </c>
      <c r="U554" s="8" t="inlineStr">
        <is>
          <t>allowed</t>
        </is>
      </c>
    </row>
    <row r="555" ht="34" customHeight="1">
      <c r="A555" s="8" t="n">
        <v>554</v>
      </c>
      <c r="B555" s="8" t="n">
        <v>410853</v>
      </c>
      <c r="C555" s="8" t="inlineStr">
        <is>
          <t>流尾破风梭</t>
        </is>
      </c>
      <c r="D555" s="8" t="inlineStr">
        <is>
          <t>法器</t>
        </is>
      </c>
      <c r="E555" s="8" t="inlineStr">
        <is>
          <t>implement</t>
        </is>
      </c>
      <c r="F555" s="8" t="inlineStr">
        <is>
          <t>common</t>
        </is>
      </c>
      <c r="G555" s="8" t="inlineStr">
        <is>
          <t>风</t>
        </is>
      </c>
      <c r="H555" s="8" t="inlineStr">
        <is>
          <t>wind</t>
        </is>
      </c>
      <c r="I555" s="8" t="inlineStr">
        <is>
          <t>1×4</t>
        </is>
      </c>
      <c r="J555" s="8" t="n">
        <v>4</v>
      </c>
      <c r="K555" s="8" t="n">
        <v>32</v>
      </c>
      <c r="L555" s="8" t="inlineStr">
        <is>
          <t>是</t>
        </is>
      </c>
      <c r="M555" s="9" t="inlineStr">
        <is>
          <t>bazaar；dynamicRandomReward；itemReforge</t>
        </is>
      </c>
      <c r="N555" s="8" t="n">
        <v>1</v>
      </c>
      <c r="O555" s="9" t="inlineStr">
        <is>
          <t>周期触发</t>
        </is>
      </c>
      <c r="P555" s="9" t="inlineStr">
        <is>
          <t>periodicPulse</t>
        </is>
      </c>
      <c r="Q555" s="9" t="inlineStr">
        <is>
          <t>周期触发：消耗 10 点气血，对敌方造成 6 点伤害，如果敌方有风压或裂甲，每层使伤害+1；消耗 10 点气血，对敌方造成 9 点伤害，如果敌方有风压或裂甲，每层使伤害+1；消耗 10 点气血，对敌方造成 12 点伤害，如果敌方有风压或裂甲，每层使伤害+1；消耗 10 点气血，对敌方造成 15 点伤害，如果敌方有风压或裂甲，每层使伤害+1</t>
        </is>
      </c>
      <c r="R555" s="9" t="inlineStr"/>
      <c r="S555" s="9" t="inlineStr">
        <is>
          <t>鹿尾晶毫裹住一枚细长飞梭，催动时褐金尾丝会骤然绷直。</t>
        </is>
      </c>
      <c r="T555" s="8" t="inlineStr">
        <is>
          <t>implement_liuguang_tail_windbreaking_shuttle_1x4</t>
        </is>
      </c>
      <c r="U555" s="8" t="inlineStr">
        <is>
          <t>allowed</t>
        </is>
      </c>
    </row>
    <row r="556" ht="34" customHeight="1">
      <c r="A556" s="8" t="n">
        <v>555</v>
      </c>
      <c r="B556" s="8" t="n">
        <v>410854</v>
      </c>
      <c r="C556" s="8" t="inlineStr">
        <is>
          <t>净露卷舌钩</t>
        </is>
      </c>
      <c r="D556" s="8" t="inlineStr">
        <is>
          <t>法器</t>
        </is>
      </c>
      <c r="E556" s="8" t="inlineStr">
        <is>
          <t>implement</t>
        </is>
      </c>
      <c r="F556" s="8" t="inlineStr">
        <is>
          <t>common</t>
        </is>
      </c>
      <c r="G556" s="8" t="inlineStr">
        <is>
          <t>poison</t>
        </is>
      </c>
      <c r="H556" s="8" t="inlineStr">
        <is>
          <t>poison</t>
        </is>
      </c>
      <c r="I556" s="8" t="inlineStr">
        <is>
          <t>2×2</t>
        </is>
      </c>
      <c r="J556" s="8" t="n">
        <v>4</v>
      </c>
      <c r="K556" s="8" t="n">
        <v>20</v>
      </c>
      <c r="L556" s="8" t="inlineStr">
        <is>
          <t>是</t>
        </is>
      </c>
      <c r="M556" s="9" t="inlineStr">
        <is>
          <t>bazaar；dynamicRandomReward；itemReforge</t>
        </is>
      </c>
      <c r="N556" s="8" t="n">
        <v>1</v>
      </c>
      <c r="O556" s="9" t="inlineStr">
        <is>
          <t>周期触发</t>
        </is>
      </c>
      <c r="P556" s="9" t="inlineStr">
        <is>
          <t>periodicPulse</t>
        </is>
      </c>
      <c r="Q556" s="9" t="inlineStr">
        <is>
          <t>周期触发：若敌方中毒，对其造成 8 点伤害；若敌方中毒，对其造成 12 点伤害；若敌方中毒，对其造成 16 点伤害；若敌方中毒，对其造成 20 点伤害</t>
        </is>
      </c>
      <c r="R556" s="9" t="inlineStr"/>
      <c r="S556" s="9" t="inlineStr">
        <is>
          <t>长舌卷成带铜钩的湿润索团，甩出时露珠沿纹路疾走。</t>
        </is>
      </c>
      <c r="T556" s="8" t="inlineStr">
        <is>
          <t>implement_clear_dew_tongue_hook_2x2</t>
        </is>
      </c>
      <c r="U556" s="8" t="inlineStr">
        <is>
          <t>allowed</t>
        </is>
      </c>
    </row>
    <row r="557" ht="34" customHeight="1">
      <c r="A557" s="8" t="n">
        <v>556</v>
      </c>
      <c r="B557" s="8" t="n">
        <v>410855</v>
      </c>
      <c r="C557" s="8" t="inlineStr">
        <is>
          <t>月膜眩光珠</t>
        </is>
      </c>
      <c r="D557" s="8" t="inlineStr">
        <is>
          <t>法器</t>
        </is>
      </c>
      <c r="E557" s="8" t="inlineStr">
        <is>
          <t>implement</t>
        </is>
      </c>
      <c r="F557" s="8" t="inlineStr">
        <is>
          <t>common</t>
        </is>
      </c>
      <c r="G557" s="8" t="inlineStr">
        <is>
          <t>冰</t>
        </is>
      </c>
      <c r="H557" s="8" t="inlineStr">
        <is>
          <t>ice</t>
        </is>
      </c>
      <c r="I557" s="8" t="inlineStr">
        <is>
          <t>1×1</t>
        </is>
      </c>
      <c r="J557" s="8" t="n">
        <v>1</v>
      </c>
      <c r="K557" s="8" t="n">
        <v>15</v>
      </c>
      <c r="L557" s="8" t="inlineStr">
        <is>
          <t>是</t>
        </is>
      </c>
      <c r="M557" s="9" t="inlineStr">
        <is>
          <t>bazaar；dynamicRandomReward；itemReforge</t>
        </is>
      </c>
      <c r="N557" s="8" t="n">
        <v>1</v>
      </c>
      <c r="O557" s="9" t="inlineStr">
        <is>
          <t>周期触发</t>
        </is>
      </c>
      <c r="P557" s="9" t="inlineStr">
        <is>
          <t>periodicPulse</t>
        </is>
      </c>
      <c r="Q557" s="9" t="inlineStr">
        <is>
          <t>周期触发：获得5层寒冷，对敌方施加 3 层冰霜；获得5层寒冷，对敌方施加 6 层冰霜；获得5层寒冷，对敌方施加 9 层冰霜；获得5层寒冷，对敌方施加 12 层冰霜</t>
        </is>
      </c>
      <c r="R557" s="9" t="inlineStr"/>
      <c r="S557" s="9" t="inlineStr">
        <is>
          <t>覆眼膜被折入石壳闪珠，金色泪纹恰好露在启裂处。</t>
        </is>
      </c>
      <c r="T557" s="8" t="inlineStr">
        <is>
          <t>implement_moonlit_eye_flash_bead_1x1</t>
        </is>
      </c>
      <c r="U557" s="8" t="inlineStr">
        <is>
          <t>allowed</t>
        </is>
      </c>
    </row>
    <row r="558" ht="34" customHeight="1">
      <c r="A558" s="8" t="n">
        <v>557</v>
      </c>
      <c r="B558" s="8" t="n">
        <v>410856</v>
      </c>
      <c r="C558" s="8" t="inlineStr">
        <is>
          <t>晶蹄破甲钉</t>
        </is>
      </c>
      <c r="D558" s="8" t="inlineStr">
        <is>
          <t>法器</t>
        </is>
      </c>
      <c r="E558" s="8" t="inlineStr">
        <is>
          <t>implement</t>
        </is>
      </c>
      <c r="F558" s="8" t="inlineStr">
        <is>
          <t>common</t>
        </is>
      </c>
      <c r="G558" s="8" t="inlineStr">
        <is>
          <t>金</t>
        </is>
      </c>
      <c r="H558" s="8" t="inlineStr">
        <is>
          <t>metal</t>
        </is>
      </c>
      <c r="I558" s="8" t="inlineStr">
        <is>
          <t>1×1</t>
        </is>
      </c>
      <c r="J558" s="8" t="n">
        <v>1</v>
      </c>
      <c r="K558" s="8" t="n">
        <v>20</v>
      </c>
      <c r="L558" s="8" t="inlineStr">
        <is>
          <t>是</t>
        </is>
      </c>
      <c r="M558" s="9" t="inlineStr">
        <is>
          <t>bazaar；dynamicRandomReward；itemReforge</t>
        </is>
      </c>
      <c r="N558" s="8" t="n">
        <v>1</v>
      </c>
      <c r="O558" s="9" t="inlineStr">
        <is>
          <t>周期触发</t>
        </is>
      </c>
      <c r="P558" s="9" t="inlineStr">
        <is>
          <t>periodicPulse</t>
        </is>
      </c>
      <c r="Q558" s="9" t="inlineStr">
        <is>
          <t>周期触发：如果敌方裂甲层数超过10层，对敌方施加10层裂甲；如果敌方裂甲层数超过10层，对敌方施加12层裂甲；如果敌方裂甲层数超过10层，对敌方施加14层裂甲；如果敌方裂甲层数超过10层，对敌方施加16层裂甲</t>
        </is>
      </c>
      <c r="R558" s="9" t="inlineStr"/>
      <c r="S558" s="9" t="inlineStr">
        <is>
          <t>晶蹄趾骨削成带倒棱的短钉，灰晶尖端紧扣骨质钉身。</t>
        </is>
      </c>
      <c r="T558" s="8" t="inlineStr">
        <is>
          <t>implement_crystal_hoof_armor_spike_1x1</t>
        </is>
      </c>
      <c r="U558" s="8" t="inlineStr">
        <is>
          <t>allowed</t>
        </is>
      </c>
    </row>
    <row r="559" ht="34" customHeight="1">
      <c r="A559" s="8" t="n">
        <v>558</v>
      </c>
      <c r="B559" s="8" t="n">
        <v>410900</v>
      </c>
      <c r="C559" s="8" t="inlineStr">
        <is>
          <t>墨涧护心披</t>
        </is>
      </c>
      <c r="D559" s="8" t="inlineStr">
        <is>
          <t>法器</t>
        </is>
      </c>
      <c r="E559" s="8" t="inlineStr">
        <is>
          <t>implement</t>
        </is>
      </c>
      <c r="F559" s="8" t="inlineStr">
        <is>
          <t>common</t>
        </is>
      </c>
      <c r="G559" s="8" t="inlineStr">
        <is>
          <t>水</t>
        </is>
      </c>
      <c r="H559" s="8" t="inlineStr">
        <is>
          <t>water</t>
        </is>
      </c>
      <c r="I559" s="8" t="inlineStr">
        <is>
          <t>2×2</t>
        </is>
      </c>
      <c r="J559" s="8" t="n">
        <v>4</v>
      </c>
      <c r="K559" s="8" t="n">
        <v>3</v>
      </c>
      <c r="L559" s="8" t="inlineStr">
        <is>
          <t>是</t>
        </is>
      </c>
      <c r="M559" s="9" t="inlineStr">
        <is>
          <t>bazaar；dynamicRandomReward；itemReforge</t>
        </is>
      </c>
      <c r="N559" s="8" t="n">
        <v>1</v>
      </c>
      <c r="O559" s="9" t="inlineStr">
        <is>
          <t>周期触发</t>
        </is>
      </c>
      <c r="P559" s="9" t="inlineStr">
        <is>
          <t>periodicPulse</t>
        </is>
      </c>
      <c r="Q559" s="9" t="inlineStr">
        <is>
          <t>周期触发：每有 1 层露水，获得 1 层护甲</t>
        </is>
      </c>
      <c r="R559" s="9" t="inlineStr"/>
      <c r="S559" s="9" t="inlineStr">
        <is>
          <t>深青皮面裁成覆心短披，油亮细纹随水光收拢，触手仍带涧底微凉。</t>
        </is>
      </c>
      <c r="T559" s="8" t="inlineStr">
        <is>
          <t>implement_mojian_pelt_guard_cloak_2x2</t>
        </is>
      </c>
      <c r="U559" s="8" t="inlineStr">
        <is>
          <t>allowed</t>
        </is>
      </c>
    </row>
    <row r="560" ht="34" customHeight="1">
      <c r="A560" s="8" t="n">
        <v>559</v>
      </c>
      <c r="B560" s="8" t="n">
        <v>410901</v>
      </c>
      <c r="C560" s="8" t="inlineStr">
        <is>
          <t>汲法须杖</t>
        </is>
      </c>
      <c r="D560" s="8" t="inlineStr">
        <is>
          <t>法器</t>
        </is>
      </c>
      <c r="E560" s="8" t="inlineStr">
        <is>
          <t>implement</t>
        </is>
      </c>
      <c r="F560" s="8" t="inlineStr">
        <is>
          <t>common</t>
        </is>
      </c>
      <c r="G560" s="8" t="inlineStr">
        <is>
          <t>火</t>
        </is>
      </c>
      <c r="H560" s="8" t="inlineStr">
        <is>
          <t>fire</t>
        </is>
      </c>
      <c r="I560" s="8" t="inlineStr">
        <is>
          <t>1×2</t>
        </is>
      </c>
      <c r="J560" s="8" t="n">
        <v>2</v>
      </c>
      <c r="K560" s="8" t="n">
        <v>20</v>
      </c>
      <c r="L560" s="8" t="inlineStr">
        <is>
          <t>是</t>
        </is>
      </c>
      <c r="M560" s="9" t="inlineStr">
        <is>
          <t>bazaar；dynamicRandomReward；itemReforge</t>
        </is>
      </c>
      <c r="N560" s="8" t="n">
        <v>1</v>
      </c>
      <c r="O560" s="9" t="inlineStr">
        <is>
          <t>周期触发</t>
        </is>
      </c>
      <c r="P560" s="9" t="inlineStr">
        <is>
          <t>periodicPulse</t>
        </is>
      </c>
      <c r="Q560" s="9" t="inlineStr">
        <is>
          <t>周期触发：当法力为0时，将5层炎热转化为12点法力；当法力为0时，将5层炎热转化为14点法力；当法力为0时，将5层炎热转化为16点法力；当法力为0时，将5层炎热转化为18点法力</t>
        </is>
      </c>
      <c r="R560" s="9" t="inlineStr"/>
      <c r="S560" s="9" t="inlineStr">
        <is>
          <t>柔韧长须绞成细杖，须尖蓝光如潮汐般明灭，握住时隐约传来灵气牵引。</t>
        </is>
      </c>
      <c r="T560" s="8" t="inlineStr">
        <is>
          <t>implement_mana_whisker_staff_1x2</t>
        </is>
      </c>
      <c r="U560" s="8" t="inlineStr">
        <is>
          <t>allowed</t>
        </is>
      </c>
    </row>
    <row r="561" ht="34" customHeight="1">
      <c r="A561" s="8" t="n">
        <v>560</v>
      </c>
      <c r="B561" s="8" t="n">
        <v>410902</v>
      </c>
      <c r="C561" s="8" t="inlineStr">
        <is>
          <t>湿石爪环</t>
        </is>
      </c>
      <c r="D561" s="8" t="inlineStr">
        <is>
          <t>法器</t>
        </is>
      </c>
      <c r="E561" s="8" t="inlineStr">
        <is>
          <t>implement</t>
        </is>
      </c>
      <c r="F561" s="8" t="inlineStr">
        <is>
          <t>common</t>
        </is>
      </c>
      <c r="G561" s="8" t="inlineStr">
        <is>
          <t>poison</t>
        </is>
      </c>
      <c r="H561" s="8" t="inlineStr">
        <is>
          <t>poison</t>
        </is>
      </c>
      <c r="I561" s="8" t="inlineStr">
        <is>
          <t>1×1</t>
        </is>
      </c>
      <c r="J561" s="8" t="n">
        <v>1</v>
      </c>
      <c r="K561" s="8" t="n">
        <v>28</v>
      </c>
      <c r="L561" s="8" t="inlineStr">
        <is>
          <t>是</t>
        </is>
      </c>
      <c r="M561" s="9" t="inlineStr">
        <is>
          <t>bazaar；dynamicRandomReward；itemReforge</t>
        </is>
      </c>
      <c r="N561" s="8" t="n">
        <v>1</v>
      </c>
      <c r="O561" s="9" t="inlineStr">
        <is>
          <t>条件触发</t>
        </is>
      </c>
      <c r="P561" s="9" t="inlineStr">
        <is>
          <t>triggered</t>
        </is>
      </c>
      <c r="Q561" s="9" t="inlineStr">
        <is>
          <t>条件触发：敌方获得禁疗时，对其施加 1 层中毒；敌方获得禁疗时，对其施加 2 层中毒；敌方获得禁疗时，对其施加 3 层中毒；敌方获得禁疗时，对其施加 4 层中毒</t>
        </is>
      </c>
      <c r="R561" s="9" t="inlineStr"/>
      <c r="S561" s="9" t="inlineStr">
        <is>
          <t>黑水细爪首尾相扣成环，爪尖保留湿石磨出的浅白亮痕。</t>
        </is>
      </c>
      <c r="T561" s="8" t="inlineStr">
        <is>
          <t>implement_wet_stone_claw_guard_ring_1x1</t>
        </is>
      </c>
      <c r="U561" s="8" t="inlineStr">
        <is>
          <t>allowed</t>
        </is>
      </c>
    </row>
    <row r="562" ht="34" customHeight="1">
      <c r="A562" s="8" t="n">
        <v>561</v>
      </c>
      <c r="B562" s="8" t="n">
        <v>410903</v>
      </c>
      <c r="C562" s="8" t="inlineStr">
        <is>
          <t>回潮尾扇</t>
        </is>
      </c>
      <c r="D562" s="8" t="inlineStr">
        <is>
          <t>法器</t>
        </is>
      </c>
      <c r="E562" s="8" t="inlineStr">
        <is>
          <t>implement</t>
        </is>
      </c>
      <c r="F562" s="8" t="inlineStr">
        <is>
          <t>common</t>
        </is>
      </c>
      <c r="G562" s="8" t="inlineStr">
        <is>
          <t>风</t>
        </is>
      </c>
      <c r="H562" s="8" t="inlineStr">
        <is>
          <t>wind</t>
        </is>
      </c>
      <c r="I562" s="8" t="inlineStr">
        <is>
          <t>2×2</t>
        </is>
      </c>
      <c r="J562" s="8" t="n">
        <v>4</v>
      </c>
      <c r="K562" s="8" t="n">
        <v>18</v>
      </c>
      <c r="L562" s="8" t="inlineStr">
        <is>
          <t>是</t>
        </is>
      </c>
      <c r="M562" s="9" t="inlineStr">
        <is>
          <t>bazaar；dynamicRandomReward；itemReforge</t>
        </is>
      </c>
      <c r="N562" s="8" t="n">
        <v>1</v>
      </c>
      <c r="O562" s="9" t="inlineStr">
        <is>
          <t>说明/执行器</t>
        </is>
      </c>
      <c r="P562" s="9" t="inlineStr">
        <is>
          <t>effectNote</t>
        </is>
      </c>
      <c r="Q562" s="9" t="inlineStr">
        <is>
          <t>说明/执行器：相邻水属性法器使用时，获得1层露水，对敌方施加 1 层风压；相邻水属性法器使用时，获得2层露水，对敌方施加 2 层风压；相邻水属性法器使用时，获得3层露水，对敌方施加 3 层风压；相邻水属性法器使用时，获得4层露水，对敌方施加 4 层风压</t>
        </is>
      </c>
      <c r="R562" s="9" t="inlineStr"/>
      <c r="S562" s="9" t="inlineStr">
        <is>
          <t>厚实尾缘舒展成方阔短扇，暗色细鳞间始终凝着一层薄潮。</t>
        </is>
      </c>
      <c r="T562" s="8" t="inlineStr">
        <is>
          <t>implement_returning_tide_tail_fan_2x2</t>
        </is>
      </c>
      <c r="U562" s="8" t="inlineStr">
        <is>
          <t>allowed</t>
        </is>
      </c>
    </row>
    <row r="563" ht="34" customHeight="1">
      <c r="A563" s="8" t="n">
        <v>562</v>
      </c>
      <c r="B563" s="8" t="n">
        <v>410904</v>
      </c>
      <c r="C563" s="8" t="inlineStr">
        <is>
          <t>墨牙破水锥</t>
        </is>
      </c>
      <c r="D563" s="8" t="inlineStr">
        <is>
          <t>法器</t>
        </is>
      </c>
      <c r="E563" s="8" t="inlineStr">
        <is>
          <t>implement</t>
        </is>
      </c>
      <c r="F563" s="8" t="inlineStr">
        <is>
          <t>common</t>
        </is>
      </c>
      <c r="G563" s="8" t="inlineStr">
        <is>
          <t>冰</t>
        </is>
      </c>
      <c r="H563" s="8" t="inlineStr">
        <is>
          <t>ice</t>
        </is>
      </c>
      <c r="I563" s="8" t="inlineStr">
        <is>
          <t>1×3</t>
        </is>
      </c>
      <c r="J563" s="8" t="n">
        <v>3</v>
      </c>
      <c r="K563" s="8" t="n">
        <v>30</v>
      </c>
      <c r="L563" s="8" t="inlineStr">
        <is>
          <t>是</t>
        </is>
      </c>
      <c r="M563" s="9" t="inlineStr">
        <is>
          <t>bazaar；dynamicRandomReward；itemReforge</t>
        </is>
      </c>
      <c r="N563" s="8" t="n">
        <v>1</v>
      </c>
      <c r="O563" s="9" t="inlineStr">
        <is>
          <t>周期触发</t>
        </is>
      </c>
      <c r="P563" s="9" t="inlineStr">
        <is>
          <t>periodicPulse</t>
        </is>
      </c>
      <c r="Q563" s="9" t="inlineStr">
        <is>
          <t>周期触发：每有相邻1件土属性武器，对敌方施加1层冰霜；每有相邻1件土属性武器，对敌方施加2层冰霜；每有相邻1件土属性武器，对敌方施加3层冰霜；每有相邻1件土属性武器，对敌方施加4层冰霜</t>
        </is>
      </c>
      <c r="R563" s="9" t="inlineStr"/>
      <c r="S563" s="9" t="inlineStr">
        <is>
          <t>黑亮碎牙接成长柄尖锥，齿根的湿涧水光沿锥脊凝成细线。</t>
        </is>
      </c>
      <c r="T563" s="8" t="inlineStr">
        <is>
          <t>implement_ink_shard_fang_awl_1x3</t>
        </is>
      </c>
      <c r="U563" s="8" t="inlineStr">
        <is>
          <t>allowed</t>
        </is>
      </c>
    </row>
    <row r="564" ht="34" customHeight="1">
      <c r="A564" s="8" t="n">
        <v>563</v>
      </c>
      <c r="B564" s="8" t="n">
        <v>410905</v>
      </c>
      <c r="C564" s="8" t="inlineStr">
        <is>
          <t>回渊吸须拂</t>
        </is>
      </c>
      <c r="D564" s="8" t="inlineStr">
        <is>
          <t>法器</t>
        </is>
      </c>
      <c r="E564" s="8" t="inlineStr">
        <is>
          <t>implement</t>
        </is>
      </c>
      <c r="F564" s="8" t="inlineStr">
        <is>
          <t>common</t>
        </is>
      </c>
      <c r="G564" s="8" t="inlineStr">
        <is>
          <t>poison</t>
        </is>
      </c>
      <c r="H564" s="8" t="inlineStr">
        <is>
          <t>poison</t>
        </is>
      </c>
      <c r="I564" s="8" t="inlineStr">
        <is>
          <t>2×1</t>
        </is>
      </c>
      <c r="J564" s="8" t="n">
        <v>2</v>
      </c>
      <c r="K564" s="8" t="n">
        <v>33</v>
      </c>
      <c r="L564" s="8" t="inlineStr">
        <is>
          <t>是</t>
        </is>
      </c>
      <c r="M564" s="9" t="inlineStr">
        <is>
          <t>bazaar；dynamicRandomReward；itemReforge</t>
        </is>
      </c>
      <c r="N564" s="8" t="n">
        <v>1</v>
      </c>
      <c r="O564" s="9" t="inlineStr">
        <is>
          <t>周期触发</t>
        </is>
      </c>
      <c r="P564" s="9" t="inlineStr">
        <is>
          <t>periodicPulse</t>
        </is>
      </c>
      <c r="Q564" s="9" t="inlineStr">
        <is>
          <t>周期触发：最多消耗敌方 15 层中毒，每层对其造成 3 点伤害；最多消耗敌方 15 层中毒，每层对其造成 4 点伤害；最多消耗敌方 15 层中毒，每层对其造成 5 点伤害；最多消耗敌方 15 层中毒，每层对其造成 6 点伤害</t>
        </is>
      </c>
      <c r="R564" s="9" t="inlineStr"/>
      <c r="S564" s="9" t="inlineStr">
        <is>
          <t>一束墨尖长须横展成短拂，柔韧须丝间沉着幽蓝水光。</t>
        </is>
      </c>
      <c r="T564" s="8" t="inlineStr">
        <is>
          <t>implement_abyss_whisker_brush_2x1</t>
        </is>
      </c>
      <c r="U564" s="8" t="inlineStr">
        <is>
          <t>allowed</t>
        </is>
      </c>
    </row>
    <row r="565" ht="34" customHeight="1">
      <c r="A565" s="8" t="n">
        <v>564</v>
      </c>
      <c r="B565" s="8" t="n">
        <v>410951</v>
      </c>
      <c r="C565" s="8" t="inlineStr">
        <is>
          <t>须引回澜阵碑</t>
        </is>
      </c>
      <c r="D565" s="8" t="inlineStr">
        <is>
          <t>法器</t>
        </is>
      </c>
      <c r="E565" s="8" t="inlineStr">
        <is>
          <t>implement</t>
        </is>
      </c>
      <c r="F565" s="8" t="inlineStr">
        <is>
          <t>common</t>
        </is>
      </c>
      <c r="G565" s="8" t="inlineStr">
        <is>
          <t>水</t>
        </is>
      </c>
      <c r="H565" s="8" t="inlineStr">
        <is>
          <t>water</t>
        </is>
      </c>
      <c r="I565" s="8" t="inlineStr">
        <is>
          <t>1×2</t>
        </is>
      </c>
      <c r="J565" s="8" t="n">
        <v>2</v>
      </c>
      <c r="K565" s="8" t="n">
        <v>8</v>
      </c>
      <c r="L565" s="8" t="inlineStr">
        <is>
          <t>是</t>
        </is>
      </c>
      <c r="M565" s="9" t="inlineStr">
        <is>
          <t>bazaar；dynamicRandomReward；itemReforge</t>
        </is>
      </c>
      <c r="N565" s="8" t="n">
        <v>1</v>
      </c>
      <c r="O565" s="9" t="inlineStr">
        <is>
          <t>周期触发</t>
        </is>
      </c>
      <c r="P565" s="9" t="inlineStr">
        <is>
          <t>periodicPulse</t>
        </is>
      </c>
      <c r="Q565" s="9" t="inlineStr">
        <is>
          <t>周期触发：自身每有1层露水，获得 1 层护甲</t>
        </is>
      </c>
      <c r="R565" s="9" t="inlineStr"/>
      <c r="S565" s="9" t="inlineStr">
        <is>
          <t>竖长阵碑中心封着一束淡蓝长须，细密水线从碑脚逆流而上。</t>
        </is>
      </c>
      <c r="T565" s="8" t="inlineStr">
        <is>
          <t>implement_mana_whisker_tide_stele_1x2</t>
        </is>
      </c>
      <c r="U565" s="8" t="inlineStr">
        <is>
          <t>allowed</t>
        </is>
      </c>
    </row>
    <row r="566" ht="34" customHeight="1">
      <c r="A566" s="8" t="n">
        <v>565</v>
      </c>
      <c r="B566" s="8" t="n">
        <v>410953</v>
      </c>
      <c r="C566" s="8" t="inlineStr">
        <is>
          <t>裂涧爪钩</t>
        </is>
      </c>
      <c r="D566" s="8" t="inlineStr">
        <is>
          <t>法器</t>
        </is>
      </c>
      <c r="E566" s="8" t="inlineStr">
        <is>
          <t>implement</t>
        </is>
      </c>
      <c r="F566" s="8" t="inlineStr">
        <is>
          <t>common</t>
        </is>
      </c>
      <c r="G566" s="8" t="inlineStr">
        <is>
          <t>冰</t>
        </is>
      </c>
      <c r="H566" s="8" t="inlineStr">
        <is>
          <t>ice</t>
        </is>
      </c>
      <c r="I566" s="8" t="inlineStr">
        <is>
          <t>1×1</t>
        </is>
      </c>
      <c r="J566" s="8" t="n">
        <v>1</v>
      </c>
      <c r="K566" s="8" t="n">
        <v>30</v>
      </c>
      <c r="L566" s="8" t="inlineStr">
        <is>
          <t>是</t>
        </is>
      </c>
      <c r="M566" s="9" t="inlineStr">
        <is>
          <t>bazaar；dynamicRandomReward；itemReforge</t>
        </is>
      </c>
      <c r="N566" s="8" t="n">
        <v>1</v>
      </c>
      <c r="O566" s="9" t="inlineStr">
        <is>
          <t>周期触发</t>
        </is>
      </c>
      <c r="P566" s="9" t="inlineStr">
        <is>
          <t>periodicPulse</t>
        </is>
      </c>
      <c r="Q566" s="9" t="inlineStr">
        <is>
          <t>周期触发：敌方每有5层冰霜，对其施加 1 层凝滞；敌方每有5层冰霜，对其施加 2 层凝滞；敌方每有5层冰霜，对其施加 3 层凝滞；敌方每有5层冰霜，对其施加 4 层凝滞</t>
        </is>
      </c>
      <c r="R566" s="9" t="inlineStr"/>
      <c r="S566" s="9" t="inlineStr">
        <is>
          <t>三片短刃围住湿石爪尖，紧凑爪镖边缘浮着一道冷白水痕。</t>
        </is>
      </c>
      <c r="T566" s="8" t="inlineStr">
        <is>
          <t>implement_wet_stone_claw_rift_dart_1x1</t>
        </is>
      </c>
      <c r="U566" s="8" t="inlineStr">
        <is>
          <t>allowed</t>
        </is>
      </c>
    </row>
    <row r="567" ht="34" customHeight="1">
      <c r="A567" s="8" t="n">
        <v>566</v>
      </c>
      <c r="B567" s="8" t="n">
        <v>410954</v>
      </c>
      <c r="C567" s="8" t="inlineStr">
        <is>
          <t>墨牙贯流梭</t>
        </is>
      </c>
      <c r="D567" s="8" t="inlineStr">
        <is>
          <t>法器</t>
        </is>
      </c>
      <c r="E567" s="8" t="inlineStr">
        <is>
          <t>implement</t>
        </is>
      </c>
      <c r="F567" s="8" t="inlineStr">
        <is>
          <t>common</t>
        </is>
      </c>
      <c r="G567" s="8" t="inlineStr">
        <is>
          <t>风</t>
        </is>
      </c>
      <c r="H567" s="8" t="inlineStr">
        <is>
          <t>wind</t>
        </is>
      </c>
      <c r="I567" s="8" t="inlineStr">
        <is>
          <t>1×3</t>
        </is>
      </c>
      <c r="J567" s="8" t="n">
        <v>3</v>
      </c>
      <c r="K567" s="8" t="n">
        <v>25</v>
      </c>
      <c r="L567" s="8" t="inlineStr">
        <is>
          <t>是</t>
        </is>
      </c>
      <c r="M567" s="9" t="inlineStr">
        <is>
          <t>bazaar；dynamicRandomReward；itemReforge</t>
        </is>
      </c>
      <c r="N567" s="8" t="n">
        <v>1</v>
      </c>
      <c r="O567" s="9" t="inlineStr">
        <is>
          <t>周期触发</t>
        </is>
      </c>
      <c r="P567" s="9" t="inlineStr">
        <is>
          <t>periodicPulse</t>
        </is>
      </c>
      <c r="Q567" s="9" t="inlineStr">
        <is>
          <t>周期触发：位于风属性道具上方时，获得5层敏捷；位于风属性道具上方时，获得6层敏捷；位于风属性道具上方时，获得7层敏捷；位于风属性道具上方时，获得8层敏捷</t>
        </is>
      </c>
      <c r="R567" s="9" t="inlineStr"/>
      <c r="S567" s="9" t="inlineStr">
        <is>
          <t>细长水梭尾端卡着墨牙作破水鳍，通体黑蓝，锋线利落如涧中急流。</t>
        </is>
      </c>
      <c r="T567" s="8" t="inlineStr">
        <is>
          <t>implement_ink_shard_fang_shuttle_1x3</t>
        </is>
      </c>
      <c r="U567" s="8" t="inlineStr">
        <is>
          <t>allowed</t>
        </is>
      </c>
    </row>
    <row r="568" ht="34" customHeight="1">
      <c r="A568" s="8" t="n">
        <v>567</v>
      </c>
      <c r="B568" s="8" t="n">
        <v>410955</v>
      </c>
      <c r="C568" s="8" t="inlineStr">
        <is>
          <t>回渊缚灵索</t>
        </is>
      </c>
      <c r="D568" s="8" t="inlineStr">
        <is>
          <t>法器</t>
        </is>
      </c>
      <c r="E568" s="8" t="inlineStr">
        <is>
          <t>implement</t>
        </is>
      </c>
      <c r="F568" s="8" t="inlineStr">
        <is>
          <t>common</t>
        </is>
      </c>
      <c r="G568" s="8" t="inlineStr">
        <is>
          <t>poison</t>
        </is>
      </c>
      <c r="H568" s="8" t="inlineStr">
        <is>
          <t>poison</t>
        </is>
      </c>
      <c r="I568" s="8" t="inlineStr">
        <is>
          <t>2×1</t>
        </is>
      </c>
      <c r="J568" s="8" t="n">
        <v>2</v>
      </c>
      <c r="K568" s="8" t="n">
        <v>35</v>
      </c>
      <c r="L568" s="8" t="inlineStr">
        <is>
          <t>是</t>
        </is>
      </c>
      <c r="M568" s="9" t="inlineStr">
        <is>
          <t>bazaar；dynamicRandomReward；itemReforge</t>
        </is>
      </c>
      <c r="N568" s="8" t="n">
        <v>1</v>
      </c>
      <c r="O568" s="9" t="inlineStr">
        <is>
          <t>说明/执行器</t>
        </is>
      </c>
      <c r="P568" s="9" t="inlineStr">
        <is>
          <t>effectNote</t>
        </is>
      </c>
      <c r="Q568" s="9" t="inlineStr">
        <is>
          <t>说明/执行器：左右相邻武器使用时，对敌方施加 1 层禁疗和中毒；左右相邻武器使用时，对敌方施加 2 层禁疗和中毒；左右相邻武器使用时，对敌方施加 3 层禁疗和中毒；左右相邻武器使用时，对敌方施加 4 层禁疗和中毒</t>
        </is>
      </c>
      <c r="R568" s="9" t="inlineStr"/>
      <c r="S568" s="9" t="inlineStr">
        <is>
          <t>墨尖吸须编成横向短索，索扣边缘泛着幽蓝潮光，收束时如活物般轻颤。</t>
        </is>
      </c>
      <c r="T568" s="8" t="inlineStr">
        <is>
          <t>implement_abyss_whisker_binding_rope_2x1</t>
        </is>
      </c>
      <c r="U568" s="8" t="inlineStr">
        <is>
          <t>allowed</t>
        </is>
      </c>
    </row>
    <row r="569" ht="34" customHeight="1">
      <c r="A569" s="8" t="n">
        <v>568</v>
      </c>
      <c r="B569" s="8" t="n">
        <v>411000</v>
      </c>
      <c r="C569" s="8" t="inlineStr">
        <is>
          <t>银疣镇泉盏</t>
        </is>
      </c>
      <c r="D569" s="8" t="inlineStr">
        <is>
          <t>法器</t>
        </is>
      </c>
      <c r="E569" s="8" t="inlineStr">
        <is>
          <t>implement</t>
        </is>
      </c>
      <c r="F569" s="8" t="inlineStr">
        <is>
          <t>common</t>
        </is>
      </c>
      <c r="G569" s="8" t="inlineStr">
        <is>
          <t>水</t>
        </is>
      </c>
      <c r="H569" s="8" t="inlineStr">
        <is>
          <t>water</t>
        </is>
      </c>
      <c r="I569" s="8" t="inlineStr">
        <is>
          <t>2×2</t>
        </is>
      </c>
      <c r="J569" s="8" t="n">
        <v>4</v>
      </c>
      <c r="K569" s="8" t="n">
        <v>5</v>
      </c>
      <c r="L569" s="8" t="inlineStr">
        <is>
          <t>是</t>
        </is>
      </c>
      <c r="M569" s="9" t="inlineStr">
        <is>
          <t>bazaar；dynamicRandomReward；itemReforge</t>
        </is>
      </c>
      <c r="N569" s="8" t="n">
        <v>1</v>
      </c>
      <c r="O569" s="9" t="inlineStr">
        <is>
          <t>周期触发</t>
        </is>
      </c>
      <c r="P569" s="9" t="inlineStr">
        <is>
          <t>periodicPulse</t>
        </is>
      </c>
      <c r="Q569" s="9" t="inlineStr">
        <is>
          <t>周期触发：消耗3点体力，恢复 6 点气血；消耗3点体力，恢复 8 点气血；消耗3点体力，恢复 10 点气血；消耗3点体力，恢复 12 点气血</t>
        </is>
      </c>
      <c r="R569" s="9" t="inlineStr"/>
      <c r="S569" s="9" t="inlineStr">
        <is>
          <t>疣石整凿成厚壁浅盏，银灰凸珠沿盏腹错落起伏，盛水时只闻细密回响。</t>
        </is>
      </c>
      <c r="T569" s="8" t="inlineStr">
        <is>
          <t>implement_pubei_yinchan_silver_wart_basin_2x2</t>
        </is>
      </c>
      <c r="U569" s="8" t="inlineStr">
        <is>
          <t>allowed</t>
        </is>
      </c>
    </row>
    <row r="570" ht="34" customHeight="1">
      <c r="A570" s="8" t="n">
        <v>569</v>
      </c>
      <c r="B570" s="8" t="n">
        <v>411001</v>
      </c>
      <c r="C570" s="8" t="inlineStr">
        <is>
          <t>瀑皮承流护肩</t>
        </is>
      </c>
      <c r="D570" s="8" t="inlineStr">
        <is>
          <t>法器</t>
        </is>
      </c>
      <c r="E570" s="8" t="inlineStr">
        <is>
          <t>implement</t>
        </is>
      </c>
      <c r="F570" s="8" t="inlineStr">
        <is>
          <t>common</t>
        </is>
      </c>
      <c r="G570" s="8" t="inlineStr">
        <is>
          <t>土</t>
        </is>
      </c>
      <c r="H570" s="8" t="inlineStr">
        <is>
          <t>earth</t>
        </is>
      </c>
      <c r="I570" s="8" t="inlineStr">
        <is>
          <t>2×2</t>
        </is>
      </c>
      <c r="J570" s="8" t="n">
        <v>4</v>
      </c>
      <c r="K570" s="8" t="n">
        <v>25</v>
      </c>
      <c r="L570" s="8" t="inlineStr">
        <is>
          <t>是</t>
        </is>
      </c>
      <c r="M570" s="9" t="inlineStr">
        <is>
          <t>bazaar；dynamicRandomReward；itemReforge</t>
        </is>
      </c>
      <c r="N570" s="8" t="n">
        <v>1</v>
      </c>
      <c r="O570" s="9" t="inlineStr">
        <is>
          <t>条件触发</t>
        </is>
      </c>
      <c r="P570" s="9" t="inlineStr">
        <is>
          <t>triggered</t>
        </is>
      </c>
      <c r="Q570" s="9" t="inlineStr">
        <is>
          <t>条件触发：累计获得40层露水后，获得 10 层坚硬；累计获得40层露水后，获得 15 层坚硬；累计获得40层露水后，获得 20 层坚硬；累计获得40层露水后，获得 25 层坚硬</t>
        </is>
      </c>
      <c r="R570" s="9" t="inlineStr"/>
      <c r="S570" s="9" t="inlineStr">
        <is>
          <t>银灰背皮叠作宽阔护肩，瀑纹顺着柔韧皮褶垂落，疣珠仍伏在表面。</t>
        </is>
      </c>
      <c r="T570" s="8" t="inlineStr">
        <is>
          <t>implement_pubei_yinchan_waterfall_hide_mantle_2x2</t>
        </is>
      </c>
      <c r="U570" s="8" t="inlineStr">
        <is>
          <t>allowed</t>
        </is>
      </c>
    </row>
    <row r="571" ht="34" customHeight="1">
      <c r="A571" s="8" t="n">
        <v>570</v>
      </c>
      <c r="B571" s="8" t="n">
        <v>411002</v>
      </c>
      <c r="C571" s="8" t="inlineStr">
        <is>
          <t>苔蹼定流靴</t>
        </is>
      </c>
      <c r="D571" s="8" t="inlineStr">
        <is>
          <t>法器</t>
        </is>
      </c>
      <c r="E571" s="8" t="inlineStr">
        <is>
          <t>implement</t>
        </is>
      </c>
      <c r="F571" s="8" t="inlineStr">
        <is>
          <t>common</t>
        </is>
      </c>
      <c r="G571" s="8" t="inlineStr">
        <is>
          <t>木</t>
        </is>
      </c>
      <c r="H571" s="8" t="inlineStr">
        <is>
          <t>wood</t>
        </is>
      </c>
      <c r="I571" s="8" t="inlineStr">
        <is>
          <t>2×2</t>
        </is>
      </c>
      <c r="J571" s="8" t="n">
        <v>4</v>
      </c>
      <c r="K571" s="8" t="n">
        <v>28</v>
      </c>
      <c r="L571" s="8" t="inlineStr">
        <is>
          <t>是</t>
        </is>
      </c>
      <c r="M571" s="9" t="inlineStr">
        <is>
          <t>bazaar；dynamicRandomReward；itemReforge</t>
        </is>
      </c>
      <c r="N571" s="8" t="n">
        <v>1</v>
      </c>
      <c r="O571" s="9" t="inlineStr">
        <is>
          <t>周期触发</t>
        </is>
      </c>
      <c r="P571" s="9" t="inlineStr">
        <is>
          <t>periodicPulse</t>
        </is>
      </c>
      <c r="Q571" s="9" t="inlineStr">
        <is>
          <t>周期触发：消耗10层露水，获得 10 层敏捷；消耗12层露水，获得 12 层敏捷；消耗14层露水，获得 14 层敏捷；消耗16层露水，获得 16 层敏捷</t>
        </is>
      </c>
      <c r="R571" s="9" t="inlineStr"/>
      <c r="S571" s="9" t="inlineStr">
        <is>
          <t>湿苔蹼掌顺着掌骨裁成宽靴，灰绿蹼膜与橄榄苔斑仍保留着潮润质感。</t>
        </is>
      </c>
      <c r="T571" s="8" t="inlineStr">
        <is>
          <t>implement_pubei_yinchan_moss_webbed_boots_2x2</t>
        </is>
      </c>
      <c r="U571" s="8" t="inlineStr">
        <is>
          <t>allowed</t>
        </is>
      </c>
    </row>
    <row r="572" ht="34" customHeight="1">
      <c r="A572" s="8" t="n">
        <v>571</v>
      </c>
      <c r="B572" s="8" t="n">
        <v>411003</v>
      </c>
      <c r="C572" s="8" t="inlineStr">
        <is>
          <t>喉囊蓄泉壶</t>
        </is>
      </c>
      <c r="D572" s="8" t="inlineStr">
        <is>
          <t>法器</t>
        </is>
      </c>
      <c r="E572" s="8" t="inlineStr">
        <is>
          <t>implement</t>
        </is>
      </c>
      <c r="F572" s="8" t="inlineStr">
        <is>
          <t>common</t>
        </is>
      </c>
      <c r="G572" s="8" t="inlineStr">
        <is>
          <t>水</t>
        </is>
      </c>
      <c r="H572" s="8" t="inlineStr">
        <is>
          <t>water</t>
        </is>
      </c>
      <c r="I572" s="8" t="inlineStr">
        <is>
          <t>2×2</t>
        </is>
      </c>
      <c r="J572" s="8" t="n">
        <v>4</v>
      </c>
      <c r="K572" s="8" t="n">
        <v>25</v>
      </c>
      <c r="L572" s="8" t="inlineStr">
        <is>
          <t>是</t>
        </is>
      </c>
      <c r="M572" s="9" t="inlineStr">
        <is>
          <t>bazaar；dynamicRandomReward；itemReforge</t>
        </is>
      </c>
      <c r="N572" s="8" t="n">
        <v>1</v>
      </c>
      <c r="O572" s="9" t="inlineStr">
        <is>
          <t>条件触发</t>
        </is>
      </c>
      <c r="P572" s="9" t="inlineStr">
        <is>
          <t>triggered</t>
        </is>
      </c>
      <c r="Q572" s="9" t="inlineStr">
        <is>
          <t>条件触发：累计获得50层露水后，获得10 层再生；累计获得50层露水后，获得12 层再生；累计获得50层露水后，获得14 层再生；累计获得50层露水后，获得16 层再生</t>
        </is>
      </c>
      <c r="R572" s="9" t="inlineStr"/>
      <c r="S572" s="9" t="inlineStr">
        <is>
          <t>冷泉喉囊自然鼓成梨形软壶，银灰纵褶围住厚实囊腹，壶口仍留层叠环纹。</t>
        </is>
      </c>
      <c r="T572" s="8" t="inlineStr">
        <is>
          <t>implement_pubei_yinchan_throat_sac_kettle_2x2</t>
        </is>
      </c>
      <c r="U572" s="8" t="inlineStr">
        <is>
          <t>allowed</t>
        </is>
      </c>
    </row>
    <row r="573" ht="34" customHeight="1">
      <c r="A573" s="8" t="n">
        <v>572</v>
      </c>
      <c r="B573" s="8" t="n">
        <v>411050</v>
      </c>
      <c r="C573" s="8" t="inlineStr">
        <is>
          <t>疣辉叠涟法盘</t>
        </is>
      </c>
      <c r="D573" s="8" t="inlineStr">
        <is>
          <t>法器</t>
        </is>
      </c>
      <c r="E573" s="8" t="inlineStr">
        <is>
          <t>implement</t>
        </is>
      </c>
      <c r="F573" s="8" t="inlineStr">
        <is>
          <t>common</t>
        </is>
      </c>
      <c r="G573" s="8" t="inlineStr">
        <is>
          <t>雷</t>
        </is>
      </c>
      <c r="H573" s="8" t="inlineStr">
        <is>
          <t>thunder</t>
        </is>
      </c>
      <c r="I573" s="8" t="inlineStr">
        <is>
          <t>2×2</t>
        </is>
      </c>
      <c r="J573" s="8" t="n">
        <v>4</v>
      </c>
      <c r="K573" s="8" t="n">
        <v>18</v>
      </c>
      <c r="L573" s="8" t="inlineStr">
        <is>
          <t>是</t>
        </is>
      </c>
      <c r="M573" s="9" t="inlineStr">
        <is>
          <t>bazaar；dynamicRandomReward；itemReforge</t>
        </is>
      </c>
      <c r="N573" s="8" t="n">
        <v>1</v>
      </c>
      <c r="O573" s="9" t="inlineStr">
        <is>
          <t>周期触发</t>
        </is>
      </c>
      <c r="P573" s="9" t="inlineStr">
        <is>
          <t>periodicPulse</t>
        </is>
      </c>
      <c r="Q573" s="9" t="inlineStr">
        <is>
          <t>周期触发：每相邻 1 件水属性道具时，获得 2 层引雷；每相邻 1 件水属性道具时，获得 4 层引雷；每相邻 1 件水属性道具时，获得 6 层引雷；每相邻 1 件水属性道具时，获得 8 层引雷</t>
        </is>
      </c>
      <c r="R573" s="9" t="inlineStr"/>
      <c r="S573" s="9" t="inlineStr">
        <is>
          <t>三枚银疣石嵌在青铜盘心，层层水纹围着粗粝石面向外推展。</t>
        </is>
      </c>
      <c r="T573" s="8" t="inlineStr">
        <is>
          <t>implement_pubei_yinchan_wart_ripple_array_disk_2x2</t>
        </is>
      </c>
      <c r="U573" s="8" t="inlineStr">
        <is>
          <t>allowed</t>
        </is>
      </c>
    </row>
    <row r="574" ht="34" customHeight="1">
      <c r="A574" s="8" t="n">
        <v>573</v>
      </c>
      <c r="B574" s="8" t="n">
        <v>411051</v>
      </c>
      <c r="C574" s="8" t="inlineStr">
        <is>
          <t>瀑纹回潮阵屏</t>
        </is>
      </c>
      <c r="D574" s="8" t="inlineStr">
        <is>
          <t>法器</t>
        </is>
      </c>
      <c r="E574" s="8" t="inlineStr">
        <is>
          <t>implement</t>
        </is>
      </c>
      <c r="F574" s="8" t="inlineStr">
        <is>
          <t>common</t>
        </is>
      </c>
      <c r="G574" s="8" t="inlineStr">
        <is>
          <t>冰</t>
        </is>
      </c>
      <c r="H574" s="8" t="inlineStr">
        <is>
          <t>ice</t>
        </is>
      </c>
      <c r="I574" s="8" t="inlineStr">
        <is>
          <t>2×2</t>
        </is>
      </c>
      <c r="J574" s="8" t="n">
        <v>4</v>
      </c>
      <c r="K574" s="8" t="n">
        <v>35</v>
      </c>
      <c r="L574" s="8" t="inlineStr">
        <is>
          <t>是</t>
        </is>
      </c>
      <c r="M574" s="9" t="inlineStr">
        <is>
          <t>bazaar；dynamicRandomReward；itemReforge</t>
        </is>
      </c>
      <c r="N574" s="8" t="n">
        <v>1</v>
      </c>
      <c r="O574" s="9" t="inlineStr">
        <is>
          <t>周期触发</t>
        </is>
      </c>
      <c r="P574" s="9" t="inlineStr">
        <is>
          <t>periodicPulse</t>
        </is>
      </c>
      <c r="Q574" s="9" t="inlineStr">
        <is>
          <t>周期触发：敌方每有1层冰霜，获得 1 层再生</t>
        </is>
      </c>
      <c r="R574" s="9" t="inlineStr"/>
      <c r="S574" s="9" t="inlineStr">
        <is>
          <t>方形阵屏中央嵌着一块瀑水背皮，银白水纹在铜框之间反复折回。</t>
        </is>
      </c>
      <c r="T574" s="8" t="inlineStr">
        <is>
          <t>implement_pubei_yinchan_hide_tide_screen_2x2</t>
        </is>
      </c>
      <c r="U574" s="8" t="inlineStr">
        <is>
          <t>allowed</t>
        </is>
      </c>
    </row>
    <row r="575" ht="34" customHeight="1">
      <c r="A575" s="8" t="n">
        <v>574</v>
      </c>
      <c r="B575" s="8" t="n">
        <v>411052</v>
      </c>
      <c r="C575" s="8" t="inlineStr">
        <is>
          <t>蹼心引潮法盘</t>
        </is>
      </c>
      <c r="D575" s="8" t="inlineStr">
        <is>
          <t>法器</t>
        </is>
      </c>
      <c r="E575" s="8" t="inlineStr">
        <is>
          <t>implement</t>
        </is>
      </c>
      <c r="F575" s="8" t="inlineStr">
        <is>
          <t>common</t>
        </is>
      </c>
      <c r="G575" s="8" t="inlineStr">
        <is>
          <t>木</t>
        </is>
      </c>
      <c r="H575" s="8" t="inlineStr">
        <is>
          <t>wood</t>
        </is>
      </c>
      <c r="I575" s="8" t="inlineStr">
        <is>
          <t>2×2</t>
        </is>
      </c>
      <c r="J575" s="8" t="n">
        <v>4</v>
      </c>
      <c r="K575" s="8" t="n">
        <v>40</v>
      </c>
      <c r="L575" s="8" t="inlineStr">
        <is>
          <t>是</t>
        </is>
      </c>
      <c r="M575" s="9" t="inlineStr">
        <is>
          <t>bazaar；dynamicRandomReward；itemReforge</t>
        </is>
      </c>
      <c r="N575" s="8" t="n">
        <v>1</v>
      </c>
      <c r="O575" s="9" t="inlineStr">
        <is>
          <t>条件触发</t>
        </is>
      </c>
      <c r="P575" s="9" t="inlineStr">
        <is>
          <t>triggered</t>
        </is>
      </c>
      <c r="Q575" s="9" t="inlineStr">
        <is>
          <t>条件触发：累计获得50层露水后，使所有木属性道具加速1秒</t>
        </is>
      </c>
      <c r="R575" s="9" t="inlineStr"/>
      <c r="S575" s="9" t="inlineStr">
        <is>
          <t>五趾蹼纹嵌入圆盘中央，灰绿筋膜化作分流阵线，苔斑点住五方阵眼。</t>
        </is>
      </c>
      <c r="T575" s="8" t="inlineStr">
        <is>
          <t>implement_pubei_yinchan_webbed_tide_array_disk_2x2</t>
        </is>
      </c>
      <c r="U575" s="8" t="inlineStr">
        <is>
          <t>allowed</t>
        </is>
      </c>
    </row>
    <row r="576" ht="34" customHeight="1">
      <c r="A576" s="8" t="n">
        <v>575</v>
      </c>
      <c r="B576" s="8" t="n">
        <v>411053</v>
      </c>
      <c r="C576" s="8" t="inlineStr">
        <is>
          <t>囊鸣回潮法盘</t>
        </is>
      </c>
      <c r="D576" s="8" t="inlineStr">
        <is>
          <t>法器</t>
        </is>
      </c>
      <c r="E576" s="8" t="inlineStr">
        <is>
          <t>implement</t>
        </is>
      </c>
      <c r="F576" s="8" t="inlineStr">
        <is>
          <t>common</t>
        </is>
      </c>
      <c r="G576" s="8" t="inlineStr">
        <is>
          <t>poison</t>
        </is>
      </c>
      <c r="H576" s="8" t="inlineStr">
        <is>
          <t>poison</t>
        </is>
      </c>
      <c r="I576" s="8" t="inlineStr">
        <is>
          <t>2×2</t>
        </is>
      </c>
      <c r="J576" s="8" t="n">
        <v>4</v>
      </c>
      <c r="K576" s="8" t="n">
        <v>30</v>
      </c>
      <c r="L576" s="8" t="inlineStr">
        <is>
          <t>是</t>
        </is>
      </c>
      <c r="M576" s="9" t="inlineStr">
        <is>
          <t>bazaar；dynamicRandomReward；itemReforge</t>
        </is>
      </c>
      <c r="N576" s="8" t="n">
        <v>1</v>
      </c>
      <c r="O576" s="9" t="inlineStr">
        <is>
          <t>条件触发</t>
        </is>
      </c>
      <c r="P576" s="9" t="inlineStr">
        <is>
          <t>triggered</t>
        </is>
      </c>
      <c r="Q576" s="9" t="inlineStr">
        <is>
          <t>条件触发：敌方消耗中毒时，对其施加 1 层禁疗；敌方消耗中毒时，对其施加 2 层禁疗；敌方消耗中毒时，对其施加 3 层禁疗；敌方消耗中毒时，对其施加 4 层禁疗</t>
        </is>
      </c>
      <c r="R576" s="9" t="inlineStr"/>
      <c r="S576" s="9" t="inlineStr">
        <is>
          <t>一枚缩炼喉囊嵌在厚重阵盘中央，银灰囊褶与环形水槽彼此咬合。</t>
        </is>
      </c>
      <c r="T576" s="8" t="inlineStr">
        <is>
          <t>implement_pubei_yinchan_sac_resonance_array_disk_2x2</t>
        </is>
      </c>
      <c r="U576" s="8" t="inlineStr">
        <is>
          <t>allowed</t>
        </is>
      </c>
    </row>
    <row r="577" ht="34" customHeight="1">
      <c r="A577" s="8" t="n">
        <v>576</v>
      </c>
      <c r="B577" s="8" t="n">
        <v>411100</v>
      </c>
      <c r="C577" s="8" t="inlineStr">
        <is>
          <t>青枝镇骨匣</t>
        </is>
      </c>
      <c r="D577" s="8" t="inlineStr">
        <is>
          <t>法器</t>
        </is>
      </c>
      <c r="E577" s="8" t="inlineStr">
        <is>
          <t>implement</t>
        </is>
      </c>
      <c r="F577" s="8" t="inlineStr">
        <is>
          <t>common</t>
        </is>
      </c>
      <c r="G577" s="8" t="inlineStr">
        <is>
          <t>木</t>
        </is>
      </c>
      <c r="H577" s="8" t="inlineStr">
        <is>
          <t>wood</t>
        </is>
      </c>
      <c r="I577" s="8" t="inlineStr">
        <is>
          <t>2×2</t>
        </is>
      </c>
      <c r="J577" s="8" t="n">
        <v>4</v>
      </c>
      <c r="K577" s="8" t="n">
        <v>50</v>
      </c>
      <c r="L577" s="8" t="inlineStr">
        <is>
          <t>是</t>
        </is>
      </c>
      <c r="M577" s="9" t="inlineStr">
        <is>
          <t>bazaar；dynamicRandomReward；itemReforge</t>
        </is>
      </c>
      <c r="N577" s="8" t="n">
        <v>1</v>
      </c>
      <c r="O577" s="9" t="inlineStr">
        <is>
          <t>周期触发</t>
        </is>
      </c>
      <c r="P577" s="9" t="inlineStr">
        <is>
          <t>periodicPulse</t>
        </is>
      </c>
      <c r="Q577" s="9" t="inlineStr">
        <is>
          <t>周期触发：将 30 层再生转化为 10 点法力，每击杀一只妖兽后效果升级。；法力获得量</t>
        </is>
      </c>
      <c r="R577" s="9" t="inlineStr"/>
      <c r="S577" s="9" t="inlineStr">
        <is>
          <t>枝纹骨匣扣合严密，匣角仍留着林间青意。</t>
        </is>
      </c>
      <c r="T577" s="8" t="inlineStr">
        <is>
          <t>implement_qingzhi_bone_reliquary_2x2</t>
        </is>
      </c>
      <c r="U577" s="8" t="inlineStr">
        <is>
          <t>allowed</t>
        </is>
      </c>
    </row>
    <row r="578" ht="34" customHeight="1">
      <c r="A578" s="8" t="n">
        <v>577</v>
      </c>
      <c r="B578" s="8" t="n">
        <v>411101</v>
      </c>
      <c r="C578" s="8" t="inlineStr">
        <is>
          <t>藤尾束灵环</t>
        </is>
      </c>
      <c r="D578" s="8" t="inlineStr">
        <is>
          <t>法器</t>
        </is>
      </c>
      <c r="E578" s="8" t="inlineStr">
        <is>
          <t>implement</t>
        </is>
      </c>
      <c r="F578" s="8" t="inlineStr">
        <is>
          <t>common</t>
        </is>
      </c>
      <c r="G578" s="8" t="inlineStr">
        <is>
          <t>木</t>
        </is>
      </c>
      <c r="H578" s="8" t="inlineStr">
        <is>
          <t>wood</t>
        </is>
      </c>
      <c r="I578" s="8" t="inlineStr">
        <is>
          <t>1×2</t>
        </is>
      </c>
      <c r="J578" s="8" t="n">
        <v>2</v>
      </c>
      <c r="K578" s="8" t="n">
        <v>30</v>
      </c>
      <c r="L578" s="8" t="inlineStr">
        <is>
          <t>是</t>
        </is>
      </c>
      <c r="M578" s="9" t="inlineStr">
        <is>
          <t>bazaar；dynamicRandomReward；itemReforge</t>
        </is>
      </c>
      <c r="N578" s="8" t="n">
        <v>1</v>
      </c>
      <c r="O578" s="9" t="inlineStr">
        <is>
          <t>周期触发</t>
        </is>
      </c>
      <c r="P578" s="9" t="inlineStr">
        <is>
          <t>periodicPulse</t>
        </is>
      </c>
      <c r="Q578" s="9" t="inlineStr">
        <is>
          <t>周期触发：相邻有木属性法器时，获得8层闪避；相邻有木属性法器时，获得10层闪避；相邻有木属性法器时，获得12层闪避；相邻有木属性法器时，获得14层闪避</t>
        </is>
      </c>
      <c r="R578" s="9" t="inlineStr"/>
      <c r="S578" s="9" t="inlineStr">
        <is>
          <t>青灰尾环柔中带韧，扣间藤纹如新生枝芽。</t>
        </is>
      </c>
      <c r="T578" s="8" t="inlineStr">
        <is>
          <t>implement_qingzhi_vine_tail_ring_1x2</t>
        </is>
      </c>
      <c r="U578" s="8" t="inlineStr">
        <is>
          <t>allowed</t>
        </is>
      </c>
    </row>
    <row r="579" ht="34" customHeight="1">
      <c r="A579" s="8" t="n">
        <v>578</v>
      </c>
      <c r="B579" s="8" t="n">
        <v>411102</v>
      </c>
      <c r="C579" s="8" t="inlineStr">
        <is>
          <t>嫩叶养息盂</t>
        </is>
      </c>
      <c r="D579" s="8" t="inlineStr">
        <is>
          <t>法器</t>
        </is>
      </c>
      <c r="E579" s="8" t="inlineStr">
        <is>
          <t>implement</t>
        </is>
      </c>
      <c r="F579" s="8" t="inlineStr">
        <is>
          <t>common</t>
        </is>
      </c>
      <c r="G579" s="8" t="inlineStr">
        <is>
          <t>木</t>
        </is>
      </c>
      <c r="H579" s="8" t="inlineStr">
        <is>
          <t>wood</t>
        </is>
      </c>
      <c r="I579" s="8" t="inlineStr">
        <is>
          <t>2×2</t>
        </is>
      </c>
      <c r="J579" s="8" t="n">
        <v>4</v>
      </c>
      <c r="K579" s="8" t="n">
        <v>50</v>
      </c>
      <c r="L579" s="8" t="inlineStr">
        <is>
          <t>是</t>
        </is>
      </c>
      <c r="M579" s="9" t="inlineStr">
        <is>
          <t>bazaar；dynamicRandomReward；itemReforge</t>
        </is>
      </c>
      <c r="N579" s="8" t="n">
        <v>1</v>
      </c>
      <c r="O579" s="9" t="inlineStr">
        <is>
          <t>周期触发</t>
        </is>
      </c>
      <c r="P579" s="9" t="inlineStr">
        <is>
          <t>periodicPulse</t>
        </is>
      </c>
      <c r="Q579" s="9" t="inlineStr">
        <is>
          <t>周期触发：获得 1 层再生，每击杀一只妖兽后效果升级。；再生获得量</t>
        </is>
      </c>
      <c r="R579" s="9" t="inlineStr"/>
      <c r="S579" s="9" t="inlineStr">
        <is>
          <t>层叠叶壁围成深盂，盂中常凝一缕草木清气。</t>
        </is>
      </c>
      <c r="T579" s="8" t="inlineStr">
        <is>
          <t>implement_qingzhi_leaf_sac_bowl_2x2</t>
        </is>
      </c>
      <c r="U579" s="8" t="inlineStr">
        <is>
          <t>allowed</t>
        </is>
      </c>
    </row>
    <row r="580" ht="34" customHeight="1">
      <c r="A580" s="8" t="n">
        <v>579</v>
      </c>
      <c r="B580" s="8" t="n">
        <v>411103</v>
      </c>
      <c r="C580" s="8" t="inlineStr">
        <is>
          <t>灵猕掌印盾</t>
        </is>
      </c>
      <c r="D580" s="8" t="inlineStr">
        <is>
          <t>法器</t>
        </is>
      </c>
      <c r="E580" s="8" t="inlineStr">
        <is>
          <t>implement</t>
        </is>
      </c>
      <c r="F580" s="8" t="inlineStr">
        <is>
          <t>common</t>
        </is>
      </c>
      <c r="G580" s="8" t="inlineStr">
        <is>
          <t>木</t>
        </is>
      </c>
      <c r="H580" s="8" t="inlineStr">
        <is>
          <t>wood</t>
        </is>
      </c>
      <c r="I580" s="8" t="inlineStr">
        <is>
          <t>1×2</t>
        </is>
      </c>
      <c r="J580" s="8" t="n">
        <v>2</v>
      </c>
      <c r="K580" s="8" t="n">
        <v>25</v>
      </c>
      <c r="L580" s="8" t="inlineStr">
        <is>
          <t>是</t>
        </is>
      </c>
      <c r="M580" s="9" t="inlineStr">
        <is>
          <t>bazaar；dynamicRandomReward；itemReforge</t>
        </is>
      </c>
      <c r="N580" s="8" t="n">
        <v>1</v>
      </c>
      <c r="O580" s="9" t="inlineStr">
        <is>
          <t>周期触发</t>
        </is>
      </c>
      <c r="P580" s="9" t="inlineStr">
        <is>
          <t>periodicPulse</t>
        </is>
      </c>
      <c r="Q580" s="9" t="inlineStr">
        <is>
          <t>周期触发：每有1层再生，获得2层护甲</t>
        </is>
      </c>
      <c r="R580" s="9" t="inlineStr"/>
      <c r="S580" s="9" t="inlineStr">
        <is>
          <t>叶脉掌纹铺满盾面，五指护边仍带野林锐意。</t>
        </is>
      </c>
      <c r="T580" s="8" t="inlineStr">
        <is>
          <t>implement_qingzhi_palm_seal_shield_1x2</t>
        </is>
      </c>
      <c r="U580" s="8" t="inlineStr">
        <is>
          <t>allowed</t>
        </is>
      </c>
    </row>
    <row r="581" ht="34" customHeight="1">
      <c r="A581" s="8" t="n">
        <v>580</v>
      </c>
      <c r="B581" s="8" t="n">
        <v>411104</v>
      </c>
      <c r="C581" s="8" t="inlineStr">
        <is>
          <t>轻腕御风扣</t>
        </is>
      </c>
      <c r="D581" s="8" t="inlineStr">
        <is>
          <t>法器</t>
        </is>
      </c>
      <c r="E581" s="8" t="inlineStr">
        <is>
          <t>implement</t>
        </is>
      </c>
      <c r="F581" s="8" t="inlineStr">
        <is>
          <t>common</t>
        </is>
      </c>
      <c r="G581" s="8" t="inlineStr">
        <is>
          <t>风</t>
        </is>
      </c>
      <c r="H581" s="8" t="inlineStr">
        <is>
          <t>wind</t>
        </is>
      </c>
      <c r="I581" s="8" t="inlineStr">
        <is>
          <t>1×2</t>
        </is>
      </c>
      <c r="J581" s="8" t="n">
        <v>2</v>
      </c>
      <c r="K581" s="8" t="n">
        <v>35</v>
      </c>
      <c r="L581" s="8" t="inlineStr">
        <is>
          <t>是</t>
        </is>
      </c>
      <c r="M581" s="9" t="inlineStr">
        <is>
          <t>bazaar；dynamicRandomReward；itemReforge</t>
        </is>
      </c>
      <c r="N581" s="8" t="n">
        <v>1</v>
      </c>
      <c r="O581" s="9" t="inlineStr">
        <is>
          <t>周期触发</t>
        </is>
      </c>
      <c r="P581" s="9" t="inlineStr">
        <is>
          <t>periodicPulse</t>
        </is>
      </c>
      <c r="Q581" s="9" t="inlineStr">
        <is>
          <t>周期触发：每有1件尸骸道具，获得3层敏捷，对敌方施加3层风压</t>
        </is>
      </c>
      <c r="R581" s="9" t="inlineStr"/>
      <c r="S581" s="9" t="inlineStr">
        <is>
          <t>多孔轻骨天生如双扣，风过孔隙便有低低回鸣。</t>
        </is>
      </c>
      <c r="T581" s="8" t="inlineStr">
        <is>
          <t>implement_qingzhi_light_wrist_clasp_1x2</t>
        </is>
      </c>
      <c r="U581" s="8" t="inlineStr">
        <is>
          <t>allowed</t>
        </is>
      </c>
    </row>
    <row r="582" ht="34" customHeight="1">
      <c r="A582" s="8" t="n">
        <v>581</v>
      </c>
      <c r="B582" s="8" t="n">
        <v>411105</v>
      </c>
      <c r="C582" s="8" t="inlineStr">
        <is>
          <t>跳筋蓄势弦</t>
        </is>
      </c>
      <c r="D582" s="8" t="inlineStr">
        <is>
          <t>法器</t>
        </is>
      </c>
      <c r="E582" s="8" t="inlineStr">
        <is>
          <t>implement</t>
        </is>
      </c>
      <c r="F582" s="8" t="inlineStr">
        <is>
          <t>common</t>
        </is>
      </c>
      <c r="G582" s="8" t="inlineStr">
        <is>
          <t>土</t>
        </is>
      </c>
      <c r="H582" s="8" t="inlineStr">
        <is>
          <t>earth</t>
        </is>
      </c>
      <c r="I582" s="8" t="inlineStr">
        <is>
          <t>1×2</t>
        </is>
      </c>
      <c r="J582" s="8" t="n">
        <v>2</v>
      </c>
      <c r="K582" s="8" t="n">
        <v>12</v>
      </c>
      <c r="L582" s="8" t="inlineStr">
        <is>
          <t>是</t>
        </is>
      </c>
      <c r="M582" s="9" t="inlineStr">
        <is>
          <t>bazaar；dynamicRandomReward；itemReforge</t>
        </is>
      </c>
      <c r="N582" s="8" t="n">
        <v>1</v>
      </c>
      <c r="O582" s="9" t="inlineStr">
        <is>
          <t>条件触发</t>
        </is>
      </c>
      <c r="P582" s="9" t="inlineStr">
        <is>
          <t>triggered</t>
        </is>
      </c>
      <c r="Q582" s="9" t="inlineStr">
        <is>
          <t>条件触发：相邻武器的体力消耗被敏捷完全抵消时，获得 3 层蓄势；相邻武器的体力消耗被敏捷完全抵消时，获得 6 层蓄势；相邻武器的体力消耗被敏捷完全抵消时，获得 9 层蓄势；相邻武器的体力消耗被敏捷完全抵消时，获得 12 层蓄势</t>
        </is>
      </c>
      <c r="R582" s="9" t="inlineStr"/>
      <c r="S582" s="9" t="inlineStr">
        <is>
          <t>青筋绞作三重长弦，静置时仍微微收束颤动。</t>
        </is>
      </c>
      <c r="T582" s="8" t="inlineStr">
        <is>
          <t>implement_qingzhi_tendon_string_1x2</t>
        </is>
      </c>
      <c r="U582" s="8" t="inlineStr">
        <is>
          <t>allowed</t>
        </is>
      </c>
    </row>
    <row r="583" ht="34" customHeight="1">
      <c r="A583" s="8" t="n">
        <v>582</v>
      </c>
      <c r="B583" s="8" t="n">
        <v>411150</v>
      </c>
      <c r="C583" s="8" t="inlineStr">
        <is>
          <t>藤尾回旋牌</t>
        </is>
      </c>
      <c r="D583" s="8" t="inlineStr">
        <is>
          <t>法器</t>
        </is>
      </c>
      <c r="E583" s="8" t="inlineStr">
        <is>
          <t>implement</t>
        </is>
      </c>
      <c r="F583" s="8" t="inlineStr">
        <is>
          <t>common</t>
        </is>
      </c>
      <c r="G583" s="8" t="inlineStr">
        <is>
          <t>雷</t>
        </is>
      </c>
      <c r="H583" s="8" t="inlineStr">
        <is>
          <t>thunder</t>
        </is>
      </c>
      <c r="I583" s="8" t="inlineStr">
        <is>
          <t>1×2</t>
        </is>
      </c>
      <c r="J583" s="8" t="n">
        <v>2</v>
      </c>
      <c r="K583" s="8" t="n">
        <v>15</v>
      </c>
      <c r="L583" s="8" t="inlineStr">
        <is>
          <t>是</t>
        </is>
      </c>
      <c r="M583" s="9" t="inlineStr">
        <is>
          <t>bazaar；dynamicRandomReward；itemReforge</t>
        </is>
      </c>
      <c r="N583" s="8" t="n">
        <v>1</v>
      </c>
      <c r="O583" s="9" t="inlineStr">
        <is>
          <t>周期触发</t>
        </is>
      </c>
      <c r="P583" s="9" t="inlineStr">
        <is>
          <t>periodicPulse</t>
        </is>
      </c>
      <c r="Q583" s="9" t="inlineStr">
        <is>
          <t>周期触发：对敌方造成10点伤害，如果此次伤害造成暴击，则再次对敌方造成10点伤害；对敌方造成12点伤害，如果此次伤害造成暴击，则再次对敌方造成12点伤害；对敌方造成14点伤害，如果此次伤害造成暴击，则再次对敌方造成14点伤害；对敌方造成16点伤害，如果此次伤害造成暴击，则再次对敌方造成16点伤害</t>
        </is>
      </c>
      <c r="R583" s="9" t="inlineStr"/>
      <c r="S583" s="9" t="inlineStr">
        <is>
          <t>竖阵牌中央封着卷尾阵眼，回纹沿牌面上下相衔。</t>
        </is>
      </c>
      <c r="T583" s="8" t="inlineStr">
        <is>
          <t>implement_qingzhi_vine_tail_revolve_1x2</t>
        </is>
      </c>
      <c r="U583" s="8" t="inlineStr">
        <is>
          <t>allowed</t>
        </is>
      </c>
    </row>
    <row r="584" ht="34" customHeight="1">
      <c r="A584" s="8" t="n">
        <v>583</v>
      </c>
      <c r="B584" s="8" t="n">
        <v>411200</v>
      </c>
      <c r="C584" s="8" t="inlineStr">
        <is>
          <t>霜纹护心裘</t>
        </is>
      </c>
      <c r="D584" s="8" t="inlineStr">
        <is>
          <t>法器</t>
        </is>
      </c>
      <c r="E584" s="8" t="inlineStr">
        <is>
          <t>implement</t>
        </is>
      </c>
      <c r="F584" s="8" t="inlineStr">
        <is>
          <t>common</t>
        </is>
      </c>
      <c r="G584" s="8" t="inlineStr">
        <is>
          <t>冰</t>
        </is>
      </c>
      <c r="H584" s="8" t="inlineStr">
        <is>
          <t>ice</t>
        </is>
      </c>
      <c r="I584" s="8" t="inlineStr">
        <is>
          <t>2×2</t>
        </is>
      </c>
      <c r="J584" s="8" t="n">
        <v>4</v>
      </c>
      <c r="K584" s="8" t="n">
        <v>20</v>
      </c>
      <c r="L584" s="8" t="inlineStr">
        <is>
          <t>是</t>
        </is>
      </c>
      <c r="M584" s="9" t="inlineStr">
        <is>
          <t>bazaar；dynamicRandomReward；itemReforge</t>
        </is>
      </c>
      <c r="N584" s="8" t="n">
        <v>2</v>
      </c>
      <c r="O584" s="9" t="inlineStr">
        <is>
          <t>周期触发；说明/执行器</t>
        </is>
      </c>
      <c r="P584" s="9" t="inlineStr">
        <is>
          <t>periodicPulse；effectNote</t>
        </is>
      </c>
      <c r="Q584" s="9" t="inlineStr">
        <is>
          <t>周期触发：获得 3 层寒冷；获得 4 层寒冷；获得 5 层寒冷；获得 6 层寒冷 | 说明/执行器：每次受到伤害时，消耗2层寒冷，获得5层护甲</t>
        </is>
      </c>
      <c r="R584" s="9" t="inlineStr"/>
      <c r="S584" s="9" t="inlineStr">
        <is>
          <t>灰白厚皮层层覆住心口，霜旋纹沿暗银扣带收拢，触手仍带山谷寒意。</t>
        </is>
      </c>
      <c r="T584" s="8" t="inlineStr">
        <is>
          <t>implement_shuangwen_hide_guard_vest_2x2</t>
        </is>
      </c>
      <c r="U584" s="8" t="inlineStr">
        <is>
          <t>allowed</t>
        </is>
      </c>
    </row>
    <row r="585" ht="34" customHeight="1">
      <c r="A585" s="8" t="n">
        <v>584</v>
      </c>
      <c r="B585" s="8" t="n">
        <v>411201</v>
      </c>
      <c r="C585" s="8" t="inlineStr">
        <is>
          <t>竹骨定息架</t>
        </is>
      </c>
      <c r="D585" s="8" t="inlineStr">
        <is>
          <t>法器</t>
        </is>
      </c>
      <c r="E585" s="8" t="inlineStr">
        <is>
          <t>implement</t>
        </is>
      </c>
      <c r="F585" s="8" t="inlineStr">
        <is>
          <t>common</t>
        </is>
      </c>
      <c r="G585" s="8" t="inlineStr">
        <is>
          <t>木</t>
        </is>
      </c>
      <c r="H585" s="8" t="inlineStr">
        <is>
          <t>wood</t>
        </is>
      </c>
      <c r="I585" s="8" t="inlineStr">
        <is>
          <t>2×2</t>
        </is>
      </c>
      <c r="J585" s="8" t="n">
        <v>4</v>
      </c>
      <c r="K585" s="8" t="n">
        <v>28</v>
      </c>
      <c r="L585" s="8" t="inlineStr">
        <is>
          <t>是</t>
        </is>
      </c>
      <c r="M585" s="9" t="inlineStr">
        <is>
          <t>bazaar；dynamicRandomReward；itemReforge</t>
        </is>
      </c>
      <c r="N585" s="8" t="n">
        <v>1</v>
      </c>
      <c r="O585" s="9" t="inlineStr">
        <is>
          <t>条件触发</t>
        </is>
      </c>
      <c r="P585" s="9" t="inlineStr">
        <is>
          <t>triggered</t>
        </is>
      </c>
      <c r="Q585" s="9" t="inlineStr">
        <is>
          <t>条件触发：左右相邻木属性道具使我方获得再生时，获得 2 层坚硬；左右相邻木属性道具使我方获得再生时，获得 3 层坚硬；左右相邻木属性道具使我方获得再生时，获得 4 层坚硬；左右相邻木属性道具使我方获得再生时，获得 5 层坚硬</t>
        </is>
      </c>
      <c r="R585" s="9" t="inlineStr"/>
      <c r="S585" s="9" t="inlineStr">
        <is>
          <t>双腔鼻骨横扣成架，青绿根脉顺着骨孔盘绕，吐纳时隐约传来竹叶摩挲声。</t>
        </is>
      </c>
      <c r="T585" s="8" t="inlineStr">
        <is>
          <t>implement_shuangwen_bone_breath_frame_2x2</t>
        </is>
      </c>
      <c r="U585" s="8" t="inlineStr">
        <is>
          <t>allowed</t>
        </is>
      </c>
    </row>
    <row r="586" ht="34" customHeight="1">
      <c r="A586" s="8" t="n">
        <v>585</v>
      </c>
      <c r="B586" s="8" t="n">
        <v>411202</v>
      </c>
      <c r="C586" s="8" t="inlineStr">
        <is>
          <t>灰绒温脉囊</t>
        </is>
      </c>
      <c r="D586" s="8" t="inlineStr">
        <is>
          <t>法器</t>
        </is>
      </c>
      <c r="E586" s="8" t="inlineStr">
        <is>
          <t>implement</t>
        </is>
      </c>
      <c r="F586" s="8" t="inlineStr">
        <is>
          <t>common</t>
        </is>
      </c>
      <c r="G586" s="8" t="inlineStr">
        <is>
          <t>火</t>
        </is>
      </c>
      <c r="H586" s="8" t="inlineStr">
        <is>
          <t>fire</t>
        </is>
      </c>
      <c r="I586" s="8" t="inlineStr">
        <is>
          <t>2×2</t>
        </is>
      </c>
      <c r="J586" s="8" t="n">
        <v>4</v>
      </c>
      <c r="K586" s="8" t="n">
        <v>35</v>
      </c>
      <c r="L586" s="8" t="inlineStr">
        <is>
          <t>是</t>
        </is>
      </c>
      <c r="M586" s="9" t="inlineStr">
        <is>
          <t>bazaar；dynamicRandomReward；itemReforge</t>
        </is>
      </c>
      <c r="N586" s="8" t="n">
        <v>1</v>
      </c>
      <c r="O586" s="9" t="inlineStr">
        <is>
          <t>被动效果</t>
        </is>
      </c>
      <c r="P586" s="9" t="inlineStr">
        <is>
          <t>passive</t>
        </is>
      </c>
      <c r="Q586" s="9" t="inlineStr">
        <is>
          <t>被动效果：相邻道具获得炎热时，炎热层数+1</t>
        </is>
      </c>
      <c r="R586" s="9" t="inlineStr"/>
      <c r="S586" s="9" t="inlineStr">
        <is>
          <t>蓬松灰绒被缝成暖囊，深褐束绳锁住余温，贴近经脉时如细雪缓缓融开。</t>
        </is>
      </c>
      <c r="T586" s="8" t="inlineStr">
        <is>
          <t>implement_shuangwen_fur_warm_meridian_pouch_2x2</t>
        </is>
      </c>
      <c r="U586" s="8" t="inlineStr">
        <is>
          <t>allowed</t>
        </is>
      </c>
    </row>
    <row r="587" ht="34" customHeight="1">
      <c r="A587" s="8" t="n">
        <v>586</v>
      </c>
      <c r="B587" s="8" t="n">
        <v>411203</v>
      </c>
      <c r="C587" s="8" t="inlineStr">
        <is>
          <t>苔蹄镇岳甲</t>
        </is>
      </c>
      <c r="D587" s="8" t="inlineStr">
        <is>
          <t>法器</t>
        </is>
      </c>
      <c r="E587" s="8" t="inlineStr">
        <is>
          <t>implement</t>
        </is>
      </c>
      <c r="F587" s="8" t="inlineStr">
        <is>
          <t>common</t>
        </is>
      </c>
      <c r="G587" s="8" t="inlineStr">
        <is>
          <t>土</t>
        </is>
      </c>
      <c r="H587" s="8" t="inlineStr">
        <is>
          <t>earth</t>
        </is>
      </c>
      <c r="I587" s="8" t="inlineStr">
        <is>
          <t>2×2</t>
        </is>
      </c>
      <c r="J587" s="8" t="n">
        <v>4</v>
      </c>
      <c r="K587" s="8" t="n">
        <v>20</v>
      </c>
      <c r="L587" s="8" t="inlineStr">
        <is>
          <t>是</t>
        </is>
      </c>
      <c r="M587" s="9" t="inlineStr">
        <is>
          <t>bazaar；dynamicRandomReward；itemReforge</t>
        </is>
      </c>
      <c r="N587" s="8" t="n">
        <v>1</v>
      </c>
      <c r="O587" s="9" t="inlineStr">
        <is>
          <t>条件触发</t>
        </is>
      </c>
      <c r="P587" s="9" t="inlineStr">
        <is>
          <t>triggered</t>
        </is>
      </c>
      <c r="Q587" s="9" t="inlineStr">
        <is>
          <t>条件触发：受到伤害时，消耗10层露水，对敌方施加10层凝滞</t>
        </is>
      </c>
      <c r="R587" s="9" t="inlineStr"/>
      <c r="S587" s="9" t="inlineStr">
        <is>
          <t>炭灰蹄片层叠成甲，白霜沿裂纹凝住，零星青苔仍在石质表面伏生。</t>
        </is>
      </c>
      <c r="T587" s="8" t="inlineStr">
        <is>
          <t>implement_shuangwen_hoof_mountain_guard_2x2</t>
        </is>
      </c>
      <c r="U587" s="8" t="inlineStr">
        <is>
          <t>allowed</t>
        </is>
      </c>
    </row>
    <row r="588" ht="34" customHeight="1">
      <c r="A588" s="8" t="n">
        <v>587</v>
      </c>
      <c r="B588" s="8" t="n">
        <v>411300</v>
      </c>
      <c r="C588" s="8" t="inlineStr">
        <is>
          <t>碎角镇脉印</t>
        </is>
      </c>
      <c r="D588" s="8" t="inlineStr">
        <is>
          <t>法器</t>
        </is>
      </c>
      <c r="E588" s="8" t="inlineStr">
        <is>
          <t>implement</t>
        </is>
      </c>
      <c r="F588" s="8" t="inlineStr">
        <is>
          <t>common</t>
        </is>
      </c>
      <c r="G588" s="8" t="inlineStr">
        <is>
          <t>土</t>
        </is>
      </c>
      <c r="H588" s="8" t="inlineStr">
        <is>
          <t>earth</t>
        </is>
      </c>
      <c r="I588" s="8" t="inlineStr">
        <is>
          <t>2×2</t>
        </is>
      </c>
      <c r="J588" s="8" t="n">
        <v>4</v>
      </c>
      <c r="K588" s="8" t="n">
        <v>18</v>
      </c>
      <c r="L588" s="8" t="inlineStr">
        <is>
          <t>是</t>
        </is>
      </c>
      <c r="M588" s="9" t="inlineStr">
        <is>
          <t>bazaar；dynamicRandomReward；itemReforge</t>
        </is>
      </c>
      <c r="N588" s="8" t="n">
        <v>1</v>
      </c>
      <c r="O588" s="9" t="inlineStr">
        <is>
          <t>周期触发</t>
        </is>
      </c>
      <c r="P588" s="9" t="inlineStr">
        <is>
          <t>periodicPulse</t>
        </is>
      </c>
      <c r="Q588" s="9" t="inlineStr">
        <is>
          <t>周期触发：开局：获得 8 层蓄势；开局：获得 10 层蓄势；开局：获得 12 层蓄势；开局：获得 14 层蓄势</t>
        </is>
      </c>
      <c r="R588" s="9" t="inlineStr"/>
      <c r="S588" s="9" t="inlineStr">
        <is>
          <t>岩白碎角磨成方印，苔纹沿印钮细细爬开，握在掌中沉静温润。</t>
        </is>
      </c>
      <c r="T588" s="8" t="inlineStr">
        <is>
          <t>implement_suijiao_linzhang_broken_antler_seal_2x2</t>
        </is>
      </c>
      <c r="U588" s="8" t="inlineStr">
        <is>
          <t>allowed</t>
        </is>
      </c>
    </row>
    <row r="589" ht="34" customHeight="1">
      <c r="A589" s="8" t="n">
        <v>588</v>
      </c>
      <c r="B589" s="8" t="n">
        <v>411301</v>
      </c>
      <c r="C589" s="8" t="inlineStr">
        <is>
          <t>松苔护心褥</t>
        </is>
      </c>
      <c r="D589" s="8" t="inlineStr">
        <is>
          <t>法器</t>
        </is>
      </c>
      <c r="E589" s="8" t="inlineStr">
        <is>
          <t>implement</t>
        </is>
      </c>
      <c r="F589" s="8" t="inlineStr">
        <is>
          <t>common</t>
        </is>
      </c>
      <c r="G589" s="8" t="inlineStr">
        <is>
          <t>木</t>
        </is>
      </c>
      <c r="H589" s="8" t="inlineStr">
        <is>
          <t>wood</t>
        </is>
      </c>
      <c r="I589" s="8" t="inlineStr">
        <is>
          <t>2×2</t>
        </is>
      </c>
      <c r="J589" s="8" t="n">
        <v>4</v>
      </c>
      <c r="K589" s="8" t="n">
        <v>18</v>
      </c>
      <c r="L589" s="8" t="inlineStr">
        <is>
          <t>是</t>
        </is>
      </c>
      <c r="M589" s="9" t="inlineStr">
        <is>
          <t>bazaar；dynamicRandomReward；itemReforge</t>
        </is>
      </c>
      <c r="N589" s="8" t="n">
        <v>1</v>
      </c>
      <c r="O589" s="9" t="inlineStr">
        <is>
          <t>周期触发</t>
        </is>
      </c>
      <c r="P589" s="9" t="inlineStr">
        <is>
          <t>periodicPulse</t>
        </is>
      </c>
      <c r="Q589" s="9" t="inlineStr">
        <is>
          <t>周期触发：气血低于 50% 时，获得 3 层再生；气血低于 50% 时，获得 6 层再生；气血低于 50% 时，获得 9 层再生；气血低于 50% 时，获得 12 层再生</t>
        </is>
      </c>
      <c r="R589" s="9" t="inlineStr"/>
      <c r="S589" s="9" t="inlineStr">
        <is>
          <t>鬃皮裁成厚实护褥，松针与青苔被细线稳稳锁在夹层里。</t>
        </is>
      </c>
      <c r="T589" s="8" t="inlineStr">
        <is>
          <t>implement_suijiao_linzhang_moss_hide_guard_vest_2x2</t>
        </is>
      </c>
      <c r="U589" s="8" t="inlineStr">
        <is>
          <t>allowed</t>
        </is>
      </c>
    </row>
    <row r="590" ht="34" customHeight="1">
      <c r="A590" s="8" t="n">
        <v>589</v>
      </c>
      <c r="B590" s="8" t="n">
        <v>411302</v>
      </c>
      <c r="C590" s="8" t="inlineStr">
        <is>
          <t>双蹄踏岳靴</t>
        </is>
      </c>
      <c r="D590" s="8" t="inlineStr">
        <is>
          <t>法器</t>
        </is>
      </c>
      <c r="E590" s="8" t="inlineStr">
        <is>
          <t>implement</t>
        </is>
      </c>
      <c r="F590" s="8" t="inlineStr">
        <is>
          <t>common</t>
        </is>
      </c>
      <c r="G590" s="8" t="inlineStr">
        <is>
          <t>土</t>
        </is>
      </c>
      <c r="H590" s="8" t="inlineStr">
        <is>
          <t>earth</t>
        </is>
      </c>
      <c r="I590" s="8" t="inlineStr">
        <is>
          <t>2×2</t>
        </is>
      </c>
      <c r="J590" s="8" t="n">
        <v>4</v>
      </c>
      <c r="K590" s="8" t="n">
        <v>32</v>
      </c>
      <c r="L590" s="8" t="inlineStr">
        <is>
          <t>是</t>
        </is>
      </c>
      <c r="M590" s="9" t="inlineStr">
        <is>
          <t>bazaar；dynamicRandomReward；itemReforge</t>
        </is>
      </c>
      <c r="N590" s="8" t="n">
        <v>1</v>
      </c>
      <c r="O590" s="9" t="inlineStr">
        <is>
          <t>条件触发</t>
        </is>
      </c>
      <c r="P590" s="9" t="inlineStr">
        <is>
          <t>triggered</t>
        </is>
      </c>
      <c r="Q590" s="9" t="inlineStr">
        <is>
          <t>条件触发：位于储物袋底部时，累计消耗40点体力，对敌方施加40层凝滞</t>
        </is>
      </c>
      <c r="R590" s="9" t="inlineStr"/>
      <c r="S590" s="9" t="inlineStr">
        <is>
          <t>一对黑蹄嵌进短靴前掌，棕毛与苔痕仍沿护缘留着山林气息。</t>
        </is>
      </c>
      <c r="T590" s="8" t="inlineStr">
        <is>
          <t>implement_suijiao_linzhang_hoof_treading_boots_2x2</t>
        </is>
      </c>
      <c r="U590" s="8" t="inlineStr">
        <is>
          <t>allowed</t>
        </is>
      </c>
    </row>
    <row r="591" ht="34" customHeight="1">
      <c r="A591" s="8" t="n">
        <v>590</v>
      </c>
      <c r="B591" s="8" t="n">
        <v>411303</v>
      </c>
      <c r="C591" s="8" t="inlineStr">
        <is>
          <t>灰筋回力轮</t>
        </is>
      </c>
      <c r="D591" s="8" t="inlineStr">
        <is>
          <t>法器</t>
        </is>
      </c>
      <c r="E591" s="8" t="inlineStr">
        <is>
          <t>implement</t>
        </is>
      </c>
      <c r="F591" s="8" t="inlineStr">
        <is>
          <t>common</t>
        </is>
      </c>
      <c r="G591" s="8" t="inlineStr">
        <is>
          <t>木</t>
        </is>
      </c>
      <c r="H591" s="8" t="inlineStr">
        <is>
          <t>wood</t>
        </is>
      </c>
      <c r="I591" s="8" t="inlineStr">
        <is>
          <t>2×2</t>
        </is>
      </c>
      <c r="J591" s="8" t="n">
        <v>4</v>
      </c>
      <c r="K591" s="8" t="n">
        <v>20</v>
      </c>
      <c r="L591" s="8" t="inlineStr">
        <is>
          <t>是</t>
        </is>
      </c>
      <c r="M591" s="9" t="inlineStr">
        <is>
          <t>bazaar；dynamicRandomReward；itemReforge</t>
        </is>
      </c>
      <c r="N591" s="8" t="n">
        <v>1</v>
      </c>
      <c r="O591" s="9" t="inlineStr">
        <is>
          <t>条件触发</t>
        </is>
      </c>
      <c r="P591" s="9" t="inlineStr">
        <is>
          <t>triggered</t>
        </is>
      </c>
      <c r="Q591" s="9" t="inlineStr">
        <is>
          <t>条件触发：每消耗 30 点体力，获得 8 层再生；每消耗 30 点体力，获得 12 层再生；每消耗 30 点体力，获得 16 层再生；每消耗 30 点体力，获得 20 层再生</t>
        </is>
      </c>
      <c r="R591" s="9" t="inlineStr"/>
      <c r="S591" s="9" t="inlineStr">
        <is>
          <t>灰白筋束层层缠上木轮，苔绿纤端藏在铜扣与轮槽之间。</t>
        </is>
      </c>
      <c r="T591" s="8" t="inlineStr">
        <is>
          <t>implement_suijiao_linzhang_gray_tendon_recovery_reel_2x2</t>
        </is>
      </c>
      <c r="U591" s="8" t="inlineStr">
        <is>
          <t>allowed</t>
        </is>
      </c>
    </row>
    <row r="592" ht="34" customHeight="1">
      <c r="A592" s="8" t="n">
        <v>591</v>
      </c>
      <c r="B592" s="8" t="n">
        <v>411350</v>
      </c>
      <c r="C592" s="8" t="inlineStr">
        <is>
          <t>牵脉连环盘</t>
        </is>
      </c>
      <c r="D592" s="8" t="inlineStr">
        <is>
          <t>法器</t>
        </is>
      </c>
      <c r="E592" s="8" t="inlineStr">
        <is>
          <t>implement</t>
        </is>
      </c>
      <c r="F592" s="8" t="inlineStr">
        <is>
          <t>common</t>
        </is>
      </c>
      <c r="G592" s="8" t="inlineStr">
        <is>
          <t>木</t>
        </is>
      </c>
      <c r="H592" s="8" t="inlineStr">
        <is>
          <t>wood</t>
        </is>
      </c>
      <c r="I592" s="8" t="inlineStr">
        <is>
          <t>2×2</t>
        </is>
      </c>
      <c r="J592" s="8" t="n">
        <v>4</v>
      </c>
      <c r="K592" s="8" t="n">
        <v>25</v>
      </c>
      <c r="L592" s="8" t="inlineStr">
        <is>
          <t>是</t>
        </is>
      </c>
      <c r="M592" s="9" t="inlineStr">
        <is>
          <t>bazaar；dynamicRandomReward；itemReforge</t>
        </is>
      </c>
      <c r="N592" s="8" t="n">
        <v>1</v>
      </c>
      <c r="O592" s="9" t="inlineStr">
        <is>
          <t>周期触发</t>
        </is>
      </c>
      <c r="P592" s="9" t="inlineStr">
        <is>
          <t>periodicPulse</t>
        </is>
      </c>
      <c r="Q592" s="9" t="inlineStr">
        <is>
          <t>周期触发：相邻8件木属性法器时，获得 3 层再生；相邻8件木属性法器时，获得 6 层再生；相邻8件木属性法器时，获得 9 层再生；相邻8件木属性法器时，获得 12 层再生</t>
        </is>
      </c>
      <c r="R592" s="9" t="inlineStr"/>
      <c r="S592" s="9" t="inlineStr">
        <is>
          <t>灰筋绳结嵌进四环木阵架，浅绿纤端牵住每一处转轴与扣眼。</t>
        </is>
      </c>
      <c r="T592" s="8" t="inlineStr">
        <is>
          <t>implement_suijiao_linzhang_tendon_linkage_array_frame_2x2</t>
        </is>
      </c>
      <c r="U592" s="8" t="inlineStr">
        <is>
          <t>allowed</t>
        </is>
      </c>
    </row>
    <row r="593" ht="34" customHeight="1">
      <c r="A593" s="8" t="n">
        <v>592</v>
      </c>
      <c r="B593" s="8" t="n">
        <v>411400</v>
      </c>
      <c r="C593" s="8" t="inlineStr">
        <is>
          <t>喙锋镇脉甲</t>
        </is>
      </c>
      <c r="D593" s="8" t="inlineStr">
        <is>
          <t>法器</t>
        </is>
      </c>
      <c r="E593" s="8" t="inlineStr">
        <is>
          <t>implement</t>
        </is>
      </c>
      <c r="F593" s="8" t="inlineStr">
        <is>
          <t>common</t>
        </is>
      </c>
      <c r="G593" s="8" t="inlineStr">
        <is>
          <t>冰</t>
        </is>
      </c>
      <c r="H593" s="8" t="inlineStr">
        <is>
          <t>ice</t>
        </is>
      </c>
      <c r="I593" s="8" t="inlineStr">
        <is>
          <t>2×2</t>
        </is>
      </c>
      <c r="J593" s="8" t="n">
        <v>4</v>
      </c>
      <c r="K593" s="8" t="n">
        <v>20</v>
      </c>
      <c r="L593" s="8" t="inlineStr">
        <is>
          <t>是</t>
        </is>
      </c>
      <c r="M593" s="9" t="inlineStr">
        <is>
          <t>bazaar；dynamicRandomReward；itemReforge</t>
        </is>
      </c>
      <c r="N593" s="8" t="n">
        <v>1</v>
      </c>
      <c r="O593" s="9" t="inlineStr">
        <is>
          <t>条件触发</t>
        </is>
      </c>
      <c r="P593" s="9" t="inlineStr">
        <is>
          <t>triggered</t>
        </is>
      </c>
      <c r="Q593" s="9" t="inlineStr">
        <is>
          <t>条件触发：最大道具轮转时，对敌方施加 1 层冰霜；最大道具轮转时，对敌方施加 2 层冰霜；最大道具轮转时，对敌方施加 3 层冰霜；最大道具轮转时，对敌方施加 4 层冰霜</t>
        </is>
      </c>
      <c r="R593" s="9" t="inlineStr"/>
      <c r="S593" s="9" t="inlineStr">
        <is>
          <t>深蓝铁喙覆成护臂外甲，断口以铜筋收束，刮痕仍沿着弯锋层层延伸。</t>
        </is>
      </c>
      <c r="T593" s="8" t="inlineStr">
        <is>
          <t>implement_tiehui_songya_beak_guard_2x2</t>
        </is>
      </c>
      <c r="U593" s="8" t="inlineStr">
        <is>
          <t>allowed</t>
        </is>
      </c>
    </row>
    <row r="594" ht="34" customHeight="1">
      <c r="A594" s="8" t="n">
        <v>593</v>
      </c>
      <c r="B594" s="8" t="n">
        <v>411401</v>
      </c>
      <c r="C594" s="8" t="inlineStr">
        <is>
          <t>青翎定风扇</t>
        </is>
      </c>
      <c r="D594" s="8" t="inlineStr">
        <is>
          <t>法器</t>
        </is>
      </c>
      <c r="E594" s="8" t="inlineStr">
        <is>
          <t>implement</t>
        </is>
      </c>
      <c r="F594" s="8" t="inlineStr">
        <is>
          <t>common</t>
        </is>
      </c>
      <c r="G594" s="8" t="inlineStr">
        <is>
          <t>风</t>
        </is>
      </c>
      <c r="H594" s="8" t="inlineStr">
        <is>
          <t>wind</t>
        </is>
      </c>
      <c r="I594" s="8" t="inlineStr">
        <is>
          <t>2×2</t>
        </is>
      </c>
      <c r="J594" s="8" t="n">
        <v>4</v>
      </c>
      <c r="K594" s="8" t="n">
        <v>8</v>
      </c>
      <c r="L594" s="8" t="inlineStr">
        <is>
          <t>是</t>
        </is>
      </c>
      <c r="M594" s="9" t="inlineStr">
        <is>
          <t>bazaar；dynamicRandomReward；itemReforge</t>
        </is>
      </c>
      <c r="N594" s="8" t="n">
        <v>1</v>
      </c>
      <c r="O594" s="9" t="inlineStr">
        <is>
          <t>条件触发</t>
        </is>
      </c>
      <c r="P594" s="9" t="inlineStr">
        <is>
          <t>triggered</t>
        </is>
      </c>
      <c r="Q594" s="9" t="inlineStr">
        <is>
          <t>条件触发：成功闪避时，对敌方施加 1 层风压；成功闪避时，对敌方施加 2 层风压；成功闪避时，对敌方施加 3 层风压；成功闪避时，对敌方施加 4 层风压</t>
        </is>
      </c>
      <c r="R594" s="9" t="inlineStr"/>
      <c r="S594" s="9" t="inlineStr">
        <is>
          <t>蓝灰长羽层叠成扇，银白羽轴收进古铜扇骨，末端仍缠着旧色束绳。</t>
        </is>
      </c>
      <c r="T594" s="8" t="inlineStr">
        <is>
          <t>implement_tiehui_songya_blue_feather_fan_2x2</t>
        </is>
      </c>
      <c r="U594" s="8" t="inlineStr">
        <is>
          <t>allowed</t>
        </is>
      </c>
    </row>
    <row r="595" ht="34" customHeight="1">
      <c r="A595" s="8" t="n">
        <v>594</v>
      </c>
      <c r="B595" s="8" t="n">
        <v>411402</v>
      </c>
      <c r="C595" s="8" t="inlineStr">
        <is>
          <t>松骨承灵架</t>
        </is>
      </c>
      <c r="D595" s="8" t="inlineStr">
        <is>
          <t>法器</t>
        </is>
      </c>
      <c r="E595" s="8" t="inlineStr">
        <is>
          <t>implement</t>
        </is>
      </c>
      <c r="F595" s="8" t="inlineStr">
        <is>
          <t>common</t>
        </is>
      </c>
      <c r="G595" s="8" t="inlineStr">
        <is>
          <t>木</t>
        </is>
      </c>
      <c r="H595" s="8" t="inlineStr">
        <is>
          <t>wood</t>
        </is>
      </c>
      <c r="I595" s="8" t="inlineStr">
        <is>
          <t>2×2</t>
        </is>
      </c>
      <c r="J595" s="8" t="n">
        <v>4</v>
      </c>
      <c r="K595" s="8" t="n">
        <v>20</v>
      </c>
      <c r="L595" s="8" t="inlineStr">
        <is>
          <t>是</t>
        </is>
      </c>
      <c r="M595" s="9" t="inlineStr">
        <is>
          <t>bazaar；dynamicRandomReward；itemReforge</t>
        </is>
      </c>
      <c r="N595" s="8" t="n">
        <v>1</v>
      </c>
      <c r="O595" s="9" t="inlineStr">
        <is>
          <t>周期触发</t>
        </is>
      </c>
      <c r="P595" s="9" t="inlineStr">
        <is>
          <t>periodicPulse</t>
        </is>
      </c>
      <c r="Q595" s="9" t="inlineStr">
        <is>
          <t>周期触发：每有1件尸骸道具，恢复 4 点体力和法力；每有1件尸骸道具，恢复 5 点体力和法力；每有1件尸骸道具，恢复 6 点体力和法力；每有1件尸骸道具，恢复 7 点体力和法力</t>
        </is>
      </c>
      <c r="R595" s="9" t="inlineStr"/>
      <c r="S595" s="9" t="inlineStr">
        <is>
          <t>三截苍白翼骨交成稳固三角，松针般的青绿纹路在骨面上首尾相衔。</t>
        </is>
      </c>
      <c r="T595" s="8" t="inlineStr">
        <is>
          <t>implement_tiehui_songya_wingbone_spirit_stand_2x2</t>
        </is>
      </c>
      <c r="U595" s="8" t="inlineStr">
        <is>
          <t>allowed</t>
        </is>
      </c>
    </row>
    <row r="596" ht="34" customHeight="1">
      <c r="A596" s="8" t="n">
        <v>595</v>
      </c>
      <c r="B596" s="8" t="n">
        <v>411403</v>
      </c>
      <c r="C596" s="8" t="inlineStr">
        <is>
          <t>鸦爪锁灵扣</t>
        </is>
      </c>
      <c r="D596" s="8" t="inlineStr">
        <is>
          <t>法器</t>
        </is>
      </c>
      <c r="E596" s="8" t="inlineStr">
        <is>
          <t>implement</t>
        </is>
      </c>
      <c r="F596" s="8" t="inlineStr">
        <is>
          <t>common</t>
        </is>
      </c>
      <c r="G596" s="8" t="inlineStr">
        <is>
          <t>雷</t>
        </is>
      </c>
      <c r="H596" s="8" t="inlineStr">
        <is>
          <t>thunder</t>
        </is>
      </c>
      <c r="I596" s="8" t="inlineStr">
        <is>
          <t>2×2</t>
        </is>
      </c>
      <c r="J596" s="8" t="n">
        <v>4</v>
      </c>
      <c r="K596" s="8" t="n">
        <v>15</v>
      </c>
      <c r="L596" s="8" t="inlineStr">
        <is>
          <t>是</t>
        </is>
      </c>
      <c r="M596" s="9" t="inlineStr">
        <is>
          <t>bazaar；dynamicRandomReward；itemReforge</t>
        </is>
      </c>
      <c r="N596" s="8" t="n">
        <v>1</v>
      </c>
      <c r="O596" s="9" t="inlineStr">
        <is>
          <t>条件触发</t>
        </is>
      </c>
      <c r="P596" s="9" t="inlineStr">
        <is>
          <t>triggered</t>
        </is>
      </c>
      <c r="Q596" s="9" t="inlineStr">
        <is>
          <t>条件触发：累计获得15层引雷后，3秒内，可使用引雷层数代替等量体力消耗；累计获得15层引雷后，4秒内，可使用引雷层数代替等量体力消耗；累计获得15层引雷后，5秒内，可使用引雷层数代替等量体力消耗；累计获得15层引雷后，6秒内，可使用引雷层数代替等量体力消耗</t>
        </is>
      </c>
      <c r="R596" s="9" t="inlineStr"/>
      <c r="S596" s="9" t="inlineStr">
        <is>
          <t>三枚蓝黑弯爪围住古铜扣环，锤纹骨节与蓝灰羽簇仍保留着原有接合。</t>
        </is>
      </c>
      <c r="T596" s="8" t="inlineStr">
        <is>
          <t>implement_tiehui_songya_claw_spirit_clasp_2x2</t>
        </is>
      </c>
      <c r="U596" s="8" t="inlineStr">
        <is>
          <t>allowed</t>
        </is>
      </c>
    </row>
    <row r="597" ht="34" customHeight="1">
      <c r="A597" s="8" t="n">
        <v>596</v>
      </c>
      <c r="B597" s="8" t="n">
        <v>411453</v>
      </c>
      <c r="C597" s="8" t="inlineStr">
        <is>
          <t>铁爪裂甲钩</t>
        </is>
      </c>
      <c r="D597" s="8" t="inlineStr">
        <is>
          <t>法器</t>
        </is>
      </c>
      <c r="E597" s="8" t="inlineStr">
        <is>
          <t>implement</t>
        </is>
      </c>
      <c r="F597" s="8" t="inlineStr">
        <is>
          <t>common</t>
        </is>
      </c>
      <c r="G597" s="8" t="inlineStr">
        <is>
          <t>金</t>
        </is>
      </c>
      <c r="H597" s="8" t="inlineStr">
        <is>
          <t>metal</t>
        </is>
      </c>
      <c r="I597" s="8" t="inlineStr">
        <is>
          <t>1×1</t>
        </is>
      </c>
      <c r="J597" s="8" t="n">
        <v>1</v>
      </c>
      <c r="K597" s="8" t="n">
        <v>25</v>
      </c>
      <c r="L597" s="8" t="inlineStr">
        <is>
          <t>是</t>
        </is>
      </c>
      <c r="M597" s="9" t="inlineStr">
        <is>
          <t>bazaar；dynamicRandomReward；itemReforge</t>
        </is>
      </c>
      <c r="N597" s="8" t="n">
        <v>1</v>
      </c>
      <c r="O597" s="9" t="inlineStr">
        <is>
          <t>条件触发</t>
        </is>
      </c>
      <c r="P597" s="9" t="inlineStr">
        <is>
          <t>triggered</t>
        </is>
      </c>
      <c r="Q597" s="9" t="inlineStr">
        <is>
          <t>条件触发：累计获得15层引雷后，对敌方施加4层裂甲；累计获得15层引雷后，对敌方施加5层裂甲；累计获得15层引雷后，对敌方施加6层裂甲；累计获得15层引雷后，对敌方施加7层裂甲</t>
        </is>
      </c>
      <c r="R597" s="9" t="inlineStr"/>
      <c r="S597" s="9" t="inlineStr">
        <is>
          <t>三爪骨节被锁在短链前端，蓝黑利爪与末端沉重铜环构成一枚回旋钩索。</t>
        </is>
      </c>
      <c r="T597" s="8" t="inlineStr">
        <is>
          <t>implement_tiehui_songya_armor_rending_hook_1x1</t>
        </is>
      </c>
      <c r="U597" s="8" t="inlineStr">
        <is>
          <t>allowed</t>
        </is>
      </c>
    </row>
    <row r="598" ht="34" customHeight="1">
      <c r="A598" s="8" t="n">
        <v>597</v>
      </c>
      <c r="B598" s="8" t="n">
        <v>411500</v>
      </c>
      <c r="C598" s="8" t="inlineStr">
        <is>
          <t>铁脊镇岳盾</t>
        </is>
      </c>
      <c r="D598" s="8" t="inlineStr">
        <is>
          <t>法器</t>
        </is>
      </c>
      <c r="E598" s="8" t="inlineStr">
        <is>
          <t>implement</t>
        </is>
      </c>
      <c r="F598" s="8" t="inlineStr">
        <is>
          <t>common</t>
        </is>
      </c>
      <c r="G598" s="8" t="inlineStr">
        <is>
          <t>冰</t>
        </is>
      </c>
      <c r="H598" s="8" t="inlineStr">
        <is>
          <t>ice</t>
        </is>
      </c>
      <c r="I598" s="8" t="inlineStr">
        <is>
          <t>2×2</t>
        </is>
      </c>
      <c r="J598" s="8" t="n">
        <v>4</v>
      </c>
      <c r="K598" s="8" t="n">
        <v>30</v>
      </c>
      <c r="L598" s="8" t="inlineStr">
        <is>
          <t>是</t>
        </is>
      </c>
      <c r="M598" s="9" t="inlineStr">
        <is>
          <t>bazaar；dynamicRandomReward；itemReforge</t>
        </is>
      </c>
      <c r="N598" s="8" t="n">
        <v>1</v>
      </c>
      <c r="O598" s="9" t="inlineStr">
        <is>
          <t>条件触发</t>
        </is>
      </c>
      <c r="P598" s="9" t="inlineStr">
        <is>
          <t>triggered</t>
        </is>
      </c>
      <c r="Q598" s="9" t="inlineStr">
        <is>
          <t>条件触发：累积获得30层寒冷后，获得20层护甲；累积获得28层寒冷后，获得25层护甲；累积获得26层寒冷后，获得30层护甲；累积获得24层寒冷后，获得35层护甲</t>
        </is>
      </c>
      <c r="R598" s="9" t="inlineStr"/>
      <c r="S598" s="9" t="inlineStr">
        <is>
          <t>整片铁脊甲被包上沉铁护边，甲面碎砂与冷灰岩纹仍沿盾脊层层铺开。</t>
        </is>
      </c>
      <c r="T598" s="8" t="inlineStr">
        <is>
          <t>implement_tieji_yanxi_iron_spine_guard_2x2</t>
        </is>
      </c>
      <c r="U598" s="8" t="inlineStr">
        <is>
          <t>allowed</t>
        </is>
      </c>
    </row>
    <row r="599" ht="34" customHeight="1">
      <c r="A599" s="8" t="n">
        <v>598</v>
      </c>
      <c r="B599" s="8" t="n">
        <v>411501</v>
      </c>
      <c r="C599" s="8" t="inlineStr">
        <is>
          <t>岩牙护脉钉</t>
        </is>
      </c>
      <c r="D599" s="8" t="inlineStr">
        <is>
          <t>法器</t>
        </is>
      </c>
      <c r="E599" s="8" t="inlineStr">
        <is>
          <t>implement</t>
        </is>
      </c>
      <c r="F599" s="8" t="inlineStr">
        <is>
          <t>common</t>
        </is>
      </c>
      <c r="G599" s="8" t="inlineStr">
        <is>
          <t>poison</t>
        </is>
      </c>
      <c r="H599" s="8" t="inlineStr">
        <is>
          <t>poison</t>
        </is>
      </c>
      <c r="I599" s="8" t="inlineStr">
        <is>
          <t>1×2</t>
        </is>
      </c>
      <c r="J599" s="8" t="n">
        <v>2</v>
      </c>
      <c r="K599" s="8" t="inlineStr"/>
      <c r="L599" s="8" t="inlineStr">
        <is>
          <t>是</t>
        </is>
      </c>
      <c r="M599" s="9" t="inlineStr">
        <is>
          <t>bazaar；dynamicRandomReward；itemReforge</t>
        </is>
      </c>
      <c r="N599" s="8" t="n">
        <v>1</v>
      </c>
      <c r="O599" s="9" t="inlineStr">
        <is>
          <t>条件触发</t>
        </is>
      </c>
      <c r="P599" s="9" t="inlineStr">
        <is>
          <t>triggered</t>
        </is>
      </c>
      <c r="Q599" s="9" t="inlineStr">
        <is>
          <t>条件触发：敌方气血首次低于 60% 时，对其施加 10 层中毒；敌方气血首次低于 65% 时，对其施加 15 层中毒；敌方气血首次低于 70% 时，对其施加 20 层中毒；敌方气血首次低于 75% 时，对其施加 25 层中毒</t>
        </is>
      </c>
      <c r="R599" s="9" t="inlineStr"/>
      <c r="S599" s="9" t="inlineStr">
        <is>
          <t>灰白岩蜥牙磨成长钉，钝厚牙面仍留着咬碎砂岩的横纹。</t>
        </is>
      </c>
      <c r="T599" s="8" t="inlineStr">
        <is>
          <t>implement_tieji_yanxi_tooth_meridian_pin_1x2</t>
        </is>
      </c>
      <c r="U599" s="8" t="inlineStr">
        <is>
          <t>allowed</t>
        </is>
      </c>
    </row>
    <row r="600" ht="34" customHeight="1">
      <c r="A600" s="8" t="n">
        <v>599</v>
      </c>
      <c r="B600" s="8" t="n">
        <v>411502</v>
      </c>
      <c r="C600" s="8" t="inlineStr">
        <is>
          <t>裂尾镇砂杵</t>
        </is>
      </c>
      <c r="D600" s="8" t="inlineStr">
        <is>
          <t>法器</t>
        </is>
      </c>
      <c r="E600" s="8" t="inlineStr">
        <is>
          <t>implement</t>
        </is>
      </c>
      <c r="F600" s="8" t="inlineStr">
        <is>
          <t>common</t>
        </is>
      </c>
      <c r="G600" s="8" t="inlineStr">
        <is>
          <t>火</t>
        </is>
      </c>
      <c r="H600" s="8" t="inlineStr">
        <is>
          <t>fire</t>
        </is>
      </c>
      <c r="I600" s="8" t="inlineStr">
        <is>
          <t>1×2</t>
        </is>
      </c>
      <c r="J600" s="8" t="n">
        <v>2</v>
      </c>
      <c r="K600" s="8" t="n">
        <v>25</v>
      </c>
      <c r="L600" s="8" t="inlineStr">
        <is>
          <t>是</t>
        </is>
      </c>
      <c r="M600" s="9" t="inlineStr">
        <is>
          <t>bazaar；dynamicRandomReward；itemReforge</t>
        </is>
      </c>
      <c r="N600" s="8" t="n">
        <v>1</v>
      </c>
      <c r="O600" s="9" t="inlineStr">
        <is>
          <t>说明/执行器</t>
        </is>
      </c>
      <c r="P600" s="9" t="inlineStr">
        <is>
          <t>effectNote</t>
        </is>
      </c>
      <c r="Q600" s="9" t="inlineStr">
        <is>
          <t>说明/执行器：累积获得30层炎热后，消耗自身最多10层凝滞、10层乱流及10层禁疗。；累积获得28层炎热后，消耗自身最多12层凝滞、12层乱流及12层禁疗。；累积获得26层炎热后，消耗自身最多14层凝滞、14层乱流及14层禁疗。；累积获得24层炎热后，消耗自身最多16层凝滞、16层乱流及16层禁疗。</t>
        </is>
      </c>
      <c r="R600" s="9" t="inlineStr"/>
      <c r="S600" s="9" t="inlineStr">
        <is>
          <t>粗硬裂尾骨节如镇砂长杵，隆起尾节与暗褐土屑仍嵌在杵身。</t>
        </is>
      </c>
      <c r="T600" s="8" t="inlineStr">
        <is>
          <t>implement_tieji_yanxi_tail_sand_pestle_1x2</t>
        </is>
      </c>
      <c r="U600" s="8" t="inlineStr">
        <is>
          <t>allowed</t>
        </is>
      </c>
    </row>
    <row r="601" ht="34" customHeight="1">
      <c r="A601" s="8" t="n">
        <v>600</v>
      </c>
      <c r="B601" s="8" t="n">
        <v>411503</v>
      </c>
      <c r="C601" s="8" t="inlineStr">
        <is>
          <t>厚趾承岳靴</t>
        </is>
      </c>
      <c r="D601" s="8" t="inlineStr">
        <is>
          <t>法器</t>
        </is>
      </c>
      <c r="E601" s="8" t="inlineStr">
        <is>
          <t>implement</t>
        </is>
      </c>
      <c r="F601" s="8" t="inlineStr">
        <is>
          <t>common</t>
        </is>
      </c>
      <c r="G601" s="8" t="inlineStr">
        <is>
          <t>风</t>
        </is>
      </c>
      <c r="H601" s="8" t="inlineStr">
        <is>
          <t>wind</t>
        </is>
      </c>
      <c r="I601" s="8" t="inlineStr">
        <is>
          <t>2×2</t>
        </is>
      </c>
      <c r="J601" s="8" t="n">
        <v>4</v>
      </c>
      <c r="K601" s="8" t="n">
        <v>16</v>
      </c>
      <c r="L601" s="8" t="inlineStr">
        <is>
          <t>是</t>
        </is>
      </c>
      <c r="M601" s="9" t="inlineStr">
        <is>
          <t>bazaar；dynamicRandomReward；itemReforge</t>
        </is>
      </c>
      <c r="N601" s="8" t="n">
        <v>1</v>
      </c>
      <c r="O601" s="9" t="inlineStr">
        <is>
          <t>周期触发</t>
        </is>
      </c>
      <c r="P601" s="9" t="inlineStr">
        <is>
          <t>periodicPulse</t>
        </is>
      </c>
      <c r="Q601" s="9" t="inlineStr">
        <is>
          <t>周期触发：位于储物袋底部时，将3层蓄势转化为3层敏捷；位于储物袋底部时，将5层蓄势转化为5层敏捷；位于储物袋底部时，将7层蓄势转化为7层敏捷；位于储物袋底部时，将9层蓄势转化为9层敏捷</t>
        </is>
      </c>
      <c r="R601" s="9" t="inlineStr"/>
      <c r="S601" s="9" t="inlineStr">
        <is>
          <t>粗厚趾骨被炼入方头战靴，硬茧与灰褐岩壳共同托住沉重靴面。</t>
        </is>
      </c>
      <c r="T601" s="8" t="inlineStr">
        <is>
          <t>implement_tieji_yanxi_mountain_treading_boots_2x2</t>
        </is>
      </c>
      <c r="U601" s="8" t="inlineStr">
        <is>
          <t>allowed</t>
        </is>
      </c>
    </row>
    <row r="602" ht="34" customHeight="1">
      <c r="A602" s="8" t="n">
        <v>601</v>
      </c>
      <c r="B602" s="8" t="n">
        <v>411504</v>
      </c>
      <c r="C602" s="8" t="inlineStr">
        <is>
          <t>裂齿守心佩</t>
        </is>
      </c>
      <c r="D602" s="8" t="inlineStr">
        <is>
          <t>法器</t>
        </is>
      </c>
      <c r="E602" s="8" t="inlineStr">
        <is>
          <t>implement</t>
        </is>
      </c>
      <c r="F602" s="8" t="inlineStr">
        <is>
          <t>common</t>
        </is>
      </c>
      <c r="G602" s="8" t="inlineStr">
        <is>
          <t>poison</t>
        </is>
      </c>
      <c r="H602" s="8" t="inlineStr">
        <is>
          <t>poison</t>
        </is>
      </c>
      <c r="I602" s="8" t="inlineStr">
        <is>
          <t>1×2</t>
        </is>
      </c>
      <c r="J602" s="8" t="n">
        <v>2</v>
      </c>
      <c r="K602" s="8" t="n">
        <v>30</v>
      </c>
      <c r="L602" s="8" t="inlineStr">
        <is>
          <t>是</t>
        </is>
      </c>
      <c r="M602" s="9" t="inlineStr">
        <is>
          <t>bazaar；dynamicRandomReward；itemReforge</t>
        </is>
      </c>
      <c r="N602" s="8" t="n">
        <v>1</v>
      </c>
      <c r="O602" s="9" t="inlineStr">
        <is>
          <t>条件触发</t>
        </is>
      </c>
      <c r="P602" s="9" t="inlineStr">
        <is>
          <t>triggered</t>
        </is>
      </c>
      <c r="Q602" s="9" t="inlineStr">
        <is>
          <t>条件触发：其他法器使敌方获得中毒时，对其施加 1 层禁疗；其他法器使敌方获得中毒时，对其施加 2 层禁疗；其他法器使敌方获得中毒时，对其施加 3 层禁疗；其他法器使敌方获得中毒时，对其施加 4 层禁疗</t>
        </is>
      </c>
      <c r="R602" s="9" t="inlineStr"/>
      <c r="S602" s="9" t="inlineStr">
        <is>
          <t>完整裂岩齿被束成狭长护佩，灰白石纹与深裂沿佩身自然延伸。</t>
        </is>
      </c>
      <c r="T602" s="8" t="inlineStr">
        <is>
          <t>implement_tieji_yanxi_cracked_tooth_heartguard_1x2</t>
        </is>
      </c>
      <c r="U602" s="8" t="inlineStr">
        <is>
          <t>allowed</t>
        </is>
      </c>
    </row>
    <row r="603" ht="34" customHeight="1">
      <c r="A603" s="8" t="n">
        <v>602</v>
      </c>
      <c r="B603" s="8" t="n">
        <v>411505</v>
      </c>
      <c r="C603" s="8" t="inlineStr">
        <is>
          <t>厚鳞护元甲</t>
        </is>
      </c>
      <c r="D603" s="8" t="inlineStr">
        <is>
          <t>法器</t>
        </is>
      </c>
      <c r="E603" s="8" t="inlineStr">
        <is>
          <t>implement</t>
        </is>
      </c>
      <c r="F603" s="8" t="inlineStr">
        <is>
          <t>common</t>
        </is>
      </c>
      <c r="G603" s="8" t="inlineStr">
        <is>
          <t>冰</t>
        </is>
      </c>
      <c r="H603" s="8" t="inlineStr">
        <is>
          <t>ice</t>
        </is>
      </c>
      <c r="I603" s="8" t="inlineStr">
        <is>
          <t>1×2</t>
        </is>
      </c>
      <c r="J603" s="8" t="n">
        <v>2</v>
      </c>
      <c r="K603" s="8" t="n">
        <v>45</v>
      </c>
      <c r="L603" s="8" t="inlineStr">
        <is>
          <t>是</t>
        </is>
      </c>
      <c r="M603" s="9" t="inlineStr">
        <is>
          <t>bazaar；dynamicRandomReward；itemReforge</t>
        </is>
      </c>
      <c r="N603" s="8" t="n">
        <v>1</v>
      </c>
      <c r="O603" s="9" t="inlineStr">
        <is>
          <t>说明/执行器</t>
        </is>
      </c>
      <c r="P603" s="9" t="inlineStr">
        <is>
          <t>effectNote</t>
        </is>
      </c>
      <c r="Q603" s="9" t="inlineStr">
        <is>
          <t>说明/执行器：累计获得50层凝金或寒冷时，恢复20点气血，并对敌方施加10层裂甲；累计获得50层凝金或寒冷时，恢复25点气血，并对敌方施加15层裂甲；累计获得50层凝金或寒冷时，恢复30点气血，并对敌方施加20层裂甲；累计获得50层凝金或寒冷时，恢复35点气血，并对敌方施加25层裂甲</t>
        </is>
      </c>
      <c r="R603" s="9" t="inlineStr"/>
      <c r="S603" s="9" t="inlineStr">
        <is>
          <t>铁脊厚鳞层叠如狭长护甲，鳞缘与铁灰冷光清晰分明。</t>
        </is>
      </c>
      <c r="T603" s="8" t="inlineStr">
        <is>
          <t>implement_tieji_yanxi_scale_vital_guard_1x2</t>
        </is>
      </c>
      <c r="U603" s="8" t="inlineStr">
        <is>
          <t>allowed</t>
        </is>
      </c>
    </row>
    <row r="604" ht="34" customHeight="1">
      <c r="A604" s="8" t="n">
        <v>603</v>
      </c>
      <c r="B604" s="8" t="n">
        <v>411550</v>
      </c>
      <c r="C604" s="8" t="inlineStr">
        <is>
          <t>牙纹聚势牌</t>
        </is>
      </c>
      <c r="D604" s="8" t="inlineStr">
        <is>
          <t>法器</t>
        </is>
      </c>
      <c r="E604" s="8" t="inlineStr">
        <is>
          <t>implement</t>
        </is>
      </c>
      <c r="F604" s="8" t="inlineStr">
        <is>
          <t>common</t>
        </is>
      </c>
      <c r="G604" s="8" t="inlineStr">
        <is>
          <t>土</t>
        </is>
      </c>
      <c r="H604" s="8" t="inlineStr">
        <is>
          <t>earth</t>
        </is>
      </c>
      <c r="I604" s="8" t="inlineStr">
        <is>
          <t>1×2</t>
        </is>
      </c>
      <c r="J604" s="8" t="n">
        <v>2</v>
      </c>
      <c r="K604" s="8" t="n">
        <v>40</v>
      </c>
      <c r="L604" s="8" t="inlineStr">
        <is>
          <t>是</t>
        </is>
      </c>
      <c r="M604" s="9" t="inlineStr">
        <is>
          <t>bazaar；dynamicRandomReward；itemReforge</t>
        </is>
      </c>
      <c r="N604" s="8" t="n">
        <v>1</v>
      </c>
      <c r="O604" s="9" t="inlineStr">
        <is>
          <t>条件触发</t>
        </is>
      </c>
      <c r="P604" s="9" t="inlineStr">
        <is>
          <t>triggered</t>
        </is>
      </c>
      <c r="Q604" s="9" t="inlineStr">
        <is>
          <t>条件触发：累计受到50点伤害后，消耗30层蓄势，对敌方造成50点伤害；累计受到75点伤害后，消耗30层蓄势，对敌方造成75点伤害；累计受到100点伤害后，消耗30层蓄势，对敌方造成100点伤害；累计受到125点伤害后，消耗30层蓄势，对敌方造成125点伤害</t>
        </is>
      </c>
      <c r="R604" s="9" t="inlineStr"/>
      <c r="S604" s="9" t="inlineStr">
        <is>
          <t>狭长阵框中央嵌着一枚岩蜥牙核，灰白横纹被铜扣层层围拢。</t>
        </is>
      </c>
      <c r="T604" s="8" t="inlineStr">
        <is>
          <t>implement_tieji_yanxi_tooth_gathering_array_1x2</t>
        </is>
      </c>
      <c r="U604" s="8" t="inlineStr">
        <is>
          <t>allowed</t>
        </is>
      </c>
    </row>
    <row r="605" ht="34" customHeight="1">
      <c r="A605" s="8" t="n">
        <v>604</v>
      </c>
      <c r="B605" s="8" t="n">
        <v>411551</v>
      </c>
      <c r="C605" s="8" t="inlineStr">
        <is>
          <t>鳞叠坚壁牌</t>
        </is>
      </c>
      <c r="D605" s="8" t="inlineStr">
        <is>
          <t>法器</t>
        </is>
      </c>
      <c r="E605" s="8" t="inlineStr">
        <is>
          <t>implement</t>
        </is>
      </c>
      <c r="F605" s="8" t="inlineStr">
        <is>
          <t>common</t>
        </is>
      </c>
      <c r="G605" s="8" t="inlineStr">
        <is>
          <t>冰</t>
        </is>
      </c>
      <c r="H605" s="8" t="inlineStr">
        <is>
          <t>ice</t>
        </is>
      </c>
      <c r="I605" s="8" t="inlineStr">
        <is>
          <t>1×2</t>
        </is>
      </c>
      <c r="J605" s="8" t="n">
        <v>2</v>
      </c>
      <c r="K605" s="8" t="n">
        <v>20</v>
      </c>
      <c r="L605" s="8" t="inlineStr">
        <is>
          <t>是</t>
        </is>
      </c>
      <c r="M605" s="9" t="inlineStr">
        <is>
          <t>bazaar；dynamicRandomReward；itemReforge</t>
        </is>
      </c>
      <c r="N605" s="8" t="n">
        <v>1</v>
      </c>
      <c r="O605" s="9" t="inlineStr">
        <is>
          <t>周期触发</t>
        </is>
      </c>
      <c r="P605" s="9" t="inlineStr">
        <is>
          <t>periodicPulse</t>
        </is>
      </c>
      <c r="Q605" s="9" t="inlineStr">
        <is>
          <t>周期触发：每相邻1件冰属性道具，获得3层护甲；每相邻1件冰属性道具，获得4层护甲；每相邻1件冰属性道具，获得5层护甲；每相邻1件冰属性道具，获得6层护甲</t>
        </is>
      </c>
      <c r="R605" s="9" t="inlineStr"/>
      <c r="S605" s="9" t="inlineStr">
        <is>
          <t>竖长阵框中央嵌着一枚铁脊厚鳞，细小侧刺围着核心依次排开。</t>
        </is>
      </c>
      <c r="T605" s="8" t="inlineStr">
        <is>
          <t>implement_tieji_yanxi_scale_bulwark_array_1x2</t>
        </is>
      </c>
      <c r="U605" s="8" t="inlineStr">
        <is>
          <t>allowed</t>
        </is>
      </c>
    </row>
    <row r="606" ht="34" customHeight="1">
      <c r="A606" s="8" t="n">
        <v>605</v>
      </c>
      <c r="B606" s="8" t="n">
        <v>411552</v>
      </c>
      <c r="C606" s="8" t="inlineStr">
        <is>
          <t>崩岩尾锤</t>
        </is>
      </c>
      <c r="D606" s="8" t="inlineStr">
        <is>
          <t>法器</t>
        </is>
      </c>
      <c r="E606" s="8" t="inlineStr">
        <is>
          <t>implement</t>
        </is>
      </c>
      <c r="F606" s="8" t="inlineStr">
        <is>
          <t>common</t>
        </is>
      </c>
      <c r="G606" s="8" t="inlineStr">
        <is>
          <t>火</t>
        </is>
      </c>
      <c r="H606" s="8" t="inlineStr">
        <is>
          <t>fire</t>
        </is>
      </c>
      <c r="I606" s="8" t="inlineStr">
        <is>
          <t>1×2</t>
        </is>
      </c>
      <c r="J606" s="8" t="n">
        <v>2</v>
      </c>
      <c r="K606" s="8" t="n">
        <v>24</v>
      </c>
      <c r="L606" s="8" t="inlineStr">
        <is>
          <t>是</t>
        </is>
      </c>
      <c r="M606" s="9" t="inlineStr">
        <is>
          <t>bazaar；dynamicRandomReward；itemReforge</t>
        </is>
      </c>
      <c r="N606" s="8" t="n">
        <v>1</v>
      </c>
      <c r="O606" s="9" t="inlineStr">
        <is>
          <t>周期触发</t>
        </is>
      </c>
      <c r="P606" s="9" t="inlineStr">
        <is>
          <t>periodicPulse</t>
        </is>
      </c>
      <c r="Q606" s="9" t="inlineStr">
        <is>
          <t>周期触发：每有1层炎热，移除敌方2层护甲</t>
        </is>
      </c>
      <c r="R606" s="9" t="inlineStr"/>
      <c r="S606" s="9" t="inlineStr">
        <is>
          <t>催动锤前端装着一截裂岩尾节，暗褐土屑仍卡在沉重石缝之间。</t>
        </is>
      </c>
      <c r="T606" s="8" t="inlineStr">
        <is>
          <t>implement_tieji_yanxi_rockfall_tail_hammer_1x2</t>
        </is>
      </c>
      <c r="U606" s="8" t="inlineStr">
        <is>
          <t>allowed</t>
        </is>
      </c>
    </row>
    <row r="607" ht="34" customHeight="1">
      <c r="A607" s="8" t="n">
        <v>606</v>
      </c>
      <c r="B607" s="8" t="n">
        <v>411700</v>
      </c>
      <c r="C607" s="8" t="inlineStr">
        <is>
          <t>玄砂镇脉环</t>
        </is>
      </c>
      <c r="D607" s="8" t="inlineStr">
        <is>
          <t>法器</t>
        </is>
      </c>
      <c r="E607" s="8" t="inlineStr">
        <is>
          <t>implement</t>
        </is>
      </c>
      <c r="F607" s="8" t="inlineStr">
        <is>
          <t>common</t>
        </is>
      </c>
      <c r="G607" s="8" t="inlineStr">
        <is>
          <t>冰</t>
        </is>
      </c>
      <c r="H607" s="8" t="inlineStr">
        <is>
          <t>ice</t>
        </is>
      </c>
      <c r="I607" s="8" t="inlineStr">
        <is>
          <t>2×2</t>
        </is>
      </c>
      <c r="J607" s="8" t="n">
        <v>4</v>
      </c>
      <c r="K607" s="8" t="n">
        <v>24</v>
      </c>
      <c r="L607" s="8" t="inlineStr">
        <is>
          <t>是</t>
        </is>
      </c>
      <c r="M607" s="9" t="inlineStr">
        <is>
          <t>bazaar；dynamicRandomReward；itemReforge</t>
        </is>
      </c>
      <c r="N607" s="8" t="n">
        <v>1</v>
      </c>
      <c r="O607" s="9" t="inlineStr">
        <is>
          <t>条件触发</t>
        </is>
      </c>
      <c r="P607" s="9" t="inlineStr">
        <is>
          <t>triggered</t>
        </is>
      </c>
      <c r="Q607" s="9" t="inlineStr">
        <is>
          <t>条件触发：每次获得蓄势时，获得1层寒冷；每次获得蓄势时，获得2层寒冷；每次获得蓄势时，获得3层寒冷；每次获得蓄势时，获得4层寒冷</t>
        </is>
      </c>
      <c r="R607" s="9" t="inlineStr"/>
      <c r="S607" s="9" t="inlineStr">
        <is>
          <t>玄砂蹄环被重铸成沉稳腕环，银白晶砂沿环脊凝成细密脉络。</t>
        </is>
      </c>
      <c r="T607" s="8" t="inlineStr">
        <is>
          <t>implement_xuansha_hoof_ring_meridian_brace_2x2</t>
        </is>
      </c>
      <c r="U607" s="8" t="inlineStr">
        <is>
          <t>allowed</t>
        </is>
      </c>
    </row>
    <row r="608" ht="34" customHeight="1">
      <c r="A608" s="8" t="n">
        <v>607</v>
      </c>
      <c r="B608" s="8" t="n">
        <v>411701</v>
      </c>
      <c r="C608" s="8" t="inlineStr">
        <is>
          <t>裂牙引水锥</t>
        </is>
      </c>
      <c r="D608" s="8" t="inlineStr">
        <is>
          <t>法器</t>
        </is>
      </c>
      <c r="E608" s="8" t="inlineStr">
        <is>
          <t>implement</t>
        </is>
      </c>
      <c r="F608" s="8" t="inlineStr">
        <is>
          <t>common</t>
        </is>
      </c>
      <c r="G608" s="8" t="inlineStr">
        <is>
          <t>poison</t>
        </is>
      </c>
      <c r="H608" s="8" t="inlineStr">
        <is>
          <t>poison</t>
        </is>
      </c>
      <c r="I608" s="8" t="inlineStr">
        <is>
          <t>1×2</t>
        </is>
      </c>
      <c r="J608" s="8" t="n">
        <v>2</v>
      </c>
      <c r="K608" s="8" t="n">
        <v>20</v>
      </c>
      <c r="L608" s="8" t="inlineStr">
        <is>
          <t>是</t>
        </is>
      </c>
      <c r="M608" s="9" t="inlineStr">
        <is>
          <t>bazaar；dynamicRandomReward；itemReforge</t>
        </is>
      </c>
      <c r="N608" s="8" t="n">
        <v>1</v>
      </c>
      <c r="O608" s="9" t="inlineStr">
        <is>
          <t>周期触发</t>
        </is>
      </c>
      <c r="P608" s="9" t="inlineStr">
        <is>
          <t>periodicPulse</t>
        </is>
      </c>
      <c r="Q608" s="9" t="inlineStr">
        <is>
          <t>周期触发：自身中毒时，对敌方施加 1 层禁疗；自身中毒时，对敌方施加 2 层禁疗；自身中毒时，对敌方施加 3 层禁疗；自身中毒时，对敌方施加 4 层禁疗</t>
        </is>
      </c>
      <c r="R608" s="9" t="inlineStr"/>
      <c r="S608" s="9" t="inlineStr">
        <is>
          <t>狭长裂牙磨作引水尖锥，玄砂裂纹间常有一线凉意流转。</t>
        </is>
      </c>
      <c r="T608" s="8" t="inlineStr">
        <is>
          <t>implement_xuansha_fang_channeling_awl_1x2</t>
        </is>
      </c>
      <c r="U608" s="8" t="inlineStr">
        <is>
          <t>allowed</t>
        </is>
      </c>
    </row>
    <row r="609" ht="34" customHeight="1">
      <c r="A609" s="8" t="n">
        <v>608</v>
      </c>
      <c r="B609" s="8" t="n">
        <v>411702</v>
      </c>
      <c r="C609" s="8" t="inlineStr">
        <is>
          <t>月砂护脉袖</t>
        </is>
      </c>
      <c r="D609" s="8" t="inlineStr">
        <is>
          <t>法器</t>
        </is>
      </c>
      <c r="E609" s="8" t="inlineStr">
        <is>
          <t>implement</t>
        </is>
      </c>
      <c r="F609" s="8" t="inlineStr">
        <is>
          <t>common</t>
        </is>
      </c>
      <c r="G609" s="8" t="inlineStr">
        <is>
          <t>冰</t>
        </is>
      </c>
      <c r="H609" s="8" t="inlineStr">
        <is>
          <t>ice</t>
        </is>
      </c>
      <c r="I609" s="8" t="inlineStr">
        <is>
          <t>1×2</t>
        </is>
      </c>
      <c r="J609" s="8" t="n">
        <v>2</v>
      </c>
      <c r="K609" s="8" t="n">
        <v>18</v>
      </c>
      <c r="L609" s="8" t="inlineStr">
        <is>
          <t>是</t>
        </is>
      </c>
      <c r="M609" s="9" t="inlineStr">
        <is>
          <t>bazaar；dynamicRandomReward；itemReforge</t>
        </is>
      </c>
      <c r="N609" s="8" t="n">
        <v>1</v>
      </c>
      <c r="O609" s="9" t="inlineStr">
        <is>
          <t>被动效果</t>
        </is>
      </c>
      <c r="P609" s="9" t="inlineStr">
        <is>
          <t>passive</t>
        </is>
      </c>
      <c r="Q609" s="9" t="inlineStr">
        <is>
          <t>被动效果：寒冷层数上限+3；寒冷层数上限+6；寒冷层数上限+9；寒冷层数上限+12</t>
        </is>
      </c>
      <c r="R609" s="9" t="inlineStr"/>
      <c r="S609" s="9" t="inlineStr">
        <is>
          <t>月砂厚皮缝成贴臂护袖，柔韧皮面在水光下泛起细碎银辉。</t>
        </is>
      </c>
      <c r="T609" s="8" t="inlineStr">
        <is>
          <t>implement_xuansha_hide_meridian_sleeve_1x2</t>
        </is>
      </c>
      <c r="U609" s="8" t="inlineStr">
        <is>
          <t>allowed</t>
        </is>
      </c>
    </row>
    <row r="610" ht="34" customHeight="1">
      <c r="A610" s="8" t="n">
        <v>609</v>
      </c>
      <c r="B610" s="8" t="n">
        <v>411703</v>
      </c>
      <c r="C610" s="8" t="inlineStr">
        <is>
          <t>颚爪定流钳</t>
        </is>
      </c>
      <c r="D610" s="8" t="inlineStr">
        <is>
          <t>法器</t>
        </is>
      </c>
      <c r="E610" s="8" t="inlineStr">
        <is>
          <t>implement</t>
        </is>
      </c>
      <c r="F610" s="8" t="inlineStr">
        <is>
          <t>common</t>
        </is>
      </c>
      <c r="G610" s="8" t="inlineStr">
        <is>
          <t>poison</t>
        </is>
      </c>
      <c r="H610" s="8" t="inlineStr">
        <is>
          <t>poison</t>
        </is>
      </c>
      <c r="I610" s="8" t="inlineStr">
        <is>
          <t>2×2</t>
        </is>
      </c>
      <c r="J610" s="8" t="n">
        <v>4</v>
      </c>
      <c r="K610" s="8" t="n">
        <v>12</v>
      </c>
      <c r="L610" s="8" t="inlineStr">
        <is>
          <t>是</t>
        </is>
      </c>
      <c r="M610" s="9" t="inlineStr">
        <is>
          <t>bazaar；dynamicRandomReward；itemReforge</t>
        </is>
      </c>
      <c r="N610" s="8" t="n">
        <v>1</v>
      </c>
      <c r="O610" s="9" t="inlineStr">
        <is>
          <t>周期触发</t>
        </is>
      </c>
      <c r="P610" s="9" t="inlineStr">
        <is>
          <t>periodicPulse</t>
        </is>
      </c>
      <c r="Q610" s="9" t="inlineStr">
        <is>
          <t>周期触发：消耗敌方3层中毒，对其造成1点伤害，每次造成伤害后，本局内效果升级；伤害；消耗敌方3层中毒，对其造成2点伤害，每次造成伤害后，本局内效果升级；消耗敌方3层中毒，对其造成3点伤害，每次造成伤害后，本局内效果升级；消耗敌方3层中毒，对其造成4点伤害，每次造成伤害后，本局内效果升级</t>
        </is>
      </c>
      <c r="R610" s="9" t="inlineStr"/>
      <c r="S610" s="9" t="inlineStr">
        <is>
          <t>两枚玄砂颚爪合为弧钳，咬合处嵌着暗蓝色的定流水纹。</t>
        </is>
      </c>
      <c r="T610" s="8" t="inlineStr">
        <is>
          <t>implement_xuansha_jaw_claw_flow_clamp_2x2</t>
        </is>
      </c>
      <c r="U610" s="8" t="inlineStr">
        <is>
          <t>allowed</t>
        </is>
      </c>
    </row>
    <row r="611" ht="34" customHeight="1">
      <c r="A611" s="8" t="n">
        <v>610</v>
      </c>
      <c r="B611" s="8" t="n">
        <v>411704</v>
      </c>
      <c r="C611" s="8" t="inlineStr">
        <is>
          <t>砂脉导息筒</t>
        </is>
      </c>
      <c r="D611" s="8" t="inlineStr">
        <is>
          <t>法器</t>
        </is>
      </c>
      <c r="E611" s="8" t="inlineStr">
        <is>
          <t>implement</t>
        </is>
      </c>
      <c r="F611" s="8" t="inlineStr">
        <is>
          <t>common</t>
        </is>
      </c>
      <c r="G611" s="8" t="inlineStr">
        <is>
          <t>木</t>
        </is>
      </c>
      <c r="H611" s="8" t="inlineStr">
        <is>
          <t>wood</t>
        </is>
      </c>
      <c r="I611" s="8" t="inlineStr">
        <is>
          <t>1×2</t>
        </is>
      </c>
      <c r="J611" s="8" t="n">
        <v>2</v>
      </c>
      <c r="K611" s="8" t="n">
        <v>20</v>
      </c>
      <c r="L611" s="8" t="inlineStr">
        <is>
          <t>是</t>
        </is>
      </c>
      <c r="M611" s="9" t="inlineStr">
        <is>
          <t>bazaar；dynamicRandomReward；itemReforge</t>
        </is>
      </c>
      <c r="N611" s="8" t="n">
        <v>1</v>
      </c>
      <c r="O611" s="9" t="inlineStr">
        <is>
          <t>被动效果</t>
        </is>
      </c>
      <c r="P611" s="9" t="inlineStr">
        <is>
          <t>passive</t>
        </is>
      </c>
      <c r="Q611" s="9" t="inlineStr">
        <is>
          <t>被动效果：再生层数上限+3；再生层数上限+6；再生层数上限+9；再生层数上限+12</t>
        </is>
      </c>
      <c r="R611" s="9" t="inlineStr"/>
      <c r="S611" s="9" t="inlineStr">
        <is>
          <t>砂脉须管束成细长导息筒，管壁晶点随吐纳明灭不定。</t>
        </is>
      </c>
      <c r="T611" s="8" t="inlineStr">
        <is>
          <t>implement_xuansha_whisker_breathing_tube_1x2</t>
        </is>
      </c>
      <c r="U611" s="8" t="inlineStr">
        <is>
          <t>allowed</t>
        </is>
      </c>
    </row>
    <row r="612" ht="34" customHeight="1">
      <c r="A612" s="8" t="n">
        <v>611</v>
      </c>
      <c r="B612" s="8" t="n">
        <v>411705</v>
      </c>
      <c r="C612" s="8" t="inlineStr">
        <is>
          <t>尾刺镇脉簪</t>
        </is>
      </c>
      <c r="D612" s="8" t="inlineStr">
        <is>
          <t>法器</t>
        </is>
      </c>
      <c r="E612" s="8" t="inlineStr">
        <is>
          <t>implement</t>
        </is>
      </c>
      <c r="F612" s="8" t="inlineStr">
        <is>
          <t>common</t>
        </is>
      </c>
      <c r="G612" s="8" t="inlineStr">
        <is>
          <t>poison</t>
        </is>
      </c>
      <c r="H612" s="8" t="inlineStr">
        <is>
          <t>poison</t>
        </is>
      </c>
      <c r="I612" s="8" t="inlineStr">
        <is>
          <t>1×2</t>
        </is>
      </c>
      <c r="J612" s="8" t="n">
        <v>2</v>
      </c>
      <c r="K612" s="8" t="n">
        <v>24</v>
      </c>
      <c r="L612" s="8" t="inlineStr">
        <is>
          <t>是</t>
        </is>
      </c>
      <c r="M612" s="9" t="inlineStr">
        <is>
          <t>bazaar；dynamicRandomReward；itemReforge</t>
        </is>
      </c>
      <c r="N612" s="8" t="n">
        <v>1</v>
      </c>
      <c r="O612" s="9" t="inlineStr">
        <is>
          <t>说明/执行器</t>
        </is>
      </c>
      <c r="P612" s="9" t="inlineStr">
        <is>
          <t>effectNote</t>
        </is>
      </c>
      <c r="Q612" s="9" t="inlineStr">
        <is>
          <t>说明/执行器：敌方气血首次低于 50% 时，对其施加 3 层禁疗和中毒；敌方气血首次低于 60% 时，对其施加 6 层禁疗和中毒；敌方气血首次低于 70% 时，对其施加 9 层禁疗和中毒；敌方气血首次低于 80% 时，对其施加 12 层禁疗和中毒</t>
        </is>
      </c>
      <c r="R612" s="9" t="inlineStr"/>
      <c r="S612" s="9" t="inlineStr">
        <is>
          <t>岩麂尾刺琢成素簪，碎月般的尖端收着一抹幽蓝砂光。</t>
        </is>
      </c>
      <c r="T612" s="8" t="inlineStr">
        <is>
          <t>implement_xuansha_tail_spine_meridian_pin_1x2</t>
        </is>
      </c>
      <c r="U612" s="8" t="inlineStr">
        <is>
          <t>allowed</t>
        </is>
      </c>
    </row>
    <row r="613" ht="34" customHeight="1">
      <c r="A613" s="8" t="n">
        <v>612</v>
      </c>
      <c r="B613" s="8" t="n">
        <v>411750</v>
      </c>
      <c r="C613" s="8" t="inlineStr">
        <is>
          <t>裂牙锁流法幢</t>
        </is>
      </c>
      <c r="D613" s="8" t="inlineStr">
        <is>
          <t>法器</t>
        </is>
      </c>
      <c r="E613" s="8" t="inlineStr">
        <is>
          <t>implement</t>
        </is>
      </c>
      <c r="F613" s="8" t="inlineStr">
        <is>
          <t>common</t>
        </is>
      </c>
      <c r="G613" s="8" t="inlineStr">
        <is>
          <t>水</t>
        </is>
      </c>
      <c r="H613" s="8" t="inlineStr">
        <is>
          <t>water</t>
        </is>
      </c>
      <c r="I613" s="8" t="inlineStr">
        <is>
          <t>1×2</t>
        </is>
      </c>
      <c r="J613" s="8" t="n">
        <v>2</v>
      </c>
      <c r="K613" s="8" t="n">
        <v>35</v>
      </c>
      <c r="L613" s="8" t="inlineStr">
        <is>
          <t>是</t>
        </is>
      </c>
      <c r="M613" s="9" t="inlineStr">
        <is>
          <t>bazaar；dynamicRandomReward；itemReforge</t>
        </is>
      </c>
      <c r="N613" s="8" t="n">
        <v>1</v>
      </c>
      <c r="O613" s="9" t="inlineStr">
        <is>
          <t>被动效果</t>
        </is>
      </c>
      <c r="P613" s="9" t="inlineStr">
        <is>
          <t>passive</t>
        </is>
      </c>
      <c r="Q613" s="9" t="inlineStr">
        <is>
          <t>被动效果：露水层数上限+1，每次击败境界比自己高的敌人，效果升级；露水层数上限</t>
        </is>
      </c>
      <c r="R613" s="9" t="inlineStr"/>
      <c r="S613" s="9" t="inlineStr">
        <is>
          <t>岩麂裂牙悬在窄长阵幢中央，玄砂纹路将游散水光层层锁住。</t>
        </is>
      </c>
      <c r="T613" s="8" t="inlineStr">
        <is>
          <t>implement_xuansha_fang_lockflow_pillar_1x2</t>
        </is>
      </c>
      <c r="U613" s="8" t="inlineStr">
        <is>
          <t>allowed</t>
        </is>
      </c>
    </row>
    <row r="614" ht="34" customHeight="1">
      <c r="A614" s="8" t="n">
        <v>613</v>
      </c>
      <c r="B614" s="8" t="n">
        <v>411751</v>
      </c>
      <c r="C614" s="8" t="inlineStr">
        <is>
          <t>须管回汐灵柱</t>
        </is>
      </c>
      <c r="D614" s="8" t="inlineStr">
        <is>
          <t>法器</t>
        </is>
      </c>
      <c r="E614" s="8" t="inlineStr">
        <is>
          <t>implement</t>
        </is>
      </c>
      <c r="F614" s="8" t="inlineStr">
        <is>
          <t>common</t>
        </is>
      </c>
      <c r="G614" s="8" t="inlineStr">
        <is>
          <t>冰</t>
        </is>
      </c>
      <c r="H614" s="8" t="inlineStr">
        <is>
          <t>ice</t>
        </is>
      </c>
      <c r="I614" s="8" t="inlineStr">
        <is>
          <t>1×2</t>
        </is>
      </c>
      <c r="J614" s="8" t="n">
        <v>2</v>
      </c>
      <c r="K614" s="8" t="n">
        <v>4</v>
      </c>
      <c r="L614" s="8" t="inlineStr">
        <is>
          <t>是</t>
        </is>
      </c>
      <c r="M614" s="9" t="inlineStr">
        <is>
          <t>bazaar；dynamicRandomReward；itemReforge</t>
        </is>
      </c>
      <c r="N614" s="8" t="n">
        <v>1</v>
      </c>
      <c r="O614" s="9" t="inlineStr">
        <is>
          <t>被动效果</t>
        </is>
      </c>
      <c r="P614" s="9" t="inlineStr">
        <is>
          <t>passive</t>
        </is>
      </c>
      <c r="Q614" s="9" t="inlineStr">
        <is>
          <t>被动效果：寒冷层数上限+1，每次击败境界比自己高的敌人，效果升级；寒冷层数上限</t>
        </is>
      </c>
      <c r="R614" s="9" t="inlineStr"/>
      <c r="S614" s="9" t="inlineStr">
        <is>
          <t>砂脉须管盘绕在细长阵柱核心，晶点随着回汐般的蓝光次第亮起。</t>
        </is>
      </c>
      <c r="T614" s="8" t="inlineStr">
        <is>
          <t>implement_xuansha_whisker_returning_tide_pillar_1x2</t>
        </is>
      </c>
      <c r="U614" s="8" t="inlineStr">
        <is>
          <t>allowed</t>
        </is>
      </c>
    </row>
    <row r="615" ht="34" customHeight="1">
      <c r="A615" s="8" t="n">
        <v>614</v>
      </c>
      <c r="B615" s="8" t="n">
        <v>411752</v>
      </c>
      <c r="C615" s="8" t="inlineStr">
        <is>
          <t>碎月尾刺法幢</t>
        </is>
      </c>
      <c r="D615" s="8" t="inlineStr">
        <is>
          <t>法器</t>
        </is>
      </c>
      <c r="E615" s="8" t="inlineStr">
        <is>
          <t>implement</t>
        </is>
      </c>
      <c r="F615" s="8" t="inlineStr">
        <is>
          <t>common</t>
        </is>
      </c>
      <c r="G615" s="8" t="inlineStr">
        <is>
          <t>冰</t>
        </is>
      </c>
      <c r="H615" s="8" t="inlineStr">
        <is>
          <t>ice</t>
        </is>
      </c>
      <c r="I615" s="8" t="inlineStr">
        <is>
          <t>1×2</t>
        </is>
      </c>
      <c r="J615" s="8" t="n">
        <v>2</v>
      </c>
      <c r="K615" s="8" t="n">
        <v>25</v>
      </c>
      <c r="L615" s="8" t="inlineStr">
        <is>
          <t>是</t>
        </is>
      </c>
      <c r="M615" s="9" t="inlineStr">
        <is>
          <t>bazaar；dynamicRandomReward；itemReforge</t>
        </is>
      </c>
      <c r="N615" s="8" t="n">
        <v>1</v>
      </c>
      <c r="O615" s="9" t="inlineStr">
        <is>
          <t>周期触发</t>
        </is>
      </c>
      <c r="P615" s="9" t="inlineStr">
        <is>
          <t>periodicPulse</t>
        </is>
      </c>
      <c r="Q615" s="9" t="inlineStr">
        <is>
          <t>周期触发：敌方有不少于40层寒冷时，对其施加 10 层凝滞；敌方有不少于40层寒冷时，对其施加 15 层凝滞；敌方有不少于40层寒冷时，对其施加 20 层凝滞；敌方有不少于40层寒冷时，对其施加 25 层凝滞</t>
        </is>
      </c>
      <c r="R615" s="9" t="inlineStr"/>
      <c r="S615" s="9" t="inlineStr">
        <is>
          <t>岩麂尾刺嵌在挂幢中央，碎月尖芒把垂落水纹分成两道静流。</t>
        </is>
      </c>
      <c r="T615" s="8" t="inlineStr">
        <is>
          <t>implement_xuansha_tail_spine_moonshard_banner_1x2</t>
        </is>
      </c>
      <c r="U615" s="8" t="inlineStr">
        <is>
          <t>allowed</t>
        </is>
      </c>
    </row>
    <row r="616" ht="34" customHeight="1">
      <c r="A616" s="8" t="n">
        <v>615</v>
      </c>
      <c r="B616" s="8" t="n">
        <v>411753</v>
      </c>
      <c r="C616" s="8" t="inlineStr">
        <is>
          <t>月砂缚水索</t>
        </is>
      </c>
      <c r="D616" s="8" t="inlineStr">
        <is>
          <t>法器</t>
        </is>
      </c>
      <c r="E616" s="8" t="inlineStr">
        <is>
          <t>implement</t>
        </is>
      </c>
      <c r="F616" s="8" t="inlineStr">
        <is>
          <t>common</t>
        </is>
      </c>
      <c r="G616" s="8" t="inlineStr">
        <is>
          <t>poison</t>
        </is>
      </c>
      <c r="H616" s="8" t="inlineStr">
        <is>
          <t>poison</t>
        </is>
      </c>
      <c r="I616" s="8" t="inlineStr">
        <is>
          <t>1×2</t>
        </is>
      </c>
      <c r="J616" s="8" t="n">
        <v>2</v>
      </c>
      <c r="K616" s="8" t="n">
        <v>15</v>
      </c>
      <c r="L616" s="8" t="inlineStr">
        <is>
          <t>是</t>
        </is>
      </c>
      <c r="M616" s="9" t="inlineStr">
        <is>
          <t>bazaar；dynamicRandomReward；itemReforge</t>
        </is>
      </c>
      <c r="N616" s="8" t="n">
        <v>1</v>
      </c>
      <c r="O616" s="9" t="inlineStr">
        <is>
          <t>说明/执行器</t>
        </is>
      </c>
      <c r="P616" s="9" t="inlineStr">
        <is>
          <t>effectNote</t>
        </is>
      </c>
      <c r="Q616" s="9" t="inlineStr">
        <is>
          <t>说明/执行器：相邻毒属性法器使用时，消耗1点体力，对敌方施加 1 层乱流；相邻毒属性法器使用时，消耗1点体力，对敌方施加 2 层乱流；相邻毒属性法器使用时，消耗1点体力，对敌方施加 3 层乱流；相邻毒属性法器使用时，消耗1点体力，对敌方施加 4 层乱流</t>
        </is>
      </c>
      <c r="R616" s="9" t="inlineStr"/>
      <c r="S616" s="9" t="inlineStr">
        <is>
          <t>月砂厚皮裁成柔韧索束，前端水钩在挥动时卷起一线银蓝弧光。</t>
        </is>
      </c>
      <c r="T616" s="8" t="inlineStr">
        <is>
          <t>implement_xuansha_hide_water_binding_rope_1x2</t>
        </is>
      </c>
      <c r="U616" s="8" t="inlineStr">
        <is>
          <t>allowed</t>
        </is>
      </c>
    </row>
    <row r="617" ht="34" customHeight="1">
      <c r="A617" s="8" t="n">
        <v>616</v>
      </c>
      <c r="B617" s="8" t="n">
        <v>411754</v>
      </c>
      <c r="C617" s="8" t="inlineStr">
        <is>
          <t>颚爪旋裂钺</t>
        </is>
      </c>
      <c r="D617" s="8" t="inlineStr">
        <is>
          <t>法器</t>
        </is>
      </c>
      <c r="E617" s="8" t="inlineStr">
        <is>
          <t>implement</t>
        </is>
      </c>
      <c r="F617" s="8" t="inlineStr">
        <is>
          <t>common</t>
        </is>
      </c>
      <c r="G617" s="8" t="inlineStr">
        <is>
          <t>poison</t>
        </is>
      </c>
      <c r="H617" s="8" t="inlineStr">
        <is>
          <t>poison</t>
        </is>
      </c>
      <c r="I617" s="8" t="inlineStr">
        <is>
          <t>2×2</t>
        </is>
      </c>
      <c r="J617" s="8" t="n">
        <v>4</v>
      </c>
      <c r="K617" s="8" t="n">
        <v>16</v>
      </c>
      <c r="L617" s="8" t="inlineStr">
        <is>
          <t>是</t>
        </is>
      </c>
      <c r="M617" s="9" t="inlineStr">
        <is>
          <t>bazaar；dynamicRandomReward；itemReforge</t>
        </is>
      </c>
      <c r="N617" s="8" t="n">
        <v>1</v>
      </c>
      <c r="O617" s="9" t="inlineStr">
        <is>
          <t>条件触发</t>
        </is>
      </c>
      <c r="P617" s="9" t="inlineStr">
        <is>
          <t>triggered</t>
        </is>
      </c>
      <c r="Q617" s="9" t="inlineStr">
        <is>
          <t>条件触发：其他法器使敌方获得中毒时，将3层露水转化为4层乱流并施加于敌方；其他法器使敌方获得中毒时，将3层露水转化为6层乱流并施加于敌方；其他法器使敌方获得中毒时，将3层露水转化为8层乱流并施加于敌方；其他法器使敌方获得中毒时，将3层露水转化为10层乱流并施加于敌方</t>
        </is>
      </c>
      <c r="R617" s="9" t="inlineStr"/>
      <c r="S617" s="9" t="inlineStr">
        <is>
          <t>回旋钺的弯刃由颚爪咬合成环，旋起时暗蓝砂光沿刃口疾走。</t>
        </is>
      </c>
      <c r="T617" s="8" t="inlineStr">
        <is>
          <t>implement_xuansha_jaw_claw_rending_chakram_2x2</t>
        </is>
      </c>
      <c r="U617" s="8" t="inlineStr">
        <is>
          <t>allowed</t>
        </is>
      </c>
    </row>
    <row r="618" ht="34" customHeight="1">
      <c r="A618" s="8" t="n">
        <v>617</v>
      </c>
      <c r="B618" s="8" t="n">
        <v>411800</v>
      </c>
      <c r="C618" s="8" t="inlineStr">
        <is>
          <t>尘骨镇脉尺</t>
        </is>
      </c>
      <c r="D618" s="8" t="inlineStr">
        <is>
          <t>法器</t>
        </is>
      </c>
      <c r="E618" s="8" t="inlineStr">
        <is>
          <t>implement</t>
        </is>
      </c>
      <c r="F618" s="8" t="inlineStr">
        <is>
          <t>common</t>
        </is>
      </c>
      <c r="G618" s="8" t="inlineStr">
        <is>
          <t>木</t>
        </is>
      </c>
      <c r="H618" s="8" t="inlineStr">
        <is>
          <t>wood</t>
        </is>
      </c>
      <c r="I618" s="8" t="inlineStr">
        <is>
          <t>2×2</t>
        </is>
      </c>
      <c r="J618" s="8" t="n">
        <v>4</v>
      </c>
      <c r="K618" s="8" t="n">
        <v>35</v>
      </c>
      <c r="L618" s="8" t="inlineStr">
        <is>
          <t>是</t>
        </is>
      </c>
      <c r="M618" s="9" t="inlineStr">
        <is>
          <t>bazaar；dynamicRandomReward；itemReforge</t>
        </is>
      </c>
      <c r="N618" s="8" t="n">
        <v>1</v>
      </c>
      <c r="O618" s="9" t="inlineStr">
        <is>
          <t>周期触发</t>
        </is>
      </c>
      <c r="P618" s="9" t="inlineStr">
        <is>
          <t>periodicPulse</t>
        </is>
      </c>
      <c r="Q618" s="9" t="inlineStr">
        <is>
          <t>周期触发：消耗7层再生，对敌方施加15 层禁疗；消耗7层再生，对敌方施加20 层禁疗；消耗7层再生，对敌方施加25 层禁疗；消耗7层再生，对敌方施加30 层禁疗</t>
        </is>
      </c>
      <c r="R618" s="9" t="inlineStr"/>
      <c r="S618" s="9" t="inlineStr">
        <is>
          <t>尾骨节被磨成弯尺，骨缝里的砂粒随气机轻轻收束，握久了仍有野路风尘的粗粝感。</t>
        </is>
      </c>
      <c r="T618" s="8" t="inlineStr">
        <is>
          <t>implement_yelu_chenxi_tailbone_meridian_ruler_2x2</t>
        </is>
      </c>
      <c r="U618" s="8" t="inlineStr">
        <is>
          <t>allowed</t>
        </is>
      </c>
    </row>
    <row r="619" ht="34" customHeight="1">
      <c r="A619" s="8" t="n">
        <v>618</v>
      </c>
      <c r="B619" s="8" t="n">
        <v>411801</v>
      </c>
      <c r="C619" s="8" t="inlineStr">
        <is>
          <t>砂鳞承甲</t>
        </is>
      </c>
      <c r="D619" s="8" t="inlineStr">
        <is>
          <t>法器</t>
        </is>
      </c>
      <c r="E619" s="8" t="inlineStr">
        <is>
          <t>implement</t>
        </is>
      </c>
      <c r="F619" s="8" t="inlineStr">
        <is>
          <t>common</t>
        </is>
      </c>
      <c r="G619" s="8" t="inlineStr">
        <is>
          <t>木</t>
        </is>
      </c>
      <c r="H619" s="8" t="inlineStr">
        <is>
          <t>wood</t>
        </is>
      </c>
      <c r="I619" s="8" t="inlineStr">
        <is>
          <t>2×2</t>
        </is>
      </c>
      <c r="J619" s="8" t="n">
        <v>4</v>
      </c>
      <c r="K619" s="8" t="n">
        <v>20</v>
      </c>
      <c r="L619" s="8" t="inlineStr">
        <is>
          <t>是</t>
        </is>
      </c>
      <c r="M619" s="9" t="inlineStr">
        <is>
          <t>bazaar；dynamicRandomReward；itemReforge</t>
        </is>
      </c>
      <c r="N619" s="8" t="n">
        <v>1</v>
      </c>
      <c r="O619" s="9" t="inlineStr">
        <is>
          <t>条件触发</t>
        </is>
      </c>
      <c r="P619" s="9" t="inlineStr">
        <is>
          <t>triggered</t>
        </is>
      </c>
      <c r="Q619" s="9" t="inlineStr">
        <is>
          <t>条件触发：每获得10层坚硬，获得 2 层再生；每获得10层坚硬，获得 4 层再生；每获得10层坚硬，获得 6 层再生；每获得10层坚硬，获得 8 层再生</t>
        </is>
      </c>
      <c r="R619" s="9" t="inlineStr"/>
      <c r="S619" s="9" t="inlineStr">
        <is>
          <t>砂色鳞皮层层叠作宽甲，卷边被铜筋压住，触手仍能摸到细密坚韧的鳞粒。</t>
        </is>
      </c>
      <c r="T619" s="8" t="inlineStr">
        <is>
          <t>implement_yelu_chenxi_sandy_scale_guard_2x2</t>
        </is>
      </c>
      <c r="U619" s="8" t="inlineStr">
        <is>
          <t>allowed</t>
        </is>
      </c>
    </row>
    <row r="620" ht="34" customHeight="1">
      <c r="A620" s="8" t="n">
        <v>619</v>
      </c>
      <c r="B620" s="8" t="n">
        <v>411802</v>
      </c>
      <c r="C620" s="8" t="inlineStr">
        <is>
          <t>草骨稳息钳</t>
        </is>
      </c>
      <c r="D620" s="8" t="inlineStr">
        <is>
          <t>法器</t>
        </is>
      </c>
      <c r="E620" s="8" t="inlineStr">
        <is>
          <t>implement</t>
        </is>
      </c>
      <c r="F620" s="8" t="inlineStr">
        <is>
          <t>common</t>
        </is>
      </c>
      <c r="G620" s="8" t="inlineStr">
        <is>
          <t>木</t>
        </is>
      </c>
      <c r="H620" s="8" t="inlineStr">
        <is>
          <t>wood</t>
        </is>
      </c>
      <c r="I620" s="8" t="inlineStr">
        <is>
          <t>2×2</t>
        </is>
      </c>
      <c r="J620" s="8" t="n">
        <v>4</v>
      </c>
      <c r="K620" s="8" t="n">
        <v>24</v>
      </c>
      <c r="L620" s="8" t="inlineStr">
        <is>
          <t>是</t>
        </is>
      </c>
      <c r="M620" s="9" t="inlineStr">
        <is>
          <t>bazaar；dynamicRandomReward；itemReforge</t>
        </is>
      </c>
      <c r="N620" s="8" t="n">
        <v>1</v>
      </c>
      <c r="O620" s="9" t="inlineStr">
        <is>
          <t>条件触发</t>
        </is>
      </c>
      <c r="P620" s="9" t="inlineStr">
        <is>
          <t>triggered</t>
        </is>
      </c>
      <c r="Q620" s="9" t="inlineStr">
        <is>
          <t>条件触发：累积对敌方施加10层禁疗时，恢复20点气血</t>
        </is>
      </c>
      <c r="R620" s="9" t="inlineStr"/>
      <c r="S620" s="9" t="inlineStr">
        <is>
          <t>爪节与骨臼合成宽钳，干草绳紧紧缠住关节，开合间带出枯草的清涩气味。</t>
        </is>
      </c>
      <c r="T620" s="8" t="inlineStr">
        <is>
          <t>implement_yelu_chenxi_dry_claw_stabilizing_clamp_2x2</t>
        </is>
      </c>
      <c r="U620" s="8" t="inlineStr">
        <is>
          <t>allowed</t>
        </is>
      </c>
    </row>
    <row r="621" ht="34" customHeight="1">
      <c r="A621" s="8" t="n">
        <v>620</v>
      </c>
      <c r="B621" s="8" t="n">
        <v>411803</v>
      </c>
      <c r="C621" s="8" t="inlineStr">
        <is>
          <t>腹甲护元匣</t>
        </is>
      </c>
      <c r="D621" s="8" t="inlineStr">
        <is>
          <t>法器</t>
        </is>
      </c>
      <c r="E621" s="8" t="inlineStr">
        <is>
          <t>implement</t>
        </is>
      </c>
      <c r="F621" s="8" t="inlineStr">
        <is>
          <t>common</t>
        </is>
      </c>
      <c r="G621" s="8" t="inlineStr">
        <is>
          <t>冰</t>
        </is>
      </c>
      <c r="H621" s="8" t="inlineStr">
        <is>
          <t>ice</t>
        </is>
      </c>
      <c r="I621" s="8" t="inlineStr">
        <is>
          <t>2×2</t>
        </is>
      </c>
      <c r="J621" s="8" t="n">
        <v>4</v>
      </c>
      <c r="K621" s="8" t="n">
        <v>40</v>
      </c>
      <c r="L621" s="8" t="inlineStr">
        <is>
          <t>是</t>
        </is>
      </c>
      <c r="M621" s="9" t="inlineStr">
        <is>
          <t>bazaar；dynamicRandomReward；itemReforge</t>
        </is>
      </c>
      <c r="N621" s="8" t="n">
        <v>1</v>
      </c>
      <c r="O621" s="9" t="inlineStr">
        <is>
          <t>条件触发</t>
        </is>
      </c>
      <c r="P621" s="9" t="inlineStr">
        <is>
          <t>triggered</t>
        </is>
      </c>
      <c r="Q621" s="9" t="inlineStr">
        <is>
          <t>条件触发：未贴住储物袋边缘时，我方寒冷消耗时，获得1层蓄势</t>
        </is>
      </c>
      <c r="R621" s="9" t="inlineStr"/>
      <c r="S621" s="9" t="inlineStr">
        <is>
          <t>腹甲弧片合成沉厚护匣，旧苔仍留在甲缝里，匣盖闭合时像蜥腹缩成一团。</t>
        </is>
      </c>
      <c r="T621" s="8" t="inlineStr">
        <is>
          <t>implement_yelu_chenxi_bellyplate_guard_coffer_2x2</t>
        </is>
      </c>
      <c r="U621" s="8" t="inlineStr">
        <is>
          <t>allowed</t>
        </is>
      </c>
    </row>
    <row r="622" ht="34" customHeight="1">
      <c r="A622" s="8" t="n">
        <v>621</v>
      </c>
      <c r="B622" s="8" t="n">
        <v>411900</v>
      </c>
      <c r="C622" s="8" t="inlineStr">
        <is>
          <t>青麟玉衣承脉披</t>
        </is>
      </c>
      <c r="D622" s="8" t="inlineStr">
        <is>
          <t>法器</t>
        </is>
      </c>
      <c r="E622" s="8" t="inlineStr">
        <is>
          <t>implement</t>
        </is>
      </c>
      <c r="F622" s="8" t="inlineStr">
        <is>
          <t>common</t>
        </is>
      </c>
      <c r="G622" s="8" t="inlineStr">
        <is>
          <t>火</t>
        </is>
      </c>
      <c r="H622" s="8" t="inlineStr">
        <is>
          <t>fire</t>
        </is>
      </c>
      <c r="I622" s="8" t="inlineStr">
        <is>
          <t>2×1</t>
        </is>
      </c>
      <c r="J622" s="8" t="n">
        <v>2</v>
      </c>
      <c r="K622" s="8" t="n">
        <v>20</v>
      </c>
      <c r="L622" s="8" t="inlineStr">
        <is>
          <t>是</t>
        </is>
      </c>
      <c r="M622" s="9" t="inlineStr">
        <is>
          <t>bazaar；dynamicRandomReward；itemReforge</t>
        </is>
      </c>
      <c r="N622" s="8" t="n">
        <v>1</v>
      </c>
      <c r="O622" s="9" t="inlineStr">
        <is>
          <t>说明/执行器</t>
        </is>
      </c>
      <c r="P622" s="9" t="inlineStr">
        <is>
          <t>effectNote</t>
        </is>
      </c>
      <c r="Q622" s="9" t="inlineStr">
        <is>
          <t>说明/执行器：其他法器消耗我方炎热时，消耗1点法力，对敌方施加 1 层裂甲；其他法器消耗我方炎热时，消耗1点法力，对敌方施加 2 层裂甲；其他法器消耗我方炎热时，消耗1点法力，对敌方施加 3 层裂甲；其他法器消耗我方炎热时，消耗1点法力，对敌方施加 4 层裂甲</t>
        </is>
      </c>
      <c r="R622" s="9" t="inlineStr"/>
      <c r="S622" s="9" t="inlineStr">
        <is>
          <t>青麟玉衣沿玉纹叠作短披，鳞面温润，边缘以青丝收束。</t>
        </is>
      </c>
      <c r="T622" s="8" t="inlineStr">
        <is>
          <t>implement_qinglin_scale_mantle_2x1</t>
        </is>
      </c>
      <c r="U622" s="8" t="inlineStr">
        <is>
          <t>allowed</t>
        </is>
      </c>
    </row>
    <row r="623" ht="34" customHeight="1">
      <c r="A623" s="8" t="n">
        <v>622</v>
      </c>
      <c r="B623" s="8" t="n">
        <v>411901</v>
      </c>
      <c r="C623" s="8" t="inlineStr">
        <is>
          <t>玉核裂髓镇息杖</t>
        </is>
      </c>
      <c r="D623" s="8" t="inlineStr">
        <is>
          <t>法器</t>
        </is>
      </c>
      <c r="E623" s="8" t="inlineStr">
        <is>
          <t>implement</t>
        </is>
      </c>
      <c r="F623" s="8" t="inlineStr">
        <is>
          <t>common</t>
        </is>
      </c>
      <c r="G623" s="8" t="inlineStr">
        <is>
          <t>木</t>
        </is>
      </c>
      <c r="H623" s="8" t="inlineStr">
        <is>
          <t>wood</t>
        </is>
      </c>
      <c r="I623" s="8" t="inlineStr">
        <is>
          <t>1×2</t>
        </is>
      </c>
      <c r="J623" s="8" t="n">
        <v>2</v>
      </c>
      <c r="K623" s="8" t="n">
        <v>35</v>
      </c>
      <c r="L623" s="8" t="inlineStr">
        <is>
          <t>是</t>
        </is>
      </c>
      <c r="M623" s="9" t="inlineStr">
        <is>
          <t>bazaar；dynamicRandomReward；itemReforge</t>
        </is>
      </c>
      <c r="N623" s="8" t="n">
        <v>1</v>
      </c>
      <c r="O623" s="9" t="inlineStr">
        <is>
          <t>条件触发</t>
        </is>
      </c>
      <c r="P623" s="9" t="inlineStr">
        <is>
          <t>triggered</t>
        </is>
      </c>
      <c r="Q623" s="9" t="inlineStr">
        <is>
          <t>条件触发：累计获得15点法力后，获得3层再生；累计获得15点法力后，获得6层再生；累计获得15点法力后，获得9层再生；累计获得15点法力后，获得12层再生</t>
        </is>
      </c>
      <c r="R623" s="9" t="inlineStr"/>
      <c r="S623" s="9" t="inlineStr">
        <is>
          <t>玉核裂髓顺裂纹接成长杖，青光沉在杖脊深处，触手温凉。</t>
        </is>
      </c>
      <c r="T623" s="8" t="inlineStr">
        <is>
          <t>implement_qinglin_core_staff_1x2</t>
        </is>
      </c>
      <c r="U623" s="8" t="inlineStr">
        <is>
          <t>allowed</t>
        </is>
      </c>
    </row>
    <row r="624" ht="34" customHeight="1">
      <c r="A624" s="8" t="n">
        <v>623</v>
      </c>
      <c r="B624" s="8" t="n">
        <v>411902</v>
      </c>
      <c r="C624" s="8" t="inlineStr">
        <is>
          <t>返光灵囊纳息匣</t>
        </is>
      </c>
      <c r="D624" s="8" t="inlineStr">
        <is>
          <t>法器</t>
        </is>
      </c>
      <c r="E624" s="8" t="inlineStr">
        <is>
          <t>implement</t>
        </is>
      </c>
      <c r="F624" s="8" t="inlineStr">
        <is>
          <t>common</t>
        </is>
      </c>
      <c r="G624" s="8" t="inlineStr">
        <is>
          <t>木</t>
        </is>
      </c>
      <c r="H624" s="8" t="inlineStr">
        <is>
          <t>wood</t>
        </is>
      </c>
      <c r="I624" s="8" t="inlineStr">
        <is>
          <t>2×1</t>
        </is>
      </c>
      <c r="J624" s="8" t="n">
        <v>2</v>
      </c>
      <c r="K624" s="8" t="n">
        <v>4</v>
      </c>
      <c r="L624" s="8" t="inlineStr">
        <is>
          <t>是</t>
        </is>
      </c>
      <c r="M624" s="9" t="inlineStr">
        <is>
          <t>bazaar；dynamicRandomReward；itemReforge</t>
        </is>
      </c>
      <c r="N624" s="8" t="n">
        <v>1</v>
      </c>
      <c r="O624" s="9" t="inlineStr">
        <is>
          <t>条件触发</t>
        </is>
      </c>
      <c r="P624" s="9" t="inlineStr">
        <is>
          <t>triggered</t>
        </is>
      </c>
      <c r="Q624" s="9" t="inlineStr">
        <is>
          <t>条件触发：累计获得50层再生后，消耗20层再生，获得100点修为；累计获得60层再生后，消耗30层再生，获得150点修为；累计获得70层再生后，消耗40层再生，获得200点修为；累计获得80层再生后，消耗50层再生，获得250点修为</t>
        </is>
      </c>
      <c r="R624" s="9" t="inlineStr"/>
      <c r="S624" s="9" t="inlineStr">
        <is>
          <t>返光灵囊舒展成透亮软匣，囊壁裹住木框，流光在夹层间缓缓游移。</t>
        </is>
      </c>
      <c r="T624" s="8" t="inlineStr">
        <is>
          <t>implement_qinglin_light_vessel_2x1</t>
        </is>
      </c>
      <c r="U624" s="8" t="inlineStr">
        <is>
          <t>allowed</t>
        </is>
      </c>
    </row>
    <row r="625" ht="34" customHeight="1">
      <c r="A625" s="8" t="n">
        <v>624</v>
      </c>
      <c r="B625" s="8" t="n">
        <v>411903</v>
      </c>
      <c r="C625" s="8" t="inlineStr">
        <is>
          <t>青麟护膜护腕</t>
        </is>
      </c>
      <c r="D625" s="8" t="inlineStr">
        <is>
          <t>法器</t>
        </is>
      </c>
      <c r="E625" s="8" t="inlineStr">
        <is>
          <t>implement</t>
        </is>
      </c>
      <c r="F625" s="8" t="inlineStr">
        <is>
          <t>common</t>
        </is>
      </c>
      <c r="G625" s="8" t="inlineStr">
        <is>
          <t>木</t>
        </is>
      </c>
      <c r="H625" s="8" t="inlineStr">
        <is>
          <t>wood</t>
        </is>
      </c>
      <c r="I625" s="8" t="inlineStr">
        <is>
          <t>2×1</t>
        </is>
      </c>
      <c r="J625" s="8" t="n">
        <v>2</v>
      </c>
      <c r="K625" s="8" t="n">
        <v>3</v>
      </c>
      <c r="L625" s="8" t="inlineStr">
        <is>
          <t>是</t>
        </is>
      </c>
      <c r="M625" s="9" t="inlineStr">
        <is>
          <t>bazaar；dynamicRandomReward；itemReforge</t>
        </is>
      </c>
      <c r="N625" s="8" t="n">
        <v>1</v>
      </c>
      <c r="O625" s="9" t="inlineStr">
        <is>
          <t>条件触发</t>
        </is>
      </c>
      <c r="P625" s="9" t="inlineStr">
        <is>
          <t>triggered</t>
        </is>
      </c>
      <c r="Q625" s="9" t="inlineStr">
        <is>
          <t>条件触发：右侧相邻木属性道具使用时，获得2层护甲；右侧相邻木属性道具使用时，获得3层护甲；右侧相邻木属性道具使用时，获得4层护甲；右侧相邻木属性道具使用时，获得5层护甲</t>
        </is>
      </c>
      <c r="R625" s="9" t="inlineStr"/>
      <c r="S625" s="9" t="inlineStr">
        <is>
          <t>青麟护膜张覆在弧形盾骨上，薄膜紧绷如玉，边缘泛着柔青微光。</t>
        </is>
      </c>
      <c r="T625" s="8" t="inlineStr">
        <is>
          <t>implement_qinglin_membrane_buckler_2x1</t>
        </is>
      </c>
      <c r="U625" s="8" t="inlineStr">
        <is>
          <t>allowed</t>
        </is>
      </c>
    </row>
    <row r="626" ht="34" customHeight="1">
      <c r="A626" s="8" t="n">
        <v>625</v>
      </c>
      <c r="B626" s="8" t="n">
        <v>411904</v>
      </c>
      <c r="C626" s="8" t="inlineStr">
        <is>
          <t>玉台软皮承露腕</t>
        </is>
      </c>
      <c r="D626" s="8" t="inlineStr">
        <is>
          <t>法器</t>
        </is>
      </c>
      <c r="E626" s="8" t="inlineStr">
        <is>
          <t>implement</t>
        </is>
      </c>
      <c r="F626" s="8" t="inlineStr">
        <is>
          <t>common</t>
        </is>
      </c>
      <c r="G626" s="8" t="inlineStr">
        <is>
          <t>木</t>
        </is>
      </c>
      <c r="H626" s="8" t="inlineStr">
        <is>
          <t>wood</t>
        </is>
      </c>
      <c r="I626" s="8" t="inlineStr">
        <is>
          <t>2×1</t>
        </is>
      </c>
      <c r="J626" s="8" t="n">
        <v>2</v>
      </c>
      <c r="K626" s="8" t="n">
        <v>20</v>
      </c>
      <c r="L626" s="8" t="inlineStr">
        <is>
          <t>是</t>
        </is>
      </c>
      <c r="M626" s="9" t="inlineStr">
        <is>
          <t>bazaar；dynamicRandomReward；itemReforge</t>
        </is>
      </c>
      <c r="N626" s="8" t="n">
        <v>1</v>
      </c>
      <c r="O626" s="9" t="inlineStr">
        <is>
          <t>周期触发</t>
        </is>
      </c>
      <c r="P626" s="9" t="inlineStr">
        <is>
          <t>periodicPulse</t>
        </is>
      </c>
      <c r="Q626" s="9" t="inlineStr">
        <is>
          <t>周期触发：获得2层敏捷，如果再生层数超过30层，再获得2层敏捷；如果再生层数超过30层，再获得2层敏捷；获得3层敏捷，如果再生层数超过30层，再获得3层敏捷；如果再生层数超过30层，再获得3层敏捷；获得4层敏捷，如果再生层数超过30层，再获得4层敏捷；如果再生层数超过30层，再获得4层敏捷；获得5层敏捷，如果再生层数超过30层，再获得5层敏捷；如果再生层数超过30层，再获得5层敏捷</t>
        </is>
      </c>
      <c r="R626" s="9" t="inlineStr"/>
      <c r="S626" s="9" t="inlineStr">
        <is>
          <t>玉台软皮缠覆成宽腕甲，细玉纹理顺着皮面铺开，扣环温润无棱。</t>
        </is>
      </c>
      <c r="T626" s="8" t="inlineStr">
        <is>
          <t>implement_qinglin_hide_bracer_2x1</t>
        </is>
      </c>
      <c r="U626" s="8" t="inlineStr">
        <is>
          <t>allowed</t>
        </is>
      </c>
    </row>
    <row r="627" ht="34" customHeight="1">
      <c r="A627" s="8" t="n">
        <v>626</v>
      </c>
      <c r="B627" s="8" t="n">
        <v>411905</v>
      </c>
      <c r="C627" s="8" t="inlineStr">
        <is>
          <t>台心露核恒息炉</t>
        </is>
      </c>
      <c r="D627" s="8" t="inlineStr">
        <is>
          <t>法器</t>
        </is>
      </c>
      <c r="E627" s="8" t="inlineStr">
        <is>
          <t>implement</t>
        </is>
      </c>
      <c r="F627" s="8" t="inlineStr">
        <is>
          <t>common</t>
        </is>
      </c>
      <c r="G627" s="8" t="inlineStr">
        <is>
          <t>木</t>
        </is>
      </c>
      <c r="H627" s="8" t="inlineStr">
        <is>
          <t>wood</t>
        </is>
      </c>
      <c r="I627" s="8" t="inlineStr">
        <is>
          <t>2×1</t>
        </is>
      </c>
      <c r="J627" s="8" t="n">
        <v>2</v>
      </c>
      <c r="K627" s="8" t="n">
        <v>4</v>
      </c>
      <c r="L627" s="8" t="inlineStr">
        <is>
          <t>是</t>
        </is>
      </c>
      <c r="M627" s="9" t="inlineStr">
        <is>
          <t>bazaar；dynamicRandomReward；itemReforge</t>
        </is>
      </c>
      <c r="N627" s="8" t="n">
        <v>1</v>
      </c>
      <c r="O627" s="9" t="inlineStr">
        <is>
          <t>周期触发</t>
        </is>
      </c>
      <c r="P627" s="9" t="inlineStr">
        <is>
          <t>periodicPulse</t>
        </is>
      </c>
      <c r="Q627" s="9" t="inlineStr">
        <is>
          <t>周期触发：将10层再生转化为20点修为；将15层再生转化为30点修为；将20层再生转化为40点修为；将25层再生转化为50点修为</t>
        </is>
      </c>
      <c r="R627" s="9" t="inlineStr"/>
      <c r="S627" s="9" t="inlineStr">
        <is>
          <t>台心露核嵌成横卧小炉，清露在炉腹内回旋，外壳泛着温青玉泽。</t>
        </is>
      </c>
      <c r="T627" s="8" t="inlineStr">
        <is>
          <t>implement_qinglin_dew_censer_2x1</t>
        </is>
      </c>
      <c r="U627" s="8" t="inlineStr">
        <is>
          <t>allowed</t>
        </is>
      </c>
    </row>
    <row r="628" ht="34" customHeight="1">
      <c r="A628" s="8" t="n">
        <v>627</v>
      </c>
      <c r="B628" s="8" t="n">
        <v>411906</v>
      </c>
      <c r="C628" s="8" t="inlineStr">
        <is>
          <t>青玉根须固元杖</t>
        </is>
      </c>
      <c r="D628" s="8" t="inlineStr">
        <is>
          <t>法器</t>
        </is>
      </c>
      <c r="E628" s="8" t="inlineStr">
        <is>
          <t>implement</t>
        </is>
      </c>
      <c r="F628" s="8" t="inlineStr">
        <is>
          <t>common</t>
        </is>
      </c>
      <c r="G628" s="8" t="inlineStr">
        <is>
          <t>木</t>
        </is>
      </c>
      <c r="H628" s="8" t="inlineStr">
        <is>
          <t>wood</t>
        </is>
      </c>
      <c r="I628" s="8" t="inlineStr">
        <is>
          <t>2×1</t>
        </is>
      </c>
      <c r="J628" s="8" t="n">
        <v>2</v>
      </c>
      <c r="K628" s="8" t="n">
        <v>25</v>
      </c>
      <c r="L628" s="8" t="inlineStr">
        <is>
          <t>是</t>
        </is>
      </c>
      <c r="M628" s="9" t="inlineStr">
        <is>
          <t>bazaar；dynamicRandomReward；itemReforge</t>
        </is>
      </c>
      <c r="N628" s="8" t="n">
        <v>1</v>
      </c>
      <c r="O628" s="9" t="inlineStr">
        <is>
          <t>周期触发</t>
        </is>
      </c>
      <c r="P628" s="9" t="inlineStr">
        <is>
          <t>periodicPulse</t>
        </is>
      </c>
      <c r="Q628" s="9" t="inlineStr">
        <is>
          <t>周期触发：将20点气血转化为5层再生；将24点气血转化为6层再生；将28点气血转化为7层再生；将32点气血转化为8层再生</t>
        </is>
      </c>
      <c r="R628" s="9" t="inlineStr"/>
      <c r="S628" s="9" t="inlineStr">
        <is>
          <t>青玉根须绞合成短杖，根端彼此盘扣，表面仍留着鲜活的青润纹路。</t>
        </is>
      </c>
      <c r="T628" s="8" t="inlineStr">
        <is>
          <t>implement_qinglin_root_baton_2x1</t>
        </is>
      </c>
      <c r="U628" s="8" t="inlineStr">
        <is>
          <t>allowed</t>
        </is>
      </c>
    </row>
    <row r="629" ht="34" customHeight="1">
      <c r="A629" s="8" t="n">
        <v>628</v>
      </c>
      <c r="B629" s="8" t="n">
        <v>411907</v>
      </c>
      <c r="C629" s="8" t="inlineStr">
        <is>
          <t>青麟息芽养元杖</t>
        </is>
      </c>
      <c r="D629" s="8" t="inlineStr">
        <is>
          <t>法器</t>
        </is>
      </c>
      <c r="E629" s="8" t="inlineStr">
        <is>
          <t>implement</t>
        </is>
      </c>
      <c r="F629" s="8" t="inlineStr">
        <is>
          <t>common</t>
        </is>
      </c>
      <c r="G629" s="8" t="inlineStr">
        <is>
          <t>木</t>
        </is>
      </c>
      <c r="H629" s="8" t="inlineStr">
        <is>
          <t>wood</t>
        </is>
      </c>
      <c r="I629" s="8" t="inlineStr">
        <is>
          <t>1×2</t>
        </is>
      </c>
      <c r="J629" s="8" t="n">
        <v>2</v>
      </c>
      <c r="K629" s="8" t="n">
        <v>30</v>
      </c>
      <c r="L629" s="8" t="inlineStr">
        <is>
          <t>是</t>
        </is>
      </c>
      <c r="M629" s="9" t="inlineStr">
        <is>
          <t>bazaar；dynamicRandomReward；itemReforge</t>
        </is>
      </c>
      <c r="N629" s="8" t="n">
        <v>1</v>
      </c>
      <c r="O629" s="9" t="inlineStr">
        <is>
          <t>周期触发</t>
        </is>
      </c>
      <c r="P629" s="9" t="inlineStr">
        <is>
          <t>periodicPulse</t>
        </is>
      </c>
      <c r="Q629" s="9" t="inlineStr">
        <is>
          <t>周期触发：如果气血超过50%，将20点气血转化为10点法力；如果气血超过50%，将24点气血转化为12点法力；如果气血超过50%，将28点气血转化为14点法力；如果气血超过50%，将32点气血转化为16点法力</t>
        </is>
      </c>
      <c r="R629" s="9" t="inlineStr"/>
      <c r="S629" s="9" t="inlineStr">
        <is>
          <t>青麟息芽顺势长成竖直短杖，芽尖含光，细茎外覆一层青玉薄壳。</t>
        </is>
      </c>
      <c r="T629" s="8" t="inlineStr">
        <is>
          <t>implement_qinglin_sprout_scepter_1x2</t>
        </is>
      </c>
      <c r="U629" s="8" t="inlineStr">
        <is>
          <t>allowed</t>
        </is>
      </c>
    </row>
    <row r="630" ht="34" customHeight="1">
      <c r="A630" s="8" t="n">
        <v>629</v>
      </c>
      <c r="B630" s="8" t="n">
        <v>411950</v>
      </c>
      <c r="C630" s="8" t="inlineStr">
        <is>
          <t>玉核裂髓引流图腾</t>
        </is>
      </c>
      <c r="D630" s="8" t="inlineStr">
        <is>
          <t>法器</t>
        </is>
      </c>
      <c r="E630" s="8" t="inlineStr">
        <is>
          <t>implement</t>
        </is>
      </c>
      <c r="F630" s="8" t="inlineStr">
        <is>
          <t>common</t>
        </is>
      </c>
      <c r="G630" s="8" t="inlineStr">
        <is>
          <t>冰</t>
        </is>
      </c>
      <c r="H630" s="8" t="inlineStr">
        <is>
          <t>ice</t>
        </is>
      </c>
      <c r="I630" s="8" t="inlineStr">
        <is>
          <t>1×2</t>
        </is>
      </c>
      <c r="J630" s="8" t="n">
        <v>2</v>
      </c>
      <c r="K630" s="8" t="n">
        <v>28</v>
      </c>
      <c r="L630" s="8" t="inlineStr">
        <is>
          <t>是</t>
        </is>
      </c>
      <c r="M630" s="9" t="inlineStr">
        <is>
          <t>bazaar；dynamicRandomReward；itemReforge</t>
        </is>
      </c>
      <c r="N630" s="8" t="n">
        <v>1</v>
      </c>
      <c r="O630" s="9" t="inlineStr">
        <is>
          <t>说明/执行器</t>
        </is>
      </c>
      <c r="P630" s="9" t="inlineStr">
        <is>
          <t>effectNote</t>
        </is>
      </c>
      <c r="Q630" s="9" t="inlineStr">
        <is>
          <t>说明/执行器：每获得30层寒冷，将5点法力转化为8层露水；每获得28层寒冷，将5点法力转化为10层露水；每获得26层寒冷，将5点法力转化为12层露水；每获得24层寒冷，将5点法力转化为14层露水</t>
        </is>
      </c>
      <c r="R630" s="9" t="inlineStr"/>
      <c r="S630" s="9" t="inlineStr">
        <is>
          <t>裂髓嵌在竖直阵柱中央，细密青纹由核心向上下舒展。</t>
        </is>
      </c>
      <c r="T630" s="8" t="inlineStr">
        <is>
          <t>implement_qinglin_core_totem_1x2</t>
        </is>
      </c>
      <c r="U630" s="8" t="inlineStr">
        <is>
          <t>allowed</t>
        </is>
      </c>
    </row>
    <row r="631" ht="34" customHeight="1">
      <c r="A631" s="8" t="n">
        <v>630</v>
      </c>
      <c r="B631" s="8" t="n">
        <v>411951</v>
      </c>
      <c r="C631" s="8" t="inlineStr">
        <is>
          <t>返光灵囊渡辉桥</t>
        </is>
      </c>
      <c r="D631" s="8" t="inlineStr">
        <is>
          <t>法器</t>
        </is>
      </c>
      <c r="E631" s="8" t="inlineStr">
        <is>
          <t>implement</t>
        </is>
      </c>
      <c r="F631" s="8" t="inlineStr">
        <is>
          <t>common</t>
        </is>
      </c>
      <c r="G631" s="8" t="inlineStr">
        <is>
          <t>冰</t>
        </is>
      </c>
      <c r="H631" s="8" t="inlineStr">
        <is>
          <t>ice</t>
        </is>
      </c>
      <c r="I631" s="8" t="inlineStr">
        <is>
          <t>2×1</t>
        </is>
      </c>
      <c r="J631" s="8" t="n">
        <v>2</v>
      </c>
      <c r="K631" s="8" t="n">
        <v>40</v>
      </c>
      <c r="L631" s="8" t="inlineStr">
        <is>
          <t>是</t>
        </is>
      </c>
      <c r="M631" s="9" t="inlineStr">
        <is>
          <t>bazaar；dynamicRandomReward；itemReforge</t>
        </is>
      </c>
      <c r="N631" s="8" t="n">
        <v>1</v>
      </c>
      <c r="O631" s="9" t="inlineStr">
        <is>
          <t>周期触发</t>
        </is>
      </c>
      <c r="P631" s="9" t="inlineStr">
        <is>
          <t>periodicPulse</t>
        </is>
      </c>
      <c r="Q631" s="9" t="inlineStr">
        <is>
          <t>周期触发：左侧相邻冰属性招式、右侧相邻土属性招式时，恢复50点体力和50点法力；左侧相邻冰属性招式、右侧相邻土属性招式时，恢复60点体力和60点法力；左侧相邻冰属性招式、右侧相邻土属性招式时，恢复70点体力和70点法力；左侧相邻冰属性招式、右侧相邻土属性招式时，恢复80点体力和80点法力</t>
        </is>
      </c>
      <c r="R631" s="9" t="inlineStr"/>
      <c r="S631" s="9" t="inlineStr">
        <is>
          <t>灵囊薄膜镶在横向阵桥中央，柔亮囊壁牵起两端青辉。</t>
        </is>
      </c>
      <c r="T631" s="8" t="inlineStr">
        <is>
          <t>implement_qinglin_light_bridge_2x1</t>
        </is>
      </c>
      <c r="U631" s="8" t="inlineStr">
        <is>
          <t>allowed</t>
        </is>
      </c>
    </row>
    <row r="632" ht="34" customHeight="1">
      <c r="A632" s="8" t="n">
        <v>631</v>
      </c>
      <c r="B632" s="8" t="n">
        <v>411952</v>
      </c>
      <c r="C632" s="8" t="inlineStr">
        <is>
          <t>青玉根须通脉渠</t>
        </is>
      </c>
      <c r="D632" s="8" t="inlineStr">
        <is>
          <t>法器</t>
        </is>
      </c>
      <c r="E632" s="8" t="inlineStr">
        <is>
          <t>implement</t>
        </is>
      </c>
      <c r="F632" s="8" t="inlineStr">
        <is>
          <t>common</t>
        </is>
      </c>
      <c r="G632" s="8" t="inlineStr">
        <is>
          <t>木</t>
        </is>
      </c>
      <c r="H632" s="8" t="inlineStr">
        <is>
          <t>wood</t>
        </is>
      </c>
      <c r="I632" s="8" t="inlineStr">
        <is>
          <t>2×1</t>
        </is>
      </c>
      <c r="J632" s="8" t="n">
        <v>2</v>
      </c>
      <c r="K632" s="8" t="n">
        <v>20</v>
      </c>
      <c r="L632" s="8" t="inlineStr">
        <is>
          <t>是</t>
        </is>
      </c>
      <c r="M632" s="9" t="inlineStr">
        <is>
          <t>bazaar；dynamicRandomReward；itemReforge</t>
        </is>
      </c>
      <c r="N632" s="8" t="n">
        <v>1</v>
      </c>
      <c r="O632" s="9" t="inlineStr">
        <is>
          <t>周期触发</t>
        </is>
      </c>
      <c r="P632" s="9" t="inlineStr">
        <is>
          <t>periodicPulse</t>
        </is>
      </c>
      <c r="Q632" s="9" t="inlineStr">
        <is>
          <t>周期触发：将10点气血转化为10点修为；将10点气血转化为15点修为；将10点气血转化为20点修为；将10点气血转化为25点修为</t>
        </is>
      </c>
      <c r="R632" s="9" t="inlineStr"/>
      <c r="S632" s="9" t="inlineStr">
        <is>
          <t>根须沿横向阵渠编排，细根在中央汇流，再向两侧舒展。</t>
        </is>
      </c>
      <c r="T632" s="8" t="inlineStr">
        <is>
          <t>implement_qinglin_root_channel_2x1</t>
        </is>
      </c>
      <c r="U632" s="8" t="inlineStr">
        <is>
          <t>allowed</t>
        </is>
      </c>
    </row>
    <row r="633" ht="34" customHeight="1">
      <c r="A633" s="8" t="n">
        <v>632</v>
      </c>
      <c r="B633" s="8" t="n">
        <v>411953</v>
      </c>
      <c r="C633" s="8" t="inlineStr">
        <is>
          <t>青麟玉衣旋鳞扇</t>
        </is>
      </c>
      <c r="D633" s="8" t="inlineStr">
        <is>
          <t>法器</t>
        </is>
      </c>
      <c r="E633" s="8" t="inlineStr">
        <is>
          <t>implement</t>
        </is>
      </c>
      <c r="F633" s="8" t="inlineStr">
        <is>
          <t>common</t>
        </is>
      </c>
      <c r="G633" s="8" t="inlineStr">
        <is>
          <t>风</t>
        </is>
      </c>
      <c r="H633" s="8" t="inlineStr">
        <is>
          <t>wind</t>
        </is>
      </c>
      <c r="I633" s="8" t="inlineStr">
        <is>
          <t>2×1</t>
        </is>
      </c>
      <c r="J633" s="8" t="n">
        <v>2</v>
      </c>
      <c r="K633" s="8" t="n">
        <v>18</v>
      </c>
      <c r="L633" s="8" t="inlineStr">
        <is>
          <t>是</t>
        </is>
      </c>
      <c r="M633" s="9" t="inlineStr">
        <is>
          <t>bazaar；dynamicRandomReward；itemReforge</t>
        </is>
      </c>
      <c r="N633" s="8" t="n">
        <v>1</v>
      </c>
      <c r="O633" s="9" t="inlineStr">
        <is>
          <t>周期触发</t>
        </is>
      </c>
      <c r="P633" s="9" t="inlineStr">
        <is>
          <t>periodicPulse</t>
        </is>
      </c>
      <c r="Q633" s="9" t="inlineStr">
        <is>
          <t>周期触发：消耗5点法力，对敌方造成8点伤害，自身获得2秒加速；自身获得2秒加速；消耗5点法力，对敌方造成10点伤害，自身获得2秒加速；消耗5点法力，对敌方造成12点伤害，自身获得2秒加速；消耗5点法力，对敌方造成14点伤害，自身获得2秒加速</t>
        </is>
      </c>
      <c r="R633" s="9" t="inlineStr"/>
      <c r="S633" s="9" t="inlineStr">
        <is>
          <t>数片玉衣裁作旋扇，鳞缘层层错开，握柄处凝着一线青光。</t>
        </is>
      </c>
      <c r="T633" s="8" t="inlineStr">
        <is>
          <t>implement_qinglin_scale_fan_2x1</t>
        </is>
      </c>
      <c r="U633" s="8" t="inlineStr">
        <is>
          <t>allowed</t>
        </is>
      </c>
    </row>
    <row r="634" ht="34" customHeight="1">
      <c r="A634" s="8" t="n">
        <v>633</v>
      </c>
      <c r="B634" s="8" t="n">
        <v>411954</v>
      </c>
      <c r="C634" s="8" t="inlineStr">
        <is>
          <t>青麟护膜回旋盘</t>
        </is>
      </c>
      <c r="D634" s="8" t="inlineStr">
        <is>
          <t>法器</t>
        </is>
      </c>
      <c r="E634" s="8" t="inlineStr">
        <is>
          <t>implement</t>
        </is>
      </c>
      <c r="F634" s="8" t="inlineStr">
        <is>
          <t>common</t>
        </is>
      </c>
      <c r="G634" s="8" t="inlineStr">
        <is>
          <t>木</t>
        </is>
      </c>
      <c r="H634" s="8" t="inlineStr">
        <is>
          <t>wood</t>
        </is>
      </c>
      <c r="I634" s="8" t="inlineStr">
        <is>
          <t>2×1</t>
        </is>
      </c>
      <c r="J634" s="8" t="n">
        <v>2</v>
      </c>
      <c r="K634" s="8" t="n">
        <v>20</v>
      </c>
      <c r="L634" s="8" t="inlineStr">
        <is>
          <t>是</t>
        </is>
      </c>
      <c r="M634" s="9" t="inlineStr">
        <is>
          <t>bazaar；dynamicRandomReward；itemReforge</t>
        </is>
      </c>
      <c r="N634" s="8" t="n">
        <v>1</v>
      </c>
      <c r="O634" s="9" t="inlineStr">
        <is>
          <t>周期触发</t>
        </is>
      </c>
      <c r="P634" s="9" t="inlineStr">
        <is>
          <t>periodicPulse</t>
        </is>
      </c>
      <c r="Q634" s="9" t="inlineStr">
        <is>
          <t>周期触发：消耗4点体力，获得10层敏捷和3层护甲；消耗4点体力，获得12层敏捷和4层护甲；消耗4点体力，获得14层敏捷和5层护甲；消耗4点体力，获得16层敏捷和6层护甲</t>
        </is>
      </c>
      <c r="R634" s="9" t="inlineStr"/>
      <c r="S634" s="9" t="inlineStr">
        <is>
          <t>青麟护膜绷成轻薄圆盘，柔韧膜面包住锋缘，盘心留有青色脉络。</t>
        </is>
      </c>
      <c r="T634" s="8" t="inlineStr">
        <is>
          <t>implement_qinglin_membrane_disc_2x1</t>
        </is>
      </c>
      <c r="U634" s="8" t="inlineStr">
        <is>
          <t>allowed</t>
        </is>
      </c>
    </row>
    <row r="635" ht="34" customHeight="1">
      <c r="A635" s="8" t="n">
        <v>634</v>
      </c>
      <c r="B635" s="8" t="n">
        <v>411955</v>
      </c>
      <c r="C635" s="8" t="inlineStr">
        <is>
          <t>玉台软皮缚灵索</t>
        </is>
      </c>
      <c r="D635" s="8" t="inlineStr">
        <is>
          <t>法器</t>
        </is>
      </c>
      <c r="E635" s="8" t="inlineStr">
        <is>
          <t>implement</t>
        </is>
      </c>
      <c r="F635" s="8" t="inlineStr">
        <is>
          <t>common</t>
        </is>
      </c>
      <c r="G635" s="8" t="inlineStr">
        <is>
          <t>木</t>
        </is>
      </c>
      <c r="H635" s="8" t="inlineStr">
        <is>
          <t>wood</t>
        </is>
      </c>
      <c r="I635" s="8" t="inlineStr">
        <is>
          <t>2×1</t>
        </is>
      </c>
      <c r="J635" s="8" t="n">
        <v>2</v>
      </c>
      <c r="K635" s="8" t="n">
        <v>10</v>
      </c>
      <c r="L635" s="8" t="inlineStr">
        <is>
          <t>是</t>
        </is>
      </c>
      <c r="M635" s="9" t="inlineStr">
        <is>
          <t>bazaar；dynamicRandomReward；itemReforge</t>
        </is>
      </c>
      <c r="N635" s="8" t="n">
        <v>1</v>
      </c>
      <c r="O635" s="9" t="inlineStr">
        <is>
          <t>周期触发</t>
        </is>
      </c>
      <c r="P635" s="9" t="inlineStr">
        <is>
          <t>periodicPulse</t>
        </is>
      </c>
      <c r="Q635" s="9" t="inlineStr">
        <is>
          <t>周期触发：消耗3点法力，对敌方施加 3 层禁疗；消耗3点法力，对敌方施加 6 层禁疗；消耗3点法力，对敌方施加 9 层禁疗；消耗3点法力，对敌方施加 12 层禁疗</t>
        </is>
      </c>
      <c r="R635" s="9" t="inlineStr"/>
      <c r="S635" s="9" t="inlineStr">
        <is>
          <t>玉台软皮绞成柔韧套索，索结包着一枚青扣，尾端自然卷曲。</t>
        </is>
      </c>
      <c r="T635" s="8" t="inlineStr">
        <is>
          <t>implement_qinglin_hide_snare_2x1</t>
        </is>
      </c>
      <c r="U635" s="8" t="inlineStr">
        <is>
          <t>allowed</t>
        </is>
      </c>
    </row>
    <row r="636" ht="34" customHeight="1">
      <c r="A636" s="8" t="n">
        <v>635</v>
      </c>
      <c r="B636" s="8" t="n">
        <v>411956</v>
      </c>
      <c r="C636" s="8" t="inlineStr">
        <is>
          <t>台心露核聚露珠</t>
        </is>
      </c>
      <c r="D636" s="8" t="inlineStr">
        <is>
          <t>法器</t>
        </is>
      </c>
      <c r="E636" s="8" t="inlineStr">
        <is>
          <t>implement</t>
        </is>
      </c>
      <c r="F636" s="8" t="inlineStr">
        <is>
          <t>common</t>
        </is>
      </c>
      <c r="G636" s="8" t="inlineStr">
        <is>
          <t>木</t>
        </is>
      </c>
      <c r="H636" s="8" t="inlineStr">
        <is>
          <t>wood</t>
        </is>
      </c>
      <c r="I636" s="8" t="inlineStr">
        <is>
          <t>2×1</t>
        </is>
      </c>
      <c r="J636" s="8" t="n">
        <v>2</v>
      </c>
      <c r="K636" s="8" t="n">
        <v>18</v>
      </c>
      <c r="L636" s="8" t="inlineStr">
        <is>
          <t>是</t>
        </is>
      </c>
      <c r="M636" s="9" t="inlineStr">
        <is>
          <t>bazaar；dynamicRandomReward；itemReforge</t>
        </is>
      </c>
      <c r="N636" s="8" t="n">
        <v>1</v>
      </c>
      <c r="O636" s="9" t="inlineStr">
        <is>
          <t>周期触发</t>
        </is>
      </c>
      <c r="P636" s="9" t="inlineStr">
        <is>
          <t>periodicPulse</t>
        </is>
      </c>
      <c r="Q636" s="9" t="inlineStr">
        <is>
          <t>周期触发：消耗20层露水，对敌方施加20层禁疗和20层乱流；消耗20层露水；对敌方施加20层禁疗和20层乱流；消耗20层露水，对敌方施加25层禁疗和25层乱流；对敌方施加25层禁疗和25层乱流；消耗20层露水，对敌方施加30层禁疗和30层乱流；对敌方施加30层禁疗和30层乱流；消耗20层露水，对敌方施加35层禁疗和35层乱流；对敌方施加35层禁疗和35层乱流</t>
        </is>
      </c>
      <c r="R636" s="9" t="inlineStr"/>
      <c r="S636" s="9" t="inlineStr">
        <is>
          <t>台心露核包入圆润投珠，露水紧贴内壁旋动，珠尾缀着短穗。</t>
        </is>
      </c>
      <c r="T636" s="8" t="inlineStr">
        <is>
          <t>implement_qinglin_dew_orb_2x1</t>
        </is>
      </c>
      <c r="U636" s="8" t="inlineStr">
        <is>
          <t>allowed</t>
        </is>
      </c>
    </row>
    <row r="637" ht="34" customHeight="1">
      <c r="A637" s="8" t="n">
        <v>636</v>
      </c>
      <c r="B637" s="8" t="n">
        <v>411957</v>
      </c>
      <c r="C637" s="8" t="inlineStr">
        <is>
          <t>青麟息芽破风针</t>
        </is>
      </c>
      <c r="D637" s="8" t="inlineStr">
        <is>
          <t>法器</t>
        </is>
      </c>
      <c r="E637" s="8" t="inlineStr">
        <is>
          <t>implement</t>
        </is>
      </c>
      <c r="F637" s="8" t="inlineStr">
        <is>
          <t>common</t>
        </is>
      </c>
      <c r="G637" s="8" t="inlineStr">
        <is>
          <t>poison</t>
        </is>
      </c>
      <c r="H637" s="8" t="inlineStr">
        <is>
          <t>poison</t>
        </is>
      </c>
      <c r="I637" s="8" t="inlineStr">
        <is>
          <t>1×2</t>
        </is>
      </c>
      <c r="J637" s="8" t="n">
        <v>2</v>
      </c>
      <c r="K637" s="8" t="n">
        <v>25</v>
      </c>
      <c r="L637" s="8" t="inlineStr">
        <is>
          <t>是</t>
        </is>
      </c>
      <c r="M637" s="9" t="inlineStr">
        <is>
          <t>bazaar；dynamicRandomReward；itemReforge</t>
        </is>
      </c>
      <c r="N637" s="8" t="n">
        <v>1</v>
      </c>
      <c r="O637" s="9" t="inlineStr">
        <is>
          <t>周期触发</t>
        </is>
      </c>
      <c r="P637" s="9" t="inlineStr">
        <is>
          <t>periodicPulse</t>
        </is>
      </c>
      <c r="Q637" s="9" t="inlineStr">
        <is>
          <t>周期触发：对敌方施加 2 层中毒2次；对敌方施加 2 层中毒；对敌方施加 3 层中毒2次；对敌方施加 3 层中毒；对敌方施加 4 层中毒2次；对敌方施加 4 层中毒；对敌方施加 5 层中毒2次；对敌方施加 5 层中毒</t>
        </is>
      </c>
      <c r="R637" s="9" t="inlineStr"/>
      <c r="S637" s="9" t="inlineStr">
        <is>
          <t>青麟息芽的芽尖收成修长飞针，锋芒凝在前端，尾叶贴合针身收拢。</t>
        </is>
      </c>
      <c r="T637" s="8" t="inlineStr">
        <is>
          <t>implement_qinglin_sprout_needle_1x2</t>
        </is>
      </c>
      <c r="U637" s="8" t="inlineStr">
        <is>
          <t>allowed</t>
        </is>
      </c>
    </row>
    <row r="638" ht="34" customHeight="1">
      <c r="A638" s="8" t="n">
        <v>637</v>
      </c>
      <c r="B638" s="8" t="n">
        <v>412000</v>
      </c>
      <c r="C638" s="8" t="inlineStr">
        <is>
          <t>蛇蜕护匣</t>
        </is>
      </c>
      <c r="D638" s="8" t="inlineStr">
        <is>
          <t>法器</t>
        </is>
      </c>
      <c r="E638" s="8" t="inlineStr">
        <is>
          <t>implement</t>
        </is>
      </c>
      <c r="F638" s="8" t="inlineStr">
        <is>
          <t>common</t>
        </is>
      </c>
      <c r="G638" s="8" t="inlineStr">
        <is>
          <t>木</t>
        </is>
      </c>
      <c r="H638" s="8" t="inlineStr">
        <is>
          <t>wood</t>
        </is>
      </c>
      <c r="I638" s="8" t="inlineStr">
        <is>
          <t>2×2</t>
        </is>
      </c>
      <c r="J638" s="8" t="n">
        <v>4</v>
      </c>
      <c r="K638" s="8" t="n">
        <v>1</v>
      </c>
      <c r="L638" s="8" t="inlineStr">
        <is>
          <t>是</t>
        </is>
      </c>
      <c r="M638" s="9" t="inlineStr">
        <is>
          <t>bazaar；dynamicRandomReward；itemReforge</t>
        </is>
      </c>
      <c r="N638" s="8" t="n">
        <v>1</v>
      </c>
      <c r="O638" s="9" t="inlineStr">
        <is>
          <t>被动效果</t>
        </is>
      </c>
      <c r="P638" s="9" t="inlineStr">
        <is>
          <t>passive</t>
        </is>
      </c>
      <c r="Q638" s="9" t="inlineStr">
        <is>
          <t>被动效果：再生层数上限+1，每次击败境界比自己高的敌人，效果升级；再生层数上限</t>
        </is>
      </c>
      <c r="R638" s="9" t="inlineStr"/>
      <c r="S638" s="9" t="inlineStr">
        <is>
          <t>层层蛇蜕束成护匣，触手温韧，启合无声。</t>
        </is>
      </c>
      <c r="T638" s="8" t="inlineStr">
        <is>
          <t>implement_zhujie_qingshe_shedskin_guard_casket_2x2</t>
        </is>
      </c>
      <c r="U638" s="8" t="inlineStr">
        <is>
          <t>allowed</t>
        </is>
      </c>
    </row>
    <row r="639" ht="34" customHeight="1">
      <c r="A639" s="8" t="n">
        <v>638</v>
      </c>
      <c r="B639" s="8" t="n">
        <v>412001</v>
      </c>
      <c r="C639" s="8" t="inlineStr">
        <is>
          <t>青鳞承露盏</t>
        </is>
      </c>
      <c r="D639" s="8" t="inlineStr">
        <is>
          <t>法器</t>
        </is>
      </c>
      <c r="E639" s="8" t="inlineStr">
        <is>
          <t>implement</t>
        </is>
      </c>
      <c r="F639" s="8" t="inlineStr">
        <is>
          <t>common</t>
        </is>
      </c>
      <c r="G639" s="8" t="inlineStr">
        <is>
          <t>木</t>
        </is>
      </c>
      <c r="H639" s="8" t="inlineStr">
        <is>
          <t>wood</t>
        </is>
      </c>
      <c r="I639" s="8" t="inlineStr">
        <is>
          <t>2×2</t>
        </is>
      </c>
      <c r="J639" s="8" t="n">
        <v>4</v>
      </c>
      <c r="K639" s="8" t="n">
        <v>30</v>
      </c>
      <c r="L639" s="8" t="inlineStr">
        <is>
          <t>是</t>
        </is>
      </c>
      <c r="M639" s="9" t="inlineStr">
        <is>
          <t>bazaar；dynamicRandomReward；itemReforge</t>
        </is>
      </c>
      <c r="N639" s="8" t="n">
        <v>1</v>
      </c>
      <c r="O639" s="9" t="inlineStr">
        <is>
          <t>条件触发</t>
        </is>
      </c>
      <c r="P639" s="9" t="inlineStr">
        <is>
          <t>triggered</t>
        </is>
      </c>
      <c r="Q639" s="9" t="inlineStr">
        <is>
          <t>条件触发：累计获得100层露水后，恢复100点气血</t>
        </is>
      </c>
      <c r="R639" s="9" t="inlineStr"/>
      <c r="S639" s="9" t="inlineStr">
        <is>
          <t>青鳞层叠为盏，盏沿如竹叶相衔。</t>
        </is>
      </c>
      <c r="T639" s="8" t="inlineStr">
        <is>
          <t>implement_zhujie_qingshe_green_scale_dew_cup_2x2</t>
        </is>
      </c>
      <c r="U639" s="8" t="inlineStr">
        <is>
          <t>allowed</t>
        </is>
      </c>
    </row>
    <row r="640" ht="34" customHeight="1">
      <c r="A640" s="8" t="n">
        <v>639</v>
      </c>
      <c r="B640" s="8" t="n">
        <v>412002</v>
      </c>
      <c r="C640" s="8" t="inlineStr">
        <is>
          <t>藤骨定息架</t>
        </is>
      </c>
      <c r="D640" s="8" t="inlineStr">
        <is>
          <t>法器</t>
        </is>
      </c>
      <c r="E640" s="8" t="inlineStr">
        <is>
          <t>implement</t>
        </is>
      </c>
      <c r="F640" s="8" t="inlineStr">
        <is>
          <t>common</t>
        </is>
      </c>
      <c r="G640" s="8" t="inlineStr">
        <is>
          <t>木</t>
        </is>
      </c>
      <c r="H640" s="8" t="inlineStr">
        <is>
          <t>wood</t>
        </is>
      </c>
      <c r="I640" s="8" t="inlineStr">
        <is>
          <t>2×2</t>
        </is>
      </c>
      <c r="J640" s="8" t="n">
        <v>4</v>
      </c>
      <c r="K640" s="8" t="n">
        <v>1</v>
      </c>
      <c r="L640" s="8" t="inlineStr">
        <is>
          <t>是</t>
        </is>
      </c>
      <c r="M640" s="9" t="inlineStr">
        <is>
          <t>bazaar；dynamicRandomReward；itemReforge</t>
        </is>
      </c>
      <c r="N640" s="8" t="n">
        <v>1</v>
      </c>
      <c r="O640" s="9" t="inlineStr">
        <is>
          <t>条件触发</t>
        </is>
      </c>
      <c r="P640" s="9" t="inlineStr">
        <is>
          <t>triggered</t>
        </is>
      </c>
      <c r="Q640" s="9" t="inlineStr">
        <is>
          <t>条件触发：木属性道具轮转时，获得1点修为</t>
        </is>
      </c>
      <c r="R640" s="9" t="inlineStr"/>
      <c r="S640" s="9" t="inlineStr">
        <is>
          <t>蛇骨弯成小架，青藤沿骨节紧紧缠定。</t>
        </is>
      </c>
      <c r="T640" s="8" t="inlineStr">
        <is>
          <t>implement_zhujie_qingshe_vine_bone_breathing_stand_2x2</t>
        </is>
      </c>
      <c r="U640" s="8" t="inlineStr">
        <is>
          <t>allowed</t>
        </is>
      </c>
    </row>
    <row r="641" ht="34" customHeight="1">
      <c r="A641" s="8" t="n">
        <v>640</v>
      </c>
      <c r="B641" s="8" t="n">
        <v>412003</v>
      </c>
      <c r="C641" s="8" t="inlineStr">
        <is>
          <t>冷牙封毒匣</t>
        </is>
      </c>
      <c r="D641" s="8" t="inlineStr">
        <is>
          <t>法器</t>
        </is>
      </c>
      <c r="E641" s="8" t="inlineStr">
        <is>
          <t>implement</t>
        </is>
      </c>
      <c r="F641" s="8" t="inlineStr">
        <is>
          <t>common</t>
        </is>
      </c>
      <c r="G641" s="8" t="inlineStr">
        <is>
          <t>poison</t>
        </is>
      </c>
      <c r="H641" s="8" t="inlineStr">
        <is>
          <t>poison</t>
        </is>
      </c>
      <c r="I641" s="8" t="inlineStr">
        <is>
          <t>2×2</t>
        </is>
      </c>
      <c r="J641" s="8" t="n">
        <v>4</v>
      </c>
      <c r="K641" s="8" t="n">
        <v>12</v>
      </c>
      <c r="L641" s="8" t="inlineStr">
        <is>
          <t>是</t>
        </is>
      </c>
      <c r="M641" s="9" t="inlineStr">
        <is>
          <t>bazaar；dynamicRandomReward；itemReforge</t>
        </is>
      </c>
      <c r="N641" s="8" t="n">
        <v>1</v>
      </c>
      <c r="O641" s="9" t="inlineStr">
        <is>
          <t>条件触发</t>
        </is>
      </c>
      <c r="P641" s="9" t="inlineStr">
        <is>
          <t>triggered</t>
        </is>
      </c>
      <c r="Q641" s="9" t="inlineStr">
        <is>
          <t>条件触发：相邻冰属性法器使用时，对敌方施加 2 层中毒，触发后效果升级；中毒层数；相邻冰属性法器使用时，对敌方施加 3 层中毒，触发后效果升级；相邻冰属性法器使用时，对敌方施加 4 层中毒，触发后效果升级；相邻冰属性法器使用时，对敌方施加 5 层中毒，触发后效果升级</t>
        </is>
      </c>
      <c r="R641" s="9" t="inlineStr"/>
      <c r="S641" s="9" t="inlineStr">
        <is>
          <t>两枚冷牙合成弯匣，铜扣将寒意锁在缝中。</t>
        </is>
      </c>
      <c r="T641" s="8" t="inlineStr">
        <is>
          <t>implement_zhujie_qingshe_cold_fang_poison_casket_2x2</t>
        </is>
      </c>
      <c r="U641" s="8" t="inlineStr">
        <is>
          <t>allowed</t>
        </is>
      </c>
    </row>
    <row r="642" ht="34" customHeight="1">
      <c r="A642" s="8" t="n">
        <v>641</v>
      </c>
      <c r="B642" s="8" t="n">
        <v>412100</v>
      </c>
      <c r="C642" s="8" t="inlineStr">
        <is>
          <t>赤腕承骨铠</t>
        </is>
      </c>
      <c r="D642" s="8" t="inlineStr">
        <is>
          <t>法器</t>
        </is>
      </c>
      <c r="E642" s="8" t="inlineStr">
        <is>
          <t>implement</t>
        </is>
      </c>
      <c r="F642" s="8" t="inlineStr">
        <is>
          <t>common</t>
        </is>
      </c>
      <c r="G642" s="8" t="inlineStr">
        <is>
          <t>火</t>
        </is>
      </c>
      <c r="H642" s="8" t="inlineStr">
        <is>
          <t>fire</t>
        </is>
      </c>
      <c r="I642" s="8" t="inlineStr">
        <is>
          <t>2×1</t>
        </is>
      </c>
      <c r="J642" s="8" t="n">
        <v>2</v>
      </c>
      <c r="K642" s="8" t="n">
        <v>16</v>
      </c>
      <c r="L642" s="8" t="inlineStr">
        <is>
          <t>是</t>
        </is>
      </c>
      <c r="M642" s="9" t="inlineStr"/>
      <c r="N642" s="8" t="n">
        <v>1</v>
      </c>
      <c r="O642" s="9" t="inlineStr">
        <is>
          <t>周期触发</t>
        </is>
      </c>
      <c r="P642" s="9" t="inlineStr">
        <is>
          <t>periodicPulse</t>
        </is>
      </c>
      <c r="Q642" s="9" t="inlineStr">
        <is>
          <t>周期触发：开局：位于储物袋左侧时，获得 13 层护甲；开局：位于储物袋左侧时，获得 17 层护甲；开局：位于储物袋左侧时，获得 20 层护甲；开局：位于储物袋左侧时，获得 23 层护甲</t>
        </is>
      </c>
      <c r="R642" s="9" t="inlineStr"/>
      <c r="S642" s="9" t="inlineStr">
        <is>
          <t>赤魈腕骨经黑金箍片收束成护臂，骨面仍留着深红灼裂。</t>
        </is>
      </c>
      <c r="T642" s="8" t="inlineStr">
        <is>
          <t>implement_danlu_chixiao_wrist_bone_bracer_2x1</t>
        </is>
      </c>
      <c r="U642" s="8" t="inlineStr">
        <is>
          <t>allowed</t>
        </is>
      </c>
    </row>
    <row r="643" ht="34" customHeight="1">
      <c r="A643" s="8" t="n">
        <v>642</v>
      </c>
      <c r="B643" s="8" t="n">
        <v>412101</v>
      </c>
      <c r="C643" s="8" t="inlineStr">
        <is>
          <t>炉灰赤毫护肩</t>
        </is>
      </c>
      <c r="D643" s="8" t="inlineStr">
        <is>
          <t>法器</t>
        </is>
      </c>
      <c r="E643" s="8" t="inlineStr">
        <is>
          <t>implement</t>
        </is>
      </c>
      <c r="F643" s="8" t="inlineStr">
        <is>
          <t>common</t>
        </is>
      </c>
      <c r="G643" s="8" t="inlineStr">
        <is>
          <t>火</t>
        </is>
      </c>
      <c r="H643" s="8" t="inlineStr">
        <is>
          <t>fire</t>
        </is>
      </c>
      <c r="I643" s="8" t="inlineStr">
        <is>
          <t>2×1</t>
        </is>
      </c>
      <c r="J643" s="8" t="n">
        <v>2</v>
      </c>
      <c r="K643" s="8" t="n">
        <v>16</v>
      </c>
      <c r="L643" s="8" t="inlineStr">
        <is>
          <t>是</t>
        </is>
      </c>
      <c r="M643" s="9" t="inlineStr"/>
      <c r="N643" s="8" t="n">
        <v>1</v>
      </c>
      <c r="O643" s="9" t="inlineStr">
        <is>
          <t>条件触发</t>
        </is>
      </c>
      <c r="P643" s="9" t="inlineStr">
        <is>
          <t>triggered</t>
        </is>
      </c>
      <c r="Q643" s="9" t="inlineStr">
        <is>
          <t>条件触发：相邻丹药耗尽时，获得 5 层炎热；相邻丹药耗尽时，获得 7 层炎热；相邻丹药耗尽时，获得 8 层炎热；相邻丹药耗尽时，获得 10 层炎热</t>
        </is>
      </c>
      <c r="R643" s="9" t="inlineStr"/>
      <c r="S643" s="9" t="inlineStr">
        <is>
          <t>灰黑毛根压在黑铁肩箍下，赤色毛尖如凝住的火舌。</t>
        </is>
      </c>
      <c r="T643" s="8" t="inlineStr">
        <is>
          <t>implement_danlu_chixiao_ash_fur_mantle_2x1</t>
        </is>
      </c>
      <c r="U643" s="8" t="inlineStr">
        <is>
          <t>allowed</t>
        </is>
      </c>
    </row>
    <row r="644" ht="34" customHeight="1">
      <c r="A644" s="8" t="n">
        <v>643</v>
      </c>
      <c r="B644" s="8" t="n">
        <v>412102</v>
      </c>
      <c r="C644" s="8" t="inlineStr">
        <is>
          <t>焦爪镇炉钩</t>
        </is>
      </c>
      <c r="D644" s="8" t="inlineStr">
        <is>
          <t>法器</t>
        </is>
      </c>
      <c r="E644" s="8" t="inlineStr">
        <is>
          <t>implement</t>
        </is>
      </c>
      <c r="F644" s="8" t="inlineStr">
        <is>
          <t>common</t>
        </is>
      </c>
      <c r="G644" s="8" t="inlineStr">
        <is>
          <t>火</t>
        </is>
      </c>
      <c r="H644" s="8" t="inlineStr">
        <is>
          <t>fire</t>
        </is>
      </c>
      <c r="I644" s="8" t="inlineStr">
        <is>
          <t>1×2</t>
        </is>
      </c>
      <c r="J644" s="8" t="n">
        <v>2</v>
      </c>
      <c r="K644" s="8" t="n">
        <v>16</v>
      </c>
      <c r="L644" s="8" t="inlineStr">
        <is>
          <t>是</t>
        </is>
      </c>
      <c r="M644" s="9" t="inlineStr"/>
      <c r="N644" s="8" t="n">
        <v>1</v>
      </c>
      <c r="O644" s="9" t="inlineStr">
        <is>
          <t>周期触发</t>
        </is>
      </c>
      <c r="P644" s="9" t="inlineStr">
        <is>
          <t>periodicPulse</t>
        </is>
      </c>
      <c r="Q644" s="9" t="inlineStr">
        <is>
          <t>周期触发：下方相邻炼丹炉时，获得 7 层炎热</t>
        </is>
      </c>
      <c r="R644" s="9" t="inlineStr"/>
      <c r="S644" s="9" t="inlineStr">
        <is>
          <t>三枚焦黑爪尖并成细长炉钩，裂隙间凝着暗红火色。</t>
        </is>
      </c>
      <c r="T644" s="8" t="inlineStr">
        <is>
          <t>implement_danlu_chixiao_scorched_claw_furnace_hook_1x2</t>
        </is>
      </c>
      <c r="U644" s="8" t="inlineStr">
        <is>
          <t>allowed</t>
        </is>
      </c>
    </row>
    <row r="645" ht="34" customHeight="1">
      <c r="A645" s="8" t="n">
        <v>644</v>
      </c>
      <c r="B645" s="8" t="n">
        <v>412103</v>
      </c>
      <c r="C645" s="8" t="inlineStr">
        <is>
          <t>赤颅覆火盾</t>
        </is>
      </c>
      <c r="D645" s="8" t="inlineStr">
        <is>
          <t>法器</t>
        </is>
      </c>
      <c r="E645" s="8" t="inlineStr">
        <is>
          <t>implement</t>
        </is>
      </c>
      <c r="F645" s="8" t="inlineStr">
        <is>
          <t>common</t>
        </is>
      </c>
      <c r="G645" s="8" t="inlineStr">
        <is>
          <t>火</t>
        </is>
      </c>
      <c r="H645" s="8" t="inlineStr">
        <is>
          <t>fire</t>
        </is>
      </c>
      <c r="I645" s="8" t="inlineStr">
        <is>
          <t>2×1</t>
        </is>
      </c>
      <c r="J645" s="8" t="n">
        <v>2</v>
      </c>
      <c r="K645" s="8" t="n">
        <v>16</v>
      </c>
      <c r="L645" s="8" t="inlineStr">
        <is>
          <t>是</t>
        </is>
      </c>
      <c r="M645" s="9" t="inlineStr"/>
      <c r="N645" s="8" t="n">
        <v>1</v>
      </c>
      <c r="O645" s="9" t="inlineStr">
        <is>
          <t>被动效果</t>
        </is>
      </c>
      <c r="P645" s="9" t="inlineStr">
        <is>
          <t>passive</t>
        </is>
      </c>
      <c r="Q645" s="9" t="inlineStr">
        <is>
          <t>被动效果：护甲层数上限 +6；护甲层数上限 +9；护甲层数上限 +12；护甲层数上限 +15</t>
        </is>
      </c>
      <c r="R645" s="9" t="inlineStr"/>
      <c r="S645" s="9" t="inlineStr">
        <is>
          <t>赤魈颅片被修成横盾，乳白骨面仍透着眼窝里的暗红火痕。</t>
        </is>
      </c>
      <c r="T645" s="8" t="inlineStr">
        <is>
          <t>implement_danlu_chixiao_skull_plate_fire_shield_2x1</t>
        </is>
      </c>
      <c r="U645" s="8" t="inlineStr">
        <is>
          <t>allowed</t>
        </is>
      </c>
    </row>
    <row r="646" ht="34" customHeight="1">
      <c r="A646" s="8" t="n">
        <v>645</v>
      </c>
      <c r="B646" s="8" t="n">
        <v>412104</v>
      </c>
      <c r="C646" s="8" t="inlineStr">
        <is>
          <t>火囊稳压壶</t>
        </is>
      </c>
      <c r="D646" s="8" t="inlineStr">
        <is>
          <t>法器</t>
        </is>
      </c>
      <c r="E646" s="8" t="inlineStr">
        <is>
          <t>implement</t>
        </is>
      </c>
      <c r="F646" s="8" t="inlineStr">
        <is>
          <t>common</t>
        </is>
      </c>
      <c r="G646" s="8" t="inlineStr">
        <is>
          <t>火</t>
        </is>
      </c>
      <c r="H646" s="8" t="inlineStr">
        <is>
          <t>fire</t>
        </is>
      </c>
      <c r="I646" s="8" t="inlineStr">
        <is>
          <t>1×2</t>
        </is>
      </c>
      <c r="J646" s="8" t="n">
        <v>2</v>
      </c>
      <c r="K646" s="8" t="n">
        <v>16</v>
      </c>
      <c r="L646" s="8" t="inlineStr">
        <is>
          <t>是</t>
        </is>
      </c>
      <c r="M646" s="9" t="inlineStr"/>
      <c r="N646" s="8" t="n">
        <v>1</v>
      </c>
      <c r="O646" s="9" t="inlineStr">
        <is>
          <t>周期触发</t>
        </is>
      </c>
      <c r="P646" s="9" t="inlineStr">
        <is>
          <t>periodicPulse</t>
        </is>
      </c>
      <c r="Q646" s="9" t="inlineStr">
        <is>
          <t>周期触发：消耗 10 点法力，获得 16 层炎热；消耗 10 点法力，获得 20 层炎热；消耗 10 点法力，获得 24 层炎热；消耗 10 点法力，获得 28 层炎热</t>
        </is>
      </c>
      <c r="R646" s="9" t="inlineStr"/>
      <c r="S646" s="9" t="inlineStr">
        <is>
          <t>赤褐火囊被收进窄长壶架，焦黑囊口由双环紧紧束住。</t>
        </is>
      </c>
      <c r="T646" s="8" t="inlineStr">
        <is>
          <t>implement_danlu_chixiao_fire_sac_pressure_vessel_1x2</t>
        </is>
      </c>
      <c r="U646" s="8" t="inlineStr">
        <is>
          <t>allowed</t>
        </is>
      </c>
    </row>
    <row r="647" ht="34" customHeight="1">
      <c r="A647" s="8" t="n">
        <v>646</v>
      </c>
      <c r="B647" s="8" t="n">
        <v>412105</v>
      </c>
      <c r="C647" s="8" t="inlineStr">
        <is>
          <t>心火镇炉杵</t>
        </is>
      </c>
      <c r="D647" s="8" t="inlineStr">
        <is>
          <t>法器</t>
        </is>
      </c>
      <c r="E647" s="8" t="inlineStr">
        <is>
          <t>implement</t>
        </is>
      </c>
      <c r="F647" s="8" t="inlineStr">
        <is>
          <t>common</t>
        </is>
      </c>
      <c r="G647" s="8" t="inlineStr">
        <is>
          <t>火</t>
        </is>
      </c>
      <c r="H647" s="8" t="inlineStr">
        <is>
          <t>fire</t>
        </is>
      </c>
      <c r="I647" s="8" t="inlineStr">
        <is>
          <t>1×2</t>
        </is>
      </c>
      <c r="J647" s="8" t="n">
        <v>2</v>
      </c>
      <c r="K647" s="8" t="n">
        <v>16</v>
      </c>
      <c r="L647" s="8" t="inlineStr">
        <is>
          <t>是</t>
        </is>
      </c>
      <c r="M647" s="9" t="inlineStr"/>
      <c r="N647" s="8" t="n">
        <v>1</v>
      </c>
      <c r="O647" s="9" t="inlineStr">
        <is>
          <t>周期触发</t>
        </is>
      </c>
      <c r="P647" s="9" t="inlineStr">
        <is>
          <t>periodicPulse</t>
        </is>
      </c>
      <c r="Q647" s="9" t="inlineStr">
        <is>
          <t>周期触发：开局：将最多 8 层炎热转化为体力，每转化 1 层恢复 3 点体力；开局：将最多 8 层炎热转化为体力，每转化 1 层恢复 5 点体力；开局：将最多 8 层炎热转化为体力，每转化 1 层恢复 7 点体力；开局：将最多 8 层炎热转化为体力，每转化 1 层恢复 8 点体力</t>
        </is>
      </c>
      <c r="R647" s="9" t="inlineStr"/>
      <c r="S647" s="9" t="inlineStr">
        <is>
          <t>丹炉心火晶被炼成细长炉杵，黑金束带沿晶面盘绕。</t>
        </is>
      </c>
      <c r="T647" s="8" t="inlineStr">
        <is>
          <t>implement_danlu_chixiao_furnace_heart_stabilizer_1x2</t>
        </is>
      </c>
      <c r="U647" s="8" t="inlineStr">
        <is>
          <t>allowed</t>
        </is>
      </c>
    </row>
    <row r="648" ht="34" customHeight="1">
      <c r="A648" s="8" t="n">
        <v>647</v>
      </c>
      <c r="B648" s="8" t="n">
        <v>412106</v>
      </c>
      <c r="C648" s="8" t="inlineStr">
        <is>
          <t>炉筋承力结</t>
        </is>
      </c>
      <c r="D648" s="8" t="inlineStr">
        <is>
          <t>法器</t>
        </is>
      </c>
      <c r="E648" s="8" t="inlineStr">
        <is>
          <t>implement</t>
        </is>
      </c>
      <c r="F648" s="8" t="inlineStr">
        <is>
          <t>common</t>
        </is>
      </c>
      <c r="G648" s="8" t="inlineStr">
        <is>
          <t>火</t>
        </is>
      </c>
      <c r="H648" s="8" t="inlineStr">
        <is>
          <t>fire</t>
        </is>
      </c>
      <c r="I648" s="8" t="inlineStr">
        <is>
          <t>1×1</t>
        </is>
      </c>
      <c r="J648" s="8" t="n">
        <v>1</v>
      </c>
      <c r="K648" s="8" t="n">
        <v>16</v>
      </c>
      <c r="L648" s="8" t="inlineStr">
        <is>
          <t>是</t>
        </is>
      </c>
      <c r="M648" s="9" t="inlineStr"/>
      <c r="N648" s="8" t="n">
        <v>1</v>
      </c>
      <c r="O648" s="9" t="inlineStr">
        <is>
          <t>条件触发</t>
        </is>
      </c>
      <c r="P648" s="9" t="inlineStr">
        <is>
          <t>triggered</t>
        </is>
      </c>
      <c r="Q648" s="9" t="inlineStr">
        <is>
          <t>条件触发：相邻道具消耗体力时，每消耗 2 点体力，获得 1 层炎热，单次最多获得 6 层；相邻道具消耗体力时，每消耗 2 点体力，获得 1 层炎热，单次最多获得 8 层；相邻道具消耗体力时，每消耗 2 点体力，获得 1 层炎热，单次最多获得 10 层；相邻道具消耗体力时，每消耗 2 点体力，获得 1 层炎热，单次最多获得 11 层</t>
        </is>
      </c>
      <c r="R648" s="9" t="inlineStr"/>
      <c r="S648" s="9" t="inlineStr">
        <is>
          <t>赤色臂筋盘成厚实绳结，金色炉纹像箍环般勒住筋束。</t>
        </is>
      </c>
      <c r="T648" s="8" t="inlineStr">
        <is>
          <t>implement_danlu_chixiao_arm_sinew_load_knot_1x1</t>
        </is>
      </c>
      <c r="U648" s="8" t="inlineStr">
        <is>
          <t>allowed</t>
        </is>
      </c>
    </row>
    <row r="649" ht="34" customHeight="1">
      <c r="A649" s="8" t="n">
        <v>648</v>
      </c>
      <c r="B649" s="8" t="n">
        <v>412107</v>
      </c>
      <c r="C649" s="8" t="inlineStr">
        <is>
          <t>丹髓稳火盏</t>
        </is>
      </c>
      <c r="D649" s="8" t="inlineStr">
        <is>
          <t>法器</t>
        </is>
      </c>
      <c r="E649" s="8" t="inlineStr">
        <is>
          <t>implement</t>
        </is>
      </c>
      <c r="F649" s="8" t="inlineStr">
        <is>
          <t>common</t>
        </is>
      </c>
      <c r="G649" s="8" t="inlineStr">
        <is>
          <t>火</t>
        </is>
      </c>
      <c r="H649" s="8" t="inlineStr">
        <is>
          <t>fire</t>
        </is>
      </c>
      <c r="I649" s="8" t="inlineStr">
        <is>
          <t>1×1</t>
        </is>
      </c>
      <c r="J649" s="8" t="n">
        <v>1</v>
      </c>
      <c r="K649" s="8" t="n">
        <v>16</v>
      </c>
      <c r="L649" s="8" t="inlineStr">
        <is>
          <t>是</t>
        </is>
      </c>
      <c r="M649" s="9" t="inlineStr"/>
      <c r="N649" s="8" t="n">
        <v>1</v>
      </c>
      <c r="O649" s="9" t="inlineStr">
        <is>
          <t>被动效果</t>
        </is>
      </c>
      <c r="P649" s="9" t="inlineStr">
        <is>
          <t>passive</t>
        </is>
      </c>
      <c r="Q649" s="9" t="inlineStr">
        <is>
          <t>被动效果：炎热层数上限 +3；炎热层数上限 +5；炎热层数上限 +6；炎热层数上限 +8</t>
        </is>
      </c>
      <c r="R649" s="9" t="inlineStr"/>
      <c r="S649" s="9" t="inlineStr">
        <is>
          <t>赤魈丹髓被琢成厚壁小盏，黑灰晶壳托着赤色髓面。</t>
        </is>
      </c>
      <c r="T649" s="8" t="inlineStr">
        <is>
          <t>implement_danlu_chixiao_cinnabar_marrow_fire_cup_1x1</t>
        </is>
      </c>
      <c r="U649" s="8" t="inlineStr">
        <is>
          <t>allowed</t>
        </is>
      </c>
    </row>
    <row r="650" ht="34" customHeight="1">
      <c r="A650" s="8" t="n">
        <v>649</v>
      </c>
      <c r="B650" s="8" t="n">
        <v>412108</v>
      </c>
      <c r="C650" s="8" t="inlineStr">
        <is>
          <t>丹砂魈牙锥</t>
        </is>
      </c>
      <c r="D650" s="8" t="inlineStr">
        <is>
          <t>法器</t>
        </is>
      </c>
      <c r="E650" s="8" t="inlineStr">
        <is>
          <t>implement</t>
        </is>
      </c>
      <c r="F650" s="8" t="inlineStr">
        <is>
          <t>common</t>
        </is>
      </c>
      <c r="G650" s="8" t="inlineStr">
        <is>
          <t>火</t>
        </is>
      </c>
      <c r="H650" s="8" t="inlineStr">
        <is>
          <t>fire</t>
        </is>
      </c>
      <c r="I650" s="8" t="inlineStr">
        <is>
          <t>1×1</t>
        </is>
      </c>
      <c r="J650" s="8" t="n">
        <v>1</v>
      </c>
      <c r="K650" s="8" t="n">
        <v>16</v>
      </c>
      <c r="L650" s="8" t="inlineStr">
        <is>
          <t>是</t>
        </is>
      </c>
      <c r="M650" s="9" t="inlineStr"/>
      <c r="N650" s="8" t="n">
        <v>1</v>
      </c>
      <c r="O650" s="9" t="inlineStr">
        <is>
          <t>周期触发</t>
        </is>
      </c>
      <c r="P650" s="9" t="inlineStr">
        <is>
          <t>periodicPulse</t>
        </is>
      </c>
      <c r="Q650" s="9" t="inlineStr">
        <is>
          <t>周期触发：最多消耗 4 层炎热；每消耗 1 层，对敌方造成 10 点伤害；最多消耗 5 层炎热；每消耗 1 层，对敌方造成 10 点伤害；最多消耗 6 层炎热；每消耗 1 层，对敌方造成 10 点伤害；最多消耗 7 层炎热；每消耗 1 层，对敌方造成 10 点伤害</t>
        </is>
      </c>
      <c r="R650" s="9" t="inlineStr"/>
      <c r="S650" s="9" t="inlineStr">
        <is>
          <t>短厚魈牙被磨成小锥，牙根仍裹着深红丹砂晶簇。</t>
        </is>
      </c>
      <c r="T650" s="8" t="inlineStr">
        <is>
          <t>implement_danlu_chixiao_fang_cinnabar_drill_1x1</t>
        </is>
      </c>
      <c r="U650" s="8" t="inlineStr">
        <is>
          <t>allowed</t>
        </is>
      </c>
    </row>
    <row r="651" ht="34" customHeight="1">
      <c r="A651" s="8" t="n">
        <v>650</v>
      </c>
      <c r="B651" s="8" t="n">
        <v>412109</v>
      </c>
      <c r="C651" s="8" t="inlineStr">
        <is>
          <t>炉烟听火佩</t>
        </is>
      </c>
      <c r="D651" s="8" t="inlineStr">
        <is>
          <t>法器</t>
        </is>
      </c>
      <c r="E651" s="8" t="inlineStr">
        <is>
          <t>implement</t>
        </is>
      </c>
      <c r="F651" s="8" t="inlineStr">
        <is>
          <t>common</t>
        </is>
      </c>
      <c r="G651" s="8" t="inlineStr">
        <is>
          <t>火</t>
        </is>
      </c>
      <c r="H651" s="8" t="inlineStr">
        <is>
          <t>fire</t>
        </is>
      </c>
      <c r="I651" s="8" t="inlineStr">
        <is>
          <t>1×1</t>
        </is>
      </c>
      <c r="J651" s="8" t="n">
        <v>1</v>
      </c>
      <c r="K651" s="8" t="n">
        <v>16</v>
      </c>
      <c r="L651" s="8" t="inlineStr">
        <is>
          <t>是</t>
        </is>
      </c>
      <c r="M651" s="9" t="inlineStr"/>
      <c r="N651" s="8" t="n">
        <v>1</v>
      </c>
      <c r="O651" s="9" t="inlineStr">
        <is>
          <t>条件触发</t>
        </is>
      </c>
      <c r="P651" s="9" t="inlineStr">
        <is>
          <t>triggered</t>
        </is>
      </c>
      <c r="Q651" s="9" t="inlineStr">
        <is>
          <t>条件触发：其他道具的开局效果触发时，获得 3 层炎热；其他道具的开局效果触发时，获得 5 层炎热；其他道具的开局效果触发时，获得 7 层炎热；其他道具的开局效果触发时，获得 8 层炎热</t>
        </is>
      </c>
      <c r="R651" s="9" t="inlineStr"/>
      <c r="S651" s="9" t="inlineStr">
        <is>
          <t>乳白耳骨被炼成听火佩，凹槽里仍积着焦黑炉烟纹。</t>
        </is>
      </c>
      <c r="T651" s="8" t="inlineStr">
        <is>
          <t>implement_danlu_chixiao_smoke_ear_bone_listening_pendant_1x1</t>
        </is>
      </c>
      <c r="U651" s="8" t="inlineStr">
        <is>
          <t>allowed</t>
        </is>
      </c>
    </row>
    <row r="652" ht="34" customHeight="1">
      <c r="A652" s="8" t="n">
        <v>651</v>
      </c>
      <c r="B652" s="8" t="n">
        <v>412151</v>
      </c>
      <c r="C652" s="8" t="inlineStr">
        <is>
          <t>三焦穿焰牌</t>
        </is>
      </c>
      <c r="D652" s="8" t="inlineStr">
        <is>
          <t>法器</t>
        </is>
      </c>
      <c r="E652" s="8" t="inlineStr">
        <is>
          <t>implement</t>
        </is>
      </c>
      <c r="F652" s="8" t="inlineStr">
        <is>
          <t>common</t>
        </is>
      </c>
      <c r="G652" s="8" t="inlineStr">
        <is>
          <t>火</t>
        </is>
      </c>
      <c r="H652" s="8" t="inlineStr">
        <is>
          <t>fire</t>
        </is>
      </c>
      <c r="I652" s="8" t="inlineStr">
        <is>
          <t>1×2</t>
        </is>
      </c>
      <c r="J652" s="8" t="n">
        <v>2</v>
      </c>
      <c r="K652" s="8" t="n">
        <v>16</v>
      </c>
      <c r="L652" s="8" t="inlineStr">
        <is>
          <t>是</t>
        </is>
      </c>
      <c r="M652" s="9" t="inlineStr"/>
      <c r="N652" s="8" t="n">
        <v>1</v>
      </c>
      <c r="O652" s="9" t="inlineStr">
        <is>
          <t>周期触发</t>
        </is>
      </c>
      <c r="P652" s="9" t="inlineStr">
        <is>
          <t>periodicPulse</t>
        </is>
      </c>
      <c r="Q652" s="9" t="inlineStr">
        <is>
          <t>周期触发：开局：每有 1 件炼丹炉，获得 5 层炎热，最多计算 3 件；开局：每有 1 件炼丹炉，获得 7 层炎热，最多计算 3 件；开局：每有 1 件炼丹炉，获得 8 层炎热，最多计算 3 件；开局：每有 1 件炼丹炉，获得 10 层炎热，最多计算 3 件</t>
        </is>
      </c>
      <c r="R652" s="9" t="inlineStr"/>
      <c r="S652" s="9" t="inlineStr">
        <is>
          <t>窄长阵盘中央嵌着焦火爪，黑金刻槽顺着爪尖延伸。</t>
        </is>
      </c>
      <c r="T652" s="8" t="inlineStr">
        <is>
          <t>implement_danlu_chixiao_scorched_claw_piercing_array_1x2</t>
        </is>
      </c>
      <c r="U652" s="8" t="inlineStr">
        <is>
          <t>allowed</t>
        </is>
      </c>
    </row>
    <row r="653" ht="34" customHeight="1">
      <c r="A653" s="8" t="n">
        <v>652</v>
      </c>
      <c r="B653" s="8" t="n">
        <v>412153</v>
      </c>
      <c r="C653" s="8" t="inlineStr">
        <is>
          <t>囊焰递火牌</t>
        </is>
      </c>
      <c r="D653" s="8" t="inlineStr">
        <is>
          <t>法器</t>
        </is>
      </c>
      <c r="E653" s="8" t="inlineStr">
        <is>
          <t>implement</t>
        </is>
      </c>
      <c r="F653" s="8" t="inlineStr">
        <is>
          <t>common</t>
        </is>
      </c>
      <c r="G653" s="8" t="inlineStr">
        <is>
          <t>火</t>
        </is>
      </c>
      <c r="H653" s="8" t="inlineStr">
        <is>
          <t>fire</t>
        </is>
      </c>
      <c r="I653" s="8" t="inlineStr">
        <is>
          <t>1×2</t>
        </is>
      </c>
      <c r="J653" s="8" t="n">
        <v>2</v>
      </c>
      <c r="K653" s="8" t="n">
        <v>16</v>
      </c>
      <c r="L653" s="8" t="inlineStr">
        <is>
          <t>是</t>
        </is>
      </c>
      <c r="M653" s="9" t="inlineStr"/>
      <c r="N653" s="8" t="n">
        <v>1</v>
      </c>
      <c r="O653" s="9" t="inlineStr">
        <is>
          <t>条件触发</t>
        </is>
      </c>
      <c r="P653" s="9" t="inlineStr">
        <is>
          <t>triggered</t>
        </is>
      </c>
      <c r="Q653" s="9" t="inlineStr">
        <is>
          <t>条件触发：使用相邻丹药时，获得 5 层炎热；使用相邻丹药时，获得 7 层炎热；使用相邻丹药时，获得 8 层炎热；使用相邻丹药时，获得 10 层炎热</t>
        </is>
      </c>
      <c r="R653" s="9" t="inlineStr"/>
      <c r="S653" s="9" t="inlineStr">
        <is>
          <t>竖向阵架中央嵌着赤魈火囊，黑金导槽围住厚皮囊身。</t>
        </is>
      </c>
      <c r="T653" s="8" t="inlineStr">
        <is>
          <t>implement_danlu_chixiao_fire_sac_transfer_array_1x2</t>
        </is>
      </c>
      <c r="U653" s="8" t="inlineStr">
        <is>
          <t>allowed</t>
        </is>
      </c>
    </row>
    <row r="654" ht="34" customHeight="1">
      <c r="A654" s="8" t="n">
        <v>653</v>
      </c>
      <c r="B654" s="8" t="n">
        <v>412158</v>
      </c>
      <c r="C654" s="8" t="inlineStr">
        <is>
          <t>炉灰扬火筒</t>
        </is>
      </c>
      <c r="D654" s="8" t="inlineStr">
        <is>
          <t>法器</t>
        </is>
      </c>
      <c r="E654" s="8" t="inlineStr">
        <is>
          <t>implement</t>
        </is>
      </c>
      <c r="F654" s="8" t="inlineStr">
        <is>
          <t>common</t>
        </is>
      </c>
      <c r="G654" s="8" t="inlineStr">
        <is>
          <t>火</t>
        </is>
      </c>
      <c r="H654" s="8" t="inlineStr">
        <is>
          <t>fire</t>
        </is>
      </c>
      <c r="I654" s="8" t="inlineStr">
        <is>
          <t>2×1</t>
        </is>
      </c>
      <c r="J654" s="8" t="n">
        <v>2</v>
      </c>
      <c r="K654" s="8" t="n">
        <v>16</v>
      </c>
      <c r="L654" s="8" t="inlineStr">
        <is>
          <t>是</t>
        </is>
      </c>
      <c r="M654" s="9" t="inlineStr"/>
      <c r="N654" s="8" t="n">
        <v>1</v>
      </c>
      <c r="O654" s="9" t="inlineStr">
        <is>
          <t>条件触发</t>
        </is>
      </c>
      <c r="P654" s="9" t="inlineStr">
        <is>
          <t>triggered</t>
        </is>
      </c>
      <c r="Q654" s="9" t="inlineStr">
        <is>
          <t>条件触发：相邻符箓耗尽时，对敌方施加 4 层灼烧；相邻符箓耗尽时，对敌方施加 5 层灼烧；相邻符箓耗尽时，对敌方施加 7 层灼烧；相邻符箓耗尽时，对敌方施加 8 层灼烧</t>
        </is>
      </c>
      <c r="R654" s="9" t="inlineStr"/>
      <c r="S654" s="9" t="inlineStr">
        <is>
          <t>短柄火筒尾端束着炉灰赤毫，黑铁筒壁刻满暗红细纹。</t>
        </is>
      </c>
      <c r="T654" s="8" t="inlineStr">
        <is>
          <t>implement_danlu_chixiao_ash_fur_fire_tube_2x1</t>
        </is>
      </c>
      <c r="U654" s="8" t="inlineStr">
        <is>
          <t>allowed</t>
        </is>
      </c>
    </row>
    <row r="655" ht="34" customHeight="1">
      <c r="A655" s="8" t="n">
        <v>654</v>
      </c>
      <c r="B655" s="8" t="n">
        <v>412159</v>
      </c>
      <c r="C655" s="8" t="inlineStr">
        <is>
          <t>心火破炉锥</t>
        </is>
      </c>
      <c r="D655" s="8" t="inlineStr">
        <is>
          <t>法器</t>
        </is>
      </c>
      <c r="E655" s="8" t="inlineStr">
        <is>
          <t>implement</t>
        </is>
      </c>
      <c r="F655" s="8" t="inlineStr">
        <is>
          <t>common</t>
        </is>
      </c>
      <c r="G655" s="8" t="inlineStr">
        <is>
          <t>火</t>
        </is>
      </c>
      <c r="H655" s="8" t="inlineStr">
        <is>
          <t>fire</t>
        </is>
      </c>
      <c r="I655" s="8" t="inlineStr">
        <is>
          <t>1×2</t>
        </is>
      </c>
      <c r="J655" s="8" t="n">
        <v>2</v>
      </c>
      <c r="K655" s="8" t="n">
        <v>16</v>
      </c>
      <c r="L655" s="8" t="inlineStr">
        <is>
          <t>是</t>
        </is>
      </c>
      <c r="M655" s="9" t="inlineStr"/>
      <c r="N655" s="8" t="n">
        <v>1</v>
      </c>
      <c r="O655" s="9" t="inlineStr">
        <is>
          <t>条件触发</t>
        </is>
      </c>
      <c r="P655" s="9" t="inlineStr">
        <is>
          <t>triggered</t>
        </is>
      </c>
      <c r="Q655" s="9" t="inlineStr">
        <is>
          <t>条件触发：使用相邻装备时，对敌方造成 14 点伤害；使用相邻装备时，对敌方造成 17 点伤害；使用相邻装备时，对敌方造成 20 点伤害；使用相邻装备时，对敌方造成 24 点伤害</t>
        </is>
      </c>
      <c r="R655" s="9" t="inlineStr"/>
      <c r="S655" s="9" t="inlineStr">
        <is>
          <t>破炉锥以心火晶作前端锥芯，尾部黑铁鳍片紧贴晶壳。</t>
        </is>
      </c>
      <c r="T655" s="8" t="inlineStr">
        <is>
          <t>implement_danlu_chixiao_furnace_heart_breaching_spike_1x2</t>
        </is>
      </c>
      <c r="U655" s="8" t="inlineStr">
        <is>
          <t>allowed</t>
        </is>
      </c>
    </row>
    <row r="656" ht="34" customHeight="1">
      <c r="A656" s="8" t="n">
        <v>655</v>
      </c>
      <c r="B656" s="8" t="n">
        <v>412200</v>
      </c>
      <c r="C656" s="8" t="inlineStr">
        <is>
          <t>符甲镇岳盾</t>
        </is>
      </c>
      <c r="D656" s="8" t="inlineStr">
        <is>
          <t>法器</t>
        </is>
      </c>
      <c r="E656" s="8" t="inlineStr">
        <is>
          <t>implement</t>
        </is>
      </c>
      <c r="F656" s="8" t="inlineStr">
        <is>
          <t>common</t>
        </is>
      </c>
      <c r="G656" s="8" t="inlineStr">
        <is>
          <t>金</t>
        </is>
      </c>
      <c r="H656" s="8" t="inlineStr">
        <is>
          <t>metal</t>
        </is>
      </c>
      <c r="I656" s="8" t="inlineStr">
        <is>
          <t>2×2</t>
        </is>
      </c>
      <c r="J656" s="8" t="n">
        <v>4</v>
      </c>
      <c r="K656" s="8" t="n">
        <v>16</v>
      </c>
      <c r="L656" s="8" t="inlineStr">
        <is>
          <t>是</t>
        </is>
      </c>
      <c r="M656" s="9" t="inlineStr"/>
      <c r="N656" s="8" t="n">
        <v>1</v>
      </c>
      <c r="O656" s="9" t="inlineStr">
        <is>
          <t>被动效果</t>
        </is>
      </c>
      <c r="P656" s="9" t="inlineStr">
        <is>
          <t>passive</t>
        </is>
      </c>
      <c r="Q656" s="9" t="inlineStr">
        <is>
          <t>被动效果：护甲层数上限 +12；护甲层数上限 +15；护甲层数上限 +18；护甲层数上限 +21</t>
        </is>
      </c>
      <c r="R656" s="9" t="inlineStr"/>
      <c r="S656" s="9" t="inlineStr">
        <is>
          <t>厚重符甲被炼成方盾，层叠石纹间仍留着青灰旧痕。</t>
        </is>
      </c>
      <c r="T656" s="8" t="inlineStr">
        <is>
          <t>implement_fubei_shixi_carapace_bulwark_2x2</t>
        </is>
      </c>
      <c r="U656" s="8" t="inlineStr">
        <is>
          <t>allowed</t>
        </is>
      </c>
    </row>
    <row r="657" ht="34" customHeight="1">
      <c r="A657" s="8" t="n">
        <v>656</v>
      </c>
      <c r="B657" s="8" t="n">
        <v>412201</v>
      </c>
      <c r="C657" s="8" t="inlineStr">
        <is>
          <t>角碑镇元座</t>
        </is>
      </c>
      <c r="D657" s="8" t="inlineStr">
        <is>
          <t>法器</t>
        </is>
      </c>
      <c r="E657" s="8" t="inlineStr">
        <is>
          <t>implement</t>
        </is>
      </c>
      <c r="F657" s="8" t="inlineStr">
        <is>
          <t>common</t>
        </is>
      </c>
      <c r="G657" s="8" t="inlineStr">
        <is>
          <t>土</t>
        </is>
      </c>
      <c r="H657" s="8" t="inlineStr">
        <is>
          <t>earth</t>
        </is>
      </c>
      <c r="I657" s="8" t="inlineStr">
        <is>
          <t>2×2</t>
        </is>
      </c>
      <c r="J657" s="8" t="n">
        <v>4</v>
      </c>
      <c r="K657" s="8" t="n">
        <v>16</v>
      </c>
      <c r="L657" s="8" t="inlineStr">
        <is>
          <t>是</t>
        </is>
      </c>
      <c r="M657" s="9" t="inlineStr"/>
      <c r="N657" s="8" t="n">
        <v>1</v>
      </c>
      <c r="O657" s="9" t="inlineStr">
        <is>
          <t>周期触发</t>
        </is>
      </c>
      <c r="P657" s="9" t="inlineStr">
        <is>
          <t>periodicPulse</t>
        </is>
      </c>
      <c r="Q657" s="9" t="inlineStr">
        <is>
          <t>周期触发：开局：未接触储物袋边缘时，获得 13 层蓄势；开局：未接触储物袋边缘时，获得 17 层蓄势；开局：未接触储物袋边缘时，获得 20 层蓄势；开局：未接触储物袋边缘时，获得 23 层蓄势</t>
        </is>
      </c>
      <c r="R657" s="9" t="inlineStr"/>
      <c r="S657" s="9" t="inlineStr">
        <is>
          <t>石犀角片立于矮座之上，断面天然纹理宛若古碑篆痕。</t>
        </is>
      </c>
      <c r="T657" s="8" t="inlineStr">
        <is>
          <t>implement_fubei_shixi_horn_pedestal_2x2</t>
        </is>
      </c>
      <c r="U657" s="8" t="inlineStr">
        <is>
          <t>allowed</t>
        </is>
      </c>
    </row>
    <row r="658" ht="34" customHeight="1">
      <c r="A658" s="8" t="n">
        <v>657</v>
      </c>
      <c r="B658" s="8" t="n">
        <v>412202</v>
      </c>
      <c r="C658" s="8" t="inlineStr">
        <is>
          <t>镇骨衡旗</t>
        </is>
      </c>
      <c r="D658" s="8" t="inlineStr">
        <is>
          <t>法器</t>
        </is>
      </c>
      <c r="E658" s="8" t="inlineStr">
        <is>
          <t>implement</t>
        </is>
      </c>
      <c r="F658" s="8" t="inlineStr">
        <is>
          <t>common</t>
        </is>
      </c>
      <c r="G658" s="8" t="inlineStr">
        <is>
          <t>土</t>
        </is>
      </c>
      <c r="H658" s="8" t="inlineStr">
        <is>
          <t>earth</t>
        </is>
      </c>
      <c r="I658" s="8" t="inlineStr">
        <is>
          <t>2×1</t>
        </is>
      </c>
      <c r="J658" s="8" t="n">
        <v>2</v>
      </c>
      <c r="K658" s="8" t="n">
        <v>16</v>
      </c>
      <c r="L658" s="8" t="inlineStr">
        <is>
          <t>是</t>
        </is>
      </c>
      <c r="M658" s="9" t="inlineStr"/>
      <c r="N658" s="8" t="n">
        <v>1</v>
      </c>
      <c r="O658" s="9" t="inlineStr">
        <is>
          <t>周期触发</t>
        </is>
      </c>
      <c r="P658" s="9" t="inlineStr">
        <is>
          <t>periodicPulse</t>
        </is>
      </c>
      <c r="Q658" s="9" t="inlineStr">
        <is>
          <t>周期触发：位于储物袋顶部时，获得 7 层护甲</t>
        </is>
      </c>
      <c r="R658" s="9" t="inlineStr"/>
      <c r="S658" s="9" t="inlineStr">
        <is>
          <t>镇旗骨横作旗梁，骨节上的砂褐纹路衬着短幅旧帛。</t>
        </is>
      </c>
      <c r="T658" s="8" t="inlineStr">
        <is>
          <t>implement_fubei_shixi_banner_bone_standard_2x1</t>
        </is>
      </c>
      <c r="U658" s="8" t="inlineStr">
        <is>
          <t>allowed</t>
        </is>
      </c>
    </row>
    <row r="659" ht="34" customHeight="1">
      <c r="A659" s="8" t="n">
        <v>658</v>
      </c>
      <c r="B659" s="8" t="n">
        <v>412203</v>
      </c>
      <c r="C659" s="8" t="inlineStr">
        <is>
          <t>符蹄定山印</t>
        </is>
      </c>
      <c r="D659" s="8" t="inlineStr">
        <is>
          <t>法器</t>
        </is>
      </c>
      <c r="E659" s="8" t="inlineStr">
        <is>
          <t>implement</t>
        </is>
      </c>
      <c r="F659" s="8" t="inlineStr">
        <is>
          <t>common</t>
        </is>
      </c>
      <c r="G659" s="8" t="inlineStr">
        <is>
          <t>土</t>
        </is>
      </c>
      <c r="H659" s="8" t="inlineStr">
        <is>
          <t>earth</t>
        </is>
      </c>
      <c r="I659" s="8" t="inlineStr">
        <is>
          <t>2×1</t>
        </is>
      </c>
      <c r="J659" s="8" t="n">
        <v>2</v>
      </c>
      <c r="K659" s="8" t="n">
        <v>16</v>
      </c>
      <c r="L659" s="8" t="inlineStr">
        <is>
          <t>是</t>
        </is>
      </c>
      <c r="M659" s="9" t="inlineStr"/>
      <c r="N659" s="8" t="n">
        <v>1</v>
      </c>
      <c r="O659" s="9" t="inlineStr">
        <is>
          <t>周期触发</t>
        </is>
      </c>
      <c r="P659" s="9" t="inlineStr">
        <is>
          <t>periodicPulse</t>
        </is>
      </c>
      <c r="Q659" s="9" t="inlineStr">
        <is>
          <t>周期触发：位于储物袋底部时，获得 7 层蓄势</t>
        </is>
      </c>
      <c r="R659" s="9" t="inlineStr"/>
      <c r="S659" s="9" t="inlineStr">
        <is>
          <t>厚蹄炼作横卧方印，蹄底符砂凝成清晰而古拙的印面。</t>
        </is>
      </c>
      <c r="T659" s="8" t="inlineStr">
        <is>
          <t>implement_fubei_shixi_hoof_seal_2x1</t>
        </is>
      </c>
      <c r="U659" s="8" t="inlineStr">
        <is>
          <t>allowed</t>
        </is>
      </c>
    </row>
    <row r="660" ht="34" customHeight="1">
      <c r="A660" s="8" t="n">
        <v>659</v>
      </c>
      <c r="B660" s="8" t="n">
        <v>412204</v>
      </c>
      <c r="C660" s="8" t="inlineStr">
        <is>
          <t>脊骨承山柱</t>
        </is>
      </c>
      <c r="D660" s="8" t="inlineStr">
        <is>
          <t>法器</t>
        </is>
      </c>
      <c r="E660" s="8" t="inlineStr">
        <is>
          <t>implement</t>
        </is>
      </c>
      <c r="F660" s="8" t="inlineStr">
        <is>
          <t>common</t>
        </is>
      </c>
      <c r="G660" s="8" t="inlineStr">
        <is>
          <t>土</t>
        </is>
      </c>
      <c r="H660" s="8" t="inlineStr">
        <is>
          <t>earth</t>
        </is>
      </c>
      <c r="I660" s="8" t="inlineStr">
        <is>
          <t>1×2</t>
        </is>
      </c>
      <c r="J660" s="8" t="n">
        <v>2</v>
      </c>
      <c r="K660" s="8" t="n">
        <v>16</v>
      </c>
      <c r="L660" s="8" t="inlineStr">
        <is>
          <t>是</t>
        </is>
      </c>
      <c r="M660" s="9" t="inlineStr"/>
      <c r="N660" s="8" t="n">
        <v>1</v>
      </c>
      <c r="O660" s="9" t="inlineStr">
        <is>
          <t>被动效果</t>
        </is>
      </c>
      <c r="P660" s="9" t="inlineStr">
        <is>
          <t>passive</t>
        </is>
      </c>
      <c r="Q660" s="9" t="inlineStr">
        <is>
          <t>被动效果：坚硬层数上限 +3；坚硬层数上限 +5；坚硬层数上限 +6；坚硬层数上限 +8</t>
        </is>
      </c>
      <c r="R660" s="9" t="inlineStr"/>
      <c r="S660" s="9" t="inlineStr">
        <is>
          <t>压阵脊骨竖装成短柱，骨棱间填着凝固的青灰石浆。</t>
        </is>
      </c>
      <c r="T660" s="8" t="inlineStr">
        <is>
          <t>implement_fubei_shixi_spine_pillar_1x2</t>
        </is>
      </c>
      <c r="U660" s="8" t="inlineStr">
        <is>
          <t>allowed</t>
        </is>
      </c>
    </row>
    <row r="661" ht="34" customHeight="1">
      <c r="A661" s="8" t="n">
        <v>660</v>
      </c>
      <c r="B661" s="8" t="n">
        <v>412205</v>
      </c>
      <c r="C661" s="8" t="inlineStr">
        <is>
          <t>青阙镇元杖</t>
        </is>
      </c>
      <c r="D661" s="8" t="inlineStr">
        <is>
          <t>法器</t>
        </is>
      </c>
      <c r="E661" s="8" t="inlineStr">
        <is>
          <t>implement</t>
        </is>
      </c>
      <c r="F661" s="8" t="inlineStr">
        <is>
          <t>common</t>
        </is>
      </c>
      <c r="G661" s="8" t="inlineStr">
        <is>
          <t>土</t>
        </is>
      </c>
      <c r="H661" s="8" t="inlineStr">
        <is>
          <t>earth</t>
        </is>
      </c>
      <c r="I661" s="8" t="inlineStr">
        <is>
          <t>1×2</t>
        </is>
      </c>
      <c r="J661" s="8" t="n">
        <v>2</v>
      </c>
      <c r="K661" s="8" t="n">
        <v>16</v>
      </c>
      <c r="L661" s="8" t="inlineStr">
        <is>
          <t>是</t>
        </is>
      </c>
      <c r="M661" s="9" t="inlineStr"/>
      <c r="N661" s="8" t="n">
        <v>1</v>
      </c>
      <c r="O661" s="9" t="inlineStr">
        <is>
          <t>周期触发</t>
        </is>
      </c>
      <c r="P661" s="9" t="inlineStr">
        <is>
          <t>periodicPulse</t>
        </is>
      </c>
      <c r="Q661" s="9" t="inlineStr">
        <is>
          <t>周期触发：开局：每有 1 件符箓，获得 5 层护甲，最多计算 4 件；开局：每有 1 件符箓，获得 7 层护甲，最多计算 4 件；开局：每有 1 件符箓，获得 8 层护甲，最多计算 4 件；开局：每有 1 件符箓，获得 10 层护甲，最多计算 4 件</t>
        </is>
      </c>
      <c r="R661" s="9" t="inlineStr"/>
      <c r="S661" s="9" t="inlineStr">
        <is>
          <t>青阙符核悬在短杖顶端，核面符线映出温润青光。</t>
        </is>
      </c>
      <c r="T661" s="8" t="inlineStr">
        <is>
          <t>implement_fubei_shixi_rune_core_staff_1x2</t>
        </is>
      </c>
      <c r="U661" s="8" t="inlineStr">
        <is>
          <t>allowed</t>
        </is>
      </c>
    </row>
    <row r="662" ht="34" customHeight="1">
      <c r="A662" s="8" t="n">
        <v>661</v>
      </c>
      <c r="B662" s="8" t="n">
        <v>412251</v>
      </c>
      <c r="C662" s="8" t="inlineStr">
        <is>
          <t>踏砂移势匣</t>
        </is>
      </c>
      <c r="D662" s="8" t="inlineStr">
        <is>
          <t>法器</t>
        </is>
      </c>
      <c r="E662" s="8" t="inlineStr">
        <is>
          <t>implement</t>
        </is>
      </c>
      <c r="F662" s="8" t="inlineStr">
        <is>
          <t>common</t>
        </is>
      </c>
      <c r="G662" s="8" t="inlineStr">
        <is>
          <t>土</t>
        </is>
      </c>
      <c r="H662" s="8" t="inlineStr">
        <is>
          <t>earth</t>
        </is>
      </c>
      <c r="I662" s="8" t="inlineStr">
        <is>
          <t>2×1</t>
        </is>
      </c>
      <c r="J662" s="8" t="n">
        <v>2</v>
      </c>
      <c r="K662" s="8" t="n">
        <v>16</v>
      </c>
      <c r="L662" s="8" t="inlineStr">
        <is>
          <t>是</t>
        </is>
      </c>
      <c r="M662" s="9" t="inlineStr"/>
      <c r="N662" s="8" t="n">
        <v>1</v>
      </c>
      <c r="O662" s="9" t="inlineStr">
        <is>
          <t>条件触发</t>
        </is>
      </c>
      <c r="P662" s="9" t="inlineStr">
        <is>
          <t>triggered</t>
        </is>
      </c>
      <c r="Q662" s="9" t="inlineStr">
        <is>
          <t>条件触发：使用相邻投掷物时，获得 7 层护甲；使用相邻投掷物时，获得 8 层护甲；使用相邻投掷物时，获得 10 层护甲；使用相邻投掷物时，获得 12 层护甲</t>
        </is>
      </c>
      <c r="R662" s="9" t="inlineStr"/>
      <c r="S662" s="9" t="inlineStr">
        <is>
          <t>蹄骨嵌在长形阵轨中央，细密符砂铺出起伏足迹。</t>
        </is>
      </c>
      <c r="T662" s="8" t="inlineStr">
        <is>
          <t>implement_fubei_shixi_hoof_relay_2x1</t>
        </is>
      </c>
      <c r="U662" s="8" t="inlineStr">
        <is>
          <t>allowed</t>
        </is>
      </c>
    </row>
    <row r="663" ht="34" customHeight="1">
      <c r="A663" s="8" t="n">
        <v>662</v>
      </c>
      <c r="B663" s="8" t="n">
        <v>412252</v>
      </c>
      <c r="C663" s="8" t="inlineStr">
        <is>
          <t>贯岳角轮</t>
        </is>
      </c>
      <c r="D663" s="8" t="inlineStr">
        <is>
          <t>法器</t>
        </is>
      </c>
      <c r="E663" s="8" t="inlineStr">
        <is>
          <t>implement</t>
        </is>
      </c>
      <c r="F663" s="8" t="inlineStr">
        <is>
          <t>common</t>
        </is>
      </c>
      <c r="G663" s="8" t="inlineStr">
        <is>
          <t>土</t>
        </is>
      </c>
      <c r="H663" s="8" t="inlineStr">
        <is>
          <t>earth</t>
        </is>
      </c>
      <c r="I663" s="8" t="inlineStr">
        <is>
          <t>2×2</t>
        </is>
      </c>
      <c r="J663" s="8" t="n">
        <v>4</v>
      </c>
      <c r="K663" s="8" t="n">
        <v>16</v>
      </c>
      <c r="L663" s="8" t="inlineStr">
        <is>
          <t>是</t>
        </is>
      </c>
      <c r="M663" s="9" t="inlineStr"/>
      <c r="N663" s="8" t="n">
        <v>1</v>
      </c>
      <c r="O663" s="9" t="inlineStr">
        <is>
          <t>条件触发</t>
        </is>
      </c>
      <c r="P663" s="9" t="inlineStr">
        <is>
          <t>triggered</t>
        </is>
      </c>
      <c r="Q663" s="9" t="inlineStr">
        <is>
          <t>条件触发：使用相邻阵盘时，获得 7 层护甲；使用相邻阵盘时，获得 8 层护甲；使用相邻阵盘时，获得 10 层护甲；使用相邻阵盘时，获得 12 层护甲</t>
        </is>
      </c>
      <c r="R663" s="9" t="inlineStr"/>
      <c r="S663" s="9" t="inlineStr">
        <is>
          <t>角片磨成厚刃轮环，轮缘保留着石犀角质的粗粝层纹。</t>
        </is>
      </c>
      <c r="T663" s="8" t="inlineStr">
        <is>
          <t>implement_fubei_shixi_horn_wheel_2x2</t>
        </is>
      </c>
      <c r="U663" s="8" t="inlineStr">
        <is>
          <t>allowed</t>
        </is>
      </c>
    </row>
    <row r="664" ht="34" customHeight="1">
      <c r="A664" s="8" t="n">
        <v>663</v>
      </c>
      <c r="B664" s="8" t="n">
        <v>412253</v>
      </c>
      <c r="C664" s="8" t="inlineStr">
        <is>
          <t>破阵骨梭</t>
        </is>
      </c>
      <c r="D664" s="8" t="inlineStr">
        <is>
          <t>法器</t>
        </is>
      </c>
      <c r="E664" s="8" t="inlineStr">
        <is>
          <t>implement</t>
        </is>
      </c>
      <c r="F664" s="8" t="inlineStr">
        <is>
          <t>common</t>
        </is>
      </c>
      <c r="G664" s="8" t="inlineStr">
        <is>
          <t>土</t>
        </is>
      </c>
      <c r="H664" s="8" t="inlineStr">
        <is>
          <t>earth</t>
        </is>
      </c>
      <c r="I664" s="8" t="inlineStr">
        <is>
          <t>2×1</t>
        </is>
      </c>
      <c r="J664" s="8" t="n">
        <v>2</v>
      </c>
      <c r="K664" s="8" t="n">
        <v>16</v>
      </c>
      <c r="L664" s="8" t="inlineStr">
        <is>
          <t>是</t>
        </is>
      </c>
      <c r="M664" s="9" t="inlineStr"/>
      <c r="N664" s="8" t="n">
        <v>1</v>
      </c>
      <c r="O664" s="9" t="inlineStr">
        <is>
          <t>条件触发</t>
        </is>
      </c>
      <c r="P664" s="9" t="inlineStr">
        <is>
          <t>triggered</t>
        </is>
      </c>
      <c r="Q664" s="9" t="inlineStr">
        <is>
          <t>条件触发：使用相邻阵盘时，对敌方造成 17 点伤害；使用相邻阵盘时，对敌方造成 20 点伤害；使用相邻阵盘时，对敌方造成 24 点伤害；使用相邻阵盘时，对敌方造成 27 点伤害</t>
        </is>
      </c>
      <c r="R664" s="9" t="inlineStr"/>
      <c r="S664" s="9" t="inlineStr">
        <is>
          <t>镇旗骨削成狭长飞梭，两端骨锋泛着冷硬的灰白光泽。</t>
        </is>
      </c>
      <c r="T664" s="8" t="inlineStr">
        <is>
          <t>implement_fubei_shixi_bone_shuttle_2x1</t>
        </is>
      </c>
      <c r="U664" s="8" t="inlineStr">
        <is>
          <t>allowed</t>
        </is>
      </c>
    </row>
    <row r="665" ht="34" customHeight="1">
      <c r="A665" s="8" t="n">
        <v>664</v>
      </c>
      <c r="B665" s="8" t="n">
        <v>412254</v>
      </c>
      <c r="C665" s="8" t="inlineStr">
        <is>
          <t>崩阵脊矛</t>
        </is>
      </c>
      <c r="D665" s="8" t="inlineStr">
        <is>
          <t>法器</t>
        </is>
      </c>
      <c r="E665" s="8" t="inlineStr">
        <is>
          <t>implement</t>
        </is>
      </c>
      <c r="F665" s="8" t="inlineStr">
        <is>
          <t>common</t>
        </is>
      </c>
      <c r="G665" s="8" t="inlineStr">
        <is>
          <t>土</t>
        </is>
      </c>
      <c r="H665" s="8" t="inlineStr">
        <is>
          <t>earth</t>
        </is>
      </c>
      <c r="I665" s="8" t="inlineStr">
        <is>
          <t>1×2</t>
        </is>
      </c>
      <c r="J665" s="8" t="n">
        <v>2</v>
      </c>
      <c r="K665" s="8" t="n">
        <v>16</v>
      </c>
      <c r="L665" s="8" t="inlineStr">
        <is>
          <t>是</t>
        </is>
      </c>
      <c r="M665" s="9" t="inlineStr"/>
      <c r="N665" s="8" t="n">
        <v>1</v>
      </c>
      <c r="O665" s="9" t="inlineStr">
        <is>
          <t>条件触发</t>
        </is>
      </c>
      <c r="P665" s="9" t="inlineStr">
        <is>
          <t>triggered</t>
        </is>
      </c>
      <c r="Q665" s="9" t="inlineStr">
        <is>
          <t>条件触发：使用相邻武器时，对敌方造成 14 点伤害；使用相邻武器时，对敌方造成 17 点伤害；使用相邻武器时，对敌方造成 20 点伤害；使用相邻武器时，对敌方造成 24 点伤害</t>
        </is>
      </c>
      <c r="R665" s="9" t="inlineStr"/>
      <c r="S665" s="9" t="inlineStr">
        <is>
          <t>脊骨磨作竖长短矛，节节骨棱收束向黯青矛尖。</t>
        </is>
      </c>
      <c r="T665" s="8" t="inlineStr">
        <is>
          <t>implement_fubei_shixi_spine_spear_1x2</t>
        </is>
      </c>
      <c r="U665" s="8" t="inlineStr">
        <is>
          <t>allowed</t>
        </is>
      </c>
    </row>
    <row r="666" ht="34" customHeight="1">
      <c r="A666" s="8" t="n">
        <v>665</v>
      </c>
      <c r="B666" s="8" t="n">
        <v>412255</v>
      </c>
      <c r="C666" s="8" t="inlineStr">
        <is>
          <t>裂阙符锥</t>
        </is>
      </c>
      <c r="D666" s="8" t="inlineStr">
        <is>
          <t>法器</t>
        </is>
      </c>
      <c r="E666" s="8" t="inlineStr">
        <is>
          <t>implement</t>
        </is>
      </c>
      <c r="F666" s="8" t="inlineStr">
        <is>
          <t>common</t>
        </is>
      </c>
      <c r="G666" s="8" t="inlineStr">
        <is>
          <t>土</t>
        </is>
      </c>
      <c r="H666" s="8" t="inlineStr">
        <is>
          <t>earth</t>
        </is>
      </c>
      <c r="I666" s="8" t="inlineStr">
        <is>
          <t>1×2</t>
        </is>
      </c>
      <c r="J666" s="8" t="n">
        <v>2</v>
      </c>
      <c r="K666" s="8" t="n">
        <v>16</v>
      </c>
      <c r="L666" s="8" t="inlineStr">
        <is>
          <t>是</t>
        </is>
      </c>
      <c r="M666" s="9" t="inlineStr"/>
      <c r="N666" s="8" t="n">
        <v>1</v>
      </c>
      <c r="O666" s="9" t="inlineStr">
        <is>
          <t>条件触发</t>
        </is>
      </c>
      <c r="P666" s="9" t="inlineStr">
        <is>
          <t>triggered</t>
        </is>
      </c>
      <c r="Q666" s="9" t="inlineStr">
        <is>
          <t>条件触发：其他道具的开局效果触发时，对敌方造成 10 点伤害；其他道具的开局效果触发时，对敌方造成 14 点伤害；其他道具的开局效果触发时，对敌方造成 17 点伤害；其他道具的开局效果触发时，对敌方造成 20 点伤害</t>
        </is>
      </c>
      <c r="R666" s="9" t="inlineStr"/>
      <c r="S666" s="9" t="inlineStr">
        <is>
          <t>青阙符核嵌进细长石锥，尖端凝着一线幽青冷芒。</t>
        </is>
      </c>
      <c r="T666" s="8" t="inlineStr">
        <is>
          <t>implement_fubei_shixi_rune_core_dart_1x2</t>
        </is>
      </c>
      <c r="U666" s="8" t="inlineStr">
        <is>
          <t>allowed</t>
        </is>
      </c>
    </row>
    <row r="667" ht="34" customHeight="1">
      <c r="A667" s="8" t="n">
        <v>666</v>
      </c>
      <c r="B667" s="8" t="n">
        <v>412300</v>
      </c>
      <c r="C667" s="8" t="inlineStr">
        <is>
          <t>清辉镇潮盾</t>
        </is>
      </c>
      <c r="D667" s="8" t="inlineStr">
        <is>
          <t>法器</t>
        </is>
      </c>
      <c r="E667" s="8" t="inlineStr">
        <is>
          <t>implement</t>
        </is>
      </c>
      <c r="F667" s="8" t="inlineStr">
        <is>
          <t>common</t>
        </is>
      </c>
      <c r="G667" s="8" t="inlineStr">
        <is>
          <t>金</t>
        </is>
      </c>
      <c r="H667" s="8" t="inlineStr">
        <is>
          <t>metal</t>
        </is>
      </c>
      <c r="I667" s="8" t="inlineStr">
        <is>
          <t>2×2</t>
        </is>
      </c>
      <c r="J667" s="8" t="n">
        <v>4</v>
      </c>
      <c r="K667" s="8" t="n">
        <v>18</v>
      </c>
      <c r="L667" s="8" t="inlineStr">
        <is>
          <t>是</t>
        </is>
      </c>
      <c r="M667" s="9" t="inlineStr"/>
      <c r="N667" s="8" t="n">
        <v>1</v>
      </c>
      <c r="O667" s="9" t="inlineStr">
        <is>
          <t>被动效果</t>
        </is>
      </c>
      <c r="P667" s="9" t="inlineStr">
        <is>
          <t>passive</t>
        </is>
      </c>
      <c r="Q667" s="9" t="inlineStr">
        <is>
          <t>被动效果：护甲层数上限 +12；护甲层数上限 +17；护甲层数上限 +21；护甲层数上限 +26</t>
        </is>
      </c>
      <c r="R667" s="9" t="inlineStr"/>
      <c r="S667" s="9" t="inlineStr">
        <is>
          <t>整片月白蚌壳被炼成阔盾，蓝灰水纹仍沿壳脊缓缓流转。</t>
        </is>
      </c>
      <c r="T667" s="8" t="inlineStr">
        <is>
          <t>implement_yuejian_lingbang_moonlit_shell_tideguard_shield_2x2</t>
        </is>
      </c>
      <c r="U667" s="8" t="inlineStr">
        <is>
          <t>allowed</t>
        </is>
      </c>
    </row>
    <row r="668" ht="34" customHeight="1">
      <c r="A668" s="8" t="n">
        <v>667</v>
      </c>
      <c r="B668" s="8" t="n">
        <v>412301</v>
      </c>
      <c r="C668" s="8" t="inlineStr">
        <is>
          <t>凝月养元盂</t>
        </is>
      </c>
      <c r="D668" s="8" t="inlineStr">
        <is>
          <t>法器</t>
        </is>
      </c>
      <c r="E668" s="8" t="inlineStr">
        <is>
          <t>implement</t>
        </is>
      </c>
      <c r="F668" s="8" t="inlineStr">
        <is>
          <t>common</t>
        </is>
      </c>
      <c r="G668" s="8" t="inlineStr">
        <is>
          <t>水</t>
        </is>
      </c>
      <c r="H668" s="8" t="inlineStr">
        <is>
          <t>water</t>
        </is>
      </c>
      <c r="I668" s="8" t="inlineStr">
        <is>
          <t>2×2</t>
        </is>
      </c>
      <c r="J668" s="8" t="n">
        <v>4</v>
      </c>
      <c r="K668" s="8" t="n">
        <v>18</v>
      </c>
      <c r="L668" s="8" t="inlineStr">
        <is>
          <t>是</t>
        </is>
      </c>
      <c r="M668" s="9" t="inlineStr"/>
      <c r="N668" s="8" t="n">
        <v>1</v>
      </c>
      <c r="O668" s="9" t="inlineStr">
        <is>
          <t>条件触发</t>
        </is>
      </c>
      <c r="P668" s="9" t="inlineStr">
        <is>
          <t>triggered</t>
        </is>
      </c>
      <c r="Q668" s="9" t="inlineStr">
        <is>
          <t>条件触发：相邻丹药耗尽时，恢复 13 点气血；相邻丹药耗尽时，恢复 17 点气血；相邻丹药耗尽时，恢复 20 点气血；相邻丹药耗尽时，恢复 23 点气血</t>
        </is>
      </c>
      <c r="R668" s="9" t="inlineStr"/>
      <c r="S668" s="9" t="inlineStr">
        <is>
          <t>凝月软肉被炼成温润软盂，蓝灰层纹在盂壁间若隐若现。</t>
        </is>
      </c>
      <c r="T668" s="8" t="inlineStr">
        <is>
          <t>implement_yuejian_lingbang_moon_flesh_nourishing_bowl_2x2</t>
        </is>
      </c>
      <c r="U668" s="8" t="inlineStr">
        <is>
          <t>allowed</t>
        </is>
      </c>
    </row>
    <row r="669" ht="34" customHeight="1">
      <c r="A669" s="8" t="n">
        <v>668</v>
      </c>
      <c r="B669" s="8" t="n">
        <v>412302</v>
      </c>
      <c r="C669" s="8" t="inlineStr">
        <is>
          <t>月涧柔水衣</t>
        </is>
      </c>
      <c r="D669" s="8" t="inlineStr">
        <is>
          <t>法器</t>
        </is>
      </c>
      <c r="E669" s="8" t="inlineStr">
        <is>
          <t>implement</t>
        </is>
      </c>
      <c r="F669" s="8" t="inlineStr">
        <is>
          <t>common</t>
        </is>
      </c>
      <c r="G669" s="8" t="inlineStr">
        <is>
          <t>水</t>
        </is>
      </c>
      <c r="H669" s="8" t="inlineStr">
        <is>
          <t>water</t>
        </is>
      </c>
      <c r="I669" s="8" t="inlineStr">
        <is>
          <t>2×2</t>
        </is>
      </c>
      <c r="J669" s="8" t="n">
        <v>4</v>
      </c>
      <c r="K669" s="8" t="n">
        <v>20</v>
      </c>
      <c r="L669" s="8" t="inlineStr">
        <is>
          <t>是</t>
        </is>
      </c>
      <c r="M669" s="9" t="inlineStr"/>
      <c r="N669" s="8" t="n">
        <v>1</v>
      </c>
      <c r="O669" s="9" t="inlineStr">
        <is>
          <t>被动效果</t>
        </is>
      </c>
      <c r="P669" s="9" t="inlineStr">
        <is>
          <t>passive</t>
        </is>
      </c>
      <c r="Q669" s="9" t="inlineStr">
        <is>
          <t>被动效果：露水层数上限 +12；露水层数上限 +15；露水层数上限 +18；露水层数上限 +21</t>
        </is>
      </c>
      <c r="R669" s="9" t="inlineStr"/>
      <c r="S669" s="9" t="inlineStr">
        <is>
          <t>月涧水膜层叠成无袖软衣，卷边仍凝着细小水珠。</t>
        </is>
      </c>
      <c r="T669" s="8" t="inlineStr">
        <is>
          <t>implement_yuejian_lingbang_stream_membrane_water_robe_2x2</t>
        </is>
      </c>
      <c r="U669" s="8" t="inlineStr">
        <is>
          <t>allowed</t>
        </is>
      </c>
    </row>
    <row r="670" ht="34" customHeight="1">
      <c r="A670" s="8" t="n">
        <v>669</v>
      </c>
      <c r="B670" s="8" t="n">
        <v>412303</v>
      </c>
      <c r="C670" s="8" t="inlineStr">
        <is>
          <t>月池护珠灯</t>
        </is>
      </c>
      <c r="D670" s="8" t="inlineStr">
        <is>
          <t>法器</t>
        </is>
      </c>
      <c r="E670" s="8" t="inlineStr">
        <is>
          <t>implement</t>
        </is>
      </c>
      <c r="F670" s="8" t="inlineStr">
        <is>
          <t>common</t>
        </is>
      </c>
      <c r="G670" s="8" t="inlineStr">
        <is>
          <t>水</t>
        </is>
      </c>
      <c r="H670" s="8" t="inlineStr">
        <is>
          <t>water</t>
        </is>
      </c>
      <c r="I670" s="8" t="inlineStr">
        <is>
          <t>1×2</t>
        </is>
      </c>
      <c r="J670" s="8" t="n">
        <v>2</v>
      </c>
      <c r="K670" s="8" t="n">
        <v>22</v>
      </c>
      <c r="L670" s="8" t="inlineStr">
        <is>
          <t>是</t>
        </is>
      </c>
      <c r="M670" s="9" t="inlineStr"/>
      <c r="N670" s="8" t="n">
        <v>1</v>
      </c>
      <c r="O670" s="9" t="inlineStr">
        <is>
          <t>周期触发</t>
        </is>
      </c>
      <c r="P670" s="9" t="inlineStr">
        <is>
          <t>periodicPulse</t>
        </is>
      </c>
      <c r="Q670" s="9" t="inlineStr">
        <is>
          <t>周期触发：位于储物袋边缘时，获得 5 层露水</t>
        </is>
      </c>
      <c r="R670" s="9" t="inlineStr"/>
      <c r="S670" s="9" t="inlineStr">
        <is>
          <t>护珠与卷浪蚌壳被整炼成灯身，月白珠光从壳隙间透出。</t>
        </is>
      </c>
      <c r="T670" s="8" t="inlineStr">
        <is>
          <t>implement_yuejian_lingbang_guard_pearl_ward_lantern_1x2</t>
        </is>
      </c>
      <c r="U670" s="8" t="inlineStr">
        <is>
          <t>allowed</t>
        </is>
      </c>
    </row>
    <row r="671" ht="34" customHeight="1">
      <c r="A671" s="8" t="n">
        <v>670</v>
      </c>
      <c r="B671" s="8" t="n">
        <v>412304</v>
      </c>
      <c r="C671" s="8" t="inlineStr">
        <is>
          <t>月涧灵珠瓶</t>
        </is>
      </c>
      <c r="D671" s="8" t="inlineStr">
        <is>
          <t>法器</t>
        </is>
      </c>
      <c r="E671" s="8" t="inlineStr">
        <is>
          <t>implement</t>
        </is>
      </c>
      <c r="F671" s="8" t="inlineStr">
        <is>
          <t>common</t>
        </is>
      </c>
      <c r="G671" s="8" t="inlineStr">
        <is>
          <t>金</t>
        </is>
      </c>
      <c r="H671" s="8" t="inlineStr">
        <is>
          <t>metal</t>
        </is>
      </c>
      <c r="I671" s="8" t="inlineStr">
        <is>
          <t>1×2</t>
        </is>
      </c>
      <c r="J671" s="8" t="n">
        <v>2</v>
      </c>
      <c r="K671" s="8" t="n">
        <v>24</v>
      </c>
      <c r="L671" s="8" t="inlineStr">
        <is>
          <t>是</t>
        </is>
      </c>
      <c r="M671" s="9" t="inlineStr"/>
      <c r="N671" s="8" t="n">
        <v>1</v>
      </c>
      <c r="O671" s="9" t="inlineStr">
        <is>
          <t>周期触发</t>
        </is>
      </c>
      <c r="P671" s="9" t="inlineStr">
        <is>
          <t>periodicPulse</t>
        </is>
      </c>
      <c r="Q671" s="9" t="inlineStr">
        <is>
          <t>周期触发：位于储物袋边缘时，最多将 6 层凝金转化为法力，每 1 层转化为 2 点法力；位于储物袋边缘时，最多将 8 层凝金转化为法力，每 1 层转化为 2 点法力；位于储物袋边缘时，最多将 10 层凝金转化为法力，每 1 层转化为 2 点法力；位于储物袋边缘时，最多将 12 层凝金转化为法力，每 1 层转化为 2 点法力</t>
        </is>
      </c>
      <c r="R671" s="9" t="inlineStr"/>
      <c r="S671" s="9" t="inlineStr">
        <is>
          <t>椭圆灵珠被掏炼成瓶腹，月面斑纹沉在幽蓝珠壁深处。</t>
        </is>
      </c>
      <c r="T671" s="8" t="inlineStr">
        <is>
          <t>implement_yuejian_lingbang_moon_stream_pearl_vessel_1x2</t>
        </is>
      </c>
      <c r="U671" s="8" t="inlineStr">
        <is>
          <t>allowed</t>
        </is>
      </c>
    </row>
    <row r="672" ht="34" customHeight="1">
      <c r="A672" s="8" t="n">
        <v>671</v>
      </c>
      <c r="B672" s="8" t="n">
        <v>412351</v>
      </c>
      <c r="C672" s="8" t="inlineStr">
        <is>
          <t>月涧引月幡</t>
        </is>
      </c>
      <c r="D672" s="8" t="inlineStr">
        <is>
          <t>法器</t>
        </is>
      </c>
      <c r="E672" s="8" t="inlineStr">
        <is>
          <t>implement</t>
        </is>
      </c>
      <c r="F672" s="8" t="inlineStr">
        <is>
          <t>common</t>
        </is>
      </c>
      <c r="G672" s="8" t="inlineStr">
        <is>
          <t>金</t>
        </is>
      </c>
      <c r="H672" s="8" t="inlineStr">
        <is>
          <t>metal</t>
        </is>
      </c>
      <c r="I672" s="8" t="inlineStr">
        <is>
          <t>1×2</t>
        </is>
      </c>
      <c r="J672" s="8" t="n">
        <v>2</v>
      </c>
      <c r="K672" s="8" t="n">
        <v>24</v>
      </c>
      <c r="L672" s="8" t="inlineStr">
        <is>
          <t>是</t>
        </is>
      </c>
      <c r="M672" s="9" t="inlineStr"/>
      <c r="N672" s="8" t="n">
        <v>1</v>
      </c>
      <c r="O672" s="9" t="inlineStr">
        <is>
          <t>周期触发</t>
        </is>
      </c>
      <c r="P672" s="9" t="inlineStr">
        <is>
          <t>periodicPulse</t>
        </is>
      </c>
      <c r="Q672" s="9" t="inlineStr">
        <is>
          <t>周期触发：开局：每有 1 件符箓，获得 5 层凝金，最多计算 4 件；开局：每有 1 件符箓，获得 7 层凝金，最多计算 4 件；开局：每有 1 件符箓，获得 8 层凝金，最多计算 4 件；开局：每有 1 件符箓，获得 10 层凝金，最多计算 4 件</t>
        </is>
      </c>
      <c r="R672" s="9" t="inlineStr"/>
      <c r="S672" s="9" t="inlineStr">
        <is>
          <t>新月形幡首托着灵珠阵眼，双尾长幡垂落如月下清涧。</t>
        </is>
      </c>
      <c r="T672" s="8" t="inlineStr">
        <is>
          <t>implement_yuejian_lingbang_moon_stream_pearl_standard_1x2</t>
        </is>
      </c>
      <c r="U672" s="8" t="inlineStr">
        <is>
          <t>allowed</t>
        </is>
      </c>
    </row>
    <row r="673" ht="34" customHeight="1">
      <c r="A673" s="8" t="n">
        <v>672</v>
      </c>
      <c r="B673" s="8" t="n">
        <v>412352</v>
      </c>
      <c r="C673" s="8" t="inlineStr">
        <is>
          <t>月池破浪矛</t>
        </is>
      </c>
      <c r="D673" s="8" t="inlineStr">
        <is>
          <t>法器</t>
        </is>
      </c>
      <c r="E673" s="8" t="inlineStr">
        <is>
          <t>implement</t>
        </is>
      </c>
      <c r="F673" s="8" t="inlineStr">
        <is>
          <t>common</t>
        </is>
      </c>
      <c r="G673" s="8" t="inlineStr">
        <is>
          <t>水</t>
        </is>
      </c>
      <c r="H673" s="8" t="inlineStr">
        <is>
          <t>water</t>
        </is>
      </c>
      <c r="I673" s="8" t="inlineStr">
        <is>
          <t>1×2</t>
        </is>
      </c>
      <c r="J673" s="8" t="n">
        <v>2</v>
      </c>
      <c r="K673" s="8" t="n">
        <v>16</v>
      </c>
      <c r="L673" s="8" t="inlineStr">
        <is>
          <t>是</t>
        </is>
      </c>
      <c r="M673" s="9" t="inlineStr"/>
      <c r="N673" s="8" t="n">
        <v>1</v>
      </c>
      <c r="O673" s="9" t="inlineStr">
        <is>
          <t>条件触发</t>
        </is>
      </c>
      <c r="P673" s="9" t="inlineStr">
        <is>
          <t>triggered</t>
        </is>
      </c>
      <c r="Q673" s="9" t="inlineStr">
        <is>
          <t>条件触发：使用相邻符箓时，对敌方造成 14 点伤害；使用相邻符箓时，对敌方造成 17 点伤害；使用相邻符箓时，对敌方造成 20 点伤害；使用相邻符箓时，对敌方造成 24 点伤害</t>
        </is>
      </c>
      <c r="R673" s="9" t="inlineStr"/>
      <c r="S673" s="9" t="inlineStr">
        <is>
          <t>护珠壳片被炼成稳流尾翼，月白珠舱紧贴寒亮矛锋。</t>
        </is>
      </c>
      <c r="T673" s="8" t="inlineStr">
        <is>
          <t>implement_yuejian_lingbang_guard_pearl_wave_spear_1x2</t>
        </is>
      </c>
      <c r="U673" s="8" t="inlineStr">
        <is>
          <t>allowed</t>
        </is>
      </c>
    </row>
    <row r="674" ht="34" customHeight="1">
      <c r="A674" s="8" t="n">
        <v>673</v>
      </c>
      <c r="B674" s="8" t="n">
        <v>412400</v>
      </c>
      <c r="C674" s="8" t="inlineStr">
        <is>
          <t>碧筋稳脉护臂</t>
        </is>
      </c>
      <c r="D674" s="8" t="inlineStr">
        <is>
          <t>法器</t>
        </is>
      </c>
      <c r="E674" s="8" t="inlineStr">
        <is>
          <t>implement</t>
        </is>
      </c>
      <c r="F674" s="8" t="inlineStr">
        <is>
          <t>common</t>
        </is>
      </c>
      <c r="G674" s="8" t="inlineStr">
        <is>
          <t>木</t>
        </is>
      </c>
      <c r="H674" s="8" t="inlineStr">
        <is>
          <t>wood</t>
        </is>
      </c>
      <c r="I674" s="8" t="inlineStr">
        <is>
          <t>2×1</t>
        </is>
      </c>
      <c r="J674" s="8" t="n">
        <v>2</v>
      </c>
      <c r="K674" s="8" t="n">
        <v>25</v>
      </c>
      <c r="L674" s="8" t="inlineStr">
        <is>
          <t>是</t>
        </is>
      </c>
      <c r="M674" s="9" t="inlineStr">
        <is>
          <t>bazaar；dynamicRandomReward</t>
        </is>
      </c>
      <c r="N674" s="8" t="n">
        <v>1</v>
      </c>
      <c r="O674" s="9" t="inlineStr">
        <is>
          <t>条件触发</t>
        </is>
      </c>
      <c r="P674" s="9" t="inlineStr">
        <is>
          <t>triggered</t>
        </is>
      </c>
      <c r="Q674" s="9" t="inlineStr">
        <is>
          <t>条件触发：相邻道具获得坚硬时，获得1层再生；相邻道具获得坚硬时，获得2层再生；相邻道具获得坚硬时，获得3层再生；相邻道具获得坚硬时，获得4层再生</t>
        </is>
      </c>
      <c r="R674" s="9" t="inlineStr"/>
      <c r="S674" s="9" t="inlineStr">
        <is>
          <t>浅青臂筋依梧叶纹路交错编成护臂，深青扣环将每股韧筋稳稳束在一处。</t>
        </is>
      </c>
      <c r="T674" s="8" t="inlineStr">
        <is>
          <t>implement_biwu_sinew_bracer_2x1</t>
        </is>
      </c>
      <c r="U674" s="8" t="inlineStr">
        <is>
          <t>allowed</t>
        </is>
      </c>
    </row>
    <row r="675" ht="34" customHeight="1">
      <c r="A675" s="8" t="n">
        <v>674</v>
      </c>
      <c r="B675" s="8" t="n">
        <v>412401</v>
      </c>
      <c r="C675" s="8" t="inlineStr">
        <is>
          <t>青骨镇脉短杖</t>
        </is>
      </c>
      <c r="D675" s="8" t="inlineStr">
        <is>
          <t>法器</t>
        </is>
      </c>
      <c r="E675" s="8" t="inlineStr">
        <is>
          <t>implement</t>
        </is>
      </c>
      <c r="F675" s="8" t="inlineStr">
        <is>
          <t>common</t>
        </is>
      </c>
      <c r="G675" s="8" t="inlineStr">
        <is>
          <t>木</t>
        </is>
      </c>
      <c r="H675" s="8" t="inlineStr">
        <is>
          <t>wood</t>
        </is>
      </c>
      <c r="I675" s="8" t="inlineStr">
        <is>
          <t>2×1</t>
        </is>
      </c>
      <c r="J675" s="8" t="n">
        <v>2</v>
      </c>
      <c r="K675" s="8" t="n">
        <v>30</v>
      </c>
      <c r="L675" s="8" t="inlineStr">
        <is>
          <t>是</t>
        </is>
      </c>
      <c r="M675" s="9" t="inlineStr">
        <is>
          <t>bazaar；dynamicRandomReward</t>
        </is>
      </c>
      <c r="N675" s="8" t="n">
        <v>1</v>
      </c>
      <c r="O675" s="9" t="inlineStr">
        <is>
          <t>条件触发</t>
        </is>
      </c>
      <c r="P675" s="9" t="inlineStr">
        <is>
          <t>triggered</t>
        </is>
      </c>
      <c r="Q675" s="9" t="inlineStr">
        <is>
          <t>条件触发：相邻道具消耗法力时，将3层再生转化为3点法力；相邻道具消耗法力时，将6层再生转化为6点法力；相邻道具消耗法力时，将9层再生转化为9点法力；相邻道具消耗法力时，将12层再生转化为12点法力</t>
        </is>
      </c>
      <c r="R675" s="9" t="inlineStr"/>
      <c r="S675" s="9" t="inlineStr">
        <is>
          <t>青白臂骨炼作粗短骨杖，枝叶般的骨纹从铜箍下舒展开来，髓心年轮仍清晰可辨。</t>
        </is>
      </c>
      <c r="T675" s="8" t="inlineStr">
        <is>
          <t>implement_greenbone_short_staff_2x1</t>
        </is>
      </c>
      <c r="U675" s="8" t="inlineStr">
        <is>
          <t>allowed</t>
        </is>
      </c>
    </row>
    <row r="676" ht="34" customHeight="1">
      <c r="A676" s="8" t="n">
        <v>675</v>
      </c>
      <c r="B676" s="8" t="n">
        <v>412402</v>
      </c>
      <c r="C676" s="8" t="inlineStr">
        <is>
          <t>梧尾匿息披肩</t>
        </is>
      </c>
      <c r="D676" s="8" t="inlineStr">
        <is>
          <t>法器</t>
        </is>
      </c>
      <c r="E676" s="8" t="inlineStr">
        <is>
          <t>implement</t>
        </is>
      </c>
      <c r="F676" s="8" t="inlineStr">
        <is>
          <t>common</t>
        </is>
      </c>
      <c r="G676" s="8" t="inlineStr">
        <is>
          <t>风</t>
        </is>
      </c>
      <c r="H676" s="8" t="inlineStr">
        <is>
          <t>wind</t>
        </is>
      </c>
      <c r="I676" s="8" t="inlineStr">
        <is>
          <t>2×1</t>
        </is>
      </c>
      <c r="J676" s="8" t="n">
        <v>2</v>
      </c>
      <c r="K676" s="8" t="n">
        <v>16</v>
      </c>
      <c r="L676" s="8" t="inlineStr">
        <is>
          <t>是</t>
        </is>
      </c>
      <c r="M676" s="9" t="inlineStr"/>
      <c r="N676" s="8" t="n">
        <v>1</v>
      </c>
      <c r="O676" s="9" t="inlineStr">
        <is>
          <t>周期触发</t>
        </is>
      </c>
      <c r="P676" s="9" t="inlineStr">
        <is>
          <t>periodicPulse</t>
        </is>
      </c>
      <c r="Q676" s="9" t="inlineStr">
        <is>
          <t>周期触发：开局：位于储物袋边缘时，获得 7 层敏捷；开局：位于储物袋边缘时，获得 9 层敏捷；开局：位于储物袋边缘时，获得 12 层敏捷；开局：位于储物袋边缘时，获得 15 层敏捷</t>
        </is>
      </c>
      <c r="R676" s="9" t="inlineStr"/>
      <c r="S676" s="9" t="inlineStr">
        <is>
          <t>青褐尾毛顺着梧叶尖梢铺成短披肩，细密绒纹在深褐领扣两侧层层舒展。</t>
        </is>
      </c>
      <c r="T676" s="8" t="inlineStr">
        <is>
          <t>implement_wutong_tail_capelet_2x1</t>
        </is>
      </c>
      <c r="U676" s="8" t="inlineStr">
        <is>
          <t>allowed</t>
        </is>
      </c>
    </row>
    <row r="677" ht="34" customHeight="1">
      <c r="A677" s="8" t="n">
        <v>676</v>
      </c>
      <c r="B677" s="8" t="n">
        <v>412403</v>
      </c>
      <c r="C677" s="8" t="inlineStr">
        <is>
          <t>碧梧骨镇</t>
        </is>
      </c>
      <c r="D677" s="8" t="inlineStr">
        <is>
          <t>法器</t>
        </is>
      </c>
      <c r="E677" s="8" t="inlineStr">
        <is>
          <t>implement</t>
        </is>
      </c>
      <c r="F677" s="8" t="inlineStr">
        <is>
          <t>common</t>
        </is>
      </c>
      <c r="G677" s="8" t="inlineStr">
        <is>
          <t>木</t>
        </is>
      </c>
      <c r="H677" s="8" t="inlineStr">
        <is>
          <t>wood</t>
        </is>
      </c>
      <c r="I677" s="8" t="inlineStr">
        <is>
          <t>2×1</t>
        </is>
      </c>
      <c r="J677" s="8" t="n">
        <v>2</v>
      </c>
      <c r="K677" s="8" t="n">
        <v>50</v>
      </c>
      <c r="L677" s="8" t="inlineStr">
        <is>
          <t>是</t>
        </is>
      </c>
      <c r="M677" s="9" t="inlineStr">
        <is>
          <t>bazaar；dynamicRandomReward</t>
        </is>
      </c>
      <c r="N677" s="8" t="n">
        <v>1</v>
      </c>
      <c r="O677" s="9" t="inlineStr">
        <is>
          <t>被动效果</t>
        </is>
      </c>
      <c r="P677" s="9" t="inlineStr">
        <is>
          <t>passive</t>
        </is>
      </c>
      <c r="Q677" s="9" t="inlineStr">
        <is>
          <t>被动效果：相邻所有武器视为尸骸道具</t>
        </is>
      </c>
      <c r="R677" s="9" t="inlineStr"/>
      <c r="S677" s="9" t="inlineStr">
        <is>
          <t>猿掌灵骨横卧如骨镇，青木掌纹仍在温润骨面间缓缓舒展。</t>
        </is>
      </c>
      <c r="T677" s="8" t="inlineStr">
        <is>
          <t>implement_biwu_palm_bone_stabilizer_2x1</t>
        </is>
      </c>
      <c r="U677" s="8" t="inlineStr">
        <is>
          <t>allowed</t>
        </is>
      </c>
    </row>
    <row r="678" ht="34" customHeight="1">
      <c r="A678" s="8" t="n">
        <v>677</v>
      </c>
      <c r="B678" s="8" t="n">
        <v>412404</v>
      </c>
      <c r="C678" s="8" t="inlineStr">
        <is>
          <t>碧梧筋索</t>
        </is>
      </c>
      <c r="D678" s="8" t="inlineStr">
        <is>
          <t>法器</t>
        </is>
      </c>
      <c r="E678" s="8" t="inlineStr">
        <is>
          <t>implement</t>
        </is>
      </c>
      <c r="F678" s="8" t="inlineStr">
        <is>
          <t>common</t>
        </is>
      </c>
      <c r="G678" s="8" t="inlineStr">
        <is>
          <t>木</t>
        </is>
      </c>
      <c r="H678" s="8" t="inlineStr">
        <is>
          <t>wood</t>
        </is>
      </c>
      <c r="I678" s="8" t="inlineStr">
        <is>
          <t>1×2</t>
        </is>
      </c>
      <c r="J678" s="8" t="n">
        <v>2</v>
      </c>
      <c r="K678" s="8" t="n">
        <v>16</v>
      </c>
      <c r="L678" s="8" t="inlineStr">
        <is>
          <t>是</t>
        </is>
      </c>
      <c r="M678" s="9" t="inlineStr"/>
      <c r="N678" s="8" t="n">
        <v>1</v>
      </c>
      <c r="O678" s="9" t="inlineStr">
        <is>
          <t>条件触发</t>
        </is>
      </c>
      <c r="P678" s="9" t="inlineStr">
        <is>
          <t>triggered</t>
        </is>
      </c>
      <c r="Q678" s="9" t="inlineStr">
        <is>
          <t>条件触发：相邻道具实际消耗一级属性后，最多将 4 层再生转化为修为，每 1 层转化为 2 点修为；相邻道具实际消耗一级属性后，最多将 5 层再生转化为修为，每 1 层转化为 2 点修为；相邻道具实际消耗一级属性后，最多将 6 层再生转化为修为，每 1 层转化为 2 点修为；相邻道具实际消耗一级属性后，最多将 7 层再生转化为修为，每 1 层转化为 2 点修为</t>
        </is>
      </c>
      <c r="R678" s="9" t="inlineStr"/>
      <c r="S678" s="9" t="inlineStr">
        <is>
          <t>数束青绿灵筋绞成垂直筋索，黑玉扣环将柔韧筋束稳稳收拢。</t>
        </is>
      </c>
      <c r="T678" s="8" t="inlineStr">
        <is>
          <t>implement_biwu_spirit_sinew_cable_1x2</t>
        </is>
      </c>
      <c r="U678" s="8" t="inlineStr">
        <is>
          <t>allowed</t>
        </is>
      </c>
    </row>
    <row r="679" ht="34" customHeight="1">
      <c r="A679" s="8" t="n">
        <v>678</v>
      </c>
      <c r="B679" s="8" t="n">
        <v>412405</v>
      </c>
      <c r="C679" s="8" t="inlineStr">
        <is>
          <t>木髓息灯</t>
        </is>
      </c>
      <c r="D679" s="8" t="inlineStr">
        <is>
          <t>法器</t>
        </is>
      </c>
      <c r="E679" s="8" t="inlineStr">
        <is>
          <t>implement</t>
        </is>
      </c>
      <c r="F679" s="8" t="inlineStr">
        <is>
          <t>common</t>
        </is>
      </c>
      <c r="G679" s="8" t="inlineStr">
        <is>
          <t>木</t>
        </is>
      </c>
      <c r="H679" s="8" t="inlineStr">
        <is>
          <t>wood</t>
        </is>
      </c>
      <c r="I679" s="8" t="inlineStr">
        <is>
          <t>1×2</t>
        </is>
      </c>
      <c r="J679" s="8" t="n">
        <v>2</v>
      </c>
      <c r="K679" s="8" t="n">
        <v>16</v>
      </c>
      <c r="L679" s="8" t="inlineStr">
        <is>
          <t>是</t>
        </is>
      </c>
      <c r="M679" s="9" t="inlineStr"/>
      <c r="N679" s="8" t="n">
        <v>1</v>
      </c>
      <c r="O679" s="9" t="inlineStr">
        <is>
          <t>周期触发</t>
        </is>
      </c>
      <c r="P679" s="9" t="inlineStr">
        <is>
          <t>periodicPulse</t>
        </is>
      </c>
      <c r="Q679" s="9" t="inlineStr">
        <is>
          <t>周期触发：最多将 4 层再生转化为体力，每 1 层转化为 3 点体力；最多将 5 层再生转化为体力，每 1 层转化为 3 点体力；最多将 6 层再生转化为体力，每 1 层转化为 3 点体力；最多将 7 层再生转化为体力，每 1 层转化为 3 点体力</t>
        </is>
      </c>
      <c r="R679" s="9" t="inlineStr"/>
      <c r="S679" s="9" t="inlineStr">
        <is>
          <t>青白灵髓炼成修长灯身，层层木纹在乳白晶壳下映出安静微光。</t>
        </is>
      </c>
      <c r="T679" s="8" t="inlineStr">
        <is>
          <t>implement_biwu_wood_marrow_breath_lamp_1x2</t>
        </is>
      </c>
      <c r="U679" s="8" t="inlineStr">
        <is>
          <t>allowed</t>
        </is>
      </c>
    </row>
    <row r="680" ht="34" customHeight="1">
      <c r="A680" s="8" t="n">
        <v>679</v>
      </c>
      <c r="B680" s="8" t="n">
        <v>412406</v>
      </c>
      <c r="C680" s="8" t="inlineStr">
        <is>
          <t>鸣脉骨笛</t>
        </is>
      </c>
      <c r="D680" s="8" t="inlineStr">
        <is>
          <t>法器</t>
        </is>
      </c>
      <c r="E680" s="8" t="inlineStr">
        <is>
          <t>implement</t>
        </is>
      </c>
      <c r="F680" s="8" t="inlineStr">
        <is>
          <t>common</t>
        </is>
      </c>
      <c r="G680" s="8" t="inlineStr">
        <is>
          <t>风</t>
        </is>
      </c>
      <c r="H680" s="8" t="inlineStr">
        <is>
          <t>wind</t>
        </is>
      </c>
      <c r="I680" s="8" t="inlineStr">
        <is>
          <t>1×2</t>
        </is>
      </c>
      <c r="J680" s="8" t="n">
        <v>2</v>
      </c>
      <c r="K680" s="8" t="n">
        <v>32</v>
      </c>
      <c r="L680" s="8" t="inlineStr">
        <is>
          <t>是</t>
        </is>
      </c>
      <c r="M680" s="9" t="inlineStr"/>
      <c r="N680" s="8" t="n">
        <v>1</v>
      </c>
      <c r="O680" s="9" t="inlineStr">
        <is>
          <t>条件触发</t>
        </is>
      </c>
      <c r="P680" s="9" t="inlineStr">
        <is>
          <t>triggered</t>
        </is>
      </c>
      <c r="Q680" s="9" t="inlineStr">
        <is>
          <t>条件触发：使用相邻招式时，获得 3 层敏捷；使用相邻招式时，获得 4 层敏捷；使用相邻招式时，获得 5 层敏捷；使用相邻招式时，获得 7 层敏捷</t>
        </is>
      </c>
      <c r="R680" s="9" t="inlineStr"/>
      <c r="S680" s="9" t="inlineStr">
        <is>
          <t>青灰骨节被贯成一管长笛，深青木纹沿音孔回旋，轻触便似有猿啸藏在骨腔深处。</t>
        </is>
      </c>
      <c r="T680" s="8" t="inlineStr">
        <is>
          <t>implement_mingmai_bone_flute_1x2</t>
        </is>
      </c>
      <c r="U680" s="8" t="inlineStr">
        <is>
          <t>allowed</t>
        </is>
      </c>
    </row>
    <row r="681" ht="34" customHeight="1">
      <c r="A681" s="8" t="n">
        <v>680</v>
      </c>
      <c r="B681" s="8" t="n">
        <v>412407</v>
      </c>
      <c r="C681" s="8" t="inlineStr">
        <is>
          <t>梧胆镇息印</t>
        </is>
      </c>
      <c r="D681" s="8" t="inlineStr">
        <is>
          <t>法器</t>
        </is>
      </c>
      <c r="E681" s="8" t="inlineStr">
        <is>
          <t>implement</t>
        </is>
      </c>
      <c r="F681" s="8" t="inlineStr">
        <is>
          <t>common</t>
        </is>
      </c>
      <c r="G681" s="8" t="inlineStr">
        <is>
          <t>木</t>
        </is>
      </c>
      <c r="H681" s="8" t="inlineStr">
        <is>
          <t>wood</t>
        </is>
      </c>
      <c r="I681" s="8" t="inlineStr">
        <is>
          <t>1×1</t>
        </is>
      </c>
      <c r="J681" s="8" t="n">
        <v>1</v>
      </c>
      <c r="K681" s="8" t="n">
        <v>38</v>
      </c>
      <c r="L681" s="8" t="inlineStr">
        <is>
          <t>是</t>
        </is>
      </c>
      <c r="M681" s="9" t="inlineStr"/>
      <c r="N681" s="8" t="n">
        <v>1</v>
      </c>
      <c r="O681" s="9" t="inlineStr">
        <is>
          <t>被动效果</t>
        </is>
      </c>
      <c r="P681" s="9" t="inlineStr">
        <is>
          <t>passive</t>
        </is>
      </c>
      <c r="Q681" s="9" t="inlineStr">
        <is>
          <t>被动效果：可使用再生抵挡伤害，每层抵挡2点伤害，耐久归零后本场失效。；可使用再生抵挡伤害，每层抵挡3点伤害，耐久归零后本场失效。；可使用再生抵挡伤害，每层抵挡4点伤害，耐久归零后本场失效。；可使用再生抵挡伤害，每层抵挡5点伤害，耐久归零后本场失效。</t>
        </is>
      </c>
      <c r="R681" s="9" t="inlineStr"/>
      <c r="S681" s="9" t="inlineStr">
        <is>
          <t>梧心胆核被磨成一方沉印，墨色裂线仍伏在青木壳面，握住时有温润木息贴掌而过。</t>
        </is>
      </c>
      <c r="T681" s="8" t="inlineStr">
        <is>
          <t>implement_wutong_gall_core_seal_1x1</t>
        </is>
      </c>
      <c r="U681" s="8" t="inlineStr">
        <is>
          <t>allowed</t>
        </is>
      </c>
    </row>
    <row r="682" ht="34" customHeight="1">
      <c r="A682" s="8" t="n">
        <v>681</v>
      </c>
      <c r="B682" s="8" t="n">
        <v>412408</v>
      </c>
      <c r="C682" s="8" t="inlineStr">
        <is>
          <t>青睛照脉镜</t>
        </is>
      </c>
      <c r="D682" s="8" t="inlineStr">
        <is>
          <t>法器</t>
        </is>
      </c>
      <c r="E682" s="8" t="inlineStr">
        <is>
          <t>implement</t>
        </is>
      </c>
      <c r="F682" s="8" t="inlineStr">
        <is>
          <t>common</t>
        </is>
      </c>
      <c r="G682" s="8" t="inlineStr">
        <is>
          <t>风</t>
        </is>
      </c>
      <c r="H682" s="8" t="inlineStr">
        <is>
          <t>wind</t>
        </is>
      </c>
      <c r="I682" s="8" t="inlineStr">
        <is>
          <t>1×1</t>
        </is>
      </c>
      <c r="J682" s="8" t="n">
        <v>1</v>
      </c>
      <c r="K682" s="8" t="n">
        <v>38</v>
      </c>
      <c r="L682" s="8" t="inlineStr">
        <is>
          <t>是</t>
        </is>
      </c>
      <c r="M682" s="9" t="inlineStr"/>
      <c r="N682" s="8" t="n">
        <v>1</v>
      </c>
      <c r="O682" s="9" t="inlineStr">
        <is>
          <t>周期触发</t>
        </is>
      </c>
      <c r="P682" s="9" t="inlineStr">
        <is>
          <t>periodicPulse</t>
        </is>
      </c>
      <c r="Q682" s="9" t="inlineStr">
        <is>
          <t>周期触发：开局：未接触储物袋边缘时，获得 5 层敏捷；开局：未接触储物袋边缘时，获得 7 层敏捷；开局：未接触储物袋边缘时，获得 8 层敏捷；开局：未接触储物袋边缘时，获得 9 层敏捷</t>
        </is>
      </c>
      <c r="R682" s="9" t="inlineStr"/>
      <c r="S682" s="9" t="inlineStr">
        <is>
          <t>青睛灵核被整枚嵌入短柄铜镜，木纹瞳线在镜心收拢，似能照见灵脉细处的起伏。</t>
        </is>
      </c>
      <c r="T682" s="8" t="inlineStr">
        <is>
          <t>implement_green_eye_meridian_mirror_1x1</t>
        </is>
      </c>
      <c r="U682" s="8" t="inlineStr">
        <is>
          <t>allowed</t>
        </is>
      </c>
    </row>
    <row r="683" ht="34" customHeight="1">
      <c r="A683" s="8" t="n">
        <v>682</v>
      </c>
      <c r="B683" s="8" t="n">
        <v>412450</v>
      </c>
      <c r="C683" s="8" t="inlineStr">
        <is>
          <t>青髓续机灵匣</t>
        </is>
      </c>
      <c r="D683" s="8" t="inlineStr">
        <is>
          <t>法器</t>
        </is>
      </c>
      <c r="E683" s="8" t="inlineStr">
        <is>
          <t>implement</t>
        </is>
      </c>
      <c r="F683" s="8" t="inlineStr">
        <is>
          <t>common</t>
        </is>
      </c>
      <c r="G683" s="8" t="inlineStr">
        <is>
          <t>冰</t>
        </is>
      </c>
      <c r="H683" s="8" t="inlineStr">
        <is>
          <t>ice</t>
        </is>
      </c>
      <c r="I683" s="8" t="inlineStr">
        <is>
          <t>2×1</t>
        </is>
      </c>
      <c r="J683" s="8" t="n">
        <v>2</v>
      </c>
      <c r="K683" s="8" t="n">
        <v>8</v>
      </c>
      <c r="L683" s="8" t="inlineStr">
        <is>
          <t>是</t>
        </is>
      </c>
      <c r="M683" s="9" t="inlineStr">
        <is>
          <t>bazaar；dynamicRandomReward</t>
        </is>
      </c>
      <c r="N683" s="8" t="n">
        <v>1</v>
      </c>
      <c r="O683" s="9" t="inlineStr">
        <is>
          <t>被动效果</t>
        </is>
      </c>
      <c r="P683" s="9" t="inlineStr">
        <is>
          <t>passive</t>
        </is>
      </c>
      <c r="Q683" s="9" t="inlineStr">
        <is>
          <t>被动效果：寒冷层数上限+1，每次使用冰属性道具时，本局内效果升级；寒冷层数上限</t>
        </is>
      </c>
      <c r="R683" s="9" t="inlineStr"/>
      <c r="S683" s="9" t="inlineStr">
        <is>
          <t>深青木匣以铜角合缝，一截青白灵骨横嵌匣面，年轮状髓心正对中央机槽。</t>
        </is>
      </c>
      <c r="T683" s="8" t="inlineStr">
        <is>
          <t>implement_greenmarrow_relay_case_2x1</t>
        </is>
      </c>
      <c r="U683" s="8" t="inlineStr">
        <is>
          <t>allowed</t>
        </is>
      </c>
    </row>
    <row r="684" ht="34" customHeight="1">
      <c r="A684" s="8" t="n">
        <v>683</v>
      </c>
      <c r="B684" s="8" t="n">
        <v>412451</v>
      </c>
      <c r="C684" s="8" t="inlineStr">
        <is>
          <t>梧纹承脉匣</t>
        </is>
      </c>
      <c r="D684" s="8" t="inlineStr">
        <is>
          <t>法器</t>
        </is>
      </c>
      <c r="E684" s="8" t="inlineStr">
        <is>
          <t>implement</t>
        </is>
      </c>
      <c r="F684" s="8" t="inlineStr">
        <is>
          <t>common</t>
        </is>
      </c>
      <c r="G684" s="8" t="inlineStr">
        <is>
          <t>木</t>
        </is>
      </c>
      <c r="H684" s="8" t="inlineStr">
        <is>
          <t>wood</t>
        </is>
      </c>
      <c r="I684" s="8" t="inlineStr">
        <is>
          <t>2×1</t>
        </is>
      </c>
      <c r="J684" s="8" t="n">
        <v>2</v>
      </c>
      <c r="K684" s="8" t="n">
        <v>18</v>
      </c>
      <c r="L684" s="8" t="inlineStr">
        <is>
          <t>是</t>
        </is>
      </c>
      <c r="M684" s="9" t="inlineStr">
        <is>
          <t>bazaar；dynamicRandomReward</t>
        </is>
      </c>
      <c r="N684" s="8" t="n">
        <v>1</v>
      </c>
      <c r="O684" s="9" t="inlineStr">
        <is>
          <t>条件触发</t>
        </is>
      </c>
      <c r="P684" s="9" t="inlineStr">
        <is>
          <t>triggered</t>
        </is>
      </c>
      <c r="Q684" s="9" t="inlineStr">
        <is>
          <t>条件触发：相邻木属性法器使用时，对敌方施加 2 层中毒，触发后效果升级；中毒层数；相邻木属性法器使用时，对敌方施加 3 层中毒，触发后效果升级；相邻木属性法器使用时，对敌方施加 4 层中毒，触发后效果升级；相邻木属性法器使用时，对敌方施加 5 层中毒，触发后效果升级</t>
        </is>
      </c>
      <c r="R684" s="9" t="inlineStr"/>
      <c r="S684" s="9" t="inlineStr">
        <is>
          <t>双翼阵框围住掌骨核心，青木纹路从掌心向两端阵枢层层铺开。</t>
        </is>
      </c>
      <c r="T684" s="8" t="inlineStr">
        <is>
          <t>implement_biwu_palm_bone_channel_array_2x1</t>
        </is>
      </c>
      <c r="U684" s="8" t="inlineStr">
        <is>
          <t>allowed</t>
        </is>
      </c>
    </row>
    <row r="685" ht="34" customHeight="1">
      <c r="A685" s="8" t="n">
        <v>684</v>
      </c>
      <c r="B685" s="8" t="n">
        <v>412452</v>
      </c>
      <c r="C685" s="8" t="inlineStr">
        <is>
          <t>生息灵髓灵柱</t>
        </is>
      </c>
      <c r="D685" s="8" t="inlineStr">
        <is>
          <t>法器</t>
        </is>
      </c>
      <c r="E685" s="8" t="inlineStr">
        <is>
          <t>implement</t>
        </is>
      </c>
      <c r="F685" s="8" t="inlineStr">
        <is>
          <t>common</t>
        </is>
      </c>
      <c r="G685" s="8" t="inlineStr">
        <is>
          <t>木</t>
        </is>
      </c>
      <c r="H685" s="8" t="inlineStr">
        <is>
          <t>wood</t>
        </is>
      </c>
      <c r="I685" s="8" t="inlineStr">
        <is>
          <t>1×2</t>
        </is>
      </c>
      <c r="J685" s="8" t="n">
        <v>2</v>
      </c>
      <c r="K685" s="8" t="n">
        <v>18</v>
      </c>
      <c r="L685" s="8" t="inlineStr">
        <is>
          <t>是</t>
        </is>
      </c>
      <c r="M685" s="9" t="inlineStr"/>
      <c r="N685" s="8" t="n">
        <v>1</v>
      </c>
      <c r="O685" s="9" t="inlineStr">
        <is>
          <t>条件触发</t>
        </is>
      </c>
      <c r="P685" s="9" t="inlineStr">
        <is>
          <t>triggered</t>
        </is>
      </c>
      <c r="Q685" s="9" t="inlineStr">
        <is>
          <t>条件触发：相邻丹药耗尽时，恢复 10 点法力；相邻丹药耗尽时，恢复 13 点法力；相邻丹药耗尽时，恢复 17 点法力；相邻丹药耗尽时，恢复 20 点法力</t>
        </is>
      </c>
      <c r="R685" s="9" t="inlineStr"/>
      <c r="S685" s="9" t="inlineStr">
        <is>
          <t>高挑阵柱中央嵌着灵髓晶核，木环与青玉刻度沿柱身依次相扣。</t>
        </is>
      </c>
      <c r="T685" s="8" t="inlineStr">
        <is>
          <t>implement_biwu_wood_marrow_relay_pillar_1x2</t>
        </is>
      </c>
      <c r="U685" s="8" t="inlineStr">
        <is>
          <t>allowed</t>
        </is>
      </c>
    </row>
    <row r="686" ht="34" customHeight="1">
      <c r="A686" s="8" t="n">
        <v>685</v>
      </c>
      <c r="B686" s="8" t="n">
        <v>412453</v>
      </c>
      <c r="C686" s="8" t="inlineStr">
        <is>
          <t>梧音转息灵柱</t>
        </is>
      </c>
      <c r="D686" s="8" t="inlineStr">
        <is>
          <t>法器</t>
        </is>
      </c>
      <c r="E686" s="8" t="inlineStr">
        <is>
          <t>implement</t>
        </is>
      </c>
      <c r="F686" s="8" t="inlineStr">
        <is>
          <t>common</t>
        </is>
      </c>
      <c r="G686" s="8" t="inlineStr">
        <is>
          <t>木</t>
        </is>
      </c>
      <c r="H686" s="8" t="inlineStr">
        <is>
          <t>wood</t>
        </is>
      </c>
      <c r="I686" s="8" t="inlineStr">
        <is>
          <t>1×2</t>
        </is>
      </c>
      <c r="J686" s="8" t="n">
        <v>2</v>
      </c>
      <c r="K686" s="8" t="n">
        <v>34</v>
      </c>
      <c r="L686" s="8" t="inlineStr">
        <is>
          <t>是</t>
        </is>
      </c>
      <c r="M686" s="9" t="inlineStr"/>
      <c r="N686" s="8" t="n">
        <v>1</v>
      </c>
      <c r="O686" s="9" t="inlineStr">
        <is>
          <t>条件触发</t>
        </is>
      </c>
      <c r="P686" s="9" t="inlineStr">
        <is>
          <t>triggered</t>
        </is>
      </c>
      <c r="Q686" s="9" t="inlineStr">
        <is>
          <t>条件触发：使用相邻招式时，恢复 7 点法力；使用相邻招式时，恢复 10 点法力；使用相邻招式时，恢复 13 点法力；使用相邻招式时，恢复 17 点法力</t>
        </is>
      </c>
      <c r="R686" s="9" t="inlineStr"/>
      <c r="S686" s="9" t="inlineStr">
        <is>
          <t>乌木柱架将一截灵猿喉骨锁在阵环中央，骨上旋纹会随四周气机缓慢移位。</t>
        </is>
      </c>
      <c r="T686" s="8" t="inlineStr">
        <is>
          <t>implement_wuyin_breath_array_pillar_1x2</t>
        </is>
      </c>
      <c r="U686" s="8" t="inlineStr">
        <is>
          <t>allowed</t>
        </is>
      </c>
    </row>
    <row r="687" ht="34" customHeight="1">
      <c r="A687" s="8" t="n">
        <v>686</v>
      </c>
      <c r="B687" s="8" t="n">
        <v>412456</v>
      </c>
      <c r="C687" s="8" t="inlineStr">
        <is>
          <t>碧筋裂势飞梭</t>
        </is>
      </c>
      <c r="D687" s="8" t="inlineStr">
        <is>
          <t>法器</t>
        </is>
      </c>
      <c r="E687" s="8" t="inlineStr">
        <is>
          <t>implement</t>
        </is>
      </c>
      <c r="F687" s="8" t="inlineStr">
        <is>
          <t>common</t>
        </is>
      </c>
      <c r="G687" s="8" t="inlineStr">
        <is>
          <t>poison</t>
        </is>
      </c>
      <c r="H687" s="8" t="inlineStr">
        <is>
          <t>poison</t>
        </is>
      </c>
      <c r="I687" s="8" t="inlineStr">
        <is>
          <t>2×1</t>
        </is>
      </c>
      <c r="J687" s="8" t="n">
        <v>2</v>
      </c>
      <c r="K687" s="8" t="n">
        <v>35</v>
      </c>
      <c r="L687" s="8" t="inlineStr">
        <is>
          <t>是</t>
        </is>
      </c>
      <c r="M687" s="9" t="inlineStr">
        <is>
          <t>bazaar；dynamicRandomReward</t>
        </is>
      </c>
      <c r="N687" s="8" t="n">
        <v>1</v>
      </c>
      <c r="O687" s="9" t="inlineStr">
        <is>
          <t>条件触发</t>
        </is>
      </c>
      <c r="P687" s="9" t="inlineStr">
        <is>
          <t>triggered</t>
        </is>
      </c>
      <c r="Q687" s="9" t="inlineStr">
        <is>
          <t>条件触发：其他法器使敌方获得中毒时，对其施加 1 层裂甲；其他法器使敌方获得中毒时，对其施加 2 层裂甲；其他法器使敌方获得中毒时，对其施加 3 层裂甲；其他法器使敌方获得中毒时，对其施加 4 层裂甲</t>
        </is>
      </c>
      <c r="R687" s="9" t="inlineStr"/>
      <c r="S687" s="9" t="inlineStr">
        <is>
          <t>深青梭身两侧绷着浅青叶纹筋弦，尾端收束如猿臂蓄力，落手沉韧而紧实。</t>
        </is>
      </c>
      <c r="T687" s="8" t="inlineStr">
        <is>
          <t>implement_biwu_sinew_shuttle_2x1</t>
        </is>
      </c>
      <c r="U687" s="8" t="inlineStr">
        <is>
          <t>allowed</t>
        </is>
      </c>
    </row>
    <row r="688" ht="34" customHeight="1">
      <c r="A688" s="8" t="n">
        <v>687</v>
      </c>
      <c r="B688" s="8" t="n">
        <v>412457</v>
      </c>
      <c r="C688" s="8" t="inlineStr">
        <is>
          <t>梧羽破风响扇</t>
        </is>
      </c>
      <c r="D688" s="8" t="inlineStr">
        <is>
          <t>法器</t>
        </is>
      </c>
      <c r="E688" s="8" t="inlineStr">
        <is>
          <t>implement</t>
        </is>
      </c>
      <c r="F688" s="8" t="inlineStr">
        <is>
          <t>common</t>
        </is>
      </c>
      <c r="G688" s="8" t="inlineStr">
        <is>
          <t>风</t>
        </is>
      </c>
      <c r="H688" s="8" t="inlineStr">
        <is>
          <t>wind</t>
        </is>
      </c>
      <c r="I688" s="8" t="inlineStr">
        <is>
          <t>2×1</t>
        </is>
      </c>
      <c r="J688" s="8" t="n">
        <v>2</v>
      </c>
      <c r="K688" s="8" t="n">
        <v>16</v>
      </c>
      <c r="L688" s="8" t="inlineStr">
        <is>
          <t>是</t>
        </is>
      </c>
      <c r="M688" s="9" t="inlineStr"/>
      <c r="N688" s="8" t="n">
        <v>1</v>
      </c>
      <c r="O688" s="9" t="inlineStr">
        <is>
          <t>条件触发</t>
        </is>
      </c>
      <c r="P688" s="9" t="inlineStr">
        <is>
          <t>triggered</t>
        </is>
      </c>
      <c r="Q688" s="9" t="inlineStr">
        <is>
          <t>条件触发：使用相邻招式时，获得 4 层敏捷；使用相邻招式时，获得 5 层敏捷；使用相邻招式时，获得 7 层敏捷；使用相邻招式时，获得 8 层敏捷</t>
        </is>
      </c>
      <c r="R688" s="9" t="inlineStr"/>
      <c r="S688" s="9" t="inlineStr">
        <is>
          <t>三片短扇叶绕着青铜轮毂合成一体，叶梢缀着青褐尾毛，深褐绒轴牢牢卡入扇骨。</t>
        </is>
      </c>
      <c r="T688" s="8" t="inlineStr">
        <is>
          <t>implement_wutong_fur_wind_fan_2x1</t>
        </is>
      </c>
      <c r="U688" s="8" t="inlineStr">
        <is>
          <t>allowed</t>
        </is>
      </c>
    </row>
    <row r="689" ht="34" customHeight="1">
      <c r="A689" s="8" t="n">
        <v>688</v>
      </c>
      <c r="B689" s="8" t="n">
        <v>412458</v>
      </c>
      <c r="C689" s="8" t="inlineStr">
        <is>
          <t>弹枝筋枪</t>
        </is>
      </c>
      <c r="D689" s="8" t="inlineStr">
        <is>
          <t>法器</t>
        </is>
      </c>
      <c r="E689" s="8" t="inlineStr">
        <is>
          <t>implement</t>
        </is>
      </c>
      <c r="F689" s="8" t="inlineStr">
        <is>
          <t>common</t>
        </is>
      </c>
      <c r="G689" s="8" t="inlineStr">
        <is>
          <t>木</t>
        </is>
      </c>
      <c r="H689" s="8" t="inlineStr">
        <is>
          <t>wood</t>
        </is>
      </c>
      <c r="I689" s="8" t="inlineStr">
        <is>
          <t>1×2</t>
        </is>
      </c>
      <c r="J689" s="8" t="n">
        <v>2</v>
      </c>
      <c r="K689" s="8" t="n">
        <v>24</v>
      </c>
      <c r="L689" s="8" t="inlineStr">
        <is>
          <t>是</t>
        </is>
      </c>
      <c r="M689" s="9" t="inlineStr"/>
      <c r="N689" s="8" t="n">
        <v>1</v>
      </c>
      <c r="O689" s="9" t="inlineStr">
        <is>
          <t>条件触发</t>
        </is>
      </c>
      <c r="P689" s="9" t="inlineStr">
        <is>
          <t>triggered</t>
        </is>
      </c>
      <c r="Q689" s="9" t="inlineStr">
        <is>
          <t>条件触发：使用相邻武器时，对敌方造成 15 点伤害；使用相邻武器时，对敌方造成 20 点伤害；使用相邻武器时，对敌方造成 25 点伤害；使用相邻武器时，对敌方造成 30 点伤害</t>
        </is>
      </c>
      <c r="R689" s="9" t="inlineStr"/>
      <c r="S689" s="9" t="inlineStr">
        <is>
          <t>短枪内藏拉满的青绿灵筋，梧木枪簇与筋束扣成蓄势待发的细长一体。</t>
        </is>
      </c>
      <c r="T689" s="8" t="inlineStr">
        <is>
          <t>implement_biwu_spirit_sinew_spring_spear_1x2</t>
        </is>
      </c>
      <c r="U689" s="8" t="inlineStr">
        <is>
          <t>allowed</t>
        </is>
      </c>
    </row>
    <row r="690" ht="34" customHeight="1">
      <c r="A690" s="8" t="n">
        <v>689</v>
      </c>
      <c r="B690" s="8" t="n">
        <v>412500</v>
      </c>
      <c r="C690" s="8" t="inlineStr">
        <is>
          <t>岩心稳炉</t>
        </is>
      </c>
      <c r="D690" s="8" t="inlineStr">
        <is>
          <t>法器</t>
        </is>
      </c>
      <c r="E690" s="8" t="inlineStr">
        <is>
          <t>implement</t>
        </is>
      </c>
      <c r="F690" s="8" t="inlineStr">
        <is>
          <t>common</t>
        </is>
      </c>
      <c r="G690" s="8" t="inlineStr">
        <is>
          <t>火</t>
        </is>
      </c>
      <c r="H690" s="8" t="inlineStr">
        <is>
          <t>fire</t>
        </is>
      </c>
      <c r="I690" s="8" t="inlineStr">
        <is>
          <t>2×2</t>
        </is>
      </c>
      <c r="J690" s="8" t="n">
        <v>4</v>
      </c>
      <c r="K690" s="8" t="n">
        <v>28</v>
      </c>
      <c r="L690" s="8" t="inlineStr">
        <is>
          <t>是</t>
        </is>
      </c>
      <c r="M690" s="9" t="inlineStr"/>
      <c r="N690" s="8" t="n">
        <v>2</v>
      </c>
      <c r="O690" s="9" t="inlineStr">
        <is>
          <t>周期触发</t>
        </is>
      </c>
      <c r="P690" s="9" t="inlineStr">
        <is>
          <t>periodicPulse</t>
        </is>
      </c>
      <c r="Q690" s="9" t="inlineStr">
        <is>
          <t>周期触发：成功率 +45%，大成功率 +10% | 周期触发：开局：所有丹药获得 5 秒减速；开局：所有丹药获得 7 秒减速；开局：所有丹药获得 8 秒减速；开局：所有丹药获得 9 秒减速</t>
        </is>
      </c>
      <c r="R690" s="9" t="inlineStr"/>
      <c r="S690" s="9" t="inlineStr">
        <is>
          <t>岩灰炉心被赤铜双箍紧紧束住，赤褐内槽仍留着细密石纹。</t>
        </is>
      </c>
      <c r="T690" s="8" t="inlineStr">
        <is>
          <t>implement_chiwen_yanli_rockheart_stabilizer_2x2</t>
        </is>
      </c>
      <c r="U690" s="8" t="inlineStr">
        <is>
          <t>allowed</t>
        </is>
      </c>
    </row>
    <row r="691" ht="34" customHeight="1">
      <c r="A691" s="8" t="n">
        <v>690</v>
      </c>
      <c r="B691" s="8" t="n">
        <v>412501</v>
      </c>
      <c r="C691" s="8" t="inlineStr">
        <is>
          <t>赤纹护臂甲</t>
        </is>
      </c>
      <c r="D691" s="8" t="inlineStr">
        <is>
          <t>法器</t>
        </is>
      </c>
      <c r="E691" s="8" t="inlineStr">
        <is>
          <t>implement</t>
        </is>
      </c>
      <c r="F691" s="8" t="inlineStr">
        <is>
          <t>common</t>
        </is>
      </c>
      <c r="G691" s="8" t="inlineStr">
        <is>
          <t>火</t>
        </is>
      </c>
      <c r="H691" s="8" t="inlineStr">
        <is>
          <t>fire</t>
        </is>
      </c>
      <c r="I691" s="8" t="inlineStr">
        <is>
          <t>2×2</t>
        </is>
      </c>
      <c r="J691" s="8" t="n">
        <v>4</v>
      </c>
      <c r="K691" s="8" t="n">
        <v>22</v>
      </c>
      <c r="L691" s="8" t="inlineStr">
        <is>
          <t>是</t>
        </is>
      </c>
      <c r="M691" s="9" t="inlineStr">
        <is>
          <t>bazaar；dynamicRandomReward</t>
        </is>
      </c>
      <c r="N691" s="8" t="n">
        <v>2</v>
      </c>
      <c r="O691" s="9" t="inlineStr">
        <is>
          <t>被动效果</t>
        </is>
      </c>
      <c r="P691" s="9" t="inlineStr">
        <is>
          <t>passive</t>
        </is>
      </c>
      <c r="Q691" s="9" t="inlineStr">
        <is>
          <t>被动效果：炎热层数上限+2；炎热层数上限+4；炎热层数上限+6；炎热层数上限+8 | 被动效果：蓄势层数上限+2；蓄势层数上限+4；蓄势层数上限+6；蓄势层数上限+8</t>
        </is>
      </c>
      <c r="R691" s="9" t="inlineStr"/>
      <c r="S691" s="9" t="inlineStr">
        <is>
          <t>岩灰短毛皮被卷成厚实护臂，赤褐条纹从黑铁扣带间探出。</t>
        </is>
      </c>
      <c r="T691" s="8" t="inlineStr">
        <is>
          <t>implement_chiwen_yanli_hide_bracer_2x2</t>
        </is>
      </c>
      <c r="U691" s="8" t="inlineStr">
        <is>
          <t>allowed</t>
        </is>
      </c>
    </row>
    <row r="692" ht="34" customHeight="1">
      <c r="A692" s="8" t="n">
        <v>691</v>
      </c>
      <c r="B692" s="8" t="n">
        <v>412502</v>
      </c>
      <c r="C692" s="8" t="inlineStr">
        <is>
          <t>温岩爪扣</t>
        </is>
      </c>
      <c r="D692" s="8" t="inlineStr">
        <is>
          <t>法器</t>
        </is>
      </c>
      <c r="E692" s="8" t="inlineStr">
        <is>
          <t>implement</t>
        </is>
      </c>
      <c r="F692" s="8" t="inlineStr">
        <is>
          <t>common</t>
        </is>
      </c>
      <c r="G692" s="8" t="inlineStr">
        <is>
          <t>火</t>
        </is>
      </c>
      <c r="H692" s="8" t="inlineStr">
        <is>
          <t>fire</t>
        </is>
      </c>
      <c r="I692" s="8" t="inlineStr">
        <is>
          <t>2×2</t>
        </is>
      </c>
      <c r="J692" s="8" t="n">
        <v>4</v>
      </c>
      <c r="K692" s="8" t="n">
        <v>16</v>
      </c>
      <c r="L692" s="8" t="inlineStr">
        <is>
          <t>是</t>
        </is>
      </c>
      <c r="M692" s="9" t="inlineStr"/>
      <c r="N692" s="8" t="n">
        <v>1</v>
      </c>
      <c r="O692" s="9" t="inlineStr">
        <is>
          <t>周期触发</t>
        </is>
      </c>
      <c r="P692" s="9" t="inlineStr">
        <is>
          <t>periodicPulse</t>
        </is>
      </c>
      <c r="Q692" s="9" t="inlineStr">
        <is>
          <t>周期触发：最多将 4 层炎热转化为护甲，每层获得 5 层护甲；最多将 5 层炎热转化为护甲，每层获得 5 层护甲；最多将 6 层炎热转化为护甲，每层获得 5 层护甲；最多将 7 层炎热转化为护甲，每层获得 5 层护甲</t>
        </is>
      </c>
      <c r="R692" s="9" t="inlineStr"/>
      <c r="S692" s="9" t="inlineStr">
        <is>
          <t>四枚灰石爪瓣围着暗铜转轴张开，赤红裂纹沿刃背分叉。</t>
        </is>
      </c>
      <c r="T692" s="8" t="inlineStr">
        <is>
          <t>implement_chiwen_yanli_claw_grip_2x2</t>
        </is>
      </c>
      <c r="U692" s="8" t="inlineStr">
        <is>
          <t>allowed</t>
        </is>
      </c>
    </row>
    <row r="693" ht="34" customHeight="1">
      <c r="A693" s="8" t="n">
        <v>692</v>
      </c>
      <c r="B693" s="8" t="n">
        <v>412503</v>
      </c>
      <c r="C693" s="8" t="inlineStr">
        <is>
          <t>炉线镇脉尺</t>
        </is>
      </c>
      <c r="D693" s="8" t="inlineStr">
        <is>
          <t>法器</t>
        </is>
      </c>
      <c r="E693" s="8" t="inlineStr">
        <is>
          <t>implement</t>
        </is>
      </c>
      <c r="F693" s="8" t="inlineStr">
        <is>
          <t>common</t>
        </is>
      </c>
      <c r="G693" s="8" t="inlineStr">
        <is>
          <t>火</t>
        </is>
      </c>
      <c r="H693" s="8" t="inlineStr">
        <is>
          <t>fire</t>
        </is>
      </c>
      <c r="I693" s="8" t="inlineStr">
        <is>
          <t>2×1</t>
        </is>
      </c>
      <c r="J693" s="8" t="n">
        <v>2</v>
      </c>
      <c r="K693" s="8" t="n">
        <v>16</v>
      </c>
      <c r="L693" s="8" t="inlineStr">
        <is>
          <t>是</t>
        </is>
      </c>
      <c r="M693" s="9" t="inlineStr"/>
      <c r="N693" s="8" t="n">
        <v>1</v>
      </c>
      <c r="O693" s="9" t="inlineStr">
        <is>
          <t>条件触发</t>
        </is>
      </c>
      <c r="P693" s="9" t="inlineStr">
        <is>
          <t>triggered</t>
        </is>
      </c>
      <c r="Q693" s="9" t="inlineStr">
        <is>
          <t>条件触发：使用相邻阵盘时，获得 7 层炎热；使用相邻阵盘时，获得 8 层炎热；使用相邻阵盘时，获得 10 层炎热；使用相邻阵盘时，获得 12 层炎热</t>
        </is>
      </c>
      <c r="R693" s="9" t="inlineStr"/>
      <c r="S693" s="9" t="inlineStr">
        <is>
          <t>乳白尾骨被磨成长尺，赤色炉线贯穿骨身与两端铜角。</t>
        </is>
      </c>
      <c r="T693" s="8" t="inlineStr">
        <is>
          <t>implement_chiwen_yanli_tailbone_ruler_2x1</t>
        </is>
      </c>
      <c r="U693" s="8" t="inlineStr">
        <is>
          <t>allowed</t>
        </is>
      </c>
    </row>
    <row r="694" ht="34" customHeight="1">
      <c r="A694" s="8" t="n">
        <v>693</v>
      </c>
      <c r="B694" s="8" t="n">
        <v>412504</v>
      </c>
      <c r="C694" s="8" t="inlineStr">
        <is>
          <t>赤骨定火梭</t>
        </is>
      </c>
      <c r="D694" s="8" t="inlineStr">
        <is>
          <t>法器</t>
        </is>
      </c>
      <c r="E694" s="8" t="inlineStr">
        <is>
          <t>implement</t>
        </is>
      </c>
      <c r="F694" s="8" t="inlineStr">
        <is>
          <t>common</t>
        </is>
      </c>
      <c r="G694" s="8" t="inlineStr">
        <is>
          <t>火</t>
        </is>
      </c>
      <c r="H694" s="8" t="inlineStr">
        <is>
          <t>fire</t>
        </is>
      </c>
      <c r="I694" s="8" t="inlineStr">
        <is>
          <t>2×1</t>
        </is>
      </c>
      <c r="J694" s="8" t="n">
        <v>2</v>
      </c>
      <c r="K694" s="8" t="n">
        <v>16</v>
      </c>
      <c r="L694" s="8" t="inlineStr">
        <is>
          <t>是</t>
        </is>
      </c>
      <c r="M694" s="9" t="inlineStr"/>
      <c r="N694" s="8" t="n">
        <v>1</v>
      </c>
      <c r="O694" s="9" t="inlineStr">
        <is>
          <t>条件触发</t>
        </is>
      </c>
      <c r="P694" s="9" t="inlineStr">
        <is>
          <t>triggered</t>
        </is>
      </c>
      <c r="Q694" s="9" t="inlineStr">
        <is>
          <t>条件触发：使用相邻投掷物时，获得 7 层炎热；使用相邻投掷物时，获得 8 层炎热；使用相邻投掷物时，获得 10 层炎热；使用相邻投掷物时，获得 12 层炎热</t>
        </is>
      </c>
      <c r="R694" s="9" t="inlineStr"/>
      <c r="S694" s="9" t="inlineStr">
        <is>
          <t>褐色热骨被两枚暗铜梭尖夹住，断面赤髓纹如枝叶舒展。</t>
        </is>
      </c>
      <c r="T694" s="8" t="inlineStr">
        <is>
          <t>implement_chiwen_yanli_hotbone_shuttle_2x1</t>
        </is>
      </c>
      <c r="U694" s="8" t="inlineStr">
        <is>
          <t>allowed</t>
        </is>
      </c>
    </row>
    <row r="695" ht="34" customHeight="1">
      <c r="A695" s="8" t="n">
        <v>694</v>
      </c>
      <c r="B695" s="8" t="n">
        <v>412553</v>
      </c>
      <c r="C695" s="8" t="inlineStr">
        <is>
          <t>尾骨传焰匣</t>
        </is>
      </c>
      <c r="D695" s="8" t="inlineStr">
        <is>
          <t>法器</t>
        </is>
      </c>
      <c r="E695" s="8" t="inlineStr">
        <is>
          <t>implement</t>
        </is>
      </c>
      <c r="F695" s="8" t="inlineStr">
        <is>
          <t>common</t>
        </is>
      </c>
      <c r="G695" s="8" t="inlineStr">
        <is>
          <t>火</t>
        </is>
      </c>
      <c r="H695" s="8" t="inlineStr">
        <is>
          <t>fire</t>
        </is>
      </c>
      <c r="I695" s="8" t="inlineStr">
        <is>
          <t>2×1</t>
        </is>
      </c>
      <c r="J695" s="8" t="n">
        <v>2</v>
      </c>
      <c r="K695" s="8" t="n">
        <v>16</v>
      </c>
      <c r="L695" s="8" t="inlineStr">
        <is>
          <t>是</t>
        </is>
      </c>
      <c r="M695" s="9" t="inlineStr"/>
      <c r="N695" s="8" t="n">
        <v>1</v>
      </c>
      <c r="O695" s="9" t="inlineStr">
        <is>
          <t>周期触发</t>
        </is>
      </c>
      <c r="P695" s="9" t="inlineStr">
        <is>
          <t>periodicPulse</t>
        </is>
      </c>
      <c r="Q695" s="9" t="inlineStr">
        <is>
          <t>周期触发：开局：位于储物袋右侧时，每有 1 件火属性道具，获得 5 层炎热，最多计算 4 件；开局：位于储物袋右侧时，每有 1 件火属性道具，获得 7 层炎热，最多计算 4 件；开局：位于储物袋右侧时，每有 1 件火属性道具，获得 8 层炎热，最多计算 4 件；开局：位于储物袋右侧时，每有 1 件火属性道具，获得 10 层炎热，最多计算 4 件</t>
        </is>
      </c>
      <c r="R695" s="9" t="inlineStr"/>
      <c r="S695" s="9" t="inlineStr">
        <is>
          <t>横向黑铁阵轨中央嵌着乳白尾骨，赤线与两端铜槽首尾相接。</t>
        </is>
      </c>
      <c r="T695" s="8" t="inlineStr">
        <is>
          <t>implement_chiwen_yanli_tailbone_relay_rail_2x1</t>
        </is>
      </c>
      <c r="U695" s="8" t="inlineStr">
        <is>
          <t>allowed</t>
        </is>
      </c>
    </row>
    <row r="696" ht="34" customHeight="1">
      <c r="A696" s="8" t="n">
        <v>695</v>
      </c>
      <c r="B696" s="8" t="n">
        <v>412554</v>
      </c>
      <c r="C696" s="8" t="inlineStr">
        <is>
          <t>热骨导流匣</t>
        </is>
      </c>
      <c r="D696" s="8" t="inlineStr">
        <is>
          <t>法器</t>
        </is>
      </c>
      <c r="E696" s="8" t="inlineStr">
        <is>
          <t>implement</t>
        </is>
      </c>
      <c r="F696" s="8" t="inlineStr">
        <is>
          <t>common</t>
        </is>
      </c>
      <c r="G696" s="8" t="inlineStr">
        <is>
          <t>火</t>
        </is>
      </c>
      <c r="H696" s="8" t="inlineStr">
        <is>
          <t>fire</t>
        </is>
      </c>
      <c r="I696" s="8" t="inlineStr">
        <is>
          <t>2×1</t>
        </is>
      </c>
      <c r="J696" s="8" t="n">
        <v>2</v>
      </c>
      <c r="K696" s="8" t="n">
        <v>16</v>
      </c>
      <c r="L696" s="8" t="inlineStr">
        <is>
          <t>是</t>
        </is>
      </c>
      <c r="M696" s="9" t="inlineStr"/>
      <c r="N696" s="8" t="n">
        <v>1</v>
      </c>
      <c r="O696" s="9" t="inlineStr">
        <is>
          <t>条件触发</t>
        </is>
      </c>
      <c r="P696" s="9" t="inlineStr">
        <is>
          <t>triggered</t>
        </is>
      </c>
      <c r="Q696" s="9" t="inlineStr">
        <is>
          <t>条件触发：相邻丹药耗尽时，获得 7 层炎热；相邻丹药耗尽时，获得 8 层炎热；相邻丹药耗尽时，获得 10 层炎热；相邻丹药耗尽时，获得 12 层炎热</t>
        </is>
      </c>
      <c r="R696" s="9" t="inlineStr"/>
      <c r="S696" s="9" t="inlineStr">
        <is>
          <t>赤铜导流匣嵌着一截褐骨，赤热断面正对两侧黑铁端座。</t>
        </is>
      </c>
      <c r="T696" s="8" t="inlineStr">
        <is>
          <t>implement_chiwen_yanli_hotbone_relay_tray_2x1</t>
        </is>
      </c>
      <c r="U696" s="8" t="inlineStr">
        <is>
          <t>allowed</t>
        </is>
      </c>
    </row>
    <row r="697" ht="34" customHeight="1">
      <c r="A697" s="8" t="n">
        <v>696</v>
      </c>
      <c r="B697" s="8" t="n">
        <v>412601</v>
      </c>
      <c r="C697" s="8" t="inlineStr">
        <is>
          <t>寒雾稳脉席</t>
        </is>
      </c>
      <c r="D697" s="8" t="inlineStr">
        <is>
          <t>法器</t>
        </is>
      </c>
      <c r="E697" s="8" t="inlineStr">
        <is>
          <t>implement</t>
        </is>
      </c>
      <c r="F697" s="8" t="inlineStr">
        <is>
          <t>spirit</t>
        </is>
      </c>
      <c r="G697" s="8" t="inlineStr">
        <is>
          <t>水</t>
        </is>
      </c>
      <c r="H697" s="8" t="inlineStr">
        <is>
          <t>water</t>
        </is>
      </c>
      <c r="I697" s="8" t="inlineStr">
        <is>
          <t>2×1</t>
        </is>
      </c>
      <c r="J697" s="8" t="n">
        <v>2</v>
      </c>
      <c r="K697" s="8" t="n">
        <v>160</v>
      </c>
      <c r="L697" s="8" t="inlineStr">
        <is>
          <t>是</t>
        </is>
      </c>
      <c r="M697" s="9" t="inlineStr"/>
      <c r="N697" s="8" t="n">
        <v>1</v>
      </c>
      <c r="O697" s="9" t="inlineStr">
        <is>
          <t>被动效果</t>
        </is>
      </c>
      <c r="P697" s="9" t="inlineStr">
        <is>
          <t>passive</t>
        </is>
      </c>
      <c r="Q697" s="9" t="inlineStr">
        <is>
          <t>被动效果：寒冷层数上限 +6；寒冷层数上限 +9；寒冷层数上限 +12；寒冷层数上限 +15</t>
        </is>
      </c>
      <c r="R697" s="9" t="inlineStr"/>
      <c r="S697" s="9" t="inlineStr">
        <is>
          <t>浅灰鹿皮被裁成窄席，蓝白脉纹在绒面间静静延伸。</t>
        </is>
      </c>
      <c r="T697" s="8" t="inlineStr">
        <is>
          <t>implement_shuangmai_jiaolu_cold_mist_hide_guard_mat_2x1</t>
        </is>
      </c>
      <c r="U697" s="8" t="inlineStr">
        <is>
          <t>allowed</t>
        </is>
      </c>
    </row>
    <row r="698" ht="34" customHeight="1">
      <c r="A698" s="8" t="n">
        <v>697</v>
      </c>
      <c r="B698" s="8" t="n">
        <v>412603</v>
      </c>
      <c r="C698" s="8" t="inlineStr">
        <is>
          <t>霜肩骨盾</t>
        </is>
      </c>
      <c r="D698" s="8" t="inlineStr">
        <is>
          <t>法器</t>
        </is>
      </c>
      <c r="E698" s="8" t="inlineStr">
        <is>
          <t>implement</t>
        </is>
      </c>
      <c r="F698" s="8" t="inlineStr">
        <is>
          <t>spirit</t>
        </is>
      </c>
      <c r="G698" s="8" t="inlineStr">
        <is>
          <t>水</t>
        </is>
      </c>
      <c r="H698" s="8" t="inlineStr">
        <is>
          <t>water</t>
        </is>
      </c>
      <c r="I698" s="8" t="inlineStr">
        <is>
          <t>2×1</t>
        </is>
      </c>
      <c r="J698" s="8" t="n">
        <v>2</v>
      </c>
      <c r="K698" s="8" t="n">
        <v>160</v>
      </c>
      <c r="L698" s="8" t="inlineStr">
        <is>
          <t>是</t>
        </is>
      </c>
      <c r="M698" s="9" t="inlineStr"/>
      <c r="N698" s="8" t="n">
        <v>1</v>
      </c>
      <c r="O698" s="9" t="inlineStr">
        <is>
          <t>周期触发</t>
        </is>
      </c>
      <c r="P698" s="9" t="inlineStr">
        <is>
          <t>periodicPulse</t>
        </is>
      </c>
      <c r="Q698" s="9" t="inlineStr">
        <is>
          <t>周期触发：最多将 8 层寒冷转化为护甲，每层获得 5 层护甲；最多将 10 层寒冷转化为护甲，每层获得 10 层护甲；最多将 12 层寒冷转化为护甲，每层获得 10 层护甲；最多将 14 层寒冷转化为护甲，每层获得 10 层护甲</t>
        </is>
      </c>
      <c r="R698" s="9" t="inlineStr"/>
      <c r="S698" s="9" t="inlineStr">
        <is>
          <t>整块霜鹿肩骨被磨成横展骨盾，淡蓝霜纹仍沿骨脊盘绕。</t>
        </is>
      </c>
      <c r="T698" s="8" t="inlineStr">
        <is>
          <t>implement_shuangmai_frost_shoulder_bone_boneguard_2x1</t>
        </is>
      </c>
      <c r="U698" s="8" t="inlineStr">
        <is>
          <t>allowed</t>
        </is>
      </c>
    </row>
    <row r="699" ht="34" customHeight="1">
      <c r="A699" s="8" t="n">
        <v>698</v>
      </c>
      <c r="B699" s="8" t="n">
        <v>412604</v>
      </c>
      <c r="C699" s="8" t="inlineStr">
        <is>
          <t>霜枝导脉杖</t>
        </is>
      </c>
      <c r="D699" s="8" t="inlineStr">
        <is>
          <t>法器</t>
        </is>
      </c>
      <c r="E699" s="8" t="inlineStr">
        <is>
          <t>implement</t>
        </is>
      </c>
      <c r="F699" s="8" t="inlineStr">
        <is>
          <t>spirit</t>
        </is>
      </c>
      <c r="G699" s="8" t="inlineStr">
        <is>
          <t>水</t>
        </is>
      </c>
      <c r="H699" s="8" t="inlineStr">
        <is>
          <t>water</t>
        </is>
      </c>
      <c r="I699" s="8" t="inlineStr">
        <is>
          <t>1×3</t>
        </is>
      </c>
      <c r="J699" s="8" t="n">
        <v>3</v>
      </c>
      <c r="K699" s="8" t="n">
        <v>160</v>
      </c>
      <c r="L699" s="8" t="inlineStr">
        <is>
          <t>是</t>
        </is>
      </c>
      <c r="M699" s="9" t="inlineStr"/>
      <c r="N699" s="8" t="n">
        <v>1</v>
      </c>
      <c r="O699" s="9" t="inlineStr">
        <is>
          <t>周期触发</t>
        </is>
      </c>
      <c r="P699" s="9" t="inlineStr">
        <is>
          <t>periodicPulse</t>
        </is>
      </c>
      <c r="Q699" s="9" t="inlineStr">
        <is>
          <t>周期触发：每相邻 1 件水属性道具，获得 60 层寒冷，最多计算 4 件</t>
        </is>
      </c>
      <c r="R699" s="9" t="inlineStr"/>
      <c r="S699" s="9" t="inlineStr">
        <is>
          <t>霜枝灵角被炼成长杖主骨，三叉角尖托住一枚冷蓝脉珠。</t>
        </is>
      </c>
      <c r="T699" s="8" t="inlineStr">
        <is>
          <t>implement_shuangmai_frost_branch_antler_channel_staff_1x3</t>
        </is>
      </c>
      <c r="U699" s="8" t="inlineStr">
        <is>
          <t>allowed</t>
        </is>
      </c>
    </row>
    <row r="700" ht="34" customHeight="1">
      <c r="A700" s="8" t="n">
        <v>699</v>
      </c>
      <c r="B700" s="8" t="n">
        <v>412605</v>
      </c>
      <c r="C700" s="8" t="inlineStr">
        <is>
          <t>寒髓凝息瓶</t>
        </is>
      </c>
      <c r="D700" s="8" t="inlineStr">
        <is>
          <t>法器</t>
        </is>
      </c>
      <c r="E700" s="8" t="inlineStr">
        <is>
          <t>implement</t>
        </is>
      </c>
      <c r="F700" s="8" t="inlineStr">
        <is>
          <t>spirit</t>
        </is>
      </c>
      <c r="G700" s="8" t="inlineStr">
        <is>
          <t>水</t>
        </is>
      </c>
      <c r="H700" s="8" t="inlineStr">
        <is>
          <t>water</t>
        </is>
      </c>
      <c r="I700" s="8" t="inlineStr">
        <is>
          <t>1×2</t>
        </is>
      </c>
      <c r="J700" s="8" t="n">
        <v>2</v>
      </c>
      <c r="K700" s="8" t="n">
        <v>280</v>
      </c>
      <c r="L700" s="8" t="inlineStr">
        <is>
          <t>是</t>
        </is>
      </c>
      <c r="M700" s="9" t="inlineStr"/>
      <c r="N700" s="8" t="n">
        <v>1</v>
      </c>
      <c r="O700" s="9" t="inlineStr">
        <is>
          <t>条件触发</t>
        </is>
      </c>
      <c r="P700" s="9" t="inlineStr">
        <is>
          <t>triggered</t>
        </is>
      </c>
      <c r="Q700" s="9" t="inlineStr">
        <is>
          <t>条件触发：相邻丹药耗尽时，获得 100 层露水；相邻丹药耗尽时，获得 140 层露水；相邻丹药耗尽时，获得 160 层露水；相邻丹药耗尽时，获得 200 层露水</t>
        </is>
      </c>
      <c r="R700" s="9" t="inlineStr"/>
      <c r="S700" s="9" t="inlineStr">
        <is>
          <t>寒脉灵髓被保留为瓶身主胆，银箍将蓝白晶壳稳稳束住。</t>
        </is>
      </c>
      <c r="T700" s="8" t="inlineStr">
        <is>
          <t>implement_shuangmai_cold_vein_marrow_crystal_vial_1x2</t>
        </is>
      </c>
      <c r="U700" s="8" t="inlineStr">
        <is>
          <t>allowed</t>
        </is>
      </c>
    </row>
    <row r="701" ht="34" customHeight="1">
      <c r="A701" s="8" t="n">
        <v>700</v>
      </c>
      <c r="B701" s="8" t="n">
        <v>412606</v>
      </c>
      <c r="C701" s="8" t="inlineStr">
        <is>
          <t>霜络定脉针</t>
        </is>
      </c>
      <c r="D701" s="8" t="inlineStr">
        <is>
          <t>法器</t>
        </is>
      </c>
      <c r="E701" s="8" t="inlineStr">
        <is>
          <t>implement</t>
        </is>
      </c>
      <c r="F701" s="8" t="inlineStr">
        <is>
          <t>spirit</t>
        </is>
      </c>
      <c r="G701" s="8" t="inlineStr">
        <is>
          <t>水</t>
        </is>
      </c>
      <c r="H701" s="8" t="inlineStr">
        <is>
          <t>water</t>
        </is>
      </c>
      <c r="I701" s="8" t="inlineStr">
        <is>
          <t>1×2</t>
        </is>
      </c>
      <c r="J701" s="8" t="n">
        <v>2</v>
      </c>
      <c r="K701" s="8" t="n">
        <v>340</v>
      </c>
      <c r="L701" s="8" t="inlineStr">
        <is>
          <t>是</t>
        </is>
      </c>
      <c r="M701" s="9" t="inlineStr"/>
      <c r="N701" s="8" t="n">
        <v>1</v>
      </c>
      <c r="O701" s="9" t="inlineStr">
        <is>
          <t>条件触发</t>
        </is>
      </c>
      <c r="P701" s="9" t="inlineStr">
        <is>
          <t>triggered</t>
        </is>
      </c>
      <c r="Q701" s="9" t="inlineStr">
        <is>
          <t>条件触发：每当获得寒冷时，恢复 6 点体力；每当获得寒冷时，恢复 10 点体力；每当获得寒冷时，恢复 14 点体力；每当获得寒冷时，恢复 16 点体力</t>
        </is>
      </c>
      <c r="R701" s="9" t="inlineStr"/>
      <c r="S701" s="9" t="inlineStr">
        <is>
          <t>浅蓝心筋绞束成针，霜线沿针脊静静收拢。</t>
        </is>
      </c>
      <c r="T701" s="8" t="inlineStr">
        <is>
          <t>implement_frost_sinew_stabilizing_needle_1x2</t>
        </is>
      </c>
      <c r="U701" s="8" t="inlineStr">
        <is>
          <t>allowed</t>
        </is>
      </c>
    </row>
    <row r="702" ht="34" customHeight="1">
      <c r="A702" s="8" t="n">
        <v>701</v>
      </c>
      <c r="B702" s="8" t="n">
        <v>412650</v>
      </c>
      <c r="C702" s="8" t="inlineStr">
        <is>
          <t>寒皮引流匣</t>
        </is>
      </c>
      <c r="D702" s="8" t="inlineStr">
        <is>
          <t>法器</t>
        </is>
      </c>
      <c r="E702" s="8" t="inlineStr">
        <is>
          <t>implement</t>
        </is>
      </c>
      <c r="F702" s="8" t="inlineStr">
        <is>
          <t>spirit</t>
        </is>
      </c>
      <c r="G702" s="8" t="inlineStr">
        <is>
          <t>水</t>
        </is>
      </c>
      <c r="H702" s="8" t="inlineStr">
        <is>
          <t>water</t>
        </is>
      </c>
      <c r="I702" s="8" t="inlineStr">
        <is>
          <t>2×1</t>
        </is>
      </c>
      <c r="J702" s="8" t="n">
        <v>2</v>
      </c>
      <c r="K702" s="8" t="n">
        <v>160</v>
      </c>
      <c r="L702" s="8" t="inlineStr">
        <is>
          <t>是</t>
        </is>
      </c>
      <c r="M702" s="9" t="inlineStr"/>
      <c r="N702" s="8" t="n">
        <v>1</v>
      </c>
      <c r="O702" s="9" t="inlineStr">
        <is>
          <t>条件触发</t>
        </is>
      </c>
      <c r="P702" s="9" t="inlineStr">
        <is>
          <t>triggered</t>
        </is>
      </c>
      <c r="Q702" s="9" t="inlineStr">
        <is>
          <t>条件触发：相邻丹药耗尽时，恢复 16 点体力；相邻丹药耗尽时，恢复 24 点体力；相邻丹药耗尽时，恢复 30 点体力；相邻丹药耗尽时，恢复 36 点体力</t>
        </is>
      </c>
      <c r="R702" s="9" t="inlineStr"/>
      <c r="S702" s="9" t="inlineStr">
        <is>
          <t>双梁阵架中央嵌着寒雾皮芯，细密蓝纹将两端阵扣牵作一体。</t>
        </is>
      </c>
      <c r="T702" s="8" t="inlineStr">
        <is>
          <t>implement_shuangmai_jiaolu_cold_mist_hide_inlay_array_2x1</t>
        </is>
      </c>
      <c r="U702" s="8" t="inlineStr">
        <is>
          <t>allowed</t>
        </is>
      </c>
    </row>
    <row r="703" ht="34" customHeight="1">
      <c r="A703" s="8" t="n">
        <v>702</v>
      </c>
      <c r="B703" s="8" t="n">
        <v>412651</v>
      </c>
      <c r="C703" s="8" t="inlineStr">
        <is>
          <t>寒脊枢匣</t>
        </is>
      </c>
      <c r="D703" s="8" t="inlineStr">
        <is>
          <t>法器</t>
        </is>
      </c>
      <c r="E703" s="8" t="inlineStr">
        <is>
          <t>implement</t>
        </is>
      </c>
      <c r="F703" s="8" t="inlineStr">
        <is>
          <t>spirit</t>
        </is>
      </c>
      <c r="G703" s="8" t="inlineStr">
        <is>
          <t>水</t>
        </is>
      </c>
      <c r="H703" s="8" t="inlineStr">
        <is>
          <t>water</t>
        </is>
      </c>
      <c r="I703" s="8" t="inlineStr">
        <is>
          <t>2×1</t>
        </is>
      </c>
      <c r="J703" s="8" t="n">
        <v>2</v>
      </c>
      <c r="K703" s="8" t="n">
        <v>160</v>
      </c>
      <c r="L703" s="8" t="inlineStr">
        <is>
          <t>是</t>
        </is>
      </c>
      <c r="M703" s="9" t="inlineStr"/>
      <c r="N703" s="8" t="n">
        <v>1</v>
      </c>
      <c r="O703" s="9" t="inlineStr">
        <is>
          <t>周期触发</t>
        </is>
      </c>
      <c r="P703" s="9" t="inlineStr">
        <is>
          <t>periodicPulse</t>
        </is>
      </c>
      <c r="Q703" s="9" t="inlineStr">
        <is>
          <t>周期触发：开局：每有 1 件装备，获得 100 层护甲，最多计算 4 件；开局：每有 1 件装备，获得 140 层护甲，最多计算 4 件；开局：每有 1 件装备，获得 160 层护甲，最多计算 4 件；开局：每有 1 件装备，获得 200 层护甲，最多计算 4 件</t>
        </is>
      </c>
      <c r="R703" s="9" t="inlineStr"/>
      <c r="S703" s="9" t="inlineStr">
        <is>
          <t>六棱横阵盘中央嵌着霜鹿肩骨，骨脊如桥连起两端寒纹。</t>
        </is>
      </c>
      <c r="T703" s="8" t="inlineStr">
        <is>
          <t>implement_shuangmai_frost_shoulder_bone_hexbridge_2x1</t>
        </is>
      </c>
      <c r="U703" s="8" t="inlineStr">
        <is>
          <t>allowed</t>
        </is>
      </c>
    </row>
    <row r="704" ht="34" customHeight="1">
      <c r="A704" s="8" t="n">
        <v>703</v>
      </c>
      <c r="B704" s="8" t="n">
        <v>412652</v>
      </c>
      <c r="C704" s="8" t="inlineStr">
        <is>
          <t>双极髓晶牌</t>
        </is>
      </c>
      <c r="D704" s="8" t="inlineStr">
        <is>
          <t>法器</t>
        </is>
      </c>
      <c r="E704" s="8" t="inlineStr">
        <is>
          <t>implement</t>
        </is>
      </c>
      <c r="F704" s="8" t="inlineStr">
        <is>
          <t>spirit</t>
        </is>
      </c>
      <c r="G704" s="8" t="inlineStr">
        <is>
          <t>水</t>
        </is>
      </c>
      <c r="H704" s="8" t="inlineStr">
        <is>
          <t>water</t>
        </is>
      </c>
      <c r="I704" s="8" t="inlineStr">
        <is>
          <t>1×2</t>
        </is>
      </c>
      <c r="J704" s="8" t="n">
        <v>2</v>
      </c>
      <c r="K704" s="8" t="n">
        <v>280</v>
      </c>
      <c r="L704" s="8" t="inlineStr">
        <is>
          <t>是</t>
        </is>
      </c>
      <c r="M704" s="9" t="inlineStr"/>
      <c r="N704" s="8" t="n">
        <v>1</v>
      </c>
      <c r="O704" s="9" t="inlineStr">
        <is>
          <t>周期触发</t>
        </is>
      </c>
      <c r="P704" s="9" t="inlineStr">
        <is>
          <t>periodicPulse</t>
        </is>
      </c>
      <c r="Q704" s="9" t="inlineStr">
        <is>
          <t>周期触发：开局：每有 1 件水属性道具，获得 100 层寒冷，最多计算 4 件；开局：每有 1 件水属性道具，获得 140 层寒冷，最多计算 4 件；开局：每有 1 件水属性道具，获得 160 层寒冷，最多计算 4 件；开局：每有 1 件水属性道具，获得 200 层寒冷，最多计算 4 件</t>
        </is>
      </c>
      <c r="R704" s="9" t="inlineStr"/>
      <c r="S704" s="9" t="inlineStr">
        <is>
          <t>双环纵阵夹住寒脉灵髓，晶心把回旋水纹分送上下两极。</t>
        </is>
      </c>
      <c r="T704" s="8" t="inlineStr">
        <is>
          <t>implement_shuangmai_cold_vein_marrow_twin_pole_1x2</t>
        </is>
      </c>
      <c r="U704" s="8" t="inlineStr">
        <is>
          <t>allowed</t>
        </is>
      </c>
    </row>
    <row r="705" ht="34" customHeight="1">
      <c r="A705" s="8" t="n">
        <v>704</v>
      </c>
      <c r="B705" s="8" t="n">
        <v>412653</v>
      </c>
      <c r="C705" s="8" t="inlineStr">
        <is>
          <t>寒心络牌</t>
        </is>
      </c>
      <c r="D705" s="8" t="inlineStr">
        <is>
          <t>法器</t>
        </is>
      </c>
      <c r="E705" s="8" t="inlineStr">
        <is>
          <t>implement</t>
        </is>
      </c>
      <c r="F705" s="8" t="inlineStr">
        <is>
          <t>spirit</t>
        </is>
      </c>
      <c r="G705" s="8" t="inlineStr">
        <is>
          <t>水</t>
        </is>
      </c>
      <c r="H705" s="8" t="inlineStr">
        <is>
          <t>water</t>
        </is>
      </c>
      <c r="I705" s="8" t="inlineStr">
        <is>
          <t>1×2</t>
        </is>
      </c>
      <c r="J705" s="8" t="n">
        <v>2</v>
      </c>
      <c r="K705" s="8" t="n">
        <v>360</v>
      </c>
      <c r="L705" s="8" t="inlineStr">
        <is>
          <t>是</t>
        </is>
      </c>
      <c r="M705" s="9" t="inlineStr"/>
      <c r="N705" s="8" t="n">
        <v>1</v>
      </c>
      <c r="O705" s="9" t="inlineStr">
        <is>
          <t>被动效果</t>
        </is>
      </c>
      <c r="P705" s="9" t="inlineStr">
        <is>
          <t>passive</t>
        </is>
      </c>
      <c r="Q705" s="9" t="inlineStr">
        <is>
          <t>被动效果：露水层数上限 +6；露水层数上限 +9；露水层数上限 +12；露水层数上限 +15</t>
        </is>
      </c>
      <c r="R705" s="9" t="inlineStr"/>
      <c r="S705" s="9" t="inlineStr">
        <is>
          <t>银环围住一枚霜筋结，细蓝络纹在盘面往复游移。</t>
        </is>
      </c>
      <c r="T705" s="8" t="inlineStr">
        <is>
          <t>implement_frost_sinew_circulation_relay_1x2</t>
        </is>
      </c>
      <c r="U705" s="8" t="inlineStr">
        <is>
          <t>allowed</t>
        </is>
      </c>
    </row>
    <row r="706" ht="34" customHeight="1">
      <c r="A706" s="8" t="n">
        <v>705</v>
      </c>
      <c r="B706" s="8" t="n">
        <v>412700</v>
      </c>
      <c r="C706" s="8" t="inlineStr">
        <is>
          <t>玄脉镇甲</t>
        </is>
      </c>
      <c r="D706" s="8" t="inlineStr">
        <is>
          <t>法器</t>
        </is>
      </c>
      <c r="E706" s="8" t="inlineStr">
        <is>
          <t>implement</t>
        </is>
      </c>
      <c r="F706" s="8" t="inlineStr">
        <is>
          <t>common</t>
        </is>
      </c>
      <c r="G706" s="8" t="inlineStr">
        <is>
          <t>poison</t>
        </is>
      </c>
      <c r="H706" s="8" t="inlineStr">
        <is>
          <t>poison</t>
        </is>
      </c>
      <c r="I706" s="8" t="inlineStr">
        <is>
          <t>2×2</t>
        </is>
      </c>
      <c r="J706" s="8" t="n">
        <v>4</v>
      </c>
      <c r="K706" s="8" t="n">
        <v>60</v>
      </c>
      <c r="L706" s="8" t="inlineStr">
        <is>
          <t>是</t>
        </is>
      </c>
      <c r="M706" s="9" t="inlineStr">
        <is>
          <t>bazaar；dynamicRandomReward</t>
        </is>
      </c>
      <c r="N706" s="8" t="n">
        <v>2</v>
      </c>
      <c r="O706" s="9" t="inlineStr">
        <is>
          <t>周期触发</t>
        </is>
      </c>
      <c r="P706" s="9" t="inlineStr">
        <is>
          <t>periodicPulse</t>
        </is>
      </c>
      <c r="Q706" s="9" t="inlineStr">
        <is>
          <t>周期触发：每有5层护甲，对敌方施加1层中毒；每有5层护甲，对敌方施加2层中毒；每有5层护甲，对敌方施加3层中毒；每有5层护甲，对敌方施加4层中毒 | 周期触发：每有5层坚硬，对敌方施加1层中毒；每有5层坚硬，对敌方施加2层中毒；每有5层坚硬，对敌方施加3层中毒；每有5层坚硬，对敌方施加4层中毒</t>
        </is>
      </c>
      <c r="R706" s="9" t="inlineStr"/>
      <c r="S706" s="9" t="inlineStr">
        <is>
          <t>整面玄脉甲片厚重如沉甲，黑褐甲面仍留着分岔脉纹。</t>
        </is>
      </c>
      <c r="T706" s="8" t="inlineStr">
        <is>
          <t>implement_xuanmai_dark_vein_scale_stable_2x2</t>
        </is>
      </c>
      <c r="U706" s="8" t="inlineStr">
        <is>
          <t>allowed</t>
        </is>
      </c>
    </row>
    <row r="707" ht="34" customHeight="1">
      <c r="A707" s="8" t="n">
        <v>706</v>
      </c>
      <c r="B707" s="8" t="n">
        <v>412701</v>
      </c>
      <c r="C707" s="8" t="inlineStr">
        <is>
          <t>穿脉爪钩</t>
        </is>
      </c>
      <c r="D707" s="8" t="inlineStr">
        <is>
          <t>法器</t>
        </is>
      </c>
      <c r="E707" s="8" t="inlineStr">
        <is>
          <t>implement</t>
        </is>
      </c>
      <c r="F707" s="8" t="inlineStr">
        <is>
          <t>common</t>
        </is>
      </c>
      <c r="G707" s="8" t="inlineStr">
        <is>
          <t>土</t>
        </is>
      </c>
      <c r="H707" s="8" t="inlineStr">
        <is>
          <t>earth</t>
        </is>
      </c>
      <c r="I707" s="8" t="inlineStr">
        <is>
          <t>2×2</t>
        </is>
      </c>
      <c r="J707" s="8" t="n">
        <v>4</v>
      </c>
      <c r="K707" s="8" t="n">
        <v>16</v>
      </c>
      <c r="L707" s="8" t="inlineStr">
        <is>
          <t>是</t>
        </is>
      </c>
      <c r="M707" s="9" t="inlineStr"/>
      <c r="N707" s="8" t="n">
        <v>1</v>
      </c>
      <c r="O707" s="9" t="inlineStr">
        <is>
          <t>条件触发</t>
        </is>
      </c>
      <c r="P707" s="9" t="inlineStr">
        <is>
          <t>triggered</t>
        </is>
      </c>
      <c r="Q707" s="9" t="inlineStr">
        <is>
          <t>条件触发：使用相邻投掷物时，获得 8 层护甲；使用相邻投掷物时，获得 12 层护甲；使用相邻投掷物时，获得 15 层护甲；使用相邻投掷物时，获得 18 层护甲</t>
        </is>
      </c>
      <c r="R707" s="9" t="inlineStr"/>
      <c r="S707" s="9" t="inlineStr">
        <is>
          <t>成对穿脉利爪并入重型爪钩，泥金纹沿弯刃贯通。</t>
        </is>
      </c>
      <c r="T707" s="8" t="inlineStr">
        <is>
          <t>implement_xuanmai_burrowing_claw_stable_2x2</t>
        </is>
      </c>
      <c r="U707" s="8" t="inlineStr">
        <is>
          <t>allowed</t>
        </is>
      </c>
    </row>
    <row r="708" ht="34" customHeight="1">
      <c r="A708" s="8" t="n">
        <v>707</v>
      </c>
      <c r="B708" s="8" t="n">
        <v>412702</v>
      </c>
      <c r="C708" s="8" t="inlineStr">
        <is>
          <t>地髓骨锤</t>
        </is>
      </c>
      <c r="D708" s="8" t="inlineStr">
        <is>
          <t>法器</t>
        </is>
      </c>
      <c r="E708" s="8" t="inlineStr">
        <is>
          <t>implement</t>
        </is>
      </c>
      <c r="F708" s="8" t="inlineStr">
        <is>
          <t>common</t>
        </is>
      </c>
      <c r="G708" s="8" t="inlineStr">
        <is>
          <t>土</t>
        </is>
      </c>
      <c r="H708" s="8" t="inlineStr">
        <is>
          <t>earth</t>
        </is>
      </c>
      <c r="I708" s="8" t="inlineStr">
        <is>
          <t>2×1</t>
        </is>
      </c>
      <c r="J708" s="8" t="n">
        <v>2</v>
      </c>
      <c r="K708" s="8" t="n">
        <v>16</v>
      </c>
      <c r="L708" s="8" t="inlineStr">
        <is>
          <t>是</t>
        </is>
      </c>
      <c r="M708" s="9" t="inlineStr"/>
      <c r="N708" s="8" t="n">
        <v>1</v>
      </c>
      <c r="O708" s="9" t="inlineStr">
        <is>
          <t>周期触发</t>
        </is>
      </c>
      <c r="P708" s="9" t="inlineStr">
        <is>
          <t>periodicPulse</t>
        </is>
      </c>
      <c r="Q708" s="9" t="inlineStr">
        <is>
          <t>周期触发：最多将 4 层蓄势转化为护甲，每层获得 5 层护甲；最多将 5 层蓄势转化为护甲，每层获得 5 层护甲；最多将 6 层蓄势转化为护甲，每层获得 5 层护甲；最多将 7 层蓄势转化为护甲，每层获得 5 层护甲</t>
        </is>
      </c>
      <c r="R708" s="9" t="inlineStr"/>
      <c r="S708" s="9" t="inlineStr">
        <is>
          <t>整段地髓骨炼作横置骨锤，黑金髓线从断口贯入锤首。</t>
        </is>
      </c>
      <c r="T708" s="8" t="inlineStr">
        <is>
          <t>implement_xuanmai_earth_marrow_bone_stable_2x1</t>
        </is>
      </c>
      <c r="U708" s="8" t="inlineStr">
        <is>
          <t>allowed</t>
        </is>
      </c>
    </row>
    <row r="709" ht="34" customHeight="1">
      <c r="A709" s="8" t="n">
        <v>708</v>
      </c>
      <c r="B709" s="8" t="n">
        <v>412703</v>
      </c>
      <c r="C709" s="8" t="inlineStr">
        <is>
          <t>伏地鳞腰带</t>
        </is>
      </c>
      <c r="D709" s="8" t="inlineStr">
        <is>
          <t>法器</t>
        </is>
      </c>
      <c r="E709" s="8" t="inlineStr">
        <is>
          <t>implement</t>
        </is>
      </c>
      <c r="F709" s="8" t="inlineStr">
        <is>
          <t>common</t>
        </is>
      </c>
      <c r="G709" s="8" t="inlineStr">
        <is>
          <t>poison</t>
        </is>
      </c>
      <c r="H709" s="8" t="inlineStr">
        <is>
          <t>poison</t>
        </is>
      </c>
      <c r="I709" s="8" t="inlineStr">
        <is>
          <t>2×1</t>
        </is>
      </c>
      <c r="J709" s="8" t="n">
        <v>2</v>
      </c>
      <c r="K709" s="8" t="n">
        <v>80</v>
      </c>
      <c r="L709" s="8" t="inlineStr">
        <is>
          <t>是</t>
        </is>
      </c>
      <c r="M709" s="9" t="inlineStr">
        <is>
          <t>bazaar；dynamicRandomReward</t>
        </is>
      </c>
      <c r="N709" s="8" t="n">
        <v>1</v>
      </c>
      <c r="O709" s="9" t="inlineStr">
        <is>
          <t>条件触发</t>
        </is>
      </c>
      <c r="P709" s="9" t="inlineStr">
        <is>
          <t>triggered</t>
        </is>
      </c>
      <c r="Q709" s="9" t="inlineStr">
        <is>
          <t>条件触发：未贴住储物袋边缘时，我方每层蓄势消耗时，对敌方施加1层中毒</t>
        </is>
      </c>
      <c r="R709" s="9" t="inlineStr"/>
      <c r="S709" s="9" t="inlineStr">
        <is>
          <t>整条伏地鳞带舒展成宽腰带，层叠鳞缘仍留着土砂磨痕。</t>
        </is>
      </c>
      <c r="T709" s="8" t="inlineStr">
        <is>
          <t>implement_xuanmai_ground_scale_band_stable_2x1</t>
        </is>
      </c>
      <c r="U709" s="8" t="inlineStr">
        <is>
          <t>allowed</t>
        </is>
      </c>
    </row>
    <row r="710" ht="34" customHeight="1">
      <c r="A710" s="8" t="n">
        <v>709</v>
      </c>
      <c r="B710" s="8" t="n">
        <v>412704</v>
      </c>
      <c r="C710" s="8" t="inlineStr">
        <is>
          <t>玄甲护心镜</t>
        </is>
      </c>
      <c r="D710" s="8" t="inlineStr">
        <is>
          <t>法器</t>
        </is>
      </c>
      <c r="E710" s="8" t="inlineStr">
        <is>
          <t>implement</t>
        </is>
      </c>
      <c r="F710" s="8" t="inlineStr">
        <is>
          <t>common</t>
        </is>
      </c>
      <c r="G710" s="8" t="inlineStr">
        <is>
          <t>金</t>
        </is>
      </c>
      <c r="H710" s="8" t="inlineStr">
        <is>
          <t>metal</t>
        </is>
      </c>
      <c r="I710" s="8" t="inlineStr">
        <is>
          <t>1×1</t>
        </is>
      </c>
      <c r="J710" s="8" t="n">
        <v>1</v>
      </c>
      <c r="K710" s="8" t="n">
        <v>18</v>
      </c>
      <c r="L710" s="8" t="inlineStr">
        <is>
          <t>是</t>
        </is>
      </c>
      <c r="M710" s="9" t="inlineStr">
        <is>
          <t>bazaar；dynamicRandomReward</t>
        </is>
      </c>
      <c r="N710" s="8" t="n">
        <v>2</v>
      </c>
      <c r="O710" s="9" t="inlineStr">
        <is>
          <t>被动效果</t>
        </is>
      </c>
      <c r="P710" s="9" t="inlineStr">
        <is>
          <t>passive</t>
        </is>
      </c>
      <c r="Q710" s="9" t="inlineStr">
        <is>
          <t>被动效果：位于储物袋角落时，凝金层数上限+2，蓄势层数上限+1；位于储物袋角落时，凝金层数上限+4，蓄势层数上限+2；位于储物袋角落时，凝金层数上限+6，蓄势层数上限+3；位于储物袋角落时，凝金层数上限+8，蓄势层数上限+4 | 被动效果：位于储物袋角落时，凝金层数上限+2，蓄势层数上限+1；位于储物袋角落时，凝金层数上限+4，蓄势层数上限+2；位于储物袋角落时，凝金层数上限+6，蓄势层数上限+3；位于储物袋角落时，凝金层数上限+8，蓄势层数上限+4</t>
        </is>
      </c>
      <c r="R710" s="9" t="inlineStr"/>
      <c r="S710" s="9" t="inlineStr">
        <is>
          <t>玄脉背甲边缘收拢成紧凑护心镜，厚甲棱围住中央玄脉凹线。</t>
        </is>
      </c>
      <c r="T710" s="8" t="inlineStr">
        <is>
          <t>implement_xuanmai_back_armor_stable_1x1</t>
        </is>
      </c>
      <c r="U710" s="8" t="inlineStr">
        <is>
          <t>allowed</t>
        </is>
      </c>
    </row>
    <row r="711" ht="34" customHeight="1">
      <c r="A711" s="8" t="n">
        <v>710</v>
      </c>
      <c r="B711" s="8" t="n">
        <v>412705</v>
      </c>
      <c r="C711" s="8" t="inlineStr">
        <is>
          <t>地脉心镜</t>
        </is>
      </c>
      <c r="D711" s="8" t="inlineStr">
        <is>
          <t>法器</t>
        </is>
      </c>
      <c r="E711" s="8" t="inlineStr">
        <is>
          <t>implement</t>
        </is>
      </c>
      <c r="F711" s="8" t="inlineStr">
        <is>
          <t>common</t>
        </is>
      </c>
      <c r="G711" s="8" t="inlineStr">
        <is>
          <t>土</t>
        </is>
      </c>
      <c r="H711" s="8" t="inlineStr">
        <is>
          <t>earth</t>
        </is>
      </c>
      <c r="I711" s="8" t="inlineStr">
        <is>
          <t>2×1</t>
        </is>
      </c>
      <c r="J711" s="8" t="n">
        <v>2</v>
      </c>
      <c r="K711" s="8" t="n">
        <v>16</v>
      </c>
      <c r="L711" s="8" t="inlineStr">
        <is>
          <t>是</t>
        </is>
      </c>
      <c r="M711" s="9" t="inlineStr"/>
      <c r="N711" s="8" t="n">
        <v>1</v>
      </c>
      <c r="O711" s="9" t="inlineStr">
        <is>
          <t>周期触发</t>
        </is>
      </c>
      <c r="P711" s="9" t="inlineStr">
        <is>
          <t>periodicPulse</t>
        </is>
      </c>
      <c r="Q711" s="9" t="inlineStr">
        <is>
          <t>周期触发：开局：未接触储物袋边缘时，获得 4 层坚硬；开局：未接触储物袋边缘时，获得 6 层坚硬；开局：未接触储物袋边缘时，获得 8 层坚硬；开局：未接触储物袋边缘时，获得 10 层坚硬</t>
        </is>
      </c>
      <c r="R711" s="9" t="inlineStr"/>
      <c r="S711" s="9" t="inlineStr">
        <is>
          <t>完整地脉心鳞炼成横置心镜，黑金鳞纹从中央向两翼舒展。</t>
        </is>
      </c>
      <c r="T711" s="8" t="inlineStr">
        <is>
          <t>implement_xuanmai_earth_heart_scale_stable_2x1</t>
        </is>
      </c>
      <c r="U711" s="8" t="inlineStr">
        <is>
          <t>allowed</t>
        </is>
      </c>
    </row>
    <row r="712" ht="34" customHeight="1">
      <c r="A712" s="8" t="n">
        <v>711</v>
      </c>
      <c r="B712" s="8" t="n">
        <v>412706</v>
      </c>
      <c r="C712" s="8" t="inlineStr">
        <is>
          <t>玄土胆炉</t>
        </is>
      </c>
      <c r="D712" s="8" t="inlineStr">
        <is>
          <t>法器</t>
        </is>
      </c>
      <c r="E712" s="8" t="inlineStr">
        <is>
          <t>implement</t>
        </is>
      </c>
      <c r="F712" s="8" t="inlineStr">
        <is>
          <t>common</t>
        </is>
      </c>
      <c r="G712" s="8" t="inlineStr">
        <is>
          <t>土</t>
        </is>
      </c>
      <c r="H712" s="8" t="inlineStr">
        <is>
          <t>earth</t>
        </is>
      </c>
      <c r="I712" s="8" t="inlineStr">
        <is>
          <t>2×2</t>
        </is>
      </c>
      <c r="J712" s="8" t="n">
        <v>4</v>
      </c>
      <c r="K712" s="8" t="n">
        <v>34</v>
      </c>
      <c r="L712" s="8" t="inlineStr">
        <is>
          <t>是</t>
        </is>
      </c>
      <c r="M712" s="9" t="inlineStr"/>
      <c r="N712" s="8" t="n">
        <v>2</v>
      </c>
      <c r="O712" s="9" t="inlineStr">
        <is>
          <t>周期触发；条件触发</t>
        </is>
      </c>
      <c r="P712" s="9" t="inlineStr">
        <is>
          <t>periodicPulse；triggered</t>
        </is>
      </c>
      <c r="Q712" s="9" t="inlineStr">
        <is>
          <t>周期触发：成功率 +40%，大成功率 +15% | 条件触发：相邻丹药耗尽时，获得 5 层护甲；相邻丹药耗尽时，获得 7 层护甲；相邻丹药耗尽时，获得 8 层护甲；相邻丹药耗尽时，获得 10 层护甲</t>
        </is>
      </c>
      <c r="R712" s="9" t="inlineStr"/>
      <c r="S712" s="9" t="inlineStr">
        <is>
          <t>玄土胆石被嵌入小型胆炉主体，深褐石壳与金色土纹清晰分层。</t>
        </is>
      </c>
      <c r="T712" s="8" t="inlineStr">
        <is>
          <t>implement_xuanmai_dark_earth_gallstone_stable_2x2</t>
        </is>
      </c>
      <c r="U712" s="8" t="inlineStr">
        <is>
          <t>allowed</t>
        </is>
      </c>
    </row>
    <row r="713" ht="34" customHeight="1">
      <c r="A713" s="8" t="n">
        <v>712</v>
      </c>
      <c r="B713" s="8" t="n">
        <v>412751</v>
      </c>
      <c r="C713" s="8" t="inlineStr">
        <is>
          <t>伏脉骨梁匣</t>
        </is>
      </c>
      <c r="D713" s="8" t="inlineStr">
        <is>
          <t>法器</t>
        </is>
      </c>
      <c r="E713" s="8" t="inlineStr">
        <is>
          <t>implement</t>
        </is>
      </c>
      <c r="F713" s="8" t="inlineStr">
        <is>
          <t>common</t>
        </is>
      </c>
      <c r="G713" s="8" t="inlineStr">
        <is>
          <t>土</t>
        </is>
      </c>
      <c r="H713" s="8" t="inlineStr">
        <is>
          <t>earth</t>
        </is>
      </c>
      <c r="I713" s="8" t="inlineStr">
        <is>
          <t>2×1</t>
        </is>
      </c>
      <c r="J713" s="8" t="n">
        <v>2</v>
      </c>
      <c r="K713" s="8" t="n">
        <v>16</v>
      </c>
      <c r="L713" s="8" t="inlineStr">
        <is>
          <t>是</t>
        </is>
      </c>
      <c r="M713" s="9" t="inlineStr"/>
      <c r="N713" s="8" t="n">
        <v>1</v>
      </c>
      <c r="O713" s="9" t="inlineStr">
        <is>
          <t>周期触发</t>
        </is>
      </c>
      <c r="P713" s="9" t="inlineStr">
        <is>
          <t>periodicPulse</t>
        </is>
      </c>
      <c r="Q713" s="9" t="inlineStr">
        <is>
          <t>周期触发：开局：每有 1 件 1×2 型道具，获得 5 层护甲，最多计算 4 件；开局：每有 1 件 1×2 型道具，获得 7 层护甲，最多计算 4 件；开局：每有 1 件 1×2 型道具，获得 8 层护甲，最多计算 4 件；开局：每有 1 件 1×2 型道具，获得 10 层护甲，最多计算 4 件</t>
        </is>
      </c>
      <c r="R713" s="9" t="inlineStr"/>
      <c r="S713" s="9" t="inlineStr">
        <is>
          <t>长条阵梁中央嵌着地髓骨芯，两端阵钉将髓线导向外侧。</t>
        </is>
      </c>
      <c r="T713" s="8" t="inlineStr">
        <is>
          <t>implement_xuanmai_earth_marrow_bone_relay_2x1</t>
        </is>
      </c>
      <c r="U713" s="8" t="inlineStr">
        <is>
          <t>allowed</t>
        </is>
      </c>
    </row>
    <row r="714" ht="34" customHeight="1">
      <c r="A714" s="8" t="n">
        <v>713</v>
      </c>
      <c r="B714" s="8" t="n">
        <v>412752</v>
      </c>
      <c r="C714" s="8" t="inlineStr">
        <is>
          <t>破岩飞爪</t>
        </is>
      </c>
      <c r="D714" s="8" t="inlineStr">
        <is>
          <t>法器</t>
        </is>
      </c>
      <c r="E714" s="8" t="inlineStr">
        <is>
          <t>implement</t>
        </is>
      </c>
      <c r="F714" s="8" t="inlineStr">
        <is>
          <t>common</t>
        </is>
      </c>
      <c r="G714" s="8" t="inlineStr">
        <is>
          <t>土</t>
        </is>
      </c>
      <c r="H714" s="8" t="inlineStr">
        <is>
          <t>earth</t>
        </is>
      </c>
      <c r="I714" s="8" t="inlineStr">
        <is>
          <t>2×2</t>
        </is>
      </c>
      <c r="J714" s="8" t="n">
        <v>4</v>
      </c>
      <c r="K714" s="8" t="n">
        <v>16</v>
      </c>
      <c r="L714" s="8" t="inlineStr">
        <is>
          <t>是</t>
        </is>
      </c>
      <c r="M714" s="9" t="inlineStr"/>
      <c r="N714" s="8" t="n">
        <v>1</v>
      </c>
      <c r="O714" s="9" t="inlineStr">
        <is>
          <t>条件触发</t>
        </is>
      </c>
      <c r="P714" s="9" t="inlineStr">
        <is>
          <t>triggered</t>
        </is>
      </c>
      <c r="Q714" s="9" t="inlineStr">
        <is>
          <t>条件触发：使用相邻投掷物时，对敌方造成 17 点伤害；使用相邻投掷物时，对敌方造成 20 点伤害；使用相邻投掷物时，对敌方造成 24 点伤害；使用相邻投掷物时，对敌方造成 27 点伤害</t>
        </is>
      </c>
      <c r="R714" s="9" t="inlineStr"/>
      <c r="S714" s="9" t="inlineStr">
        <is>
          <t>穿脉利爪装在短柄飞爪前端，弯尖专取岩隙。</t>
        </is>
      </c>
      <c r="T714" s="8" t="inlineStr">
        <is>
          <t>implement_xuanmai_burrowing_claw_active_2x2</t>
        </is>
      </c>
      <c r="U714" s="8" t="inlineStr">
        <is>
          <t>allowed</t>
        </is>
      </c>
    </row>
    <row r="715" ht="34" customHeight="1">
      <c r="A715" s="8" t="n">
        <v>714</v>
      </c>
      <c r="B715" s="8" t="n">
        <v>412753</v>
      </c>
      <c r="C715" s="8" t="inlineStr">
        <is>
          <t>断脉鳞鞭</t>
        </is>
      </c>
      <c r="D715" s="8" t="inlineStr">
        <is>
          <t>法器</t>
        </is>
      </c>
      <c r="E715" s="8" t="inlineStr">
        <is>
          <t>implement</t>
        </is>
      </c>
      <c r="F715" s="8" t="inlineStr">
        <is>
          <t>common</t>
        </is>
      </c>
      <c r="G715" s="8" t="inlineStr">
        <is>
          <t>poison</t>
        </is>
      </c>
      <c r="H715" s="8" t="inlineStr">
        <is>
          <t>poison</t>
        </is>
      </c>
      <c r="I715" s="8" t="inlineStr">
        <is>
          <t>2×1</t>
        </is>
      </c>
      <c r="J715" s="8" t="n">
        <v>2</v>
      </c>
      <c r="K715" s="8" t="n">
        <v>12</v>
      </c>
      <c r="L715" s="8" t="inlineStr">
        <is>
          <t>是</t>
        </is>
      </c>
      <c r="M715" s="9" t="inlineStr">
        <is>
          <t>bazaar；dynamicRandomReward</t>
        </is>
      </c>
      <c r="N715" s="8" t="n">
        <v>1</v>
      </c>
      <c r="O715" s="9" t="inlineStr">
        <is>
          <t>条件触发</t>
        </is>
      </c>
      <c r="P715" s="9" t="inlineStr">
        <is>
          <t>triggered</t>
        </is>
      </c>
      <c r="Q715" s="9" t="inlineStr">
        <is>
          <t>条件触发：敌方中毒发作时，对其施加 1 层裂甲；敌方中毒发作时，对其施加 2 层裂甲；敌方中毒发作时，对其施加 3 层裂甲；敌方中毒发作时，对其施加 4 层裂甲</t>
        </is>
      </c>
      <c r="R715" s="9" t="inlineStr"/>
      <c r="S715" s="9" t="inlineStr">
        <is>
          <t>伏地鳞带自带鞭节，短柄一握便可催动，末端鳞刃外翻。</t>
        </is>
      </c>
      <c r="T715" s="8" t="inlineStr">
        <is>
          <t>implement_xuanmai_ground_scale_band_active_2x1</t>
        </is>
      </c>
      <c r="U715" s="8" t="inlineStr">
        <is>
          <t>allowed</t>
        </is>
      </c>
    </row>
    <row r="716" ht="34" customHeight="1">
      <c r="A716" s="8" t="n">
        <v>715</v>
      </c>
      <c r="B716" s="8" t="n">
        <v>412800</v>
      </c>
      <c r="C716" s="8" t="inlineStr">
        <is>
          <t>金筋攀岳索</t>
        </is>
      </c>
      <c r="D716" s="8" t="inlineStr">
        <is>
          <t>法器</t>
        </is>
      </c>
      <c r="E716" s="8" t="inlineStr">
        <is>
          <t>implement</t>
        </is>
      </c>
      <c r="F716" s="8" t="inlineStr">
        <is>
          <t>common</t>
        </is>
      </c>
      <c r="G716" s="8" t="inlineStr">
        <is>
          <t>金</t>
        </is>
      </c>
      <c r="H716" s="8" t="inlineStr">
        <is>
          <t>metal</t>
        </is>
      </c>
      <c r="I716" s="8" t="inlineStr">
        <is>
          <t>2×1</t>
        </is>
      </c>
      <c r="J716" s="8" t="n">
        <v>2</v>
      </c>
      <c r="K716" s="8" t="n">
        <v>15</v>
      </c>
      <c r="L716" s="8" t="inlineStr">
        <is>
          <t>是</t>
        </is>
      </c>
      <c r="M716" s="9" t="inlineStr">
        <is>
          <t>bazaar；dynamicRandomReward</t>
        </is>
      </c>
      <c r="N716" s="8" t="n">
        <v>1</v>
      </c>
      <c r="O716" s="9" t="inlineStr">
        <is>
          <t>周期触发</t>
        </is>
      </c>
      <c r="P716" s="9" t="inlineStr">
        <is>
          <t>periodicPulse</t>
        </is>
      </c>
      <c r="Q716" s="9" t="inlineStr">
        <is>
          <t>周期触发：将5层凝金和5层露水转化为10点体力，如果还剩余凝金和露水层数，则再恢复5点体力；消耗5层凝金；消耗5层露水；恢复10点体力；如果还剩余凝金和露水层数，再恢复5点体力；将5层凝金和5层露水转化为12点体力，如果还剩余凝金和露水层数，则再恢复6点体力；恢复12点体力；如果还剩余凝金和露水层数，再恢复6点体力；将5层凝金和5层露水转化为14点体力，如果还剩余凝金和露水层数，则再恢复7点体力；恢复14点体力；如果还剩余凝金和露水层数，再恢复7点体力；将5层凝金和5层露水转化为16点体力，如果还剩余凝金和露水层数，则再恢复8点体力；恢复16点体力；如果还剩余凝金和露水层数，再恢复8点体力</t>
        </is>
      </c>
      <c r="R716" s="9" t="inlineStr"/>
      <c r="S716" s="9" t="inlineStr">
        <is>
          <t>金猿臂筋金丝交错如攀岳索，收紧时筋纹会一节节绷直。</t>
        </is>
      </c>
      <c r="T716" s="8" t="inlineStr">
        <is>
          <t>implement_baifeng_jinyuan_golden_sinew_climbing_rope_2x1</t>
        </is>
      </c>
      <c r="U716" s="8" t="inlineStr">
        <is>
          <t>allowed</t>
        </is>
      </c>
    </row>
    <row r="717" ht="34" customHeight="1">
      <c r="A717" s="8" t="n">
        <v>716</v>
      </c>
      <c r="B717" s="8" t="n">
        <v>412801</v>
      </c>
      <c r="C717" s="8" t="inlineStr">
        <is>
          <t>白锋骨扳指</t>
        </is>
      </c>
      <c r="D717" s="8" t="inlineStr">
        <is>
          <t>法器</t>
        </is>
      </c>
      <c r="E717" s="8" t="inlineStr">
        <is>
          <t>implement</t>
        </is>
      </c>
      <c r="F717" s="8" t="inlineStr">
        <is>
          <t>common</t>
        </is>
      </c>
      <c r="G717" s="8" t="inlineStr">
        <is>
          <t>poison</t>
        </is>
      </c>
      <c r="H717" s="8" t="inlineStr">
        <is>
          <t>poison</t>
        </is>
      </c>
      <c r="I717" s="8" t="inlineStr">
        <is>
          <t>1×1</t>
        </is>
      </c>
      <c r="J717" s="8" t="n">
        <v>1</v>
      </c>
      <c r="K717" s="8" t="n">
        <v>30</v>
      </c>
      <c r="L717" s="8" t="inlineStr">
        <is>
          <t>是</t>
        </is>
      </c>
      <c r="M717" s="9" t="inlineStr">
        <is>
          <t>bazaar；dynamicRandomReward</t>
        </is>
      </c>
      <c r="N717" s="8" t="n">
        <v>1</v>
      </c>
      <c r="O717" s="9" t="inlineStr">
        <is>
          <t>周期触发</t>
        </is>
      </c>
      <c r="P717" s="9" t="inlineStr">
        <is>
          <t>periodicPulse</t>
        </is>
      </c>
      <c r="Q717" s="9" t="inlineStr">
        <is>
          <t>周期触发：敌方中毒层数不少于50层时，对其施加 10 层凝滞；敌方中毒层数不少于50层时，对其施加 15 层凝滞；敌方中毒层数不少于50层时，对其施加 20 层凝滞；敌方中毒层数不少于50层时，对其施加 25 层凝滞</t>
        </is>
      </c>
      <c r="R717" s="9" t="inlineStr"/>
      <c r="S717" s="9" t="inlineStr">
        <is>
          <t>白锋指骨磨得温润，指节上的锋纹恰好环成一枚扳指。</t>
        </is>
      </c>
      <c r="T717" s="8" t="inlineStr">
        <is>
          <t>implement_baifeng_jinyuan_white_bone_thumb_ring_1x1</t>
        </is>
      </c>
      <c r="U717" s="8" t="inlineStr">
        <is>
          <t>allowed</t>
        </is>
      </c>
    </row>
    <row r="718" ht="34" customHeight="1">
      <c r="A718" s="8" t="n">
        <v>717</v>
      </c>
      <c r="B718" s="8" t="n">
        <v>412802</v>
      </c>
      <c r="C718" s="8" t="inlineStr">
        <is>
          <t>裂石牙锥</t>
        </is>
      </c>
      <c r="D718" s="8" t="inlineStr">
        <is>
          <t>法器</t>
        </is>
      </c>
      <c r="E718" s="8" t="inlineStr">
        <is>
          <t>implement</t>
        </is>
      </c>
      <c r="F718" s="8" t="inlineStr">
        <is>
          <t>common</t>
        </is>
      </c>
      <c r="G718" s="8" t="inlineStr">
        <is>
          <t>poison</t>
        </is>
      </c>
      <c r="H718" s="8" t="inlineStr">
        <is>
          <t>poison</t>
        </is>
      </c>
      <c r="I718" s="8" t="inlineStr">
        <is>
          <t>1×2</t>
        </is>
      </c>
      <c r="J718" s="8" t="n">
        <v>2</v>
      </c>
      <c r="K718" s="8" t="n">
        <v>10</v>
      </c>
      <c r="L718" s="8" t="inlineStr">
        <is>
          <t>是</t>
        </is>
      </c>
      <c r="M718" s="9" t="inlineStr">
        <is>
          <t>bazaar；dynamicRandomReward</t>
        </is>
      </c>
      <c r="N718" s="8" t="n">
        <v>1</v>
      </c>
      <c r="O718" s="9" t="inlineStr">
        <is>
          <t>周期触发</t>
        </is>
      </c>
      <c r="P718" s="9" t="inlineStr">
        <is>
          <t>periodicPulse</t>
        </is>
      </c>
      <c r="Q718" s="9" t="inlineStr">
        <is>
          <t>周期触发：消耗20层再生，对敌方造成20点伤害和5层中毒</t>
        </is>
      </c>
      <c r="R718" s="9" t="inlineStr"/>
      <c r="S718" s="9" t="inlineStr">
        <is>
          <t>裂石犬齿尖锐如锥，齿根的裂纹沿着锥身层层展开。</t>
        </is>
      </c>
      <c r="T718" s="8" t="inlineStr">
        <is>
          <t>implement_baifeng_jinyuan_cracked_fang_stone_spike_1x2</t>
        </is>
      </c>
      <c r="U718" s="8" t="inlineStr">
        <is>
          <t>allowed</t>
        </is>
      </c>
    </row>
    <row r="719" ht="34" customHeight="1">
      <c r="A719" s="8" t="n">
        <v>718</v>
      </c>
      <c r="B719" s="8" t="n">
        <v>412803</v>
      </c>
      <c r="C719" s="8" t="inlineStr">
        <is>
          <t>金毫裂风扇</t>
        </is>
      </c>
      <c r="D719" s="8" t="inlineStr">
        <is>
          <t>法器</t>
        </is>
      </c>
      <c r="E719" s="8" t="inlineStr">
        <is>
          <t>implement</t>
        </is>
      </c>
      <c r="F719" s="8" t="inlineStr">
        <is>
          <t>common</t>
        </is>
      </c>
      <c r="G719" s="8" t="inlineStr">
        <is>
          <t>金</t>
        </is>
      </c>
      <c r="H719" s="8" t="inlineStr">
        <is>
          <t>metal</t>
        </is>
      </c>
      <c r="I719" s="8" t="inlineStr">
        <is>
          <t>1×1</t>
        </is>
      </c>
      <c r="J719" s="8" t="n">
        <v>1</v>
      </c>
      <c r="K719" s="8" t="n">
        <v>10</v>
      </c>
      <c r="L719" s="8" t="inlineStr">
        <is>
          <t>是</t>
        </is>
      </c>
      <c r="M719" s="9" t="inlineStr">
        <is>
          <t>bazaar；dynamicRandomReward</t>
        </is>
      </c>
      <c r="N719" s="8" t="n">
        <v>1</v>
      </c>
      <c r="O719" s="9" t="inlineStr">
        <is>
          <t>条件触发</t>
        </is>
      </c>
      <c r="P719" s="9" t="inlineStr">
        <is>
          <t>triggered</t>
        </is>
      </c>
      <c r="Q719" s="9" t="inlineStr">
        <is>
          <t>条件触发：敌方气血首次低于 50% 时，对其施加 5 层乱流；敌方气血首次低于 60% 时，对其施加 7 层乱流；敌方气血首次低于 70% 时，对其施加 9 层乱流；敌方气血首次低于 80% 时，对其施加 11 层乱流</t>
        </is>
      </c>
      <c r="R719" s="9" t="inlineStr"/>
      <c r="S719" s="9" t="inlineStr">
        <is>
          <t>亮背毛根根如金毫，收拢成扇时，扇面边缘仍带着撕风的锐响。</t>
        </is>
      </c>
      <c r="T719" s="8" t="inlineStr">
        <is>
          <t>implement_baifeng_jinyuan_golden_bristle_wind_fan_1x1</t>
        </is>
      </c>
      <c r="U719" s="8" t="inlineStr">
        <is>
          <t>allowed</t>
        </is>
      </c>
    </row>
    <row r="720" ht="34" customHeight="1">
      <c r="A720" s="8" t="n">
        <v>719</v>
      </c>
      <c r="B720" s="8" t="n">
        <v>412853</v>
      </c>
      <c r="C720" s="8" t="inlineStr">
        <is>
          <t>白锋镇背甲</t>
        </is>
      </c>
      <c r="D720" s="8" t="inlineStr">
        <is>
          <t>法器</t>
        </is>
      </c>
      <c r="E720" s="8" t="inlineStr">
        <is>
          <t>implement</t>
        </is>
      </c>
      <c r="F720" s="8" t="inlineStr">
        <is>
          <t>common</t>
        </is>
      </c>
      <c r="G720" s="8" t="inlineStr">
        <is>
          <t>poison</t>
        </is>
      </c>
      <c r="H720" s="8" t="inlineStr">
        <is>
          <t>poison</t>
        </is>
      </c>
      <c r="I720" s="8" t="inlineStr">
        <is>
          <t>2×2</t>
        </is>
      </c>
      <c r="J720" s="8" t="n">
        <v>4</v>
      </c>
      <c r="K720" s="8" t="n">
        <v>20</v>
      </c>
      <c r="L720" s="8" t="inlineStr">
        <is>
          <t>是</t>
        </is>
      </c>
      <c r="M720" s="9" t="inlineStr">
        <is>
          <t>bazaar；dynamicRandomReward</t>
        </is>
      </c>
      <c r="N720" s="8" t="n">
        <v>1</v>
      </c>
      <c r="O720" s="9" t="inlineStr">
        <is>
          <t>被动效果</t>
        </is>
      </c>
      <c r="P720" s="9" t="inlineStr">
        <is>
          <t>passive</t>
        </is>
      </c>
      <c r="Q720" s="9" t="inlineStr">
        <is>
          <t>被动效果：拥有不少于4件毒属性道具时，护甲层数上限+10；拥有不少于4件毒属性道具时，护甲层数上限+15；拥有不少于4件毒属性道具时，护甲层数上限+20；拥有不少于4件毒属性道具时，护甲层数上限+25</t>
        </is>
      </c>
      <c r="R720" s="9" t="inlineStr"/>
      <c r="S720" s="9" t="inlineStr">
        <is>
          <t>亮背毛下的白锋骨片层叠如背甲，压住气息时沉稳如山。</t>
        </is>
      </c>
      <c r="T720" s="8" t="inlineStr">
        <is>
          <t>implement_baifeng_jinyuan_white_ridge_backplate_2x2</t>
        </is>
      </c>
      <c r="U720" s="8" t="inlineStr">
        <is>
          <t>allowed</t>
        </is>
      </c>
    </row>
    <row r="721" ht="34" customHeight="1">
      <c r="A721" s="8" t="n">
        <v>720</v>
      </c>
      <c r="B721" s="8" t="n">
        <v>412900</v>
      </c>
      <c r="C721" s="8" t="inlineStr">
        <is>
          <t>苍藤鹿角冠</t>
        </is>
      </c>
      <c r="D721" s="8" t="inlineStr">
        <is>
          <t>法器</t>
        </is>
      </c>
      <c r="E721" s="8" t="inlineStr">
        <is>
          <t>implement</t>
        </is>
      </c>
      <c r="F721" s="8" t="inlineStr">
        <is>
          <t>common</t>
        </is>
      </c>
      <c r="G721" s="8" t="inlineStr">
        <is>
          <t>poison</t>
        </is>
      </c>
      <c r="H721" s="8" t="inlineStr">
        <is>
          <t>poison</t>
        </is>
      </c>
      <c r="I721" s="8" t="inlineStr">
        <is>
          <t>1×1</t>
        </is>
      </c>
      <c r="J721" s="8" t="n">
        <v>1</v>
      </c>
      <c r="K721" s="8" t="n">
        <v>25</v>
      </c>
      <c r="L721" s="8" t="inlineStr">
        <is>
          <t>是</t>
        </is>
      </c>
      <c r="M721" s="9" t="inlineStr">
        <is>
          <t>bazaar；dynamicRandomReward</t>
        </is>
      </c>
      <c r="N721" s="8" t="n">
        <v>1</v>
      </c>
      <c r="O721" s="9" t="inlineStr">
        <is>
          <t>被动效果</t>
        </is>
      </c>
      <c r="P721" s="9" t="inlineStr">
        <is>
          <t>passive</t>
        </is>
      </c>
      <c r="Q721" s="9" t="inlineStr">
        <is>
          <t>被动效果：拥有不少于4件毒属性道具时，凝金层数上限+10；拥有不少于4件毒属性道具时，凝金层数上限+15；拥有不少于4件毒属性道具时，凝金层数上限+20；拥有不少于4件毒属性道具时，凝金层数上限+25</t>
        </is>
      </c>
      <c r="R721" s="9" t="inlineStr"/>
      <c r="S721" s="9" t="inlineStr">
        <is>
          <t>苍藤角自然盘成冠形，藤纹间缠着细密鹿角棱。</t>
        </is>
      </c>
      <c r="T721" s="8" t="inlineStr">
        <is>
          <t>implement_cangteng_mulu_vine_antler_crown_1x1</t>
        </is>
      </c>
      <c r="U721" s="8" t="inlineStr">
        <is>
          <t>allowed</t>
        </is>
      </c>
    </row>
    <row r="722" ht="34" customHeight="1">
      <c r="A722" s="8" t="n">
        <v>721</v>
      </c>
      <c r="B722" s="8" t="n">
        <v>412901</v>
      </c>
      <c r="C722" s="8" t="inlineStr">
        <is>
          <t>木鹿藤纹护腕</t>
        </is>
      </c>
      <c r="D722" s="8" t="inlineStr">
        <is>
          <t>法器</t>
        </is>
      </c>
      <c r="E722" s="8" t="inlineStr">
        <is>
          <t>implement</t>
        </is>
      </c>
      <c r="F722" s="8" t="inlineStr">
        <is>
          <t>common</t>
        </is>
      </c>
      <c r="G722" s="8" t="inlineStr">
        <is>
          <t>poison</t>
        </is>
      </c>
      <c r="H722" s="8" t="inlineStr">
        <is>
          <t>poison</t>
        </is>
      </c>
      <c r="I722" s="8" t="inlineStr">
        <is>
          <t>1×1</t>
        </is>
      </c>
      <c r="J722" s="8" t="n">
        <v>1</v>
      </c>
      <c r="K722" s="8" t="n">
        <v>22</v>
      </c>
      <c r="L722" s="8" t="inlineStr">
        <is>
          <t>是</t>
        </is>
      </c>
      <c r="M722" s="9" t="inlineStr">
        <is>
          <t>bazaar；dynamicRandomReward</t>
        </is>
      </c>
      <c r="N722" s="8" t="n">
        <v>1</v>
      </c>
      <c r="O722" s="9" t="inlineStr">
        <is>
          <t>被动效果</t>
        </is>
      </c>
      <c r="P722" s="9" t="inlineStr">
        <is>
          <t>passive</t>
        </is>
      </c>
      <c r="Q722" s="9" t="inlineStr">
        <is>
          <t>被动效果：再生层数上限+5，如果我方中毒，则再生层数上限额外+5；再生层数上限+7，如果我方中毒，则再生层数上限额外+7；再生层数上限+9，如果我方中毒，则再生层数上限额外+9；再生层数上限+11，如果我方中毒，则再生层数上限额外+11</t>
        </is>
      </c>
      <c r="R722" s="9" t="inlineStr"/>
      <c r="S722" s="9" t="inlineStr">
        <is>
          <t>木鹿皮的藤纹沿腕面舒展，柔韧皮层在关节处自然收束。</t>
        </is>
      </c>
      <c r="T722" s="8" t="inlineStr">
        <is>
          <t>implement_cangteng_mulu_vine_hide_bracer_1x1</t>
        </is>
      </c>
      <c r="U722" s="8" t="inlineStr">
        <is>
          <t>allowed</t>
        </is>
      </c>
    </row>
    <row r="723" ht="34" customHeight="1">
      <c r="A723" s="8" t="n">
        <v>722</v>
      </c>
      <c r="B723" s="8" t="n">
        <v>412902</v>
      </c>
      <c r="C723" s="8" t="inlineStr">
        <is>
          <t>青蹄踏苔靴</t>
        </is>
      </c>
      <c r="D723" s="8" t="inlineStr">
        <is>
          <t>法器</t>
        </is>
      </c>
      <c r="E723" s="8" t="inlineStr">
        <is>
          <t>implement</t>
        </is>
      </c>
      <c r="F723" s="8" t="inlineStr">
        <is>
          <t>common</t>
        </is>
      </c>
      <c r="G723" s="8" t="inlineStr">
        <is>
          <t>poison</t>
        </is>
      </c>
      <c r="H723" s="8" t="inlineStr">
        <is>
          <t>poison</t>
        </is>
      </c>
      <c r="I723" s="8" t="inlineStr">
        <is>
          <t>1×2</t>
        </is>
      </c>
      <c r="J723" s="8" t="n">
        <v>2</v>
      </c>
      <c r="K723" s="8" t="n">
        <v>30</v>
      </c>
      <c r="L723" s="8" t="inlineStr">
        <is>
          <t>是</t>
        </is>
      </c>
      <c r="M723" s="9" t="inlineStr">
        <is>
          <t>bazaar；dynamicRandomReward</t>
        </is>
      </c>
      <c r="N723" s="8" t="n">
        <v>1</v>
      </c>
      <c r="O723" s="9" t="inlineStr">
        <is>
          <t>条件触发</t>
        </is>
      </c>
      <c r="P723" s="9" t="inlineStr">
        <is>
          <t>triggered</t>
        </is>
      </c>
      <c r="Q723" s="9" t="inlineStr">
        <is>
          <t>条件触发：我方获得中毒时，获得 2 层敏捷；我方获得中毒时，获得 3 层敏捷；我方获得中毒时，获得 4 层敏捷；我方获得中毒时，获得 6 层敏捷</t>
        </is>
      </c>
      <c r="R723" s="9" t="inlineStr"/>
      <c r="S723" s="9" t="inlineStr">
        <is>
          <t>青蹄骨片贴合成靴底，踏过苔面时留下浅浅湿痕。</t>
        </is>
      </c>
      <c r="T723" s="8" t="inlineStr">
        <is>
          <t>implement_cangteng_mulu_green_hoof_moss_boot_1x2</t>
        </is>
      </c>
      <c r="U723" s="8" t="inlineStr">
        <is>
          <t>allowed</t>
        </is>
      </c>
    </row>
    <row r="724" ht="34" customHeight="1">
      <c r="A724" s="8" t="n">
        <v>723</v>
      </c>
      <c r="B724" s="8" t="n">
        <v>412903</v>
      </c>
      <c r="C724" s="8" t="inlineStr">
        <is>
          <t>嫩藤髓杖</t>
        </is>
      </c>
      <c r="D724" s="8" t="inlineStr">
        <is>
          <t>法器</t>
        </is>
      </c>
      <c r="E724" s="8" t="inlineStr">
        <is>
          <t>implement</t>
        </is>
      </c>
      <c r="F724" s="8" t="inlineStr">
        <is>
          <t>common</t>
        </is>
      </c>
      <c r="G724" s="8" t="inlineStr">
        <is>
          <t>木</t>
        </is>
      </c>
      <c r="H724" s="8" t="inlineStr">
        <is>
          <t>wood</t>
        </is>
      </c>
      <c r="I724" s="8" t="inlineStr">
        <is>
          <t>2×1</t>
        </is>
      </c>
      <c r="J724" s="8" t="n">
        <v>2</v>
      </c>
      <c r="K724" s="8" t="n">
        <v>40</v>
      </c>
      <c r="L724" s="8" t="inlineStr">
        <is>
          <t>是</t>
        </is>
      </c>
      <c r="M724" s="9" t="inlineStr">
        <is>
          <t>bazaar；dynamicRandomReward</t>
        </is>
      </c>
      <c r="N724" s="8" t="n">
        <v>1</v>
      </c>
      <c r="O724" s="9" t="inlineStr">
        <is>
          <t>说明/执行器</t>
        </is>
      </c>
      <c r="P724" s="9" t="inlineStr">
        <is>
          <t>effectNote</t>
        </is>
      </c>
      <c r="Q724" s="9" t="inlineStr">
        <is>
          <t>说明/执行器：所有木属性招式释放时，获得1层再生，每当境界突破时，如果此道具在储物袋内，获得再生数量永久+1；再生获得量</t>
        </is>
      </c>
      <c r="R724" s="9" t="inlineStr"/>
      <c r="S724" s="9" t="inlineStr">
        <is>
          <t>嫩藤髓杖的青脉还带着新折的水意，杖心轻颤时，藤节间会泛起柔和的木灵光。</t>
        </is>
      </c>
      <c r="T724" s="8" t="inlineStr">
        <is>
          <t>implement_cangteng_mulu_tender_vine_pith_staff_2x1</t>
        </is>
      </c>
      <c r="U724" s="8" t="inlineStr">
        <is>
          <t>allowed</t>
        </is>
      </c>
    </row>
    <row r="725" ht="34" customHeight="1">
      <c r="A725" s="8" t="n">
        <v>724</v>
      </c>
      <c r="B725" s="8" t="n">
        <v>413000</v>
      </c>
      <c r="C725" s="8" t="inlineStr">
        <is>
          <t>焦羽火扇</t>
        </is>
      </c>
      <c r="D725" s="8" t="inlineStr">
        <is>
          <t>法器</t>
        </is>
      </c>
      <c r="E725" s="8" t="inlineStr">
        <is>
          <t>implement</t>
        </is>
      </c>
      <c r="F725" s="8" t="inlineStr">
        <is>
          <t>common</t>
        </is>
      </c>
      <c r="G725" s="8" t="inlineStr">
        <is>
          <t>poison</t>
        </is>
      </c>
      <c r="H725" s="8" t="inlineStr">
        <is>
          <t>poison</t>
        </is>
      </c>
      <c r="I725" s="8" t="inlineStr">
        <is>
          <t>1×2</t>
        </is>
      </c>
      <c r="J725" s="8" t="n">
        <v>2</v>
      </c>
      <c r="K725" s="8" t="n">
        <v>25</v>
      </c>
      <c r="L725" s="8" t="inlineStr">
        <is>
          <t>是</t>
        </is>
      </c>
      <c r="M725" s="9" t="inlineStr">
        <is>
          <t>bazaar；dynamicRandomReward</t>
        </is>
      </c>
      <c r="N725" s="8" t="n">
        <v>1</v>
      </c>
      <c r="O725" s="9" t="inlineStr">
        <is>
          <t>周期触发</t>
        </is>
      </c>
      <c r="P725" s="9" t="inlineStr">
        <is>
          <t>periodicPulse</t>
        </is>
      </c>
      <c r="Q725" s="9" t="inlineStr">
        <is>
          <t>周期触发：消耗20点法力和5层炎热，对敌方施加12层灼烧；消耗5层炎热；对敌方施加12层灼烧</t>
        </is>
      </c>
      <c r="R725" s="9" t="inlineStr"/>
      <c r="S725" s="9" t="inlineStr">
        <is>
          <t>焦羽火扇的羽梢残留着炎热焦痕，扇动时散出一缕辛烈的焦毒。</t>
        </is>
      </c>
      <c r="T725" s="8" t="inlineStr">
        <is>
          <t>implement_chihui_huoya_charred_feather_fire_fan_1x2</t>
        </is>
      </c>
      <c r="U725" s="8" t="inlineStr">
        <is>
          <t>allowed</t>
        </is>
      </c>
    </row>
    <row r="726" ht="34" customHeight="1">
      <c r="A726" s="8" t="n">
        <v>725</v>
      </c>
      <c r="B726" s="8" t="n">
        <v>413001</v>
      </c>
      <c r="C726" s="8" t="inlineStr">
        <is>
          <t>赤喙啄火钺</t>
        </is>
      </c>
      <c r="D726" s="8" t="inlineStr">
        <is>
          <t>法器</t>
        </is>
      </c>
      <c r="E726" s="8" t="inlineStr">
        <is>
          <t>implement</t>
        </is>
      </c>
      <c r="F726" s="8" t="inlineStr">
        <is>
          <t>common</t>
        </is>
      </c>
      <c r="G726" s="8" t="inlineStr">
        <is>
          <t>poison</t>
        </is>
      </c>
      <c r="H726" s="8" t="inlineStr">
        <is>
          <t>poison</t>
        </is>
      </c>
      <c r="I726" s="8" t="inlineStr">
        <is>
          <t>2×1</t>
        </is>
      </c>
      <c r="J726" s="8" t="n">
        <v>2</v>
      </c>
      <c r="K726" s="8" t="n">
        <v>28</v>
      </c>
      <c r="L726" s="8" t="inlineStr">
        <is>
          <t>是</t>
        </is>
      </c>
      <c r="M726" s="9" t="inlineStr">
        <is>
          <t>bazaar；dynamicRandomReward</t>
        </is>
      </c>
      <c r="N726" s="8" t="n">
        <v>1</v>
      </c>
      <c r="O726" s="9" t="inlineStr">
        <is>
          <t>周期触发</t>
        </is>
      </c>
      <c r="P726" s="9" t="inlineStr">
        <is>
          <t>periodicPulse</t>
        </is>
      </c>
      <c r="Q726" s="9" t="inlineStr">
        <is>
          <t>周期触发：消耗10层炎热，使敌方的中毒立即触发一次；消耗10层炎热；使敌方的中毒立即触发一次</t>
        </is>
      </c>
      <c r="R726" s="9" t="inlineStr"/>
      <c r="S726" s="9" t="inlineStr">
        <is>
          <t>赤喙啄火钺的钺尖如鸟喙，啄入伤口时带出灼喉的腥毒。</t>
        </is>
      </c>
      <c r="T726" s="8" t="inlineStr">
        <is>
          <t>implement_chihui_huoya_red_beak_firepick_axe_2x1</t>
        </is>
      </c>
      <c r="U726" s="8" t="inlineStr">
        <is>
          <t>allowed</t>
        </is>
      </c>
    </row>
    <row r="727" ht="34" customHeight="1">
      <c r="A727" s="8" t="n">
        <v>726</v>
      </c>
      <c r="B727" s="8" t="n">
        <v>413002</v>
      </c>
      <c r="C727" s="8" t="inlineStr">
        <is>
          <t>火鸦爪戒</t>
        </is>
      </c>
      <c r="D727" s="8" t="inlineStr">
        <is>
          <t>法器</t>
        </is>
      </c>
      <c r="E727" s="8" t="inlineStr">
        <is>
          <t>implement</t>
        </is>
      </c>
      <c r="F727" s="8" t="inlineStr">
        <is>
          <t>common</t>
        </is>
      </c>
      <c r="G727" s="8" t="inlineStr">
        <is>
          <t>poison</t>
        </is>
      </c>
      <c r="H727" s="8" t="inlineStr">
        <is>
          <t>poison</t>
        </is>
      </c>
      <c r="I727" s="8" t="inlineStr">
        <is>
          <t>1×1</t>
        </is>
      </c>
      <c r="J727" s="8" t="n">
        <v>1</v>
      </c>
      <c r="K727" s="8" t="n">
        <v>26</v>
      </c>
      <c r="L727" s="8" t="inlineStr">
        <is>
          <t>是</t>
        </is>
      </c>
      <c r="M727" s="9" t="inlineStr">
        <is>
          <t>bazaar；dynamicRandomReward</t>
        </is>
      </c>
      <c r="N727" s="8" t="n">
        <v>1</v>
      </c>
      <c r="O727" s="9" t="inlineStr">
        <is>
          <t>周期触发</t>
        </is>
      </c>
      <c r="P727" s="9" t="inlineStr">
        <is>
          <t>periodicPulse</t>
        </is>
      </c>
      <c r="Q727" s="9" t="inlineStr">
        <is>
          <t>周期触发：如果敌方中毒不少于20层，我方获得 5 层炎热；如果敌方中毒不少于20层，我方获得 10 层炎热；如果敌方中毒不少于20层，我方获得 15 层炎热；如果敌方中毒不少于20层，我方获得 20 层炎热</t>
        </is>
      </c>
      <c r="R727" s="9" t="inlineStr"/>
      <c r="S727" s="9" t="inlineStr">
        <is>
          <t>火鸦爪戒缠着三枚弯爪，灼黑爪痕里凝着会随血气发作的鸦毒。</t>
        </is>
      </c>
      <c r="T727" s="8" t="inlineStr">
        <is>
          <t>implement_chihui_huoya_fire_talon_ring_1x1</t>
        </is>
      </c>
      <c r="U727" s="8" t="inlineStr">
        <is>
          <t>allowed</t>
        </is>
      </c>
    </row>
    <row r="728" ht="34" customHeight="1">
      <c r="A728" s="8" t="n">
        <v>727</v>
      </c>
      <c r="B728" s="8" t="n">
        <v>413003</v>
      </c>
      <c r="C728" s="8" t="inlineStr">
        <is>
          <t>灼喉焰炉</t>
        </is>
      </c>
      <c r="D728" s="8" t="inlineStr">
        <is>
          <t>法器</t>
        </is>
      </c>
      <c r="E728" s="8" t="inlineStr">
        <is>
          <t>implement</t>
        </is>
      </c>
      <c r="F728" s="8" t="inlineStr">
        <is>
          <t>common</t>
        </is>
      </c>
      <c r="G728" s="8" t="inlineStr">
        <is>
          <t>poison</t>
        </is>
      </c>
      <c r="H728" s="8" t="inlineStr">
        <is>
          <t>poison</t>
        </is>
      </c>
      <c r="I728" s="8" t="inlineStr">
        <is>
          <t>2×2</t>
        </is>
      </c>
      <c r="J728" s="8" t="n">
        <v>4</v>
      </c>
      <c r="K728" s="8" t="n">
        <v>33</v>
      </c>
      <c r="L728" s="8" t="inlineStr">
        <is>
          <t>是</t>
        </is>
      </c>
      <c r="M728" s="9" t="inlineStr">
        <is>
          <t>bazaar；dynamicRandomReward</t>
        </is>
      </c>
      <c r="N728" s="8" t="n">
        <v>1</v>
      </c>
      <c r="O728" s="9" t="inlineStr">
        <is>
          <t>条件触发</t>
        </is>
      </c>
      <c r="P728" s="9" t="inlineStr">
        <is>
          <t>triggered</t>
        </is>
      </c>
      <c r="Q728" s="9" t="inlineStr">
        <is>
          <t>条件触发：我方其他法器使敌方消耗中毒时，对其施加 8 层灼烧；我方其他法器使敌方消耗中毒时，对其施加 12 层灼烧；我方其他法器使敌方消耗中毒时，对其施加 16 层灼烧；我方其他法器使敌方消耗中毒时，对其施加 20 层灼烧</t>
        </is>
      </c>
      <c r="R728" s="9" t="inlineStr"/>
      <c r="S728" s="9" t="inlineStr">
        <is>
          <t>灼喉焰炉封着一团暗红火囊，炉口吐出的热息混着灼喉毒烟。</t>
        </is>
      </c>
      <c r="T728" s="8" t="inlineStr">
        <is>
          <t>implement_chihui_huoya_scorched_throat_flame_brazier_2x2</t>
        </is>
      </c>
      <c r="U728" s="8" t="inlineStr">
        <is>
          <t>allowed</t>
        </is>
      </c>
    </row>
    <row r="729" ht="34" customHeight="1">
      <c r="A729" s="8" t="n">
        <v>728</v>
      </c>
      <c r="B729" s="8" t="n">
        <v>413100</v>
      </c>
      <c r="C729" s="8" t="inlineStr">
        <is>
          <t>溪尾逐浪鞭</t>
        </is>
      </c>
      <c r="D729" s="8" t="inlineStr">
        <is>
          <t>法器</t>
        </is>
      </c>
      <c r="E729" s="8" t="inlineStr">
        <is>
          <t>implement</t>
        </is>
      </c>
      <c r="F729" s="8" t="inlineStr">
        <is>
          <t>common</t>
        </is>
      </c>
      <c r="G729" s="8" t="inlineStr">
        <is>
          <t>冰</t>
        </is>
      </c>
      <c r="H729" s="8" t="inlineStr">
        <is>
          <t>ice</t>
        </is>
      </c>
      <c r="I729" s="8" t="inlineStr">
        <is>
          <t>1×3</t>
        </is>
      </c>
      <c r="J729" s="8" t="n">
        <v>3</v>
      </c>
      <c r="K729" s="8" t="n">
        <v>16</v>
      </c>
      <c r="L729" s="8" t="inlineStr">
        <is>
          <t>是</t>
        </is>
      </c>
      <c r="M729" s="9" t="inlineStr">
        <is>
          <t>bazaar；dynamicRandomReward</t>
        </is>
      </c>
      <c r="N729" s="8" t="n">
        <v>1</v>
      </c>
      <c r="O729" s="9" t="inlineStr">
        <is>
          <t>周期触发</t>
        </is>
      </c>
      <c r="P729" s="9" t="inlineStr">
        <is>
          <t>periodicPulse</t>
        </is>
      </c>
      <c r="Q729" s="9" t="inlineStr">
        <is>
          <t>周期触发：下方相邻有冰或水属性法器时，获得 3 层寒冷，触发后效果升级；寒冷获得层数</t>
        </is>
      </c>
      <c r="R729" s="9" t="inlineStr"/>
      <c r="S729" s="9" t="inlineStr">
        <is>
          <t>溪尾逐浪鞭仍带着溪水的寒意，鞭梢划过时结出细碎冰纹。</t>
        </is>
      </c>
      <c r="T729" s="8" t="inlineStr">
        <is>
          <t>implement_qinglin_xixi_stream_tail_wavechasing_whip_1x3</t>
        </is>
      </c>
      <c r="U729" s="8" t="inlineStr">
        <is>
          <t>allowed</t>
        </is>
      </c>
    </row>
    <row r="730" ht="34" customHeight="1">
      <c r="A730" s="8" t="n">
        <v>729</v>
      </c>
      <c r="B730" s="8" t="n">
        <v>413101</v>
      </c>
      <c r="C730" s="8" t="inlineStr">
        <is>
          <t>青鳞避水佩</t>
        </is>
      </c>
      <c r="D730" s="8" t="inlineStr">
        <is>
          <t>法器</t>
        </is>
      </c>
      <c r="E730" s="8" t="inlineStr">
        <is>
          <t>implement</t>
        </is>
      </c>
      <c r="F730" s="8" t="inlineStr">
        <is>
          <t>common</t>
        </is>
      </c>
      <c r="G730" s="8" t="inlineStr">
        <is>
          <t>冰</t>
        </is>
      </c>
      <c r="H730" s="8" t="inlineStr">
        <is>
          <t>ice</t>
        </is>
      </c>
      <c r="I730" s="8" t="inlineStr">
        <is>
          <t>1×1</t>
        </is>
      </c>
      <c r="J730" s="8" t="n">
        <v>1</v>
      </c>
      <c r="K730" s="8" t="n">
        <v>50</v>
      </c>
      <c r="L730" s="8" t="inlineStr">
        <is>
          <t>是</t>
        </is>
      </c>
      <c r="M730" s="9" t="inlineStr">
        <is>
          <t>bazaar；dynamicRandomReward</t>
        </is>
      </c>
      <c r="N730" s="8" t="n">
        <v>1</v>
      </c>
      <c r="O730" s="9" t="inlineStr">
        <is>
          <t>条件触发</t>
        </is>
      </c>
      <c r="P730" s="9" t="inlineStr">
        <is>
          <t>triggered</t>
        </is>
      </c>
      <c r="Q730" s="9" t="inlineStr">
        <is>
          <t>条件触发：每次受到的乱流层数-1；每次受到的乱流层数-2；每次受到的乱流层数-3；每次受到的乱流层数-4</t>
        </is>
      </c>
      <c r="R730" s="9" t="inlineStr"/>
      <c r="S730" s="9" t="inlineStr">
        <is>
          <t>青鳞避水佩层层鳞光如凝水成冰，贴身时将清寒沉入经脉。</t>
        </is>
      </c>
      <c r="T730" s="8" t="inlineStr">
        <is>
          <t>implement_qinglin_xixi_green_scale_waterward_pendant_1x1</t>
        </is>
      </c>
      <c r="U730" s="8" t="inlineStr">
        <is>
          <t>allowed</t>
        </is>
      </c>
    </row>
    <row r="731" ht="34" customHeight="1">
      <c r="A731" s="8" t="n">
        <v>730</v>
      </c>
      <c r="B731" s="8" t="n">
        <v>413102</v>
      </c>
      <c r="C731" s="8" t="inlineStr">
        <is>
          <t>湿爪踏石钩</t>
        </is>
      </c>
      <c r="D731" s="8" t="inlineStr">
        <is>
          <t>法器</t>
        </is>
      </c>
      <c r="E731" s="8" t="inlineStr">
        <is>
          <t>implement</t>
        </is>
      </c>
      <c r="F731" s="8" t="inlineStr">
        <is>
          <t>common</t>
        </is>
      </c>
      <c r="G731" s="8" t="inlineStr">
        <is>
          <t>冰</t>
        </is>
      </c>
      <c r="H731" s="8" t="inlineStr">
        <is>
          <t>ice</t>
        </is>
      </c>
      <c r="I731" s="8" t="inlineStr">
        <is>
          <t>1×1</t>
        </is>
      </c>
      <c r="J731" s="8" t="n">
        <v>1</v>
      </c>
      <c r="K731" s="8" t="n">
        <v>10</v>
      </c>
      <c r="L731" s="8" t="inlineStr">
        <is>
          <t>是</t>
        </is>
      </c>
      <c r="M731" s="9" t="inlineStr">
        <is>
          <t>bazaar；dynamicRandomReward</t>
        </is>
      </c>
      <c r="N731" s="8" t="n">
        <v>1</v>
      </c>
      <c r="O731" s="9" t="inlineStr">
        <is>
          <t>周期触发</t>
        </is>
      </c>
      <c r="P731" s="9" t="inlineStr">
        <is>
          <t>periodicPulse</t>
        </is>
      </c>
      <c r="Q731" s="9" t="inlineStr">
        <is>
          <t>周期触发：敌方有乱流时，对其施加 1 层冰霜；敌方有乱流时，对其施加 2 层冰霜；敌方有乱流时，对其施加 3 层冰霜；敌方有乱流时，对其施加 4 层冰霜</t>
        </is>
      </c>
      <c r="R731" s="9" t="inlineStr"/>
      <c r="S731" s="9" t="inlineStr">
        <is>
          <t>湿爪踏石钩的爪尖总挂着不化寒霜，扣住石面时留下一线冷白霜痕。</t>
        </is>
      </c>
      <c r="T731" s="8" t="inlineStr">
        <is>
          <t>implement_qinglin_xixi_wet_claw_stonehook_1x1</t>
        </is>
      </c>
      <c r="U731" s="8" t="inlineStr">
        <is>
          <t>allowed</t>
        </is>
      </c>
    </row>
    <row r="732" ht="34" customHeight="1">
      <c r="A732" s="8" t="n">
        <v>731</v>
      </c>
      <c r="B732" s="8" t="n">
        <v>413300</v>
      </c>
      <c r="C732" s="8" t="inlineStr">
        <is>
          <t>灵狸绒耳镇纹器</t>
        </is>
      </c>
      <c r="D732" s="8" t="inlineStr">
        <is>
          <t>法器</t>
        </is>
      </c>
      <c r="E732" s="8" t="inlineStr">
        <is>
          <t>implement</t>
        </is>
      </c>
      <c r="F732" s="8" t="inlineStr">
        <is>
          <t>spirit</t>
        </is>
      </c>
      <c r="G732" s="8" t="inlineStr">
        <is>
          <t>金</t>
        </is>
      </c>
      <c r="H732" s="8" t="inlineStr">
        <is>
          <t>metal</t>
        </is>
      </c>
      <c r="I732" s="8" t="inlineStr">
        <is>
          <t>1×1</t>
        </is>
      </c>
      <c r="J732" s="8" t="n">
        <v>1</v>
      </c>
      <c r="K732" s="8" t="n">
        <v>100</v>
      </c>
      <c r="L732" s="8" t="inlineStr">
        <is>
          <t>是</t>
        </is>
      </c>
      <c r="M732" s="9" t="inlineStr"/>
      <c r="N732" s="8" t="n">
        <v>2</v>
      </c>
      <c r="O732" s="9" t="inlineStr">
        <is>
          <t>周期触发；被动效果</t>
        </is>
      </c>
      <c r="P732" s="9" t="inlineStr">
        <is>
          <t>periodicPulse；passive</t>
        </is>
      </c>
      <c r="Q732" s="9" t="inlineStr">
        <is>
          <t>周期触发：开局：每有 1 件 1×1 型道具，获得 4 层凝金，最多计算 4 件。；开局：每有 1 件 1×1 型道具，获得 6 层凝金，最多计算 4 件。；开局：每有 1 件 1×1 型道具，获得 8 层凝金，最多计算 4 件。；开局：每有 1 件 1×1 型道具，获得 10 层凝金，最多计算 4 件。 | 被动效果：凝金层数上限 +5；凝金层数上限 +10；凝金层数上限 +15；凝金层数上限 +20</t>
        </is>
      </c>
      <c r="R732" s="9" t="inlineStr"/>
      <c r="S732" s="9" t="inlineStr">
        <is>
          <t>晨曦下的灵狸耳尖渗着凝露，银绒沾湿后缠入云缕金的器骨，留下微咸潮汐的气息。</t>
        </is>
      </c>
      <c r="T732" s="8" t="inlineStr">
        <is>
          <t>implement_biwei_li_spirit_raccoon_ear_tuft_core_1x1</t>
        </is>
      </c>
      <c r="U732" s="8" t="inlineStr">
        <is>
          <t>allowed</t>
        </is>
      </c>
    </row>
    <row r="733" ht="34" customHeight="1">
      <c r="A733" s="8" t="n">
        <v>732</v>
      </c>
      <c r="B733" s="8" t="n">
        <v>413301</v>
      </c>
      <c r="C733" s="8" t="inlineStr">
        <is>
          <t>灵狸绒耳灵枢匣</t>
        </is>
      </c>
      <c r="D733" s="8" t="inlineStr">
        <is>
          <t>法器</t>
        </is>
      </c>
      <c r="E733" s="8" t="inlineStr">
        <is>
          <t>implement</t>
        </is>
      </c>
      <c r="F733" s="8" t="inlineStr">
        <is>
          <t>spirit</t>
        </is>
      </c>
      <c r="G733" s="8" t="inlineStr">
        <is>
          <t>金</t>
        </is>
      </c>
      <c r="H733" s="8" t="inlineStr">
        <is>
          <t>metal</t>
        </is>
      </c>
      <c r="I733" s="8" t="inlineStr">
        <is>
          <t>1×1</t>
        </is>
      </c>
      <c r="J733" s="8" t="n">
        <v>1</v>
      </c>
      <c r="K733" s="8" t="n">
        <v>100</v>
      </c>
      <c r="L733" s="8" t="inlineStr">
        <is>
          <t>是</t>
        </is>
      </c>
      <c r="M733" s="9" t="inlineStr"/>
      <c r="N733" s="8" t="n">
        <v>1</v>
      </c>
      <c r="O733" s="9" t="inlineStr">
        <is>
          <t>条件触发</t>
        </is>
      </c>
      <c r="P733" s="9" t="inlineStr">
        <is>
          <t>triggered</t>
        </is>
      </c>
      <c r="Q733" s="9" t="inlineStr">
        <is>
          <t>条件触发：相邻的 2×2 型道具使用时，获得 2 层凝金；相邻的 2×2 型道具使用时，获得 4 层凝金；相邻的 2×2 型道具使用时，获得 6 层凝金；相邻的 2×2 型道具使用时，获得 8 层凝金</t>
        </is>
      </c>
      <c r="R733" s="9" t="inlineStr"/>
      <c r="S733" s="9" t="inlineStr">
        <is>
          <t>这件金属小匣的雕花表面，每逢落雨便会浮现赤狸虚影，是工匠当年用三味真火淬炼时渗入的天生灵韵。</t>
        </is>
      </c>
      <c r="T733" s="8" t="inlineStr">
        <is>
          <t>implement_biwei_li_spirit_raccoon_ear_tuft_seal_1x1</t>
        </is>
      </c>
      <c r="U733" s="8" t="inlineStr">
        <is>
          <t>allowed</t>
        </is>
      </c>
    </row>
    <row r="734" ht="34" customHeight="1">
      <c r="A734" s="8" t="n">
        <v>733</v>
      </c>
      <c r="B734" s="8" t="n">
        <v>413302</v>
      </c>
      <c r="C734" s="8" t="inlineStr">
        <is>
          <t>漆盒墨饼镇纹器</t>
        </is>
      </c>
      <c r="D734" s="8" t="inlineStr">
        <is>
          <t>法器</t>
        </is>
      </c>
      <c r="E734" s="8" t="inlineStr">
        <is>
          <t>implement</t>
        </is>
      </c>
      <c r="F734" s="8" t="inlineStr">
        <is>
          <t>spirit</t>
        </is>
      </c>
      <c r="G734" s="8" t="inlineStr">
        <is>
          <t>土</t>
        </is>
      </c>
      <c r="H734" s="8" t="inlineStr">
        <is>
          <t>earth</t>
        </is>
      </c>
      <c r="I734" s="8" t="inlineStr">
        <is>
          <t>1×1</t>
        </is>
      </c>
      <c r="J734" s="8" t="n">
        <v>1</v>
      </c>
      <c r="K734" s="8" t="n">
        <v>100</v>
      </c>
      <c r="L734" s="8" t="inlineStr">
        <is>
          <t>是</t>
        </is>
      </c>
      <c r="M734" s="9" t="inlineStr"/>
      <c r="N734" s="8" t="n">
        <v>1</v>
      </c>
      <c r="O734" s="9" t="inlineStr">
        <is>
          <t>周期触发</t>
        </is>
      </c>
      <c r="P734" s="9" t="inlineStr">
        <is>
          <t>periodicPulse</t>
        </is>
      </c>
      <c r="Q734" s="9" t="inlineStr">
        <is>
          <t>周期触发：未接触储物袋边缘时，获得 10 层蓄势；未接触储物袋边缘时，获得 16 层蓄势；未接触储物袋边缘时，获得 20 层蓄势；未接触储物袋边缘时，获得 26 层蓄势</t>
        </is>
      </c>
      <c r="R734" s="9" t="inlineStr"/>
      <c r="S734" s="9" t="inlineStr">
        <is>
          <t>漆盒墨饼是某位书妖筑基时褪下的灵蜕，被坊间匠人拾去炼成此器。</t>
        </is>
      </c>
      <c r="T734" s="8" t="inlineStr">
        <is>
          <t>implement_biwei_li_lacquered_ink_cake_core_1x1</t>
        </is>
      </c>
      <c r="U734" s="8" t="inlineStr">
        <is>
          <t>allowed</t>
        </is>
      </c>
    </row>
    <row r="735" ht="34" customHeight="1">
      <c r="A735" s="8" t="n">
        <v>734</v>
      </c>
      <c r="B735" s="8" t="n">
        <v>413303</v>
      </c>
      <c r="C735" s="8" t="inlineStr">
        <is>
          <t>漆盒墨饼灵枢匣</t>
        </is>
      </c>
      <c r="D735" s="8" t="inlineStr">
        <is>
          <t>法器</t>
        </is>
      </c>
      <c r="E735" s="8" t="inlineStr">
        <is>
          <t>implement</t>
        </is>
      </c>
      <c r="F735" s="8" t="inlineStr">
        <is>
          <t>spirit</t>
        </is>
      </c>
      <c r="G735" s="8" t="inlineStr">
        <is>
          <t>土</t>
        </is>
      </c>
      <c r="H735" s="8" t="inlineStr">
        <is>
          <t>earth</t>
        </is>
      </c>
      <c r="I735" s="8" t="inlineStr">
        <is>
          <t>1×1</t>
        </is>
      </c>
      <c r="J735" s="8" t="n">
        <v>1</v>
      </c>
      <c r="K735" s="8" t="n">
        <v>100</v>
      </c>
      <c r="L735" s="8" t="inlineStr">
        <is>
          <t>是</t>
        </is>
      </c>
      <c r="M735" s="9" t="inlineStr"/>
      <c r="N735" s="8" t="n">
        <v>1</v>
      </c>
      <c r="O735" s="9" t="inlineStr">
        <is>
          <t>条件触发</t>
        </is>
      </c>
      <c r="P735" s="9" t="inlineStr">
        <is>
          <t>triggered</t>
        </is>
      </c>
      <c r="Q735" s="9" t="inlineStr">
        <is>
          <t>条件触发：相邻法器使我方获得蓄势时，获得 10 层护甲；相邻法器使我方获得蓄势时，获得 16 层护甲；相邻法器使我方获得蓄势时，获得 20 层护甲；相邻法器使我方获得蓄势时，获得 26 层护甲</t>
        </is>
      </c>
      <c r="R735" s="9" t="inlineStr"/>
      <c r="S735" s="9" t="inlineStr">
        <is>
          <t>启匣时，乌木传来旧宣纸受潮的草木青气，匣底残留着前代修士以灵墨写就的符咒残影。</t>
        </is>
      </c>
      <c r="T735" s="8" t="inlineStr">
        <is>
          <t>implement_biwei_li_lacquered_ink_cake_seal_1x1</t>
        </is>
      </c>
      <c r="U735" s="8" t="inlineStr">
        <is>
          <t>allowed</t>
        </is>
      </c>
    </row>
    <row r="736" ht="34" customHeight="1">
      <c r="A736" s="8" t="n">
        <v>735</v>
      </c>
      <c r="B736" s="8" t="n">
        <v>413304</v>
      </c>
      <c r="C736" s="8" t="inlineStr">
        <is>
          <t>狸背墨囊镇纹器</t>
        </is>
      </c>
      <c r="D736" s="8" t="inlineStr">
        <is>
          <t>法器</t>
        </is>
      </c>
      <c r="E736" s="8" t="inlineStr">
        <is>
          <t>implement</t>
        </is>
      </c>
      <c r="F736" s="8" t="inlineStr">
        <is>
          <t>spirit</t>
        </is>
      </c>
      <c r="G736" s="8" t="inlineStr">
        <is>
          <t>木</t>
        </is>
      </c>
      <c r="H736" s="8" t="inlineStr">
        <is>
          <t>wood</t>
        </is>
      </c>
      <c r="I736" s="8" t="inlineStr">
        <is>
          <t>2×1</t>
        </is>
      </c>
      <c r="J736" s="8" t="n">
        <v>2</v>
      </c>
      <c r="K736" s="8" t="n">
        <v>100</v>
      </c>
      <c r="L736" s="8" t="inlineStr">
        <is>
          <t>是</t>
        </is>
      </c>
      <c r="M736" s="9" t="inlineStr"/>
      <c r="N736" s="8" t="n">
        <v>1</v>
      </c>
      <c r="O736" s="9" t="inlineStr">
        <is>
          <t>周期触发</t>
        </is>
      </c>
      <c r="P736" s="9" t="inlineStr">
        <is>
          <t>periodicPulse</t>
        </is>
      </c>
      <c r="Q736" s="9" t="inlineStr">
        <is>
          <t>周期触发：位于储物袋底部时，最多将 50 层再生转化为等量露水；位于储物袋底部时，最多将 60 层再生转化为等量露水；位于储物袋底部时，最多将 70 层再生转化为等量露水；位于储物袋底部时，最多将 80 层再生转化为等量露水</t>
        </is>
      </c>
      <c r="R736" s="9" t="inlineStr"/>
      <c r="S736" s="9" t="inlineStr">
        <is>
          <t>墨囊内里残留着一道道狸族特有的经脉纹路，触之仍有细密弹性。</t>
        </is>
      </c>
      <c r="T736" s="8" t="inlineStr">
        <is>
          <t>implement_biwei_li_back_ink_pouch_core_2x1</t>
        </is>
      </c>
      <c r="U736" s="8" t="inlineStr">
        <is>
          <t>allowed</t>
        </is>
      </c>
    </row>
    <row r="737" ht="34" customHeight="1">
      <c r="A737" s="8" t="n">
        <v>736</v>
      </c>
      <c r="B737" s="8" t="n">
        <v>413305</v>
      </c>
      <c r="C737" s="8" t="inlineStr">
        <is>
          <t>狸背墨囊灵枢匣</t>
        </is>
      </c>
      <c r="D737" s="8" t="inlineStr">
        <is>
          <t>法器</t>
        </is>
      </c>
      <c r="E737" s="8" t="inlineStr">
        <is>
          <t>implement</t>
        </is>
      </c>
      <c r="F737" s="8" t="inlineStr">
        <is>
          <t>spirit</t>
        </is>
      </c>
      <c r="G737" s="8" t="inlineStr">
        <is>
          <t>木</t>
        </is>
      </c>
      <c r="H737" s="8" t="inlineStr">
        <is>
          <t>wood</t>
        </is>
      </c>
      <c r="I737" s="8" t="inlineStr">
        <is>
          <t>2×1</t>
        </is>
      </c>
      <c r="J737" s="8" t="n">
        <v>2</v>
      </c>
      <c r="K737" s="8" t="n">
        <v>100</v>
      </c>
      <c r="L737" s="8" t="inlineStr">
        <is>
          <t>是</t>
        </is>
      </c>
      <c r="M737" s="9" t="inlineStr"/>
      <c r="N737" s="8" t="n">
        <v>1</v>
      </c>
      <c r="O737" s="9" t="inlineStr">
        <is>
          <t>条件触发</t>
        </is>
      </c>
      <c r="P737" s="9" t="inlineStr">
        <is>
          <t>triggered</t>
        </is>
      </c>
      <c r="Q737" s="9" t="inlineStr">
        <is>
          <t>条件触发：相邻符箓耗尽时，将 15 层再生转化为 45 点法力；再生不足时不生效；相邻符箓耗尽时，将 20 层再生转化为 60 点法力；再生不足时不生效；相邻符箓耗尽时，将 25 层再生转化为 75 点法力；再生不足时不生效；相邻符箓耗尽时，将 30 层再生转化为 90 点法力；再生不足时不生效</t>
        </is>
      </c>
      <c r="R737" s="9" t="inlineStr"/>
      <c r="S737" s="9" t="inlineStr">
        <is>
          <t>隔着墨囊匣薄透的骨壁望进去，墨丝在静止时也会随微弱灵脉轻颤，簌簌如夜雨落在叶面间。</t>
        </is>
      </c>
      <c r="T737" s="8" t="inlineStr">
        <is>
          <t>implement_biwei_li_back_ink_pouch_seal_2x1</t>
        </is>
      </c>
      <c r="U737" s="8" t="inlineStr">
        <is>
          <t>allowed</t>
        </is>
      </c>
    </row>
    <row r="738" ht="34" customHeight="1">
      <c r="A738" s="8" t="n">
        <v>737</v>
      </c>
      <c r="B738" s="8" t="n">
        <v>413400</v>
      </c>
      <c r="C738" s="8" t="inlineStr">
        <is>
          <t>共鸣胸骨板铸护器</t>
        </is>
      </c>
      <c r="D738" s="8" t="inlineStr">
        <is>
          <t>法器</t>
        </is>
      </c>
      <c r="E738" s="8" t="inlineStr">
        <is>
          <t>implement</t>
        </is>
      </c>
      <c r="F738" s="8" t="inlineStr">
        <is>
          <t>spirit</t>
        </is>
      </c>
      <c r="G738" s="8" t="inlineStr">
        <is>
          <t>金</t>
        </is>
      </c>
      <c r="H738" s="8" t="inlineStr">
        <is>
          <t>metal</t>
        </is>
      </c>
      <c r="I738" s="8" t="inlineStr">
        <is>
          <t>3×2</t>
        </is>
      </c>
      <c r="J738" s="8" t="n">
        <v>6</v>
      </c>
      <c r="K738" s="8" t="n">
        <v>100</v>
      </c>
      <c r="L738" s="8" t="inlineStr">
        <is>
          <t>是</t>
        </is>
      </c>
      <c r="M738" s="9" t="inlineStr"/>
      <c r="N738" s="8" t="n">
        <v>2</v>
      </c>
      <c r="O738" s="9" t="inlineStr">
        <is>
          <t>条件触发；被动效果</t>
        </is>
      </c>
      <c r="P738" s="9" t="inlineStr">
        <is>
          <t>triggered；passive</t>
        </is>
      </c>
      <c r="Q738" s="9" t="inlineStr">
        <is>
          <t>条件触发：每当成功闪避一次，恢复 10 点法力；每当成功闪避一次，恢复 16 点法力；每当成功闪避一次，恢复 20 点法力；每当成功闪避一次，恢复 26 点法力 | 被动效果：敏捷层数上限 +15；敏捷层数上限 +20；敏捷层数上限 +25；敏捷层数上限 +30</t>
        </is>
      </c>
      <c r="R738" s="9" t="inlineStr"/>
      <c r="S738" s="9" t="inlineStr">
        <is>
          <t>鲸骨表面凝固着海盐结晶，在暗室中敲击会发出潮汐回响的金属颤音。</t>
        </is>
      </c>
      <c r="T738" s="8" t="inlineStr">
        <is>
          <t>implement_forged_boxian_renmianxiao_resonant_sternum_plate_1_3x2</t>
        </is>
      </c>
      <c r="U738" s="8" t="inlineStr">
        <is>
          <t>allowed</t>
        </is>
      </c>
    </row>
    <row r="739" ht="34" customHeight="1">
      <c r="A739" s="8" t="n">
        <v>738</v>
      </c>
      <c r="B739" s="8" t="n">
        <v>413401</v>
      </c>
      <c r="C739" s="8" t="inlineStr">
        <is>
          <t>绷弦翼根筋铸护器</t>
        </is>
      </c>
      <c r="D739" s="8" t="inlineStr">
        <is>
          <t>法器</t>
        </is>
      </c>
      <c r="E739" s="8" t="inlineStr">
        <is>
          <t>implement</t>
        </is>
      </c>
      <c r="F739" s="8" t="inlineStr">
        <is>
          <t>spirit</t>
        </is>
      </c>
      <c r="G739" s="8" t="inlineStr">
        <is>
          <t>木</t>
        </is>
      </c>
      <c r="H739" s="8" t="inlineStr">
        <is>
          <t>wood</t>
        </is>
      </c>
      <c r="I739" s="8" t="inlineStr">
        <is>
          <t>2×2</t>
        </is>
      </c>
      <c r="J739" s="8" t="n">
        <v>4</v>
      </c>
      <c r="K739" s="8" t="n">
        <v>200</v>
      </c>
      <c r="L739" s="8" t="inlineStr">
        <is>
          <t>是</t>
        </is>
      </c>
      <c r="M739" s="9" t="inlineStr"/>
      <c r="N739" s="8" t="n">
        <v>1</v>
      </c>
      <c r="O739" s="9" t="inlineStr">
        <is>
          <t>被动效果</t>
        </is>
      </c>
      <c r="P739" s="9" t="inlineStr">
        <is>
          <t>passive</t>
        </is>
      </c>
      <c r="Q739" s="9" t="inlineStr">
        <is>
          <t>被动效果：可使用露水抵挡伤害，每层抵挡1点伤害，耐久归零后道具销毁。；可使用露水抵挡伤害，每层抵挡2点伤害，耐久归零后道具销毁。；可使用露水抵挡伤害，每层抵挡3点伤害，耐久归零后道具销毁。；可使用露水抵挡伤害，每层抵挡4点伤害，耐久归零后道具销毁。</t>
        </is>
      </c>
      <c r="R739" s="9" t="inlineStr"/>
      <c r="S739" s="9" t="inlineStr">
        <is>
          <t>霜皮裹浸后晒制的翼根筋纹丝不动，只在日落时从细孔渗出檀叶蒸馏液的清苦。</t>
        </is>
      </c>
      <c r="T739" s="8" t="inlineStr">
        <is>
          <t>implement_forged_boxian_renmianxiao_tensioned_string_wing_tendons_1_2x2</t>
        </is>
      </c>
      <c r="U739" s="8" t="inlineStr">
        <is>
          <t>allowed</t>
        </is>
      </c>
    </row>
    <row r="740" ht="34" customHeight="1">
      <c r="A740" s="8" t="n">
        <v>739</v>
      </c>
      <c r="B740" s="8" t="n">
        <v>413402</v>
      </c>
      <c r="C740" s="8" t="inlineStr">
        <is>
          <t>绷弦翼根筋回旋引势刃</t>
        </is>
      </c>
      <c r="D740" s="8" t="inlineStr">
        <is>
          <t>法器</t>
        </is>
      </c>
      <c r="E740" s="8" t="inlineStr">
        <is>
          <t>implement</t>
        </is>
      </c>
      <c r="F740" s="8" t="inlineStr">
        <is>
          <t>spirit</t>
        </is>
      </c>
      <c r="G740" s="8" t="inlineStr">
        <is>
          <t>木</t>
        </is>
      </c>
      <c r="H740" s="8" t="inlineStr">
        <is>
          <t>wood</t>
        </is>
      </c>
      <c r="I740" s="8" t="inlineStr">
        <is>
          <t>2×2</t>
        </is>
      </c>
      <c r="J740" s="8" t="n">
        <v>4</v>
      </c>
      <c r="K740" s="8" t="n">
        <v>100</v>
      </c>
      <c r="L740" s="8" t="inlineStr">
        <is>
          <t>是</t>
        </is>
      </c>
      <c r="M740" s="9" t="inlineStr"/>
      <c r="N740" s="8" t="n">
        <v>1</v>
      </c>
      <c r="O740" s="9" t="inlineStr">
        <is>
          <t>条件触发</t>
        </is>
      </c>
      <c r="P740" s="9" t="inlineStr">
        <is>
          <t>triggered</t>
        </is>
      </c>
      <c r="Q740" s="9" t="inlineStr">
        <is>
          <t>条件触发：每当成功闪避一次，对敌方施加 4 层冰霜；每当成功闪避一次，对敌方施加 8 层冰霜；每当成功闪避一次，对敌方施加 12 层冰霜；每当成功闪避一次，对敌方施加 16 层冰霜</t>
        </is>
      </c>
      <c r="R740" s="9" t="inlineStr"/>
      <c r="S740" s="9" t="inlineStr">
        <is>
          <t>粗糙骨隙中留有一道歪斜刻痕，像是无名匠人在暮色里匆匆收刃前，失手多转了一寸。</t>
        </is>
      </c>
      <c r="T740" s="8" t="inlineStr">
        <is>
          <t>implement_forged_boxian_renmianxiao_tensioned_string_wing_tendons_2_2x2</t>
        </is>
      </c>
      <c r="U740" s="8" t="inlineStr">
        <is>
          <t>allowed</t>
        </is>
      </c>
    </row>
    <row r="741" ht="34" customHeight="1">
      <c r="A741" s="8" t="n">
        <v>740</v>
      </c>
      <c r="B741" s="8" t="n">
        <v>413403</v>
      </c>
      <c r="C741" s="8" t="inlineStr">
        <is>
          <t>平衡尾舵羽铸护器</t>
        </is>
      </c>
      <c r="D741" s="8" t="inlineStr">
        <is>
          <t>法器</t>
        </is>
      </c>
      <c r="E741" s="8" t="inlineStr">
        <is>
          <t>implement</t>
        </is>
      </c>
      <c r="F741" s="8" t="inlineStr">
        <is>
          <t>spirit</t>
        </is>
      </c>
      <c r="G741" s="8" t="inlineStr">
        <is>
          <t>木</t>
        </is>
      </c>
      <c r="H741" s="8" t="inlineStr">
        <is>
          <t>wood</t>
        </is>
      </c>
      <c r="I741" s="8" t="inlineStr">
        <is>
          <t>1×1</t>
        </is>
      </c>
      <c r="J741" s="8" t="n">
        <v>1</v>
      </c>
      <c r="K741" s="8" t="n">
        <v>100</v>
      </c>
      <c r="L741" s="8" t="inlineStr">
        <is>
          <t>是</t>
        </is>
      </c>
      <c r="M741" s="9" t="inlineStr"/>
      <c r="N741" s="8" t="n">
        <v>1</v>
      </c>
      <c r="O741" s="9" t="inlineStr">
        <is>
          <t>周期触发</t>
        </is>
      </c>
      <c r="P741" s="9" t="inlineStr">
        <is>
          <t>periodicPulse</t>
        </is>
      </c>
      <c r="Q741" s="9" t="inlineStr">
        <is>
          <t>周期触发：将最多 40 层再生转化为闪避，每 5 层转化为 1 层闪避；将最多 50 层再生转化为闪避，每 5 层转化为 1 层闪避；将最多 60 层再生转化为闪避，每 5 层转化为 1 层闪避；将最多 70 层再生转化为闪避，每 5 层转化为 1 层闪避</t>
        </is>
      </c>
      <c r="R741" s="9" t="inlineStr"/>
      <c r="S741" s="9" t="inlineStr">
        <is>
          <t>器骨与羽翮纹路如活羽重生，触手可及处能感到平衡尾舵的本能震颤，仍保持着飞掠水天时的姿态。</t>
        </is>
      </c>
      <c r="T741" s="8" t="inlineStr">
        <is>
          <t>implement_forged_boxian_renmianxiao_balance_tail_vane_1_1x1</t>
        </is>
      </c>
      <c r="U741" s="8" t="inlineStr">
        <is>
          <t>allowed</t>
        </is>
      </c>
    </row>
    <row r="742" ht="34" customHeight="1">
      <c r="A742" s="8" t="n">
        <v>741</v>
      </c>
      <c r="B742" s="8" t="n">
        <v>413404</v>
      </c>
      <c r="C742" s="8" t="inlineStr">
        <is>
          <t>平衡尾舵羽回旋引势刃</t>
        </is>
      </c>
      <c r="D742" s="8" t="inlineStr">
        <is>
          <t>法器</t>
        </is>
      </c>
      <c r="E742" s="8" t="inlineStr">
        <is>
          <t>implement</t>
        </is>
      </c>
      <c r="F742" s="8" t="inlineStr">
        <is>
          <t>spirit</t>
        </is>
      </c>
      <c r="G742" s="8" t="inlineStr">
        <is>
          <t>木</t>
        </is>
      </c>
      <c r="H742" s="8" t="inlineStr">
        <is>
          <t>wood</t>
        </is>
      </c>
      <c r="I742" s="8" t="inlineStr">
        <is>
          <t>1×1</t>
        </is>
      </c>
      <c r="J742" s="8" t="n">
        <v>1</v>
      </c>
      <c r="K742" s="8" t="n">
        <v>100</v>
      </c>
      <c r="L742" s="8" t="inlineStr">
        <is>
          <t>是</t>
        </is>
      </c>
      <c r="M742" s="9" t="inlineStr"/>
      <c r="N742" s="8" t="n">
        <v>1</v>
      </c>
      <c r="O742" s="9" t="inlineStr">
        <is>
          <t>条件触发</t>
        </is>
      </c>
      <c r="P742" s="9" t="inlineStr">
        <is>
          <t>triggered</t>
        </is>
      </c>
      <c r="Q742" s="9" t="inlineStr">
        <is>
          <t>条件触发：每当成功闪避一次，最多消耗 20 层再生，每层追加 8 点伤害；每当成功闪避一次，最多消耗 24 层再生，每层追加 8 点伤害；每当成功闪避一次，最多消耗 28 层再生，每层追加 8 点伤害；每当成功闪避一次，最多消耗 32 层再生，每层追加 8 点伤害</t>
        </is>
      </c>
      <c r="R742" s="9" t="inlineStr"/>
      <c r="S742" s="9" t="inlineStr">
        <is>
          <t>柔韧的羽芯已被无数场夜雨浸渍，刃面上凝着松脂与少年汗渍混合的冷香。</t>
        </is>
      </c>
      <c r="T742" s="8" t="inlineStr">
        <is>
          <t>implement_forged_boxian_renmianxiao_balance_tail_vane_2_1x1</t>
        </is>
      </c>
      <c r="U742" s="8" t="inlineStr">
        <is>
          <t>allowed</t>
        </is>
      </c>
    </row>
    <row r="743" ht="34" customHeight="1">
      <c r="A743" s="8" t="n">
        <v>742</v>
      </c>
      <c r="B743" s="8" t="n">
        <v>413600</v>
      </c>
      <c r="C743" s="8" t="inlineStr">
        <is>
          <t>羚蹄锁链镇纹器</t>
        </is>
      </c>
      <c r="D743" s="8" t="inlineStr">
        <is>
          <t>法器</t>
        </is>
      </c>
      <c r="E743" s="8" t="inlineStr">
        <is>
          <t>implement</t>
        </is>
      </c>
      <c r="F743" s="8" t="inlineStr">
        <is>
          <t>spirit</t>
        </is>
      </c>
      <c r="G743" s="8" t="inlineStr">
        <is>
          <t>金</t>
        </is>
      </c>
      <c r="H743" s="8" t="inlineStr">
        <is>
          <t>metal</t>
        </is>
      </c>
      <c r="I743" s="8" t="inlineStr">
        <is>
          <t>2×1</t>
        </is>
      </c>
      <c r="J743" s="8" t="n">
        <v>2</v>
      </c>
      <c r="K743" s="8" t="n">
        <v>100</v>
      </c>
      <c r="L743" s="8" t="inlineStr">
        <is>
          <t>是</t>
        </is>
      </c>
      <c r="M743" s="9" t="inlineStr"/>
      <c r="N743" s="8" t="n">
        <v>2</v>
      </c>
      <c r="O743" s="9" t="inlineStr">
        <is>
          <t>条件触发</t>
        </is>
      </c>
      <c r="P743" s="9" t="inlineStr">
        <is>
          <t>triggered</t>
        </is>
      </c>
      <c r="Q743" s="9" t="inlineStr">
        <is>
          <t>条件触发：左侧相邻法器使用时，获得 6 层凝金；左侧相邻法器使用时，获得 10 层凝金；左侧相邻法器使用时，获得 16 层凝金；左侧相邻法器使用时，获得 20 层凝金 | 条件触发：右侧相邻法器使用时，获得 6 层敏捷；右侧相邻法器使用时，获得 10 层敏捷；右侧相邻法器使用时，获得 16 层敏捷；右侧相邻法器使用时，获得 20 层敏捷</t>
        </is>
      </c>
      <c r="R743" s="9" t="inlineStr"/>
      <c r="S743" s="9" t="inlineStr">
        <is>
          <t>羊蹄踏过沙尘的印记凝固成链环间的刻痕，每一处凹陷都泛着黄铜经年沾染的盐雾。</t>
        </is>
      </c>
      <c r="T743" s="8" t="inlineStr">
        <is>
          <t>implement_citi_ling_hoof_ring_chain_core_2x1</t>
        </is>
      </c>
      <c r="U743" s="8" t="inlineStr">
        <is>
          <t>allowed</t>
        </is>
      </c>
    </row>
    <row r="744" ht="34" customHeight="1">
      <c r="A744" s="8" t="n">
        <v>743</v>
      </c>
      <c r="B744" s="8" t="n">
        <v>413601</v>
      </c>
      <c r="C744" s="8" t="inlineStr">
        <is>
          <t>羚蹄锁链灵枢匣</t>
        </is>
      </c>
      <c r="D744" s="8" t="inlineStr">
        <is>
          <t>法器</t>
        </is>
      </c>
      <c r="E744" s="8" t="inlineStr">
        <is>
          <t>implement</t>
        </is>
      </c>
      <c r="F744" s="8" t="inlineStr">
        <is>
          <t>spirit</t>
        </is>
      </c>
      <c r="G744" s="8" t="inlineStr">
        <is>
          <t>金</t>
        </is>
      </c>
      <c r="H744" s="8" t="inlineStr">
        <is>
          <t>metal</t>
        </is>
      </c>
      <c r="I744" s="8" t="inlineStr">
        <is>
          <t>2×1</t>
        </is>
      </c>
      <c r="J744" s="8" t="n">
        <v>2</v>
      </c>
      <c r="K744" s="8" t="n">
        <v>100</v>
      </c>
      <c r="L744" s="8" t="inlineStr">
        <is>
          <t>是</t>
        </is>
      </c>
      <c r="M744" s="9" t="inlineStr"/>
      <c r="N744" s="8" t="n">
        <v>1</v>
      </c>
      <c r="O744" s="9" t="inlineStr">
        <is>
          <t>周期触发</t>
        </is>
      </c>
      <c r="P744" s="9" t="inlineStr">
        <is>
          <t>periodicPulse</t>
        </is>
      </c>
      <c r="Q744" s="9" t="inlineStr">
        <is>
          <t>周期触发：最多将 4 层凝金转化为 3 倍层数的敏捷；最多将 6 层凝金转化为 3 倍层数的敏捷；最多将 8 层凝金转化为 3 倍层数的敏捷；最多将 10 层凝金转化为 3 倍层数的敏捷</t>
        </is>
      </c>
      <c r="R744" s="9" t="inlineStr"/>
      <c r="S744" s="9" t="inlineStr">
        <is>
          <t>羚蹄铁环在月光下泛起青苔般的光晕，每当夜风拂过，便会发出空谷溪流浸润石缝的细微回响。</t>
        </is>
      </c>
      <c r="T744" s="8" t="inlineStr">
        <is>
          <t>implement_citi_ling_hoof_ring_chain_seal_2x1</t>
        </is>
      </c>
      <c r="U744" s="8" t="inlineStr">
        <is>
          <t>allowed</t>
        </is>
      </c>
    </row>
    <row r="745" ht="34" customHeight="1">
      <c r="A745" s="8" t="n">
        <v>744</v>
      </c>
      <c r="B745" s="8" t="n">
        <v>413602</v>
      </c>
      <c r="C745" s="8" t="inlineStr">
        <is>
          <t>对极铁砂镇纹器</t>
        </is>
      </c>
      <c r="D745" s="8" t="inlineStr">
        <is>
          <t>法器</t>
        </is>
      </c>
      <c r="E745" s="8" t="inlineStr">
        <is>
          <t>implement</t>
        </is>
      </c>
      <c r="F745" s="8" t="inlineStr">
        <is>
          <t>spirit</t>
        </is>
      </c>
      <c r="G745" s="8" t="inlineStr">
        <is>
          <t>金</t>
        </is>
      </c>
      <c r="H745" s="8" t="inlineStr">
        <is>
          <t>metal</t>
        </is>
      </c>
      <c r="I745" s="8" t="inlineStr">
        <is>
          <t>1×2</t>
        </is>
      </c>
      <c r="J745" s="8" t="n">
        <v>2</v>
      </c>
      <c r="K745" s="8" t="n">
        <v>100</v>
      </c>
      <c r="L745" s="8" t="inlineStr">
        <is>
          <t>是</t>
        </is>
      </c>
      <c r="M745" s="9" t="inlineStr"/>
      <c r="N745" s="8" t="n">
        <v>2</v>
      </c>
      <c r="O745" s="9" t="inlineStr">
        <is>
          <t>周期触发</t>
        </is>
      </c>
      <c r="P745" s="9" t="inlineStr">
        <is>
          <t>periodicPulse</t>
        </is>
      </c>
      <c r="Q745" s="9" t="inlineStr">
        <is>
          <t>周期触发：开局：位于储物袋顶部时，获得 30 层凝金；开局：位于储物袋顶部时，获得 40 层凝金；开局：位于储物袋顶部时，获得 50 层凝金；开局：位于储物袋顶部时，获得 60 层凝金 | 周期触发：开局：位于储物袋底部时，获得 30 层蓄势；开局：位于储物袋底部时，获得 40 层蓄势；开局：位于储物袋底部时，获得 50 层蓄势；开局：位于储物袋底部时，获得 60 层蓄势</t>
        </is>
      </c>
      <c r="R745" s="9" t="inlineStr"/>
      <c r="S745" s="9" t="inlineStr">
        <is>
          <t>器腹一处细微凸起是匠人淬火时不慎碰折的铁砂。</t>
        </is>
      </c>
      <c r="T745" s="8" t="inlineStr">
        <is>
          <t>implement_citi_ling_polarity_iron_sand_core_1x2</t>
        </is>
      </c>
      <c r="U745" s="8" t="inlineStr">
        <is>
          <t>allowed</t>
        </is>
      </c>
    </row>
    <row r="746" ht="34" customHeight="1">
      <c r="A746" s="8" t="n">
        <v>745</v>
      </c>
      <c r="B746" s="8" t="n">
        <v>413603</v>
      </c>
      <c r="C746" s="8" t="inlineStr">
        <is>
          <t>对极铁砂灵枢匣</t>
        </is>
      </c>
      <c r="D746" s="8" t="inlineStr">
        <is>
          <t>法器</t>
        </is>
      </c>
      <c r="E746" s="8" t="inlineStr">
        <is>
          <t>implement</t>
        </is>
      </c>
      <c r="F746" s="8" t="inlineStr">
        <is>
          <t>spirit</t>
        </is>
      </c>
      <c r="G746" s="8" t="inlineStr">
        <is>
          <t>金</t>
        </is>
      </c>
      <c r="H746" s="8" t="inlineStr">
        <is>
          <t>metal</t>
        </is>
      </c>
      <c r="I746" s="8" t="inlineStr">
        <is>
          <t>1×2</t>
        </is>
      </c>
      <c r="J746" s="8" t="n">
        <v>2</v>
      </c>
      <c r="K746" s="8" t="n">
        <v>100</v>
      </c>
      <c r="L746" s="8" t="inlineStr">
        <is>
          <t>是</t>
        </is>
      </c>
      <c r="M746" s="9" t="inlineStr"/>
      <c r="N746" s="8" t="n">
        <v>1</v>
      </c>
      <c r="O746" s="9" t="inlineStr">
        <is>
          <t>周期触发</t>
        </is>
      </c>
      <c r="P746" s="9" t="inlineStr">
        <is>
          <t>periodicPulse</t>
        </is>
      </c>
      <c r="Q746" s="9" t="inlineStr">
        <is>
          <t>周期触发：每有 1 件相邻的金或土属性道具，获得 8 层敏捷，最多计算 3 件；每有 1 件相邻的金或土属性道具，获得 12 层敏捷，最多计算 3 件；每有 1 件相邻的金或土属性道具，获得 16 层敏捷，最多计算 3 件；每有 1 件相邻的金或土属性道具，获得 20 层敏捷，最多计算 3 件</t>
        </is>
      </c>
      <c r="R746" s="9" t="inlineStr"/>
      <c r="S746" s="9" t="inlineStr">
        <is>
          <t>匣内磁砂随妖兽经络排列成腔，呼吸时会散出矿脉深处的腥湿潮气。</t>
        </is>
      </c>
      <c r="T746" s="8" t="inlineStr">
        <is>
          <t>implement_citi_ling_polarity_iron_sand_seal_1x2</t>
        </is>
      </c>
      <c r="U746" s="8" t="inlineStr">
        <is>
          <t>allowed</t>
        </is>
      </c>
    </row>
    <row r="747" ht="34" customHeight="1">
      <c r="A747" s="8" t="n">
        <v>746</v>
      </c>
      <c r="B747" s="8" t="n">
        <v>413604</v>
      </c>
      <c r="C747" s="8" t="inlineStr">
        <is>
          <t>铁扣羚心镇纹器</t>
        </is>
      </c>
      <c r="D747" s="8" t="inlineStr">
        <is>
          <t>法器</t>
        </is>
      </c>
      <c r="E747" s="8" t="inlineStr">
        <is>
          <t>implement</t>
        </is>
      </c>
      <c r="F747" s="8" t="inlineStr">
        <is>
          <t>spirit</t>
        </is>
      </c>
      <c r="G747" s="8" t="inlineStr">
        <is>
          <t>火</t>
        </is>
      </c>
      <c r="H747" s="8" t="inlineStr">
        <is>
          <t>fire</t>
        </is>
      </c>
      <c r="I747" s="8" t="inlineStr">
        <is>
          <t>2×1</t>
        </is>
      </c>
      <c r="J747" s="8" t="n">
        <v>2</v>
      </c>
      <c r="K747" s="8" t="n">
        <v>100</v>
      </c>
      <c r="L747" s="8" t="inlineStr">
        <is>
          <t>是</t>
        </is>
      </c>
      <c r="M747" s="9" t="inlineStr"/>
      <c r="N747" s="8" t="n">
        <v>1</v>
      </c>
      <c r="O747" s="9" t="inlineStr">
        <is>
          <t>周期触发</t>
        </is>
      </c>
      <c r="P747" s="9" t="inlineStr">
        <is>
          <t>periodicPulse</t>
        </is>
      </c>
      <c r="Q747" s="9" t="inlineStr">
        <is>
          <t>周期触发：将 80 点体力转化为 40 层炎热；将 80 点体力转化为 50 层炎热；将 80 点体力转化为 60 层炎热；将 80 点体力转化为 70 层炎热</t>
        </is>
      </c>
      <c r="R747" s="9" t="inlineStr"/>
      <c r="S747" s="9" t="inlineStr">
        <is>
          <t>护手心处印着旧主握痕，深色汗渍在铁铸羚角上蚀出一道暖琥珀色的河。</t>
        </is>
      </c>
      <c r="T747" s="8" t="inlineStr">
        <is>
          <t>implement_citi_ling_iron_clasp_heartstone_core_2x1</t>
        </is>
      </c>
      <c r="U747" s="8" t="inlineStr">
        <is>
          <t>allowed</t>
        </is>
      </c>
    </row>
    <row r="748" ht="34" customHeight="1">
      <c r="A748" s="8" t="n">
        <v>747</v>
      </c>
      <c r="B748" s="8" t="n">
        <v>413605</v>
      </c>
      <c r="C748" s="8" t="inlineStr">
        <is>
          <t>铁扣羚心灵枢匣</t>
        </is>
      </c>
      <c r="D748" s="8" t="inlineStr">
        <is>
          <t>法器</t>
        </is>
      </c>
      <c r="E748" s="8" t="inlineStr">
        <is>
          <t>implement</t>
        </is>
      </c>
      <c r="F748" s="8" t="inlineStr">
        <is>
          <t>spirit</t>
        </is>
      </c>
      <c r="G748" s="8" t="inlineStr">
        <is>
          <t>火</t>
        </is>
      </c>
      <c r="H748" s="8" t="inlineStr">
        <is>
          <t>fire</t>
        </is>
      </c>
      <c r="I748" s="8" t="inlineStr">
        <is>
          <t>2×1</t>
        </is>
      </c>
      <c r="J748" s="8" t="n">
        <v>2</v>
      </c>
      <c r="K748" s="8" t="n">
        <v>100</v>
      </c>
      <c r="L748" s="8" t="inlineStr">
        <is>
          <t>是</t>
        </is>
      </c>
      <c r="M748" s="9" t="inlineStr"/>
      <c r="N748" s="8" t="n">
        <v>1</v>
      </c>
      <c r="O748" s="9" t="inlineStr">
        <is>
          <t>周期触发</t>
        </is>
      </c>
      <c r="P748" s="9" t="inlineStr">
        <is>
          <t>periodicPulse</t>
        </is>
      </c>
      <c r="Q748" s="9" t="inlineStr">
        <is>
          <t>周期触发：每有 1 层炎热，使相邻法器获得 0.5 秒加速，最多计算 6 层；每有 1 层炎热，使相邻法器获得 0.5 秒加速，最多计算 8 层；每有 1 层炎热，使相邻法器获得 0.5 秒加速，最多计算 10 层；每有 1 层炎热，使相邻法器获得 0.5 秒加速，最多计算 12 层</t>
        </is>
      </c>
      <c r="R748" s="9" t="inlineStr"/>
      <c r="S748" s="9" t="inlineStr">
        <is>
          <t>破旧匣边残留风沙打磨的纹路，雨雾浸润处隐现赤色脉络如呼吸起伏。</t>
        </is>
      </c>
      <c r="T748" s="8" t="inlineStr">
        <is>
          <t>implement_citi_ling_iron_clasp_heartstone_seal_2x1</t>
        </is>
      </c>
      <c r="U748" s="8" t="inlineStr">
        <is>
          <t>allowed</t>
        </is>
      </c>
    </row>
    <row r="749" ht="34" customHeight="1">
      <c r="A749" s="8" t="n">
        <v>748</v>
      </c>
      <c r="B749" s="8" t="n">
        <v>414100</v>
      </c>
      <c r="C749" s="8" t="inlineStr">
        <is>
          <t>盘卷腰筋铸护器</t>
        </is>
      </c>
      <c r="D749" s="8" t="inlineStr">
        <is>
          <t>法器</t>
        </is>
      </c>
      <c r="E749" s="8" t="inlineStr">
        <is>
          <t>implement</t>
        </is>
      </c>
      <c r="F749" s="8" t="inlineStr">
        <is>
          <t>spirit</t>
        </is>
      </c>
      <c r="G749" s="8" t="inlineStr">
        <is>
          <t>火</t>
        </is>
      </c>
      <c r="H749" s="8" t="inlineStr">
        <is>
          <t>fire</t>
        </is>
      </c>
      <c r="I749" s="8" t="inlineStr">
        <is>
          <t>1×1</t>
        </is>
      </c>
      <c r="J749" s="8" t="n">
        <v>1</v>
      </c>
      <c r="K749" s="8" t="n">
        <v>100</v>
      </c>
      <c r="L749" s="8" t="inlineStr">
        <is>
          <t>是</t>
        </is>
      </c>
      <c r="M749" s="9" t="inlineStr"/>
      <c r="N749" s="8" t="n">
        <v>2</v>
      </c>
      <c r="O749" s="9" t="inlineStr">
        <is>
          <t>条件触发；被动效果</t>
        </is>
      </c>
      <c r="P749" s="9" t="inlineStr">
        <is>
          <t>triggered；passive</t>
        </is>
      </c>
      <c r="Q749" s="9" t="inlineStr">
        <is>
          <t>条件触发：单次消耗不少于 30 点体力时，获得 20 层护甲；单次消耗不少于 60 点体力时，获得 26 层护甲；单次消耗不少于 60 点体力时，获得 30 层护甲；单次消耗不少于 60 点体力时，获得 36 层护甲 | 被动效果：体力上限 +40；体力上限 +50；体力上限 +60；体力上限 +70</t>
        </is>
      </c>
      <c r="R749" s="9" t="inlineStr"/>
      <c r="S749" s="9" t="inlineStr">
        <is>
          <t>云游道士的旧物，腰带内侧已磨出青檀木的蜜蜡色，雨天会泛起淡淡的柏节油气息。</t>
        </is>
      </c>
      <c r="T749" s="8" t="inlineStr">
        <is>
          <t>implement_forged_fubei_qiuyu_coiled_waist_sinew_1_1x1</t>
        </is>
      </c>
      <c r="U749" s="8" t="inlineStr">
        <is>
          <t>allowed</t>
        </is>
      </c>
    </row>
    <row r="750" ht="34" customHeight="1">
      <c r="A750" s="8" t="n">
        <v>749</v>
      </c>
      <c r="B750" s="8" t="n">
        <v>414101</v>
      </c>
      <c r="C750" s="8" t="inlineStr">
        <is>
          <t>滚压髋骨铸护器</t>
        </is>
      </c>
      <c r="D750" s="8" t="inlineStr">
        <is>
          <t>法器</t>
        </is>
      </c>
      <c r="E750" s="8" t="inlineStr">
        <is>
          <t>implement</t>
        </is>
      </c>
      <c r="F750" s="8" t="inlineStr">
        <is>
          <t>spirit</t>
        </is>
      </c>
      <c r="G750" s="8" t="inlineStr">
        <is>
          <t>土</t>
        </is>
      </c>
      <c r="H750" s="8" t="inlineStr">
        <is>
          <t>earth</t>
        </is>
      </c>
      <c r="I750" s="8" t="inlineStr">
        <is>
          <t>1×1</t>
        </is>
      </c>
      <c r="J750" s="8" t="n">
        <v>1</v>
      </c>
      <c r="K750" s="8" t="n">
        <v>100</v>
      </c>
      <c r="L750" s="8" t="inlineStr">
        <is>
          <t>是</t>
        </is>
      </c>
      <c r="M750" s="9" t="inlineStr"/>
      <c r="N750" s="8" t="n">
        <v>2</v>
      </c>
      <c r="O750" s="9" t="inlineStr">
        <is>
          <t>周期触发；被动效果</t>
        </is>
      </c>
      <c r="P750" s="9" t="inlineStr">
        <is>
          <t>periodicPulse；passive</t>
        </is>
      </c>
      <c r="Q750" s="9" t="inlineStr">
        <is>
          <t>周期触发：自身每有 1 层蓄势，对敌方造成 5 点伤害，最多计算 20 层；自身每有 1 层蓄势，对敌方造成 5 点伤害，最多计算 24 层；自身每有 1 层蓄势，对敌方造成 5 点伤害，最多计算 28 层；自身每有 1 层蓄势，对敌方造成 5 点伤害，最多计算 32 层 | 被动效果：蓄势层数上限 +20；蓄势层数上限 +25；蓄势层数上限 +30；蓄势层数上限 +35</t>
        </is>
      </c>
      <c r="R750" s="9" t="inlineStr"/>
      <c r="S750" s="9" t="inlineStr">
        <is>
          <t>在春雨浸润后，器骨沟壑间会浮起细小的琥珀色光点，如同沉睡大地的梦境碎片。</t>
        </is>
      </c>
      <c r="T750" s="8" t="inlineStr">
        <is>
          <t>implement_forged_fubei_qiuyu_rolling_hip_bone_1_1x1</t>
        </is>
      </c>
      <c r="U750" s="8" t="inlineStr">
        <is>
          <t>allowed</t>
        </is>
      </c>
    </row>
    <row r="751" ht="34" customHeight="1">
      <c r="A751" s="8" t="n">
        <v>750</v>
      </c>
      <c r="B751" s="8" t="n">
        <v>414102</v>
      </c>
      <c r="C751" s="8" t="inlineStr">
        <is>
          <t>赤纹鼻甲铸护器</t>
        </is>
      </c>
      <c r="D751" s="8" t="inlineStr">
        <is>
          <t>法器</t>
        </is>
      </c>
      <c r="E751" s="8" t="inlineStr">
        <is>
          <t>implement</t>
        </is>
      </c>
      <c r="F751" s="8" t="inlineStr">
        <is>
          <t>spirit</t>
        </is>
      </c>
      <c r="G751" s="8" t="inlineStr">
        <is>
          <t>火</t>
        </is>
      </c>
      <c r="H751" s="8" t="inlineStr">
        <is>
          <t>fire</t>
        </is>
      </c>
      <c r="I751" s="8" t="inlineStr">
        <is>
          <t>1×1</t>
        </is>
      </c>
      <c r="J751" s="8" t="n">
        <v>1</v>
      </c>
      <c r="K751" s="8" t="n">
        <v>100</v>
      </c>
      <c r="L751" s="8" t="inlineStr">
        <is>
          <t>是</t>
        </is>
      </c>
      <c r="M751" s="9" t="inlineStr"/>
      <c r="N751" s="8" t="n">
        <v>1</v>
      </c>
      <c r="O751" s="9" t="inlineStr">
        <is>
          <t>周期触发</t>
        </is>
      </c>
      <c r="P751" s="9" t="inlineStr">
        <is>
          <t>periodicPulse</t>
        </is>
      </c>
      <c r="Q751" s="9" t="inlineStr">
        <is>
          <t>周期触发：当敏捷层数不少于 30 层时，将 60 点法力转化为 15 层炎热；当敏捷层数不少于 30 层时，将 60 点法力转化为 40 层炎热；当敏捷层数不少于 30 层时，将 60 点法力转化为 50 层炎热；当敏捷层数不少于 30 层时，将 60 点法力转化为 60 层炎热</t>
        </is>
      </c>
      <c r="R751" s="9" t="inlineStr"/>
      <c r="S751" s="9" t="inlineStr">
        <is>
          <t>猎户传言，这甲片是头赤火犀临终所蜕，被溪边炼器散人拾去温养了三年。</t>
        </is>
      </c>
      <c r="T751" s="8" t="inlineStr">
        <is>
          <t>implement_forged_fubei_qiuyu_vermilion_nose_armor_1_1x1</t>
        </is>
      </c>
      <c r="U751" s="8" t="inlineStr">
        <is>
          <t>allowed</t>
        </is>
      </c>
    </row>
    <row r="752" ht="34" customHeight="1">
      <c r="A752" s="8" t="n">
        <v>751</v>
      </c>
      <c r="B752" s="8" t="n">
        <v>414103</v>
      </c>
      <c r="C752" s="8" t="inlineStr">
        <is>
          <t>赤纹鼻甲回旋引势刃</t>
        </is>
      </c>
      <c r="D752" s="8" t="inlineStr">
        <is>
          <t>法器</t>
        </is>
      </c>
      <c r="E752" s="8" t="inlineStr">
        <is>
          <t>implement</t>
        </is>
      </c>
      <c r="F752" s="8" t="inlineStr">
        <is>
          <t>spirit</t>
        </is>
      </c>
      <c r="G752" s="8" t="inlineStr">
        <is>
          <t>火</t>
        </is>
      </c>
      <c r="H752" s="8" t="inlineStr">
        <is>
          <t>fire</t>
        </is>
      </c>
      <c r="I752" s="8" t="inlineStr">
        <is>
          <t>1×1</t>
        </is>
      </c>
      <c r="J752" s="8" t="n">
        <v>1</v>
      </c>
      <c r="K752" s="8" t="n">
        <v>100</v>
      </c>
      <c r="L752" s="8" t="inlineStr">
        <is>
          <t>是</t>
        </is>
      </c>
      <c r="M752" s="9" t="inlineStr"/>
      <c r="N752" s="8" t="n">
        <v>1</v>
      </c>
      <c r="O752" s="9" t="inlineStr">
        <is>
          <t>条件触发</t>
        </is>
      </c>
      <c r="P752" s="9" t="inlineStr">
        <is>
          <t>triggered</t>
        </is>
      </c>
      <c r="Q752" s="9" t="inlineStr">
        <is>
          <t>条件触发：相邻符箓耗尽时，对敌方施加 16 层灼烧，如果敌方炎热层数超过 30 层，则效果翻倍；相邻符箓耗尽时，对敌方施加 20 层灼烧，如果敌方炎热层数超过 30 层，则效果翻倍；相邻符箓耗尽时，对敌方施加 26 层灼烧，如果敌方炎热层数超过 30 层，则效果翻倍；相邻符箓耗尽时，对敌方施加 30 层灼烧，如果敌方炎热层数超过 30 层，则效果翻倍</t>
        </is>
      </c>
      <c r="R752" s="9" t="inlineStr"/>
      <c r="S752" s="9" t="inlineStr">
        <is>
          <t>揭开甲腔时，一缕硫磺味的风裹着烫手的热息扑面而来，内壁脉络泛起橘色微光随之脉动两下便熄了。</t>
        </is>
      </c>
      <c r="T752" s="8" t="inlineStr">
        <is>
          <t>implement_forged_fubei_qiuyu_vermilion_nose_armor_2_1x1</t>
        </is>
      </c>
      <c r="U752" s="8" t="inlineStr">
        <is>
          <t>allowed</t>
        </is>
      </c>
    </row>
    <row r="753" ht="34" customHeight="1">
      <c r="A753" s="8" t="n">
        <v>752</v>
      </c>
      <c r="B753" s="8" t="n">
        <v>414500</v>
      </c>
      <c r="C753" s="8" t="inlineStr">
        <is>
          <t>风听耳羽铸护器</t>
        </is>
      </c>
      <c r="D753" s="8" t="inlineStr">
        <is>
          <t>法器</t>
        </is>
      </c>
      <c r="E753" s="8" t="inlineStr">
        <is>
          <t>implement</t>
        </is>
      </c>
      <c r="F753" s="8" t="inlineStr">
        <is>
          <t>spirit</t>
        </is>
      </c>
      <c r="G753" s="8" t="inlineStr">
        <is>
          <t>无</t>
        </is>
      </c>
      <c r="H753" s="8" t="inlineStr">
        <is>
          <t>none</t>
        </is>
      </c>
      <c r="I753" s="8" t="inlineStr">
        <is>
          <t>1×1</t>
        </is>
      </c>
      <c r="J753" s="8" t="n">
        <v>1</v>
      </c>
      <c r="K753" s="8" t="n">
        <v>100</v>
      </c>
      <c r="L753" s="8" t="inlineStr">
        <is>
          <t>是</t>
        </is>
      </c>
      <c r="M753" s="9" t="inlineStr"/>
      <c r="N753" s="8" t="n">
        <v>2</v>
      </c>
      <c r="O753" s="9" t="inlineStr">
        <is>
          <t>周期触发；被动效果</t>
        </is>
      </c>
      <c r="P753" s="9" t="inlineStr">
        <is>
          <t>periodicPulse；passive</t>
        </is>
      </c>
      <c r="Q753" s="9" t="inlineStr">
        <is>
          <t>周期触发：开局：如果闪避层数不少于 20 层，则获得 10 层敏捷；开局：如果闪避层数不少于 20 层，则获得 26 层敏捷；开局：如果闪避层数不少于 20 层，则获得 30 层敏捷；开局：如果闪避层数不少于 20 层，则获得 36 层敏捷 | 被动效果：闪避层数上限 +15；闪避层数上限 +20；闪避层数上限 +25；闪避层数上限 +30</t>
        </is>
      </c>
      <c r="R753" s="9" t="inlineStr"/>
      <c r="S753" s="9" t="inlineStr">
        <is>
          <t>羽根与腮边皮肤接触处已泛出琥珀色光泽，留有前主人在梅雨季御剑赶路时沾染的潮青苔痕。</t>
        </is>
      </c>
      <c r="T753" s="8" t="inlineStr">
        <is>
          <t>implement_forged_jiaosuo_tuojiang_wind_hearing_ear_feathers_1_1x1</t>
        </is>
      </c>
      <c r="U753" s="8" t="inlineStr">
        <is>
          <t>allowed</t>
        </is>
      </c>
    </row>
    <row r="754" ht="34" customHeight="1">
      <c r="A754" s="8" t="n">
        <v>753</v>
      </c>
      <c r="B754" s="8" t="n">
        <v>414501</v>
      </c>
      <c r="C754" s="8" t="inlineStr">
        <is>
          <t>风听耳羽回旋引势刃</t>
        </is>
      </c>
      <c r="D754" s="8" t="inlineStr">
        <is>
          <t>法器</t>
        </is>
      </c>
      <c r="E754" s="8" t="inlineStr">
        <is>
          <t>implement</t>
        </is>
      </c>
      <c r="F754" s="8" t="inlineStr">
        <is>
          <t>spirit</t>
        </is>
      </c>
      <c r="G754" s="8" t="inlineStr">
        <is>
          <t>无</t>
        </is>
      </c>
      <c r="H754" s="8" t="inlineStr">
        <is>
          <t>none</t>
        </is>
      </c>
      <c r="I754" s="8" t="inlineStr">
        <is>
          <t>1×1</t>
        </is>
      </c>
      <c r="J754" s="8" t="n">
        <v>1</v>
      </c>
      <c r="K754" s="8" t="n">
        <v>100</v>
      </c>
      <c r="L754" s="8" t="inlineStr">
        <is>
          <t>是</t>
        </is>
      </c>
      <c r="M754" s="9" t="inlineStr"/>
      <c r="N754" s="8" t="n">
        <v>1</v>
      </c>
      <c r="O754" s="9" t="inlineStr">
        <is>
          <t>条件触发</t>
        </is>
      </c>
      <c r="P754" s="9" t="inlineStr">
        <is>
          <t>triggered</t>
        </is>
      </c>
      <c r="Q754" s="9" t="inlineStr">
        <is>
          <t>条件触发：每当成功闪避一次，敌方随机 1 件道具获得 8 秒减速；每当成功闪避一次，敌方随机 1 件道具获得 10 秒减速；每当成功闪避一次，敌方随机 1 件道具获得 13 秒减速；每当成功闪避一次，敌方随机 1 件道具获得 15 秒减速</t>
        </is>
      </c>
      <c r="R754" s="9" t="inlineStr"/>
      <c r="S754" s="9" t="inlineStr">
        <is>
          <t>器脊在雷雨时泛出青色脉络，如同山风在聆听每一滴坠落的雨珠。</t>
        </is>
      </c>
      <c r="T754" s="8" t="inlineStr">
        <is>
          <t>implement_forged_jiaosuo_tuojiang_wind_hearing_ear_feathers_2_1x1</t>
        </is>
      </c>
      <c r="U754" s="8" t="inlineStr">
        <is>
          <t>allowed</t>
        </is>
      </c>
    </row>
    <row r="755" ht="34" customHeight="1">
      <c r="A755" s="8" t="n">
        <v>754</v>
      </c>
      <c r="B755" s="8" t="n">
        <v>414502</v>
      </c>
      <c r="C755" s="8" t="inlineStr">
        <is>
          <t>踏震踝核铸护器</t>
        </is>
      </c>
      <c r="D755" s="8" t="inlineStr">
        <is>
          <t>法器</t>
        </is>
      </c>
      <c r="E755" s="8" t="inlineStr">
        <is>
          <t>implement</t>
        </is>
      </c>
      <c r="F755" s="8" t="inlineStr">
        <is>
          <t>spirit</t>
        </is>
      </c>
      <c r="G755" s="8" t="inlineStr">
        <is>
          <t>金</t>
        </is>
      </c>
      <c r="H755" s="8" t="inlineStr">
        <is>
          <t>metal</t>
        </is>
      </c>
      <c r="I755" s="8" t="inlineStr">
        <is>
          <t>1×1</t>
        </is>
      </c>
      <c r="J755" s="8" t="n">
        <v>1</v>
      </c>
      <c r="K755" s="8" t="n">
        <v>100</v>
      </c>
      <c r="L755" s="8" t="inlineStr">
        <is>
          <t>是</t>
        </is>
      </c>
      <c r="M755" s="9" t="inlineStr"/>
      <c r="N755" s="8" t="n">
        <v>2</v>
      </c>
      <c r="O755" s="9" t="inlineStr">
        <is>
          <t>周期触发；被动效果</t>
        </is>
      </c>
      <c r="P755" s="9" t="inlineStr">
        <is>
          <t>periodicPulse；passive</t>
        </is>
      </c>
      <c r="Q755" s="9" t="inlineStr">
        <is>
          <t>周期触发：对敌方施加 10 层冰霜；对敌方施加 16 层冰霜；对敌方施加 20 层冰霜；对敌方施加 26 层冰霜 | 被动效果：凝金层数上限 +20；凝金层数上限 +25；凝金层数上限 +30；凝金层数上限 +35</t>
        </is>
      </c>
      <c r="R755" s="9" t="inlineStr"/>
      <c r="S755" s="9" t="inlineStr">
        <is>
          <t>听说是一位山农为封镇祖坟塌陷，掘地九尺偶得此核。</t>
        </is>
      </c>
      <c r="T755" s="8" t="inlineStr">
        <is>
          <t>implement_forged_jiaosuo_tuojiang_shock_step_ankle_core_1_1x1</t>
        </is>
      </c>
      <c r="U755" s="8" t="inlineStr">
        <is>
          <t>allowed</t>
        </is>
      </c>
    </row>
    <row r="756" ht="34" customHeight="1">
      <c r="A756" s="8" t="n">
        <v>755</v>
      </c>
      <c r="B756" s="8" t="n">
        <v>414503</v>
      </c>
      <c r="C756" s="8" t="inlineStr">
        <is>
          <t>踏震踝核回旋引势刃</t>
        </is>
      </c>
      <c r="D756" s="8" t="inlineStr">
        <is>
          <t>法器</t>
        </is>
      </c>
      <c r="E756" s="8" t="inlineStr">
        <is>
          <t>implement</t>
        </is>
      </c>
      <c r="F756" s="8" t="inlineStr">
        <is>
          <t>spirit</t>
        </is>
      </c>
      <c r="G756" s="8" t="inlineStr">
        <is>
          <t>金</t>
        </is>
      </c>
      <c r="H756" s="8" t="inlineStr">
        <is>
          <t>metal</t>
        </is>
      </c>
      <c r="I756" s="8" t="inlineStr">
        <is>
          <t>1×1</t>
        </is>
      </c>
      <c r="J756" s="8" t="n">
        <v>1</v>
      </c>
      <c r="K756" s="8" t="n">
        <v>100</v>
      </c>
      <c r="L756" s="8" t="inlineStr">
        <is>
          <t>是</t>
        </is>
      </c>
      <c r="M756" s="9" t="inlineStr"/>
      <c r="N756" s="8" t="n">
        <v>1</v>
      </c>
      <c r="O756" s="9" t="inlineStr">
        <is>
          <t>周期触发</t>
        </is>
      </c>
      <c r="P756" s="9" t="inlineStr">
        <is>
          <t>periodicPulse</t>
        </is>
      </c>
      <c r="Q756" s="9" t="inlineStr">
        <is>
          <t>周期触发：最多消耗敌方 6 层冰霜；每消耗 1 层，对敌方造成 15 点伤害；最多消耗敌方 8 层冰霜；每消耗 1 层，对敌方造成 15 点伤害；最多消耗敌方 10 层冰霜；每消耗 1 层，对敌方造成 15 点伤害；最多消耗敌方 12 层冰霜；每消耗 1 层，对敌方造成 15 点伤害</t>
        </is>
      </c>
      <c r="R756" s="9" t="inlineStr"/>
      <c r="S756" s="9" t="inlineStr">
        <is>
          <t>细密缠丝内匣轻启，便嗅到一丝凝滞岩髓在鼻尖化开，像是初冬新雪压在枯松上刹那崩落的清冷。</t>
        </is>
      </c>
      <c r="T756" s="8" t="inlineStr">
        <is>
          <t>implement_forged_jiaosuo_tuojiang_shock_step_ankle_core_2_1x1</t>
        </is>
      </c>
      <c r="U756" s="8" t="inlineStr">
        <is>
          <t>allowed</t>
        </is>
      </c>
    </row>
    <row r="757" ht="34" customHeight="1">
      <c r="A757" s="8" t="n">
        <v>756</v>
      </c>
      <c r="B757" s="8" t="n">
        <v>414504</v>
      </c>
      <c r="C757" s="8" t="inlineStr">
        <is>
          <t>回弹颈侧筋铸护器</t>
        </is>
      </c>
      <c r="D757" s="8" t="inlineStr">
        <is>
          <t>法器</t>
        </is>
      </c>
      <c r="E757" s="8" t="inlineStr">
        <is>
          <t>implement</t>
        </is>
      </c>
      <c r="F757" s="8" t="inlineStr">
        <is>
          <t>spirit</t>
        </is>
      </c>
      <c r="G757" s="8" t="inlineStr">
        <is>
          <t>木</t>
        </is>
      </c>
      <c r="H757" s="8" t="inlineStr">
        <is>
          <t>wood</t>
        </is>
      </c>
      <c r="I757" s="8" t="inlineStr">
        <is>
          <t>2×1</t>
        </is>
      </c>
      <c r="J757" s="8" t="n">
        <v>2</v>
      </c>
      <c r="K757" s="8" t="n">
        <v>100</v>
      </c>
      <c r="L757" s="8" t="inlineStr">
        <is>
          <t>是</t>
        </is>
      </c>
      <c r="M757" s="9" t="inlineStr"/>
      <c r="N757" s="8" t="n">
        <v>1</v>
      </c>
      <c r="O757" s="9" t="inlineStr">
        <is>
          <t>周期触发</t>
        </is>
      </c>
      <c r="P757" s="9" t="inlineStr">
        <is>
          <t>periodicPulse</t>
        </is>
      </c>
      <c r="Q757" s="9" t="inlineStr">
        <is>
          <t>周期触发：如果护甲层数不少于 40 层，则恢复 20 点体力；如果护甲层数不少于 40 层，则恢复 60 点体力；如果护甲层数不少于 40 层，则恢复 80 点体力；如果护甲层数不少于 40 层，则恢复 100 点体力</t>
        </is>
      </c>
      <c r="R757" s="9" t="inlineStr"/>
      <c r="S757" s="9" t="inlineStr">
        <is>
          <t>腭骨经络的断面仍在渗着树汁，闻起来像刚折下的松枝。</t>
        </is>
      </c>
      <c r="T757" s="8" t="inlineStr">
        <is>
          <t>implement_forged_jiaosuo_tuojiang_rebounding_neck_sinew_1_2x1</t>
        </is>
      </c>
      <c r="U757" s="8" t="inlineStr">
        <is>
          <t>allowed</t>
        </is>
      </c>
    </row>
    <row r="758" ht="34" customHeight="1">
      <c r="A758" s="8" t="n">
        <v>757</v>
      </c>
      <c r="B758" s="8" t="n">
        <v>414505</v>
      </c>
      <c r="C758" s="8" t="inlineStr">
        <is>
          <t>回弹颈侧筋回旋引势刃</t>
        </is>
      </c>
      <c r="D758" s="8" t="inlineStr">
        <is>
          <t>法器</t>
        </is>
      </c>
      <c r="E758" s="8" t="inlineStr">
        <is>
          <t>implement</t>
        </is>
      </c>
      <c r="F758" s="8" t="inlineStr">
        <is>
          <t>spirit</t>
        </is>
      </c>
      <c r="G758" s="8" t="inlineStr">
        <is>
          <t>风</t>
        </is>
      </c>
      <c r="H758" s="8" t="inlineStr">
        <is>
          <t>wind</t>
        </is>
      </c>
      <c r="I758" s="8" t="inlineStr">
        <is>
          <t>2×1</t>
        </is>
      </c>
      <c r="J758" s="8" t="n">
        <v>2</v>
      </c>
      <c r="K758" s="8" t="n">
        <v>100</v>
      </c>
      <c r="L758" s="8" t="inlineStr">
        <is>
          <t>是</t>
        </is>
      </c>
      <c r="M758" s="9" t="inlineStr"/>
      <c r="N758" s="8" t="n">
        <v>1</v>
      </c>
      <c r="O758" s="9" t="inlineStr">
        <is>
          <t>条件触发</t>
        </is>
      </c>
      <c r="P758" s="9" t="inlineStr">
        <is>
          <t>triggered</t>
        </is>
      </c>
      <c r="Q758" s="9" t="inlineStr">
        <is>
          <t>条件触发：左右相邻武器造成伤害时，获得 6 层敏捷；左右相邻武器造成伤害时，获得 10 层敏捷；左右相邻武器造成伤害时，获得 16 层敏捷；左右相邻武器造成伤害时，获得 20 层敏捷</t>
        </is>
      </c>
      <c r="R758" s="9" t="inlineStr"/>
      <c r="S758" s="9" t="inlineStr">
        <is>
          <t>须根状的筋条在鞘内低频搏动，带出松针腐烂与沉香交替的湿润气息。</t>
        </is>
      </c>
      <c r="T758" s="8" t="inlineStr">
        <is>
          <t>implement_forged_jiaosuo_tuojiang_rebounding_neck_sinew_2_2x1</t>
        </is>
      </c>
      <c r="U758" s="8" t="inlineStr">
        <is>
          <t>allowed</t>
        </is>
      </c>
    </row>
    <row r="759" ht="34" customHeight="1">
      <c r="A759" s="8" t="n">
        <v>758</v>
      </c>
      <c r="B759" s="8" t="n">
        <v>414800</v>
      </c>
      <c r="C759" s="8" t="inlineStr">
        <is>
          <t>盔角髓晶铸护器</t>
        </is>
      </c>
      <c r="D759" s="8" t="inlineStr">
        <is>
          <t>法器</t>
        </is>
      </c>
      <c r="E759" s="8" t="inlineStr">
        <is>
          <t>implement</t>
        </is>
      </c>
      <c r="F759" s="8" t="inlineStr">
        <is>
          <t>spirit</t>
        </is>
      </c>
      <c r="G759" s="8" t="inlineStr">
        <is>
          <t>金</t>
        </is>
      </c>
      <c r="H759" s="8" t="inlineStr">
        <is>
          <t>metal</t>
        </is>
      </c>
      <c r="I759" s="8" t="inlineStr">
        <is>
          <t>1×1</t>
        </is>
      </c>
      <c r="J759" s="8" t="n">
        <v>1</v>
      </c>
      <c r="K759" s="8" t="n">
        <v>100</v>
      </c>
      <c r="L759" s="8" t="inlineStr">
        <is>
          <t>是</t>
        </is>
      </c>
      <c r="M759" s="9" t="inlineStr"/>
      <c r="N759" s="8" t="n">
        <v>2</v>
      </c>
      <c r="O759" s="9" t="inlineStr">
        <is>
          <t>周期触发；被动效果</t>
        </is>
      </c>
      <c r="P759" s="9" t="inlineStr">
        <is>
          <t>periodicPulse；passive</t>
        </is>
      </c>
      <c r="Q759" s="9" t="inlineStr">
        <is>
          <t>周期触发：开局：获得 30 层护甲；开局：获得 40 层护甲；开局：获得 50 层护甲；开局：获得 60 层护甲 | 被动效果：护甲层数上限 +10；护甲层数上限 +15；护甲层数上限 +20；护甲层数上限 +25</t>
        </is>
      </c>
      <c r="R759" s="9" t="inlineStr"/>
      <c r="S759" s="9" t="inlineStr">
        <is>
          <t>器骨上仍能辨别出脊骨原样生长出的天然骨粒触面，握持时掌心总传来深埋矿脉的嗡鸣。</t>
        </is>
      </c>
      <c r="T759" s="8" t="inlineStr">
        <is>
          <t>implement_marrow_crystal_array_breaking_awl_1x1</t>
        </is>
      </c>
      <c r="U759" s="8" t="inlineStr">
        <is>
          <t>allowed</t>
        </is>
      </c>
    </row>
    <row r="760" ht="34" customHeight="1">
      <c r="A760" s="8" t="n">
        <v>759</v>
      </c>
      <c r="B760" s="8" t="n">
        <v>414801</v>
      </c>
      <c r="C760" s="8" t="inlineStr">
        <is>
          <t>节足韧筋铸护器</t>
        </is>
      </c>
      <c r="D760" s="8" t="inlineStr">
        <is>
          <t>法器</t>
        </is>
      </c>
      <c r="E760" s="8" t="inlineStr">
        <is>
          <t>implement</t>
        </is>
      </c>
      <c r="F760" s="8" t="inlineStr">
        <is>
          <t>spirit</t>
        </is>
      </c>
      <c r="G760" s="8" t="inlineStr">
        <is>
          <t>风</t>
        </is>
      </c>
      <c r="H760" s="8" t="inlineStr">
        <is>
          <t>wind</t>
        </is>
      </c>
      <c r="I760" s="8" t="inlineStr">
        <is>
          <t>1×1</t>
        </is>
      </c>
      <c r="J760" s="8" t="n">
        <v>1</v>
      </c>
      <c r="K760" s="8" t="n">
        <v>100</v>
      </c>
      <c r="L760" s="8" t="inlineStr">
        <is>
          <t>是</t>
        </is>
      </c>
      <c r="M760" s="9" t="inlineStr"/>
      <c r="N760" s="8" t="n">
        <v>2</v>
      </c>
      <c r="O760" s="9" t="inlineStr">
        <is>
          <t>条件触发；被动效果</t>
        </is>
      </c>
      <c r="P760" s="9" t="inlineStr">
        <is>
          <t>triggered；passive</t>
        </is>
      </c>
      <c r="Q760" s="9" t="inlineStr">
        <is>
          <t>条件触发：相邻道具消耗体力时，获得 6 层敏捷；相邻道具消耗体力时，获得 10 层敏捷；相邻道具消耗体力时，获得 16 层敏捷；相邻道具消耗体力时，获得 20 层敏捷 | 被动效果：体力上限 +40；体力上限 +50；体力上限 +60；体力上限 +70</t>
        </is>
      </c>
      <c r="R760" s="9" t="inlineStr"/>
      <c r="S760" s="9" t="inlineStr">
        <is>
          <t>柔木器影随烛火明灭，节膜间渗出淡淡的腐叶清香，护筋深处有蝉蜕般细碎的震颤回响。</t>
        </is>
      </c>
      <c r="T760" s="8" t="inlineStr">
        <is>
          <t>implement_forged_kuishou_tianniu_leg_sinew_knot_1_1x1</t>
        </is>
      </c>
      <c r="U760" s="8" t="inlineStr">
        <is>
          <t>allowed</t>
        </is>
      </c>
    </row>
    <row r="761" ht="34" customHeight="1">
      <c r="A761" s="8" t="n">
        <v>760</v>
      </c>
      <c r="B761" s="8" t="n">
        <v>414802</v>
      </c>
      <c r="C761" s="8" t="inlineStr">
        <is>
          <t>胸腔鸣膜铸护器</t>
        </is>
      </c>
      <c r="D761" s="8" t="inlineStr">
        <is>
          <t>法器</t>
        </is>
      </c>
      <c r="E761" s="8" t="inlineStr">
        <is>
          <t>implement</t>
        </is>
      </c>
      <c r="F761" s="8" t="inlineStr">
        <is>
          <t>spirit</t>
        </is>
      </c>
      <c r="G761" s="8" t="inlineStr">
        <is>
          <t>火</t>
        </is>
      </c>
      <c r="H761" s="8" t="inlineStr">
        <is>
          <t>fire</t>
        </is>
      </c>
      <c r="I761" s="8" t="inlineStr">
        <is>
          <t>1×1</t>
        </is>
      </c>
      <c r="J761" s="8" t="n">
        <v>1</v>
      </c>
      <c r="K761" s="8" t="n">
        <v>100</v>
      </c>
      <c r="L761" s="8" t="inlineStr">
        <is>
          <t>是</t>
        </is>
      </c>
      <c r="M761" s="9" t="inlineStr"/>
      <c r="N761" s="8" t="n">
        <v>1</v>
      </c>
      <c r="O761" s="9" t="inlineStr">
        <is>
          <t>周期触发</t>
        </is>
      </c>
      <c r="P761" s="9" t="inlineStr">
        <is>
          <t>periodicPulse</t>
        </is>
      </c>
      <c r="Q761" s="9" t="inlineStr">
        <is>
          <t>周期触发：如果炎热层数不少于 20 层，恢复 30 点法力；如果炎热层数不少于 20 层，恢复 50 点法力；如果炎热层数不少于 20 层，恢复 70 点法力；如果炎热层数不少于 20 层，恢复 90 点法力</t>
        </is>
      </c>
      <c r="R761" s="9" t="inlineStr"/>
      <c r="S761" s="9" t="inlineStr">
        <is>
          <t>镌在腹腔褶皱处的暗记是匠人用甲刀削成的，那细微齿痕恰能藏住鸣膜的第三道灵气回音。</t>
        </is>
      </c>
      <c r="T761" s="8" t="inlineStr">
        <is>
          <t>implement_forged_kuishou_tianniu_thoracic_resonance_membrane_1_1x1</t>
        </is>
      </c>
      <c r="U761" s="8" t="inlineStr">
        <is>
          <t>allowed</t>
        </is>
      </c>
    </row>
    <row r="762" ht="34" customHeight="1">
      <c r="A762" s="8" t="n">
        <v>761</v>
      </c>
      <c r="B762" s="8" t="n">
        <v>415000</v>
      </c>
      <c r="C762" s="8" t="inlineStr">
        <is>
          <t>青铜钩杆节铸护器</t>
        </is>
      </c>
      <c r="D762" s="8" t="inlineStr">
        <is>
          <t>法器</t>
        </is>
      </c>
      <c r="E762" s="8" t="inlineStr">
        <is>
          <t>implement</t>
        </is>
      </c>
      <c r="F762" s="8" t="inlineStr">
        <is>
          <t>spirit</t>
        </is>
      </c>
      <c r="G762" s="8" t="inlineStr">
        <is>
          <t>金</t>
        </is>
      </c>
      <c r="H762" s="8" t="inlineStr">
        <is>
          <t>metal</t>
        </is>
      </c>
      <c r="I762" s="8" t="inlineStr">
        <is>
          <t>4×1</t>
        </is>
      </c>
      <c r="J762" s="8" t="n">
        <v>4</v>
      </c>
      <c r="K762" s="8" t="n">
        <v>100</v>
      </c>
      <c r="L762" s="8" t="inlineStr">
        <is>
          <t>是</t>
        </is>
      </c>
      <c r="M762" s="9" t="inlineStr"/>
      <c r="N762" s="8" t="n">
        <v>2</v>
      </c>
      <c r="O762" s="9" t="inlineStr">
        <is>
          <t>周期触发；被动效果</t>
        </is>
      </c>
      <c r="P762" s="9" t="inlineStr">
        <is>
          <t>periodicPulse；passive</t>
        </is>
      </c>
      <c r="Q762" s="9" t="inlineStr">
        <is>
          <t>周期触发：如果敌方冰霜层数不少于 10 层，敌方占格面积最大的道具获得 4 秒减速；如果敌方冰霜层数不少于 10 层，敌方占格面积最大的道具获得 6 秒减速；如果敌方冰霜层数不少于 10 层，敌方占格面积最大的道具获得 8 秒减速；如果敌方冰霜层数不少于 10 层，敌方占格面积最大的道具获得 10 秒减速 | 被动效果：凝金层数上限 +20；凝金层数上限 +25；凝金层数上限 +30；凝金层数上限 +35</t>
        </is>
      </c>
      <c r="R762" s="9" t="inlineStr"/>
      <c r="S762" s="9" t="inlineStr">
        <is>
          <t>旧鼎炼出的铜皮裹着樟木把手，雨后摸上去有种发涩的檀腥气。</t>
        </is>
      </c>
      <c r="T762" s="8" t="inlineStr">
        <is>
          <t>implement_forged_longxiong_lintang_bronze_hook_pole_joint_1_4x1</t>
        </is>
      </c>
      <c r="U762" s="8" t="inlineStr">
        <is>
          <t>allowed</t>
        </is>
      </c>
    </row>
    <row r="763" ht="34" customHeight="1">
      <c r="A763" s="8" t="n">
        <v>762</v>
      </c>
      <c r="B763" s="8" t="n">
        <v>415001</v>
      </c>
      <c r="C763" s="8" t="inlineStr">
        <is>
          <t>青铜钩杆节回旋引势刃</t>
        </is>
      </c>
      <c r="D763" s="8" t="inlineStr">
        <is>
          <t>法器</t>
        </is>
      </c>
      <c r="E763" s="8" t="inlineStr">
        <is>
          <t>implement</t>
        </is>
      </c>
      <c r="F763" s="8" t="inlineStr">
        <is>
          <t>spirit</t>
        </is>
      </c>
      <c r="G763" s="8" t="inlineStr">
        <is>
          <t>金</t>
        </is>
      </c>
      <c r="H763" s="8" t="inlineStr">
        <is>
          <t>metal</t>
        </is>
      </c>
      <c r="I763" s="8" t="inlineStr">
        <is>
          <t>4×1</t>
        </is>
      </c>
      <c r="J763" s="8" t="n">
        <v>4</v>
      </c>
      <c r="K763" s="8" t="n">
        <v>100</v>
      </c>
      <c r="L763" s="8" t="inlineStr">
        <is>
          <t>是</t>
        </is>
      </c>
      <c r="M763" s="9" t="inlineStr"/>
      <c r="N763" s="8" t="n">
        <v>1</v>
      </c>
      <c r="O763" s="9" t="inlineStr">
        <is>
          <t>周期触发</t>
        </is>
      </c>
      <c r="P763" s="9" t="inlineStr">
        <is>
          <t>periodicPulse</t>
        </is>
      </c>
      <c r="Q763" s="9" t="inlineStr">
        <is>
          <t>周期触发：相邻 4 件武器时，获得 40 层凝金；相邻 4 件武器时，获得 52 层凝金；相邻 4 件武器时，获得 64 层凝金；相邻 4 件武器时，获得 76 层凝金</t>
        </is>
      </c>
      <c r="R763" s="9" t="inlineStr"/>
      <c r="S763" s="9" t="inlineStr">
        <is>
          <t>刃节间的铜色在暗室中泛着清苦的矿味儿，静置时会发出极浅的嗡鸣，像是远山矿脉在地底的回响。</t>
        </is>
      </c>
      <c r="T763" s="8" t="inlineStr">
        <is>
          <t>implement_forged_longxiong_lintang_bronze_hook_pole_joint_2_4x1</t>
        </is>
      </c>
      <c r="U763" s="8" t="inlineStr">
        <is>
          <t>allowed</t>
        </is>
      </c>
    </row>
    <row r="764" ht="34" customHeight="1">
      <c r="A764" s="8" t="n">
        <v>763</v>
      </c>
      <c r="B764" s="8" t="n">
        <v>415002</v>
      </c>
      <c r="C764" s="8" t="inlineStr">
        <is>
          <t>束胸眼腺铸护器</t>
        </is>
      </c>
      <c r="D764" s="8" t="inlineStr">
        <is>
          <t>法器</t>
        </is>
      </c>
      <c r="E764" s="8" t="inlineStr">
        <is>
          <t>implement</t>
        </is>
      </c>
      <c r="F764" s="8" t="inlineStr">
        <is>
          <t>spirit</t>
        </is>
      </c>
      <c r="G764" s="8" t="inlineStr">
        <is>
          <t>水</t>
        </is>
      </c>
      <c r="H764" s="8" t="inlineStr">
        <is>
          <t>water</t>
        </is>
      </c>
      <c r="I764" s="8" t="inlineStr">
        <is>
          <t>1×1</t>
        </is>
      </c>
      <c r="J764" s="8" t="n">
        <v>1</v>
      </c>
      <c r="K764" s="8" t="n">
        <v>100</v>
      </c>
      <c r="L764" s="8" t="inlineStr">
        <is>
          <t>是</t>
        </is>
      </c>
      <c r="M764" s="9" t="inlineStr"/>
      <c r="N764" s="8" t="n">
        <v>2</v>
      </c>
      <c r="O764" s="9" t="inlineStr">
        <is>
          <t>周期触发；被动效果</t>
        </is>
      </c>
      <c r="P764" s="9" t="inlineStr">
        <is>
          <t>periodicPulse；passive</t>
        </is>
      </c>
      <c r="Q764" s="9" t="inlineStr">
        <is>
          <t>周期触发：消耗 10 点神识如果敏捷和寒冷层数均不少于 15 层，吸取敌方 160 点气血；消耗 20 点神识如果敏捷和寒冷层数均不少于 30 层，吸取敌方 240 点气血；消耗 30 点神识如果敏捷和寒冷层数均不少于 30 层，吸取敌方 320 点气血；消耗 40 点神识如果敏捷和寒冷层数均不少于 30 层，吸取敌方 400 点气血 | 被动效果：法力上限 +40；法力上限 +50；法力上限 +60；法力上限 +70</t>
        </is>
      </c>
      <c r="R764" s="9" t="inlineStr"/>
      <c r="S764" s="9" t="inlineStr">
        <is>
          <t>晶珠表面隐约可见一道歪斜的鱼鳞纹，那是锻器时手心余汗不慎沁入的痕迹。</t>
        </is>
      </c>
      <c r="T764" s="8" t="inlineStr">
        <is>
          <t>implement_forged_longxiong_lintang_chest_eye_gland_1_1x1</t>
        </is>
      </c>
      <c r="U764" s="8" t="inlineStr">
        <is>
          <t>allowed</t>
        </is>
      </c>
    </row>
    <row r="765" ht="34" customHeight="1">
      <c r="A765" s="8" t="n">
        <v>764</v>
      </c>
      <c r="B765" s="8" t="n">
        <v>415003</v>
      </c>
      <c r="C765" s="8" t="inlineStr">
        <is>
          <t>束胸眼腺回旋引势刃</t>
        </is>
      </c>
      <c r="D765" s="8" t="inlineStr">
        <is>
          <t>法器</t>
        </is>
      </c>
      <c r="E765" s="8" t="inlineStr">
        <is>
          <t>implement</t>
        </is>
      </c>
      <c r="F765" s="8" t="inlineStr">
        <is>
          <t>spirit</t>
        </is>
      </c>
      <c r="G765" s="8" t="inlineStr">
        <is>
          <t>水</t>
        </is>
      </c>
      <c r="H765" s="8" t="inlineStr">
        <is>
          <t>water</t>
        </is>
      </c>
      <c r="I765" s="8" t="inlineStr">
        <is>
          <t>1×1</t>
        </is>
      </c>
      <c r="J765" s="8" t="n">
        <v>1</v>
      </c>
      <c r="K765" s="8" t="n">
        <v>100</v>
      </c>
      <c r="L765" s="8" t="inlineStr">
        <is>
          <t>是</t>
        </is>
      </c>
      <c r="M765" s="9" t="inlineStr"/>
      <c r="N765" s="8" t="n">
        <v>1</v>
      </c>
      <c r="O765" s="9" t="inlineStr">
        <is>
          <t>周期触发</t>
        </is>
      </c>
      <c r="P765" s="9" t="inlineStr">
        <is>
          <t>periodicPulse</t>
        </is>
      </c>
      <c r="Q765" s="9" t="inlineStr">
        <is>
          <t>周期触发：消耗 2 点神识，将最多 8 层露水转化为气血，每层恢复 5 点；将最多 8 层露水转化为气血，每层恢复 5 点；消耗 4 点神识，将最多 12 层露水转化为气血，每层恢复 5 点；将最多 12 层露水转化为气血，每层恢复 5 点；消耗 6 点神识，将最多 16 层露水转化为气血，每层恢复 5 点；将最多 16 层露水转化为气血，每层恢复 5 点；消耗 8 点神识，将最多 20 层露水转化为气血，每层恢复 5 点；将最多 20 层露水转化为气血，每层恢复 5 点</t>
        </is>
      </c>
      <c r="R765" s="9" t="inlineStr"/>
      <c r="S765" s="9" t="inlineStr">
        <is>
          <t>刀身泛着束胸眼腺独有的冰凉水汽，触感如同浸过三月晨雾的蛇蜕。</t>
        </is>
      </c>
      <c r="T765" s="8" t="inlineStr">
        <is>
          <t>implement_forged_longxiong_lintang_chest_eye_gland_2_1x1</t>
        </is>
      </c>
      <c r="U765" s="8" t="inlineStr">
        <is>
          <t>allowed</t>
        </is>
      </c>
    </row>
    <row r="766" ht="34" customHeight="1">
      <c r="A766" s="8" t="n">
        <v>765</v>
      </c>
      <c r="B766" s="8" t="n">
        <v>415004</v>
      </c>
      <c r="C766" s="8" t="inlineStr">
        <is>
          <t>鳞尾节鞭铸护器</t>
        </is>
      </c>
      <c r="D766" s="8" t="inlineStr">
        <is>
          <t>法器</t>
        </is>
      </c>
      <c r="E766" s="8" t="inlineStr">
        <is>
          <t>implement</t>
        </is>
      </c>
      <c r="F766" s="8" t="inlineStr">
        <is>
          <t>spirit</t>
        </is>
      </c>
      <c r="G766" s="8" t="inlineStr">
        <is>
          <t>木</t>
        </is>
      </c>
      <c r="H766" s="8" t="inlineStr">
        <is>
          <t>wood</t>
        </is>
      </c>
      <c r="I766" s="8" t="inlineStr">
        <is>
          <t>3×1</t>
        </is>
      </c>
      <c r="J766" s="8" t="n">
        <v>3</v>
      </c>
      <c r="K766" s="8" t="n">
        <v>100</v>
      </c>
      <c r="L766" s="8" t="inlineStr">
        <is>
          <t>是</t>
        </is>
      </c>
      <c r="M766" s="9" t="inlineStr"/>
      <c r="N766" s="8" t="n">
        <v>1</v>
      </c>
      <c r="O766" s="9" t="inlineStr">
        <is>
          <t>周期触发</t>
        </is>
      </c>
      <c r="P766" s="9" t="inlineStr">
        <is>
          <t>periodicPulse</t>
        </is>
      </c>
      <c r="Q766" s="9" t="inlineStr">
        <is>
          <t>周期触发：消耗 120 点体力，对敌方造成 60 点伤害 3 次；消耗 160 点体力，对敌方造成 80 点伤害 3 次；消耗 200 点体力，对敌方造成 100 点伤害 3 次；消耗 240 点体力，对敌方造成 120 点伤害 3 次</t>
        </is>
      </c>
      <c r="R766" s="9" t="inlineStr"/>
      <c r="S766" s="9" t="inlineStr">
        <is>
          <t>铸件内层透出樟木气味，柄部有一圈雨水渗出的淡黄沁痕。</t>
        </is>
      </c>
      <c r="T766" s="8" t="inlineStr">
        <is>
          <t>implement_forged_longxiong_lintang_scale_tail_segment_whip_1_3x1</t>
        </is>
      </c>
      <c r="U766" s="8" t="inlineStr">
        <is>
          <t>allowed</t>
        </is>
      </c>
    </row>
    <row r="767" ht="34" customHeight="1">
      <c r="A767" s="8" t="n">
        <v>766</v>
      </c>
      <c r="B767" s="8" t="n">
        <v>415005</v>
      </c>
      <c r="C767" s="8" t="inlineStr">
        <is>
          <t>鳞尾节鞭回旋引势刃</t>
        </is>
      </c>
      <c r="D767" s="8" t="inlineStr">
        <is>
          <t>法器</t>
        </is>
      </c>
      <c r="E767" s="8" t="inlineStr">
        <is>
          <t>implement</t>
        </is>
      </c>
      <c r="F767" s="8" t="inlineStr">
        <is>
          <t>spirit</t>
        </is>
      </c>
      <c r="G767" s="8" t="inlineStr">
        <is>
          <t>木</t>
        </is>
      </c>
      <c r="H767" s="8" t="inlineStr">
        <is>
          <t>wood</t>
        </is>
      </c>
      <c r="I767" s="8" t="inlineStr">
        <is>
          <t>3×1</t>
        </is>
      </c>
      <c r="J767" s="8" t="n">
        <v>3</v>
      </c>
      <c r="K767" s="8" t="n">
        <v>100</v>
      </c>
      <c r="L767" s="8" t="inlineStr">
        <is>
          <t>是</t>
        </is>
      </c>
      <c r="M767" s="9" t="inlineStr"/>
      <c r="N767" s="8" t="n">
        <v>1</v>
      </c>
      <c r="O767" s="9" t="inlineStr">
        <is>
          <t>条件触发</t>
        </is>
      </c>
      <c r="P767" s="9" t="inlineStr">
        <is>
          <t>triggered</t>
        </is>
      </c>
      <c r="Q767" s="9" t="inlineStr">
        <is>
          <t>条件触发：左右相邻武器对敌方造成伤害时，对敌方施加 4 层中毒；左右相邻武器对敌方造成伤害时，对敌方施加 6 层中毒；左右相邻武器对敌方造成伤害时，对敌方施加 10 层中毒；左右相邻武器对敌方造成伤害时，对敌方施加 12 层中毒</t>
        </is>
      </c>
      <c r="R767" s="9" t="inlineStr"/>
      <c r="S767" s="9" t="inlineStr">
        <is>
          <t>在炉火中淬炼时，法器表面会浮现竹林中幽深晨雾的虚影。</t>
        </is>
      </c>
      <c r="T767" s="8" t="inlineStr">
        <is>
          <t>implement_forged_longxiong_lintang_scale_tail_segment_whip_2_3x1</t>
        </is>
      </c>
      <c r="U767" s="8" t="inlineStr">
        <is>
          <t>allowed</t>
        </is>
      </c>
    </row>
    <row r="768" ht="34" customHeight="1">
      <c r="A768" s="8" t="n">
        <v>767</v>
      </c>
      <c r="B768" s="8" t="n">
        <v>415200</v>
      </c>
      <c r="C768" s="8" t="inlineStr">
        <is>
          <t>铜环鸣囊镇纹器</t>
        </is>
      </c>
      <c r="D768" s="8" t="inlineStr">
        <is>
          <t>法器</t>
        </is>
      </c>
      <c r="E768" s="8" t="inlineStr">
        <is>
          <t>implement</t>
        </is>
      </c>
      <c r="F768" s="8" t="inlineStr">
        <is>
          <t>spirit</t>
        </is>
      </c>
      <c r="G768" s="8" t="inlineStr">
        <is>
          <t>火</t>
        </is>
      </c>
      <c r="H768" s="8" t="inlineStr">
        <is>
          <t>fire</t>
        </is>
      </c>
      <c r="I768" s="8" t="inlineStr">
        <is>
          <t>2×1</t>
        </is>
      </c>
      <c r="J768" s="8" t="n">
        <v>2</v>
      </c>
      <c r="K768" s="8" t="n">
        <v>100</v>
      </c>
      <c r="L768" s="8" t="inlineStr">
        <is>
          <t>是</t>
        </is>
      </c>
      <c r="M768" s="9" t="inlineStr"/>
      <c r="N768" s="8" t="n">
        <v>2</v>
      </c>
      <c r="O768" s="9" t="inlineStr">
        <is>
          <t>周期触发；被动效果</t>
        </is>
      </c>
      <c r="P768" s="9" t="inlineStr">
        <is>
          <t>periodicPulse；passive</t>
        </is>
      </c>
      <c r="Q768" s="9" t="inlineStr">
        <is>
          <t>周期触发：开局：如果凝金层数不少于 80 层，获得 160 层护甲；开局：如果凝金层数不少于 80 层，获得 240 层护甲；开局：如果凝金层数不少于 80 层，获得 320 层护甲；开局：如果凝金层数不少于 80 层，获得 400 层护甲 | 被动效果：护甲层数上限 +20；护甲层数上限 +25；护甲层数上限 +30；护甲层数上限 +35</t>
        </is>
      </c>
      <c r="R768" s="9" t="inlineStr"/>
      <c r="S768" s="9" t="inlineStr">
        <is>
          <t>欲裂未裂的铜皮下藏着熔成细线的赤晶，像把千层热地压进掌心一握。</t>
        </is>
      </c>
      <c r="T768" s="8" t="inlineStr">
        <is>
          <t>implement_lujia_ni_bronze_ring_resonance_sac_core_2x1</t>
        </is>
      </c>
      <c r="U768" s="8" t="inlineStr">
        <is>
          <t>allowed</t>
        </is>
      </c>
    </row>
    <row r="769" ht="34" customHeight="1">
      <c r="A769" s="8" t="n">
        <v>768</v>
      </c>
      <c r="B769" s="8" t="n">
        <v>415201</v>
      </c>
      <c r="C769" s="8" t="inlineStr">
        <is>
          <t>厚蹼尾皮镇纹器</t>
        </is>
      </c>
      <c r="D769" s="8" t="inlineStr">
        <is>
          <t>法器</t>
        </is>
      </c>
      <c r="E769" s="8" t="inlineStr">
        <is>
          <t>implement</t>
        </is>
      </c>
      <c r="F769" s="8" t="inlineStr">
        <is>
          <t>spirit</t>
        </is>
      </c>
      <c r="G769" s="8" t="inlineStr">
        <is>
          <t>水</t>
        </is>
      </c>
      <c r="H769" s="8" t="inlineStr">
        <is>
          <t>water</t>
        </is>
      </c>
      <c r="I769" s="8" t="inlineStr">
        <is>
          <t>2×2</t>
        </is>
      </c>
      <c r="J769" s="8" t="n">
        <v>4</v>
      </c>
      <c r="K769" s="8" t="n">
        <v>100</v>
      </c>
      <c r="L769" s="8" t="inlineStr">
        <is>
          <t>是</t>
        </is>
      </c>
      <c r="M769" s="9" t="inlineStr"/>
      <c r="N769" s="8" t="n">
        <v>1</v>
      </c>
      <c r="O769" s="9" t="inlineStr">
        <is>
          <t>周期触发</t>
        </is>
      </c>
      <c r="P769" s="9" t="inlineStr">
        <is>
          <t>periodicPulse</t>
        </is>
      </c>
      <c r="Q769" s="9" t="inlineStr">
        <is>
          <t>周期触发：获得 10 层坚硬和敏捷；获得 16 层坚硬和敏捷；获得 20 层坚硬和敏捷；获得 26 层坚硬和敏捷</t>
        </is>
      </c>
      <c r="R769" s="9" t="inlineStr"/>
      <c r="S769" s="9" t="inlineStr">
        <is>
          <t>潮湿的鞣革表面凝着水珠，随着灵流脉动断续发出苔藓挤压般的微响。</t>
        </is>
      </c>
      <c r="T769" s="8" t="inlineStr">
        <is>
          <t>implement_lujia_ni_webbed_tail_hide_core_2x2</t>
        </is>
      </c>
      <c r="U769" s="8" t="inlineStr">
        <is>
          <t>allowed</t>
        </is>
      </c>
    </row>
    <row r="770" ht="34" customHeight="1">
      <c r="A770" s="8" t="n">
        <v>769</v>
      </c>
      <c r="B770" s="8" t="n">
        <v>415202</v>
      </c>
      <c r="C770" s="8" t="inlineStr">
        <is>
          <t>负炉铜扣束带镇纹器</t>
        </is>
      </c>
      <c r="D770" s="8" t="inlineStr">
        <is>
          <t>法器</t>
        </is>
      </c>
      <c r="E770" s="8" t="inlineStr">
        <is>
          <t>implement</t>
        </is>
      </c>
      <c r="F770" s="8" t="inlineStr">
        <is>
          <t>spirit</t>
        </is>
      </c>
      <c r="G770" s="8" t="inlineStr">
        <is>
          <t>金</t>
        </is>
      </c>
      <c r="H770" s="8" t="inlineStr">
        <is>
          <t>metal</t>
        </is>
      </c>
      <c r="I770" s="8" t="inlineStr">
        <is>
          <t>1×2</t>
        </is>
      </c>
      <c r="J770" s="8" t="n">
        <v>2</v>
      </c>
      <c r="K770" s="8" t="n">
        <v>100</v>
      </c>
      <c r="L770" s="8" t="inlineStr">
        <is>
          <t>是</t>
        </is>
      </c>
      <c r="M770" s="9" t="inlineStr"/>
      <c r="N770" s="8" t="n">
        <v>1</v>
      </c>
      <c r="O770" s="9" t="inlineStr">
        <is>
          <t>周期触发</t>
        </is>
      </c>
      <c r="P770" s="9" t="inlineStr">
        <is>
          <t>periodicPulse</t>
        </is>
      </c>
      <c r="Q770" s="9" t="inlineStr">
        <is>
          <t>周期触发：位于储物袋左侧时，获得 20 层护甲；位于储物袋左侧时，获得 26 层护甲；位于储物袋左侧时，获得 30 层护甲；位于储物袋左侧时，获得 36 层护甲</t>
        </is>
      </c>
      <c r="R770" s="9" t="inlineStr"/>
      <c r="S770" s="9" t="inlineStr">
        <is>
          <t>拘铜熔炼时飞溅的半滴铜液，在腰扣背面凝成一道霜色的虹桥。</t>
        </is>
      </c>
      <c r="T770" s="8" t="inlineStr">
        <is>
          <t>implement_lujia_ni_furnace_harness_core_1x2</t>
        </is>
      </c>
      <c r="U770" s="8" t="inlineStr">
        <is>
          <t>allowed</t>
        </is>
      </c>
    </row>
    <row r="771" ht="34" customHeight="1">
      <c r="A771" s="8" t="n">
        <v>770</v>
      </c>
      <c r="B771" s="8" t="n">
        <v>415500</v>
      </c>
      <c r="C771" s="8" t="inlineStr">
        <is>
          <t>琥珀眼珠镇纹器</t>
        </is>
      </c>
      <c r="D771" s="8" t="inlineStr">
        <is>
          <t>法器</t>
        </is>
      </c>
      <c r="E771" s="8" t="inlineStr">
        <is>
          <t>implement</t>
        </is>
      </c>
      <c r="F771" s="8" t="inlineStr">
        <is>
          <t>spirit</t>
        </is>
      </c>
      <c r="G771" s="8" t="inlineStr">
        <is>
          <t>火</t>
        </is>
      </c>
      <c r="H771" s="8" t="inlineStr">
        <is>
          <t>fire</t>
        </is>
      </c>
      <c r="I771" s="8" t="inlineStr">
        <is>
          <t>1×1</t>
        </is>
      </c>
      <c r="J771" s="8" t="n">
        <v>1</v>
      </c>
      <c r="K771" s="8" t="n">
        <v>100</v>
      </c>
      <c r="L771" s="8" t="inlineStr">
        <is>
          <t>是</t>
        </is>
      </c>
      <c r="M771" s="9" t="inlineStr"/>
      <c r="N771" s="8" t="n">
        <v>2</v>
      </c>
      <c r="O771" s="9" t="inlineStr">
        <is>
          <t>被动效果；周期触发</t>
        </is>
      </c>
      <c r="P771" s="9" t="inlineStr">
        <is>
          <t>passive；periodicPulse</t>
        </is>
      </c>
      <c r="Q771" s="9" t="inlineStr">
        <is>
          <t>被动效果：神识上限 +6；神识上限 +10；神识上限 +16；神识上限 +20 | 周期触发：消耗 6 点神识，对敌方造成 100 点伤害；消耗 8 点神识，对敌方造成 160 点伤害；消耗 10 点神识，对敌方造成 240 点伤害；消耗 12 点神识，对敌方造成 320 点伤害</t>
        </is>
      </c>
      <c r="R771" s="9" t="inlineStr"/>
      <c r="S771" s="9" t="inlineStr">
        <is>
          <t>条状器首因长期佩戴析出蜂蜜香，内絮状肌理随角度变换呈现阴天湖面般深浅交织的暗蓝。</t>
        </is>
      </c>
      <c r="T771" s="8" t="inlineStr">
        <is>
          <t>implement_sanjing_liexi_amber_eye_bead_core_1x1</t>
        </is>
      </c>
      <c r="U771" s="8" t="inlineStr">
        <is>
          <t>allowed</t>
        </is>
      </c>
    </row>
    <row r="772" ht="34" customHeight="1">
      <c r="A772" s="8" t="n">
        <v>771</v>
      </c>
      <c r="B772" s="8" t="n">
        <v>415501</v>
      </c>
      <c r="C772" s="8" t="inlineStr">
        <is>
          <t>张褶棘镇纹器</t>
        </is>
      </c>
      <c r="D772" s="8" t="inlineStr">
        <is>
          <t>法器</t>
        </is>
      </c>
      <c r="E772" s="8" t="inlineStr">
        <is>
          <t>implement</t>
        </is>
      </c>
      <c r="F772" s="8" t="inlineStr">
        <is>
          <t>spirit</t>
        </is>
      </c>
      <c r="G772" s="8" t="inlineStr">
        <is>
          <t>金</t>
        </is>
      </c>
      <c r="H772" s="8" t="inlineStr">
        <is>
          <t>metal</t>
        </is>
      </c>
      <c r="I772" s="8" t="inlineStr">
        <is>
          <t>1×1</t>
        </is>
      </c>
      <c r="J772" s="8" t="n">
        <v>1</v>
      </c>
      <c r="K772" s="8" t="n">
        <v>100</v>
      </c>
      <c r="L772" s="8" t="inlineStr">
        <is>
          <t>是</t>
        </is>
      </c>
      <c r="M772" s="9" t="inlineStr"/>
      <c r="N772" s="8" t="n">
        <v>1</v>
      </c>
      <c r="O772" s="9" t="inlineStr">
        <is>
          <t>周期触发</t>
        </is>
      </c>
      <c r="P772" s="9" t="inlineStr">
        <is>
          <t>periodicPulse</t>
        </is>
      </c>
      <c r="Q772" s="9" t="inlineStr">
        <is>
          <t>周期触发：开局：消耗 60 点法力和 5 层凝金，对敌方施加 40 层中毒；消耗 5 层凝金；开局：消耗 60 点法力和 10 层凝金，对敌方施加 50 层中毒；消耗 10 层凝金；开局：消耗 60 点法力和 10 层凝金，对敌方施加 60 层中毒；开局：消耗 60 点法力和 10 层凝金，对敌方施加 70 层中毒</t>
        </is>
      </c>
      <c r="R772" s="9" t="inlineStr"/>
      <c r="S772" s="9" t="inlineStr">
        <is>
          <t>煤炉淬冷时器表凝结的水珠会在满月夜发出铁鹂鸟的清鸣。</t>
        </is>
      </c>
      <c r="T772" s="8" t="inlineStr">
        <is>
          <t>implement_sanjing_liexi_frill_spur_core_1x1</t>
        </is>
      </c>
      <c r="U772" s="8" t="inlineStr">
        <is>
          <t>allowed</t>
        </is>
      </c>
    </row>
    <row r="773" ht="34" customHeight="1">
      <c r="A773" s="8" t="n">
        <v>772</v>
      </c>
      <c r="B773" s="8" t="n">
        <v>416000</v>
      </c>
      <c r="C773" s="8" t="inlineStr">
        <is>
          <t>潮痕鳄齿铸护器</t>
        </is>
      </c>
      <c r="D773" s="8" t="inlineStr">
        <is>
          <t>法器</t>
        </is>
      </c>
      <c r="E773" s="8" t="inlineStr">
        <is>
          <t>implement</t>
        </is>
      </c>
      <c r="F773" s="8" t="inlineStr">
        <is>
          <t>spirit</t>
        </is>
      </c>
      <c r="G773" s="8" t="inlineStr">
        <is>
          <t>金</t>
        </is>
      </c>
      <c r="H773" s="8" t="inlineStr">
        <is>
          <t>metal</t>
        </is>
      </c>
      <c r="I773" s="8" t="inlineStr">
        <is>
          <t>1×1</t>
        </is>
      </c>
      <c r="J773" s="8" t="n">
        <v>1</v>
      </c>
      <c r="K773" s="8" t="n">
        <v>100</v>
      </c>
      <c r="L773" s="8" t="inlineStr">
        <is>
          <t>是</t>
        </is>
      </c>
      <c r="M773" s="9" t="inlineStr"/>
      <c r="N773" s="8" t="n">
        <v>1</v>
      </c>
      <c r="O773" s="9" t="inlineStr">
        <is>
          <t>条件触发</t>
        </is>
      </c>
      <c r="P773" s="9" t="inlineStr">
        <is>
          <t>triggered</t>
        </is>
      </c>
      <c r="Q773" s="9" t="inlineStr">
        <is>
          <t>条件触发：每当消耗体力时，每实际消耗 5 点获得 1 层护甲；每当消耗体力时，每实际消耗 4 点获得 1 层护甲；每当消耗体力时，每实际消耗 3 点获得 1 层护甲；每当消耗体力时，每实际消耗 2 点获得 1 层护甲</t>
        </is>
      </c>
      <c r="R773" s="9" t="inlineStr"/>
      <c r="S773" s="9" t="inlineStr">
        <is>
          <t>熔铸时残留的盐粒在齿缝间凝成星散白斑，触碰时会发出海浪般细碎开裂声。</t>
        </is>
      </c>
      <c r="T773" s="8" t="inlineStr">
        <is>
          <t>implement_forged_xuanmao_e_tide_marked_fang_1_1x1</t>
        </is>
      </c>
      <c r="U773" s="8" t="inlineStr">
        <is>
          <t>allowed</t>
        </is>
      </c>
    </row>
    <row r="774" ht="34" customHeight="1">
      <c r="A774" s="8" t="n">
        <v>773</v>
      </c>
      <c r="B774" s="8" t="n">
        <v>416001</v>
      </c>
      <c r="C774" s="8" t="inlineStr">
        <is>
          <t>闭水鼻阀骨铸护器</t>
        </is>
      </c>
      <c r="D774" s="8" t="inlineStr">
        <is>
          <t>法器</t>
        </is>
      </c>
      <c r="E774" s="8" t="inlineStr">
        <is>
          <t>implement</t>
        </is>
      </c>
      <c r="F774" s="8" t="inlineStr">
        <is>
          <t>spirit</t>
        </is>
      </c>
      <c r="G774" s="8" t="inlineStr">
        <is>
          <t>水</t>
        </is>
      </c>
      <c r="H774" s="8" t="inlineStr">
        <is>
          <t>water</t>
        </is>
      </c>
      <c r="I774" s="8" t="inlineStr">
        <is>
          <t>1×1</t>
        </is>
      </c>
      <c r="J774" s="8" t="n">
        <v>1</v>
      </c>
      <c r="K774" s="8" t="n">
        <v>100</v>
      </c>
      <c r="L774" s="8" t="inlineStr">
        <is>
          <t>是</t>
        </is>
      </c>
      <c r="M774" s="9" t="inlineStr"/>
      <c r="N774" s="8" t="n">
        <v>2</v>
      </c>
      <c r="O774" s="9" t="inlineStr">
        <is>
          <t>周期触发；被动效果</t>
        </is>
      </c>
      <c r="P774" s="9" t="inlineStr">
        <is>
          <t>periodicPulse；passive</t>
        </is>
      </c>
      <c r="Q774" s="9" t="inlineStr">
        <is>
          <t>周期触发：当前气血低于 80% 时，恢复 80 点气血并获得 40 层露水；当前气血低于 40% 时，恢复 100 点气血并获得 50 层露水；当前气血低于 40% 时，恢复 120 点气血并获得 60 层露水；当前气血低于 40% 时，恢复 140 点气血并获得 70 层露水 | 被动效果：气血上限 +50；气血上限 +60；气血上限 +70；气血上限 +80</t>
        </is>
      </c>
      <c r="R774" s="9" t="inlineStr"/>
      <c r="S774" s="9" t="inlineStr">
        <is>
          <t>闭水鼻阀骨在暗室中会渗出细密晶花，伴著类似海盐结晶破裂的咝咝声。</t>
        </is>
      </c>
      <c r="T774" s="8" t="inlineStr">
        <is>
          <t>implement_forged_xuanmao_e_water_seal_nasal_bone_1_1x1</t>
        </is>
      </c>
      <c r="U774" s="8" t="inlineStr">
        <is>
          <t>allowed</t>
        </is>
      </c>
    </row>
    <row r="775" ht="34" customHeight="1">
      <c r="A775" s="8" t="n">
        <v>774</v>
      </c>
      <c r="B775" s="8" t="n">
        <v>416002</v>
      </c>
      <c r="C775" s="8" t="inlineStr">
        <is>
          <t>潭息喉囊铸护器</t>
        </is>
      </c>
      <c r="D775" s="8" t="inlineStr">
        <is>
          <t>法器</t>
        </is>
      </c>
      <c r="E775" s="8" t="inlineStr">
        <is>
          <t>implement</t>
        </is>
      </c>
      <c r="F775" s="8" t="inlineStr">
        <is>
          <t>spirit</t>
        </is>
      </c>
      <c r="G775" s="8" t="inlineStr">
        <is>
          <t>水</t>
        </is>
      </c>
      <c r="H775" s="8" t="inlineStr">
        <is>
          <t>water</t>
        </is>
      </c>
      <c r="I775" s="8" t="inlineStr">
        <is>
          <t>1×1</t>
        </is>
      </c>
      <c r="J775" s="8" t="n">
        <v>1</v>
      </c>
      <c r="K775" s="8" t="n">
        <v>100</v>
      </c>
      <c r="L775" s="8" t="inlineStr">
        <is>
          <t>是</t>
        </is>
      </c>
      <c r="M775" s="9" t="inlineStr"/>
      <c r="N775" s="8" t="n">
        <v>1</v>
      </c>
      <c r="O775" s="9" t="inlineStr">
        <is>
          <t>周期触发</t>
        </is>
      </c>
      <c r="P775" s="9" t="inlineStr">
        <is>
          <t>periodicPulse</t>
        </is>
      </c>
      <c r="Q775" s="9" t="inlineStr">
        <is>
          <t>周期触发：开局：拥有不少于 10 件水属性道具时，获得 100 层露水；开局：拥有不少于 10 件水属性道具时，获得 126 层露水；开局：拥有不少于 10 件水属性道具时，获得 150 层露水；开局：拥有不少于 10 件水属性道具时，获得 176 层露水</t>
        </is>
      </c>
      <c r="R775" s="9" t="inlineStr"/>
      <c r="S775" s="9" t="inlineStr">
        <is>
          <t>覆着青苔的指印沉进喉囊褶皱深处，那是匠人在最后一锤落下时忘记拭去的。</t>
        </is>
      </c>
      <c r="T775" s="8" t="inlineStr">
        <is>
          <t>implement_forged_xuanmao_e_deep_pool_throat_sac_1_1x1</t>
        </is>
      </c>
      <c r="U775" s="8" t="inlineStr">
        <is>
          <t>allowed</t>
        </is>
      </c>
    </row>
    <row r="776" ht="34" customHeight="1">
      <c r="A776" s="8" t="n">
        <v>775</v>
      </c>
      <c r="B776" s="8" t="n">
        <v>416300</v>
      </c>
      <c r="C776" s="8" t="inlineStr">
        <is>
          <t>重踏后掌镇纹器</t>
        </is>
      </c>
      <c r="D776" s="8" t="inlineStr">
        <is>
          <t>法器</t>
        </is>
      </c>
      <c r="E776" s="8" t="inlineStr">
        <is>
          <t>implement</t>
        </is>
      </c>
      <c r="F776" s="8" t="inlineStr">
        <is>
          <t>spirit</t>
        </is>
      </c>
      <c r="G776" s="8" t="inlineStr">
        <is>
          <t>土</t>
        </is>
      </c>
      <c r="H776" s="8" t="inlineStr">
        <is>
          <t>earth</t>
        </is>
      </c>
      <c r="I776" s="8" t="inlineStr">
        <is>
          <t>2×1</t>
        </is>
      </c>
      <c r="J776" s="8" t="n">
        <v>2</v>
      </c>
      <c r="K776" s="8" t="n">
        <v>100</v>
      </c>
      <c r="L776" s="8" t="inlineStr">
        <is>
          <t>是</t>
        </is>
      </c>
      <c r="M776" s="9" t="inlineStr"/>
      <c r="N776" s="8" t="n">
        <v>2</v>
      </c>
      <c r="O776" s="9" t="inlineStr">
        <is>
          <t>条件触发；被动效果</t>
        </is>
      </c>
      <c r="P776" s="9" t="inlineStr">
        <is>
          <t>triggered；passive</t>
        </is>
      </c>
      <c r="Q776" s="9" t="inlineStr">
        <is>
          <t>条件触发：受到伤害时，若实际伤害不少于 20 点，获得 10 层蓄势；受到伤害时，若实际伤害不少于 20 点，获得 16 层蓄势；受到伤害时，若实际伤害不少于 20 点，获得 20 层蓄势；受到伤害时，若实际伤害不少于 20 点，获得 26 层蓄势 | 被动效果：蓄势层数上限 +25；蓄势层数上限 +30；蓄势层数上限 +35；蓄势层数上限 +40</t>
        </is>
      </c>
      <c r="R776" s="9" t="inlineStr"/>
      <c r="S776" s="9" t="inlineStr">
        <is>
          <t>表层沾附着昔日主人脚底老茧的薄片，触感如雨季里带着苔藓的厚石板。</t>
        </is>
      </c>
      <c r="T776" s="8" t="inlineStr">
        <is>
          <t>implement_zhenbei_xiong_heavy_hind_paw_core_2x1</t>
        </is>
      </c>
      <c r="U776" s="8" t="inlineStr">
        <is>
          <t>allowed</t>
        </is>
      </c>
    </row>
    <row r="777" ht="34" customHeight="1">
      <c r="A777" s="8" t="n">
        <v>776</v>
      </c>
      <c r="B777" s="8" t="n">
        <v>416301</v>
      </c>
      <c r="C777" s="8" t="inlineStr">
        <is>
          <t>重踏后掌灵枢匣</t>
        </is>
      </c>
      <c r="D777" s="8" t="inlineStr">
        <is>
          <t>法器</t>
        </is>
      </c>
      <c r="E777" s="8" t="inlineStr">
        <is>
          <t>implement</t>
        </is>
      </c>
      <c r="F777" s="8" t="inlineStr">
        <is>
          <t>spirit</t>
        </is>
      </c>
      <c r="G777" s="8" t="inlineStr">
        <is>
          <t>土</t>
        </is>
      </c>
      <c r="H777" s="8" t="inlineStr">
        <is>
          <t>earth</t>
        </is>
      </c>
      <c r="I777" s="8" t="inlineStr">
        <is>
          <t>2×1</t>
        </is>
      </c>
      <c r="J777" s="8" t="n">
        <v>2</v>
      </c>
      <c r="K777" s="8" t="n">
        <v>100</v>
      </c>
      <c r="L777" s="8" t="inlineStr">
        <is>
          <t>是</t>
        </is>
      </c>
      <c r="M777" s="9" t="inlineStr"/>
      <c r="N777" s="8" t="n">
        <v>1</v>
      </c>
      <c r="O777" s="9" t="inlineStr">
        <is>
          <t>周期触发</t>
        </is>
      </c>
      <c r="P777" s="9" t="inlineStr">
        <is>
          <t>periodicPulse</t>
        </is>
      </c>
      <c r="Q777" s="9" t="inlineStr">
        <is>
          <t>周期触发：最多将 12 层蓄势转化为 5 倍层数的护甲；最多将 20 层蓄势转化为 5 倍层数的护甲；最多将 28 层蓄势转化为 5 倍层数的护甲；最多将 36 层蓄势转化为 5 倍层数的护甲</t>
        </is>
      </c>
      <c r="R777" s="9" t="inlineStr"/>
      <c r="S777" s="9" t="inlineStr">
        <is>
          <t>粗砺的匣面上渗着松脂般的油光，每当山岚压过山脊，便有细碎回响从骨纹深处传来。</t>
        </is>
      </c>
      <c r="T777" s="8" t="inlineStr">
        <is>
          <t>implement_zhenbei_xiong_heavy_hind_paw_seal_2x1</t>
        </is>
      </c>
      <c r="U777" s="8" t="inlineStr">
        <is>
          <t>allowed</t>
        </is>
      </c>
    </row>
    <row r="778" ht="34" customHeight="1">
      <c r="A778" s="8" t="n">
        <v>777</v>
      </c>
      <c r="B778" s="8" t="n">
        <v>416302</v>
      </c>
      <c r="C778" s="8" t="inlineStr">
        <is>
          <t>风箱喉囊镇纹器</t>
        </is>
      </c>
      <c r="D778" s="8" t="inlineStr">
        <is>
          <t>法器</t>
        </is>
      </c>
      <c r="E778" s="8" t="inlineStr">
        <is>
          <t>implement</t>
        </is>
      </c>
      <c r="F778" s="8" t="inlineStr">
        <is>
          <t>spirit</t>
        </is>
      </c>
      <c r="G778" s="8" t="inlineStr">
        <is>
          <t>火</t>
        </is>
      </c>
      <c r="H778" s="8" t="inlineStr">
        <is>
          <t>fire</t>
        </is>
      </c>
      <c r="I778" s="8" t="inlineStr">
        <is>
          <t>2×2</t>
        </is>
      </c>
      <c r="J778" s="8" t="n">
        <v>4</v>
      </c>
      <c r="K778" s="8" t="n">
        <v>100</v>
      </c>
      <c r="L778" s="8" t="inlineStr">
        <is>
          <t>是</t>
        </is>
      </c>
      <c r="M778" s="9" t="inlineStr"/>
      <c r="N778" s="8" t="n">
        <v>1</v>
      </c>
      <c r="O778" s="9" t="inlineStr">
        <is>
          <t>被动效果</t>
        </is>
      </c>
      <c r="P778" s="9" t="inlineStr">
        <is>
          <t>passive</t>
        </is>
      </c>
      <c r="Q778" s="9" t="inlineStr">
        <is>
          <t>被动效果：每当获得敏捷时，获得相同层数的炎热，单次最多获得 5 层；每当获得敏捷时，获得相同层数的炎热，单次最多获得 6 层；每当获得敏捷时，获得相同层数的炎热，单次最多获得 8 层；每当获得敏捷时，获得相同层数的炎热，单次最多获得 9 层</t>
        </is>
      </c>
      <c r="R778" s="9" t="inlineStr"/>
      <c r="S778" s="9" t="inlineStr">
        <is>
          <t>有人曾听见炼器铺深处传来断断续续的气喘声，像破败风箱拉扯着残火。</t>
        </is>
      </c>
      <c r="T778" s="8" t="inlineStr">
        <is>
          <t>implement_zhenbei_xiong_bellows_throat_sac_core_2x2</t>
        </is>
      </c>
      <c r="U778" s="8" t="inlineStr">
        <is>
          <t>allowed</t>
        </is>
      </c>
    </row>
    <row r="779" ht="34" customHeight="1">
      <c r="A779" s="8" t="n">
        <v>778</v>
      </c>
      <c r="B779" s="8" t="n">
        <v>416303</v>
      </c>
      <c r="C779" s="8" t="inlineStr">
        <is>
          <t>风箱喉囊灵枢匣</t>
        </is>
      </c>
      <c r="D779" s="8" t="inlineStr">
        <is>
          <t>法器</t>
        </is>
      </c>
      <c r="E779" s="8" t="inlineStr">
        <is>
          <t>implement</t>
        </is>
      </c>
      <c r="F779" s="8" t="inlineStr">
        <is>
          <t>spirit</t>
        </is>
      </c>
      <c r="G779" s="8" t="inlineStr">
        <is>
          <t>火</t>
        </is>
      </c>
      <c r="H779" s="8" t="inlineStr">
        <is>
          <t>fire</t>
        </is>
      </c>
      <c r="I779" s="8" t="inlineStr">
        <is>
          <t>2×2</t>
        </is>
      </c>
      <c r="J779" s="8" t="n">
        <v>4</v>
      </c>
      <c r="K779" s="8" t="n">
        <v>100</v>
      </c>
      <c r="L779" s="8" t="inlineStr">
        <is>
          <t>是</t>
        </is>
      </c>
      <c r="M779" s="9" t="inlineStr"/>
      <c r="N779" s="8" t="n">
        <v>1</v>
      </c>
      <c r="O779" s="9" t="inlineStr">
        <is>
          <t>条件触发</t>
        </is>
      </c>
      <c r="P779" s="9" t="inlineStr">
        <is>
          <t>triggered</t>
        </is>
      </c>
      <c r="Q779" s="9" t="inlineStr">
        <is>
          <t>条件触发：相邻法器消耗体力时，每消耗 2 点体力，获得 1 层敏捷，单次最多获得 8 层；相邻法器消耗体力时，每消耗 2 点体力，获得 1 层敏捷，单次最多获得 10 层；相邻法器消耗体力时，每消耗 2 点体力，获得 1 层敏捷，单次最多获得 12 层；相邻法器消耗体力时，每消耗 2 点体力，获得 1 层敏捷，单次最多获得 14 层</t>
        </is>
      </c>
      <c r="R779" s="9" t="inlineStr"/>
      <c r="S779" s="9" t="inlineStr">
        <is>
          <t>拔开铜扣时带出火燎余烬与冷铁的气味，舌状软革在晨光中如鲶鱼腮叶般翕张收缩。</t>
        </is>
      </c>
      <c r="T779" s="8" t="inlineStr">
        <is>
          <t>implement_zhenbei_xiong_bellows_throat_sac_seal_2x2</t>
        </is>
      </c>
      <c r="U779" s="8" t="inlineStr">
        <is>
          <t>allowed</t>
        </is>
      </c>
    </row>
    <row r="780" ht="34" customHeight="1">
      <c r="A780" s="8" t="n">
        <v>779</v>
      </c>
      <c r="B780" s="8" t="n">
        <v>416304</v>
      </c>
      <c r="C780" s="8" t="inlineStr">
        <is>
          <t>淬铁短獠镇纹器</t>
        </is>
      </c>
      <c r="D780" s="8" t="inlineStr">
        <is>
          <t>法器</t>
        </is>
      </c>
      <c r="E780" s="8" t="inlineStr">
        <is>
          <t>implement</t>
        </is>
      </c>
      <c r="F780" s="8" t="inlineStr">
        <is>
          <t>spirit</t>
        </is>
      </c>
      <c r="G780" s="8" t="inlineStr">
        <is>
          <t>金</t>
        </is>
      </c>
      <c r="H780" s="8" t="inlineStr">
        <is>
          <t>metal</t>
        </is>
      </c>
      <c r="I780" s="8" t="inlineStr">
        <is>
          <t>1×2</t>
        </is>
      </c>
      <c r="J780" s="8" t="n">
        <v>2</v>
      </c>
      <c r="K780" s="8" t="n">
        <v>100</v>
      </c>
      <c r="L780" s="8" t="inlineStr">
        <is>
          <t>是</t>
        </is>
      </c>
      <c r="M780" s="9" t="inlineStr"/>
      <c r="N780" s="8" t="n">
        <v>1</v>
      </c>
      <c r="O780" s="9" t="inlineStr">
        <is>
          <t>条件触发</t>
        </is>
      </c>
      <c r="P780" s="9" t="inlineStr">
        <is>
          <t>triggered</t>
        </is>
      </c>
      <c r="Q780" s="9" t="inlineStr">
        <is>
          <t>条件触发：下方相邻道具获得凝金时，对敌方造成等同于下方相邻道具获得凝金层数的伤害，单次最多 100 点；下方相邻道具获得凝金时，对敌方造成等同于下方相邻道具获得凝金层数的伤害，单次最多 126 点；下方相邻道具获得凝金时，对敌方造成等同于下方相邻道具获得凝金层数的伤害，单次最多 150 点；下方相邻道具获得凝金时，对敌方造成等同于下方相邻道具获得凝金层数的伤害，单次最多 176 点</t>
        </is>
      </c>
      <c r="R780" s="9" t="inlineStr"/>
      <c r="S780" s="9" t="inlineStr">
        <is>
          <t>辟火锻铁时溅落的星花在锋棱上凝成霜状锈痕，抚过时有粗粝的砂鸣。</t>
        </is>
      </c>
      <c r="T780" s="8" t="inlineStr">
        <is>
          <t>implement_zhenbei_xiong_quenched_fang_core_1x2</t>
        </is>
      </c>
      <c r="U780" s="8" t="inlineStr">
        <is>
          <t>allowed</t>
        </is>
      </c>
    </row>
    <row r="781" ht="34" customHeight="1">
      <c r="A781" s="8" t="n">
        <v>780</v>
      </c>
      <c r="B781" s="8" t="n">
        <v>416305</v>
      </c>
      <c r="C781" s="8" t="inlineStr">
        <is>
          <t>淬铁短獠灵枢匣</t>
        </is>
      </c>
      <c r="D781" s="8" t="inlineStr">
        <is>
          <t>法器</t>
        </is>
      </c>
      <c r="E781" s="8" t="inlineStr">
        <is>
          <t>implement</t>
        </is>
      </c>
      <c r="F781" s="8" t="inlineStr">
        <is>
          <t>spirit</t>
        </is>
      </c>
      <c r="G781" s="8" t="inlineStr">
        <is>
          <t>金</t>
        </is>
      </c>
      <c r="H781" s="8" t="inlineStr">
        <is>
          <t>metal</t>
        </is>
      </c>
      <c r="I781" s="8" t="inlineStr">
        <is>
          <t>1×2</t>
        </is>
      </c>
      <c r="J781" s="8" t="n">
        <v>2</v>
      </c>
      <c r="K781" s="8" t="n">
        <v>100</v>
      </c>
      <c r="L781" s="8" t="inlineStr">
        <is>
          <t>是</t>
        </is>
      </c>
      <c r="M781" s="9" t="inlineStr"/>
      <c r="N781" s="8" t="n">
        <v>1</v>
      </c>
      <c r="O781" s="9" t="inlineStr">
        <is>
          <t>条件触发</t>
        </is>
      </c>
      <c r="P781" s="9" t="inlineStr">
        <is>
          <t>triggered</t>
        </is>
      </c>
      <c r="Q781" s="9" t="inlineStr">
        <is>
          <t>条件触发：左右相邻法器消耗凝金时，每消耗 1 层凝金，对敌方造成 1 点伤害，单次最多 40 点；左右相邻法器消耗凝金时，每消耗 1 层凝金，对敌方造成 1 点伤害，单次最多 50 点；左右相邻法器消耗凝金时，每消耗 1 层凝金，对敌方造成 1 点伤害，单次最多 60 点；左右相邻法器消耗凝金时，每消耗 1 层凝金，对敌方造成 1 点伤害，单次最多 70 点</t>
        </is>
      </c>
      <c r="R781" s="9" t="inlineStr"/>
      <c r="S781" s="9" t="inlineStr">
        <is>
          <t>匣中传来断续的碎铁细响，似淬火未褪的兽獠在暗格深处轻叩。</t>
        </is>
      </c>
      <c r="T781" s="8" t="inlineStr">
        <is>
          <t>implement_zhenbei_xiong_quenched_fang_seal_1x2</t>
        </is>
      </c>
      <c r="U781" s="8" t="inlineStr">
        <is>
          <t>allowed</t>
        </is>
      </c>
    </row>
    <row r="782" ht="34" customHeight="1">
      <c r="A782" s="8" t="n">
        <v>781</v>
      </c>
      <c r="B782" s="8" t="n">
        <v>416400</v>
      </c>
      <c r="C782" s="8" t="inlineStr">
        <is>
          <t>丹睛环羽镇息器</t>
        </is>
      </c>
      <c r="D782" s="8" t="inlineStr">
        <is>
          <t>法器</t>
        </is>
      </c>
      <c r="E782" s="8" t="inlineStr">
        <is>
          <t>implement</t>
        </is>
      </c>
      <c r="F782" s="8" t="inlineStr">
        <is>
          <t>spirit</t>
        </is>
      </c>
      <c r="G782" s="8" t="inlineStr">
        <is>
          <t>火</t>
        </is>
      </c>
      <c r="H782" s="8" t="inlineStr">
        <is>
          <t>fire</t>
        </is>
      </c>
      <c r="I782" s="8" t="inlineStr">
        <is>
          <t>3×1</t>
        </is>
      </c>
      <c r="J782" s="8" t="n">
        <v>3</v>
      </c>
      <c r="K782" s="8" t="n">
        <v>100</v>
      </c>
      <c r="L782" s="8" t="inlineStr">
        <is>
          <t>是</t>
        </is>
      </c>
      <c r="M782" s="9" t="inlineStr"/>
      <c r="N782" s="8" t="n">
        <v>1</v>
      </c>
      <c r="O782" s="9" t="inlineStr">
        <is>
          <t>周期触发</t>
        </is>
      </c>
      <c r="P782" s="9" t="inlineStr">
        <is>
          <t>periodicPulse</t>
        </is>
      </c>
      <c r="Q782" s="9" t="inlineStr">
        <is>
          <t>周期触发：位于储物袋顶部时，如果炎热层数超过 80 层，获得 40 层炎热；位于储物袋顶部时，如果炎热层数超过 80 层，获得 52 层炎热；位于储物袋顶部时，如果炎热层数超过 80 层，获得 64 层炎热；位于储物袋顶部时，如果炎热层数超过 80 层，获得 76 层炎热</t>
        </is>
      </c>
      <c r="R782" s="9" t="inlineStr"/>
      <c r="S782" s="9" t="inlineStr">
        <is>
          <t>历经三次焚羽融骨后，器面残留着丹鸟浴火时特有的焦褐纹路，触之似腊月霜枝般粗粝。</t>
        </is>
      </c>
      <c r="T782" s="8" t="inlineStr">
        <is>
          <t>implement_zhiguan_danhe_cinnabar_eye_ring_steady_1_3x1</t>
        </is>
      </c>
      <c r="U782" s="8" t="inlineStr">
        <is>
          <t>allowed</t>
        </is>
      </c>
    </row>
    <row r="783" ht="34" customHeight="1">
      <c r="A783" s="8" t="n">
        <v>782</v>
      </c>
      <c r="B783" s="8" t="n">
        <v>416401</v>
      </c>
      <c r="C783" s="8" t="inlineStr">
        <is>
          <t>长趾绳腱引机匣</t>
        </is>
      </c>
      <c r="D783" s="8" t="inlineStr">
        <is>
          <t>法器</t>
        </is>
      </c>
      <c r="E783" s="8" t="inlineStr">
        <is>
          <t>implement</t>
        </is>
      </c>
      <c r="F783" s="8" t="inlineStr">
        <is>
          <t>spirit</t>
        </is>
      </c>
      <c r="G783" s="8" t="inlineStr">
        <is>
          <t>火</t>
        </is>
      </c>
      <c r="H783" s="8" t="inlineStr">
        <is>
          <t>fire</t>
        </is>
      </c>
      <c r="I783" s="8" t="inlineStr">
        <is>
          <t>1×1</t>
        </is>
      </c>
      <c r="J783" s="8" t="n">
        <v>1</v>
      </c>
      <c r="K783" s="8" t="n">
        <v>100</v>
      </c>
      <c r="L783" s="8" t="inlineStr">
        <is>
          <t>是</t>
        </is>
      </c>
      <c r="M783" s="9" t="inlineStr"/>
      <c r="N783" s="8" t="n">
        <v>1</v>
      </c>
      <c r="O783" s="9" t="inlineStr">
        <is>
          <t>条件触发</t>
        </is>
      </c>
      <c r="P783" s="9" t="inlineStr">
        <is>
          <t>triggered</t>
        </is>
      </c>
      <c r="Q783" s="9" t="inlineStr">
        <is>
          <t>条件触发：相邻符箓耗尽时，获得 10 层炎热、凝金、护甲和坚硬。；相邻符箓耗尽时，获得 16 层炎热、凝金、护甲和坚硬。；相邻符箓耗尽时，获得 20 层炎热、凝金、护甲和坚硬。；相邻符箓耗尽时，获得 26 层炎热、凝金、护甲和坚硬。</t>
        </is>
      </c>
      <c r="R783" s="9" t="inlineStr"/>
      <c r="S783" s="9" t="inlineStr">
        <is>
          <t>匣体在晨雾中发出细微爆裂声，是那些绳腱纤维正在缓慢舒张。</t>
        </is>
      </c>
      <c r="T783" s="8" t="inlineStr">
        <is>
          <t>implement_zhiguan_danhe_long_toe_rope_tendon_steady_2_1x1</t>
        </is>
      </c>
      <c r="U783" s="8" t="inlineStr">
        <is>
          <t>allowed</t>
        </is>
      </c>
    </row>
    <row r="784" ht="34" customHeight="1">
      <c r="A784" s="8" t="n">
        <v>783</v>
      </c>
      <c r="B784" s="8" t="n">
        <v>416500</v>
      </c>
      <c r="C784" s="8" t="inlineStr">
        <is>
          <t>镇步四蹄铃镇纹器</t>
        </is>
      </c>
      <c r="D784" s="8" t="inlineStr">
        <is>
          <t>法器</t>
        </is>
      </c>
      <c r="E784" s="8" t="inlineStr">
        <is>
          <t>implement</t>
        </is>
      </c>
      <c r="F784" s="8" t="inlineStr">
        <is>
          <t>spirit</t>
        </is>
      </c>
      <c r="G784" s="8" t="inlineStr">
        <is>
          <t>金</t>
        </is>
      </c>
      <c r="H784" s="8" t="inlineStr">
        <is>
          <t>metal</t>
        </is>
      </c>
      <c r="I784" s="8" t="inlineStr">
        <is>
          <t>2×2</t>
        </is>
      </c>
      <c r="J784" s="8" t="n">
        <v>4</v>
      </c>
      <c r="K784" s="8" t="n">
        <v>100</v>
      </c>
      <c r="L784" s="8" t="inlineStr">
        <is>
          <t>是</t>
        </is>
      </c>
      <c r="M784" s="9" t="inlineStr"/>
      <c r="N784" s="8" t="n">
        <v>2</v>
      </c>
      <c r="O784" s="9" t="inlineStr">
        <is>
          <t>周期触发；被动效果</t>
        </is>
      </c>
      <c r="P784" s="9" t="inlineStr">
        <is>
          <t>periodicPulse；passive</t>
        </is>
      </c>
      <c r="Q784" s="9" t="inlineStr">
        <is>
          <t>周期触发：开局：如果凝金层数不少于 20 层，消耗 6 点神识，获得 60 层蓄势；开局：如果凝金层数不少于 20 层，消耗 6 点神识，获得 80 层蓄势；开局：如果凝金层数不少于 20 层，消耗 6 点神识，获得 100 层蓄势；开局：如果凝金层数不少于 20 层，消耗 6 点神识，获得 120 层蓄势 | 被动效果：蓄势层数上限 +20；蓄势层数上限 +25；蓄势层数上限 +30；蓄势层数上限 +35</t>
        </is>
      </c>
      <c r="R784" s="9" t="inlineStr"/>
      <c r="S784" s="9" t="inlineStr">
        <is>
          <t>刀尾铃舌已被前人血锈覆满，摇动时会散发出晒过灵雨的皮革气味。</t>
        </is>
      </c>
      <c r="T784" s="8" t="inlineStr">
        <is>
          <t>implement_zhongjia_xiangchong_hoof_bells_core_2x2</t>
        </is>
      </c>
      <c r="U784" s="8" t="inlineStr">
        <is>
          <t>allowed</t>
        </is>
      </c>
    </row>
    <row r="785" ht="34" customHeight="1">
      <c r="A785" s="8" t="n">
        <v>784</v>
      </c>
      <c r="B785" s="8" t="n">
        <v>416501</v>
      </c>
      <c r="C785" s="8" t="inlineStr">
        <is>
          <t>镇步四蹄铃灵枢匣</t>
        </is>
      </c>
      <c r="D785" s="8" t="inlineStr">
        <is>
          <t>法器</t>
        </is>
      </c>
      <c r="E785" s="8" t="inlineStr">
        <is>
          <t>implement</t>
        </is>
      </c>
      <c r="F785" s="8" t="inlineStr">
        <is>
          <t>spirit</t>
        </is>
      </c>
      <c r="G785" s="8" t="inlineStr">
        <is>
          <t>金</t>
        </is>
      </c>
      <c r="H785" s="8" t="inlineStr">
        <is>
          <t>metal</t>
        </is>
      </c>
      <c r="I785" s="8" t="inlineStr">
        <is>
          <t>2×2</t>
        </is>
      </c>
      <c r="J785" s="8" t="n">
        <v>4</v>
      </c>
      <c r="K785" s="8" t="n">
        <v>100</v>
      </c>
      <c r="L785" s="8" t="inlineStr">
        <is>
          <t>是</t>
        </is>
      </c>
      <c r="M785" s="9" t="inlineStr"/>
      <c r="N785" s="8" t="n">
        <v>1</v>
      </c>
      <c r="O785" s="9" t="inlineStr">
        <is>
          <t>条件触发</t>
        </is>
      </c>
      <c r="P785" s="9" t="inlineStr">
        <is>
          <t>triggered</t>
        </is>
      </c>
      <c r="Q785" s="9" t="inlineStr">
        <is>
          <t>条件触发：使用相邻法器时，消耗 3 点神识，获得 20 层凝金；使用相邻法器时，消耗 3 点神识，获得 30 层凝金；使用相邻法器时，消耗 3 点神识，获得 40 层凝金；使用相邻法器时，消耗 3 点神识，获得 50 层凝金</t>
        </is>
      </c>
      <c r="R785" s="9" t="inlineStr"/>
      <c r="S785" s="9" t="inlineStr">
        <is>
          <t>当风雨浸透炉灶残灰，匣上铜铃便会析出鹿影般的锈斑。</t>
        </is>
      </c>
      <c r="T785" s="8" t="inlineStr">
        <is>
          <t>implement_zhongjia_xiangchong_hoof_bells_seal_2x2</t>
        </is>
      </c>
      <c r="U785" s="8" t="inlineStr">
        <is>
          <t>allowed</t>
        </is>
      </c>
    </row>
    <row r="786" ht="34" customHeight="1">
      <c r="A786" s="8" t="n">
        <v>785</v>
      </c>
      <c r="B786" s="8" t="n">
        <v>416502</v>
      </c>
      <c r="C786" s="8" t="inlineStr">
        <is>
          <t>崩岩獠牙铜套镇纹器</t>
        </is>
      </c>
      <c r="D786" s="8" t="inlineStr">
        <is>
          <t>法器</t>
        </is>
      </c>
      <c r="E786" s="8" t="inlineStr">
        <is>
          <t>implement</t>
        </is>
      </c>
      <c r="F786" s="8" t="inlineStr">
        <is>
          <t>spirit</t>
        </is>
      </c>
      <c r="G786" s="8" t="inlineStr">
        <is>
          <t>金</t>
        </is>
      </c>
      <c r="H786" s="8" t="inlineStr">
        <is>
          <t>metal</t>
        </is>
      </c>
      <c r="I786" s="8" t="inlineStr">
        <is>
          <t>2×2</t>
        </is>
      </c>
      <c r="J786" s="8" t="n">
        <v>4</v>
      </c>
      <c r="K786" s="8" t="n">
        <v>100</v>
      </c>
      <c r="L786" s="8" t="inlineStr">
        <is>
          <t>是</t>
        </is>
      </c>
      <c r="M786" s="9" t="inlineStr"/>
      <c r="N786" s="8" t="n">
        <v>1</v>
      </c>
      <c r="O786" s="9" t="inlineStr">
        <is>
          <t>被动效果</t>
        </is>
      </c>
      <c r="P786" s="9" t="inlineStr">
        <is>
          <t>passive</t>
        </is>
      </c>
      <c r="Q786" s="9" t="inlineStr">
        <is>
          <t>被动效果：开局：位于储物袋左侧时，免疫受到的首次法器伤害</t>
        </is>
      </c>
      <c r="R786" s="9" t="inlineStr"/>
      <c r="S786" s="9" t="inlineStr">
        <is>
          <t>底层矿工常道，这镇纹器乃獠牙铜套自行蜕壳所凝，深脉中每过三载便要剥落一副铜骨。</t>
        </is>
      </c>
      <c r="T786" s="8" t="inlineStr">
        <is>
          <t>implement_zhongjia_xiangchong_tusk_caps_core_2x2</t>
        </is>
      </c>
      <c r="U786" s="8" t="inlineStr">
        <is>
          <t>allowed</t>
        </is>
      </c>
    </row>
    <row r="787" ht="34" customHeight="1">
      <c r="A787" s="8" t="n">
        <v>786</v>
      </c>
      <c r="B787" s="8" t="n">
        <v>416503</v>
      </c>
      <c r="C787" s="8" t="inlineStr">
        <is>
          <t>崩岩獠牙铜套灵枢匣</t>
        </is>
      </c>
      <c r="D787" s="8" t="inlineStr">
        <is>
          <t>法器</t>
        </is>
      </c>
      <c r="E787" s="8" t="inlineStr">
        <is>
          <t>implement</t>
        </is>
      </c>
      <c r="F787" s="8" t="inlineStr">
        <is>
          <t>spirit</t>
        </is>
      </c>
      <c r="G787" s="8" t="inlineStr">
        <is>
          <t>金</t>
        </is>
      </c>
      <c r="H787" s="8" t="inlineStr">
        <is>
          <t>metal</t>
        </is>
      </c>
      <c r="I787" s="8" t="inlineStr">
        <is>
          <t>2×2</t>
        </is>
      </c>
      <c r="J787" s="8" t="n">
        <v>4</v>
      </c>
      <c r="K787" s="8" t="n">
        <v>100</v>
      </c>
      <c r="L787" s="8" t="inlineStr">
        <is>
          <t>是</t>
        </is>
      </c>
      <c r="M787" s="9" t="inlineStr"/>
      <c r="N787" s="8" t="n">
        <v>1</v>
      </c>
      <c r="O787" s="9" t="inlineStr">
        <is>
          <t>被动效果</t>
        </is>
      </c>
      <c r="P787" s="9" t="inlineStr">
        <is>
          <t>passive</t>
        </is>
      </c>
      <c r="Q787" s="9" t="inlineStr">
        <is>
          <t>被动效果：开局：位于储物袋右侧时，免疫受到的首次符箓伤害</t>
        </is>
      </c>
      <c r="R787" s="9" t="inlineStr"/>
      <c r="S787" s="9" t="inlineStr">
        <is>
          <t>开启时有风蚀岩洞的回音，匣内铜套表面凝着庚申年霜降的露痕。</t>
        </is>
      </c>
      <c r="T787" s="8" t="inlineStr">
        <is>
          <t>implement_zhongjia_xiangchong_tusk_caps_seal_2x2</t>
        </is>
      </c>
      <c r="U787" s="8" t="inlineStr">
        <is>
          <t>allowed</t>
        </is>
      </c>
    </row>
    <row r="788" ht="34" customHeight="1">
      <c r="A788" s="8" t="n">
        <v>787</v>
      </c>
      <c r="B788" s="8" t="n">
        <v>416504</v>
      </c>
      <c r="C788" s="8" t="inlineStr">
        <is>
          <t>旧铜护鼻铠镇纹器</t>
        </is>
      </c>
      <c r="D788" s="8" t="inlineStr">
        <is>
          <t>法器</t>
        </is>
      </c>
      <c r="E788" s="8" t="inlineStr">
        <is>
          <t>implement</t>
        </is>
      </c>
      <c r="F788" s="8" t="inlineStr">
        <is>
          <t>spirit</t>
        </is>
      </c>
      <c r="G788" s="8" t="inlineStr">
        <is>
          <t>金</t>
        </is>
      </c>
      <c r="H788" s="8" t="inlineStr">
        <is>
          <t>metal</t>
        </is>
      </c>
      <c r="I788" s="8" t="inlineStr">
        <is>
          <t>1×2</t>
        </is>
      </c>
      <c r="J788" s="8" t="n">
        <v>2</v>
      </c>
      <c r="K788" s="8" t="n">
        <v>100</v>
      </c>
      <c r="L788" s="8" t="inlineStr">
        <is>
          <t>是</t>
        </is>
      </c>
      <c r="M788" s="9" t="inlineStr"/>
      <c r="N788" s="8" t="n">
        <v>1</v>
      </c>
      <c r="O788" s="9" t="inlineStr">
        <is>
          <t>被动效果</t>
        </is>
      </c>
      <c r="P788" s="9" t="inlineStr">
        <is>
          <t>passive</t>
        </is>
      </c>
      <c r="Q788" s="9" t="inlineStr">
        <is>
          <t>被动效果：开局：未处于储物袋边缘时，免疫受到的首次武器伤害</t>
        </is>
      </c>
      <c r="R788" s="9" t="inlineStr"/>
      <c r="S788" s="9" t="inlineStr">
        <is>
          <t>旧铜护鼻的凹痕里浸透了几代人的海风湿咸。</t>
        </is>
      </c>
      <c r="T788" s="8" t="inlineStr">
        <is>
          <t>implement_zhongjia_xiangchong_trunk_armor_core_1x2</t>
        </is>
      </c>
      <c r="U788" s="8" t="inlineStr">
        <is>
          <t>allowed</t>
        </is>
      </c>
    </row>
    <row r="789" ht="34" customHeight="1">
      <c r="A789" s="8" t="n">
        <v>788</v>
      </c>
      <c r="B789" s="8" t="n">
        <v>416505</v>
      </c>
      <c r="C789" s="8" t="inlineStr">
        <is>
          <t>旧铜护鼻铠灵枢匣</t>
        </is>
      </c>
      <c r="D789" s="8" t="inlineStr">
        <is>
          <t>法器</t>
        </is>
      </c>
      <c r="E789" s="8" t="inlineStr">
        <is>
          <t>implement</t>
        </is>
      </c>
      <c r="F789" s="8" t="inlineStr">
        <is>
          <t>spirit</t>
        </is>
      </c>
      <c r="G789" s="8" t="inlineStr">
        <is>
          <t>金</t>
        </is>
      </c>
      <c r="H789" s="8" t="inlineStr">
        <is>
          <t>metal</t>
        </is>
      </c>
      <c r="I789" s="8" t="inlineStr">
        <is>
          <t>1×2</t>
        </is>
      </c>
      <c r="J789" s="8" t="n">
        <v>2</v>
      </c>
      <c r="K789" s="8" t="n">
        <v>100</v>
      </c>
      <c r="L789" s="8" t="inlineStr">
        <is>
          <t>是</t>
        </is>
      </c>
      <c r="M789" s="9" t="inlineStr"/>
      <c r="N789" s="8" t="n">
        <v>1</v>
      </c>
      <c r="O789" s="9" t="inlineStr">
        <is>
          <t>被动效果</t>
        </is>
      </c>
      <c r="P789" s="9" t="inlineStr">
        <is>
          <t>passive</t>
        </is>
      </c>
      <c r="Q789" s="9" t="inlineStr">
        <is>
          <t>被动效果：开局：未处于储物袋边缘时，免疫受到的首次阵盘伤害</t>
        </is>
      </c>
      <c r="R789" s="9" t="inlineStr"/>
      <c r="S789" s="9" t="inlineStr">
        <is>
          <t>旧铜的锈斑在月光下泛着幽蓝水光，匣子深处传来细弱的滴水声，像是战场的余温在黑暗中凝结成露。</t>
        </is>
      </c>
      <c r="T789" s="8" t="inlineStr">
        <is>
          <t>implement_zhongjia_xiangchong_trunk_armor_seal_1x2</t>
        </is>
      </c>
      <c r="U789" s="8" t="inlineStr">
        <is>
          <t>allowed</t>
        </is>
      </c>
    </row>
    <row r="790" ht="34" customHeight="1">
      <c r="A790" s="8" t="n">
        <v>789</v>
      </c>
      <c r="B790" s="8" t="n">
        <v>416600</v>
      </c>
      <c r="C790" s="8" t="inlineStr">
        <is>
          <t>悬铃翼骨镇纹器</t>
        </is>
      </c>
      <c r="D790" s="8" t="inlineStr">
        <is>
          <t>法器</t>
        </is>
      </c>
      <c r="E790" s="8" t="inlineStr">
        <is>
          <t>implement</t>
        </is>
      </c>
      <c r="F790" s="8" t="inlineStr">
        <is>
          <t>spirit</t>
        </is>
      </c>
      <c r="G790" s="8" t="inlineStr">
        <is>
          <t>金</t>
        </is>
      </c>
      <c r="H790" s="8" t="inlineStr">
        <is>
          <t>metal</t>
        </is>
      </c>
      <c r="I790" s="8" t="inlineStr">
        <is>
          <t>2×2</t>
        </is>
      </c>
      <c r="J790" s="8" t="n">
        <v>4</v>
      </c>
      <c r="K790" s="8" t="n">
        <v>100</v>
      </c>
      <c r="L790" s="8" t="inlineStr">
        <is>
          <t>是</t>
        </is>
      </c>
      <c r="M790" s="9" t="inlineStr"/>
      <c r="N790" s="8" t="n">
        <v>2</v>
      </c>
      <c r="O790" s="9" t="inlineStr">
        <is>
          <t>周期触发；被动效果</t>
        </is>
      </c>
      <c r="P790" s="9" t="inlineStr">
        <is>
          <t>periodicPulse；passive</t>
        </is>
      </c>
      <c r="Q790" s="9" t="inlineStr">
        <is>
          <t>周期触发：开局：消耗全部凝金，对敌方造成等同于该层数的伤害，消耗敌方等同于该层数的体力和法力；开局：消耗全部凝金，每消耗 1 层，对敌方造成 2 点伤害，并消耗敌方 2 点体力和法力；开局：消耗全部凝金，每消耗 1 层，对敌方造成 3 点伤害，并消耗敌方 3 点体力和法力；开局：消耗全部凝金，每消耗 1 层，对敌方造成 4 点伤害，并消耗敌方 4 点体力和法力 | 被动效果：凝金层数上限 +20；凝金层数上限 +25；凝金层数上限 +30；凝金层数上限 +35</t>
        </is>
      </c>
      <c r="R790" s="9" t="inlineStr"/>
      <c r="S790" s="9" t="inlineStr">
        <is>
          <t>握柄处密布鸟羽状晶核纹路，骨腔传来悬铃随风震荡的嗡鸣声。</t>
        </is>
      </c>
      <c r="T790" s="8" t="inlineStr">
        <is>
          <t>implement_zhongxiong_jiu_bell_slung_wingbone_core_2x2</t>
        </is>
      </c>
      <c r="U790" s="8" t="inlineStr">
        <is>
          <t>allowed</t>
        </is>
      </c>
    </row>
    <row r="791" ht="34" customHeight="1">
      <c r="A791" s="8" t="n">
        <v>790</v>
      </c>
      <c r="B791" s="8" t="n">
        <v>416601</v>
      </c>
      <c r="C791" s="8" t="inlineStr">
        <is>
          <t>钟钉嗉囊镇纹器</t>
        </is>
      </c>
      <c r="D791" s="8" t="inlineStr">
        <is>
          <t>法器</t>
        </is>
      </c>
      <c r="E791" s="8" t="inlineStr">
        <is>
          <t>implement</t>
        </is>
      </c>
      <c r="F791" s="8" t="inlineStr">
        <is>
          <t>spirit</t>
        </is>
      </c>
      <c r="G791" s="8" t="inlineStr">
        <is>
          <t>木</t>
        </is>
      </c>
      <c r="H791" s="8" t="inlineStr">
        <is>
          <t>wood</t>
        </is>
      </c>
      <c r="I791" s="8" t="inlineStr">
        <is>
          <t>2×3</t>
        </is>
      </c>
      <c r="J791" s="8" t="n">
        <v>6</v>
      </c>
      <c r="K791" s="8" t="n">
        <v>100</v>
      </c>
      <c r="L791" s="8" t="inlineStr">
        <is>
          <t>是</t>
        </is>
      </c>
      <c r="M791" s="9" t="inlineStr"/>
      <c r="N791" s="8" t="n">
        <v>1</v>
      </c>
      <c r="O791" s="9" t="inlineStr">
        <is>
          <t>周期触发</t>
        </is>
      </c>
      <c r="P791" s="9" t="inlineStr">
        <is>
          <t>periodicPulse</t>
        </is>
      </c>
      <c r="Q791" s="9" t="inlineStr">
        <is>
          <t>周期触发：消耗 2 点神识和 20 块灵石，获得 80 层护甲；消耗 4 点神识和 40 块灵石，获得 160 层护甲；消耗 6 点神识和 60 块灵石，获得 240 层护甲；消耗 8 点神识和 80 块灵石，获得 320 层护甲</t>
        </is>
      </c>
      <c r="R791" s="9" t="inlineStr"/>
      <c r="S791" s="9" t="inlineStr">
        <is>
          <t>午后天青时鳞状缝隙会渗出樟脂般的气味，混着旧铜与梧桐花的锈甜。</t>
        </is>
      </c>
      <c r="T791" s="8" t="inlineStr">
        <is>
          <t>implement_zhongxiong_jiu_bell_rivet_crop_core_2x3</t>
        </is>
      </c>
      <c r="U791" s="8" t="inlineStr">
        <is>
          <t>allowed</t>
        </is>
      </c>
    </row>
    <row r="792" ht="34" customHeight="1">
      <c r="A792" s="8" t="n">
        <v>791</v>
      </c>
      <c r="B792" s="8" t="n">
        <v>416602</v>
      </c>
      <c r="C792" s="8" t="inlineStr">
        <is>
          <t>俯冲长翎镇纹器</t>
        </is>
      </c>
      <c r="D792" s="8" t="inlineStr">
        <is>
          <t>法器</t>
        </is>
      </c>
      <c r="E792" s="8" t="inlineStr">
        <is>
          <t>implement</t>
        </is>
      </c>
      <c r="F792" s="8" t="inlineStr">
        <is>
          <t>spirit</t>
        </is>
      </c>
      <c r="G792" s="8" t="inlineStr">
        <is>
          <t>风</t>
        </is>
      </c>
      <c r="H792" s="8" t="inlineStr">
        <is>
          <t>wind</t>
        </is>
      </c>
      <c r="I792" s="8" t="inlineStr">
        <is>
          <t>1×4</t>
        </is>
      </c>
      <c r="J792" s="8" t="n">
        <v>4</v>
      </c>
      <c r="K792" s="8" t="n">
        <v>100</v>
      </c>
      <c r="L792" s="8" t="inlineStr">
        <is>
          <t>是</t>
        </is>
      </c>
      <c r="M792" s="9" t="inlineStr"/>
      <c r="N792" s="8" t="n">
        <v>1</v>
      </c>
      <c r="O792" s="9" t="inlineStr">
        <is>
          <t>周期触发</t>
        </is>
      </c>
      <c r="P792" s="9" t="inlineStr">
        <is>
          <t>periodicPulse</t>
        </is>
      </c>
      <c r="Q792" s="9" t="inlineStr">
        <is>
          <t>周期触发：开局：位于储物袋顶部时，获得 60 层敏捷；开局：位于储物袋顶部时，获得 90 层敏捷；开局：位于储物袋顶部时，获得 120 层敏捷；开局：位于储物袋顶部时，获得 150 层敏捷</t>
        </is>
      </c>
      <c r="R792" s="9" t="inlineStr"/>
      <c r="S792" s="9" t="inlineStr">
        <is>
          <t>冷锻锤痕处残留着半枚染血指痕，深浅相间如幼隼坠翼的翅纹。</t>
        </is>
      </c>
      <c r="T792" s="8" t="inlineStr">
        <is>
          <t>implement_zhongxiong_jiu_diving_flight_feathers_core_1x4</t>
        </is>
      </c>
      <c r="U792" s="8" t="inlineStr">
        <is>
          <t>allowed</t>
        </is>
      </c>
    </row>
    <row r="793" ht="34" customHeight="1">
      <c r="A793" s="8" t="n">
        <v>792</v>
      </c>
      <c r="B793" s="8" t="n">
        <v>417000</v>
      </c>
      <c r="C793" s="8" t="inlineStr">
        <is>
          <t>霜索听潮剑</t>
        </is>
      </c>
      <c r="D793" s="8" t="inlineStr">
        <is>
          <t>法器</t>
        </is>
      </c>
      <c r="E793" s="8" t="inlineStr">
        <is>
          <t>implement</t>
        </is>
      </c>
      <c r="F793" s="8" t="inlineStr">
        <is>
          <t>common</t>
        </is>
      </c>
      <c r="G793" s="8" t="inlineStr">
        <is>
          <t>水</t>
        </is>
      </c>
      <c r="H793" s="8" t="inlineStr">
        <is>
          <t>water</t>
        </is>
      </c>
      <c r="I793" s="8" t="inlineStr">
        <is>
          <t>1×3</t>
        </is>
      </c>
      <c r="J793" s="8" t="n">
        <v>3</v>
      </c>
      <c r="K793" s="8" t="n">
        <v>12</v>
      </c>
      <c r="L793" s="8" t="inlineStr">
        <is>
          <t>是</t>
        </is>
      </c>
      <c r="M793" s="9" t="inlineStr"/>
      <c r="N793" s="8" t="n">
        <v>2</v>
      </c>
      <c r="O793" s="9" t="inlineStr">
        <is>
          <t>周期触发</t>
        </is>
      </c>
      <c r="P793" s="9" t="inlineStr">
        <is>
          <t>periodicPulse</t>
        </is>
      </c>
      <c r="Q793" s="9" t="inlineStr">
        <is>
          <t>周期触发：消耗 2 点体力，对敌方施加 4 层冰霜并造成 26 点伤害；消耗 2 点体力，对敌方施加 5 层冰霜并造成 33 点伤害；消耗 2 点体力，对敌方施加 6 层冰霜并造成 39 点伤害；消耗 2 点体力，对敌方施加 7 层冰霜并造成 46 点伤害 | 周期触发：开局获得 3 层寒冷；开局获得 4 层寒冷；开局获得 5 层寒冷；开局获得 6 层寒冷</t>
        </is>
      </c>
      <c r="R793" s="9" t="inlineStr">
        <is>
          <t>qinghe_signature；suwanting</t>
        </is>
      </c>
      <c r="S793" s="9" t="inlineStr">
        <is>
          <t>苏挽汀巡桥听潮所佩的细身水剑，剑脊霜索纹会在桥缆异常震动时泛白。</t>
        </is>
      </c>
      <c r="T793" s="8" t="inlineStr">
        <is>
          <t>implement_qinghe_suwanting_1x3</t>
        </is>
      </c>
      <c r="U793" s="8" t="inlineStr">
        <is>
          <t>allowed</t>
        </is>
      </c>
    </row>
    <row r="794" ht="34" customHeight="1">
      <c r="A794" s="8" t="n">
        <v>793</v>
      </c>
      <c r="B794" s="8" t="n">
        <v>417001</v>
      </c>
      <c r="C794" s="8" t="inlineStr">
        <is>
          <t>镇浪短戟</t>
        </is>
      </c>
      <c r="D794" s="8" t="inlineStr">
        <is>
          <t>法器</t>
        </is>
      </c>
      <c r="E794" s="8" t="inlineStr">
        <is>
          <t>implement</t>
        </is>
      </c>
      <c r="F794" s="8" t="inlineStr">
        <is>
          <t>common</t>
        </is>
      </c>
      <c r="G794" s="8" t="inlineStr">
        <is>
          <t>水</t>
        </is>
      </c>
      <c r="H794" s="8" t="inlineStr">
        <is>
          <t>water</t>
        </is>
      </c>
      <c r="I794" s="8" t="inlineStr">
        <is>
          <t>1×3</t>
        </is>
      </c>
      <c r="J794" s="8" t="n">
        <v>3</v>
      </c>
      <c r="K794" s="8" t="n">
        <v>12</v>
      </c>
      <c r="L794" s="8" t="inlineStr">
        <is>
          <t>是</t>
        </is>
      </c>
      <c r="M794" s="9" t="inlineStr"/>
      <c r="N794" s="8" t="n">
        <v>2</v>
      </c>
      <c r="O794" s="9" t="inlineStr">
        <is>
          <t>周期触发</t>
        </is>
      </c>
      <c r="P794" s="9" t="inlineStr">
        <is>
          <t>periodicPulse</t>
        </is>
      </c>
      <c r="Q794" s="9" t="inlineStr">
        <is>
          <t>周期触发：消耗敌方 4 层冰霜，造成 18 点伤害；消耗敌方 4 层冰霜，造成 23 点伤害；消耗敌方 4 层冰霜，造成 27 点伤害；消耗敌方 4 层冰霜，造成 32 点伤害 | 周期触发：开局获得 3 层闪避；开局获得 4 层闪避；开局获得 5 层闪避；开局获得 6 层闪避</t>
        </is>
      </c>
      <c r="R794" s="9" t="inlineStr">
        <is>
          <t>qinghe_signature；heguizhou</t>
        </is>
      </c>
      <c r="S794" s="9" t="inlineStr">
        <is>
          <t>何归舟压住急浪、拨开暗礁的短戟，双侧月牙刃能借回流连续换势。</t>
        </is>
      </c>
      <c r="T794" s="8" t="inlineStr">
        <is>
          <t>implement_qinghe_heguizhou_1x3</t>
        </is>
      </c>
      <c r="U794" s="8" t="inlineStr">
        <is>
          <t>allowed</t>
        </is>
      </c>
    </row>
    <row r="795" ht="34" customHeight="1">
      <c r="A795" s="8" t="n">
        <v>794</v>
      </c>
      <c r="B795" s="8" t="n">
        <v>417002</v>
      </c>
      <c r="C795" s="8" t="inlineStr">
        <is>
          <t>苇露净瓶</t>
        </is>
      </c>
      <c r="D795" s="8" t="inlineStr">
        <is>
          <t>法器</t>
        </is>
      </c>
      <c r="E795" s="8" t="inlineStr">
        <is>
          <t>implement</t>
        </is>
      </c>
      <c r="F795" s="8" t="inlineStr">
        <is>
          <t>common</t>
        </is>
      </c>
      <c r="G795" s="8" t="inlineStr">
        <is>
          <t>水</t>
        </is>
      </c>
      <c r="H795" s="8" t="inlineStr">
        <is>
          <t>water</t>
        </is>
      </c>
      <c r="I795" s="8" t="inlineStr">
        <is>
          <t>1×2</t>
        </is>
      </c>
      <c r="J795" s="8" t="n">
        <v>2</v>
      </c>
      <c r="K795" s="8" t="n">
        <v>12</v>
      </c>
      <c r="L795" s="8" t="inlineStr">
        <is>
          <t>是</t>
        </is>
      </c>
      <c r="M795" s="9" t="inlineStr"/>
      <c r="N795" s="8" t="n">
        <v>2</v>
      </c>
      <c r="O795" s="9" t="inlineStr">
        <is>
          <t>周期触发</t>
        </is>
      </c>
      <c r="P795" s="9" t="inlineStr">
        <is>
          <t>periodicPulse</t>
        </is>
      </c>
      <c r="Q795" s="9" t="inlineStr">
        <is>
          <t>周期触发：恢复 2 点气血和法力，获得 2 层露水与 1 层再生；恢复 3 点气血和法力，获得 3 层露水与 2 层再生；恢复 4 点气血和法力，获得 4 层露水与 3 层再生；恢复 5 点气血和法力，获得 5 层露水与 4 层再生 | 周期触发：开局获得 2 层露水；开局获得 3 层露水；开局获得 4 层露水；开局获得 5 层露水</t>
        </is>
      </c>
      <c r="R795" s="9" t="inlineStr">
        <is>
          <t>qinghe_signature；liuweiqiu</t>
        </is>
      </c>
      <c r="S795" s="9" t="inlineStr">
        <is>
          <t>柳苇秋收集清晨苇露的青瓷净瓶，瓶中水气可洗去灵田植株上的污痕。</t>
        </is>
      </c>
      <c r="T795" s="8" t="inlineStr">
        <is>
          <t>implement_qinghe_liuweiqiu_1x2</t>
        </is>
      </c>
      <c r="U795" s="8" t="inlineStr">
        <is>
          <t>allowed</t>
        </is>
      </c>
    </row>
    <row r="796" ht="34" customHeight="1">
      <c r="A796" s="8" t="n">
        <v>795</v>
      </c>
      <c r="B796" s="8" t="n">
        <v>417003</v>
      </c>
      <c r="C796" s="8" t="inlineStr">
        <is>
          <t>校潮信火</t>
        </is>
      </c>
      <c r="D796" s="8" t="inlineStr">
        <is>
          <t>法器</t>
        </is>
      </c>
      <c r="E796" s="8" t="inlineStr">
        <is>
          <t>implement</t>
        </is>
      </c>
      <c r="F796" s="8" t="inlineStr">
        <is>
          <t>common</t>
        </is>
      </c>
      <c r="G796" s="8" t="inlineStr">
        <is>
          <t>水</t>
        </is>
      </c>
      <c r="H796" s="8" t="inlineStr">
        <is>
          <t>water</t>
        </is>
      </c>
      <c r="I796" s="8" t="inlineStr">
        <is>
          <t>2×2</t>
        </is>
      </c>
      <c r="J796" s="8" t="n">
        <v>4</v>
      </c>
      <c r="K796" s="8" t="n">
        <v>12</v>
      </c>
      <c r="L796" s="8" t="inlineStr">
        <is>
          <t>是</t>
        </is>
      </c>
      <c r="M796" s="9" t="inlineStr"/>
      <c r="N796" s="8" t="n">
        <v>2</v>
      </c>
      <c r="O796" s="9" t="inlineStr">
        <is>
          <t>周期触发</t>
        </is>
      </c>
      <c r="P796" s="9" t="inlineStr">
        <is>
          <t>periodicPulse</t>
        </is>
      </c>
      <c r="Q796" s="9" t="inlineStr">
        <is>
          <t>周期触发：消耗 20 点法力，对敌方施加 4 层冰霜并造成 32 点伤害；消耗 20 点法力，对敌方施加 5 层冰霜并造成 40 点伤害；消耗 20 点法力，对敌方施加 6 层冰霜并造成 48 点伤害；消耗 20 点法力，对敌方施加 7 层冰霜并造成 56 点伤害 | 周期触发：开局获得 3 层寒冷；开局获得 4 层寒冷；开局获得 5 层寒冷；开局获得 6 层寒冷</t>
        </is>
      </c>
      <c r="R796" s="9" t="inlineStr">
        <is>
          <t>qinghe_signature；chengyanxi</t>
        </is>
      </c>
      <c r="S796" s="9" t="inlineStr">
        <is>
          <t>程砚溪校准哨台潮汐时刻的悬火信标，火色随水势急缓分成三重明灭。</t>
        </is>
      </c>
      <c r="T796" s="8" t="inlineStr">
        <is>
          <t>implement_qinghe_chengyanxi_2x2</t>
        </is>
      </c>
      <c r="U796" s="8" t="inlineStr">
        <is>
          <t>allowed</t>
        </is>
      </c>
    </row>
    <row r="797" ht="34" customHeight="1">
      <c r="A797" s="8" t="n">
        <v>796</v>
      </c>
      <c r="B797" s="8" t="n">
        <v>417004</v>
      </c>
      <c r="C797" s="8" t="inlineStr">
        <is>
          <t>山门护阵牌</t>
        </is>
      </c>
      <c r="D797" s="8" t="inlineStr">
        <is>
          <t>法器</t>
        </is>
      </c>
      <c r="E797" s="8" t="inlineStr">
        <is>
          <t>implement</t>
        </is>
      </c>
      <c r="F797" s="8" t="inlineStr">
        <is>
          <t>common</t>
        </is>
      </c>
      <c r="G797" s="8" t="inlineStr">
        <is>
          <t>水</t>
        </is>
      </c>
      <c r="H797" s="8" t="inlineStr">
        <is>
          <t>water</t>
        </is>
      </c>
      <c r="I797" s="8" t="inlineStr">
        <is>
          <t>2×2</t>
        </is>
      </c>
      <c r="J797" s="8" t="n">
        <v>4</v>
      </c>
      <c r="K797" s="8" t="n">
        <v>12</v>
      </c>
      <c r="L797" s="8" t="inlineStr">
        <is>
          <t>是</t>
        </is>
      </c>
      <c r="M797" s="9" t="inlineStr"/>
      <c r="N797" s="8" t="n">
        <v>2</v>
      </c>
      <c r="O797" s="9" t="inlineStr">
        <is>
          <t>周期触发</t>
        </is>
      </c>
      <c r="P797" s="9" t="inlineStr">
        <is>
          <t>periodicPulse</t>
        </is>
      </c>
      <c r="Q797" s="9" t="inlineStr">
        <is>
          <t>周期触发：获得 3 层护甲和 2 层坚硬；受到伤害时，消耗 3 层露水，对敌方造成 3 点伤害；受到伤害时，消耗 3 层露水，对敌方造成 3 点伤害；获得 4 层护甲和 3 层坚硬；受到伤害时，消耗 3 层露水，对敌方造成 4 点伤害；受到伤害时，消耗 3 层露水，对敌方造成 4 点伤害；获得 5 层护甲和 4 层坚硬；受到伤害时，消耗 3 层露水，对敌方造成 5 点伤害；受到伤害时，消耗 3 层露水，对敌方造成 5 点伤害；获得 6 层护甲和 5 层坚硬；受到伤害时，消耗 3 层露水，对敌方造成 6 点伤害；受到伤害时，消耗 3 层露水，对敌方造成 6 点伤害 | 周期触发：开局获得 3 层护甲；开局获得 4 层护甲；开局获得 5 层护甲；开局获得 6 层护甲</t>
        </is>
      </c>
      <c r="R797" s="9" t="inlineStr">
        <is>
          <t>qinghe_signature；tangzhaopu</t>
        </is>
      </c>
      <c r="S797" s="9" t="inlineStr">
        <is>
          <t>唐照浦值守山门时所持的折角护阵牌，牌面受击后会将余势导入边角阵纹。</t>
        </is>
      </c>
      <c r="T797" s="8" t="inlineStr">
        <is>
          <t>implement_qinghe_tangzhaopu_2x2</t>
        </is>
      </c>
      <c r="U797" s="8" t="inlineStr">
        <is>
          <t>allowed</t>
        </is>
      </c>
    </row>
    <row r="798" ht="34" customHeight="1">
      <c r="A798" s="8" t="n">
        <v>797</v>
      </c>
      <c r="B798" s="8" t="n">
        <v>417005</v>
      </c>
      <c r="C798" s="8" t="inlineStr">
        <is>
          <t>客舍传声铃</t>
        </is>
      </c>
      <c r="D798" s="8" t="inlineStr">
        <is>
          <t>法器</t>
        </is>
      </c>
      <c r="E798" s="8" t="inlineStr">
        <is>
          <t>implement</t>
        </is>
      </c>
      <c r="F798" s="8" t="inlineStr">
        <is>
          <t>common</t>
        </is>
      </c>
      <c r="G798" s="8" t="inlineStr">
        <is>
          <t>水</t>
        </is>
      </c>
      <c r="H798" s="8" t="inlineStr">
        <is>
          <t>water</t>
        </is>
      </c>
      <c r="I798" s="8" t="inlineStr">
        <is>
          <t>1×2</t>
        </is>
      </c>
      <c r="J798" s="8" t="n">
        <v>2</v>
      </c>
      <c r="K798" s="8" t="n">
        <v>12</v>
      </c>
      <c r="L798" s="8" t="inlineStr">
        <is>
          <t>是</t>
        </is>
      </c>
      <c r="M798" s="9" t="inlineStr"/>
      <c r="N798" s="8" t="n">
        <v>1</v>
      </c>
      <c r="O798" s="9" t="inlineStr">
        <is>
          <t>周期触发</t>
        </is>
      </c>
      <c r="P798" s="9" t="inlineStr">
        <is>
          <t>periodicPulse</t>
        </is>
      </c>
      <c r="Q798" s="9" t="inlineStr">
        <is>
          <t>周期触发：消耗 10 点法力，对敌方施加 2 层冰霜，并使随机 1 件道具减速 2 秒；消耗 10 点法力，对敌方施加 3 层冰霜，并使随机 1 件道具减速 3 秒；消耗 10 点法力，对敌方施加 4 层冰霜，并使随机 1 件道具减速 4 秒；消耗 10 点法力，对敌方施加 5 层冰霜，并使随机 1 件道具减速 5 秒</t>
        </is>
      </c>
      <c r="R798" s="9" t="inlineStr">
        <is>
          <t>qinghe_signature；moyuchuan</t>
        </is>
      </c>
      <c r="S798" s="9" t="inlineStr">
        <is>
          <t>莫雨川挂在客舍廊下的铜制传声铃，能把一段低语沿雨檐送到相邻房门。</t>
        </is>
      </c>
      <c r="T798" s="8" t="inlineStr">
        <is>
          <t>implement_qinghe_moyuchuan_1x2</t>
        </is>
      </c>
      <c r="U798" s="8" t="inlineStr">
        <is>
          <t>allowed</t>
        </is>
      </c>
    </row>
    <row r="799" ht="34" customHeight="1">
      <c r="A799" s="8" t="n">
        <v>798</v>
      </c>
      <c r="B799" s="8" t="n">
        <v>417051</v>
      </c>
      <c r="C799" s="8" t="inlineStr">
        <is>
          <t>青河镇脉玉璧</t>
        </is>
      </c>
      <c r="D799" s="8" t="inlineStr">
        <is>
          <t>法器</t>
        </is>
      </c>
      <c r="E799" s="8" t="inlineStr">
        <is>
          <t>implement</t>
        </is>
      </c>
      <c r="F799" s="8" t="inlineStr">
        <is>
          <t>mystic</t>
        </is>
      </c>
      <c r="G799" s="8" t="inlineStr">
        <is>
          <t>水</t>
        </is>
      </c>
      <c r="H799" s="8" t="inlineStr">
        <is>
          <t>water</t>
        </is>
      </c>
      <c r="I799" s="8" t="inlineStr">
        <is>
          <t>1×1</t>
        </is>
      </c>
      <c r="J799" s="8" t="n">
        <v>1</v>
      </c>
      <c r="K799" s="8" t="n">
        <v>60</v>
      </c>
      <c r="L799" s="8" t="inlineStr">
        <is>
          <t>否</t>
        </is>
      </c>
      <c r="M799" s="9" t="inlineStr"/>
      <c r="N799" s="8" t="n">
        <v>2</v>
      </c>
      <c r="O799" s="9" t="inlineStr">
        <is>
          <t>周期触发</t>
        </is>
      </c>
      <c r="P799" s="9" t="inlineStr">
        <is>
          <t>periodicPulse</t>
        </is>
      </c>
      <c r="Q799" s="9" t="inlineStr">
        <is>
          <t>周期触发：吸取敌人 40 点法力 | 周期触发：开局：消耗 96 点法力，获得 96 层护甲</t>
        </is>
      </c>
      <c r="R799" s="9" t="inlineStr">
        <is>
          <t>qinghe_core_loadout</t>
        </is>
      </c>
      <c r="S799" s="9" t="inlineStr">
        <is>
          <t>青河宗结丹修士共用的镇脉玉璧，五道水纹环抱璧心，将散乱灵流稳稳束回河脉。</t>
        </is>
      </c>
      <c r="T799" s="8" t="inlineStr">
        <is>
          <t>implement_qinghe_core_vein_jade_bi_1x1</t>
        </is>
      </c>
      <c r="U799" s="8" t="inlineStr">
        <is>
          <t>allowed</t>
        </is>
      </c>
    </row>
    <row r="800" ht="34" customHeight="1">
      <c r="A800" s="8" t="n">
        <v>799</v>
      </c>
      <c r="B800" s="8" t="n">
        <v>417058</v>
      </c>
      <c r="C800" s="8" t="inlineStr">
        <is>
          <t>青河引泉珠</t>
        </is>
      </c>
      <c r="D800" s="8" t="inlineStr">
        <is>
          <t>法器</t>
        </is>
      </c>
      <c r="E800" s="8" t="inlineStr">
        <is>
          <t>implement</t>
        </is>
      </c>
      <c r="F800" s="8" t="inlineStr">
        <is>
          <t>spirit</t>
        </is>
      </c>
      <c r="G800" s="8" t="inlineStr">
        <is>
          <t>水</t>
        </is>
      </c>
      <c r="H800" s="8" t="inlineStr">
        <is>
          <t>water</t>
        </is>
      </c>
      <c r="I800" s="8" t="inlineStr">
        <is>
          <t>1×1</t>
        </is>
      </c>
      <c r="J800" s="8" t="n">
        <v>1</v>
      </c>
      <c r="K800" s="8" t="n">
        <v>20</v>
      </c>
      <c r="L800" s="8" t="inlineStr">
        <is>
          <t>否</t>
        </is>
      </c>
      <c r="M800" s="9" t="inlineStr"/>
      <c r="N800" s="8" t="n">
        <v>1</v>
      </c>
      <c r="O800" s="9" t="inlineStr">
        <is>
          <t>被动效果</t>
        </is>
      </c>
      <c r="P800" s="9" t="inlineStr">
        <is>
          <t>passive</t>
        </is>
      </c>
      <c r="Q800" s="9" t="inlineStr">
        <is>
          <t>被动效果：所有道具获得露水时，额外获得 1 层露水；所有道具获得露水时，额外获得 2 层露水；所有道具获得露水时，额外获得 3 层露水；所有道具获得露水时，额外获得 4 层露水</t>
        </is>
      </c>
      <c r="R800" s="9" t="inlineStr">
        <is>
          <t>qinghe_core_loadout</t>
        </is>
      </c>
      <c r="S800" s="9" t="inlineStr">
        <is>
          <t>青河宗内门制式的引泉灵珠，乳青珠心收拢细微水气，为随身法器缓缓补入清灵。</t>
        </is>
      </c>
      <c r="T800" s="8" t="inlineStr">
        <is>
          <t>implement_qinghe_core_spring_pearl_1x1</t>
        </is>
      </c>
      <c r="U800" s="8" t="inlineStr">
        <is>
          <t>allowed</t>
        </is>
      </c>
    </row>
    <row r="801" ht="34" customHeight="1">
      <c r="A801" s="8" t="n">
        <v>800</v>
      </c>
      <c r="B801" s="8" t="n">
        <v>418000</v>
      </c>
      <c r="C801" s="8" t="inlineStr">
        <is>
          <t>温药铜环</t>
        </is>
      </c>
      <c r="D801" s="8" t="inlineStr">
        <is>
          <t>法器</t>
        </is>
      </c>
      <c r="E801" s="8" t="inlineStr">
        <is>
          <t>implement</t>
        </is>
      </c>
      <c r="F801" s="8" t="inlineStr">
        <is>
          <t>common</t>
        </is>
      </c>
      <c r="G801" s="8" t="inlineStr">
        <is>
          <t>火</t>
        </is>
      </c>
      <c r="H801" s="8" t="inlineStr">
        <is>
          <t>fire</t>
        </is>
      </c>
      <c r="I801" s="8" t="inlineStr">
        <is>
          <t>1×1</t>
        </is>
      </c>
      <c r="J801" s="8" t="n">
        <v>1</v>
      </c>
      <c r="K801" s="8" t="n">
        <v>12</v>
      </c>
      <c r="L801" s="8" t="inlineStr">
        <is>
          <t>是</t>
        </is>
      </c>
      <c r="M801" s="9" t="inlineStr"/>
      <c r="N801" s="8" t="n">
        <v>2</v>
      </c>
      <c r="O801" s="9" t="inlineStr">
        <is>
          <t>周期触发</t>
        </is>
      </c>
      <c r="P801" s="9" t="inlineStr">
        <is>
          <t>periodicPulse</t>
        </is>
      </c>
      <c r="Q801" s="9" t="inlineStr">
        <is>
          <t>周期触发：开局时，获得 4 层炎热并恢复 4 点法力；开局时，获得 5 层炎热并恢复 5 点法力；开局时，获得 6 层炎热并恢复 6 点法力；开局时，获得 7 层炎热并恢复 7 点法力 | 周期触发：最多消耗 4 层炎热；每消耗 1 层，恢复 1 点气血，并对敌方造成 2 点伤害；最多消耗 4 层炎热；每消耗 1 层，恢复 2 点气血，并对敌方造成 3 点伤害；最多消耗 4 层炎热；每消耗 1 层，恢复 3 点气血，并对敌方造成 4 点伤害；最多消耗 4 层炎热；每消耗 1 层，恢复 4 点气血，并对敌方造成 5 点伤害</t>
        </is>
      </c>
      <c r="R801" s="9" t="inlineStr">
        <is>
          <t>danxia_signature；peiwantang</t>
        </is>
      </c>
      <c r="S801" s="9" t="inlineStr">
        <is>
          <t>裴晚棠用旧铜反复校温的小环，环内留着药叶与指腹磨出的浅痕。</t>
        </is>
      </c>
      <c r="T801" s="8" t="inlineStr">
        <is>
          <t>implement_danxia_peiwantang_warm_medicine_ring_1x1</t>
        </is>
      </c>
      <c r="U801" s="8" t="inlineStr">
        <is>
          <t>allowed</t>
        </is>
      </c>
    </row>
    <row r="802" ht="34" customHeight="1">
      <c r="A802" s="8" t="n">
        <v>801</v>
      </c>
      <c r="B802" s="8" t="n">
        <v>418001</v>
      </c>
      <c r="C802" s="8" t="inlineStr">
        <is>
          <t>收灰铲</t>
        </is>
      </c>
      <c r="D802" s="8" t="inlineStr">
        <is>
          <t>法器</t>
        </is>
      </c>
      <c r="E802" s="8" t="inlineStr">
        <is>
          <t>implement</t>
        </is>
      </c>
      <c r="F802" s="8" t="inlineStr">
        <is>
          <t>common</t>
        </is>
      </c>
      <c r="G802" s="8" t="inlineStr">
        <is>
          <t>火</t>
        </is>
      </c>
      <c r="H802" s="8" t="inlineStr">
        <is>
          <t>fire</t>
        </is>
      </c>
      <c r="I802" s="8" t="inlineStr">
        <is>
          <t>1×2</t>
        </is>
      </c>
      <c r="J802" s="8" t="n">
        <v>2</v>
      </c>
      <c r="K802" s="8" t="n">
        <v>12</v>
      </c>
      <c r="L802" s="8" t="inlineStr">
        <is>
          <t>是</t>
        </is>
      </c>
      <c r="M802" s="9" t="inlineStr"/>
      <c r="N802" s="8" t="n">
        <v>1</v>
      </c>
      <c r="O802" s="9" t="inlineStr">
        <is>
          <t>条件触发</t>
        </is>
      </c>
      <c r="P802" s="9" t="inlineStr">
        <is>
          <t>triggered</t>
        </is>
      </c>
      <c r="Q802" s="9" t="inlineStr">
        <is>
          <t>条件触发：受到伤害时，最多消耗 3 层炎热，每消耗 1 层，对敌方造成 3 点伤害；受到伤害时，最多消耗 3 层炎热，每消耗 1 层，对敌方造成 4 点伤害；受到伤害时，最多消耗 3 层炎热，每消耗 1 层，对敌方造成 5 点伤害；受到伤害时，最多消耗 3 层炎热，每消耗 1 层，对敌方造成 6 点伤害</t>
        </is>
      </c>
      <c r="R802" s="9" t="inlineStr">
        <is>
          <t>danxia_signature；shenqihuo</t>
        </is>
      </c>
      <c r="S802" s="9" t="inlineStr">
        <is>
          <t>沈栖火常用的带盖短铲，铲口包着旧铜，能把热灰稳稳收进窄槽。</t>
        </is>
      </c>
      <c r="T802" s="8" t="inlineStr">
        <is>
          <t>implement_danxia_shenqihuo_ash_shovel_1x2</t>
        </is>
      </c>
      <c r="U802" s="8" t="inlineStr">
        <is>
          <t>allowed</t>
        </is>
      </c>
    </row>
    <row r="803" ht="34" customHeight="1">
      <c r="A803" s="8" t="n">
        <v>802</v>
      </c>
      <c r="B803" s="8" t="n">
        <v>418002</v>
      </c>
      <c r="C803" s="8" t="inlineStr">
        <is>
          <t>双盘灵秤</t>
        </is>
      </c>
      <c r="D803" s="8" t="inlineStr">
        <is>
          <t>法器</t>
        </is>
      </c>
      <c r="E803" s="8" t="inlineStr">
        <is>
          <t>implement</t>
        </is>
      </c>
      <c r="F803" s="8" t="inlineStr">
        <is>
          <t>common</t>
        </is>
      </c>
      <c r="G803" s="8" t="inlineStr">
        <is>
          <t>火</t>
        </is>
      </c>
      <c r="H803" s="8" t="inlineStr">
        <is>
          <t>fire</t>
        </is>
      </c>
      <c r="I803" s="8" t="inlineStr">
        <is>
          <t>2×1</t>
        </is>
      </c>
      <c r="J803" s="8" t="n">
        <v>2</v>
      </c>
      <c r="K803" s="8" t="n">
        <v>12</v>
      </c>
      <c r="L803" s="8" t="inlineStr">
        <is>
          <t>是</t>
        </is>
      </c>
      <c r="M803" s="9" t="inlineStr"/>
      <c r="N803" s="8" t="n">
        <v>2</v>
      </c>
      <c r="O803" s="9" t="inlineStr">
        <is>
          <t>周期触发</t>
        </is>
      </c>
      <c r="P803" s="9" t="inlineStr">
        <is>
          <t>periodicPulse</t>
        </is>
      </c>
      <c r="Q803" s="9" t="inlineStr">
        <is>
          <t>周期触发：消耗 20 点法力，对敌方施加 4 层灼烧；消耗 20 点法力，对敌方施加 5 层灼烧；消耗 20 点法力，对敌方施加 6 层灼烧；消耗 20 点法力，对敌方施加 7 层灼烧 | 周期触发：敌方有不少于 2 层灼烧时，消耗其 2 层并造成 6 点伤害；敌方有不少于 2 层灼烧时，消耗其 2 层并造成 8 点伤害；敌方有不少于 2 层灼烧时，消耗其 2 层并造成 9 点伤害；敌方有不少于 2 层灼烧时，消耗其 2 层并造成 11 点伤害</t>
        </is>
      </c>
      <c r="R803" s="9" t="inlineStr">
        <is>
          <t>danxia_signature；qiaosuyun</t>
        </is>
      </c>
      <c r="S803" s="9" t="inlineStr">
        <is>
          <t>乔素蕴复秤药材所用的赤铜小秤，两只秤盘边缘刻着细密批次记号。</t>
        </is>
      </c>
      <c r="T803" s="8" t="inlineStr">
        <is>
          <t>implement_danxia_qiaosuyun_twin_pan_scale_2x1</t>
        </is>
      </c>
      <c r="U803" s="8" t="inlineStr">
        <is>
          <t>allowed</t>
        </is>
      </c>
    </row>
    <row r="804" ht="34" customHeight="1">
      <c r="A804" s="8" t="n">
        <v>803</v>
      </c>
      <c r="B804" s="8" t="n">
        <v>418003</v>
      </c>
      <c r="C804" s="8" t="inlineStr">
        <is>
          <t>分炉火尺</t>
        </is>
      </c>
      <c r="D804" s="8" t="inlineStr">
        <is>
          <t>法器</t>
        </is>
      </c>
      <c r="E804" s="8" t="inlineStr">
        <is>
          <t>implement</t>
        </is>
      </c>
      <c r="F804" s="8" t="inlineStr">
        <is>
          <t>spirit</t>
        </is>
      </c>
      <c r="G804" s="8" t="inlineStr">
        <is>
          <t>火</t>
        </is>
      </c>
      <c r="H804" s="8" t="inlineStr">
        <is>
          <t>fire</t>
        </is>
      </c>
      <c r="I804" s="8" t="inlineStr">
        <is>
          <t>1×3</t>
        </is>
      </c>
      <c r="J804" s="8" t="n">
        <v>3</v>
      </c>
      <c r="K804" s="8" t="n">
        <v>100</v>
      </c>
      <c r="L804" s="8" t="inlineStr">
        <is>
          <t>是</t>
        </is>
      </c>
      <c r="M804" s="9" t="inlineStr"/>
      <c r="N804" s="8" t="n">
        <v>1</v>
      </c>
      <c r="O804" s="9" t="inlineStr">
        <is>
          <t>周期触发</t>
        </is>
      </c>
      <c r="P804" s="9" t="inlineStr">
        <is>
          <t>periodicPulse</t>
        </is>
      </c>
      <c r="Q804" s="9" t="inlineStr">
        <is>
          <t>周期触发：将我方全部灼烧转移给敌方；消耗我方全部灼烧，每消耗 1 层使敌方获得 2 层灼烧；消耗我方全部灼烧，每消耗 1 层使敌方获得 3 层灼烧；消耗我方全部灼烧，每消耗 1 层使敌方获得 4 层灼烧</t>
        </is>
      </c>
      <c r="R804" s="9" t="inlineStr">
        <is>
          <t>danxia_signature；gutingzhu</t>
        </is>
      </c>
      <c r="S804" s="9" t="inlineStr">
        <is>
          <t>顾停烛丈量三路炉火的黑铜长尺，三段关节各留有一次停炉后的灼痕。</t>
        </is>
      </c>
      <c r="T804" s="8" t="inlineStr">
        <is>
          <t>implement_danxia_gutingzhu_furnace_dividing_ruler_1x3</t>
        </is>
      </c>
      <c r="U804" s="8" t="inlineStr">
        <is>
          <t>allowed</t>
        </is>
      </c>
    </row>
    <row r="805" ht="34" customHeight="1">
      <c r="A805" s="8" t="n">
        <v>804</v>
      </c>
      <c r="B805" s="8" t="n">
        <v>418004</v>
      </c>
      <c r="C805" s="8" t="inlineStr">
        <is>
          <t>黑铜耐热护臂</t>
        </is>
      </c>
      <c r="D805" s="8" t="inlineStr">
        <is>
          <t>法器</t>
        </is>
      </c>
      <c r="E805" s="8" t="inlineStr">
        <is>
          <t>implement</t>
        </is>
      </c>
      <c r="F805" s="8" t="inlineStr">
        <is>
          <t>spirit</t>
        </is>
      </c>
      <c r="G805" s="8" t="inlineStr">
        <is>
          <t>火</t>
        </is>
      </c>
      <c r="H805" s="8" t="inlineStr">
        <is>
          <t>fire</t>
        </is>
      </c>
      <c r="I805" s="8" t="inlineStr">
        <is>
          <t>1×2</t>
        </is>
      </c>
      <c r="J805" s="8" t="n">
        <v>2</v>
      </c>
      <c r="K805" s="8" t="n">
        <v>100</v>
      </c>
      <c r="L805" s="8" t="inlineStr">
        <is>
          <t>是</t>
        </is>
      </c>
      <c r="M805" s="9" t="inlineStr"/>
      <c r="N805" s="8" t="n">
        <v>1</v>
      </c>
      <c r="O805" s="9" t="inlineStr">
        <is>
          <t>条件触发</t>
        </is>
      </c>
      <c r="P805" s="9" t="inlineStr">
        <is>
          <t>triggered</t>
        </is>
      </c>
      <c r="Q805" s="9" t="inlineStr">
        <is>
          <t>条件触发：受到伤害时，若本次伤害不少于 30 点，最多消耗 8 层炎热，每层对敌方造成 10 点伤害；受到伤害时，若本次伤害不少于 30 点，最多消耗 10 层炎热，每层对敌方造成 10 点伤害；受到伤害时，若本次伤害不少于 30 点，最多消耗 12 层炎热，每层对敌方造成 10 点伤害；受到伤害时，若本次伤害不少于 30 点，最多消耗 14 层炎热，每层对敌方造成 10 点伤害</t>
        </is>
      </c>
      <c r="R805" s="9" t="inlineStr">
        <is>
          <t>danxia_signature；gutingzhu</t>
        </is>
      </c>
      <c r="S805" s="9" t="inlineStr">
        <is>
          <t>顾停烛换过数次内衬的黑铜护臂，甲片接缝仍残留副炉倒灌时的暗红色。</t>
        </is>
      </c>
      <c r="T805" s="8" t="inlineStr">
        <is>
          <t>implement_danxia_gutingzhu_heatproof_bracer_1x2</t>
        </is>
      </c>
      <c r="U805" s="8" t="inlineStr">
        <is>
          <t>allowed</t>
        </is>
      </c>
    </row>
    <row r="806" ht="34" customHeight="1">
      <c r="A806" s="8" t="n">
        <v>805</v>
      </c>
      <c r="B806" s="8" t="n">
        <v>418005</v>
      </c>
      <c r="C806" s="8" t="inlineStr">
        <is>
          <t>铜页丹匣</t>
        </is>
      </c>
      <c r="D806" s="8" t="inlineStr">
        <is>
          <t>法器</t>
        </is>
      </c>
      <c r="E806" s="8" t="inlineStr">
        <is>
          <t>implement</t>
        </is>
      </c>
      <c r="F806" s="8" t="inlineStr">
        <is>
          <t>spirit</t>
        </is>
      </c>
      <c r="G806" s="8" t="inlineStr">
        <is>
          <t>火</t>
        </is>
      </c>
      <c r="H806" s="8" t="inlineStr">
        <is>
          <t>fire</t>
        </is>
      </c>
      <c r="I806" s="8" t="inlineStr">
        <is>
          <t>2×2</t>
        </is>
      </c>
      <c r="J806" s="8" t="n">
        <v>4</v>
      </c>
      <c r="K806" s="8" t="n">
        <v>100</v>
      </c>
      <c r="L806" s="8" t="inlineStr">
        <is>
          <t>是</t>
        </is>
      </c>
      <c r="M806" s="9" t="inlineStr"/>
      <c r="N806" s="8" t="n">
        <v>1</v>
      </c>
      <c r="O806" s="9" t="inlineStr">
        <is>
          <t>周期触发</t>
        </is>
      </c>
      <c r="P806" s="9" t="inlineStr">
        <is>
          <t>periodicPulse</t>
        </is>
      </c>
      <c r="Q806" s="9" t="inlineStr">
        <is>
          <t>周期触发：敌方灼烧不少于 20 层时，消耗 20 层并造成 70 点伤害；敌方灼烧不少于 20 层时，消耗 20 层并造成 90 点伤害；敌方灼烧不少于 20 层时，消耗 20 层并造成 110 点伤害；敌方灼烧不少于 20 层时，消耗 20 层并造成 130 点伤害</t>
        </is>
      </c>
      <c r="R806" s="9" t="inlineStr">
        <is>
          <t>danxia_signature；fangyandan</t>
        </is>
      </c>
      <c r="S806" s="9" t="inlineStr">
        <is>
          <t>方砚丹随身携带的折页丹匣，每片铜页都能夹存一份不便公开的方稿。</t>
        </is>
      </c>
      <c r="T806" s="8" t="inlineStr">
        <is>
          <t>implement_danxia_fangyandan_copper_page_pill_case_2x2</t>
        </is>
      </c>
      <c r="U806" s="8" t="inlineStr">
        <is>
          <t>allowed</t>
        </is>
      </c>
    </row>
    <row r="807" ht="34" customHeight="1">
      <c r="A807" s="8" t="n">
        <v>806</v>
      </c>
      <c r="B807" s="8" t="n">
        <v>418006</v>
      </c>
      <c r="C807" s="8" t="inlineStr">
        <is>
          <t>方库封签</t>
        </is>
      </c>
      <c r="D807" s="8" t="inlineStr">
        <is>
          <t>法器</t>
        </is>
      </c>
      <c r="E807" s="8" t="inlineStr">
        <is>
          <t>implement</t>
        </is>
      </c>
      <c r="F807" s="8" t="inlineStr">
        <is>
          <t>spirit</t>
        </is>
      </c>
      <c r="G807" s="8" t="inlineStr">
        <is>
          <t>火</t>
        </is>
      </c>
      <c r="H807" s="8" t="inlineStr">
        <is>
          <t>fire</t>
        </is>
      </c>
      <c r="I807" s="8" t="inlineStr">
        <is>
          <t>1×1</t>
        </is>
      </c>
      <c r="J807" s="8" t="n">
        <v>1</v>
      </c>
      <c r="K807" s="8" t="n">
        <v>100</v>
      </c>
      <c r="L807" s="8" t="inlineStr">
        <is>
          <t>是</t>
        </is>
      </c>
      <c r="M807" s="9" t="inlineStr"/>
      <c r="N807" s="8" t="n">
        <v>1</v>
      </c>
      <c r="O807" s="9" t="inlineStr">
        <is>
          <t>周期触发</t>
        </is>
      </c>
      <c r="P807" s="9" t="inlineStr">
        <is>
          <t>periodicPulse</t>
        </is>
      </c>
      <c r="Q807" s="9" t="inlineStr">
        <is>
          <t>周期触发：获得 20 层炎热，对敌方施加 16 层灼烧；获得 26 层炎热，对敌方施加 20 层灼烧；获得 30 层炎热，对敌方施加 26 层灼烧；获得 36 层炎热，对敌方施加 30 层灼烧</t>
        </is>
      </c>
      <c r="R807" s="9" t="inlineStr">
        <is>
          <t>danxia_signature；fangyandan</t>
        </is>
      </c>
      <c r="S807" s="9" t="inlineStr">
        <is>
          <t>丹方库核准批次时使用的沉朱封签，边角压有方砚丹自留的细小复核印。</t>
        </is>
      </c>
      <c r="T807" s="8" t="inlineStr">
        <is>
          <t>implement_danxia_fangyandan_archive_seal_1x1</t>
        </is>
      </c>
      <c r="U807" s="8" t="inlineStr">
        <is>
          <t>allowed</t>
        </is>
      </c>
    </row>
    <row r="808" ht="34" customHeight="1">
      <c r="A808" s="8" t="n">
        <v>807</v>
      </c>
      <c r="B808" s="8" t="n">
        <v>418007</v>
      </c>
      <c r="C808" s="8" t="inlineStr">
        <is>
          <t>折叠火线枪</t>
        </is>
      </c>
      <c r="D808" s="8" t="inlineStr">
        <is>
          <t>法器</t>
        </is>
      </c>
      <c r="E808" s="8" t="inlineStr">
        <is>
          <t>implement</t>
        </is>
      </c>
      <c r="F808" s="8" t="inlineStr">
        <is>
          <t>spirit</t>
        </is>
      </c>
      <c r="G808" s="8" t="inlineStr">
        <is>
          <t>火</t>
        </is>
      </c>
      <c r="H808" s="8" t="inlineStr">
        <is>
          <t>fire</t>
        </is>
      </c>
      <c r="I808" s="8" t="inlineStr">
        <is>
          <t>1×3</t>
        </is>
      </c>
      <c r="J808" s="8" t="n">
        <v>3</v>
      </c>
      <c r="K808" s="8" t="n">
        <v>100</v>
      </c>
      <c r="L808" s="8" t="inlineStr">
        <is>
          <t>是</t>
        </is>
      </c>
      <c r="M808" s="9" t="inlineStr"/>
      <c r="N808" s="8" t="n">
        <v>1</v>
      </c>
      <c r="O808" s="9" t="inlineStr">
        <is>
          <t>周期触发</t>
        </is>
      </c>
      <c r="P808" s="9" t="inlineStr">
        <is>
          <t>periodicPulse</t>
        </is>
      </c>
      <c r="Q808" s="9" t="inlineStr">
        <is>
          <t>周期触发：消耗自身一半灼烧，层数向上取整；每消耗 1 层，对敌方造成 5 点伤害；消耗自身一半灼烧，层数向上取整；每消耗 1 层，对敌方造成 6 点伤害；消耗自身一半灼烧，层数向上取整；每消耗 1 层，对敌方造成 8 点伤害；消耗自身一半灼烧，层数向上取整；每消耗 1 层，对敌方造成 9 点伤害</t>
        </is>
      </c>
      <c r="R808" s="9" t="inlineStr">
        <is>
          <t>danxia_signature；xuezhaolan</t>
        </is>
      </c>
      <c r="S808" s="9" t="inlineStr">
        <is>
          <t>薛照岚巡火时携行的三折长枪，枪节展开后能沿灰道迅速标出禁入火线。</t>
        </is>
      </c>
      <c r="T808" s="8" t="inlineStr">
        <is>
          <t>implement_danxia_xuezhaolan_folding_fireline_spear_1x3</t>
        </is>
      </c>
      <c r="U808" s="8" t="inlineStr">
        <is>
          <t>allowed</t>
        </is>
      </c>
    </row>
    <row r="809" ht="34" customHeight="1">
      <c r="A809" s="8" t="n">
        <v>808</v>
      </c>
      <c r="B809" s="8" t="n">
        <v>418008</v>
      </c>
      <c r="C809" s="8" t="inlineStr">
        <is>
          <t>巡火披肩</t>
        </is>
      </c>
      <c r="D809" s="8" t="inlineStr">
        <is>
          <t>法器</t>
        </is>
      </c>
      <c r="E809" s="8" t="inlineStr">
        <is>
          <t>implement</t>
        </is>
      </c>
      <c r="F809" s="8" t="inlineStr">
        <is>
          <t>spirit</t>
        </is>
      </c>
      <c r="G809" s="8" t="inlineStr">
        <is>
          <t>火</t>
        </is>
      </c>
      <c r="H809" s="8" t="inlineStr">
        <is>
          <t>fire</t>
        </is>
      </c>
      <c r="I809" s="8" t="inlineStr">
        <is>
          <t>2×2</t>
        </is>
      </c>
      <c r="J809" s="8" t="n">
        <v>4</v>
      </c>
      <c r="K809" s="8" t="n">
        <v>100</v>
      </c>
      <c r="L809" s="8" t="inlineStr">
        <is>
          <t>是</t>
        </is>
      </c>
      <c r="M809" s="9" t="inlineStr"/>
      <c r="N809" s="8" t="n">
        <v>1</v>
      </c>
      <c r="O809" s="9" t="inlineStr">
        <is>
          <t>条件触发</t>
        </is>
      </c>
      <c r="P809" s="9" t="inlineStr">
        <is>
          <t>triggered</t>
        </is>
      </c>
      <c r="Q809" s="9" t="inlineStr">
        <is>
          <t>条件触发：受到伤害时，若本次伤害不少于 10 点，最多消耗 8 层灼烧，每层对敌方造成 10 点伤害；受到伤害时，若本次伤害不少于 10 点，最多消耗 10 层灼烧，每层对敌方造成 10 点伤害；受到伤害时，若本次伤害不少于 10 点，最多消耗 12 层灼烧，每层对敌方造成 10 点伤害；受到伤害时，若本次伤害不少于 10 点，最多消耗 14 层灼烧，每层对敌方造成 10 点伤害</t>
        </is>
      </c>
      <c r="R809" s="9" t="inlineStr">
        <is>
          <t>danxia_signature；xuezhaolan</t>
        </is>
      </c>
      <c r="S809" s="9" t="inlineStr">
        <is>
          <t>薛照岚的沉红巡火披肩，厚布内层缝着数道隔灰铜线，边缘留有旧日山火的焦口。</t>
        </is>
      </c>
      <c r="T809" s="8" t="inlineStr">
        <is>
          <t>implement_danxia_xuezhaolan_fire_patrol_mantle_2x2</t>
        </is>
      </c>
      <c r="U809" s="8" t="inlineStr">
        <is>
          <t>allowed</t>
        </is>
      </c>
    </row>
    <row r="810" ht="34" customHeight="1">
      <c r="A810" s="8" t="n">
        <v>809</v>
      </c>
      <c r="B810" s="8" t="n">
        <v>418009</v>
      </c>
      <c r="C810" s="8" t="inlineStr">
        <is>
          <t>守烬灯</t>
        </is>
      </c>
      <c r="D810" s="8" t="inlineStr">
        <is>
          <t>法器</t>
        </is>
      </c>
      <c r="E810" s="8" t="inlineStr">
        <is>
          <t>implement</t>
        </is>
      </c>
      <c r="F810" s="8" t="inlineStr">
        <is>
          <t>mystic</t>
        </is>
      </c>
      <c r="G810" s="8" t="inlineStr">
        <is>
          <t>火</t>
        </is>
      </c>
      <c r="H810" s="8" t="inlineStr">
        <is>
          <t>fire</t>
        </is>
      </c>
      <c r="I810" s="8" t="inlineStr">
        <is>
          <t>2×2</t>
        </is>
      </c>
      <c r="J810" s="8" t="n">
        <v>4</v>
      </c>
      <c r="K810" s="8" t="n">
        <v>800</v>
      </c>
      <c r="L810" s="8" t="inlineStr">
        <is>
          <t>是</t>
        </is>
      </c>
      <c r="M810" s="9" t="inlineStr"/>
      <c r="N810" s="8" t="n">
        <v>1</v>
      </c>
      <c r="O810" s="9" t="inlineStr">
        <is>
          <t>周期触发</t>
        </is>
      </c>
      <c r="P810" s="9" t="inlineStr">
        <is>
          <t>periodicPulse</t>
        </is>
      </c>
      <c r="Q810" s="9" t="inlineStr">
        <is>
          <t>周期触发：获得 56 层炎热、16 层护甲并恢复 56 点法力；获得 72 层炎热、20 层护甲并恢复 72 点法力；获得 88 层炎热、24 层护甲并恢复 88 点法力；获得 104 层炎热、28 层护甲并恢复 104 点法力</t>
        </is>
      </c>
      <c r="R810" s="9" t="inlineStr">
        <is>
          <t>danxia_signature；cenzhaotang</t>
        </is>
      </c>
      <c r="S810" s="9" t="inlineStr">
        <is>
          <t>岑照棠退居外院后重炼的沉铜灯，灯腹封着一线始终不灭的旧炉余烬。</t>
        </is>
      </c>
      <c r="T810" s="8" t="inlineStr">
        <is>
          <t>implement_danxia_cenzhaotang_ember_guard_lamp_2x2</t>
        </is>
      </c>
      <c r="U810" s="8" t="inlineStr">
        <is>
          <t>allowed</t>
        </is>
      </c>
    </row>
    <row r="811" ht="34" customHeight="1">
      <c r="A811" s="8" t="n">
        <v>810</v>
      </c>
      <c r="B811" s="8" t="n">
        <v>418010</v>
      </c>
      <c r="C811" s="8" t="inlineStr">
        <is>
          <t>三候印</t>
        </is>
      </c>
      <c r="D811" s="8" t="inlineStr">
        <is>
          <t>法器</t>
        </is>
      </c>
      <c r="E811" s="8" t="inlineStr">
        <is>
          <t>implement</t>
        </is>
      </c>
      <c r="F811" s="8" t="inlineStr">
        <is>
          <t>mystic</t>
        </is>
      </c>
      <c r="G811" s="8" t="inlineStr">
        <is>
          <t>火</t>
        </is>
      </c>
      <c r="H811" s="8" t="inlineStr">
        <is>
          <t>fire</t>
        </is>
      </c>
      <c r="I811" s="8" t="inlineStr">
        <is>
          <t>1×1</t>
        </is>
      </c>
      <c r="J811" s="8" t="n">
        <v>1</v>
      </c>
      <c r="K811" s="8" t="n">
        <v>800</v>
      </c>
      <c r="L811" s="8" t="inlineStr">
        <is>
          <t>是</t>
        </is>
      </c>
      <c r="M811" s="9" t="inlineStr"/>
      <c r="N811" s="8" t="n">
        <v>2</v>
      </c>
      <c r="O811" s="9" t="inlineStr">
        <is>
          <t>周期触发</t>
        </is>
      </c>
      <c r="P811" s="9" t="inlineStr">
        <is>
          <t>periodicPulse</t>
        </is>
      </c>
      <c r="Q811" s="9" t="inlineStr">
        <is>
          <t>周期触发：获得 20 层炎热；对敌方施加 20 层灼烧；获得 24 层炎热；对敌方施加 24 层灼烧；获得 28 层炎热；对敌方施加 28 层灼烧；获得 32 层炎热；对敌方施加 32 层灼烧 | 周期触发：最多消耗敌方 20 层灼烧，每层造成 40 点伤害；最多消耗敌方 24 层灼烧，每层造成 42 点伤害；最多消耗敌方 28 层灼烧，每层造成 43 点伤害；最多消耗敌方 32 层灼烧，每层造成 40 点伤害</t>
        </is>
      </c>
      <c r="R811" s="9" t="inlineStr">
        <is>
          <t>danxia_signature；cenzhaotang</t>
        </is>
      </c>
      <c r="S811" s="9" t="inlineStr">
        <is>
          <t>岑照棠裁定起火、守火与收火三候的方印，印面三道炉纹从不同时亮起。</t>
        </is>
      </c>
      <c r="T811" s="8" t="inlineStr">
        <is>
          <t>implement_danxia_cenzhaotang_three_watch_seal_1x1</t>
        </is>
      </c>
      <c r="U811" s="8" t="inlineStr">
        <is>
          <t>allowed</t>
        </is>
      </c>
    </row>
    <row r="812" ht="34" customHeight="1">
      <c r="A812" s="8" t="n">
        <v>811</v>
      </c>
      <c r="B812" s="8" t="n">
        <v>418011</v>
      </c>
      <c r="C812" s="8" t="inlineStr">
        <is>
          <t>地火炉肩</t>
        </is>
      </c>
      <c r="D812" s="8" t="inlineStr">
        <is>
          <t>法器</t>
        </is>
      </c>
      <c r="E812" s="8" t="inlineStr">
        <is>
          <t>implement</t>
        </is>
      </c>
      <c r="F812" s="8" t="inlineStr">
        <is>
          <t>mystic</t>
        </is>
      </c>
      <c r="G812" s="8" t="inlineStr">
        <is>
          <t>火</t>
        </is>
      </c>
      <c r="H812" s="8" t="inlineStr">
        <is>
          <t>fire</t>
        </is>
      </c>
      <c r="I812" s="8" t="inlineStr">
        <is>
          <t>2×1</t>
        </is>
      </c>
      <c r="J812" s="8" t="n">
        <v>2</v>
      </c>
      <c r="K812" s="8" t="n">
        <v>800</v>
      </c>
      <c r="L812" s="8" t="inlineStr">
        <is>
          <t>是</t>
        </is>
      </c>
      <c r="M812" s="9" t="inlineStr"/>
      <c r="N812" s="8" t="n">
        <v>1</v>
      </c>
      <c r="O812" s="9" t="inlineStr">
        <is>
          <t>条件触发</t>
        </is>
      </c>
      <c r="P812" s="9" t="inlineStr">
        <is>
          <t>triggered</t>
        </is>
      </c>
      <c r="Q812" s="9" t="inlineStr">
        <is>
          <t>条件触发：受到伤害时，最多消耗 24 层炎热，每消耗 1 层，对敌方造成 30 点伤害；受到伤害时，最多消耗 32 层炎热，每消耗 1 层，对敌方造成 30 点伤害；受到伤害时，最多消耗 40 层炎热，每消耗 1 层，对敌方造成 30 点伤害；受到伤害时，最多消耗 48 层炎热，每消耗 1 层，对敌方造成 27 点伤害</t>
        </is>
      </c>
      <c r="R812" s="9" t="inlineStr">
        <is>
          <t>danxia_signature；cenzhaotang</t>
        </is>
      </c>
      <c r="S812" s="9" t="inlineStr">
        <is>
          <t>岑照棠披在右肩的沉朱炉肩，黑铜骨架依照丹霞地火封口的旧制铸成。</t>
        </is>
      </c>
      <c r="T812" s="8" t="inlineStr">
        <is>
          <t>implement_danxia_cenzhaotang_earthfire_shoulder_guard_2x1</t>
        </is>
      </c>
      <c r="U812" s="8" t="inlineStr">
        <is>
          <t>allowed</t>
        </is>
      </c>
    </row>
    <row r="813" ht="34" customHeight="1">
      <c r="A813" s="8" t="n">
        <v>812</v>
      </c>
      <c r="B813" s="8" t="n">
        <v>418012</v>
      </c>
      <c r="C813" s="8" t="inlineStr">
        <is>
          <t>定旗双锤</t>
        </is>
      </c>
      <c r="D813" s="8" t="inlineStr">
        <is>
          <t>法器</t>
        </is>
      </c>
      <c r="E813" s="8" t="inlineStr">
        <is>
          <t>implement</t>
        </is>
      </c>
      <c r="F813" s="8" t="inlineStr">
        <is>
          <t>common</t>
        </is>
      </c>
      <c r="G813" s="8" t="inlineStr">
        <is>
          <t>土</t>
        </is>
      </c>
      <c r="H813" s="8" t="inlineStr">
        <is>
          <t>earth</t>
        </is>
      </c>
      <c r="I813" s="8" t="inlineStr">
        <is>
          <t>1×2</t>
        </is>
      </c>
      <c r="J813" s="8" t="n">
        <v>2</v>
      </c>
      <c r="K813" s="8" t="n">
        <v>12</v>
      </c>
      <c r="L813" s="8" t="inlineStr">
        <is>
          <t>是</t>
        </is>
      </c>
      <c r="M813" s="9" t="inlineStr"/>
      <c r="N813" s="8" t="n">
        <v>2</v>
      </c>
      <c r="O813" s="9" t="inlineStr">
        <is>
          <t>周期触发</t>
        </is>
      </c>
      <c r="P813" s="9" t="inlineStr">
        <is>
          <t>periodicPulse</t>
        </is>
      </c>
      <c r="Q813" s="9" t="inlineStr">
        <is>
          <t>周期触发：开局时，获得 4 层坚硬并恢复 3 点法力；开局时，获得 5 层坚硬并恢复 4 点法力；开局时，获得 6 层坚硬并恢复 5 点法力；开局时，获得 7 层坚硬并恢复 6 点法力 | 周期触发：获得 3 层坚硬；获得 4 层坚硬；获得 5 层坚硬；获得 6 层坚硬</t>
        </is>
      </c>
      <c r="R813" s="9" t="inlineStr">
        <is>
          <t>qingque_signature；hecen</t>
        </is>
      </c>
      <c r="S813" s="9" t="inlineStr">
        <is>
          <t>贺岑用来校准旗脚石板的一对短锤，锤面一平一棱，能听出石下最细的空鼓回声。</t>
        </is>
      </c>
      <c r="T813" s="8" t="inlineStr">
        <is>
          <t>implement_qingque_hecen_flag_hammers_1x2</t>
        </is>
      </c>
      <c r="U813" s="8" t="inlineStr">
        <is>
          <t>allowed</t>
        </is>
      </c>
    </row>
    <row r="814" ht="34" customHeight="1">
      <c r="A814" s="8" t="n">
        <v>813</v>
      </c>
      <c r="B814" s="8" t="n">
        <v>418013</v>
      </c>
      <c r="C814" s="8" t="inlineStr">
        <is>
          <t>湿候纸翼夹</t>
        </is>
      </c>
      <c r="D814" s="8" t="inlineStr">
        <is>
          <t>法器</t>
        </is>
      </c>
      <c r="E814" s="8" t="inlineStr">
        <is>
          <t>implement</t>
        </is>
      </c>
      <c r="F814" s="8" t="inlineStr">
        <is>
          <t>common</t>
        </is>
      </c>
      <c r="G814" s="8" t="inlineStr">
        <is>
          <t>风</t>
        </is>
      </c>
      <c r="H814" s="8" t="inlineStr">
        <is>
          <t>wind</t>
        </is>
      </c>
      <c r="I814" s="8" t="inlineStr">
        <is>
          <t>2×1</t>
        </is>
      </c>
      <c r="J814" s="8" t="n">
        <v>2</v>
      </c>
      <c r="K814" s="8" t="n">
        <v>12</v>
      </c>
      <c r="L814" s="8" t="inlineStr">
        <is>
          <t>是</t>
        </is>
      </c>
      <c r="M814" s="9" t="inlineStr"/>
      <c r="N814" s="8" t="n">
        <v>1</v>
      </c>
      <c r="O814" s="9" t="inlineStr">
        <is>
          <t>周期触发</t>
        </is>
      </c>
      <c r="P814" s="9" t="inlineStr">
        <is>
          <t>periodicPulse</t>
        </is>
      </c>
      <c r="Q814" s="9" t="inlineStr">
        <is>
          <t>周期触发：获得 4 层敏捷；获得 5 层敏捷；获得 6 层敏捷；获得 7 层敏捷</t>
        </is>
      </c>
      <c r="R814" s="9" t="inlineStr">
        <is>
          <t>qingque_signature；taoxieyi</t>
        </is>
      </c>
      <c r="S814" s="9" t="inlineStr">
        <is>
          <t>陶写意校验符纸干湿的折翼纸夹，内侧压着深浅不同的吸水纸纹。</t>
        </is>
      </c>
      <c r="T814" s="8" t="inlineStr">
        <is>
          <t>implement_qingque_taoxieyi_paper_wing_clip_2x1</t>
        </is>
      </c>
      <c r="U814" s="8" t="inlineStr">
        <is>
          <t>allowed</t>
        </is>
      </c>
    </row>
    <row r="815" ht="34" customHeight="1">
      <c r="A815" s="8" t="n">
        <v>814</v>
      </c>
      <c r="B815" s="8" t="n">
        <v>418014</v>
      </c>
      <c r="C815" s="8" t="inlineStr">
        <is>
          <t>镇犀符铃索</t>
        </is>
      </c>
      <c r="D815" s="8" t="inlineStr">
        <is>
          <t>法器</t>
        </is>
      </c>
      <c r="E815" s="8" t="inlineStr">
        <is>
          <t>implement</t>
        </is>
      </c>
      <c r="F815" s="8" t="inlineStr">
        <is>
          <t>common</t>
        </is>
      </c>
      <c r="G815" s="8" t="inlineStr">
        <is>
          <t>土</t>
        </is>
      </c>
      <c r="H815" s="8" t="inlineStr">
        <is>
          <t>earth</t>
        </is>
      </c>
      <c r="I815" s="8" t="inlineStr">
        <is>
          <t>1×3</t>
        </is>
      </c>
      <c r="J815" s="8" t="n">
        <v>3</v>
      </c>
      <c r="K815" s="8" t="n">
        <v>12</v>
      </c>
      <c r="L815" s="8" t="inlineStr">
        <is>
          <t>是</t>
        </is>
      </c>
      <c r="M815" s="9" t="inlineStr"/>
      <c r="N815" s="8" t="n">
        <v>2</v>
      </c>
      <c r="O815" s="9" t="inlineStr">
        <is>
          <t>周期触发</t>
        </is>
      </c>
      <c r="P815" s="9" t="inlineStr">
        <is>
          <t>periodicPulse</t>
        </is>
      </c>
      <c r="Q815" s="9" t="inlineStr">
        <is>
          <t>周期触发：消耗 10 点体力，对敌方施加 4 层冰霜；消耗 10 点体力，对敌方施加 5 层冰霜；消耗 10 点体力，对敌方施加 6 层冰霜；消耗 10 点体力，对敌方施加 7 层冰霜 | 周期触发：消耗敌方 4 层冰霜，造成 24 点伤害；消耗敌方 4 层冰霜，造成 30 点伤害；消耗敌方 4 层冰霜，造成 36 点伤害；消耗敌方 4 层冰霜，造成 42 点伤害</t>
        </is>
      </c>
      <c r="R815" s="9" t="inlineStr">
        <is>
          <t>qingque_signature；weizhenting</t>
        </is>
      </c>
      <c r="S815" s="9" t="inlineStr">
        <is>
          <t>魏镇霆驯护石犀所用的厚绳套索，结间缀着能传出停手号令的青铜符铃。</t>
        </is>
      </c>
      <c r="T815" s="8" t="inlineStr">
        <is>
          <t>implement_qingque_weizhenting_bell_lasso_1x3</t>
        </is>
      </c>
      <c r="U815" s="8" t="inlineStr">
        <is>
          <t>allowed</t>
        </is>
      </c>
    </row>
    <row r="816" ht="34" customHeight="1">
      <c r="A816" s="8" t="n">
        <v>815</v>
      </c>
      <c r="B816" s="8" t="n">
        <v>418015</v>
      </c>
      <c r="C816" s="8" t="inlineStr">
        <is>
          <t>辨伪墨线针</t>
        </is>
      </c>
      <c r="D816" s="8" t="inlineStr">
        <is>
          <t>法器</t>
        </is>
      </c>
      <c r="E816" s="8" t="inlineStr">
        <is>
          <t>implement</t>
        </is>
      </c>
      <c r="F816" s="8" t="inlineStr">
        <is>
          <t>common</t>
        </is>
      </c>
      <c r="G816" s="8" t="inlineStr">
        <is>
          <t>金</t>
        </is>
      </c>
      <c r="H816" s="8" t="inlineStr">
        <is>
          <t>metal</t>
        </is>
      </c>
      <c r="I816" s="8" t="inlineStr">
        <is>
          <t>1×2</t>
        </is>
      </c>
      <c r="J816" s="8" t="n">
        <v>2</v>
      </c>
      <c r="K816" s="8" t="n">
        <v>12</v>
      </c>
      <c r="L816" s="8" t="inlineStr">
        <is>
          <t>是</t>
        </is>
      </c>
      <c r="M816" s="9" t="inlineStr"/>
      <c r="N816" s="8" t="n">
        <v>2</v>
      </c>
      <c r="O816" s="9" t="inlineStr">
        <is>
          <t>周期触发</t>
        </is>
      </c>
      <c r="P816" s="9" t="inlineStr">
        <is>
          <t>periodicPulse</t>
        </is>
      </c>
      <c r="Q816" s="9" t="inlineStr">
        <is>
          <t>周期触发：消耗 10 点法力，对敌方施加 4 层冰霜；消耗 10 点法力，对敌方施加 5 层冰霜；消耗 10 点法力，对敌方施加 6 层冰霜；消耗 10 点法力，对敌方施加 7 层冰霜 | 周期触发：敌方有不少于 4 层冰霜时，消耗其 4 层并造成 16 点伤害；敌方有不少于 4 层冰霜时，消耗其 4 层并造成 20 点伤害；敌方有不少于 4 层冰霜时，消耗其 4 层并造成 24 点伤害；敌方有不少于 4 层冰霜时，消耗其 4 层并造成 28 点伤害</t>
        </is>
      </c>
      <c r="R816" s="9" t="inlineStr">
        <is>
          <t>qingque_signature；qiumozan</t>
        </is>
      </c>
      <c r="S816" s="9" t="inlineStr">
        <is>
          <t>邱墨簪比对符令笔压的黑银长针，针尾卷着一束不会洇开的细墨线。</t>
        </is>
      </c>
      <c r="T816" s="8" t="inlineStr">
        <is>
          <t>implement_qingque_qiumozan_inkline_needle_1x2</t>
        </is>
      </c>
      <c r="U816" s="8" t="inlineStr">
        <is>
          <t>allowed</t>
        </is>
      </c>
    </row>
    <row r="817" ht="34" customHeight="1">
      <c r="A817" s="8" t="n">
        <v>816</v>
      </c>
      <c r="B817" s="8" t="n">
        <v>418016</v>
      </c>
      <c r="C817" s="8" t="inlineStr">
        <is>
          <t>地听石尺</t>
        </is>
      </c>
      <c r="D817" s="8" t="inlineStr">
        <is>
          <t>法器</t>
        </is>
      </c>
      <c r="E817" s="8" t="inlineStr">
        <is>
          <t>implement</t>
        </is>
      </c>
      <c r="F817" s="8" t="inlineStr">
        <is>
          <t>common</t>
        </is>
      </c>
      <c r="G817" s="8" t="inlineStr">
        <is>
          <t>土</t>
        </is>
      </c>
      <c r="H817" s="8" t="inlineStr">
        <is>
          <t>earth</t>
        </is>
      </c>
      <c r="I817" s="8" t="inlineStr">
        <is>
          <t>1×3</t>
        </is>
      </c>
      <c r="J817" s="8" t="n">
        <v>3</v>
      </c>
      <c r="K817" s="8" t="n">
        <v>12</v>
      </c>
      <c r="L817" s="8" t="inlineStr">
        <is>
          <t>是</t>
        </is>
      </c>
      <c r="M817" s="9" t="inlineStr"/>
      <c r="N817" s="8" t="n">
        <v>1</v>
      </c>
      <c r="O817" s="9" t="inlineStr">
        <is>
          <t>周期触发</t>
        </is>
      </c>
      <c r="P817" s="9" t="inlineStr">
        <is>
          <t>periodicPulse</t>
        </is>
      </c>
      <c r="Q817" s="9" t="inlineStr">
        <is>
          <t>周期触发：获得 5 层坚硬并恢复自身 5 点体力；获得 6 层坚硬并恢复自身 6 点体力；获得 8 层坚硬并恢复自身 8 点体力；获得 9 层坚硬并恢复自身 9 点体力</t>
        </is>
      </c>
      <c r="R817" s="9" t="inlineStr">
        <is>
          <t>qingque_signature；luowenshi</t>
        </is>
      </c>
      <c r="S817" s="9" t="inlineStr">
        <is>
          <t>罗问石贴地听脉的厚重石尺，旧银刻度间留着多年矿尘磨出的暗痕。</t>
        </is>
      </c>
      <c r="T817" s="8" t="inlineStr">
        <is>
          <t>implement_qingque_luowenshi_stone_ruler_1x3</t>
        </is>
      </c>
      <c r="U817" s="8" t="inlineStr">
        <is>
          <t>allowed</t>
        </is>
      </c>
    </row>
    <row r="818" ht="34" customHeight="1">
      <c r="A818" s="8" t="n">
        <v>817</v>
      </c>
      <c r="B818" s="8" t="n">
        <v>418017</v>
      </c>
      <c r="C818" s="8" t="inlineStr">
        <is>
          <t>三阙折阵旗</t>
        </is>
      </c>
      <c r="D818" s="8" t="inlineStr">
        <is>
          <t>法器</t>
        </is>
      </c>
      <c r="E818" s="8" t="inlineStr">
        <is>
          <t>implement</t>
        </is>
      </c>
      <c r="F818" s="8" t="inlineStr">
        <is>
          <t>spirit</t>
        </is>
      </c>
      <c r="G818" s="8" t="inlineStr">
        <is>
          <t>土</t>
        </is>
      </c>
      <c r="H818" s="8" t="inlineStr">
        <is>
          <t>earth</t>
        </is>
      </c>
      <c r="I818" s="8" t="inlineStr">
        <is>
          <t>2×2</t>
        </is>
      </c>
      <c r="J818" s="8" t="n">
        <v>4</v>
      </c>
      <c r="K818" s="8" t="n">
        <v>100</v>
      </c>
      <c r="L818" s="8" t="inlineStr">
        <is>
          <t>是</t>
        </is>
      </c>
      <c r="M818" s="9" t="inlineStr"/>
      <c r="N818" s="8" t="n">
        <v>1</v>
      </c>
      <c r="O818" s="9" t="inlineStr">
        <is>
          <t>被动效果</t>
        </is>
      </c>
      <c r="P818" s="9" t="inlineStr">
        <is>
          <t>passive</t>
        </is>
      </c>
      <c r="Q818" s="9" t="inlineStr">
        <is>
          <t>被动效果：上方及左右相邻符箓释放时，其施加的减益层数 +3；上方及左右相邻符箓释放时，其施加的减益层数 +4；上方及左右相邻符箓释放时，其施加的减益层数 +5；上方及左右相邻符箓释放时，其施加的减益层数 +6</t>
        </is>
      </c>
      <c r="R818" s="9" t="inlineStr">
        <is>
          <t>qingque_signature；chenglique</t>
        </is>
      </c>
      <c r="S818" s="9" t="inlineStr">
        <is>
          <t>程立阙随身展开的三面折叠长旗，旗骨相扣后可在不同阵位间迅速换向。</t>
        </is>
      </c>
      <c r="T818" s="8" t="inlineStr">
        <is>
          <t>implement_qingque_chenglique_three_gate_flags_2x2</t>
        </is>
      </c>
      <c r="U818" s="8" t="inlineStr">
        <is>
          <t>allowed</t>
        </is>
      </c>
    </row>
    <row r="819" ht="34" customHeight="1">
      <c r="A819" s="8" t="n">
        <v>818</v>
      </c>
      <c r="B819" s="8" t="n">
        <v>418018</v>
      </c>
      <c r="C819" s="8" t="inlineStr">
        <is>
          <t>替路双刻牌</t>
        </is>
      </c>
      <c r="D819" s="8" t="inlineStr">
        <is>
          <t>法器</t>
        </is>
      </c>
      <c r="E819" s="8" t="inlineStr">
        <is>
          <t>implement</t>
        </is>
      </c>
      <c r="F819" s="8" t="inlineStr">
        <is>
          <t>spirit</t>
        </is>
      </c>
      <c r="G819" s="8" t="inlineStr">
        <is>
          <t>金</t>
        </is>
      </c>
      <c r="H819" s="8" t="inlineStr">
        <is>
          <t>metal</t>
        </is>
      </c>
      <c r="I819" s="8" t="inlineStr">
        <is>
          <t>1×1</t>
        </is>
      </c>
      <c r="J819" s="8" t="n">
        <v>1</v>
      </c>
      <c r="K819" s="8" t="n">
        <v>100</v>
      </c>
      <c r="L819" s="8" t="inlineStr">
        <is>
          <t>是</t>
        </is>
      </c>
      <c r="M819" s="9" t="inlineStr"/>
      <c r="N819" s="8" t="n">
        <v>1</v>
      </c>
      <c r="O819" s="9" t="inlineStr">
        <is>
          <t>被动效果</t>
        </is>
      </c>
      <c r="P819" s="9" t="inlineStr">
        <is>
          <t>passive</t>
        </is>
      </c>
      <c r="Q819" s="9" t="inlineStr">
        <is>
          <t>被动效果：同列符箓释放时，使敌方随机 1 件法器减速 3 秒；同列符箓释放时，使敌方随机 1 件法器减速 4 秒；同列符箓释放时，使敌方随机 1 件法器减速 5 秒；同列符箓释放时，使敌方随机 1 件法器减速 6 秒</t>
        </is>
      </c>
      <c r="R819" s="9" t="inlineStr">
        <is>
          <t>qingque_signature；chenglique</t>
        </is>
      </c>
      <c r="S819" s="9" t="inlineStr">
        <is>
          <t>程立阙记录应急副位与替代路线的双面刻牌，两套刻度彼此校验，不让变阵失去后手。</t>
        </is>
      </c>
      <c r="T819" s="8" t="inlineStr">
        <is>
          <t>implement_qingque_chenglique_route_tablet_1x1</t>
        </is>
      </c>
      <c r="U819" s="8" t="inlineStr">
        <is>
          <t>allowed</t>
        </is>
      </c>
    </row>
    <row r="820" ht="34" customHeight="1">
      <c r="A820" s="8" t="n">
        <v>819</v>
      </c>
      <c r="B820" s="8" t="n">
        <v>418019</v>
      </c>
      <c r="C820" s="8" t="inlineStr">
        <is>
          <t>五向藏符匣</t>
        </is>
      </c>
      <c r="D820" s="8" t="inlineStr">
        <is>
          <t>法器</t>
        </is>
      </c>
      <c r="E820" s="8" t="inlineStr">
        <is>
          <t>implement</t>
        </is>
      </c>
      <c r="F820" s="8" t="inlineStr">
        <is>
          <t>spirit</t>
        </is>
      </c>
      <c r="G820" s="8" t="inlineStr">
        <is>
          <t>木</t>
        </is>
      </c>
      <c r="H820" s="8" t="inlineStr">
        <is>
          <t>wood</t>
        </is>
      </c>
      <c r="I820" s="8" t="inlineStr">
        <is>
          <t>2×1</t>
        </is>
      </c>
      <c r="J820" s="8" t="n">
        <v>2</v>
      </c>
      <c r="K820" s="8" t="n">
        <v>100</v>
      </c>
      <c r="L820" s="8" t="inlineStr">
        <is>
          <t>是</t>
        </is>
      </c>
      <c r="M820" s="9" t="inlineStr"/>
      <c r="N820" s="8" t="n">
        <v>1</v>
      </c>
      <c r="O820" s="9" t="inlineStr">
        <is>
          <t>周期触发</t>
        </is>
      </c>
      <c r="P820" s="9" t="inlineStr">
        <is>
          <t>periodicPulse</t>
        </is>
      </c>
      <c r="Q820" s="9" t="inlineStr">
        <is>
          <t>周期触发：有空位时生成 1 张随机凡品符箓，3 秒后自动使用；有空位时生成 1 张随机凡品符箓，2.5 秒后自动使用；有空位时生成 1 张随机凡品符箓，2 秒后自动使用；有空位时生成 1 张随机凡品符箓，1.5 秒后自动使用</t>
        </is>
      </c>
      <c r="R820" s="9" t="inlineStr">
        <is>
          <t>qingque_signature；yezangfu</t>
        </is>
      </c>
      <c r="S820" s="9" t="inlineStr">
        <is>
          <t>叶藏符分门收纳五类战术符箓的青瓦色符匣，每格机关都能单手弹开。</t>
        </is>
      </c>
      <c r="T820" s="8" t="inlineStr">
        <is>
          <t>implement_qingque_yezangfu_fivefold_talisman_case_2x1</t>
        </is>
      </c>
      <c r="U820" s="8" t="inlineStr">
        <is>
          <t>allowed</t>
        </is>
      </c>
    </row>
    <row r="821" ht="34" customHeight="1">
      <c r="A821" s="8" t="n">
        <v>820</v>
      </c>
      <c r="B821" s="8" t="n">
        <v>418020</v>
      </c>
      <c r="C821" s="8" t="inlineStr">
        <is>
          <t>回环择符轮</t>
        </is>
      </c>
      <c r="D821" s="8" t="inlineStr">
        <is>
          <t>法器</t>
        </is>
      </c>
      <c r="E821" s="8" t="inlineStr">
        <is>
          <t>implement</t>
        </is>
      </c>
      <c r="F821" s="8" t="inlineStr">
        <is>
          <t>spirit</t>
        </is>
      </c>
      <c r="G821" s="8" t="inlineStr">
        <is>
          <t>风</t>
        </is>
      </c>
      <c r="H821" s="8" t="inlineStr">
        <is>
          <t>wind</t>
        </is>
      </c>
      <c r="I821" s="8" t="inlineStr">
        <is>
          <t>1×1</t>
        </is>
      </c>
      <c r="J821" s="8" t="n">
        <v>1</v>
      </c>
      <c r="K821" s="8" t="n">
        <v>100</v>
      </c>
      <c r="L821" s="8" t="inlineStr">
        <is>
          <t>是</t>
        </is>
      </c>
      <c r="M821" s="9" t="inlineStr"/>
      <c r="N821" s="8" t="n">
        <v>1</v>
      </c>
      <c r="O821" s="9" t="inlineStr">
        <is>
          <t>周期触发</t>
        </is>
      </c>
      <c r="P821" s="9" t="inlineStr">
        <is>
          <t>periodicPulse</t>
        </is>
      </c>
      <c r="Q821" s="9" t="inlineStr">
        <is>
          <t>周期触发：相邻至少 4 种符箓时，消耗 10 层敏捷，随机使用 1 张相邻符箓并使数值效果翻倍；相邻至少 4 种符箓时，消耗 12 层敏捷，随机使用 1 张相邻符箓并使数值效果翻倍；相邻至少 4 种符箓时，消耗 14 层敏捷，随机使用 1 张相邻符箓并使数值效果翻倍；相邻至少 4 种符箓时，消耗 16 层敏捷，随机使用 1 张相邻符箓并使数值效果翻倍</t>
        </is>
      </c>
      <c r="R821" s="9" t="inlineStr">
        <is>
          <t>qingque_signature；yezangfu</t>
        </is>
      </c>
      <c r="S821" s="9" t="inlineStr">
        <is>
          <t>叶藏符用来快速择取符式的五槽小轮，回环刻线把护身、回灵、破煞、镇势与爆发串成一周。</t>
        </is>
      </c>
      <c r="T821" s="8" t="inlineStr">
        <is>
          <t>implement_qingque_yezangfu_talisman_selector_1x1</t>
        </is>
      </c>
      <c r="U821" s="8" t="inlineStr">
        <is>
          <t>allowed</t>
        </is>
      </c>
    </row>
    <row r="822" ht="34" customHeight="1">
      <c r="A822" s="8" t="n">
        <v>821</v>
      </c>
      <c r="B822" s="8" t="n">
        <v>418021</v>
      </c>
      <c r="C822" s="8" t="inlineStr">
        <is>
          <t>阙门戒尺</t>
        </is>
      </c>
      <c r="D822" s="8" t="inlineStr">
        <is>
          <t>法器</t>
        </is>
      </c>
      <c r="E822" s="8" t="inlineStr">
        <is>
          <t>implement</t>
        </is>
      </c>
      <c r="F822" s="8" t="inlineStr">
        <is>
          <t>spirit</t>
        </is>
      </c>
      <c r="G822" s="8" t="inlineStr">
        <is>
          <t>土</t>
        </is>
      </c>
      <c r="H822" s="8" t="inlineStr">
        <is>
          <t>earth</t>
        </is>
      </c>
      <c r="I822" s="8" t="inlineStr">
        <is>
          <t>1×2</t>
        </is>
      </c>
      <c r="J822" s="8" t="n">
        <v>2</v>
      </c>
      <c r="K822" s="8" t="n">
        <v>100</v>
      </c>
      <c r="L822" s="8" t="inlineStr">
        <is>
          <t>是</t>
        </is>
      </c>
      <c r="M822" s="9" t="inlineStr"/>
      <c r="N822" s="8" t="n">
        <v>1</v>
      </c>
      <c r="O822" s="9" t="inlineStr">
        <is>
          <t>周期触发</t>
        </is>
      </c>
      <c r="P822" s="9" t="inlineStr">
        <is>
          <t>periodicPulse</t>
        </is>
      </c>
      <c r="Q822" s="9" t="inlineStr">
        <is>
          <t>周期触发：使敌方所有基础轮转时间低于 7 秒的道具冻结 10 秒；使敌方所有基础轮转时间低于 7 秒的道具冻结 13 秒；使敌方所有基础轮转时间低于 7 秒的道具冻结 15 秒；使敌方所有基础轮转时间低于 7 秒的道具冻结 18 秒</t>
        </is>
      </c>
      <c r="R822" s="9" t="inlineStr">
        <is>
          <t>qingque_signature；duhengshan</t>
        </is>
      </c>
      <c r="S822" s="9" t="inlineStr">
        <is>
          <t>杜横山执掌戒律所用的石纹重尺，方阙缺口与旧银边线分别对应封阵与申诉次序。</t>
        </is>
      </c>
      <c r="T822" s="8" t="inlineStr">
        <is>
          <t>implement_qingque_duhengshan_discipline_ruler_1x2</t>
        </is>
      </c>
      <c r="U822" s="8" t="inlineStr">
        <is>
          <t>allowed</t>
        </is>
      </c>
    </row>
    <row r="823" ht="34" customHeight="1">
      <c r="A823" s="8" t="n">
        <v>822</v>
      </c>
      <c r="B823" s="8" t="n">
        <v>418022</v>
      </c>
      <c r="C823" s="8" t="inlineStr">
        <is>
          <t>封阵锁牌</t>
        </is>
      </c>
      <c r="D823" s="8" t="inlineStr">
        <is>
          <t>法器</t>
        </is>
      </c>
      <c r="E823" s="8" t="inlineStr">
        <is>
          <t>implement</t>
        </is>
      </c>
      <c r="F823" s="8" t="inlineStr">
        <is>
          <t>spirit</t>
        </is>
      </c>
      <c r="G823" s="8" t="inlineStr">
        <is>
          <t>金</t>
        </is>
      </c>
      <c r="H823" s="8" t="inlineStr">
        <is>
          <t>metal</t>
        </is>
      </c>
      <c r="I823" s="8" t="inlineStr">
        <is>
          <t>2×1</t>
        </is>
      </c>
      <c r="J823" s="8" t="n">
        <v>2</v>
      </c>
      <c r="K823" s="8" t="n">
        <v>100</v>
      </c>
      <c r="L823" s="8" t="inlineStr">
        <is>
          <t>是</t>
        </is>
      </c>
      <c r="M823" s="9" t="inlineStr"/>
      <c r="N823" s="8" t="n">
        <v>1</v>
      </c>
      <c r="O823" s="9" t="inlineStr">
        <is>
          <t>周期触发</t>
        </is>
      </c>
      <c r="P823" s="9" t="inlineStr">
        <is>
          <t>periodicPulse</t>
        </is>
      </c>
      <c r="Q823" s="9" t="inlineStr">
        <is>
          <t>周期触发：开局时，敌方每有 1 件法器，获得 40 层护甲和 4 层坚硬；开局时，敌方每有 1 件法器，获得 50 层护甲和 6 层坚硬；开局时，敌方每有 1 件法器，获得 60 层护甲和 8 层坚硬；开局时，敌方每有 1 件法器，获得 70 层护甲和 10 层坚硬</t>
        </is>
      </c>
      <c r="R823" s="9" t="inlineStr">
        <is>
          <t>qingque_signature；duhengshan</t>
        </is>
      </c>
      <c r="S823" s="9" t="inlineStr">
        <is>
          <t>杜横山封存阵位与证物的玄铁锁牌，牌面三道闭合石门纹只按戒律次序开启。</t>
        </is>
      </c>
      <c r="T823" s="8" t="inlineStr">
        <is>
          <t>implement_qingque_duhengshan_seal_tablet_2x1</t>
        </is>
      </c>
      <c r="U823" s="8" t="inlineStr">
        <is>
          <t>allowed</t>
        </is>
      </c>
    </row>
    <row r="824" ht="34" customHeight="1">
      <c r="A824" s="8" t="n">
        <v>823</v>
      </c>
      <c r="B824" s="8" t="n">
        <v>418023</v>
      </c>
      <c r="C824" s="8" t="inlineStr">
        <is>
          <t>地脉共振环杖</t>
        </is>
      </c>
      <c r="D824" s="8" t="inlineStr">
        <is>
          <t>法器</t>
        </is>
      </c>
      <c r="E824" s="8" t="inlineStr">
        <is>
          <t>implement</t>
        </is>
      </c>
      <c r="F824" s="8" t="inlineStr">
        <is>
          <t>spirit</t>
        </is>
      </c>
      <c r="G824" s="8" t="inlineStr">
        <is>
          <t>土</t>
        </is>
      </c>
      <c r="H824" s="8" t="inlineStr">
        <is>
          <t>earth</t>
        </is>
      </c>
      <c r="I824" s="8" t="inlineStr">
        <is>
          <t>1×3</t>
        </is>
      </c>
      <c r="J824" s="8" t="n">
        <v>3</v>
      </c>
      <c r="K824" s="8" t="n">
        <v>100</v>
      </c>
      <c r="L824" s="8" t="inlineStr">
        <is>
          <t>是</t>
        </is>
      </c>
      <c r="M824" s="9" t="inlineStr"/>
      <c r="N824" s="8" t="n">
        <v>1</v>
      </c>
      <c r="O824" s="9" t="inlineStr">
        <is>
          <t>条件触发</t>
        </is>
      </c>
      <c r="P824" s="9" t="inlineStr">
        <is>
          <t>triggered</t>
        </is>
      </c>
      <c r="Q824" s="9" t="inlineStr">
        <is>
          <t>条件触发：使用其他法杖时，获得 20 层凝金；使用其他法杖时，获得 26 层凝金；使用其他法杖时，获得 30 层凝金；使用其他法杖时，获得 36 层凝金</t>
        </is>
      </c>
      <c r="R824" s="9" t="inlineStr">
        <is>
          <t>qingque_signature；jiangtingzhen</t>
        </is>
      </c>
      <c r="S824" s="9" t="inlineStr">
        <is>
          <t>蒋听震以铜环与青石杖身校听地脉的长杖，轻触地面便能分开不同深度的回声。</t>
        </is>
      </c>
      <c r="T824" s="8" t="inlineStr">
        <is>
          <t>implement_qingque_jiangtingzhen_resonance_staff_1x3</t>
        </is>
      </c>
      <c r="U824" s="8" t="inlineStr">
        <is>
          <t>allowed</t>
        </is>
      </c>
    </row>
    <row r="825" ht="34" customHeight="1">
      <c r="A825" s="8" t="n">
        <v>824</v>
      </c>
      <c r="B825" s="8" t="n">
        <v>418024</v>
      </c>
      <c r="C825" s="8" t="inlineStr">
        <is>
          <t>分层听地铜片</t>
        </is>
      </c>
      <c r="D825" s="8" t="inlineStr">
        <is>
          <t>法器</t>
        </is>
      </c>
      <c r="E825" s="8" t="inlineStr">
        <is>
          <t>implement</t>
        </is>
      </c>
      <c r="F825" s="8" t="inlineStr">
        <is>
          <t>spirit</t>
        </is>
      </c>
      <c r="G825" s="8" t="inlineStr">
        <is>
          <t>金</t>
        </is>
      </c>
      <c r="H825" s="8" t="inlineStr">
        <is>
          <t>metal</t>
        </is>
      </c>
      <c r="I825" s="8" t="inlineStr">
        <is>
          <t>1×1</t>
        </is>
      </c>
      <c r="J825" s="8" t="n">
        <v>1</v>
      </c>
      <c r="K825" s="8" t="n">
        <v>100</v>
      </c>
      <c r="L825" s="8" t="inlineStr">
        <is>
          <t>是</t>
        </is>
      </c>
      <c r="M825" s="9" t="inlineStr"/>
      <c r="N825" s="8" t="n">
        <v>1</v>
      </c>
      <c r="O825" s="9" t="inlineStr">
        <is>
          <t>条件触发</t>
        </is>
      </c>
      <c r="P825" s="9" t="inlineStr">
        <is>
          <t>triggered</t>
        </is>
      </c>
      <c r="Q825" s="9" t="inlineStr">
        <is>
          <t>条件触发：敌方每次获得蓄势或凝金时，恢复 60 点气血、20 点体力和 20 点法力；敌方每次获得蓄势或凝金时，恢复 76 点气血、26 点体力和 26 点法力；敌方每次获得蓄势或凝金时，恢复 90 点气血、30 点体力和 30 点法力；敌方每次获得蓄势或凝金时，恢复 106 点气血、36 点体力和 36 点法力</t>
        </is>
      </c>
      <c r="R825" s="9" t="inlineStr">
        <is>
          <t>qingque_signature；jiangtingzhen</t>
        </is>
      </c>
      <c r="S825" s="9" t="inlineStr">
        <is>
          <t>蒋听震贴耳辨震的旧铜听片，层层细环会把石犀脚步与地下裂音分开。</t>
        </is>
      </c>
      <c r="T825" s="8" t="inlineStr">
        <is>
          <t>implement_qingque_jiangtingzhen_listening_disc_1x1</t>
        </is>
      </c>
      <c r="U825" s="8" t="inlineStr">
        <is>
          <t>allowed</t>
        </is>
      </c>
    </row>
    <row r="826" ht="34" customHeight="1">
      <c r="A826" s="8" t="n">
        <v>825</v>
      </c>
      <c r="B826" s="8" t="n">
        <v>418025</v>
      </c>
      <c r="C826" s="8" t="inlineStr">
        <is>
          <t>契文阵板</t>
        </is>
      </c>
      <c r="D826" s="8" t="inlineStr">
        <is>
          <t>法器</t>
        </is>
      </c>
      <c r="E826" s="8" t="inlineStr">
        <is>
          <t>implement</t>
        </is>
      </c>
      <c r="F826" s="8" t="inlineStr">
        <is>
          <t>spirit</t>
        </is>
      </c>
      <c r="G826" s="8" t="inlineStr">
        <is>
          <t>土</t>
        </is>
      </c>
      <c r="H826" s="8" t="inlineStr">
        <is>
          <t>earth</t>
        </is>
      </c>
      <c r="I826" s="8" t="inlineStr">
        <is>
          <t>2×1</t>
        </is>
      </c>
      <c r="J826" s="8" t="n">
        <v>2</v>
      </c>
      <c r="K826" s="8" t="n">
        <v>100</v>
      </c>
      <c r="L826" s="8" t="inlineStr">
        <is>
          <t>是</t>
        </is>
      </c>
      <c r="M826" s="9" t="inlineStr"/>
      <c r="N826" s="8" t="n">
        <v>1</v>
      </c>
      <c r="O826" s="9" t="inlineStr">
        <is>
          <t>被动效果</t>
        </is>
      </c>
      <c r="P826" s="9" t="inlineStr">
        <is>
          <t>passive</t>
        </is>
      </c>
      <c r="Q826" s="9" t="inlineStr">
        <is>
          <t>被动效果：上方阵盘的变阵效果触发时，会额外触发一次</t>
        </is>
      </c>
      <c r="R826" s="9" t="inlineStr">
        <is>
          <t>qingque_signature；qinzhaojian</t>
        </is>
      </c>
      <c r="S826" s="9" t="inlineStr">
        <is>
          <t>秦照简摊开合同与阵位的石白阵板，双重刻度把材料、风险和时限列在同一面上。</t>
        </is>
      </c>
      <c r="T826" s="8" t="inlineStr">
        <is>
          <t>implement_qingque_qinzhaojian_contract_board_2x1</t>
        </is>
      </c>
      <c r="U826" s="8" t="inlineStr">
        <is>
          <t>allowed</t>
        </is>
      </c>
    </row>
    <row r="827" ht="34" customHeight="1">
      <c r="A827" s="8" t="n">
        <v>826</v>
      </c>
      <c r="B827" s="8" t="n">
        <v>418026</v>
      </c>
      <c r="C827" s="8" t="inlineStr">
        <is>
          <t>外契封印匣</t>
        </is>
      </c>
      <c r="D827" s="8" t="inlineStr">
        <is>
          <t>法器</t>
        </is>
      </c>
      <c r="E827" s="8" t="inlineStr">
        <is>
          <t>implement</t>
        </is>
      </c>
      <c r="F827" s="8" t="inlineStr">
        <is>
          <t>spirit</t>
        </is>
      </c>
      <c r="G827" s="8" t="inlineStr">
        <is>
          <t>金</t>
        </is>
      </c>
      <c r="H827" s="8" t="inlineStr">
        <is>
          <t>metal</t>
        </is>
      </c>
      <c r="I827" s="8" t="inlineStr">
        <is>
          <t>1×1</t>
        </is>
      </c>
      <c r="J827" s="8" t="n">
        <v>1</v>
      </c>
      <c r="K827" s="8" t="n">
        <v>100</v>
      </c>
      <c r="L827" s="8" t="inlineStr">
        <is>
          <t>是</t>
        </is>
      </c>
      <c r="M827" s="9" t="inlineStr"/>
      <c r="N827" s="8" t="n">
        <v>1</v>
      </c>
      <c r="O827" s="9" t="inlineStr">
        <is>
          <t>周期触发</t>
        </is>
      </c>
      <c r="P827" s="9" t="inlineStr">
        <is>
          <t>periodicPulse</t>
        </is>
      </c>
      <c r="Q827" s="9" t="inlineStr">
        <is>
          <t>周期触发：随机冻结敌方 2 件道具 60 秒；随机冻结敌方 2 件道具 75 秒；随机冻结敌方 2 件道具 90 秒；随机冻结敌方 2 件道具 105 秒</t>
        </is>
      </c>
      <c r="R827" s="9" t="inlineStr">
        <is>
          <t>qingque_signature；qinzhaojian</t>
        </is>
      </c>
      <c r="S827" s="9" t="inlineStr">
        <is>
          <t>秦照简随身保管外契印的窄长石匣，匣盖旧银扣环逐层锁住每一次借印记录。</t>
        </is>
      </c>
      <c r="T827" s="8" t="inlineStr">
        <is>
          <t>implement_qingque_qinzhaojian_seal_case_1x1</t>
        </is>
      </c>
      <c r="U827" s="8" t="inlineStr">
        <is>
          <t>allowed</t>
        </is>
      </c>
    </row>
    <row r="828" ht="34" customHeight="1">
      <c r="A828" s="8" t="n">
        <v>827</v>
      </c>
      <c r="B828" s="8" t="n">
        <v>418027</v>
      </c>
      <c r="C828" s="8" t="inlineStr">
        <is>
          <t>定阙本命长旗</t>
        </is>
      </c>
      <c r="D828" s="8" t="inlineStr">
        <is>
          <t>法器</t>
        </is>
      </c>
      <c r="E828" s="8" t="inlineStr">
        <is>
          <t>implement</t>
        </is>
      </c>
      <c r="F828" s="8" t="inlineStr">
        <is>
          <t>mystic</t>
        </is>
      </c>
      <c r="G828" s="8" t="inlineStr">
        <is>
          <t>土</t>
        </is>
      </c>
      <c r="H828" s="8" t="inlineStr">
        <is>
          <t>earth</t>
        </is>
      </c>
      <c r="I828" s="8" t="inlineStr">
        <is>
          <t>1×3</t>
        </is>
      </c>
      <c r="J828" s="8" t="n">
        <v>3</v>
      </c>
      <c r="K828" s="8" t="n">
        <v>800</v>
      </c>
      <c r="L828" s="8" t="inlineStr">
        <is>
          <t>是</t>
        </is>
      </c>
      <c r="M828" s="9" t="inlineStr"/>
      <c r="N828" s="8" t="n">
        <v>1</v>
      </c>
      <c r="O828" s="9" t="inlineStr">
        <is>
          <t>周期触发</t>
        </is>
      </c>
      <c r="P828" s="9" t="inlineStr">
        <is>
          <t>periodicPulse</t>
        </is>
      </c>
      <c r="Q828" s="9" t="inlineStr">
        <is>
          <t>周期触发：最多消耗 40 层坚硬；每消耗 1 层，对敌方造成 25 点伤害；最多消耗 48 层坚硬；每消耗 1 层，对敌方造成 25 点伤害；最多消耗 56 层坚硬；每消耗 1 层，对敌方造成 23 点伤害；最多消耗 64 层坚硬；每消耗 1 层，对敌方造成 20 点伤害</t>
        </is>
      </c>
      <c r="R828" s="9" t="inlineStr">
        <is>
          <t>qingque_signature；shiyuandu</t>
        </is>
      </c>
      <c r="S828" s="9" t="inlineStr">
        <is>
          <t>石元度在地磁紊乱中祭炼的本命长旗，墨黑旗骨无风自直，雾青旗面压着层层地脉刻度。</t>
        </is>
      </c>
      <c r="T828" s="8" t="inlineStr">
        <is>
          <t>implement_qingque_shiyuandu_destiny_banner_1x3</t>
        </is>
      </c>
      <c r="U828" s="8" t="inlineStr">
        <is>
          <t>allowed</t>
        </is>
      </c>
    </row>
    <row r="829" ht="34" customHeight="1">
      <c r="A829" s="8" t="n">
        <v>828</v>
      </c>
      <c r="B829" s="8" t="n">
        <v>418028</v>
      </c>
      <c r="C829" s="8" t="inlineStr">
        <is>
          <t>五阙石旗环</t>
        </is>
      </c>
      <c r="D829" s="8" t="inlineStr">
        <is>
          <t>法器</t>
        </is>
      </c>
      <c r="E829" s="8" t="inlineStr">
        <is>
          <t>implement</t>
        </is>
      </c>
      <c r="F829" s="8" t="inlineStr">
        <is>
          <t>mystic</t>
        </is>
      </c>
      <c r="G829" s="8" t="inlineStr">
        <is>
          <t>土</t>
        </is>
      </c>
      <c r="H829" s="8" t="inlineStr">
        <is>
          <t>earth</t>
        </is>
      </c>
      <c r="I829" s="8" t="inlineStr">
        <is>
          <t>2×2</t>
        </is>
      </c>
      <c r="J829" s="8" t="n">
        <v>4</v>
      </c>
      <c r="K829" s="8" t="n">
        <v>800</v>
      </c>
      <c r="L829" s="8" t="inlineStr">
        <is>
          <t>是</t>
        </is>
      </c>
      <c r="M829" s="9" t="inlineStr"/>
      <c r="N829" s="8" t="n">
        <v>1</v>
      </c>
      <c r="O829" s="9" t="inlineStr">
        <is>
          <t>周期触发</t>
        </is>
      </c>
      <c r="P829" s="9" t="inlineStr">
        <is>
          <t>periodicPulse</t>
        </is>
      </c>
      <c r="Q829" s="9" t="inlineStr">
        <is>
          <t>周期触发：开局时，获得 32 层坚硬并恢复 32 点法力；开局时，获得 40 层坚硬并恢复 40 点法力；开局时，获得 48 层坚硬并恢复 48 点法力；开局时，获得 56 层坚硬并恢复 56 点法力</t>
        </is>
      </c>
      <c r="R829" s="9" t="inlineStr">
        <is>
          <t>qingque_signature；shiyuandu</t>
        </is>
      </c>
      <c r="S829" s="9" t="inlineStr">
        <is>
          <t>五片微缩石阙旗首尾相衔的沉重旗环，每片都对应一处可交由筑基执事主持的阵位。</t>
        </is>
      </c>
      <c r="T829" s="8" t="inlineStr">
        <is>
          <t>implement_qingque_shiyuandu_five_gate_ring_2x2</t>
        </is>
      </c>
      <c r="U829" s="8" t="inlineStr">
        <is>
          <t>allowed</t>
        </is>
      </c>
    </row>
    <row r="830" ht="34" customHeight="1">
      <c r="A830" s="8" t="n">
        <v>829</v>
      </c>
      <c r="B830" s="8" t="n">
        <v>418029</v>
      </c>
      <c r="C830" s="8" t="inlineStr">
        <is>
          <t>三重定阙印</t>
        </is>
      </c>
      <c r="D830" s="8" t="inlineStr">
        <is>
          <t>法器</t>
        </is>
      </c>
      <c r="E830" s="8" t="inlineStr">
        <is>
          <t>implement</t>
        </is>
      </c>
      <c r="F830" s="8" t="inlineStr">
        <is>
          <t>mystic</t>
        </is>
      </c>
      <c r="G830" s="8" t="inlineStr">
        <is>
          <t>土</t>
        </is>
      </c>
      <c r="H830" s="8" t="inlineStr">
        <is>
          <t>earth</t>
        </is>
      </c>
      <c r="I830" s="8" t="inlineStr">
        <is>
          <t>1×1</t>
        </is>
      </c>
      <c r="J830" s="8" t="n">
        <v>1</v>
      </c>
      <c r="K830" s="8" t="n">
        <v>800</v>
      </c>
      <c r="L830" s="8" t="inlineStr">
        <is>
          <t>是</t>
        </is>
      </c>
      <c r="M830" s="9" t="inlineStr"/>
      <c r="N830" s="8" t="n">
        <v>1</v>
      </c>
      <c r="O830" s="9" t="inlineStr">
        <is>
          <t>周期触发</t>
        </is>
      </c>
      <c r="P830" s="9" t="inlineStr">
        <is>
          <t>periodicPulse</t>
        </is>
      </c>
      <c r="Q830" s="9" t="inlineStr">
        <is>
          <t>周期触发：获得 24 层坚硬和 20 层护甲；获得 32 层坚硬和 24 层护甲；获得 40 层坚硬和 28 层护甲；获得 48 层坚硬和 32 层护甲</t>
        </is>
      </c>
      <c r="R830" s="9" t="inlineStr">
        <is>
          <t>qingque_signature；shiyuandu</t>
        </is>
      </c>
      <c r="S830" s="9" t="inlineStr">
        <is>
          <t>石元度封定阵权的三层方印，外印镇位、中印归旗、内印护住主阵最深处的裂纹。</t>
        </is>
      </c>
      <c r="T830" s="8" t="inlineStr">
        <is>
          <t>implement_qingque_shiyuandu_triple_gate_seal_1x1</t>
        </is>
      </c>
      <c r="U830" s="8" t="inlineStr">
        <is>
          <t>allowed</t>
        </is>
      </c>
    </row>
    <row r="831" ht="34" customHeight="1">
      <c r="A831" s="8" t="n">
        <v>830</v>
      </c>
      <c r="B831" s="8" t="n">
        <v>418030</v>
      </c>
      <c r="C831" s="8" t="inlineStr">
        <is>
          <t>苔纹凝露盘</t>
        </is>
      </c>
      <c r="D831" s="8" t="inlineStr">
        <is>
          <t>法器</t>
        </is>
      </c>
      <c r="E831" s="8" t="inlineStr">
        <is>
          <t>implement</t>
        </is>
      </c>
      <c r="F831" s="8" t="inlineStr">
        <is>
          <t>common</t>
        </is>
      </c>
      <c r="G831" s="8" t="inlineStr">
        <is>
          <t>水</t>
        </is>
      </c>
      <c r="H831" s="8" t="inlineStr">
        <is>
          <t>water</t>
        </is>
      </c>
      <c r="I831" s="8" t="inlineStr">
        <is>
          <t>1×2</t>
        </is>
      </c>
      <c r="J831" s="8" t="n">
        <v>2</v>
      </c>
      <c r="K831" s="8" t="n">
        <v>12</v>
      </c>
      <c r="L831" s="8" t="inlineStr">
        <is>
          <t>是</t>
        </is>
      </c>
      <c r="M831" s="9" t="inlineStr"/>
      <c r="N831" s="8" t="n">
        <v>1</v>
      </c>
      <c r="O831" s="9" t="inlineStr">
        <is>
          <t>周期触发</t>
        </is>
      </c>
      <c r="P831" s="9" t="inlineStr">
        <is>
          <t>periodicPulse</t>
        </is>
      </c>
      <c r="Q831" s="9" t="inlineStr">
        <is>
          <t>周期触发：消耗 20 点法力，获得 4 层露水和 3 层再生；消耗 20 点法力，获得 5 层露水和 4 层再生；消耗 20 点法力，获得 6 层露水和 5 层再生；消耗 20 点法力，获得 7 层露水和 6 层再生</t>
        </is>
      </c>
      <c r="R831" s="9" t="inlineStr">
        <is>
          <t>shuiyue_signature；xutaiqing</t>
        </is>
      </c>
      <c r="S831" s="9" t="inlineStr">
        <is>
          <t>许苔青逐日记录池苔与露量的小巧青玉盘，细密苔纹会沿着水脉异常的方向先一步转深。</t>
        </is>
      </c>
      <c r="T831" s="8" t="inlineStr">
        <is>
          <t>implement_shuiyue_xutaiqing_moss_dew_disc_1x2</t>
        </is>
      </c>
      <c r="U831" s="8" t="inlineStr">
        <is>
          <t>allowed</t>
        </is>
      </c>
    </row>
    <row r="832" ht="34" customHeight="1">
      <c r="A832" s="8" t="n">
        <v>831</v>
      </c>
      <c r="B832" s="8" t="n">
        <v>418031</v>
      </c>
      <c r="C832" s="8" t="inlineStr">
        <is>
          <t>双汀净水桶</t>
        </is>
      </c>
      <c r="D832" s="8" t="inlineStr">
        <is>
          <t>法器</t>
        </is>
      </c>
      <c r="E832" s="8" t="inlineStr">
        <is>
          <t>implement</t>
        </is>
      </c>
      <c r="F832" s="8" t="inlineStr">
        <is>
          <t>common</t>
        </is>
      </c>
      <c r="G832" s="8" t="inlineStr">
        <is>
          <t>水</t>
        </is>
      </c>
      <c r="H832" s="8" t="inlineStr">
        <is>
          <t>water</t>
        </is>
      </c>
      <c r="I832" s="8" t="inlineStr">
        <is>
          <t>2×1</t>
        </is>
      </c>
      <c r="J832" s="8" t="n">
        <v>2</v>
      </c>
      <c r="K832" s="8" t="n">
        <v>12</v>
      </c>
      <c r="L832" s="8" t="inlineStr">
        <is>
          <t>是</t>
        </is>
      </c>
      <c r="M832" s="9" t="inlineStr"/>
      <c r="N832" s="8" t="n">
        <v>2</v>
      </c>
      <c r="O832" s="9" t="inlineStr">
        <is>
          <t>周期触发</t>
        </is>
      </c>
      <c r="P832" s="9" t="inlineStr">
        <is>
          <t>periodicPulse</t>
        </is>
      </c>
      <c r="Q832" s="9" t="inlineStr">
        <is>
          <t>周期触发：获得 3 层露水；对敌方施加 4 层冰霜；消耗自身最多 10 层露水，每层造成 9 点伤害；获得 4 层露水；对敌方施加 5 层冰霜；消耗自身最多 10 层露水，每层造成 11 点伤害；获得 5 层露水；对敌方施加 6 层冰霜；消耗自身最多 10 层露水，每层造成 14 点伤害；获得 6 层露水；对敌方施加 7 层冰霜；消耗自身最多 10 层露水，每层造成 16 点伤害 | 周期触发：开局时，获得 5 层露水并恢复 5 点法力；开局时，获得 6 层露水并恢复 6 点法力；开局时，获得 8 层露水并恢复 8 点法力；开局时，获得 9 层露水并恢复 9 点法力</t>
        </is>
      </c>
      <c r="R832" s="9" t="inlineStr">
        <is>
          <t>shuiyue_signature；zhouxiaoting</t>
        </is>
      </c>
      <c r="S832" s="9" t="inlineStr">
        <is>
          <t>周小汀取泉时使用的一对扣合铜桶，桶耳彼此咬合，搬运时能把晃动水势重新压回桶心。</t>
        </is>
      </c>
      <c r="T832" s="8" t="inlineStr">
        <is>
          <t>implement_shuiyue_zhouxiaoting_twin_water_buckets_2x1</t>
        </is>
      </c>
      <c r="U832" s="8" t="inlineStr">
        <is>
          <t>allowed</t>
        </is>
      </c>
    </row>
    <row r="833" ht="34" customHeight="1">
      <c r="A833" s="8" t="n">
        <v>832</v>
      </c>
      <c r="B833" s="8" t="n">
        <v>418032</v>
      </c>
      <c r="C833" s="8" t="inlineStr">
        <is>
          <t>漱玉净水针匣</t>
        </is>
      </c>
      <c r="D833" s="8" t="inlineStr">
        <is>
          <t>法器</t>
        </is>
      </c>
      <c r="E833" s="8" t="inlineStr">
        <is>
          <t>implement</t>
        </is>
      </c>
      <c r="F833" s="8" t="inlineStr">
        <is>
          <t>common</t>
        </is>
      </c>
      <c r="G833" s="8" t="inlineStr">
        <is>
          <t>水</t>
        </is>
      </c>
      <c r="H833" s="8" t="inlineStr">
        <is>
          <t>water</t>
        </is>
      </c>
      <c r="I833" s="8" t="inlineStr">
        <is>
          <t>1×2</t>
        </is>
      </c>
      <c r="J833" s="8" t="n">
        <v>2</v>
      </c>
      <c r="K833" s="8" t="n">
        <v>12</v>
      </c>
      <c r="L833" s="8" t="inlineStr">
        <is>
          <t>是</t>
        </is>
      </c>
      <c r="M833" s="9" t="inlineStr"/>
      <c r="N833" s="8" t="n">
        <v>2</v>
      </c>
      <c r="O833" s="9" t="inlineStr">
        <is>
          <t>周期触发</t>
        </is>
      </c>
      <c r="P833" s="9" t="inlineStr">
        <is>
          <t>periodicPulse</t>
        </is>
      </c>
      <c r="Q833" s="9" t="inlineStr">
        <is>
          <t>周期触发：消耗 10 点法力，发针攻击并对敌方造成 12 点伤害；消耗 10 点法力，发针攻击并对敌方造成 15 点伤害；消耗 10 点法力，发针攻击并对敌方造成 18 点伤害；消耗 10 点法力，发针攻击并对敌方造成 21 点伤害 | 周期触发：最多将 4 层露水转化为气血，每层恢复 3 点；最多将 5 层露水转化为气血，每层恢复 3 点；最多将 6 层露水转化为气血，每层恢复 3 点；最多将 7 层露水转化为气血，每层恢复 3 点</t>
        </is>
      </c>
      <c r="R833" s="9" t="inlineStr">
        <is>
          <t>shuiyue_signature；heshuyu</t>
        </is>
      </c>
      <c r="S833" s="9" t="inlineStr">
        <is>
          <t>何漱玉随身携带的月白针匣，银针分置于净水细槽，用于清创、止血与辨别混杂伤势。</t>
        </is>
      </c>
      <c r="T833" s="8" t="inlineStr">
        <is>
          <t>implement_shuiyue_heshuyu_water_needle_case_1x2</t>
        </is>
      </c>
      <c r="U833" s="8" t="inlineStr">
        <is>
          <t>allowed</t>
        </is>
      </c>
    </row>
    <row r="834" ht="34" customHeight="1">
      <c r="A834" s="8" t="n">
        <v>833</v>
      </c>
      <c r="B834" s="8" t="n">
        <v>418033</v>
      </c>
      <c r="C834" s="8" t="inlineStr">
        <is>
          <t>听竹节剑</t>
        </is>
      </c>
      <c r="D834" s="8" t="inlineStr">
        <is>
          <t>法器</t>
        </is>
      </c>
      <c r="E834" s="8" t="inlineStr">
        <is>
          <t>implement</t>
        </is>
      </c>
      <c r="F834" s="8" t="inlineStr">
        <is>
          <t>common</t>
        </is>
      </c>
      <c r="G834" s="8" t="inlineStr">
        <is>
          <t>水</t>
        </is>
      </c>
      <c r="H834" s="8" t="inlineStr">
        <is>
          <t>water</t>
        </is>
      </c>
      <c r="I834" s="8" t="inlineStr">
        <is>
          <t>1×2</t>
        </is>
      </c>
      <c r="J834" s="8" t="n">
        <v>2</v>
      </c>
      <c r="K834" s="8" t="n">
        <v>12</v>
      </c>
      <c r="L834" s="8" t="inlineStr">
        <is>
          <t>是</t>
        </is>
      </c>
      <c r="M834" s="9" t="inlineStr"/>
      <c r="N834" s="8" t="n">
        <v>2</v>
      </c>
      <c r="O834" s="9" t="inlineStr">
        <is>
          <t>周期触发</t>
        </is>
      </c>
      <c r="P834" s="9" t="inlineStr">
        <is>
          <t>periodicPulse</t>
        </is>
      </c>
      <c r="Q834" s="9" t="inlineStr">
        <is>
          <t>周期触发：消耗 10 点体力，对敌方施加 3 层寒冷；消耗 10 点体力，对敌方施加 4 层寒冷；消耗 10 点体力，对敌方施加 5 层寒冷；消耗 10 点体力，对敌方施加 6 层寒冷 | 周期触发：敌方有不少于 3 层寒冷时，消耗其 3 层并造成 9 点伤害；敌方有不少于 3 层寒冷时，消耗其 3 层并造成 11 点伤害；敌方有不少于 3 层寒冷时，消耗其 3 层并造成 14 点伤害；敌方有不少于 3 层寒冷时，消耗其 3 层并造成 16 点伤害</t>
        </is>
      </c>
      <c r="R834" s="9" t="inlineStr">
        <is>
          <t>shuiyue_signature；wenzhezhu</t>
        </is>
      </c>
      <c r="S834" s="9" t="inlineStr">
        <is>
          <t>温折竹按竹节回声削成的短剑，青竹剑脊藏着一线冷银，风声稍变便会发出轻促清鸣。</t>
        </is>
      </c>
      <c r="T834" s="8" t="inlineStr">
        <is>
          <t>implement_shuiyue_wenzhezhu_bamboo_short_sword_1x2</t>
        </is>
      </c>
      <c r="U834" s="8" t="inlineStr">
        <is>
          <t>allowed</t>
        </is>
      </c>
    </row>
    <row r="835" ht="34" customHeight="1">
      <c r="A835" s="8" t="n">
        <v>834</v>
      </c>
      <c r="B835" s="8" t="n">
        <v>418034</v>
      </c>
      <c r="C835" s="8" t="inlineStr">
        <is>
          <t>分泉荷盘</t>
        </is>
      </c>
      <c r="D835" s="8" t="inlineStr">
        <is>
          <t>法器</t>
        </is>
      </c>
      <c r="E835" s="8" t="inlineStr">
        <is>
          <t>implement</t>
        </is>
      </c>
      <c r="F835" s="8" t="inlineStr">
        <is>
          <t>spirit</t>
        </is>
      </c>
      <c r="G835" s="8" t="inlineStr">
        <is>
          <t>水</t>
        </is>
      </c>
      <c r="H835" s="8" t="inlineStr">
        <is>
          <t>water</t>
        </is>
      </c>
      <c r="I835" s="8" t="inlineStr">
        <is>
          <t>2×1</t>
        </is>
      </c>
      <c r="J835" s="8" t="n">
        <v>2</v>
      </c>
      <c r="K835" s="8" t="n">
        <v>100</v>
      </c>
      <c r="L835" s="8" t="inlineStr">
        <is>
          <t>是</t>
        </is>
      </c>
      <c r="M835" s="9" t="inlineStr"/>
      <c r="N835" s="8" t="n">
        <v>1</v>
      </c>
      <c r="O835" s="9" t="inlineStr">
        <is>
          <t>被动效果</t>
        </is>
      </c>
      <c r="P835" s="9" t="inlineStr">
        <is>
          <t>passive</t>
        </is>
      </c>
      <c r="Q835" s="9" t="inlineStr">
        <is>
          <t>被动效果：敌方生成的露水有一半分给己方；敌方生成的露水有 67% 分给己方；敌方生成的露水有 83% 分给己方；敌方生成的露水有 100% 分给己方</t>
        </is>
      </c>
      <c r="R835" s="9" t="inlineStr">
        <is>
          <t>shuiyue_signature；xiezhaohe</t>
        </is>
      </c>
      <c r="S835" s="9" t="inlineStr">
        <is>
          <t>谢照荷分配月池水息的荷叶形灵盘，盘面数道浅槽各守一脉，不让任何一池被仓促抽空。</t>
        </is>
      </c>
      <c r="T835" s="8" t="inlineStr">
        <is>
          <t>implement_shuiyue_xiezhaohe_lotus_channel_disc_2x1</t>
        </is>
      </c>
      <c r="U835" s="8" t="inlineStr">
        <is>
          <t>allowed</t>
        </is>
      </c>
    </row>
    <row r="836" ht="34" customHeight="1">
      <c r="A836" s="8" t="n">
        <v>835</v>
      </c>
      <c r="B836" s="8" t="n">
        <v>418035</v>
      </c>
      <c r="C836" s="8" t="inlineStr">
        <is>
          <t>冷银水位尺</t>
        </is>
      </c>
      <c r="D836" s="8" t="inlineStr">
        <is>
          <t>法器</t>
        </is>
      </c>
      <c r="E836" s="8" t="inlineStr">
        <is>
          <t>implement</t>
        </is>
      </c>
      <c r="F836" s="8" t="inlineStr">
        <is>
          <t>spirit</t>
        </is>
      </c>
      <c r="G836" s="8" t="inlineStr">
        <is>
          <t>水</t>
        </is>
      </c>
      <c r="H836" s="8" t="inlineStr">
        <is>
          <t>water</t>
        </is>
      </c>
      <c r="I836" s="8" t="inlineStr">
        <is>
          <t>1×2</t>
        </is>
      </c>
      <c r="J836" s="8" t="n">
        <v>2</v>
      </c>
      <c r="K836" s="8" t="n">
        <v>100</v>
      </c>
      <c r="L836" s="8" t="inlineStr">
        <is>
          <t>是</t>
        </is>
      </c>
      <c r="M836" s="9" t="inlineStr"/>
      <c r="N836" s="8" t="n">
        <v>1</v>
      </c>
      <c r="O836" s="9" t="inlineStr">
        <is>
          <t>条件触发</t>
        </is>
      </c>
      <c r="P836" s="9" t="inlineStr">
        <is>
          <t>triggered</t>
        </is>
      </c>
      <c r="Q836" s="9" t="inlineStr">
        <is>
          <t>条件触发：充能：累计生成 100 层露水后，对敌方造成 360 点伤害；充能：累计生成 100 层露水后，对敌方造成 450 点伤害；充能：累计生成 100 层露水后，对敌方造成 540 点伤害；充能：累计生成 100 层露水后，对敌方造成 630 点伤害</t>
        </is>
      </c>
      <c r="R836" s="9" t="inlineStr">
        <is>
          <t>shuiyue_signature；xiezhaohe</t>
        </is>
      </c>
      <c r="S836" s="9" t="inlineStr">
        <is>
          <t>谢照荷用来划定月池最低水位的冷银短尺，尺面没有虚饰，只留可供反复核验的刻度与水痕。</t>
        </is>
      </c>
      <c r="T836" s="8" t="inlineStr">
        <is>
          <t>implement_shuiyue_xiezhaohe_silver_water_gauge_1x2</t>
        </is>
      </c>
      <c r="U836" s="8" t="inlineStr">
        <is>
          <t>allowed</t>
        </is>
      </c>
    </row>
    <row r="837" ht="34" customHeight="1">
      <c r="A837" s="8" t="n">
        <v>836</v>
      </c>
      <c r="B837" s="8" t="n">
        <v>418036</v>
      </c>
      <c r="C837" s="8" t="inlineStr">
        <is>
          <t>回澜疗契卷</t>
        </is>
      </c>
      <c r="D837" s="8" t="inlineStr">
        <is>
          <t>法器</t>
        </is>
      </c>
      <c r="E837" s="8" t="inlineStr">
        <is>
          <t>implement</t>
        </is>
      </c>
      <c r="F837" s="8" t="inlineStr">
        <is>
          <t>spirit</t>
        </is>
      </c>
      <c r="G837" s="8" t="inlineStr">
        <is>
          <t>水</t>
        </is>
      </c>
      <c r="H837" s="8" t="inlineStr">
        <is>
          <t>water</t>
        </is>
      </c>
      <c r="I837" s="8" t="inlineStr">
        <is>
          <t>2×1</t>
        </is>
      </c>
      <c r="J837" s="8" t="n">
        <v>2</v>
      </c>
      <c r="K837" s="8" t="n">
        <v>100</v>
      </c>
      <c r="L837" s="8" t="inlineStr">
        <is>
          <t>是</t>
        </is>
      </c>
      <c r="M837" s="9" t="inlineStr"/>
      <c r="N837" s="8" t="n">
        <v>1</v>
      </c>
      <c r="O837" s="9" t="inlineStr">
        <is>
          <t>周期触发</t>
        </is>
      </c>
      <c r="P837" s="9" t="inlineStr">
        <is>
          <t>periodicPulse</t>
        </is>
      </c>
      <c r="Q837" s="9" t="inlineStr">
        <is>
          <t>周期触发：消耗 4 点精血，恢复 600 点气血；消耗 4 点精血，恢复 750 点气血；消耗 4 点精血，恢复 900 点气血；消耗 4 点精血，恢复 1050 点气血</t>
        </is>
      </c>
      <c r="R837" s="9" t="inlineStr">
        <is>
          <t>shuiyue_signature；songguilan</t>
        </is>
      </c>
      <c r="S837" s="9" t="inlineStr">
        <is>
          <t>宋归澜主持外疗时展开的水纹契卷，两端封扣分别记录承伤与回收，让每一次代偿都有来处。</t>
        </is>
      </c>
      <c r="T837" s="8" t="inlineStr">
        <is>
          <t>implement_shuiyue_songguilan_healing_covenant_scroll_2x1</t>
        </is>
      </c>
      <c r="U837" s="8" t="inlineStr">
        <is>
          <t>allowed</t>
        </is>
      </c>
    </row>
    <row r="838" ht="34" customHeight="1">
      <c r="A838" s="8" t="n">
        <v>837</v>
      </c>
      <c r="B838" s="8" t="n">
        <v>418037</v>
      </c>
      <c r="C838" s="8" t="inlineStr">
        <is>
          <t>月白收伤肩契</t>
        </is>
      </c>
      <c r="D838" s="8" t="inlineStr">
        <is>
          <t>法器</t>
        </is>
      </c>
      <c r="E838" s="8" t="inlineStr">
        <is>
          <t>implement</t>
        </is>
      </c>
      <c r="F838" s="8" t="inlineStr">
        <is>
          <t>spirit</t>
        </is>
      </c>
      <c r="G838" s="8" t="inlineStr">
        <is>
          <t>水</t>
        </is>
      </c>
      <c r="H838" s="8" t="inlineStr">
        <is>
          <t>water</t>
        </is>
      </c>
      <c r="I838" s="8" t="inlineStr">
        <is>
          <t>1×1</t>
        </is>
      </c>
      <c r="J838" s="8" t="n">
        <v>1</v>
      </c>
      <c r="K838" s="8" t="n">
        <v>100</v>
      </c>
      <c r="L838" s="8" t="inlineStr">
        <is>
          <t>是</t>
        </is>
      </c>
      <c r="M838" s="9" t="inlineStr"/>
      <c r="N838" s="8" t="n">
        <v>1</v>
      </c>
      <c r="O838" s="9" t="inlineStr">
        <is>
          <t>被动效果</t>
        </is>
      </c>
      <c r="P838" s="9" t="inlineStr">
        <is>
          <t>passive</t>
        </is>
      </c>
      <c r="Q838" s="9" t="inlineStr">
        <is>
          <t>被动效果：气血上限 +0，受到伤害后效果升级。；气血上限</t>
        </is>
      </c>
      <c r="R838" s="9" t="inlineStr">
        <is>
          <t>shuiyue_signature；songguilan</t>
        </is>
      </c>
      <c r="S838" s="9" t="inlineStr">
        <is>
          <t>宋归澜固定在护肩内侧的月白契片，细银水纹会把散乱伤势缓缓收束，避免继续恶化。</t>
        </is>
      </c>
      <c r="T838" s="8" t="inlineStr">
        <is>
          <t>implement_shuiyue_songguilan_wound_gathering_clasp_1x1</t>
        </is>
      </c>
      <c r="U838" s="8" t="inlineStr">
        <is>
          <t>allowed</t>
        </is>
      </c>
    </row>
    <row r="839" ht="34" customHeight="1">
      <c r="A839" s="8" t="n">
        <v>838</v>
      </c>
      <c r="B839" s="8" t="n">
        <v>418038</v>
      </c>
      <c r="C839" s="8" t="inlineStr">
        <is>
          <t>沉息石枕</t>
        </is>
      </c>
      <c r="D839" s="8" t="inlineStr">
        <is>
          <t>法器</t>
        </is>
      </c>
      <c r="E839" s="8" t="inlineStr">
        <is>
          <t>implement</t>
        </is>
      </c>
      <c r="F839" s="8" t="inlineStr">
        <is>
          <t>spirit</t>
        </is>
      </c>
      <c r="G839" s="8" t="inlineStr">
        <is>
          <t>水</t>
        </is>
      </c>
      <c r="H839" s="8" t="inlineStr">
        <is>
          <t>water</t>
        </is>
      </c>
      <c r="I839" s="8" t="inlineStr">
        <is>
          <t>2×1</t>
        </is>
      </c>
      <c r="J839" s="8" t="n">
        <v>2</v>
      </c>
      <c r="K839" s="8" t="n">
        <v>100</v>
      </c>
      <c r="L839" s="8" t="inlineStr">
        <is>
          <t>是</t>
        </is>
      </c>
      <c r="M839" s="9" t="inlineStr"/>
      <c r="N839" s="8" t="n">
        <v>1</v>
      </c>
      <c r="O839" s="9" t="inlineStr">
        <is>
          <t>条件触发</t>
        </is>
      </c>
      <c r="P839" s="9" t="inlineStr">
        <is>
          <t>triggered</t>
        </is>
      </c>
      <c r="Q839" s="9" t="inlineStr">
        <is>
          <t>条件触发：充能：累计生成 50 层蓄势后，恢复 600 点气血；充能：累计生成 50 层蓄势后，恢复 750 点气血；充能：累计生成 50 层蓄势后，恢复 900 点气血；充能：累计生成 50 层蓄势后，恢复 1050 点气血</t>
        </is>
      </c>
      <c r="R839" s="9" t="inlineStr">
        <is>
          <t>shuiyue_signature；peimianshi</t>
        </is>
      </c>
      <c r="S839" s="9" t="inlineStr">
        <is>
          <t>裴眠石静修授课时使用的圆角深灰石枕，枕面半月凹槽会把过急的吐纳一层层压慢。</t>
        </is>
      </c>
      <c r="T839" s="8" t="inlineStr">
        <is>
          <t>implement_shuiyue_peimianshi_breath_stone_pillow_2x1</t>
        </is>
      </c>
      <c r="U839" s="8" t="inlineStr">
        <is>
          <t>allowed</t>
        </is>
      </c>
    </row>
    <row r="840" ht="34" customHeight="1">
      <c r="A840" s="8" t="n">
        <v>839</v>
      </c>
      <c r="B840" s="8" t="n">
        <v>418039</v>
      </c>
      <c r="C840" s="8" t="inlineStr">
        <is>
          <t>调息竹短杖</t>
        </is>
      </c>
      <c r="D840" s="8" t="inlineStr">
        <is>
          <t>法器</t>
        </is>
      </c>
      <c r="E840" s="8" t="inlineStr">
        <is>
          <t>implement</t>
        </is>
      </c>
      <c r="F840" s="8" t="inlineStr">
        <is>
          <t>spirit</t>
        </is>
      </c>
      <c r="G840" s="8" t="inlineStr">
        <is>
          <t>水</t>
        </is>
      </c>
      <c r="H840" s="8" t="inlineStr">
        <is>
          <t>water</t>
        </is>
      </c>
      <c r="I840" s="8" t="inlineStr">
        <is>
          <t>1×2</t>
        </is>
      </c>
      <c r="J840" s="8" t="n">
        <v>2</v>
      </c>
      <c r="K840" s="8" t="n">
        <v>100</v>
      </c>
      <c r="L840" s="8" t="inlineStr">
        <is>
          <t>是</t>
        </is>
      </c>
      <c r="M840" s="9" t="inlineStr"/>
      <c r="N840" s="8" t="n">
        <v>1</v>
      </c>
      <c r="O840" s="9" t="inlineStr">
        <is>
          <t>周期触发</t>
        </is>
      </c>
      <c r="P840" s="9" t="inlineStr">
        <is>
          <t>periodicPulse</t>
        </is>
      </c>
      <c r="Q840" s="9" t="inlineStr">
        <is>
          <t>周期触发：最多消耗 10 层露水；每消耗 1 层，恢复 5 点气血，并对敌方造成 15 点伤害；最多消耗 12 层露水；每消耗 1 层，恢复 10 点气血，并对敌方造成 15 点伤害；最多消耗 14 层露水；每消耗 1 层，恢复 10 点气血，并对敌方造成 15 点伤害；最多消耗 16 层露水；每消耗 1 层，恢复 10 点气血，并对敌方造成 15 点伤害</t>
        </is>
      </c>
      <c r="R840" s="9" t="inlineStr">
        <is>
          <t>shuiyue_signature；peimianshi</t>
        </is>
      </c>
      <c r="S840" s="9" t="inlineStr">
        <is>
          <t>裴眠石用竹木与冷银制成的短杖，杖端轻点便会响起一声低鸣，提醒弟子缓下一息。</t>
        </is>
      </c>
      <c r="T840" s="8" t="inlineStr">
        <is>
          <t>implement_shuiyue_peimianshi_breath_bamboo_wand_1x2</t>
        </is>
      </c>
      <c r="U840" s="8" t="inlineStr">
        <is>
          <t>allowed</t>
        </is>
      </c>
    </row>
    <row r="841" ht="34" customHeight="1">
      <c r="A841" s="8" t="n">
        <v>840</v>
      </c>
      <c r="B841" s="8" t="n">
        <v>418040</v>
      </c>
      <c r="C841" s="8" t="inlineStr">
        <is>
          <t>澄月缺镜</t>
        </is>
      </c>
      <c r="D841" s="8" t="inlineStr">
        <is>
          <t>法器</t>
        </is>
      </c>
      <c r="E841" s="8" t="inlineStr">
        <is>
          <t>implement</t>
        </is>
      </c>
      <c r="F841" s="8" t="inlineStr">
        <is>
          <t>mystic</t>
        </is>
      </c>
      <c r="G841" s="8" t="inlineStr">
        <is>
          <t>水</t>
        </is>
      </c>
      <c r="H841" s="8" t="inlineStr">
        <is>
          <t>water</t>
        </is>
      </c>
      <c r="I841" s="8" t="inlineStr">
        <is>
          <t>2×1</t>
        </is>
      </c>
      <c r="J841" s="8" t="n">
        <v>2</v>
      </c>
      <c r="K841" s="8" t="n">
        <v>800</v>
      </c>
      <c r="L841" s="8" t="inlineStr">
        <is>
          <t>是</t>
        </is>
      </c>
      <c r="M841" s="9" t="inlineStr"/>
      <c r="N841" s="8" t="n">
        <v>2</v>
      </c>
      <c r="O841" s="9" t="inlineStr">
        <is>
          <t>条件触发；周期触发</t>
        </is>
      </c>
      <c r="P841" s="9" t="inlineStr">
        <is>
          <t>triggered；periodicPulse</t>
        </is>
      </c>
      <c r="Q841" s="9" t="inlineStr">
        <is>
          <t>条件触发：受到伤害时，获得 20 层露水；受到伤害时，获得 24 层露水；受到伤害时，获得 28 层露水；受到伤害时，获得 32 层露水 | 周期触发：对敌方施加 40 层冰霜；对敌方施加 48 层冰霜；对敌方施加 56 层冰霜；对敌方施加 64 层冰霜</t>
        </is>
      </c>
      <c r="R841" s="9" t="inlineStr">
        <is>
          <t>shuiyue_signature；gujingxin</t>
        </is>
      </c>
      <c r="S841" s="9" t="inlineStr">
        <is>
          <t>顾镜心本命月镜的外用副镜，镜缘刻意留下一道缺口，以免圆满幻象遮蔽真实余量。</t>
        </is>
      </c>
      <c r="T841" s="8" t="inlineStr">
        <is>
          <t>implement_shuiyue_gujingxin_crescent_broken_mirror_2x1</t>
        </is>
      </c>
      <c r="U841" s="8" t="inlineStr">
        <is>
          <t>allowed</t>
        </is>
      </c>
    </row>
    <row r="842" ht="34" customHeight="1">
      <c r="A842" s="8" t="n">
        <v>841</v>
      </c>
      <c r="B842" s="8" t="n">
        <v>418041</v>
      </c>
      <c r="C842" s="8" t="inlineStr">
        <is>
          <t>三环分水仪</t>
        </is>
      </c>
      <c r="D842" s="8" t="inlineStr">
        <is>
          <t>法器</t>
        </is>
      </c>
      <c r="E842" s="8" t="inlineStr">
        <is>
          <t>implement</t>
        </is>
      </c>
      <c r="F842" s="8" t="inlineStr">
        <is>
          <t>mystic</t>
        </is>
      </c>
      <c r="G842" s="8" t="inlineStr">
        <is>
          <t>水</t>
        </is>
      </c>
      <c r="H842" s="8" t="inlineStr">
        <is>
          <t>water</t>
        </is>
      </c>
      <c r="I842" s="8" t="inlineStr">
        <is>
          <t>1×2</t>
        </is>
      </c>
      <c r="J842" s="8" t="n">
        <v>2</v>
      </c>
      <c r="K842" s="8" t="n">
        <v>800</v>
      </c>
      <c r="L842" s="8" t="inlineStr">
        <is>
          <t>是</t>
        </is>
      </c>
      <c r="M842" s="9" t="inlineStr"/>
      <c r="N842" s="8" t="n">
        <v>1</v>
      </c>
      <c r="O842" s="9" t="inlineStr">
        <is>
          <t>周期触发</t>
        </is>
      </c>
      <c r="P842" s="9" t="inlineStr">
        <is>
          <t>periodicPulse</t>
        </is>
      </c>
      <c r="Q842" s="9" t="inlineStr">
        <is>
          <t>周期触发：开局时，获得 48 层露水并恢复 48 点法力；开局时，获得 60 层露水并恢复 60 点法力；开局时，获得 72 层露水并恢复 72 点法力；开局时，获得 84 层露水并恢复 84 点法力</t>
        </is>
      </c>
      <c r="R842" s="9" t="inlineStr">
        <is>
          <t>shuiyue_signature；gujingxin</t>
        </is>
      </c>
      <c r="S842" s="9" t="inlineStr">
        <is>
          <t>三道错位冷银水环被收束在掌中小仪上，顾镜心借此分辨水权、疗契与问心三脉的偏重。</t>
        </is>
      </c>
      <c r="T842" s="8" t="inlineStr">
        <is>
          <t>implement_shuiyue_gujingxin_three_water_ring_device_1x2</t>
        </is>
      </c>
      <c r="U842" s="8" t="inlineStr">
        <is>
          <t>allowed</t>
        </is>
      </c>
    </row>
    <row r="843" ht="34" customHeight="1">
      <c r="A843" s="8" t="n">
        <v>842</v>
      </c>
      <c r="B843" s="8" t="n">
        <v>418042</v>
      </c>
      <c r="C843" s="8" t="inlineStr">
        <is>
          <t>静海裁量印</t>
        </is>
      </c>
      <c r="D843" s="8" t="inlineStr">
        <is>
          <t>法器</t>
        </is>
      </c>
      <c r="E843" s="8" t="inlineStr">
        <is>
          <t>implement</t>
        </is>
      </c>
      <c r="F843" s="8" t="inlineStr">
        <is>
          <t>mystic</t>
        </is>
      </c>
      <c r="G843" s="8" t="inlineStr">
        <is>
          <t>水</t>
        </is>
      </c>
      <c r="H843" s="8" t="inlineStr">
        <is>
          <t>water</t>
        </is>
      </c>
      <c r="I843" s="8" t="inlineStr">
        <is>
          <t>1×1</t>
        </is>
      </c>
      <c r="J843" s="8" t="n">
        <v>1</v>
      </c>
      <c r="K843" s="8" t="n">
        <v>800</v>
      </c>
      <c r="L843" s="8" t="inlineStr">
        <is>
          <t>是</t>
        </is>
      </c>
      <c r="M843" s="9" t="inlineStr"/>
      <c r="N843" s="8" t="n">
        <v>1</v>
      </c>
      <c r="O843" s="9" t="inlineStr">
        <is>
          <t>周期触发</t>
        </is>
      </c>
      <c r="P843" s="9" t="inlineStr">
        <is>
          <t>periodicPulse</t>
        </is>
      </c>
      <c r="Q843" s="9" t="inlineStr">
        <is>
          <t>周期触发：消耗 176 点法力，消耗至多 32 层寒冷，造成 160 点伤害并按每层寒冷追加 15 点伤害，使敌方一件最大道具冻结 2 秒；消耗 192 点法力，消耗至多 10 层寒冷，造成 200 点伤害并按每层寒冷追加 15 点伤害，使敌方一件最大道具冻结 3 秒；消耗 208 点法力，消耗至多 12 层寒冷，造成 240 点伤害并按每层寒冷追加 15 点伤害，使敌方一件最大道具冻结 4 秒；消耗 224 点法力，消耗至多 14 层寒冷，造成 280 点伤害并按每层寒冷追加 18 点伤害，使敌方一件最大道具冻结 5 秒</t>
        </is>
      </c>
      <c r="R843" s="9" t="inlineStr">
        <is>
          <t>shuiyue_signature；gujingxin</t>
        </is>
      </c>
      <c r="S843" s="9" t="inlineStr">
        <is>
          <t>顾镜心裁定别院水权时所用的冷银月印，三重圆门纹彼此不闭合，提醒持印者为每份取舍留下余地。</t>
        </is>
      </c>
      <c r="T843" s="8" t="inlineStr">
        <is>
          <t>implement_shuiyue_gujingxin_still_sea_judgment_seal_1x1</t>
        </is>
      </c>
      <c r="U843" s="8" t="inlineStr">
        <is>
          <t>allowed</t>
        </is>
      </c>
    </row>
    <row r="844" ht="34" customHeight="1">
      <c r="A844" s="8" t="n">
        <v>843</v>
      </c>
      <c r="B844" s="8" t="n">
        <v>418043</v>
      </c>
      <c r="C844" s="8" t="inlineStr">
        <is>
          <t>镇脉玄炉</t>
        </is>
      </c>
      <c r="D844" s="8" t="inlineStr">
        <is>
          <t>法器</t>
        </is>
      </c>
      <c r="E844" s="8" t="inlineStr">
        <is>
          <t>implement</t>
        </is>
      </c>
      <c r="F844" s="8" t="inlineStr">
        <is>
          <t>mystic</t>
        </is>
      </c>
      <c r="G844" s="8" t="inlineStr">
        <is>
          <t>火</t>
        </is>
      </c>
      <c r="H844" s="8" t="inlineStr">
        <is>
          <t>fire</t>
        </is>
      </c>
      <c r="I844" s="8" t="inlineStr">
        <is>
          <t>2×2</t>
        </is>
      </c>
      <c r="J844" s="8" t="n">
        <v>4</v>
      </c>
      <c r="K844" s="8" t="n">
        <v>800</v>
      </c>
      <c r="L844" s="8" t="inlineStr">
        <is>
          <t>是</t>
        </is>
      </c>
      <c r="M844" s="9" t="inlineStr"/>
      <c r="N844" s="8" t="n">
        <v>1</v>
      </c>
      <c r="O844" s="9" t="inlineStr">
        <is>
          <t>周期触发</t>
        </is>
      </c>
      <c r="P844" s="9" t="inlineStr">
        <is>
          <t>periodicPulse</t>
        </is>
      </c>
      <c r="Q844" s="9" t="inlineStr">
        <is>
          <t>周期触发：消耗 240 点法力，敌方有不少于 40 层灼烧时，消耗 40 层灼烧并造成 1320 点伤害</t>
        </is>
      </c>
      <c r="R844" s="9" t="inlineStr">
        <is>
          <t>danxia_core_loadout；cenzhaotang</t>
        </is>
      </c>
      <c r="S844" s="9" t="inlineStr">
        <is>
          <t>岑照棠以旧日主炉铜芯重炼的方腹玄炉，四足分别压着丹霞地火的四处回流口。</t>
        </is>
      </c>
      <c r="T844" s="8" t="inlineStr">
        <is>
          <t>implement_danxia_cenzhaotang_vein_suppressing_furnace_2x2</t>
        </is>
      </c>
      <c r="U844" s="8" t="inlineStr">
        <is>
          <t>allowed</t>
        </is>
      </c>
    </row>
    <row r="845" ht="34" customHeight="1">
      <c r="A845" s="8" t="n">
        <v>844</v>
      </c>
      <c r="B845" s="8" t="n">
        <v>418044</v>
      </c>
      <c r="C845" s="8" t="inlineStr">
        <is>
          <t>丹霞地火鉴</t>
        </is>
      </c>
      <c r="D845" s="8" t="inlineStr">
        <is>
          <t>法器</t>
        </is>
      </c>
      <c r="E845" s="8" t="inlineStr">
        <is>
          <t>implement</t>
        </is>
      </c>
      <c r="F845" s="8" t="inlineStr">
        <is>
          <t>mystic</t>
        </is>
      </c>
      <c r="G845" s="8" t="inlineStr">
        <is>
          <t>火</t>
        </is>
      </c>
      <c r="H845" s="8" t="inlineStr">
        <is>
          <t>fire</t>
        </is>
      </c>
      <c r="I845" s="8" t="inlineStr">
        <is>
          <t>2×2</t>
        </is>
      </c>
      <c r="J845" s="8" t="n">
        <v>4</v>
      </c>
      <c r="K845" s="8" t="n">
        <v>72</v>
      </c>
      <c r="L845" s="8" t="inlineStr">
        <is>
          <t>否</t>
        </is>
      </c>
      <c r="M845" s="9" t="inlineStr"/>
      <c r="N845" s="8" t="n">
        <v>1</v>
      </c>
      <c r="O845" s="9" t="inlineStr">
        <is>
          <t>周期触发</t>
        </is>
      </c>
      <c r="P845" s="9" t="inlineStr">
        <is>
          <t>periodicPulse</t>
        </is>
      </c>
      <c r="Q845" s="9" t="inlineStr">
        <is>
          <t>周期触发：开局时，消耗 168 点法力并获得 168 层炎热</t>
        </is>
      </c>
      <c r="R845" s="9" t="inlineStr">
        <is>
          <t>danxia_core_loadout；danxia_common</t>
        </is>
      </c>
      <c r="S845" s="9" t="inlineStr">
        <is>
          <t>丹霞外院历代坐院共用的厚铜火鉴，镜背按年份叠刻着每次地火偏移的纹路。</t>
        </is>
      </c>
      <c r="T845" s="8" t="inlineStr">
        <is>
          <t>implement_danxia_earthfire_bronze_mirror_2x2</t>
        </is>
      </c>
      <c r="U845" s="8" t="inlineStr">
        <is>
          <t>allowed</t>
        </is>
      </c>
    </row>
    <row r="846" ht="34" customHeight="1">
      <c r="A846" s="8" t="n">
        <v>845</v>
      </c>
      <c r="B846" s="8" t="n">
        <v>418046</v>
      </c>
      <c r="C846" s="8" t="inlineStr">
        <is>
          <t>归火铜环</t>
        </is>
      </c>
      <c r="D846" s="8" t="inlineStr">
        <is>
          <t>法器</t>
        </is>
      </c>
      <c r="E846" s="8" t="inlineStr">
        <is>
          <t>implement</t>
        </is>
      </c>
      <c r="F846" s="8" t="inlineStr">
        <is>
          <t>spirit</t>
        </is>
      </c>
      <c r="G846" s="8" t="inlineStr">
        <is>
          <t>火</t>
        </is>
      </c>
      <c r="H846" s="8" t="inlineStr">
        <is>
          <t>fire</t>
        </is>
      </c>
      <c r="I846" s="8" t="inlineStr">
        <is>
          <t>1×2</t>
        </is>
      </c>
      <c r="J846" s="8" t="n">
        <v>2</v>
      </c>
      <c r="K846" s="8" t="n">
        <v>24</v>
      </c>
      <c r="L846" s="8" t="inlineStr">
        <is>
          <t>否</t>
        </is>
      </c>
      <c r="M846" s="9" t="inlineStr"/>
      <c r="N846" s="8" t="n">
        <v>1</v>
      </c>
      <c r="O846" s="9" t="inlineStr">
        <is>
          <t>被动效果</t>
        </is>
      </c>
      <c r="P846" s="9" t="inlineStr">
        <is>
          <t>passive</t>
        </is>
      </c>
      <c r="Q846" s="9" t="inlineStr">
        <is>
          <t>被动效果：凝金不少于 30 层时，免疫灵品以下火属性道具造成的伤害和灼烧；凝金不少于 27 层时，免疫灵品以下火属性道具造成的伤害和灼烧；凝金不少于 24 层时，免疫灵品以下火属性道具造成的伤害和灼烧；凝金不少于 21 层时，免疫灵品以下火属性道具造成的伤害和灼烧</t>
        </is>
      </c>
      <c r="R846" s="9" t="inlineStr">
        <is>
          <t>danxia_core_loadout；danxia_common</t>
        </is>
      </c>
      <c r="S846" s="9" t="inlineStr">
        <is>
          <t>炉议收拢散火时悬在炉口的旧铜环，环面被多年回烬熏成由赤转黑的层色。</t>
        </is>
      </c>
      <c r="T846" s="8" t="inlineStr">
        <is>
          <t>implement_danxia_returning_fire_ring_1x2</t>
        </is>
      </c>
      <c r="U846" s="8" t="inlineStr">
        <is>
          <t>allowed</t>
        </is>
      </c>
    </row>
    <row r="847" ht="34" customHeight="1">
      <c r="A847" s="8" t="n">
        <v>846</v>
      </c>
      <c r="B847" s="8" t="n">
        <v>418047</v>
      </c>
      <c r="C847" s="8" t="inlineStr">
        <is>
          <t>主阵定脉玺</t>
        </is>
      </c>
      <c r="D847" s="8" t="inlineStr">
        <is>
          <t>法器</t>
        </is>
      </c>
      <c r="E847" s="8" t="inlineStr">
        <is>
          <t>implement</t>
        </is>
      </c>
      <c r="F847" s="8" t="inlineStr">
        <is>
          <t>mystic</t>
        </is>
      </c>
      <c r="G847" s="8" t="inlineStr">
        <is>
          <t>土</t>
        </is>
      </c>
      <c r="H847" s="8" t="inlineStr">
        <is>
          <t>earth</t>
        </is>
      </c>
      <c r="I847" s="8" t="inlineStr">
        <is>
          <t>1×1</t>
        </is>
      </c>
      <c r="J847" s="8" t="n">
        <v>1</v>
      </c>
      <c r="K847" s="8" t="n">
        <v>60</v>
      </c>
      <c r="L847" s="8" t="inlineStr">
        <is>
          <t>否</t>
        </is>
      </c>
      <c r="M847" s="9" t="inlineStr"/>
      <c r="N847" s="8" t="n">
        <v>1</v>
      </c>
      <c r="O847" s="9" t="inlineStr">
        <is>
          <t>周期触发</t>
        </is>
      </c>
      <c r="P847" s="9" t="inlineStr">
        <is>
          <t>periodicPulse</t>
        </is>
      </c>
      <c r="Q847" s="9" t="inlineStr">
        <is>
          <t>周期触发：开局时，消耗 112 点法力并获得 112 层坚硬</t>
        </is>
      </c>
      <c r="R847" s="9" t="inlineStr">
        <is>
          <t>qingque_core_loadout</t>
        </is>
      </c>
      <c r="S847" s="9" t="inlineStr">
        <is>
          <t>石元度以青阙主阵余石炼成的玄品方玺，玺钮五门并立，能将散乱地气压回阵脉。</t>
        </is>
      </c>
      <c r="T847" s="8" t="inlineStr">
        <is>
          <t>implement_qingque_core_main_array_seal_1x1</t>
        </is>
      </c>
      <c r="U847" s="8" t="inlineStr">
        <is>
          <t>allowed</t>
        </is>
      </c>
    </row>
    <row r="848" ht="34" customHeight="1">
      <c r="A848" s="8" t="n">
        <v>847</v>
      </c>
      <c r="B848" s="8" t="n">
        <v>418048</v>
      </c>
      <c r="C848" s="8" t="inlineStr">
        <is>
          <t>五阙归元盘</t>
        </is>
      </c>
      <c r="D848" s="8" t="inlineStr">
        <is>
          <t>法器</t>
        </is>
      </c>
      <c r="E848" s="8" t="inlineStr">
        <is>
          <t>implement</t>
        </is>
      </c>
      <c r="F848" s="8" t="inlineStr">
        <is>
          <t>mystic</t>
        </is>
      </c>
      <c r="G848" s="8" t="inlineStr">
        <is>
          <t>土</t>
        </is>
      </c>
      <c r="H848" s="8" t="inlineStr">
        <is>
          <t>earth</t>
        </is>
      </c>
      <c r="I848" s="8" t="inlineStr">
        <is>
          <t>1×1</t>
        </is>
      </c>
      <c r="J848" s="8" t="n">
        <v>1</v>
      </c>
      <c r="K848" s="8" t="n">
        <v>60</v>
      </c>
      <c r="L848" s="8" t="inlineStr">
        <is>
          <t>否</t>
        </is>
      </c>
      <c r="M848" s="9" t="inlineStr"/>
      <c r="N848" s="8" t="n">
        <v>1</v>
      </c>
      <c r="O848" s="9" t="inlineStr">
        <is>
          <t>周期触发</t>
        </is>
      </c>
      <c r="P848" s="9" t="inlineStr">
        <is>
          <t>periodicPulse</t>
        </is>
      </c>
      <c r="Q848" s="9" t="inlineStr">
        <is>
          <t>周期触发：获得 32 层坚硬和 32 层护甲</t>
        </is>
      </c>
      <c r="R848" s="9" t="inlineStr">
        <is>
          <t>qingque_core_loadout</t>
        </is>
      </c>
      <c r="S848" s="9" t="inlineStr">
        <is>
          <t>五座青石小阙围拢成的玄品阵盘，盘心银线将分散阵权重新归入稳定刻度。</t>
        </is>
      </c>
      <c r="T848" s="8" t="inlineStr">
        <is>
          <t>implement_qingque_core_five_gate_array_disc_1x1</t>
        </is>
      </c>
      <c r="U848" s="8" t="inlineStr">
        <is>
          <t>allowed</t>
        </is>
      </c>
    </row>
    <row r="849" ht="34" customHeight="1">
      <c r="A849" s="8" t="n">
        <v>848</v>
      </c>
      <c r="B849" s="8" t="n">
        <v>418049</v>
      </c>
      <c r="C849" s="8" t="inlineStr">
        <is>
          <t>青阙定息符佩</t>
        </is>
      </c>
      <c r="D849" s="8" t="inlineStr">
        <is>
          <t>法器</t>
        </is>
      </c>
      <c r="E849" s="8" t="inlineStr">
        <is>
          <t>implement</t>
        </is>
      </c>
      <c r="F849" s="8" t="inlineStr">
        <is>
          <t>spirit</t>
        </is>
      </c>
      <c r="G849" s="8" t="inlineStr">
        <is>
          <t>土</t>
        </is>
      </c>
      <c r="H849" s="8" t="inlineStr">
        <is>
          <t>earth</t>
        </is>
      </c>
      <c r="I849" s="8" t="inlineStr">
        <is>
          <t>1×1</t>
        </is>
      </c>
      <c r="J849" s="8" t="n">
        <v>1</v>
      </c>
      <c r="K849" s="8" t="n">
        <v>20</v>
      </c>
      <c r="L849" s="8" t="inlineStr">
        <is>
          <t>否</t>
        </is>
      </c>
      <c r="M849" s="9" t="inlineStr"/>
      <c r="N849" s="8" t="n">
        <v>1</v>
      </c>
      <c r="O849" s="9" t="inlineStr">
        <is>
          <t>周期触发</t>
        </is>
      </c>
      <c r="P849" s="9" t="inlineStr">
        <is>
          <t>periodicPulse</t>
        </is>
      </c>
      <c r="Q849" s="9" t="inlineStr">
        <is>
          <t>周期触发：消耗 2 点神识，双方所有轮转道具冻结 3 秒；消耗 2 点神识，双方所有轮转道具冻结 4 秒；消耗 2 点神识，双方所有轮转道具冻结 5 秒；消耗 2 点神识，双方所有轮转道具冻结 6 秒</t>
        </is>
      </c>
      <c r="R849" s="9" t="inlineStr">
        <is>
          <t>qingque_core_loadout</t>
        </is>
      </c>
      <c r="S849" s="9" t="inlineStr">
        <is>
          <t>青阙门内门制式的石符佩，方阙回纹贴身稳住呼吸，使持有者在阵压中仍能从容换位。</t>
        </is>
      </c>
      <c r="T849" s="8" t="inlineStr">
        <is>
          <t>implement_qingque_core_breath_talisman_1x1</t>
        </is>
      </c>
      <c r="U849" s="8" t="inlineStr">
        <is>
          <t>allowed</t>
        </is>
      </c>
    </row>
    <row r="850" ht="34" customHeight="1">
      <c r="A850" s="8" t="n">
        <v>849</v>
      </c>
      <c r="B850" s="8" t="n">
        <v>418051</v>
      </c>
      <c r="C850" s="8" t="inlineStr">
        <is>
          <t>返照归衡镜</t>
        </is>
      </c>
      <c r="D850" s="8" t="inlineStr">
        <is>
          <t>法器</t>
        </is>
      </c>
      <c r="E850" s="8" t="inlineStr">
        <is>
          <t>implement</t>
        </is>
      </c>
      <c r="F850" s="8" t="inlineStr">
        <is>
          <t>mystic</t>
        </is>
      </c>
      <c r="G850" s="8" t="inlineStr">
        <is>
          <t>水</t>
        </is>
      </c>
      <c r="H850" s="8" t="inlineStr">
        <is>
          <t>water</t>
        </is>
      </c>
      <c r="I850" s="8" t="inlineStr">
        <is>
          <t>2×2</t>
        </is>
      </c>
      <c r="J850" s="8" t="n">
        <v>4</v>
      </c>
      <c r="K850" s="8" t="n">
        <v>800</v>
      </c>
      <c r="L850" s="8" t="inlineStr">
        <is>
          <t>是</t>
        </is>
      </c>
      <c r="M850" s="9" t="inlineStr"/>
      <c r="N850" s="8" t="n">
        <v>2</v>
      </c>
      <c r="O850" s="9" t="inlineStr">
        <is>
          <t>条件触发；周期触发</t>
        </is>
      </c>
      <c r="P850" s="9" t="inlineStr">
        <is>
          <t>triggered；periodicPulse</t>
        </is>
      </c>
      <c r="Q850" s="9" t="inlineStr">
        <is>
          <t>条件触发：受到伤害时，获得 56 层露水 | 周期触发：消耗 96 点法力，获得 56 层护甲</t>
        </is>
      </c>
      <c r="R850" s="9" t="inlineStr">
        <is>
          <t>shuiyue_core_loadout；gujingxin</t>
        </is>
      </c>
      <c r="S850" s="9" t="inlineStr">
        <is>
          <t>顾镜心以澄月镜意炼成的玄品法宝，镜中三脉水光轮流显现，把过度集中的灵息返照回全局。</t>
        </is>
      </c>
      <c r="T850" s="8" t="inlineStr">
        <is>
          <t>implement_shuiyue_gujingxin_balance_reflection_mirror_2x2</t>
        </is>
      </c>
      <c r="U850" s="8" t="inlineStr">
        <is>
          <t>allowed</t>
        </is>
      </c>
    </row>
    <row r="851" ht="34" customHeight="1">
      <c r="A851" s="8" t="n">
        <v>850</v>
      </c>
      <c r="B851" s="8" t="n">
        <v>418052</v>
      </c>
      <c r="C851" s="8" t="inlineStr">
        <is>
          <t>三潮承露盏</t>
        </is>
      </c>
      <c r="D851" s="8" t="inlineStr">
        <is>
          <t>法器</t>
        </is>
      </c>
      <c r="E851" s="8" t="inlineStr">
        <is>
          <t>implement</t>
        </is>
      </c>
      <c r="F851" s="8" t="inlineStr">
        <is>
          <t>mystic</t>
        </is>
      </c>
      <c r="G851" s="8" t="inlineStr">
        <is>
          <t>水</t>
        </is>
      </c>
      <c r="H851" s="8" t="inlineStr">
        <is>
          <t>water</t>
        </is>
      </c>
      <c r="I851" s="8" t="inlineStr">
        <is>
          <t>2×2</t>
        </is>
      </c>
      <c r="J851" s="8" t="n">
        <v>4</v>
      </c>
      <c r="K851" s="8" t="n">
        <v>800</v>
      </c>
      <c r="L851" s="8" t="inlineStr">
        <is>
          <t>是</t>
        </is>
      </c>
      <c r="M851" s="9" t="inlineStr"/>
      <c r="N851" s="8" t="n">
        <v>1</v>
      </c>
      <c r="O851" s="9" t="inlineStr">
        <is>
          <t>周期触发</t>
        </is>
      </c>
      <c r="P851" s="9" t="inlineStr">
        <is>
          <t>periodicPulse</t>
        </is>
      </c>
      <c r="Q851" s="9" t="inlineStr">
        <is>
          <t>周期触发：获得 32 层露水和 24 层再生</t>
        </is>
      </c>
      <c r="R851" s="9" t="inlineStr">
        <is>
          <t>shuiyue_core_loadout；gujingxin</t>
        </is>
      </c>
      <c r="S851" s="9" t="inlineStr">
        <is>
          <t>三层浅盏承接不同水位的露水，盏壁银线把强弱三潮分开，避免一脉独占全部水息。</t>
        </is>
      </c>
      <c r="T851" s="8" t="inlineStr">
        <is>
          <t>implement_shuiyue_gujingxin_three_tide_dew_chalice_2x2</t>
        </is>
      </c>
      <c r="U851" s="8" t="inlineStr">
        <is>
          <t>allowed</t>
        </is>
      </c>
    </row>
    <row r="852" ht="34" customHeight="1">
      <c r="A852" s="8" t="n">
        <v>851</v>
      </c>
      <c r="B852" s="8" t="n">
        <v>418054</v>
      </c>
      <c r="C852" s="8" t="inlineStr">
        <is>
          <t>澄心引泉珠</t>
        </is>
      </c>
      <c r="D852" s="8" t="inlineStr">
        <is>
          <t>法器</t>
        </is>
      </c>
      <c r="E852" s="8" t="inlineStr">
        <is>
          <t>implement</t>
        </is>
      </c>
      <c r="F852" s="8" t="inlineStr">
        <is>
          <t>spirit</t>
        </is>
      </c>
      <c r="G852" s="8" t="inlineStr">
        <is>
          <t>水</t>
        </is>
      </c>
      <c r="H852" s="8" t="inlineStr">
        <is>
          <t>water</t>
        </is>
      </c>
      <c r="I852" s="8" t="inlineStr">
        <is>
          <t>1×1</t>
        </is>
      </c>
      <c r="J852" s="8" t="n">
        <v>1</v>
      </c>
      <c r="K852" s="8" t="n">
        <v>20</v>
      </c>
      <c r="L852" s="8" t="inlineStr">
        <is>
          <t>否</t>
        </is>
      </c>
      <c r="M852" s="9" t="inlineStr"/>
      <c r="N852" s="8" t="n">
        <v>1</v>
      </c>
      <c r="O852" s="9" t="inlineStr">
        <is>
          <t>条件触发</t>
        </is>
      </c>
      <c r="P852" s="9" t="inlineStr">
        <is>
          <t>triggered</t>
        </is>
      </c>
      <c r="Q852" s="9" t="inlineStr">
        <is>
          <t>条件触发：每当神识被消耗时，获得 10 层露水；每当神识被消耗时，获得 12 层露水；每当神识被消耗时，获得 16 层露水；每当神识被消耗时，获得 18 层露水</t>
        </is>
      </c>
      <c r="R852" s="9" t="inlineStr">
        <is>
          <t>shuiyue_core_loadout</t>
        </is>
      </c>
      <c r="S852" s="9" t="inlineStr">
        <is>
          <t>冷银丝笼住的一枚清蓝泉珠，珠心始终留有一线空隙，使护体水息收束而不凝滞。</t>
        </is>
      </c>
      <c r="T852" s="8" t="inlineStr">
        <is>
          <t>implement_shuiyue_core_spring_orb_1x1</t>
        </is>
      </c>
      <c r="U852" s="8" t="inlineStr">
        <is>
          <t>allowed</t>
        </is>
      </c>
    </row>
    <row r="853" ht="34" customHeight="1">
      <c r="A853" s="8" t="n">
        <v>852</v>
      </c>
      <c r="B853" s="8" t="n">
        <v>418055</v>
      </c>
      <c r="C853" s="8" t="inlineStr">
        <is>
          <t>山门验材牌</t>
        </is>
      </c>
      <c r="D853" s="8" t="inlineStr">
        <is>
          <t>法器</t>
        </is>
      </c>
      <c r="E853" s="8" t="inlineStr">
        <is>
          <t>implement</t>
        </is>
      </c>
      <c r="F853" s="8" t="inlineStr">
        <is>
          <t>common</t>
        </is>
      </c>
      <c r="G853" s="8" t="inlineStr">
        <is>
          <t>火</t>
        </is>
      </c>
      <c r="H853" s="8" t="inlineStr">
        <is>
          <t>fire</t>
        </is>
      </c>
      <c r="I853" s="8" t="inlineStr">
        <is>
          <t>1×1</t>
        </is>
      </c>
      <c r="J853" s="8" t="n">
        <v>1</v>
      </c>
      <c r="K853" s="8" t="n">
        <v>12</v>
      </c>
      <c r="L853" s="8" t="inlineStr">
        <is>
          <t>是</t>
        </is>
      </c>
      <c r="M853" s="9" t="inlineStr"/>
      <c r="N853" s="8" t="n">
        <v>2</v>
      </c>
      <c r="O853" s="9" t="inlineStr">
        <is>
          <t>周期触发</t>
        </is>
      </c>
      <c r="P853" s="9" t="inlineStr">
        <is>
          <t>periodicPulse</t>
        </is>
      </c>
      <c r="Q853" s="9" t="inlineStr">
        <is>
          <t>周期触发：开局时，获得 3 层护甲；开局时，获得 6 层护甲；开局时，获得 9 层护甲；开局时，获得 12 层护甲 | 周期触发：消耗 2 点体力，对敌方施加 2 层冰霜；消耗 4 点体力，对敌方施加 4 层冰霜；消耗 6 点体力，对敌方施加 6 层冰霜；消耗 8 点体力，对敌方施加 8 层冰霜</t>
        </is>
      </c>
      <c r="R853" s="9" t="inlineStr">
        <is>
          <t>danxia_signature；luchengxia</t>
        </is>
      </c>
      <c r="S853" s="9" t="inlineStr">
        <is>
          <t>陆承霞核验来客供材的厚铜方牌，牌角留有反复敲击长棍确认次序的凹痕。</t>
        </is>
      </c>
      <c r="T853" s="8" t="inlineStr">
        <is>
          <t>implement_danxia_luchengxia_gate_material_token_1x1</t>
        </is>
      </c>
      <c r="U853" s="8" t="inlineStr">
        <is>
          <t>allowed</t>
        </is>
      </c>
    </row>
    <row r="854" ht="34" customHeight="1">
      <c r="A854" s="8" t="n">
        <v>853</v>
      </c>
      <c r="B854" s="8" t="n">
        <v>418056</v>
      </c>
      <c r="C854" s="8" t="inlineStr">
        <is>
          <t>练手炉火签</t>
        </is>
      </c>
      <c r="D854" s="8" t="inlineStr">
        <is>
          <t>法器</t>
        </is>
      </c>
      <c r="E854" s="8" t="inlineStr">
        <is>
          <t>implement</t>
        </is>
      </c>
      <c r="F854" s="8" t="inlineStr">
        <is>
          <t>common</t>
        </is>
      </c>
      <c r="G854" s="8" t="inlineStr">
        <is>
          <t>火</t>
        </is>
      </c>
      <c r="H854" s="8" t="inlineStr">
        <is>
          <t>fire</t>
        </is>
      </c>
      <c r="I854" s="8" t="inlineStr">
        <is>
          <t>1×1</t>
        </is>
      </c>
      <c r="J854" s="8" t="n">
        <v>1</v>
      </c>
      <c r="K854" s="8" t="n">
        <v>12</v>
      </c>
      <c r="L854" s="8" t="inlineStr">
        <is>
          <t>是</t>
        </is>
      </c>
      <c r="M854" s="9" t="inlineStr"/>
      <c r="N854" s="8" t="n">
        <v>1</v>
      </c>
      <c r="O854" s="9" t="inlineStr">
        <is>
          <t>周期触发</t>
        </is>
      </c>
      <c r="P854" s="9" t="inlineStr">
        <is>
          <t>periodicPulse</t>
        </is>
      </c>
      <c r="Q854" s="9" t="inlineStr">
        <is>
          <t>周期触发：获得 2 层炎热；获得 4 层炎热；获得 6 层炎热；获得 8 层炎热</t>
        </is>
      </c>
      <c r="R854" s="9" t="inlineStr">
        <is>
          <t>danxia_signature；lushouxuan</t>
        </is>
      </c>
      <c r="S854" s="9" t="inlineStr">
        <is>
          <t>陆守玄守最低阶练手炉时使用的赤铜火签，签头只留一线朴素炉纹。</t>
        </is>
      </c>
      <c r="T854" s="8" t="inlineStr">
        <is>
          <t>implement_danxia_lushouxuan_practice_furnace_tally_1x1</t>
        </is>
      </c>
      <c r="U854" s="8" t="inlineStr">
        <is>
          <t>allowed</t>
        </is>
      </c>
    </row>
    <row r="855" ht="34" customHeight="1">
      <c r="A855" s="8" t="n">
        <v>854</v>
      </c>
      <c r="B855" s="8" t="n">
        <v>418057</v>
      </c>
      <c r="C855" s="8" t="inlineStr">
        <is>
          <t>巡山火绳</t>
        </is>
      </c>
      <c r="D855" s="8" t="inlineStr">
        <is>
          <t>法器</t>
        </is>
      </c>
      <c r="E855" s="8" t="inlineStr">
        <is>
          <t>implement</t>
        </is>
      </c>
      <c r="F855" s="8" t="inlineStr">
        <is>
          <t>common</t>
        </is>
      </c>
      <c r="G855" s="8" t="inlineStr">
        <is>
          <t>火</t>
        </is>
      </c>
      <c r="H855" s="8" t="inlineStr">
        <is>
          <t>fire</t>
        </is>
      </c>
      <c r="I855" s="8" t="inlineStr">
        <is>
          <t>1×1</t>
        </is>
      </c>
      <c r="J855" s="8" t="n">
        <v>1</v>
      </c>
      <c r="K855" s="8" t="n">
        <v>12</v>
      </c>
      <c r="L855" s="8" t="inlineStr">
        <is>
          <t>是</t>
        </is>
      </c>
      <c r="M855" s="9" t="inlineStr"/>
      <c r="N855" s="8" t="n">
        <v>1</v>
      </c>
      <c r="O855" s="9" t="inlineStr">
        <is>
          <t>周期触发</t>
        </is>
      </c>
      <c r="P855" s="9" t="inlineStr">
        <is>
          <t>periodicPulse</t>
        </is>
      </c>
      <c r="Q855" s="9" t="inlineStr">
        <is>
          <t>周期触发：消耗 5 点体力，对敌方施加 2 层灼烧；消耗 10 点体力，对敌方施加 3 层灼烧；消耗 15 点体力，对敌方施加 4 层灼烧；消耗 20 点体力，对敌方施加 5 层灼烧</t>
        </is>
      </c>
      <c r="R855" s="9" t="inlineStr">
        <is>
          <t>danxia_signature；zhaoguiyan</t>
        </is>
      </c>
      <c r="S855" s="9" t="inlineStr">
        <is>
          <t>赵归焰夜巡灰道时束在腰侧的耐火绳，绳结按山道险段逐一打成。</t>
        </is>
      </c>
      <c r="T855" s="8" t="inlineStr">
        <is>
          <t>implement_danxia_zhaoguiyan_fire_patrol_rope_1x1</t>
        </is>
      </c>
      <c r="U855" s="8" t="inlineStr">
        <is>
          <t>allowed</t>
        </is>
      </c>
    </row>
    <row r="856" ht="34" customHeight="1">
      <c r="A856" s="8" t="n">
        <v>855</v>
      </c>
      <c r="B856" s="8" t="n">
        <v>418058</v>
      </c>
      <c r="C856" s="8" t="inlineStr">
        <is>
          <t>收火执牌</t>
        </is>
      </c>
      <c r="D856" s="8" t="inlineStr">
        <is>
          <t>法器</t>
        </is>
      </c>
      <c r="E856" s="8" t="inlineStr">
        <is>
          <t>implement</t>
        </is>
      </c>
      <c r="F856" s="8" t="inlineStr">
        <is>
          <t>common</t>
        </is>
      </c>
      <c r="G856" s="8" t="inlineStr">
        <is>
          <t>火</t>
        </is>
      </c>
      <c r="H856" s="8" t="inlineStr">
        <is>
          <t>fire</t>
        </is>
      </c>
      <c r="I856" s="8" t="inlineStr">
        <is>
          <t>1×1</t>
        </is>
      </c>
      <c r="J856" s="8" t="n">
        <v>1</v>
      </c>
      <c r="K856" s="8" t="n">
        <v>12</v>
      </c>
      <c r="L856" s="8" t="inlineStr">
        <is>
          <t>是</t>
        </is>
      </c>
      <c r="M856" s="9" t="inlineStr"/>
      <c r="N856" s="8" t="n">
        <v>1</v>
      </c>
      <c r="O856" s="9" t="inlineStr">
        <is>
          <t>周期触发</t>
        </is>
      </c>
      <c r="P856" s="9" t="inlineStr">
        <is>
          <t>periodicPulse</t>
        </is>
      </c>
      <c r="Q856" s="9" t="inlineStr">
        <is>
          <t>周期触发：将自身最多 4 层炎热转化为等量体力，并对敌方造成每层 2 点伤害；将自身最多 6 层炎热转化为等量体力，并对敌方造成每层 2 点伤害；将自身最多 8 层炎热转化为等量体力，并对敌方造成每层 2 点伤害；将自身最多 10 层炎热转化为等量体力，并对敌方造成每层 2 点伤害</t>
        </is>
      </c>
      <c r="R856" s="9" t="inlineStr">
        <is>
          <t>danxia_signature；hanzhaolu</t>
        </is>
      </c>
      <c r="S856" s="9" t="inlineStr">
        <is>
          <t>韩照炉主持外院斗法验收时所持的沉铜执牌，正反两面分别刻着起势与收尾的炉线。</t>
        </is>
      </c>
      <c r="T856" s="8" t="inlineStr">
        <is>
          <t>implement_danxia_hanzhaolu_flame_closing_tablet_1x1</t>
        </is>
      </c>
      <c r="U856" s="8" t="inlineStr">
        <is>
          <t>allowed</t>
        </is>
      </c>
    </row>
    <row r="857" ht="34" customHeight="1">
      <c r="A857" s="8" t="n">
        <v>856</v>
      </c>
      <c r="B857" s="8" t="n">
        <v>418059</v>
      </c>
      <c r="C857" s="8" t="inlineStr">
        <is>
          <t>山门准验符册</t>
        </is>
      </c>
      <c r="D857" s="8" t="inlineStr">
        <is>
          <t>法器</t>
        </is>
      </c>
      <c r="E857" s="8" t="inlineStr">
        <is>
          <t>implement</t>
        </is>
      </c>
      <c r="F857" s="8" t="inlineStr">
        <is>
          <t>common</t>
        </is>
      </c>
      <c r="G857" s="8" t="inlineStr">
        <is>
          <t>土</t>
        </is>
      </c>
      <c r="H857" s="8" t="inlineStr">
        <is>
          <t>earth</t>
        </is>
      </c>
      <c r="I857" s="8" t="inlineStr">
        <is>
          <t>1×1</t>
        </is>
      </c>
      <c r="J857" s="8" t="n">
        <v>1</v>
      </c>
      <c r="K857" s="8" t="n">
        <v>12</v>
      </c>
      <c r="L857" s="8" t="inlineStr">
        <is>
          <t>是</t>
        </is>
      </c>
      <c r="M857" s="9" t="inlineStr"/>
      <c r="N857" s="8" t="n">
        <v>2</v>
      </c>
      <c r="O857" s="9" t="inlineStr">
        <is>
          <t>周期触发</t>
        </is>
      </c>
      <c r="P857" s="9" t="inlineStr">
        <is>
          <t>periodicPulse</t>
        </is>
      </c>
      <c r="Q857" s="9" t="inlineStr">
        <is>
          <t>周期触发：开局时，获得 8 层坚硬 | 周期触发：消耗 5 点体力，对敌方施加 4 层冰霜；消耗 10 点体力，对敌方施加 6 层冰霜；消耗 15 点体力，对敌方施加 8 层冰霜；消耗 20 点体力，对敌方施加 10 层冰霜</t>
        </is>
      </c>
      <c r="R857" s="9" t="inlineStr">
        <is>
          <t>qingque_signature；xuyunlu</t>
        </is>
      </c>
      <c r="S857" s="9" t="inlineStr">
        <is>
          <t>许云箓逐项核验来客、供材与考核阵位的青灰符册，页边密密留着复核刻痕。</t>
        </is>
      </c>
      <c r="T857" s="8" t="inlineStr">
        <is>
          <t>implement_qingque_xuyunlu_gate_registry_1x1</t>
        </is>
      </c>
      <c r="U857" s="8" t="inlineStr">
        <is>
          <t>allowed</t>
        </is>
      </c>
    </row>
    <row r="858" ht="34" customHeight="1">
      <c r="A858" s="8" t="n">
        <v>857</v>
      </c>
      <c r="B858" s="8" t="n">
        <v>418060</v>
      </c>
      <c r="C858" s="8" t="inlineStr">
        <is>
          <t>听澜验材简</t>
        </is>
      </c>
      <c r="D858" s="8" t="inlineStr">
        <is>
          <t>法器</t>
        </is>
      </c>
      <c r="E858" s="8" t="inlineStr">
        <is>
          <t>implement</t>
        </is>
      </c>
      <c r="F858" s="8" t="inlineStr">
        <is>
          <t>common</t>
        </is>
      </c>
      <c r="G858" s="8" t="inlineStr">
        <is>
          <t>水</t>
        </is>
      </c>
      <c r="H858" s="8" t="inlineStr">
        <is>
          <t>water</t>
        </is>
      </c>
      <c r="I858" s="8" t="inlineStr">
        <is>
          <t>1×1</t>
        </is>
      </c>
      <c r="J858" s="8" t="n">
        <v>1</v>
      </c>
      <c r="K858" s="8" t="n">
        <v>10</v>
      </c>
      <c r="L858" s="8" t="inlineStr">
        <is>
          <t>是</t>
        </is>
      </c>
      <c r="M858" s="9" t="inlineStr"/>
      <c r="N858" s="8" t="n">
        <v>1</v>
      </c>
      <c r="O858" s="9" t="inlineStr">
        <is>
          <t>周期触发</t>
        </is>
      </c>
      <c r="P858" s="9" t="inlineStr">
        <is>
          <t>periodicPulse</t>
        </is>
      </c>
      <c r="Q858" s="9" t="inlineStr">
        <is>
          <t>周期触发：消耗敌方 3 层寒冷，对敌方造成 12 点伤害；消耗敌方 6 层寒冷，对敌方造成 24 点伤害；消耗敌方 9 层寒冷，对敌方造成 36 点伤害；消耗敌方 12 层寒冷，对敌方造成 48 点伤害</t>
        </is>
      </c>
      <c r="R858" s="9" t="inlineStr">
        <is>
          <t>shuiyue_signature；lintinglan</t>
        </is>
      </c>
      <c r="S858" s="9" t="inlineStr">
        <is>
          <t>林听澜守桥验材所用的月白竹简，简面水纹按供材次序分栏，让来客一眼看清缺项。</t>
        </is>
      </c>
      <c r="T858" s="8" t="inlineStr">
        <is>
          <t>implement_shuiyue_lintinglan_material_register_1x1</t>
        </is>
      </c>
      <c r="U858" s="8" t="inlineStr">
        <is>
          <t>allowed</t>
        </is>
      </c>
    </row>
    <row r="859" ht="34" customHeight="1">
      <c r="A859" s="8" t="n">
        <v>858</v>
      </c>
      <c r="B859" s="8" t="n">
        <v>418061</v>
      </c>
      <c r="C859" s="8" t="inlineStr">
        <is>
          <t>问心月册</t>
        </is>
      </c>
      <c r="D859" s="8" t="inlineStr">
        <is>
          <t>法器</t>
        </is>
      </c>
      <c r="E859" s="8" t="inlineStr">
        <is>
          <t>implement</t>
        </is>
      </c>
      <c r="F859" s="8" t="inlineStr">
        <is>
          <t>spirit</t>
        </is>
      </c>
      <c r="G859" s="8" t="inlineStr">
        <is>
          <t>水</t>
        </is>
      </c>
      <c r="H859" s="8" t="inlineStr">
        <is>
          <t>water</t>
        </is>
      </c>
      <c r="I859" s="8" t="inlineStr">
        <is>
          <t>1×2</t>
        </is>
      </c>
      <c r="J859" s="8" t="n">
        <v>2</v>
      </c>
      <c r="K859" s="8" t="n">
        <v>100</v>
      </c>
      <c r="L859" s="8" t="inlineStr">
        <is>
          <t>是</t>
        </is>
      </c>
      <c r="M859" s="9" t="inlineStr"/>
      <c r="N859" s="8" t="n">
        <v>2</v>
      </c>
      <c r="O859" s="9" t="inlineStr">
        <is>
          <t>周期触发</t>
        </is>
      </c>
      <c r="P859" s="9" t="inlineStr">
        <is>
          <t>periodicPulse</t>
        </is>
      </c>
      <c r="Q859" s="9" t="inlineStr">
        <is>
          <t>周期触发：最多将 8 层露水转化为气血，每层恢复 8 点，并对敌方造成 8 点伤害；最多将 10 层露水转化为气血，每层恢复 8 点，并对敌方造成 8 点伤害；最多将 12 层露水转化为气血，每层恢复 8 点，并对敌方造成 8 点伤害；最多将 14 层露水转化为气血，每层恢复 8 点，并对敌方造成 8 点伤害 | 周期触发：获得 20 层露水；获得 26 层露水；获得 30 层露水；获得 36 层露水</t>
        </is>
      </c>
      <c r="R859" s="9" t="inlineStr">
        <is>
          <t>shuiyue_signature；shenyingyue</t>
        </is>
      </c>
      <c r="S859" s="9" t="inlineStr">
        <is>
          <t>沈映月主持问心试时翻阅的银白简册，册页只记余力、判断与失守时刻，不记一时胜负。</t>
        </is>
      </c>
      <c r="T859" s="8" t="inlineStr">
        <is>
          <t>implement_shuiyue_shenyingyue_mind_trial_register_1x2</t>
        </is>
      </c>
      <c r="U859" s="8" t="inlineStr">
        <is>
          <t>allowed</t>
        </is>
      </c>
    </row>
    <row r="860" ht="34" customHeight="1">
      <c r="A860" s="8" t="n">
        <v>859</v>
      </c>
      <c r="B860" s="8" t="n">
        <v>418062</v>
      </c>
      <c r="C860" s="8" t="inlineStr">
        <is>
          <t>镜月守神簪</t>
        </is>
      </c>
      <c r="D860" s="8" t="inlineStr">
        <is>
          <t>法器</t>
        </is>
      </c>
      <c r="E860" s="8" t="inlineStr">
        <is>
          <t>implement</t>
        </is>
      </c>
      <c r="F860" s="8" t="inlineStr">
        <is>
          <t>spirit</t>
        </is>
      </c>
      <c r="G860" s="8" t="inlineStr">
        <is>
          <t>水</t>
        </is>
      </c>
      <c r="H860" s="8" t="inlineStr">
        <is>
          <t>water</t>
        </is>
      </c>
      <c r="I860" s="8" t="inlineStr">
        <is>
          <t>1×1</t>
        </is>
      </c>
      <c r="J860" s="8" t="n">
        <v>1</v>
      </c>
      <c r="K860" s="8" t="n">
        <v>100</v>
      </c>
      <c r="L860" s="8" t="inlineStr">
        <is>
          <t>是</t>
        </is>
      </c>
      <c r="M860" s="9" t="inlineStr"/>
      <c r="N860" s="8" t="n">
        <v>1</v>
      </c>
      <c r="O860" s="9" t="inlineStr">
        <is>
          <t>周期触发</t>
        </is>
      </c>
      <c r="P860" s="9" t="inlineStr">
        <is>
          <t>periodicPulse</t>
        </is>
      </c>
      <c r="Q860" s="9" t="inlineStr">
        <is>
          <t>周期触发：消耗 4 点神识，获得 80 层护甲和 10 层闪避；消耗 4 点神识，获得 100 层护甲和 12 层闪避；消耗 4 点神识，获得 120 层护甲和 16 层闪避；消耗 4 点神识，获得 140 层护甲和 18 层闪避</t>
        </is>
      </c>
      <c r="R860" s="9" t="inlineStr">
        <is>
          <t>shuiyue_signature；shenyingyue</t>
        </is>
      </c>
      <c r="S860" s="9" t="inlineStr">
        <is>
          <t>沈映月以冷银月片炼成的守神簪，簪尾一滴镜水随心神波动明灭，提醒她始终留存余力。</t>
        </is>
      </c>
      <c r="T860" s="8" t="inlineStr">
        <is>
          <t>implement_shuiyue_shenyingyue_mind_guard_hairpin_1x1</t>
        </is>
      </c>
      <c r="U860" s="8" t="inlineStr">
        <is>
          <t>allowed</t>
        </is>
      </c>
    </row>
    <row r="861" ht="34" customHeight="1">
      <c r="A861" s="8" t="n">
        <v>860</v>
      </c>
      <c r="B861" s="8" t="n">
        <v>418063</v>
      </c>
      <c r="C861" s="8" t="inlineStr">
        <is>
          <t>铜缆灵梭</t>
        </is>
      </c>
      <c r="D861" s="8" t="inlineStr">
        <is>
          <t>法器</t>
        </is>
      </c>
      <c r="E861" s="8" t="inlineStr">
        <is>
          <t>implement</t>
        </is>
      </c>
      <c r="F861" s="8" t="inlineStr">
        <is>
          <t>common</t>
        </is>
      </c>
      <c r="G861" s="8" t="inlineStr">
        <is>
          <t>水</t>
        </is>
      </c>
      <c r="H861" s="8" t="inlineStr">
        <is>
          <t>water</t>
        </is>
      </c>
      <c r="I861" s="8" t="inlineStr">
        <is>
          <t>1×2</t>
        </is>
      </c>
      <c r="J861" s="8" t="n">
        <v>2</v>
      </c>
      <c r="K861" s="8" t="n">
        <v>12</v>
      </c>
      <c r="L861" s="8" t="inlineStr">
        <is>
          <t>是</t>
        </is>
      </c>
      <c r="M861" s="9" t="inlineStr"/>
      <c r="N861" s="8" t="n">
        <v>1</v>
      </c>
      <c r="O861" s="9" t="inlineStr">
        <is>
          <t>周期触发</t>
        </is>
      </c>
      <c r="P861" s="9" t="inlineStr">
        <is>
          <t>periodicPulse</t>
        </is>
      </c>
      <c r="Q861" s="9" t="inlineStr">
        <is>
          <t>周期触发：获得 3 层敏捷；获得 4 层敏捷；获得 5 层敏捷；获得 6 层敏捷</t>
        </is>
      </c>
      <c r="R861" s="9" t="inlineStr">
        <is>
          <t>yuxi_signature；ningxiaoman</t>
        </is>
      </c>
      <c r="S861" s="9" t="inlineStr">
        <is>
          <t>宁小满以铜缆灵梭承载其在南埠缆工弟子任上的玉溪阁技艺与责任。</t>
        </is>
      </c>
      <c r="T861" s="8" t="inlineStr">
        <is>
          <t>implement_yuxi_ningxiaoman_1_1x2</t>
        </is>
      </c>
      <c r="U861" s="8" t="inlineStr">
        <is>
          <t>allowed</t>
        </is>
      </c>
    </row>
    <row r="862" ht="34" customHeight="1">
      <c r="A862" s="8" t="n">
        <v>861</v>
      </c>
      <c r="B862" s="8" t="n">
        <v>418064</v>
      </c>
      <c r="C862" s="8" t="inlineStr">
        <is>
          <t>双叶分水桨</t>
        </is>
      </c>
      <c r="D862" s="8" t="inlineStr">
        <is>
          <t>法器</t>
        </is>
      </c>
      <c r="E862" s="8" t="inlineStr">
        <is>
          <t>implement</t>
        </is>
      </c>
      <c r="F862" s="8" t="inlineStr">
        <is>
          <t>common</t>
        </is>
      </c>
      <c r="G862" s="8" t="inlineStr">
        <is>
          <t>水</t>
        </is>
      </c>
      <c r="H862" s="8" t="inlineStr">
        <is>
          <t>water</t>
        </is>
      </c>
      <c r="I862" s="8" t="inlineStr">
        <is>
          <t>1×2</t>
        </is>
      </c>
      <c r="J862" s="8" t="n">
        <v>2</v>
      </c>
      <c r="K862" s="8" t="n">
        <v>12</v>
      </c>
      <c r="L862" s="8" t="inlineStr">
        <is>
          <t>是</t>
        </is>
      </c>
      <c r="M862" s="9" t="inlineStr"/>
      <c r="N862" s="8" t="n">
        <v>1</v>
      </c>
      <c r="O862" s="9" t="inlineStr">
        <is>
          <t>周期触发</t>
        </is>
      </c>
      <c r="P862" s="9" t="inlineStr">
        <is>
          <t>periodicPulse</t>
        </is>
      </c>
      <c r="Q862" s="9" t="inlineStr">
        <is>
          <t>周期触发：获得 2 层敏捷，造成 10 点伤害；获得 3 层敏捷，造成 12 点伤害；获得 4 层敏捷，造成 14 点伤害；获得 5 层敏捷，造成 16 点伤害</t>
        </is>
      </c>
      <c r="R862" s="9" t="inlineStr">
        <is>
          <t>yuxi_signature；hezhaolu</t>
        </is>
      </c>
      <c r="S862" s="9" t="inlineStr">
        <is>
          <t>何照橹以双叶分水桨承载其在帆运司学徒任上的玉溪阁技艺与责任。</t>
        </is>
      </c>
      <c r="T862" s="8" t="inlineStr">
        <is>
          <t>implement_yuxi_hezhaolu_1_1x2</t>
        </is>
      </c>
      <c r="U862" s="8" t="inlineStr">
        <is>
          <t>allowed</t>
        </is>
      </c>
    </row>
    <row r="863" ht="34" customHeight="1">
      <c r="A863" s="8" t="n">
        <v>862</v>
      </c>
      <c r="B863" s="8" t="n">
        <v>418065</v>
      </c>
      <c r="C863" s="8" t="inlineStr">
        <is>
          <t>水珠契算盘</t>
        </is>
      </c>
      <c r="D863" s="8" t="inlineStr">
        <is>
          <t>法器</t>
        </is>
      </c>
      <c r="E863" s="8" t="inlineStr">
        <is>
          <t>implement</t>
        </is>
      </c>
      <c r="F863" s="8" t="inlineStr">
        <is>
          <t>common</t>
        </is>
      </c>
      <c r="G863" s="8" t="inlineStr">
        <is>
          <t>水</t>
        </is>
      </c>
      <c r="H863" s="8" t="inlineStr">
        <is>
          <t>water</t>
        </is>
      </c>
      <c r="I863" s="8" t="inlineStr">
        <is>
          <t>1×2</t>
        </is>
      </c>
      <c r="J863" s="8" t="n">
        <v>2</v>
      </c>
      <c r="K863" s="8" t="n">
        <v>12</v>
      </c>
      <c r="L863" s="8" t="inlineStr">
        <is>
          <t>是</t>
        </is>
      </c>
      <c r="M863" s="9" t="inlineStr"/>
      <c r="N863" s="8" t="n">
        <v>1</v>
      </c>
      <c r="O863" s="9" t="inlineStr">
        <is>
          <t>周期触发</t>
        </is>
      </c>
      <c r="P863" s="9" t="inlineStr">
        <is>
          <t>periodicPulse</t>
        </is>
      </c>
      <c r="Q863" s="9" t="inlineStr">
        <is>
          <t>周期触发：获得 2 层凝金；获得 4 层凝金；获得 6 层凝金；获得 8 层凝金</t>
        </is>
      </c>
      <c r="R863" s="9" t="inlineStr">
        <is>
          <t>yuxi_signature；yezheqing</t>
        </is>
      </c>
      <c r="S863" s="9" t="inlineStr">
        <is>
          <t>叶折青以水珠契算盘承载其在河心集楼抄价弟子任上的玉溪阁技艺与责任。</t>
        </is>
      </c>
      <c r="T863" s="8" t="inlineStr">
        <is>
          <t>implement_yuxi_yezheqing_1_1x2</t>
        </is>
      </c>
      <c r="U863" s="8" t="inlineStr">
        <is>
          <t>allowed</t>
        </is>
      </c>
    </row>
    <row r="864" ht="34" customHeight="1">
      <c r="A864" s="8" t="n">
        <v>863</v>
      </c>
      <c r="B864" s="8" t="n">
        <v>418066</v>
      </c>
      <c r="C864" s="8" t="inlineStr">
        <is>
          <t>沉铜水冷炉轮</t>
        </is>
      </c>
      <c r="D864" s="8" t="inlineStr">
        <is>
          <t>法器</t>
        </is>
      </c>
      <c r="E864" s="8" t="inlineStr">
        <is>
          <t>implement</t>
        </is>
      </c>
      <c r="F864" s="8" t="inlineStr">
        <is>
          <t>common</t>
        </is>
      </c>
      <c r="G864" s="8" t="inlineStr">
        <is>
          <t>火</t>
        </is>
      </c>
      <c r="H864" s="8" t="inlineStr">
        <is>
          <t>fire</t>
        </is>
      </c>
      <c r="I864" s="8" t="inlineStr">
        <is>
          <t>1×2</t>
        </is>
      </c>
      <c r="J864" s="8" t="n">
        <v>2</v>
      </c>
      <c r="K864" s="8" t="n">
        <v>12</v>
      </c>
      <c r="L864" s="8" t="inlineStr">
        <is>
          <t>是</t>
        </is>
      </c>
      <c r="M864" s="9" t="inlineStr"/>
      <c r="N864" s="8" t="n">
        <v>1</v>
      </c>
      <c r="O864" s="9" t="inlineStr">
        <is>
          <t>周期触发</t>
        </is>
      </c>
      <c r="P864" s="9" t="inlineStr">
        <is>
          <t>periodicPulse</t>
        </is>
      </c>
      <c r="Q864" s="9" t="inlineStr">
        <is>
          <t>周期触发：获得 3 层炎热和 3 层护甲；获得 4 层炎热和 4 层护甲；获得 5 层炎热和 5 层护甲；获得 6 层炎热和 6 层护甲</t>
        </is>
      </c>
      <c r="R864" s="9" t="inlineStr">
        <is>
          <t>yuxi_signature；shiwengxiu</t>
        </is>
      </c>
      <c r="S864" s="9" t="inlineStr">
        <is>
          <t>石温岫以沉铜水冷炉轮承载其在温脉坊护炉弟子任上的玉溪阁技艺与责任。</t>
        </is>
      </c>
      <c r="T864" s="8" t="inlineStr">
        <is>
          <t>implement_yuxi_shiwengxiu_1_1x2</t>
        </is>
      </c>
      <c r="U864" s="8" t="inlineStr">
        <is>
          <t>allowed</t>
        </is>
      </c>
    </row>
    <row r="865" ht="34" customHeight="1">
      <c r="A865" s="8" t="n">
        <v>864</v>
      </c>
      <c r="B865" s="8" t="n">
        <v>418067</v>
      </c>
      <c r="C865" s="8" t="inlineStr">
        <is>
          <t>折叠水门盾</t>
        </is>
      </c>
      <c r="D865" s="8" t="inlineStr">
        <is>
          <t>法器</t>
        </is>
      </c>
      <c r="E865" s="8" t="inlineStr">
        <is>
          <t>implement</t>
        </is>
      </c>
      <c r="F865" s="8" t="inlineStr">
        <is>
          <t>common</t>
        </is>
      </c>
      <c r="G865" s="8" t="inlineStr">
        <is>
          <t>水</t>
        </is>
      </c>
      <c r="H865" s="8" t="inlineStr">
        <is>
          <t>water</t>
        </is>
      </c>
      <c r="I865" s="8" t="inlineStr">
        <is>
          <t>1×2</t>
        </is>
      </c>
      <c r="J865" s="8" t="n">
        <v>2</v>
      </c>
      <c r="K865" s="8" t="n">
        <v>12</v>
      </c>
      <c r="L865" s="8" t="inlineStr">
        <is>
          <t>是</t>
        </is>
      </c>
      <c r="M865" s="9" t="inlineStr"/>
      <c r="N865" s="8" t="n">
        <v>1</v>
      </c>
      <c r="O865" s="9" t="inlineStr">
        <is>
          <t>周期触发</t>
        </is>
      </c>
      <c r="P865" s="9" t="inlineStr">
        <is>
          <t>periodicPulse</t>
        </is>
      </c>
      <c r="Q865" s="9" t="inlineStr">
        <is>
          <t>周期触发：获得 4 层蓄势和 8 层护甲，并造成 20 点伤害；获得 5 层蓄势和 10 层护甲，并造成 22 点伤害；获得 6 层蓄势和 12 层护甲，并造成 24 点伤害；获得 7 层蓄势和 14 层护甲，并造成 26 点伤害</t>
        </is>
      </c>
      <c r="R865" s="9" t="inlineStr">
        <is>
          <t>yuxi_signature；menghuaijian</t>
        </is>
      </c>
      <c r="S865" s="9" t="inlineStr">
        <is>
          <t>孟怀简以折叠水门盾承载其在巡城桥哨弟子任上的玉溪阁技艺与责任。</t>
        </is>
      </c>
      <c r="T865" s="8" t="inlineStr">
        <is>
          <t>implement_yuxi_menghuaijian_1_1x2</t>
        </is>
      </c>
      <c r="U865" s="8" t="inlineStr">
        <is>
          <t>allowed</t>
        </is>
      </c>
    </row>
    <row r="866" ht="34" customHeight="1">
      <c r="A866" s="8" t="n">
        <v>865</v>
      </c>
      <c r="B866" s="8" t="n">
        <v>418068</v>
      </c>
      <c r="C866" s="8" t="inlineStr">
        <is>
          <t>紫焰照契盏</t>
        </is>
      </c>
      <c r="D866" s="8" t="inlineStr">
        <is>
          <t>法器</t>
        </is>
      </c>
      <c r="E866" s="8" t="inlineStr">
        <is>
          <t>implement</t>
        </is>
      </c>
      <c r="F866" s="8" t="inlineStr">
        <is>
          <t>common</t>
        </is>
      </c>
      <c r="G866" s="8" t="inlineStr">
        <is>
          <t>水</t>
        </is>
      </c>
      <c r="H866" s="8" t="inlineStr">
        <is>
          <t>water</t>
        </is>
      </c>
      <c r="I866" s="8" t="inlineStr">
        <is>
          <t>1×2</t>
        </is>
      </c>
      <c r="J866" s="8" t="n">
        <v>2</v>
      </c>
      <c r="K866" s="8" t="n">
        <v>12</v>
      </c>
      <c r="L866" s="8" t="inlineStr">
        <is>
          <t>是</t>
        </is>
      </c>
      <c r="M866" s="9" t="inlineStr"/>
      <c r="N866" s="8" t="n">
        <v>1</v>
      </c>
      <c r="O866" s="9" t="inlineStr">
        <is>
          <t>周期触发</t>
        </is>
      </c>
      <c r="P866" s="9" t="inlineStr">
        <is>
          <t>periodicPulse</t>
        </is>
      </c>
      <c r="Q866" s="9" t="inlineStr">
        <is>
          <t>周期触发：获得 2 层炎热；获得 3 层炎热；获得 4 层炎热；获得 5 层炎热</t>
        </is>
      </c>
      <c r="R866" s="9" t="inlineStr">
        <is>
          <t>yuxi_signature；qiulianzhan</t>
        </is>
      </c>
      <c r="S866" s="9" t="inlineStr">
        <is>
          <t>秋连盏以紫焰照契盏承载其在紫灯府执灯弟子任上的玉溪阁技艺与责任。</t>
        </is>
      </c>
      <c r="T866" s="8" t="inlineStr">
        <is>
          <t>implement_yuxi_qiulianzhan_1_1x2</t>
        </is>
      </c>
      <c r="U866" s="8" t="inlineStr">
        <is>
          <t>allowed</t>
        </is>
      </c>
    </row>
    <row r="867" ht="34" customHeight="1">
      <c r="A867" s="8" t="n">
        <v>866</v>
      </c>
      <c r="B867" s="8" t="n">
        <v>418069</v>
      </c>
      <c r="C867" s="8" t="inlineStr">
        <is>
          <t>三契条款珠</t>
        </is>
      </c>
      <c r="D867" s="8" t="inlineStr">
        <is>
          <t>法器</t>
        </is>
      </c>
      <c r="E867" s="8" t="inlineStr">
        <is>
          <t>implement</t>
        </is>
      </c>
      <c r="F867" s="8" t="inlineStr">
        <is>
          <t>common</t>
        </is>
      </c>
      <c r="G867" s="8" t="inlineStr">
        <is>
          <t>水</t>
        </is>
      </c>
      <c r="H867" s="8" t="inlineStr">
        <is>
          <t>water</t>
        </is>
      </c>
      <c r="I867" s="8" t="inlineStr">
        <is>
          <t>1×2</t>
        </is>
      </c>
      <c r="J867" s="8" t="n">
        <v>2</v>
      </c>
      <c r="K867" s="8" t="n">
        <v>12</v>
      </c>
      <c r="L867" s="8" t="inlineStr">
        <is>
          <t>是</t>
        </is>
      </c>
      <c r="M867" s="9" t="inlineStr"/>
      <c r="N867" s="8" t="n">
        <v>1</v>
      </c>
      <c r="O867" s="9" t="inlineStr">
        <is>
          <t>周期触发</t>
        </is>
      </c>
      <c r="P867" s="9" t="inlineStr">
        <is>
          <t>periodicPulse</t>
        </is>
      </c>
      <c r="Q867" s="9" t="inlineStr">
        <is>
          <t>周期触发：获得 3 层凝金；获得 5 层凝金；获得 7 层凝金；获得 9 层凝金</t>
        </is>
      </c>
      <c r="R867" s="9" t="inlineStr">
        <is>
          <t>yuxi_signature；fangyuchou</t>
        </is>
      </c>
      <c r="S867" s="9" t="inlineStr">
        <is>
          <t>方雨筹以三契条款珠承载其在河契院见习契师任上的玉溪阁技艺与责任。</t>
        </is>
      </c>
      <c r="T867" s="8" t="inlineStr">
        <is>
          <t>implement_yuxi_fangyuchou_1_1x2</t>
        </is>
      </c>
      <c r="U867" s="8" t="inlineStr">
        <is>
          <t>allowed</t>
        </is>
      </c>
    </row>
    <row r="868" ht="34" customHeight="1">
      <c r="A868" s="8" t="n">
        <v>867</v>
      </c>
      <c r="B868" s="8" t="n">
        <v>418070</v>
      </c>
      <c r="C868" s="8" t="inlineStr">
        <is>
          <t>白鳞潮针盘</t>
        </is>
      </c>
      <c r="D868" s="8" t="inlineStr">
        <is>
          <t>法器</t>
        </is>
      </c>
      <c r="E868" s="8" t="inlineStr">
        <is>
          <t>implement</t>
        </is>
      </c>
      <c r="F868" s="8" t="inlineStr">
        <is>
          <t>common</t>
        </is>
      </c>
      <c r="G868" s="8" t="inlineStr">
        <is>
          <t>水</t>
        </is>
      </c>
      <c r="H868" s="8" t="inlineStr">
        <is>
          <t>water</t>
        </is>
      </c>
      <c r="I868" s="8" t="inlineStr">
        <is>
          <t>1×2</t>
        </is>
      </c>
      <c r="J868" s="8" t="n">
        <v>2</v>
      </c>
      <c r="K868" s="8" t="n">
        <v>12</v>
      </c>
      <c r="L868" s="8" t="inlineStr">
        <is>
          <t>是</t>
        </is>
      </c>
      <c r="M868" s="9" t="inlineStr"/>
      <c r="N868" s="8" t="n">
        <v>1</v>
      </c>
      <c r="O868" s="9" t="inlineStr">
        <is>
          <t>周期触发</t>
        </is>
      </c>
      <c r="P868" s="9" t="inlineStr">
        <is>
          <t>periodicPulse</t>
        </is>
      </c>
      <c r="Q868" s="9" t="inlineStr">
        <is>
          <t>周期触发：获得 4 层露水；获得 6 层露水；获得 8 层露水；获得 10 层露水</t>
        </is>
      </c>
      <c r="R868" s="9" t="inlineStr">
        <is>
          <t>yuxi_signature；zhaowenxi</t>
        </is>
      </c>
      <c r="S868" s="9" t="inlineStr">
        <is>
          <t>赵闻汐以白鳞潮针盘承载其在镇潮塔测水弟子任上的玉溪阁技艺与责任。</t>
        </is>
      </c>
      <c r="T868" s="8" t="inlineStr">
        <is>
          <t>implement_yuxi_zhaowenxi_1_1x2</t>
        </is>
      </c>
      <c r="U868" s="8" t="inlineStr">
        <is>
          <t>allowed</t>
        </is>
      </c>
    </row>
    <row r="869" ht="34" customHeight="1">
      <c r="A869" s="8" t="n">
        <v>868</v>
      </c>
      <c r="B869" s="8" t="n">
        <v>418142</v>
      </c>
      <c r="C869" s="8" t="inlineStr">
        <is>
          <t>十二渡回澜玉衡盘</t>
        </is>
      </c>
      <c r="D869" s="8" t="inlineStr">
        <is>
          <t>法器</t>
        </is>
      </c>
      <c r="E869" s="8" t="inlineStr">
        <is>
          <t>implement</t>
        </is>
      </c>
      <c r="F869" s="8" t="inlineStr">
        <is>
          <t>earth</t>
        </is>
      </c>
      <c r="G869" s="8" t="inlineStr">
        <is>
          <t>水</t>
        </is>
      </c>
      <c r="H869" s="8" t="inlineStr">
        <is>
          <t>water</t>
        </is>
      </c>
      <c r="I869" s="8" t="inlineStr">
        <is>
          <t>2×2</t>
        </is>
      </c>
      <c r="J869" s="8" t="n">
        <v>4</v>
      </c>
      <c r="K869" s="8" t="n">
        <v>260</v>
      </c>
      <c r="L869" s="8" t="inlineStr">
        <is>
          <t>是</t>
        </is>
      </c>
      <c r="M869" s="9" t="inlineStr"/>
      <c r="N869" s="8" t="n">
        <v>3</v>
      </c>
      <c r="O869" s="9" t="inlineStr">
        <is>
          <t>周期触发</t>
        </is>
      </c>
      <c r="P869" s="9" t="inlineStr">
        <is>
          <t>periodicPulse</t>
        </is>
      </c>
      <c r="Q869" s="9" t="inlineStr">
        <is>
          <t>周期触发：消耗 6000 点法力，引十二渡总阵冲刷敌方，连续 8 次造成 18000 点伤害 | 周期触发：开局：获得 320 层露水和 180 层护甲 | 周期触发：最多将 200 层露水转化为寒冷</t>
        </is>
      </c>
      <c r="R869" s="9" t="inlineStr">
        <is>
          <t>qinghe_nascent_loadout；guchangning</t>
        </is>
      </c>
      <c r="S869" s="9" t="inlineStr">
        <is>
          <t>十二枚白玉衡标环绕澄澈水心，盘上每一道回流都对应青河宗的一处渡口。</t>
        </is>
      </c>
      <c r="T869" s="8" t="inlineStr">
        <is>
          <t>implement_qinghe_guchangning_twelve_ford_backflow_disc_2x2</t>
        </is>
      </c>
      <c r="U869" s="8" t="inlineStr">
        <is>
          <t>allowed</t>
        </is>
      </c>
    </row>
    <row r="870" ht="34" customHeight="1">
      <c r="A870" s="8" t="n">
        <v>869</v>
      </c>
      <c r="B870" s="8" t="n">
        <v>418143</v>
      </c>
      <c r="C870" s="8" t="inlineStr">
        <is>
          <t>天河定标玄尺</t>
        </is>
      </c>
      <c r="D870" s="8" t="inlineStr">
        <is>
          <t>法器</t>
        </is>
      </c>
      <c r="E870" s="8" t="inlineStr">
        <is>
          <t>implement</t>
        </is>
      </c>
      <c r="F870" s="8" t="inlineStr">
        <is>
          <t>earth</t>
        </is>
      </c>
      <c r="G870" s="8" t="inlineStr">
        <is>
          <t>水</t>
        </is>
      </c>
      <c r="H870" s="8" t="inlineStr">
        <is>
          <t>water</t>
        </is>
      </c>
      <c r="I870" s="8" t="inlineStr">
        <is>
          <t>1×3</t>
        </is>
      </c>
      <c r="J870" s="8" t="n">
        <v>3</v>
      </c>
      <c r="K870" s="8" t="n">
        <v>280</v>
      </c>
      <c r="L870" s="8" t="inlineStr">
        <is>
          <t>是</t>
        </is>
      </c>
      <c r="M870" s="9" t="inlineStr"/>
      <c r="N870" s="8" t="n">
        <v>1</v>
      </c>
      <c r="O870" s="9" t="inlineStr">
        <is>
          <t>周期触发</t>
        </is>
      </c>
      <c r="P870" s="9" t="inlineStr">
        <is>
          <t>periodicPulse</t>
        </is>
      </c>
      <c r="Q870" s="9" t="inlineStr">
        <is>
          <t>周期触发：消耗自身 12 层寒冷，对敌方造成 70 点伤害；消耗自身 12 层寒冷，对敌方造成 88 点伤害；消耗自身 12 层寒冷，对敌方造成 105 点伤害；消耗自身 12 层寒冷，对敌方造成 123 点伤害</t>
        </is>
      </c>
      <c r="R870" s="9" t="inlineStr">
        <is>
          <t>qinghe_nascent_loadout；guchangning</t>
        </is>
      </c>
      <c r="S870" s="9" t="inlineStr">
        <is>
          <t>白玉尺上十二枚衡刻依次明灭，量定的不只是水位，也是阵中生灭的界线。</t>
        </is>
      </c>
      <c r="T870" s="8" t="inlineStr">
        <is>
          <t>implement_qinghe_guchangning_heavenly_river_gauge_1x3</t>
        </is>
      </c>
      <c r="U870" s="8" t="inlineStr">
        <is>
          <t>allowed</t>
        </is>
      </c>
    </row>
    <row r="871" ht="34" customHeight="1">
      <c r="A871" s="8" t="n">
        <v>870</v>
      </c>
      <c r="B871" s="8" t="n">
        <v>418144</v>
      </c>
      <c r="C871" s="8" t="inlineStr">
        <is>
          <t>三江定流玉圭</t>
        </is>
      </c>
      <c r="D871" s="8" t="inlineStr">
        <is>
          <t>法器</t>
        </is>
      </c>
      <c r="E871" s="8" t="inlineStr">
        <is>
          <t>implement</t>
        </is>
      </c>
      <c r="F871" s="8" t="inlineStr">
        <is>
          <t>earth</t>
        </is>
      </c>
      <c r="G871" s="8" t="inlineStr">
        <is>
          <t>水</t>
        </is>
      </c>
      <c r="H871" s="8" t="inlineStr">
        <is>
          <t>water</t>
        </is>
      </c>
      <c r="I871" s="8" t="inlineStr">
        <is>
          <t>1×2</t>
        </is>
      </c>
      <c r="J871" s="8" t="n">
        <v>2</v>
      </c>
      <c r="K871" s="8" t="n">
        <v>240</v>
      </c>
      <c r="L871" s="8" t="inlineStr">
        <is>
          <t>是</t>
        </is>
      </c>
      <c r="M871" s="9" t="inlineStr"/>
      <c r="N871" s="8" t="n">
        <v>2</v>
      </c>
      <c r="O871" s="9" t="inlineStr">
        <is>
          <t>周期触发</t>
        </is>
      </c>
      <c r="P871" s="9" t="inlineStr">
        <is>
          <t>periodicPulse</t>
        </is>
      </c>
      <c r="Q871" s="9" t="inlineStr">
        <is>
          <t>周期触发：开局：获得 24 层护甲；开局：获得 30 层护甲；开局：获得 36 层护甲；开局：获得 42 层护甲 | 周期触发：将 12 层寒冷转化为 12 层坚硬；将 15 层寒冷转化为 30 层坚硬；将 18 层寒冷转化为 54 层坚硬；将 21 层寒冷转化为 84 层坚硬</t>
        </is>
      </c>
      <c r="R871" s="9" t="inlineStr">
        <is>
          <t>qinghe_nascent_loadout；guchangning</t>
        </is>
      </c>
      <c r="S871" s="9" t="inlineStr">
        <is>
          <t>三道金色河脉并入青玉水心，圭身一立，奔涌灵流便按阵序层层凝定。</t>
        </is>
      </c>
      <c r="T871" s="8" t="inlineStr">
        <is>
          <t>implement_qinghe_guchangning_three_river_jade_gui_1x2</t>
        </is>
      </c>
      <c r="U871" s="8" t="inlineStr">
        <is>
          <t>allowed</t>
        </is>
      </c>
    </row>
    <row r="872" ht="34" customHeight="1">
      <c r="A872" s="8" t="n">
        <v>871</v>
      </c>
      <c r="B872" s="8" t="n">
        <v>418145</v>
      </c>
      <c r="C872" s="8" t="inlineStr">
        <is>
          <t>万流朝宗璧</t>
        </is>
      </c>
      <c r="D872" s="8" t="inlineStr">
        <is>
          <t>法器</t>
        </is>
      </c>
      <c r="E872" s="8" t="inlineStr">
        <is>
          <t>implement</t>
        </is>
      </c>
      <c r="F872" s="8" t="inlineStr">
        <is>
          <t>earth</t>
        </is>
      </c>
      <c r="G872" s="8" t="inlineStr">
        <is>
          <t>水</t>
        </is>
      </c>
      <c r="H872" s="8" t="inlineStr">
        <is>
          <t>water</t>
        </is>
      </c>
      <c r="I872" s="8" t="inlineStr">
        <is>
          <t>2×2</t>
        </is>
      </c>
      <c r="J872" s="8" t="n">
        <v>4</v>
      </c>
      <c r="K872" s="8" t="n">
        <v>360</v>
      </c>
      <c r="L872" s="8" t="inlineStr">
        <is>
          <t>是</t>
        </is>
      </c>
      <c r="M872" s="9" t="inlineStr"/>
      <c r="N872" s="8" t="n">
        <v>4</v>
      </c>
      <c r="O872" s="9" t="inlineStr">
        <is>
          <t>被动效果；周期触发</t>
        </is>
      </c>
      <c r="P872" s="9" t="inlineStr">
        <is>
          <t>passive；periodicPulse</t>
        </is>
      </c>
      <c r="Q872" s="9" t="inlineStr">
        <is>
          <t>被动效果：露水层数上限 +24 | 被动效果：寒冷层数上限 +24 | 周期触发：开局：获得 24 层寒冷、32 层露水和 24 层护甲 | 周期触发：恢复 18 点气血和 12 点法力</t>
        </is>
      </c>
      <c r="R872" s="9" t="inlineStr">
        <is>
          <t>qinghe_nascent_loadout；guchangning</t>
        </is>
      </c>
      <c r="S872" s="9" t="inlineStr">
        <is>
          <t>十二道河脉尽归青碧水心，是顾长宁以元婴道域温养的青河宗镇山玉璧。</t>
        </is>
      </c>
      <c r="T872" s="8" t="inlineStr">
        <is>
          <t>implement_qinghe_guchangning_all_streams_jade_bi_2x2</t>
        </is>
      </c>
      <c r="U872" s="8" t="inlineStr">
        <is>
          <t>allowed</t>
        </is>
      </c>
    </row>
    <row r="873" ht="34" customHeight="1">
      <c r="A873" s="8" t="n">
        <v>872</v>
      </c>
      <c r="B873" s="8" t="n">
        <v>418146</v>
      </c>
      <c r="C873" s="8" t="inlineStr">
        <is>
          <t>沧溟贯虹针</t>
        </is>
      </c>
      <c r="D873" s="8" t="inlineStr">
        <is>
          <t>法器</t>
        </is>
      </c>
      <c r="E873" s="8" t="inlineStr">
        <is>
          <t>implement</t>
        </is>
      </c>
      <c r="F873" s="8" t="inlineStr">
        <is>
          <t>spirit</t>
        </is>
      </c>
      <c r="G873" s="8" t="inlineStr">
        <is>
          <t>水</t>
        </is>
      </c>
      <c r="H873" s="8" t="inlineStr">
        <is>
          <t>water</t>
        </is>
      </c>
      <c r="I873" s="8" t="inlineStr">
        <is>
          <t>1×1</t>
        </is>
      </c>
      <c r="J873" s="8" t="n">
        <v>1</v>
      </c>
      <c r="K873" s="8" t="n">
        <v>100</v>
      </c>
      <c r="L873" s="8" t="inlineStr">
        <is>
          <t>是</t>
        </is>
      </c>
      <c r="M873" s="9" t="inlineStr">
        <is>
          <t>bazaar；dynamicRandomReward；itemReforge</t>
        </is>
      </c>
      <c r="N873" s="8" t="n">
        <v>1</v>
      </c>
      <c r="O873" s="9" t="inlineStr">
        <is>
          <t>条件触发</t>
        </is>
      </c>
      <c r="P873" s="9" t="inlineStr">
        <is>
          <t>triggered</t>
        </is>
      </c>
      <c r="Q873" s="9" t="inlineStr">
        <is>
          <t>条件触发：使用左侧相邻武器时，消耗 1 层露水，对敌方造成 12 点伤害；使用左侧相邻武器时，消耗 1 层露水，对敌方造成 16 点伤害；使用左侧相邻武器时，消耗 1 层露水，对敌方造成 18 点伤害；使用左侧相邻武器时，消耗 1 层露水，对敌方造成 22 点伤害</t>
        </is>
      </c>
      <c r="R873" s="9" t="inlineStr"/>
      <c r="S873" s="9" t="inlineStr">
        <is>
          <t>灵玉针匣吞吐沧溟露华，针雨连成贯虹水线，转瞬洞穿敌阵。</t>
        </is>
      </c>
      <c r="T873" s="8" t="inlineStr">
        <is>
          <t>implement_azuresea_rainbow_dart_1x1</t>
        </is>
      </c>
      <c r="U873" s="8" t="inlineStr">
        <is>
          <t>allowed</t>
        </is>
      </c>
    </row>
    <row r="874" ht="34" customHeight="1">
      <c r="A874" s="8" t="n">
        <v>873</v>
      </c>
      <c r="B874" s="8" t="n">
        <v>418147</v>
      </c>
      <c r="C874" s="8" t="inlineStr">
        <is>
          <t>百川断潮剑</t>
        </is>
      </c>
      <c r="D874" s="8" t="inlineStr">
        <is>
          <t>法器</t>
        </is>
      </c>
      <c r="E874" s="8" t="inlineStr">
        <is>
          <t>implement</t>
        </is>
      </c>
      <c r="F874" s="8" t="inlineStr">
        <is>
          <t>spirit</t>
        </is>
      </c>
      <c r="G874" s="8" t="inlineStr">
        <is>
          <t>水</t>
        </is>
      </c>
      <c r="H874" s="8" t="inlineStr">
        <is>
          <t>water</t>
        </is>
      </c>
      <c r="I874" s="8" t="inlineStr">
        <is>
          <t>1×2</t>
        </is>
      </c>
      <c r="J874" s="8" t="n">
        <v>2</v>
      </c>
      <c r="K874" s="8" t="n">
        <v>120</v>
      </c>
      <c r="L874" s="8" t="inlineStr">
        <is>
          <t>是</t>
        </is>
      </c>
      <c r="M874" s="9" t="inlineStr">
        <is>
          <t>bazaar；dynamicRandomReward；itemReforge</t>
        </is>
      </c>
      <c r="N874" s="8" t="n">
        <v>1</v>
      </c>
      <c r="O874" s="9" t="inlineStr">
        <is>
          <t>条件触发</t>
        </is>
      </c>
      <c r="P874" s="9" t="inlineStr">
        <is>
          <t>triggered</t>
        </is>
      </c>
      <c r="Q874" s="9" t="inlineStr">
        <is>
          <t>条件触发：使用右侧相邻剑时，消耗 1 层露水，对敌方造成 12 点伤害；使用右侧相邻剑时，消耗 1 层露水，对敌方造成 16 点伤害；使用右侧相邻剑时，消耗 1 层露水，对敌方造成 18 点伤害；使用右侧相邻剑时，消耗 1 层露水，对敌方造成 22 点伤害</t>
        </is>
      </c>
      <c r="R874" s="9" t="inlineStr"/>
      <c r="S874" s="9" t="inlineStr">
        <is>
          <t>百川灵纹汇入剑脊，既拓宽露水承载，也能在潮满时斩出浩荡剑势。</t>
        </is>
      </c>
      <c r="T874" s="8" t="inlineStr">
        <is>
          <t>implement_hundred_rivers_tidebreaker_sword_1x2</t>
        </is>
      </c>
      <c r="U874" s="8" t="inlineStr">
        <is>
          <t>allowed</t>
        </is>
      </c>
    </row>
    <row r="875" ht="34" customHeight="1">
      <c r="A875" s="8" t="n">
        <v>874</v>
      </c>
      <c r="B875" s="8" t="n">
        <v>418148</v>
      </c>
      <c r="C875" s="8" t="inlineStr">
        <is>
          <t>雾锁蛟龙钩</t>
        </is>
      </c>
      <c r="D875" s="8" t="inlineStr">
        <is>
          <t>法器</t>
        </is>
      </c>
      <c r="E875" s="8" t="inlineStr">
        <is>
          <t>implement</t>
        </is>
      </c>
      <c r="F875" s="8" t="inlineStr">
        <is>
          <t>spirit</t>
        </is>
      </c>
      <c r="G875" s="8" t="inlineStr">
        <is>
          <t>水</t>
        </is>
      </c>
      <c r="H875" s="8" t="inlineStr">
        <is>
          <t>water</t>
        </is>
      </c>
      <c r="I875" s="8" t="inlineStr">
        <is>
          <t>1×2</t>
        </is>
      </c>
      <c r="J875" s="8" t="n">
        <v>2</v>
      </c>
      <c r="K875" s="8" t="n">
        <v>120</v>
      </c>
      <c r="L875" s="8" t="inlineStr">
        <is>
          <t>是</t>
        </is>
      </c>
      <c r="M875" s="9" t="inlineStr">
        <is>
          <t>bazaar；dynamicRandomReward；itemReforge</t>
        </is>
      </c>
      <c r="N875" s="8" t="n">
        <v>1</v>
      </c>
      <c r="O875" s="9" t="inlineStr">
        <is>
          <t>周期触发</t>
        </is>
      </c>
      <c r="P875" s="9" t="inlineStr">
        <is>
          <t>periodicPulse</t>
        </is>
      </c>
      <c r="Q875" s="9" t="inlineStr">
        <is>
          <t>周期触发：使敌方随机 2 件道具减速 4 秒；使敌方随机 2 件道具减速 5 秒；使敌方随机 2 件道具减速 6 秒；使敌方随机 2 件道具减速 7 秒</t>
        </is>
      </c>
      <c r="R875" s="9" t="inlineStr"/>
      <c r="S875" s="9" t="inlineStr">
        <is>
          <t>蛟首吞露吐雾，钩刃所指之处寒霜结锁，将敌方气机层层凝滞。</t>
        </is>
      </c>
      <c r="T875" s="8" t="inlineStr">
        <is>
          <t>implement_mistlocking_dragon_hook_1x2</t>
        </is>
      </c>
      <c r="U875" s="8" t="inlineStr">
        <is>
          <t>allowed</t>
        </is>
      </c>
    </row>
    <row r="876" ht="34" customHeight="1">
      <c r="A876" s="8" t="n">
        <v>875</v>
      </c>
      <c r="B876" s="8" t="n">
        <v>418149</v>
      </c>
      <c r="C876" s="8" t="inlineStr">
        <is>
          <t>镇海玄骨锤</t>
        </is>
      </c>
      <c r="D876" s="8" t="inlineStr">
        <is>
          <t>法器</t>
        </is>
      </c>
      <c r="E876" s="8" t="inlineStr">
        <is>
          <t>implement</t>
        </is>
      </c>
      <c r="F876" s="8" t="inlineStr">
        <is>
          <t>spirit</t>
        </is>
      </c>
      <c r="G876" s="8" t="inlineStr">
        <is>
          <t>水</t>
        </is>
      </c>
      <c r="H876" s="8" t="inlineStr">
        <is>
          <t>water</t>
        </is>
      </c>
      <c r="I876" s="8" t="inlineStr">
        <is>
          <t>2×2</t>
        </is>
      </c>
      <c r="J876" s="8" t="n">
        <v>4</v>
      </c>
      <c r="K876" s="8" t="n">
        <v>130</v>
      </c>
      <c r="L876" s="8" t="inlineStr">
        <is>
          <t>是</t>
        </is>
      </c>
      <c r="M876" s="9" t="inlineStr">
        <is>
          <t>bazaar；dynamicRandomReward；itemReforge</t>
        </is>
      </c>
      <c r="N876" s="8" t="n">
        <v>1</v>
      </c>
      <c r="O876" s="9" t="inlineStr">
        <is>
          <t>周期触发</t>
        </is>
      </c>
      <c r="P876" s="9" t="inlineStr">
        <is>
          <t>periodicPulse</t>
        </is>
      </c>
      <c r="Q876" s="9" t="inlineStr">
        <is>
          <t>周期触发：消耗 16 点法力，对敌方造成 32 点伤害，并施加 8 层冰霜；消耗 16 点法力，对敌方造成 40 点伤害，并施加 10 层冰霜；消耗 16 点法力，对敌方造成 48 点伤害，并施加 12 层冰霜；消耗 16 点法力，对敌方造成 56 点伤害，并施加 14 层冰霜</t>
        </is>
      </c>
      <c r="R876" s="9" t="inlineStr"/>
      <c r="S876" s="9" t="inlineStr">
        <is>
          <t>玄骨锤心封着一重海压，露水灌满纹路后，锤势便如深海覆身。</t>
        </is>
      </c>
      <c r="T876" s="8" t="inlineStr">
        <is>
          <t>implement_seasuppression_mystic_hammer_2x2</t>
        </is>
      </c>
      <c r="U876" s="8" t="inlineStr">
        <is>
          <t>allowed</t>
        </is>
      </c>
    </row>
    <row r="877" ht="34" customHeight="1">
      <c r="A877" s="8" t="n">
        <v>876</v>
      </c>
      <c r="B877" s="8" t="n">
        <v>418150</v>
      </c>
      <c r="C877" s="8" t="inlineStr">
        <is>
          <t>回澜照影刃</t>
        </is>
      </c>
      <c r="D877" s="8" t="inlineStr">
        <is>
          <t>法器</t>
        </is>
      </c>
      <c r="E877" s="8" t="inlineStr">
        <is>
          <t>implement</t>
        </is>
      </c>
      <c r="F877" s="8" t="inlineStr">
        <is>
          <t>spirit</t>
        </is>
      </c>
      <c r="G877" s="8" t="inlineStr">
        <is>
          <t>水</t>
        </is>
      </c>
      <c r="H877" s="8" t="inlineStr">
        <is>
          <t>water</t>
        </is>
      </c>
      <c r="I877" s="8" t="inlineStr">
        <is>
          <t>1×2</t>
        </is>
      </c>
      <c r="J877" s="8" t="n">
        <v>2</v>
      </c>
      <c r="K877" s="8" t="n">
        <v>110</v>
      </c>
      <c r="L877" s="8" t="inlineStr">
        <is>
          <t>是</t>
        </is>
      </c>
      <c r="M877" s="9" t="inlineStr">
        <is>
          <t>bazaar；dynamicRandomReward；itemReforge</t>
        </is>
      </c>
      <c r="N877" s="8" t="n">
        <v>1</v>
      </c>
      <c r="O877" s="9" t="inlineStr">
        <is>
          <t>条件触发</t>
        </is>
      </c>
      <c r="P877" s="9" t="inlineStr">
        <is>
          <t>triggered</t>
        </is>
      </c>
      <c r="Q877" s="9" t="inlineStr">
        <is>
          <t>条件触发：每当敏捷将一次体力消耗降为 0，再消耗 1 层敏捷，对敌方造成 16 点伤害；每当敏捷将一次体力消耗降为 0，再消耗 1 层敏捷，对敌方造成 20 点伤害；每当敏捷将一次体力消耗降为 0，再消耗 1 层敏捷，对敌方造成 24 点伤害；每当敏捷将一次体力消耗降为 0，再消耗 1 层敏捷，对敌方造成 28 点伤害</t>
        </is>
      </c>
      <c r="R877" s="9" t="inlineStr"/>
      <c r="S877" s="9" t="inlineStr">
        <is>
          <t>镜刃受击便映出逆卷潮影，将护身露华化作迎面而返的锋浪。</t>
        </is>
      </c>
      <c r="T877" s="8" t="inlineStr">
        <is>
          <t>implement_returning_tide_reflection_blade_1x2</t>
        </is>
      </c>
      <c r="U877" s="8" t="inlineStr">
        <is>
          <t>allowed</t>
        </is>
      </c>
    </row>
    <row r="878" ht="34" customHeight="1">
      <c r="A878" s="8" t="n">
        <v>877</v>
      </c>
      <c r="B878" s="8" t="n">
        <v>418151</v>
      </c>
      <c r="C878" s="8" t="inlineStr">
        <is>
          <t>天河破阵枪</t>
        </is>
      </c>
      <c r="D878" s="8" t="inlineStr">
        <is>
          <t>法器</t>
        </is>
      </c>
      <c r="E878" s="8" t="inlineStr">
        <is>
          <t>implement</t>
        </is>
      </c>
      <c r="F878" s="8" t="inlineStr">
        <is>
          <t>spirit</t>
        </is>
      </c>
      <c r="G878" s="8" t="inlineStr">
        <is>
          <t>水</t>
        </is>
      </c>
      <c r="H878" s="8" t="inlineStr">
        <is>
          <t>water</t>
        </is>
      </c>
      <c r="I878" s="8" t="inlineStr">
        <is>
          <t>1×3</t>
        </is>
      </c>
      <c r="J878" s="8" t="n">
        <v>3</v>
      </c>
      <c r="K878" s="8" t="n">
        <v>130</v>
      </c>
      <c r="L878" s="8" t="inlineStr">
        <is>
          <t>是</t>
        </is>
      </c>
      <c r="M878" s="9" t="inlineStr">
        <is>
          <t>bazaar；dynamicRandomReward；itemReforge</t>
        </is>
      </c>
      <c r="N878" s="8" t="n">
        <v>1</v>
      </c>
      <c r="O878" s="9" t="inlineStr">
        <is>
          <t>条件触发</t>
        </is>
      </c>
      <c r="P878" s="9" t="inlineStr">
        <is>
          <t>triggered</t>
        </is>
      </c>
      <c r="Q878" s="9" t="inlineStr">
        <is>
          <t>条件触发：阵盘变阵效果触发时，获得 24 层露水；阵盘变阵效果触发时，获得 30 层露水；阵盘变阵效果触发时，获得 36 层露水；阵盘变阵效果触发时，获得 42 层露水</t>
        </is>
      </c>
      <c r="R878" s="9" t="inlineStr"/>
      <c r="S878" s="9" t="inlineStr">
        <is>
          <t>枪身引天河露华垂落，开阵一瞬聚水成锋，以浩荡枪势贯穿前敌。</t>
        </is>
      </c>
      <c r="T878" s="8" t="inlineStr">
        <is>
          <t>implement_heavenriver_arraybreaker_spear_1x3</t>
        </is>
      </c>
      <c r="U878" s="8" t="inlineStr">
        <is>
          <t>allowed</t>
        </is>
      </c>
    </row>
    <row r="879" ht="34" customHeight="1">
      <c r="A879" s="8" t="n">
        <v>878</v>
      </c>
      <c r="B879" s="8" t="n">
        <v>418152</v>
      </c>
      <c r="C879" s="8" t="inlineStr">
        <is>
          <t>沧浪断命刀</t>
        </is>
      </c>
      <c r="D879" s="8" t="inlineStr">
        <is>
          <t>法器</t>
        </is>
      </c>
      <c r="E879" s="8" t="inlineStr">
        <is>
          <t>implement</t>
        </is>
      </c>
      <c r="F879" s="8" t="inlineStr">
        <is>
          <t>spirit</t>
        </is>
      </c>
      <c r="G879" s="8" t="inlineStr">
        <is>
          <t>水</t>
        </is>
      </c>
      <c r="H879" s="8" t="inlineStr">
        <is>
          <t>water</t>
        </is>
      </c>
      <c r="I879" s="8" t="inlineStr">
        <is>
          <t>1×2</t>
        </is>
      </c>
      <c r="J879" s="8" t="n">
        <v>2</v>
      </c>
      <c r="K879" s="8" t="n">
        <v>130</v>
      </c>
      <c r="L879" s="8" t="inlineStr">
        <is>
          <t>是</t>
        </is>
      </c>
      <c r="M879" s="9" t="inlineStr">
        <is>
          <t>bazaar；dynamicRandomReward；itemReforge</t>
        </is>
      </c>
      <c r="N879" s="8" t="n">
        <v>1</v>
      </c>
      <c r="O879" s="9" t="inlineStr">
        <is>
          <t>条件触发</t>
        </is>
      </c>
      <c r="P879" s="9" t="inlineStr">
        <is>
          <t>triggered</t>
        </is>
      </c>
      <c r="Q879" s="9" t="inlineStr">
        <is>
          <t>条件触发：使用右侧相邻武器时，消耗 2 层露水，对敌方造成 12 点伤害；使用右侧相邻武器时，消耗 2 层露水，对敌方造成 16 点伤害；使用右侧相邻武器时，消耗 2 层露水，对敌方造成 18 点伤害；使用右侧相邻武器时，消耗 2 层露水，对敌方造成 22 点伤害</t>
        </is>
      </c>
      <c r="R879" s="9" t="inlineStr"/>
      <c r="S879" s="9" t="inlineStr">
        <is>
          <t>刀中封存沧浪杀势，只在敌方气血转衰时决堤而出，一刀截断生机。</t>
        </is>
      </c>
      <c r="T879" s="8" t="inlineStr">
        <is>
          <t>implement_azurewave_lifesevering_saber_1x2</t>
        </is>
      </c>
      <c r="U879" s="8" t="inlineStr">
        <is>
          <t>allowed</t>
        </is>
      </c>
    </row>
    <row r="880" ht="34" customHeight="1">
      <c r="A880" s="8" t="n">
        <v>879</v>
      </c>
      <c r="B880" s="8" t="n">
        <v>418167</v>
      </c>
      <c r="C880" s="8" t="inlineStr">
        <is>
          <t>百草种谱</t>
        </is>
      </c>
      <c r="D880" s="8" t="inlineStr">
        <is>
          <t>法器</t>
        </is>
      </c>
      <c r="E880" s="8" t="inlineStr">
        <is>
          <t>implement</t>
        </is>
      </c>
      <c r="F880" s="8" t="inlineStr">
        <is>
          <t>common</t>
        </is>
      </c>
      <c r="G880" s="8" t="inlineStr">
        <is>
          <t>木</t>
        </is>
      </c>
      <c r="H880" s="8" t="inlineStr">
        <is>
          <t>wood</t>
        </is>
      </c>
      <c r="I880" s="8" t="inlineStr">
        <is>
          <t>1×1</t>
        </is>
      </c>
      <c r="J880" s="8" t="n">
        <v>1</v>
      </c>
      <c r="K880" s="8" t="n">
        <v>8</v>
      </c>
      <c r="L880" s="8" t="inlineStr">
        <is>
          <t>是</t>
        </is>
      </c>
      <c r="M880" s="9" t="inlineStr">
        <is>
          <t>itemReforge</t>
        </is>
      </c>
      <c r="N880" s="8" t="n">
        <v>1</v>
      </c>
      <c r="O880" s="9" t="inlineStr">
        <is>
          <t>条件触发</t>
        </is>
      </c>
      <c r="P880" s="9" t="inlineStr">
        <is>
          <t>triggered</t>
        </is>
      </c>
      <c r="Q880" s="9" t="inlineStr">
        <is>
          <t>条件触发：敌方再生不少于 30 层时，敌方每次消耗再生，对敌方造成 14 点伤害；敌方再生不少于 30 层时，敌方每次消耗再生，对敌方造成 18 点伤害；敌方再生不少于 30 层时，敌方每次消耗再生，对敌方造成 21 点伤害；敌方再生不少于 30 层时，敌方每次消耗再生，对敌方造成 25 点伤害</t>
        </is>
      </c>
      <c r="R880" s="9" t="inlineStr"/>
      <c r="S880" s="9" t="inlineStr">
        <is>
          <t>百草种谱表面的旧纹在灵光下层层显露，细看仍能辨出原主反复摩挲留下的温润痕迹。</t>
        </is>
      </c>
      <c r="T880" s="8" t="inlineStr">
        <is>
          <t>implement_yunpu-seed-register_1x1</t>
        </is>
      </c>
      <c r="U880" s="8" t="inlineStr">
        <is>
          <t>allowed</t>
        </is>
      </c>
    </row>
    <row r="881" ht="34" customHeight="1">
      <c r="A881" s="8" t="n">
        <v>880</v>
      </c>
      <c r="B881" s="8" t="n">
        <v>418168</v>
      </c>
      <c r="C881" s="8" t="inlineStr">
        <is>
          <t>听蜂竹笛</t>
        </is>
      </c>
      <c r="D881" s="8" t="inlineStr">
        <is>
          <t>法器</t>
        </is>
      </c>
      <c r="E881" s="8" t="inlineStr">
        <is>
          <t>implement</t>
        </is>
      </c>
      <c r="F881" s="8" t="inlineStr">
        <is>
          <t>common</t>
        </is>
      </c>
      <c r="G881" s="8" t="inlineStr">
        <is>
          <t>木</t>
        </is>
      </c>
      <c r="H881" s="8" t="inlineStr">
        <is>
          <t>wood</t>
        </is>
      </c>
      <c r="I881" s="8" t="inlineStr">
        <is>
          <t>1×1</t>
        </is>
      </c>
      <c r="J881" s="8" t="n">
        <v>1</v>
      </c>
      <c r="K881" s="8" t="n">
        <v>8</v>
      </c>
      <c r="L881" s="8" t="inlineStr">
        <is>
          <t>是</t>
        </is>
      </c>
      <c r="M881" s="9" t="inlineStr">
        <is>
          <t>itemReforge</t>
        </is>
      </c>
      <c r="N881" s="8" t="n">
        <v>1</v>
      </c>
      <c r="O881" s="9" t="inlineStr">
        <is>
          <t>条件触发</t>
        </is>
      </c>
      <c r="P881" s="9" t="inlineStr">
        <is>
          <t>triggered</t>
        </is>
      </c>
      <c r="Q881" s="9" t="inlineStr">
        <is>
          <t>条件触发：右侧相邻木属性符箓使用时，对敌方施加 2 层中毒；右侧相邻木属性符箓使用时，对敌方施加 3 层中毒；右侧相邻木属性符箓使用时，对敌方施加 4 层中毒；右侧相邻木属性符箓使用时，对敌方施加 5 层中毒</t>
        </is>
      </c>
      <c r="R881" s="9" t="inlineStr"/>
      <c r="S881" s="9" t="inlineStr">
        <is>
          <t>听蜂竹笛表面的旧纹在灵光下层层显露，细看仍能辨出原主反复摩挲留下的温润痕迹。</t>
        </is>
      </c>
      <c r="T881" s="8" t="inlineStr">
        <is>
          <t>implement_yunpu-bee-listening-flute_1x1</t>
        </is>
      </c>
      <c r="U881" s="8" t="inlineStr">
        <is>
          <t>allowed</t>
        </is>
      </c>
    </row>
    <row r="882" ht="34" customHeight="1">
      <c r="A882" s="8" t="n">
        <v>881</v>
      </c>
      <c r="B882" s="8" t="n">
        <v>418169</v>
      </c>
      <c r="C882" s="8" t="inlineStr">
        <is>
          <t>封蜡采药刀</t>
        </is>
      </c>
      <c r="D882" s="8" t="inlineStr">
        <is>
          <t>法器</t>
        </is>
      </c>
      <c r="E882" s="8" t="inlineStr">
        <is>
          <t>implement</t>
        </is>
      </c>
      <c r="F882" s="8" t="inlineStr">
        <is>
          <t>common</t>
        </is>
      </c>
      <c r="G882" s="8" t="inlineStr">
        <is>
          <t>木</t>
        </is>
      </c>
      <c r="H882" s="8" t="inlineStr">
        <is>
          <t>wood</t>
        </is>
      </c>
      <c r="I882" s="8" t="inlineStr">
        <is>
          <t>1×1</t>
        </is>
      </c>
      <c r="J882" s="8" t="n">
        <v>1</v>
      </c>
      <c r="K882" s="8" t="n">
        <v>8</v>
      </c>
      <c r="L882" s="8" t="inlineStr">
        <is>
          <t>是</t>
        </is>
      </c>
      <c r="M882" s="9" t="inlineStr">
        <is>
          <t>itemReforge</t>
        </is>
      </c>
      <c r="N882" s="8" t="n">
        <v>1</v>
      </c>
      <c r="O882" s="9" t="inlineStr">
        <is>
          <t>条件触发</t>
        </is>
      </c>
      <c r="P882" s="9" t="inlineStr">
        <is>
          <t>triggered</t>
        </is>
      </c>
      <c r="Q882" s="9" t="inlineStr">
        <is>
          <t>条件触发：使用相邻丹药时，对敌方施加 3 层中毒；使用相邻丹药时，对敌方施加 4 层中毒；使用相邻丹药时，对敌方施加 5 层中毒；使用相邻丹药时，对敌方施加 6 层中毒</t>
        </is>
      </c>
      <c r="R882" s="9" t="inlineStr"/>
      <c r="S882" s="9" t="inlineStr">
        <is>
          <t>封蜡采药刀表面的旧纹在灵光下层层显露，细看仍能辨出原主反复摩挲留下的温润痕迹。</t>
        </is>
      </c>
      <c r="T882" s="8" t="inlineStr">
        <is>
          <t>implement_yunpu-wax-seal-herb-knife_1x1</t>
        </is>
      </c>
      <c r="U882" s="8" t="inlineStr">
        <is>
          <t>allowed</t>
        </is>
      </c>
    </row>
    <row r="883" ht="34" customHeight="1">
      <c r="A883" s="8" t="n">
        <v>882</v>
      </c>
      <c r="B883" s="8" t="n">
        <v>418170</v>
      </c>
      <c r="C883" s="8" t="inlineStr">
        <is>
          <t>护篓藤索</t>
        </is>
      </c>
      <c r="D883" s="8" t="inlineStr">
        <is>
          <t>法器</t>
        </is>
      </c>
      <c r="E883" s="8" t="inlineStr">
        <is>
          <t>implement</t>
        </is>
      </c>
      <c r="F883" s="8" t="inlineStr">
        <is>
          <t>common</t>
        </is>
      </c>
      <c r="G883" s="8" t="inlineStr">
        <is>
          <t>木</t>
        </is>
      </c>
      <c r="H883" s="8" t="inlineStr">
        <is>
          <t>wood</t>
        </is>
      </c>
      <c r="I883" s="8" t="inlineStr">
        <is>
          <t>1×1</t>
        </is>
      </c>
      <c r="J883" s="8" t="n">
        <v>1</v>
      </c>
      <c r="K883" s="8" t="n">
        <v>8</v>
      </c>
      <c r="L883" s="8" t="inlineStr">
        <is>
          <t>是</t>
        </is>
      </c>
      <c r="M883" s="9" t="inlineStr">
        <is>
          <t>itemReforge</t>
        </is>
      </c>
      <c r="N883" s="8" t="n">
        <v>1</v>
      </c>
      <c r="O883" s="9" t="inlineStr">
        <is>
          <t>被动效果</t>
        </is>
      </c>
      <c r="P883" s="9" t="inlineStr">
        <is>
          <t>passive</t>
        </is>
      </c>
      <c r="Q883" s="9" t="inlineStr">
        <is>
          <t>被动效果：免疫所有凡品木属性符箓对己方施加的中毒</t>
        </is>
      </c>
      <c r="R883" s="9" t="inlineStr"/>
      <c r="S883" s="9" t="inlineStr">
        <is>
          <t>护篓藤索表面的旧纹在灵光下层层显露，细看仍能辨出原主反复摩挲留下的温润痕迹。</t>
        </is>
      </c>
      <c r="T883" s="8" t="inlineStr">
        <is>
          <t>implement_yunpu-basket-guard-vine-rope_1x1</t>
        </is>
      </c>
      <c r="U883" s="8" t="inlineStr">
        <is>
          <t>allowed</t>
        </is>
      </c>
    </row>
    <row r="884" ht="34" customHeight="1">
      <c r="A884" s="8" t="n">
        <v>883</v>
      </c>
      <c r="B884" s="8" t="n">
        <v>418197</v>
      </c>
      <c r="C884" s="8" t="inlineStr">
        <is>
          <t>缺尖传令剑</t>
        </is>
      </c>
      <c r="D884" s="8" t="inlineStr">
        <is>
          <t>法器</t>
        </is>
      </c>
      <c r="E884" s="8" t="inlineStr">
        <is>
          <t>implement</t>
        </is>
      </c>
      <c r="F884" s="8" t="inlineStr">
        <is>
          <t>common</t>
        </is>
      </c>
      <c r="G884" s="8" t="inlineStr">
        <is>
          <t>金</t>
        </is>
      </c>
      <c r="H884" s="8" t="inlineStr">
        <is>
          <t>metal</t>
        </is>
      </c>
      <c r="I884" s="8" t="inlineStr">
        <is>
          <t>1×1</t>
        </is>
      </c>
      <c r="J884" s="8" t="n">
        <v>1</v>
      </c>
      <c r="K884" s="8" t="n">
        <v>8</v>
      </c>
      <c r="L884" s="8" t="inlineStr">
        <is>
          <t>是</t>
        </is>
      </c>
      <c r="M884" s="9" t="inlineStr">
        <is>
          <t>itemReforge</t>
        </is>
      </c>
      <c r="N884" s="8" t="n">
        <v>1</v>
      </c>
      <c r="O884" s="9" t="inlineStr">
        <is>
          <t>条件触发</t>
        </is>
      </c>
      <c r="P884" s="9" t="inlineStr">
        <is>
          <t>triggered</t>
        </is>
      </c>
      <c r="Q884" s="9" t="inlineStr">
        <is>
          <t>条件触发：受到伤害时，获得 3 层凝金；受到伤害时，获得 6 层凝金；受到伤害时，获得 9 层凝金；受到伤害时，获得 12 层凝金</t>
        </is>
      </c>
      <c r="R884" s="9" t="inlineStr">
        <is>
          <t>mingfengwu；npc_exclusive</t>
        </is>
      </c>
      <c r="S884" s="9" t="inlineStr">
        <is>
          <t>缺尖传令剑表面的旧纹在灵光下层层显露，细看仍能辨出原主反复摩挲留下的温润痕迹。</t>
        </is>
      </c>
      <c r="T884" s="8" t="inlineStr">
        <is>
          <t>implement_mingfeng_blunt_tip_courier_sword_1x1</t>
        </is>
      </c>
      <c r="U884" s="8" t="inlineStr">
        <is>
          <t>allowed</t>
        </is>
      </c>
    </row>
    <row r="885" ht="34" customHeight="1">
      <c r="A885" s="8" t="n">
        <v>884</v>
      </c>
      <c r="B885" s="8" t="n">
        <v>418198</v>
      </c>
      <c r="C885" s="8" t="inlineStr">
        <is>
          <t>学徒鸣锤</t>
        </is>
      </c>
      <c r="D885" s="8" t="inlineStr">
        <is>
          <t>法器</t>
        </is>
      </c>
      <c r="E885" s="8" t="inlineStr">
        <is>
          <t>implement</t>
        </is>
      </c>
      <c r="F885" s="8" t="inlineStr">
        <is>
          <t>common</t>
        </is>
      </c>
      <c r="G885" s="8" t="inlineStr">
        <is>
          <t>金</t>
        </is>
      </c>
      <c r="H885" s="8" t="inlineStr">
        <is>
          <t>metal</t>
        </is>
      </c>
      <c r="I885" s="8" t="inlineStr">
        <is>
          <t>1×1</t>
        </is>
      </c>
      <c r="J885" s="8" t="n">
        <v>1</v>
      </c>
      <c r="K885" s="8" t="n">
        <v>8</v>
      </c>
      <c r="L885" s="8" t="inlineStr">
        <is>
          <t>是</t>
        </is>
      </c>
      <c r="M885" s="9" t="inlineStr">
        <is>
          <t>itemReforge</t>
        </is>
      </c>
      <c r="N885" s="8" t="n">
        <v>1</v>
      </c>
      <c r="O885" s="9" t="inlineStr">
        <is>
          <t>周期触发</t>
        </is>
      </c>
      <c r="P885" s="9" t="inlineStr">
        <is>
          <t>periodicPulse</t>
        </is>
      </c>
      <c r="Q885" s="9" t="inlineStr">
        <is>
          <t>周期触发：所在横列连续至少 3 件金属性法器时，获得 5 层凝金；所在横列连续至少 3 件金属性法器时，获得 6 层凝金；所在横列连续至少 3 件金属性法器时，获得 8 层凝金；所在横列连续至少 3 件金属性法器时，获得 9 层凝金</t>
        </is>
      </c>
      <c r="R885" s="9" t="inlineStr">
        <is>
          <t>mingfengwu；npc_exclusive</t>
        </is>
      </c>
      <c r="S885" s="9" t="inlineStr">
        <is>
          <t>学徒鸣锤表面的旧纹在灵光下层层显露，细看仍能辨出原主反复摩挲留下的温润痕迹。</t>
        </is>
      </c>
      <c r="T885" s="8" t="inlineStr">
        <is>
          <t>implement_mingfeng_apprentice_ringing_hammer_1x1</t>
        </is>
      </c>
      <c r="U885" s="8" t="inlineStr">
        <is>
          <t>allowed</t>
        </is>
      </c>
    </row>
    <row r="886" ht="34" customHeight="1">
      <c r="A886" s="8" t="n">
        <v>885</v>
      </c>
      <c r="B886" s="8" t="n">
        <v>419001</v>
      </c>
      <c r="C886" s="8" t="inlineStr">
        <is>
          <t>凝息铜漏</t>
        </is>
      </c>
      <c r="D886" s="8" t="inlineStr">
        <is>
          <t>法器</t>
        </is>
      </c>
      <c r="E886" s="8" t="inlineStr">
        <is>
          <t>implement</t>
        </is>
      </c>
      <c r="F886" s="8" t="inlineStr">
        <is>
          <t>spirit</t>
        </is>
      </c>
      <c r="G886" s="8" t="inlineStr">
        <is>
          <t>无</t>
        </is>
      </c>
      <c r="H886" s="8" t="inlineStr">
        <is>
          <t>none</t>
        </is>
      </c>
      <c r="I886" s="8" t="inlineStr">
        <is>
          <t>1×2</t>
        </is>
      </c>
      <c r="J886" s="8" t="n">
        <v>2</v>
      </c>
      <c r="K886" s="8" t="n">
        <v>100</v>
      </c>
      <c r="L886" s="8" t="inlineStr">
        <is>
          <t>是</t>
        </is>
      </c>
      <c r="M886" s="9" t="inlineStr">
        <is>
          <t>bazaar</t>
        </is>
      </c>
      <c r="N886" s="8" t="n">
        <v>1</v>
      </c>
      <c r="O886" s="9" t="inlineStr">
        <is>
          <t>条件触发</t>
        </is>
      </c>
      <c r="P886" s="9" t="inlineStr">
        <is>
          <t>triggered</t>
        </is>
      </c>
      <c r="Q886" s="9" t="inlineStr">
        <is>
          <t>条件触发：无属性招式释放时，使敌方随机一件凡品道具冻结 1 秒；无属性招式释放时，使敌方随机一件凡品道具冻结 2 秒；无属性招式释放时，使敌方随机一件凡品道具冻结 3 秒；无属性招式释放时，使敌方随机一件凡品道具冻结 4 秒</t>
        </is>
      </c>
      <c r="R886" s="9" t="inlineStr"/>
      <c r="S886" s="9" t="inlineStr">
        <is>
          <t>双囊铜漏以古法校平，每一滴细砂落下时，器壁都会传出极轻的回响。</t>
        </is>
      </c>
      <c r="T886" s="8" t="inlineStr">
        <is>
          <t>implement_spirit100_a01_breath_timing_copper_clepsydra_1x2</t>
        </is>
      </c>
      <c r="U886" s="8" t="inlineStr">
        <is>
          <t>allowed</t>
        </is>
      </c>
    </row>
    <row r="887" ht="34" customHeight="1">
      <c r="A887" s="8" t="n">
        <v>886</v>
      </c>
      <c r="B887" s="8" t="n">
        <v>419002</v>
      </c>
      <c r="C887" s="8" t="inlineStr">
        <is>
          <t>引焰风箱</t>
        </is>
      </c>
      <c r="D887" s="8" t="inlineStr">
        <is>
          <t>法器</t>
        </is>
      </c>
      <c r="E887" s="8" t="inlineStr">
        <is>
          <t>implement</t>
        </is>
      </c>
      <c r="F887" s="8" t="inlineStr">
        <is>
          <t>spirit</t>
        </is>
      </c>
      <c r="G887" s="8" t="inlineStr">
        <is>
          <t>火</t>
        </is>
      </c>
      <c r="H887" s="8" t="inlineStr">
        <is>
          <t>fire</t>
        </is>
      </c>
      <c r="I887" s="8" t="inlineStr">
        <is>
          <t>2×1</t>
        </is>
      </c>
      <c r="J887" s="8" t="n">
        <v>2</v>
      </c>
      <c r="K887" s="8" t="n">
        <v>100</v>
      </c>
      <c r="L887" s="8" t="inlineStr">
        <is>
          <t>是</t>
        </is>
      </c>
      <c r="M887" s="9" t="inlineStr">
        <is>
          <t>bazaar</t>
        </is>
      </c>
      <c r="N887" s="8" t="n">
        <v>1</v>
      </c>
      <c r="O887" s="9" t="inlineStr">
        <is>
          <t>条件触发</t>
        </is>
      </c>
      <c r="P887" s="9" t="inlineStr">
        <is>
          <t>triggered</t>
        </is>
      </c>
      <c r="Q887" s="9" t="inlineStr">
        <is>
          <t>条件触发：敌方炎热不少于 25 层时，敌方每次消耗炎热，对敌方造成 28 点伤害；敌方炎热不少于 50 层时，敌方每次消耗炎热，对敌方造成 36 点伤害；敌方炎热不少于 50 层时，敌方每次消耗炎热，对敌方造成 42 点伤害；敌方炎热不少于 50 层时，敌方每次消耗炎热，对敌方造成 50 点伤害</t>
        </is>
      </c>
      <c r="R887" s="9" t="inlineStr"/>
      <c r="S887" s="9" t="inlineStr">
        <is>
          <t>赤铜包边护住层叠箱腹，旧木推柄上留着常年控火磨出的温润光泽。</t>
        </is>
      </c>
      <c r="T887" s="8" t="inlineStr">
        <is>
          <t>implement_spirit100_a02_flame_guiding_bellows_2x1</t>
        </is>
      </c>
      <c r="U887" s="8" t="inlineStr">
        <is>
          <t>allowed</t>
        </is>
      </c>
    </row>
    <row r="888" ht="34" customHeight="1">
      <c r="A888" s="8" t="n">
        <v>887</v>
      </c>
      <c r="B888" s="8" t="n">
        <v>419003</v>
      </c>
      <c r="C888" s="8" t="inlineStr">
        <is>
          <t>涤尘水盂</t>
        </is>
      </c>
      <c r="D888" s="8" t="inlineStr">
        <is>
          <t>法器</t>
        </is>
      </c>
      <c r="E888" s="8" t="inlineStr">
        <is>
          <t>implement</t>
        </is>
      </c>
      <c r="F888" s="8" t="inlineStr">
        <is>
          <t>spirit</t>
        </is>
      </c>
      <c r="G888" s="8" t="inlineStr">
        <is>
          <t>水</t>
        </is>
      </c>
      <c r="H888" s="8" t="inlineStr">
        <is>
          <t>water</t>
        </is>
      </c>
      <c r="I888" s="8" t="inlineStr">
        <is>
          <t>2×1</t>
        </is>
      </c>
      <c r="J888" s="8" t="n">
        <v>2</v>
      </c>
      <c r="K888" s="8" t="n">
        <v>100</v>
      </c>
      <c r="L888" s="8" t="inlineStr">
        <is>
          <t>是</t>
        </is>
      </c>
      <c r="M888" s="9" t="inlineStr">
        <is>
          <t>bazaar</t>
        </is>
      </c>
      <c r="N888" s="8" t="n">
        <v>1</v>
      </c>
      <c r="O888" s="9" t="inlineStr">
        <is>
          <t>被动效果</t>
        </is>
      </c>
      <c r="P888" s="9" t="inlineStr">
        <is>
          <t>passive</t>
        </is>
      </c>
      <c r="Q888" s="9" t="inlineStr">
        <is>
          <t>被动效果：露水自然消散时不再恢复属性，改为转化为等量护甲；露水自然消散时不再恢复属性，改为转化为 125% 的护甲；露水自然消散时不再恢复属性，改为转化为 150% 的护甲；露水自然消散时不再恢复属性，改为转化为 175% 的护甲</t>
        </is>
      </c>
      <c r="R888" s="9" t="inlineStr"/>
      <c r="S888" s="9" t="inlineStr">
        <is>
          <t>青白瓷胎温润如初雨，莲瓣合盖间常有清凉水意缓缓凝聚。</t>
        </is>
      </c>
      <c r="T888" s="8" t="inlineStr">
        <is>
          <t>implement_spirit100_a03_dust_cleansing_water_bowl_2x1</t>
        </is>
      </c>
      <c r="U888" s="8" t="inlineStr">
        <is>
          <t>allowed</t>
        </is>
      </c>
    </row>
    <row r="889" ht="34" customHeight="1">
      <c r="A889" s="8" t="n">
        <v>888</v>
      </c>
      <c r="B889" s="8" t="n">
        <v>419004</v>
      </c>
      <c r="C889" s="8" t="inlineStr">
        <is>
          <t>藏锋剑匣</t>
        </is>
      </c>
      <c r="D889" s="8" t="inlineStr">
        <is>
          <t>法器</t>
        </is>
      </c>
      <c r="E889" s="8" t="inlineStr">
        <is>
          <t>implement</t>
        </is>
      </c>
      <c r="F889" s="8" t="inlineStr">
        <is>
          <t>spirit</t>
        </is>
      </c>
      <c r="G889" s="8" t="inlineStr">
        <is>
          <t>金</t>
        </is>
      </c>
      <c r="H889" s="8" t="inlineStr">
        <is>
          <t>metal</t>
        </is>
      </c>
      <c r="I889" s="8" t="inlineStr">
        <is>
          <t>3×1</t>
        </is>
      </c>
      <c r="J889" s="8" t="n">
        <v>3</v>
      </c>
      <c r="K889" s="8" t="n">
        <v>100</v>
      </c>
      <c r="L889" s="8" t="inlineStr">
        <is>
          <t>是</t>
        </is>
      </c>
      <c r="M889" s="9" t="inlineStr">
        <is>
          <t>bazaar</t>
        </is>
      </c>
      <c r="N889" s="8" t="n">
        <v>2</v>
      </c>
      <c r="O889" s="9" t="inlineStr">
        <is>
          <t>周期触发</t>
        </is>
      </c>
      <c r="P889" s="9" t="inlineStr">
        <is>
          <t>periodicPulse</t>
        </is>
      </c>
      <c r="Q889" s="9" t="inlineStr">
        <is>
          <t>周期触发：使左侧相邻的剑在本局内造成的伤害 +8，灵力：5；使左侧相邻的剑在本局内造成的伤害 +10，灵力：5；使左侧相邻的剑在本局内造成的伤害 +12，灵力：5；使左侧相邻的剑在本局内造成的伤害 +14，灵力：5 | 周期触发：使右侧相邻的剑在本局内造成的伤害 +8，灵力：5；使右侧相邻的剑在本局内造成的伤害 +10，灵力：5；使右侧相邻的剑在本局内造成的伤害 +12，灵力：5；使右侧相邻的剑在本局内造成的伤害 +14，灵力：5</t>
        </is>
      </c>
      <c r="R889" s="9" t="inlineStr"/>
      <c r="S889" s="9" t="inlineStr">
        <is>
          <t>乌木匣盖压得严丝合缝，银扣之下只余一道沉静冷冽的金铁气息。</t>
        </is>
      </c>
      <c r="T889" s="8" t="inlineStr">
        <is>
          <t>implement_spirit100_a04_edge_hiding_sword_case_3x1</t>
        </is>
      </c>
      <c r="U889" s="8" t="inlineStr">
        <is>
          <t>allowed</t>
        </is>
      </c>
    </row>
    <row r="890" ht="34" customHeight="1">
      <c r="A890" s="8" t="n">
        <v>889</v>
      </c>
      <c r="B890" s="8" t="n">
        <v>419005</v>
      </c>
      <c r="C890" s="8" t="inlineStr">
        <is>
          <t>青藤药篓</t>
        </is>
      </c>
      <c r="D890" s="8" t="inlineStr">
        <is>
          <t>法器</t>
        </is>
      </c>
      <c r="E890" s="8" t="inlineStr">
        <is>
          <t>implement</t>
        </is>
      </c>
      <c r="F890" s="8" t="inlineStr">
        <is>
          <t>spirit</t>
        </is>
      </c>
      <c r="G890" s="8" t="inlineStr">
        <is>
          <t>木</t>
        </is>
      </c>
      <c r="H890" s="8" t="inlineStr">
        <is>
          <t>wood</t>
        </is>
      </c>
      <c r="I890" s="8" t="inlineStr">
        <is>
          <t>2×2</t>
        </is>
      </c>
      <c r="J890" s="8" t="n">
        <v>4</v>
      </c>
      <c r="K890" s="8" t="n">
        <v>100</v>
      </c>
      <c r="L890" s="8" t="inlineStr">
        <is>
          <t>是</t>
        </is>
      </c>
      <c r="M890" s="9" t="inlineStr">
        <is>
          <t>bazaar</t>
        </is>
      </c>
      <c r="N890" s="8" t="n">
        <v>1</v>
      </c>
      <c r="O890" s="9" t="inlineStr">
        <is>
          <t>条件触发</t>
        </is>
      </c>
      <c r="P890" s="9" t="inlineStr">
        <is>
          <t>triggered</t>
        </is>
      </c>
      <c r="Q890" s="9" t="inlineStr">
        <is>
          <t>条件触发：充能：累计使用 2 张木属性符箓时，最多消耗自身 12 层中毒，最多获得 20 层再生；充能：累计使用 2 张木属性符箓时，最多消耗自身 12 层中毒，最多获得 26 层再生；充能：累计使用 2 张木属性符箓时，最多消耗自身 12 层中毒，最多获得 30 层再生；充能：累计使用 2 张木属性符箓时，最多消耗自身 12 层中毒，最多获得 36 层再生</t>
        </is>
      </c>
      <c r="R890" s="9" t="inlineStr"/>
      <c r="S890" s="9" t="inlineStr">
        <is>
          <t>染青藤条层层交错，篓中隔板仍带着山野晨露与百草混合的淡香。</t>
        </is>
      </c>
      <c r="T890" s="8" t="inlineStr">
        <is>
          <t>implement_spirit100_a05_azure_vine_herb_basket_2x2</t>
        </is>
      </c>
      <c r="U890" s="8" t="inlineStr">
        <is>
          <t>allowed</t>
        </is>
      </c>
    </row>
    <row r="891" ht="34" customHeight="1">
      <c r="A891" s="8" t="n">
        <v>890</v>
      </c>
      <c r="B891" s="8" t="n">
        <v>419006</v>
      </c>
      <c r="C891" s="8" t="inlineStr">
        <is>
          <t>镇脉石枕</t>
        </is>
      </c>
      <c r="D891" s="8" t="inlineStr">
        <is>
          <t>法器</t>
        </is>
      </c>
      <c r="E891" s="8" t="inlineStr">
        <is>
          <t>implement</t>
        </is>
      </c>
      <c r="F891" s="8" t="inlineStr">
        <is>
          <t>spirit</t>
        </is>
      </c>
      <c r="G891" s="8" t="inlineStr">
        <is>
          <t>土</t>
        </is>
      </c>
      <c r="H891" s="8" t="inlineStr">
        <is>
          <t>earth</t>
        </is>
      </c>
      <c r="I891" s="8" t="inlineStr">
        <is>
          <t>2×1</t>
        </is>
      </c>
      <c r="J891" s="8" t="n">
        <v>2</v>
      </c>
      <c r="K891" s="8" t="n">
        <v>100</v>
      </c>
      <c r="L891" s="8" t="inlineStr">
        <is>
          <t>是</t>
        </is>
      </c>
      <c r="M891" s="9" t="inlineStr">
        <is>
          <t>bazaar</t>
        </is>
      </c>
      <c r="N891" s="8" t="n">
        <v>1</v>
      </c>
      <c r="O891" s="9" t="inlineStr">
        <is>
          <t>条件触发</t>
        </is>
      </c>
      <c r="P891" s="9" t="inlineStr">
        <is>
          <t>triggered</t>
        </is>
      </c>
      <c r="Q891" s="9" t="inlineStr">
        <is>
          <t>条件触发：相邻正好 4 件土属性道具时，每当获得坚硬，获得 10 层护甲；相邻正好 4 件土属性道具时，每当获得坚硬，获得 12 层护甲；相邻正好 4 件土属性道具时，每当获得坚硬，获得 16 层护甲；相邻正好 4 件土属性道具时，每当获得坚硬，获得 18 层护甲</t>
        </is>
      </c>
      <c r="R891" s="9" t="inlineStr"/>
      <c r="S891" s="9" t="inlineStr">
        <is>
          <t>赭石枕面雕着重叠山脊，触手微温，久置案头也不染浮尘。</t>
        </is>
      </c>
      <c r="T891" s="8" t="inlineStr">
        <is>
          <t>implement_spirit100_a06_meridian_settling_stone_pillow_2x1</t>
        </is>
      </c>
      <c r="U891" s="8" t="inlineStr">
        <is>
          <t>allowed</t>
        </is>
      </c>
    </row>
    <row r="892" ht="34" customHeight="1">
      <c r="A892" s="8" t="n">
        <v>891</v>
      </c>
      <c r="B892" s="8" t="n">
        <v>419007</v>
      </c>
      <c r="C892" s="8" t="inlineStr">
        <is>
          <t>听雷铜筒</t>
        </is>
      </c>
      <c r="D892" s="8" t="inlineStr">
        <is>
          <t>法器</t>
        </is>
      </c>
      <c r="E892" s="8" t="inlineStr">
        <is>
          <t>implement</t>
        </is>
      </c>
      <c r="F892" s="8" t="inlineStr">
        <is>
          <t>spirit</t>
        </is>
      </c>
      <c r="G892" s="8" t="inlineStr">
        <is>
          <t>雷</t>
        </is>
      </c>
      <c r="H892" s="8" t="inlineStr">
        <is>
          <t>thunder</t>
        </is>
      </c>
      <c r="I892" s="8" t="inlineStr">
        <is>
          <t>1×2</t>
        </is>
      </c>
      <c r="J892" s="8" t="n">
        <v>2</v>
      </c>
      <c r="K892" s="8" t="n">
        <v>100</v>
      </c>
      <c r="L892" s="8" t="inlineStr">
        <is>
          <t>是</t>
        </is>
      </c>
      <c r="M892" s="9" t="inlineStr">
        <is>
          <t>bazaar</t>
        </is>
      </c>
      <c r="N892" s="8" t="n">
        <v>1</v>
      </c>
      <c r="O892" s="9" t="inlineStr">
        <is>
          <t>周期触发</t>
        </is>
      </c>
      <c r="P892" s="9" t="inlineStr">
        <is>
          <t>periodicPulse</t>
        </is>
      </c>
      <c r="Q892" s="9" t="inlineStr">
        <is>
          <t>周期触发：对敌方施加 10 层麻痹；对敌方施加 12 层麻痹；对敌方施加 16 层麻痹；对敌方施加 18 层麻痹</t>
        </is>
      </c>
      <c r="R892" s="9" t="inlineStr"/>
      <c r="S892" s="9" t="inlineStr">
        <is>
          <t>深紫铜筒收着细密折纹，雨云低垂时，筒腹会先一步发出嗡鸣。</t>
        </is>
      </c>
      <c r="T892" s="8" t="inlineStr">
        <is>
          <t>implement_spirit100_a07_thunder_listening_copper_tube_1x2</t>
        </is>
      </c>
      <c r="U892" s="8" t="inlineStr">
        <is>
          <t>allowed</t>
        </is>
      </c>
    </row>
    <row r="893" ht="34" customHeight="1">
      <c r="A893" s="8" t="n">
        <v>892</v>
      </c>
      <c r="B893" s="8" t="n">
        <v>419008</v>
      </c>
      <c r="C893" s="8" t="inlineStr">
        <is>
          <t>霜纹砚台</t>
        </is>
      </c>
      <c r="D893" s="8" t="inlineStr">
        <is>
          <t>法器</t>
        </is>
      </c>
      <c r="E893" s="8" t="inlineStr">
        <is>
          <t>implement</t>
        </is>
      </c>
      <c r="F893" s="8" t="inlineStr">
        <is>
          <t>spirit</t>
        </is>
      </c>
      <c r="G893" s="8" t="inlineStr">
        <is>
          <t>冰</t>
        </is>
      </c>
      <c r="H893" s="8" t="inlineStr">
        <is>
          <t>ice</t>
        </is>
      </c>
      <c r="I893" s="8" t="inlineStr">
        <is>
          <t>2×1</t>
        </is>
      </c>
      <c r="J893" s="8" t="n">
        <v>2</v>
      </c>
      <c r="K893" s="8" t="n">
        <v>100</v>
      </c>
      <c r="L893" s="8" t="inlineStr">
        <is>
          <t>是</t>
        </is>
      </c>
      <c r="M893" s="9" t="inlineStr">
        <is>
          <t>bazaar</t>
        </is>
      </c>
      <c r="N893" s="8" t="n">
        <v>1</v>
      </c>
      <c r="O893" s="9" t="inlineStr">
        <is>
          <t>条件触发</t>
        </is>
      </c>
      <c r="P893" s="9" t="inlineStr">
        <is>
          <t>triggered</t>
        </is>
      </c>
      <c r="Q893" s="9" t="inlineStr">
        <is>
          <t>条件触发：冰属性招式释放时，使敌方随机 2 件凡品道具冻结 2 秒；冰属性招式释放时，使敌方随机 2 件凡品道具冻结 3 秒；冰属性招式释放时，使敌方随机 2 件凡品道具冻结 4 秒；冰属性招式释放时，使敌方随机 2 件凡品道具冻结 5 秒</t>
        </is>
      </c>
      <c r="R893" s="9" t="inlineStr"/>
      <c r="S893" s="9" t="inlineStr">
        <is>
          <t>靛蓝砚石上天然结着银白纹路，磨墨坡常年保持着清冽凉意。</t>
        </is>
      </c>
      <c r="T893" s="8" t="inlineStr">
        <is>
          <t>implement_spirit100_a08_frost_pattern_inkstone_2x1</t>
        </is>
      </c>
      <c r="U893" s="8" t="inlineStr">
        <is>
          <t>allowed</t>
        </is>
      </c>
    </row>
    <row r="894" ht="34" customHeight="1">
      <c r="A894" s="8" t="n">
        <v>893</v>
      </c>
      <c r="B894" s="8" t="n">
        <v>419009</v>
      </c>
      <c r="C894" s="8" t="inlineStr">
        <is>
          <t>驭风纸鸢</t>
        </is>
      </c>
      <c r="D894" s="8" t="inlineStr">
        <is>
          <t>法器</t>
        </is>
      </c>
      <c r="E894" s="8" t="inlineStr">
        <is>
          <t>implement</t>
        </is>
      </c>
      <c r="F894" s="8" t="inlineStr">
        <is>
          <t>spirit</t>
        </is>
      </c>
      <c r="G894" s="8" t="inlineStr">
        <is>
          <t>风</t>
        </is>
      </c>
      <c r="H894" s="8" t="inlineStr">
        <is>
          <t>wind</t>
        </is>
      </c>
      <c r="I894" s="8" t="inlineStr">
        <is>
          <t>2×2</t>
        </is>
      </c>
      <c r="J894" s="8" t="n">
        <v>4</v>
      </c>
      <c r="K894" s="8" t="n">
        <v>100</v>
      </c>
      <c r="L894" s="8" t="inlineStr">
        <is>
          <t>是</t>
        </is>
      </c>
      <c r="M894" s="9" t="inlineStr">
        <is>
          <t>bazaar</t>
        </is>
      </c>
      <c r="N894" s="8" t="n">
        <v>1</v>
      </c>
      <c r="O894" s="9" t="inlineStr">
        <is>
          <t>被动效果</t>
        </is>
      </c>
      <c r="P894" s="9" t="inlineStr">
        <is>
          <t>passive</t>
        </is>
      </c>
      <c r="Q894" s="9" t="inlineStr">
        <is>
          <t>被动效果：敏捷层数上限 +3，与大境界高于自己的不同敌人战斗并成功逃离后效果升级。；敏捷层数上限；敏捷层数上限 +4，与大境界高于自己的不同敌人战斗并成功逃离后效果升级。；敏捷层数上限 +5，与大境界高于自己的不同敌人战斗并成功逃离后效果升级。；敏捷层数上限 +6，与大境界高于自己的不同敌人战斗并成功逃离后效果升级。</t>
        </is>
      </c>
      <c r="R894" s="9" t="inlineStr"/>
      <c r="S894" s="9" t="inlineStr">
        <is>
          <t>靛纸绷在细竹骨上，收拢尾翼仍会随最轻微的气流悄然颤动。</t>
        </is>
      </c>
      <c r="T894" s="8" t="inlineStr">
        <is>
          <t>implement_spirit100_a09_wind_guiding_kite_2x2</t>
        </is>
      </c>
      <c r="U894" s="8" t="inlineStr">
        <is>
          <t>allowed</t>
        </is>
      </c>
    </row>
    <row r="895" ht="34" customHeight="1">
      <c r="A895" s="8" t="n">
        <v>894</v>
      </c>
      <c r="B895" s="8" t="n">
        <v>419010</v>
      </c>
      <c r="C895" s="8" t="inlineStr">
        <is>
          <t>辟瘴香炉</t>
        </is>
      </c>
      <c r="D895" s="8" t="inlineStr">
        <is>
          <t>法器</t>
        </is>
      </c>
      <c r="E895" s="8" t="inlineStr">
        <is>
          <t>implement</t>
        </is>
      </c>
      <c r="F895" s="8" t="inlineStr">
        <is>
          <t>spirit</t>
        </is>
      </c>
      <c r="G895" s="8" t="inlineStr">
        <is>
          <t>poison</t>
        </is>
      </c>
      <c r="H895" s="8" t="inlineStr">
        <is>
          <t>poison</t>
        </is>
      </c>
      <c r="I895" s="8" t="inlineStr">
        <is>
          <t>2×2</t>
        </is>
      </c>
      <c r="J895" s="8" t="n">
        <v>4</v>
      </c>
      <c r="K895" s="8" t="n">
        <v>100</v>
      </c>
      <c r="L895" s="8" t="inlineStr">
        <is>
          <t>是</t>
        </is>
      </c>
      <c r="M895" s="9" t="inlineStr">
        <is>
          <t>bazaar</t>
        </is>
      </c>
      <c r="N895" s="8" t="n">
        <v>1</v>
      </c>
      <c r="O895" s="9" t="inlineStr">
        <is>
          <t>条件触发</t>
        </is>
      </c>
      <c r="P895" s="9" t="inlineStr">
        <is>
          <t>triggered</t>
        </is>
      </c>
      <c r="Q895" s="9" t="inlineStr">
        <is>
          <t>条件触发：每次获得中毒时，恢复 16 点法力；每次获得中毒时，恢复 20 点法力；每次获得中毒时，恢复 24 点法力；每次获得中毒时，恢复 28 点法力</t>
        </is>
      </c>
      <c r="R895" s="9" t="inlineStr"/>
      <c r="S895" s="9" t="inlineStr">
        <is>
          <t>紫铜炉盖密布细孔，深色防蚀纹沿三足盘绕，带着苦辛草木的余香。</t>
        </is>
      </c>
      <c r="T895" s="8" t="inlineStr">
        <is>
          <t>implement_spirit100_a10_miasma_warding_incense_burner_2x2</t>
        </is>
      </c>
      <c r="U895" s="8" t="inlineStr">
        <is>
          <t>allowed</t>
        </is>
      </c>
    </row>
    <row r="896" ht="34" customHeight="1">
      <c r="A896" s="8" t="n">
        <v>895</v>
      </c>
      <c r="B896" s="8" t="n">
        <v>419011</v>
      </c>
      <c r="C896" s="8" t="inlineStr">
        <is>
          <t>定星罗盘</t>
        </is>
      </c>
      <c r="D896" s="8" t="inlineStr">
        <is>
          <t>法器</t>
        </is>
      </c>
      <c r="E896" s="8" t="inlineStr">
        <is>
          <t>implement</t>
        </is>
      </c>
      <c r="F896" s="8" t="inlineStr">
        <is>
          <t>spirit</t>
        </is>
      </c>
      <c r="G896" s="8" t="inlineStr">
        <is>
          <t>无</t>
        </is>
      </c>
      <c r="H896" s="8" t="inlineStr">
        <is>
          <t>none</t>
        </is>
      </c>
      <c r="I896" s="8" t="inlineStr">
        <is>
          <t>2×2</t>
        </is>
      </c>
      <c r="J896" s="8" t="n">
        <v>4</v>
      </c>
      <c r="K896" s="8" t="n">
        <v>100</v>
      </c>
      <c r="L896" s="8" t="inlineStr">
        <is>
          <t>是</t>
        </is>
      </c>
      <c r="M896" s="9" t="inlineStr">
        <is>
          <t>bazaar</t>
        </is>
      </c>
      <c r="N896" s="8" t="n">
        <v>1</v>
      </c>
      <c r="O896" s="9" t="inlineStr">
        <is>
          <t>周期触发</t>
        </is>
      </c>
      <c r="P896" s="9" t="inlineStr">
        <is>
          <t>periodicPulse</t>
        </is>
      </c>
      <c r="Q896" s="9" t="inlineStr">
        <is>
          <t>周期触发：开局：左侧相邻无属性装备时，获得 20 层护甲；开局：左侧相邻无属性装备时，获得 26 层护甲；开局：左侧相邻无属性装备时，获得 30 层护甲；开局：左侧相邻无属性装备时，获得 36 层护甲</t>
        </is>
      </c>
      <c r="R896" s="9" t="inlineStr"/>
      <c r="S896" s="9" t="inlineStr">
        <is>
          <t>黑檀盘面嵌着黄铜重环，中心指针座总在夜深时缓慢自行归正。</t>
        </is>
      </c>
      <c r="T896" s="8" t="inlineStr">
        <is>
          <t>implement_spirit100_a11_star_fixing_compass_2x2</t>
        </is>
      </c>
      <c r="U896" s="8" t="inlineStr">
        <is>
          <t>allowed</t>
        </is>
      </c>
    </row>
    <row r="897" ht="34" customHeight="1">
      <c r="A897" s="8" t="n">
        <v>896</v>
      </c>
      <c r="B897" s="8" t="n">
        <v>419012</v>
      </c>
      <c r="C897" s="8" t="inlineStr">
        <is>
          <t>量灵玉尺</t>
        </is>
      </c>
      <c r="D897" s="8" t="inlineStr">
        <is>
          <t>法器</t>
        </is>
      </c>
      <c r="E897" s="8" t="inlineStr">
        <is>
          <t>implement</t>
        </is>
      </c>
      <c r="F897" s="8" t="inlineStr">
        <is>
          <t>spirit</t>
        </is>
      </c>
      <c r="G897" s="8" t="inlineStr">
        <is>
          <t>无</t>
        </is>
      </c>
      <c r="H897" s="8" t="inlineStr">
        <is>
          <t>none</t>
        </is>
      </c>
      <c r="I897" s="8" t="inlineStr">
        <is>
          <t>3×1</t>
        </is>
      </c>
      <c r="J897" s="8" t="n">
        <v>3</v>
      </c>
      <c r="K897" s="8" t="n">
        <v>100</v>
      </c>
      <c r="L897" s="8" t="inlineStr">
        <is>
          <t>是</t>
        </is>
      </c>
      <c r="M897" s="9" t="inlineStr">
        <is>
          <t>bazaar</t>
        </is>
      </c>
      <c r="N897" s="8" t="n">
        <v>1</v>
      </c>
      <c r="O897" s="9" t="inlineStr">
        <is>
          <t>周期触发</t>
        </is>
      </c>
      <c r="P897" s="9" t="inlineStr">
        <is>
          <t>periodicPulse</t>
        </is>
      </c>
      <c r="Q897" s="9" t="inlineStr">
        <is>
          <t>周期触发：开局：上方相邻无属性道具时，获得 24 层护甲；开局：上方相邻无属性道具时，获得 30 层护甲；开局：上方相邻无属性道具时，获得 36 层护甲；开局：上方相邻无属性道具时，获得 42 层护甲</t>
        </is>
      </c>
      <c r="R897" s="9" t="inlineStr"/>
      <c r="S897" s="9" t="inlineStr">
        <is>
          <t>乳白玉尺由乌铜骨架细细包边，凸点与短槽在掌下排列得分毫不乱。</t>
        </is>
      </c>
      <c r="T897" s="8" t="inlineStr">
        <is>
          <t>implement_spirit100_a12_spirit_measuring_jade_ruler_3x1</t>
        </is>
      </c>
      <c r="U897" s="8" t="inlineStr">
        <is>
          <t>allowed</t>
        </is>
      </c>
    </row>
    <row r="898" ht="34" customHeight="1">
      <c r="A898" s="8" t="n">
        <v>897</v>
      </c>
      <c r="B898" s="8" t="n">
        <v>419013</v>
      </c>
      <c r="C898" s="8" t="inlineStr">
        <is>
          <t>聚露铜盘</t>
        </is>
      </c>
      <c r="D898" s="8" t="inlineStr">
        <is>
          <t>法器</t>
        </is>
      </c>
      <c r="E898" s="8" t="inlineStr">
        <is>
          <t>implement</t>
        </is>
      </c>
      <c r="F898" s="8" t="inlineStr">
        <is>
          <t>spirit</t>
        </is>
      </c>
      <c r="G898" s="8" t="inlineStr">
        <is>
          <t>水</t>
        </is>
      </c>
      <c r="H898" s="8" t="inlineStr">
        <is>
          <t>water</t>
        </is>
      </c>
      <c r="I898" s="8" t="inlineStr">
        <is>
          <t>2×2</t>
        </is>
      </c>
      <c r="J898" s="8" t="n">
        <v>4</v>
      </c>
      <c r="K898" s="8" t="n">
        <v>100</v>
      </c>
      <c r="L898" s="8" t="inlineStr">
        <is>
          <t>是</t>
        </is>
      </c>
      <c r="M898" s="9" t="inlineStr">
        <is>
          <t>bazaar</t>
        </is>
      </c>
      <c r="N898" s="8" t="n">
        <v>1</v>
      </c>
      <c r="O898" s="9" t="inlineStr">
        <is>
          <t>条件触发</t>
        </is>
      </c>
      <c r="P898" s="9" t="inlineStr">
        <is>
          <t>triggered</t>
        </is>
      </c>
      <c r="Q898" s="9" t="inlineStr">
        <is>
          <t>条件触发：露水层数上限不低于 60 层时，每次获得露水有 25% 概率将 1 层露水转化为 2 点体力、法力或神识；露水层数上限不低于 60 层时，每次获得露水有 30% 概率将 1 层露水转化为 4 点体力、法力或神识；露水层数上限不低于 60 层时，每次获得露水有 35% 概率将 1 层露水转化为 6 点体力、法力或神识；露水层数上限不低于 60 层时，每次获得露水有 40% 概率将 1 层露水转化为 8 点体力、法力或神识</t>
        </is>
      </c>
      <c r="R898" s="9" t="inlineStr"/>
      <c r="S898" s="9" t="inlineStr">
        <is>
          <t>青铜浅盘刻满向心细槽，晨光未起时，中央银座便已泛起湿润光泽。</t>
        </is>
      </c>
      <c r="T898" s="8" t="inlineStr">
        <is>
          <t>implement_spirit100_a13_dew_gathering_copper_tray_2x2</t>
        </is>
      </c>
      <c r="U898" s="8" t="inlineStr">
        <is>
          <t>allowed</t>
        </is>
      </c>
    </row>
    <row r="899" ht="34" customHeight="1">
      <c r="A899" s="8" t="n">
        <v>898</v>
      </c>
      <c r="B899" s="8" t="n">
        <v>419014</v>
      </c>
      <c r="C899" s="8" t="inlineStr">
        <is>
          <t>温符炭匣</t>
        </is>
      </c>
      <c r="D899" s="8" t="inlineStr">
        <is>
          <t>法器</t>
        </is>
      </c>
      <c r="E899" s="8" t="inlineStr">
        <is>
          <t>implement</t>
        </is>
      </c>
      <c r="F899" s="8" t="inlineStr">
        <is>
          <t>spirit</t>
        </is>
      </c>
      <c r="G899" s="8" t="inlineStr">
        <is>
          <t>火</t>
        </is>
      </c>
      <c r="H899" s="8" t="inlineStr">
        <is>
          <t>fire</t>
        </is>
      </c>
      <c r="I899" s="8" t="inlineStr">
        <is>
          <t>2×1</t>
        </is>
      </c>
      <c r="J899" s="8" t="n">
        <v>2</v>
      </c>
      <c r="K899" s="8" t="n">
        <v>100</v>
      </c>
      <c r="L899" s="8" t="inlineStr">
        <is>
          <t>是</t>
        </is>
      </c>
      <c r="M899" s="9" t="inlineStr">
        <is>
          <t>bazaar</t>
        </is>
      </c>
      <c r="N899" s="8" t="n">
        <v>1</v>
      </c>
      <c r="O899" s="9" t="inlineStr">
        <is>
          <t>条件触发</t>
        </is>
      </c>
      <c r="P899" s="9" t="inlineStr">
        <is>
          <t>triggered</t>
        </is>
      </c>
      <c r="Q899" s="9" t="inlineStr">
        <is>
          <t>条件触发：相邻正好 1 件丹药和 1 张符箓时，使用其中任一道具后，获得 10 层再生；相邻正好 1 件丹药和 2 张符箓时，使用其中任一道具后，获得 12 层再生；相邻正好 1 件丹药和 3 张符箓时，使用其中任一道具后，获得 16 层再生；相邻正好 1 件丹药和 4 张符箓时，使用其中任一道具后，获得 18 层再生</t>
        </is>
      </c>
      <c r="R899" s="9" t="inlineStr"/>
      <c r="S899" s="9" t="inlineStr">
        <is>
          <t>暗红铜匣裹着双层隔壁，兽首锁扣附近常留一圈不散的暖意。</t>
        </is>
      </c>
      <c r="T899" s="8" t="inlineStr">
        <is>
          <t>implement_spirit100_a14_talisman_warming_charcoal_case_2x1</t>
        </is>
      </c>
      <c r="U899" s="8" t="inlineStr">
        <is>
          <t>allowed</t>
        </is>
      </c>
    </row>
    <row r="900" ht="34" customHeight="1">
      <c r="A900" s="8" t="n">
        <v>899</v>
      </c>
      <c r="B900" s="8" t="n">
        <v>419015</v>
      </c>
      <c r="C900" s="8" t="inlineStr">
        <is>
          <t>养木根瓶</t>
        </is>
      </c>
      <c r="D900" s="8" t="inlineStr">
        <is>
          <t>法器</t>
        </is>
      </c>
      <c r="E900" s="8" t="inlineStr">
        <is>
          <t>implement</t>
        </is>
      </c>
      <c r="F900" s="8" t="inlineStr">
        <is>
          <t>spirit</t>
        </is>
      </c>
      <c r="G900" s="8" t="inlineStr">
        <is>
          <t>木</t>
        </is>
      </c>
      <c r="H900" s="8" t="inlineStr">
        <is>
          <t>wood</t>
        </is>
      </c>
      <c r="I900" s="8" t="inlineStr">
        <is>
          <t>1×2</t>
        </is>
      </c>
      <c r="J900" s="8" t="n">
        <v>2</v>
      </c>
      <c r="K900" s="8" t="n">
        <v>100</v>
      </c>
      <c r="L900" s="8" t="inlineStr">
        <is>
          <t>是</t>
        </is>
      </c>
      <c r="M900" s="9" t="inlineStr">
        <is>
          <t>bazaar</t>
        </is>
      </c>
      <c r="N900" s="8" t="n">
        <v>1</v>
      </c>
      <c r="O900" s="9" t="inlineStr">
        <is>
          <t>条件触发</t>
        </is>
      </c>
      <c r="P900" s="9" t="inlineStr">
        <is>
          <t>triggered</t>
        </is>
      </c>
      <c r="Q900" s="9" t="inlineStr">
        <is>
          <t>条件触发：充能：累计使用 3 件木属性消耗品时，获得 24 层护甲；充能：累计使用 3 件木属性消耗品时，获得 30 层护甲；充能：累计使用 3 件木属性消耗品时，获得 36 层护甲；充能：累计使用 3 件木属性消耗品时，获得 42 层护甲</t>
        </is>
      </c>
      <c r="R900" s="9" t="inlineStr"/>
      <c r="S900" s="9" t="inlineStr">
        <is>
          <t>米白陶瓶外缠着老藤护架，瓶肩青蓝叶纹在阴处仍显得鲜活润泽。</t>
        </is>
      </c>
      <c r="T900" s="8" t="inlineStr">
        <is>
          <t>implement_spirit100_a15_root_nurturing_ceramic_bottle_1x2</t>
        </is>
      </c>
      <c r="U900" s="8" t="inlineStr">
        <is>
          <t>allowed</t>
        </is>
      </c>
    </row>
    <row r="901" ht="34" customHeight="1">
      <c r="A901" s="8" t="n">
        <v>900</v>
      </c>
      <c r="B901" s="8" t="n">
        <v>419016</v>
      </c>
      <c r="C901" s="8" t="inlineStr">
        <is>
          <t>磁纹针轮</t>
        </is>
      </c>
      <c r="D901" s="8" t="inlineStr">
        <is>
          <t>法器</t>
        </is>
      </c>
      <c r="E901" s="8" t="inlineStr">
        <is>
          <t>implement</t>
        </is>
      </c>
      <c r="F901" s="8" t="inlineStr">
        <is>
          <t>spirit</t>
        </is>
      </c>
      <c r="G901" s="8" t="inlineStr">
        <is>
          <t>金</t>
        </is>
      </c>
      <c r="H901" s="8" t="inlineStr">
        <is>
          <t>metal</t>
        </is>
      </c>
      <c r="I901" s="8" t="inlineStr">
        <is>
          <t>2×2</t>
        </is>
      </c>
      <c r="J901" s="8" t="n">
        <v>4</v>
      </c>
      <c r="K901" s="8" t="n">
        <v>100</v>
      </c>
      <c r="L901" s="8" t="inlineStr">
        <is>
          <t>是</t>
        </is>
      </c>
      <c r="M901" s="9" t="inlineStr">
        <is>
          <t>bazaar</t>
        </is>
      </c>
      <c r="N901" s="8" t="n">
        <v>1</v>
      </c>
      <c r="O901" s="9" t="inlineStr">
        <is>
          <t>条件触发</t>
        </is>
      </c>
      <c r="P901" s="9" t="inlineStr">
        <is>
          <t>triggered</t>
        </is>
      </c>
      <c r="Q901" s="9" t="inlineStr">
        <is>
          <t>条件触发：相邻正好 2 件金属性道具时，每当获得凝金，获得 6 层护甲；相邻正好 2 件金属性道具时，每当获得凝金，获得 8 层护甲；相邻正好 2 件金属性道具时，每当获得凝金，获得 10 层护甲；相邻正好 2 件金属性道具时，每当获得凝金，获得 12 层护甲</t>
        </is>
      </c>
      <c r="R901" s="9" t="inlineStr"/>
      <c r="S901" s="9" t="inlineStr">
        <is>
          <t>乌铁双环夹着八枚银针，中央旋钮每转一格，铜纹便齐齐改变朝向。</t>
        </is>
      </c>
      <c r="T901" s="8" t="inlineStr">
        <is>
          <t>implement_spirit100_a16_magnetic_needle_wheel_2x2</t>
        </is>
      </c>
      <c r="U901" s="8" t="inlineStr">
        <is>
          <t>allowed</t>
        </is>
      </c>
    </row>
    <row r="902" ht="34" customHeight="1">
      <c r="A902" s="8" t="n">
        <v>901</v>
      </c>
      <c r="B902" s="8" t="n">
        <v>419017</v>
      </c>
      <c r="C902" s="8" t="inlineStr">
        <is>
          <t>厚土镇纸</t>
        </is>
      </c>
      <c r="D902" s="8" t="inlineStr">
        <is>
          <t>法器</t>
        </is>
      </c>
      <c r="E902" s="8" t="inlineStr">
        <is>
          <t>implement</t>
        </is>
      </c>
      <c r="F902" s="8" t="inlineStr">
        <is>
          <t>spirit</t>
        </is>
      </c>
      <c r="G902" s="8" t="inlineStr">
        <is>
          <t>土</t>
        </is>
      </c>
      <c r="H902" s="8" t="inlineStr">
        <is>
          <t>earth</t>
        </is>
      </c>
      <c r="I902" s="8" t="inlineStr">
        <is>
          <t>2×1</t>
        </is>
      </c>
      <c r="J902" s="8" t="n">
        <v>2</v>
      </c>
      <c r="K902" s="8" t="n">
        <v>100</v>
      </c>
      <c r="L902" s="8" t="inlineStr">
        <is>
          <t>是</t>
        </is>
      </c>
      <c r="M902" s="9" t="inlineStr">
        <is>
          <t>bazaar</t>
        </is>
      </c>
      <c r="N902" s="8" t="n">
        <v>1</v>
      </c>
      <c r="O902" s="9" t="inlineStr">
        <is>
          <t>条件触发</t>
        </is>
      </c>
      <c r="P902" s="9" t="inlineStr">
        <is>
          <t>triggered</t>
        </is>
      </c>
      <c r="Q902" s="9" t="inlineStr">
        <is>
          <t>条件触发：敌方坚硬不少于 20 层时，敌方每次消耗坚硬，对敌方造成 28 点伤害；敌方坚硬不少于 20 层时，敌方每次消耗坚硬，对敌方造成 36 点伤害；敌方坚硬不少于 20 层时，敌方每次消耗坚硬，对敌方造成 42 点伤害；敌方坚硬不少于 20 层时，敌方每次消耗坚硬，对敌方造成 50 点伤害</t>
        </is>
      </c>
      <c r="R902" s="9" t="inlineStr"/>
      <c r="S902" s="9" t="inlineStr">
        <is>
          <t>赭黄石料琢成连绵台岭，黑铁底缘压住纸角时沉稳得不见半分偏移。</t>
        </is>
      </c>
      <c r="T902" s="8" t="inlineStr">
        <is>
          <t>implement_spirit100_a17_thick_earth_paperweight_2x1</t>
        </is>
      </c>
      <c r="U902" s="8" t="inlineStr">
        <is>
          <t>allowed</t>
        </is>
      </c>
    </row>
    <row r="903" ht="34" customHeight="1">
      <c r="A903" s="8" t="n">
        <v>902</v>
      </c>
      <c r="B903" s="8" t="n">
        <v>419018</v>
      </c>
      <c r="C903" s="8" t="inlineStr">
        <is>
          <t>鸣雷引弦</t>
        </is>
      </c>
      <c r="D903" s="8" t="inlineStr">
        <is>
          <t>法器</t>
        </is>
      </c>
      <c r="E903" s="8" t="inlineStr">
        <is>
          <t>implement</t>
        </is>
      </c>
      <c r="F903" s="8" t="inlineStr">
        <is>
          <t>spirit</t>
        </is>
      </c>
      <c r="G903" s="8" t="inlineStr">
        <is>
          <t>雷</t>
        </is>
      </c>
      <c r="H903" s="8" t="inlineStr">
        <is>
          <t>thunder</t>
        </is>
      </c>
      <c r="I903" s="8" t="inlineStr">
        <is>
          <t>3×1</t>
        </is>
      </c>
      <c r="J903" s="8" t="n">
        <v>3</v>
      </c>
      <c r="K903" s="8" t="n">
        <v>100</v>
      </c>
      <c r="L903" s="8" t="inlineStr">
        <is>
          <t>是</t>
        </is>
      </c>
      <c r="M903" s="9" t="inlineStr">
        <is>
          <t>bazaar</t>
        </is>
      </c>
      <c r="N903" s="8" t="n">
        <v>1</v>
      </c>
      <c r="O903" s="9" t="inlineStr">
        <is>
          <t>条件触发</t>
        </is>
      </c>
      <c r="P903" s="9" t="inlineStr">
        <is>
          <t>triggered</t>
        </is>
      </c>
      <c r="Q903" s="9" t="inlineStr">
        <is>
          <t>条件触发：雷属性招式释放时，获得 16 层雷霆充能；雷属性招式释放时，获得 20 层雷霆充能；雷属性招式释放时，获得 24 层雷霆充能；雷属性招式释放时，获得 28 层雷霆充能</t>
        </is>
      </c>
      <c r="R903" s="9" t="inlineStr"/>
      <c r="S903" s="9" t="inlineStr">
        <is>
          <t>三根银弦绷在紫铜支座之间，指尖尚未触及，弦上已传来低沉震颤。</t>
        </is>
      </c>
      <c r="T903" s="8" t="inlineStr">
        <is>
          <t>implement_spirit100_a18_thunder_resonance_string_3x1</t>
        </is>
      </c>
      <c r="U903" s="8" t="inlineStr">
        <is>
          <t>allowed</t>
        </is>
      </c>
    </row>
    <row r="904" ht="34" customHeight="1">
      <c r="A904" s="8" t="n">
        <v>903</v>
      </c>
      <c r="B904" s="8" t="n">
        <v>419019</v>
      </c>
      <c r="C904" s="8" t="inlineStr">
        <is>
          <t>寒蚕线轴</t>
        </is>
      </c>
      <c r="D904" s="8" t="inlineStr">
        <is>
          <t>法器</t>
        </is>
      </c>
      <c r="E904" s="8" t="inlineStr">
        <is>
          <t>implement</t>
        </is>
      </c>
      <c r="F904" s="8" t="inlineStr">
        <is>
          <t>spirit</t>
        </is>
      </c>
      <c r="G904" s="8" t="inlineStr">
        <is>
          <t>冰</t>
        </is>
      </c>
      <c r="H904" s="8" t="inlineStr">
        <is>
          <t>ice</t>
        </is>
      </c>
      <c r="I904" s="8" t="inlineStr">
        <is>
          <t>1×2</t>
        </is>
      </c>
      <c r="J904" s="8" t="n">
        <v>2</v>
      </c>
      <c r="K904" s="8" t="n">
        <v>100</v>
      </c>
      <c r="L904" s="8" t="inlineStr">
        <is>
          <t>是</t>
        </is>
      </c>
      <c r="M904" s="9" t="inlineStr">
        <is>
          <t>bazaar</t>
        </is>
      </c>
      <c r="N904" s="8" t="n">
        <v>1</v>
      </c>
      <c r="O904" s="9" t="inlineStr">
        <is>
          <t>条件触发</t>
        </is>
      </c>
      <c r="P904" s="9" t="inlineStr">
        <is>
          <t>triggered</t>
        </is>
      </c>
      <c r="Q904" s="9" t="inlineStr">
        <is>
          <t>条件触发：每当法力被消耗时，获得 12 层寒冷；每当法力被消耗时，获得 16 层寒冷；每当法力被消耗时，获得 18 层寒冷；每当法力被消耗时，获得 22 层寒冷</t>
        </is>
      </c>
      <c r="R904" s="9" t="inlineStr"/>
      <c r="S904" s="9" t="inlineStr">
        <is>
          <t>乳白蚕丝紧密缠在靛蓝木轴上，六瓣轴帽始终带着薄霜般的凉意。</t>
        </is>
      </c>
      <c r="T904" s="8" t="inlineStr">
        <is>
          <t>implement_spirit100_a19_frost_silkworm_spool_1x2</t>
        </is>
      </c>
      <c r="U904" s="8" t="inlineStr">
        <is>
          <t>allowed</t>
        </is>
      </c>
    </row>
    <row r="905" ht="34" customHeight="1">
      <c r="A905" s="8" t="n">
        <v>904</v>
      </c>
      <c r="B905" s="8" t="n">
        <v>419020</v>
      </c>
      <c r="C905" s="8" t="inlineStr">
        <is>
          <t>逐风铃架</t>
        </is>
      </c>
      <c r="D905" s="8" t="inlineStr">
        <is>
          <t>法器</t>
        </is>
      </c>
      <c r="E905" s="8" t="inlineStr">
        <is>
          <t>implement</t>
        </is>
      </c>
      <c r="F905" s="8" t="inlineStr">
        <is>
          <t>spirit</t>
        </is>
      </c>
      <c r="G905" s="8" t="inlineStr">
        <is>
          <t>风</t>
        </is>
      </c>
      <c r="H905" s="8" t="inlineStr">
        <is>
          <t>wind</t>
        </is>
      </c>
      <c r="I905" s="8" t="inlineStr">
        <is>
          <t>2×2</t>
        </is>
      </c>
      <c r="J905" s="8" t="n">
        <v>4</v>
      </c>
      <c r="K905" s="8" t="n">
        <v>100</v>
      </c>
      <c r="L905" s="8" t="inlineStr">
        <is>
          <t>是</t>
        </is>
      </c>
      <c r="M905" s="9" t="inlineStr">
        <is>
          <t>bazaar</t>
        </is>
      </c>
      <c r="N905" s="8" t="n">
        <v>1</v>
      </c>
      <c r="O905" s="9" t="inlineStr">
        <is>
          <t>条件触发</t>
        </is>
      </c>
      <c r="P905" s="9" t="inlineStr">
        <is>
          <t>triggered</t>
        </is>
      </c>
      <c r="Q905" s="9" t="inlineStr">
        <is>
          <t>条件触发：使用左右任一相邻剑时，对敌方造成 8 点伤害；使用左右任一相邻剑时，对敌方造成 10 点伤害；使用左右任一相邻剑时，对敌方造成 12 点伤害；使用左右任一相邻剑时，对敌方造成 14 点伤害</t>
        </is>
      </c>
      <c r="R905" s="9" t="inlineStr"/>
      <c r="S905" s="9" t="inlineStr">
        <is>
          <t>三枚铜铃悬在深青木架中，铃舌收束不动，却仍能辨出远近风声。</t>
        </is>
      </c>
      <c r="T905" s="8" t="inlineStr">
        <is>
          <t>implement_spirit100_a20_wind_chasing_bell_frame_2x2</t>
        </is>
      </c>
      <c r="U905" s="8" t="inlineStr">
        <is>
          <t>allowed</t>
        </is>
      </c>
    </row>
    <row r="906" ht="34" customHeight="1">
      <c r="A906" s="8" t="n">
        <v>905</v>
      </c>
      <c r="B906" s="8" t="n">
        <v>419021</v>
      </c>
      <c r="C906" s="8" t="inlineStr">
        <is>
          <t>五毒研钵</t>
        </is>
      </c>
      <c r="D906" s="8" t="inlineStr">
        <is>
          <t>法器</t>
        </is>
      </c>
      <c r="E906" s="8" t="inlineStr">
        <is>
          <t>implement</t>
        </is>
      </c>
      <c r="F906" s="8" t="inlineStr">
        <is>
          <t>spirit</t>
        </is>
      </c>
      <c r="G906" s="8" t="inlineStr">
        <is>
          <t>poison</t>
        </is>
      </c>
      <c r="H906" s="8" t="inlineStr">
        <is>
          <t>poison</t>
        </is>
      </c>
      <c r="I906" s="8" t="inlineStr">
        <is>
          <t>2×2</t>
        </is>
      </c>
      <c r="J906" s="8" t="n">
        <v>4</v>
      </c>
      <c r="K906" s="8" t="n">
        <v>100</v>
      </c>
      <c r="L906" s="8" t="inlineStr">
        <is>
          <t>是</t>
        </is>
      </c>
      <c r="M906" s="9" t="inlineStr">
        <is>
          <t>bazaar</t>
        </is>
      </c>
      <c r="N906" s="8" t="n">
        <v>2</v>
      </c>
      <c r="O906" s="9" t="inlineStr">
        <is>
          <t>被动效果；条件触发</t>
        </is>
      </c>
      <c r="P906" s="9" t="inlineStr">
        <is>
          <t>passive；triggered</t>
        </is>
      </c>
      <c r="Q906" s="9" t="inlineStr">
        <is>
          <t>被动效果：中毒发作时，将原本的中毒伤害转化为等量气血恢复 | 条件触发：每次获得中毒时，恢复 6 点法力；每次获得中毒时，恢复 8 点法力；每次获得中毒时，恢复 10 点法力；每次获得中毒时，恢复 12 点法力</t>
        </is>
      </c>
      <c r="R906" s="9" t="inlineStr"/>
      <c r="S906" s="9" t="inlineStr">
        <is>
          <t>深紫石钵环刻五种虫纹，暗铜外箍上残留着苦涩药末磨出的细痕。</t>
        </is>
      </c>
      <c r="T906" s="8" t="inlineStr">
        <is>
          <t>implement_spirit100_a21_five_venoms_mortar_2x2</t>
        </is>
      </c>
      <c r="U906" s="8" t="inlineStr">
        <is>
          <t>allowed</t>
        </is>
      </c>
    </row>
    <row r="907" ht="34" customHeight="1">
      <c r="A907" s="8" t="n">
        <v>906</v>
      </c>
      <c r="B907" s="8" t="n">
        <v>419022</v>
      </c>
      <c r="C907" s="8" t="inlineStr">
        <is>
          <t>照影铜灯</t>
        </is>
      </c>
      <c r="D907" s="8" t="inlineStr">
        <is>
          <t>法器</t>
        </is>
      </c>
      <c r="E907" s="8" t="inlineStr">
        <is>
          <t>implement</t>
        </is>
      </c>
      <c r="F907" s="8" t="inlineStr">
        <is>
          <t>spirit</t>
        </is>
      </c>
      <c r="G907" s="8" t="inlineStr">
        <is>
          <t>火</t>
        </is>
      </c>
      <c r="H907" s="8" t="inlineStr">
        <is>
          <t>fire</t>
        </is>
      </c>
      <c r="I907" s="8" t="inlineStr">
        <is>
          <t>1×2</t>
        </is>
      </c>
      <c r="J907" s="8" t="n">
        <v>2</v>
      </c>
      <c r="K907" s="8" t="n">
        <v>100</v>
      </c>
      <c r="L907" s="8" t="inlineStr">
        <is>
          <t>是</t>
        </is>
      </c>
      <c r="M907" s="9" t="inlineStr">
        <is>
          <t>bazaar</t>
        </is>
      </c>
      <c r="N907" s="8" t="n">
        <v>1</v>
      </c>
      <c r="O907" s="9" t="inlineStr">
        <is>
          <t>条件触发</t>
        </is>
      </c>
      <c r="P907" s="9" t="inlineStr">
        <is>
          <t>triggered</t>
        </is>
      </c>
      <c r="Q907" s="9" t="inlineStr">
        <is>
          <t>条件触发：火属性招式释放时，获得 14 层炎热；火属性招式释放时，获得 18 层炎热；火属性招式释放时，获得 22 层炎热；火属性招式释放时，获得 24 层炎热</t>
        </is>
      </c>
      <c r="R907" s="9" t="inlineStr"/>
      <c r="S907" s="9" t="inlineStr">
        <is>
          <t>六面铜罩护着白瓷内胆，侧边调光片开合时发出清脆的金属声。</t>
        </is>
      </c>
      <c r="T907" s="8" t="inlineStr">
        <is>
          <t>implement_spirit100_a22_shadow_revealing_copper_lamp_1x2</t>
        </is>
      </c>
      <c r="U907" s="8" t="inlineStr">
        <is>
          <t>allowed</t>
        </is>
      </c>
    </row>
    <row r="908" ht="34" customHeight="1">
      <c r="A908" s="8" t="n">
        <v>907</v>
      </c>
      <c r="B908" s="8" t="n">
        <v>419023</v>
      </c>
      <c r="C908" s="8" t="inlineStr">
        <is>
          <t>灵田分水闸</t>
        </is>
      </c>
      <c r="D908" s="8" t="inlineStr">
        <is>
          <t>法器</t>
        </is>
      </c>
      <c r="E908" s="8" t="inlineStr">
        <is>
          <t>implement</t>
        </is>
      </c>
      <c r="F908" s="8" t="inlineStr">
        <is>
          <t>spirit</t>
        </is>
      </c>
      <c r="G908" s="8" t="inlineStr">
        <is>
          <t>水</t>
        </is>
      </c>
      <c r="H908" s="8" t="inlineStr">
        <is>
          <t>water</t>
        </is>
      </c>
      <c r="I908" s="8" t="inlineStr">
        <is>
          <t>2×2</t>
        </is>
      </c>
      <c r="J908" s="8" t="n">
        <v>4</v>
      </c>
      <c r="K908" s="8" t="n">
        <v>100</v>
      </c>
      <c r="L908" s="8" t="inlineStr">
        <is>
          <t>是</t>
        </is>
      </c>
      <c r="M908" s="9" t="inlineStr">
        <is>
          <t>bazaar</t>
        </is>
      </c>
      <c r="N908" s="8" t="n">
        <v>1</v>
      </c>
      <c r="O908" s="9" t="inlineStr">
        <is>
          <t>条件触发</t>
        </is>
      </c>
      <c r="P908" s="9" t="inlineStr">
        <is>
          <t>triggered</t>
        </is>
      </c>
      <c r="Q908" s="9" t="inlineStr">
        <is>
          <t>条件触发：阵盘变阵效果触发时，获得 32 层露水；阵盘变阵效果触发时，获得 40 层露水；阵盘变阵效果触发时，获得 48 层露水；阵盘变阵效果触发时，获得 56 层露水</t>
        </is>
      </c>
      <c r="R908" s="9" t="inlineStr"/>
      <c r="S908" s="9" t="inlineStr">
        <is>
          <t>青铜闸板嵌在双柱之间，手轮与分流槽被水汽磨得圆润而明亮。</t>
        </is>
      </c>
      <c r="T908" s="8" t="inlineStr">
        <is>
          <t>implement_spirit100_a23_spirit_field_water_gate_2x2</t>
        </is>
      </c>
      <c r="U908" s="8" t="inlineStr">
        <is>
          <t>allowed</t>
        </is>
      </c>
    </row>
    <row r="909" ht="34" customHeight="1">
      <c r="A909" s="8" t="n">
        <v>908</v>
      </c>
      <c r="B909" s="8" t="n">
        <v>419024</v>
      </c>
      <c r="C909" s="8" t="inlineStr">
        <is>
          <t>护简木函</t>
        </is>
      </c>
      <c r="D909" s="8" t="inlineStr">
        <is>
          <t>法器</t>
        </is>
      </c>
      <c r="E909" s="8" t="inlineStr">
        <is>
          <t>implement</t>
        </is>
      </c>
      <c r="F909" s="8" t="inlineStr">
        <is>
          <t>spirit</t>
        </is>
      </c>
      <c r="G909" s="8" t="inlineStr">
        <is>
          <t>木</t>
        </is>
      </c>
      <c r="H909" s="8" t="inlineStr">
        <is>
          <t>wood</t>
        </is>
      </c>
      <c r="I909" s="8" t="inlineStr">
        <is>
          <t>2×1</t>
        </is>
      </c>
      <c r="J909" s="8" t="n">
        <v>2</v>
      </c>
      <c r="K909" s="8" t="n">
        <v>100</v>
      </c>
      <c r="L909" s="8" t="inlineStr">
        <is>
          <t>是</t>
        </is>
      </c>
      <c r="M909" s="9" t="inlineStr">
        <is>
          <t>bazaar</t>
        </is>
      </c>
      <c r="N909" s="8" t="n">
        <v>1</v>
      </c>
      <c r="O909" s="9" t="inlineStr">
        <is>
          <t>被动效果</t>
        </is>
      </c>
      <c r="P909" s="9" t="inlineStr">
        <is>
          <t>passive</t>
        </is>
      </c>
      <c r="Q909" s="9" t="inlineStr">
        <is>
          <t>被动效果：再生不少于 10 层时，露水恢复效果翻倍；再生不少于 10 层时，露水恢复效果提升至 2.5 倍；再生不少于 10 层时，露水恢复效果提升至 3 倍；再生不少于 10 层时，露水恢复效果提升至 3.5 倍</t>
        </is>
      </c>
      <c r="R909" s="9" t="inlineStr"/>
      <c r="S909" s="9" t="inlineStr">
        <is>
          <t>深棕木函四角皆有铜片护持，盒盖上的青蓝竹叶镶片久经岁月仍不褪色。</t>
        </is>
      </c>
      <c r="T909" s="8" t="inlineStr">
        <is>
          <t>implement_spirit100_a24_slip_guarding_wooden_case_2x1</t>
        </is>
      </c>
      <c r="U909" s="8" t="inlineStr">
        <is>
          <t>allowed</t>
        </is>
      </c>
    </row>
    <row r="910" ht="34" customHeight="1">
      <c r="A910" s="8" t="n">
        <v>909</v>
      </c>
      <c r="B910" s="8" t="n">
        <v>419025</v>
      </c>
      <c r="C910" s="8" t="inlineStr">
        <is>
          <t>校息筹盘</t>
        </is>
      </c>
      <c r="D910" s="8" t="inlineStr">
        <is>
          <t>法器</t>
        </is>
      </c>
      <c r="E910" s="8" t="inlineStr">
        <is>
          <t>implement</t>
        </is>
      </c>
      <c r="F910" s="8" t="inlineStr">
        <is>
          <t>spirit</t>
        </is>
      </c>
      <c r="G910" s="8" t="inlineStr">
        <is>
          <t>无</t>
        </is>
      </c>
      <c r="H910" s="8" t="inlineStr">
        <is>
          <t>none</t>
        </is>
      </c>
      <c r="I910" s="8" t="inlineStr">
        <is>
          <t>2×2</t>
        </is>
      </c>
      <c r="J910" s="8" t="n">
        <v>4</v>
      </c>
      <c r="K910" s="8" t="n">
        <v>100</v>
      </c>
      <c r="L910" s="8" t="inlineStr">
        <is>
          <t>是</t>
        </is>
      </c>
      <c r="M910" s="9" t="inlineStr">
        <is>
          <t>bazaar</t>
        </is>
      </c>
      <c r="N910" s="8" t="n">
        <v>1</v>
      </c>
      <c r="O910" s="9" t="inlineStr">
        <is>
          <t>条件触发</t>
        </is>
      </c>
      <c r="P910" s="9" t="inlineStr">
        <is>
          <t>triggered</t>
        </is>
      </c>
      <c r="Q910" s="9" t="inlineStr">
        <is>
          <t>条件触发：下方相邻无属性道具轮转时，该道具获得 1 秒加速；下方相邻无属性道具轮转时，该道具获得 2 秒加速；下方相邻无属性道具轮转时，该道具获得 3 秒加速；下方相邻无属性道具轮转时，该道具获得 4 秒加速</t>
        </is>
      </c>
      <c r="R910" s="9" t="inlineStr"/>
      <c r="S910" s="9" t="inlineStr">
        <is>
          <t>乌木盘中九枚铜槽分列有序，固定算筹随着呼吸般的节拍轻轻起落。</t>
        </is>
      </c>
      <c r="T910" s="8" t="inlineStr">
        <is>
          <t>implement_spirit100_a25_breath_calibration_counter_board_2x2</t>
        </is>
      </c>
      <c r="U910" s="8" t="inlineStr">
        <is>
          <t>allowed</t>
        </is>
      </c>
    </row>
    <row r="911" ht="34" customHeight="1">
      <c r="A911" s="8" t="n">
        <v>910</v>
      </c>
      <c r="B911" s="8" t="n">
        <v>419026</v>
      </c>
      <c r="C911" s="8" t="inlineStr">
        <is>
          <t>霜纹听潮尺</t>
        </is>
      </c>
      <c r="D911" s="8" t="inlineStr">
        <is>
          <t>法器</t>
        </is>
      </c>
      <c r="E911" s="8" t="inlineStr">
        <is>
          <t>implement</t>
        </is>
      </c>
      <c r="F911" s="8" t="inlineStr">
        <is>
          <t>spirit</t>
        </is>
      </c>
      <c r="G911" s="8" t="inlineStr">
        <is>
          <t>水</t>
        </is>
      </c>
      <c r="H911" s="8" t="inlineStr">
        <is>
          <t>water</t>
        </is>
      </c>
      <c r="I911" s="8" t="inlineStr">
        <is>
          <t>3×1</t>
        </is>
      </c>
      <c r="J911" s="8" t="n">
        <v>3</v>
      </c>
      <c r="K911" s="8" t="n">
        <v>100</v>
      </c>
      <c r="L911" s="8" t="inlineStr">
        <is>
          <t>是</t>
        </is>
      </c>
      <c r="M911" s="9" t="inlineStr">
        <is>
          <t>bazaar</t>
        </is>
      </c>
      <c r="N911" s="8" t="n">
        <v>1</v>
      </c>
      <c r="O911" s="9" t="inlineStr">
        <is>
          <t>条件触发</t>
        </is>
      </c>
      <c r="P911" s="9" t="inlineStr">
        <is>
          <t>triggered</t>
        </is>
      </c>
      <c r="Q911" s="9" t="inlineStr">
        <is>
          <t>条件触发：充能：累计使用左侧相邻剑 3 次时，获得 36 层露水；充能：累计使用左侧相邻剑 3 次时，获得 46 层露水；充能：累计使用左侧相邻剑 3 次时，获得 54 层露水；充能：累计使用左侧相邻剑 3 次时，获得 64 层露水</t>
        </is>
      </c>
      <c r="R911" s="9" t="inlineStr"/>
      <c r="S911" s="9" t="inlineStr">
        <is>
          <t>整尺以寒玉嵌银铸成，层层潮纹沿刻度起伏，握处的霜花常年不散。</t>
        </is>
      </c>
      <c r="T911" s="8" t="inlineStr">
        <is>
          <t>implement_spirit100_b26_frost_tide_ruler_3x1</t>
        </is>
      </c>
      <c r="U911" s="8" t="inlineStr">
        <is>
          <t>allowed</t>
        </is>
      </c>
    </row>
    <row r="912" ht="34" customHeight="1">
      <c r="A912" s="8" t="n">
        <v>911</v>
      </c>
      <c r="B912" s="8" t="n">
        <v>419027</v>
      </c>
      <c r="C912" s="8" t="inlineStr">
        <is>
          <t>烬铜引星灯</t>
        </is>
      </c>
      <c r="D912" s="8" t="inlineStr">
        <is>
          <t>法器</t>
        </is>
      </c>
      <c r="E912" s="8" t="inlineStr">
        <is>
          <t>implement</t>
        </is>
      </c>
      <c r="F912" s="8" t="inlineStr">
        <is>
          <t>spirit</t>
        </is>
      </c>
      <c r="G912" s="8" t="inlineStr">
        <is>
          <t>火</t>
        </is>
      </c>
      <c r="H912" s="8" t="inlineStr">
        <is>
          <t>fire</t>
        </is>
      </c>
      <c r="I912" s="8" t="inlineStr">
        <is>
          <t>2×2</t>
        </is>
      </c>
      <c r="J912" s="8" t="n">
        <v>4</v>
      </c>
      <c r="K912" s="8" t="n">
        <v>100</v>
      </c>
      <c r="L912" s="8" t="inlineStr">
        <is>
          <t>是</t>
        </is>
      </c>
      <c r="M912" s="9" t="inlineStr">
        <is>
          <t>bazaar</t>
        </is>
      </c>
      <c r="N912" s="8" t="n">
        <v>1</v>
      </c>
      <c r="O912" s="9" t="inlineStr">
        <is>
          <t>周期触发</t>
        </is>
      </c>
      <c r="P912" s="9" t="inlineStr">
        <is>
          <t>periodicPulse</t>
        </is>
      </c>
      <c r="Q912" s="9" t="inlineStr">
        <is>
          <t>周期触发：消耗 14 点法力，对敌方造成 26 点伤害，并施加 10 层灼烧；消耗 14 点法力，对敌方造成 32 点伤害，并施加 12 层灼烧；消耗 14 点法力，对敌方造成 40 点伤害，并施加 16 层灼烧；消耗 14 点法力，对敌方造成 46 点伤害，并施加 18 层灼烧</t>
        </is>
      </c>
      <c r="R912" s="9" t="inlineStr"/>
      <c r="S912" s="9" t="inlineStr">
        <is>
          <t>六角烬铜灯腹环抱一枚赤晶灯胆，镂空星孔在余火间映出细碎光点。</t>
        </is>
      </c>
      <c r="T912" s="8" t="inlineStr">
        <is>
          <t>implement_spirit100_b27_ember_copper_star_lantern_2x2</t>
        </is>
      </c>
      <c r="U912" s="8" t="inlineStr">
        <is>
          <t>allowed</t>
        </is>
      </c>
    </row>
    <row r="913" ht="34" customHeight="1">
      <c r="A913" s="8" t="n">
        <v>912</v>
      </c>
      <c r="B913" s="8" t="n">
        <v>419028</v>
      </c>
      <c r="C913" s="8" t="inlineStr">
        <is>
          <t>青萝锁灵环</t>
        </is>
      </c>
      <c r="D913" s="8" t="inlineStr">
        <is>
          <t>法器</t>
        </is>
      </c>
      <c r="E913" s="8" t="inlineStr">
        <is>
          <t>implement</t>
        </is>
      </c>
      <c r="F913" s="8" t="inlineStr">
        <is>
          <t>spirit</t>
        </is>
      </c>
      <c r="G913" s="8" t="inlineStr">
        <is>
          <t>木</t>
        </is>
      </c>
      <c r="H913" s="8" t="inlineStr">
        <is>
          <t>wood</t>
        </is>
      </c>
      <c r="I913" s="8" t="inlineStr">
        <is>
          <t>2×2</t>
        </is>
      </c>
      <c r="J913" s="8" t="n">
        <v>4</v>
      </c>
      <c r="K913" s="8" t="n">
        <v>100</v>
      </c>
      <c r="L913" s="8" t="inlineStr">
        <is>
          <t>是</t>
        </is>
      </c>
      <c r="M913" s="9" t="inlineStr">
        <is>
          <t>bazaar</t>
        </is>
      </c>
      <c r="N913" s="8" t="n">
        <v>1</v>
      </c>
      <c r="O913" s="9" t="inlineStr">
        <is>
          <t>被动效果</t>
        </is>
      </c>
      <c r="P913" s="9" t="inlineStr">
        <is>
          <t>passive</t>
        </is>
      </c>
      <c r="Q913" s="9" t="inlineStr">
        <is>
          <t>被动效果：免疫所有毒属性道具对己方施加的中毒</t>
        </is>
      </c>
      <c r="R913" s="9" t="inlineStr"/>
      <c r="S913" s="9" t="inlineStr">
        <is>
          <t>双层青木环以藤纹榫扣相合，碧玉锁珠悬在环心，转动时发出清脆轻响。</t>
        </is>
      </c>
      <c r="T913" s="8" t="inlineStr">
        <is>
          <t>implement_spirit100_b28_vine_spirit_lock_ring_2x2</t>
        </is>
      </c>
      <c r="U913" s="8" t="inlineStr">
        <is>
          <t>allowed</t>
        </is>
      </c>
    </row>
    <row r="914" ht="34" customHeight="1">
      <c r="A914" s="8" t="n">
        <v>913</v>
      </c>
      <c r="B914" s="8" t="n">
        <v>419029</v>
      </c>
      <c r="C914" s="8" t="inlineStr">
        <is>
          <t>玄砂镇岳钵</t>
        </is>
      </c>
      <c r="D914" s="8" t="inlineStr">
        <is>
          <t>法器</t>
        </is>
      </c>
      <c r="E914" s="8" t="inlineStr">
        <is>
          <t>implement</t>
        </is>
      </c>
      <c r="F914" s="8" t="inlineStr">
        <is>
          <t>spirit</t>
        </is>
      </c>
      <c r="G914" s="8" t="inlineStr">
        <is>
          <t>土</t>
        </is>
      </c>
      <c r="H914" s="8" t="inlineStr">
        <is>
          <t>earth</t>
        </is>
      </c>
      <c r="I914" s="8" t="inlineStr">
        <is>
          <t>2×2</t>
        </is>
      </c>
      <c r="J914" s="8" t="n">
        <v>4</v>
      </c>
      <c r="K914" s="8" t="n">
        <v>100</v>
      </c>
      <c r="L914" s="8" t="inlineStr">
        <is>
          <t>是</t>
        </is>
      </c>
      <c r="M914" s="9" t="inlineStr">
        <is>
          <t>bazaar</t>
        </is>
      </c>
      <c r="N914" s="8" t="n">
        <v>1</v>
      </c>
      <c r="O914" s="9" t="inlineStr">
        <is>
          <t>条件触发</t>
        </is>
      </c>
      <c r="P914" s="9" t="inlineStr">
        <is>
          <t>triggered</t>
        </is>
      </c>
      <c r="Q914" s="9" t="inlineStr">
        <is>
          <t>条件触发：每当体力被消耗时，获得 8 层坚硬；每当体力被消耗时，获得 10 层坚硬；每当体力被消耗时，获得 12 层坚硬；每当体力被消耗时，获得 14 层坚硬</t>
        </is>
      </c>
      <c r="R914" s="9" t="inlineStr"/>
      <c r="S914" s="9" t="inlineStr">
        <is>
          <t>乌砂钵壁厚重低沉，四面嵌着黄玉山纹，钵底留有层叠地脉刻线。</t>
        </is>
      </c>
      <c r="T914" s="8" t="inlineStr">
        <is>
          <t>implement_spirit100_b29_dark_sand_mountain_bowl_2x2</t>
        </is>
      </c>
      <c r="U914" s="8" t="inlineStr">
        <is>
          <t>allowed</t>
        </is>
      </c>
    </row>
    <row r="915" ht="34" customHeight="1">
      <c r="A915" s="8" t="n">
        <v>914</v>
      </c>
      <c r="B915" s="8" t="n">
        <v>419030</v>
      </c>
      <c r="C915" s="8" t="inlineStr">
        <is>
          <t>白铓分光镜</t>
        </is>
      </c>
      <c r="D915" s="8" t="inlineStr">
        <is>
          <t>法器</t>
        </is>
      </c>
      <c r="E915" s="8" t="inlineStr">
        <is>
          <t>implement</t>
        </is>
      </c>
      <c r="F915" s="8" t="inlineStr">
        <is>
          <t>spirit</t>
        </is>
      </c>
      <c r="G915" s="8" t="inlineStr">
        <is>
          <t>金</t>
        </is>
      </c>
      <c r="H915" s="8" t="inlineStr">
        <is>
          <t>metal</t>
        </is>
      </c>
      <c r="I915" s="8" t="inlineStr">
        <is>
          <t>2×2</t>
        </is>
      </c>
      <c r="J915" s="8" t="n">
        <v>4</v>
      </c>
      <c r="K915" s="8" t="n">
        <v>100</v>
      </c>
      <c r="L915" s="8" t="inlineStr">
        <is>
          <t>是</t>
        </is>
      </c>
      <c r="M915" s="9" t="inlineStr">
        <is>
          <t>bazaar</t>
        </is>
      </c>
      <c r="N915" s="8" t="n">
        <v>1</v>
      </c>
      <c r="O915" s="9" t="inlineStr">
        <is>
          <t>被动效果</t>
        </is>
      </c>
      <c r="P915" s="9" t="inlineStr">
        <is>
          <t>passive</t>
        </is>
      </c>
      <c r="Q915" s="9" t="inlineStr">
        <is>
          <t>被动效果：左右均相邻剑时，下方相邻目标的变阵效果触发时，会额外触发一次；左右均相邻剑时，下方相邻目标的变阵效果触发时，会额外触发 2 次；左右均相邻剑时，下方相邻目标的变阵效果触发时，会额外触发 3 次；左右均相邻剑时，下方相邻目标的变阵效果触发时，会额外触发 4 次</t>
        </is>
      </c>
      <c r="R915" s="9" t="inlineStr"/>
      <c r="S915" s="9" t="inlineStr">
        <is>
          <t>银白镜框分作八棱，镜背布满细密刃纹，中央镜面清亮得近乎冷峻。</t>
        </is>
      </c>
      <c r="T915" s="8" t="inlineStr">
        <is>
          <t>implement_spirit100_b30_white_edge_prism_mirror_2x2</t>
        </is>
      </c>
      <c r="U915" s="8" t="inlineStr">
        <is>
          <t>allowed</t>
        </is>
      </c>
    </row>
    <row r="916" ht="34" customHeight="1">
      <c r="A916" s="8" t="n">
        <v>915</v>
      </c>
      <c r="B916" s="8" t="n">
        <v>419031</v>
      </c>
      <c r="C916" s="8" t="inlineStr">
        <is>
          <t>云母藏风匣</t>
        </is>
      </c>
      <c r="D916" s="8" t="inlineStr">
        <is>
          <t>法器</t>
        </is>
      </c>
      <c r="E916" s="8" t="inlineStr">
        <is>
          <t>implement</t>
        </is>
      </c>
      <c r="F916" s="8" t="inlineStr">
        <is>
          <t>spirit</t>
        </is>
      </c>
      <c r="G916" s="8" t="inlineStr">
        <is>
          <t>无</t>
        </is>
      </c>
      <c r="H916" s="8" t="inlineStr">
        <is>
          <t>none</t>
        </is>
      </c>
      <c r="I916" s="8" t="inlineStr">
        <is>
          <t>2×1</t>
        </is>
      </c>
      <c r="J916" s="8" t="n">
        <v>2</v>
      </c>
      <c r="K916" s="8" t="n">
        <v>100</v>
      </c>
      <c r="L916" s="8" t="inlineStr">
        <is>
          <t>是</t>
        </is>
      </c>
      <c r="M916" s="9" t="inlineStr">
        <is>
          <t>bazaar</t>
        </is>
      </c>
      <c r="N916" s="8" t="n">
        <v>1</v>
      </c>
      <c r="O916" s="9" t="inlineStr">
        <is>
          <t>条件触发</t>
        </is>
      </c>
      <c r="P916" s="9" t="inlineStr">
        <is>
          <t>triggered</t>
        </is>
      </c>
      <c r="Q916" s="9" t="inlineStr">
        <is>
          <t>条件触发：每当神识被消耗时，获得 12 层护甲；每当神识被消耗时，获得 16 层护甲；每当神识被消耗时，获得 18 层护甲；每当神识被消耗时，获得 22 层护甲</t>
        </is>
      </c>
      <c r="R916" s="9" t="inlineStr"/>
      <c r="S916" s="9" t="inlineStr">
        <is>
          <t>扁长云母匣以银扣封合，匣盖雕着回旋风纹，边缘露出数道精巧通风栅。</t>
        </is>
      </c>
      <c r="T916" s="8" t="inlineStr">
        <is>
          <t>implement_spirit100_b31_mica_wind_casket_2x1</t>
        </is>
      </c>
      <c r="U916" s="8" t="inlineStr">
        <is>
          <t>allowed</t>
        </is>
      </c>
    </row>
    <row r="917" ht="34" customHeight="1">
      <c r="A917" s="8" t="n">
        <v>916</v>
      </c>
      <c r="B917" s="8" t="n">
        <v>419032</v>
      </c>
      <c r="C917" s="8" t="inlineStr">
        <is>
          <t>赤霞七节鞭</t>
        </is>
      </c>
      <c r="D917" s="8" t="inlineStr">
        <is>
          <t>法器</t>
        </is>
      </c>
      <c r="E917" s="8" t="inlineStr">
        <is>
          <t>implement</t>
        </is>
      </c>
      <c r="F917" s="8" t="inlineStr">
        <is>
          <t>spirit</t>
        </is>
      </c>
      <c r="G917" s="8" t="inlineStr">
        <is>
          <t>火</t>
        </is>
      </c>
      <c r="H917" s="8" t="inlineStr">
        <is>
          <t>fire</t>
        </is>
      </c>
      <c r="I917" s="8" t="inlineStr">
        <is>
          <t>4×1</t>
        </is>
      </c>
      <c r="J917" s="8" t="n">
        <v>4</v>
      </c>
      <c r="K917" s="8" t="n">
        <v>100</v>
      </c>
      <c r="L917" s="8" t="inlineStr">
        <is>
          <t>是</t>
        </is>
      </c>
      <c r="M917" s="9" t="inlineStr">
        <is>
          <t>bazaar</t>
        </is>
      </c>
      <c r="N917" s="8" t="n">
        <v>1</v>
      </c>
      <c r="O917" s="9" t="inlineStr">
        <is>
          <t>被动效果</t>
        </is>
      </c>
      <c r="P917" s="9" t="inlineStr">
        <is>
          <t>passive</t>
        </is>
      </c>
      <c r="Q917" s="9" t="inlineStr">
        <is>
          <t>被动效果：炎热不少于 20 层时，所有武器对敌方造成伤害时，追加一次额外的 8 点伤害；炎热不少于 20 层时，所有武器对敌方造成伤害时，追加一次额外的 10 点伤害；炎热不少于 20 层时，所有武器对敌方造成伤害时，追加一次额外的 12 点伤害；炎热不少于 20 层时，所有武器对敌方造成伤害时，追加一次额外的 14 点伤害</t>
        </is>
      </c>
      <c r="R917" s="9" t="inlineStr"/>
      <c r="S917" s="9" t="inlineStr">
        <is>
          <t>七段赤铜鞭节由火蚕丝相连，每节都嵌有霞色鳞片，末端收作锐利焰梢。</t>
        </is>
      </c>
      <c r="T917" s="8" t="inlineStr">
        <is>
          <t>implement_spirit100_b32_crimson_cloud_seven_section_whip_4x1</t>
        </is>
      </c>
      <c r="U917" s="8" t="inlineStr">
        <is>
          <t>allowed</t>
        </is>
      </c>
    </row>
    <row r="918" ht="34" customHeight="1">
      <c r="A918" s="8" t="n">
        <v>917</v>
      </c>
      <c r="B918" s="8" t="n">
        <v>419033</v>
      </c>
      <c r="C918" s="8" t="inlineStr">
        <is>
          <t>沧溟叠浪轮</t>
        </is>
      </c>
      <c r="D918" s="8" t="inlineStr">
        <is>
          <t>法器</t>
        </is>
      </c>
      <c r="E918" s="8" t="inlineStr">
        <is>
          <t>implement</t>
        </is>
      </c>
      <c r="F918" s="8" t="inlineStr">
        <is>
          <t>spirit</t>
        </is>
      </c>
      <c r="G918" s="8" t="inlineStr">
        <is>
          <t>水</t>
        </is>
      </c>
      <c r="H918" s="8" t="inlineStr">
        <is>
          <t>water</t>
        </is>
      </c>
      <c r="I918" s="8" t="inlineStr">
        <is>
          <t>2×2</t>
        </is>
      </c>
      <c r="J918" s="8" t="n">
        <v>4</v>
      </c>
      <c r="K918" s="8" t="n">
        <v>100</v>
      </c>
      <c r="L918" s="8" t="inlineStr">
        <is>
          <t>是</t>
        </is>
      </c>
      <c r="M918" s="9" t="inlineStr">
        <is>
          <t>bazaar</t>
        </is>
      </c>
      <c r="N918" s="8" t="n">
        <v>1</v>
      </c>
      <c r="O918" s="9" t="inlineStr">
        <is>
          <t>条件触发</t>
        </is>
      </c>
      <c r="P918" s="9" t="inlineStr">
        <is>
          <t>triggered</t>
        </is>
      </c>
      <c r="Q918" s="9" t="inlineStr">
        <is>
          <t>条件触发：水属性招式释放时，使敌方随机一件灵品道具冻结 2 秒；水属性招式释放时，使敌方随机一件灵品道具冻结 3 秒；水属性招式释放时，使敌方随机一件灵品道具冻结 4 秒；水属性招式释放时，使敌方随机一件灵品道具冻结 5 秒</t>
        </is>
      </c>
      <c r="R918" s="9" t="inlineStr"/>
      <c r="S918" s="9" t="inlineStr">
        <is>
          <t>深蓝双轮一大一小同轴咬合，轮缘刻着层叠浪脊，青银铆钉如潮眼环列。</t>
        </is>
      </c>
      <c r="T918" s="8" t="inlineStr">
        <is>
          <t>implement_spirit100_b33_azure_sea_wave_wheel_2x2</t>
        </is>
      </c>
      <c r="U918" s="8" t="inlineStr">
        <is>
          <t>allowed</t>
        </is>
      </c>
    </row>
    <row r="919" ht="34" customHeight="1">
      <c r="A919" s="8" t="n">
        <v>918</v>
      </c>
      <c r="B919" s="8" t="n">
        <v>419034</v>
      </c>
      <c r="C919" s="8" t="inlineStr">
        <is>
          <t>松纹回春杖</t>
        </is>
      </c>
      <c r="D919" s="8" t="inlineStr">
        <is>
          <t>法器</t>
        </is>
      </c>
      <c r="E919" s="8" t="inlineStr">
        <is>
          <t>implement</t>
        </is>
      </c>
      <c r="F919" s="8" t="inlineStr">
        <is>
          <t>spirit</t>
        </is>
      </c>
      <c r="G919" s="8" t="inlineStr">
        <is>
          <t>木</t>
        </is>
      </c>
      <c r="H919" s="8" t="inlineStr">
        <is>
          <t>wood</t>
        </is>
      </c>
      <c r="I919" s="8" t="inlineStr">
        <is>
          <t>1×4</t>
        </is>
      </c>
      <c r="J919" s="8" t="n">
        <v>4</v>
      </c>
      <c r="K919" s="8" t="n">
        <v>100</v>
      </c>
      <c r="L919" s="8" t="inlineStr">
        <is>
          <t>是</t>
        </is>
      </c>
      <c r="M919" s="9" t="inlineStr">
        <is>
          <t>bazaar</t>
        </is>
      </c>
      <c r="N919" s="8" t="n">
        <v>1</v>
      </c>
      <c r="O919" s="9" t="inlineStr">
        <is>
          <t>条件触发</t>
        </is>
      </c>
      <c r="P919" s="9" t="inlineStr">
        <is>
          <t>triggered</t>
        </is>
      </c>
      <c r="Q919" s="9" t="inlineStr">
        <is>
          <t>条件触发：木属性招式释放时，最多将 4 层中毒转化为等量再生；木属性招式释放时，最多将 6 层中毒转化为等量再生；木属性招式释放时，最多将 8 层中毒转化为等量再生；木属性招式释放时，最多将 10 层中毒转化为等量再生</t>
        </is>
      </c>
      <c r="R919" s="9" t="inlineStr"/>
      <c r="S919" s="9" t="inlineStr">
        <is>
          <t>青褐灵木杖身盘绕松针浮雕，杖首托着一枚温润木心珠，铜箍细密而稳固。</t>
        </is>
      </c>
      <c r="T919" s="8" t="inlineStr">
        <is>
          <t>implement_spirit100_b34_pine_revival_staff_1x4</t>
        </is>
      </c>
      <c r="U919" s="8" t="inlineStr">
        <is>
          <t>allowed</t>
        </is>
      </c>
    </row>
    <row r="920" ht="34" customHeight="1">
      <c r="A920" s="8" t="n">
        <v>919</v>
      </c>
      <c r="B920" s="8" t="n">
        <v>419035</v>
      </c>
      <c r="C920" s="8" t="inlineStr">
        <is>
          <t>坤石定脉锥</t>
        </is>
      </c>
      <c r="D920" s="8" t="inlineStr">
        <is>
          <t>法器</t>
        </is>
      </c>
      <c r="E920" s="8" t="inlineStr">
        <is>
          <t>implement</t>
        </is>
      </c>
      <c r="F920" s="8" t="inlineStr">
        <is>
          <t>spirit</t>
        </is>
      </c>
      <c r="G920" s="8" t="inlineStr">
        <is>
          <t>土</t>
        </is>
      </c>
      <c r="H920" s="8" t="inlineStr">
        <is>
          <t>earth</t>
        </is>
      </c>
      <c r="I920" s="8" t="inlineStr">
        <is>
          <t>1×3</t>
        </is>
      </c>
      <c r="J920" s="8" t="n">
        <v>3</v>
      </c>
      <c r="K920" s="8" t="n">
        <v>100</v>
      </c>
      <c r="L920" s="8" t="inlineStr">
        <is>
          <t>是</t>
        </is>
      </c>
      <c r="M920" s="9" t="inlineStr">
        <is>
          <t>bazaar</t>
        </is>
      </c>
      <c r="N920" s="8" t="n">
        <v>1</v>
      </c>
      <c r="O920" s="9" t="inlineStr">
        <is>
          <t>周期触发</t>
        </is>
      </c>
      <c r="P920" s="9" t="inlineStr">
        <is>
          <t>periodicPulse</t>
        </is>
      </c>
      <c r="Q920" s="9" t="inlineStr">
        <is>
          <t>周期触发：消耗 4 点体力，获得 16 层坚硬；消耗 4 点体力，获得 20 层坚硬；消耗 4 点体力，获得 24 层坚硬；消耗 4 点体力，获得 28 层坚硬</t>
        </is>
      </c>
      <c r="R920" s="9" t="inlineStr"/>
      <c r="S920" s="9" t="inlineStr">
        <is>
          <t>黄褐石锥分成三层棱面，铜制握环紧扣尾端，地脉纹从锥尖一直延伸至柄部。</t>
        </is>
      </c>
      <c r="T920" s="8" t="inlineStr">
        <is>
          <t>implement_spirit100_b35_earthstone_meridian_spike_1x3</t>
        </is>
      </c>
      <c r="U920" s="8" t="inlineStr">
        <is>
          <t>allowed</t>
        </is>
      </c>
    </row>
    <row r="921" ht="34" customHeight="1">
      <c r="A921" s="8" t="n">
        <v>920</v>
      </c>
      <c r="B921" s="8" t="n">
        <v>419036</v>
      </c>
      <c r="C921" s="8" t="inlineStr">
        <is>
          <t>寒铁裁月钩</t>
        </is>
      </c>
      <c r="D921" s="8" t="inlineStr">
        <is>
          <t>法器</t>
        </is>
      </c>
      <c r="E921" s="8" t="inlineStr">
        <is>
          <t>implement</t>
        </is>
      </c>
      <c r="F921" s="8" t="inlineStr">
        <is>
          <t>spirit</t>
        </is>
      </c>
      <c r="G921" s="8" t="inlineStr">
        <is>
          <t>金</t>
        </is>
      </c>
      <c r="H921" s="8" t="inlineStr">
        <is>
          <t>metal</t>
        </is>
      </c>
      <c r="I921" s="8" t="inlineStr">
        <is>
          <t>2×2</t>
        </is>
      </c>
      <c r="J921" s="8" t="n">
        <v>4</v>
      </c>
      <c r="K921" s="8" t="n">
        <v>100</v>
      </c>
      <c r="L921" s="8" t="inlineStr">
        <is>
          <t>是</t>
        </is>
      </c>
      <c r="M921" s="9" t="inlineStr">
        <is>
          <t>bazaar</t>
        </is>
      </c>
      <c r="N921" s="8" t="n">
        <v>1</v>
      </c>
      <c r="O921" s="9" t="inlineStr">
        <is>
          <t>条件触发</t>
        </is>
      </c>
      <c r="P921" s="9" t="inlineStr">
        <is>
          <t>triggered</t>
        </is>
      </c>
      <c r="Q921" s="9" t="inlineStr">
        <is>
          <t>条件触发：右侧相邻剑对敌方造成伤害时，使敌方随机 1 件武器减速 2 秒；右侧相邻剑对敌方造成伤害时，使敌方随机 2 件武器减速 3 秒；右侧相邻剑对敌方造成伤害时，使敌方随机 3 件武器减速 4 秒；右侧相邻剑对敌方造成伤害时，使敌方随机 4 件武器减速 5 秒</t>
        </is>
      </c>
      <c r="R921" s="9" t="inlineStr"/>
      <c r="S921" s="9" t="inlineStr">
        <is>
          <t>弯月双钩以寒铁锻成，刃背嵌着淡蓝铆片，短柄缠覆灰白鲛皮。</t>
        </is>
      </c>
      <c r="T921" s="8" t="inlineStr">
        <is>
          <t>implement_spirit100_b36_cold_iron_moon_hook_2x2</t>
        </is>
      </c>
      <c r="U921" s="8" t="inlineStr">
        <is>
          <t>allowed</t>
        </is>
      </c>
    </row>
    <row r="922" ht="34" customHeight="1">
      <c r="A922" s="8" t="n">
        <v>921</v>
      </c>
      <c r="B922" s="8" t="n">
        <v>419037</v>
      </c>
      <c r="C922" s="8" t="inlineStr">
        <is>
          <t>五色纳音铃</t>
        </is>
      </c>
      <c r="D922" s="8" t="inlineStr">
        <is>
          <t>法器</t>
        </is>
      </c>
      <c r="E922" s="8" t="inlineStr">
        <is>
          <t>implement</t>
        </is>
      </c>
      <c r="F922" s="8" t="inlineStr">
        <is>
          <t>spirit</t>
        </is>
      </c>
      <c r="G922" s="8" t="inlineStr">
        <is>
          <t>无</t>
        </is>
      </c>
      <c r="H922" s="8" t="inlineStr">
        <is>
          <t>none</t>
        </is>
      </c>
      <c r="I922" s="8" t="inlineStr">
        <is>
          <t>1×2</t>
        </is>
      </c>
      <c r="J922" s="8" t="n">
        <v>2</v>
      </c>
      <c r="K922" s="8" t="n">
        <v>100</v>
      </c>
      <c r="L922" s="8" t="inlineStr">
        <is>
          <t>是</t>
        </is>
      </c>
      <c r="M922" s="9" t="inlineStr">
        <is>
          <t>bazaar</t>
        </is>
      </c>
      <c r="N922" s="8" t="n">
        <v>1</v>
      </c>
      <c r="O922" s="9" t="inlineStr">
        <is>
          <t>条件触发</t>
        </is>
      </c>
      <c r="P922" s="9" t="inlineStr">
        <is>
          <t>triggered</t>
        </is>
      </c>
      <c r="Q922" s="9" t="inlineStr">
        <is>
          <t>条件触发：无属性招式释放时，使敌方随机一件凡品道具冻结 1 秒；无属性招式释放时，使敌方随机一件凡品道具冻结 2 秒；无属性招式释放时，使敌方随机一件凡品道具冻结 3 秒；无属性招式释放时，使敌方随机一件凡品道具冻结 4 秒</t>
        </is>
      </c>
      <c r="R922" s="9" t="inlineStr"/>
      <c r="S922" s="9" t="inlineStr">
        <is>
          <t>小巧铜铃由五片异色音叶围成，银质铃舌悬在中央，外圈细刻古朴律纹。</t>
        </is>
      </c>
      <c r="T922" s="8" t="inlineStr">
        <is>
          <t>implement_spirit100_b37_five_tone_bell_1x2</t>
        </is>
      </c>
      <c r="U922" s="8" t="inlineStr">
        <is>
          <t>allowed</t>
        </is>
      </c>
    </row>
    <row r="923" ht="34" customHeight="1">
      <c r="A923" s="8" t="n">
        <v>922</v>
      </c>
      <c r="B923" s="8" t="n">
        <v>419038</v>
      </c>
      <c r="C923" s="8" t="inlineStr">
        <is>
          <t>炎翎流火扇</t>
        </is>
      </c>
      <c r="D923" s="8" t="inlineStr">
        <is>
          <t>法器</t>
        </is>
      </c>
      <c r="E923" s="8" t="inlineStr">
        <is>
          <t>implement</t>
        </is>
      </c>
      <c r="F923" s="8" t="inlineStr">
        <is>
          <t>spirit</t>
        </is>
      </c>
      <c r="G923" s="8" t="inlineStr">
        <is>
          <t>火</t>
        </is>
      </c>
      <c r="H923" s="8" t="inlineStr">
        <is>
          <t>fire</t>
        </is>
      </c>
      <c r="I923" s="8" t="inlineStr">
        <is>
          <t>3×2</t>
        </is>
      </c>
      <c r="J923" s="8" t="n">
        <v>6</v>
      </c>
      <c r="K923" s="8" t="n">
        <v>100</v>
      </c>
      <c r="L923" s="8" t="inlineStr">
        <is>
          <t>是</t>
        </is>
      </c>
      <c r="M923" s="9" t="inlineStr">
        <is>
          <t>bazaar</t>
        </is>
      </c>
      <c r="N923" s="8" t="n">
        <v>1</v>
      </c>
      <c r="O923" s="9" t="inlineStr">
        <is>
          <t>周期触发</t>
        </is>
      </c>
      <c r="P923" s="9" t="inlineStr">
        <is>
          <t>periodicPulse</t>
        </is>
      </c>
      <c r="Q923" s="9" t="inlineStr">
        <is>
          <t>周期触发：消耗 18 点法力，对敌方造成 36 点伤害，并施加 8 层灼烧；消耗 18 点法力，对敌方造成 46 点伤害，并施加 10 层灼烧；消耗 18 点法力，对敌方造成 54 点伤害，并施加 12 层灼烧；消耗 18 点法力，对敌方造成 64 点伤害，并施加 14 层灼烧</t>
        </is>
      </c>
      <c r="R923" s="9" t="inlineStr"/>
      <c r="S923" s="9" t="inlineStr">
        <is>
          <t>赤金扇骨撑开九片炎翎形扇叶，叶面铺陈熔金纹路，扇钉如一颗凝固火珠。</t>
        </is>
      </c>
      <c r="T923" s="8" t="inlineStr">
        <is>
          <t>implement_spirit100_b38_flame_feather_fan_3x2</t>
        </is>
      </c>
      <c r="U923" s="8" t="inlineStr">
        <is>
          <t>allowed</t>
        </is>
      </c>
    </row>
    <row r="924" ht="34" customHeight="1">
      <c r="A924" s="8" t="n">
        <v>923</v>
      </c>
      <c r="B924" s="8" t="n">
        <v>419039</v>
      </c>
      <c r="C924" s="8" t="inlineStr">
        <is>
          <t>玄冰沉月盘</t>
        </is>
      </c>
      <c r="D924" s="8" t="inlineStr">
        <is>
          <t>法器</t>
        </is>
      </c>
      <c r="E924" s="8" t="inlineStr">
        <is>
          <t>implement</t>
        </is>
      </c>
      <c r="F924" s="8" t="inlineStr">
        <is>
          <t>spirit</t>
        </is>
      </c>
      <c r="G924" s="8" t="inlineStr">
        <is>
          <t>水</t>
        </is>
      </c>
      <c r="H924" s="8" t="inlineStr">
        <is>
          <t>water</t>
        </is>
      </c>
      <c r="I924" s="8" t="inlineStr">
        <is>
          <t>3×2</t>
        </is>
      </c>
      <c r="J924" s="8" t="n">
        <v>6</v>
      </c>
      <c r="K924" s="8" t="n">
        <v>100</v>
      </c>
      <c r="L924" s="8" t="inlineStr">
        <is>
          <t>是</t>
        </is>
      </c>
      <c r="M924" s="9" t="inlineStr">
        <is>
          <t>bazaar</t>
        </is>
      </c>
      <c r="N924" s="8" t="n">
        <v>1</v>
      </c>
      <c r="O924" s="9" t="inlineStr">
        <is>
          <t>周期触发</t>
        </is>
      </c>
      <c r="P924" s="9" t="inlineStr">
        <is>
          <t>periodicPulse</t>
        </is>
      </c>
      <c r="Q924" s="9" t="inlineStr">
        <is>
          <t>周期触发：开局：使敌方一件最大道具冻结 5 秒；开局：使敌方一件最大道具冻结 6 秒；开局：使敌方一件最大道具冻结 7 秒；开局：使敌方一件最大道具冻结 8 秒</t>
        </is>
      </c>
      <c r="R924" s="9" t="inlineStr"/>
      <c r="S924" s="9" t="inlineStr">
        <is>
          <t>深蓝圆盘由三重冰纹铜环套合，中央嵌着乳白月石，盘沿垂有短小水滴坠。</t>
        </is>
      </c>
      <c r="T924" s="8" t="inlineStr">
        <is>
          <t>implement_spirit100_b39_dark_ice_moon_disc_3x2</t>
        </is>
      </c>
      <c r="U924" s="8" t="inlineStr">
        <is>
          <t>allowed</t>
        </is>
      </c>
    </row>
    <row r="925" ht="34" customHeight="1">
      <c r="A925" s="8" t="n">
        <v>924</v>
      </c>
      <c r="B925" s="8" t="n">
        <v>419040</v>
      </c>
      <c r="C925" s="8" t="inlineStr">
        <is>
          <t>翠篁引露筒</t>
        </is>
      </c>
      <c r="D925" s="8" t="inlineStr">
        <is>
          <t>法器</t>
        </is>
      </c>
      <c r="E925" s="8" t="inlineStr">
        <is>
          <t>implement</t>
        </is>
      </c>
      <c r="F925" s="8" t="inlineStr">
        <is>
          <t>spirit</t>
        </is>
      </c>
      <c r="G925" s="8" t="inlineStr">
        <is>
          <t>木</t>
        </is>
      </c>
      <c r="H925" s="8" t="inlineStr">
        <is>
          <t>wood</t>
        </is>
      </c>
      <c r="I925" s="8" t="inlineStr">
        <is>
          <t>1×3</t>
        </is>
      </c>
      <c r="J925" s="8" t="n">
        <v>3</v>
      </c>
      <c r="K925" s="8" t="n">
        <v>100</v>
      </c>
      <c r="L925" s="8" t="inlineStr">
        <is>
          <t>是</t>
        </is>
      </c>
      <c r="M925" s="9" t="inlineStr">
        <is>
          <t>bazaar</t>
        </is>
      </c>
      <c r="N925" s="8" t="n">
        <v>1</v>
      </c>
      <c r="O925" s="9" t="inlineStr">
        <is>
          <t>条件触发</t>
        </is>
      </c>
      <c r="P925" s="9" t="inlineStr">
        <is>
          <t>triggered</t>
        </is>
      </c>
      <c r="Q925" s="9" t="inlineStr">
        <is>
          <t>条件触发：右侧相邻木属性符箓使用时，获得 6 层露水；右侧相邻木属性符箓使用时，获得 8 层露水；右侧相邻木属性符箓使用时，获得 10 层露水；右侧相邻木属性符箓使用时，获得 12 层露水</t>
        </is>
      </c>
      <c r="R925" s="9" t="inlineStr"/>
      <c r="S925" s="9" t="inlineStr">
        <is>
          <t>翠竹长筒以白铜节箍加固，筒身开有叶形细孔，顶端收作玲珑露斗。</t>
        </is>
      </c>
      <c r="T925" s="8" t="inlineStr">
        <is>
          <t>implement_spirit100_b40_jade_bamboo_dew_tube_1x3</t>
        </is>
      </c>
      <c r="U925" s="8" t="inlineStr">
        <is>
          <t>allowed</t>
        </is>
      </c>
    </row>
    <row r="926" ht="34" customHeight="1">
      <c r="A926" s="8" t="n">
        <v>925</v>
      </c>
      <c r="B926" s="8" t="n">
        <v>419041</v>
      </c>
      <c r="C926" s="8" t="inlineStr">
        <is>
          <t>黄玉守藏锁</t>
        </is>
      </c>
      <c r="D926" s="8" t="inlineStr">
        <is>
          <t>法器</t>
        </is>
      </c>
      <c r="E926" s="8" t="inlineStr">
        <is>
          <t>implement</t>
        </is>
      </c>
      <c r="F926" s="8" t="inlineStr">
        <is>
          <t>spirit</t>
        </is>
      </c>
      <c r="G926" s="8" t="inlineStr">
        <is>
          <t>土</t>
        </is>
      </c>
      <c r="H926" s="8" t="inlineStr">
        <is>
          <t>earth</t>
        </is>
      </c>
      <c r="I926" s="8" t="inlineStr">
        <is>
          <t>2×1</t>
        </is>
      </c>
      <c r="J926" s="8" t="n">
        <v>2</v>
      </c>
      <c r="K926" s="8" t="n">
        <v>100</v>
      </c>
      <c r="L926" s="8" t="inlineStr">
        <is>
          <t>是</t>
        </is>
      </c>
      <c r="M926" s="9" t="inlineStr">
        <is>
          <t>bazaar</t>
        </is>
      </c>
      <c r="N926" s="8" t="n">
        <v>1</v>
      </c>
      <c r="O926" s="9" t="inlineStr">
        <is>
          <t>被动效果</t>
        </is>
      </c>
      <c r="P926" s="9" t="inlineStr">
        <is>
          <t>passive</t>
        </is>
      </c>
      <c r="Q926" s="9" t="inlineStr">
        <is>
          <t>被动效果：敌方所有道具在本局中无法移动</t>
        </is>
      </c>
      <c r="R926" s="9" t="inlineStr"/>
      <c r="S926" s="9" t="inlineStr">
        <is>
          <t>厚实黄玉锁体包着古铜护角，方形锁孔外环绕谷纹，短链扣合得严丝合缝。</t>
        </is>
      </c>
      <c r="T926" s="8" t="inlineStr">
        <is>
          <t>implement_spirit100_b41_yellow_jade_vault_lock_2x1</t>
        </is>
      </c>
      <c r="U926" s="8" t="inlineStr">
        <is>
          <t>allowed</t>
        </is>
      </c>
    </row>
    <row r="927" ht="34" customHeight="1">
      <c r="A927" s="8" t="n">
        <v>926</v>
      </c>
      <c r="B927" s="8" t="n">
        <v>419042</v>
      </c>
      <c r="C927" s="8" t="inlineStr">
        <is>
          <t>银罡破雾梭</t>
        </is>
      </c>
      <c r="D927" s="8" t="inlineStr">
        <is>
          <t>法器</t>
        </is>
      </c>
      <c r="E927" s="8" t="inlineStr">
        <is>
          <t>implement</t>
        </is>
      </c>
      <c r="F927" s="8" t="inlineStr">
        <is>
          <t>spirit</t>
        </is>
      </c>
      <c r="G927" s="8" t="inlineStr">
        <is>
          <t>金</t>
        </is>
      </c>
      <c r="H927" s="8" t="inlineStr">
        <is>
          <t>metal</t>
        </is>
      </c>
      <c r="I927" s="8" t="inlineStr">
        <is>
          <t>1×3</t>
        </is>
      </c>
      <c r="J927" s="8" t="n">
        <v>3</v>
      </c>
      <c r="K927" s="8" t="n">
        <v>100</v>
      </c>
      <c r="L927" s="8" t="inlineStr">
        <is>
          <t>是</t>
        </is>
      </c>
      <c r="M927" s="9" t="inlineStr">
        <is>
          <t>bazaar</t>
        </is>
      </c>
      <c r="N927" s="8" t="n">
        <v>1</v>
      </c>
      <c r="O927" s="9" t="inlineStr">
        <is>
          <t>条件触发</t>
        </is>
      </c>
      <c r="P927" s="9" t="inlineStr">
        <is>
          <t>triggered</t>
        </is>
      </c>
      <c r="Q927" s="9" t="inlineStr">
        <is>
          <t>条件触发：敌方凝金不少于 25 层时，敌方每次消耗凝金，对敌方造成 28 点伤害；敌方凝金不少于 50 层时，敌方每次消耗凝金，对敌方造成 36 点伤害；敌方凝金不少于 50 层时，敌方每次消耗凝金，对敌方造成 42 点伤害；敌方凝金不少于 50 层时，敌方每次消耗凝金，对敌方造成 50 点伤害</t>
        </is>
      </c>
      <c r="R927" s="9" t="inlineStr"/>
      <c r="S927" s="9" t="inlineStr">
        <is>
          <t>银钢长梭两端锐利，三片导流翼沿梭身错落展开，表面留有笔直罡纹。</t>
        </is>
      </c>
      <c r="T927" s="8" t="inlineStr">
        <is>
          <t>implement_spirit100_b42_silver_gale_mist_shuttle_1x3</t>
        </is>
      </c>
      <c r="U927" s="8" t="inlineStr">
        <is>
          <t>allowed</t>
        </is>
      </c>
    </row>
    <row r="928" ht="34" customHeight="1">
      <c r="A928" s="8" t="n">
        <v>927</v>
      </c>
      <c r="B928" s="8" t="n">
        <v>419043</v>
      </c>
      <c r="C928" s="8" t="inlineStr">
        <is>
          <t>星罗测灵仪</t>
        </is>
      </c>
      <c r="D928" s="8" t="inlineStr">
        <is>
          <t>法器</t>
        </is>
      </c>
      <c r="E928" s="8" t="inlineStr">
        <is>
          <t>implement</t>
        </is>
      </c>
      <c r="F928" s="8" t="inlineStr">
        <is>
          <t>spirit</t>
        </is>
      </c>
      <c r="G928" s="8" t="inlineStr">
        <is>
          <t>无</t>
        </is>
      </c>
      <c r="H928" s="8" t="inlineStr">
        <is>
          <t>none</t>
        </is>
      </c>
      <c r="I928" s="8" t="inlineStr">
        <is>
          <t>3×3</t>
        </is>
      </c>
      <c r="J928" s="8" t="n">
        <v>9</v>
      </c>
      <c r="K928" s="8" t="n">
        <v>100</v>
      </c>
      <c r="L928" s="8" t="inlineStr">
        <is>
          <t>是</t>
        </is>
      </c>
      <c r="M928" s="9" t="inlineStr">
        <is>
          <t>bazaar</t>
        </is>
      </c>
      <c r="N928" s="8" t="n">
        <v>1</v>
      </c>
      <c r="O928" s="9" t="inlineStr">
        <is>
          <t>条件触发</t>
        </is>
      </c>
      <c r="P928" s="9" t="inlineStr">
        <is>
          <t>triggered</t>
        </is>
      </c>
      <c r="Q928" s="9" t="inlineStr">
        <is>
          <t>条件触发：使用相邻无属性装备时，获得 12 层护甲；使用相邻无属性装备时，获得 16 层护甲；使用相邻无属性装备时，获得 18 层护甲；使用相邻无属性装备时，获得 22 层护甲</t>
        </is>
      </c>
      <c r="R928" s="9" t="inlineStr"/>
      <c r="S928" s="9" t="inlineStr">
        <is>
          <t>三层青铜星环围绕玉质中枢交错悬合，刻度盘、游标与细小齿轮层次分明。</t>
        </is>
      </c>
      <c r="T928" s="8" t="inlineStr">
        <is>
          <t>implement_spirit100_b43_star_spirit_astrolabe_3x3</t>
        </is>
      </c>
      <c r="U928" s="8" t="inlineStr">
        <is>
          <t>allowed</t>
        </is>
      </c>
    </row>
    <row r="929" ht="34" customHeight="1">
      <c r="A929" s="8" t="n">
        <v>928</v>
      </c>
      <c r="B929" s="8" t="n">
        <v>419044</v>
      </c>
      <c r="C929" s="8" t="inlineStr">
        <is>
          <t>丹砂照夜幢</t>
        </is>
      </c>
      <c r="D929" s="8" t="inlineStr">
        <is>
          <t>法器</t>
        </is>
      </c>
      <c r="E929" s="8" t="inlineStr">
        <is>
          <t>implement</t>
        </is>
      </c>
      <c r="F929" s="8" t="inlineStr">
        <is>
          <t>spirit</t>
        </is>
      </c>
      <c r="G929" s="8" t="inlineStr">
        <is>
          <t>火</t>
        </is>
      </c>
      <c r="H929" s="8" t="inlineStr">
        <is>
          <t>fire</t>
        </is>
      </c>
      <c r="I929" s="8" t="inlineStr">
        <is>
          <t>2×3</t>
        </is>
      </c>
      <c r="J929" s="8" t="n">
        <v>6</v>
      </c>
      <c r="K929" s="8" t="n">
        <v>100</v>
      </c>
      <c r="L929" s="8" t="inlineStr">
        <is>
          <t>是</t>
        </is>
      </c>
      <c r="M929" s="9" t="inlineStr">
        <is>
          <t>bazaar</t>
        </is>
      </c>
      <c r="N929" s="8" t="n">
        <v>1</v>
      </c>
      <c r="O929" s="9" t="inlineStr">
        <is>
          <t>周期触发</t>
        </is>
      </c>
      <c r="P929" s="9" t="inlineStr">
        <is>
          <t>periodicPulse</t>
        </is>
      </c>
      <c r="Q929" s="9" t="inlineStr">
        <is>
          <t>周期触发：对敌方施加 14 层灼烧；对敌方施加 18 层灼烧；对敌方施加 22 层灼烧；对敌方施加 24 层灼烧</t>
        </is>
      </c>
      <c r="R929" s="9" t="inlineStr"/>
      <c r="S929" s="9" t="inlineStr">
        <is>
          <t>朱红短幢由铜骨撑起，四角丹砂牌依次垂落，顶部宝盖饰有规整焰纹。</t>
        </is>
      </c>
      <c r="T929" s="8" t="inlineStr">
        <is>
          <t>implement_spirit100_b44_cinnabar_night_banner_2x3</t>
        </is>
      </c>
      <c r="U929" s="8" t="inlineStr">
        <is>
          <t>allowed</t>
        </is>
      </c>
    </row>
    <row r="930" ht="34" customHeight="1">
      <c r="A930" s="8" t="n">
        <v>929</v>
      </c>
      <c r="B930" s="8" t="n">
        <v>419045</v>
      </c>
      <c r="C930" s="8" t="inlineStr">
        <is>
          <t>海纹驭澜叉</t>
        </is>
      </c>
      <c r="D930" s="8" t="inlineStr">
        <is>
          <t>法器</t>
        </is>
      </c>
      <c r="E930" s="8" t="inlineStr">
        <is>
          <t>implement</t>
        </is>
      </c>
      <c r="F930" s="8" t="inlineStr">
        <is>
          <t>spirit</t>
        </is>
      </c>
      <c r="G930" s="8" t="inlineStr">
        <is>
          <t>水</t>
        </is>
      </c>
      <c r="H930" s="8" t="inlineStr">
        <is>
          <t>water</t>
        </is>
      </c>
      <c r="I930" s="8" t="inlineStr">
        <is>
          <t>2×3</t>
        </is>
      </c>
      <c r="J930" s="8" t="n">
        <v>6</v>
      </c>
      <c r="K930" s="8" t="n">
        <v>100</v>
      </c>
      <c r="L930" s="8" t="inlineStr">
        <is>
          <t>是</t>
        </is>
      </c>
      <c r="M930" s="9" t="inlineStr">
        <is>
          <t>bazaar</t>
        </is>
      </c>
      <c r="N930" s="8" t="n">
        <v>1</v>
      </c>
      <c r="O930" s="9" t="inlineStr">
        <is>
          <t>条件触发</t>
        </is>
      </c>
      <c r="P930" s="9" t="inlineStr">
        <is>
          <t>triggered</t>
        </is>
      </c>
      <c r="Q930" s="9" t="inlineStr">
        <is>
          <t>条件触发：使用下方相邻武器时，消耗 1 层露水，对敌方造成 12 点伤害；使用下方相邻武器时，消耗 1 层露水，对敌方造成 16 点伤害；使用下方相邻武器时，消耗 1 层露水，对敌方造成 18 点伤害；使用下方相邻武器时，消耗 1 层露水，对敌方造成 22 点伤害</t>
        </is>
      </c>
      <c r="R930" s="9" t="inlineStr"/>
      <c r="S930" s="9" t="inlineStr">
        <is>
          <t>青银三股叉的叉齿如浪峰并立，长柄嵌满海纹贝片，尾端坠着深蓝束环。</t>
        </is>
      </c>
      <c r="T930" s="8" t="inlineStr">
        <is>
          <t>implement_spirit100_b45_sea_wave_trident_2x3</t>
        </is>
      </c>
      <c r="U930" s="8" t="inlineStr">
        <is>
          <t>allowed</t>
        </is>
      </c>
    </row>
    <row r="931" ht="34" customHeight="1">
      <c r="A931" s="8" t="n">
        <v>930</v>
      </c>
      <c r="B931" s="8" t="n">
        <v>419046</v>
      </c>
      <c r="C931" s="8" t="inlineStr">
        <is>
          <t>藤骨千机弩</t>
        </is>
      </c>
      <c r="D931" s="8" t="inlineStr">
        <is>
          <t>法器</t>
        </is>
      </c>
      <c r="E931" s="8" t="inlineStr">
        <is>
          <t>implement</t>
        </is>
      </c>
      <c r="F931" s="8" t="inlineStr">
        <is>
          <t>spirit</t>
        </is>
      </c>
      <c r="G931" s="8" t="inlineStr">
        <is>
          <t>木</t>
        </is>
      </c>
      <c r="H931" s="8" t="inlineStr">
        <is>
          <t>wood</t>
        </is>
      </c>
      <c r="I931" s="8" t="inlineStr">
        <is>
          <t>3×2</t>
        </is>
      </c>
      <c r="J931" s="8" t="n">
        <v>6</v>
      </c>
      <c r="K931" s="8" t="n">
        <v>100</v>
      </c>
      <c r="L931" s="8" t="inlineStr">
        <is>
          <t>是</t>
        </is>
      </c>
      <c r="M931" s="9" t="inlineStr">
        <is>
          <t>itemReforge；bazaar</t>
        </is>
      </c>
      <c r="N931" s="8" t="n">
        <v>1</v>
      </c>
      <c r="O931" s="9" t="inlineStr">
        <is>
          <t>周期触发</t>
        </is>
      </c>
      <c r="P931" s="9" t="inlineStr">
        <is>
          <t>periodicPulse</t>
        </is>
      </c>
      <c r="Q931" s="9" t="inlineStr">
        <is>
          <t>周期触发：消耗 4 点气血，获得 16 层再生；消耗 4 点气血，获得 20 层再生；消耗 4 点气血，获得 24 层再生；消耗 4 点气血，获得 28 层再生</t>
        </is>
      </c>
      <c r="R931" s="9" t="inlineStr"/>
      <c r="S931" s="9" t="inlineStr">
        <is>
          <t>硬木弩臂外覆交织藤骨，青铜机括与滑槽层层咬合，短弦绷得笔直利落。</t>
        </is>
      </c>
      <c r="T931" s="8" t="inlineStr">
        <is>
          <t>implement_spirit100_b46_vinebone_mechanism_crossbow_3x2</t>
        </is>
      </c>
      <c r="U931" s="8" t="inlineStr">
        <is>
          <t>allowed</t>
        </is>
      </c>
    </row>
    <row r="932" ht="34" customHeight="1">
      <c r="A932" s="8" t="n">
        <v>931</v>
      </c>
      <c r="B932" s="8" t="n">
        <v>419047</v>
      </c>
      <c r="C932" s="8" t="inlineStr">
        <is>
          <t>岩心承岳盾</t>
        </is>
      </c>
      <c r="D932" s="8" t="inlineStr">
        <is>
          <t>法器</t>
        </is>
      </c>
      <c r="E932" s="8" t="inlineStr">
        <is>
          <t>implement</t>
        </is>
      </c>
      <c r="F932" s="8" t="inlineStr">
        <is>
          <t>spirit</t>
        </is>
      </c>
      <c r="G932" s="8" t="inlineStr">
        <is>
          <t>土</t>
        </is>
      </c>
      <c r="H932" s="8" t="inlineStr">
        <is>
          <t>earth</t>
        </is>
      </c>
      <c r="I932" s="8" t="inlineStr">
        <is>
          <t>3×3</t>
        </is>
      </c>
      <c r="J932" s="8" t="n">
        <v>9</v>
      </c>
      <c r="K932" s="8" t="n">
        <v>100</v>
      </c>
      <c r="L932" s="8" t="inlineStr">
        <is>
          <t>是</t>
        </is>
      </c>
      <c r="M932" s="9" t="inlineStr">
        <is>
          <t>bazaar</t>
        </is>
      </c>
      <c r="N932" s="8" t="n">
        <v>1</v>
      </c>
      <c r="O932" s="9" t="inlineStr">
        <is>
          <t>被动效果</t>
        </is>
      </c>
      <c r="P932" s="9" t="inlineStr">
        <is>
          <t>passive</t>
        </is>
      </c>
      <c r="Q932" s="9" t="inlineStr">
        <is>
          <t>被动效果：免疫所有凡品土属性道具对己方施加的蓄势、中毒、灼烧、冰霜和麻痹</t>
        </is>
      </c>
      <c r="R932" s="9" t="inlineStr"/>
      <c r="S932" s="9" t="inlineStr">
        <is>
          <t>方阔岩盾以层叠石板拼合，中央凸起黄晶盾脊，四角铜钉深深嵌入厚重边框。</t>
        </is>
      </c>
      <c r="T932" s="8" t="inlineStr">
        <is>
          <t>implement_spirit100_b47_rockheart_mountain_shield_3x3</t>
        </is>
      </c>
      <c r="U932" s="8" t="inlineStr">
        <is>
          <t>allowed</t>
        </is>
      </c>
    </row>
    <row r="933" ht="34" customHeight="1">
      <c r="A933" s="8" t="n">
        <v>932</v>
      </c>
      <c r="B933" s="8" t="n">
        <v>419048</v>
      </c>
      <c r="C933" s="8" t="inlineStr">
        <is>
          <t>素锋回燕剪</t>
        </is>
      </c>
      <c r="D933" s="8" t="inlineStr">
        <is>
          <t>法器</t>
        </is>
      </c>
      <c r="E933" s="8" t="inlineStr">
        <is>
          <t>implement</t>
        </is>
      </c>
      <c r="F933" s="8" t="inlineStr">
        <is>
          <t>spirit</t>
        </is>
      </c>
      <c r="G933" s="8" t="inlineStr">
        <is>
          <t>金</t>
        </is>
      </c>
      <c r="H933" s="8" t="inlineStr">
        <is>
          <t>metal</t>
        </is>
      </c>
      <c r="I933" s="8" t="inlineStr">
        <is>
          <t>2×2</t>
        </is>
      </c>
      <c r="J933" s="8" t="n">
        <v>4</v>
      </c>
      <c r="K933" s="8" t="n">
        <v>100</v>
      </c>
      <c r="L933" s="8" t="inlineStr">
        <is>
          <t>是</t>
        </is>
      </c>
      <c r="M933" s="9" t="inlineStr">
        <is>
          <t>bazaar</t>
        </is>
      </c>
      <c r="N933" s="8" t="n">
        <v>1</v>
      </c>
      <c r="O933" s="9" t="inlineStr">
        <is>
          <t>条件触发</t>
        </is>
      </c>
      <c r="P933" s="9" t="inlineStr">
        <is>
          <t>triggered</t>
        </is>
      </c>
      <c r="Q933" s="9" t="inlineStr">
        <is>
          <t>条件触发：左右均相邻剑时，左侧相邻剑对敌方造成伤害后，消耗 2 层凝金并追加 16 点伤害；左右均相邻剑时，左侧相邻剑对敌方造成伤害后，消耗 2 层凝金并追加 20 点伤害；左右均相邻剑时，左侧相邻剑对敌方造成伤害后，消耗 2 层凝金并追加 24 点伤害；左右均相邻剑时，左侧相邻剑对敌方造成伤害后，消耗 2 层凝金并追加 28 点伤害</t>
        </is>
      </c>
      <c r="R933" s="9" t="inlineStr"/>
      <c r="S933" s="9" t="inlineStr">
        <is>
          <t>一对银钢长刃以燕尾轴相连，刃腹镂出流畅回旋纹，握环包覆深灰细革。</t>
        </is>
      </c>
      <c r="T933" s="8" t="inlineStr">
        <is>
          <t>implement_spirit100_b48_plain_edge_swallow_shears_2x2</t>
        </is>
      </c>
      <c r="U933" s="8" t="inlineStr">
        <is>
          <t>allowed</t>
        </is>
      </c>
    </row>
    <row r="934" ht="34" customHeight="1">
      <c r="A934" s="8" t="n">
        <v>933</v>
      </c>
      <c r="B934" s="8" t="n">
        <v>419049</v>
      </c>
      <c r="C934" s="8" t="inlineStr">
        <is>
          <t>阴阳定序筹</t>
        </is>
      </c>
      <c r="D934" s="8" t="inlineStr">
        <is>
          <t>法器</t>
        </is>
      </c>
      <c r="E934" s="8" t="inlineStr">
        <is>
          <t>implement</t>
        </is>
      </c>
      <c r="F934" s="8" t="inlineStr">
        <is>
          <t>spirit</t>
        </is>
      </c>
      <c r="G934" s="8" t="inlineStr">
        <is>
          <t>无</t>
        </is>
      </c>
      <c r="H934" s="8" t="inlineStr">
        <is>
          <t>none</t>
        </is>
      </c>
      <c r="I934" s="8" t="inlineStr">
        <is>
          <t>1×4</t>
        </is>
      </c>
      <c r="J934" s="8" t="n">
        <v>4</v>
      </c>
      <c r="K934" s="8" t="n">
        <v>100</v>
      </c>
      <c r="L934" s="8" t="inlineStr">
        <is>
          <t>是</t>
        </is>
      </c>
      <c r="M934" s="9" t="inlineStr">
        <is>
          <t>bazaar</t>
        </is>
      </c>
      <c r="N934" s="8" t="n">
        <v>1</v>
      </c>
      <c r="O934" s="9" t="inlineStr">
        <is>
          <t>条件触发</t>
        </is>
      </c>
      <c r="P934" s="9" t="inlineStr">
        <is>
          <t>triggered</t>
        </is>
      </c>
      <c r="Q934" s="9" t="inlineStr">
        <is>
          <t>条件触发：充能：累计使用 3 张水属性符箓时，使敌方随机 1 件武器减速 3 秒；充能：累计使用 3 张水属性符箓时，使敌方随机 2 件武器减速 4 秒；充能：累计使用 3 张水属性符箓时，使敌方随机 3 件武器减速 5 秒；充能：累计使用 3 张水属性符箓时，使敌方随机 4 件武器减速 6 秒</t>
        </is>
      </c>
      <c r="R934" s="9" t="inlineStr"/>
      <c r="S934" s="9" t="inlineStr">
        <is>
          <t>黑白两色竹筹并排收入窄匣，筹面刻着连续序纹，匣口设有精巧铜制分格。</t>
        </is>
      </c>
      <c r="T934" s="8" t="inlineStr">
        <is>
          <t>implement_spirit100_b49_yinyang_order_sticks_1x4</t>
        </is>
      </c>
      <c r="U934" s="8" t="inlineStr">
        <is>
          <t>allowed</t>
        </is>
      </c>
    </row>
    <row r="935" ht="34" customHeight="1">
      <c r="A935" s="8" t="n">
        <v>934</v>
      </c>
      <c r="B935" s="8" t="n">
        <v>419050</v>
      </c>
      <c r="C935" s="8" t="inlineStr">
        <is>
          <t>紫电鸣霄槌</t>
        </is>
      </c>
      <c r="D935" s="8" t="inlineStr">
        <is>
          <t>法器</t>
        </is>
      </c>
      <c r="E935" s="8" t="inlineStr">
        <is>
          <t>implement</t>
        </is>
      </c>
      <c r="F935" s="8" t="inlineStr">
        <is>
          <t>spirit</t>
        </is>
      </c>
      <c r="G935" s="8" t="inlineStr">
        <is>
          <t>金</t>
        </is>
      </c>
      <c r="H935" s="8" t="inlineStr">
        <is>
          <t>metal</t>
        </is>
      </c>
      <c r="I935" s="8" t="inlineStr">
        <is>
          <t>2×3</t>
        </is>
      </c>
      <c r="J935" s="8" t="n">
        <v>6</v>
      </c>
      <c r="K935" s="8" t="n">
        <v>100</v>
      </c>
      <c r="L935" s="8" t="inlineStr">
        <is>
          <t>是</t>
        </is>
      </c>
      <c r="M935" s="9" t="inlineStr">
        <is>
          <t>bazaar</t>
        </is>
      </c>
      <c r="N935" s="8" t="n">
        <v>1</v>
      </c>
      <c r="O935" s="9" t="inlineStr">
        <is>
          <t>被动效果</t>
        </is>
      </c>
      <c r="P935" s="9" t="inlineStr">
        <is>
          <t>passive</t>
        </is>
      </c>
      <c r="Q935" s="9" t="inlineStr">
        <is>
          <t>被动效果：所在横列连续至少 3 件金属性法器时，其中的剑对敌方造成伤害时，追加一次额外的 8 点伤害；所在横列连续至少 3 件金属性法器时，其中的剑对敌方造成伤害时，追加一次额外的 10 点伤害；所在横列连续至少 3 件金属性法器时，其中的剑对敌方造成伤害时，追加一次额外的 12 点伤害；所在横列连续至少 3 件金属性法器时，其中的剑对敌方造成伤害时，追加一次额外的 14 点伤害</t>
        </is>
      </c>
      <c r="R935" s="9" t="inlineStr"/>
      <c r="S935" s="9" t="inlineStr">
        <is>
          <t>紫纹精钢槌头分作四棱，雷纹铜箍锁住长柄，槌面嵌着细碎银色导纹。</t>
        </is>
      </c>
      <c r="T935" s="8" t="inlineStr">
        <is>
          <t>implement_spirit100_b50_violet_thunder_hammer_2x3</t>
        </is>
      </c>
      <c r="U935" s="8" t="inlineStr">
        <is>
          <t>allowed</t>
        </is>
      </c>
    </row>
    <row r="936" ht="34" customHeight="1">
      <c r="A936" s="8" t="n">
        <v>935</v>
      </c>
      <c r="B936" s="8" t="n">
        <v>419051</v>
      </c>
      <c r="C936" s="8" t="inlineStr">
        <is>
          <t>玄霜听潮鉴</t>
        </is>
      </c>
      <c r="D936" s="8" t="inlineStr">
        <is>
          <t>法器</t>
        </is>
      </c>
      <c r="E936" s="8" t="inlineStr">
        <is>
          <t>implement</t>
        </is>
      </c>
      <c r="F936" s="8" t="inlineStr">
        <is>
          <t>spirit</t>
        </is>
      </c>
      <c r="G936" s="8" t="inlineStr">
        <is>
          <t>水</t>
        </is>
      </c>
      <c r="H936" s="8" t="inlineStr">
        <is>
          <t>water</t>
        </is>
      </c>
      <c r="I936" s="8" t="inlineStr">
        <is>
          <t>2×2</t>
        </is>
      </c>
      <c r="J936" s="8" t="n">
        <v>4</v>
      </c>
      <c r="K936" s="8" t="n">
        <v>100</v>
      </c>
      <c r="L936" s="8" t="inlineStr">
        <is>
          <t>是</t>
        </is>
      </c>
      <c r="M936" s="9" t="inlineStr">
        <is>
          <t>bazaar</t>
        </is>
      </c>
      <c r="N936" s="8" t="n">
        <v>1</v>
      </c>
      <c r="O936" s="9" t="inlineStr">
        <is>
          <t>周期触发</t>
        </is>
      </c>
      <c r="P936" s="9" t="inlineStr">
        <is>
          <t>periodicPulse</t>
        </is>
      </c>
      <c r="Q936" s="9" t="inlineStr">
        <is>
          <t>周期触发：消耗 12 点法力，对敌方造成 24 点伤害，并施加 6 层冰霜；消耗 12 点法力，对敌方造成 30 点伤害，并施加 8 层冰霜；消耗 12 点法力，对敌方造成 36 点伤害，并施加 10 层冰霜；消耗 12 点法力，对敌方造成 42 点伤害，并施加 12 层冰霜</t>
        </is>
      </c>
      <c r="R936" s="9" t="inlineStr"/>
      <c r="S936" s="9" t="inlineStr">
        <is>
          <t>玄银鉴背藏着旧海港的潮纹，轻叩边缘，仿佛仍有寒涛在器腹深处回旋。</t>
        </is>
      </c>
      <c r="T936" s="8" t="inlineStr">
        <is>
          <t>implement_spirit100_c51_frost_tide_mirror_2x2</t>
        </is>
      </c>
      <c r="U936" s="8" t="inlineStr">
        <is>
          <t>allowed</t>
        </is>
      </c>
    </row>
    <row r="937" ht="34" customHeight="1">
      <c r="A937" s="8" t="n">
        <v>936</v>
      </c>
      <c r="B937" s="8" t="n">
        <v>419052</v>
      </c>
      <c r="C937" s="8" t="inlineStr">
        <is>
          <t>赤羽温脉炉</t>
        </is>
      </c>
      <c r="D937" s="8" t="inlineStr">
        <is>
          <t>法器</t>
        </is>
      </c>
      <c r="E937" s="8" t="inlineStr">
        <is>
          <t>implement</t>
        </is>
      </c>
      <c r="F937" s="8" t="inlineStr">
        <is>
          <t>spirit</t>
        </is>
      </c>
      <c r="G937" s="8" t="inlineStr">
        <is>
          <t>火</t>
        </is>
      </c>
      <c r="H937" s="8" t="inlineStr">
        <is>
          <t>fire</t>
        </is>
      </c>
      <c r="I937" s="8" t="inlineStr">
        <is>
          <t>2×2</t>
        </is>
      </c>
      <c r="J937" s="8" t="n">
        <v>4</v>
      </c>
      <c r="K937" s="8" t="n">
        <v>100</v>
      </c>
      <c r="L937" s="8" t="inlineStr">
        <is>
          <t>是</t>
        </is>
      </c>
      <c r="M937" s="9" t="inlineStr">
        <is>
          <t>bazaar</t>
        </is>
      </c>
      <c r="N937" s="8" t="n">
        <v>1</v>
      </c>
      <c r="O937" s="9" t="inlineStr">
        <is>
          <t>条件触发</t>
        </is>
      </c>
      <c r="P937" s="9" t="inlineStr">
        <is>
          <t>triggered</t>
        </is>
      </c>
      <c r="Q937" s="9" t="inlineStr">
        <is>
          <t>条件触发：火属性符箓使用时，恢复 30 点气血；火属性符箓使用时，恢复 38 点气血；火属性符箓使用时，恢复 46 点气血；火属性符箓使用时，恢复 52 点气血</t>
        </is>
      </c>
      <c r="R937" s="9" t="inlineStr"/>
      <c r="S937" s="9" t="inlineStr">
        <is>
          <t>六角铜炉的导热翼仿照赤羽铸成，炉盖启合时会传出细密而温润的金属轻鸣。</t>
        </is>
      </c>
      <c r="T937" s="8" t="inlineStr">
        <is>
          <t>implement_spirit100_c52_ember_feather_warmer_2x2</t>
        </is>
      </c>
      <c r="U937" s="8" t="inlineStr">
        <is>
          <t>allowed</t>
        </is>
      </c>
    </row>
    <row r="938" ht="34" customHeight="1">
      <c r="A938" s="8" t="n">
        <v>937</v>
      </c>
      <c r="B938" s="8" t="n">
        <v>419053</v>
      </c>
      <c r="C938" s="8" t="inlineStr">
        <is>
          <t>青篁引风轮</t>
        </is>
      </c>
      <c r="D938" s="8" t="inlineStr">
        <is>
          <t>法器</t>
        </is>
      </c>
      <c r="E938" s="8" t="inlineStr">
        <is>
          <t>implement</t>
        </is>
      </c>
      <c r="F938" s="8" t="inlineStr">
        <is>
          <t>spirit</t>
        </is>
      </c>
      <c r="G938" s="8" t="inlineStr">
        <is>
          <t>风</t>
        </is>
      </c>
      <c r="H938" s="8" t="inlineStr">
        <is>
          <t>wind</t>
        </is>
      </c>
      <c r="I938" s="8" t="inlineStr">
        <is>
          <t>2×2</t>
        </is>
      </c>
      <c r="J938" s="8" t="n">
        <v>4</v>
      </c>
      <c r="K938" s="8" t="n">
        <v>100</v>
      </c>
      <c r="L938" s="8" t="inlineStr">
        <is>
          <t>是</t>
        </is>
      </c>
      <c r="M938" s="9" t="inlineStr">
        <is>
          <t>bazaar</t>
        </is>
      </c>
      <c r="N938" s="8" t="n">
        <v>1</v>
      </c>
      <c r="O938" s="9" t="inlineStr">
        <is>
          <t>条件触发</t>
        </is>
      </c>
      <c r="P938" s="9" t="inlineStr">
        <is>
          <t>triggered</t>
        </is>
      </c>
      <c r="Q938" s="9" t="inlineStr">
        <is>
          <t>条件触发：阵盘变阵效果触发时，该道具获得 2 秒加速；阵盘变阵效果触发时，该道具获得 3 秒加速；阵盘变阵效果触发时，该道具获得 4 秒加速；阵盘变阵效果触发时，该道具获得 5 秒加速</t>
        </is>
      </c>
      <c r="R938" s="9" t="inlineStr"/>
      <c r="S938" s="9" t="inlineStr">
        <is>
          <t>六片竹叶经桐油浸炼后坚韧如铁，轮毂转动时只留下极轻的竹韵。</t>
        </is>
      </c>
      <c r="T938" s="8" t="inlineStr">
        <is>
          <t>implement_spirit100_c53_bamboo_wind_wheel_2x2</t>
        </is>
      </c>
      <c r="U938" s="8" t="inlineStr">
        <is>
          <t>allowed</t>
        </is>
      </c>
    </row>
    <row r="939" ht="34" customHeight="1">
      <c r="A939" s="8" t="n">
        <v>938</v>
      </c>
      <c r="B939" s="8" t="n">
        <v>419054</v>
      </c>
      <c r="C939" s="8" t="inlineStr">
        <is>
          <t>镇岳量气砣</t>
        </is>
      </c>
      <c r="D939" s="8" t="inlineStr">
        <is>
          <t>法器</t>
        </is>
      </c>
      <c r="E939" s="8" t="inlineStr">
        <is>
          <t>implement</t>
        </is>
      </c>
      <c r="F939" s="8" t="inlineStr">
        <is>
          <t>spirit</t>
        </is>
      </c>
      <c r="G939" s="8" t="inlineStr">
        <is>
          <t>土</t>
        </is>
      </c>
      <c r="H939" s="8" t="inlineStr">
        <is>
          <t>earth</t>
        </is>
      </c>
      <c r="I939" s="8" t="inlineStr">
        <is>
          <t>1×1</t>
        </is>
      </c>
      <c r="J939" s="8" t="n">
        <v>1</v>
      </c>
      <c r="K939" s="8" t="n">
        <v>100</v>
      </c>
      <c r="L939" s="8" t="inlineStr">
        <is>
          <t>是</t>
        </is>
      </c>
      <c r="M939" s="9" t="inlineStr">
        <is>
          <t>bazaar</t>
        </is>
      </c>
      <c r="N939" s="8" t="n">
        <v>1</v>
      </c>
      <c r="O939" s="9" t="inlineStr">
        <is>
          <t>被动效果</t>
        </is>
      </c>
      <c r="P939" s="9" t="inlineStr">
        <is>
          <t>passive</t>
        </is>
      </c>
      <c r="Q939" s="9" t="inlineStr">
        <is>
          <t>被动效果：拥有正好 5 件土属性道具时，坚硬层数上限 +18；拥有正好 5 件土属性道具时，坚硬层数上限 +23；拥有正好 5 件土属性道具时，坚硬层数上限 +27；拥有正好 5 件土属性道具时，坚硬层数上限 +32</t>
        </is>
      </c>
      <c r="R939" s="9" t="inlineStr"/>
      <c r="S939" s="9" t="inlineStr">
        <is>
          <t>小砣四面皆刻重山，顶环被岁月磨得发亮，握在掌中却沉稳得出奇。</t>
        </is>
      </c>
      <c r="T939" s="8" t="inlineStr">
        <is>
          <t>implement_spirit100_c54_mountain_qi_weight_1x1</t>
        </is>
      </c>
      <c r="U939" s="8" t="inlineStr">
        <is>
          <t>allowed</t>
        </is>
      </c>
    </row>
    <row r="940" ht="34" customHeight="1">
      <c r="A940" s="8" t="n">
        <v>939</v>
      </c>
      <c r="B940" s="8" t="n">
        <v>419055</v>
      </c>
      <c r="C940" s="8" t="inlineStr">
        <is>
          <t>紫电鸣节筒</t>
        </is>
      </c>
      <c r="D940" s="8" t="inlineStr">
        <is>
          <t>法器</t>
        </is>
      </c>
      <c r="E940" s="8" t="inlineStr">
        <is>
          <t>implement</t>
        </is>
      </c>
      <c r="F940" s="8" t="inlineStr">
        <is>
          <t>spirit</t>
        </is>
      </c>
      <c r="G940" s="8" t="inlineStr">
        <is>
          <t>雷</t>
        </is>
      </c>
      <c r="H940" s="8" t="inlineStr">
        <is>
          <t>thunder</t>
        </is>
      </c>
      <c r="I940" s="8" t="inlineStr">
        <is>
          <t>1×1</t>
        </is>
      </c>
      <c r="J940" s="8" t="n">
        <v>1</v>
      </c>
      <c r="K940" s="8" t="n">
        <v>100</v>
      </c>
      <c r="L940" s="8" t="inlineStr">
        <is>
          <t>是</t>
        </is>
      </c>
      <c r="M940" s="9" t="inlineStr">
        <is>
          <t>bazaar</t>
        </is>
      </c>
      <c r="N940" s="8" t="n">
        <v>1</v>
      </c>
      <c r="O940" s="9" t="inlineStr">
        <is>
          <t>条件触发</t>
        </is>
      </c>
      <c r="P940" s="9" t="inlineStr">
        <is>
          <t>triggered</t>
        </is>
      </c>
      <c r="Q940" s="9" t="inlineStr">
        <is>
          <t>条件触发：雷属性招式释放时，使敌方随机 2 件凡品道具减速 4 秒；雷属性招式释放时，使敌方随机 3 件凡品道具减速 5 秒；雷属性招式释放时，使敌方随机 4 件凡品道具减速 6 秒；雷属性招式释放时，使敌方随机 5 件凡品道具减速 7 秒</t>
        </is>
      </c>
      <c r="R940" s="9" t="inlineStr"/>
      <c r="S940" s="9" t="inlineStr">
        <is>
          <t>紫铜筒身分作三节，每一道金箍都留有雷击般的细纹，拨动簧片便清响不绝。</t>
        </is>
      </c>
      <c r="T940" s="8" t="inlineStr">
        <is>
          <t>implement_spirit100_c55_violet_thunder_tube_1x1</t>
        </is>
      </c>
      <c r="U940" s="8" t="inlineStr">
        <is>
          <t>allowed</t>
        </is>
      </c>
    </row>
    <row r="941" ht="34" customHeight="1">
      <c r="A941" s="8" t="n">
        <v>940</v>
      </c>
      <c r="B941" s="8" t="n">
        <v>419056</v>
      </c>
      <c r="C941" s="8" t="inlineStr">
        <is>
          <t>金阙分光尺</t>
        </is>
      </c>
      <c r="D941" s="8" t="inlineStr">
        <is>
          <t>法器</t>
        </is>
      </c>
      <c r="E941" s="8" t="inlineStr">
        <is>
          <t>implement</t>
        </is>
      </c>
      <c r="F941" s="8" t="inlineStr">
        <is>
          <t>spirit</t>
        </is>
      </c>
      <c r="G941" s="8" t="inlineStr">
        <is>
          <t>金</t>
        </is>
      </c>
      <c r="H941" s="8" t="inlineStr">
        <is>
          <t>metal</t>
        </is>
      </c>
      <c r="I941" s="8" t="inlineStr">
        <is>
          <t>1×1</t>
        </is>
      </c>
      <c r="J941" s="8" t="n">
        <v>1</v>
      </c>
      <c r="K941" s="8" t="n">
        <v>100</v>
      </c>
      <c r="L941" s="8" t="inlineStr">
        <is>
          <t>是</t>
        </is>
      </c>
      <c r="M941" s="9" t="inlineStr">
        <is>
          <t>bazaar</t>
        </is>
      </c>
      <c r="N941" s="8" t="n">
        <v>1</v>
      </c>
      <c r="O941" s="9" t="inlineStr">
        <is>
          <t>被动效果</t>
        </is>
      </c>
      <c r="P941" s="9" t="inlineStr">
        <is>
          <t>passive</t>
        </is>
      </c>
      <c r="Q941" s="9" t="inlineStr">
        <is>
          <t>被动效果：左右均相邻金属性剑时，凝金层数上限 +10；左右均相邻金属性剑时，凝金层数上限 +13；左右均相邻金属性剑时，凝金层数上限 +15；左右均相邻金属性剑时，凝金层数上限 +18</t>
        </is>
      </c>
      <c r="R941" s="9" t="inlineStr"/>
      <c r="S941" s="9" t="inlineStr">
        <is>
          <t>玄金短尺可折成方框，银槽间的游扣纤巧精密，边角仍留着工坊细磨的痕迹。</t>
        </is>
      </c>
      <c r="T941" s="8" t="inlineStr">
        <is>
          <t>implement_spirit100_c56_golden_light_ruler_1x1</t>
        </is>
      </c>
      <c r="U941" s="8" t="inlineStr">
        <is>
          <t>allowed</t>
        </is>
      </c>
    </row>
    <row r="942" ht="34" customHeight="1">
      <c r="A942" s="8" t="n">
        <v>941</v>
      </c>
      <c r="B942" s="8" t="n">
        <v>419057</v>
      </c>
      <c r="C942" s="8" t="inlineStr">
        <is>
          <t>沉水藏声匣</t>
        </is>
      </c>
      <c r="D942" s="8" t="inlineStr">
        <is>
          <t>法器</t>
        </is>
      </c>
      <c r="E942" s="8" t="inlineStr">
        <is>
          <t>implement</t>
        </is>
      </c>
      <c r="F942" s="8" t="inlineStr">
        <is>
          <t>spirit</t>
        </is>
      </c>
      <c r="G942" s="8" t="inlineStr">
        <is>
          <t>水</t>
        </is>
      </c>
      <c r="H942" s="8" t="inlineStr">
        <is>
          <t>water</t>
        </is>
      </c>
      <c r="I942" s="8" t="inlineStr">
        <is>
          <t>2×2</t>
        </is>
      </c>
      <c r="J942" s="8" t="n">
        <v>4</v>
      </c>
      <c r="K942" s="8" t="n">
        <v>100</v>
      </c>
      <c r="L942" s="8" t="inlineStr">
        <is>
          <t>是</t>
        </is>
      </c>
      <c r="M942" s="9" t="inlineStr">
        <is>
          <t>bazaar</t>
        </is>
      </c>
      <c r="N942" s="8" t="n">
        <v>1</v>
      </c>
      <c r="O942" s="9" t="inlineStr">
        <is>
          <t>周期触发</t>
        </is>
      </c>
      <c r="P942" s="9" t="inlineStr">
        <is>
          <t>periodicPulse</t>
        </is>
      </c>
      <c r="Q942" s="9" t="inlineStr">
        <is>
          <t>周期触发：轮转后，将最多 8 层中毒转化为等量露水；轮转后，将最多 10 层中毒转化为等量露水；轮转后，将最多 12 层中毒转化为等量露水；轮转后，将最多 14 层中毒转化为等量露水</t>
        </is>
      </c>
      <c r="R942" s="9" t="inlineStr"/>
      <c r="S942" s="9" t="inlineStr">
        <is>
          <t>深蓝乌木匣以波纹铜角紧紧包合，推上侧栓后，连匣盖的摩擦声也会悄然隐去。</t>
        </is>
      </c>
      <c r="T942" s="8" t="inlineStr">
        <is>
          <t>implement_spirit100_c57_deepwater_silence_box_2x2</t>
        </is>
      </c>
      <c r="U942" s="8" t="inlineStr">
        <is>
          <t>allowed</t>
        </is>
      </c>
    </row>
    <row r="943" ht="34" customHeight="1">
      <c r="A943" s="8" t="n">
        <v>942</v>
      </c>
      <c r="B943" s="8" t="n">
        <v>419058</v>
      </c>
      <c r="C943" s="8" t="inlineStr">
        <is>
          <t>丹枫候火盏</t>
        </is>
      </c>
      <c r="D943" s="8" t="inlineStr">
        <is>
          <t>法器</t>
        </is>
      </c>
      <c r="E943" s="8" t="inlineStr">
        <is>
          <t>implement</t>
        </is>
      </c>
      <c r="F943" s="8" t="inlineStr">
        <is>
          <t>spirit</t>
        </is>
      </c>
      <c r="G943" s="8" t="inlineStr">
        <is>
          <t>火</t>
        </is>
      </c>
      <c r="H943" s="8" t="inlineStr">
        <is>
          <t>fire</t>
        </is>
      </c>
      <c r="I943" s="8" t="inlineStr">
        <is>
          <t>1×1</t>
        </is>
      </c>
      <c r="J943" s="8" t="n">
        <v>1</v>
      </c>
      <c r="K943" s="8" t="n">
        <v>100</v>
      </c>
      <c r="L943" s="8" t="inlineStr">
        <is>
          <t>是</t>
        </is>
      </c>
      <c r="M943" s="9" t="inlineStr">
        <is>
          <t>bazaar</t>
        </is>
      </c>
      <c r="N943" s="8" t="n">
        <v>1</v>
      </c>
      <c r="O943" s="9" t="inlineStr">
        <is>
          <t>条件触发</t>
        </is>
      </c>
      <c r="P943" s="9" t="inlineStr">
        <is>
          <t>triggered</t>
        </is>
      </c>
      <c r="Q943" s="9" t="inlineStr">
        <is>
          <t>条件触发：充能：累计获得 24 层炎热时，对敌方造成 16 点伤害；充能：累计获得 24 层炎热时，对敌方造成 20 点伤害；充能：累计获得 24 层炎热时，对敌方造成 24 点伤害；充能：累计获得 24 层炎热时，对敌方造成 28 点伤害</t>
        </is>
      </c>
      <c r="R943" s="9" t="inlineStr"/>
      <c r="S943" s="9" t="inlineStr">
        <is>
          <t>赤陶盏沿托着一片铜枫叶，叶脉在余温中渐次变色，是炉房里常见的雅致小器。</t>
        </is>
      </c>
      <c r="T943" s="8" t="inlineStr">
        <is>
          <t>implement_spirit100_c58_maple_fire_cup_1x1</t>
        </is>
      </c>
      <c r="U943" s="8" t="inlineStr">
        <is>
          <t>allowed</t>
        </is>
      </c>
    </row>
    <row r="944" ht="34" customHeight="1">
      <c r="A944" s="8" t="n">
        <v>943</v>
      </c>
      <c r="B944" s="8" t="n">
        <v>419059</v>
      </c>
      <c r="C944" s="8" t="inlineStr">
        <is>
          <t>松纹纳息座</t>
        </is>
      </c>
      <c r="D944" s="8" t="inlineStr">
        <is>
          <t>法器</t>
        </is>
      </c>
      <c r="E944" s="8" t="inlineStr">
        <is>
          <t>implement</t>
        </is>
      </c>
      <c r="F944" s="8" t="inlineStr">
        <is>
          <t>spirit</t>
        </is>
      </c>
      <c r="G944" s="8" t="inlineStr">
        <is>
          <t>木</t>
        </is>
      </c>
      <c r="H944" s="8" t="inlineStr">
        <is>
          <t>wood</t>
        </is>
      </c>
      <c r="I944" s="8" t="inlineStr">
        <is>
          <t>2×2</t>
        </is>
      </c>
      <c r="J944" s="8" t="n">
        <v>4</v>
      </c>
      <c r="K944" s="8" t="n">
        <v>100</v>
      </c>
      <c r="L944" s="8" t="inlineStr">
        <is>
          <t>是</t>
        </is>
      </c>
      <c r="M944" s="9" t="inlineStr">
        <is>
          <t>bazaar</t>
        </is>
      </c>
      <c r="N944" s="8" t="n">
        <v>1</v>
      </c>
      <c r="O944" s="9" t="inlineStr">
        <is>
          <t>周期触发</t>
        </is>
      </c>
      <c r="P944" s="9" t="inlineStr">
        <is>
          <t>periodicPulse</t>
        </is>
      </c>
      <c r="Q944" s="9" t="inlineStr">
        <is>
          <t>周期触发：轮转时，每有 1 层再生，恢复 1 点体力；轮转时，每有 1 层再生，恢复 2 点体力；轮转时，每有 1 层再生，恢复 3 点体力；轮转时，每有 1 层再生，恢复 4 点体力</t>
        </is>
      </c>
      <c r="R944" s="9" t="inlineStr"/>
      <c r="S944" s="9" t="inlineStr">
        <is>
          <t>青木座的四角以老松榫卯扣合，厚垫上的针叶暗纹在久坐后愈发温润。</t>
        </is>
      </c>
      <c r="T944" s="8" t="inlineStr">
        <is>
          <t>implement_spirit100_c59_pine_breath_seat_2x2</t>
        </is>
      </c>
      <c r="U944" s="8" t="inlineStr">
        <is>
          <t>allowed</t>
        </is>
      </c>
    </row>
    <row r="945" ht="34" customHeight="1">
      <c r="A945" s="8" t="n">
        <v>944</v>
      </c>
      <c r="B945" s="8" t="n">
        <v>419060</v>
      </c>
      <c r="C945" s="8" t="inlineStr">
        <is>
          <t>风瓷回音螺</t>
        </is>
      </c>
      <c r="D945" s="8" t="inlineStr">
        <is>
          <t>法器</t>
        </is>
      </c>
      <c r="E945" s="8" t="inlineStr">
        <is>
          <t>implement</t>
        </is>
      </c>
      <c r="F945" s="8" t="inlineStr">
        <is>
          <t>spirit</t>
        </is>
      </c>
      <c r="G945" s="8" t="inlineStr">
        <is>
          <t>风</t>
        </is>
      </c>
      <c r="H945" s="8" t="inlineStr">
        <is>
          <t>wind</t>
        </is>
      </c>
      <c r="I945" s="8" t="inlineStr">
        <is>
          <t>1×1</t>
        </is>
      </c>
      <c r="J945" s="8" t="n">
        <v>1</v>
      </c>
      <c r="K945" s="8" t="n">
        <v>100</v>
      </c>
      <c r="L945" s="8" t="inlineStr">
        <is>
          <t>是</t>
        </is>
      </c>
      <c r="M945" s="9" t="inlineStr">
        <is>
          <t>bazaar</t>
        </is>
      </c>
      <c r="N945" s="8" t="n">
        <v>1</v>
      </c>
      <c r="O945" s="9" t="inlineStr">
        <is>
          <t>条件触发</t>
        </is>
      </c>
      <c r="P945" s="9" t="inlineStr">
        <is>
          <t>triggered</t>
        </is>
      </c>
      <c r="Q945" s="9" t="inlineStr">
        <is>
          <t>条件触发：阵盘变阵效果触发时，获得 10 层敏捷；阵盘变阵效果触发时，获得 12 层敏捷；阵盘变阵效果触发时，获得 16 层敏捷；阵盘变阵效果触发时，获得 18 层敏捷</t>
        </is>
      </c>
      <c r="R945" s="9" t="inlineStr"/>
      <c r="S945" s="9" t="inlineStr">
        <is>
          <t>青白瓷壳层层内卷，铜钮藏在最深一道螺纹旁，贴近时可闻悠远空鸣。</t>
        </is>
      </c>
      <c r="T945" s="8" t="inlineStr">
        <is>
          <t>implement_spirit100_c60_wind_porcelain_conch_1x1</t>
        </is>
      </c>
      <c r="U945" s="8" t="inlineStr">
        <is>
          <t>allowed</t>
        </is>
      </c>
    </row>
    <row r="946" ht="34" customHeight="1">
      <c r="A946" s="8" t="n">
        <v>945</v>
      </c>
      <c r="B946" s="8" t="n">
        <v>419061</v>
      </c>
      <c r="C946" s="8" t="inlineStr">
        <is>
          <t>厚土定盘锥</t>
        </is>
      </c>
      <c r="D946" s="8" t="inlineStr">
        <is>
          <t>法器</t>
        </is>
      </c>
      <c r="E946" s="8" t="inlineStr">
        <is>
          <t>implement</t>
        </is>
      </c>
      <c r="F946" s="8" t="inlineStr">
        <is>
          <t>spirit</t>
        </is>
      </c>
      <c r="G946" s="8" t="inlineStr">
        <is>
          <t>土</t>
        </is>
      </c>
      <c r="H946" s="8" t="inlineStr">
        <is>
          <t>earth</t>
        </is>
      </c>
      <c r="I946" s="8" t="inlineStr">
        <is>
          <t>1×1</t>
        </is>
      </c>
      <c r="J946" s="8" t="n">
        <v>1</v>
      </c>
      <c r="K946" s="8" t="n">
        <v>100</v>
      </c>
      <c r="L946" s="8" t="inlineStr">
        <is>
          <t>是</t>
        </is>
      </c>
      <c r="M946" s="9" t="inlineStr">
        <is>
          <t>bazaar</t>
        </is>
      </c>
      <c r="N946" s="8" t="n">
        <v>1</v>
      </c>
      <c r="O946" s="9" t="inlineStr">
        <is>
          <t>被动效果</t>
        </is>
      </c>
      <c r="P946" s="9" t="inlineStr">
        <is>
          <t>passive</t>
        </is>
      </c>
      <c r="Q946" s="9" t="inlineStr">
        <is>
          <t>被动效果：拥有正好 3 件土属性道具时，坚硬层数上限 +15；拥有正好 3 件土属性道具时，坚硬层数上限 +19；拥有正好 3 件土属性道具时，坚硬层数上限 +23；拥有正好 3 件土属性道具时，坚硬层数上限 +26</t>
        </is>
      </c>
      <c r="R946" s="9" t="inlineStr"/>
      <c r="S946" s="9" t="inlineStr">
        <is>
          <t>四棱赭锥嵌入同心铜盘，粗环上沾着久经山行留下的细小石屑。</t>
        </is>
      </c>
      <c r="T946" s="8" t="inlineStr">
        <is>
          <t>implement_spirit100_c61_earth_stabilizing_cone_1x1</t>
        </is>
      </c>
      <c r="U946" s="8" t="inlineStr">
        <is>
          <t>allowed</t>
        </is>
      </c>
    </row>
    <row r="947" ht="34" customHeight="1">
      <c r="A947" s="8" t="n">
        <v>946</v>
      </c>
      <c r="B947" s="8" t="n">
        <v>419062</v>
      </c>
      <c r="C947" s="8" t="inlineStr">
        <is>
          <t>雷砂报时漏</t>
        </is>
      </c>
      <c r="D947" s="8" t="inlineStr">
        <is>
          <t>法器</t>
        </is>
      </c>
      <c r="E947" s="8" t="inlineStr">
        <is>
          <t>implement</t>
        </is>
      </c>
      <c r="F947" s="8" t="inlineStr">
        <is>
          <t>spirit</t>
        </is>
      </c>
      <c r="G947" s="8" t="inlineStr">
        <is>
          <t>雷</t>
        </is>
      </c>
      <c r="H947" s="8" t="inlineStr">
        <is>
          <t>thunder</t>
        </is>
      </c>
      <c r="I947" s="8" t="inlineStr">
        <is>
          <t>2×2</t>
        </is>
      </c>
      <c r="J947" s="8" t="n">
        <v>4</v>
      </c>
      <c r="K947" s="8" t="n">
        <v>100</v>
      </c>
      <c r="L947" s="8" t="inlineStr">
        <is>
          <t>是</t>
        </is>
      </c>
      <c r="M947" s="9" t="inlineStr">
        <is>
          <t>bazaar</t>
        </is>
      </c>
      <c r="N947" s="8" t="n">
        <v>1</v>
      </c>
      <c r="O947" s="9" t="inlineStr">
        <is>
          <t>周期触发</t>
        </is>
      </c>
      <c r="P947" s="9" t="inlineStr">
        <is>
          <t>periodicPulse</t>
        </is>
      </c>
      <c r="Q947" s="9" t="inlineStr">
        <is>
          <t>周期触发：消耗 12 点法力，对敌方造成 28 点伤害并施加 8 层麻痹；消耗 12 点法力，对敌方造成 36 点伤害并施加 10 层麻痹；消耗 12 点法力，对敌方造成 42 点伤害并施加 12 层麻痹；消耗 12 点法力，对敌方造成 50 点伤害并施加 14 层麻痹</t>
        </is>
      </c>
      <c r="R947" s="9" t="inlineStr"/>
      <c r="S947" s="9" t="inlineStr">
        <is>
          <t>紫铜四柱护住双仓漏体，金色砂纹沿内壁缓缓迁移，整器却始终严密无隙。</t>
        </is>
      </c>
      <c r="T947" s="8" t="inlineStr">
        <is>
          <t>implement_spirit100_c62_thunder_sand_timer_2x2</t>
        </is>
      </c>
      <c r="U947" s="8" t="inlineStr">
        <is>
          <t>allowed</t>
        </is>
      </c>
    </row>
    <row r="948" ht="34" customHeight="1">
      <c r="A948" s="8" t="n">
        <v>947</v>
      </c>
      <c r="B948" s="8" t="n">
        <v>419063</v>
      </c>
      <c r="C948" s="8" t="inlineStr">
        <is>
          <t>寒铁照骨梳</t>
        </is>
      </c>
      <c r="D948" s="8" t="inlineStr">
        <is>
          <t>法器</t>
        </is>
      </c>
      <c r="E948" s="8" t="inlineStr">
        <is>
          <t>implement</t>
        </is>
      </c>
      <c r="F948" s="8" t="inlineStr">
        <is>
          <t>spirit</t>
        </is>
      </c>
      <c r="G948" s="8" t="inlineStr">
        <is>
          <t>冰</t>
        </is>
      </c>
      <c r="H948" s="8" t="inlineStr">
        <is>
          <t>ice</t>
        </is>
      </c>
      <c r="I948" s="8" t="inlineStr">
        <is>
          <t>1×1</t>
        </is>
      </c>
      <c r="J948" s="8" t="n">
        <v>1</v>
      </c>
      <c r="K948" s="8" t="n">
        <v>100</v>
      </c>
      <c r="L948" s="8" t="inlineStr">
        <is>
          <t>是</t>
        </is>
      </c>
      <c r="M948" s="9" t="inlineStr">
        <is>
          <t>bazaar</t>
        </is>
      </c>
      <c r="N948" s="8" t="n">
        <v>1</v>
      </c>
      <c r="O948" s="9" t="inlineStr">
        <is>
          <t>周期触发</t>
        </is>
      </c>
      <c r="P948" s="9" t="inlineStr">
        <is>
          <t>periodicPulse</t>
        </is>
      </c>
      <c r="Q948" s="9" t="inlineStr">
        <is>
          <t>周期触发：使敌方随机 2 件道具减速 4 秒，并施加 6 层冰霜；使敌方随机 2 件道具减速 5 秒，并施加 8 层冰霜；使敌方随机 2 件道具减速 6 秒，并施加 10 层冰霜；使敌方随机 2 件道具减速 7 秒，并施加 12 层冰霜</t>
        </is>
      </c>
      <c r="R948" s="9" t="inlineStr"/>
      <c r="S948" s="9" t="inlineStr">
        <is>
          <t>冰蓝梳背缀着六角雪钉，宽齿整齐厚实，折入护套时会发出清脆的扣合声。</t>
        </is>
      </c>
      <c r="T948" s="8" t="inlineStr">
        <is>
          <t>implement_spirit100_c63_frost_iron_comb_1x1</t>
        </is>
      </c>
      <c r="U948" s="8" t="inlineStr">
        <is>
          <t>allowed</t>
        </is>
      </c>
    </row>
    <row r="949" ht="34" customHeight="1">
      <c r="A949" s="8" t="n">
        <v>948</v>
      </c>
      <c r="B949" s="8" t="n">
        <v>419064</v>
      </c>
      <c r="C949" s="8" t="inlineStr">
        <is>
          <t>碧萝续香环</t>
        </is>
      </c>
      <c r="D949" s="8" t="inlineStr">
        <is>
          <t>法器</t>
        </is>
      </c>
      <c r="E949" s="8" t="inlineStr">
        <is>
          <t>implement</t>
        </is>
      </c>
      <c r="F949" s="8" t="inlineStr">
        <is>
          <t>spirit</t>
        </is>
      </c>
      <c r="G949" s="8" t="inlineStr">
        <is>
          <t>木</t>
        </is>
      </c>
      <c r="H949" s="8" t="inlineStr">
        <is>
          <t>wood</t>
        </is>
      </c>
      <c r="I949" s="8" t="inlineStr">
        <is>
          <t>1×1</t>
        </is>
      </c>
      <c r="J949" s="8" t="n">
        <v>1</v>
      </c>
      <c r="K949" s="8" t="n">
        <v>100</v>
      </c>
      <c r="L949" s="8" t="inlineStr">
        <is>
          <t>是</t>
        </is>
      </c>
      <c r="M949" s="9" t="inlineStr">
        <is>
          <t>bazaar</t>
        </is>
      </c>
      <c r="N949" s="8" t="n">
        <v>1</v>
      </c>
      <c r="O949" s="9" t="inlineStr">
        <is>
          <t>条件触发</t>
        </is>
      </c>
      <c r="P949" s="9" t="inlineStr">
        <is>
          <t>triggered</t>
        </is>
      </c>
      <c r="Q949" s="9" t="inlineStr">
        <is>
          <t>条件触发：下方相邻木属性法器获得再生时，恢复 12 点法力；下方相邻木属性法器获得再生时，恢复 16 点法力；下方相邻木属性法器获得再生时，恢复 18 点法力；下方相邻木属性法器获得再生时，恢复 22 点法力</t>
        </is>
      </c>
      <c r="R949" s="9" t="inlineStr"/>
      <c r="S949" s="9" t="inlineStr">
        <is>
          <t>青木环被细藤浮雕分成三段，内圈香槽浸满草木清气，久置亦不见焦痕。</t>
        </is>
      </c>
      <c r="T949" s="8" t="inlineStr">
        <is>
          <t>implement_spirit100_c64_vine_incense_ring_1x1</t>
        </is>
      </c>
      <c r="U949" s="8" t="inlineStr">
        <is>
          <t>allowed</t>
        </is>
      </c>
    </row>
    <row r="950" ht="34" customHeight="1">
      <c r="A950" s="8" t="n">
        <v>949</v>
      </c>
      <c r="B950" s="8" t="n">
        <v>419065</v>
      </c>
      <c r="C950" s="8" t="inlineStr">
        <is>
          <t>火铜净垢刷</t>
        </is>
      </c>
      <c r="D950" s="8" t="inlineStr">
        <is>
          <t>法器</t>
        </is>
      </c>
      <c r="E950" s="8" t="inlineStr">
        <is>
          <t>implement</t>
        </is>
      </c>
      <c r="F950" s="8" t="inlineStr">
        <is>
          <t>spirit</t>
        </is>
      </c>
      <c r="G950" s="8" t="inlineStr">
        <is>
          <t>火</t>
        </is>
      </c>
      <c r="H950" s="8" t="inlineStr">
        <is>
          <t>fire</t>
        </is>
      </c>
      <c r="I950" s="8" t="inlineStr">
        <is>
          <t>1×1</t>
        </is>
      </c>
      <c r="J950" s="8" t="n">
        <v>1</v>
      </c>
      <c r="K950" s="8" t="n">
        <v>100</v>
      </c>
      <c r="L950" s="8" t="inlineStr">
        <is>
          <t>是</t>
        </is>
      </c>
      <c r="M950" s="9" t="inlineStr">
        <is>
          <t>bazaar</t>
        </is>
      </c>
      <c r="N950" s="8" t="n">
        <v>1</v>
      </c>
      <c r="O950" s="9" t="inlineStr">
        <is>
          <t>周期触发</t>
        </is>
      </c>
      <c r="P950" s="9" t="inlineStr">
        <is>
          <t>periodicPulse</t>
        </is>
      </c>
      <c r="Q950" s="9" t="inlineStr">
        <is>
          <t>周期触发：消耗 4 点体力，获得 16 层炎热；消耗 4 点体力，获得 20 层炎热；消耗 4 点体力，获得 24 层炎热；消耗 4 点体力，获得 28 层炎热</t>
        </is>
      </c>
      <c r="R950" s="9" t="inlineStr"/>
      <c r="S950" s="9" t="inlineStr">
        <is>
          <t>扇形铜丝被火纹铆钉牢牢压在刷背，短柄上的齿扣因常年推拨而格外光亮。</t>
        </is>
      </c>
      <c r="T950" s="8" t="inlineStr">
        <is>
          <t>implement_spirit100_c65_fire_copper_brush_1x1</t>
        </is>
      </c>
      <c r="U950" s="8" t="inlineStr">
        <is>
          <t>allowed</t>
        </is>
      </c>
    </row>
    <row r="951" ht="34" customHeight="1">
      <c r="A951" s="8" t="n">
        <v>950</v>
      </c>
      <c r="B951" s="8" t="n">
        <v>419066</v>
      </c>
      <c r="C951" s="8" t="inlineStr">
        <is>
          <t>澄江分流壶</t>
        </is>
      </c>
      <c r="D951" s="8" t="inlineStr">
        <is>
          <t>法器</t>
        </is>
      </c>
      <c r="E951" s="8" t="inlineStr">
        <is>
          <t>implement</t>
        </is>
      </c>
      <c r="F951" s="8" t="inlineStr">
        <is>
          <t>spirit</t>
        </is>
      </c>
      <c r="G951" s="8" t="inlineStr">
        <is>
          <t>水</t>
        </is>
      </c>
      <c r="H951" s="8" t="inlineStr">
        <is>
          <t>water</t>
        </is>
      </c>
      <c r="I951" s="8" t="inlineStr">
        <is>
          <t>2×2</t>
        </is>
      </c>
      <c r="J951" s="8" t="n">
        <v>4</v>
      </c>
      <c r="K951" s="8" t="n">
        <v>100</v>
      </c>
      <c r="L951" s="8" t="inlineStr">
        <is>
          <t>是</t>
        </is>
      </c>
      <c r="M951" s="9" t="inlineStr">
        <is>
          <t>bazaar</t>
        </is>
      </c>
      <c r="N951" s="8" t="n">
        <v>1</v>
      </c>
      <c r="O951" s="9" t="inlineStr">
        <is>
          <t>周期触发</t>
        </is>
      </c>
      <c r="P951" s="9" t="inlineStr">
        <is>
          <t>periodicPulse</t>
        </is>
      </c>
      <c r="Q951" s="9" t="inlineStr">
        <is>
          <t>周期触发：获得 12 层露水；获得 16 层露水；获得 18 层露水；获得 22 层露水</t>
        </is>
      </c>
      <c r="R951" s="9" t="inlineStr"/>
      <c r="S951" s="9" t="inlineStr">
        <is>
          <t>蓝釉壶腹圆润厚实，两枚短嘴分列铜阀两侧，提梁上刻满细密的水路纹。</t>
        </is>
      </c>
      <c r="T951" s="8" t="inlineStr">
        <is>
          <t>implement_spirit100_c66_river_dividing_kettle_2x2</t>
        </is>
      </c>
      <c r="U951" s="8" t="inlineStr">
        <is>
          <t>allowed</t>
        </is>
      </c>
    </row>
    <row r="952" ht="34" customHeight="1">
      <c r="A952" s="8" t="n">
        <v>951</v>
      </c>
      <c r="B952" s="8" t="n">
        <v>419067</v>
      </c>
      <c r="C952" s="8" t="inlineStr">
        <is>
          <t>流云校步履</t>
        </is>
      </c>
      <c r="D952" s="8" t="inlineStr">
        <is>
          <t>法器</t>
        </is>
      </c>
      <c r="E952" s="8" t="inlineStr">
        <is>
          <t>implement</t>
        </is>
      </c>
      <c r="F952" s="8" t="inlineStr">
        <is>
          <t>spirit</t>
        </is>
      </c>
      <c r="G952" s="8" t="inlineStr">
        <is>
          <t>风</t>
        </is>
      </c>
      <c r="H952" s="8" t="inlineStr">
        <is>
          <t>wind</t>
        </is>
      </c>
      <c r="I952" s="8" t="inlineStr">
        <is>
          <t>2×2</t>
        </is>
      </c>
      <c r="J952" s="8" t="n">
        <v>4</v>
      </c>
      <c r="K952" s="8" t="n">
        <v>100</v>
      </c>
      <c r="L952" s="8" t="inlineStr">
        <is>
          <t>是</t>
        </is>
      </c>
      <c r="M952" s="9" t="inlineStr">
        <is>
          <t>bazaar</t>
        </is>
      </c>
      <c r="N952" s="8" t="n">
        <v>1</v>
      </c>
      <c r="O952" s="9" t="inlineStr">
        <is>
          <t>条件触发</t>
        </is>
      </c>
      <c r="P952" s="9" t="inlineStr">
        <is>
          <t>triggered</t>
        </is>
      </c>
      <c r="Q952" s="9" t="inlineStr">
        <is>
          <t>条件触发：敌方敏捷不少于 30 层时，敌方每次消耗敏捷，对敌方造成 28 点伤害；敌方敏捷不少于 30 层时，敌方每次消耗敏捷，对敌方造成 36 点伤害；敌方敏捷不少于 30 层时，敌方每次消耗敏捷，对敌方造成 42 点伤害；敌方敏捷不少于 30 层时，敌方每次消耗敏捷，对敌方造成 50 点伤害</t>
        </is>
      </c>
      <c r="R952" s="9" t="inlineStr"/>
      <c r="S952" s="9" t="inlineStr">
        <is>
          <t>青白法履成双收在一起，卷云鞋面下藏着层叠软底，铜扣磨损得恰好一致。</t>
        </is>
      </c>
      <c r="T952" s="8" t="inlineStr">
        <is>
          <t>implement_spirit100_c67_cloud_step_shoes_2x2</t>
        </is>
      </c>
      <c r="U952" s="8" t="inlineStr">
        <is>
          <t>allowed</t>
        </is>
      </c>
    </row>
    <row r="953" ht="34" customHeight="1">
      <c r="A953" s="8" t="n">
        <v>952</v>
      </c>
      <c r="B953" s="8" t="n">
        <v>419068</v>
      </c>
      <c r="C953" s="8" t="inlineStr">
        <is>
          <t>乌金护指套</t>
        </is>
      </c>
      <c r="D953" s="8" t="inlineStr">
        <is>
          <t>法器</t>
        </is>
      </c>
      <c r="E953" s="8" t="inlineStr">
        <is>
          <t>implement</t>
        </is>
      </c>
      <c r="F953" s="8" t="inlineStr">
        <is>
          <t>spirit</t>
        </is>
      </c>
      <c r="G953" s="8" t="inlineStr">
        <is>
          <t>金</t>
        </is>
      </c>
      <c r="H953" s="8" t="inlineStr">
        <is>
          <t>metal</t>
        </is>
      </c>
      <c r="I953" s="8" t="inlineStr">
        <is>
          <t>2×2</t>
        </is>
      </c>
      <c r="J953" s="8" t="n">
        <v>4</v>
      </c>
      <c r="K953" s="8" t="n">
        <v>100</v>
      </c>
      <c r="L953" s="8" t="inlineStr">
        <is>
          <t>是</t>
        </is>
      </c>
      <c r="M953" s="9" t="inlineStr">
        <is>
          <t>bazaar</t>
        </is>
      </c>
      <c r="N953" s="8" t="n">
        <v>1</v>
      </c>
      <c r="O953" s="9" t="inlineStr">
        <is>
          <t>条件触发</t>
        </is>
      </c>
      <c r="P953" s="9" t="inlineStr">
        <is>
          <t>triggered</t>
        </is>
      </c>
      <c r="Q953" s="9" t="inlineStr">
        <is>
          <t>条件触发：没有相邻武器时，每当获得凝金，获得 6 层护甲；没有相邻武器时，每当获得凝金，获得 8 层护甲；没有相邻武器时，每当获得凝金，获得 10 层护甲；没有相邻武器时，每当获得凝金，获得 12 层护甲</t>
        </is>
      </c>
      <c r="R953" s="9" t="inlineStr"/>
      <c r="S953" s="9" t="inlineStr">
        <is>
          <t>乌金甲片依照指节层层相叠，银钉与暗色系带构成一对严密而灵巧的护具。</t>
        </is>
      </c>
      <c r="T953" s="8" t="inlineStr">
        <is>
          <t>implement_spirit100_c68_blackgold_finger_guards_2x2</t>
        </is>
      </c>
      <c r="U953" s="8" t="inlineStr">
        <is>
          <t>allowed</t>
        </is>
      </c>
    </row>
    <row r="954" ht="34" customHeight="1">
      <c r="A954" s="8" t="n">
        <v>953</v>
      </c>
      <c r="B954" s="8" t="n">
        <v>419069</v>
      </c>
      <c r="C954" s="8" t="inlineStr">
        <is>
          <t>霜灯静魄罩</t>
        </is>
      </c>
      <c r="D954" s="8" t="inlineStr">
        <is>
          <t>法器</t>
        </is>
      </c>
      <c r="E954" s="8" t="inlineStr">
        <is>
          <t>implement</t>
        </is>
      </c>
      <c r="F954" s="8" t="inlineStr">
        <is>
          <t>spirit</t>
        </is>
      </c>
      <c r="G954" s="8" t="inlineStr">
        <is>
          <t>冰</t>
        </is>
      </c>
      <c r="H954" s="8" t="inlineStr">
        <is>
          <t>ice</t>
        </is>
      </c>
      <c r="I954" s="8" t="inlineStr">
        <is>
          <t>2×2</t>
        </is>
      </c>
      <c r="J954" s="8" t="n">
        <v>4</v>
      </c>
      <c r="K954" s="8" t="n">
        <v>100</v>
      </c>
      <c r="L954" s="8" t="inlineStr">
        <is>
          <t>是</t>
        </is>
      </c>
      <c r="M954" s="9" t="inlineStr">
        <is>
          <t>bazaar</t>
        </is>
      </c>
      <c r="N954" s="8" t="n">
        <v>1</v>
      </c>
      <c r="O954" s="9" t="inlineStr">
        <is>
          <t>周期触发</t>
        </is>
      </c>
      <c r="P954" s="9" t="inlineStr">
        <is>
          <t>periodicPulse</t>
        </is>
      </c>
      <c r="Q954" s="9" t="inlineStr">
        <is>
          <t>周期触发：开局：使敌方一件最大道具冻结 6 秒；开局：使敌方一件最大道具冻结 7 秒；开局：使敌方一件最大道具冻结 8 秒；开局：使敌方一件最大道具冻结 9 秒</t>
        </is>
      </c>
      <c r="R954" s="9" t="inlineStr"/>
      <c r="S954" s="9" t="inlineStr">
        <is>
          <t>六棱陶罩没有灯芯，雪纹栅格仍被旧日冷焰熏成淡蓝，白铜底环洁净如新。</t>
        </is>
      </c>
      <c r="T954" s="8" t="inlineStr">
        <is>
          <t>implement_spirit100_c69_frost_spirit_lamp_shade_2x2</t>
        </is>
      </c>
      <c r="U954" s="8" t="inlineStr">
        <is>
          <t>allowed</t>
        </is>
      </c>
    </row>
    <row r="955" ht="34" customHeight="1">
      <c r="A955" s="8" t="n">
        <v>954</v>
      </c>
      <c r="B955" s="8" t="n">
        <v>419070</v>
      </c>
      <c r="C955" s="8" t="inlineStr">
        <is>
          <t>黄壤聚尘斗</t>
        </is>
      </c>
      <c r="D955" s="8" t="inlineStr">
        <is>
          <t>法器</t>
        </is>
      </c>
      <c r="E955" s="8" t="inlineStr">
        <is>
          <t>implement</t>
        </is>
      </c>
      <c r="F955" s="8" t="inlineStr">
        <is>
          <t>spirit</t>
        </is>
      </c>
      <c r="G955" s="8" t="inlineStr">
        <is>
          <t>土</t>
        </is>
      </c>
      <c r="H955" s="8" t="inlineStr">
        <is>
          <t>earth</t>
        </is>
      </c>
      <c r="I955" s="8" t="inlineStr">
        <is>
          <t>2×2</t>
        </is>
      </c>
      <c r="J955" s="8" t="n">
        <v>4</v>
      </c>
      <c r="K955" s="8" t="n">
        <v>100</v>
      </c>
      <c r="L955" s="8" t="inlineStr">
        <is>
          <t>是</t>
        </is>
      </c>
      <c r="M955" s="9" t="inlineStr">
        <is>
          <t>bazaar</t>
        </is>
      </c>
      <c r="N955" s="8" t="n">
        <v>1</v>
      </c>
      <c r="O955" s="9" t="inlineStr">
        <is>
          <t>周期触发</t>
        </is>
      </c>
      <c r="P955" s="9" t="inlineStr">
        <is>
          <t>periodicPulse</t>
        </is>
      </c>
      <c r="Q955" s="9" t="inlineStr">
        <is>
          <t>周期触发：消耗 2 点体力，获得 16 层坚硬；消耗 2 点体力，获得 20 层坚硬；消耗 2 点体力，获得 24 层坚硬；消耗 2 点体力，获得 28 层坚硬</t>
        </is>
      </c>
      <c r="R955" s="9" t="inlineStr"/>
      <c r="S955" s="9" t="inlineStr">
        <is>
          <t>方口赭陶斗由四枚铜耳稳稳扣住，底部旋阀积着一圈难以拭净的细黄尘。</t>
        </is>
      </c>
      <c r="T955" s="8" t="inlineStr">
        <is>
          <t>implement_spirit100_c70_yellowearth_dust_hopper_2x2</t>
        </is>
      </c>
      <c r="U955" s="8" t="inlineStr">
        <is>
          <t>allowed</t>
        </is>
      </c>
    </row>
    <row r="956" ht="34" customHeight="1">
      <c r="A956" s="8" t="n">
        <v>955</v>
      </c>
      <c r="B956" s="8" t="n">
        <v>419071</v>
      </c>
      <c r="C956" s="8" t="inlineStr">
        <is>
          <t>雷纹醒神拍</t>
        </is>
      </c>
      <c r="D956" s="8" t="inlineStr">
        <is>
          <t>法器</t>
        </is>
      </c>
      <c r="E956" s="8" t="inlineStr">
        <is>
          <t>implement</t>
        </is>
      </c>
      <c r="F956" s="8" t="inlineStr">
        <is>
          <t>spirit</t>
        </is>
      </c>
      <c r="G956" s="8" t="inlineStr">
        <is>
          <t>雷</t>
        </is>
      </c>
      <c r="H956" s="8" t="inlineStr">
        <is>
          <t>thunder</t>
        </is>
      </c>
      <c r="I956" s="8" t="inlineStr">
        <is>
          <t>1×1</t>
        </is>
      </c>
      <c r="J956" s="8" t="n">
        <v>1</v>
      </c>
      <c r="K956" s="8" t="n">
        <v>100</v>
      </c>
      <c r="L956" s="8" t="inlineStr">
        <is>
          <t>是</t>
        </is>
      </c>
      <c r="M956" s="9" t="inlineStr">
        <is>
          <t>bazaar</t>
        </is>
      </c>
      <c r="N956" s="8" t="n">
        <v>1</v>
      </c>
      <c r="O956" s="9" t="inlineStr">
        <is>
          <t>条件触发</t>
        </is>
      </c>
      <c r="P956" s="9" t="inlineStr">
        <is>
          <t>triggered</t>
        </is>
      </c>
      <c r="Q956" s="9" t="inlineStr">
        <is>
          <t>条件触发：相邻正好 3 件雷属性道具时，每当获得引雷，获得 12 层敏捷；相邻正好 3 件雷属性道具时，每当获得引雷，获得 16 层敏捷；相邻正好 3 件雷属性道具时，每当获得引雷，获得 18 层敏捷；相邻正好 3 件雷属性道具时，每当获得引雷，获得 22 层敏捷</t>
        </is>
      </c>
      <c r="R956" s="9" t="inlineStr"/>
      <c r="S956" s="9" t="inlineStr">
        <is>
          <t>双叶铜拍由雷纹簧片相连，短柄握痕清晰，轻轻一合便有干净利落的脆响。</t>
        </is>
      </c>
      <c r="T956" s="8" t="inlineStr">
        <is>
          <t>implement_spirit100_c71_thunder_wake_clapper_1x1</t>
        </is>
      </c>
      <c r="U956" s="8" t="inlineStr">
        <is>
          <t>allowed</t>
        </is>
      </c>
    </row>
    <row r="957" ht="34" customHeight="1">
      <c r="A957" s="8" t="n">
        <v>956</v>
      </c>
      <c r="B957" s="8" t="n">
        <v>419072</v>
      </c>
      <c r="C957" s="8" t="inlineStr">
        <is>
          <t>青木折枝剪</t>
        </is>
      </c>
      <c r="D957" s="8" t="inlineStr">
        <is>
          <t>法器</t>
        </is>
      </c>
      <c r="E957" s="8" t="inlineStr">
        <is>
          <t>implement</t>
        </is>
      </c>
      <c r="F957" s="8" t="inlineStr">
        <is>
          <t>spirit</t>
        </is>
      </c>
      <c r="G957" s="8" t="inlineStr">
        <is>
          <t>木</t>
        </is>
      </c>
      <c r="H957" s="8" t="inlineStr">
        <is>
          <t>wood</t>
        </is>
      </c>
      <c r="I957" s="8" t="inlineStr">
        <is>
          <t>1×1</t>
        </is>
      </c>
      <c r="J957" s="8" t="n">
        <v>1</v>
      </c>
      <c r="K957" s="8" t="n">
        <v>100</v>
      </c>
      <c r="L957" s="8" t="inlineStr">
        <is>
          <t>是</t>
        </is>
      </c>
      <c r="M957" s="9" t="inlineStr">
        <is>
          <t>bazaar</t>
        </is>
      </c>
      <c r="N957" s="8" t="n">
        <v>1</v>
      </c>
      <c r="O957" s="9" t="inlineStr">
        <is>
          <t>条件触发</t>
        </is>
      </c>
      <c r="P957" s="9" t="inlineStr">
        <is>
          <t>triggered</t>
        </is>
      </c>
      <c r="Q957" s="9" t="inlineStr">
        <is>
          <t>条件触发：使用相邻符箓时，获得 10 层再生；使用相邻符箓时，获得 12 层再生；使用相邻符箓时，获得 16 层再生；使用相邻符箓时，获得 18 层再生</t>
        </is>
      </c>
      <c r="R957" s="9" t="inlineStr"/>
      <c r="S957" s="9" t="inlineStr">
        <is>
          <t>圆头玄铁刃收在竹节木柄之间，齿轮轴与锁扣都做得厚实耐用，刃口却异常整洁。</t>
        </is>
      </c>
      <c r="T957" s="8" t="inlineStr">
        <is>
          <t>implement_spirit100_c72_greenwood_pruning_shears_1x1</t>
        </is>
      </c>
      <c r="U957" s="8" t="inlineStr">
        <is>
          <t>allowed</t>
        </is>
      </c>
    </row>
    <row r="958" ht="34" customHeight="1">
      <c r="A958" s="8" t="n">
        <v>957</v>
      </c>
      <c r="B958" s="8" t="n">
        <v>419073</v>
      </c>
      <c r="C958" s="8" t="inlineStr">
        <is>
          <t>火绡炼纹架</t>
        </is>
      </c>
      <c r="D958" s="8" t="inlineStr">
        <is>
          <t>法器</t>
        </is>
      </c>
      <c r="E958" s="8" t="inlineStr">
        <is>
          <t>implement</t>
        </is>
      </c>
      <c r="F958" s="8" t="inlineStr">
        <is>
          <t>spirit</t>
        </is>
      </c>
      <c r="G958" s="8" t="inlineStr">
        <is>
          <t>火</t>
        </is>
      </c>
      <c r="H958" s="8" t="inlineStr">
        <is>
          <t>fire</t>
        </is>
      </c>
      <c r="I958" s="8" t="inlineStr">
        <is>
          <t>2×2</t>
        </is>
      </c>
      <c r="J958" s="8" t="n">
        <v>4</v>
      </c>
      <c r="K958" s="8" t="n">
        <v>100</v>
      </c>
      <c r="L958" s="8" t="inlineStr">
        <is>
          <t>是</t>
        </is>
      </c>
      <c r="M958" s="9" t="inlineStr">
        <is>
          <t>bazaar</t>
        </is>
      </c>
      <c r="N958" s="8" t="n">
        <v>1</v>
      </c>
      <c r="O958" s="9" t="inlineStr">
        <is>
          <t>条件触发</t>
        </is>
      </c>
      <c r="P958" s="9" t="inlineStr">
        <is>
          <t>triggered</t>
        </is>
      </c>
      <c r="Q958" s="9" t="inlineStr">
        <is>
          <t>条件触发：每当炎热被消耗时，对敌方造成 8 点伤害；每当炎热被消耗时，对敌方造成 10 点伤害；每当炎热被消耗时，对敌方造成 12 点伤害；每当炎热被消耗时，对敌方造成 14 点伤害</t>
        </is>
      </c>
      <c r="R958" s="9" t="inlineStr"/>
      <c r="S958" s="9" t="inlineStr">
        <is>
          <t>赤木方架绷着火色绡面，铜压条沿四边咬合，细密织纹像凝住的层层焰浪。</t>
        </is>
      </c>
      <c r="T958" s="8" t="inlineStr">
        <is>
          <t>implement_spirit100_c73_fire_silk_pattern_frame_2x2</t>
        </is>
      </c>
      <c r="U958" s="8" t="inlineStr">
        <is>
          <t>allowed</t>
        </is>
      </c>
    </row>
    <row r="959" ht="34" customHeight="1">
      <c r="A959" s="8" t="n">
        <v>958</v>
      </c>
      <c r="B959" s="8" t="n">
        <v>419074</v>
      </c>
      <c r="C959" s="8" t="inlineStr">
        <is>
          <t>玄水涤砚池</t>
        </is>
      </c>
      <c r="D959" s="8" t="inlineStr">
        <is>
          <t>法器</t>
        </is>
      </c>
      <c r="E959" s="8" t="inlineStr">
        <is>
          <t>implement</t>
        </is>
      </c>
      <c r="F959" s="8" t="inlineStr">
        <is>
          <t>spirit</t>
        </is>
      </c>
      <c r="G959" s="8" t="inlineStr">
        <is>
          <t>水</t>
        </is>
      </c>
      <c r="H959" s="8" t="inlineStr">
        <is>
          <t>water</t>
        </is>
      </c>
      <c r="I959" s="8" t="inlineStr">
        <is>
          <t>2×2</t>
        </is>
      </c>
      <c r="J959" s="8" t="n">
        <v>4</v>
      </c>
      <c r="K959" s="8" t="n">
        <v>100</v>
      </c>
      <c r="L959" s="8" t="inlineStr">
        <is>
          <t>是</t>
        </is>
      </c>
      <c r="M959" s="9" t="inlineStr">
        <is>
          <t>bazaar</t>
        </is>
      </c>
      <c r="N959" s="8" t="n">
        <v>1</v>
      </c>
      <c r="O959" s="9" t="inlineStr">
        <is>
          <t>条件触发</t>
        </is>
      </c>
      <c r="P959" s="9" t="inlineStr">
        <is>
          <t>triggered</t>
        </is>
      </c>
      <c r="Q959" s="9" t="inlineStr">
        <is>
          <t>条件触发：水属性符箓使用时，获得 8 层露水；水属性符箓使用时，获得 10 层露水；水属性符箓使用时，获得 12 层露水；水属性符箓使用时，获得 14 层露水</t>
        </is>
      </c>
      <c r="R959" s="9" t="inlineStr"/>
      <c r="S959" s="9" t="inlineStr">
        <is>
          <t>深蓝石池分作两槽，波纹内壁被墨色浸得温润，小铜闸片仍能严丝合缝地嵌入。</t>
        </is>
      </c>
      <c r="T959" s="8" t="inlineStr">
        <is>
          <t>implement_spirit100_c74_darkwater_inkstone_basin_2x2</t>
        </is>
      </c>
      <c r="U959" s="8" t="inlineStr">
        <is>
          <t>allowed</t>
        </is>
      </c>
    </row>
    <row r="960" ht="34" customHeight="1">
      <c r="A960" s="8" t="n">
        <v>959</v>
      </c>
      <c r="B960" s="8" t="n">
        <v>419075</v>
      </c>
      <c r="C960" s="8" t="inlineStr">
        <is>
          <t>无相归置架</t>
        </is>
      </c>
      <c r="D960" s="8" t="inlineStr">
        <is>
          <t>法器</t>
        </is>
      </c>
      <c r="E960" s="8" t="inlineStr">
        <is>
          <t>implement</t>
        </is>
      </c>
      <c r="F960" s="8" t="inlineStr">
        <is>
          <t>spirit</t>
        </is>
      </c>
      <c r="G960" s="8" t="inlineStr">
        <is>
          <t>无</t>
        </is>
      </c>
      <c r="H960" s="8" t="inlineStr">
        <is>
          <t>none</t>
        </is>
      </c>
      <c r="I960" s="8" t="inlineStr">
        <is>
          <t>2×2</t>
        </is>
      </c>
      <c r="J960" s="8" t="n">
        <v>4</v>
      </c>
      <c r="K960" s="8" t="n">
        <v>100</v>
      </c>
      <c r="L960" s="8" t="inlineStr">
        <is>
          <t>是</t>
        </is>
      </c>
      <c r="M960" s="9" t="inlineStr">
        <is>
          <t>bazaar</t>
        </is>
      </c>
      <c r="N960" s="8" t="n">
        <v>1</v>
      </c>
      <c r="O960" s="9" t="inlineStr">
        <is>
          <t>周期触发</t>
        </is>
      </c>
      <c r="P960" s="9" t="inlineStr">
        <is>
          <t>periodicPulse</t>
        </is>
      </c>
      <c r="Q960" s="9" t="inlineStr">
        <is>
          <t>周期触发：消耗 4 点神识，获得 16 层护甲；消耗 4 点神识，获得 20 层护甲；消耗 4 点神识，获得 24 层护甲；消耗 4 点神识，获得 28 层护甲</t>
        </is>
      </c>
      <c r="R960" s="9" t="inlineStr"/>
      <c r="S960" s="9" t="inlineStr">
        <is>
          <t>灰玉架内嵌着九枚可移隔板，暗银榫扣彼此相合，组合虽多却总显得端正克制。</t>
        </is>
      </c>
      <c r="T960" s="8" t="inlineStr">
        <is>
          <t>implement_spirit100_c75_formless_storage_rack_2x2</t>
        </is>
      </c>
      <c r="U960" s="8" t="inlineStr">
        <is>
          <t>allowed</t>
        </is>
      </c>
    </row>
    <row r="961" ht="34" customHeight="1">
      <c r="A961" s="8" t="n">
        <v>960</v>
      </c>
      <c r="B961" s="8" t="n">
        <v>419101</v>
      </c>
      <c r="C961" s="8" t="inlineStr">
        <is>
          <t>震云铜哨</t>
        </is>
      </c>
      <c r="D961" s="8" t="inlineStr">
        <is>
          <t>法器</t>
        </is>
      </c>
      <c r="E961" s="8" t="inlineStr">
        <is>
          <t>implement</t>
        </is>
      </c>
      <c r="F961" s="8" t="inlineStr">
        <is>
          <t>common</t>
        </is>
      </c>
      <c r="G961" s="8" t="inlineStr">
        <is>
          <t>雷</t>
        </is>
      </c>
      <c r="H961" s="8" t="inlineStr">
        <is>
          <t>thunder</t>
        </is>
      </c>
      <c r="I961" s="8" t="inlineStr">
        <is>
          <t>1×1</t>
        </is>
      </c>
      <c r="J961" s="8" t="n">
        <v>1</v>
      </c>
      <c r="K961" s="8" t="n">
        <v>8</v>
      </c>
      <c r="L961" s="8" t="inlineStr">
        <is>
          <t>是</t>
        </is>
      </c>
      <c r="M961" s="9" t="inlineStr">
        <is>
          <t>bazaar；dynamicRandomReward；itemReforge</t>
        </is>
      </c>
      <c r="N961" s="8" t="n">
        <v>1</v>
      </c>
      <c r="O961" s="9" t="inlineStr">
        <is>
          <t>周期触发</t>
        </is>
      </c>
      <c r="P961" s="9" t="inlineStr">
        <is>
          <t>periodicPulse</t>
        </is>
      </c>
      <c r="Q961" s="9" t="inlineStr">
        <is>
          <t>周期触发：获得 1 层引雷；获得 2 层引雷；获得 3 层引雷；获得 4 层引雷</t>
        </is>
      </c>
      <c r="R961" s="9" t="inlineStr"/>
      <c r="S961" s="9" t="inlineStr">
        <is>
          <t>短粗铜哨的腹腔嵌着一片雷纹簧，轮转时先震云气，再收下一缕细雷。</t>
        </is>
      </c>
      <c r="T961" s="8" t="inlineStr">
        <is>
          <t>implement_thunder_cloud_shaking_copper_whistle_1x1</t>
        </is>
      </c>
      <c r="U961" s="8" t="inlineStr">
        <is>
          <t>allowed</t>
        </is>
      </c>
    </row>
    <row r="962" ht="34" customHeight="1">
      <c r="A962" s="8" t="n">
        <v>961</v>
      </c>
      <c r="B962" s="8" t="n">
        <v>419102</v>
      </c>
      <c r="C962" s="8" t="inlineStr">
        <is>
          <t>藏霆木胆</t>
        </is>
      </c>
      <c r="D962" s="8" t="inlineStr">
        <is>
          <t>法器</t>
        </is>
      </c>
      <c r="E962" s="8" t="inlineStr">
        <is>
          <t>implement</t>
        </is>
      </c>
      <c r="F962" s="8" t="inlineStr">
        <is>
          <t>common</t>
        </is>
      </c>
      <c r="G962" s="8" t="inlineStr">
        <is>
          <t>雷</t>
        </is>
      </c>
      <c r="H962" s="8" t="inlineStr">
        <is>
          <t>thunder</t>
        </is>
      </c>
      <c r="I962" s="8" t="inlineStr">
        <is>
          <t>1×2</t>
        </is>
      </c>
      <c r="J962" s="8" t="n">
        <v>2</v>
      </c>
      <c r="K962" s="8" t="n">
        <v>10</v>
      </c>
      <c r="L962" s="8" t="inlineStr">
        <is>
          <t>是</t>
        </is>
      </c>
      <c r="M962" s="9" t="inlineStr">
        <is>
          <t>bazaar；dynamicRandomReward；itemReforge</t>
        </is>
      </c>
      <c r="N962" s="8" t="n">
        <v>2</v>
      </c>
      <c r="O962" s="9" t="inlineStr">
        <is>
          <t>周期触发</t>
        </is>
      </c>
      <c r="P962" s="9" t="inlineStr">
        <is>
          <t>periodicPulse</t>
        </is>
      </c>
      <c r="Q962" s="9" t="inlineStr">
        <is>
          <t>周期触发：开局时，获得 4 层引雷；开局时，获得 5 层引雷；开局时，获得 6 层引雷；开局时，获得 7 层引雷 | 周期触发：开局时，引雷达到 20 层，额外获得 5 层引雷</t>
        </is>
      </c>
      <c r="R962" s="9" t="inlineStr"/>
      <c r="S962" s="9" t="inlineStr">
        <is>
          <t>焦黑木胆被两道铜箍封紧，开局解扣时，积在木芯里的雷意会一并涌出。</t>
        </is>
      </c>
      <c r="T962" s="8" t="inlineStr">
        <is>
          <t>implement_thunder_storing_wood_core_1x2</t>
        </is>
      </c>
      <c r="U962" s="8" t="inlineStr">
        <is>
          <t>allowed</t>
        </is>
      </c>
    </row>
    <row r="963" ht="34" customHeight="1">
      <c r="A963" s="8" t="n">
        <v>962</v>
      </c>
      <c r="B963" s="8" t="n">
        <v>419103</v>
      </c>
      <c r="C963" s="8" t="inlineStr">
        <is>
          <t>纳气雷罐</t>
        </is>
      </c>
      <c r="D963" s="8" t="inlineStr">
        <is>
          <t>法器</t>
        </is>
      </c>
      <c r="E963" s="8" t="inlineStr">
        <is>
          <t>implement</t>
        </is>
      </c>
      <c r="F963" s="8" t="inlineStr">
        <is>
          <t>common</t>
        </is>
      </c>
      <c r="G963" s="8" t="inlineStr">
        <is>
          <t>雷</t>
        </is>
      </c>
      <c r="H963" s="8" t="inlineStr">
        <is>
          <t>thunder</t>
        </is>
      </c>
      <c r="I963" s="8" t="inlineStr">
        <is>
          <t>1×1</t>
        </is>
      </c>
      <c r="J963" s="8" t="n">
        <v>1</v>
      </c>
      <c r="K963" s="8" t="n">
        <v>9</v>
      </c>
      <c r="L963" s="8" t="inlineStr">
        <is>
          <t>是</t>
        </is>
      </c>
      <c r="M963" s="9" t="inlineStr">
        <is>
          <t>bazaar；dynamicRandomReward；itemReforge</t>
        </is>
      </c>
      <c r="N963" s="8" t="n">
        <v>1</v>
      </c>
      <c r="O963" s="9" t="inlineStr">
        <is>
          <t>周期触发</t>
        </is>
      </c>
      <c r="P963" s="9" t="inlineStr">
        <is>
          <t>periodicPulse</t>
        </is>
      </c>
      <c r="Q963" s="9" t="inlineStr">
        <is>
          <t>周期触发：将 10 点法力转化为 6 层引雷；将 10 点法力转化为 9 层引雷；将 10 点法力转化为 12 层引雷；将 10 点法力转化为 15 层引雷</t>
        </is>
      </c>
      <c r="R963" s="9" t="inlineStr"/>
      <c r="S963" s="9" t="inlineStr">
        <is>
          <t>紫陶小罐以铜线绕腹，能把一口法力压进罐底，换作沿壁跳动的细电。</t>
        </is>
      </c>
      <c r="T963" s="8" t="inlineStr">
        <is>
          <t>implement_thunder_breath_gathering_jar_1x1</t>
        </is>
      </c>
      <c r="U963" s="8" t="inlineStr">
        <is>
          <t>allowed</t>
        </is>
      </c>
    </row>
    <row r="964" ht="34" customHeight="1">
      <c r="A964" s="8" t="n">
        <v>963</v>
      </c>
      <c r="B964" s="8" t="n">
        <v>419104</v>
      </c>
      <c r="C964" s="8" t="inlineStr">
        <is>
          <t>踏霆铜履</t>
        </is>
      </c>
      <c r="D964" s="8" t="inlineStr">
        <is>
          <t>法器</t>
        </is>
      </c>
      <c r="E964" s="8" t="inlineStr">
        <is>
          <t>implement</t>
        </is>
      </c>
      <c r="F964" s="8" t="inlineStr">
        <is>
          <t>common</t>
        </is>
      </c>
      <c r="G964" s="8" t="inlineStr">
        <is>
          <t>雷</t>
        </is>
      </c>
      <c r="H964" s="8" t="inlineStr">
        <is>
          <t>thunder</t>
        </is>
      </c>
      <c r="I964" s="8" t="inlineStr">
        <is>
          <t>1×2</t>
        </is>
      </c>
      <c r="J964" s="8" t="n">
        <v>2</v>
      </c>
      <c r="K964" s="8" t="n">
        <v>10</v>
      </c>
      <c r="L964" s="8" t="inlineStr">
        <is>
          <t>是</t>
        </is>
      </c>
      <c r="M964" s="9" t="inlineStr">
        <is>
          <t>bazaar；dynamicRandomReward；itemReforge</t>
        </is>
      </c>
      <c r="N964" s="8" t="n">
        <v>1</v>
      </c>
      <c r="O964" s="9" t="inlineStr">
        <is>
          <t>周期触发</t>
        </is>
      </c>
      <c r="P964" s="9" t="inlineStr">
        <is>
          <t>periodicPulse</t>
        </is>
      </c>
      <c r="Q964" s="9" t="inlineStr">
        <is>
          <t>周期触发：将 10 点体力转化为 4 层引雷；将 10 点体力转化为 6 层引雷；将 10 点体力转化为 8 层引雷；将 10 点体力转化为 10 层引雷</t>
        </is>
      </c>
      <c r="R964" s="9" t="inlineStr"/>
      <c r="S964" s="9" t="inlineStr">
        <is>
          <t>铜履鞋底排着三枚雷齿，行气时稍耗脚力，便能把震动引成贴身雷意。</t>
        </is>
      </c>
      <c r="T964" s="8" t="inlineStr">
        <is>
          <t>implement_thunder_treading_copper_boot_1x2</t>
        </is>
      </c>
      <c r="U964" s="8" t="inlineStr">
        <is>
          <t>allowed</t>
        </is>
      </c>
    </row>
    <row r="965" ht="34" customHeight="1">
      <c r="A965" s="8" t="n">
        <v>964</v>
      </c>
      <c r="B965" s="8" t="n">
        <v>419105</v>
      </c>
      <c r="C965" s="8" t="inlineStr">
        <is>
          <t>露转雷盂</t>
        </is>
      </c>
      <c r="D965" s="8" t="inlineStr">
        <is>
          <t>法器</t>
        </is>
      </c>
      <c r="E965" s="8" t="inlineStr">
        <is>
          <t>implement</t>
        </is>
      </c>
      <c r="F965" s="8" t="inlineStr">
        <is>
          <t>common</t>
        </is>
      </c>
      <c r="G965" s="8" t="inlineStr">
        <is>
          <t>雷</t>
        </is>
      </c>
      <c r="H965" s="8" t="inlineStr">
        <is>
          <t>thunder</t>
        </is>
      </c>
      <c r="I965" s="8" t="inlineStr">
        <is>
          <t>2×1</t>
        </is>
      </c>
      <c r="J965" s="8" t="n">
        <v>2</v>
      </c>
      <c r="K965" s="8" t="n">
        <v>11</v>
      </c>
      <c r="L965" s="8" t="inlineStr">
        <is>
          <t>是</t>
        </is>
      </c>
      <c r="M965" s="9" t="inlineStr">
        <is>
          <t>bazaar；dynamicRandomReward；itemReforge</t>
        </is>
      </c>
      <c r="N965" s="8" t="n">
        <v>1</v>
      </c>
      <c r="O965" s="9" t="inlineStr">
        <is>
          <t>周期触发</t>
        </is>
      </c>
      <c r="P965" s="9" t="inlineStr">
        <is>
          <t>periodicPulse</t>
        </is>
      </c>
      <c r="Q965" s="9" t="inlineStr">
        <is>
          <t>周期触发：将 5 层露水转化为 5 层引雷；将 10 层露水转化为 10 层引雷；将 15 层露水转化为 15 层引雷；将 20 层露水转化为 20 层引雷</t>
        </is>
      </c>
      <c r="R965" s="9" t="inlineStr"/>
      <c r="S965" s="9" t="inlineStr">
        <is>
          <t>浅盂一侧聚露、一侧排铜槽，露珠滚过槽线，便迸成短促电光。</t>
        </is>
      </c>
      <c r="T965" s="8" t="inlineStr">
        <is>
          <t>implement_dew_turning_thunder_bowl_2x1</t>
        </is>
      </c>
      <c r="U965" s="8" t="inlineStr">
        <is>
          <t>allowed</t>
        </is>
      </c>
    </row>
    <row r="966" ht="34" customHeight="1">
      <c r="A966" s="8" t="n">
        <v>965</v>
      </c>
      <c r="B966" s="8" t="n">
        <v>419106</v>
      </c>
      <c r="C966" s="8" t="inlineStr">
        <is>
          <t>寒转霆锥</t>
        </is>
      </c>
      <c r="D966" s="8" t="inlineStr">
        <is>
          <t>法器</t>
        </is>
      </c>
      <c r="E966" s="8" t="inlineStr">
        <is>
          <t>implement</t>
        </is>
      </c>
      <c r="F966" s="8" t="inlineStr">
        <is>
          <t>common</t>
        </is>
      </c>
      <c r="G966" s="8" t="inlineStr">
        <is>
          <t>雷</t>
        </is>
      </c>
      <c r="H966" s="8" t="inlineStr">
        <is>
          <t>thunder</t>
        </is>
      </c>
      <c r="I966" s="8" t="inlineStr">
        <is>
          <t>1×2</t>
        </is>
      </c>
      <c r="J966" s="8" t="n">
        <v>2</v>
      </c>
      <c r="K966" s="8" t="n">
        <v>11</v>
      </c>
      <c r="L966" s="8" t="inlineStr">
        <is>
          <t>是</t>
        </is>
      </c>
      <c r="M966" s="9" t="inlineStr">
        <is>
          <t>bazaar；dynamicRandomReward；itemReforge</t>
        </is>
      </c>
      <c r="N966" s="8" t="n">
        <v>1</v>
      </c>
      <c r="O966" s="9" t="inlineStr">
        <is>
          <t>周期触发</t>
        </is>
      </c>
      <c r="P966" s="9" t="inlineStr">
        <is>
          <t>periodicPulse</t>
        </is>
      </c>
      <c r="Q966" s="9" t="inlineStr">
        <is>
          <t>周期触发：将 5 层寒冷转化为 5 层引雷；将 10 层寒冷转化为 10 层引雷；将 15 层寒冷转化为 15 层引雷；将 20 层寒冷转化为 20 层引雷</t>
        </is>
      </c>
      <c r="R966" s="9" t="inlineStr"/>
      <c r="S966" s="9" t="inlineStr">
        <is>
          <t>冰蓝尖锥被紫铜柄稳稳束住，寒意沿裂纹下沉时，会在锥尖炸作雷芒。</t>
        </is>
      </c>
      <c r="T966" s="8" t="inlineStr">
        <is>
          <t>implement_cold_turning_thunder_spike_1x2</t>
        </is>
      </c>
      <c r="U966" s="8" t="inlineStr">
        <is>
          <t>allowed</t>
        </is>
      </c>
    </row>
    <row r="967" ht="34" customHeight="1">
      <c r="A967" s="8" t="n">
        <v>966</v>
      </c>
      <c r="B967" s="8" t="n">
        <v>419107</v>
      </c>
      <c r="C967" s="8" t="inlineStr">
        <is>
          <t>熄焰电珠</t>
        </is>
      </c>
      <c r="D967" s="8" t="inlineStr">
        <is>
          <t>法器</t>
        </is>
      </c>
      <c r="E967" s="8" t="inlineStr">
        <is>
          <t>implement</t>
        </is>
      </c>
      <c r="F967" s="8" t="inlineStr">
        <is>
          <t>common</t>
        </is>
      </c>
      <c r="G967" s="8" t="inlineStr">
        <is>
          <t>雷</t>
        </is>
      </c>
      <c r="H967" s="8" t="inlineStr">
        <is>
          <t>thunder</t>
        </is>
      </c>
      <c r="I967" s="8" t="inlineStr">
        <is>
          <t>1×1</t>
        </is>
      </c>
      <c r="J967" s="8" t="n">
        <v>1</v>
      </c>
      <c r="K967" s="8" t="n">
        <v>9</v>
      </c>
      <c r="L967" s="8" t="inlineStr">
        <is>
          <t>是</t>
        </is>
      </c>
      <c r="M967" s="9" t="inlineStr">
        <is>
          <t>bazaar；dynamicRandomReward；itemReforge</t>
        </is>
      </c>
      <c r="N967" s="8" t="n">
        <v>1</v>
      </c>
      <c r="O967" s="9" t="inlineStr">
        <is>
          <t>周期触发</t>
        </is>
      </c>
      <c r="P967" s="9" t="inlineStr">
        <is>
          <t>periodicPulse</t>
        </is>
      </c>
      <c r="Q967" s="9" t="inlineStr">
        <is>
          <t>周期触发：将 5 层炎热转化为 5 层引雷；将 10 层炎热转化为 10 层引雷；将 15 层炎热转化为 15 层引雷；将 20 层炎热转化为 20 层引雷</t>
        </is>
      </c>
      <c r="R967" s="9" t="inlineStr"/>
      <c r="S967" s="9" t="inlineStr">
        <is>
          <t>乌黑圆珠半藏余烬、半走紫电，热意被珠壳压灭时，正好化成一圈雷纹。</t>
        </is>
      </c>
      <c r="T967" s="8" t="inlineStr">
        <is>
          <t>implement_ember_quenching_thunder_bead_1x1</t>
        </is>
      </c>
      <c r="U967" s="8" t="inlineStr">
        <is>
          <t>allowed</t>
        </is>
      </c>
    </row>
    <row r="968" ht="34" customHeight="1">
      <c r="A968" s="8" t="n">
        <v>967</v>
      </c>
      <c r="B968" s="8" t="n">
        <v>419108</v>
      </c>
      <c r="C968" s="8" t="inlineStr">
        <is>
          <t>金磁鸣盘</t>
        </is>
      </c>
      <c r="D968" s="8" t="inlineStr">
        <is>
          <t>法器</t>
        </is>
      </c>
      <c r="E968" s="8" t="inlineStr">
        <is>
          <t>implement</t>
        </is>
      </c>
      <c r="F968" s="8" t="inlineStr">
        <is>
          <t>common</t>
        </is>
      </c>
      <c r="G968" s="8" t="inlineStr">
        <is>
          <t>雷</t>
        </is>
      </c>
      <c r="H968" s="8" t="inlineStr">
        <is>
          <t>thunder</t>
        </is>
      </c>
      <c r="I968" s="8" t="inlineStr">
        <is>
          <t>2×2</t>
        </is>
      </c>
      <c r="J968" s="8" t="n">
        <v>4</v>
      </c>
      <c r="K968" s="8" t="n">
        <v>35</v>
      </c>
      <c r="L968" s="8" t="inlineStr">
        <is>
          <t>是</t>
        </is>
      </c>
      <c r="M968" s="9" t="inlineStr">
        <is>
          <t>bazaar；dynamicRandomReward；itemReforge</t>
        </is>
      </c>
      <c r="N968" s="8" t="n">
        <v>1</v>
      </c>
      <c r="O968" s="9" t="inlineStr">
        <is>
          <t>周期触发</t>
        </is>
      </c>
      <c r="P968" s="9" t="inlineStr">
        <is>
          <t>periodicPulse</t>
        </is>
      </c>
      <c r="Q968" s="9" t="inlineStr">
        <is>
          <t>周期触发：将 5 层凝金转化为 5 层引雷；将 10 层凝金转化为 10 层引雷；将 15 层凝金转化为 15 层引雷；将 20 层凝金转化为 20 层引雷</t>
        </is>
      </c>
      <c r="R968" s="9" t="inlineStr"/>
      <c r="S968" s="9" t="inlineStr">
        <is>
          <t>方盘四针同指中央雷核，凝金越过磁轨，便被磨成一阵齐整鸣电。</t>
        </is>
      </c>
      <c r="T968" s="8" t="inlineStr">
        <is>
          <t>implement_metal_magnetic_thunder_plate_2x2</t>
        </is>
      </c>
      <c r="U968" s="8" t="inlineStr">
        <is>
          <t>allowed</t>
        </is>
      </c>
    </row>
    <row r="969" ht="34" customHeight="1">
      <c r="A969" s="8" t="n">
        <v>968</v>
      </c>
      <c r="B969" s="8" t="n">
        <v>419109</v>
      </c>
      <c r="C969" s="8" t="inlineStr">
        <is>
          <t>三联雷桩</t>
        </is>
      </c>
      <c r="D969" s="8" t="inlineStr">
        <is>
          <t>法器</t>
        </is>
      </c>
      <c r="E969" s="8" t="inlineStr">
        <is>
          <t>implement</t>
        </is>
      </c>
      <c r="F969" s="8" t="inlineStr">
        <is>
          <t>common</t>
        </is>
      </c>
      <c r="G969" s="8" t="inlineStr">
        <is>
          <t>雷</t>
        </is>
      </c>
      <c r="H969" s="8" t="inlineStr">
        <is>
          <t>thunder</t>
        </is>
      </c>
      <c r="I969" s="8" t="inlineStr">
        <is>
          <t>1×3</t>
        </is>
      </c>
      <c r="J969" s="8" t="n">
        <v>3</v>
      </c>
      <c r="K969" s="8" t="n">
        <v>13</v>
      </c>
      <c r="L969" s="8" t="inlineStr">
        <is>
          <t>是</t>
        </is>
      </c>
      <c r="M969" s="9" t="inlineStr">
        <is>
          <t>bazaar；dynamicRandomReward；itemReforge</t>
        </is>
      </c>
      <c r="N969" s="8" t="n">
        <v>1</v>
      </c>
      <c r="O969" s="9" t="inlineStr">
        <is>
          <t>周期触发</t>
        </is>
      </c>
      <c r="P969" s="9" t="inlineStr">
        <is>
          <t>periodicPulse</t>
        </is>
      </c>
      <c r="Q969" s="9" t="inlineStr">
        <is>
          <t>周期触发：相邻至少 2 件雷属性道具时，获得 6 层引雷；相邻至少 2 件雷属性道具时，获得 9 层引雷；相邻至少 2 件雷属性道具时，获得 12 层引雷；相邻至少 2 件雷属性道具时，获得 15 层引雷</t>
        </is>
      </c>
      <c r="R969" s="9" t="inlineStr"/>
      <c r="S969" s="9" t="inlineStr">
        <is>
          <t>三根乌铁桩以铜链相连，临近雷器的震鸣会沿链逐节传下，汇成新的引雷。</t>
        </is>
      </c>
      <c r="T969" s="8" t="inlineStr">
        <is>
          <t>implement_three_link_thunder_stakes_1x3</t>
        </is>
      </c>
      <c r="U969" s="8" t="inlineStr">
        <is>
          <t>allowed</t>
        </is>
      </c>
    </row>
    <row r="970" ht="34" customHeight="1">
      <c r="A970" s="8" t="n">
        <v>969</v>
      </c>
      <c r="B970" s="8" t="n">
        <v>419110</v>
      </c>
      <c r="C970" s="8" t="inlineStr">
        <is>
          <t>角宿引雷钉</t>
        </is>
      </c>
      <c r="D970" s="8" t="inlineStr">
        <is>
          <t>法器</t>
        </is>
      </c>
      <c r="E970" s="8" t="inlineStr">
        <is>
          <t>implement</t>
        </is>
      </c>
      <c r="F970" s="8" t="inlineStr">
        <is>
          <t>common</t>
        </is>
      </c>
      <c r="G970" s="8" t="inlineStr">
        <is>
          <t>雷</t>
        </is>
      </c>
      <c r="H970" s="8" t="inlineStr">
        <is>
          <t>thunder</t>
        </is>
      </c>
      <c r="I970" s="8" t="inlineStr">
        <is>
          <t>1×1</t>
        </is>
      </c>
      <c r="J970" s="8" t="n">
        <v>1</v>
      </c>
      <c r="K970" s="8" t="n">
        <v>9</v>
      </c>
      <c r="L970" s="8" t="inlineStr">
        <is>
          <t>是</t>
        </is>
      </c>
      <c r="M970" s="9" t="inlineStr">
        <is>
          <t>bazaar；dynamicRandomReward；itemReforge</t>
        </is>
      </c>
      <c r="N970" s="8" t="n">
        <v>1</v>
      </c>
      <c r="O970" s="9" t="inlineStr">
        <is>
          <t>周期触发</t>
        </is>
      </c>
      <c r="P970" s="9" t="inlineStr">
        <is>
          <t>periodicPulse</t>
        </is>
      </c>
      <c r="Q970" s="9" t="inlineStr">
        <is>
          <t>周期触发：位于储物袋角落时，获得 2 层引雷；位于储物袋角落时，获得 3 层引雷；位于储物袋角落时，获得 4 层引雷；位于储物袋角落时，获得 5 层引雷</t>
        </is>
      </c>
      <c r="R970" s="9" t="inlineStr"/>
      <c r="S970" s="9" t="inlineStr">
        <is>
          <t>四棱铜钉帽上刻着角宿星纹，钉在储物袋角落时，最易承接四隅游走的电意。</t>
        </is>
      </c>
      <c r="T970" s="8" t="inlineStr">
        <is>
          <t>implement_corner_star_thunder_nail_1x1</t>
        </is>
      </c>
      <c r="U970" s="8" t="inlineStr">
        <is>
          <t>allowed</t>
        </is>
      </c>
    </row>
    <row r="971" ht="34" customHeight="1">
      <c r="A971" s="8" t="n">
        <v>970</v>
      </c>
      <c r="B971" s="8" t="n">
        <v>419111</v>
      </c>
      <c r="C971" s="8" t="inlineStr">
        <is>
          <t>惊脉手铃</t>
        </is>
      </c>
      <c r="D971" s="8" t="inlineStr">
        <is>
          <t>法器</t>
        </is>
      </c>
      <c r="E971" s="8" t="inlineStr">
        <is>
          <t>implement</t>
        </is>
      </c>
      <c r="F971" s="8" t="inlineStr">
        <is>
          <t>common</t>
        </is>
      </c>
      <c r="G971" s="8" t="inlineStr">
        <is>
          <t>雷</t>
        </is>
      </c>
      <c r="H971" s="8" t="inlineStr">
        <is>
          <t>thunder</t>
        </is>
      </c>
      <c r="I971" s="8" t="inlineStr">
        <is>
          <t>1×1</t>
        </is>
      </c>
      <c r="J971" s="8" t="n">
        <v>1</v>
      </c>
      <c r="K971" s="8" t="n">
        <v>9</v>
      </c>
      <c r="L971" s="8" t="inlineStr">
        <is>
          <t>是</t>
        </is>
      </c>
      <c r="M971" s="9" t="inlineStr">
        <is>
          <t>bazaar；dynamicRandomReward；itemReforge</t>
        </is>
      </c>
      <c r="N971" s="8" t="n">
        <v>1</v>
      </c>
      <c r="O971" s="9" t="inlineStr">
        <is>
          <t>周期触发</t>
        </is>
      </c>
      <c r="P971" s="9" t="inlineStr">
        <is>
          <t>periodicPulse</t>
        </is>
      </c>
      <c r="Q971" s="9" t="inlineStr">
        <is>
          <t>周期触发：对敌方施加 1 层麻痹；对敌方施加 2 层麻痹；对敌方施加 3 层麻痹；对敌方施加 4 层麻痹</t>
        </is>
      </c>
      <c r="R971" s="9" t="inlineStr"/>
      <c r="S971" s="9" t="inlineStr">
        <is>
          <t>小铃以雷石作舌，声音不大，却能让敌方经络泛起一阵短麻。</t>
        </is>
      </c>
      <c r="T971" s="8" t="inlineStr">
        <is>
          <t>implement_meridian_startling_handbell_1x1</t>
        </is>
      </c>
      <c r="U971" s="8" t="inlineStr">
        <is>
          <t>allowed</t>
        </is>
      </c>
    </row>
    <row r="972" ht="34" customHeight="1">
      <c r="A972" s="8" t="n">
        <v>971</v>
      </c>
      <c r="B972" s="8" t="n">
        <v>419112</v>
      </c>
      <c r="C972" s="8" t="inlineStr">
        <is>
          <t>开枢震片</t>
        </is>
      </c>
      <c r="D972" s="8" t="inlineStr">
        <is>
          <t>法器</t>
        </is>
      </c>
      <c r="E972" s="8" t="inlineStr">
        <is>
          <t>implement</t>
        </is>
      </c>
      <c r="F972" s="8" t="inlineStr">
        <is>
          <t>common</t>
        </is>
      </c>
      <c r="G972" s="8" t="inlineStr">
        <is>
          <t>雷</t>
        </is>
      </c>
      <c r="H972" s="8" t="inlineStr">
        <is>
          <t>thunder</t>
        </is>
      </c>
      <c r="I972" s="8" t="inlineStr">
        <is>
          <t>2×1</t>
        </is>
      </c>
      <c r="J972" s="8" t="n">
        <v>2</v>
      </c>
      <c r="K972" s="8" t="n">
        <v>11</v>
      </c>
      <c r="L972" s="8" t="inlineStr">
        <is>
          <t>是</t>
        </is>
      </c>
      <c r="M972" s="9" t="inlineStr">
        <is>
          <t>bazaar；dynamicRandomReward；itemReforge</t>
        </is>
      </c>
      <c r="N972" s="8" t="n">
        <v>1</v>
      </c>
      <c r="O972" s="9" t="inlineStr">
        <is>
          <t>周期触发</t>
        </is>
      </c>
      <c r="P972" s="9" t="inlineStr">
        <is>
          <t>periodicPulse</t>
        </is>
      </c>
      <c r="Q972" s="9" t="inlineStr">
        <is>
          <t>周期触发：开局时，对敌方施加 3 层麻痹；开局时，对敌方施加 4 层麻痹；开局时，对敌方施加 5 层麻痹；开局时，对敌方施加 6 层麻痹</t>
        </is>
      </c>
      <c r="R972" s="9" t="inlineStr"/>
      <c r="S972" s="9" t="inlineStr">
        <is>
          <t>两片紫铜薄片一开一合，开局第一声震响最利，能先扰乱敌方气脉。</t>
        </is>
      </c>
      <c r="T972" s="8" t="inlineStr">
        <is>
          <t>implement_meridian_opening_shock_plate_2x1</t>
        </is>
      </c>
      <c r="U972" s="8" t="inlineStr">
        <is>
          <t>allowed</t>
        </is>
      </c>
    </row>
    <row r="973" ht="34" customHeight="1">
      <c r="A973" s="8" t="n">
        <v>972</v>
      </c>
      <c r="B973" s="8" t="n">
        <v>419113</v>
      </c>
      <c r="C973" s="8" t="inlineStr">
        <is>
          <t>雷化麻针</t>
        </is>
      </c>
      <c r="D973" s="8" t="inlineStr">
        <is>
          <t>法器</t>
        </is>
      </c>
      <c r="E973" s="8" t="inlineStr">
        <is>
          <t>implement</t>
        </is>
      </c>
      <c r="F973" s="8" t="inlineStr">
        <is>
          <t>common</t>
        </is>
      </c>
      <c r="G973" s="8" t="inlineStr">
        <is>
          <t>雷</t>
        </is>
      </c>
      <c r="H973" s="8" t="inlineStr">
        <is>
          <t>thunder</t>
        </is>
      </c>
      <c r="I973" s="8" t="inlineStr">
        <is>
          <t>1×2</t>
        </is>
      </c>
      <c r="J973" s="8" t="n">
        <v>2</v>
      </c>
      <c r="K973" s="8" t="n">
        <v>12</v>
      </c>
      <c r="L973" s="8" t="inlineStr">
        <is>
          <t>是</t>
        </is>
      </c>
      <c r="M973" s="9" t="inlineStr">
        <is>
          <t>bazaar；dynamicRandomReward；itemReforge</t>
        </is>
      </c>
      <c r="N973" s="8" t="n">
        <v>1</v>
      </c>
      <c r="O973" s="9" t="inlineStr">
        <is>
          <t>周期触发</t>
        </is>
      </c>
      <c r="P973" s="9" t="inlineStr">
        <is>
          <t>periodicPulse</t>
        </is>
      </c>
      <c r="Q973" s="9" t="inlineStr">
        <is>
          <t>周期触发：最多消耗 3 层引雷；每消耗 1 层，对敌方施加 1 层麻痹；最多消耗 4 层引雷；每消耗 1 层，对敌方施加 1 层麻痹；最多消耗 5 层引雷；每消耗 1 层，对敌方施加 1 层麻痹；最多消耗 6 层引雷；每消耗 1 层，对敌方施加 1 层麻痹</t>
        </is>
      </c>
      <c r="R973" s="9" t="inlineStr"/>
      <c r="S973" s="9" t="inlineStr">
        <is>
          <t>银针尾环收取引雷，针尖再将电意拆作细密麻流，专锁敌方经络。</t>
        </is>
      </c>
      <c r="T973" s="8" t="inlineStr">
        <is>
          <t>implement_lightning_to_paralysis_needle_1x2</t>
        </is>
      </c>
      <c r="U973" s="8" t="inlineStr">
        <is>
          <t>allowed</t>
        </is>
      </c>
    </row>
    <row r="974" ht="34" customHeight="1">
      <c r="A974" s="8" t="n">
        <v>973</v>
      </c>
      <c r="B974" s="8" t="n">
        <v>419114</v>
      </c>
      <c r="C974" s="8" t="inlineStr">
        <is>
          <t>断络铜锥</t>
        </is>
      </c>
      <c r="D974" s="8" t="inlineStr">
        <is>
          <t>法器</t>
        </is>
      </c>
      <c r="E974" s="8" t="inlineStr">
        <is>
          <t>implement</t>
        </is>
      </c>
      <c r="F974" s="8" t="inlineStr">
        <is>
          <t>common</t>
        </is>
      </c>
      <c r="G974" s="8" t="inlineStr">
        <is>
          <t>雷</t>
        </is>
      </c>
      <c r="H974" s="8" t="inlineStr">
        <is>
          <t>thunder</t>
        </is>
      </c>
      <c r="I974" s="8" t="inlineStr">
        <is>
          <t>1×2</t>
        </is>
      </c>
      <c r="J974" s="8" t="n">
        <v>2</v>
      </c>
      <c r="K974" s="8" t="n">
        <v>13</v>
      </c>
      <c r="L974" s="8" t="inlineStr">
        <is>
          <t>是</t>
        </is>
      </c>
      <c r="M974" s="9" t="inlineStr">
        <is>
          <t>bazaar；dynamicRandomReward；itemReforge</t>
        </is>
      </c>
      <c r="N974" s="8" t="n">
        <v>1</v>
      </c>
      <c r="O974" s="9" t="inlineStr">
        <is>
          <t>周期触发</t>
        </is>
      </c>
      <c r="P974" s="9" t="inlineStr">
        <is>
          <t>periodicPulse</t>
        </is>
      </c>
      <c r="Q974" s="9" t="inlineStr">
        <is>
          <t>周期触发：最多消耗敌方 3 层麻痹，每消耗 1 层，对敌方造成 4 点伤害；最多消耗敌方 4 层麻痹，每消耗 1 层，对敌方造成 4 点伤害；最多消耗敌方 5 层麻痹，每消耗 1 层，对敌方造成 4 点伤害；最多消耗敌方 6 层麻痹，每消耗 1 层，对敌方造成 4 点伤害</t>
        </is>
      </c>
      <c r="R974" s="9" t="inlineStr"/>
      <c r="S974" s="9" t="inlineStr">
        <is>
          <t>厚柄铜锥沿着麻痕落下，能截断敌方紊乱经络，将滞涩尽数化作创伤。</t>
        </is>
      </c>
      <c r="T974" s="8" t="inlineStr">
        <is>
          <t>implement_paralysis_severing_copper_awl_1x2</t>
        </is>
      </c>
      <c r="U974" s="8" t="inlineStr">
        <is>
          <t>allowed</t>
        </is>
      </c>
    </row>
    <row r="975" ht="34" customHeight="1">
      <c r="A975" s="8" t="n">
        <v>974</v>
      </c>
      <c r="B975" s="8" t="n">
        <v>419115</v>
      </c>
      <c r="C975" s="8" t="inlineStr">
        <is>
          <t>麻痕追击尺</t>
        </is>
      </c>
      <c r="D975" s="8" t="inlineStr">
        <is>
          <t>法器</t>
        </is>
      </c>
      <c r="E975" s="8" t="inlineStr">
        <is>
          <t>implement</t>
        </is>
      </c>
      <c r="F975" s="8" t="inlineStr">
        <is>
          <t>common</t>
        </is>
      </c>
      <c r="G975" s="8" t="inlineStr">
        <is>
          <t>雷</t>
        </is>
      </c>
      <c r="H975" s="8" t="inlineStr">
        <is>
          <t>thunder</t>
        </is>
      </c>
      <c r="I975" s="8" t="inlineStr">
        <is>
          <t>2×1</t>
        </is>
      </c>
      <c r="J975" s="8" t="n">
        <v>2</v>
      </c>
      <c r="K975" s="8" t="n">
        <v>13</v>
      </c>
      <c r="L975" s="8" t="inlineStr">
        <is>
          <t>是</t>
        </is>
      </c>
      <c r="M975" s="9" t="inlineStr">
        <is>
          <t>bazaar；dynamicRandomReward；itemReforge</t>
        </is>
      </c>
      <c r="N975" s="8" t="n">
        <v>1</v>
      </c>
      <c r="O975" s="9" t="inlineStr">
        <is>
          <t>周期触发</t>
        </is>
      </c>
      <c r="P975" s="9" t="inlineStr">
        <is>
          <t>periodicPulse</t>
        </is>
      </c>
      <c r="Q975" s="9" t="inlineStr">
        <is>
          <t>周期触发：敌方麻痹不少于 3 层时，对敌方造成 8 点伤害；敌方麻痹不少于 3 层时，对敌方造成 10 点伤害；敌方麻痹不少于 3 层时，对敌方造成 12 点伤害；敌方麻痹不少于 3 层时，对敌方造成 14 点伤害</t>
        </is>
      </c>
      <c r="R975" s="9" t="inlineStr"/>
      <c r="S975" s="9" t="inlineStr">
        <is>
          <t>乌铁尺上的紫色刻度会追着敌方麻痕逐级亮起，麻意积深时便补上一记雷击。</t>
        </is>
      </c>
      <c r="T975" s="8" t="inlineStr">
        <is>
          <t>implement_paralysis_tracing_ruler_2x1</t>
        </is>
      </c>
      <c r="U975" s="8" t="inlineStr">
        <is>
          <t>allowed</t>
        </is>
      </c>
    </row>
    <row r="976" ht="34" customHeight="1">
      <c r="A976" s="8" t="n">
        <v>975</v>
      </c>
      <c r="B976" s="8" t="n">
        <v>419116</v>
      </c>
      <c r="C976" s="8" t="inlineStr">
        <is>
          <t>云极收霆塔</t>
        </is>
      </c>
      <c r="D976" s="8" t="inlineStr">
        <is>
          <t>法器</t>
        </is>
      </c>
      <c r="E976" s="8" t="inlineStr">
        <is>
          <t>implement</t>
        </is>
      </c>
      <c r="F976" s="8" t="inlineStr">
        <is>
          <t>spirit</t>
        </is>
      </c>
      <c r="G976" s="8" t="inlineStr">
        <is>
          <t>雷</t>
        </is>
      </c>
      <c r="H976" s="8" t="inlineStr">
        <is>
          <t>thunder</t>
        </is>
      </c>
      <c r="I976" s="8" t="inlineStr">
        <is>
          <t>2×2</t>
        </is>
      </c>
      <c r="J976" s="8" t="n">
        <v>4</v>
      </c>
      <c r="K976" s="8" t="n">
        <v>110</v>
      </c>
      <c r="L976" s="8" t="inlineStr">
        <is>
          <t>是</t>
        </is>
      </c>
      <c r="M976" s="9" t="inlineStr">
        <is>
          <t>bazaar；dynamicRandomReward；itemReforge</t>
        </is>
      </c>
      <c r="N976" s="8" t="n">
        <v>1</v>
      </c>
      <c r="O976" s="9" t="inlineStr">
        <is>
          <t>周期触发</t>
        </is>
      </c>
      <c r="P976" s="9" t="inlineStr">
        <is>
          <t>periodicPulse</t>
        </is>
      </c>
      <c r="Q976" s="9" t="inlineStr">
        <is>
          <t>周期触发：获得 16 层引雷；获得 24 层引雷；获得 32 层引雷；获得 40 层引雷</t>
        </is>
      </c>
      <c r="R976" s="9" t="inlineStr"/>
      <c r="S976" s="9" t="inlineStr">
        <is>
          <t>三层紫铜小塔以叉角探入云气，轮转一至，层层塔檐便把游雷压入塔心。</t>
        </is>
      </c>
      <c r="T976" s="8" t="inlineStr">
        <is>
          <t>implement_spirit_cloud_pole_thunder_tower_2x2</t>
        </is>
      </c>
      <c r="U976" s="8" t="inlineStr">
        <is>
          <t>allowed</t>
        </is>
      </c>
    </row>
    <row r="977" ht="34" customHeight="1">
      <c r="A977" s="8" t="n">
        <v>976</v>
      </c>
      <c r="B977" s="8" t="n">
        <v>419117</v>
      </c>
      <c r="C977" s="8" t="inlineStr">
        <is>
          <t>紫府蓄电匣</t>
        </is>
      </c>
      <c r="D977" s="8" t="inlineStr">
        <is>
          <t>法器</t>
        </is>
      </c>
      <c r="E977" s="8" t="inlineStr">
        <is>
          <t>implement</t>
        </is>
      </c>
      <c r="F977" s="8" t="inlineStr">
        <is>
          <t>spirit</t>
        </is>
      </c>
      <c r="G977" s="8" t="inlineStr">
        <is>
          <t>雷</t>
        </is>
      </c>
      <c r="H977" s="8" t="inlineStr">
        <is>
          <t>thunder</t>
        </is>
      </c>
      <c r="I977" s="8" t="inlineStr">
        <is>
          <t>2×2</t>
        </is>
      </c>
      <c r="J977" s="8" t="n">
        <v>4</v>
      </c>
      <c r="K977" s="8" t="n">
        <v>120</v>
      </c>
      <c r="L977" s="8" t="inlineStr">
        <is>
          <t>是</t>
        </is>
      </c>
      <c r="M977" s="9" t="inlineStr">
        <is>
          <t>bazaar；dynamicRandomReward；itemReforge</t>
        </is>
      </c>
      <c r="N977" s="8" t="n">
        <v>1</v>
      </c>
      <c r="O977" s="9" t="inlineStr">
        <is>
          <t>周期触发</t>
        </is>
      </c>
      <c r="P977" s="9" t="inlineStr">
        <is>
          <t>periodicPulse</t>
        </is>
      </c>
      <c r="Q977" s="9" t="inlineStr">
        <is>
          <t>周期触发：开局时，获得 48 层引雷；开局时，获得 60 层引雷；开局时，获得 72 层引雷；开局时，获得 84 层引雷</t>
        </is>
      </c>
      <c r="R977" s="9" t="inlineStr"/>
      <c r="S977" s="9" t="inlineStr">
        <is>
          <t>紫木方匣以九枚铜铆锁住雷晶，开局揭匣，积蓄电意便如决堤般散入经脉。</t>
        </is>
      </c>
      <c r="T977" s="8" t="inlineStr">
        <is>
          <t>implement_spirit_purple_mansion_charge_case_2x2</t>
        </is>
      </c>
      <c r="U977" s="8" t="inlineStr">
        <is>
          <t>allowed</t>
        </is>
      </c>
    </row>
    <row r="978" ht="34" customHeight="1">
      <c r="A978" s="8" t="n">
        <v>977</v>
      </c>
      <c r="B978" s="8" t="n">
        <v>419118</v>
      </c>
      <c r="C978" s="8" t="inlineStr">
        <is>
          <t>雷池法轮</t>
        </is>
      </c>
      <c r="D978" s="8" t="inlineStr">
        <is>
          <t>法器</t>
        </is>
      </c>
      <c r="E978" s="8" t="inlineStr">
        <is>
          <t>implement</t>
        </is>
      </c>
      <c r="F978" s="8" t="inlineStr">
        <is>
          <t>spirit</t>
        </is>
      </c>
      <c r="G978" s="8" t="inlineStr">
        <is>
          <t>雷</t>
        </is>
      </c>
      <c r="H978" s="8" t="inlineStr">
        <is>
          <t>thunder</t>
        </is>
      </c>
      <c r="I978" s="8" t="inlineStr">
        <is>
          <t>2×2</t>
        </is>
      </c>
      <c r="J978" s="8" t="n">
        <v>4</v>
      </c>
      <c r="K978" s="8" t="n">
        <v>120</v>
      </c>
      <c r="L978" s="8" t="inlineStr">
        <is>
          <t>是</t>
        </is>
      </c>
      <c r="M978" s="9" t="inlineStr">
        <is>
          <t>bazaar；dynamicRandomReward；itemReforge</t>
        </is>
      </c>
      <c r="N978" s="8" t="n">
        <v>1</v>
      </c>
      <c r="O978" s="9" t="inlineStr">
        <is>
          <t>周期触发</t>
        </is>
      </c>
      <c r="P978" s="9" t="inlineStr">
        <is>
          <t>periodicPulse</t>
        </is>
      </c>
      <c r="Q978" s="9" t="inlineStr">
        <is>
          <t>周期触发：将 10 点法力转化为 30 层引雷；将 10 点法力转化为 38 层引雷；将 10 点法力转化为 46 层引雷；将 10 点法力转化为 54 层引雷</t>
        </is>
      </c>
      <c r="R978" s="9" t="inlineStr"/>
      <c r="S978" s="9" t="inlineStr">
        <is>
          <t>双层法轮围住一泓雷池，法力推动轮辐时，池中雷液便沿八方喷涌。</t>
        </is>
      </c>
      <c r="T978" s="8" t="inlineStr">
        <is>
          <t>implement_spirit_thunder_pool_dharma_wheel_2x2</t>
        </is>
      </c>
      <c r="U978" s="8" t="inlineStr">
        <is>
          <t>allowed</t>
        </is>
      </c>
    </row>
    <row r="979" ht="34" customHeight="1">
      <c r="A979" s="8" t="n">
        <v>978</v>
      </c>
      <c r="B979" s="8" t="n">
        <v>419119</v>
      </c>
      <c r="C979" s="8" t="inlineStr">
        <is>
          <t>奔霆踏云履</t>
        </is>
      </c>
      <c r="D979" s="8" t="inlineStr">
        <is>
          <t>法器</t>
        </is>
      </c>
      <c r="E979" s="8" t="inlineStr">
        <is>
          <t>implement</t>
        </is>
      </c>
      <c r="F979" s="8" t="inlineStr">
        <is>
          <t>spirit</t>
        </is>
      </c>
      <c r="G979" s="8" t="inlineStr">
        <is>
          <t>雷</t>
        </is>
      </c>
      <c r="H979" s="8" t="inlineStr">
        <is>
          <t>thunder</t>
        </is>
      </c>
      <c r="I979" s="8" t="inlineStr">
        <is>
          <t>2×1</t>
        </is>
      </c>
      <c r="J979" s="8" t="n">
        <v>2</v>
      </c>
      <c r="K979" s="8" t="n">
        <v>115</v>
      </c>
      <c r="L979" s="8" t="inlineStr">
        <is>
          <t>是</t>
        </is>
      </c>
      <c r="M979" s="9" t="inlineStr">
        <is>
          <t>bazaar；dynamicRandomReward；itemReforge</t>
        </is>
      </c>
      <c r="N979" s="8" t="n">
        <v>1</v>
      </c>
      <c r="O979" s="9" t="inlineStr">
        <is>
          <t>周期触发</t>
        </is>
      </c>
      <c r="P979" s="9" t="inlineStr">
        <is>
          <t>periodicPulse</t>
        </is>
      </c>
      <c r="Q979" s="9" t="inlineStr">
        <is>
          <t>周期触发：将 10 点体力转化为 30 层引雷；将 10 点体力转化为 38 层引雷；将 10 点体力转化为 46 层引雷；将 10 点体力转化为 54 层引雷</t>
        </is>
      </c>
      <c r="R979" s="9" t="inlineStr"/>
      <c r="S979" s="9" t="inlineStr">
        <is>
          <t>一双紫金战履将踏云之力压入鞋底雷齿，稍耗体力，便有奔霆沿步势而生。</t>
        </is>
      </c>
      <c r="T979" s="8" t="inlineStr">
        <is>
          <t>implement_spirit_cloud_treading_thunder_boots_2x1</t>
        </is>
      </c>
      <c r="U979" s="8" t="inlineStr">
        <is>
          <t>allowed</t>
        </is>
      </c>
    </row>
    <row r="980" ht="34" customHeight="1">
      <c r="A980" s="8" t="n">
        <v>979</v>
      </c>
      <c r="B980" s="8" t="n">
        <v>419120</v>
      </c>
      <c r="C980" s="8" t="inlineStr">
        <is>
          <t>沧露雷鼎</t>
        </is>
      </c>
      <c r="D980" s="8" t="inlineStr">
        <is>
          <t>法器</t>
        </is>
      </c>
      <c r="E980" s="8" t="inlineStr">
        <is>
          <t>implement</t>
        </is>
      </c>
      <c r="F980" s="8" t="inlineStr">
        <is>
          <t>spirit</t>
        </is>
      </c>
      <c r="G980" s="8" t="inlineStr">
        <is>
          <t>雷</t>
        </is>
      </c>
      <c r="H980" s="8" t="inlineStr">
        <is>
          <t>thunder</t>
        </is>
      </c>
      <c r="I980" s="8" t="inlineStr">
        <is>
          <t>2×2</t>
        </is>
      </c>
      <c r="J980" s="8" t="n">
        <v>4</v>
      </c>
      <c r="K980" s="8" t="n">
        <v>120</v>
      </c>
      <c r="L980" s="8" t="inlineStr">
        <is>
          <t>是</t>
        </is>
      </c>
      <c r="M980" s="9" t="inlineStr">
        <is>
          <t>bazaar；dynamicRandomReward；itemReforge</t>
        </is>
      </c>
      <c r="N980" s="8" t="n">
        <v>1</v>
      </c>
      <c r="O980" s="9" t="inlineStr">
        <is>
          <t>周期触发</t>
        </is>
      </c>
      <c r="P980" s="9" t="inlineStr">
        <is>
          <t>periodicPulse</t>
        </is>
      </c>
      <c r="Q980" s="9" t="inlineStr">
        <is>
          <t>周期触发：将 10 层露水转化为 15 层引雷</t>
        </is>
      </c>
      <c r="R980" s="9" t="inlineStr"/>
      <c r="S980" s="9" t="inlineStr">
        <is>
          <t>紫铜三足鼎将沧蓝露水聚在鼎腹，鼎耳一振，整池露水便炼作跃动雷息。</t>
        </is>
      </c>
      <c r="T980" s="8" t="inlineStr">
        <is>
          <t>implement_spirit_dew_thunder_cauldron_2x2</t>
        </is>
      </c>
      <c r="U980" s="8" t="inlineStr">
        <is>
          <t>allowed</t>
        </is>
      </c>
    </row>
    <row r="981" ht="34" customHeight="1">
      <c r="A981" s="8" t="n">
        <v>980</v>
      </c>
      <c r="B981" s="8" t="n">
        <v>419121</v>
      </c>
      <c r="C981" s="8" t="inlineStr">
        <is>
          <t>玄冰震霆杵</t>
        </is>
      </c>
      <c r="D981" s="8" t="inlineStr">
        <is>
          <t>法器</t>
        </is>
      </c>
      <c r="E981" s="8" t="inlineStr">
        <is>
          <t>implement</t>
        </is>
      </c>
      <c r="F981" s="8" t="inlineStr">
        <is>
          <t>spirit</t>
        </is>
      </c>
      <c r="G981" s="8" t="inlineStr">
        <is>
          <t>雷</t>
        </is>
      </c>
      <c r="H981" s="8" t="inlineStr">
        <is>
          <t>thunder</t>
        </is>
      </c>
      <c r="I981" s="8" t="inlineStr">
        <is>
          <t>1×3</t>
        </is>
      </c>
      <c r="J981" s="8" t="n">
        <v>3</v>
      </c>
      <c r="K981" s="8" t="n">
        <v>115</v>
      </c>
      <c r="L981" s="8" t="inlineStr">
        <is>
          <t>是</t>
        </is>
      </c>
      <c r="M981" s="9" t="inlineStr">
        <is>
          <t>bazaar；dynamicRandomReward；itemReforge</t>
        </is>
      </c>
      <c r="N981" s="8" t="n">
        <v>1</v>
      </c>
      <c r="O981" s="9" t="inlineStr">
        <is>
          <t>周期触发</t>
        </is>
      </c>
      <c r="P981" s="9" t="inlineStr">
        <is>
          <t>periodicPulse</t>
        </is>
      </c>
      <c r="Q981" s="9" t="inlineStr">
        <is>
          <t>周期触发：将 10 层寒冷转化为 15 层引雷</t>
        </is>
      </c>
      <c r="R981" s="9" t="inlineStr"/>
      <c r="S981" s="9" t="inlineStr">
        <is>
          <t>玄冰法杵以三道铜环束身，冰裂每穿过一环，便褪去寒意、添上一分霆光。</t>
        </is>
      </c>
      <c r="T981" s="8" t="inlineStr">
        <is>
          <t>implement_spirit_black_ice_thunder_pestle_1x3</t>
        </is>
      </c>
      <c r="U981" s="8" t="inlineStr">
        <is>
          <t>allowed</t>
        </is>
      </c>
    </row>
    <row r="982" ht="34" customHeight="1">
      <c r="A982" s="8" t="n">
        <v>981</v>
      </c>
      <c r="B982" s="8" t="n">
        <v>419122</v>
      </c>
      <c r="C982" s="8" t="inlineStr">
        <is>
          <t>赤烬化雷炉</t>
        </is>
      </c>
      <c r="D982" s="8" t="inlineStr">
        <is>
          <t>法器</t>
        </is>
      </c>
      <c r="E982" s="8" t="inlineStr">
        <is>
          <t>implement</t>
        </is>
      </c>
      <c r="F982" s="8" t="inlineStr">
        <is>
          <t>spirit</t>
        </is>
      </c>
      <c r="G982" s="8" t="inlineStr">
        <is>
          <t>雷</t>
        </is>
      </c>
      <c r="H982" s="8" t="inlineStr">
        <is>
          <t>thunder</t>
        </is>
      </c>
      <c r="I982" s="8" t="inlineStr">
        <is>
          <t>2×2</t>
        </is>
      </c>
      <c r="J982" s="8" t="n">
        <v>4</v>
      </c>
      <c r="K982" s="8" t="n">
        <v>120</v>
      </c>
      <c r="L982" s="8" t="inlineStr">
        <is>
          <t>是</t>
        </is>
      </c>
      <c r="M982" s="9" t="inlineStr">
        <is>
          <t>bazaar；dynamicRandomReward；itemReforge</t>
        </is>
      </c>
      <c r="N982" s="8" t="n">
        <v>1</v>
      </c>
      <c r="O982" s="9" t="inlineStr">
        <is>
          <t>周期触发</t>
        </is>
      </c>
      <c r="P982" s="9" t="inlineStr">
        <is>
          <t>periodicPulse</t>
        </is>
      </c>
      <c r="Q982" s="9" t="inlineStr">
        <is>
          <t>周期触发：将 10 层炎热转化为 15 层引雷</t>
        </is>
      </c>
      <c r="R982" s="9" t="inlineStr"/>
      <c r="S982" s="9" t="inlineStr">
        <is>
          <t>赤铜方炉分作烬室与雷室，余热越过中脊时，便被炉顶双角引成紫电。</t>
        </is>
      </c>
      <c r="T982" s="8" t="inlineStr">
        <is>
          <t>implement_spirit_ember_thunder_furnace_2x2</t>
        </is>
      </c>
      <c r="U982" s="8" t="inlineStr">
        <is>
          <t>allowed</t>
        </is>
      </c>
    </row>
    <row r="983" ht="34" customHeight="1">
      <c r="A983" s="8" t="n">
        <v>982</v>
      </c>
      <c r="B983" s="8" t="n">
        <v>419123</v>
      </c>
      <c r="C983" s="8" t="inlineStr">
        <is>
          <t>太白磁雷鉴</t>
        </is>
      </c>
      <c r="D983" s="8" t="inlineStr">
        <is>
          <t>法器</t>
        </is>
      </c>
      <c r="E983" s="8" t="inlineStr">
        <is>
          <t>implement</t>
        </is>
      </c>
      <c r="F983" s="8" t="inlineStr">
        <is>
          <t>spirit</t>
        </is>
      </c>
      <c r="G983" s="8" t="inlineStr">
        <is>
          <t>雷</t>
        </is>
      </c>
      <c r="H983" s="8" t="inlineStr">
        <is>
          <t>thunder</t>
        </is>
      </c>
      <c r="I983" s="8" t="inlineStr">
        <is>
          <t>2×2</t>
        </is>
      </c>
      <c r="J983" s="8" t="n">
        <v>4</v>
      </c>
      <c r="K983" s="8" t="n">
        <v>120</v>
      </c>
      <c r="L983" s="8" t="inlineStr">
        <is>
          <t>是</t>
        </is>
      </c>
      <c r="M983" s="9" t="inlineStr">
        <is>
          <t>bazaar；dynamicRandomReward；itemReforge</t>
        </is>
      </c>
      <c r="N983" s="8" t="n">
        <v>1</v>
      </c>
      <c r="O983" s="9" t="inlineStr">
        <is>
          <t>周期触发</t>
        </is>
      </c>
      <c r="P983" s="9" t="inlineStr">
        <is>
          <t>periodicPulse</t>
        </is>
      </c>
      <c r="Q983" s="9" t="inlineStr">
        <is>
          <t>周期触发：将 10 层凝金转化为 15 层引雷</t>
        </is>
      </c>
      <c r="R983" s="9" t="inlineStr"/>
      <c r="S983" s="9" t="inlineStr">
        <is>
          <t>八角银鉴以磁针梳理凝金，金气沿镜背刻轨汇入中央，照出一道纯净雷光。</t>
        </is>
      </c>
      <c r="T983" s="8" t="inlineStr">
        <is>
          <t>implement_spirit_metal_magnetic_thunder_mirror_2x2</t>
        </is>
      </c>
      <c r="U983" s="8" t="inlineStr">
        <is>
          <t>allowed</t>
        </is>
      </c>
    </row>
    <row r="984" ht="34" customHeight="1">
      <c r="A984" s="8" t="n">
        <v>983</v>
      </c>
      <c r="B984" s="8" t="n">
        <v>419124</v>
      </c>
      <c r="C984" s="8" t="inlineStr">
        <is>
          <t>五雷同鸣架</t>
        </is>
      </c>
      <c r="D984" s="8" t="inlineStr">
        <is>
          <t>法器</t>
        </is>
      </c>
      <c r="E984" s="8" t="inlineStr">
        <is>
          <t>implement</t>
        </is>
      </c>
      <c r="F984" s="8" t="inlineStr">
        <is>
          <t>spirit</t>
        </is>
      </c>
      <c r="G984" s="8" t="inlineStr">
        <is>
          <t>雷</t>
        </is>
      </c>
      <c r="H984" s="8" t="inlineStr">
        <is>
          <t>thunder</t>
        </is>
      </c>
      <c r="I984" s="8" t="inlineStr">
        <is>
          <t>3×2</t>
        </is>
      </c>
      <c r="J984" s="8" t="n">
        <v>6</v>
      </c>
      <c r="K984" s="8" t="n">
        <v>120</v>
      </c>
      <c r="L984" s="8" t="inlineStr">
        <is>
          <t>是</t>
        </is>
      </c>
      <c r="M984" s="9" t="inlineStr">
        <is>
          <t>bazaar；dynamicRandomReward；itemReforge</t>
        </is>
      </c>
      <c r="N984" s="8" t="n">
        <v>1</v>
      </c>
      <c r="O984" s="9" t="inlineStr">
        <is>
          <t>周期触发</t>
        </is>
      </c>
      <c r="P984" s="9" t="inlineStr">
        <is>
          <t>periodicPulse</t>
        </is>
      </c>
      <c r="Q984" s="9" t="inlineStr">
        <is>
          <t>周期触发：相邻至少 3 件雷属性道具时，获得 20 层引雷；相邻至少 3 件雷属性道具时，获得 28 层引雷；相邻至少 3 件雷属性道具时，获得 36 层引雷；相邻至少 3 件雷属性道具时，获得 44 层引雷</t>
        </is>
      </c>
      <c r="R984" s="9" t="inlineStr"/>
      <c r="S984" s="9" t="inlineStr">
        <is>
          <t>宽阔铜架悬着五枚雷磬，邻近雷器越多，五磬共鸣越能引下成片霆息。</t>
        </is>
      </c>
      <c r="T984" s="8" t="inlineStr">
        <is>
          <t>implement_spirit_five_thunder_resonance_rack_3x2</t>
        </is>
      </c>
      <c r="U984" s="8" t="inlineStr">
        <is>
          <t>allowed</t>
        </is>
      </c>
    </row>
    <row r="985" ht="34" customHeight="1">
      <c r="A985" s="8" t="n">
        <v>984</v>
      </c>
      <c r="B985" s="8" t="n">
        <v>419125</v>
      </c>
      <c r="C985" s="8" t="inlineStr">
        <is>
          <t>天角承霆柱</t>
        </is>
      </c>
      <c r="D985" s="8" t="inlineStr">
        <is>
          <t>法器</t>
        </is>
      </c>
      <c r="E985" s="8" t="inlineStr">
        <is>
          <t>implement</t>
        </is>
      </c>
      <c r="F985" s="8" t="inlineStr">
        <is>
          <t>spirit</t>
        </is>
      </c>
      <c r="G985" s="8" t="inlineStr">
        <is>
          <t>雷</t>
        </is>
      </c>
      <c r="H985" s="8" t="inlineStr">
        <is>
          <t>thunder</t>
        </is>
      </c>
      <c r="I985" s="8" t="inlineStr">
        <is>
          <t>1×3</t>
        </is>
      </c>
      <c r="J985" s="8" t="n">
        <v>3</v>
      </c>
      <c r="K985" s="8" t="n">
        <v>110</v>
      </c>
      <c r="L985" s="8" t="inlineStr">
        <is>
          <t>是</t>
        </is>
      </c>
      <c r="M985" s="9" t="inlineStr">
        <is>
          <t>bazaar；dynamicRandomReward；itemReforge</t>
        </is>
      </c>
      <c r="N985" s="8" t="n">
        <v>1</v>
      </c>
      <c r="O985" s="9" t="inlineStr">
        <is>
          <t>周期触发</t>
        </is>
      </c>
      <c r="P985" s="9" t="inlineStr">
        <is>
          <t>periodicPulse</t>
        </is>
      </c>
      <c r="Q985" s="9" t="inlineStr">
        <is>
          <t>周期触发：位于储物袋角落时，获得 16 层引雷；位于储物袋角落时，获得 24 层引雷；位于储物袋角落时，获得 32 层引雷；位于储物袋角落时，获得 40 层引雷</t>
        </is>
      </c>
      <c r="R985" s="9" t="inlineStr"/>
      <c r="S985" s="9" t="inlineStr">
        <is>
          <t>黑玉长柱顶生双角，立于储物袋四隅时，星纹会将边角游电尽数引入柱身。</t>
        </is>
      </c>
      <c r="T985" s="8" t="inlineStr">
        <is>
          <t>implement_spirit_heaven_corner_thunder_pillar_1x3</t>
        </is>
      </c>
      <c r="U985" s="8" t="inlineStr">
        <is>
          <t>allowed</t>
        </is>
      </c>
    </row>
    <row r="986" ht="34" customHeight="1">
      <c r="A986" s="8" t="n">
        <v>985</v>
      </c>
      <c r="B986" s="8" t="n">
        <v>419126</v>
      </c>
      <c r="C986" s="8" t="inlineStr">
        <is>
          <t>九震摄魂铃</t>
        </is>
      </c>
      <c r="D986" s="8" t="inlineStr">
        <is>
          <t>法器</t>
        </is>
      </c>
      <c r="E986" s="8" t="inlineStr">
        <is>
          <t>implement</t>
        </is>
      </c>
      <c r="F986" s="8" t="inlineStr">
        <is>
          <t>spirit</t>
        </is>
      </c>
      <c r="G986" s="8" t="inlineStr">
        <is>
          <t>雷</t>
        </is>
      </c>
      <c r="H986" s="8" t="inlineStr">
        <is>
          <t>thunder</t>
        </is>
      </c>
      <c r="I986" s="8" t="inlineStr">
        <is>
          <t>2×2</t>
        </is>
      </c>
      <c r="J986" s="8" t="n">
        <v>4</v>
      </c>
      <c r="K986" s="8" t="n">
        <v>115</v>
      </c>
      <c r="L986" s="8" t="inlineStr">
        <is>
          <t>是</t>
        </is>
      </c>
      <c r="M986" s="9" t="inlineStr">
        <is>
          <t>bazaar；dynamicRandomReward；itemReforge</t>
        </is>
      </c>
      <c r="N986" s="8" t="n">
        <v>1</v>
      </c>
      <c r="O986" s="9" t="inlineStr">
        <is>
          <t>周期触发</t>
        </is>
      </c>
      <c r="P986" s="9" t="inlineStr">
        <is>
          <t>periodicPulse</t>
        </is>
      </c>
      <c r="Q986" s="9" t="inlineStr">
        <is>
          <t>周期触发：对敌方施加 16 层麻痹；对敌方施加 24 层麻痹；对敌方施加 32 层麻痹；对敌方施加 40 层麻痹</t>
        </is>
      </c>
      <c r="R986" s="9" t="inlineStr"/>
      <c r="S986" s="9" t="inlineStr">
        <is>
          <t>九瓣紫金铃各藏一枚小舌，齐响时雷音直入敌方经络，使周身灵机层层发麻。</t>
        </is>
      </c>
      <c r="T986" s="8" t="inlineStr">
        <is>
          <t>implement_spirit_nine_shock_soul_bell_2x2</t>
        </is>
      </c>
      <c r="U986" s="8" t="inlineStr">
        <is>
          <t>allowed</t>
        </is>
      </c>
    </row>
    <row r="987" ht="34" customHeight="1">
      <c r="A987" s="8" t="n">
        <v>986</v>
      </c>
      <c r="B987" s="8" t="n">
        <v>419127</v>
      </c>
      <c r="C987" s="8" t="inlineStr">
        <is>
          <t>紫霄开脉鼓</t>
        </is>
      </c>
      <c r="D987" s="8" t="inlineStr">
        <is>
          <t>法器</t>
        </is>
      </c>
      <c r="E987" s="8" t="inlineStr">
        <is>
          <t>implement</t>
        </is>
      </c>
      <c r="F987" s="8" t="inlineStr">
        <is>
          <t>spirit</t>
        </is>
      </c>
      <c r="G987" s="8" t="inlineStr">
        <is>
          <t>雷</t>
        </is>
      </c>
      <c r="H987" s="8" t="inlineStr">
        <is>
          <t>thunder</t>
        </is>
      </c>
      <c r="I987" s="8" t="inlineStr">
        <is>
          <t>2×2</t>
        </is>
      </c>
      <c r="J987" s="8" t="n">
        <v>4</v>
      </c>
      <c r="K987" s="8" t="n">
        <v>120</v>
      </c>
      <c r="L987" s="8" t="inlineStr">
        <is>
          <t>是</t>
        </is>
      </c>
      <c r="M987" s="9" t="inlineStr">
        <is>
          <t>bazaar；dynamicRandomReward；itemReforge</t>
        </is>
      </c>
      <c r="N987" s="8" t="n">
        <v>1</v>
      </c>
      <c r="O987" s="9" t="inlineStr">
        <is>
          <t>周期触发</t>
        </is>
      </c>
      <c r="P987" s="9" t="inlineStr">
        <is>
          <t>periodicPulse</t>
        </is>
      </c>
      <c r="Q987" s="9" t="inlineStr">
        <is>
          <t>周期触发：开局时，对敌方施加 40 层麻痹；开局时，对敌方施加 50 层麻痹；开局时，对敌方施加 60 层麻痹；开局时，对敌方施加 70 层麻痹</t>
        </is>
      </c>
      <c r="R987" s="9" t="inlineStr"/>
      <c r="S987" s="9" t="inlineStr">
        <is>
          <t>紫铜战鼓以经络环蒙面，开局第一槌如紫霄落地，先把敌方气脉震得滞涩。</t>
        </is>
      </c>
      <c r="T987" s="8" t="inlineStr">
        <is>
          <t>implement_spirit_purple_sky_meridian_drum_2x2</t>
        </is>
      </c>
      <c r="U987" s="8" t="inlineStr">
        <is>
          <t>allowed</t>
        </is>
      </c>
    </row>
    <row r="988" ht="34" customHeight="1">
      <c r="A988" s="8" t="n">
        <v>987</v>
      </c>
      <c r="B988" s="8" t="n">
        <v>419128</v>
      </c>
      <c r="C988" s="8" t="inlineStr">
        <is>
          <t>霆狱锁络针</t>
        </is>
      </c>
      <c r="D988" s="8" t="inlineStr">
        <is>
          <t>法器</t>
        </is>
      </c>
      <c r="E988" s="8" t="inlineStr">
        <is>
          <t>implement</t>
        </is>
      </c>
      <c r="F988" s="8" t="inlineStr">
        <is>
          <t>spirit</t>
        </is>
      </c>
      <c r="G988" s="8" t="inlineStr">
        <is>
          <t>雷</t>
        </is>
      </c>
      <c r="H988" s="8" t="inlineStr">
        <is>
          <t>thunder</t>
        </is>
      </c>
      <c r="I988" s="8" t="inlineStr">
        <is>
          <t>1×3</t>
        </is>
      </c>
      <c r="J988" s="8" t="n">
        <v>3</v>
      </c>
      <c r="K988" s="8" t="n">
        <v>120</v>
      </c>
      <c r="L988" s="8" t="inlineStr">
        <is>
          <t>是</t>
        </is>
      </c>
      <c r="M988" s="9" t="inlineStr">
        <is>
          <t>bazaar；dynamicRandomReward；itemReforge</t>
        </is>
      </c>
      <c r="N988" s="8" t="n">
        <v>1</v>
      </c>
      <c r="O988" s="9" t="inlineStr">
        <is>
          <t>周期触发</t>
        </is>
      </c>
      <c r="P988" s="9" t="inlineStr">
        <is>
          <t>periodicPulse</t>
        </is>
      </c>
      <c r="Q988" s="9" t="inlineStr">
        <is>
          <t>周期触发：最多消耗 30 层引雷；每消耗 1 层，对敌方施加 1 层麻痹；最多消耗 40 层引雷；每消耗 1 层，对敌方施加 1 层麻痹；最多消耗 50 层引雷；每消耗 1 层，对敌方施加 1 层麻痹；最多消耗 60 层引雷；每消耗 1 层，对敌方施加 1 层麻痹</t>
        </is>
      </c>
      <c r="R988" s="9" t="inlineStr"/>
      <c r="S988" s="9" t="inlineStr">
        <is>
          <t>长针穿过三重锁环，能把引雷层层压细，再将密集麻流打入敌方经络。</t>
        </is>
      </c>
      <c r="T988" s="8" t="inlineStr">
        <is>
          <t>implement_spirit_thunder_prison_meridian_needle_1x3</t>
        </is>
      </c>
      <c r="U988" s="8" t="inlineStr">
        <is>
          <t>allowed</t>
        </is>
      </c>
    </row>
    <row r="989" ht="34" customHeight="1">
      <c r="A989" s="8" t="n">
        <v>988</v>
      </c>
      <c r="B989" s="8" t="n">
        <v>419129</v>
      </c>
      <c r="C989" s="8" t="inlineStr">
        <is>
          <t>诛麻雷刃</t>
        </is>
      </c>
      <c r="D989" s="8" t="inlineStr">
        <is>
          <t>法器</t>
        </is>
      </c>
      <c r="E989" s="8" t="inlineStr">
        <is>
          <t>implement</t>
        </is>
      </c>
      <c r="F989" s="8" t="inlineStr">
        <is>
          <t>spirit</t>
        </is>
      </c>
      <c r="G989" s="8" t="inlineStr">
        <is>
          <t>雷</t>
        </is>
      </c>
      <c r="H989" s="8" t="inlineStr">
        <is>
          <t>thunder</t>
        </is>
      </c>
      <c r="I989" s="8" t="inlineStr">
        <is>
          <t>1×3</t>
        </is>
      </c>
      <c r="J989" s="8" t="n">
        <v>3</v>
      </c>
      <c r="K989" s="8" t="n">
        <v>120</v>
      </c>
      <c r="L989" s="8" t="inlineStr">
        <is>
          <t>是</t>
        </is>
      </c>
      <c r="M989" s="9" t="inlineStr">
        <is>
          <t>bazaar；dynamicRandomReward；itemReforge</t>
        </is>
      </c>
      <c r="N989" s="8" t="n">
        <v>1</v>
      </c>
      <c r="O989" s="9" t="inlineStr">
        <is>
          <t>周期触发</t>
        </is>
      </c>
      <c r="P989" s="9" t="inlineStr">
        <is>
          <t>periodicPulse</t>
        </is>
      </c>
      <c r="Q989" s="9" t="inlineStr">
        <is>
          <t>周期触发：最多消耗敌方 30 层麻痹，每消耗 1 层，对敌方造成 8 点伤害；最多消耗敌方 40 层麻痹，每消耗 1 层，对敌方造成 8 点伤害；最多消耗敌方 50 层麻痹，每消耗 1 层，对敌方造成 8 点伤害；最多消耗敌方 60 层麻痹，每消耗 1 层，对敌方造成 8 点伤害</t>
        </is>
      </c>
      <c r="R989" s="9" t="inlineStr"/>
      <c r="S989" s="9" t="inlineStr">
        <is>
          <t>紫金长刃循着敌方麻痕逐段切入，将经络中的滞电抽出，化作势沉力猛的一斩。</t>
        </is>
      </c>
      <c r="T989" s="8" t="inlineStr">
        <is>
          <t>implement_spirit_paralysis_slaying_thunder_blade_1x3</t>
        </is>
      </c>
      <c r="U989" s="8" t="inlineStr">
        <is>
          <t>allowed</t>
        </is>
      </c>
    </row>
    <row r="990" ht="34" customHeight="1">
      <c r="A990" s="8" t="n">
        <v>989</v>
      </c>
      <c r="B990" s="8" t="n">
        <v>419130</v>
      </c>
      <c r="C990" s="8" t="inlineStr">
        <is>
          <t>万麻追霆镜</t>
        </is>
      </c>
      <c r="D990" s="8" t="inlineStr">
        <is>
          <t>法器</t>
        </is>
      </c>
      <c r="E990" s="8" t="inlineStr">
        <is>
          <t>implement</t>
        </is>
      </c>
      <c r="F990" s="8" t="inlineStr">
        <is>
          <t>spirit</t>
        </is>
      </c>
      <c r="G990" s="8" t="inlineStr">
        <is>
          <t>雷</t>
        </is>
      </c>
      <c r="H990" s="8" t="inlineStr">
        <is>
          <t>thunder</t>
        </is>
      </c>
      <c r="I990" s="8" t="inlineStr">
        <is>
          <t>2×2</t>
        </is>
      </c>
      <c r="J990" s="8" t="n">
        <v>4</v>
      </c>
      <c r="K990" s="8" t="n">
        <v>120</v>
      </c>
      <c r="L990" s="8" t="inlineStr">
        <is>
          <t>是</t>
        </is>
      </c>
      <c r="M990" s="9" t="inlineStr">
        <is>
          <t>bazaar；dynamicRandomReward；itemReforge</t>
        </is>
      </c>
      <c r="N990" s="8" t="n">
        <v>1</v>
      </c>
      <c r="O990" s="9" t="inlineStr">
        <is>
          <t>周期触发</t>
        </is>
      </c>
      <c r="P990" s="9" t="inlineStr">
        <is>
          <t>periodicPulse</t>
        </is>
      </c>
      <c r="Q990" s="9" t="inlineStr">
        <is>
          <t>周期触发：敌方麻痹不少于 15 层时，对敌方造成 160 点伤害；敌方麻痹不少于 15 层时，对敌方造成 200 点伤害；敌方麻痹不少于 15 层时，对敌方造成 240 点伤害；敌方麻痹不少于 15 层时，对敌方造成 280 点伤害</t>
        </is>
      </c>
      <c r="R990" s="9" t="inlineStr"/>
      <c r="S990" s="9" t="inlineStr">
        <is>
          <t>雷镜能映出敌方周身麻痕，滞涩积到一线时，镜心便沿所有痕迹降下追霆。</t>
        </is>
      </c>
      <c r="T990" s="8" t="inlineStr">
        <is>
          <t>implement_spirit_myriad_paralysis_thunder_mirror_2x2</t>
        </is>
      </c>
      <c r="U990" s="8" t="inlineStr">
        <is>
          <t>allowed</t>
        </is>
      </c>
    </row>
    <row r="991" ht="34" customHeight="1">
      <c r="A991" s="8" t="n">
        <v>990</v>
      </c>
      <c r="B991" s="8" t="n">
        <v>419131</v>
      </c>
      <c r="C991" s="8" t="inlineStr">
        <is>
          <t>生息悟道简</t>
        </is>
      </c>
      <c r="D991" s="8" t="inlineStr">
        <is>
          <t>法器</t>
        </is>
      </c>
      <c r="E991" s="8" t="inlineStr">
        <is>
          <t>implement</t>
        </is>
      </c>
      <c r="F991" s="8" t="inlineStr">
        <is>
          <t>common</t>
        </is>
      </c>
      <c r="G991" s="8" t="inlineStr">
        <is>
          <t>木</t>
        </is>
      </c>
      <c r="H991" s="8" t="inlineStr">
        <is>
          <t>wood</t>
        </is>
      </c>
      <c r="I991" s="8" t="inlineStr">
        <is>
          <t>1×1</t>
        </is>
      </c>
      <c r="J991" s="8" t="n">
        <v>1</v>
      </c>
      <c r="K991" s="8" t="n">
        <v>9</v>
      </c>
      <c r="L991" s="8" t="inlineStr">
        <is>
          <t>是</t>
        </is>
      </c>
      <c r="M991" s="9" t="inlineStr">
        <is>
          <t>bazaar；dynamicRandomReward；itemReforge</t>
        </is>
      </c>
      <c r="N991" s="8" t="n">
        <v>1</v>
      </c>
      <c r="O991" s="9" t="inlineStr">
        <is>
          <t>周期触发</t>
        </is>
      </c>
      <c r="P991" s="9" t="inlineStr">
        <is>
          <t>periodicPulse</t>
        </is>
      </c>
      <c r="Q991" s="9" t="inlineStr">
        <is>
          <t>周期触发：最多将 3 层再生转化为修为，每 1 层转化为 2 点修为；最多将 4 层再生转化为修为，每 1 层转化为 2 点修为；最多将 5 层再生转化为修为，每 1 层转化为 2 点修为；最多将 6 层再生转化为修为，每 1 层转化为 2 点修为</t>
        </is>
      </c>
      <c r="R991" s="9" t="inlineStr"/>
      <c r="S991" s="9" t="inlineStr">
        <is>
          <t>青竹简上刻着荣枯相续的细纹，温润木息沿简绳一圈圈回流。</t>
        </is>
      </c>
      <c r="T991" s="8" t="inlineStr">
        <is>
          <t>implement_regeneration_insight_slips_1x1</t>
        </is>
      </c>
      <c r="U991" s="8" t="inlineStr">
        <is>
          <t>allowed</t>
        </is>
      </c>
    </row>
    <row r="992" ht="34" customHeight="1">
      <c r="A992" s="8" t="n">
        <v>991</v>
      </c>
      <c r="B992" s="8" t="n">
        <v>419132</v>
      </c>
      <c r="C992" s="8" t="inlineStr">
        <is>
          <t>青芽回灵盏</t>
        </is>
      </c>
      <c r="D992" s="8" t="inlineStr">
        <is>
          <t>法器</t>
        </is>
      </c>
      <c r="E992" s="8" t="inlineStr">
        <is>
          <t>implement</t>
        </is>
      </c>
      <c r="F992" s="8" t="inlineStr">
        <is>
          <t>common</t>
        </is>
      </c>
      <c r="G992" s="8" t="inlineStr">
        <is>
          <t>木</t>
        </is>
      </c>
      <c r="H992" s="8" t="inlineStr">
        <is>
          <t>wood</t>
        </is>
      </c>
      <c r="I992" s="8" t="inlineStr">
        <is>
          <t>1×1</t>
        </is>
      </c>
      <c r="J992" s="8" t="n">
        <v>1</v>
      </c>
      <c r="K992" s="8" t="n">
        <v>9</v>
      </c>
      <c r="L992" s="8" t="inlineStr">
        <is>
          <t>是</t>
        </is>
      </c>
      <c r="M992" s="9" t="inlineStr">
        <is>
          <t>bazaar；dynamicRandomReward；itemReforge</t>
        </is>
      </c>
      <c r="N992" s="8" t="n">
        <v>1</v>
      </c>
      <c r="O992" s="9" t="inlineStr">
        <is>
          <t>周期触发</t>
        </is>
      </c>
      <c r="P992" s="9" t="inlineStr">
        <is>
          <t>periodicPulse</t>
        </is>
      </c>
      <c r="Q992" s="9" t="inlineStr">
        <is>
          <t>周期触发：法力低于 30% 时，将 4 层再生转化为 8 点法力；法力低于 30% 时，将 6 层再生转化为 12 点法力；法力低于 30% 时，将 8 层再生转化为 16 点法力；法力低于 30% 时，将 10 层再生转化为 20 点法力</t>
        </is>
      </c>
      <c r="R992" s="9" t="inlineStr"/>
      <c r="S992" s="9" t="inlineStr">
        <is>
          <t>嫩芽托起一只浅青玉盏，盏底的叶脉会在法力枯浅时舒展开来。</t>
        </is>
      </c>
      <c r="T992" s="8" t="inlineStr">
        <is>
          <t>implement_sprout_mana_cup_1x1</t>
        </is>
      </c>
      <c r="U992" s="8" t="inlineStr">
        <is>
          <t>allowed</t>
        </is>
      </c>
    </row>
    <row r="993" ht="34" customHeight="1">
      <c r="A993" s="8" t="n">
        <v>992</v>
      </c>
      <c r="B993" s="8" t="n">
        <v>419133</v>
      </c>
      <c r="C993" s="8" t="inlineStr">
        <is>
          <t>藤骨回力环</t>
        </is>
      </c>
      <c r="D993" s="8" t="inlineStr">
        <is>
          <t>法器</t>
        </is>
      </c>
      <c r="E993" s="8" t="inlineStr">
        <is>
          <t>implement</t>
        </is>
      </c>
      <c r="F993" s="8" t="inlineStr">
        <is>
          <t>common</t>
        </is>
      </c>
      <c r="G993" s="8" t="inlineStr">
        <is>
          <t>木</t>
        </is>
      </c>
      <c r="H993" s="8" t="inlineStr">
        <is>
          <t>wood</t>
        </is>
      </c>
      <c r="I993" s="8" t="inlineStr">
        <is>
          <t>1×1</t>
        </is>
      </c>
      <c r="J993" s="8" t="n">
        <v>1</v>
      </c>
      <c r="K993" s="8" t="n">
        <v>9</v>
      </c>
      <c r="L993" s="8" t="inlineStr">
        <is>
          <t>是</t>
        </is>
      </c>
      <c r="M993" s="9" t="inlineStr">
        <is>
          <t>bazaar；dynamicRandomReward；itemReforge</t>
        </is>
      </c>
      <c r="N993" s="8" t="n">
        <v>1</v>
      </c>
      <c r="O993" s="9" t="inlineStr">
        <is>
          <t>条件触发</t>
        </is>
      </c>
      <c r="P993" s="9" t="inlineStr">
        <is>
          <t>triggered</t>
        </is>
      </c>
      <c r="Q993" s="9" t="inlineStr">
        <is>
          <t>条件触发：相邻道具实际消耗一级属性后，将 2 层再生转化为 6 点体力；再生不足时不生效；相邻道具实际消耗一级属性后，将 3 层再生转化为 9 点体力；再生不足时不生效；相邻道具实际消耗一级属性后，将 4 层再生转化为 12 点体力；再生不足时不生效；相邻道具实际消耗一级属性后，将 5 层再生转化为 15 点体力；再生不足时不生效</t>
        </is>
      </c>
      <c r="R993" s="9" t="inlineStr"/>
      <c r="S993" s="9" t="inlineStr">
        <is>
          <t>细藤与兽骨扣成一枚韧环，灵息沿骨节回弹，像拉紧后骤然松开的弓弦。</t>
        </is>
      </c>
      <c r="T993" s="8" t="inlineStr">
        <is>
          <t>implement_vinebone_stamina_ring_1x1</t>
        </is>
      </c>
      <c r="U993" s="8" t="inlineStr">
        <is>
          <t>allowed</t>
        </is>
      </c>
    </row>
    <row r="994" ht="34" customHeight="1">
      <c r="A994" s="8" t="n">
        <v>993</v>
      </c>
      <c r="B994" s="8" t="n">
        <v>419134</v>
      </c>
      <c r="C994" s="8" t="inlineStr">
        <is>
          <t>枯荣护心佩</t>
        </is>
      </c>
      <c r="D994" s="8" t="inlineStr">
        <is>
          <t>法器</t>
        </is>
      </c>
      <c r="E994" s="8" t="inlineStr">
        <is>
          <t>implement</t>
        </is>
      </c>
      <c r="F994" s="8" t="inlineStr">
        <is>
          <t>common</t>
        </is>
      </c>
      <c r="G994" s="8" t="inlineStr">
        <is>
          <t>木</t>
        </is>
      </c>
      <c r="H994" s="8" t="inlineStr">
        <is>
          <t>wood</t>
        </is>
      </c>
      <c r="I994" s="8" t="inlineStr">
        <is>
          <t>1×2</t>
        </is>
      </c>
      <c r="J994" s="8" t="n">
        <v>2</v>
      </c>
      <c r="K994" s="8" t="n">
        <v>30</v>
      </c>
      <c r="L994" s="8" t="inlineStr">
        <is>
          <t>是</t>
        </is>
      </c>
      <c r="M994" s="9" t="inlineStr">
        <is>
          <t>bazaar；dynamicRandomReward；itemReforge</t>
        </is>
      </c>
      <c r="N994" s="8" t="n">
        <v>1</v>
      </c>
      <c r="O994" s="9" t="inlineStr">
        <is>
          <t>被动效果</t>
        </is>
      </c>
      <c r="P994" s="9" t="inlineStr">
        <is>
          <t>passive</t>
        </is>
      </c>
      <c r="Q994" s="9" t="inlineStr">
        <is>
          <t>被动效果：可抵挡伤害，耐久归零后道具销毁。</t>
        </is>
      </c>
      <c r="R994" s="9" t="inlineStr"/>
      <c r="S994" s="9" t="inlineStr">
        <is>
          <t>半枯半荣的木叶合抱一枚青玉心核，叶缘每次破碎都会从新芽处重新续起。</t>
        </is>
      </c>
      <c r="T994" s="8" t="inlineStr">
        <is>
          <t>implement_witherbloom_heart_pendant_1x2</t>
        </is>
      </c>
      <c r="U994" s="8" t="inlineStr">
        <is>
          <t>allowed</t>
        </is>
      </c>
    </row>
    <row r="995" ht="34" customHeight="1">
      <c r="A995" s="8" t="n">
        <v>994</v>
      </c>
      <c r="B995" s="8" t="n">
        <v>419135</v>
      </c>
      <c r="C995" s="8" t="inlineStr">
        <is>
          <t>回生裂脉刃</t>
        </is>
      </c>
      <c r="D995" s="8" t="inlineStr">
        <is>
          <t>法器</t>
        </is>
      </c>
      <c r="E995" s="8" t="inlineStr">
        <is>
          <t>implement</t>
        </is>
      </c>
      <c r="F995" s="8" t="inlineStr">
        <is>
          <t>common</t>
        </is>
      </c>
      <c r="G995" s="8" t="inlineStr">
        <is>
          <t>木</t>
        </is>
      </c>
      <c r="H995" s="8" t="inlineStr">
        <is>
          <t>wood</t>
        </is>
      </c>
      <c r="I995" s="8" t="inlineStr">
        <is>
          <t>1×2</t>
        </is>
      </c>
      <c r="J995" s="8" t="n">
        <v>2</v>
      </c>
      <c r="K995" s="8" t="n">
        <v>12</v>
      </c>
      <c r="L995" s="8" t="inlineStr">
        <is>
          <t>是</t>
        </is>
      </c>
      <c r="M995" s="9" t="inlineStr">
        <is>
          <t>bazaar；dynamicRandomReward；itemReforge</t>
        </is>
      </c>
      <c r="N995" s="8" t="n">
        <v>1</v>
      </c>
      <c r="O995" s="9" t="inlineStr">
        <is>
          <t>条件触发</t>
        </is>
      </c>
      <c r="P995" s="9" t="inlineStr">
        <is>
          <t>triggered</t>
        </is>
      </c>
      <c r="Q995" s="9" t="inlineStr">
        <is>
          <t>条件触发：右侧相邻武器对敌方造成伤害时，最多消耗 3 层再生，每层追加 1 点伤害；右侧相邻武器对敌方造成伤害时，最多消耗 4 层再生，每层追加 1 点伤害；右侧相邻武器对敌方造成伤害时，最多消耗 5 层再生，每层追加 1 点伤害；右侧相邻武器对敌方造成伤害时，最多消耗 6 层再生，每层追加 1 点伤害</t>
        </is>
      </c>
      <c r="R995" s="9" t="inlineStr"/>
      <c r="S995" s="9" t="inlineStr">
        <is>
          <t>深绿短刃中央裂着一线鲜亮叶脉，刃口每次崩缺都会被涌出的木息补齐。</t>
        </is>
      </c>
      <c r="T995" s="8" t="inlineStr">
        <is>
          <t>implement_regeneration_meridian_blade_1x2</t>
        </is>
      </c>
      <c r="U995" s="8" t="inlineStr">
        <is>
          <t>allowed</t>
        </is>
      </c>
    </row>
    <row r="996" ht="34" customHeight="1">
      <c r="A996" s="8" t="n">
        <v>995</v>
      </c>
      <c r="B996" s="8" t="n">
        <v>419136</v>
      </c>
      <c r="C996" s="8" t="inlineStr">
        <is>
          <t>长生化元鼎</t>
        </is>
      </c>
      <c r="D996" s="8" t="inlineStr">
        <is>
          <t>法器</t>
        </is>
      </c>
      <c r="E996" s="8" t="inlineStr">
        <is>
          <t>implement</t>
        </is>
      </c>
      <c r="F996" s="8" t="inlineStr">
        <is>
          <t>spirit</t>
        </is>
      </c>
      <c r="G996" s="8" t="inlineStr">
        <is>
          <t>木</t>
        </is>
      </c>
      <c r="H996" s="8" t="inlineStr">
        <is>
          <t>wood</t>
        </is>
      </c>
      <c r="I996" s="8" t="inlineStr">
        <is>
          <t>2×2</t>
        </is>
      </c>
      <c r="J996" s="8" t="n">
        <v>4</v>
      </c>
      <c r="K996" s="8" t="n">
        <v>100</v>
      </c>
      <c r="L996" s="8" t="inlineStr">
        <is>
          <t>是</t>
        </is>
      </c>
      <c r="M996" s="9" t="inlineStr">
        <is>
          <t>bazaar；dynamicRandomReward；itemReforge</t>
        </is>
      </c>
      <c r="N996" s="8" t="n">
        <v>1</v>
      </c>
      <c r="O996" s="9" t="inlineStr">
        <is>
          <t>周期触发</t>
        </is>
      </c>
      <c r="P996" s="9" t="inlineStr">
        <is>
          <t>periodicPulse</t>
        </is>
      </c>
      <c r="Q996" s="9" t="inlineStr">
        <is>
          <t>周期触发：最多将 50 层再生转化为修为，每 1 层转化为 2 点修为；最多将 60 层再生转化为修为，每 1 层转化为 2 点修为；最多将 70 层再生转化为修为，每 1 层转化为 2 点修为；最多将 80 层再生转化为修为，每 1 层转化为 2 点修为</t>
        </is>
      </c>
      <c r="R996" s="9" t="inlineStr"/>
      <c r="S996" s="9" t="inlineStr">
        <is>
          <t>古木根须盘作四足青鼎，鼎腹嵌着一枚循环明灭的碧色元珠。</t>
        </is>
      </c>
      <c r="T996" s="8" t="inlineStr">
        <is>
          <t>implement_longevity_transmutation_cauldron_2x2</t>
        </is>
      </c>
      <c r="U996" s="8" t="inlineStr">
        <is>
          <t>allowed</t>
        </is>
      </c>
    </row>
    <row r="997" ht="34" customHeight="1">
      <c r="A997" s="8" t="n">
        <v>996</v>
      </c>
      <c r="B997" s="8" t="n">
        <v>419137</v>
      </c>
      <c r="C997" s="8" t="inlineStr">
        <is>
          <t>百草续法枢</t>
        </is>
      </c>
      <c r="D997" s="8" t="inlineStr">
        <is>
          <t>法器</t>
        </is>
      </c>
      <c r="E997" s="8" t="inlineStr">
        <is>
          <t>implement</t>
        </is>
      </c>
      <c r="F997" s="8" t="inlineStr">
        <is>
          <t>spirit</t>
        </is>
      </c>
      <c r="G997" s="8" t="inlineStr">
        <is>
          <t>木</t>
        </is>
      </c>
      <c r="H997" s="8" t="inlineStr">
        <is>
          <t>wood</t>
        </is>
      </c>
      <c r="I997" s="8" t="inlineStr">
        <is>
          <t>2×2</t>
        </is>
      </c>
      <c r="J997" s="8" t="n">
        <v>4</v>
      </c>
      <c r="K997" s="8" t="n">
        <v>100</v>
      </c>
      <c r="L997" s="8" t="inlineStr">
        <is>
          <t>是</t>
        </is>
      </c>
      <c r="M997" s="9" t="inlineStr">
        <is>
          <t>bazaar；dynamicRandomReward；itemReforge</t>
        </is>
      </c>
      <c r="N997" s="8" t="n">
        <v>1</v>
      </c>
      <c r="O997" s="9" t="inlineStr">
        <is>
          <t>条件触发</t>
        </is>
      </c>
      <c r="P997" s="9" t="inlineStr">
        <is>
          <t>triggered</t>
        </is>
      </c>
      <c r="Q997" s="9" t="inlineStr">
        <is>
          <t>条件触发：相邻主动招式释放时，将 15 层再生转化为 45 点法力；再生不足时不生效；相邻主动招式释放时，将 20 层再生转化为 60 点法力；再生不足时不生效；相邻主动招式释放时，将 25 层再生转化为 75 点法力；再生不足时不生效；相邻主动招式释放时，将 30 层再生转化为 90 点法力；再生不足时不生效</t>
        </is>
      </c>
      <c r="R997" s="9" t="inlineStr"/>
      <c r="S997" s="9" t="inlineStr">
        <is>
          <t>百种药叶纹围成层叠灵枢，中央青金转轴会在法诀落定后回收散逸灵息。</t>
        </is>
      </c>
      <c r="T997" s="8" t="inlineStr">
        <is>
          <t>implement_herbal_spellflow_pivot_2x2</t>
        </is>
      </c>
      <c r="U997" s="8" t="inlineStr">
        <is>
          <t>allowed</t>
        </is>
      </c>
    </row>
    <row r="998" ht="34" customHeight="1">
      <c r="A998" s="8" t="n">
        <v>997</v>
      </c>
      <c r="B998" s="8" t="n">
        <v>419138</v>
      </c>
      <c r="C998" s="8" t="inlineStr">
        <is>
          <t>青帝护命印</t>
        </is>
      </c>
      <c r="D998" s="8" t="inlineStr">
        <is>
          <t>法器</t>
        </is>
      </c>
      <c r="E998" s="8" t="inlineStr">
        <is>
          <t>implement</t>
        </is>
      </c>
      <c r="F998" s="8" t="inlineStr">
        <is>
          <t>spirit</t>
        </is>
      </c>
      <c r="G998" s="8" t="inlineStr">
        <is>
          <t>木</t>
        </is>
      </c>
      <c r="H998" s="8" t="inlineStr">
        <is>
          <t>wood</t>
        </is>
      </c>
      <c r="I998" s="8" t="inlineStr">
        <is>
          <t>2×2</t>
        </is>
      </c>
      <c r="J998" s="8" t="n">
        <v>4</v>
      </c>
      <c r="K998" s="8" t="n">
        <v>200</v>
      </c>
      <c r="L998" s="8" t="inlineStr">
        <is>
          <t>是</t>
        </is>
      </c>
      <c r="M998" s="9" t="inlineStr">
        <is>
          <t>bazaar；dynamicRandomReward；itemReforge</t>
        </is>
      </c>
      <c r="N998" s="8" t="n">
        <v>1</v>
      </c>
      <c r="O998" s="9" t="inlineStr">
        <is>
          <t>被动效果</t>
        </is>
      </c>
      <c r="P998" s="9" t="inlineStr">
        <is>
          <t>passive</t>
        </is>
      </c>
      <c r="Q998" s="9" t="inlineStr">
        <is>
          <t>被动效果：可抵挡灼烧伤害，耐久归零后本场失效。</t>
        </is>
      </c>
      <c r="R998" s="9" t="inlineStr"/>
      <c r="S998" s="9" t="inlineStr">
        <is>
          <t>苍青帝印以盘根作座，四面护纹如层层树皮，把生机紧紧锁在印心。</t>
        </is>
      </c>
      <c r="T998" s="8" t="inlineStr">
        <is>
          <t>implement_green_emperor_lifeguard_seal_2x2</t>
        </is>
      </c>
      <c r="U998" s="8" t="inlineStr">
        <is>
          <t>allowed</t>
        </is>
      </c>
    </row>
    <row r="999" ht="34" customHeight="1">
      <c r="A999" s="8" t="n">
        <v>998</v>
      </c>
      <c r="B999" s="8" t="n">
        <v>419139</v>
      </c>
      <c r="C999" s="8" t="inlineStr">
        <is>
          <t>碧潮换骨轮</t>
        </is>
      </c>
      <c r="D999" s="8" t="inlineStr">
        <is>
          <t>法器</t>
        </is>
      </c>
      <c r="E999" s="8" t="inlineStr">
        <is>
          <t>implement</t>
        </is>
      </c>
      <c r="F999" s="8" t="inlineStr">
        <is>
          <t>spirit</t>
        </is>
      </c>
      <c r="G999" s="8" t="inlineStr">
        <is>
          <t>水</t>
        </is>
      </c>
      <c r="H999" s="8" t="inlineStr">
        <is>
          <t>water</t>
        </is>
      </c>
      <c r="I999" s="8" t="inlineStr">
        <is>
          <t>2×2</t>
        </is>
      </c>
      <c r="J999" s="8" t="n">
        <v>4</v>
      </c>
      <c r="K999" s="8" t="n">
        <v>100</v>
      </c>
      <c r="L999" s="8" t="inlineStr">
        <is>
          <t>是</t>
        </is>
      </c>
      <c r="M999" s="9" t="inlineStr">
        <is>
          <t>bazaar；dynamicRandomReward；itemReforge</t>
        </is>
      </c>
      <c r="N999" s="8" t="n">
        <v>1</v>
      </c>
      <c r="O999" s="9" t="inlineStr">
        <is>
          <t>条件触发</t>
        </is>
      </c>
      <c r="P999" s="9" t="inlineStr">
        <is>
          <t>triggered</t>
        </is>
      </c>
      <c r="Q999" s="9" t="inlineStr">
        <is>
          <t>条件触发：变阵时，将 20 层再生转化为 80 点体力；再生不足时不生效；变阵时，将 25 层再生转化为 100 点体力；再生不足时不生效；变阵时，将 30 层再生转化为 120 点体力；再生不足时不生效；变阵时，将 35 层再生转化为 140 点体力；再生不足时不生效</t>
        </is>
      </c>
      <c r="R999" s="9" t="inlineStr"/>
      <c r="S999" s="9" t="inlineStr">
        <is>
          <t>碧蓝潮轮包着白玉骨环，轮齿翻转时水纹会沿骨缝迅速补满空缺。</t>
        </is>
      </c>
      <c r="T999" s="8" t="inlineStr">
        <is>
          <t>implement_azure_tide_bonewheel_2x2</t>
        </is>
      </c>
      <c r="U999" s="8" t="inlineStr">
        <is>
          <t>allowed</t>
        </is>
      </c>
    </row>
    <row r="1000" ht="34" customHeight="1">
      <c r="A1000" s="8" t="n">
        <v>999</v>
      </c>
      <c r="B1000" s="8" t="n">
        <v>419140</v>
      </c>
      <c r="C1000" s="8" t="inlineStr">
        <is>
          <t>枯荣飞叶匣</t>
        </is>
      </c>
      <c r="D1000" s="8" t="inlineStr">
        <is>
          <t>法器</t>
        </is>
      </c>
      <c r="E1000" s="8" t="inlineStr">
        <is>
          <t>implement</t>
        </is>
      </c>
      <c r="F1000" s="8" t="inlineStr">
        <is>
          <t>spirit</t>
        </is>
      </c>
      <c r="G1000" s="8" t="inlineStr">
        <is>
          <t>木</t>
        </is>
      </c>
      <c r="H1000" s="8" t="inlineStr">
        <is>
          <t>wood</t>
        </is>
      </c>
      <c r="I1000" s="8" t="inlineStr">
        <is>
          <t>2×2</t>
        </is>
      </c>
      <c r="J1000" s="8" t="n">
        <v>4</v>
      </c>
      <c r="K1000" s="8" t="n">
        <v>100</v>
      </c>
      <c r="L1000" s="8" t="inlineStr">
        <is>
          <t>是</t>
        </is>
      </c>
      <c r="M1000" s="9" t="inlineStr">
        <is>
          <t>bazaar；dynamicRandomReward；itemReforge</t>
        </is>
      </c>
      <c r="N1000" s="8" t="n">
        <v>1</v>
      </c>
      <c r="O1000" s="9" t="inlineStr">
        <is>
          <t>条件触发</t>
        </is>
      </c>
      <c r="P1000" s="9" t="inlineStr">
        <is>
          <t>triggered</t>
        </is>
      </c>
      <c r="Q1000" s="9" t="inlineStr">
        <is>
          <t>条件触发：相邻武器对敌方造成伤害时，最多消耗 30 层再生，每层追加 8 点伤害；相邻武器对敌方造成伤害时，最多消耗 40 层再生，每层追加 8 点伤害；相邻武器对敌方造成伤害时，最多消耗 50 层再生，每层追加 8 点伤害；相邻武器对敌方造成伤害时，最多消耗 60 层再生，每层追加 8 点伤害</t>
        </is>
      </c>
      <c r="R1000" s="9" t="inlineStr"/>
      <c r="S1000" s="9" t="inlineStr">
        <is>
          <t>深青匣盖分作枯叶与新叶两瓣，匣缝中整齐压着一列薄如蝉翼的木刃。</t>
        </is>
      </c>
      <c r="T1000" s="8" t="inlineStr">
        <is>
          <t>implement_witherbloom_flying_leaf_box_2x2</t>
        </is>
      </c>
      <c r="U1000" s="8" t="inlineStr">
        <is>
          <t>allowed</t>
        </is>
      </c>
    </row>
    <row r="1001" ht="34" customHeight="1">
      <c r="A1001" s="8" t="n">
        <v>1000</v>
      </c>
      <c r="B1001" s="8" t="n">
        <v>419141</v>
      </c>
      <c r="C1001" s="8" t="inlineStr">
        <is>
          <t>巨阙开山剑</t>
        </is>
      </c>
      <c r="D1001" s="8" t="inlineStr">
        <is>
          <t>法器</t>
        </is>
      </c>
      <c r="E1001" s="8" t="inlineStr">
        <is>
          <t>implement</t>
        </is>
      </c>
      <c r="F1001" s="8" t="inlineStr">
        <is>
          <t>spirit</t>
        </is>
      </c>
      <c r="G1001" s="8" t="inlineStr">
        <is>
          <t>金</t>
        </is>
      </c>
      <c r="H1001" s="8" t="inlineStr">
        <is>
          <t>metal</t>
        </is>
      </c>
      <c r="I1001" s="8" t="inlineStr">
        <is>
          <t>2×4</t>
        </is>
      </c>
      <c r="J1001" s="8" t="n">
        <v>8</v>
      </c>
      <c r="K1001" s="8" t="n">
        <v>120</v>
      </c>
      <c r="L1001" s="8" t="inlineStr">
        <is>
          <t>是</t>
        </is>
      </c>
      <c r="M1001" s="9" t="inlineStr">
        <is>
          <t>bazaar；journeyChest；dynamicRandomReward</t>
        </is>
      </c>
      <c r="N1001" s="8" t="n">
        <v>1</v>
      </c>
      <c r="O1001" s="9" t="inlineStr">
        <is>
          <t>周期触发</t>
        </is>
      </c>
      <c r="P1001" s="9" t="inlineStr">
        <is>
          <t>periodicPulse</t>
        </is>
      </c>
      <c r="Q1001" s="9" t="inlineStr">
        <is>
          <t>周期触发：消耗 90 点体力，对敌方造成 360 点伤害，并移除敌方 60 层坚硬；消耗 100 点体力，对敌方造成 440 点伤害，并移除敌方 70 层坚硬；消耗 110 点体力，对敌方造成 520 点伤害，并移除敌方 80 层坚硬；消耗 120 点体力，对敌方造成 600 点伤害，并移除敌方 90 层坚硬</t>
        </is>
      </c>
      <c r="R1001" s="9" t="inlineStr"/>
      <c r="S1001" s="9" t="inlineStr">
        <is>
          <t>玄铁巨刃宽如门板，三道金脊将开山之力压在同一条锋线上。</t>
        </is>
      </c>
      <c r="T1001" s="8" t="inlineStr">
        <is>
          <t>implement_juque_mountaincleaver_sword_2x4</t>
        </is>
      </c>
      <c r="U1001" s="8" t="inlineStr">
        <is>
          <t>allowed</t>
        </is>
      </c>
    </row>
    <row r="1002" ht="34" customHeight="1">
      <c r="A1002" s="8" t="n">
        <v>1001</v>
      </c>
      <c r="B1002" s="8" t="n">
        <v>419142</v>
      </c>
      <c r="C1002" s="8" t="inlineStr">
        <is>
          <t>断罡重剑</t>
        </is>
      </c>
      <c r="D1002" s="8" t="inlineStr">
        <is>
          <t>法器</t>
        </is>
      </c>
      <c r="E1002" s="8" t="inlineStr">
        <is>
          <t>implement</t>
        </is>
      </c>
      <c r="F1002" s="8" t="inlineStr">
        <is>
          <t>spirit</t>
        </is>
      </c>
      <c r="G1002" s="8" t="inlineStr">
        <is>
          <t>金</t>
        </is>
      </c>
      <c r="H1002" s="8" t="inlineStr">
        <is>
          <t>metal</t>
        </is>
      </c>
      <c r="I1002" s="8" t="inlineStr">
        <is>
          <t>2×3</t>
        </is>
      </c>
      <c r="J1002" s="8" t="n">
        <v>6</v>
      </c>
      <c r="K1002" s="8" t="n">
        <v>100</v>
      </c>
      <c r="L1002" s="8" t="inlineStr">
        <is>
          <t>是</t>
        </is>
      </c>
      <c r="M1002" s="9" t="inlineStr">
        <is>
          <t>bazaar；journeyChest；dynamicRandomReward</t>
        </is>
      </c>
      <c r="N1002" s="8" t="n">
        <v>1</v>
      </c>
      <c r="O1002" s="9" t="inlineStr">
        <is>
          <t>周期触发</t>
        </is>
      </c>
      <c r="P1002" s="9" t="inlineStr">
        <is>
          <t>periodicPulse</t>
        </is>
      </c>
      <c r="Q1002" s="9" t="inlineStr">
        <is>
          <t>周期触发：凝金不少于 25 层时，最多消耗 50 层凝金；每消耗 1 层，对敌方造成 5 点伤害，并移除敌方 1 层坚硬；凝金不少于 30 层时，最多消耗 60 层凝金；每消耗 1 层，对敌方造成 5 点伤害，并移除敌方 1 层坚硬；凝金不少于 35 层时，最多消耗 70 层凝金；每消耗 1 层，对敌方造成 5 点伤害，并移除敌方 1 层坚硬；凝金不少于 40 层时，最多消耗 80 层凝金；每消耗 1 层，对敌方造成 5 点伤害，并移除敌方 1 层坚硬</t>
        </is>
      </c>
      <c r="R1002" s="9" t="inlineStr"/>
      <c r="S1002" s="9" t="inlineStr">
        <is>
          <t>剑尖凿形厚重，凝金灌入断纹后便能连甲带罡一并砸开。</t>
        </is>
      </c>
      <c r="T1002" s="8" t="inlineStr">
        <is>
          <t>implement_gangbreaker_heavy_sword_2x3</t>
        </is>
      </c>
      <c r="U1002" s="8" t="inlineStr">
        <is>
          <t>allowed</t>
        </is>
      </c>
    </row>
    <row r="1003" ht="34" customHeight="1">
      <c r="A1003" s="8" t="n">
        <v>1002</v>
      </c>
      <c r="B1003" s="8" t="n">
        <v>419143</v>
      </c>
      <c r="C1003" s="8" t="inlineStr">
        <is>
          <t>照金破势剑</t>
        </is>
      </c>
      <c r="D1003" s="8" t="inlineStr">
        <is>
          <t>法器</t>
        </is>
      </c>
      <c r="E1003" s="8" t="inlineStr">
        <is>
          <t>implement</t>
        </is>
      </c>
      <c r="F1003" s="8" t="inlineStr">
        <is>
          <t>spirit</t>
        </is>
      </c>
      <c r="G1003" s="8" t="inlineStr">
        <is>
          <t>金</t>
        </is>
      </c>
      <c r="H1003" s="8" t="inlineStr">
        <is>
          <t>metal</t>
        </is>
      </c>
      <c r="I1003" s="8" t="inlineStr">
        <is>
          <t>1×4</t>
        </is>
      </c>
      <c r="J1003" s="8" t="n">
        <v>4</v>
      </c>
      <c r="K1003" s="8" t="n">
        <v>90</v>
      </c>
      <c r="L1003" s="8" t="inlineStr">
        <is>
          <t>是</t>
        </is>
      </c>
      <c r="M1003" s="9" t="inlineStr">
        <is>
          <t>bazaar；journeyChest；dynamicRandomReward</t>
        </is>
      </c>
      <c r="N1003" s="8" t="n">
        <v>1</v>
      </c>
      <c r="O1003" s="9" t="inlineStr">
        <is>
          <t>周期触发</t>
        </is>
      </c>
      <c r="P1003" s="9" t="inlineStr">
        <is>
          <t>periodicPulse</t>
        </is>
      </c>
      <c r="Q1003" s="9" t="inlineStr">
        <is>
          <t>周期触发：消耗 40 点体力，对敌方造成 160 点伤害，并移除敌方 80 层护甲；消耗 48 点体力，对敌方造成 200 点伤害，并移除敌方 100 层护甲；消耗 56 点体力，对敌方造成 240 点伤害，并移除敌方 120 层护甲；消耗 64 点体力，对敌方造成 280 点伤害，并移除敌方 140 层护甲</t>
        </is>
      </c>
      <c r="R1003" s="9" t="inlineStr"/>
      <c r="S1003" s="9" t="inlineStr">
        <is>
          <t>日轮剑格映亮甲缝，细长锋线专取防势尚未合拢之处。</t>
        </is>
      </c>
      <c r="T1003" s="8" t="inlineStr">
        <is>
          <t>implement_metalglint_stancebreaker_sword_1x4</t>
        </is>
      </c>
      <c r="U1003" s="8" t="inlineStr">
        <is>
          <t>allowed</t>
        </is>
      </c>
    </row>
    <row r="1004" ht="34" customHeight="1">
      <c r="A1004" s="8" t="n">
        <v>1003</v>
      </c>
      <c r="B1004" s="8" t="n">
        <v>419144</v>
      </c>
      <c r="C1004" s="8" t="inlineStr">
        <is>
          <t>空甲追命剑</t>
        </is>
      </c>
      <c r="D1004" s="8" t="inlineStr">
        <is>
          <t>法器</t>
        </is>
      </c>
      <c r="E1004" s="8" t="inlineStr">
        <is>
          <t>implement</t>
        </is>
      </c>
      <c r="F1004" s="8" t="inlineStr">
        <is>
          <t>spirit</t>
        </is>
      </c>
      <c r="G1004" s="8" t="inlineStr">
        <is>
          <t>金</t>
        </is>
      </c>
      <c r="H1004" s="8" t="inlineStr">
        <is>
          <t>metal</t>
        </is>
      </c>
      <c r="I1004" s="8" t="inlineStr">
        <is>
          <t>1×3</t>
        </is>
      </c>
      <c r="J1004" s="8" t="n">
        <v>3</v>
      </c>
      <c r="K1004" s="8" t="n">
        <v>90</v>
      </c>
      <c r="L1004" s="8" t="inlineStr">
        <is>
          <t>是</t>
        </is>
      </c>
      <c r="M1004" s="9" t="inlineStr">
        <is>
          <t>bazaar；journeyChest；dynamicRandomReward</t>
        </is>
      </c>
      <c r="N1004" s="8" t="n">
        <v>1</v>
      </c>
      <c r="O1004" s="9" t="inlineStr">
        <is>
          <t>周期触发</t>
        </is>
      </c>
      <c r="P1004" s="9" t="inlineStr">
        <is>
          <t>periodicPulse</t>
        </is>
      </c>
      <c r="Q1004" s="9" t="inlineStr">
        <is>
          <t>周期触发：消耗 36 点体力，对敌方造成 180 点伤害；若敌方没有护甲，本次伤害 +180；消耗 40 点体力，对敌方造成 220 点伤害；若敌方没有护甲，本次伤害 +220；消耗 44 点体力，对敌方造成 260 点伤害；若敌方没有护甲，本次伤害 +260；消耗 48 点体力，对敌方造成 300 点伤害；若敌方没有护甲，本次伤害 +300</t>
        </is>
      </c>
      <c r="R1004" s="9" t="inlineStr"/>
      <c r="S1004" s="9" t="inlineStr">
        <is>
          <t>钩形剑格咬住甲缘，窄锋顺势直追暴露的要害。</t>
        </is>
      </c>
      <c r="T1004" s="8" t="inlineStr">
        <is>
          <t>implement_armorless_pursuit_sword_1x3</t>
        </is>
      </c>
      <c r="U1004" s="8" t="inlineStr">
        <is>
          <t>allowed</t>
        </is>
      </c>
    </row>
    <row r="1005" ht="34" customHeight="1">
      <c r="A1005" s="8" t="n">
        <v>1004</v>
      </c>
      <c r="B1005" s="8" t="n">
        <v>419145</v>
      </c>
      <c r="C1005" s="8" t="inlineStr">
        <is>
          <t>百斩钝锋剑</t>
        </is>
      </c>
      <c r="D1005" s="8" t="inlineStr">
        <is>
          <t>法器</t>
        </is>
      </c>
      <c r="E1005" s="8" t="inlineStr">
        <is>
          <t>implement</t>
        </is>
      </c>
      <c r="F1005" s="8" t="inlineStr">
        <is>
          <t>common</t>
        </is>
      </c>
      <c r="G1005" s="8" t="inlineStr">
        <is>
          <t>金</t>
        </is>
      </c>
      <c r="H1005" s="8" t="inlineStr">
        <is>
          <t>metal</t>
        </is>
      </c>
      <c r="I1005" s="8" t="inlineStr">
        <is>
          <t>2×3</t>
        </is>
      </c>
      <c r="J1005" s="8" t="n">
        <v>6</v>
      </c>
      <c r="K1005" s="8" t="n">
        <v>19</v>
      </c>
      <c r="L1005" s="8" t="inlineStr">
        <is>
          <t>是</t>
        </is>
      </c>
      <c r="M1005" s="9" t="inlineStr">
        <is>
          <t>bazaar；journeyChest；dynamicRandomReward</t>
        </is>
      </c>
      <c r="N1005" s="8" t="n">
        <v>1</v>
      </c>
      <c r="O1005" s="9" t="inlineStr">
        <is>
          <t>周期触发</t>
        </is>
      </c>
      <c r="P1005" s="9" t="inlineStr">
        <is>
          <t>periodicPulse</t>
        </is>
      </c>
      <c r="Q1005" s="9" t="inlineStr">
        <is>
          <t>周期触发：消耗 5 点体力；对敌方造成 24 点伤害；每次成功轮转后，该伤害 -4，最低降至 4</t>
        </is>
      </c>
      <c r="R1005" s="9" t="inlineStr"/>
      <c r="S1005" s="9" t="inlineStr">
        <is>
          <t>剑面百痕层叠，起手势大力沉，锋势却会随连斩渐钝。</t>
        </is>
      </c>
      <c r="T1005" s="8" t="inlineStr">
        <is>
          <t>implement_hundredslash_bluntedge_sword_2x3</t>
        </is>
      </c>
      <c r="U1005" s="8" t="inlineStr">
        <is>
          <t>allowed</t>
        </is>
      </c>
    </row>
    <row r="1006" ht="34" customHeight="1">
      <c r="A1006" s="8" t="n">
        <v>1005</v>
      </c>
      <c r="B1006" s="8" t="n">
        <v>419146</v>
      </c>
      <c r="C1006" s="8" t="inlineStr">
        <is>
          <t>并锋双脊剑</t>
        </is>
      </c>
      <c r="D1006" s="8" t="inlineStr">
        <is>
          <t>法器</t>
        </is>
      </c>
      <c r="E1006" s="8" t="inlineStr">
        <is>
          <t>implement</t>
        </is>
      </c>
      <c r="F1006" s="8" t="inlineStr">
        <is>
          <t>spirit</t>
        </is>
      </c>
      <c r="G1006" s="8" t="inlineStr">
        <is>
          <t>金</t>
        </is>
      </c>
      <c r="H1006" s="8" t="inlineStr">
        <is>
          <t>metal</t>
        </is>
      </c>
      <c r="I1006" s="8" t="inlineStr">
        <is>
          <t>2×3</t>
        </is>
      </c>
      <c r="J1006" s="8" t="n">
        <v>6</v>
      </c>
      <c r="K1006" s="8" t="n">
        <v>100</v>
      </c>
      <c r="L1006" s="8" t="inlineStr">
        <is>
          <t>是</t>
        </is>
      </c>
      <c r="M1006" s="9" t="inlineStr">
        <is>
          <t>bazaar；journeyChest；dynamicRandomReward</t>
        </is>
      </c>
      <c r="N1006" s="8" t="n">
        <v>1</v>
      </c>
      <c r="O1006" s="9" t="inlineStr">
        <is>
          <t>周期触发</t>
        </is>
      </c>
      <c r="P1006" s="9" t="inlineStr">
        <is>
          <t>periodicPulse</t>
        </is>
      </c>
      <c r="Q1006" s="9" t="inlineStr">
        <is>
          <t>周期触发：右侧相邻剑类道具时，消耗 60 点体力，对敌方造成 300 点伤害；右侧相邻剑类道具时，消耗 68 点体力，对敌方造成 360 点伤害；右侧相邻剑类道具时，消耗 76 点体力，对敌方造成 420 点伤害；右侧相邻剑类道具时，消耗 84 点体力，对敌方造成 480 点伤害</t>
        </is>
      </c>
      <c r="R1006" s="9" t="inlineStr"/>
      <c r="S1006" s="9" t="inlineStr">
        <is>
          <t>双脊同铸，唯有右侧并起另一柄剑时，重心才会彻底压稳。</t>
        </is>
      </c>
      <c r="T1006" s="8" t="inlineStr">
        <is>
          <t>implement_twinspine_linked_sword_2x3</t>
        </is>
      </c>
      <c r="U1006" s="8" t="inlineStr">
        <is>
          <t>allowed</t>
        </is>
      </c>
    </row>
    <row r="1007" ht="34" customHeight="1">
      <c r="A1007" s="8" t="n">
        <v>1006</v>
      </c>
      <c r="B1007" s="8" t="n">
        <v>419147</v>
      </c>
      <c r="C1007" s="8" t="inlineStr">
        <is>
          <t>横云列阵剑</t>
        </is>
      </c>
      <c r="D1007" s="8" t="inlineStr">
        <is>
          <t>法器</t>
        </is>
      </c>
      <c r="E1007" s="8" t="inlineStr">
        <is>
          <t>implement</t>
        </is>
      </c>
      <c r="F1007" s="8" t="inlineStr">
        <is>
          <t>common</t>
        </is>
      </c>
      <c r="G1007" s="8" t="inlineStr">
        <is>
          <t>金</t>
        </is>
      </c>
      <c r="H1007" s="8" t="inlineStr">
        <is>
          <t>metal</t>
        </is>
      </c>
      <c r="I1007" s="8" t="inlineStr">
        <is>
          <t>1×4</t>
        </is>
      </c>
      <c r="J1007" s="8" t="n">
        <v>4</v>
      </c>
      <c r="K1007" s="8" t="n">
        <v>15</v>
      </c>
      <c r="L1007" s="8" t="inlineStr">
        <is>
          <t>是</t>
        </is>
      </c>
      <c r="M1007" s="9" t="inlineStr">
        <is>
          <t>bazaar；journeyChest；dynamicRandomReward</t>
        </is>
      </c>
      <c r="N1007" s="8" t="n">
        <v>1</v>
      </c>
      <c r="O1007" s="9" t="inlineStr">
        <is>
          <t>周期触发</t>
        </is>
      </c>
      <c r="P1007" s="9" t="inlineStr">
        <is>
          <t>periodicPulse</t>
        </is>
      </c>
      <c r="Q1007" s="9" t="inlineStr">
        <is>
          <t>周期触发：左侧相邻剑类道具在本局内造成的伤害 +6，灵力：5</t>
        </is>
      </c>
      <c r="R1007" s="9" t="inlineStr"/>
      <c r="S1007" s="9" t="inlineStr">
        <is>
          <t>横纹沿剑身整齐排开，能将左侧同门剑器的锋势拢成一线。</t>
        </is>
      </c>
      <c r="T1007" s="8" t="inlineStr">
        <is>
          <t>implement_cloudrank_formation_sword_1x4</t>
        </is>
      </c>
      <c r="U1007" s="8" t="inlineStr">
        <is>
          <t>allowed</t>
        </is>
      </c>
    </row>
    <row r="1008" ht="34" customHeight="1">
      <c r="A1008" s="8" t="n">
        <v>1007</v>
      </c>
      <c r="B1008" s="8" t="n">
        <v>419148</v>
      </c>
      <c r="C1008" s="8" t="inlineStr">
        <is>
          <t>铁壁回锋剑</t>
        </is>
      </c>
      <c r="D1008" s="8" t="inlineStr">
        <is>
          <t>法器</t>
        </is>
      </c>
      <c r="E1008" s="8" t="inlineStr">
        <is>
          <t>implement</t>
        </is>
      </c>
      <c r="F1008" s="8" t="inlineStr">
        <is>
          <t>spirit</t>
        </is>
      </c>
      <c r="G1008" s="8" t="inlineStr">
        <is>
          <t>金</t>
        </is>
      </c>
      <c r="H1008" s="8" t="inlineStr">
        <is>
          <t>metal</t>
        </is>
      </c>
      <c r="I1008" s="8" t="inlineStr">
        <is>
          <t>2×3</t>
        </is>
      </c>
      <c r="J1008" s="8" t="n">
        <v>6</v>
      </c>
      <c r="K1008" s="8" t="n">
        <v>100</v>
      </c>
      <c r="L1008" s="8" t="inlineStr">
        <is>
          <t>是</t>
        </is>
      </c>
      <c r="M1008" s="9" t="inlineStr">
        <is>
          <t>bazaar；journeyChest；dynamicRandomReward</t>
        </is>
      </c>
      <c r="N1008" s="8" t="n">
        <v>1</v>
      </c>
      <c r="O1008" s="9" t="inlineStr">
        <is>
          <t>周期触发</t>
        </is>
      </c>
      <c r="P1008" s="9" t="inlineStr">
        <is>
          <t>periodicPulse</t>
        </is>
      </c>
      <c r="Q1008" s="9" t="inlineStr">
        <is>
          <t>周期触发：护甲不少于 20 层时，消耗 20 层护甲；每消耗 1 层，对敌方造成 7 点伤害；护甲不少于 50 层时，消耗 50 层护甲；每消耗 1 层，对敌方造成 7 点伤害；护甲不少于 60 层时，消耗 60 层护甲；每消耗 1 层，对敌方造成 7 点伤害；护甲不少于 70 层时，消耗 70 层护甲；每消耗 1 层，对敌方造成 7 点伤害</t>
        </is>
      </c>
      <c r="R1008" s="9" t="inlineStr"/>
      <c r="S1008" s="9" t="inlineStr">
        <is>
          <t>隆起剑脊如一面窄盾，硬接来势后仍能把重锋送回敌前。</t>
        </is>
      </c>
      <c r="T1008" s="8" t="inlineStr">
        <is>
          <t>implement_ironwall_returning_sword_2x3</t>
        </is>
      </c>
      <c r="U1008" s="8" t="inlineStr">
        <is>
          <t>allowed</t>
        </is>
      </c>
    </row>
    <row r="1009" ht="34" customHeight="1">
      <c r="A1009" s="8" t="n">
        <v>1008</v>
      </c>
      <c r="B1009" s="8" t="n">
        <v>419149</v>
      </c>
      <c r="C1009" s="8" t="inlineStr">
        <is>
          <t>凝锋快剑</t>
        </is>
      </c>
      <c r="D1009" s="8" t="inlineStr">
        <is>
          <t>法器</t>
        </is>
      </c>
      <c r="E1009" s="8" t="inlineStr">
        <is>
          <t>implement</t>
        </is>
      </c>
      <c r="F1009" s="8" t="inlineStr">
        <is>
          <t>common</t>
        </is>
      </c>
      <c r="G1009" s="8" t="inlineStr">
        <is>
          <t>金</t>
        </is>
      </c>
      <c r="H1009" s="8" t="inlineStr">
        <is>
          <t>metal</t>
        </is>
      </c>
      <c r="I1009" s="8" t="inlineStr">
        <is>
          <t>1×3</t>
        </is>
      </c>
      <c r="J1009" s="8" t="n">
        <v>3</v>
      </c>
      <c r="K1009" s="8" t="n">
        <v>14</v>
      </c>
      <c r="L1009" s="8" t="inlineStr">
        <is>
          <t>是</t>
        </is>
      </c>
      <c r="M1009" s="9" t="inlineStr">
        <is>
          <t>bazaar；journeyChest；dynamicRandomReward</t>
        </is>
      </c>
      <c r="N1009" s="8" t="n">
        <v>1</v>
      </c>
      <c r="O1009" s="9" t="inlineStr">
        <is>
          <t>周期触发</t>
        </is>
      </c>
      <c r="P1009" s="9" t="inlineStr">
        <is>
          <t>periodicPulse</t>
        </is>
      </c>
      <c r="Q1009" s="9" t="inlineStr">
        <is>
          <t>周期触发：最多消耗 6 层凝金；每层对敌方造成 3 点伤害</t>
        </is>
      </c>
      <c r="R1009" s="9" t="inlineStr"/>
      <c r="S1009" s="9" t="inlineStr">
        <is>
          <t>束金环将游散金气勒回刃脊，凝得越多，出剑越重。</t>
        </is>
      </c>
      <c r="T1009" s="8" t="inlineStr">
        <is>
          <t>implement_condensed_edge_swift_sword_1x3</t>
        </is>
      </c>
      <c r="U1009" s="8" t="inlineStr">
        <is>
          <t>allowed</t>
        </is>
      </c>
    </row>
    <row r="1010" ht="34" customHeight="1">
      <c r="A1010" s="8" t="n">
        <v>1009</v>
      </c>
      <c r="B1010" s="8" t="n">
        <v>419150</v>
      </c>
      <c r="C1010" s="8" t="inlineStr">
        <is>
          <t>折甲细剑</t>
        </is>
      </c>
      <c r="D1010" s="8" t="inlineStr">
        <is>
          <t>法器</t>
        </is>
      </c>
      <c r="E1010" s="8" t="inlineStr">
        <is>
          <t>implement</t>
        </is>
      </c>
      <c r="F1010" s="8" t="inlineStr">
        <is>
          <t>common</t>
        </is>
      </c>
      <c r="G1010" s="8" t="inlineStr">
        <is>
          <t>金</t>
        </is>
      </c>
      <c r="H1010" s="8" t="inlineStr">
        <is>
          <t>metal</t>
        </is>
      </c>
      <c r="I1010" s="8" t="inlineStr">
        <is>
          <t>1×4</t>
        </is>
      </c>
      <c r="J1010" s="8" t="n">
        <v>4</v>
      </c>
      <c r="K1010" s="8" t="n">
        <v>13</v>
      </c>
      <c r="L1010" s="8" t="inlineStr">
        <is>
          <t>是</t>
        </is>
      </c>
      <c r="M1010" s="9" t="inlineStr">
        <is>
          <t>bazaar；journeyChest；dynamicRandomReward</t>
        </is>
      </c>
      <c r="N1010" s="8" t="n">
        <v>1</v>
      </c>
      <c r="O1010" s="9" t="inlineStr">
        <is>
          <t>周期触发</t>
        </is>
      </c>
      <c r="P1010" s="9" t="inlineStr">
        <is>
          <t>periodicPulse</t>
        </is>
      </c>
      <c r="Q1010" s="9" t="inlineStr">
        <is>
          <t>周期触发：消耗 3 点体力，移除敌方 8 层护甲</t>
        </is>
      </c>
      <c r="R1010" s="9" t="inlineStr"/>
      <c r="S1010" s="9" t="inlineStr">
        <is>
          <t>四棱细锋不求劈砍，只沿甲片接缝把层层防护挑开。</t>
        </is>
      </c>
      <c r="T1010" s="8" t="inlineStr">
        <is>
          <t>implement_armorfold_slender_sword_1x4</t>
        </is>
      </c>
      <c r="U1010" s="8" t="inlineStr">
        <is>
          <t>allowed</t>
        </is>
      </c>
    </row>
    <row r="1011" ht="34" customHeight="1">
      <c r="A1011" s="8" t="n">
        <v>1010</v>
      </c>
      <c r="B1011" s="8" t="n">
        <v>419151</v>
      </c>
      <c r="C1011" s="8" t="inlineStr">
        <is>
          <t>断脉长剑</t>
        </is>
      </c>
      <c r="D1011" s="8" t="inlineStr">
        <is>
          <t>法器</t>
        </is>
      </c>
      <c r="E1011" s="8" t="inlineStr">
        <is>
          <t>implement</t>
        </is>
      </c>
      <c r="F1011" s="8" t="inlineStr">
        <is>
          <t>common</t>
        </is>
      </c>
      <c r="G1011" s="8" t="inlineStr">
        <is>
          <t>金</t>
        </is>
      </c>
      <c r="H1011" s="8" t="inlineStr">
        <is>
          <t>metal</t>
        </is>
      </c>
      <c r="I1011" s="8" t="inlineStr">
        <is>
          <t>1×4</t>
        </is>
      </c>
      <c r="J1011" s="8" t="n">
        <v>4</v>
      </c>
      <c r="K1011" s="8" t="n">
        <v>15</v>
      </c>
      <c r="L1011" s="8" t="inlineStr">
        <is>
          <t>是</t>
        </is>
      </c>
      <c r="M1011" s="9" t="inlineStr">
        <is>
          <t>bazaar；journeyChest；dynamicRandomReward</t>
        </is>
      </c>
      <c r="N1011" s="8" t="n">
        <v>1</v>
      </c>
      <c r="O1011" s="9" t="inlineStr">
        <is>
          <t>周期触发</t>
        </is>
      </c>
      <c r="P1011" s="9" t="inlineStr">
        <is>
          <t>periodicPulse</t>
        </is>
      </c>
      <c r="Q1011" s="9" t="inlineStr">
        <is>
          <t>周期触发：消耗 3 点体力，对敌方造成 8 点伤害，并移除 8 层坚硬</t>
        </is>
      </c>
      <c r="R1011" s="9" t="inlineStr"/>
      <c r="S1011" s="9" t="inlineStr">
        <is>
          <t>黑金断槽将冲击分作数段，专门震散硬壳中的受力脉络。</t>
        </is>
      </c>
      <c r="T1011" s="8" t="inlineStr">
        <is>
          <t>implement_meridian_severing_sword_1x4</t>
        </is>
      </c>
      <c r="U1011" s="8" t="inlineStr">
        <is>
          <t>allowed</t>
        </is>
      </c>
    </row>
    <row r="1012" ht="34" customHeight="1">
      <c r="A1012" s="8" t="n">
        <v>1011</v>
      </c>
      <c r="B1012" s="8" t="n">
        <v>419152</v>
      </c>
      <c r="C1012" s="8" t="inlineStr">
        <is>
          <t>藏锋玄剑</t>
        </is>
      </c>
      <c r="D1012" s="8" t="inlineStr">
        <is>
          <t>法器</t>
        </is>
      </c>
      <c r="E1012" s="8" t="inlineStr">
        <is>
          <t>implement</t>
        </is>
      </c>
      <c r="F1012" s="8" t="inlineStr">
        <is>
          <t>spirit</t>
        </is>
      </c>
      <c r="G1012" s="8" t="inlineStr">
        <is>
          <t>金</t>
        </is>
      </c>
      <c r="H1012" s="8" t="inlineStr">
        <is>
          <t>metal</t>
        </is>
      </c>
      <c r="I1012" s="8" t="inlineStr">
        <is>
          <t>1×4</t>
        </is>
      </c>
      <c r="J1012" s="8" t="n">
        <v>4</v>
      </c>
      <c r="K1012" s="8" t="n">
        <v>90</v>
      </c>
      <c r="L1012" s="8" t="inlineStr">
        <is>
          <t>是</t>
        </is>
      </c>
      <c r="M1012" s="9" t="inlineStr">
        <is>
          <t>bazaar；journeyChest；dynamicRandomReward</t>
        </is>
      </c>
      <c r="N1012" s="8" t="n">
        <v>1</v>
      </c>
      <c r="O1012" s="9" t="inlineStr">
        <is>
          <t>周期触发</t>
        </is>
      </c>
      <c r="P1012" s="9" t="inlineStr">
        <is>
          <t>periodicPulse</t>
        </is>
      </c>
      <c r="Q1012" s="9" t="inlineStr">
        <is>
          <t>周期触发：右侧相邻断金剑鞘时，消耗 64 点体力，对敌方造成 400 点伤害；右侧相邻断金剑鞘时，消耗 72 点体力，对敌方造成 480 点伤害；右侧相邻断金剑鞘时，消耗 80 点体力，对敌方造成 560 点伤害；右侧相邻断金剑鞘时，消耗 88 点体力，对敌方造成 640 点伤害</t>
        </is>
      </c>
      <c r="R1012" s="9" t="inlineStr">
        <is>
          <t>metal_sword_scabbard_pair</t>
        </is>
      </c>
      <c r="S1012" s="9" t="inlineStr">
        <is>
          <t>玄剑半藏于鞘，鞘口锁环合拢时，拔剑的一瞬最为凌厉。</t>
        </is>
      </c>
      <c r="T1012" s="8" t="inlineStr">
        <is>
          <t>implement_sheathed_mystic_sword_1x4</t>
        </is>
      </c>
      <c r="U1012" s="8" t="inlineStr">
        <is>
          <t>allowed</t>
        </is>
      </c>
    </row>
    <row r="1013" ht="34" customHeight="1">
      <c r="A1013" s="8" t="n">
        <v>1012</v>
      </c>
      <c r="B1013" s="8" t="n">
        <v>419153</v>
      </c>
      <c r="C1013" s="8" t="inlineStr">
        <is>
          <t>斩金阔剑</t>
        </is>
      </c>
      <c r="D1013" s="8" t="inlineStr">
        <is>
          <t>法器</t>
        </is>
      </c>
      <c r="E1013" s="8" t="inlineStr">
        <is>
          <t>implement</t>
        </is>
      </c>
      <c r="F1013" s="8" t="inlineStr">
        <is>
          <t>common</t>
        </is>
      </c>
      <c r="G1013" s="8" t="inlineStr">
        <is>
          <t>金</t>
        </is>
      </c>
      <c r="H1013" s="8" t="inlineStr">
        <is>
          <t>metal</t>
        </is>
      </c>
      <c r="I1013" s="8" t="inlineStr">
        <is>
          <t>2×3</t>
        </is>
      </c>
      <c r="J1013" s="8" t="n">
        <v>6</v>
      </c>
      <c r="K1013" s="8" t="n">
        <v>18</v>
      </c>
      <c r="L1013" s="8" t="inlineStr">
        <is>
          <t>是</t>
        </is>
      </c>
      <c r="M1013" s="9" t="inlineStr">
        <is>
          <t>bazaar；journeyChest；dynamicRandomReward</t>
        </is>
      </c>
      <c r="N1013" s="8" t="n">
        <v>1</v>
      </c>
      <c r="O1013" s="9" t="inlineStr">
        <is>
          <t>周期触发</t>
        </is>
      </c>
      <c r="P1013" s="9" t="inlineStr">
        <is>
          <t>periodicPulse</t>
        </is>
      </c>
      <c r="Q1013" s="9" t="inlineStr">
        <is>
          <t>周期触发：消耗 6 点体力，对敌方造成 22 点伤害</t>
        </is>
      </c>
      <c r="R1013" s="9" t="inlineStr"/>
      <c r="S1013" s="9" t="inlineStr">
        <is>
          <t>阔刃没有繁复变化，只把体力换成一记沉重而直接的斩击。</t>
        </is>
      </c>
      <c r="T1013" s="8" t="inlineStr">
        <is>
          <t>implement_metalcleaving_broadsword_2x3</t>
        </is>
      </c>
      <c r="U1013" s="8" t="inlineStr">
        <is>
          <t>allowed</t>
        </is>
      </c>
    </row>
    <row r="1014" ht="34" customHeight="1">
      <c r="A1014" s="8" t="n">
        <v>1013</v>
      </c>
      <c r="B1014" s="8" t="n">
        <v>419154</v>
      </c>
      <c r="C1014" s="8" t="inlineStr">
        <is>
          <t>天门断岳剑</t>
        </is>
      </c>
      <c r="D1014" s="8" t="inlineStr">
        <is>
          <t>法器</t>
        </is>
      </c>
      <c r="E1014" s="8" t="inlineStr">
        <is>
          <t>implement</t>
        </is>
      </c>
      <c r="F1014" s="8" t="inlineStr">
        <is>
          <t>spirit</t>
        </is>
      </c>
      <c r="G1014" s="8" t="inlineStr">
        <is>
          <t>金</t>
        </is>
      </c>
      <c r="H1014" s="8" t="inlineStr">
        <is>
          <t>metal</t>
        </is>
      </c>
      <c r="I1014" s="8" t="inlineStr">
        <is>
          <t>2×4</t>
        </is>
      </c>
      <c r="J1014" s="8" t="n">
        <v>8</v>
      </c>
      <c r="K1014" s="8" t="n">
        <v>120</v>
      </c>
      <c r="L1014" s="8" t="inlineStr">
        <is>
          <t>是</t>
        </is>
      </c>
      <c r="M1014" s="9" t="inlineStr">
        <is>
          <t>bazaar；journeyChest；dynamicRandomReward</t>
        </is>
      </c>
      <c r="N1014" s="8" t="n">
        <v>1</v>
      </c>
      <c r="O1014" s="9" t="inlineStr">
        <is>
          <t>周期触发</t>
        </is>
      </c>
      <c r="P1014" s="9" t="inlineStr">
        <is>
          <t>periodicPulse</t>
        </is>
      </c>
      <c r="Q1014" s="9" t="inlineStr">
        <is>
          <t>周期触发：消耗 140 点体力，对敌方造成 640 点伤害，并移除敌方 100 层护甲和 100 层坚硬；消耗 160 点体力，对敌方造成 760 点伤害，并移除敌方 120 层护甲和 120 层坚硬；消耗 180 点体力，对敌方造成 880 点伤害，并移除敌方 140 层护甲和 140 层坚硬；消耗 200 点体力，对敌方造成 1000 点伤害，并移除敌方 160 层护甲和 160 层坚硬</t>
        </is>
      </c>
      <c r="R1014" s="9" t="inlineStr"/>
      <c r="S1014" s="9" t="inlineStr">
        <is>
          <t>巨剑如天门坠地，出手缓慢，却足以连山甲与硬壳一同震裂。</t>
        </is>
      </c>
      <c r="T1014" s="8" t="inlineStr">
        <is>
          <t>implement_heavengate_mountainbreaker_sword_2x4</t>
        </is>
      </c>
      <c r="U1014" s="8" t="inlineStr">
        <is>
          <t>allowed</t>
        </is>
      </c>
    </row>
    <row r="1015" ht="34" customHeight="1">
      <c r="A1015" s="8" t="n">
        <v>1014</v>
      </c>
      <c r="B1015" s="8" t="n">
        <v>419155</v>
      </c>
      <c r="C1015" s="8" t="inlineStr">
        <is>
          <t>断金剑鞘</t>
        </is>
      </c>
      <c r="D1015" s="8" t="inlineStr">
        <is>
          <t>法器</t>
        </is>
      </c>
      <c r="E1015" s="8" t="inlineStr">
        <is>
          <t>implement</t>
        </is>
      </c>
      <c r="F1015" s="8" t="inlineStr">
        <is>
          <t>spirit</t>
        </is>
      </c>
      <c r="G1015" s="8" t="inlineStr">
        <is>
          <t>金</t>
        </is>
      </c>
      <c r="H1015" s="8" t="inlineStr">
        <is>
          <t>metal</t>
        </is>
      </c>
      <c r="I1015" s="8" t="inlineStr">
        <is>
          <t>1×3</t>
        </is>
      </c>
      <c r="J1015" s="8" t="n">
        <v>3</v>
      </c>
      <c r="K1015" s="8" t="n">
        <v>80</v>
      </c>
      <c r="L1015" s="8" t="inlineStr">
        <is>
          <t>是</t>
        </is>
      </c>
      <c r="M1015" s="9" t="inlineStr">
        <is>
          <t>bazaar；journeyChest；dynamicRandomReward</t>
        </is>
      </c>
      <c r="N1015" s="8" t="n">
        <v>1</v>
      </c>
      <c r="O1015" s="9" t="inlineStr">
        <is>
          <t>周期触发</t>
        </is>
      </c>
      <c r="P1015" s="9" t="inlineStr">
        <is>
          <t>periodicPulse</t>
        </is>
      </c>
      <c r="Q1015" s="9" t="inlineStr">
        <is>
          <t>周期触发：左侧相邻剑类道具在本局内造成的伤害 +80，灵力：5；左侧相邻剑类道具在本局内造成的伤害 +100，灵力：5；左侧相邻剑类道具在本局内造成的伤害 +120，灵力：5；左侧相邻剑类道具在本局内造成的伤害 +140，灵力：5</t>
        </is>
      </c>
      <c r="R1015" s="9" t="inlineStr">
        <is>
          <t>metal_sword_scabbard</t>
        </is>
      </c>
      <c r="S1015" s="9" t="inlineStr">
        <is>
          <t>厚重鞘口能稳住蓄势中的长剑，使左侧拔出的第一锋更加沉凝。</t>
        </is>
      </c>
      <c r="T1015" s="8" t="inlineStr">
        <is>
          <t>implement_metalbreaker_scabbard_1x3</t>
        </is>
      </c>
      <c r="U1015" s="8" t="inlineStr">
        <is>
          <t>allowed</t>
        </is>
      </c>
    </row>
    <row r="1016" ht="34" customHeight="1">
      <c r="A1016" s="8" t="n">
        <v>1015</v>
      </c>
      <c r="B1016" s="8" t="n">
        <v>419156</v>
      </c>
      <c r="C1016" s="8" t="inlineStr">
        <is>
          <t>贯云金弓</t>
        </is>
      </c>
      <c r="D1016" s="8" t="inlineStr">
        <is>
          <t>法器</t>
        </is>
      </c>
      <c r="E1016" s="8" t="inlineStr">
        <is>
          <t>implement</t>
        </is>
      </c>
      <c r="F1016" s="8" t="inlineStr">
        <is>
          <t>spirit</t>
        </is>
      </c>
      <c r="G1016" s="8" t="inlineStr">
        <is>
          <t>金</t>
        </is>
      </c>
      <c r="H1016" s="8" t="inlineStr">
        <is>
          <t>metal</t>
        </is>
      </c>
      <c r="I1016" s="8" t="inlineStr">
        <is>
          <t>2×3</t>
        </is>
      </c>
      <c r="J1016" s="8" t="n">
        <v>6</v>
      </c>
      <c r="K1016" s="8" t="n">
        <v>100</v>
      </c>
      <c r="L1016" s="8" t="inlineStr">
        <is>
          <t>是</t>
        </is>
      </c>
      <c r="M1016" s="9" t="inlineStr">
        <is>
          <t>bazaar；journeyChest；dynamicRandomReward</t>
        </is>
      </c>
      <c r="N1016" s="8" t="n">
        <v>1</v>
      </c>
      <c r="O1016" s="9" t="inlineStr">
        <is>
          <t>周期触发</t>
        </is>
      </c>
      <c r="P1016" s="9" t="inlineStr">
        <is>
          <t>periodicPulse</t>
        </is>
      </c>
      <c r="Q1016" s="9" t="inlineStr">
        <is>
          <t>周期触发：消耗 60 点体力，对敌方造成 5 次 60 点伤害；消耗 70 点体力，对敌方造成 5 次 68 点伤害；消耗 80 点体力，对敌方造成 5 次 76 点伤害；消耗 90 点体力，对敌方造成 5 次 84 点伤害</t>
        </is>
      </c>
      <c r="R1016" s="9" t="inlineStr">
        <is>
          <t>metal_bow_pair</t>
        </is>
      </c>
      <c r="S1016" s="9" t="inlineStr">
        <is>
          <t>乌金反曲弓臂张力强劲，搭上专用破云箭后更显穿透之势。</t>
        </is>
      </c>
      <c r="T1016" s="8" t="inlineStr">
        <is>
          <t>implement_cloudpiercing_metal_bow_2x3</t>
        </is>
      </c>
      <c r="U1016" s="8" t="inlineStr">
        <is>
          <t>allowed</t>
        </is>
      </c>
    </row>
    <row r="1017" ht="34" customHeight="1">
      <c r="A1017" s="8" t="n">
        <v>1016</v>
      </c>
      <c r="B1017" s="8" t="n">
        <v>419157</v>
      </c>
      <c r="C1017" s="8" t="inlineStr">
        <is>
          <t>破云箭匣</t>
        </is>
      </c>
      <c r="D1017" s="8" t="inlineStr">
        <is>
          <t>法器</t>
        </is>
      </c>
      <c r="E1017" s="8" t="inlineStr">
        <is>
          <t>implement</t>
        </is>
      </c>
      <c r="F1017" s="8" t="inlineStr">
        <is>
          <t>spirit</t>
        </is>
      </c>
      <c r="G1017" s="8" t="inlineStr">
        <is>
          <t>金</t>
        </is>
      </c>
      <c r="H1017" s="8" t="inlineStr">
        <is>
          <t>metal</t>
        </is>
      </c>
      <c r="I1017" s="8" t="inlineStr">
        <is>
          <t>1×3</t>
        </is>
      </c>
      <c r="J1017" s="8" t="n">
        <v>3</v>
      </c>
      <c r="K1017" s="8" t="n">
        <v>80</v>
      </c>
      <c r="L1017" s="8" t="inlineStr">
        <is>
          <t>是</t>
        </is>
      </c>
      <c r="M1017" s="9" t="inlineStr">
        <is>
          <t>bazaar；journeyChest；dynamicRandomReward</t>
        </is>
      </c>
      <c r="N1017" s="8" t="n">
        <v>1</v>
      </c>
      <c r="O1017" s="9" t="inlineStr">
        <is>
          <t>周期触发</t>
        </is>
      </c>
      <c r="P1017" s="9" t="inlineStr">
        <is>
          <t>periodicPulse</t>
        </is>
      </c>
      <c r="Q1017" s="9" t="inlineStr">
        <is>
          <t>周期触发：左侧相邻弓类道具在本局内造成的伤害 +20，灵力：5；左侧相邻弓类道具在本局内造成的伤害 +26，灵力：5；左侧相邻弓类道具在本局内造成的伤害 +32，灵力：5；左侧相邻弓类道具在本局内造成的伤害 +38，灵力：5</t>
        </is>
      </c>
      <c r="R1017" s="9" t="inlineStr">
        <is>
          <t>metal_arrow_quiver</t>
        </is>
      </c>
      <c r="S1017" s="9" t="inlineStr">
        <is>
          <t>箭匣中整齐压着穿甲箭，贴住弓身便能不断校正下一箭的落点。</t>
        </is>
      </c>
      <c r="T1017" s="8" t="inlineStr">
        <is>
          <t>implement_cloudbreaker_arrow_case_1x3</t>
        </is>
      </c>
      <c r="U1017" s="8" t="inlineStr">
        <is>
          <t>allowed</t>
        </is>
      </c>
    </row>
    <row r="1018" ht="34" customHeight="1">
      <c r="A1018" s="8" t="n">
        <v>1017</v>
      </c>
      <c r="B1018" s="8" t="n">
        <v>419158</v>
      </c>
      <c r="C1018" s="8" t="inlineStr">
        <is>
          <t>碎影金匕</t>
        </is>
      </c>
      <c r="D1018" s="8" t="inlineStr">
        <is>
          <t>法器</t>
        </is>
      </c>
      <c r="E1018" s="8" t="inlineStr">
        <is>
          <t>implement</t>
        </is>
      </c>
      <c r="F1018" s="8" t="inlineStr">
        <is>
          <t>spirit</t>
        </is>
      </c>
      <c r="G1018" s="8" t="inlineStr">
        <is>
          <t>金</t>
        </is>
      </c>
      <c r="H1018" s="8" t="inlineStr">
        <is>
          <t>metal</t>
        </is>
      </c>
      <c r="I1018" s="8" t="inlineStr">
        <is>
          <t>1×2</t>
        </is>
      </c>
      <c r="J1018" s="8" t="n">
        <v>2</v>
      </c>
      <c r="K1018" s="8" t="n">
        <v>80</v>
      </c>
      <c r="L1018" s="8" t="inlineStr">
        <is>
          <t>是</t>
        </is>
      </c>
      <c r="M1018" s="9" t="inlineStr">
        <is>
          <t>bazaar；journeyChest；dynamicRandomReward</t>
        </is>
      </c>
      <c r="N1018" s="8" t="n">
        <v>1</v>
      </c>
      <c r="O1018" s="9" t="inlineStr">
        <is>
          <t>周期触发</t>
        </is>
      </c>
      <c r="P1018" s="9" t="inlineStr">
        <is>
          <t>periodicPulse</t>
        </is>
      </c>
      <c r="Q1018" s="9" t="inlineStr">
        <is>
          <t>周期触发：消耗 16 点体力；对敌方造成 160 点伤害；每次成功轮转后，该伤害 -20，最低降至 40；消耗 18 点体力；对敌方造成 200 点伤害；每次成功轮转后，该伤害 -20，最低降至 60；消耗 20 点体力；对敌方造成 240 点伤害；每次成功轮转后，该伤害 -20，最低降至 80；消耗 22 点体力；对敌方造成 280 点伤害；每次成功轮转后，该伤害 -20，最低降至 100</t>
        </is>
      </c>
      <c r="R1018" s="9" t="inlineStr"/>
      <c r="S1018" s="9" t="inlineStr">
        <is>
          <t>棱面短刃起手极快，但每次连续出手都会损去一分锋势。</t>
        </is>
      </c>
      <c r="T1018" s="8" t="inlineStr">
        <is>
          <t>implement_shadowshard_metal_dagger_1x2</t>
        </is>
      </c>
      <c r="U1018" s="8" t="inlineStr">
        <is>
          <t>allowed</t>
        </is>
      </c>
    </row>
    <row r="1019" ht="34" customHeight="1">
      <c r="A1019" s="8" t="n">
        <v>1018</v>
      </c>
      <c r="B1019" s="8" t="n">
        <v>419159</v>
      </c>
      <c r="C1019" s="8" t="inlineStr">
        <is>
          <t>镇锋玄盾</t>
        </is>
      </c>
      <c r="D1019" s="8" t="inlineStr">
        <is>
          <t>法器</t>
        </is>
      </c>
      <c r="E1019" s="8" t="inlineStr">
        <is>
          <t>implement</t>
        </is>
      </c>
      <c r="F1019" s="8" t="inlineStr">
        <is>
          <t>spirit</t>
        </is>
      </c>
      <c r="G1019" s="8" t="inlineStr">
        <is>
          <t>金</t>
        </is>
      </c>
      <c r="H1019" s="8" t="inlineStr">
        <is>
          <t>metal</t>
        </is>
      </c>
      <c r="I1019" s="8" t="inlineStr">
        <is>
          <t>2×3</t>
        </is>
      </c>
      <c r="J1019" s="8" t="n">
        <v>6</v>
      </c>
      <c r="K1019" s="8" t="n">
        <v>100</v>
      </c>
      <c r="L1019" s="8" t="inlineStr">
        <is>
          <t>是</t>
        </is>
      </c>
      <c r="M1019" s="9" t="inlineStr">
        <is>
          <t>bazaar；journeyChest；dynamicRandomReward</t>
        </is>
      </c>
      <c r="N1019" s="8" t="n">
        <v>1</v>
      </c>
      <c r="O1019" s="9" t="inlineStr">
        <is>
          <t>周期触发</t>
        </is>
      </c>
      <c r="P1019" s="9" t="inlineStr">
        <is>
          <t>periodicPulse</t>
        </is>
      </c>
      <c r="Q1019" s="9" t="inlineStr">
        <is>
          <t>周期触发：消耗 40 点体力，获得 150 层护甲；消耗 48 点体力，获得 180 层护甲；消耗 56 点体力，获得 210 层护甲；消耗 64 点体力，获得 240 层护甲</t>
        </is>
      </c>
      <c r="R1019" s="9" t="inlineStr"/>
      <c r="S1019" s="9" t="inlineStr">
        <is>
          <t>高大的玄铁塔盾以粗铆钉锁住正面冲击，稳稳护住持盾者。</t>
        </is>
      </c>
      <c r="T1019" s="8" t="inlineStr">
        <is>
          <t>implement_edgebinding_mystic_shield_2x3</t>
        </is>
      </c>
      <c r="U1019" s="8" t="inlineStr">
        <is>
          <t>allowed</t>
        </is>
      </c>
    </row>
    <row r="1020" ht="34" customHeight="1">
      <c r="A1020" s="8" t="n">
        <v>1019</v>
      </c>
      <c r="B1020" s="8" t="n">
        <v>419160</v>
      </c>
      <c r="C1020" s="8" t="inlineStr">
        <is>
          <t>照胆金盾</t>
        </is>
      </c>
      <c r="D1020" s="8" t="inlineStr">
        <is>
          <t>法器</t>
        </is>
      </c>
      <c r="E1020" s="8" t="inlineStr">
        <is>
          <t>implement</t>
        </is>
      </c>
      <c r="F1020" s="8" t="inlineStr">
        <is>
          <t>spirit</t>
        </is>
      </c>
      <c r="G1020" s="8" t="inlineStr">
        <is>
          <t>金</t>
        </is>
      </c>
      <c r="H1020" s="8" t="inlineStr">
        <is>
          <t>metal</t>
        </is>
      </c>
      <c r="I1020" s="8" t="inlineStr">
        <is>
          <t>2×2</t>
        </is>
      </c>
      <c r="J1020" s="8" t="n">
        <v>4</v>
      </c>
      <c r="K1020" s="8" t="n">
        <v>90</v>
      </c>
      <c r="L1020" s="8" t="inlineStr">
        <is>
          <t>是</t>
        </is>
      </c>
      <c r="M1020" s="9" t="inlineStr">
        <is>
          <t>bazaar；journeyChest；dynamicRandomReward</t>
        </is>
      </c>
      <c r="N1020" s="8" t="n">
        <v>1</v>
      </c>
      <c r="O1020" s="9" t="inlineStr">
        <is>
          <t>周期触发</t>
        </is>
      </c>
      <c r="P1020" s="9" t="inlineStr">
        <is>
          <t>periodicPulse</t>
        </is>
      </c>
      <c r="Q1020" s="9" t="inlineStr">
        <is>
          <t>周期触发：消耗 36 点体力，获得 80 层护甲和 80 层坚硬；消耗 44 点体力，获得 100 层护甲和 100 层坚硬；消耗 52 点体力，获得 120 层护甲和 120 层坚硬；消耗 60 点体力，获得 140 层护甲和 140 层坚硬</t>
        </is>
      </c>
      <c r="R1020" s="9" t="inlineStr"/>
      <c r="S1020" s="9" t="inlineStr">
        <is>
          <t>亮银盾面以四道金筋加固，既承冲击，也护住内里的硬势。</t>
        </is>
      </c>
      <c r="T1020" s="8" t="inlineStr">
        <is>
          <t>implement_brightheart_metal_shield_2x2</t>
        </is>
      </c>
      <c r="U1020" s="8" t="inlineStr">
        <is>
          <t>allowed</t>
        </is>
      </c>
    </row>
    <row r="1021" ht="34" customHeight="1">
      <c r="A1021" s="8" t="n">
        <v>1020</v>
      </c>
      <c r="B1021" s="8" t="n">
        <v>419161</v>
      </c>
      <c r="C1021" s="8" t="inlineStr">
        <is>
          <t>粗铁开刃剑</t>
        </is>
      </c>
      <c r="D1021" s="8" t="inlineStr">
        <is>
          <t>法器</t>
        </is>
      </c>
      <c r="E1021" s="8" t="inlineStr">
        <is>
          <t>implement</t>
        </is>
      </c>
      <c r="F1021" s="8" t="inlineStr">
        <is>
          <t>common</t>
        </is>
      </c>
      <c r="G1021" s="8" t="inlineStr">
        <is>
          <t>金</t>
        </is>
      </c>
      <c r="H1021" s="8" t="inlineStr">
        <is>
          <t>metal</t>
        </is>
      </c>
      <c r="I1021" s="8" t="inlineStr">
        <is>
          <t>2×3</t>
        </is>
      </c>
      <c r="J1021" s="8" t="n">
        <v>6</v>
      </c>
      <c r="K1021" s="8" t="n">
        <v>16</v>
      </c>
      <c r="L1021" s="8" t="inlineStr">
        <is>
          <t>是</t>
        </is>
      </c>
      <c r="M1021" s="9" t="inlineStr">
        <is>
          <t>bazaar；journeyChest；dynamicRandomReward</t>
        </is>
      </c>
      <c r="N1021" s="8" t="n">
        <v>1</v>
      </c>
      <c r="O1021" s="9" t="inlineStr">
        <is>
          <t>周期触发</t>
        </is>
      </c>
      <c r="P1021" s="9" t="inlineStr">
        <is>
          <t>periodicPulse</t>
        </is>
      </c>
      <c r="Q1021" s="9" t="inlineStr">
        <is>
          <t>周期触发：凝金不少于 15 层时，消耗 10 点体力，对敌方造成 16 点伤害，并移除敌方 2 层坚硬；凝金不少于 13 层时，消耗 12 点体力，对敌方造成 20 点伤害，并移除敌方 2 层坚硬；凝金不少于 11 层时，消耗 14 点体力，对敌方造成 24 点伤害，并移除敌方 2 层坚硬；凝金不少于 9 层时，消耗 16 点体力，对敌方造成 28 点伤害，并移除敌方 2 层坚硬</t>
        </is>
      </c>
      <c r="R1021" s="9" t="inlineStr"/>
      <c r="S1021" s="9" t="inlineStr">
        <is>
          <t>粗铁剑面锤痕未平，胜在分量扎实，开刃后足以砍开硬壳。</t>
        </is>
      </c>
      <c r="T1021" s="8" t="inlineStr">
        <is>
          <t>implement_roughiron_edged_sword_2x3</t>
        </is>
      </c>
      <c r="U1021" s="8" t="inlineStr">
        <is>
          <t>allowed</t>
        </is>
      </c>
    </row>
    <row r="1022" ht="34" customHeight="1">
      <c r="A1022" s="8" t="n">
        <v>1021</v>
      </c>
      <c r="B1022" s="8" t="n">
        <v>419162</v>
      </c>
      <c r="C1022" s="8" t="inlineStr">
        <is>
          <t>青钢直剑</t>
        </is>
      </c>
      <c r="D1022" s="8" t="inlineStr">
        <is>
          <t>法器</t>
        </is>
      </c>
      <c r="E1022" s="8" t="inlineStr">
        <is>
          <t>implement</t>
        </is>
      </c>
      <c r="F1022" s="8" t="inlineStr">
        <is>
          <t>common</t>
        </is>
      </c>
      <c r="G1022" s="8" t="inlineStr">
        <is>
          <t>金</t>
        </is>
      </c>
      <c r="H1022" s="8" t="inlineStr">
        <is>
          <t>metal</t>
        </is>
      </c>
      <c r="I1022" s="8" t="inlineStr">
        <is>
          <t>1×3</t>
        </is>
      </c>
      <c r="J1022" s="8" t="n">
        <v>3</v>
      </c>
      <c r="K1022" s="8" t="n">
        <v>9</v>
      </c>
      <c r="L1022" s="8" t="inlineStr">
        <is>
          <t>是</t>
        </is>
      </c>
      <c r="M1022" s="9" t="inlineStr">
        <is>
          <t>bazaar；journeyChest；dynamicRandomReward</t>
        </is>
      </c>
      <c r="N1022" s="8" t="n">
        <v>1</v>
      </c>
      <c r="O1022" s="9" t="inlineStr">
        <is>
          <t>周期触发</t>
        </is>
      </c>
      <c r="P1022" s="9" t="inlineStr">
        <is>
          <t>periodicPulse</t>
        </is>
      </c>
      <c r="Q1022" s="9" t="inlineStr">
        <is>
          <t>周期触发：消耗 2 层凝金，对敌方造成 6 点伤害；消耗 2 层凝金，对敌方造成 8 点伤害；消耗 2 层凝金，对敌方造成 10 点伤害；消耗 2 层凝金，对敌方造成 12 点伤害</t>
        </is>
      </c>
      <c r="R1022" s="9" t="inlineStr"/>
      <c r="S1022" s="9" t="inlineStr">
        <is>
          <t>青灰剑身平直素净，是山下铁匠铺最常见的护身长剑。</t>
        </is>
      </c>
      <c r="T1022" s="8" t="inlineStr">
        <is>
          <t>implement_plain_steel_straight_sword_1x3</t>
        </is>
      </c>
      <c r="U1022" s="8" t="inlineStr">
        <is>
          <t>allowed</t>
        </is>
      </c>
    </row>
    <row r="1023" ht="34" customHeight="1">
      <c r="A1023" s="8" t="n">
        <v>1022</v>
      </c>
      <c r="B1023" s="8" t="n">
        <v>419163</v>
      </c>
      <c r="C1023" s="8" t="inlineStr">
        <is>
          <t>缺口重剑</t>
        </is>
      </c>
      <c r="D1023" s="8" t="inlineStr">
        <is>
          <t>法器</t>
        </is>
      </c>
      <c r="E1023" s="8" t="inlineStr">
        <is>
          <t>implement</t>
        </is>
      </c>
      <c r="F1023" s="8" t="inlineStr">
        <is>
          <t>common</t>
        </is>
      </c>
      <c r="G1023" s="8" t="inlineStr">
        <is>
          <t>金</t>
        </is>
      </c>
      <c r="H1023" s="8" t="inlineStr">
        <is>
          <t>metal</t>
        </is>
      </c>
      <c r="I1023" s="8" t="inlineStr">
        <is>
          <t>2×3</t>
        </is>
      </c>
      <c r="J1023" s="8" t="n">
        <v>6</v>
      </c>
      <c r="K1023" s="8" t="n">
        <v>14</v>
      </c>
      <c r="L1023" s="8" t="inlineStr">
        <is>
          <t>是</t>
        </is>
      </c>
      <c r="M1023" s="9" t="inlineStr">
        <is>
          <t>bazaar；journeyChest；dynamicRandomReward</t>
        </is>
      </c>
      <c r="N1023" s="8" t="n">
        <v>1</v>
      </c>
      <c r="O1023" s="9" t="inlineStr">
        <is>
          <t>周期触发</t>
        </is>
      </c>
      <c r="P1023" s="9" t="inlineStr">
        <is>
          <t>periodicPulse</t>
        </is>
      </c>
      <c r="Q1023" s="9" t="inlineStr">
        <is>
          <t>周期触发：消耗 12 点体力，对敌方造成 12 点伤害，并移除敌方 2 层护甲；消耗 12 点体力，对敌方造成 16 点伤害，并移除敌方 4 层护甲；消耗 12 点体力，对敌方造成 20 点伤害，并移除敌方 6 层护甲；消耗 12 点体力，对敌方造成 24 点伤害，并移除敌方 8 层护甲</t>
        </is>
      </c>
      <c r="R1023" s="9" t="inlineStr"/>
      <c r="S1023" s="9" t="inlineStr">
        <is>
          <t>两处缺口没有磨平，反而能在重击时挂住并扯开甲片。</t>
        </is>
      </c>
      <c r="T1023" s="8" t="inlineStr">
        <is>
          <t>implement_nicked_heavy_sword_2x3</t>
        </is>
      </c>
      <c r="U1023" s="8" t="inlineStr">
        <is>
          <t>allowed</t>
        </is>
      </c>
    </row>
    <row r="1024" ht="34" customHeight="1">
      <c r="A1024" s="8" t="n">
        <v>1023</v>
      </c>
      <c r="B1024" s="8" t="n">
        <v>419164</v>
      </c>
      <c r="C1024" s="8" t="inlineStr">
        <is>
          <t>铁脊长剑</t>
        </is>
      </c>
      <c r="D1024" s="8" t="inlineStr">
        <is>
          <t>法器</t>
        </is>
      </c>
      <c r="E1024" s="8" t="inlineStr">
        <is>
          <t>implement</t>
        </is>
      </c>
      <c r="F1024" s="8" t="inlineStr">
        <is>
          <t>common</t>
        </is>
      </c>
      <c r="G1024" s="8" t="inlineStr">
        <is>
          <t>金</t>
        </is>
      </c>
      <c r="H1024" s="8" t="inlineStr">
        <is>
          <t>metal</t>
        </is>
      </c>
      <c r="I1024" s="8" t="inlineStr">
        <is>
          <t>1×4</t>
        </is>
      </c>
      <c r="J1024" s="8" t="n">
        <v>4</v>
      </c>
      <c r="K1024" s="8" t="n">
        <v>11</v>
      </c>
      <c r="L1024" s="8" t="inlineStr">
        <is>
          <t>是</t>
        </is>
      </c>
      <c r="M1024" s="9" t="inlineStr">
        <is>
          <t>bazaar；journeyChest；dynamicRandomReward</t>
        </is>
      </c>
      <c r="N1024" s="8" t="n">
        <v>1</v>
      </c>
      <c r="O1024" s="9" t="inlineStr">
        <is>
          <t>周期触发</t>
        </is>
      </c>
      <c r="P1024" s="9" t="inlineStr">
        <is>
          <t>periodicPulse</t>
        </is>
      </c>
      <c r="Q1024" s="9" t="inlineStr">
        <is>
          <t>周期触发：消耗 3 层凝金，对敌方造成 8 点伤害，并移除敌方 5 层坚硬；消耗 3 层凝金，对敌方造成 10 点伤害，并移除敌方 5 层坚硬；消耗 3 层凝金，对敌方造成 12 点伤害，并移除敌方 5 层坚硬；消耗 3 层凝金，对敌方造成 14 点伤害，并移除敌方 5 层坚硬</t>
        </is>
      </c>
      <c r="R1024" s="9" t="inlineStr"/>
      <c r="S1024" s="9" t="inlineStr">
        <is>
          <t>加厚铁脊让这柄素剑不易弯折，也能把冲击送进硬壳深处。</t>
        </is>
      </c>
      <c r="T1024" s="8" t="inlineStr">
        <is>
          <t>implement_ironspine_long_sword_1x4</t>
        </is>
      </c>
      <c r="U1024" s="8" t="inlineStr">
        <is>
          <t>allowed</t>
        </is>
      </c>
    </row>
    <row r="1025" ht="34" customHeight="1">
      <c r="A1025" s="8" t="n">
        <v>1024</v>
      </c>
      <c r="B1025" s="8" t="n">
        <v>419165</v>
      </c>
      <c r="C1025" s="8" t="inlineStr">
        <is>
          <t>压阵宽剑</t>
        </is>
      </c>
      <c r="D1025" s="8" t="inlineStr">
        <is>
          <t>法器</t>
        </is>
      </c>
      <c r="E1025" s="8" t="inlineStr">
        <is>
          <t>implement</t>
        </is>
      </c>
      <c r="F1025" s="8" t="inlineStr">
        <is>
          <t>common</t>
        </is>
      </c>
      <c r="G1025" s="8" t="inlineStr">
        <is>
          <t>金</t>
        </is>
      </c>
      <c r="H1025" s="8" t="inlineStr">
        <is>
          <t>metal</t>
        </is>
      </c>
      <c r="I1025" s="8" t="inlineStr">
        <is>
          <t>2×3</t>
        </is>
      </c>
      <c r="J1025" s="8" t="n">
        <v>6</v>
      </c>
      <c r="K1025" s="8" t="n">
        <v>14</v>
      </c>
      <c r="L1025" s="8" t="inlineStr">
        <is>
          <t>是</t>
        </is>
      </c>
      <c r="M1025" s="9" t="inlineStr">
        <is>
          <t>bazaar；journeyChest；dynamicRandomReward</t>
        </is>
      </c>
      <c r="N1025" s="8" t="n">
        <v>1</v>
      </c>
      <c r="O1025" s="9" t="inlineStr">
        <is>
          <t>条件触发</t>
        </is>
      </c>
      <c r="P1025" s="9" t="inlineStr">
        <is>
          <t>triggered</t>
        </is>
      </c>
      <c r="Q1025" s="9" t="inlineStr">
        <is>
          <t>条件触发：每累计使用 8 次剑类道具，对敌方造成 30 点伤害；每累计使用 7 次剑类道具，对敌方造成 36 点伤害；每累计使用 6 次剑类道具，对敌方造成 42 点伤害；每累计使用 5 次剑类道具，对敌方造成 48 点伤害</t>
        </is>
      </c>
      <c r="R1025" s="9" t="inlineStr"/>
      <c r="S1025" s="9" t="inlineStr">
        <is>
          <t>方正宽刃适合与另一柄剑并列压阵，借邻锋稳住沉重劈势。</t>
        </is>
      </c>
      <c r="T1025" s="8" t="inlineStr">
        <is>
          <t>implement_lineholding_broad_sword_2x3</t>
        </is>
      </c>
      <c r="U1025" s="8" t="inlineStr">
        <is>
          <t>allowed</t>
        </is>
      </c>
    </row>
    <row r="1026" ht="34" customHeight="1">
      <c r="A1026" s="8" t="n">
        <v>1025</v>
      </c>
      <c r="B1026" s="8" t="n">
        <v>419166</v>
      </c>
      <c r="C1026" s="8" t="inlineStr">
        <is>
          <t>破甲锥剑</t>
        </is>
      </c>
      <c r="D1026" s="8" t="inlineStr">
        <is>
          <t>法器</t>
        </is>
      </c>
      <c r="E1026" s="8" t="inlineStr">
        <is>
          <t>implement</t>
        </is>
      </c>
      <c r="F1026" s="8" t="inlineStr">
        <is>
          <t>common</t>
        </is>
      </c>
      <c r="G1026" s="8" t="inlineStr">
        <is>
          <t>金</t>
        </is>
      </c>
      <c r="H1026" s="8" t="inlineStr">
        <is>
          <t>metal</t>
        </is>
      </c>
      <c r="I1026" s="8" t="inlineStr">
        <is>
          <t>1×3</t>
        </is>
      </c>
      <c r="J1026" s="8" t="n">
        <v>3</v>
      </c>
      <c r="K1026" s="8" t="n">
        <v>9</v>
      </c>
      <c r="L1026" s="8" t="inlineStr">
        <is>
          <t>是</t>
        </is>
      </c>
      <c r="M1026" s="9" t="inlineStr">
        <is>
          <t>bazaar；journeyChest；dynamicRandomReward</t>
        </is>
      </c>
      <c r="N1026" s="8" t="n">
        <v>1</v>
      </c>
      <c r="O1026" s="9" t="inlineStr">
        <is>
          <t>周期触发</t>
        </is>
      </c>
      <c r="P1026" s="9" t="inlineStr">
        <is>
          <t>periodicPulse</t>
        </is>
      </c>
      <c r="Q1026" s="9" t="inlineStr">
        <is>
          <t>周期触发：消耗 8 点气血，移除敌方 30 层护甲；消耗 8 点气血，移除敌方 34 层护甲；消耗 8 点气血，移除敌方 38 层护甲；消耗 8 点气血，移除敌方 42 层护甲</t>
        </is>
      </c>
      <c r="R1026" s="9" t="inlineStr"/>
      <c r="S1026" s="9" t="inlineStr">
        <is>
          <t>三棱剑尖像一枚长锥，不善横斩，却很会撬松甲片。</t>
        </is>
      </c>
      <c r="T1026" s="8" t="inlineStr">
        <is>
          <t>implement_armorboring_spike_sword_1x3</t>
        </is>
      </c>
      <c r="U1026" s="8" t="inlineStr">
        <is>
          <t>allowed</t>
        </is>
      </c>
    </row>
    <row r="1027" ht="34" customHeight="1">
      <c r="A1027" s="8" t="n">
        <v>1026</v>
      </c>
      <c r="B1027" s="8" t="n">
        <v>419167</v>
      </c>
      <c r="C1027" s="8" t="inlineStr">
        <is>
          <t>双钉短剑</t>
        </is>
      </c>
      <c r="D1027" s="8" t="inlineStr">
        <is>
          <t>法器</t>
        </is>
      </c>
      <c r="E1027" s="8" t="inlineStr">
        <is>
          <t>implement</t>
        </is>
      </c>
      <c r="F1027" s="8" t="inlineStr">
        <is>
          <t>common</t>
        </is>
      </c>
      <c r="G1027" s="8" t="inlineStr">
        <is>
          <t>金</t>
        </is>
      </c>
      <c r="H1027" s="8" t="inlineStr">
        <is>
          <t>metal</t>
        </is>
      </c>
      <c r="I1027" s="8" t="inlineStr">
        <is>
          <t>1×2</t>
        </is>
      </c>
      <c r="J1027" s="8" t="n">
        <v>2</v>
      </c>
      <c r="K1027" s="8" t="n">
        <v>7</v>
      </c>
      <c r="L1027" s="8" t="inlineStr">
        <is>
          <t>是</t>
        </is>
      </c>
      <c r="M1027" s="9" t="inlineStr">
        <is>
          <t>bazaar；journeyChest；dynamicRandomReward</t>
        </is>
      </c>
      <c r="N1027" s="8" t="n">
        <v>1</v>
      </c>
      <c r="O1027" s="9" t="inlineStr">
        <is>
          <t>周期触发</t>
        </is>
      </c>
      <c r="P1027" s="9" t="inlineStr">
        <is>
          <t>periodicPulse</t>
        </is>
      </c>
      <c r="Q1027" s="9" t="inlineStr">
        <is>
          <t>周期触发：消耗 4 层凝金，对敌方造成 2 次 6 点伤害；消耗 4 层凝金，对敌方造成 2 次 7 点伤害；消耗 4 层凝金，对敌方造成 2 次 8 点伤害；消耗 4 层凝金，对敌方造成 2 次 9 点伤害</t>
        </is>
      </c>
      <c r="R1027" s="9" t="inlineStr"/>
      <c r="S1027" s="9" t="inlineStr">
        <is>
          <t>护手只用两枚铁钉固定，轻便得足以连续快速出手。</t>
        </is>
      </c>
      <c r="T1027" s="8" t="inlineStr">
        <is>
          <t>implement_tworivet_short_sword_1x2</t>
        </is>
      </c>
      <c r="U1027" s="8" t="inlineStr">
        <is>
          <t>allowed</t>
        </is>
      </c>
    </row>
    <row r="1028" ht="34" customHeight="1">
      <c r="A1028" s="8" t="n">
        <v>1027</v>
      </c>
      <c r="B1028" s="8" t="n">
        <v>419168</v>
      </c>
      <c r="C1028" s="8" t="inlineStr">
        <is>
          <t>旧炉斩剑</t>
        </is>
      </c>
      <c r="D1028" s="8" t="inlineStr">
        <is>
          <t>法器</t>
        </is>
      </c>
      <c r="E1028" s="8" t="inlineStr">
        <is>
          <t>implement</t>
        </is>
      </c>
      <c r="F1028" s="8" t="inlineStr">
        <is>
          <t>common</t>
        </is>
      </c>
      <c r="G1028" s="8" t="inlineStr">
        <is>
          <t>金</t>
        </is>
      </c>
      <c r="H1028" s="8" t="inlineStr">
        <is>
          <t>metal</t>
        </is>
      </c>
      <c r="I1028" s="8" t="inlineStr">
        <is>
          <t>2×3</t>
        </is>
      </c>
      <c r="J1028" s="8" t="n">
        <v>6</v>
      </c>
      <c r="K1028" s="8" t="n">
        <v>13</v>
      </c>
      <c r="L1028" s="8" t="inlineStr">
        <is>
          <t>是</t>
        </is>
      </c>
      <c r="M1028" s="9" t="inlineStr">
        <is>
          <t>bazaar；journeyChest；dynamicRandomReward</t>
        </is>
      </c>
      <c r="N1028" s="8" t="n">
        <v>1</v>
      </c>
      <c r="O1028" s="9" t="inlineStr">
        <is>
          <t>周期触发</t>
        </is>
      </c>
      <c r="P1028" s="9" t="inlineStr">
        <is>
          <t>periodicPulse</t>
        </is>
      </c>
      <c r="Q1028" s="9" t="inlineStr">
        <is>
          <t>周期触发：消耗 4 点体力；对敌方造成 16 点伤害；每次成功轮转后，该伤害 -4，最低降至 4；消耗 4 点体力；对敌方造成 20 点伤害；每次成功轮转后，该伤害 -4，最低降至 8；消耗 4 点体力；对敌方造成 24 点伤害；每次成功轮转后，该伤害 -4，最低降至 12；消耗 4 点体力；对敌方造成 28 点伤害；每次成功轮转后，该伤害 -4，最低降至 16</t>
        </is>
      </c>
      <c r="R1028" s="9" t="inlineStr"/>
      <c r="S1028" s="9" t="inlineStr">
        <is>
          <t>旧炉火候不匀，斩剑初势凶猛，连砍几次便会显出钝涩。</t>
        </is>
      </c>
      <c r="T1028" s="8" t="inlineStr">
        <is>
          <t>implement_oldforge_slashing_sword_2x3</t>
        </is>
      </c>
      <c r="U1028" s="8" t="inlineStr">
        <is>
          <t>allowed</t>
        </is>
      </c>
    </row>
    <row r="1029" ht="34" customHeight="1">
      <c r="A1029" s="8" t="n">
        <v>1028</v>
      </c>
      <c r="B1029" s="8" t="n">
        <v>419169</v>
      </c>
      <c r="C1029" s="8" t="inlineStr">
        <is>
          <t>素鞘快剑</t>
        </is>
      </c>
      <c r="D1029" s="8" t="inlineStr">
        <is>
          <t>法器</t>
        </is>
      </c>
      <c r="E1029" s="8" t="inlineStr">
        <is>
          <t>implement</t>
        </is>
      </c>
      <c r="F1029" s="8" t="inlineStr">
        <is>
          <t>common</t>
        </is>
      </c>
      <c r="G1029" s="8" t="inlineStr">
        <is>
          <t>金</t>
        </is>
      </c>
      <c r="H1029" s="8" t="inlineStr">
        <is>
          <t>metal</t>
        </is>
      </c>
      <c r="I1029" s="8" t="inlineStr">
        <is>
          <t>1×3</t>
        </is>
      </c>
      <c r="J1029" s="8" t="n">
        <v>3</v>
      </c>
      <c r="K1029" s="8" t="n">
        <v>10</v>
      </c>
      <c r="L1029" s="8" t="inlineStr">
        <is>
          <t>是</t>
        </is>
      </c>
      <c r="M1029" s="9" t="inlineStr">
        <is>
          <t>bazaar；journeyChest；dynamicRandomReward</t>
        </is>
      </c>
      <c r="N1029" s="8" t="n">
        <v>1</v>
      </c>
      <c r="O1029" s="9" t="inlineStr">
        <is>
          <t>周期触发</t>
        </is>
      </c>
      <c r="P1029" s="9" t="inlineStr">
        <is>
          <t>periodicPulse</t>
        </is>
      </c>
      <c r="Q1029" s="9" t="inlineStr">
        <is>
          <t>周期触发：消耗 12 层凝金，造成 5 点伤害，每击杀一只妖兽后伤害效果升级。；伤害</t>
        </is>
      </c>
      <c r="R1029" s="9" t="inlineStr"/>
      <c r="S1029" s="9" t="inlineStr">
        <is>
          <t>黑皮素鞘收紧剑身，少量凝金便能换来一记干净拔斩。</t>
        </is>
      </c>
      <c r="T1029" s="8" t="inlineStr">
        <is>
          <t>implement_plainscabbard_swift_sword_1x3</t>
        </is>
      </c>
      <c r="U1029" s="8" t="inlineStr">
        <is>
          <t>allowed</t>
        </is>
      </c>
    </row>
    <row r="1030" ht="34" customHeight="1">
      <c r="A1030" s="8" t="n">
        <v>1029</v>
      </c>
      <c r="B1030" s="8" t="n">
        <v>419170</v>
      </c>
      <c r="C1030" s="8" t="inlineStr">
        <is>
          <t>三棱破甲剑</t>
        </is>
      </c>
      <c r="D1030" s="8" t="inlineStr">
        <is>
          <t>法器</t>
        </is>
      </c>
      <c r="E1030" s="8" t="inlineStr">
        <is>
          <t>implement</t>
        </is>
      </c>
      <c r="F1030" s="8" t="inlineStr">
        <is>
          <t>common</t>
        </is>
      </c>
      <c r="G1030" s="8" t="inlineStr">
        <is>
          <t>金</t>
        </is>
      </c>
      <c r="H1030" s="8" t="inlineStr">
        <is>
          <t>metal</t>
        </is>
      </c>
      <c r="I1030" s="8" t="inlineStr">
        <is>
          <t>1×4</t>
        </is>
      </c>
      <c r="J1030" s="8" t="n">
        <v>4</v>
      </c>
      <c r="K1030" s="8" t="n">
        <v>11</v>
      </c>
      <c r="L1030" s="8" t="inlineStr">
        <is>
          <t>是</t>
        </is>
      </c>
      <c r="M1030" s="9" t="inlineStr">
        <is>
          <t>bazaar；journeyChest；dynamicRandomReward</t>
        </is>
      </c>
      <c r="N1030" s="8" t="n">
        <v>2</v>
      </c>
      <c r="O1030" s="9" t="inlineStr">
        <is>
          <t>周期触发；条件触发</t>
        </is>
      </c>
      <c r="P1030" s="9" t="inlineStr">
        <is>
          <t>periodicPulse；triggered</t>
        </is>
      </c>
      <c r="Q1030" s="9" t="inlineStr">
        <is>
          <t>周期触发：消耗 4 层凝金；移除敌方 4 层坚硬，移除成功时获得 3 层护甲；消耗 4 层凝金；移除敌方 5 层坚硬，移除成功时获得 4 层护甲；消耗 4 层凝金；移除敌方 6 层坚硬，移除成功时获得 5 层护甲；消耗 4 层凝金；移除敌方 7 层坚硬，移除成功时获得 6 层护甲 | 条件触发：移除敌方坚硬成功时获得 3 层护甲；移除敌方坚硬成功时获得 4 层护甲；移除敌方坚硬成功时获得 5 层护甲；移除敌方坚硬成功时获得 6 层护甲</t>
        </is>
      </c>
      <c r="R1030" s="9" t="inlineStr"/>
      <c r="S1030" s="9" t="inlineStr">
        <is>
          <t>三面铁棱把凝金压向尖端，刺中时能顺势崩开硬层。</t>
        </is>
      </c>
      <c r="T1030" s="8" t="inlineStr">
        <is>
          <t>implement_trihedral_armorbreaker_sword_1x4</t>
        </is>
      </c>
      <c r="U1030" s="8" t="inlineStr">
        <is>
          <t>allowed</t>
        </is>
      </c>
    </row>
    <row r="1031" ht="34" customHeight="1">
      <c r="A1031" s="8" t="n">
        <v>1030</v>
      </c>
      <c r="B1031" s="8" t="n">
        <v>419171</v>
      </c>
      <c r="C1031" s="8" t="inlineStr">
        <is>
          <t>横梁大剑</t>
        </is>
      </c>
      <c r="D1031" s="8" t="inlineStr">
        <is>
          <t>法器</t>
        </is>
      </c>
      <c r="E1031" s="8" t="inlineStr">
        <is>
          <t>implement</t>
        </is>
      </c>
      <c r="F1031" s="8" t="inlineStr">
        <is>
          <t>common</t>
        </is>
      </c>
      <c r="G1031" s="8" t="inlineStr">
        <is>
          <t>金</t>
        </is>
      </c>
      <c r="H1031" s="8" t="inlineStr">
        <is>
          <t>metal</t>
        </is>
      </c>
      <c r="I1031" s="8" t="inlineStr">
        <is>
          <t>2×4</t>
        </is>
      </c>
      <c r="J1031" s="8" t="n">
        <v>8</v>
      </c>
      <c r="K1031" s="8" t="n">
        <v>20</v>
      </c>
      <c r="L1031" s="8" t="inlineStr">
        <is>
          <t>是</t>
        </is>
      </c>
      <c r="M1031" s="9" t="inlineStr">
        <is>
          <t>bazaar；journeyChest；dynamicRandomReward</t>
        </is>
      </c>
      <c r="N1031" s="8" t="n">
        <v>1</v>
      </c>
      <c r="O1031" s="9" t="inlineStr">
        <is>
          <t>周期触发</t>
        </is>
      </c>
      <c r="P1031" s="9" t="inlineStr">
        <is>
          <t>periodicPulse</t>
        </is>
      </c>
      <c r="Q1031" s="9" t="inlineStr">
        <is>
          <t>周期触发：消耗 8 点体力，对敌方造成 26 点伤害；消耗 8 点体力，对敌方造成 30 点伤害；消耗 8 点体力，对敌方造成 34 点伤害；消耗 8 点体力，对敌方造成 38 点伤害</t>
        </is>
      </c>
      <c r="R1031" s="9" t="inlineStr"/>
      <c r="S1031" s="9" t="inlineStr">
        <is>
          <t>矿寨横梁般的粗铁巨剑，招式不多，只凭重量压垮对手。</t>
        </is>
      </c>
      <c r="T1031" s="8" t="inlineStr">
        <is>
          <t>implement_crossbeam_greatsword_2x4</t>
        </is>
      </c>
      <c r="U1031" s="8" t="inlineStr">
        <is>
          <t>allowed</t>
        </is>
      </c>
    </row>
    <row r="1032" ht="34" customHeight="1">
      <c r="A1032" s="8" t="n">
        <v>1031</v>
      </c>
      <c r="B1032" s="8" t="n">
        <v>419172</v>
      </c>
      <c r="C1032" s="8" t="inlineStr">
        <is>
          <t>矿锤脊剑</t>
        </is>
      </c>
      <c r="D1032" s="8" t="inlineStr">
        <is>
          <t>法器</t>
        </is>
      </c>
      <c r="E1032" s="8" t="inlineStr">
        <is>
          <t>implement</t>
        </is>
      </c>
      <c r="F1032" s="8" t="inlineStr">
        <is>
          <t>common</t>
        </is>
      </c>
      <c r="G1032" s="8" t="inlineStr">
        <is>
          <t>金</t>
        </is>
      </c>
      <c r="H1032" s="8" t="inlineStr">
        <is>
          <t>metal</t>
        </is>
      </c>
      <c r="I1032" s="8" t="inlineStr">
        <is>
          <t>2×3</t>
        </is>
      </c>
      <c r="J1032" s="8" t="n">
        <v>6</v>
      </c>
      <c r="K1032" s="8" t="n">
        <v>15</v>
      </c>
      <c r="L1032" s="8" t="inlineStr">
        <is>
          <t>是</t>
        </is>
      </c>
      <c r="M1032" s="9" t="inlineStr">
        <is>
          <t>bazaar；journeyChest；dynamicRandomReward</t>
        </is>
      </c>
      <c r="N1032" s="8" t="n">
        <v>1</v>
      </c>
      <c r="O1032" s="9" t="inlineStr">
        <is>
          <t>周期触发</t>
        </is>
      </c>
      <c r="P1032" s="9" t="inlineStr">
        <is>
          <t>periodicPulse</t>
        </is>
      </c>
      <c r="Q1032" s="9" t="inlineStr">
        <is>
          <t>周期触发：消耗 5 点体力，获得 2 层护甲，对敌方造成 14 点伤害；消耗 5 点体力，获得 2 层护甲，对敌方造成 18 点伤害；消耗 5 点体力，获得 2 层护甲，对敌方造成 22 点伤害；消耗 5 点体力，获得 2 层护甲，对敌方造成 26 点伤害</t>
        </is>
      </c>
      <c r="R1032" s="9" t="inlineStr"/>
      <c r="S1032" s="9" t="inlineStr">
        <is>
          <t>方梁剑脊像矿锤一样结实，挥斩时也能替持剑者挡住碎击。</t>
        </is>
      </c>
      <c r="T1032" s="8" t="inlineStr">
        <is>
          <t>implement_mininghammer_spine_sword_2x3</t>
        </is>
      </c>
      <c r="U1032" s="8" t="inlineStr">
        <is>
          <t>allowed</t>
        </is>
      </c>
    </row>
    <row r="1033" ht="34" customHeight="1">
      <c r="A1033" s="8" t="n">
        <v>1032</v>
      </c>
      <c r="B1033" s="8" t="n">
        <v>419173</v>
      </c>
      <c r="C1033" s="8" t="inlineStr">
        <is>
          <t>灰锋长剑</t>
        </is>
      </c>
      <c r="D1033" s="8" t="inlineStr">
        <is>
          <t>法器</t>
        </is>
      </c>
      <c r="E1033" s="8" t="inlineStr">
        <is>
          <t>implement</t>
        </is>
      </c>
      <c r="F1033" s="8" t="inlineStr">
        <is>
          <t>common</t>
        </is>
      </c>
      <c r="G1033" s="8" t="inlineStr">
        <is>
          <t>金</t>
        </is>
      </c>
      <c r="H1033" s="8" t="inlineStr">
        <is>
          <t>metal</t>
        </is>
      </c>
      <c r="I1033" s="8" t="inlineStr">
        <is>
          <t>1×4</t>
        </is>
      </c>
      <c r="J1033" s="8" t="n">
        <v>4</v>
      </c>
      <c r="K1033" s="8" t="n">
        <v>10</v>
      </c>
      <c r="L1033" s="8" t="inlineStr">
        <is>
          <t>是</t>
        </is>
      </c>
      <c r="M1033" s="9" t="inlineStr">
        <is>
          <t>bazaar；journeyChest；dynamicRandomReward</t>
        </is>
      </c>
      <c r="N1033" s="8" t="n">
        <v>1</v>
      </c>
      <c r="O1033" s="9" t="inlineStr">
        <is>
          <t>周期触发</t>
        </is>
      </c>
      <c r="P1033" s="9" t="inlineStr">
        <is>
          <t>periodicPulse</t>
        </is>
      </c>
      <c r="Q1033" s="9" t="inlineStr">
        <is>
          <t>周期触发：左侧相邻剑类道具在本局内造成的伤害 +4，灵力：5</t>
        </is>
      </c>
      <c r="R1033" s="9" t="inlineStr"/>
      <c r="S1033" s="9" t="inlineStr">
        <is>
          <t>灰暗刃线不起眼，却能为左侧并列的剑器稳稳引正锋路。</t>
        </is>
      </c>
      <c r="T1033" s="8" t="inlineStr">
        <is>
          <t>implement_grayedge_long_sword_1x4</t>
        </is>
      </c>
      <c r="U1033" s="8" t="inlineStr">
        <is>
          <t>allowed</t>
        </is>
      </c>
    </row>
    <row r="1034" ht="34" customHeight="1">
      <c r="A1034" s="8" t="n">
        <v>1033</v>
      </c>
      <c r="B1034" s="8" t="n">
        <v>419174</v>
      </c>
      <c r="C1034" s="8" t="inlineStr">
        <is>
          <t>练手铁剑</t>
        </is>
      </c>
      <c r="D1034" s="8" t="inlineStr">
        <is>
          <t>法器</t>
        </is>
      </c>
      <c r="E1034" s="8" t="inlineStr">
        <is>
          <t>implement</t>
        </is>
      </c>
      <c r="F1034" s="8" t="inlineStr">
        <is>
          <t>common</t>
        </is>
      </c>
      <c r="G1034" s="8" t="inlineStr">
        <is>
          <t>金</t>
        </is>
      </c>
      <c r="H1034" s="8" t="inlineStr">
        <is>
          <t>metal</t>
        </is>
      </c>
      <c r="I1034" s="8" t="inlineStr">
        <is>
          <t>1×3</t>
        </is>
      </c>
      <c r="J1034" s="8" t="n">
        <v>3</v>
      </c>
      <c r="K1034" s="8" t="n">
        <v>8</v>
      </c>
      <c r="L1034" s="8" t="inlineStr">
        <is>
          <t>是</t>
        </is>
      </c>
      <c r="M1034" s="9" t="inlineStr">
        <is>
          <t>bazaar；journeyChest；dynamicRandomReward</t>
        </is>
      </c>
      <c r="N1034" s="8" t="n">
        <v>1</v>
      </c>
      <c r="O1034" s="9" t="inlineStr">
        <is>
          <t>周期触发</t>
        </is>
      </c>
      <c r="P1034" s="9" t="inlineStr">
        <is>
          <t>periodicPulse</t>
        </is>
      </c>
      <c r="Q1034" s="9" t="inlineStr">
        <is>
          <t>周期触发：消耗 2 点体力，对敌方造成 7 点伤害</t>
        </is>
      </c>
      <c r="R1034" s="9" t="inlineStr"/>
      <c r="S1034" s="9" t="inlineStr">
        <is>
          <t>刃面尚有学徒留下的锤痕，简单、轻便，也足够可靠。</t>
        </is>
      </c>
      <c r="T1034" s="8" t="inlineStr">
        <is>
          <t>implement_practice_iron_sword_1x3</t>
        </is>
      </c>
      <c r="U1034" s="8" t="inlineStr">
        <is>
          <t>allowed</t>
        </is>
      </c>
    </row>
    <row r="1035" ht="34" customHeight="1">
      <c r="A1035" s="8" t="n">
        <v>1034</v>
      </c>
      <c r="B1035" s="8" t="n">
        <v>419175</v>
      </c>
      <c r="C1035" s="8" t="inlineStr">
        <is>
          <t>粗皮剑鞘</t>
        </is>
      </c>
      <c r="D1035" s="8" t="inlineStr">
        <is>
          <t>法器</t>
        </is>
      </c>
      <c r="E1035" s="8" t="inlineStr">
        <is>
          <t>implement</t>
        </is>
      </c>
      <c r="F1035" s="8" t="inlineStr">
        <is>
          <t>common</t>
        </is>
      </c>
      <c r="G1035" s="8" t="inlineStr">
        <is>
          <t>金</t>
        </is>
      </c>
      <c r="H1035" s="8" t="inlineStr">
        <is>
          <t>metal</t>
        </is>
      </c>
      <c r="I1035" s="8" t="inlineStr">
        <is>
          <t>1×3</t>
        </is>
      </c>
      <c r="J1035" s="8" t="n">
        <v>3</v>
      </c>
      <c r="K1035" s="8" t="n">
        <v>8</v>
      </c>
      <c r="L1035" s="8" t="inlineStr">
        <is>
          <t>是</t>
        </is>
      </c>
      <c r="M1035" s="9" t="inlineStr">
        <is>
          <t>bazaar；journeyChest；dynamicRandomReward</t>
        </is>
      </c>
      <c r="N1035" s="8" t="n">
        <v>1</v>
      </c>
      <c r="O1035" s="9" t="inlineStr">
        <is>
          <t>周期触发</t>
        </is>
      </c>
      <c r="P1035" s="9" t="inlineStr">
        <is>
          <t>periodicPulse</t>
        </is>
      </c>
      <c r="Q1035" s="9" t="inlineStr">
        <is>
          <t>周期触发：左右相邻剑类道具在本局内造成的伤害 +3，灵力：5；左右相邻剑类道具在本局内造成的伤害 +4，灵力：5；左右相邻剑类道具在本局内造成的伤害 +5，灵力：5；左右相邻剑类道具在本局内造成的伤害 +6，灵力：5</t>
        </is>
      </c>
      <c r="R1035" s="9" t="inlineStr">
        <is>
          <t>common_sword_scabbard</t>
        </is>
      </c>
      <c r="S1035" s="9" t="inlineStr">
        <is>
          <t>木芯外裹粗皮，虽不华美，却能稳住左侧长剑的拔斩角度。</t>
        </is>
      </c>
      <c r="T1035" s="8" t="inlineStr">
        <is>
          <t>implement_roughleather_scabbard_1x3</t>
        </is>
      </c>
      <c r="U1035" s="8" t="inlineStr">
        <is>
          <t>allowed</t>
        </is>
      </c>
    </row>
    <row r="1036" ht="34" customHeight="1">
      <c r="A1036" s="8" t="n">
        <v>1035</v>
      </c>
      <c r="B1036" s="8" t="n">
        <v>419176</v>
      </c>
      <c r="C1036" s="8" t="inlineStr">
        <is>
          <t>木臂铁弓</t>
        </is>
      </c>
      <c r="D1036" s="8" t="inlineStr">
        <is>
          <t>法器</t>
        </is>
      </c>
      <c r="E1036" s="8" t="inlineStr">
        <is>
          <t>implement</t>
        </is>
      </c>
      <c r="F1036" s="8" t="inlineStr">
        <is>
          <t>common</t>
        </is>
      </c>
      <c r="G1036" s="8" t="inlineStr">
        <is>
          <t>金</t>
        </is>
      </c>
      <c r="H1036" s="8" t="inlineStr">
        <is>
          <t>metal</t>
        </is>
      </c>
      <c r="I1036" s="8" t="inlineStr">
        <is>
          <t>2×3</t>
        </is>
      </c>
      <c r="J1036" s="8" t="n">
        <v>6</v>
      </c>
      <c r="K1036" s="8" t="n">
        <v>14</v>
      </c>
      <c r="L1036" s="8" t="inlineStr">
        <is>
          <t>是</t>
        </is>
      </c>
      <c r="M1036" s="9" t="inlineStr">
        <is>
          <t>bazaar；journeyChest；dynamicRandomReward</t>
        </is>
      </c>
      <c r="N1036" s="8" t="n">
        <v>1</v>
      </c>
      <c r="O1036" s="9" t="inlineStr">
        <is>
          <t>周期触发</t>
        </is>
      </c>
      <c r="P1036" s="9" t="inlineStr">
        <is>
          <t>periodicPulse</t>
        </is>
      </c>
      <c r="Q1036" s="9" t="inlineStr">
        <is>
          <t>周期触发：消耗 5 层凝金，对敌方造成 3 次 2 点伤害</t>
        </is>
      </c>
      <c r="R1036" s="9" t="inlineStr">
        <is>
          <t>common_metal_bow_pair</t>
        </is>
      </c>
      <c r="S1036" s="9" t="inlineStr">
        <is>
          <t>木弓外钉铁条，射程不远，却比普通猎弓更能承受重箭。</t>
        </is>
      </c>
      <c r="T1036" s="8" t="inlineStr">
        <is>
          <t>implement_woodlimb_iron_bow_2x3</t>
        </is>
      </c>
      <c r="U1036" s="8" t="inlineStr">
        <is>
          <t>allowed</t>
        </is>
      </c>
    </row>
    <row r="1037" ht="34" customHeight="1">
      <c r="A1037" s="8" t="n">
        <v>1036</v>
      </c>
      <c r="B1037" s="8" t="n">
        <v>419177</v>
      </c>
      <c r="C1037" s="8" t="inlineStr">
        <is>
          <t>六矢竹匣</t>
        </is>
      </c>
      <c r="D1037" s="8" t="inlineStr">
        <is>
          <t>法器</t>
        </is>
      </c>
      <c r="E1037" s="8" t="inlineStr">
        <is>
          <t>implement</t>
        </is>
      </c>
      <c r="F1037" s="8" t="inlineStr">
        <is>
          <t>common</t>
        </is>
      </c>
      <c r="G1037" s="8" t="inlineStr">
        <is>
          <t>金</t>
        </is>
      </c>
      <c r="H1037" s="8" t="inlineStr">
        <is>
          <t>metal</t>
        </is>
      </c>
      <c r="I1037" s="8" t="inlineStr">
        <is>
          <t>1×3</t>
        </is>
      </c>
      <c r="J1037" s="8" t="n">
        <v>3</v>
      </c>
      <c r="K1037" s="8" t="n">
        <v>8</v>
      </c>
      <c r="L1037" s="8" t="inlineStr">
        <is>
          <t>是</t>
        </is>
      </c>
      <c r="M1037" s="9" t="inlineStr">
        <is>
          <t>bazaar；journeyChest；dynamicRandomReward</t>
        </is>
      </c>
      <c r="N1037" s="8" t="n">
        <v>1</v>
      </c>
      <c r="O1037" s="9" t="inlineStr">
        <is>
          <t>被动效果</t>
        </is>
      </c>
      <c r="P1037" s="9" t="inlineStr">
        <is>
          <t>passive</t>
        </is>
      </c>
      <c r="Q1037" s="9" t="inlineStr">
        <is>
          <t>被动效果：左侧相邻弓类道具造成的伤害 +1；左侧相邻弓类道具造成的伤害 +2；左侧相邻弓类道具造成的伤害 +3；左侧相邻弓类道具造成的伤害 +4</t>
        </is>
      </c>
      <c r="R1037" s="9" t="inlineStr">
        <is>
          <t>common_metal_arrow_case</t>
        </is>
      </c>
      <c r="S1037" s="9" t="inlineStr">
        <is>
          <t>六支铁箭分槽插在竹匣里，贴住弓身便能省去寻箭的工夫。</t>
        </is>
      </c>
      <c r="T1037" s="8" t="inlineStr">
        <is>
          <t>implement_sixarrow_bamboo_case_1x3</t>
        </is>
      </c>
      <c r="U1037" s="8" t="inlineStr">
        <is>
          <t>allowed</t>
        </is>
      </c>
    </row>
    <row r="1038" ht="34" customHeight="1">
      <c r="A1038" s="8" t="n">
        <v>1037</v>
      </c>
      <c r="B1038" s="8" t="n">
        <v>419178</v>
      </c>
      <c r="C1038" s="8" t="inlineStr">
        <is>
          <t>铁柄短匕</t>
        </is>
      </c>
      <c r="D1038" s="8" t="inlineStr">
        <is>
          <t>法器</t>
        </is>
      </c>
      <c r="E1038" s="8" t="inlineStr">
        <is>
          <t>implement</t>
        </is>
      </c>
      <c r="F1038" s="8" t="inlineStr">
        <is>
          <t>common</t>
        </is>
      </c>
      <c r="G1038" s="8" t="inlineStr">
        <is>
          <t>金</t>
        </is>
      </c>
      <c r="H1038" s="8" t="inlineStr">
        <is>
          <t>metal</t>
        </is>
      </c>
      <c r="I1038" s="8" t="inlineStr">
        <is>
          <t>1×2</t>
        </is>
      </c>
      <c r="J1038" s="8" t="n">
        <v>2</v>
      </c>
      <c r="K1038" s="8" t="n">
        <v>7</v>
      </c>
      <c r="L1038" s="8" t="inlineStr">
        <is>
          <t>是</t>
        </is>
      </c>
      <c r="M1038" s="9" t="inlineStr">
        <is>
          <t>bazaar；journeyChest；dynamicRandomReward</t>
        </is>
      </c>
      <c r="N1038" s="8" t="n">
        <v>2</v>
      </c>
      <c r="O1038" s="9" t="inlineStr">
        <is>
          <t>条件触发</t>
        </is>
      </c>
      <c r="P1038" s="9" t="inlineStr">
        <is>
          <t>triggered</t>
        </is>
      </c>
      <c r="Q1038" s="9" t="inlineStr">
        <is>
          <t>条件触发：使用剑类道具时，消耗 2 点体力， | 条件触发：使用剑类道具时，对敌方造成 2 点伤害；使用剑类道具时，对敌方造成 3 点伤害；使用剑类道具时，对敌方造成 4 点伤害；使用剑类道具时，对敌方造成 5 点伤害</t>
        </is>
      </c>
      <c r="R1038" s="9" t="inlineStr"/>
      <c r="S1038" s="9" t="inlineStr">
        <is>
          <t>一体铁柄让短匕十分耐用，起手快，连刺后却容易失去准头。</t>
        </is>
      </c>
      <c r="T1038" s="8" t="inlineStr">
        <is>
          <t>implement_ironhandled_dagger_1x2</t>
        </is>
      </c>
      <c r="U1038" s="8" t="inlineStr">
        <is>
          <t>allowed</t>
        </is>
      </c>
    </row>
    <row r="1039" ht="34" customHeight="1">
      <c r="A1039" s="8" t="n">
        <v>1038</v>
      </c>
      <c r="B1039" s="8" t="n">
        <v>419179</v>
      </c>
      <c r="C1039" s="8" t="inlineStr">
        <is>
          <t>铆面方盾</t>
        </is>
      </c>
      <c r="D1039" s="8" t="inlineStr">
        <is>
          <t>法器</t>
        </is>
      </c>
      <c r="E1039" s="8" t="inlineStr">
        <is>
          <t>implement</t>
        </is>
      </c>
      <c r="F1039" s="8" t="inlineStr">
        <is>
          <t>common</t>
        </is>
      </c>
      <c r="G1039" s="8" t="inlineStr">
        <is>
          <t>金</t>
        </is>
      </c>
      <c r="H1039" s="8" t="inlineStr">
        <is>
          <t>metal</t>
        </is>
      </c>
      <c r="I1039" s="8" t="inlineStr">
        <is>
          <t>2×2</t>
        </is>
      </c>
      <c r="J1039" s="8" t="n">
        <v>4</v>
      </c>
      <c r="K1039" s="8" t="n">
        <v>10</v>
      </c>
      <c r="L1039" s="8" t="inlineStr">
        <is>
          <t>是</t>
        </is>
      </c>
      <c r="M1039" s="9" t="inlineStr">
        <is>
          <t>bazaar；journeyChest；dynamicRandomReward</t>
        </is>
      </c>
      <c r="N1039" s="8" t="n">
        <v>2</v>
      </c>
      <c r="O1039" s="9" t="inlineStr">
        <is>
          <t>条件触发</t>
        </is>
      </c>
      <c r="P1039" s="9" t="inlineStr">
        <is>
          <t>triggered</t>
        </is>
      </c>
      <c r="Q1039" s="9" t="inlineStr">
        <is>
          <t>条件触发：使用剑类道具时，获得 5 层护甲；使用剑类道具时，获得 7 层护甲；使用剑类道具时，获得 9 层护甲；使用剑类道具时，获得 11 层护甲 | 条件触发：每当剑类道具造成实质伤害，获得 2 层凝金</t>
        </is>
      </c>
      <c r="R1039" s="9" t="inlineStr"/>
      <c r="S1039" s="9" t="inlineStr">
        <is>
          <t>木盾外覆一层薄铁皮，几枚粗铆钉足以挡住寻常劈砍。</t>
        </is>
      </c>
      <c r="T1039" s="8" t="inlineStr">
        <is>
          <t>implement_riveted_square_shield_2x2</t>
        </is>
      </c>
      <c r="U1039" s="8" t="inlineStr">
        <is>
          <t>allowed</t>
        </is>
      </c>
    </row>
    <row r="1040" ht="34" customHeight="1">
      <c r="A1040" s="8" t="n">
        <v>1039</v>
      </c>
      <c r="B1040" s="8" t="n">
        <v>419180</v>
      </c>
      <c r="C1040" s="8" t="inlineStr">
        <is>
          <t>旧军塔盾</t>
        </is>
      </c>
      <c r="D1040" s="8" t="inlineStr">
        <is>
          <t>法器</t>
        </is>
      </c>
      <c r="E1040" s="8" t="inlineStr">
        <is>
          <t>implement</t>
        </is>
      </c>
      <c r="F1040" s="8" t="inlineStr">
        <is>
          <t>common</t>
        </is>
      </c>
      <c r="G1040" s="8" t="inlineStr">
        <is>
          <t>金</t>
        </is>
      </c>
      <c r="H1040" s="8" t="inlineStr">
        <is>
          <t>metal</t>
        </is>
      </c>
      <c r="I1040" s="8" t="inlineStr">
        <is>
          <t>2×3</t>
        </is>
      </c>
      <c r="J1040" s="8" t="n">
        <v>6</v>
      </c>
      <c r="K1040" s="8" t="n">
        <v>14</v>
      </c>
      <c r="L1040" s="8" t="inlineStr">
        <is>
          <t>是</t>
        </is>
      </c>
      <c r="M1040" s="9" t="inlineStr">
        <is>
          <t>bazaar；journeyChest；dynamicRandomReward</t>
        </is>
      </c>
      <c r="N1040" s="8" t="n">
        <v>2</v>
      </c>
      <c r="O1040" s="9" t="inlineStr">
        <is>
          <t>周期触发</t>
        </is>
      </c>
      <c r="P1040" s="9" t="inlineStr">
        <is>
          <t>periodicPulse</t>
        </is>
      </c>
      <c r="Q1040" s="9" t="inlineStr">
        <is>
          <t>周期触发：开局时，获得 5 层护甲；开局时，获得 7 层护甲；开局时，获得 9 层护甲；开局时，获得 11 层护甲 | 周期触发：获得 15 层护甲；获得 20 层护甲；获得 25 层护甲；获得 30 层护甲</t>
        </is>
      </c>
      <c r="R1040" s="9" t="inlineStr"/>
      <c r="S1040" s="9" t="inlineStr">
        <is>
          <t>旧军留下的高盾伤痕累累，木芯和铁皮仍能一起承受重击。</t>
        </is>
      </c>
      <c r="T1040" s="8" t="inlineStr">
        <is>
          <t>implement_oldarmy_tower_shield_2x3</t>
        </is>
      </c>
      <c r="U1040" s="8" t="inlineStr">
        <is>
          <t>allowed</t>
        </is>
      </c>
    </row>
    <row r="1041" ht="34" customHeight="1">
      <c r="A1041" s="8" t="n">
        <v>1040</v>
      </c>
      <c r="B1041" s="8" t="n">
        <v>500028</v>
      </c>
      <c r="C1041" s="8" t="inlineStr">
        <is>
          <t>紫貂灵尾皮</t>
        </is>
      </c>
      <c r="D1041" s="8" t="inlineStr">
        <is>
          <t>材料</t>
        </is>
      </c>
      <c r="E1041" s="8" t="inlineStr">
        <is>
          <t>material</t>
        </is>
      </c>
      <c r="F1041" s="8" t="inlineStr">
        <is>
          <t>common</t>
        </is>
      </c>
      <c r="G1041" s="8" t="inlineStr">
        <is>
          <t>无</t>
        </is>
      </c>
      <c r="H1041" s="8" t="inlineStr">
        <is>
          <t>none</t>
        </is>
      </c>
      <c r="I1041" s="8" t="inlineStr">
        <is>
          <t>1×1</t>
        </is>
      </c>
      <c r="J1041" s="8" t="n">
        <v>1</v>
      </c>
      <c r="K1041" s="8" t="n">
        <v>3</v>
      </c>
      <c r="L1041" s="8" t="inlineStr">
        <is>
          <t>是</t>
        </is>
      </c>
      <c r="M1041" s="9" t="inlineStr">
        <is>
          <t>beastDrop</t>
        </is>
      </c>
      <c r="N1041" s="8" t="n">
        <v>1</v>
      </c>
      <c r="O1041" s="9" t="inlineStr">
        <is>
          <t>周期触发</t>
        </is>
      </c>
      <c r="P1041" s="9" t="inlineStr">
        <is>
          <t>periodicPulse</t>
        </is>
      </c>
      <c r="Q1041" s="9" t="inlineStr">
        <is>
          <t>周期触发：轮转时，恢复自身 2 点气血</t>
        </is>
      </c>
      <c r="R1041" s="9" t="inlineStr"/>
      <c r="S1041" s="9" t="inlineStr">
        <is>
          <t>一条细长尾皮卷成半环，绒毛短密，内侧皮革切边清楚，仍保留淡淡灵韵。</t>
        </is>
      </c>
      <c r="T1041" s="8" t="inlineStr">
        <is>
          <t>material_batch16_021_1x1</t>
        </is>
      </c>
      <c r="U1041" s="8" t="inlineStr">
        <is>
          <t>allowed</t>
        </is>
      </c>
    </row>
    <row r="1042" ht="34" customHeight="1">
      <c r="A1042" s="8" t="n">
        <v>1041</v>
      </c>
      <c r="B1042" s="8" t="n">
        <v>500029</v>
      </c>
      <c r="C1042" s="8" t="inlineStr">
        <is>
          <t>紫鸦喙尖</t>
        </is>
      </c>
      <c r="D1042" s="8" t="inlineStr">
        <is>
          <t>材料</t>
        </is>
      </c>
      <c r="E1042" s="8" t="inlineStr">
        <is>
          <t>material</t>
        </is>
      </c>
      <c r="F1042" s="8" t="inlineStr">
        <is>
          <t>common</t>
        </is>
      </c>
      <c r="G1042" s="8" t="inlineStr">
        <is>
          <t>金</t>
        </is>
      </c>
      <c r="H1042" s="8" t="inlineStr">
        <is>
          <t>metal</t>
        </is>
      </c>
      <c r="I1042" s="8" t="inlineStr">
        <is>
          <t>1×1</t>
        </is>
      </c>
      <c r="J1042" s="8" t="n">
        <v>1</v>
      </c>
      <c r="K1042" s="8" t="n">
        <v>3</v>
      </c>
      <c r="L1042" s="8" t="inlineStr">
        <is>
          <t>是</t>
        </is>
      </c>
      <c r="M1042" s="9" t="inlineStr">
        <is>
          <t>beastDrop</t>
        </is>
      </c>
      <c r="N1042" s="8" t="n">
        <v>1</v>
      </c>
      <c r="O1042" s="9" t="inlineStr">
        <is>
          <t>周期触发</t>
        </is>
      </c>
      <c r="P1042" s="9" t="inlineStr">
        <is>
          <t>periodicPulse</t>
        </is>
      </c>
      <c r="Q1042" s="9" t="inlineStr">
        <is>
          <t>周期触发：轮转时，对敌人造成 2 点伤害</t>
        </is>
      </c>
      <c r="R1042" s="9" t="inlineStr"/>
      <c r="S1042" s="9" t="inlineStr">
        <is>
          <t>数枚紫黑喙尖错位收拢，喙根断面厚实，弯尖带着坚硬角质纹。</t>
        </is>
      </c>
      <c r="T1042" s="8" t="inlineStr">
        <is>
          <t>material_batch16_022_1x1</t>
        </is>
      </c>
      <c r="U1042" s="8" t="inlineStr">
        <is>
          <t>allowed</t>
        </is>
      </c>
    </row>
    <row r="1043" ht="34" customHeight="1">
      <c r="A1043" s="8" t="n">
        <v>1042</v>
      </c>
      <c r="B1043" s="8" t="n">
        <v>500030</v>
      </c>
      <c r="C1043" s="8" t="inlineStr">
        <is>
          <t>苍狐耳绒片</t>
        </is>
      </c>
      <c r="D1043" s="8" t="inlineStr">
        <is>
          <t>材料</t>
        </is>
      </c>
      <c r="E1043" s="8" t="inlineStr">
        <is>
          <t>material</t>
        </is>
      </c>
      <c r="F1043" s="8" t="inlineStr">
        <is>
          <t>common</t>
        </is>
      </c>
      <c r="G1043" s="8" t="inlineStr">
        <is>
          <t>木</t>
        </is>
      </c>
      <c r="H1043" s="8" t="inlineStr">
        <is>
          <t>wood</t>
        </is>
      </c>
      <c r="I1043" s="8" t="inlineStr">
        <is>
          <t>1×1</t>
        </is>
      </c>
      <c r="J1043" s="8" t="n">
        <v>1</v>
      </c>
      <c r="K1043" s="8" t="n">
        <v>3</v>
      </c>
      <c r="L1043" s="8" t="inlineStr">
        <is>
          <t>是</t>
        </is>
      </c>
      <c r="M1043" s="9" t="inlineStr">
        <is>
          <t>beastDrop</t>
        </is>
      </c>
      <c r="N1043" s="8" t="n">
        <v>1</v>
      </c>
      <c r="O1043" s="9" t="inlineStr">
        <is>
          <t>周期触发</t>
        </is>
      </c>
      <c r="P1043" s="9" t="inlineStr">
        <is>
          <t>periodicPulse</t>
        </is>
      </c>
      <c r="Q1043" s="9" t="inlineStr">
        <is>
          <t>周期触发：轮转时，恢复自身 3 点气血</t>
        </is>
      </c>
      <c r="R1043" s="9" t="inlineStr"/>
      <c r="S1043" s="9" t="inlineStr">
        <is>
          <t>狐耳形皮毛裁片边缘微卷，外侧短绒如雾，内侧软皮纹理细密。</t>
        </is>
      </c>
      <c r="T1043" s="8" t="inlineStr">
        <is>
          <t>material_batch16_023_1x1</t>
        </is>
      </c>
      <c r="U1043" s="8" t="inlineStr">
        <is>
          <t>allowed</t>
        </is>
      </c>
    </row>
    <row r="1044" ht="34" customHeight="1">
      <c r="A1044" s="8" t="n">
        <v>1043</v>
      </c>
      <c r="B1044" s="8" t="n">
        <v>500031</v>
      </c>
      <c r="C1044" s="8" t="inlineStr">
        <is>
          <t>苍狼脊鬃刺</t>
        </is>
      </c>
      <c r="D1044" s="8" t="inlineStr">
        <is>
          <t>材料</t>
        </is>
      </c>
      <c r="E1044" s="8" t="inlineStr">
        <is>
          <t>material</t>
        </is>
      </c>
      <c r="F1044" s="8" t="inlineStr">
        <is>
          <t>common</t>
        </is>
      </c>
      <c r="G1044" s="8" t="inlineStr">
        <is>
          <t>金</t>
        </is>
      </c>
      <c r="H1044" s="8" t="inlineStr">
        <is>
          <t>metal</t>
        </is>
      </c>
      <c r="I1044" s="8" t="inlineStr">
        <is>
          <t>1×1</t>
        </is>
      </c>
      <c r="J1044" s="8" t="n">
        <v>1</v>
      </c>
      <c r="K1044" s="8" t="n">
        <v>4</v>
      </c>
      <c r="L1044" s="8" t="inlineStr">
        <is>
          <t>是</t>
        </is>
      </c>
      <c r="M1044" s="9" t="inlineStr">
        <is>
          <t>beastDrop</t>
        </is>
      </c>
      <c r="N1044" s="8" t="n">
        <v>1</v>
      </c>
      <c r="O1044" s="9" t="inlineStr">
        <is>
          <t>周期触发</t>
        </is>
      </c>
      <c r="P1044" s="9" t="inlineStr">
        <is>
          <t>periodicPulse</t>
        </is>
      </c>
      <c r="Q1044" s="9" t="inlineStr">
        <is>
          <t>周期触发：轮转时，消耗 1 点体力，对敌人造成 3 点伤害</t>
        </is>
      </c>
      <c r="R1044" s="9" t="inlineStr"/>
      <c r="S1044" s="9" t="inlineStr">
        <is>
          <t>一列短脊刺连着窄皮条，刺根厚实，尖端同向倾斜，像狼背上剥下的鬃脊。</t>
        </is>
      </c>
      <c r="T1044" s="8" t="inlineStr">
        <is>
          <t>material_batch16_024_1x1</t>
        </is>
      </c>
      <c r="U1044" s="8" t="inlineStr">
        <is>
          <t>allowed</t>
        </is>
      </c>
    </row>
    <row r="1045" ht="34" customHeight="1">
      <c r="A1045" s="8" t="n">
        <v>1044</v>
      </c>
      <c r="B1045" s="8" t="n">
        <v>500032</v>
      </c>
      <c r="C1045" s="8" t="inlineStr">
        <is>
          <t>蓝鳞海蛇脊鳍</t>
        </is>
      </c>
      <c r="D1045" s="8" t="inlineStr">
        <is>
          <t>材料</t>
        </is>
      </c>
      <c r="E1045" s="8" t="inlineStr">
        <is>
          <t>material</t>
        </is>
      </c>
      <c r="F1045" s="8" t="inlineStr">
        <is>
          <t>common</t>
        </is>
      </c>
      <c r="G1045" s="8" t="inlineStr">
        <is>
          <t>水</t>
        </is>
      </c>
      <c r="H1045" s="8" t="inlineStr">
        <is>
          <t>water</t>
        </is>
      </c>
      <c r="I1045" s="8" t="inlineStr">
        <is>
          <t>1×1</t>
        </is>
      </c>
      <c r="J1045" s="8" t="n">
        <v>1</v>
      </c>
      <c r="K1045" s="8" t="n">
        <v>4</v>
      </c>
      <c r="L1045" s="8" t="inlineStr">
        <is>
          <t>是</t>
        </is>
      </c>
      <c r="M1045" s="9" t="inlineStr">
        <is>
          <t>beastDrop</t>
        </is>
      </c>
      <c r="N1045" s="8" t="n">
        <v>1</v>
      </c>
      <c r="O1045" s="9" t="inlineStr">
        <is>
          <t>周期触发</t>
        </is>
      </c>
      <c r="P1045" s="9" t="inlineStr">
        <is>
          <t>periodicPulse</t>
        </is>
      </c>
      <c r="Q1045" s="9" t="inlineStr">
        <is>
          <t>周期触发：轮转时，对敌人造成 4 点伤害</t>
        </is>
      </c>
      <c r="R1045" s="9" t="inlineStr"/>
      <c r="S1045" s="9" t="inlineStr">
        <is>
          <t>蓝色脊鳍伏在短皮条上，鳍骨支线清楚，鳍面厚实，边缘有自然缺口。</t>
        </is>
      </c>
      <c r="T1045" s="8" t="inlineStr">
        <is>
          <t>material_batch16_025_1x1</t>
        </is>
      </c>
      <c r="U1045" s="8" t="inlineStr">
        <is>
          <t>allowed</t>
        </is>
      </c>
    </row>
    <row r="1046" ht="34" customHeight="1">
      <c r="A1046" s="8" t="n">
        <v>1045</v>
      </c>
      <c r="B1046" s="8" t="n">
        <v>500033</v>
      </c>
      <c r="C1046" s="8" t="inlineStr">
        <is>
          <t>赤狐妖丹皮</t>
        </is>
      </c>
      <c r="D1046" s="8" t="inlineStr">
        <is>
          <t>材料</t>
        </is>
      </c>
      <c r="E1046" s="8" t="inlineStr">
        <is>
          <t>material</t>
        </is>
      </c>
      <c r="F1046" s="8" t="inlineStr">
        <is>
          <t>common</t>
        </is>
      </c>
      <c r="G1046" s="8" t="inlineStr">
        <is>
          <t>火</t>
        </is>
      </c>
      <c r="H1046" s="8" t="inlineStr">
        <is>
          <t>fire</t>
        </is>
      </c>
      <c r="I1046" s="8" t="inlineStr">
        <is>
          <t>1×1</t>
        </is>
      </c>
      <c r="J1046" s="8" t="n">
        <v>1</v>
      </c>
      <c r="K1046" s="8" t="n">
        <v>4</v>
      </c>
      <c r="L1046" s="8" t="inlineStr">
        <is>
          <t>是</t>
        </is>
      </c>
      <c r="M1046" s="9" t="inlineStr">
        <is>
          <t>beastDrop</t>
        </is>
      </c>
      <c r="N1046" s="8" t="n">
        <v>1</v>
      </c>
      <c r="O1046" s="9" t="inlineStr">
        <is>
          <t>周期触发</t>
        </is>
      </c>
      <c r="P1046" s="9" t="inlineStr">
        <is>
          <t>periodicPulse</t>
        </is>
      </c>
      <c r="Q1046" s="9" t="inlineStr">
        <is>
          <t>周期触发：轮转时，恢复自身 3 点气血</t>
        </is>
      </c>
      <c r="R1046" s="9" t="inlineStr"/>
      <c r="S1046" s="9" t="inlineStr">
        <is>
          <t>橘红丹皮卷成小筒，表面有狐火状天然纹路，边缘厚实而干净。</t>
        </is>
      </c>
      <c r="T1046" s="8" t="inlineStr">
        <is>
          <t>material_batch16_026_1x1</t>
        </is>
      </c>
      <c r="U1046" s="8" t="inlineStr">
        <is>
          <t>allowed</t>
        </is>
      </c>
    </row>
    <row r="1047" ht="34" customHeight="1">
      <c r="A1047" s="8" t="n">
        <v>1046</v>
      </c>
      <c r="B1047" s="8" t="n">
        <v>500034</v>
      </c>
      <c r="C1047" s="8" t="inlineStr">
        <is>
          <t>赤甲蜥妖颈鳞</t>
        </is>
      </c>
      <c r="D1047" s="8" t="inlineStr">
        <is>
          <t>材料</t>
        </is>
      </c>
      <c r="E1047" s="8" t="inlineStr">
        <is>
          <t>material</t>
        </is>
      </c>
      <c r="F1047" s="8" t="inlineStr">
        <is>
          <t>common</t>
        </is>
      </c>
      <c r="G1047" s="8" t="inlineStr">
        <is>
          <t>土</t>
        </is>
      </c>
      <c r="H1047" s="8" t="inlineStr">
        <is>
          <t>earth</t>
        </is>
      </c>
      <c r="I1047" s="8" t="inlineStr">
        <is>
          <t>1×1</t>
        </is>
      </c>
      <c r="J1047" s="8" t="n">
        <v>1</v>
      </c>
      <c r="K1047" s="8" t="n">
        <v>4</v>
      </c>
      <c r="L1047" s="8" t="inlineStr">
        <is>
          <t>是</t>
        </is>
      </c>
      <c r="M1047" s="9" t="inlineStr">
        <is>
          <t>beastDrop</t>
        </is>
      </c>
      <c r="N1047" s="8" t="n">
        <v>1</v>
      </c>
      <c r="O1047" s="9" t="inlineStr">
        <is>
          <t>周期触发</t>
        </is>
      </c>
      <c r="P1047" s="9" t="inlineStr">
        <is>
          <t>periodicPulse</t>
        </is>
      </c>
      <c r="Q1047" s="9" t="inlineStr">
        <is>
          <t>周期触发：轮转时，对敌人造成 2 点伤害</t>
        </is>
      </c>
      <c r="R1047" s="9" t="inlineStr"/>
      <c r="S1047" s="9" t="inlineStr">
        <is>
          <t>颈部鳞片残环层层压叠，赤色甲面保留磨损纹，内侧还有皮质衬层。</t>
        </is>
      </c>
      <c r="T1047" s="8" t="inlineStr">
        <is>
          <t>material_batch16_027_1x1</t>
        </is>
      </c>
      <c r="U1047" s="8" t="inlineStr">
        <is>
          <t>allowed</t>
        </is>
      </c>
    </row>
    <row r="1048" ht="34" customHeight="1">
      <c r="A1048" s="8" t="n">
        <v>1047</v>
      </c>
      <c r="B1048" s="8" t="n">
        <v>500035</v>
      </c>
      <c r="C1048" s="8" t="inlineStr">
        <is>
          <t>赤目妖丹外膜</t>
        </is>
      </c>
      <c r="D1048" s="8" t="inlineStr">
        <is>
          <t>材料</t>
        </is>
      </c>
      <c r="E1048" s="8" t="inlineStr">
        <is>
          <t>material</t>
        </is>
      </c>
      <c r="F1048" s="8" t="inlineStr">
        <is>
          <t>common</t>
        </is>
      </c>
      <c r="G1048" s="8" t="inlineStr">
        <is>
          <t>火</t>
        </is>
      </c>
      <c r="H1048" s="8" t="inlineStr">
        <is>
          <t>fire</t>
        </is>
      </c>
      <c r="I1048" s="8" t="inlineStr">
        <is>
          <t>1×1</t>
        </is>
      </c>
      <c r="J1048" s="8" t="n">
        <v>1</v>
      </c>
      <c r="K1048" s="8" t="n">
        <v>4</v>
      </c>
      <c r="L1048" s="8" t="inlineStr">
        <is>
          <t>是</t>
        </is>
      </c>
      <c r="M1048" s="9" t="inlineStr">
        <is>
          <t>beastDrop</t>
        </is>
      </c>
      <c r="N1048" s="8" t="n">
        <v>1</v>
      </c>
      <c r="O1048" s="9" t="inlineStr">
        <is>
          <t>周期触发</t>
        </is>
      </c>
      <c r="P1048" s="9" t="inlineStr">
        <is>
          <t>periodicPulse</t>
        </is>
      </c>
      <c r="Q1048" s="9" t="inlineStr">
        <is>
          <t>周期触发：轮转时，消耗 1 点法力，对敌人造成 3 点伤害</t>
        </is>
      </c>
      <c r="R1048" s="9" t="inlineStr"/>
      <c r="S1048" s="9" t="inlineStr">
        <is>
          <t>破碎丹膜围成空心凹位，外膜厚实，赤色眼纹状斑点散在表面。</t>
        </is>
      </c>
      <c r="T1048" s="8" t="inlineStr">
        <is>
          <t>material_batch16_028_1x1</t>
        </is>
      </c>
      <c r="U1048" s="8" t="inlineStr">
        <is>
          <t>allowed</t>
        </is>
      </c>
    </row>
    <row r="1049" ht="34" customHeight="1">
      <c r="A1049" s="8" t="n">
        <v>1048</v>
      </c>
      <c r="B1049" s="8" t="n">
        <v>500036</v>
      </c>
      <c r="C1049" s="8" t="inlineStr">
        <is>
          <t>赤羽妖冠脊</t>
        </is>
      </c>
      <c r="D1049" s="8" t="inlineStr">
        <is>
          <t>材料</t>
        </is>
      </c>
      <c r="E1049" s="8" t="inlineStr">
        <is>
          <t>material</t>
        </is>
      </c>
      <c r="F1049" s="8" t="inlineStr">
        <is>
          <t>common</t>
        </is>
      </c>
      <c r="G1049" s="8" t="inlineStr">
        <is>
          <t>火</t>
        </is>
      </c>
      <c r="H1049" s="8" t="inlineStr">
        <is>
          <t>fire</t>
        </is>
      </c>
      <c r="I1049" s="8" t="inlineStr">
        <is>
          <t>1×1</t>
        </is>
      </c>
      <c r="J1049" s="8" t="n">
        <v>1</v>
      </c>
      <c r="K1049" s="8" t="n">
        <v>4</v>
      </c>
      <c r="L1049" s="8" t="inlineStr">
        <is>
          <t>是</t>
        </is>
      </c>
      <c r="M1049" s="9" t="inlineStr">
        <is>
          <t>beastDrop</t>
        </is>
      </c>
      <c r="N1049" s="8" t="n">
        <v>1</v>
      </c>
      <c r="O1049" s="9" t="inlineStr">
        <is>
          <t>周期触发</t>
        </is>
      </c>
      <c r="P1049" s="9" t="inlineStr">
        <is>
          <t>periodicPulse</t>
        </is>
      </c>
      <c r="Q1049" s="9" t="inlineStr">
        <is>
          <t>周期触发：轮转时，对敌人造成 3 点伤害</t>
        </is>
      </c>
      <c r="R1049" s="9" t="inlineStr"/>
      <c r="S1049" s="9" t="inlineStr">
        <is>
          <t>红羽状骨冠残片向上分齿，底部断口厚实，表面留有清晰羽脊纹。</t>
        </is>
      </c>
      <c r="T1049" s="8" t="inlineStr">
        <is>
          <t>material_batch16_029_1x1</t>
        </is>
      </c>
      <c r="U1049" s="8" t="inlineStr">
        <is>
          <t>allowed</t>
        </is>
      </c>
    </row>
    <row r="1050" ht="34" customHeight="1">
      <c r="A1050" s="8" t="n">
        <v>1049</v>
      </c>
      <c r="B1050" s="8" t="n">
        <v>500037</v>
      </c>
      <c r="C1050" s="8" t="inlineStr">
        <is>
          <t>赤蛇火纹蜕</t>
        </is>
      </c>
      <c r="D1050" s="8" t="inlineStr">
        <is>
          <t>材料</t>
        </is>
      </c>
      <c r="E1050" s="8" t="inlineStr">
        <is>
          <t>material</t>
        </is>
      </c>
      <c r="F1050" s="8" t="inlineStr">
        <is>
          <t>common</t>
        </is>
      </c>
      <c r="G1050" s="8" t="inlineStr">
        <is>
          <t>火</t>
        </is>
      </c>
      <c r="H1050" s="8" t="inlineStr">
        <is>
          <t>fire</t>
        </is>
      </c>
      <c r="I1050" s="8" t="inlineStr">
        <is>
          <t>1×1</t>
        </is>
      </c>
      <c r="J1050" s="8" t="n">
        <v>1</v>
      </c>
      <c r="K1050" s="8" t="n">
        <v>3</v>
      </c>
      <c r="L1050" s="8" t="inlineStr">
        <is>
          <t>是</t>
        </is>
      </c>
      <c r="M1050" s="9" t="inlineStr">
        <is>
          <t>beastDrop</t>
        </is>
      </c>
      <c r="N1050" s="8" t="n">
        <v>1</v>
      </c>
      <c r="O1050" s="9" t="inlineStr">
        <is>
          <t>周期触发</t>
        </is>
      </c>
      <c r="P1050" s="9" t="inlineStr">
        <is>
          <t>periodicPulse</t>
        </is>
      </c>
      <c r="Q1050" s="9" t="inlineStr">
        <is>
          <t>周期触发：轮转时，恢复自身 2 点气血</t>
        </is>
      </c>
      <c r="R1050" s="9" t="inlineStr"/>
      <c r="S1050" s="9" t="inlineStr">
        <is>
          <t>卷起的赤色蛇蜕厚片鳞格细密，边缘自然开裂，火纹沉在蜕皮深处。</t>
        </is>
      </c>
      <c r="T1050" s="8" t="inlineStr">
        <is>
          <t>material_batch16_030_1x1</t>
        </is>
      </c>
      <c r="U1050" s="8" t="inlineStr">
        <is>
          <t>allowed</t>
        </is>
      </c>
    </row>
    <row r="1051" ht="34" customHeight="1">
      <c r="A1051" s="8" t="n">
        <v>1050</v>
      </c>
      <c r="B1051" s="8" t="n">
        <v>500040</v>
      </c>
      <c r="C1051" s="8" t="inlineStr">
        <is>
          <t>赤魈面骨</t>
        </is>
      </c>
      <c r="D1051" s="8" t="inlineStr">
        <is>
          <t>材料</t>
        </is>
      </c>
      <c r="E1051" s="8" t="inlineStr">
        <is>
          <t>material</t>
        </is>
      </c>
      <c r="F1051" s="8" t="inlineStr">
        <is>
          <t>common</t>
        </is>
      </c>
      <c r="G1051" s="8" t="inlineStr">
        <is>
          <t>土</t>
        </is>
      </c>
      <c r="H1051" s="8" t="inlineStr">
        <is>
          <t>earth</t>
        </is>
      </c>
      <c r="I1051" s="8" t="inlineStr">
        <is>
          <t>1×1</t>
        </is>
      </c>
      <c r="J1051" s="8" t="n">
        <v>1</v>
      </c>
      <c r="K1051" s="8" t="n">
        <v>4</v>
      </c>
      <c r="L1051" s="8" t="inlineStr">
        <is>
          <t>是</t>
        </is>
      </c>
      <c r="M1051" s="9" t="inlineStr">
        <is>
          <t>beastDrop</t>
        </is>
      </c>
      <c r="N1051" s="8" t="n">
        <v>1</v>
      </c>
      <c r="O1051" s="9" t="inlineStr">
        <is>
          <t>周期触发</t>
        </is>
      </c>
      <c r="P1051" s="9" t="inlineStr">
        <is>
          <t>periodicPulse</t>
        </is>
      </c>
      <c r="Q1051" s="9" t="inlineStr">
        <is>
          <t>周期触发：轮转时，消耗 1 点神识，对敌人造成 5 点伤害</t>
        </is>
      </c>
      <c r="R1051" s="9" t="inlineStr"/>
      <c r="S1051" s="9" t="inlineStr">
        <is>
          <t>小型面骨残片带眉弓和鼻梁孔位，骨面泛红褐风化纹，断口厚而干净。</t>
        </is>
      </c>
      <c r="T1051" s="8" t="inlineStr">
        <is>
          <t>material_batch16_033_1x1</t>
        </is>
      </c>
      <c r="U1051" s="8" t="inlineStr">
        <is>
          <t>allowed</t>
        </is>
      </c>
    </row>
    <row r="1052" ht="34" customHeight="1">
      <c r="A1052" s="8" t="n">
        <v>1051</v>
      </c>
      <c r="B1052" s="8" t="n">
        <v>500042</v>
      </c>
      <c r="C1052" s="8" t="inlineStr">
        <is>
          <t>赤鳞妖鱼鳃片</t>
        </is>
      </c>
      <c r="D1052" s="8" t="inlineStr">
        <is>
          <t>材料</t>
        </is>
      </c>
      <c r="E1052" s="8" t="inlineStr">
        <is>
          <t>material</t>
        </is>
      </c>
      <c r="F1052" s="8" t="inlineStr">
        <is>
          <t>common</t>
        </is>
      </c>
      <c r="G1052" s="8" t="inlineStr">
        <is>
          <t>水</t>
        </is>
      </c>
      <c r="H1052" s="8" t="inlineStr">
        <is>
          <t>water</t>
        </is>
      </c>
      <c r="I1052" s="8" t="inlineStr">
        <is>
          <t>1×1</t>
        </is>
      </c>
      <c r="J1052" s="8" t="n">
        <v>1</v>
      </c>
      <c r="K1052" s="8" t="n">
        <v>3</v>
      </c>
      <c r="L1052" s="8" t="inlineStr">
        <is>
          <t>是</t>
        </is>
      </c>
      <c r="M1052" s="9" t="inlineStr">
        <is>
          <t>beastDrop</t>
        </is>
      </c>
      <c r="N1052" s="8" t="n">
        <v>1</v>
      </c>
      <c r="O1052" s="9" t="inlineStr">
        <is>
          <t>周期触发</t>
        </is>
      </c>
      <c r="P1052" s="9" t="inlineStr">
        <is>
          <t>periodicPulse</t>
        </is>
      </c>
      <c r="Q1052" s="9" t="inlineStr">
        <is>
          <t>周期触发：轮转时，恢复自身 3 点气血</t>
        </is>
      </c>
      <c r="R1052" s="9" t="inlineStr"/>
      <c r="S1052" s="9" t="inlineStr">
        <is>
          <t>三片弧形鳃片层叠贴合，内侧鳃纹细密，外侧仍连着赤鳞根部。</t>
        </is>
      </c>
      <c r="T1052" s="8" t="inlineStr">
        <is>
          <t>material_batch16_035_1x1</t>
        </is>
      </c>
      <c r="U1052" s="8" t="inlineStr">
        <is>
          <t>allowed</t>
        </is>
      </c>
    </row>
    <row r="1053" ht="34" customHeight="1">
      <c r="A1053" s="8" t="n">
        <v>1052</v>
      </c>
      <c r="B1053" s="8" t="n">
        <v>500052</v>
      </c>
      <c r="C1053" s="8" t="inlineStr">
        <is>
          <t>青獒獠牙根</t>
        </is>
      </c>
      <c r="D1053" s="8" t="inlineStr">
        <is>
          <t>材料</t>
        </is>
      </c>
      <c r="E1053" s="8" t="inlineStr">
        <is>
          <t>material</t>
        </is>
      </c>
      <c r="F1053" s="8" t="inlineStr">
        <is>
          <t>common</t>
        </is>
      </c>
      <c r="G1053" s="8" t="inlineStr">
        <is>
          <t>木</t>
        </is>
      </c>
      <c r="H1053" s="8" t="inlineStr">
        <is>
          <t>wood</t>
        </is>
      </c>
      <c r="I1053" s="8" t="inlineStr">
        <is>
          <t>1×1</t>
        </is>
      </c>
      <c r="J1053" s="8" t="n">
        <v>1</v>
      </c>
      <c r="K1053" s="8" t="n">
        <v>4</v>
      </c>
      <c r="L1053" s="8" t="inlineStr">
        <is>
          <t>是</t>
        </is>
      </c>
      <c r="M1053" s="9" t="inlineStr">
        <is>
          <t>beastDrop</t>
        </is>
      </c>
      <c r="N1053" s="8" t="n">
        <v>1</v>
      </c>
      <c r="O1053" s="9" t="inlineStr">
        <is>
          <t>周期触发</t>
        </is>
      </c>
      <c r="P1053" s="9" t="inlineStr">
        <is>
          <t>periodicPulse</t>
        </is>
      </c>
      <c r="Q1053" s="9" t="inlineStr">
        <is>
          <t>周期触发：轮转时，对敌人造成 2 点伤害</t>
        </is>
      </c>
      <c r="R1053" s="9" t="inlineStr"/>
      <c r="S1053" s="9" t="inlineStr">
        <is>
          <t>粗短獠牙根部残件宽厚，牙面有犬齿纵纹和磨损缺口。</t>
        </is>
      </c>
      <c r="T1053" s="8" t="inlineStr">
        <is>
          <t>material_batch16_045_1x1</t>
        </is>
      </c>
      <c r="U1053" s="8" t="inlineStr">
        <is>
          <t>allowed</t>
        </is>
      </c>
    </row>
    <row r="1054" ht="34" customHeight="1">
      <c r="A1054" s="8" t="n">
        <v>1053</v>
      </c>
      <c r="B1054" s="8" t="n">
        <v>500053</v>
      </c>
      <c r="C1054" s="8" t="inlineStr">
        <is>
          <t>青羽妖禽肩骨</t>
        </is>
      </c>
      <c r="D1054" s="8" t="inlineStr">
        <is>
          <t>材料</t>
        </is>
      </c>
      <c r="E1054" s="8" t="inlineStr">
        <is>
          <t>material</t>
        </is>
      </c>
      <c r="F1054" s="8" t="inlineStr">
        <is>
          <t>common</t>
        </is>
      </c>
      <c r="G1054" s="8" t="inlineStr">
        <is>
          <t>木</t>
        </is>
      </c>
      <c r="H1054" s="8" t="inlineStr">
        <is>
          <t>wood</t>
        </is>
      </c>
      <c r="I1054" s="8" t="inlineStr">
        <is>
          <t>1×1</t>
        </is>
      </c>
      <c r="J1054" s="8" t="n">
        <v>1</v>
      </c>
      <c r="K1054" s="8" t="n">
        <v>4</v>
      </c>
      <c r="L1054" s="8" t="inlineStr">
        <is>
          <t>是</t>
        </is>
      </c>
      <c r="M1054" s="9" t="inlineStr">
        <is>
          <t>beastDrop</t>
        </is>
      </c>
      <c r="N1054" s="8" t="n">
        <v>1</v>
      </c>
      <c r="O1054" s="9" t="inlineStr">
        <is>
          <t>周期触发</t>
        </is>
      </c>
      <c r="P1054" s="9" t="inlineStr">
        <is>
          <t>periodicPulse</t>
        </is>
      </c>
      <c r="Q1054" s="9" t="inlineStr">
        <is>
          <t>周期触发：轮转时，恢复自身 3 点气血</t>
        </is>
      </c>
      <c r="R1054" s="9" t="inlineStr"/>
      <c r="S1054" s="9" t="inlineStr">
        <is>
          <t>鸟类肩骨带翼根孔位，骨面留有青色羽根痕，关节面扁平完整。</t>
        </is>
      </c>
      <c r="T1054" s="8" t="inlineStr">
        <is>
          <t>material_batch16_046_1x1</t>
        </is>
      </c>
      <c r="U1054" s="8" t="inlineStr">
        <is>
          <t>allowed</t>
        </is>
      </c>
    </row>
    <row r="1055" ht="34" customHeight="1">
      <c r="A1055" s="8" t="n">
        <v>1054</v>
      </c>
      <c r="B1055" s="8" t="n">
        <v>500056</v>
      </c>
      <c r="C1055" s="8" t="inlineStr">
        <is>
          <t>黑羽妖禽胸骨</t>
        </is>
      </c>
      <c r="D1055" s="8" t="inlineStr">
        <is>
          <t>材料</t>
        </is>
      </c>
      <c r="E1055" s="8" t="inlineStr">
        <is>
          <t>material</t>
        </is>
      </c>
      <c r="F1055" s="8" t="inlineStr">
        <is>
          <t>common</t>
        </is>
      </c>
      <c r="G1055" s="8" t="inlineStr">
        <is>
          <t>金</t>
        </is>
      </c>
      <c r="H1055" s="8" t="inlineStr">
        <is>
          <t>metal</t>
        </is>
      </c>
      <c r="I1055" s="8" t="inlineStr">
        <is>
          <t>1×1</t>
        </is>
      </c>
      <c r="J1055" s="8" t="n">
        <v>1</v>
      </c>
      <c r="K1055" s="8" t="n">
        <v>4</v>
      </c>
      <c r="L1055" s="8" t="inlineStr">
        <is>
          <t>是</t>
        </is>
      </c>
      <c r="M1055" s="9" t="inlineStr">
        <is>
          <t>beastDrop</t>
        </is>
      </c>
      <c r="N1055" s="8" t="n">
        <v>1</v>
      </c>
      <c r="O1055" s="9" t="inlineStr">
        <is>
          <t>周期触发</t>
        </is>
      </c>
      <c r="P1055" s="9" t="inlineStr">
        <is>
          <t>periodicPulse</t>
        </is>
      </c>
      <c r="Q1055" s="9" t="inlineStr">
        <is>
          <t>周期触发：轮转时，对敌人造成 3 点伤害</t>
        </is>
      </c>
      <c r="R1055" s="9" t="inlineStr"/>
      <c r="S1055" s="9" t="inlineStr">
        <is>
          <t>黑羽妖禽胸骨呈船形，中央龙骨突起明显，两侧有羽根孔和浅裂纹。</t>
        </is>
      </c>
      <c r="T1055" s="8" t="inlineStr">
        <is>
          <t>material_batch16_049_1x1</t>
        </is>
      </c>
      <c r="U1055" s="8" t="inlineStr">
        <is>
          <t>allowed</t>
        </is>
      </c>
    </row>
    <row r="1056" ht="34" customHeight="1">
      <c r="A1056" s="8" t="n">
        <v>1055</v>
      </c>
      <c r="B1056" s="8" t="n">
        <v>500058</v>
      </c>
      <c r="C1056" s="8" t="inlineStr">
        <is>
          <t>松裂短獠</t>
        </is>
      </c>
      <c r="D1056" s="8" t="inlineStr">
        <is>
          <t>材料</t>
        </is>
      </c>
      <c r="E1056" s="8" t="inlineStr">
        <is>
          <t>material</t>
        </is>
      </c>
      <c r="F1056" s="8" t="inlineStr">
        <is>
          <t>common</t>
        </is>
      </c>
      <c r="G1056" s="8" t="inlineStr">
        <is>
          <t>无</t>
        </is>
      </c>
      <c r="H1056" s="8" t="inlineStr">
        <is>
          <t>none</t>
        </is>
      </c>
      <c r="I1056" s="8" t="inlineStr">
        <is>
          <t>1×1</t>
        </is>
      </c>
      <c r="J1056" s="8" t="n">
        <v>1</v>
      </c>
      <c r="K1056" s="8" t="n">
        <v>1</v>
      </c>
      <c r="L1056" s="8" t="inlineStr">
        <is>
          <t>否</t>
        </is>
      </c>
      <c r="M1056" s="9" t="inlineStr"/>
      <c r="N1056" s="8" t="n">
        <v>1</v>
      </c>
      <c r="O1056" s="9" t="inlineStr">
        <is>
          <t>周期触发</t>
        </is>
      </c>
      <c r="P1056" s="9" t="inlineStr">
        <is>
          <t>periodicPulse</t>
        </is>
      </c>
      <c r="Q1056" s="9" t="inlineStr">
        <is>
          <t>周期触发：轮转时，消耗 1 点体力，对敌方造成 1 点伤害</t>
        </is>
      </c>
      <c r="R1056" s="9" t="inlineStr"/>
      <c r="S1056" s="9" t="inlineStr">
        <is>
          <t>一截还未长成的短獠牙，牙根松裂，尖端钝圆，泥渍卡在细小裂纹里。产自妖兽「惊鬃野猪妖」。</t>
        </is>
      </c>
      <c r="T1056" s="8" t="inlineStr">
        <is>
          <t>material_jingzong_yezhu_loose_tusk_1x1</t>
        </is>
      </c>
      <c r="U1056" s="8" t="inlineStr">
        <is>
          <t>allowed</t>
        </is>
      </c>
    </row>
    <row r="1057" ht="34" customHeight="1">
      <c r="A1057" s="8" t="n">
        <v>1056</v>
      </c>
      <c r="B1057" s="8" t="n">
        <v>500059</v>
      </c>
      <c r="C1057" s="8" t="inlineStr">
        <is>
          <t>惊鬃皮片</t>
        </is>
      </c>
      <c r="D1057" s="8" t="inlineStr">
        <is>
          <t>材料</t>
        </is>
      </c>
      <c r="E1057" s="8" t="inlineStr">
        <is>
          <t>material</t>
        </is>
      </c>
      <c r="F1057" s="8" t="inlineStr">
        <is>
          <t>common</t>
        </is>
      </c>
      <c r="G1057" s="8" t="inlineStr">
        <is>
          <t>无</t>
        </is>
      </c>
      <c r="H1057" s="8" t="inlineStr">
        <is>
          <t>none</t>
        </is>
      </c>
      <c r="I1057" s="8" t="inlineStr">
        <is>
          <t>1×1</t>
        </is>
      </c>
      <c r="J1057" s="8" t="n">
        <v>1</v>
      </c>
      <c r="K1057" s="8" t="n">
        <v>7</v>
      </c>
      <c r="L1057" s="8" t="inlineStr">
        <is>
          <t>是</t>
        </is>
      </c>
      <c r="M1057" s="9" t="inlineStr">
        <is>
          <t>beastDrop</t>
        </is>
      </c>
      <c r="N1057" s="8" t="n">
        <v>1</v>
      </c>
      <c r="O1057" s="9" t="inlineStr">
        <is>
          <t>周期触发</t>
        </is>
      </c>
      <c r="P1057" s="9" t="inlineStr">
        <is>
          <t>periodicPulse</t>
        </is>
      </c>
      <c r="Q1057" s="9" t="inlineStr">
        <is>
          <t>周期触发：轮转时，恢复自身 1 点体力</t>
        </is>
      </c>
      <c r="R1057" s="9" t="inlineStr"/>
      <c r="S1057" s="9" t="inlineStr">
        <is>
          <t>一小片灰褐野猪皮，边缘短鬃炸起，皮面薄而松散，还带着新鲜泥腥气。产自妖兽「惊鬃野猪妖」。</t>
        </is>
      </c>
      <c r="T1057" s="8" t="inlineStr">
        <is>
          <t>material_jingzong_yezhu_bristle_hide_1x1</t>
        </is>
      </c>
      <c r="U1057" s="8" t="inlineStr">
        <is>
          <t>onboardingProtected</t>
        </is>
      </c>
    </row>
    <row r="1058" ht="34" customHeight="1">
      <c r="A1058" s="8" t="n">
        <v>1057</v>
      </c>
      <c r="B1058" s="8" t="n">
        <v>500061</v>
      </c>
      <c r="C1058" s="8" t="inlineStr">
        <is>
          <t>裂纹断角</t>
        </is>
      </c>
      <c r="D1058" s="8" t="inlineStr">
        <is>
          <t>材料</t>
        </is>
      </c>
      <c r="E1058" s="8" t="inlineStr">
        <is>
          <t>material</t>
        </is>
      </c>
      <c r="F1058" s="8" t="inlineStr">
        <is>
          <t>common</t>
        </is>
      </c>
      <c r="G1058" s="8" t="inlineStr">
        <is>
          <t>土</t>
        </is>
      </c>
      <c r="H1058" s="8" t="inlineStr">
        <is>
          <t>earth</t>
        </is>
      </c>
      <c r="I1058" s="8" t="inlineStr">
        <is>
          <t>1×1</t>
        </is>
      </c>
      <c r="J1058" s="8" t="n">
        <v>1</v>
      </c>
      <c r="K1058" s="8" t="n">
        <v>1</v>
      </c>
      <c r="L1058" s="8" t="inlineStr">
        <is>
          <t>是</t>
        </is>
      </c>
      <c r="M1058" s="9" t="inlineStr">
        <is>
          <t>beastDrop</t>
        </is>
      </c>
      <c r="N1058" s="8" t="n">
        <v>1</v>
      </c>
      <c r="O1058" s="9" t="inlineStr">
        <is>
          <t>周期触发</t>
        </is>
      </c>
      <c r="P1058" s="9" t="inlineStr">
        <is>
          <t>periodicPulse</t>
        </is>
      </c>
      <c r="Q1058" s="9" t="inlineStr">
        <is>
          <t>周期触发：轮转时，消耗 2 点体力，对敌方造成 2 点伤害</t>
        </is>
      </c>
      <c r="R1058" s="9" t="inlineStr"/>
      <c r="S1058" s="9" t="inlineStr">
        <is>
          <t>半截灰白羊角从根部崩断，断面沾着石粉，暗红细裂纹沿角脊向外蔓延。</t>
        </is>
      </c>
      <c r="T1058" s="8" t="inlineStr">
        <is>
          <t>material_duanjiao_shanyang_cracked_horn_1x1</t>
        </is>
      </c>
      <c r="U1058" s="8" t="inlineStr">
        <is>
          <t>allowed</t>
        </is>
      </c>
    </row>
    <row r="1059" ht="34" customHeight="1">
      <c r="A1059" s="8" t="n">
        <v>1058</v>
      </c>
      <c r="B1059" s="8" t="n">
        <v>500062</v>
      </c>
      <c r="C1059" s="8" t="inlineStr">
        <is>
          <t>碎石硬蹄</t>
        </is>
      </c>
      <c r="D1059" s="8" t="inlineStr">
        <is>
          <t>材料</t>
        </is>
      </c>
      <c r="E1059" s="8" t="inlineStr">
        <is>
          <t>material</t>
        </is>
      </c>
      <c r="F1059" s="8" t="inlineStr">
        <is>
          <t>common</t>
        </is>
      </c>
      <c r="G1059" s="8" t="inlineStr">
        <is>
          <t>土</t>
        </is>
      </c>
      <c r="H1059" s="8" t="inlineStr">
        <is>
          <t>earth</t>
        </is>
      </c>
      <c r="I1059" s="8" t="inlineStr">
        <is>
          <t>1×1</t>
        </is>
      </c>
      <c r="J1059" s="8" t="n">
        <v>1</v>
      </c>
      <c r="K1059" s="8" t="n">
        <v>1</v>
      </c>
      <c r="L1059" s="8" t="inlineStr">
        <is>
          <t>是</t>
        </is>
      </c>
      <c r="M1059" s="9" t="inlineStr">
        <is>
          <t>beastDrop</t>
        </is>
      </c>
      <c r="N1059" s="8" t="n">
        <v>1</v>
      </c>
      <c r="O1059" s="9" t="inlineStr">
        <is>
          <t>周期触发</t>
        </is>
      </c>
      <c r="P1059" s="9" t="inlineStr">
        <is>
          <t>periodicPulse</t>
        </is>
      </c>
      <c r="Q1059" s="9" t="inlineStr">
        <is>
          <t>周期触发：轮转时，消耗 1 点体力，对敌方造成 1 点伤害</t>
        </is>
      </c>
      <c r="R1059" s="9" t="inlineStr"/>
      <c r="S1059" s="9" t="inlineStr">
        <is>
          <t>一枚黑褐硬蹄边缘磨出灰白石痕，蹄缝里卡着细砂和碎坡泥。</t>
        </is>
      </c>
      <c r="T1059" s="8" t="inlineStr">
        <is>
          <t>material_duanjiao_shanyang_stony_hoof_1x1</t>
        </is>
      </c>
      <c r="U1059" s="8" t="inlineStr">
        <is>
          <t>allowed</t>
        </is>
      </c>
    </row>
    <row r="1060" ht="34" customHeight="1">
      <c r="A1060" s="8" t="n">
        <v>1059</v>
      </c>
      <c r="B1060" s="8" t="n">
        <v>500064</v>
      </c>
      <c r="C1060" s="8" t="inlineStr">
        <is>
          <t>裂牙</t>
        </is>
      </c>
      <c r="D1060" s="8" t="inlineStr">
        <is>
          <t>材料</t>
        </is>
      </c>
      <c r="E1060" s="8" t="inlineStr">
        <is>
          <t>material</t>
        </is>
      </c>
      <c r="F1060" s="8" t="inlineStr">
        <is>
          <t>common</t>
        </is>
      </c>
      <c r="G1060" s="8" t="inlineStr">
        <is>
          <t>无</t>
        </is>
      </c>
      <c r="H1060" s="8" t="inlineStr">
        <is>
          <t>none</t>
        </is>
      </c>
      <c r="I1060" s="8" t="inlineStr">
        <is>
          <t>1×1</t>
        </is>
      </c>
      <c r="J1060" s="8" t="n">
        <v>1</v>
      </c>
      <c r="K1060" s="8" t="n">
        <v>7</v>
      </c>
      <c r="L1060" s="8" t="inlineStr">
        <is>
          <t>是</t>
        </is>
      </c>
      <c r="M1060" s="9" t="inlineStr">
        <is>
          <t>beastDrop</t>
        </is>
      </c>
      <c r="N1060" s="8" t="n">
        <v>1</v>
      </c>
      <c r="O1060" s="9" t="inlineStr">
        <is>
          <t>周期触发</t>
        </is>
      </c>
      <c r="P1060" s="9" t="inlineStr">
        <is>
          <t>periodicPulse</t>
        </is>
      </c>
      <c r="Q1060" s="9" t="inlineStr">
        <is>
          <t>周期触发：轮转时，消耗 1 点体力，对敌方造成 1 点伤害</t>
        </is>
      </c>
      <c r="R1060" s="9" t="inlineStr"/>
      <c r="S1060" s="9" t="inlineStr">
        <is>
          <t>一枚灰黄犬牙从齿根处裂开，牙尖还带着山土磨出的暗色缺口。产自妖兽「灰背鬣狗妖」。</t>
        </is>
      </c>
      <c r="T1060" s="8" t="inlineStr">
        <is>
          <t>material_huibei_liegou_cracked_fang_1x1</t>
        </is>
      </c>
      <c r="U1060" s="8" t="inlineStr">
        <is>
          <t>allowed</t>
        </is>
      </c>
    </row>
    <row r="1061" ht="34" customHeight="1">
      <c r="A1061" s="8" t="n">
        <v>1060</v>
      </c>
      <c r="B1061" s="8" t="n">
        <v>500065</v>
      </c>
      <c r="C1061" s="8" t="inlineStr">
        <is>
          <t>鬣狗前爪</t>
        </is>
      </c>
      <c r="D1061" s="8" t="inlineStr">
        <is>
          <t>材料</t>
        </is>
      </c>
      <c r="E1061" s="8" t="inlineStr">
        <is>
          <t>material</t>
        </is>
      </c>
      <c r="F1061" s="8" t="inlineStr">
        <is>
          <t>common</t>
        </is>
      </c>
      <c r="G1061" s="8" t="inlineStr">
        <is>
          <t>无</t>
        </is>
      </c>
      <c r="H1061" s="8" t="inlineStr">
        <is>
          <t>none</t>
        </is>
      </c>
      <c r="I1061" s="8" t="inlineStr">
        <is>
          <t>1×1</t>
        </is>
      </c>
      <c r="J1061" s="8" t="n">
        <v>1</v>
      </c>
      <c r="K1061" s="8" t="n">
        <v>2</v>
      </c>
      <c r="L1061" s="8" t="inlineStr">
        <is>
          <t>否</t>
        </is>
      </c>
      <c r="M1061" s="9" t="inlineStr"/>
      <c r="N1061" s="8" t="n">
        <v>1</v>
      </c>
      <c r="O1061" s="9" t="inlineStr">
        <is>
          <t>周期触发</t>
        </is>
      </c>
      <c r="P1061" s="9" t="inlineStr">
        <is>
          <t>periodicPulse</t>
        </is>
      </c>
      <c r="Q1061" s="9" t="inlineStr">
        <is>
          <t>周期触发：轮转时，对敌方造成 1 点伤害</t>
        </is>
      </c>
      <c r="R1061" s="9" t="inlineStr"/>
      <c r="S1061" s="9" t="inlineStr">
        <is>
          <t>一只瘦长前爪带着粗硬黑甲，掌垫边缘沾着干结泥砂。产自妖兽「灰背鬣狗妖」。</t>
        </is>
      </c>
      <c r="T1061" s="8" t="inlineStr">
        <is>
          <t>material_huibei_liegou_foreclaw_1x1</t>
        </is>
      </c>
      <c r="U1061" s="8" t="inlineStr">
        <is>
          <t>allowed</t>
        </is>
      </c>
    </row>
    <row r="1062" ht="34" customHeight="1">
      <c r="A1062" s="8" t="n">
        <v>1061</v>
      </c>
      <c r="B1062" s="8" t="n">
        <v>500067</v>
      </c>
      <c r="C1062" s="8" t="inlineStr">
        <is>
          <t>毒尾针</t>
        </is>
      </c>
      <c r="D1062" s="8" t="inlineStr">
        <is>
          <t>材料</t>
        </is>
      </c>
      <c r="E1062" s="8" t="inlineStr">
        <is>
          <t>material</t>
        </is>
      </c>
      <c r="F1062" s="8" t="inlineStr">
        <is>
          <t>common</t>
        </is>
      </c>
      <c r="G1062" s="8" t="inlineStr">
        <is>
          <t>无</t>
        </is>
      </c>
      <c r="H1062" s="8" t="inlineStr">
        <is>
          <t>none</t>
        </is>
      </c>
      <c r="I1062" s="8" t="inlineStr">
        <is>
          <t>1×1</t>
        </is>
      </c>
      <c r="J1062" s="8" t="n">
        <v>1</v>
      </c>
      <c r="K1062" s="8" t="n">
        <v>7</v>
      </c>
      <c r="L1062" s="8" t="inlineStr">
        <is>
          <t>是</t>
        </is>
      </c>
      <c r="M1062" s="9" t="inlineStr">
        <is>
          <t>beastDrop</t>
        </is>
      </c>
      <c r="N1062" s="8" t="n">
        <v>1</v>
      </c>
      <c r="O1062" s="9" t="inlineStr">
        <is>
          <t>周期触发</t>
        </is>
      </c>
      <c r="P1062" s="9" t="inlineStr">
        <is>
          <t>periodicPulse</t>
        </is>
      </c>
      <c r="Q1062" s="9" t="inlineStr">
        <is>
          <t>周期触发：轮转时，消耗 1 点体力，对敌方造成 1 点伤害</t>
        </is>
      </c>
      <c r="R1062" s="9" t="inlineStr"/>
      <c r="S1062" s="9" t="inlineStr">
        <is>
          <t>一截乌黑尾针弯如短钩，针根粗糙，尖端泛着暗沉光泽。产自妖兽「毒尾山蝎」。</t>
        </is>
      </c>
      <c r="T1062" s="8" t="inlineStr">
        <is>
          <t>material_duwei_shanxie_tail_stinger_1x1</t>
        </is>
      </c>
      <c r="U1062" s="8" t="inlineStr">
        <is>
          <t>allowed</t>
        </is>
      </c>
    </row>
    <row r="1063" ht="34" customHeight="1">
      <c r="A1063" s="8" t="n">
        <v>1062</v>
      </c>
      <c r="B1063" s="8" t="n">
        <v>500068</v>
      </c>
      <c r="C1063" s="8" t="inlineStr">
        <is>
          <t>蝎螯</t>
        </is>
      </c>
      <c r="D1063" s="8" t="inlineStr">
        <is>
          <t>材料</t>
        </is>
      </c>
      <c r="E1063" s="8" t="inlineStr">
        <is>
          <t>material</t>
        </is>
      </c>
      <c r="F1063" s="8" t="inlineStr">
        <is>
          <t>common</t>
        </is>
      </c>
      <c r="G1063" s="8" t="inlineStr">
        <is>
          <t>无</t>
        </is>
      </c>
      <c r="H1063" s="8" t="inlineStr">
        <is>
          <t>none</t>
        </is>
      </c>
      <c r="I1063" s="8" t="inlineStr">
        <is>
          <t>1×1</t>
        </is>
      </c>
      <c r="J1063" s="8" t="n">
        <v>1</v>
      </c>
      <c r="K1063" s="8" t="n">
        <v>2</v>
      </c>
      <c r="L1063" s="8" t="inlineStr">
        <is>
          <t>否</t>
        </is>
      </c>
      <c r="M1063" s="9" t="inlineStr"/>
      <c r="N1063" s="8" t="n">
        <v>1</v>
      </c>
      <c r="O1063" s="9" t="inlineStr">
        <is>
          <t>周期触发</t>
        </is>
      </c>
      <c r="P1063" s="9" t="inlineStr">
        <is>
          <t>periodicPulse</t>
        </is>
      </c>
      <c r="Q1063" s="9" t="inlineStr">
        <is>
          <t>周期触发：轮转时，对敌方造成 1 点伤害</t>
        </is>
      </c>
      <c r="R1063" s="9" t="inlineStr"/>
      <c r="S1063" s="9" t="inlineStr">
        <is>
          <t>一只砂褐蝎螯外壳粗砺，夹口边缘磨出细小缺痕。产自妖兽「毒尾山蝎」。</t>
        </is>
      </c>
      <c r="T1063" s="8" t="inlineStr">
        <is>
          <t>material_duwei_shanxie_pincer_1x1</t>
        </is>
      </c>
      <c r="U1063" s="8" t="inlineStr">
        <is>
          <t>allowed</t>
        </is>
      </c>
    </row>
    <row r="1064" ht="34" customHeight="1">
      <c r="A1064" s="8" t="n">
        <v>1063</v>
      </c>
      <c r="B1064" s="8" t="n">
        <v>500070</v>
      </c>
      <c r="C1064" s="8" t="inlineStr">
        <is>
          <t>穿山利爪</t>
        </is>
      </c>
      <c r="D1064" s="8" t="inlineStr">
        <is>
          <t>材料</t>
        </is>
      </c>
      <c r="E1064" s="8" t="inlineStr">
        <is>
          <t>material</t>
        </is>
      </c>
      <c r="F1064" s="8" t="inlineStr">
        <is>
          <t>common</t>
        </is>
      </c>
      <c r="G1064" s="8" t="inlineStr">
        <is>
          <t>无</t>
        </is>
      </c>
      <c r="H1064" s="8" t="inlineStr">
        <is>
          <t>none</t>
        </is>
      </c>
      <c r="I1064" s="8" t="inlineStr">
        <is>
          <t>1×3</t>
        </is>
      </c>
      <c r="J1064" s="8" t="n">
        <v>3</v>
      </c>
      <c r="K1064" s="8" t="n">
        <v>7</v>
      </c>
      <c r="L1064" s="8" t="inlineStr">
        <is>
          <t>是</t>
        </is>
      </c>
      <c r="M1064" s="9" t="inlineStr">
        <is>
          <t>beastDrop</t>
        </is>
      </c>
      <c r="N1064" s="8" t="n">
        <v>1</v>
      </c>
      <c r="O1064" s="9" t="inlineStr">
        <is>
          <t>周期触发</t>
        </is>
      </c>
      <c r="P1064" s="9" t="inlineStr">
        <is>
          <t>periodicPulse</t>
        </is>
      </c>
      <c r="Q1064" s="9" t="inlineStr">
        <is>
          <t>周期触发：轮转时，消耗 1 点体力，对敌方造成 1 点伤害</t>
        </is>
      </c>
      <c r="R1064" s="9" t="inlineStr"/>
      <c r="S1064" s="9" t="inlineStr">
        <is>
          <t>两截并排的长爪带着土灰色磨痕，爪根厚实，像常年刨开山石。产自妖兽「岩背穿山兽」。</t>
        </is>
      </c>
      <c r="T1064" s="8" t="inlineStr">
        <is>
          <t>material_yanbei_chuanshanshou_digging_claw_1x3</t>
        </is>
      </c>
      <c r="U1064" s="8" t="inlineStr">
        <is>
          <t>allowed</t>
        </is>
      </c>
    </row>
    <row r="1065" ht="34" customHeight="1">
      <c r="A1065" s="8" t="n">
        <v>1064</v>
      </c>
      <c r="B1065" s="8" t="n">
        <v>500071</v>
      </c>
      <c r="C1065" s="8" t="inlineStr">
        <is>
          <t>岩背鳞甲</t>
        </is>
      </c>
      <c r="D1065" s="8" t="inlineStr">
        <is>
          <t>材料</t>
        </is>
      </c>
      <c r="E1065" s="8" t="inlineStr">
        <is>
          <t>material</t>
        </is>
      </c>
      <c r="F1065" s="8" t="inlineStr">
        <is>
          <t>common</t>
        </is>
      </c>
      <c r="G1065" s="8" t="inlineStr">
        <is>
          <t>无</t>
        </is>
      </c>
      <c r="H1065" s="8" t="inlineStr">
        <is>
          <t>none</t>
        </is>
      </c>
      <c r="I1065" s="8" t="inlineStr">
        <is>
          <t>2×2</t>
        </is>
      </c>
      <c r="J1065" s="8" t="n">
        <v>4</v>
      </c>
      <c r="K1065" s="8" t="n">
        <v>2</v>
      </c>
      <c r="L1065" s="8" t="inlineStr">
        <is>
          <t>否</t>
        </is>
      </c>
      <c r="M1065" s="9" t="inlineStr"/>
      <c r="N1065" s="8" t="n">
        <v>1</v>
      </c>
      <c r="O1065" s="9" t="inlineStr">
        <is>
          <t>周期触发</t>
        </is>
      </c>
      <c r="P1065" s="9" t="inlineStr">
        <is>
          <t>periodicPulse</t>
        </is>
      </c>
      <c r="Q1065" s="9" t="inlineStr">
        <is>
          <t>周期触发：轮转时，恢复自身 5 点气血</t>
        </is>
      </c>
      <c r="R1065" s="9" t="inlineStr"/>
      <c r="S1065" s="9" t="inlineStr">
        <is>
          <t>两片厚重背鳞叠在一起，表面像干裂山岩，边缘仍带着粗糙皮膜。产自妖兽「岩背穿山兽」。</t>
        </is>
      </c>
      <c r="T1065" s="8" t="inlineStr">
        <is>
          <t>material_yanbei_chuanshanshou_rock_scale_2x2</t>
        </is>
      </c>
      <c r="U1065" s="8" t="inlineStr">
        <is>
          <t>allowed</t>
        </is>
      </c>
    </row>
    <row r="1066" ht="34" customHeight="1">
      <c r="A1066" s="8" t="n">
        <v>1065</v>
      </c>
      <c r="B1066" s="8" t="n">
        <v>500072</v>
      </c>
      <c r="C1066" s="8" t="inlineStr">
        <is>
          <t>粗尾骨</t>
        </is>
      </c>
      <c r="D1066" s="8" t="inlineStr">
        <is>
          <t>材料</t>
        </is>
      </c>
      <c r="E1066" s="8" t="inlineStr">
        <is>
          <t>material</t>
        </is>
      </c>
      <c r="F1066" s="8" t="inlineStr">
        <is>
          <t>common</t>
        </is>
      </c>
      <c r="G1066" s="8" t="inlineStr">
        <is>
          <t>无</t>
        </is>
      </c>
      <c r="H1066" s="8" t="inlineStr">
        <is>
          <t>none</t>
        </is>
      </c>
      <c r="I1066" s="8" t="inlineStr">
        <is>
          <t>2×1</t>
        </is>
      </c>
      <c r="J1066" s="8" t="n">
        <v>2</v>
      </c>
      <c r="K1066" s="8" t="n">
        <v>5</v>
      </c>
      <c r="L1066" s="8" t="inlineStr">
        <is>
          <t>否</t>
        </is>
      </c>
      <c r="M1066" s="9" t="inlineStr"/>
      <c r="N1066" s="8" t="n">
        <v>1</v>
      </c>
      <c r="O1066" s="9" t="inlineStr">
        <is>
          <t>周期触发</t>
        </is>
      </c>
      <c r="P1066" s="9" t="inlineStr">
        <is>
          <t>periodicPulse</t>
        </is>
      </c>
      <c r="Q1066" s="9" t="inlineStr">
        <is>
          <t>周期触发：轮转时，对敌方造成 1 点伤害</t>
        </is>
      </c>
      <c r="R1066" s="9" t="inlineStr"/>
      <c r="S1066" s="9" t="inlineStr">
        <is>
          <t>一截短粗尾骨颜色灰白，骨节宽厚，末端还粘着干硬泥块。产自妖兽「岩背穿山兽」。</t>
        </is>
      </c>
      <c r="T1066" s="8" t="inlineStr">
        <is>
          <t>material_yanbei_chuanshanshou_tail_bone_2x1</t>
        </is>
      </c>
      <c r="U1066" s="8" t="inlineStr">
        <is>
          <t>allowed</t>
        </is>
      </c>
    </row>
    <row r="1067" ht="34" customHeight="1">
      <c r="A1067" s="8" t="n">
        <v>1066</v>
      </c>
      <c r="B1067" s="8" t="n">
        <v>500073</v>
      </c>
      <c r="C1067" s="8" t="inlineStr">
        <is>
          <t>毒蛛牙</t>
        </is>
      </c>
      <c r="D1067" s="8" t="inlineStr">
        <is>
          <t>材料</t>
        </is>
      </c>
      <c r="E1067" s="8" t="inlineStr">
        <is>
          <t>material</t>
        </is>
      </c>
      <c r="F1067" s="8" t="inlineStr">
        <is>
          <t>common</t>
        </is>
      </c>
      <c r="G1067" s="8" t="inlineStr">
        <is>
          <t>无</t>
        </is>
      </c>
      <c r="H1067" s="8" t="inlineStr">
        <is>
          <t>none</t>
        </is>
      </c>
      <c r="I1067" s="8" t="inlineStr">
        <is>
          <t>1×2</t>
        </is>
      </c>
      <c r="J1067" s="8" t="n">
        <v>2</v>
      </c>
      <c r="K1067" s="8" t="n">
        <v>7</v>
      </c>
      <c r="L1067" s="8" t="inlineStr">
        <is>
          <t>是</t>
        </is>
      </c>
      <c r="M1067" s="9" t="inlineStr">
        <is>
          <t>beastDrop</t>
        </is>
      </c>
      <c r="N1067" s="8" t="n">
        <v>1</v>
      </c>
      <c r="O1067" s="9" t="inlineStr">
        <is>
          <t>周期触发</t>
        </is>
      </c>
      <c r="P1067" s="9" t="inlineStr">
        <is>
          <t>periodicPulse</t>
        </is>
      </c>
      <c r="Q1067" s="9" t="inlineStr">
        <is>
          <t>周期触发：轮转时，对敌方施加 1 层中毒</t>
        </is>
      </c>
      <c r="R1067" s="9" t="inlineStr"/>
      <c r="S1067" s="9" t="inlineStr">
        <is>
          <t>一枚细长蛛牙根部发黑，牙尖微弯，表面覆着浅淡斑纹。可产自妖兽「花斑毒蛛」、「苔丝伏蛛」。</t>
        </is>
      </c>
      <c r="T1067" s="8" t="inlineStr">
        <is>
          <t>material_huaban_duzhu_fang_1x2</t>
        </is>
      </c>
      <c r="U1067" s="8" t="inlineStr">
        <is>
          <t>allowed</t>
        </is>
      </c>
    </row>
    <row r="1068" ht="34" customHeight="1">
      <c r="A1068" s="8" t="n">
        <v>1067</v>
      </c>
      <c r="B1068" s="8" t="n">
        <v>500074</v>
      </c>
      <c r="C1068" s="8" t="inlineStr">
        <is>
          <t>蛛丝腺</t>
        </is>
      </c>
      <c r="D1068" s="8" t="inlineStr">
        <is>
          <t>材料</t>
        </is>
      </c>
      <c r="E1068" s="8" t="inlineStr">
        <is>
          <t>material</t>
        </is>
      </c>
      <c r="F1068" s="8" t="inlineStr">
        <is>
          <t>common</t>
        </is>
      </c>
      <c r="G1068" s="8" t="inlineStr">
        <is>
          <t>无</t>
        </is>
      </c>
      <c r="H1068" s="8" t="inlineStr">
        <is>
          <t>none</t>
        </is>
      </c>
      <c r="I1068" s="8" t="inlineStr">
        <is>
          <t>1×1</t>
        </is>
      </c>
      <c r="J1068" s="8" t="n">
        <v>1</v>
      </c>
      <c r="K1068" s="8" t="n">
        <v>2</v>
      </c>
      <c r="L1068" s="8" t="inlineStr">
        <is>
          <t>否</t>
        </is>
      </c>
      <c r="M1068" s="9" t="inlineStr"/>
      <c r="N1068" s="8" t="n">
        <v>1</v>
      </c>
      <c r="O1068" s="9" t="inlineStr">
        <is>
          <t>周期触发</t>
        </is>
      </c>
      <c r="P1068" s="9" t="inlineStr">
        <is>
          <t>periodicPulse</t>
        </is>
      </c>
      <c r="Q1068" s="9" t="inlineStr">
        <is>
          <t>周期触发：轮转时，对敌方施加 1 层中毒</t>
        </is>
      </c>
      <c r="R1068" s="9" t="inlineStr"/>
      <c r="S1068" s="9" t="inlineStr">
        <is>
          <t>一团灰白丝腺收缩成小囊，外层覆着细密粘丝和浅褐斑点。可产自妖兽「花斑毒蛛」。</t>
        </is>
      </c>
      <c r="T1068" s="8" t="inlineStr">
        <is>
          <t>material_huaban_duzhu_silk_gland_1x1</t>
        </is>
      </c>
      <c r="U1068" s="8" t="inlineStr">
        <is>
          <t>allowed</t>
        </is>
      </c>
    </row>
    <row r="1069" ht="34" customHeight="1">
      <c r="A1069" s="8" t="n">
        <v>1068</v>
      </c>
      <c r="B1069" s="8" t="n">
        <v>500076</v>
      </c>
      <c r="C1069" s="8" t="inlineStr">
        <is>
          <t>熊掌骨</t>
        </is>
      </c>
      <c r="D1069" s="8" t="inlineStr">
        <is>
          <t>材料</t>
        </is>
      </c>
      <c r="E1069" s="8" t="inlineStr">
        <is>
          <t>material</t>
        </is>
      </c>
      <c r="F1069" s="8" t="inlineStr">
        <is>
          <t>common</t>
        </is>
      </c>
      <c r="G1069" s="8" t="inlineStr">
        <is>
          <t>无</t>
        </is>
      </c>
      <c r="H1069" s="8" t="inlineStr">
        <is>
          <t>none</t>
        </is>
      </c>
      <c r="I1069" s="8" t="inlineStr">
        <is>
          <t>2×2</t>
        </is>
      </c>
      <c r="J1069" s="8" t="n">
        <v>4</v>
      </c>
      <c r="K1069" s="8" t="n">
        <v>7</v>
      </c>
      <c r="L1069" s="8" t="inlineStr">
        <is>
          <t>是</t>
        </is>
      </c>
      <c r="M1069" s="9" t="inlineStr">
        <is>
          <t>beastDrop</t>
        </is>
      </c>
      <c r="N1069" s="8" t="n">
        <v>1</v>
      </c>
      <c r="O1069" s="9" t="inlineStr">
        <is>
          <t>周期触发</t>
        </is>
      </c>
      <c r="P1069" s="9" t="inlineStr">
        <is>
          <t>periodicPulse</t>
        </is>
      </c>
      <c r="Q1069" s="9" t="inlineStr">
        <is>
          <t>周期触发：轮转时，消耗 10 点体力，对敌方造成 4 点伤害</t>
        </is>
      </c>
      <c r="R1069" s="9" t="inlineStr"/>
      <c r="S1069" s="9" t="inlineStr">
        <is>
          <t>一截宽厚掌骨沉重粗大，骨面有黑毛残根和旧裂纹。产自妖兽「黑毛熊妖」。</t>
        </is>
      </c>
      <c r="T1069" s="8" t="inlineStr">
        <is>
          <t>material_heimao_xiongyao_paw_bone_2x2</t>
        </is>
      </c>
      <c r="U1069" s="8" t="inlineStr">
        <is>
          <t>allowed</t>
        </is>
      </c>
    </row>
    <row r="1070" ht="34" customHeight="1">
      <c r="A1070" s="8" t="n">
        <v>1069</v>
      </c>
      <c r="B1070" s="8" t="n">
        <v>500077</v>
      </c>
      <c r="C1070" s="8" t="inlineStr">
        <is>
          <t>黑熊獠牙</t>
        </is>
      </c>
      <c r="D1070" s="8" t="inlineStr">
        <is>
          <t>材料</t>
        </is>
      </c>
      <c r="E1070" s="8" t="inlineStr">
        <is>
          <t>material</t>
        </is>
      </c>
      <c r="F1070" s="8" t="inlineStr">
        <is>
          <t>common</t>
        </is>
      </c>
      <c r="G1070" s="8" t="inlineStr">
        <is>
          <t>无</t>
        </is>
      </c>
      <c r="H1070" s="8" t="inlineStr">
        <is>
          <t>none</t>
        </is>
      </c>
      <c r="I1070" s="8" t="inlineStr">
        <is>
          <t>1×1</t>
        </is>
      </c>
      <c r="J1070" s="8" t="n">
        <v>1</v>
      </c>
      <c r="K1070" s="8" t="n">
        <v>2</v>
      </c>
      <c r="L1070" s="8" t="inlineStr">
        <is>
          <t>否</t>
        </is>
      </c>
      <c r="M1070" s="9" t="inlineStr"/>
      <c r="N1070" s="8" t="n">
        <v>1</v>
      </c>
      <c r="O1070" s="9" t="inlineStr">
        <is>
          <t>周期触发</t>
        </is>
      </c>
      <c r="P1070" s="9" t="inlineStr">
        <is>
          <t>periodicPulse</t>
        </is>
      </c>
      <c r="Q1070" s="9" t="inlineStr">
        <is>
          <t>周期触发：轮转时，消耗 3 点气血，对敌方造成 2 点伤害</t>
        </is>
      </c>
      <c r="R1070" s="9" t="inlineStr"/>
      <c r="S1070" s="9" t="inlineStr">
        <is>
          <t>一枚粗钝獠牙泛着旧黄，牙根残留黑毛和干褐血痕。产自妖兽「黑毛熊妖」。</t>
        </is>
      </c>
      <c r="T1070" s="8" t="inlineStr">
        <is>
          <t>material_heimao_xiongyao_fang_1x1</t>
        </is>
      </c>
      <c r="U1070" s="8" t="inlineStr">
        <is>
          <t>allowed</t>
        </is>
      </c>
    </row>
    <row r="1071" ht="34" customHeight="1">
      <c r="A1071" s="8" t="n">
        <v>1070</v>
      </c>
      <c r="B1071" s="8" t="n">
        <v>500078</v>
      </c>
      <c r="C1071" s="8" t="inlineStr">
        <is>
          <t>厚熊皮</t>
        </is>
      </c>
      <c r="D1071" s="8" t="inlineStr">
        <is>
          <t>材料</t>
        </is>
      </c>
      <c r="E1071" s="8" t="inlineStr">
        <is>
          <t>material</t>
        </is>
      </c>
      <c r="F1071" s="8" t="inlineStr">
        <is>
          <t>common</t>
        </is>
      </c>
      <c r="G1071" s="8" t="inlineStr">
        <is>
          <t>无</t>
        </is>
      </c>
      <c r="H1071" s="8" t="inlineStr">
        <is>
          <t>none</t>
        </is>
      </c>
      <c r="I1071" s="8" t="inlineStr">
        <is>
          <t>2×1</t>
        </is>
      </c>
      <c r="J1071" s="8" t="n">
        <v>2</v>
      </c>
      <c r="K1071" s="8" t="n">
        <v>3</v>
      </c>
      <c r="L1071" s="8" t="inlineStr">
        <is>
          <t>否</t>
        </is>
      </c>
      <c r="M1071" s="9" t="inlineStr"/>
      <c r="N1071" s="8" t="n">
        <v>1</v>
      </c>
      <c r="O1071" s="9" t="inlineStr">
        <is>
          <t>周期触发</t>
        </is>
      </c>
      <c r="P1071" s="9" t="inlineStr">
        <is>
          <t>periodicPulse</t>
        </is>
      </c>
      <c r="Q1071" s="9" t="inlineStr">
        <is>
          <t>周期触发：轮转时，恢复自身 2 点气血</t>
        </is>
      </c>
      <c r="R1071" s="9" t="inlineStr"/>
      <c r="S1071" s="9" t="inlineStr">
        <is>
          <t>一片厚实黑熊皮毛色黯沉，皮下脂层尚厚，边缘切口粗糙。产自妖兽「黑毛熊妖」。</t>
        </is>
      </c>
      <c r="T1071" s="8" t="inlineStr">
        <is>
          <t>material_heimao_xiongyao_thick_pelt_2x1</t>
        </is>
      </c>
      <c r="U1071" s="8" t="inlineStr">
        <is>
          <t>allowed</t>
        </is>
      </c>
    </row>
    <row r="1072" ht="34" customHeight="1">
      <c r="A1072" s="8" t="n">
        <v>1071</v>
      </c>
      <c r="B1072" s="8" t="n">
        <v>500080</v>
      </c>
      <c r="C1072" s="8" t="inlineStr">
        <is>
          <t>青鳞片</t>
        </is>
      </c>
      <c r="D1072" s="8" t="inlineStr">
        <is>
          <t>材料</t>
        </is>
      </c>
      <c r="E1072" s="8" t="inlineStr">
        <is>
          <t>material</t>
        </is>
      </c>
      <c r="F1072" s="8" t="inlineStr">
        <is>
          <t>common</t>
        </is>
      </c>
      <c r="G1072" s="8" t="inlineStr">
        <is>
          <t>水</t>
        </is>
      </c>
      <c r="H1072" s="8" t="inlineStr">
        <is>
          <t>water</t>
        </is>
      </c>
      <c r="I1072" s="8" t="inlineStr">
        <is>
          <t>1×1</t>
        </is>
      </c>
      <c r="J1072" s="8" t="n">
        <v>1</v>
      </c>
      <c r="K1072" s="8" t="n">
        <v>3</v>
      </c>
      <c r="L1072" s="8" t="inlineStr">
        <is>
          <t>否</t>
        </is>
      </c>
      <c r="M1072" s="9" t="inlineStr"/>
      <c r="N1072" s="8" t="n">
        <v>1</v>
      </c>
      <c r="O1072" s="9" t="inlineStr">
        <is>
          <t>周期触发</t>
        </is>
      </c>
      <c r="P1072" s="9" t="inlineStr">
        <is>
          <t>periodicPulse</t>
        </is>
      </c>
      <c r="Q1072" s="9" t="inlineStr">
        <is>
          <t>周期触发：轮转时，将 1 点法力转化为自身 100% 体力</t>
        </is>
      </c>
      <c r="R1072" s="9" t="inlineStr"/>
      <c r="S1072" s="9" t="inlineStr">
        <is>
          <t>一枚溪蜥背上的青色细鳞，边缘带着湿石磨出的浅痕，贴近时仍有一点潮凉气。产自妖兽「青鳞溪蜥」。</t>
        </is>
      </c>
      <c r="T1072" s="8" t="inlineStr">
        <is>
          <t>material_qinglin_xixi_green_scale_1x1</t>
        </is>
      </c>
      <c r="U1072" s="8" t="inlineStr">
        <is>
          <t>allowed</t>
        </is>
      </c>
    </row>
    <row r="1073" ht="34" customHeight="1">
      <c r="A1073" s="8" t="n">
        <v>1072</v>
      </c>
      <c r="B1073" s="8" t="n">
        <v>500081</v>
      </c>
      <c r="C1073" s="8" t="inlineStr">
        <is>
          <t>溪蜥尾</t>
        </is>
      </c>
      <c r="D1073" s="8" t="inlineStr">
        <is>
          <t>材料</t>
        </is>
      </c>
      <c r="E1073" s="8" t="inlineStr">
        <is>
          <t>material</t>
        </is>
      </c>
      <c r="F1073" s="8" t="inlineStr">
        <is>
          <t>common</t>
        </is>
      </c>
      <c r="G1073" s="8" t="inlineStr">
        <is>
          <t>水</t>
        </is>
      </c>
      <c r="H1073" s="8" t="inlineStr">
        <is>
          <t>water</t>
        </is>
      </c>
      <c r="I1073" s="8" t="inlineStr">
        <is>
          <t>1×3</t>
        </is>
      </c>
      <c r="J1073" s="8" t="n">
        <v>3</v>
      </c>
      <c r="K1073" s="8" t="n">
        <v>10</v>
      </c>
      <c r="L1073" s="8" t="inlineStr">
        <is>
          <t>是</t>
        </is>
      </c>
      <c r="M1073" s="9" t="inlineStr">
        <is>
          <t>beastDrop</t>
        </is>
      </c>
      <c r="N1073" s="8" t="n">
        <v>1</v>
      </c>
      <c r="O1073" s="9" t="inlineStr">
        <is>
          <t>周期触发</t>
        </is>
      </c>
      <c r="P1073" s="9" t="inlineStr">
        <is>
          <t>periodicPulse</t>
        </is>
      </c>
      <c r="Q1073" s="9" t="inlineStr">
        <is>
          <t>周期触发：轮转时，对敌方造成 1 点伤害</t>
        </is>
      </c>
      <c r="R1073" s="9" t="inlineStr"/>
      <c r="S1073" s="9" t="inlineStr">
        <is>
          <t>一截青灰色蜥尾弯而有力，断口处的筋膜微微收紧，像还记着贴水急摆的力道。可产自妖兽「青鳞溪蜥」。</t>
        </is>
      </c>
      <c r="T1073" s="8" t="inlineStr">
        <is>
          <t>material_qinglin_xixi_stream_tail_1x3</t>
        </is>
      </c>
      <c r="U1073" s="8" t="inlineStr">
        <is>
          <t>allowed</t>
        </is>
      </c>
    </row>
    <row r="1074" ht="34" customHeight="1">
      <c r="A1074" s="8" t="n">
        <v>1073</v>
      </c>
      <c r="B1074" s="8" t="n">
        <v>500082</v>
      </c>
      <c r="C1074" s="8" t="inlineStr">
        <is>
          <t>湿滑爪</t>
        </is>
      </c>
      <c r="D1074" s="8" t="inlineStr">
        <is>
          <t>材料</t>
        </is>
      </c>
      <c r="E1074" s="8" t="inlineStr">
        <is>
          <t>material</t>
        </is>
      </c>
      <c r="F1074" s="8" t="inlineStr">
        <is>
          <t>common</t>
        </is>
      </c>
      <c r="G1074" s="8" t="inlineStr">
        <is>
          <t>水</t>
        </is>
      </c>
      <c r="H1074" s="8" t="inlineStr">
        <is>
          <t>water</t>
        </is>
      </c>
      <c r="I1074" s="8" t="inlineStr">
        <is>
          <t>1×1</t>
        </is>
      </c>
      <c r="J1074" s="8" t="n">
        <v>1</v>
      </c>
      <c r="K1074" s="8" t="n">
        <v>10</v>
      </c>
      <c r="L1074" s="8" t="inlineStr">
        <is>
          <t>否</t>
        </is>
      </c>
      <c r="M1074" s="9" t="inlineStr"/>
      <c r="N1074" s="8" t="n">
        <v>1</v>
      </c>
      <c r="O1074" s="9" t="inlineStr">
        <is>
          <t>周期触发</t>
        </is>
      </c>
      <c r="P1074" s="9" t="inlineStr">
        <is>
          <t>periodicPulse</t>
        </is>
      </c>
      <c r="Q1074" s="9" t="inlineStr">
        <is>
          <t>周期触发：轮转时，消耗 1 点体力，对敌方造成 1 点伤害</t>
        </is>
      </c>
      <c r="R1074" s="9" t="inlineStr"/>
      <c r="S1074" s="9" t="inlineStr">
        <is>
          <t>一枚薄而尖的溪蜥爪，爪背覆着浅青水膜，抓在石面上会留下细细划痕。可产自妖兽「青鳞溪蜥」。</t>
        </is>
      </c>
      <c r="T1074" s="8" t="inlineStr">
        <is>
          <t>material_qinglin_xixi_wet_claw_1x1</t>
        </is>
      </c>
      <c r="U1074" s="8" t="inlineStr">
        <is>
          <t>allowed</t>
        </is>
      </c>
    </row>
    <row r="1075" ht="34" customHeight="1">
      <c r="A1075" s="8" t="n">
        <v>1074</v>
      </c>
      <c r="B1075" s="8" t="n">
        <v>500083</v>
      </c>
      <c r="C1075" s="8" t="inlineStr">
        <is>
          <t>赤喙</t>
        </is>
      </c>
      <c r="D1075" s="8" t="inlineStr">
        <is>
          <t>材料</t>
        </is>
      </c>
      <c r="E1075" s="8" t="inlineStr">
        <is>
          <t>material</t>
        </is>
      </c>
      <c r="F1075" s="8" t="inlineStr">
        <is>
          <t>common</t>
        </is>
      </c>
      <c r="G1075" s="8" t="inlineStr">
        <is>
          <t>火</t>
        </is>
      </c>
      <c r="H1075" s="8" t="inlineStr">
        <is>
          <t>fire</t>
        </is>
      </c>
      <c r="I1075" s="8" t="inlineStr">
        <is>
          <t>2×1</t>
        </is>
      </c>
      <c r="J1075" s="8" t="n">
        <v>2</v>
      </c>
      <c r="K1075" s="8" t="n">
        <v>3</v>
      </c>
      <c r="L1075" s="8" t="inlineStr">
        <is>
          <t>否</t>
        </is>
      </c>
      <c r="M1075" s="9" t="inlineStr"/>
      <c r="N1075" s="8" t="n">
        <v>1</v>
      </c>
      <c r="O1075" s="9" t="inlineStr">
        <is>
          <t>周期触发</t>
        </is>
      </c>
      <c r="P1075" s="9" t="inlineStr">
        <is>
          <t>periodicPulse</t>
        </is>
      </c>
      <c r="Q1075" s="9" t="inlineStr">
        <is>
          <t>周期触发：轮转时，消耗 3 点法力，对敌方造成 3 点伤害</t>
        </is>
      </c>
      <c r="R1075" s="9" t="inlineStr"/>
      <c r="S1075" s="9" t="inlineStr">
        <is>
          <t>一截火鸦红喙，尖端焦黑，喙缘薄利，像被山坡干风反复烤过。产自妖兽「赤喙火鸦」。</t>
        </is>
      </c>
      <c r="T1075" s="8" t="inlineStr">
        <is>
          <t>material_chihui_huoya_red_beak_2x1</t>
        </is>
      </c>
      <c r="U1075" s="8" t="inlineStr">
        <is>
          <t>allowed</t>
        </is>
      </c>
    </row>
    <row r="1076" ht="34" customHeight="1">
      <c r="A1076" s="8" t="n">
        <v>1075</v>
      </c>
      <c r="B1076" s="8" t="n">
        <v>500084</v>
      </c>
      <c r="C1076" s="8" t="inlineStr">
        <is>
          <t>焦羽</t>
        </is>
      </c>
      <c r="D1076" s="8" t="inlineStr">
        <is>
          <t>材料</t>
        </is>
      </c>
      <c r="E1076" s="8" t="inlineStr">
        <is>
          <t>material</t>
        </is>
      </c>
      <c r="F1076" s="8" t="inlineStr">
        <is>
          <t>common</t>
        </is>
      </c>
      <c r="G1076" s="8" t="inlineStr">
        <is>
          <t>火</t>
        </is>
      </c>
      <c r="H1076" s="8" t="inlineStr">
        <is>
          <t>fire</t>
        </is>
      </c>
      <c r="I1076" s="8" t="inlineStr">
        <is>
          <t>1×2</t>
        </is>
      </c>
      <c r="J1076" s="8" t="n">
        <v>2</v>
      </c>
      <c r="K1076" s="8" t="n">
        <v>10</v>
      </c>
      <c r="L1076" s="8" t="inlineStr">
        <is>
          <t>是</t>
        </is>
      </c>
      <c r="M1076" s="9" t="inlineStr">
        <is>
          <t>beastDrop</t>
        </is>
      </c>
      <c r="N1076" s="8" t="n">
        <v>1</v>
      </c>
      <c r="O1076" s="9" t="inlineStr">
        <is>
          <t>周期触发</t>
        </is>
      </c>
      <c r="P1076" s="9" t="inlineStr">
        <is>
          <t>periodicPulse</t>
        </is>
      </c>
      <c r="Q1076" s="9" t="inlineStr">
        <is>
          <t>周期触发：轮转时，对敌方施加 1 层灼烧</t>
        </is>
      </c>
      <c r="R1076" s="9" t="inlineStr"/>
      <c r="S1076" s="9" t="inlineStr">
        <is>
          <t>两片赤黑相间的火鸦羽并在一处，羽轴干脆，羽尖带着细小焦卷。产自妖兽「赤喙火鸦」。</t>
        </is>
      </c>
      <c r="T1076" s="8" t="inlineStr">
        <is>
          <t>material_chihui_huoya_charred_feather_1x2</t>
        </is>
      </c>
      <c r="U1076" s="8" t="inlineStr">
        <is>
          <t>allowed</t>
        </is>
      </c>
    </row>
    <row r="1077" ht="34" customHeight="1">
      <c r="A1077" s="8" t="n">
        <v>1076</v>
      </c>
      <c r="B1077" s="8" t="n">
        <v>500085</v>
      </c>
      <c r="C1077" s="8" t="inlineStr">
        <is>
          <t>火鸦爪</t>
        </is>
      </c>
      <c r="D1077" s="8" t="inlineStr">
        <is>
          <t>材料</t>
        </is>
      </c>
      <c r="E1077" s="8" t="inlineStr">
        <is>
          <t>material</t>
        </is>
      </c>
      <c r="F1077" s="8" t="inlineStr">
        <is>
          <t>common</t>
        </is>
      </c>
      <c r="G1077" s="8" t="inlineStr">
        <is>
          <t>火</t>
        </is>
      </c>
      <c r="H1077" s="8" t="inlineStr">
        <is>
          <t>fire</t>
        </is>
      </c>
      <c r="I1077" s="8" t="inlineStr">
        <is>
          <t>1×1</t>
        </is>
      </c>
      <c r="J1077" s="8" t="n">
        <v>1</v>
      </c>
      <c r="K1077" s="8" t="n">
        <v>10</v>
      </c>
      <c r="L1077" s="8" t="inlineStr">
        <is>
          <t>否</t>
        </is>
      </c>
      <c r="M1077" s="9" t="inlineStr"/>
      <c r="N1077" s="8" t="n">
        <v>1</v>
      </c>
      <c r="O1077" s="9" t="inlineStr">
        <is>
          <t>周期触发</t>
        </is>
      </c>
      <c r="P1077" s="9" t="inlineStr">
        <is>
          <t>periodicPulse</t>
        </is>
      </c>
      <c r="Q1077" s="9" t="inlineStr">
        <is>
          <t>周期触发：轮转时，对敌方造成 2 点伤害</t>
        </is>
      </c>
      <c r="R1077" s="9" t="inlineStr"/>
      <c r="S1077" s="9" t="inlineStr">
        <is>
          <t>一只细长鸦爪，爪尖泛红，抓痕里夹着黑灰色的枯枝碎屑。产自妖兽「赤喙火鸦」。</t>
        </is>
      </c>
      <c r="T1077" s="8" t="inlineStr">
        <is>
          <t>material_chihui_huoya_fire_talon_1x1</t>
        </is>
      </c>
      <c r="U1077" s="8" t="inlineStr">
        <is>
          <t>allowed</t>
        </is>
      </c>
    </row>
    <row r="1078" ht="34" customHeight="1">
      <c r="A1078" s="8" t="n">
        <v>1077</v>
      </c>
      <c r="B1078" s="8" t="n">
        <v>500086</v>
      </c>
      <c r="C1078" s="8" t="inlineStr">
        <is>
          <t>苍藤角</t>
        </is>
      </c>
      <c r="D1078" s="8" t="inlineStr">
        <is>
          <t>材料</t>
        </is>
      </c>
      <c r="E1078" s="8" t="inlineStr">
        <is>
          <t>material</t>
        </is>
      </c>
      <c r="F1078" s="8" t="inlineStr">
        <is>
          <t>common</t>
        </is>
      </c>
      <c r="G1078" s="8" t="inlineStr">
        <is>
          <t>木</t>
        </is>
      </c>
      <c r="H1078" s="8" t="inlineStr">
        <is>
          <t>wood</t>
        </is>
      </c>
      <c r="I1078" s="8" t="inlineStr">
        <is>
          <t>2×2</t>
        </is>
      </c>
      <c r="J1078" s="8" t="n">
        <v>4</v>
      </c>
      <c r="K1078" s="8" t="n">
        <v>10</v>
      </c>
      <c r="L1078" s="8" t="inlineStr">
        <is>
          <t>是</t>
        </is>
      </c>
      <c r="M1078" s="9" t="inlineStr">
        <is>
          <t>beastDrop</t>
        </is>
      </c>
      <c r="N1078" s="8" t="n">
        <v>1</v>
      </c>
      <c r="O1078" s="9" t="inlineStr">
        <is>
          <t>周期触发</t>
        </is>
      </c>
      <c r="P1078" s="9" t="inlineStr">
        <is>
          <t>periodicPulse</t>
        </is>
      </c>
      <c r="Q1078" s="9" t="inlineStr">
        <is>
          <t>周期触发：轮转时，对敌方造成 3 点伤害</t>
        </is>
      </c>
      <c r="R1078" s="9" t="inlineStr"/>
      <c r="S1078" s="9" t="inlineStr">
        <is>
          <t>一截木鹿青角，角根缠着细藤纹，断面有浅浅的木质年轮。可产自妖兽「苍藤木鹿」、「苔灵护体」。</t>
        </is>
      </c>
      <c r="T1078" s="8" t="inlineStr">
        <is>
          <t>material_cangteng_mulu_vine_antler_2x2</t>
        </is>
      </c>
      <c r="U1078" s="8" t="inlineStr">
        <is>
          <t>allowed</t>
        </is>
      </c>
    </row>
    <row r="1079" ht="34" customHeight="1">
      <c r="A1079" s="8" t="n">
        <v>1078</v>
      </c>
      <c r="B1079" s="8" t="n">
        <v>500087</v>
      </c>
      <c r="C1079" s="8" t="inlineStr">
        <is>
          <t>木鹿皮</t>
        </is>
      </c>
      <c r="D1079" s="8" t="inlineStr">
        <is>
          <t>材料</t>
        </is>
      </c>
      <c r="E1079" s="8" t="inlineStr">
        <is>
          <t>material</t>
        </is>
      </c>
      <c r="F1079" s="8" t="inlineStr">
        <is>
          <t>common</t>
        </is>
      </c>
      <c r="G1079" s="8" t="inlineStr">
        <is>
          <t>木</t>
        </is>
      </c>
      <c r="H1079" s="8" t="inlineStr">
        <is>
          <t>wood</t>
        </is>
      </c>
      <c r="I1079" s="8" t="inlineStr">
        <is>
          <t>1×1</t>
        </is>
      </c>
      <c r="J1079" s="8" t="n">
        <v>1</v>
      </c>
      <c r="K1079" s="8" t="n">
        <v>3</v>
      </c>
      <c r="L1079" s="8" t="inlineStr">
        <is>
          <t>否</t>
        </is>
      </c>
      <c r="M1079" s="9" t="inlineStr"/>
      <c r="N1079" s="8" t="n">
        <v>1</v>
      </c>
      <c r="O1079" s="9" t="inlineStr">
        <is>
          <t>周期触发</t>
        </is>
      </c>
      <c r="P1079" s="9" t="inlineStr">
        <is>
          <t>periodicPulse</t>
        </is>
      </c>
      <c r="Q1079" s="9" t="inlineStr">
        <is>
          <t>周期触发：轮转时，消耗 1 点气血，对敌方造成 6 点伤害</t>
        </is>
      </c>
      <c r="R1079" s="9" t="inlineStr"/>
      <c r="S1079" s="9" t="inlineStr">
        <is>
          <t>一小片带青褐斑点的鹿皮，皮面柔韧，隐约能看见藤脉般的细纹。可产自妖兽「苍藤木鹿」。</t>
        </is>
      </c>
      <c r="T1079" s="8" t="inlineStr">
        <is>
          <t>material_cangteng_mulu_wood_deer_hide_1x1</t>
        </is>
      </c>
      <c r="U1079" s="8" t="inlineStr">
        <is>
          <t>allowed</t>
        </is>
      </c>
    </row>
    <row r="1080" ht="34" customHeight="1">
      <c r="A1080" s="8" t="n">
        <v>1079</v>
      </c>
      <c r="B1080" s="8" t="n">
        <v>500088</v>
      </c>
      <c r="C1080" s="8" t="inlineStr">
        <is>
          <t>青蹄</t>
        </is>
      </c>
      <c r="D1080" s="8" t="inlineStr">
        <is>
          <t>材料</t>
        </is>
      </c>
      <c r="E1080" s="8" t="inlineStr">
        <is>
          <t>material</t>
        </is>
      </c>
      <c r="F1080" s="8" t="inlineStr">
        <is>
          <t>common</t>
        </is>
      </c>
      <c r="G1080" s="8" t="inlineStr">
        <is>
          <t>木</t>
        </is>
      </c>
      <c r="H1080" s="8" t="inlineStr">
        <is>
          <t>wood</t>
        </is>
      </c>
      <c r="I1080" s="8" t="inlineStr">
        <is>
          <t>1×2</t>
        </is>
      </c>
      <c r="J1080" s="8" t="n">
        <v>2</v>
      </c>
      <c r="K1080" s="8" t="n">
        <v>5</v>
      </c>
      <c r="L1080" s="8" t="inlineStr">
        <is>
          <t>否</t>
        </is>
      </c>
      <c r="M1080" s="9" t="inlineStr"/>
      <c r="N1080" s="8" t="n">
        <v>1</v>
      </c>
      <c r="O1080" s="9" t="inlineStr">
        <is>
          <t>周期触发</t>
        </is>
      </c>
      <c r="P1080" s="9" t="inlineStr">
        <is>
          <t>periodicPulse</t>
        </is>
      </c>
      <c r="Q1080" s="9" t="inlineStr">
        <is>
          <t>周期触发：轮转时，将 1 点体力转化为自身 3 点气血</t>
        </is>
      </c>
      <c r="R1080" s="9" t="inlineStr"/>
      <c r="S1080" s="9" t="inlineStr">
        <is>
          <t>一枚青黑鹿蹄，蹄缘细窄，像常年踩过湿软苔地。产自妖兽「苍藤木鹿」。</t>
        </is>
      </c>
      <c r="T1080" s="8" t="inlineStr">
        <is>
          <t>material_cangteng_mulu_green_hoof_1x2</t>
        </is>
      </c>
      <c r="U1080" s="8" t="inlineStr">
        <is>
          <t>allowed</t>
        </is>
      </c>
    </row>
    <row r="1081" ht="34" customHeight="1">
      <c r="A1081" s="8" t="n">
        <v>1080</v>
      </c>
      <c r="B1081" s="8" t="n">
        <v>500089</v>
      </c>
      <c r="C1081" s="8" t="inlineStr">
        <is>
          <t>嫩藤髓</t>
        </is>
      </c>
      <c r="D1081" s="8" t="inlineStr">
        <is>
          <t>材料</t>
        </is>
      </c>
      <c r="E1081" s="8" t="inlineStr">
        <is>
          <t>material</t>
        </is>
      </c>
      <c r="F1081" s="8" t="inlineStr">
        <is>
          <t>common</t>
        </is>
      </c>
      <c r="G1081" s="8" t="inlineStr">
        <is>
          <t>木</t>
        </is>
      </c>
      <c r="H1081" s="8" t="inlineStr">
        <is>
          <t>wood</t>
        </is>
      </c>
      <c r="I1081" s="8" t="inlineStr">
        <is>
          <t>2×1</t>
        </is>
      </c>
      <c r="J1081" s="8" t="n">
        <v>2</v>
      </c>
      <c r="K1081" s="8" t="n">
        <v>10</v>
      </c>
      <c r="L1081" s="8" t="inlineStr">
        <is>
          <t>否</t>
        </is>
      </c>
      <c r="M1081" s="9" t="inlineStr"/>
      <c r="N1081" s="8" t="n">
        <v>1</v>
      </c>
      <c r="O1081" s="9" t="inlineStr">
        <is>
          <t>周期触发</t>
        </is>
      </c>
      <c r="P1081" s="9" t="inlineStr">
        <is>
          <t>periodicPulse</t>
        </is>
      </c>
      <c r="Q1081" s="9" t="inlineStr">
        <is>
          <t>周期触发：轮转时，将 1 点法力转化为自身 3 点气血</t>
        </is>
      </c>
      <c r="R1081" s="9" t="inlineStr"/>
      <c r="S1081" s="9" t="inlineStr">
        <is>
          <t>一小段浅绿藤髓，截面湿润，带着淡淡草木清气。产自妖兽「苍藤木鹿」。</t>
        </is>
      </c>
      <c r="T1081" s="8" t="inlineStr">
        <is>
          <t>material_cangteng_mulu_tender_vine_pith_2x1</t>
        </is>
      </c>
      <c r="U1081" s="8" t="inlineStr">
        <is>
          <t>allowed</t>
        </is>
      </c>
    </row>
    <row r="1082" ht="34" customHeight="1">
      <c r="A1082" s="8" t="n">
        <v>1081</v>
      </c>
      <c r="B1082" s="8" t="n">
        <v>500090</v>
      </c>
      <c r="C1082" s="8" t="inlineStr">
        <is>
          <t>砂甲片</t>
        </is>
      </c>
      <c r="D1082" s="8" t="inlineStr">
        <is>
          <t>材料</t>
        </is>
      </c>
      <c r="E1082" s="8" t="inlineStr">
        <is>
          <t>material</t>
        </is>
      </c>
      <c r="F1082" s="8" t="inlineStr">
        <is>
          <t>common</t>
        </is>
      </c>
      <c r="G1082" s="8" t="inlineStr">
        <is>
          <t>土</t>
        </is>
      </c>
      <c r="H1082" s="8" t="inlineStr">
        <is>
          <t>earth</t>
        </is>
      </c>
      <c r="I1082" s="8" t="inlineStr">
        <is>
          <t>1×3</t>
        </is>
      </c>
      <c r="J1082" s="8" t="n">
        <v>3</v>
      </c>
      <c r="K1082" s="8" t="n">
        <v>10</v>
      </c>
      <c r="L1082" s="8" t="inlineStr">
        <is>
          <t>是</t>
        </is>
      </c>
      <c r="M1082" s="9" t="inlineStr">
        <is>
          <t>beastDrop</t>
        </is>
      </c>
      <c r="N1082" s="8" t="n">
        <v>1</v>
      </c>
      <c r="O1082" s="9" t="inlineStr">
        <is>
          <t>周期触发</t>
        </is>
      </c>
      <c r="P1082" s="9" t="inlineStr">
        <is>
          <t>periodicPulse</t>
        </is>
      </c>
      <c r="Q1082" s="9" t="inlineStr">
        <is>
          <t>周期触发：轮转时，吸取敌人 2 点体力</t>
        </is>
      </c>
      <c r="R1082" s="9" t="inlineStr"/>
      <c r="S1082" s="9" t="inlineStr">
        <is>
          <t>两片贴合的土黄色甲片，甲面粗糙，缝隙里嵌着细砂。产自妖兽「砂甲土鼬」。</t>
        </is>
      </c>
      <c r="T1082" s="8" t="inlineStr">
        <is>
          <t>material_shajia_tuyou_sand_armor_1x3</t>
        </is>
      </c>
      <c r="U1082" s="8" t="inlineStr">
        <is>
          <t>allowed</t>
        </is>
      </c>
    </row>
    <row r="1083" ht="34" customHeight="1">
      <c r="A1083" s="8" t="n">
        <v>1082</v>
      </c>
      <c r="B1083" s="8" t="n">
        <v>500091</v>
      </c>
      <c r="C1083" s="8" t="inlineStr">
        <is>
          <t>土鼬牙</t>
        </is>
      </c>
      <c r="D1083" s="8" t="inlineStr">
        <is>
          <t>材料</t>
        </is>
      </c>
      <c r="E1083" s="8" t="inlineStr">
        <is>
          <t>material</t>
        </is>
      </c>
      <c r="F1083" s="8" t="inlineStr">
        <is>
          <t>common</t>
        </is>
      </c>
      <c r="G1083" s="8" t="inlineStr">
        <is>
          <t>土</t>
        </is>
      </c>
      <c r="H1083" s="8" t="inlineStr">
        <is>
          <t>earth</t>
        </is>
      </c>
      <c r="I1083" s="8" t="inlineStr">
        <is>
          <t>1×2</t>
        </is>
      </c>
      <c r="J1083" s="8" t="n">
        <v>2</v>
      </c>
      <c r="K1083" s="8" t="n">
        <v>3</v>
      </c>
      <c r="L1083" s="8" t="inlineStr">
        <is>
          <t>否</t>
        </is>
      </c>
      <c r="M1083" s="9" t="inlineStr"/>
      <c r="N1083" s="8" t="n">
        <v>1</v>
      </c>
      <c r="O1083" s="9" t="inlineStr">
        <is>
          <t>周期触发</t>
        </is>
      </c>
      <c r="P1083" s="9" t="inlineStr">
        <is>
          <t>periodicPulse</t>
        </is>
      </c>
      <c r="Q1083" s="9" t="inlineStr">
        <is>
          <t>周期触发：轮转时，消耗 1 点体力，对敌方造成 2 点伤害</t>
        </is>
      </c>
      <c r="R1083" s="9" t="inlineStr"/>
      <c r="S1083" s="9" t="inlineStr">
        <is>
          <t>一枚短小尖牙，牙根泛黄，牙面带着啃咬土洞时留下的细碎磨痕。产自妖兽「砂甲土鼬」。</t>
        </is>
      </c>
      <c r="T1083" s="8" t="inlineStr">
        <is>
          <t>material_shajia_tuyou_earth_tooth_1x2</t>
        </is>
      </c>
      <c r="U1083" s="8" t="inlineStr">
        <is>
          <t>allowed</t>
        </is>
      </c>
    </row>
    <row r="1084" ht="34" customHeight="1">
      <c r="A1084" s="8" t="n">
        <v>1083</v>
      </c>
      <c r="B1084" s="8" t="n">
        <v>500092</v>
      </c>
      <c r="C1084" s="8" t="inlineStr">
        <is>
          <t>掘砂前爪</t>
        </is>
      </c>
      <c r="D1084" s="8" t="inlineStr">
        <is>
          <t>材料</t>
        </is>
      </c>
      <c r="E1084" s="8" t="inlineStr">
        <is>
          <t>material</t>
        </is>
      </c>
      <c r="F1084" s="8" t="inlineStr">
        <is>
          <t>common</t>
        </is>
      </c>
      <c r="G1084" s="8" t="inlineStr">
        <is>
          <t>土</t>
        </is>
      </c>
      <c r="H1084" s="8" t="inlineStr">
        <is>
          <t>earth</t>
        </is>
      </c>
      <c r="I1084" s="8" t="inlineStr">
        <is>
          <t>1×2</t>
        </is>
      </c>
      <c r="J1084" s="8" t="n">
        <v>2</v>
      </c>
      <c r="K1084" s="8" t="n">
        <v>10</v>
      </c>
      <c r="L1084" s="8" t="inlineStr">
        <is>
          <t>否</t>
        </is>
      </c>
      <c r="M1084" s="9" t="inlineStr"/>
      <c r="N1084" s="8" t="n">
        <v>1</v>
      </c>
      <c r="O1084" s="9" t="inlineStr">
        <is>
          <t>周期触发</t>
        </is>
      </c>
      <c r="P1084" s="9" t="inlineStr">
        <is>
          <t>periodicPulse</t>
        </is>
      </c>
      <c r="Q1084" s="9" t="inlineStr">
        <is>
          <t>周期触发：轮转时，对敌方造成 1 点伤害</t>
        </is>
      </c>
      <c r="R1084" s="9" t="inlineStr"/>
      <c r="S1084" s="9" t="inlineStr">
        <is>
          <t>两枚并列的土鼬前爪，爪背厚钝，爪尖还黏着干砂。产自妖兽「砂甲土鼬」。</t>
        </is>
      </c>
      <c r="T1084" s="8" t="inlineStr">
        <is>
          <t>material_shajia_tuyou_digging_claw_1x2</t>
        </is>
      </c>
      <c r="U1084" s="8" t="inlineStr">
        <is>
          <t>allowed</t>
        </is>
      </c>
    </row>
    <row r="1085" ht="34" customHeight="1">
      <c r="A1085" s="8" t="n">
        <v>1084</v>
      </c>
      <c r="B1085" s="8" t="n">
        <v>500093</v>
      </c>
      <c r="C1085" s="8" t="inlineStr">
        <is>
          <t>白锋指骨</t>
        </is>
      </c>
      <c r="D1085" s="8" t="inlineStr">
        <is>
          <t>材料</t>
        </is>
      </c>
      <c r="E1085" s="8" t="inlineStr">
        <is>
          <t>material</t>
        </is>
      </c>
      <c r="F1085" s="8" t="inlineStr">
        <is>
          <t>common</t>
        </is>
      </c>
      <c r="G1085" s="8" t="inlineStr">
        <is>
          <t>金</t>
        </is>
      </c>
      <c r="H1085" s="8" t="inlineStr">
        <is>
          <t>metal</t>
        </is>
      </c>
      <c r="I1085" s="8" t="inlineStr">
        <is>
          <t>1×1</t>
        </is>
      </c>
      <c r="J1085" s="8" t="n">
        <v>1</v>
      </c>
      <c r="K1085" s="8" t="n">
        <v>3</v>
      </c>
      <c r="L1085" s="8" t="inlineStr">
        <is>
          <t>否</t>
        </is>
      </c>
      <c r="M1085" s="9" t="inlineStr"/>
      <c r="N1085" s="8" t="n">
        <v>1</v>
      </c>
      <c r="O1085" s="9" t="inlineStr">
        <is>
          <t>周期触发</t>
        </is>
      </c>
      <c r="P1085" s="9" t="inlineStr">
        <is>
          <t>periodicPulse</t>
        </is>
      </c>
      <c r="Q1085" s="9" t="inlineStr">
        <is>
          <t>周期触发：轮转时，消耗 1 点法力，对敌方造成 4 点伤害</t>
        </is>
      </c>
      <c r="R1085" s="9" t="inlineStr"/>
      <c r="S1085" s="9" t="inlineStr">
        <is>
          <t>一截金猿指骨，骨端尖白如刃，关节处有细密撞痕。产自妖兽「白锋金猿」。</t>
        </is>
      </c>
      <c r="T1085" s="8" t="inlineStr">
        <is>
          <t>material_baifeng_jinyuan_white_finger_bone_1x1</t>
        </is>
      </c>
      <c r="U1085" s="8" t="inlineStr">
        <is>
          <t>allowed</t>
        </is>
      </c>
    </row>
    <row r="1086" ht="34" customHeight="1">
      <c r="A1086" s="8" t="n">
        <v>1085</v>
      </c>
      <c r="B1086" s="8" t="n">
        <v>500094</v>
      </c>
      <c r="C1086" s="8" t="inlineStr">
        <is>
          <t>金猿臂筋</t>
        </is>
      </c>
      <c r="D1086" s="8" t="inlineStr">
        <is>
          <t>材料</t>
        </is>
      </c>
      <c r="E1086" s="8" t="inlineStr">
        <is>
          <t>material</t>
        </is>
      </c>
      <c r="F1086" s="8" t="inlineStr">
        <is>
          <t>common</t>
        </is>
      </c>
      <c r="G1086" s="8" t="inlineStr">
        <is>
          <t>金</t>
        </is>
      </c>
      <c r="H1086" s="8" t="inlineStr">
        <is>
          <t>metal</t>
        </is>
      </c>
      <c r="I1086" s="8" t="inlineStr">
        <is>
          <t>2×1</t>
        </is>
      </c>
      <c r="J1086" s="8" t="n">
        <v>2</v>
      </c>
      <c r="K1086" s="8" t="n">
        <v>10</v>
      </c>
      <c r="L1086" s="8" t="inlineStr">
        <is>
          <t>是</t>
        </is>
      </c>
      <c r="M1086" s="9" t="inlineStr">
        <is>
          <t>beastDrop</t>
        </is>
      </c>
      <c r="N1086" s="8" t="n">
        <v>1</v>
      </c>
      <c r="O1086" s="9" t="inlineStr">
        <is>
          <t>周期触发</t>
        </is>
      </c>
      <c r="P1086" s="9" t="inlineStr">
        <is>
          <t>periodicPulse</t>
        </is>
      </c>
      <c r="Q1086" s="9" t="inlineStr">
        <is>
          <t>周期触发：轮转时，消耗 1 点体力，对敌方造成 1 点伤害</t>
        </is>
      </c>
      <c r="R1086" s="9" t="inlineStr"/>
      <c r="S1086" s="9" t="inlineStr">
        <is>
          <t>一束韧而发亮的猿臂筋，筋络紧绷，隐约带着石梁间跳跃攀扯的力道。产自妖兽「白锋金猿」。</t>
        </is>
      </c>
      <c r="T1086" s="8" t="inlineStr">
        <is>
          <t>material_baifeng_jinyuan_arm_sinew_2x1</t>
        </is>
      </c>
      <c r="U1086" s="8" t="inlineStr">
        <is>
          <t>allowed</t>
        </is>
      </c>
    </row>
    <row r="1087" ht="34" customHeight="1">
      <c r="A1087" s="8" t="n">
        <v>1086</v>
      </c>
      <c r="B1087" s="8" t="n">
        <v>500095</v>
      </c>
      <c r="C1087" s="8" t="inlineStr">
        <is>
          <t>裂石犬齿</t>
        </is>
      </c>
      <c r="D1087" s="8" t="inlineStr">
        <is>
          <t>材料</t>
        </is>
      </c>
      <c r="E1087" s="8" t="inlineStr">
        <is>
          <t>material</t>
        </is>
      </c>
      <c r="F1087" s="8" t="inlineStr">
        <is>
          <t>common</t>
        </is>
      </c>
      <c r="G1087" s="8" t="inlineStr">
        <is>
          <t>金</t>
        </is>
      </c>
      <c r="H1087" s="8" t="inlineStr">
        <is>
          <t>metal</t>
        </is>
      </c>
      <c r="I1087" s="8" t="inlineStr">
        <is>
          <t>1×2</t>
        </is>
      </c>
      <c r="J1087" s="8" t="n">
        <v>2</v>
      </c>
      <c r="K1087" s="8" t="n">
        <v>5</v>
      </c>
      <c r="L1087" s="8" t="inlineStr">
        <is>
          <t>否</t>
        </is>
      </c>
      <c r="M1087" s="9" t="inlineStr"/>
      <c r="N1087" s="8" t="n">
        <v>1</v>
      </c>
      <c r="O1087" s="9" t="inlineStr">
        <is>
          <t>周期触发</t>
        </is>
      </c>
      <c r="P1087" s="9" t="inlineStr">
        <is>
          <t>periodicPulse</t>
        </is>
      </c>
      <c r="Q1087" s="9" t="inlineStr">
        <is>
          <t>周期触发：开局时，对敌方造成 3 点伤害</t>
        </is>
      </c>
      <c r="R1087" s="9" t="inlineStr"/>
      <c r="S1087" s="9" t="inlineStr">
        <is>
          <t>一枚带裂纹的金猿犬齿，齿尖泛白，像曾咬碎过山石边缘。产自妖兽「白锋金猿」。</t>
        </is>
      </c>
      <c r="T1087" s="8" t="inlineStr">
        <is>
          <t>material_baifeng_jinyuan_cracked_fang_1x2</t>
        </is>
      </c>
      <c r="U1087" s="8" t="inlineStr">
        <is>
          <t>allowed</t>
        </is>
      </c>
    </row>
    <row r="1088" ht="34" customHeight="1">
      <c r="A1088" s="8" t="n">
        <v>1087</v>
      </c>
      <c r="B1088" s="8" t="n">
        <v>500096</v>
      </c>
      <c r="C1088" s="8" t="inlineStr">
        <is>
          <t>亮背毛</t>
        </is>
      </c>
      <c r="D1088" s="8" t="inlineStr">
        <is>
          <t>材料</t>
        </is>
      </c>
      <c r="E1088" s="8" t="inlineStr">
        <is>
          <t>material</t>
        </is>
      </c>
      <c r="F1088" s="8" t="inlineStr">
        <is>
          <t>common</t>
        </is>
      </c>
      <c r="G1088" s="8" t="inlineStr">
        <is>
          <t>金</t>
        </is>
      </c>
      <c r="H1088" s="8" t="inlineStr">
        <is>
          <t>metal</t>
        </is>
      </c>
      <c r="I1088" s="8" t="inlineStr">
        <is>
          <t>2×2</t>
        </is>
      </c>
      <c r="J1088" s="8" t="n">
        <v>4</v>
      </c>
      <c r="K1088" s="8" t="n">
        <v>10</v>
      </c>
      <c r="L1088" s="8" t="inlineStr">
        <is>
          <t>否</t>
        </is>
      </c>
      <c r="M1088" s="9" t="inlineStr"/>
      <c r="N1088" s="8" t="n">
        <v>1</v>
      </c>
      <c r="O1088" s="9" t="inlineStr">
        <is>
          <t>周期触发</t>
        </is>
      </c>
      <c r="P1088" s="9" t="inlineStr">
        <is>
          <t>periodicPulse</t>
        </is>
      </c>
      <c r="Q1088" s="9" t="inlineStr">
        <is>
          <t>周期触发：开局时，获得 3 层护甲</t>
        </is>
      </c>
      <c r="R1088" s="9" t="inlineStr"/>
      <c r="S1088" s="9" t="inlineStr">
        <is>
          <t>一撮灰白猿毛，毛尖带着淡淡金光，摸上去粗硬扎手。产自妖兽「白锋金猿」。</t>
        </is>
      </c>
      <c r="T1088" s="8" t="inlineStr">
        <is>
          <t>material_baifeng_jinyuan_bright_back_fur_2x2</t>
        </is>
      </c>
      <c r="U1088" s="8" t="inlineStr">
        <is>
          <t>allowed</t>
        </is>
      </c>
    </row>
    <row r="1089" ht="34" customHeight="1">
      <c r="A1089" s="8" t="n">
        <v>1088</v>
      </c>
      <c r="B1089" s="8" t="n">
        <v>500097</v>
      </c>
      <c r="C1089" s="8" t="inlineStr">
        <is>
          <t>墨涧皮</t>
        </is>
      </c>
      <c r="D1089" s="8" t="inlineStr">
        <is>
          <t>材料</t>
        </is>
      </c>
      <c r="E1089" s="8" t="inlineStr">
        <is>
          <t>material</t>
        </is>
      </c>
      <c r="F1089" s="8" t="inlineStr">
        <is>
          <t>common</t>
        </is>
      </c>
      <c r="G1089" s="8" t="inlineStr">
        <is>
          <t>水</t>
        </is>
      </c>
      <c r="H1089" s="8" t="inlineStr">
        <is>
          <t>water</t>
        </is>
      </c>
      <c r="I1089" s="8" t="inlineStr">
        <is>
          <t>2×2</t>
        </is>
      </c>
      <c r="J1089" s="8" t="n">
        <v>4</v>
      </c>
      <c r="K1089" s="8" t="n">
        <v>17</v>
      </c>
      <c r="L1089" s="8" t="inlineStr">
        <is>
          <t>是</t>
        </is>
      </c>
      <c r="M1089" s="9" t="inlineStr">
        <is>
          <t>beastDrop</t>
        </is>
      </c>
      <c r="N1089" s="8" t="n">
        <v>1</v>
      </c>
      <c r="O1089" s="9" t="inlineStr">
        <is>
          <t>周期触发</t>
        </is>
      </c>
      <c r="P1089" s="9" t="inlineStr">
        <is>
          <t>periodicPulse</t>
        </is>
      </c>
      <c r="Q1089" s="9" t="inlineStr">
        <is>
          <t>周期触发：轮转时，将 3 点法力转化为自身 5 点气血</t>
        </is>
      </c>
      <c r="R1089" s="9" t="inlineStr"/>
      <c r="S1089" s="9" t="inlineStr">
        <is>
          <t>一片深青近墨的水獭皮，皮面细密油亮，像常年贴着涧底暗流打磨。产自妖兽「墨涧水獭」。</t>
        </is>
      </c>
      <c r="T1089" s="8" t="inlineStr">
        <is>
          <t>material_mojian_shuita_dark_pelt_2x2</t>
        </is>
      </c>
      <c r="U1089" s="8" t="inlineStr">
        <is>
          <t>allowed</t>
        </is>
      </c>
    </row>
    <row r="1090" ht="34" customHeight="1">
      <c r="A1090" s="8" t="n">
        <v>1089</v>
      </c>
      <c r="B1090" s="8" t="n">
        <v>500098</v>
      </c>
      <c r="C1090" s="8" t="inlineStr">
        <is>
          <t>汲法须</t>
        </is>
      </c>
      <c r="D1090" s="8" t="inlineStr">
        <is>
          <t>材料</t>
        </is>
      </c>
      <c r="E1090" s="8" t="inlineStr">
        <is>
          <t>material</t>
        </is>
      </c>
      <c r="F1090" s="8" t="inlineStr">
        <is>
          <t>common</t>
        </is>
      </c>
      <c r="G1090" s="8" t="inlineStr">
        <is>
          <t>水</t>
        </is>
      </c>
      <c r="H1090" s="8" t="inlineStr">
        <is>
          <t>water</t>
        </is>
      </c>
      <c r="I1090" s="8" t="inlineStr">
        <is>
          <t>1×2</t>
        </is>
      </c>
      <c r="J1090" s="8" t="n">
        <v>2</v>
      </c>
      <c r="K1090" s="8" t="n">
        <v>9</v>
      </c>
      <c r="L1090" s="8" t="inlineStr">
        <is>
          <t>否</t>
        </is>
      </c>
      <c r="M1090" s="9" t="inlineStr"/>
      <c r="N1090" s="8" t="n">
        <v>1</v>
      </c>
      <c r="O1090" s="9" t="inlineStr">
        <is>
          <t>周期触发</t>
        </is>
      </c>
      <c r="P1090" s="9" t="inlineStr">
        <is>
          <t>periodicPulse</t>
        </is>
      </c>
      <c r="Q1090" s="9" t="inlineStr">
        <is>
          <t>周期触发：轮转时，吸取敌人 1 点法力</t>
        </is>
      </c>
      <c r="R1090" s="9" t="inlineStr"/>
      <c r="S1090" s="9" t="inlineStr">
        <is>
          <t>数根柔韧的水獭长须，须尖带着淡蓝微光，靠近灵气时会轻轻颤动。产自妖兽「墨涧水獭」。</t>
        </is>
      </c>
      <c r="T1090" s="8" t="inlineStr">
        <is>
          <t>material_mojian_shuita_mana_whisker_1x2</t>
        </is>
      </c>
      <c r="U1090" s="8" t="inlineStr">
        <is>
          <t>allowed</t>
        </is>
      </c>
    </row>
    <row r="1091" ht="34" customHeight="1">
      <c r="A1091" s="8" t="n">
        <v>1090</v>
      </c>
      <c r="B1091" s="8" t="n">
        <v>500099</v>
      </c>
      <c r="C1091" s="8" t="inlineStr">
        <is>
          <t>湿石爪</t>
        </is>
      </c>
      <c r="D1091" s="8" t="inlineStr">
        <is>
          <t>材料</t>
        </is>
      </c>
      <c r="E1091" s="8" t="inlineStr">
        <is>
          <t>material</t>
        </is>
      </c>
      <c r="F1091" s="8" t="inlineStr">
        <is>
          <t>common</t>
        </is>
      </c>
      <c r="G1091" s="8" t="inlineStr">
        <is>
          <t>水</t>
        </is>
      </c>
      <c r="H1091" s="8" t="inlineStr">
        <is>
          <t>water</t>
        </is>
      </c>
      <c r="I1091" s="8" t="inlineStr">
        <is>
          <t>1×1</t>
        </is>
      </c>
      <c r="J1091" s="8" t="n">
        <v>1</v>
      </c>
      <c r="K1091" s="8" t="n">
        <v>9</v>
      </c>
      <c r="L1091" s="8" t="inlineStr">
        <is>
          <t>否</t>
        </is>
      </c>
      <c r="M1091" s="9" t="inlineStr"/>
      <c r="N1091" s="8" t="n">
        <v>1</v>
      </c>
      <c r="O1091" s="9" t="inlineStr">
        <is>
          <t>周期触发</t>
        </is>
      </c>
      <c r="P1091" s="9" t="inlineStr">
        <is>
          <t>periodicPulse</t>
        </is>
      </c>
      <c r="Q1091" s="9" t="inlineStr">
        <is>
          <t>周期触发：轮转时，对敌方造成 1 点伤害</t>
        </is>
      </c>
      <c r="R1091" s="9" t="inlineStr"/>
      <c r="S1091" s="9" t="inlineStr">
        <is>
          <t>一枚沾着黑水痕的细爪，爪尖锋利，能在湿石上划出浅白痕迹。可产自妖兽「墨涧水獭」。</t>
        </is>
      </c>
      <c r="T1091" s="8" t="inlineStr">
        <is>
          <t>material_mojian_shuita_wet_stone_claw_1x1</t>
        </is>
      </c>
      <c r="U1091" s="8" t="inlineStr">
        <is>
          <t>allowed</t>
        </is>
      </c>
    </row>
    <row r="1092" ht="34" customHeight="1">
      <c r="A1092" s="8" t="n">
        <v>1091</v>
      </c>
      <c r="B1092" s="8" t="n">
        <v>500100</v>
      </c>
      <c r="C1092" s="8" t="inlineStr">
        <is>
          <t>回潮尾</t>
        </is>
      </c>
      <c r="D1092" s="8" t="inlineStr">
        <is>
          <t>材料</t>
        </is>
      </c>
      <c r="E1092" s="8" t="inlineStr">
        <is>
          <t>material</t>
        </is>
      </c>
      <c r="F1092" s="8" t="inlineStr">
        <is>
          <t>common</t>
        </is>
      </c>
      <c r="G1092" s="8" t="inlineStr">
        <is>
          <t>水</t>
        </is>
      </c>
      <c r="H1092" s="8" t="inlineStr">
        <is>
          <t>water</t>
        </is>
      </c>
      <c r="I1092" s="8" t="inlineStr">
        <is>
          <t>2×2</t>
        </is>
      </c>
      <c r="J1092" s="8" t="n">
        <v>4</v>
      </c>
      <c r="K1092" s="8" t="n">
        <v>14</v>
      </c>
      <c r="L1092" s="8" t="inlineStr">
        <is>
          <t>否</t>
        </is>
      </c>
      <c r="M1092" s="9" t="inlineStr"/>
      <c r="N1092" s="8" t="n">
        <v>1</v>
      </c>
      <c r="O1092" s="9" t="inlineStr">
        <is>
          <t>周期触发</t>
        </is>
      </c>
      <c r="P1092" s="9" t="inlineStr">
        <is>
          <t>periodicPulse</t>
        </is>
      </c>
      <c r="Q1092" s="9" t="inlineStr">
        <is>
          <t>周期触发：开局时，获得 5 层闪避</t>
        </is>
      </c>
      <c r="R1092" s="9" t="inlineStr"/>
      <c r="S1092" s="9" t="inlineStr">
        <is>
          <t>一截厚实水獭尾，尾缘覆着暗色细鳞，断面仍有潮气缓缓渗出。产自妖兽「墨涧水獭」。</t>
        </is>
      </c>
      <c r="T1092" s="8" t="inlineStr">
        <is>
          <t>material_mojian_shuita_returning_tide_tail_2x2</t>
        </is>
      </c>
      <c r="U1092" s="8" t="inlineStr">
        <is>
          <t>allowed</t>
        </is>
      </c>
    </row>
    <row r="1093" ht="34" customHeight="1">
      <c r="A1093" s="8" t="n">
        <v>1092</v>
      </c>
      <c r="B1093" s="8" t="n">
        <v>500101</v>
      </c>
      <c r="C1093" s="8" t="inlineStr">
        <is>
          <t>绛尾毛</t>
        </is>
      </c>
      <c r="D1093" s="8" t="inlineStr">
        <is>
          <t>材料</t>
        </is>
      </c>
      <c r="E1093" s="8" t="inlineStr">
        <is>
          <t>material</t>
        </is>
      </c>
      <c r="F1093" s="8" t="inlineStr">
        <is>
          <t>common</t>
        </is>
      </c>
      <c r="G1093" s="8" t="inlineStr">
        <is>
          <t>火</t>
        </is>
      </c>
      <c r="H1093" s="8" t="inlineStr">
        <is>
          <t>fire</t>
        </is>
      </c>
      <c r="I1093" s="8" t="inlineStr">
        <is>
          <t>1×3</t>
        </is>
      </c>
      <c r="J1093" s="8" t="n">
        <v>3</v>
      </c>
      <c r="K1093" s="8" t="n">
        <v>14</v>
      </c>
      <c r="L1093" s="8" t="inlineStr">
        <is>
          <t>是</t>
        </is>
      </c>
      <c r="M1093" s="9" t="inlineStr">
        <is>
          <t>beastDrop</t>
        </is>
      </c>
      <c r="N1093" s="8" t="n">
        <v>1</v>
      </c>
      <c r="O1093" s="9" t="inlineStr">
        <is>
          <t>周期触发</t>
        </is>
      </c>
      <c r="P1093" s="9" t="inlineStr">
        <is>
          <t>periodicPulse</t>
        </is>
      </c>
      <c r="Q1093" s="9" t="inlineStr">
        <is>
          <t>周期触发：轮转时，对敌方施加 1 层灼烧</t>
        </is>
      </c>
      <c r="R1093" s="9" t="inlineStr"/>
      <c r="S1093" s="9" t="inlineStr">
        <is>
          <t>一撮赤红狐尾长毛，毛根微黑，毛尖像残留着细小火星。产自妖兽「绛尾焰狐」。</t>
        </is>
      </c>
      <c r="T1093" s="8" t="inlineStr">
        <is>
          <t>material_jiangwei_yanhu_crimson_tail_fur_1x3</t>
        </is>
      </c>
      <c r="U1093" s="8" t="inlineStr">
        <is>
          <t>allowed</t>
        </is>
      </c>
    </row>
    <row r="1094" ht="34" customHeight="1">
      <c r="A1094" s="8" t="n">
        <v>1093</v>
      </c>
      <c r="B1094" s="8" t="n">
        <v>500102</v>
      </c>
      <c r="C1094" s="8" t="inlineStr">
        <is>
          <t>狐焰齿</t>
        </is>
      </c>
      <c r="D1094" s="8" t="inlineStr">
        <is>
          <t>材料</t>
        </is>
      </c>
      <c r="E1094" s="8" t="inlineStr">
        <is>
          <t>material</t>
        </is>
      </c>
      <c r="F1094" s="8" t="inlineStr">
        <is>
          <t>common</t>
        </is>
      </c>
      <c r="G1094" s="8" t="inlineStr">
        <is>
          <t>火</t>
        </is>
      </c>
      <c r="H1094" s="8" t="inlineStr">
        <is>
          <t>fire</t>
        </is>
      </c>
      <c r="I1094" s="8" t="inlineStr">
        <is>
          <t>2×2</t>
        </is>
      </c>
      <c r="J1094" s="8" t="n">
        <v>4</v>
      </c>
      <c r="K1094" s="8" t="n">
        <v>6</v>
      </c>
      <c r="L1094" s="8" t="inlineStr">
        <is>
          <t>否</t>
        </is>
      </c>
      <c r="M1094" s="9" t="inlineStr"/>
      <c r="N1094" s="8" t="n">
        <v>1</v>
      </c>
      <c r="O1094" s="9" t="inlineStr">
        <is>
          <t>周期触发</t>
        </is>
      </c>
      <c r="P1094" s="9" t="inlineStr">
        <is>
          <t>periodicPulse</t>
        </is>
      </c>
      <c r="Q1094" s="9" t="inlineStr">
        <is>
          <t>周期触发：轮转时，消耗 3 点法力，并消耗敌方 1 层灼烧，敌方每有 1 层灼烧就对其造成 1 点伤害</t>
        </is>
      </c>
      <c r="R1094" s="9" t="inlineStr"/>
      <c r="S1094" s="9" t="inlineStr">
        <is>
          <t>一枚细长狐齿，齿根暗红，齿尖有被火息熏出的透明裂纹。产自妖兽「绛尾焰狐」。</t>
        </is>
      </c>
      <c r="T1094" s="8" t="inlineStr">
        <is>
          <t>material_jiangwei_yanhu_foxflame_tooth_2x2</t>
        </is>
      </c>
      <c r="U1094" s="8" t="inlineStr">
        <is>
          <t>allowed</t>
        </is>
      </c>
    </row>
    <row r="1095" ht="34" customHeight="1">
      <c r="A1095" s="8" t="n">
        <v>1094</v>
      </c>
      <c r="B1095" s="8" t="n">
        <v>500103</v>
      </c>
      <c r="C1095" s="8" t="inlineStr">
        <is>
          <t>焦耳</t>
        </is>
      </c>
      <c r="D1095" s="8" t="inlineStr">
        <is>
          <t>材料</t>
        </is>
      </c>
      <c r="E1095" s="8" t="inlineStr">
        <is>
          <t>material</t>
        </is>
      </c>
      <c r="F1095" s="8" t="inlineStr">
        <is>
          <t>common</t>
        </is>
      </c>
      <c r="G1095" s="8" t="inlineStr">
        <is>
          <t>火</t>
        </is>
      </c>
      <c r="H1095" s="8" t="inlineStr">
        <is>
          <t>fire</t>
        </is>
      </c>
      <c r="I1095" s="8" t="inlineStr">
        <is>
          <t>1×2</t>
        </is>
      </c>
      <c r="J1095" s="8" t="n">
        <v>2</v>
      </c>
      <c r="K1095" s="8" t="n">
        <v>9</v>
      </c>
      <c r="L1095" s="8" t="inlineStr">
        <is>
          <t>否</t>
        </is>
      </c>
      <c r="M1095" s="9" t="inlineStr"/>
      <c r="N1095" s="8" t="n">
        <v>1</v>
      </c>
      <c r="O1095" s="9" t="inlineStr">
        <is>
          <t>周期触发</t>
        </is>
      </c>
      <c r="P1095" s="9" t="inlineStr">
        <is>
          <t>periodicPulse</t>
        </is>
      </c>
      <c r="Q1095" s="9" t="inlineStr">
        <is>
          <t>周期触发：轮转时，获得 1 层炎热</t>
        </is>
      </c>
      <c r="R1095" s="9" t="inlineStr"/>
      <c r="S1095" s="9" t="inlineStr">
        <is>
          <t>一只薄小狐耳，耳缘焦卷发脆，内侧残着浅浅的绛红纹路。产自妖兽「绛尾焰狐」。</t>
        </is>
      </c>
      <c r="T1095" s="8" t="inlineStr">
        <is>
          <t>material_jiangwei_yanhu_scorched_ear_1x2</t>
        </is>
      </c>
      <c r="U1095" s="8" t="inlineStr">
        <is>
          <t>allowed</t>
        </is>
      </c>
    </row>
    <row r="1096" ht="34" customHeight="1">
      <c r="A1096" s="8" t="n">
        <v>1095</v>
      </c>
      <c r="B1096" s="8" t="n">
        <v>500104</v>
      </c>
      <c r="C1096" s="8" t="inlineStr">
        <is>
          <t>赤焰爪</t>
        </is>
      </c>
      <c r="D1096" s="8" t="inlineStr">
        <is>
          <t>材料</t>
        </is>
      </c>
      <c r="E1096" s="8" t="inlineStr">
        <is>
          <t>material</t>
        </is>
      </c>
      <c r="F1096" s="8" t="inlineStr">
        <is>
          <t>common</t>
        </is>
      </c>
      <c r="G1096" s="8" t="inlineStr">
        <is>
          <t>火</t>
        </is>
      </c>
      <c r="H1096" s="8" t="inlineStr">
        <is>
          <t>fire</t>
        </is>
      </c>
      <c r="I1096" s="8" t="inlineStr">
        <is>
          <t>1×1</t>
        </is>
      </c>
      <c r="J1096" s="8" t="n">
        <v>1</v>
      </c>
      <c r="K1096" s="8" t="n">
        <v>14</v>
      </c>
      <c r="L1096" s="8" t="inlineStr">
        <is>
          <t>否</t>
        </is>
      </c>
      <c r="M1096" s="9" t="inlineStr"/>
      <c r="N1096" s="8" t="n">
        <v>1</v>
      </c>
      <c r="O1096" s="9" t="inlineStr">
        <is>
          <t>周期触发</t>
        </is>
      </c>
      <c r="P1096" s="9" t="inlineStr">
        <is>
          <t>periodicPulse</t>
        </is>
      </c>
      <c r="Q1096" s="9" t="inlineStr">
        <is>
          <t>周期触发：轮转时，将 3 点法力与每 1 层炎热转化为 3 点气血</t>
        </is>
      </c>
      <c r="R1096" s="9" t="inlineStr"/>
      <c r="S1096" s="9" t="inlineStr">
        <is>
          <t>两枚并列狐爪，爪背赤亮，爪尖像刚从热灰里抽出。产自妖兽「绛尾焰狐」。</t>
        </is>
      </c>
      <c r="T1096" s="8" t="inlineStr">
        <is>
          <t>material_jiangwei_yanhu_red_flame_claw_1x1</t>
        </is>
      </c>
      <c r="U1096" s="8" t="inlineStr">
        <is>
          <t>allowed</t>
        </is>
      </c>
    </row>
    <row r="1097" ht="34" customHeight="1">
      <c r="A1097" s="8" t="n">
        <v>1096</v>
      </c>
      <c r="B1097" s="8" t="n">
        <v>500105</v>
      </c>
      <c r="C1097" s="8" t="inlineStr">
        <is>
          <t>铁脊甲</t>
        </is>
      </c>
      <c r="D1097" s="8" t="inlineStr">
        <is>
          <t>材料</t>
        </is>
      </c>
      <c r="E1097" s="8" t="inlineStr">
        <is>
          <t>material</t>
        </is>
      </c>
      <c r="F1097" s="8" t="inlineStr">
        <is>
          <t>common</t>
        </is>
      </c>
      <c r="G1097" s="8" t="inlineStr">
        <is>
          <t>土</t>
        </is>
      </c>
      <c r="H1097" s="8" t="inlineStr">
        <is>
          <t>earth</t>
        </is>
      </c>
      <c r="I1097" s="8" t="inlineStr">
        <is>
          <t>2×2</t>
        </is>
      </c>
      <c r="J1097" s="8" t="n">
        <v>4</v>
      </c>
      <c r="K1097" s="8" t="n">
        <v>10</v>
      </c>
      <c r="L1097" s="8" t="inlineStr">
        <is>
          <t>是</t>
        </is>
      </c>
      <c r="M1097" s="9" t="inlineStr">
        <is>
          <t>beastDrop</t>
        </is>
      </c>
      <c r="N1097" s="8" t="n">
        <v>1</v>
      </c>
      <c r="O1097" s="9" t="inlineStr">
        <is>
          <t>周期触发</t>
        </is>
      </c>
      <c r="P1097" s="9" t="inlineStr">
        <is>
          <t>periodicPulse</t>
        </is>
      </c>
      <c r="Q1097" s="9" t="inlineStr">
        <is>
          <t>周期触发：轮转时，恢复自身 5 点气血</t>
        </is>
      </c>
      <c r="R1097" s="9" t="inlineStr"/>
      <c r="S1097" s="9" t="inlineStr">
        <is>
          <t>一片厚重岩蜥背甲，甲面泛着铁灰色冷光，边缘嵌着碎砂。产自妖兽「铁脊岩蜥」。</t>
        </is>
      </c>
      <c r="T1097" s="8" t="inlineStr">
        <is>
          <t>material_tieji_yanxi_iron_spine_plate_2x2</t>
        </is>
      </c>
      <c r="U1097" s="8" t="inlineStr">
        <is>
          <t>allowed</t>
        </is>
      </c>
    </row>
    <row r="1098" ht="34" customHeight="1">
      <c r="A1098" s="8" t="n">
        <v>1097</v>
      </c>
      <c r="B1098" s="8" t="n">
        <v>500106</v>
      </c>
      <c r="C1098" s="8" t="inlineStr">
        <is>
          <t>岩蜥牙</t>
        </is>
      </c>
      <c r="D1098" s="8" t="inlineStr">
        <is>
          <t>材料</t>
        </is>
      </c>
      <c r="E1098" s="8" t="inlineStr">
        <is>
          <t>material</t>
        </is>
      </c>
      <c r="F1098" s="8" t="inlineStr">
        <is>
          <t>common</t>
        </is>
      </c>
      <c r="G1098" s="8" t="inlineStr">
        <is>
          <t>土</t>
        </is>
      </c>
      <c r="H1098" s="8" t="inlineStr">
        <is>
          <t>earth</t>
        </is>
      </c>
      <c r="I1098" s="8" t="inlineStr">
        <is>
          <t>1×2</t>
        </is>
      </c>
      <c r="J1098" s="8" t="n">
        <v>2</v>
      </c>
      <c r="K1098" s="8" t="n">
        <v>9</v>
      </c>
      <c r="L1098" s="8" t="inlineStr">
        <is>
          <t>否</t>
        </is>
      </c>
      <c r="M1098" s="9" t="inlineStr"/>
      <c r="N1098" s="8" t="n">
        <v>1</v>
      </c>
      <c r="O1098" s="9" t="inlineStr">
        <is>
          <t>周期触发</t>
        </is>
      </c>
      <c r="P1098" s="9" t="inlineStr">
        <is>
          <t>periodicPulse</t>
        </is>
      </c>
      <c r="Q1098" s="9" t="inlineStr">
        <is>
          <t>周期触发：轮转时，对敌方造成 1 点伤害</t>
        </is>
      </c>
      <c r="R1098" s="9" t="inlineStr"/>
      <c r="S1098" s="9" t="inlineStr">
        <is>
          <t>一枚灰白短牙，牙面钝厚，带着咬碎砂岩留下的横纹。产自妖兽「铁脊岩蜥」。</t>
        </is>
      </c>
      <c r="T1098" s="8" t="inlineStr">
        <is>
          <t>material_tieji_yanxi_rock_lizard_tooth_1x2</t>
        </is>
      </c>
      <c r="U1098" s="8" t="inlineStr">
        <is>
          <t>allowed</t>
        </is>
      </c>
    </row>
    <row r="1099" ht="34" customHeight="1">
      <c r="A1099" s="8" t="n">
        <v>1098</v>
      </c>
      <c r="B1099" s="8" t="n">
        <v>500107</v>
      </c>
      <c r="C1099" s="8" t="inlineStr">
        <is>
          <t>裂岩尾</t>
        </is>
      </c>
      <c r="D1099" s="8" t="inlineStr">
        <is>
          <t>材料</t>
        </is>
      </c>
      <c r="E1099" s="8" t="inlineStr">
        <is>
          <t>material</t>
        </is>
      </c>
      <c r="F1099" s="8" t="inlineStr">
        <is>
          <t>common</t>
        </is>
      </c>
      <c r="G1099" s="8" t="inlineStr">
        <is>
          <t>土</t>
        </is>
      </c>
      <c r="H1099" s="8" t="inlineStr">
        <is>
          <t>earth</t>
        </is>
      </c>
      <c r="I1099" s="8" t="inlineStr">
        <is>
          <t>1×2</t>
        </is>
      </c>
      <c r="J1099" s="8" t="n">
        <v>2</v>
      </c>
      <c r="K1099" s="8" t="n">
        <v>9</v>
      </c>
      <c r="L1099" s="8" t="inlineStr">
        <is>
          <t>否</t>
        </is>
      </c>
      <c r="M1099" s="9" t="inlineStr"/>
      <c r="N1099" s="8" t="n">
        <v>1</v>
      </c>
      <c r="O1099" s="9" t="inlineStr">
        <is>
          <t>周期触发</t>
        </is>
      </c>
      <c r="P1099" s="9" t="inlineStr">
        <is>
          <t>periodicPulse</t>
        </is>
      </c>
      <c r="Q1099" s="9" t="inlineStr">
        <is>
          <t>周期触发：轮转时，消耗 2 点体力，对敌方造成 4 点伤害</t>
        </is>
      </c>
      <c r="R1099" s="9" t="inlineStr"/>
      <c r="S1099" s="9" t="inlineStr">
        <is>
          <t>一截粗硬岩蜥尾，尾节隆起如石锤，裂缝里夹着暗褐土屑。产自妖兽「铁脊岩蜥」。</t>
        </is>
      </c>
      <c r="T1099" s="8" t="inlineStr">
        <is>
          <t>material_tieji_yanxi_cracked_rock_tail_1x2</t>
        </is>
      </c>
      <c r="U1099" s="8" t="inlineStr">
        <is>
          <t>allowed</t>
        </is>
      </c>
    </row>
    <row r="1100" ht="34" customHeight="1">
      <c r="A1100" s="8" t="n">
        <v>1099</v>
      </c>
      <c r="B1100" s="8" t="n">
        <v>500108</v>
      </c>
      <c r="C1100" s="8" t="inlineStr">
        <is>
          <t>厚趾</t>
        </is>
      </c>
      <c r="D1100" s="8" t="inlineStr">
        <is>
          <t>材料</t>
        </is>
      </c>
      <c r="E1100" s="8" t="inlineStr">
        <is>
          <t>material</t>
        </is>
      </c>
      <c r="F1100" s="8" t="inlineStr">
        <is>
          <t>common</t>
        </is>
      </c>
      <c r="G1100" s="8" t="inlineStr">
        <is>
          <t>土</t>
        </is>
      </c>
      <c r="H1100" s="8" t="inlineStr">
        <is>
          <t>earth</t>
        </is>
      </c>
      <c r="I1100" s="8" t="inlineStr">
        <is>
          <t>2×2</t>
        </is>
      </c>
      <c r="J1100" s="8" t="n">
        <v>4</v>
      </c>
      <c r="K1100" s="8" t="n">
        <v>2</v>
      </c>
      <c r="L1100" s="8" t="inlineStr">
        <is>
          <t>否</t>
        </is>
      </c>
      <c r="M1100" s="9" t="inlineStr"/>
      <c r="N1100" s="8" t="n">
        <v>1</v>
      </c>
      <c r="O1100" s="9" t="inlineStr">
        <is>
          <t>周期触发</t>
        </is>
      </c>
      <c r="P1100" s="9" t="inlineStr">
        <is>
          <t>periodicPulse</t>
        </is>
      </c>
      <c r="Q1100" s="9" t="inlineStr">
        <is>
          <t>周期触发：轮转时，扣除敌方 2 点体力
扣除敌方 1 点法力</t>
        </is>
      </c>
      <c r="R1100" s="9" t="inlineStr"/>
      <c r="S1100" s="9" t="inlineStr">
        <is>
          <t>一枚粗厚岩蜥趾，趾底结着硬茧，踩落时像小石块砸地。产自妖兽「铁脊岩蜥」。</t>
        </is>
      </c>
      <c r="T1100" s="8" t="inlineStr">
        <is>
          <t>material_tieji_yanxi_heavy_toe_2x2</t>
        </is>
      </c>
      <c r="U1100" s="8" t="inlineStr">
        <is>
          <t>allowed</t>
        </is>
      </c>
    </row>
    <row r="1101" ht="34" customHeight="1">
      <c r="A1101" s="8" t="n">
        <v>1100</v>
      </c>
      <c r="B1101" s="8" t="n">
        <v>500109</v>
      </c>
      <c r="C1101" s="8" t="inlineStr">
        <is>
          <t>青枝臂骨</t>
        </is>
      </c>
      <c r="D1101" s="8" t="inlineStr">
        <is>
          <t>材料</t>
        </is>
      </c>
      <c r="E1101" s="8" t="inlineStr">
        <is>
          <t>material</t>
        </is>
      </c>
      <c r="F1101" s="8" t="inlineStr">
        <is>
          <t>common</t>
        </is>
      </c>
      <c r="G1101" s="8" t="inlineStr">
        <is>
          <t>木</t>
        </is>
      </c>
      <c r="H1101" s="8" t="inlineStr">
        <is>
          <t>wood</t>
        </is>
      </c>
      <c r="I1101" s="8" t="inlineStr">
        <is>
          <t>2×2</t>
        </is>
      </c>
      <c r="J1101" s="8" t="n">
        <v>4</v>
      </c>
      <c r="K1101" s="8" t="n">
        <v>14</v>
      </c>
      <c r="L1101" s="8" t="inlineStr">
        <is>
          <t>是</t>
        </is>
      </c>
      <c r="M1101" s="9" t="inlineStr">
        <is>
          <t>beastDrop</t>
        </is>
      </c>
      <c r="N1101" s="8" t="n">
        <v>1</v>
      </c>
      <c r="O1101" s="9" t="inlineStr">
        <is>
          <t>周期触发</t>
        </is>
      </c>
      <c r="P1101" s="9" t="inlineStr">
        <is>
          <t>periodicPulse</t>
        </is>
      </c>
      <c r="Q1101" s="9" t="inlineStr">
        <is>
          <t>周期触发：轮转时，每有 1 点法力，对敌方造成 1 点伤害</t>
        </is>
      </c>
      <c r="R1101" s="9" t="inlineStr"/>
      <c r="S1101" s="9" t="inlineStr">
        <is>
          <t>一截细长猕臂骨，骨面透着青绿枝纹，轻敲时有木质脆响。产自妖兽「青枝灵猕」。</t>
        </is>
      </c>
      <c r="T1101" s="8" t="inlineStr">
        <is>
          <t>material_qingzhi_lingmi_green_branch_armbone_2x2</t>
        </is>
      </c>
      <c r="U1101" s="8" t="inlineStr">
        <is>
          <t>allowed</t>
        </is>
      </c>
    </row>
    <row r="1102" ht="34" customHeight="1">
      <c r="A1102" s="8" t="n">
        <v>1101</v>
      </c>
      <c r="B1102" s="8" t="n">
        <v>500110</v>
      </c>
      <c r="C1102" s="8" t="inlineStr">
        <is>
          <t>藤纹尾</t>
        </is>
      </c>
      <c r="D1102" s="8" t="inlineStr">
        <is>
          <t>材料</t>
        </is>
      </c>
      <c r="E1102" s="8" t="inlineStr">
        <is>
          <t>material</t>
        </is>
      </c>
      <c r="F1102" s="8" t="inlineStr">
        <is>
          <t>common</t>
        </is>
      </c>
      <c r="G1102" s="8" t="inlineStr">
        <is>
          <t>木</t>
        </is>
      </c>
      <c r="H1102" s="8" t="inlineStr">
        <is>
          <t>wood</t>
        </is>
      </c>
      <c r="I1102" s="8" t="inlineStr">
        <is>
          <t>1×2</t>
        </is>
      </c>
      <c r="J1102" s="8" t="n">
        <v>2</v>
      </c>
      <c r="K1102" s="8" t="n">
        <v>6</v>
      </c>
      <c r="L1102" s="8" t="inlineStr">
        <is>
          <t>否</t>
        </is>
      </c>
      <c r="M1102" s="9" t="inlineStr"/>
      <c r="N1102" s="8" t="n">
        <v>1</v>
      </c>
      <c r="O1102" s="9" t="inlineStr">
        <is>
          <t>周期触发</t>
        </is>
      </c>
      <c r="P1102" s="9" t="inlineStr">
        <is>
          <t>periodicPulse</t>
        </is>
      </c>
      <c r="Q1102" s="9" t="inlineStr">
        <is>
          <t>周期触发：轮转时，消耗 1 点体力，吸取敌人 1 点法力</t>
        </is>
      </c>
      <c r="R1102" s="9" t="inlineStr"/>
      <c r="S1102" s="9" t="inlineStr">
        <is>
          <t>一截带藤纹的青灰猕尾，尾皮柔韧，末端卷曲如细藤。产自妖兽「青枝灵猕」。</t>
        </is>
      </c>
      <c r="T1102" s="8" t="inlineStr">
        <is>
          <t>material_qingzhi_lingmi_vine_pattern_tail_1x2</t>
        </is>
      </c>
      <c r="U1102" s="8" t="inlineStr">
        <is>
          <t>allowed</t>
        </is>
      </c>
    </row>
    <row r="1103" ht="34" customHeight="1">
      <c r="A1103" s="8" t="n">
        <v>1102</v>
      </c>
      <c r="B1103" s="8" t="n">
        <v>500111</v>
      </c>
      <c r="C1103" s="8" t="inlineStr">
        <is>
          <t>嫩叶囊</t>
        </is>
      </c>
      <c r="D1103" s="8" t="inlineStr">
        <is>
          <t>材料</t>
        </is>
      </c>
      <c r="E1103" s="8" t="inlineStr">
        <is>
          <t>material</t>
        </is>
      </c>
      <c r="F1103" s="8" t="inlineStr">
        <is>
          <t>common</t>
        </is>
      </c>
      <c r="G1103" s="8" t="inlineStr">
        <is>
          <t>木</t>
        </is>
      </c>
      <c r="H1103" s="8" t="inlineStr">
        <is>
          <t>wood</t>
        </is>
      </c>
      <c r="I1103" s="8" t="inlineStr">
        <is>
          <t>2×2</t>
        </is>
      </c>
      <c r="J1103" s="8" t="n">
        <v>4</v>
      </c>
      <c r="K1103" s="8" t="n">
        <v>9</v>
      </c>
      <c r="L1103" s="8" t="inlineStr">
        <is>
          <t>否</t>
        </is>
      </c>
      <c r="M1103" s="9" t="inlineStr"/>
      <c r="N1103" s="8" t="n">
        <v>1</v>
      </c>
      <c r="O1103" s="9" t="inlineStr">
        <is>
          <t>周期触发</t>
        </is>
      </c>
      <c r="P1103" s="9" t="inlineStr">
        <is>
          <t>periodicPulse</t>
        </is>
      </c>
      <c r="Q1103" s="9" t="inlineStr">
        <is>
          <t>周期触发：轮转时，恢复自身 1 点气血</t>
        </is>
      </c>
      <c r="R1103" s="9" t="inlineStr"/>
      <c r="S1103" s="9" t="inlineStr">
        <is>
          <t>一个小小青囊，囊壁半透，里面沉着几缕嫩叶汁液。产自妖兽「青枝灵猕」。</t>
        </is>
      </c>
      <c r="T1103" s="8" t="inlineStr">
        <is>
          <t>material_qingzhi_lingmi_tender_leaf_sac_2x2</t>
        </is>
      </c>
      <c r="U1103" s="8" t="inlineStr">
        <is>
          <t>allowed</t>
        </is>
      </c>
    </row>
    <row r="1104" ht="34" customHeight="1">
      <c r="A1104" s="8" t="n">
        <v>1103</v>
      </c>
      <c r="B1104" s="8" t="n">
        <v>500112</v>
      </c>
      <c r="C1104" s="8" t="inlineStr">
        <is>
          <t>灵猕掌</t>
        </is>
      </c>
      <c r="D1104" s="8" t="inlineStr">
        <is>
          <t>材料</t>
        </is>
      </c>
      <c r="E1104" s="8" t="inlineStr">
        <is>
          <t>material</t>
        </is>
      </c>
      <c r="F1104" s="8" t="inlineStr">
        <is>
          <t>common</t>
        </is>
      </c>
      <c r="G1104" s="8" t="inlineStr">
        <is>
          <t>木</t>
        </is>
      </c>
      <c r="H1104" s="8" t="inlineStr">
        <is>
          <t>wood</t>
        </is>
      </c>
      <c r="I1104" s="8" t="inlineStr">
        <is>
          <t>1×2</t>
        </is>
      </c>
      <c r="J1104" s="8" t="n">
        <v>2</v>
      </c>
      <c r="K1104" s="8" t="n">
        <v>14</v>
      </c>
      <c r="L1104" s="8" t="inlineStr">
        <is>
          <t>否</t>
        </is>
      </c>
      <c r="M1104" s="9" t="inlineStr"/>
      <c r="N1104" s="8" t="n">
        <v>1</v>
      </c>
      <c r="O1104" s="9" t="inlineStr">
        <is>
          <t>周期触发</t>
        </is>
      </c>
      <c r="P1104" s="9" t="inlineStr">
        <is>
          <t>periodicPulse</t>
        </is>
      </c>
      <c r="Q1104" s="9" t="inlineStr">
        <is>
          <t>周期触发：轮转时，对敌方造成 1 点伤害</t>
        </is>
      </c>
      <c r="R1104" s="9" t="inlineStr"/>
      <c r="S1104" s="9" t="inlineStr">
        <is>
          <t>一只薄小猕掌，掌心有浅青纹路，像树叶脉络贴在皮下。产自妖兽「青枝灵猕」。</t>
        </is>
      </c>
      <c r="T1104" s="8" t="inlineStr">
        <is>
          <t>material_qingzhi_lingmi_spirit_macaque_palm_1x2</t>
        </is>
      </c>
      <c r="U1104" s="8" t="inlineStr">
        <is>
          <t>allowed</t>
        </is>
      </c>
    </row>
    <row r="1105" ht="34" customHeight="1">
      <c r="A1105" s="8" t="n">
        <v>1104</v>
      </c>
      <c r="B1105" s="8" t="n">
        <v>500113</v>
      </c>
      <c r="C1105" s="8" t="inlineStr">
        <is>
          <t>白眉须</t>
        </is>
      </c>
      <c r="D1105" s="8" t="inlineStr">
        <is>
          <t>材料</t>
        </is>
      </c>
      <c r="E1105" s="8" t="inlineStr">
        <is>
          <t>material</t>
        </is>
      </c>
      <c r="F1105" s="8" t="inlineStr">
        <is>
          <t>common</t>
        </is>
      </c>
      <c r="G1105" s="8" t="inlineStr">
        <is>
          <t>金</t>
        </is>
      </c>
      <c r="H1105" s="8" t="inlineStr">
        <is>
          <t>metal</t>
        </is>
      </c>
      <c r="I1105" s="8" t="inlineStr">
        <is>
          <t>1×1</t>
        </is>
      </c>
      <c r="J1105" s="8" t="n">
        <v>1</v>
      </c>
      <c r="K1105" s="8" t="n">
        <v>10</v>
      </c>
      <c r="L1105" s="8" t="inlineStr">
        <is>
          <t>是</t>
        </is>
      </c>
      <c r="M1105" s="9" t="inlineStr">
        <is>
          <t>beastDrop</t>
        </is>
      </c>
      <c r="N1105" s="8" t="n">
        <v>1</v>
      </c>
      <c r="O1105" s="9" t="inlineStr">
        <is>
          <t>周期触发</t>
        </is>
      </c>
      <c r="P1105" s="9" t="inlineStr">
        <is>
          <t>periodicPulse</t>
        </is>
      </c>
      <c r="Q1105" s="9" t="inlineStr">
        <is>
          <t>周期触发：开局时，获得 3 层闪避</t>
        </is>
      </c>
      <c r="R1105" s="9" t="inlineStr"/>
      <c r="S1105" s="9" t="inlineStr">
        <is>
          <t>两根银白鼠须，须身极细却挺直，末端凝着一点冷亮微芒。产自妖兽「白眉识鼠」。</t>
        </is>
      </c>
      <c r="T1105" s="8" t="inlineStr">
        <is>
          <t>material_baimei_shishu_white_brow_whisker_1x1</t>
        </is>
      </c>
      <c r="U1105" s="8" t="inlineStr">
        <is>
          <t>allowed</t>
        </is>
      </c>
    </row>
    <row r="1106" ht="34" customHeight="1">
      <c r="A1106" s="8" t="n">
        <v>1105</v>
      </c>
      <c r="B1106" s="8" t="n">
        <v>500114</v>
      </c>
      <c r="C1106" s="8" t="inlineStr">
        <is>
          <t>识鼠齿</t>
        </is>
      </c>
      <c r="D1106" s="8" t="inlineStr">
        <is>
          <t>材料</t>
        </is>
      </c>
      <c r="E1106" s="8" t="inlineStr">
        <is>
          <t>material</t>
        </is>
      </c>
      <c r="F1106" s="8" t="inlineStr">
        <is>
          <t>common</t>
        </is>
      </c>
      <c r="G1106" s="8" t="inlineStr">
        <is>
          <t>金</t>
        </is>
      </c>
      <c r="H1106" s="8" t="inlineStr">
        <is>
          <t>metal</t>
        </is>
      </c>
      <c r="I1106" s="8" t="inlineStr">
        <is>
          <t>2×2</t>
        </is>
      </c>
      <c r="J1106" s="8" t="n">
        <v>4</v>
      </c>
      <c r="K1106" s="8" t="n">
        <v>9</v>
      </c>
      <c r="L1106" s="8" t="inlineStr">
        <is>
          <t>否</t>
        </is>
      </c>
      <c r="M1106" s="9" t="inlineStr"/>
      <c r="N1106" s="8" t="n">
        <v>1</v>
      </c>
      <c r="O1106" s="9" t="inlineStr">
        <is>
          <t>周期触发</t>
        </is>
      </c>
      <c r="P1106" s="9" t="inlineStr">
        <is>
          <t>periodicPulse</t>
        </is>
      </c>
      <c r="Q1106" s="9" t="inlineStr">
        <is>
          <t>周期触发：轮转时，消耗 1 点体力，对敌方造成 2 点伤害</t>
        </is>
      </c>
      <c r="R1106" s="9" t="inlineStr"/>
      <c r="S1106" s="9" t="inlineStr">
        <is>
          <t>一枚细白鼠齿，齿尖锋薄，齿面带着像刻痕一样的淡金线。产自妖兽「白眉识鼠」。</t>
        </is>
      </c>
      <c r="T1106" s="8" t="inlineStr">
        <is>
          <t>material_baimei_shishu_knowing_tooth_2x2</t>
        </is>
      </c>
      <c r="U1106" s="8" t="inlineStr">
        <is>
          <t>allowed</t>
        </is>
      </c>
    </row>
    <row r="1107" ht="34" customHeight="1">
      <c r="A1107" s="8" t="n">
        <v>1106</v>
      </c>
      <c r="B1107" s="8" t="n">
        <v>500115</v>
      </c>
      <c r="C1107" s="8" t="inlineStr">
        <is>
          <t>偷息爪</t>
        </is>
      </c>
      <c r="D1107" s="8" t="inlineStr">
        <is>
          <t>材料</t>
        </is>
      </c>
      <c r="E1107" s="8" t="inlineStr">
        <is>
          <t>material</t>
        </is>
      </c>
      <c r="F1107" s="8" t="inlineStr">
        <is>
          <t>common</t>
        </is>
      </c>
      <c r="G1107" s="8" t="inlineStr">
        <is>
          <t>金</t>
        </is>
      </c>
      <c r="H1107" s="8" t="inlineStr">
        <is>
          <t>metal</t>
        </is>
      </c>
      <c r="I1107" s="8" t="inlineStr">
        <is>
          <t>1×3</t>
        </is>
      </c>
      <c r="J1107" s="8" t="n">
        <v>3</v>
      </c>
      <c r="K1107" s="8" t="n">
        <v>2</v>
      </c>
      <c r="L1107" s="8" t="inlineStr">
        <is>
          <t>否</t>
        </is>
      </c>
      <c r="M1107" s="9" t="inlineStr"/>
      <c r="N1107" s="8" t="n">
        <v>1</v>
      </c>
      <c r="O1107" s="9" t="inlineStr">
        <is>
          <t>周期触发</t>
        </is>
      </c>
      <c r="P1107" s="9" t="inlineStr">
        <is>
          <t>periodicPulse</t>
        </is>
      </c>
      <c r="Q1107" s="9" t="inlineStr">
        <is>
          <t>周期触发：轮转时，消耗 3 点法力，扣除敌方 1 点法力</t>
        </is>
      </c>
      <c r="R1107" s="9" t="inlineStr"/>
      <c r="S1107" s="9" t="inlineStr">
        <is>
          <t>一枚短而弯的白鼠爪，爪尖内扣，像专门勾断灵息细线。产自妖兽「白眉识鼠」。</t>
        </is>
      </c>
      <c r="T1107" s="8" t="inlineStr">
        <is>
          <t>material_baimei_shishu_breath_stealing_claw_1x3</t>
        </is>
      </c>
      <c r="U1107" s="8" t="inlineStr">
        <is>
          <t>allowed</t>
        </is>
      </c>
    </row>
    <row r="1108" ht="34" customHeight="1">
      <c r="A1108" s="8" t="n">
        <v>1107</v>
      </c>
      <c r="B1108" s="8" t="n">
        <v>500116</v>
      </c>
      <c r="C1108" s="8" t="inlineStr">
        <is>
          <t>细尾骨</t>
        </is>
      </c>
      <c r="D1108" s="8" t="inlineStr">
        <is>
          <t>材料</t>
        </is>
      </c>
      <c r="E1108" s="8" t="inlineStr">
        <is>
          <t>material</t>
        </is>
      </c>
      <c r="F1108" s="8" t="inlineStr">
        <is>
          <t>common</t>
        </is>
      </c>
      <c r="G1108" s="8" t="inlineStr">
        <is>
          <t>金</t>
        </is>
      </c>
      <c r="H1108" s="8" t="inlineStr">
        <is>
          <t>metal</t>
        </is>
      </c>
      <c r="I1108" s="8" t="inlineStr">
        <is>
          <t>2×2</t>
        </is>
      </c>
      <c r="J1108" s="8" t="n">
        <v>4</v>
      </c>
      <c r="K1108" s="8" t="n">
        <v>2</v>
      </c>
      <c r="L1108" s="8" t="inlineStr">
        <is>
          <t>否</t>
        </is>
      </c>
      <c r="M1108" s="9" t="inlineStr"/>
      <c r="N1108" s="8" t="n">
        <v>1</v>
      </c>
      <c r="O1108" s="9" t="inlineStr">
        <is>
          <t>周期触发</t>
        </is>
      </c>
      <c r="P1108" s="9" t="inlineStr">
        <is>
          <t>periodicPulse</t>
        </is>
      </c>
      <c r="Q1108" s="9" t="inlineStr">
        <is>
          <t>周期触发：轮转时，恢复自身 3 点气血</t>
        </is>
      </c>
      <c r="R1108" s="9" t="inlineStr"/>
      <c r="S1108" s="9" t="inlineStr">
        <is>
          <t>一截纤细鼠尾骨，骨节紧密，轻轻一折便发出清脆声响。产自妖兽「白眉识鼠」。</t>
        </is>
      </c>
      <c r="T1108" s="8" t="inlineStr">
        <is>
          <t>material_baimei_shishu_slender_tailbone_2x2</t>
        </is>
      </c>
      <c r="U1108" s="8" t="inlineStr">
        <is>
          <t>allowed</t>
        </is>
      </c>
    </row>
    <row r="1109" ht="34" customHeight="1">
      <c r="A1109" s="8" t="n">
        <v>1108</v>
      </c>
      <c r="B1109" s="8" t="n">
        <v>500157</v>
      </c>
      <c r="C1109" s="8" t="inlineStr">
        <is>
          <t>避水鳞膜</t>
        </is>
      </c>
      <c r="D1109" s="8" t="inlineStr">
        <is>
          <t>材料</t>
        </is>
      </c>
      <c r="E1109" s="8" t="inlineStr">
        <is>
          <t>material</t>
        </is>
      </c>
      <c r="F1109" s="8" t="inlineStr">
        <is>
          <t>common</t>
        </is>
      </c>
      <c r="G1109" s="8" t="inlineStr">
        <is>
          <t>水</t>
        </is>
      </c>
      <c r="H1109" s="8" t="inlineStr">
        <is>
          <t>water</t>
        </is>
      </c>
      <c r="I1109" s="8" t="inlineStr">
        <is>
          <t>2×2</t>
        </is>
      </c>
      <c r="J1109" s="8" t="n">
        <v>4</v>
      </c>
      <c r="K1109" s="8" t="n">
        <v>2</v>
      </c>
      <c r="L1109" s="8" t="inlineStr">
        <is>
          <t>否</t>
        </is>
      </c>
      <c r="M1109" s="9" t="inlineStr"/>
      <c r="N1109" s="8" t="n">
        <v>1</v>
      </c>
      <c r="O1109" s="9" t="inlineStr">
        <is>
          <t>周期触发</t>
        </is>
      </c>
      <c r="P1109" s="9" t="inlineStr">
        <is>
          <t>periodicPulse</t>
        </is>
      </c>
      <c r="Q1109" s="9" t="inlineStr">
        <is>
          <t>周期触发：轮转时，获得 1 层闪避</t>
        </is>
      </c>
      <c r="R1109" s="9" t="inlineStr"/>
      <c r="S1109" s="9" t="inlineStr">
        <is>
          <t>一片从溪蜥腹侧剥落的薄鳞膜，青光贴着水痕流转，轻触时会滑开指尖。产自妖兽「青鳞溪蜥」。</t>
        </is>
      </c>
      <c r="T1109" s="8" t="inlineStr">
        <is>
          <t>material_qinglin_xixi_water_dodge_membrane_2x2</t>
        </is>
      </c>
      <c r="U1109" s="8" t="inlineStr">
        <is>
          <t>allowed</t>
        </is>
      </c>
    </row>
    <row r="1110" ht="34" customHeight="1">
      <c r="A1110" s="8" t="n">
        <v>1109</v>
      </c>
      <c r="B1110" s="8" t="n">
        <v>500158</v>
      </c>
      <c r="C1110" s="8" t="inlineStr">
        <is>
          <t>灼喉火囊</t>
        </is>
      </c>
      <c r="D1110" s="8" t="inlineStr">
        <is>
          <t>材料</t>
        </is>
      </c>
      <c r="E1110" s="8" t="inlineStr">
        <is>
          <t>material</t>
        </is>
      </c>
      <c r="F1110" s="8" t="inlineStr">
        <is>
          <t>common</t>
        </is>
      </c>
      <c r="G1110" s="8" t="inlineStr">
        <is>
          <t>火</t>
        </is>
      </c>
      <c r="H1110" s="8" t="inlineStr">
        <is>
          <t>fire</t>
        </is>
      </c>
      <c r="I1110" s="8" t="inlineStr">
        <is>
          <t>2×2</t>
        </is>
      </c>
      <c r="J1110" s="8" t="n">
        <v>4</v>
      </c>
      <c r="K1110" s="8" t="n">
        <v>2</v>
      </c>
      <c r="L1110" s="8" t="inlineStr">
        <is>
          <t>否</t>
        </is>
      </c>
      <c r="M1110" s="9" t="inlineStr"/>
      <c r="N1110" s="8" t="n">
        <v>1</v>
      </c>
      <c r="O1110" s="9" t="inlineStr">
        <is>
          <t>周期触发</t>
        </is>
      </c>
      <c r="P1110" s="9" t="inlineStr">
        <is>
          <t>periodicPulse</t>
        </is>
      </c>
      <c r="Q1110" s="9" t="inlineStr">
        <is>
          <t>周期触发：轮转时，消耗 3 点法力，并消耗敌方 1 层灼烧，敌方每有 1 层灼烧就对其造成 1 点伤害</t>
        </is>
      </c>
      <c r="R1110" s="9" t="inlineStr"/>
      <c r="S1110" s="9" t="inlineStr">
        <is>
          <t>一枚赤喙火鸦喉下的小火囊，囊壁焦红，内里像压着一口未吐尽的热息。产自妖兽「赤喙火鸦」。</t>
        </is>
      </c>
      <c r="T1110" s="8" t="inlineStr">
        <is>
          <t>material_chihui_huoya_scorched_throat_sac_2x2</t>
        </is>
      </c>
      <c r="U1110" s="8" t="inlineStr">
        <is>
          <t>allowed</t>
        </is>
      </c>
    </row>
    <row r="1111" ht="34" customHeight="1">
      <c r="A1111" s="8" t="n">
        <v>1110</v>
      </c>
      <c r="B1111" s="8" t="n">
        <v>500159</v>
      </c>
      <c r="C1111" s="8" t="inlineStr">
        <is>
          <t>砂甲尾锥</t>
        </is>
      </c>
      <c r="D1111" s="8" t="inlineStr">
        <is>
          <t>材料</t>
        </is>
      </c>
      <c r="E1111" s="8" t="inlineStr">
        <is>
          <t>material</t>
        </is>
      </c>
      <c r="F1111" s="8" t="inlineStr">
        <is>
          <t>common</t>
        </is>
      </c>
      <c r="G1111" s="8" t="inlineStr">
        <is>
          <t>土</t>
        </is>
      </c>
      <c r="H1111" s="8" t="inlineStr">
        <is>
          <t>earth</t>
        </is>
      </c>
      <c r="I1111" s="8" t="inlineStr">
        <is>
          <t>2×1</t>
        </is>
      </c>
      <c r="J1111" s="8" t="n">
        <v>2</v>
      </c>
      <c r="K1111" s="8" t="n">
        <v>2</v>
      </c>
      <c r="L1111" s="8" t="inlineStr">
        <is>
          <t>否</t>
        </is>
      </c>
      <c r="M1111" s="9" t="inlineStr"/>
      <c r="N1111" s="8" t="n">
        <v>1</v>
      </c>
      <c r="O1111" s="9" t="inlineStr">
        <is>
          <t>周期触发</t>
        </is>
      </c>
      <c r="P1111" s="9" t="inlineStr">
        <is>
          <t>periodicPulse</t>
        </is>
      </c>
      <c r="Q1111" s="9" t="inlineStr">
        <is>
          <t>周期触发：轮转时，对敌方造成 3 点伤害</t>
        </is>
      </c>
      <c r="R1111" s="9" t="inlineStr"/>
      <c r="S1111" s="9" t="inlineStr">
        <is>
          <t>一截土鼬尾端硬锥，锥面裹着粗砂，挥动时会带出短促的破风声。产自妖兽「砂甲土鼬」。</t>
        </is>
      </c>
      <c r="T1111" s="8" t="inlineStr">
        <is>
          <t>material_shajia_tuyou_sand_tail_spur_2x1</t>
        </is>
      </c>
      <c r="U1111" s="8" t="inlineStr">
        <is>
          <t>allowed</t>
        </is>
      </c>
    </row>
    <row r="1112" ht="34" customHeight="1">
      <c r="A1112" s="8" t="n">
        <v>1111</v>
      </c>
      <c r="B1112" s="8" t="n">
        <v>500160</v>
      </c>
      <c r="C1112" s="8" t="inlineStr">
        <is>
          <t>赤魈腕骨</t>
        </is>
      </c>
      <c r="D1112" s="8" t="inlineStr">
        <is>
          <t>材料</t>
        </is>
      </c>
      <c r="E1112" s="8" t="inlineStr">
        <is>
          <t>material</t>
        </is>
      </c>
      <c r="F1112" s="8" t="inlineStr">
        <is>
          <t>common</t>
        </is>
      </c>
      <c r="G1112" s="8" t="inlineStr">
        <is>
          <t>火</t>
        </is>
      </c>
      <c r="H1112" s="8" t="inlineStr">
        <is>
          <t>fire</t>
        </is>
      </c>
      <c r="I1112" s="8" t="inlineStr">
        <is>
          <t>2×1</t>
        </is>
      </c>
      <c r="J1112" s="8" t="n">
        <v>2</v>
      </c>
      <c r="K1112" s="8" t="n">
        <v>10</v>
      </c>
      <c r="L1112" s="8" t="inlineStr">
        <is>
          <t>是</t>
        </is>
      </c>
      <c r="M1112" s="9" t="inlineStr">
        <is>
          <t>beastDrop</t>
        </is>
      </c>
      <c r="N1112" s="8" t="n">
        <v>1</v>
      </c>
      <c r="O1112" s="9" t="inlineStr">
        <is>
          <t>被动效果</t>
        </is>
      </c>
      <c r="P1112" s="9" t="inlineStr">
        <is>
          <t>passive</t>
        </is>
      </c>
      <c r="Q1112" s="9" t="inlineStr">
        <is>
          <t>被动效果：气血上限临时 +50</t>
        </is>
      </c>
      <c r="R1112" s="9" t="inlineStr"/>
      <c r="S1112" s="9" t="inlineStr">
        <is>
          <t>赤红妖魈腕骨，带丹炉火炙后的黑红裂纹。产自妖兽「丹炉赤魈」。</t>
        </is>
      </c>
      <c r="T1112" s="8" t="inlineStr">
        <is>
          <t>material_danlu_chixiao_wrist_bone_2x1</t>
        </is>
      </c>
      <c r="U1112" s="8" t="inlineStr">
        <is>
          <t>allowed</t>
        </is>
      </c>
    </row>
    <row r="1113" ht="34" customHeight="1">
      <c r="A1113" s="8" t="n">
        <v>1112</v>
      </c>
      <c r="B1113" s="8" t="n">
        <v>500161</v>
      </c>
      <c r="C1113" s="8" t="inlineStr">
        <is>
          <t>炉灰赤毛</t>
        </is>
      </c>
      <c r="D1113" s="8" t="inlineStr">
        <is>
          <t>材料</t>
        </is>
      </c>
      <c r="E1113" s="8" t="inlineStr">
        <is>
          <t>material</t>
        </is>
      </c>
      <c r="F1113" s="8" t="inlineStr">
        <is>
          <t>common</t>
        </is>
      </c>
      <c r="G1113" s="8" t="inlineStr">
        <is>
          <t>火</t>
        </is>
      </c>
      <c r="H1113" s="8" t="inlineStr">
        <is>
          <t>fire</t>
        </is>
      </c>
      <c r="I1113" s="8" t="inlineStr">
        <is>
          <t>2×1</t>
        </is>
      </c>
      <c r="J1113" s="8" t="n">
        <v>2</v>
      </c>
      <c r="K1113" s="8" t="n">
        <v>7</v>
      </c>
      <c r="L1113" s="8" t="inlineStr">
        <is>
          <t>是</t>
        </is>
      </c>
      <c r="M1113" s="9" t="inlineStr">
        <is>
          <t>beastDrop</t>
        </is>
      </c>
      <c r="N1113" s="8" t="n">
        <v>1</v>
      </c>
      <c r="O1113" s="9" t="inlineStr">
        <is>
          <t>周期触发</t>
        </is>
      </c>
      <c r="P1113" s="9" t="inlineStr">
        <is>
          <t>periodicPulse</t>
        </is>
      </c>
      <c r="Q1113" s="9" t="inlineStr">
        <is>
          <t>周期触发：轮转时，将 3 层炎热转化为 3 层坚硬；将 3 层炎热转化为 3 层坚硬</t>
        </is>
      </c>
      <c r="R1113" s="9" t="inlineStr"/>
      <c r="S1113" s="9" t="inlineStr">
        <is>
          <t>赤魈背毛，毛根沾灰黑炉灰，毛尖赤亮。产自妖兽「丹炉赤魈」。</t>
        </is>
      </c>
      <c r="T1113" s="8" t="inlineStr">
        <is>
          <t>material_danlu_chixiao_furnace_ash_fur_2x1</t>
        </is>
      </c>
      <c r="U1113" s="8" t="inlineStr">
        <is>
          <t>allowed</t>
        </is>
      </c>
    </row>
    <row r="1114" ht="34" customHeight="1">
      <c r="A1114" s="8" t="n">
        <v>1113</v>
      </c>
      <c r="B1114" s="8" t="n">
        <v>500162</v>
      </c>
      <c r="C1114" s="8" t="inlineStr">
        <is>
          <t>焦火爪</t>
        </is>
      </c>
      <c r="D1114" s="8" t="inlineStr">
        <is>
          <t>材料</t>
        </is>
      </c>
      <c r="E1114" s="8" t="inlineStr">
        <is>
          <t>material</t>
        </is>
      </c>
      <c r="F1114" s="8" t="inlineStr">
        <is>
          <t>common</t>
        </is>
      </c>
      <c r="G1114" s="8" t="inlineStr">
        <is>
          <t>火</t>
        </is>
      </c>
      <c r="H1114" s="8" t="inlineStr">
        <is>
          <t>fire</t>
        </is>
      </c>
      <c r="I1114" s="8" t="inlineStr">
        <is>
          <t>1×2</t>
        </is>
      </c>
      <c r="J1114" s="8" t="n">
        <v>2</v>
      </c>
      <c r="K1114" s="8" t="n">
        <v>17</v>
      </c>
      <c r="L1114" s="8" t="inlineStr">
        <is>
          <t>是</t>
        </is>
      </c>
      <c r="M1114" s="9" t="inlineStr">
        <is>
          <t>beastDrop</t>
        </is>
      </c>
      <c r="N1114" s="8" t="n">
        <v>1</v>
      </c>
      <c r="O1114" s="9" t="inlineStr">
        <is>
          <t>周期触发</t>
        </is>
      </c>
      <c r="P1114" s="9" t="inlineStr">
        <is>
          <t>periodicPulse</t>
        </is>
      </c>
      <c r="Q1114" s="9" t="inlineStr">
        <is>
          <t>周期触发：轮转时，消耗 3 点体力，对敌方造成 5 点伤害</t>
        </is>
      </c>
      <c r="R1114" s="9" t="inlineStr"/>
      <c r="S1114" s="9" t="inlineStr">
        <is>
          <t>赤魈焦黑爪尖，爪背带赤色热纹。产自妖兽「丹炉赤魈」。</t>
        </is>
      </c>
      <c r="T1114" s="8" t="inlineStr">
        <is>
          <t>material_danlu_chixiao_scorched_claw_1x2</t>
        </is>
      </c>
      <c r="U1114" s="8" t="inlineStr">
        <is>
          <t>allowed</t>
        </is>
      </c>
    </row>
    <row r="1115" ht="34" customHeight="1">
      <c r="A1115" s="8" t="n">
        <v>1114</v>
      </c>
      <c r="B1115" s="8" t="n">
        <v>500163</v>
      </c>
      <c r="C1115" s="8" t="inlineStr">
        <is>
          <t>赤魈颅片</t>
        </is>
      </c>
      <c r="D1115" s="8" t="inlineStr">
        <is>
          <t>材料</t>
        </is>
      </c>
      <c r="E1115" s="8" t="inlineStr">
        <is>
          <t>material</t>
        </is>
      </c>
      <c r="F1115" s="8" t="inlineStr">
        <is>
          <t>common</t>
        </is>
      </c>
      <c r="G1115" s="8" t="inlineStr">
        <is>
          <t>火</t>
        </is>
      </c>
      <c r="H1115" s="8" t="inlineStr">
        <is>
          <t>fire</t>
        </is>
      </c>
      <c r="I1115" s="8" t="inlineStr">
        <is>
          <t>2×1</t>
        </is>
      </c>
      <c r="J1115" s="8" t="n">
        <v>2</v>
      </c>
      <c r="K1115" s="8" t="n">
        <v>14</v>
      </c>
      <c r="L1115" s="8" t="inlineStr">
        <is>
          <t>是</t>
        </is>
      </c>
      <c r="M1115" s="9" t="inlineStr">
        <is>
          <t>beastDrop</t>
        </is>
      </c>
      <c r="N1115" s="8" t="n">
        <v>1</v>
      </c>
      <c r="O1115" s="9" t="inlineStr">
        <is>
          <t>条件触发</t>
        </is>
      </c>
      <c r="P1115" s="9" t="inlineStr">
        <is>
          <t>triggered</t>
        </is>
      </c>
      <c r="Q1115" s="9" t="inlineStr">
        <is>
          <t>条件触发：受到伤害时，失去 1 层炎热，恢复 2 点气血</t>
        </is>
      </c>
      <c r="R1115" s="9" t="inlineStr"/>
      <c r="S1115" s="9" t="inlineStr">
        <is>
          <t>赤魈颅骨弧片，内侧留有暗红丹火灼痕。产自妖兽「丹炉赤魈」。</t>
        </is>
      </c>
      <c r="T1115" s="8" t="inlineStr">
        <is>
          <t>material_danlu_chixiao_skull_plate_2x1</t>
        </is>
      </c>
      <c r="U1115" s="8" t="inlineStr">
        <is>
          <t>allowed</t>
        </is>
      </c>
    </row>
    <row r="1116" ht="34" customHeight="1">
      <c r="A1116" s="8" t="n">
        <v>1115</v>
      </c>
      <c r="B1116" s="8" t="n">
        <v>500164</v>
      </c>
      <c r="C1116" s="8" t="inlineStr">
        <is>
          <t>赤魈火囊</t>
        </is>
      </c>
      <c r="D1116" s="8" t="inlineStr">
        <is>
          <t>材料</t>
        </is>
      </c>
      <c r="E1116" s="8" t="inlineStr">
        <is>
          <t>material</t>
        </is>
      </c>
      <c r="F1116" s="8" t="inlineStr">
        <is>
          <t>common</t>
        </is>
      </c>
      <c r="G1116" s="8" t="inlineStr">
        <is>
          <t>火</t>
        </is>
      </c>
      <c r="H1116" s="8" t="inlineStr">
        <is>
          <t>fire</t>
        </is>
      </c>
      <c r="I1116" s="8" t="inlineStr">
        <is>
          <t>1×2</t>
        </is>
      </c>
      <c r="J1116" s="8" t="n">
        <v>2</v>
      </c>
      <c r="K1116" s="8" t="n">
        <v>27</v>
      </c>
      <c r="L1116" s="8" t="inlineStr">
        <is>
          <t>是</t>
        </is>
      </c>
      <c r="M1116" s="9" t="inlineStr">
        <is>
          <t>beastDrop</t>
        </is>
      </c>
      <c r="N1116" s="8" t="n">
        <v>1</v>
      </c>
      <c r="O1116" s="9" t="inlineStr">
        <is>
          <t>周期触发</t>
        </is>
      </c>
      <c r="P1116" s="9" t="inlineStr">
        <is>
          <t>periodicPulse</t>
        </is>
      </c>
      <c r="Q1116" s="9" t="inlineStr">
        <is>
          <t>周期触发：轮转时，消耗 10 层炎热，对敌方造成 20 点伤害；消耗 10 层炎热，对敌方造成 20 点伤害</t>
        </is>
      </c>
      <c r="R1116" s="9" t="inlineStr"/>
      <c r="S1116" s="9" t="inlineStr">
        <is>
          <t>赤魈厚皮火囊，囊口有焦黑筋膜。产自妖兽「丹炉赤魈」。</t>
        </is>
      </c>
      <c r="T1116" s="8" t="inlineStr">
        <is>
          <t>material_danlu_chixiao_fire_sac_1x2</t>
        </is>
      </c>
      <c r="U1116" s="8" t="inlineStr">
        <is>
          <t>allowed</t>
        </is>
      </c>
    </row>
    <row r="1117" ht="34" customHeight="1">
      <c r="A1117" s="8" t="n">
        <v>1116</v>
      </c>
      <c r="B1117" s="8" t="n">
        <v>500165</v>
      </c>
      <c r="C1117" s="8" t="inlineStr">
        <is>
          <t>丹炉心火</t>
        </is>
      </c>
      <c r="D1117" s="8" t="inlineStr">
        <is>
          <t>材料</t>
        </is>
      </c>
      <c r="E1117" s="8" t="inlineStr">
        <is>
          <t>material</t>
        </is>
      </c>
      <c r="F1117" s="8" t="inlineStr">
        <is>
          <t>common</t>
        </is>
      </c>
      <c r="G1117" s="8" t="inlineStr">
        <is>
          <t>火</t>
        </is>
      </c>
      <c r="H1117" s="8" t="inlineStr">
        <is>
          <t>fire</t>
        </is>
      </c>
      <c r="I1117" s="8" t="inlineStr">
        <is>
          <t>1×2</t>
        </is>
      </c>
      <c r="J1117" s="8" t="n">
        <v>2</v>
      </c>
      <c r="K1117" s="8" t="n">
        <v>40</v>
      </c>
      <c r="L1117" s="8" t="inlineStr">
        <is>
          <t>是</t>
        </is>
      </c>
      <c r="M1117" s="9" t="inlineStr">
        <is>
          <t>beastDrop</t>
        </is>
      </c>
      <c r="N1117" s="8" t="n">
        <v>1</v>
      </c>
      <c r="O1117" s="9" t="inlineStr">
        <is>
          <t>周期触发</t>
        </is>
      </c>
      <c r="P1117" s="9" t="inlineStr">
        <is>
          <t>periodicPulse</t>
        </is>
      </c>
      <c r="Q1117" s="9" t="inlineStr">
        <is>
          <t>周期触发：轮转时，将所有炎热转化为体力，每 1 层恢复 1 点体力；将所有炎热转化为体力，每 1 层恢复 1 点体力</t>
        </is>
      </c>
      <c r="R1117" s="9" t="inlineStr"/>
      <c r="S1117" s="9" t="inlineStr">
        <is>
          <t>矿化妖丹心核，赤红外壳包裹黑金炉纹。产自妖兽「丹炉赤魈」。</t>
        </is>
      </c>
      <c r="T1117" s="8" t="inlineStr">
        <is>
          <t>material_danlu_chixiao_furnace_heart_1x2</t>
        </is>
      </c>
      <c r="U1117" s="8" t="inlineStr">
        <is>
          <t>allowed</t>
        </is>
      </c>
    </row>
    <row r="1118" ht="34" customHeight="1">
      <c r="A1118" s="8" t="n">
        <v>1117</v>
      </c>
      <c r="B1118" s="8" t="n">
        <v>500166</v>
      </c>
      <c r="C1118" s="8" t="inlineStr">
        <is>
          <t>炉纹臂筋</t>
        </is>
      </c>
      <c r="D1118" s="8" t="inlineStr">
        <is>
          <t>材料</t>
        </is>
      </c>
      <c r="E1118" s="8" t="inlineStr">
        <is>
          <t>material</t>
        </is>
      </c>
      <c r="F1118" s="8" t="inlineStr">
        <is>
          <t>common</t>
        </is>
      </c>
      <c r="G1118" s="8" t="inlineStr">
        <is>
          <t>火</t>
        </is>
      </c>
      <c r="H1118" s="8" t="inlineStr">
        <is>
          <t>fire</t>
        </is>
      </c>
      <c r="I1118" s="8" t="inlineStr">
        <is>
          <t>1×1</t>
        </is>
      </c>
      <c r="J1118" s="8" t="n">
        <v>1</v>
      </c>
      <c r="K1118" s="8" t="n">
        <v>7</v>
      </c>
      <c r="L1118" s="8" t="inlineStr">
        <is>
          <t>是</t>
        </is>
      </c>
      <c r="M1118" s="9" t="inlineStr">
        <is>
          <t>beastDrop</t>
        </is>
      </c>
      <c r="N1118" s="8" t="n">
        <v>1</v>
      </c>
      <c r="O1118" s="9" t="inlineStr">
        <is>
          <t>周期触发</t>
        </is>
      </c>
      <c r="P1118" s="9" t="inlineStr">
        <is>
          <t>periodicPulse</t>
        </is>
      </c>
      <c r="Q1118" s="9" t="inlineStr">
        <is>
          <t>周期触发：轮转时，消耗 10 点体力，吸取敌方 8 点法力</t>
        </is>
      </c>
      <c r="R1118" s="9" t="inlineStr"/>
      <c r="S1118" s="9" t="inlineStr">
        <is>
          <t>盘绕赤色臂筋，表面带黑金炉纹。产自妖兽「丹炉赤魈」。</t>
        </is>
      </c>
      <c r="T1118" s="8" t="inlineStr">
        <is>
          <t>material_danlu_chixiao_furnace_arm_sinew_1x1</t>
        </is>
      </c>
      <c r="U1118" s="8" t="inlineStr">
        <is>
          <t>allowed</t>
        </is>
      </c>
    </row>
    <row r="1119" ht="34" customHeight="1">
      <c r="A1119" s="8" t="n">
        <v>1118</v>
      </c>
      <c r="B1119" s="8" t="n">
        <v>500167</v>
      </c>
      <c r="C1119" s="8" t="inlineStr">
        <is>
          <t>赤魈丹髓</t>
        </is>
      </c>
      <c r="D1119" s="8" t="inlineStr">
        <is>
          <t>材料</t>
        </is>
      </c>
      <c r="E1119" s="8" t="inlineStr">
        <is>
          <t>material</t>
        </is>
      </c>
      <c r="F1119" s="8" t="inlineStr">
        <is>
          <t>common</t>
        </is>
      </c>
      <c r="G1119" s="8" t="inlineStr">
        <is>
          <t>火</t>
        </is>
      </c>
      <c r="H1119" s="8" t="inlineStr">
        <is>
          <t>fire</t>
        </is>
      </c>
      <c r="I1119" s="8" t="inlineStr">
        <is>
          <t>1×1</t>
        </is>
      </c>
      <c r="J1119" s="8" t="n">
        <v>1</v>
      </c>
      <c r="K1119" s="8" t="n">
        <v>27</v>
      </c>
      <c r="L1119" s="8" t="inlineStr">
        <is>
          <t>是</t>
        </is>
      </c>
      <c r="M1119" s="9" t="inlineStr">
        <is>
          <t>beastDrop</t>
        </is>
      </c>
      <c r="N1119" s="8" t="n">
        <v>1</v>
      </c>
      <c r="O1119" s="9" t="inlineStr">
        <is>
          <t>条件触发</t>
        </is>
      </c>
      <c r="P1119" s="9" t="inlineStr">
        <is>
          <t>triggered</t>
        </is>
      </c>
      <c r="Q1119" s="9" t="inlineStr">
        <is>
          <t>条件触发：受到伤害时，若实际伤害超过 5 点，获得 5 层炎热</t>
        </is>
      </c>
      <c r="R1119" s="9" t="inlineStr"/>
      <c r="S1119" s="9" t="inlineStr">
        <is>
          <t>小截赤魈骨髓结晶，断面如凝固丹砂。产自妖兽「丹炉赤魈」。</t>
        </is>
      </c>
      <c r="T1119" s="8" t="inlineStr">
        <is>
          <t>material_danlu_chixiao_cinnabar_marrow_1x1</t>
        </is>
      </c>
      <c r="U1119" s="8" t="inlineStr">
        <is>
          <t>allowed</t>
        </is>
      </c>
    </row>
    <row r="1120" ht="34" customHeight="1">
      <c r="A1120" s="8" t="n">
        <v>1119</v>
      </c>
      <c r="B1120" s="8" t="n">
        <v>500168</v>
      </c>
      <c r="C1120" s="8" t="inlineStr">
        <is>
          <t>魈牙丹砂</t>
        </is>
      </c>
      <c r="D1120" s="8" t="inlineStr">
        <is>
          <t>材料</t>
        </is>
      </c>
      <c r="E1120" s="8" t="inlineStr">
        <is>
          <t>material</t>
        </is>
      </c>
      <c r="F1120" s="8" t="inlineStr">
        <is>
          <t>common</t>
        </is>
      </c>
      <c r="G1120" s="8" t="inlineStr">
        <is>
          <t>火</t>
        </is>
      </c>
      <c r="H1120" s="8" t="inlineStr">
        <is>
          <t>fire</t>
        </is>
      </c>
      <c r="I1120" s="8" t="inlineStr">
        <is>
          <t>1×1</t>
        </is>
      </c>
      <c r="J1120" s="8" t="n">
        <v>1</v>
      </c>
      <c r="K1120" s="8" t="n">
        <v>14</v>
      </c>
      <c r="L1120" s="8" t="inlineStr">
        <is>
          <t>是</t>
        </is>
      </c>
      <c r="M1120" s="9" t="inlineStr">
        <is>
          <t>beastDrop</t>
        </is>
      </c>
      <c r="N1120" s="8" t="n">
        <v>1</v>
      </c>
      <c r="O1120" s="9" t="inlineStr">
        <is>
          <t>周期触发</t>
        </is>
      </c>
      <c r="P1120" s="9" t="inlineStr">
        <is>
          <t>periodicPulse</t>
        </is>
      </c>
      <c r="Q1120" s="9" t="inlineStr">
        <is>
          <t>周期触发：轮转时，敌我双方所有道具轮转加速 5 秒</t>
        </is>
      </c>
      <c r="R1120" s="9" t="inlineStr"/>
      <c r="S1120" s="9" t="inlineStr">
        <is>
          <t>短厚赤魈牙包着丹砂结晶。产自妖兽「丹炉赤魈」。</t>
        </is>
      </c>
      <c r="T1120" s="8" t="inlineStr">
        <is>
          <t>material_danlu_chixiao_fang_cinnabar_1x1</t>
        </is>
      </c>
      <c r="U1120" s="8" t="inlineStr">
        <is>
          <t>allowed</t>
        </is>
      </c>
    </row>
    <row r="1121" ht="34" customHeight="1">
      <c r="A1121" s="8" t="n">
        <v>1120</v>
      </c>
      <c r="B1121" s="8" t="n">
        <v>500169</v>
      </c>
      <c r="C1121" s="8" t="inlineStr">
        <is>
          <t>炉烟耳骨</t>
        </is>
      </c>
      <c r="D1121" s="8" t="inlineStr">
        <is>
          <t>材料</t>
        </is>
      </c>
      <c r="E1121" s="8" t="inlineStr">
        <is>
          <t>material</t>
        </is>
      </c>
      <c r="F1121" s="8" t="inlineStr">
        <is>
          <t>common</t>
        </is>
      </c>
      <c r="G1121" s="8" t="inlineStr">
        <is>
          <t>火</t>
        </is>
      </c>
      <c r="H1121" s="8" t="inlineStr">
        <is>
          <t>fire</t>
        </is>
      </c>
      <c r="I1121" s="8" t="inlineStr">
        <is>
          <t>1×1</t>
        </is>
      </c>
      <c r="J1121" s="8" t="n">
        <v>1</v>
      </c>
      <c r="K1121" s="8" t="n">
        <v>7</v>
      </c>
      <c r="L1121" s="8" t="inlineStr">
        <is>
          <t>是</t>
        </is>
      </c>
      <c r="M1121" s="9" t="inlineStr">
        <is>
          <t>beastDrop</t>
        </is>
      </c>
      <c r="N1121" s="8" t="n">
        <v>1</v>
      </c>
      <c r="O1121" s="9" t="inlineStr">
        <is>
          <t>条件触发</t>
        </is>
      </c>
      <c r="P1121" s="9" t="inlineStr">
        <is>
          <t>triggered</t>
        </is>
      </c>
      <c r="Q1121" s="9" t="inlineStr">
        <is>
          <t>条件触发：每当有道具轮转时，获得 1 层炎热</t>
        </is>
      </c>
      <c r="R1121" s="9" t="inlineStr"/>
      <c r="S1121" s="9" t="inlineStr">
        <is>
          <t>赤魈耳骨，骨缘焦黑，内侧有炉烟灰纹。产自妖兽「丹炉赤魈」。</t>
        </is>
      </c>
      <c r="T1121" s="8" t="inlineStr">
        <is>
          <t>material_danlu_chixiao_smoke_ear_bone_1x1</t>
        </is>
      </c>
      <c r="U1121" s="8" t="inlineStr">
        <is>
          <t>allowed</t>
        </is>
      </c>
    </row>
    <row r="1122" ht="34" customHeight="1">
      <c r="A1122" s="8" t="n">
        <v>1121</v>
      </c>
      <c r="B1122" s="8" t="n">
        <v>500170</v>
      </c>
      <c r="C1122" s="8" t="inlineStr">
        <is>
          <t>符背甲</t>
        </is>
      </c>
      <c r="D1122" s="8" t="inlineStr">
        <is>
          <t>材料</t>
        </is>
      </c>
      <c r="E1122" s="8" t="inlineStr">
        <is>
          <t>material</t>
        </is>
      </c>
      <c r="F1122" s="8" t="inlineStr">
        <is>
          <t>common</t>
        </is>
      </c>
      <c r="G1122" s="8" t="inlineStr">
        <is>
          <t>土</t>
        </is>
      </c>
      <c r="H1122" s="8" t="inlineStr">
        <is>
          <t>earth</t>
        </is>
      </c>
      <c r="I1122" s="8" t="inlineStr">
        <is>
          <t>2×2</t>
        </is>
      </c>
      <c r="J1122" s="8" t="n">
        <v>4</v>
      </c>
      <c r="K1122" s="8" t="n">
        <v>10</v>
      </c>
      <c r="L1122" s="8" t="inlineStr">
        <is>
          <t>是</t>
        </is>
      </c>
      <c r="M1122" s="9" t="inlineStr">
        <is>
          <t>beastDrop</t>
        </is>
      </c>
      <c r="N1122" s="8" t="n">
        <v>1</v>
      </c>
      <c r="O1122" s="9" t="inlineStr">
        <is>
          <t>周期触发</t>
        </is>
      </c>
      <c r="P1122" s="9" t="inlineStr">
        <is>
          <t>periodicPulse</t>
        </is>
      </c>
      <c r="Q1122" s="9" t="inlineStr">
        <is>
          <t>周期触发：开局时，获得 20 层坚硬</t>
        </is>
      </c>
      <c r="R1122" s="9" t="inlineStr"/>
      <c r="S1122" s="9" t="inlineStr">
        <is>
          <t>青灰石犀背甲，甲面嵌天然符纹凹槽。产自妖兽「符背石犀」。</t>
        </is>
      </c>
      <c r="T1122" s="8" t="inlineStr">
        <is>
          <t>material_fubei_shixi_rune_back_carapace_2x2</t>
        </is>
      </c>
      <c r="U1122" s="8" t="inlineStr">
        <is>
          <t>allowed</t>
        </is>
      </c>
    </row>
    <row r="1123" ht="34" customHeight="1">
      <c r="A1123" s="8" t="n">
        <v>1122</v>
      </c>
      <c r="B1123" s="8" t="n">
        <v>500171</v>
      </c>
      <c r="C1123" s="8" t="inlineStr">
        <is>
          <t>石犀角片</t>
        </is>
      </c>
      <c r="D1123" s="8" t="inlineStr">
        <is>
          <t>材料</t>
        </is>
      </c>
      <c r="E1123" s="8" t="inlineStr">
        <is>
          <t>material</t>
        </is>
      </c>
      <c r="F1123" s="8" t="inlineStr">
        <is>
          <t>common</t>
        </is>
      </c>
      <c r="G1123" s="8" t="inlineStr">
        <is>
          <t>土</t>
        </is>
      </c>
      <c r="H1123" s="8" t="inlineStr">
        <is>
          <t>earth</t>
        </is>
      </c>
      <c r="I1123" s="8" t="inlineStr">
        <is>
          <t>2×2</t>
        </is>
      </c>
      <c r="J1123" s="8" t="n">
        <v>4</v>
      </c>
      <c r="K1123" s="8" t="n">
        <v>17</v>
      </c>
      <c r="L1123" s="8" t="inlineStr">
        <is>
          <t>是</t>
        </is>
      </c>
      <c r="M1123" s="9" t="inlineStr">
        <is>
          <t>beastDrop</t>
        </is>
      </c>
      <c r="N1123" s="8" t="n">
        <v>1</v>
      </c>
      <c r="O1123" s="9" t="inlineStr">
        <is>
          <t>周期触发</t>
        </is>
      </c>
      <c r="P1123" s="9" t="inlineStr">
        <is>
          <t>periodicPulse</t>
        </is>
      </c>
      <c r="Q1123" s="9" t="inlineStr">
        <is>
          <t>周期触发：轮转时，消耗 1 点法力，每有 1 层蓄势，对敌方造成 1 点伤害</t>
        </is>
      </c>
      <c r="R1123" s="9" t="inlineStr"/>
      <c r="S1123" s="9" t="inlineStr">
        <is>
          <t>厚重犀角片，石质断面带淡金符线。产自妖兽「符背石犀」。</t>
        </is>
      </c>
      <c r="T1123" s="8" t="inlineStr">
        <is>
          <t>material_fubei_shixi_horn_slab_2x2</t>
        </is>
      </c>
      <c r="U1123" s="8" t="inlineStr">
        <is>
          <t>allowed</t>
        </is>
      </c>
    </row>
    <row r="1124" ht="34" customHeight="1">
      <c r="A1124" s="8" t="n">
        <v>1123</v>
      </c>
      <c r="B1124" s="8" t="n">
        <v>500172</v>
      </c>
      <c r="C1124" s="8" t="inlineStr">
        <is>
          <t>镇旗骨</t>
        </is>
      </c>
      <c r="D1124" s="8" t="inlineStr">
        <is>
          <t>材料</t>
        </is>
      </c>
      <c r="E1124" s="8" t="inlineStr">
        <is>
          <t>material</t>
        </is>
      </c>
      <c r="F1124" s="8" t="inlineStr">
        <is>
          <t>common</t>
        </is>
      </c>
      <c r="G1124" s="8" t="inlineStr">
        <is>
          <t>土</t>
        </is>
      </c>
      <c r="H1124" s="8" t="inlineStr">
        <is>
          <t>earth</t>
        </is>
      </c>
      <c r="I1124" s="8" t="inlineStr">
        <is>
          <t>2×1</t>
        </is>
      </c>
      <c r="J1124" s="8" t="n">
        <v>2</v>
      </c>
      <c r="K1124" s="8" t="n">
        <v>24</v>
      </c>
      <c r="L1124" s="8" t="inlineStr">
        <is>
          <t>是</t>
        </is>
      </c>
      <c r="M1124" s="9" t="inlineStr">
        <is>
          <t>beastDrop</t>
        </is>
      </c>
      <c r="N1124" s="8" t="n">
        <v>1</v>
      </c>
      <c r="O1124" s="9" t="inlineStr">
        <is>
          <t>周期触发</t>
        </is>
      </c>
      <c r="P1124" s="9" t="inlineStr">
        <is>
          <t>periodicPulse</t>
        </is>
      </c>
      <c r="Q1124" s="9" t="inlineStr">
        <is>
          <t>周期触发：轮转时，对敌方造成 3 点伤害</t>
        </is>
      </c>
      <c r="R1124" s="9" t="inlineStr"/>
      <c r="S1124" s="9" t="inlineStr">
        <is>
          <t>短粗镇旗骨，骨面有压阵纹理。产自妖兽「符背石犀」。</t>
        </is>
      </c>
      <c r="T1124" s="8" t="inlineStr">
        <is>
          <t>material_fubei_shixi_warding_banner_bone_2x1</t>
        </is>
      </c>
      <c r="U1124" s="8" t="inlineStr">
        <is>
          <t>allowed</t>
        </is>
      </c>
    </row>
    <row r="1125" ht="34" customHeight="1">
      <c r="A1125" s="8" t="n">
        <v>1124</v>
      </c>
      <c r="B1125" s="8" t="n">
        <v>500173</v>
      </c>
      <c r="C1125" s="8" t="inlineStr">
        <is>
          <t>符砂厚蹄</t>
        </is>
      </c>
      <c r="D1125" s="8" t="inlineStr">
        <is>
          <t>材料</t>
        </is>
      </c>
      <c r="E1125" s="8" t="inlineStr">
        <is>
          <t>material</t>
        </is>
      </c>
      <c r="F1125" s="8" t="inlineStr">
        <is>
          <t>common</t>
        </is>
      </c>
      <c r="G1125" s="8" t="inlineStr">
        <is>
          <t>土</t>
        </is>
      </c>
      <c r="H1125" s="8" t="inlineStr">
        <is>
          <t>earth</t>
        </is>
      </c>
      <c r="I1125" s="8" t="inlineStr">
        <is>
          <t>2×1</t>
        </is>
      </c>
      <c r="J1125" s="8" t="n">
        <v>2</v>
      </c>
      <c r="K1125" s="8" t="n">
        <v>4</v>
      </c>
      <c r="L1125" s="8" t="inlineStr">
        <is>
          <t>是</t>
        </is>
      </c>
      <c r="M1125" s="9" t="inlineStr">
        <is>
          <t>beastDrop</t>
        </is>
      </c>
      <c r="N1125" s="8" t="n">
        <v>1</v>
      </c>
      <c r="O1125" s="9" t="inlineStr">
        <is>
          <t>周期触发</t>
        </is>
      </c>
      <c r="P1125" s="9" t="inlineStr">
        <is>
          <t>periodicPulse</t>
        </is>
      </c>
      <c r="Q1125" s="9" t="inlineStr">
        <is>
          <t>周期触发：轮转时，使敌方获得 1 层冰霜</t>
        </is>
      </c>
      <c r="R1125" s="9" t="inlineStr"/>
      <c r="S1125" s="9" t="inlineStr">
        <is>
          <t>切下的石犀厚蹄，蹄底嵌青灰符砂。产自妖兽「符背石犀」。</t>
        </is>
      </c>
      <c r="T1125" s="8" t="inlineStr">
        <is>
          <t>material_fubei_shixi_rune_sand_hoof_2x1</t>
        </is>
      </c>
      <c r="U1125" s="8" t="inlineStr">
        <is>
          <t>allowed</t>
        </is>
      </c>
    </row>
    <row r="1126" ht="34" customHeight="1">
      <c r="A1126" s="8" t="n">
        <v>1125</v>
      </c>
      <c r="B1126" s="8" t="n">
        <v>500174</v>
      </c>
      <c r="C1126" s="8" t="inlineStr">
        <is>
          <t>压阵脊骨</t>
        </is>
      </c>
      <c r="D1126" s="8" t="inlineStr">
        <is>
          <t>材料</t>
        </is>
      </c>
      <c r="E1126" s="8" t="inlineStr">
        <is>
          <t>material</t>
        </is>
      </c>
      <c r="F1126" s="8" t="inlineStr">
        <is>
          <t>common</t>
        </is>
      </c>
      <c r="G1126" s="8" t="inlineStr">
        <is>
          <t>土</t>
        </is>
      </c>
      <c r="H1126" s="8" t="inlineStr">
        <is>
          <t>earth</t>
        </is>
      </c>
      <c r="I1126" s="8" t="inlineStr">
        <is>
          <t>1×2</t>
        </is>
      </c>
      <c r="J1126" s="8" t="n">
        <v>2</v>
      </c>
      <c r="K1126" s="8" t="n">
        <v>24</v>
      </c>
      <c r="L1126" s="8" t="inlineStr">
        <is>
          <t>是</t>
        </is>
      </c>
      <c r="M1126" s="9" t="inlineStr">
        <is>
          <t>beastDrop</t>
        </is>
      </c>
      <c r="N1126" s="8" t="n">
        <v>1</v>
      </c>
      <c r="O1126" s="9" t="inlineStr">
        <is>
          <t>周期触发</t>
        </is>
      </c>
      <c r="P1126" s="9" t="inlineStr">
        <is>
          <t>periodicPulse</t>
        </is>
      </c>
      <c r="Q1126" s="9" t="inlineStr">
        <is>
          <t>周期触发：轮转时，获得 3 层蓄势</t>
        </is>
      </c>
      <c r="R1126" s="9" t="inlineStr"/>
      <c r="S1126" s="9" t="inlineStr">
        <is>
          <t>石化脊骨节块，形如阵眼柱。产自妖兽「符背石犀」。</t>
        </is>
      </c>
      <c r="T1126" s="8" t="inlineStr">
        <is>
          <t>material_fubei_shixi_array_spine_1x2</t>
        </is>
      </c>
      <c r="U1126" s="8" t="inlineStr">
        <is>
          <t>allowed</t>
        </is>
      </c>
    </row>
    <row r="1127" ht="34" customHeight="1">
      <c r="A1127" s="8" t="n">
        <v>1126</v>
      </c>
      <c r="B1127" s="8" t="n">
        <v>500175</v>
      </c>
      <c r="C1127" s="8" t="inlineStr">
        <is>
          <t>青阙符核</t>
        </is>
      </c>
      <c r="D1127" s="8" t="inlineStr">
        <is>
          <t>材料</t>
        </is>
      </c>
      <c r="E1127" s="8" t="inlineStr">
        <is>
          <t>material</t>
        </is>
      </c>
      <c r="F1127" s="8" t="inlineStr">
        <is>
          <t>common</t>
        </is>
      </c>
      <c r="G1127" s="8" t="inlineStr">
        <is>
          <t>土</t>
        </is>
      </c>
      <c r="H1127" s="8" t="inlineStr">
        <is>
          <t>earth</t>
        </is>
      </c>
      <c r="I1127" s="8" t="inlineStr">
        <is>
          <t>1×2</t>
        </is>
      </c>
      <c r="J1127" s="8" t="n">
        <v>2</v>
      </c>
      <c r="K1127" s="8" t="n">
        <v>44</v>
      </c>
      <c r="L1127" s="8" t="inlineStr">
        <is>
          <t>是</t>
        </is>
      </c>
      <c r="M1127" s="9" t="inlineStr">
        <is>
          <t>beastDrop</t>
        </is>
      </c>
      <c r="N1127" s="8" t="n">
        <v>1</v>
      </c>
      <c r="O1127" s="9" t="inlineStr">
        <is>
          <t>周期触发</t>
        </is>
      </c>
      <c r="P1127" s="9" t="inlineStr">
        <is>
          <t>periodicPulse</t>
        </is>
      </c>
      <c r="Q1127" s="9" t="inlineStr">
        <is>
          <t>周期触发：轮转时，每有 3 层蓄势，获得 1 层坚硬</t>
        </is>
      </c>
      <c r="R1127" s="9" t="inlineStr"/>
      <c r="S1127" s="9" t="inlineStr">
        <is>
          <t>青灰菱形石核，表面有天然符纹沟槽。产自妖兽「符背石犀」。</t>
        </is>
      </c>
      <c r="T1127" s="8" t="inlineStr">
        <is>
          <t>material_fubei_shixi_qingque_rune_core_1x2</t>
        </is>
      </c>
      <c r="U1127" s="8" t="inlineStr">
        <is>
          <t>allowed</t>
        </is>
      </c>
    </row>
    <row r="1128" ht="34" customHeight="1">
      <c r="A1128" s="8" t="n">
        <v>1127</v>
      </c>
      <c r="B1128" s="8" t="n">
        <v>500176</v>
      </c>
      <c r="C1128" s="8" t="inlineStr">
        <is>
          <t>清辉蚌片</t>
        </is>
      </c>
      <c r="D1128" s="8" t="inlineStr">
        <is>
          <t>材料</t>
        </is>
      </c>
      <c r="E1128" s="8" t="inlineStr">
        <is>
          <t>material</t>
        </is>
      </c>
      <c r="F1128" s="8" t="inlineStr">
        <is>
          <t>common</t>
        </is>
      </c>
      <c r="G1128" s="8" t="inlineStr">
        <is>
          <t>水</t>
        </is>
      </c>
      <c r="H1128" s="8" t="inlineStr">
        <is>
          <t>water</t>
        </is>
      </c>
      <c r="I1128" s="8" t="inlineStr">
        <is>
          <t>2×2</t>
        </is>
      </c>
      <c r="J1128" s="8" t="n">
        <v>4</v>
      </c>
      <c r="K1128" s="8" t="n">
        <v>10</v>
      </c>
      <c r="L1128" s="8" t="inlineStr">
        <is>
          <t>是</t>
        </is>
      </c>
      <c r="M1128" s="9" t="inlineStr">
        <is>
          <t>beastDrop</t>
        </is>
      </c>
      <c r="N1128" s="8" t="n">
        <v>1</v>
      </c>
      <c r="O1128" s="9" t="inlineStr">
        <is>
          <t>条件触发</t>
        </is>
      </c>
      <c r="P1128" s="9" t="inlineStr">
        <is>
          <t>triggered</t>
        </is>
      </c>
      <c r="Q1128" s="9" t="inlineStr">
        <is>
          <t>条件触发：受到伤害时，获得 1 层露水</t>
        </is>
      </c>
      <c r="R1128" s="9" t="inlineStr"/>
      <c r="S1128" s="9" t="inlineStr">
        <is>
          <t>月白蚌壳片，壳面有蓝灰水纹。产自妖兽「月涧灵蚌」。</t>
        </is>
      </c>
      <c r="T1128" s="8" t="inlineStr">
        <is>
          <t>material_yuejian_lingbang_moonlit_shell_2x2</t>
        </is>
      </c>
      <c r="U1128" s="8" t="inlineStr">
        <is>
          <t>allowed</t>
        </is>
      </c>
    </row>
    <row r="1129" ht="34" customHeight="1">
      <c r="A1129" s="8" t="n">
        <v>1128</v>
      </c>
      <c r="B1129" s="8" t="n">
        <v>500177</v>
      </c>
      <c r="C1129" s="8" t="inlineStr">
        <is>
          <t>凝月软肉</t>
        </is>
      </c>
      <c r="D1129" s="8" t="inlineStr">
        <is>
          <t>材料</t>
        </is>
      </c>
      <c r="E1129" s="8" t="inlineStr">
        <is>
          <t>material</t>
        </is>
      </c>
      <c r="F1129" s="8" t="inlineStr">
        <is>
          <t>common</t>
        </is>
      </c>
      <c r="G1129" s="8" t="inlineStr">
        <is>
          <t>水</t>
        </is>
      </c>
      <c r="H1129" s="8" t="inlineStr">
        <is>
          <t>water</t>
        </is>
      </c>
      <c r="I1129" s="8" t="inlineStr">
        <is>
          <t>2×2</t>
        </is>
      </c>
      <c r="J1129" s="8" t="n">
        <v>4</v>
      </c>
      <c r="K1129" s="8" t="n">
        <v>17</v>
      </c>
      <c r="L1129" s="8" t="inlineStr">
        <is>
          <t>是</t>
        </is>
      </c>
      <c r="M1129" s="9" t="inlineStr">
        <is>
          <t>beastDrop</t>
        </is>
      </c>
      <c r="N1129" s="8" t="n">
        <v>1</v>
      </c>
      <c r="O1129" s="9" t="inlineStr">
        <is>
          <t>条件触发</t>
        </is>
      </c>
      <c r="P1129" s="9" t="inlineStr">
        <is>
          <t>triggered</t>
        </is>
      </c>
      <c r="Q1129" s="9" t="inlineStr">
        <is>
          <t>条件触发：受到伤害时，恢复 1 点气血</t>
        </is>
      </c>
      <c r="R1129" s="9" t="inlineStr"/>
      <c r="S1129" s="9" t="inlineStr">
        <is>
          <t>厚实月白蚌肉，肉质有蓝灰层纹。产自妖兽「月涧灵蚌」。</t>
        </is>
      </c>
      <c r="T1129" s="8" t="inlineStr">
        <is>
          <t>material_yuejian_lingbang_moon_flesh_2x2</t>
        </is>
      </c>
      <c r="U1129" s="8" t="inlineStr">
        <is>
          <t>allowed</t>
        </is>
      </c>
    </row>
    <row r="1130" ht="34" customHeight="1">
      <c r="A1130" s="8" t="n">
        <v>1129</v>
      </c>
      <c r="B1130" s="8" t="n">
        <v>500178</v>
      </c>
      <c r="C1130" s="8" t="inlineStr">
        <is>
          <t>月涧水膜</t>
        </is>
      </c>
      <c r="D1130" s="8" t="inlineStr">
        <is>
          <t>材料</t>
        </is>
      </c>
      <c r="E1130" s="8" t="inlineStr">
        <is>
          <t>material</t>
        </is>
      </c>
      <c r="F1130" s="8" t="inlineStr">
        <is>
          <t>common</t>
        </is>
      </c>
      <c r="G1130" s="8" t="inlineStr">
        <is>
          <t>水</t>
        </is>
      </c>
      <c r="H1130" s="8" t="inlineStr">
        <is>
          <t>water</t>
        </is>
      </c>
      <c r="I1130" s="8" t="inlineStr">
        <is>
          <t>2×2</t>
        </is>
      </c>
      <c r="J1130" s="8" t="n">
        <v>4</v>
      </c>
      <c r="K1130" s="8" t="n">
        <v>14</v>
      </c>
      <c r="L1130" s="8" t="inlineStr">
        <is>
          <t>是</t>
        </is>
      </c>
      <c r="M1130" s="9" t="inlineStr">
        <is>
          <t>beastDrop</t>
        </is>
      </c>
      <c r="N1130" s="8" t="n">
        <v>1</v>
      </c>
      <c r="O1130" s="9" t="inlineStr">
        <is>
          <t>周期触发</t>
        </is>
      </c>
      <c r="P1130" s="9" t="inlineStr">
        <is>
          <t>periodicPulse</t>
        </is>
      </c>
      <c r="Q1130" s="9" t="inlineStr">
        <is>
          <t>周期触发：轮转时，每有 1 层露水，获得 1 层坚硬</t>
        </is>
      </c>
      <c r="R1130" s="9" t="inlineStr"/>
      <c r="S1130" s="9" t="inlineStr">
        <is>
          <t>厚韧水膜卷，以蓝白纹层表现湿润感。产自妖兽「月涧灵蚌」。</t>
        </is>
      </c>
      <c r="T1130" s="8" t="inlineStr">
        <is>
          <t>material_yuejian_lingbang_stream_membrane_2x2</t>
        </is>
      </c>
      <c r="U1130" s="8" t="inlineStr">
        <is>
          <t>allowed</t>
        </is>
      </c>
    </row>
    <row r="1131" ht="34" customHeight="1">
      <c r="A1131" s="8" t="n">
        <v>1130</v>
      </c>
      <c r="B1131" s="8" t="n">
        <v>500179</v>
      </c>
      <c r="C1131" s="8" t="inlineStr">
        <is>
          <t>月池护珠</t>
        </is>
      </c>
      <c r="D1131" s="8" t="inlineStr">
        <is>
          <t>材料</t>
        </is>
      </c>
      <c r="E1131" s="8" t="inlineStr">
        <is>
          <t>material</t>
        </is>
      </c>
      <c r="F1131" s="8" t="inlineStr">
        <is>
          <t>common</t>
        </is>
      </c>
      <c r="G1131" s="8" t="inlineStr">
        <is>
          <t>水</t>
        </is>
      </c>
      <c r="H1131" s="8" t="inlineStr">
        <is>
          <t>water</t>
        </is>
      </c>
      <c r="I1131" s="8" t="inlineStr">
        <is>
          <t>1×2</t>
        </is>
      </c>
      <c r="J1131" s="8" t="n">
        <v>2</v>
      </c>
      <c r="K1131" s="8" t="n">
        <v>27</v>
      </c>
      <c r="L1131" s="8" t="inlineStr">
        <is>
          <t>是</t>
        </is>
      </c>
      <c r="M1131" s="9" t="inlineStr">
        <is>
          <t>beastDrop</t>
        </is>
      </c>
      <c r="N1131" s="8" t="n">
        <v>1</v>
      </c>
      <c r="O1131" s="9" t="inlineStr">
        <is>
          <t>周期触发</t>
        </is>
      </c>
      <c r="P1131" s="9" t="inlineStr">
        <is>
          <t>periodicPulse</t>
        </is>
      </c>
      <c r="Q1131" s="9" t="inlineStr">
        <is>
          <t>周期触发：轮转时，每有 1 层露水，获得 1 层闪避</t>
        </is>
      </c>
      <c r="R1131" s="9" t="inlineStr"/>
      <c r="S1131" s="9" t="inlineStr">
        <is>
          <t>被厚壳片包裹的月白护珠。产自妖兽「月涧灵蚌」。</t>
        </is>
      </c>
      <c r="T1131" s="8" t="inlineStr">
        <is>
          <t>material_yuejian_lingbang_moon_pool_guard_pearl_1x2</t>
        </is>
      </c>
      <c r="U1131" s="8" t="inlineStr">
        <is>
          <t>allowed</t>
        </is>
      </c>
    </row>
    <row r="1132" ht="34" customHeight="1">
      <c r="A1132" s="8" t="n">
        <v>1131</v>
      </c>
      <c r="B1132" s="8" t="n">
        <v>500180</v>
      </c>
      <c r="C1132" s="8" t="inlineStr">
        <is>
          <t>月涧灵珠</t>
        </is>
      </c>
      <c r="D1132" s="8" t="inlineStr">
        <is>
          <t>材料</t>
        </is>
      </c>
      <c r="E1132" s="8" t="inlineStr">
        <is>
          <t>material</t>
        </is>
      </c>
      <c r="F1132" s="8" t="inlineStr">
        <is>
          <t>common</t>
        </is>
      </c>
      <c r="G1132" s="8" t="inlineStr">
        <is>
          <t>水</t>
        </is>
      </c>
      <c r="H1132" s="8" t="inlineStr">
        <is>
          <t>water</t>
        </is>
      </c>
      <c r="I1132" s="8" t="inlineStr">
        <is>
          <t>1×2</t>
        </is>
      </c>
      <c r="J1132" s="8" t="n">
        <v>2</v>
      </c>
      <c r="K1132" s="8" t="n">
        <v>40</v>
      </c>
      <c r="L1132" s="8" t="inlineStr">
        <is>
          <t>是</t>
        </is>
      </c>
      <c r="M1132" s="9" t="inlineStr">
        <is>
          <t>beastDrop</t>
        </is>
      </c>
      <c r="N1132" s="8" t="n">
        <v>1</v>
      </c>
      <c r="O1132" s="9" t="inlineStr">
        <is>
          <t>周期触发</t>
        </is>
      </c>
      <c r="P1132" s="9" t="inlineStr">
        <is>
          <t>periodicPulse</t>
        </is>
      </c>
      <c r="Q1132" s="9" t="inlineStr">
        <is>
          <t>周期触发：轮转时，将 5 点气血转化为 5 层露水，对敌方造成 10 点伤害</t>
        </is>
      </c>
      <c r="R1132" s="9" t="inlineStr"/>
      <c r="S1132" s="9" t="inlineStr">
        <is>
          <t>蓝白石质灵珠，外壳带月牙纹。产自妖兽「月涧灵蚌」。</t>
        </is>
      </c>
      <c r="T1132" s="8" t="inlineStr">
        <is>
          <t>material_yuejian_lingbang_moon_stream_pearl_1x2</t>
        </is>
      </c>
      <c r="U1132" s="8" t="inlineStr">
        <is>
          <t>allowed</t>
        </is>
      </c>
    </row>
    <row r="1133" ht="34" customHeight="1">
      <c r="A1133" s="8" t="n">
        <v>1132</v>
      </c>
      <c r="B1133" s="8" t="n">
        <v>500181</v>
      </c>
      <c r="C1133" s="8" t="inlineStr">
        <is>
          <t>玄脉甲片</t>
        </is>
      </c>
      <c r="D1133" s="8" t="inlineStr">
        <is>
          <t>材料</t>
        </is>
      </c>
      <c r="E1133" s="8" t="inlineStr">
        <is>
          <t>material</t>
        </is>
      </c>
      <c r="F1133" s="8" t="inlineStr">
        <is>
          <t>common</t>
        </is>
      </c>
      <c r="G1133" s="8" t="inlineStr">
        <is>
          <t>土</t>
        </is>
      </c>
      <c r="H1133" s="8" t="inlineStr">
        <is>
          <t>earth</t>
        </is>
      </c>
      <c r="I1133" s="8" t="inlineStr">
        <is>
          <t>2×2</t>
        </is>
      </c>
      <c r="J1133" s="8" t="n">
        <v>4</v>
      </c>
      <c r="K1133" s="8" t="n">
        <v>8</v>
      </c>
      <c r="L1133" s="8" t="inlineStr">
        <is>
          <t>否</t>
        </is>
      </c>
      <c r="M1133" s="9" t="inlineStr"/>
      <c r="N1133" s="8" t="n">
        <v>1</v>
      </c>
      <c r="O1133" s="9" t="inlineStr">
        <is>
          <t>周期触发</t>
        </is>
      </c>
      <c r="P1133" s="9" t="inlineStr">
        <is>
          <t>periodicPulse</t>
        </is>
      </c>
      <c r="Q1133" s="9" t="inlineStr">
        <is>
          <t>周期触发：轮转时，将 5 点法力转化为 3 层坚硬</t>
        </is>
      </c>
      <c r="R1133" s="9" t="inlineStr"/>
      <c r="S1133" s="9" t="inlineStr">
        <is>
          <t>黑褐穿山甲甲片，甲面有玄色地脉纹。产自妖兽「玄脉穿山甲」。</t>
        </is>
      </c>
      <c r="T1133" s="8" t="inlineStr">
        <is>
          <t>material_xuanmai_chuanshanjia_dark_vein_scale_2x2</t>
        </is>
      </c>
      <c r="U1133" s="8" t="inlineStr">
        <is>
          <t>allowed</t>
        </is>
      </c>
    </row>
    <row r="1134" ht="34" customHeight="1">
      <c r="A1134" s="8" t="n">
        <v>1133</v>
      </c>
      <c r="B1134" s="8" t="n">
        <v>500182</v>
      </c>
      <c r="C1134" s="8" t="inlineStr">
        <is>
          <t>穿脉利爪</t>
        </is>
      </c>
      <c r="D1134" s="8" t="inlineStr">
        <is>
          <t>材料</t>
        </is>
      </c>
      <c r="E1134" s="8" t="inlineStr">
        <is>
          <t>material</t>
        </is>
      </c>
      <c r="F1134" s="8" t="inlineStr">
        <is>
          <t>common</t>
        </is>
      </c>
      <c r="G1134" s="8" t="inlineStr">
        <is>
          <t>土</t>
        </is>
      </c>
      <c r="H1134" s="8" t="inlineStr">
        <is>
          <t>earth</t>
        </is>
      </c>
      <c r="I1134" s="8" t="inlineStr">
        <is>
          <t>2×2</t>
        </is>
      </c>
      <c r="J1134" s="8" t="n">
        <v>4</v>
      </c>
      <c r="K1134" s="8" t="n">
        <v>14</v>
      </c>
      <c r="L1134" s="8" t="inlineStr">
        <is>
          <t>是</t>
        </is>
      </c>
      <c r="M1134" s="9" t="inlineStr">
        <is>
          <t>beastDrop</t>
        </is>
      </c>
      <c r="N1134" s="8" t="n">
        <v>1</v>
      </c>
      <c r="O1134" s="9" t="inlineStr">
        <is>
          <t>周期触发</t>
        </is>
      </c>
      <c r="P1134" s="9" t="inlineStr">
        <is>
          <t>periodicPulse</t>
        </is>
      </c>
      <c r="Q1134" s="9" t="inlineStr">
        <is>
          <t>周期触发：轮转时，造成 4 点伤害</t>
        </is>
      </c>
      <c r="R1134" s="9" t="inlineStr"/>
      <c r="S1134" s="9" t="inlineStr">
        <is>
          <t>长弯穿脉利爪，爪根带泥金脉纹。产自妖兽「玄脉穿山甲」。</t>
        </is>
      </c>
      <c r="T1134" s="8" t="inlineStr">
        <is>
          <t>material_xuanmai_chuanshanjia_burrowing_claw_2x2</t>
        </is>
      </c>
      <c r="U1134" s="8" t="inlineStr">
        <is>
          <t>allowed</t>
        </is>
      </c>
    </row>
    <row r="1135" ht="34" customHeight="1">
      <c r="A1135" s="8" t="n">
        <v>1134</v>
      </c>
      <c r="B1135" s="8" t="n">
        <v>500183</v>
      </c>
      <c r="C1135" s="8" t="inlineStr">
        <is>
          <t>地髓骨</t>
        </is>
      </c>
      <c r="D1135" s="8" t="inlineStr">
        <is>
          <t>材料</t>
        </is>
      </c>
      <c r="E1135" s="8" t="inlineStr">
        <is>
          <t>material</t>
        </is>
      </c>
      <c r="F1135" s="8" t="inlineStr">
        <is>
          <t>common</t>
        </is>
      </c>
      <c r="G1135" s="8" t="inlineStr">
        <is>
          <t>土</t>
        </is>
      </c>
      <c r="H1135" s="8" t="inlineStr">
        <is>
          <t>earth</t>
        </is>
      </c>
      <c r="I1135" s="8" t="inlineStr">
        <is>
          <t>2×1</t>
        </is>
      </c>
      <c r="J1135" s="8" t="n">
        <v>2</v>
      </c>
      <c r="K1135" s="8" t="n">
        <v>17</v>
      </c>
      <c r="L1135" s="8" t="inlineStr">
        <is>
          <t>是</t>
        </is>
      </c>
      <c r="M1135" s="9" t="inlineStr">
        <is>
          <t>beastDrop</t>
        </is>
      </c>
      <c r="N1135" s="8" t="n">
        <v>1</v>
      </c>
      <c r="O1135" s="9" t="inlineStr">
        <is>
          <t>周期触发</t>
        </is>
      </c>
      <c r="P1135" s="9" t="inlineStr">
        <is>
          <t>periodicPulse</t>
        </is>
      </c>
      <c r="Q1135" s="9" t="inlineStr">
        <is>
          <t>周期触发：轮转时，将 5 点气血转化为 3 层坚硬</t>
        </is>
      </c>
      <c r="R1135" s="9" t="inlineStr"/>
      <c r="S1135" s="9" t="inlineStr">
        <is>
          <t>厚骨断件，骨腔露出黑金地脉髓线。产自妖兽「玄脉穿山甲」。</t>
        </is>
      </c>
      <c r="T1135" s="8" t="inlineStr">
        <is>
          <t>material_xuanmai_chuanshanjia_earth_marrow_bone_2x1</t>
        </is>
      </c>
      <c r="U1135" s="8" t="inlineStr">
        <is>
          <t>allowed</t>
        </is>
      </c>
    </row>
    <row r="1136" ht="34" customHeight="1">
      <c r="A1136" s="8" t="n">
        <v>1135</v>
      </c>
      <c r="B1136" s="8" t="n">
        <v>500184</v>
      </c>
      <c r="C1136" s="8" t="inlineStr">
        <is>
          <t>伏地鳞带</t>
        </is>
      </c>
      <c r="D1136" s="8" t="inlineStr">
        <is>
          <t>材料</t>
        </is>
      </c>
      <c r="E1136" s="8" t="inlineStr">
        <is>
          <t>material</t>
        </is>
      </c>
      <c r="F1136" s="8" t="inlineStr">
        <is>
          <t>common</t>
        </is>
      </c>
      <c r="G1136" s="8" t="inlineStr">
        <is>
          <t>土</t>
        </is>
      </c>
      <c r="H1136" s="8" t="inlineStr">
        <is>
          <t>earth</t>
        </is>
      </c>
      <c r="I1136" s="8" t="inlineStr">
        <is>
          <t>2×1</t>
        </is>
      </c>
      <c r="J1136" s="8" t="n">
        <v>2</v>
      </c>
      <c r="K1136" s="8" t="n">
        <v>8</v>
      </c>
      <c r="L1136" s="8" t="inlineStr">
        <is>
          <t>否</t>
        </is>
      </c>
      <c r="M1136" s="9" t="inlineStr"/>
      <c r="N1136" s="8" t="n">
        <v>1</v>
      </c>
      <c r="O1136" s="9" t="inlineStr">
        <is>
          <t>周期触发</t>
        </is>
      </c>
      <c r="P1136" s="9" t="inlineStr">
        <is>
          <t>periodicPulse</t>
        </is>
      </c>
      <c r="Q1136" s="9" t="inlineStr">
        <is>
          <t>周期触发：轮转时，将 2 点体力转化为 1 层坚硬</t>
        </is>
      </c>
      <c r="R1136" s="9" t="inlineStr"/>
      <c r="S1136" s="9" t="inlineStr">
        <is>
          <t>宽厚鳞带，黑褐鳞片边缘有土砂磨损。产自妖兽「玄脉穿山甲」。</t>
        </is>
      </c>
      <c r="T1136" s="8" t="inlineStr">
        <is>
          <t>material_xuanmai_chuanshanjia_ground_scale_band_2x1</t>
        </is>
      </c>
      <c r="U1136" s="8" t="inlineStr">
        <is>
          <t>allowed</t>
        </is>
      </c>
    </row>
    <row r="1137" ht="34" customHeight="1">
      <c r="A1137" s="8" t="n">
        <v>1136</v>
      </c>
      <c r="B1137" s="8" t="n">
        <v>500185</v>
      </c>
      <c r="C1137" s="8" t="inlineStr">
        <is>
          <t>玄脉背甲</t>
        </is>
      </c>
      <c r="D1137" s="8" t="inlineStr">
        <is>
          <t>材料</t>
        </is>
      </c>
      <c r="E1137" s="8" t="inlineStr">
        <is>
          <t>material</t>
        </is>
      </c>
      <c r="F1137" s="8" t="inlineStr">
        <is>
          <t>common</t>
        </is>
      </c>
      <c r="G1137" s="8" t="inlineStr">
        <is>
          <t>土</t>
        </is>
      </c>
      <c r="H1137" s="8" t="inlineStr">
        <is>
          <t>earth</t>
        </is>
      </c>
      <c r="I1137" s="8" t="inlineStr">
        <is>
          <t>1×1</t>
        </is>
      </c>
      <c r="J1137" s="8" t="n">
        <v>1</v>
      </c>
      <c r="K1137" s="8" t="n">
        <v>12</v>
      </c>
      <c r="L1137" s="8" t="inlineStr">
        <is>
          <t>否</t>
        </is>
      </c>
      <c r="M1137" s="9" t="inlineStr"/>
      <c r="N1137" s="8" t="n">
        <v>1</v>
      </c>
      <c r="O1137" s="9" t="inlineStr">
        <is>
          <t>周期触发</t>
        </is>
      </c>
      <c r="P1137" s="9" t="inlineStr">
        <is>
          <t>periodicPulse</t>
        </is>
      </c>
      <c r="Q1137" s="9" t="inlineStr">
        <is>
          <t>周期触发：轮转时，消耗一半的坚硬层数，对敌方造成等量的伤害；消耗一半的坚硬层数，对敌方造成等量的伤害</t>
        </is>
      </c>
      <c r="R1137" s="9" t="inlineStr"/>
      <c r="S1137" s="9" t="inlineStr">
        <is>
          <t>小型厚背甲，甲棱凸起，中央有玄脉凹线。产自妖兽「玄脉穿山甲」。</t>
        </is>
      </c>
      <c r="T1137" s="8" t="inlineStr">
        <is>
          <t>material_xuanmai_chuanshanjia_back_armor_1x1</t>
        </is>
      </c>
      <c r="U1137" s="8" t="inlineStr">
        <is>
          <t>allowed</t>
        </is>
      </c>
    </row>
    <row r="1138" ht="34" customHeight="1">
      <c r="A1138" s="8" t="n">
        <v>1137</v>
      </c>
      <c r="B1138" s="8" t="n">
        <v>500186</v>
      </c>
      <c r="C1138" s="8" t="inlineStr">
        <is>
          <t>地脉心鳞</t>
        </is>
      </c>
      <c r="D1138" s="8" t="inlineStr">
        <is>
          <t>材料</t>
        </is>
      </c>
      <c r="E1138" s="8" t="inlineStr">
        <is>
          <t>material</t>
        </is>
      </c>
      <c r="F1138" s="8" t="inlineStr">
        <is>
          <t>common</t>
        </is>
      </c>
      <c r="G1138" s="8" t="inlineStr">
        <is>
          <t>土</t>
        </is>
      </c>
      <c r="H1138" s="8" t="inlineStr">
        <is>
          <t>earth</t>
        </is>
      </c>
      <c r="I1138" s="8" t="inlineStr">
        <is>
          <t>2×1</t>
        </is>
      </c>
      <c r="J1138" s="8" t="n">
        <v>2</v>
      </c>
      <c r="K1138" s="8" t="n">
        <v>37</v>
      </c>
      <c r="L1138" s="8" t="inlineStr">
        <is>
          <t>是</t>
        </is>
      </c>
      <c r="M1138" s="9" t="inlineStr">
        <is>
          <t>beastDrop</t>
        </is>
      </c>
      <c r="N1138" s="8" t="n">
        <v>1</v>
      </c>
      <c r="O1138" s="9" t="inlineStr">
        <is>
          <t>周期触发</t>
        </is>
      </c>
      <c r="P1138" s="9" t="inlineStr">
        <is>
          <t>periodicPulse</t>
        </is>
      </c>
      <c r="Q1138" s="9" t="inlineStr">
        <is>
          <t>周期触发：轮转时，消耗 4 点法力，将当前坚硬层数翻倍</t>
        </is>
      </c>
      <c r="R1138" s="9" t="inlineStr"/>
      <c r="S1138" s="9" t="inlineStr">
        <is>
          <t>心形厚鳞，黑金地脉纹集中在鳞心。产自妖兽「玄脉穿山甲」。</t>
        </is>
      </c>
      <c r="T1138" s="8" t="inlineStr">
        <is>
          <t>material_xuanmai_chuanshanjia_earth_heart_scale_2x1</t>
        </is>
      </c>
      <c r="U1138" s="8" t="inlineStr">
        <is>
          <t>allowed</t>
        </is>
      </c>
    </row>
    <row r="1139" ht="34" customHeight="1">
      <c r="A1139" s="8" t="n">
        <v>1138</v>
      </c>
      <c r="B1139" s="8" t="n">
        <v>500187</v>
      </c>
      <c r="C1139" s="8" t="inlineStr">
        <is>
          <t>玄土胆石</t>
        </is>
      </c>
      <c r="D1139" s="8" t="inlineStr">
        <is>
          <t>材料</t>
        </is>
      </c>
      <c r="E1139" s="8" t="inlineStr">
        <is>
          <t>material</t>
        </is>
      </c>
      <c r="F1139" s="8" t="inlineStr">
        <is>
          <t>common</t>
        </is>
      </c>
      <c r="G1139" s="8" t="inlineStr">
        <is>
          <t>土</t>
        </is>
      </c>
      <c r="H1139" s="8" t="inlineStr">
        <is>
          <t>earth</t>
        </is>
      </c>
      <c r="I1139" s="8" t="inlineStr">
        <is>
          <t>1×1</t>
        </is>
      </c>
      <c r="J1139" s="8" t="n">
        <v>1</v>
      </c>
      <c r="K1139" s="8" t="n">
        <v>37</v>
      </c>
      <c r="L1139" s="8" t="inlineStr">
        <is>
          <t>是</t>
        </is>
      </c>
      <c r="M1139" s="9" t="inlineStr">
        <is>
          <t>beastDrop</t>
        </is>
      </c>
      <c r="N1139" s="8" t="n">
        <v>1</v>
      </c>
      <c r="O1139" s="9" t="inlineStr">
        <is>
          <t>周期触发</t>
        </is>
      </c>
      <c r="P1139" s="9" t="inlineStr">
        <is>
          <t>periodicPulse</t>
        </is>
      </c>
      <c r="Q1139" s="9" t="inlineStr">
        <is>
          <t>周期触发：轮转时，吸取敌方 3 点法力</t>
        </is>
      </c>
      <c r="R1139" s="9" t="inlineStr"/>
      <c r="S1139" s="9" t="inlineStr">
        <is>
          <t>深褐胆石，外壳与金色土纹层分明。产自妖兽「玄脉穿山甲」。</t>
        </is>
      </c>
      <c r="T1139" s="8" t="inlineStr">
        <is>
          <t>material_xuanmai_chuanshanjia_dark_earth_gallstone_1x1</t>
        </is>
      </c>
      <c r="U1139" s="8" t="inlineStr">
        <is>
          <t>allowed</t>
        </is>
      </c>
    </row>
    <row r="1140" ht="34" customHeight="1">
      <c r="A1140" s="8" t="n">
        <v>1139</v>
      </c>
      <c r="B1140" s="8" t="n">
        <v>500188</v>
      </c>
      <c r="C1140" s="8" t="inlineStr">
        <is>
          <t>碧梧臂筋</t>
        </is>
      </c>
      <c r="D1140" s="8" t="inlineStr">
        <is>
          <t>材料</t>
        </is>
      </c>
      <c r="E1140" s="8" t="inlineStr">
        <is>
          <t>material</t>
        </is>
      </c>
      <c r="F1140" s="8" t="inlineStr">
        <is>
          <t>common</t>
        </is>
      </c>
      <c r="G1140" s="8" t="inlineStr">
        <is>
          <t>木</t>
        </is>
      </c>
      <c r="H1140" s="8" t="inlineStr">
        <is>
          <t>wood</t>
        </is>
      </c>
      <c r="I1140" s="8" t="inlineStr">
        <is>
          <t>2×1</t>
        </is>
      </c>
      <c r="J1140" s="8" t="n">
        <v>2</v>
      </c>
      <c r="K1140" s="8" t="n">
        <v>8</v>
      </c>
      <c r="L1140" s="8" t="inlineStr">
        <is>
          <t>否</t>
        </is>
      </c>
      <c r="M1140" s="9" t="inlineStr"/>
      <c r="N1140" s="8" t="n">
        <v>1</v>
      </c>
      <c r="O1140" s="9" t="inlineStr">
        <is>
          <t>周期触发</t>
        </is>
      </c>
      <c r="P1140" s="9" t="inlineStr">
        <is>
          <t>periodicPulse</t>
        </is>
      </c>
      <c r="Q1140" s="9" t="inlineStr">
        <is>
          <t>周期触发：轮转时，消耗 8 点体力，为敌方施加 1 层冰霜</t>
        </is>
      </c>
      <c r="R1140" s="9" t="inlineStr"/>
      <c r="S1140" s="9" t="inlineStr">
        <is>
          <t>青绿灵猿臂筋，筋膜带梧叶纹。产自妖兽「碧梧灵猿」。</t>
        </is>
      </c>
      <c r="T1140" s="8" t="inlineStr">
        <is>
          <t>material_biwu_lingyuan_biwu_arm_sinew_2x1</t>
        </is>
      </c>
      <c r="U1140" s="8" t="inlineStr">
        <is>
          <t>allowed</t>
        </is>
      </c>
    </row>
    <row r="1141" ht="34" customHeight="1">
      <c r="A1141" s="8" t="n">
        <v>1140</v>
      </c>
      <c r="B1141" s="8" t="n">
        <v>500189</v>
      </c>
      <c r="C1141" s="8" t="inlineStr">
        <is>
          <t>灵猿青骨</t>
        </is>
      </c>
      <c r="D1141" s="8" t="inlineStr">
        <is>
          <t>材料</t>
        </is>
      </c>
      <c r="E1141" s="8" t="inlineStr">
        <is>
          <t>material</t>
        </is>
      </c>
      <c r="F1141" s="8" t="inlineStr">
        <is>
          <t>common</t>
        </is>
      </c>
      <c r="G1141" s="8" t="inlineStr">
        <is>
          <t>木</t>
        </is>
      </c>
      <c r="H1141" s="8" t="inlineStr">
        <is>
          <t>wood</t>
        </is>
      </c>
      <c r="I1141" s="8" t="inlineStr">
        <is>
          <t>2×1</t>
        </is>
      </c>
      <c r="J1141" s="8" t="n">
        <v>2</v>
      </c>
      <c r="K1141" s="8" t="n">
        <v>8</v>
      </c>
      <c r="L1141" s="8" t="inlineStr">
        <is>
          <t>否</t>
        </is>
      </c>
      <c r="M1141" s="9" t="inlineStr"/>
      <c r="N1141" s="8" t="n">
        <v>1</v>
      </c>
      <c r="O1141" s="9" t="inlineStr">
        <is>
          <t>周期触发</t>
        </is>
      </c>
      <c r="P1141" s="9" t="inlineStr">
        <is>
          <t>periodicPulse</t>
        </is>
      </c>
      <c r="Q1141" s="9" t="inlineStr">
        <is>
          <t>周期触发：轮转时，消耗 1 点法力，使相邻所有道具轮转加速 3 秒</t>
        </is>
      </c>
      <c r="R1141" s="9" t="inlineStr"/>
      <c r="S1141" s="9" t="inlineStr">
        <is>
          <t>青白灵猿臂骨，骨面有树枝状青纹。产自妖兽「碧梧灵猿」。</t>
        </is>
      </c>
      <c r="T1141" s="8" t="inlineStr">
        <is>
          <t>material_biwu_lingyuan_green_bone_2x1</t>
        </is>
      </c>
      <c r="U1141" s="8" t="inlineStr">
        <is>
          <t>allowed</t>
        </is>
      </c>
    </row>
    <row r="1142" ht="34" customHeight="1">
      <c r="A1142" s="8" t="n">
        <v>1141</v>
      </c>
      <c r="B1142" s="8" t="n">
        <v>500190</v>
      </c>
      <c r="C1142" s="8" t="inlineStr">
        <is>
          <t>梧叶尾毛</t>
        </is>
      </c>
      <c r="D1142" s="8" t="inlineStr">
        <is>
          <t>材料</t>
        </is>
      </c>
      <c r="E1142" s="8" t="inlineStr">
        <is>
          <t>material</t>
        </is>
      </c>
      <c r="F1142" s="8" t="inlineStr">
        <is>
          <t>common</t>
        </is>
      </c>
      <c r="G1142" s="8" t="inlineStr">
        <is>
          <t>木</t>
        </is>
      </c>
      <c r="H1142" s="8" t="inlineStr">
        <is>
          <t>wood</t>
        </is>
      </c>
      <c r="I1142" s="8" t="inlineStr">
        <is>
          <t>2×1</t>
        </is>
      </c>
      <c r="J1142" s="8" t="n">
        <v>2</v>
      </c>
      <c r="K1142" s="8" t="n">
        <v>14</v>
      </c>
      <c r="L1142" s="8" t="inlineStr">
        <is>
          <t>是</t>
        </is>
      </c>
      <c r="M1142" s="9" t="inlineStr">
        <is>
          <t>beastDrop</t>
        </is>
      </c>
      <c r="N1142" s="8" t="n">
        <v>1</v>
      </c>
      <c r="O1142" s="9" t="inlineStr">
        <is>
          <t>周期触发</t>
        </is>
      </c>
      <c r="P1142" s="9" t="inlineStr">
        <is>
          <t>periodicPulse</t>
        </is>
      </c>
      <c r="Q1142" s="9" t="inlineStr">
        <is>
          <t>周期触发：轮转时，获得 3 层闪避</t>
        </is>
      </c>
      <c r="R1142" s="9" t="inlineStr"/>
      <c r="S1142" s="9" t="inlineStr">
        <is>
          <t>灵猿尾毛，青褐毛束夹梧叶形纹片。产自妖兽「碧梧灵猿」。</t>
        </is>
      </c>
      <c r="T1142" s="8" t="inlineStr">
        <is>
          <t>material_biwu_lingyuan_wutong_tail_fur_2x1</t>
        </is>
      </c>
      <c r="U1142" s="8" t="inlineStr">
        <is>
          <t>allowed</t>
        </is>
      </c>
    </row>
    <row r="1143" ht="34" customHeight="1">
      <c r="A1143" s="8" t="n">
        <v>1142</v>
      </c>
      <c r="B1143" s="8" t="n">
        <v>500191</v>
      </c>
      <c r="C1143" s="8" t="inlineStr">
        <is>
          <t>碧梧掌骨</t>
        </is>
      </c>
      <c r="D1143" s="8" t="inlineStr">
        <is>
          <t>材料</t>
        </is>
      </c>
      <c r="E1143" s="8" t="inlineStr">
        <is>
          <t>material</t>
        </is>
      </c>
      <c r="F1143" s="8" t="inlineStr">
        <is>
          <t>common</t>
        </is>
      </c>
      <c r="G1143" s="8" t="inlineStr">
        <is>
          <t>木</t>
        </is>
      </c>
      <c r="H1143" s="8" t="inlineStr">
        <is>
          <t>wood</t>
        </is>
      </c>
      <c r="I1143" s="8" t="inlineStr">
        <is>
          <t>2×1</t>
        </is>
      </c>
      <c r="J1143" s="8" t="n">
        <v>2</v>
      </c>
      <c r="K1143" s="8" t="n">
        <v>8</v>
      </c>
      <c r="L1143" s="8" t="inlineStr">
        <is>
          <t>否</t>
        </is>
      </c>
      <c r="M1143" s="9" t="inlineStr"/>
      <c r="N1143" s="8" t="n">
        <v>1</v>
      </c>
      <c r="O1143" s="9" t="inlineStr">
        <is>
          <t>周期触发</t>
        </is>
      </c>
      <c r="P1143" s="9" t="inlineStr">
        <is>
          <t>periodicPulse</t>
        </is>
      </c>
      <c r="Q1143" s="9" t="inlineStr">
        <is>
          <t>周期触发：轮转时，对敌方造成 4 点伤害</t>
        </is>
      </c>
      <c r="R1143" s="9" t="inlineStr"/>
      <c r="S1143" s="9" t="inlineStr">
        <is>
          <t>扁平灵猿掌骨，掌心有青木纹。产自妖兽「碧梧灵猿」。</t>
        </is>
      </c>
      <c r="T1143" s="8" t="inlineStr">
        <is>
          <t>material_biwu_lingyuan_biwu_palm_bone_2x1</t>
        </is>
      </c>
      <c r="U1143" s="8" t="inlineStr">
        <is>
          <t>allowed</t>
        </is>
      </c>
    </row>
    <row r="1144" ht="34" customHeight="1">
      <c r="A1144" s="8" t="n">
        <v>1143</v>
      </c>
      <c r="B1144" s="8" t="n">
        <v>500192</v>
      </c>
      <c r="C1144" s="8" t="inlineStr">
        <is>
          <t>碧梧灵筋</t>
        </is>
      </c>
      <c r="D1144" s="8" t="inlineStr">
        <is>
          <t>材料</t>
        </is>
      </c>
      <c r="E1144" s="8" t="inlineStr">
        <is>
          <t>material</t>
        </is>
      </c>
      <c r="F1144" s="8" t="inlineStr">
        <is>
          <t>common</t>
        </is>
      </c>
      <c r="G1144" s="8" t="inlineStr">
        <is>
          <t>木</t>
        </is>
      </c>
      <c r="H1144" s="8" t="inlineStr">
        <is>
          <t>wood</t>
        </is>
      </c>
      <c r="I1144" s="8" t="inlineStr">
        <is>
          <t>1×2</t>
        </is>
      </c>
      <c r="J1144" s="8" t="n">
        <v>2</v>
      </c>
      <c r="K1144" s="8" t="n">
        <v>14</v>
      </c>
      <c r="L1144" s="8" t="inlineStr">
        <is>
          <t>是</t>
        </is>
      </c>
      <c r="M1144" s="9" t="inlineStr">
        <is>
          <t>beastDrop</t>
        </is>
      </c>
      <c r="N1144" s="8" t="n">
        <v>1</v>
      </c>
      <c r="O1144" s="9" t="inlineStr">
        <is>
          <t>周期触发</t>
        </is>
      </c>
      <c r="P1144" s="9" t="inlineStr">
        <is>
          <t>periodicPulse</t>
        </is>
      </c>
      <c r="Q1144" s="9" t="inlineStr">
        <is>
          <t>周期触发：轮转时，恢复 3 点气血</t>
        </is>
      </c>
      <c r="R1144" s="9" t="inlineStr"/>
      <c r="S1144" s="9" t="inlineStr">
        <is>
          <t>青绿灵筋，筋束如藤蔓缠绕。产自妖兽「碧梧灵猿」。</t>
        </is>
      </c>
      <c r="T1144" s="8" t="inlineStr">
        <is>
          <t>material_biwu_lingyuan_spirit_sinew_1x2</t>
        </is>
      </c>
      <c r="U1144" s="8" t="inlineStr">
        <is>
          <t>allowed</t>
        </is>
      </c>
    </row>
    <row r="1145" ht="34" customHeight="1">
      <c r="A1145" s="8" t="n">
        <v>1144</v>
      </c>
      <c r="B1145" s="8" t="n">
        <v>500193</v>
      </c>
      <c r="C1145" s="8" t="inlineStr">
        <is>
          <t>木息灵髓</t>
        </is>
      </c>
      <c r="D1145" s="8" t="inlineStr">
        <is>
          <t>材料</t>
        </is>
      </c>
      <c r="E1145" s="8" t="inlineStr">
        <is>
          <t>material</t>
        </is>
      </c>
      <c r="F1145" s="8" t="inlineStr">
        <is>
          <t>common</t>
        </is>
      </c>
      <c r="G1145" s="8" t="inlineStr">
        <is>
          <t>木</t>
        </is>
      </c>
      <c r="H1145" s="8" t="inlineStr">
        <is>
          <t>wood</t>
        </is>
      </c>
      <c r="I1145" s="8" t="inlineStr">
        <is>
          <t>1×2</t>
        </is>
      </c>
      <c r="J1145" s="8" t="n">
        <v>2</v>
      </c>
      <c r="K1145" s="8" t="n">
        <v>34</v>
      </c>
      <c r="L1145" s="8" t="inlineStr">
        <is>
          <t>是</t>
        </is>
      </c>
      <c r="M1145" s="9" t="inlineStr">
        <is>
          <t>beastDrop</t>
        </is>
      </c>
      <c r="N1145" s="8" t="n">
        <v>1</v>
      </c>
      <c r="O1145" s="9" t="inlineStr">
        <is>
          <t>周期触发</t>
        </is>
      </c>
      <c r="P1145" s="9" t="inlineStr">
        <is>
          <t>periodicPulse</t>
        </is>
      </c>
      <c r="Q1145" s="9" t="inlineStr">
        <is>
          <t>周期触发：轮转时，使敌我双方气血、体力、法力与精血恢复全满</t>
        </is>
      </c>
      <c r="R1145" s="9" t="inlineStr"/>
      <c r="S1145" s="9" t="inlineStr">
        <is>
          <t>青白骨髓结晶，内部木纹分层。产自妖兽「碧梧灵猿」。</t>
        </is>
      </c>
      <c r="T1145" s="8" t="inlineStr">
        <is>
          <t>material_biwu_lingyuan_wood_breath_marrow_1x2</t>
        </is>
      </c>
      <c r="U1145" s="8" t="inlineStr">
        <is>
          <t>allowed</t>
        </is>
      </c>
    </row>
    <row r="1146" ht="34" customHeight="1">
      <c r="A1146" s="8" t="n">
        <v>1145</v>
      </c>
      <c r="B1146" s="8" t="n">
        <v>500194</v>
      </c>
      <c r="C1146" s="8" t="inlineStr">
        <is>
          <t>灵猿喉骨</t>
        </is>
      </c>
      <c r="D1146" s="8" t="inlineStr">
        <is>
          <t>材料</t>
        </is>
      </c>
      <c r="E1146" s="8" t="inlineStr">
        <is>
          <t>material</t>
        </is>
      </c>
      <c r="F1146" s="8" t="inlineStr">
        <is>
          <t>common</t>
        </is>
      </c>
      <c r="G1146" s="8" t="inlineStr">
        <is>
          <t>木</t>
        </is>
      </c>
      <c r="H1146" s="8" t="inlineStr">
        <is>
          <t>wood</t>
        </is>
      </c>
      <c r="I1146" s="8" t="inlineStr">
        <is>
          <t>1×2</t>
        </is>
      </c>
      <c r="J1146" s="8" t="n">
        <v>2</v>
      </c>
      <c r="K1146" s="8" t="n">
        <v>17</v>
      </c>
      <c r="L1146" s="8" t="inlineStr">
        <is>
          <t>是</t>
        </is>
      </c>
      <c r="M1146" s="9" t="inlineStr">
        <is>
          <t>beastDrop</t>
        </is>
      </c>
      <c r="N1146" s="8" t="n">
        <v>1</v>
      </c>
      <c r="O1146" s="9" t="inlineStr">
        <is>
          <t>周期触发</t>
        </is>
      </c>
      <c r="P1146" s="9" t="inlineStr">
        <is>
          <t>periodicPulse</t>
        </is>
      </c>
      <c r="Q1146" s="9" t="inlineStr">
        <is>
          <t>周期触发：轮转时，将 3 点法力转化为 20 点体力</t>
        </is>
      </c>
      <c r="R1146" s="9" t="inlineStr"/>
      <c r="S1146" s="9" t="inlineStr">
        <is>
          <t>青灰喉骨，骨节表面有木息纹。产自妖兽「碧梧灵猿」。</t>
        </is>
      </c>
      <c r="T1146" s="8" t="inlineStr">
        <is>
          <t>material_biwu_lingyuan_throat_bone_1x2</t>
        </is>
      </c>
      <c r="U1146" s="8" t="inlineStr">
        <is>
          <t>allowed</t>
        </is>
      </c>
    </row>
    <row r="1147" ht="34" customHeight="1">
      <c r="A1147" s="8" t="n">
        <v>1146</v>
      </c>
      <c r="B1147" s="8" t="n">
        <v>500195</v>
      </c>
      <c r="C1147" s="8" t="inlineStr">
        <is>
          <t>梧心胆核</t>
        </is>
      </c>
      <c r="D1147" s="8" t="inlineStr">
        <is>
          <t>材料</t>
        </is>
      </c>
      <c r="E1147" s="8" t="inlineStr">
        <is>
          <t>material</t>
        </is>
      </c>
      <c r="F1147" s="8" t="inlineStr">
        <is>
          <t>common</t>
        </is>
      </c>
      <c r="G1147" s="8" t="inlineStr">
        <is>
          <t>木</t>
        </is>
      </c>
      <c r="H1147" s="8" t="inlineStr">
        <is>
          <t>wood</t>
        </is>
      </c>
      <c r="I1147" s="8" t="inlineStr">
        <is>
          <t>1×1</t>
        </is>
      </c>
      <c r="J1147" s="8" t="n">
        <v>1</v>
      </c>
      <c r="K1147" s="8" t="n">
        <v>34</v>
      </c>
      <c r="L1147" s="8" t="inlineStr">
        <is>
          <t>是</t>
        </is>
      </c>
      <c r="M1147" s="9" t="inlineStr">
        <is>
          <t>beastDrop</t>
        </is>
      </c>
      <c r="N1147" s="8" t="n">
        <v>1</v>
      </c>
      <c r="O1147" s="9" t="inlineStr">
        <is>
          <t>周期触发</t>
        </is>
      </c>
      <c r="P1147" s="9" t="inlineStr">
        <is>
          <t>periodicPulse</t>
        </is>
      </c>
      <c r="Q1147" s="9" t="inlineStr">
        <is>
          <t>周期触发：轮转时，消耗 8 点体力，对敌方造成 5 点伤害</t>
        </is>
      </c>
      <c r="R1147" s="9" t="inlineStr"/>
      <c r="S1147" s="9" t="inlineStr">
        <is>
          <t>青木色胆核，表面有硬壳裂线。产自妖兽「碧梧灵猿」。</t>
        </is>
      </c>
      <c r="T1147" s="8" t="inlineStr">
        <is>
          <t>material_biwu_lingyuan_wutong_gall_core_1x1</t>
        </is>
      </c>
      <c r="U1147" s="8" t="inlineStr">
        <is>
          <t>allowed</t>
        </is>
      </c>
    </row>
    <row r="1148" ht="34" customHeight="1">
      <c r="A1148" s="8" t="n">
        <v>1147</v>
      </c>
      <c r="B1148" s="8" t="n">
        <v>500197</v>
      </c>
      <c r="C1148" s="8" t="inlineStr">
        <is>
          <t>霜脉鹿角</t>
        </is>
      </c>
      <c r="D1148" s="8" t="inlineStr">
        <is>
          <t>材料</t>
        </is>
      </c>
      <c r="E1148" s="8" t="inlineStr">
        <is>
          <t>material</t>
        </is>
      </c>
      <c r="F1148" s="8" t="inlineStr">
        <is>
          <t>spirit</t>
        </is>
      </c>
      <c r="G1148" s="8" t="inlineStr">
        <is>
          <t>水</t>
        </is>
      </c>
      <c r="H1148" s="8" t="inlineStr">
        <is>
          <t>water</t>
        </is>
      </c>
      <c r="I1148" s="8" t="inlineStr">
        <is>
          <t>2×2</t>
        </is>
      </c>
      <c r="J1148" s="8" t="n">
        <v>4</v>
      </c>
      <c r="K1148" s="8" t="n">
        <v>80</v>
      </c>
      <c r="L1148" s="8" t="inlineStr">
        <is>
          <t>否</t>
        </is>
      </c>
      <c r="M1148" s="9" t="inlineStr"/>
      <c r="N1148" s="8" t="n">
        <v>1</v>
      </c>
      <c r="O1148" s="9" t="inlineStr">
        <is>
          <t>周期触发</t>
        </is>
      </c>
      <c r="P1148" s="9" t="inlineStr">
        <is>
          <t>periodicPulse</t>
        </is>
      </c>
      <c r="Q1148" s="9" t="inlineStr">
        <is>
          <t>周期触发：轮转时，如果自身法力高于敌方，消耗 12 点法力，恢复自身 76 点体力，并使相邻道具加速 5 秒</t>
        </is>
      </c>
      <c r="R1148" s="9" t="inlineStr"/>
      <c r="S1148" s="9" t="inlineStr">
        <is>
          <t>分叉鹿角，角面有蓝白霜脉纹。产自妖兽「霜脉角鹿」。</t>
        </is>
      </c>
      <c r="T1148" s="8" t="inlineStr">
        <is>
          <t>material_shuangmai_jiaolu_frost_antler_2x2</t>
        </is>
      </c>
      <c r="U1148" s="8" t="inlineStr">
        <is>
          <t>allowed</t>
        </is>
      </c>
    </row>
    <row r="1149" ht="34" customHeight="1">
      <c r="A1149" s="8" t="n">
        <v>1148</v>
      </c>
      <c r="B1149" s="8" t="n">
        <v>500198</v>
      </c>
      <c r="C1149" s="8" t="inlineStr">
        <is>
          <t>寒雾皮</t>
        </is>
      </c>
      <c r="D1149" s="8" t="inlineStr">
        <is>
          <t>材料</t>
        </is>
      </c>
      <c r="E1149" s="8" t="inlineStr">
        <is>
          <t>material</t>
        </is>
      </c>
      <c r="F1149" s="8" t="inlineStr">
        <is>
          <t>spirit</t>
        </is>
      </c>
      <c r="G1149" s="8" t="inlineStr">
        <is>
          <t>水</t>
        </is>
      </c>
      <c r="H1149" s="8" t="inlineStr">
        <is>
          <t>water</t>
        </is>
      </c>
      <c r="I1149" s="8" t="inlineStr">
        <is>
          <t>4×2</t>
        </is>
      </c>
      <c r="J1149" s="8" t="n">
        <v>8</v>
      </c>
      <c r="K1149" s="8" t="n">
        <v>140</v>
      </c>
      <c r="L1149" s="8" t="inlineStr">
        <is>
          <t>是</t>
        </is>
      </c>
      <c r="M1149" s="9" t="inlineStr">
        <is>
          <t>beastDrop</t>
        </is>
      </c>
      <c r="N1149" s="8" t="n">
        <v>1</v>
      </c>
      <c r="O1149" s="9" t="inlineStr">
        <is>
          <t>周期触发</t>
        </is>
      </c>
      <c r="P1149" s="9" t="inlineStr">
        <is>
          <t>periodicPulse</t>
        </is>
      </c>
      <c r="Q1149" s="9" t="inlineStr">
        <is>
          <t>周期触发：轮转时，消耗 36 点法力，获得 20 层坚硬；与它相邻的道具现有的冻结和减速各缩短 1.5 秒，并在本场战斗中使每次造成的伤害 +8、轮转消耗的气血、体力、法力或神识 -2，伤害最多 +32、消耗最多 -8</t>
        </is>
      </c>
      <c r="R1149" s="9" t="inlineStr"/>
      <c r="S1149" s="9" t="inlineStr">
        <is>
          <t>浅灰鹿皮，皮面有蓝白脉络和细短毛。产自妖兽「霜脉角鹿」。</t>
        </is>
      </c>
      <c r="T1149" s="8" t="inlineStr">
        <is>
          <t>material_shuangmai_jiaolu_cold_mist_hide_4x2</t>
        </is>
      </c>
      <c r="U1149" s="8" t="inlineStr">
        <is>
          <t>allowed</t>
        </is>
      </c>
    </row>
    <row r="1150" ht="34" customHeight="1">
      <c r="A1150" s="8" t="n">
        <v>1149</v>
      </c>
      <c r="B1150" s="8" t="n">
        <v>500199</v>
      </c>
      <c r="C1150" s="8" t="inlineStr">
        <is>
          <t>清脉蹄</t>
        </is>
      </c>
      <c r="D1150" s="8" t="inlineStr">
        <is>
          <t>材料</t>
        </is>
      </c>
      <c r="E1150" s="8" t="inlineStr">
        <is>
          <t>material</t>
        </is>
      </c>
      <c r="F1150" s="8" t="inlineStr">
        <is>
          <t>spirit</t>
        </is>
      </c>
      <c r="G1150" s="8" t="inlineStr">
        <is>
          <t>水</t>
        </is>
      </c>
      <c r="H1150" s="8" t="inlineStr">
        <is>
          <t>water</t>
        </is>
      </c>
      <c r="I1150" s="8" t="inlineStr">
        <is>
          <t>2×1</t>
        </is>
      </c>
      <c r="J1150" s="8" t="n">
        <v>2</v>
      </c>
      <c r="K1150" s="8" t="n">
        <v>80</v>
      </c>
      <c r="L1150" s="8" t="inlineStr">
        <is>
          <t>否</t>
        </is>
      </c>
      <c r="M1150" s="9" t="inlineStr"/>
      <c r="N1150" s="8" t="n">
        <v>1</v>
      </c>
      <c r="O1150" s="9" t="inlineStr">
        <is>
          <t>周期触发</t>
        </is>
      </c>
      <c r="P1150" s="9" t="inlineStr">
        <is>
          <t>periodicPulse</t>
        </is>
      </c>
      <c r="Q1150" s="9" t="inlineStr">
        <is>
          <t>周期触发：轮转时，消耗 18 点神识，对敌方造成 110 点伤害，每次轮转后伤害效果升级；伤害</t>
        </is>
      </c>
      <c r="R1150" s="9" t="inlineStr"/>
      <c r="S1150" s="9" t="inlineStr">
        <is>
          <t>鹿蹄成对，蹄底有清晰冰裂纹。产自妖兽「霜脉角鹿」。</t>
        </is>
      </c>
      <c r="T1150" s="8" t="inlineStr">
        <is>
          <t>material_shuangmai_jiaolu_clear_vein_hoof_2x1</t>
        </is>
      </c>
      <c r="U1150" s="8" t="inlineStr">
        <is>
          <t>allowed</t>
        </is>
      </c>
    </row>
    <row r="1151" ht="34" customHeight="1">
      <c r="A1151" s="8" t="n">
        <v>1150</v>
      </c>
      <c r="B1151" s="8" t="n">
        <v>500200</v>
      </c>
      <c r="C1151" s="8" t="inlineStr">
        <is>
          <t>霜鹿肩骨</t>
        </is>
      </c>
      <c r="D1151" s="8" t="inlineStr">
        <is>
          <t>材料</t>
        </is>
      </c>
      <c r="E1151" s="8" t="inlineStr">
        <is>
          <t>material</t>
        </is>
      </c>
      <c r="F1151" s="8" t="inlineStr">
        <is>
          <t>spirit</t>
        </is>
      </c>
      <c r="G1151" s="8" t="inlineStr">
        <is>
          <t>水</t>
        </is>
      </c>
      <c r="H1151" s="8" t="inlineStr">
        <is>
          <t>water</t>
        </is>
      </c>
      <c r="I1151" s="8" t="inlineStr">
        <is>
          <t>2×1</t>
        </is>
      </c>
      <c r="J1151" s="8" t="n">
        <v>2</v>
      </c>
      <c r="K1151" s="8" t="n">
        <v>200</v>
      </c>
      <c r="L1151" s="8" t="inlineStr">
        <is>
          <t>是</t>
        </is>
      </c>
      <c r="M1151" s="9" t="inlineStr">
        <is>
          <t>beastDrop</t>
        </is>
      </c>
      <c r="N1151" s="8" t="n">
        <v>1</v>
      </c>
      <c r="O1151" s="9" t="inlineStr">
        <is>
          <t>周期触发</t>
        </is>
      </c>
      <c r="P1151" s="9" t="inlineStr">
        <is>
          <t>periodicPulse</t>
        </is>
      </c>
      <c r="Q1151" s="9" t="inlineStr">
        <is>
          <t>周期触发：轮转时，消耗 36 点体力，对敌方造成 144 点伤害，每次轮转后消耗效果升级；消耗降低</t>
        </is>
      </c>
      <c r="R1151" s="9" t="inlineStr"/>
      <c r="S1151" s="9" t="inlineStr">
        <is>
          <t>宽肩骨，骨面带淡蓝霜纹。产自妖兽「霜脉角鹿」。</t>
        </is>
      </c>
      <c r="T1151" s="8" t="inlineStr">
        <is>
          <t>material_shuangmai_jiaolu_frost_shoulder_bone_2x1</t>
        </is>
      </c>
      <c r="U1151" s="8" t="inlineStr">
        <is>
          <t>allowed</t>
        </is>
      </c>
    </row>
    <row r="1152" ht="34" customHeight="1">
      <c r="A1152" s="8" t="n">
        <v>1151</v>
      </c>
      <c r="B1152" s="8" t="n">
        <v>500201</v>
      </c>
      <c r="C1152" s="8" t="inlineStr">
        <is>
          <t>霜枝灵角</t>
        </is>
      </c>
      <c r="D1152" s="8" t="inlineStr">
        <is>
          <t>材料</t>
        </is>
      </c>
      <c r="E1152" s="8" t="inlineStr">
        <is>
          <t>material</t>
        </is>
      </c>
      <c r="F1152" s="8" t="inlineStr">
        <is>
          <t>spirit</t>
        </is>
      </c>
      <c r="G1152" s="8" t="inlineStr">
        <is>
          <t>水</t>
        </is>
      </c>
      <c r="H1152" s="8" t="inlineStr">
        <is>
          <t>water</t>
        </is>
      </c>
      <c r="I1152" s="8" t="inlineStr">
        <is>
          <t>1×3</t>
        </is>
      </c>
      <c r="J1152" s="8" t="n">
        <v>3</v>
      </c>
      <c r="K1152" s="8" t="n">
        <v>170</v>
      </c>
      <c r="L1152" s="8" t="inlineStr">
        <is>
          <t>是</t>
        </is>
      </c>
      <c r="M1152" s="9" t="inlineStr">
        <is>
          <t>beastDrop</t>
        </is>
      </c>
      <c r="N1152" s="8" t="n">
        <v>1</v>
      </c>
      <c r="O1152" s="9" t="inlineStr">
        <is>
          <t>周期触发</t>
        </is>
      </c>
      <c r="P1152" s="9" t="inlineStr">
        <is>
          <t>periodicPulse</t>
        </is>
      </c>
      <c r="Q1152" s="9" t="inlineStr">
        <is>
          <t>周期触发：轮转时，消耗 30 点体力，对敌方造成 40 点伤害，获得 12 层寒冷，并随机冻结敌方 2 个道具 2 秒</t>
        </is>
      </c>
      <c r="R1152" s="9" t="inlineStr"/>
      <c r="S1152" s="9" t="inlineStr">
        <is>
          <t>细长分叉灵角，角尖带蓝白层纹。产自妖兽「霜脉角鹿」。</t>
        </is>
      </c>
      <c r="T1152" s="8" t="inlineStr">
        <is>
          <t>material_shuangmai_jiaolu_frost_branch_antler_1x3</t>
        </is>
      </c>
      <c r="U1152" s="8" t="inlineStr">
        <is>
          <t>allowed</t>
        </is>
      </c>
    </row>
    <row r="1153" ht="34" customHeight="1">
      <c r="A1153" s="8" t="n">
        <v>1152</v>
      </c>
      <c r="B1153" s="8" t="n">
        <v>500202</v>
      </c>
      <c r="C1153" s="8" t="inlineStr">
        <is>
          <t>寒脉灵髓</t>
        </is>
      </c>
      <c r="D1153" s="8" t="inlineStr">
        <is>
          <t>材料</t>
        </is>
      </c>
      <c r="E1153" s="8" t="inlineStr">
        <is>
          <t>material</t>
        </is>
      </c>
      <c r="F1153" s="8" t="inlineStr">
        <is>
          <t>spirit</t>
        </is>
      </c>
      <c r="G1153" s="8" t="inlineStr">
        <is>
          <t>水</t>
        </is>
      </c>
      <c r="H1153" s="8" t="inlineStr">
        <is>
          <t>water</t>
        </is>
      </c>
      <c r="I1153" s="8" t="inlineStr">
        <is>
          <t>1×2</t>
        </is>
      </c>
      <c r="J1153" s="8" t="n">
        <v>2</v>
      </c>
      <c r="K1153" s="8" t="n">
        <v>340</v>
      </c>
      <c r="L1153" s="8" t="inlineStr">
        <is>
          <t>是</t>
        </is>
      </c>
      <c r="M1153" s="9" t="inlineStr">
        <is>
          <t>beastDrop</t>
        </is>
      </c>
      <c r="N1153" s="8" t="n">
        <v>1</v>
      </c>
      <c r="O1153" s="9" t="inlineStr">
        <is>
          <t>周期触发</t>
        </is>
      </c>
      <c r="P1153" s="9" t="inlineStr">
        <is>
          <t>periodicPulse</t>
        </is>
      </c>
      <c r="Q1153" s="9" t="inlineStr">
        <is>
          <t>周期触发：轮转时，如果自身神识高于敌方，恢复自身 90 点法力并获得 4 层再生</t>
        </is>
      </c>
      <c r="R1153" s="9" t="inlineStr"/>
      <c r="S1153" s="9" t="inlineStr">
        <is>
          <t>蓝白骨髓结晶，外壳像寒玉。产自妖兽「霜脉角鹿」。</t>
        </is>
      </c>
      <c r="T1153" s="8" t="inlineStr">
        <is>
          <t>material_shuangmai_jiaolu_cold_vein_marrow_1x2</t>
        </is>
      </c>
      <c r="U1153" s="8" t="inlineStr">
        <is>
          <t>allowed</t>
        </is>
      </c>
    </row>
    <row r="1154" ht="34" customHeight="1">
      <c r="A1154" s="8" t="n">
        <v>1153</v>
      </c>
      <c r="B1154" s="8" t="n">
        <v>500203</v>
      </c>
      <c r="C1154" s="8" t="inlineStr">
        <is>
          <t>霜脉心筋</t>
        </is>
      </c>
      <c r="D1154" s="8" t="inlineStr">
        <is>
          <t>材料</t>
        </is>
      </c>
      <c r="E1154" s="8" t="inlineStr">
        <is>
          <t>material</t>
        </is>
      </c>
      <c r="F1154" s="8" t="inlineStr">
        <is>
          <t>spirit</t>
        </is>
      </c>
      <c r="G1154" s="8" t="inlineStr">
        <is>
          <t>水</t>
        </is>
      </c>
      <c r="H1154" s="8" t="inlineStr">
        <is>
          <t>water</t>
        </is>
      </c>
      <c r="I1154" s="8" t="inlineStr">
        <is>
          <t>1×2</t>
        </is>
      </c>
      <c r="J1154" s="8" t="n">
        <v>2</v>
      </c>
      <c r="K1154" s="8" t="n">
        <v>340</v>
      </c>
      <c r="L1154" s="8" t="inlineStr">
        <is>
          <t>是</t>
        </is>
      </c>
      <c r="M1154" s="9" t="inlineStr">
        <is>
          <t>beastDrop</t>
        </is>
      </c>
      <c r="N1154" s="8" t="n">
        <v>1</v>
      </c>
      <c r="O1154" s="9" t="inlineStr">
        <is>
          <t>周期触发</t>
        </is>
      </c>
      <c r="P1154" s="9" t="inlineStr">
        <is>
          <t>periodicPulse</t>
        </is>
      </c>
      <c r="Q1154" s="9" t="inlineStr">
        <is>
          <t>周期触发：轮转时，消耗 20 点神识，冻结敌方占格最大的道具 3 秒，并使其减速 4 秒</t>
        </is>
      </c>
      <c r="R1154" s="9" t="inlineStr"/>
      <c r="S1154" s="9" t="inlineStr">
        <is>
          <t>浅蓝心筋，筋面有细密霜线。产自妖兽「霜脉角鹿」。</t>
        </is>
      </c>
      <c r="T1154" s="8" t="inlineStr">
        <is>
          <t>material_shuangmai_jiaolu_frost_heart_sinew_1x2</t>
        </is>
      </c>
      <c r="U1154" s="8" t="inlineStr">
        <is>
          <t>allowed</t>
        </is>
      </c>
    </row>
    <row r="1155" ht="34" customHeight="1">
      <c r="A1155" s="8" t="n">
        <v>1154</v>
      </c>
      <c r="B1155" s="8" t="n">
        <v>500204</v>
      </c>
      <c r="C1155" s="8" t="inlineStr">
        <is>
          <t>鹿影尾骨</t>
        </is>
      </c>
      <c r="D1155" s="8" t="inlineStr">
        <is>
          <t>材料</t>
        </is>
      </c>
      <c r="E1155" s="8" t="inlineStr">
        <is>
          <t>material</t>
        </is>
      </c>
      <c r="F1155" s="8" t="inlineStr">
        <is>
          <t>spirit</t>
        </is>
      </c>
      <c r="G1155" s="8" t="inlineStr">
        <is>
          <t>水</t>
        </is>
      </c>
      <c r="H1155" s="8" t="inlineStr">
        <is>
          <t>water</t>
        </is>
      </c>
      <c r="I1155" s="8" t="inlineStr">
        <is>
          <t>1×2</t>
        </is>
      </c>
      <c r="J1155" s="8" t="n">
        <v>2</v>
      </c>
      <c r="K1155" s="8" t="n">
        <v>80</v>
      </c>
      <c r="L1155" s="8" t="inlineStr">
        <is>
          <t>否</t>
        </is>
      </c>
      <c r="M1155" s="9" t="inlineStr"/>
      <c r="N1155" s="8" t="n">
        <v>1</v>
      </c>
      <c r="O1155" s="9" t="inlineStr">
        <is>
          <t>周期触发</t>
        </is>
      </c>
      <c r="P1155" s="9" t="inlineStr">
        <is>
          <t>periodicPulse</t>
        </is>
      </c>
      <c r="Q1155" s="9" t="inlineStr">
        <is>
          <t>周期触发：轮转时，消耗 20 点体力与最多 36 层寒冷；每消耗 1 层寒冷，对敌方造成 3 点伤害，随机冻结敌方 3 个道具 3 秒，并使相邻道具加速 10 秒</t>
        </is>
      </c>
      <c r="R1155" s="9" t="inlineStr"/>
      <c r="S1155" s="9" t="inlineStr">
        <is>
          <t>细尾骨，灰白骨节缠绕浅蓝脉纹。产自妖兽「霜脉角鹿」。</t>
        </is>
      </c>
      <c r="T1155" s="8" t="inlineStr">
        <is>
          <t>material_shuangmai_jiaolu_deer_shadow_tailbone_1x2</t>
        </is>
      </c>
      <c r="U1155" s="8" t="inlineStr">
        <is>
          <t>allowed</t>
        </is>
      </c>
    </row>
    <row r="1156" ht="34" customHeight="1">
      <c r="A1156" s="8" t="n">
        <v>1155</v>
      </c>
      <c r="B1156" s="8" t="n">
        <v>500205</v>
      </c>
      <c r="C1156" s="8" t="inlineStr">
        <is>
          <t>赤纹皮</t>
        </is>
      </c>
      <c r="D1156" s="8" t="inlineStr">
        <is>
          <t>材料</t>
        </is>
      </c>
      <c r="E1156" s="8" t="inlineStr">
        <is>
          <t>material</t>
        </is>
      </c>
      <c r="F1156" s="8" t="inlineStr">
        <is>
          <t>common</t>
        </is>
      </c>
      <c r="G1156" s="8" t="inlineStr">
        <is>
          <t>火</t>
        </is>
      </c>
      <c r="H1156" s="8" t="inlineStr">
        <is>
          <t>fire</t>
        </is>
      </c>
      <c r="I1156" s="8" t="inlineStr">
        <is>
          <t>2×2</t>
        </is>
      </c>
      <c r="J1156" s="8" t="n">
        <v>4</v>
      </c>
      <c r="K1156" s="8" t="n">
        <v>12</v>
      </c>
      <c r="L1156" s="8" t="inlineStr">
        <is>
          <t>否</t>
        </is>
      </c>
      <c r="M1156" s="9" t="inlineStr"/>
      <c r="N1156" s="8" t="n">
        <v>1</v>
      </c>
      <c r="O1156" s="9" t="inlineStr">
        <is>
          <t>周期触发</t>
        </is>
      </c>
      <c r="P1156" s="9" t="inlineStr">
        <is>
          <t>periodicPulse</t>
        </is>
      </c>
      <c r="Q1156" s="9" t="inlineStr">
        <is>
          <t>周期触发：轮转时，消耗 3 点体力，对敌方造成 3 点伤害</t>
        </is>
      </c>
      <c r="R1156" s="9" t="inlineStr"/>
      <c r="S1156" s="9" t="inlineStr">
        <is>
          <t>岩狸皮，岩灰底色上有赤褐条纹。产自妖兽「赤纹岩狸」。</t>
        </is>
      </c>
      <c r="T1156" s="8" t="inlineStr">
        <is>
          <t>material_chiwen_yanli_red_streak_hide_2x2</t>
        </is>
      </c>
      <c r="U1156" s="8" t="inlineStr">
        <is>
          <t>allowed</t>
        </is>
      </c>
    </row>
    <row r="1157" ht="34" customHeight="1">
      <c r="A1157" s="8" t="n">
        <v>1156</v>
      </c>
      <c r="B1157" s="8" t="n">
        <v>500206</v>
      </c>
      <c r="C1157" s="8" t="inlineStr">
        <is>
          <t>温岩爪</t>
        </is>
      </c>
      <c r="D1157" s="8" t="inlineStr">
        <is>
          <t>材料</t>
        </is>
      </c>
      <c r="E1157" s="8" t="inlineStr">
        <is>
          <t>material</t>
        </is>
      </c>
      <c r="F1157" s="8" t="inlineStr">
        <is>
          <t>common</t>
        </is>
      </c>
      <c r="G1157" s="8" t="inlineStr">
        <is>
          <t>火</t>
        </is>
      </c>
      <c r="H1157" s="8" t="inlineStr">
        <is>
          <t>fire</t>
        </is>
      </c>
      <c r="I1157" s="8" t="inlineStr">
        <is>
          <t>2×2</t>
        </is>
      </c>
      <c r="J1157" s="8" t="n">
        <v>4</v>
      </c>
      <c r="K1157" s="8" t="n">
        <v>14</v>
      </c>
      <c r="L1157" s="8" t="inlineStr">
        <is>
          <t>是</t>
        </is>
      </c>
      <c r="M1157" s="9" t="inlineStr">
        <is>
          <t>beastDrop</t>
        </is>
      </c>
      <c r="N1157" s="8" t="n">
        <v>1</v>
      </c>
      <c r="O1157" s="9" t="inlineStr">
        <is>
          <t>周期触发</t>
        </is>
      </c>
      <c r="P1157" s="9" t="inlineStr">
        <is>
          <t>periodicPulse</t>
        </is>
      </c>
      <c r="Q1157" s="9" t="inlineStr">
        <is>
          <t>周期触发：轮转时，对敌方造成 8 点伤害</t>
        </is>
      </c>
      <c r="R1157" s="9" t="inlineStr"/>
      <c r="S1157" s="9" t="inlineStr">
        <is>
          <t>短粗岩狸爪，爪背有赤纹石质裂线。产自妖兽「赤纹岩狸」。</t>
        </is>
      </c>
      <c r="T1157" s="8" t="inlineStr">
        <is>
          <t>material_chiwen_yanli_warm_rock_claw_2x2</t>
        </is>
      </c>
      <c r="U1157" s="8" t="inlineStr">
        <is>
          <t>allowed</t>
        </is>
      </c>
    </row>
    <row r="1158" ht="34" customHeight="1">
      <c r="A1158" s="8" t="n">
        <v>1157</v>
      </c>
      <c r="B1158" s="8" t="n">
        <v>500207</v>
      </c>
      <c r="C1158" s="8" t="inlineStr">
        <is>
          <t>炉线尾骨</t>
        </is>
      </c>
      <c r="D1158" s="8" t="inlineStr">
        <is>
          <t>材料</t>
        </is>
      </c>
      <c r="E1158" s="8" t="inlineStr">
        <is>
          <t>material</t>
        </is>
      </c>
      <c r="F1158" s="8" t="inlineStr">
        <is>
          <t>common</t>
        </is>
      </c>
      <c r="G1158" s="8" t="inlineStr">
        <is>
          <t>火</t>
        </is>
      </c>
      <c r="H1158" s="8" t="inlineStr">
        <is>
          <t>fire</t>
        </is>
      </c>
      <c r="I1158" s="8" t="inlineStr">
        <is>
          <t>2×1</t>
        </is>
      </c>
      <c r="J1158" s="8" t="n">
        <v>2</v>
      </c>
      <c r="K1158" s="8" t="n">
        <v>24</v>
      </c>
      <c r="L1158" s="8" t="inlineStr">
        <is>
          <t>是</t>
        </is>
      </c>
      <c r="M1158" s="9" t="inlineStr">
        <is>
          <t>beastDrop</t>
        </is>
      </c>
      <c r="N1158" s="8" t="n">
        <v>1</v>
      </c>
      <c r="O1158" s="9" t="inlineStr">
        <is>
          <t>周期触发</t>
        </is>
      </c>
      <c r="P1158" s="9" t="inlineStr">
        <is>
          <t>periodicPulse</t>
        </is>
      </c>
      <c r="Q1158" s="9" t="inlineStr">
        <is>
          <t>周期触发：轮转时，消耗 3 点体力，并消耗敌方 1 层灼烧，敌方每有 1 层灼烧就对其造成 1 点伤害</t>
        </is>
      </c>
      <c r="R1158" s="9" t="inlineStr"/>
      <c r="S1158" s="9" t="inlineStr">
        <is>
          <t>粗短尾骨，尾骨节上有赤色炉线纹。产自妖兽「赤纹岩狸」。</t>
        </is>
      </c>
      <c r="T1158" s="8" t="inlineStr">
        <is>
          <t>material_chiwen_yanli_furnace_line_tailbone_2x1</t>
        </is>
      </c>
      <c r="U1158" s="8" t="inlineStr">
        <is>
          <t>allowed</t>
        </is>
      </c>
    </row>
    <row r="1159" ht="34" customHeight="1">
      <c r="A1159" s="8" t="n">
        <v>1158</v>
      </c>
      <c r="B1159" s="8" t="n">
        <v>500208</v>
      </c>
      <c r="C1159" s="8" t="inlineStr">
        <is>
          <t>赤纹热骨</t>
        </is>
      </c>
      <c r="D1159" s="8" t="inlineStr">
        <is>
          <t>材料</t>
        </is>
      </c>
      <c r="E1159" s="8" t="inlineStr">
        <is>
          <t>material</t>
        </is>
      </c>
      <c r="F1159" s="8" t="inlineStr">
        <is>
          <t>common</t>
        </is>
      </c>
      <c r="G1159" s="8" t="inlineStr">
        <is>
          <t>火</t>
        </is>
      </c>
      <c r="H1159" s="8" t="inlineStr">
        <is>
          <t>fire</t>
        </is>
      </c>
      <c r="I1159" s="8" t="inlineStr">
        <is>
          <t>2×1</t>
        </is>
      </c>
      <c r="J1159" s="8" t="n">
        <v>2</v>
      </c>
      <c r="K1159" s="8" t="n">
        <v>17</v>
      </c>
      <c r="L1159" s="8" t="inlineStr">
        <is>
          <t>是</t>
        </is>
      </c>
      <c r="M1159" s="9" t="inlineStr">
        <is>
          <t>beastDrop</t>
        </is>
      </c>
      <c r="N1159" s="8" t="n">
        <v>1</v>
      </c>
      <c r="O1159" s="9" t="inlineStr">
        <is>
          <t>周期触发</t>
        </is>
      </c>
      <c r="P1159" s="9" t="inlineStr">
        <is>
          <t>periodicPulse</t>
        </is>
      </c>
      <c r="Q1159" s="9" t="inlineStr">
        <is>
          <t>周期触发：轮转时，消耗全部法力，对敌方施加灼烧（最多 3 层）</t>
        </is>
      </c>
      <c r="R1159" s="9" t="inlineStr"/>
      <c r="S1159" s="9" t="inlineStr">
        <is>
          <t>赤纹热骨，断面热纹向外延伸。产自妖兽「赤纹岩狸」。</t>
        </is>
      </c>
      <c r="T1159" s="8" t="inlineStr">
        <is>
          <t>material_chiwen_yanli_red_streak_hot_bone_2x1</t>
        </is>
      </c>
      <c r="U1159" s="8" t="inlineStr">
        <is>
          <t>allowed</t>
        </is>
      </c>
    </row>
    <row r="1160" ht="34" customHeight="1">
      <c r="A1160" s="8" t="n">
        <v>1159</v>
      </c>
      <c r="B1160" s="8" t="n">
        <v>500209</v>
      </c>
      <c r="C1160" s="8" t="inlineStr">
        <is>
          <t>岩狸炉心</t>
        </is>
      </c>
      <c r="D1160" s="8" t="inlineStr">
        <is>
          <t>材料</t>
        </is>
      </c>
      <c r="E1160" s="8" t="inlineStr">
        <is>
          <t>material</t>
        </is>
      </c>
      <c r="F1160" s="8" t="inlineStr">
        <is>
          <t>common</t>
        </is>
      </c>
      <c r="G1160" s="8" t="inlineStr">
        <is>
          <t>火</t>
        </is>
      </c>
      <c r="H1160" s="8" t="inlineStr">
        <is>
          <t>fire</t>
        </is>
      </c>
      <c r="I1160" s="8" t="inlineStr">
        <is>
          <t>2×2</t>
        </is>
      </c>
      <c r="J1160" s="8" t="n">
        <v>4</v>
      </c>
      <c r="K1160" s="8" t="n">
        <v>37</v>
      </c>
      <c r="L1160" s="8" t="inlineStr">
        <is>
          <t>是</t>
        </is>
      </c>
      <c r="M1160" s="9" t="inlineStr">
        <is>
          <t>beastDrop</t>
        </is>
      </c>
      <c r="N1160" s="8" t="n">
        <v>1</v>
      </c>
      <c r="O1160" s="9" t="inlineStr">
        <is>
          <t>周期触发</t>
        </is>
      </c>
      <c r="P1160" s="9" t="inlineStr">
        <is>
          <t>periodicPulse</t>
        </is>
      </c>
      <c r="Q1160" s="9" t="inlineStr">
        <is>
          <t>周期触发：轮转时，为敌方施加 2 层灼烧</t>
        </is>
      </c>
      <c r="R1160" s="9" t="inlineStr"/>
      <c r="S1160" s="9" t="inlineStr">
        <is>
          <t>横向长条炉心，岩灰外壳包着赤褐内纹。产自妖兽「赤纹岩狸」。</t>
        </is>
      </c>
      <c r="T1160" s="8" t="inlineStr">
        <is>
          <t>material_chiwen_yanli_rock_raccoon_furnace_heart_2x2</t>
        </is>
      </c>
      <c r="U1160" s="8" t="inlineStr">
        <is>
          <t>allowed</t>
        </is>
      </c>
    </row>
    <row r="1161" ht="34" customHeight="1">
      <c r="A1161" s="8" t="n">
        <v>1160</v>
      </c>
      <c r="B1161" s="8" t="n">
        <v>500217</v>
      </c>
      <c r="C1161" s="8" t="inlineStr">
        <is>
          <t>碎角石片</t>
        </is>
      </c>
      <c r="D1161" s="8" t="inlineStr">
        <is>
          <t>材料</t>
        </is>
      </c>
      <c r="E1161" s="8" t="inlineStr">
        <is>
          <t>material</t>
        </is>
      </c>
      <c r="F1161" s="8" t="inlineStr">
        <is>
          <t>common</t>
        </is>
      </c>
      <c r="G1161" s="8" t="inlineStr">
        <is>
          <t>土</t>
        </is>
      </c>
      <c r="H1161" s="8" t="inlineStr">
        <is>
          <t>earth</t>
        </is>
      </c>
      <c r="I1161" s="8" t="inlineStr">
        <is>
          <t>2×2</t>
        </is>
      </c>
      <c r="J1161" s="8" t="n">
        <v>4</v>
      </c>
      <c r="K1161" s="8" t="n">
        <v>14</v>
      </c>
      <c r="L1161" s="8" t="inlineStr">
        <is>
          <t>是</t>
        </is>
      </c>
      <c r="M1161" s="9" t="inlineStr">
        <is>
          <t>beastDrop</t>
        </is>
      </c>
      <c r="N1161" s="8" t="n">
        <v>1</v>
      </c>
      <c r="O1161" s="9" t="inlineStr">
        <is>
          <t>周期触发</t>
        </is>
      </c>
      <c r="P1161" s="9" t="inlineStr">
        <is>
          <t>periodicPulse</t>
        </is>
      </c>
      <c r="Q1161" s="9" t="inlineStr">
        <is>
          <t>周期触发：轮转时，对敌方造成 1 点伤害</t>
        </is>
      </c>
      <c r="R1161" s="9" t="inlineStr"/>
      <c r="S1161" s="9" t="inlineStr">
        <is>
          <t>碎角石片。产自妖兽「碎角林獐」。</t>
        </is>
      </c>
      <c r="T1161" s="8" t="inlineStr">
        <is>
          <t>material_suijiao_linzhang_broken_antler_chip_2x2</t>
        </is>
      </c>
      <c r="U1161" s="8" t="inlineStr">
        <is>
          <t>allowed</t>
        </is>
      </c>
    </row>
    <row r="1162" ht="34" customHeight="1">
      <c r="A1162" s="8" t="n">
        <v>1161</v>
      </c>
      <c r="B1162" s="8" t="n">
        <v>500218</v>
      </c>
      <c r="C1162" s="8" t="inlineStr">
        <is>
          <t>松苔鬃皮</t>
        </is>
      </c>
      <c r="D1162" s="8" t="inlineStr">
        <is>
          <t>材料</t>
        </is>
      </c>
      <c r="E1162" s="8" t="inlineStr">
        <is>
          <t>material</t>
        </is>
      </c>
      <c r="F1162" s="8" t="inlineStr">
        <is>
          <t>common</t>
        </is>
      </c>
      <c r="G1162" s="8" t="inlineStr">
        <is>
          <t>木</t>
        </is>
      </c>
      <c r="H1162" s="8" t="inlineStr">
        <is>
          <t>wood</t>
        </is>
      </c>
      <c r="I1162" s="8" t="inlineStr">
        <is>
          <t>2×2</t>
        </is>
      </c>
      <c r="J1162" s="8" t="n">
        <v>4</v>
      </c>
      <c r="K1162" s="8" t="n">
        <v>6</v>
      </c>
      <c r="L1162" s="8" t="inlineStr">
        <is>
          <t>否</t>
        </is>
      </c>
      <c r="M1162" s="9" t="inlineStr"/>
      <c r="N1162" s="8" t="n">
        <v>1</v>
      </c>
      <c r="O1162" s="9" t="inlineStr">
        <is>
          <t>周期触发</t>
        </is>
      </c>
      <c r="P1162" s="9" t="inlineStr">
        <is>
          <t>periodicPulse</t>
        </is>
      </c>
      <c r="Q1162" s="9" t="inlineStr">
        <is>
          <t>周期触发：轮转时，将 3 点法力转化为 2 层坚硬</t>
        </is>
      </c>
      <c r="R1162" s="9" t="inlineStr"/>
      <c r="S1162" s="9" t="inlineStr">
        <is>
          <t>松苔鬃皮。产自妖兽「碎角林獐」。</t>
        </is>
      </c>
      <c r="T1162" s="8" t="inlineStr">
        <is>
          <t>material_suijiao_linzhang_mossy_mane_hide_2x2</t>
        </is>
      </c>
      <c r="U1162" s="8" t="inlineStr">
        <is>
          <t>allowed</t>
        </is>
      </c>
    </row>
    <row r="1163" ht="34" customHeight="1">
      <c r="A1163" s="8" t="n">
        <v>1162</v>
      </c>
      <c r="B1163" s="8" t="n">
        <v>500219</v>
      </c>
      <c r="C1163" s="8" t="inlineStr">
        <is>
          <t>林獐前蹄</t>
        </is>
      </c>
      <c r="D1163" s="8" t="inlineStr">
        <is>
          <t>材料</t>
        </is>
      </c>
      <c r="E1163" s="8" t="inlineStr">
        <is>
          <t>material</t>
        </is>
      </c>
      <c r="F1163" s="8" t="inlineStr">
        <is>
          <t>common</t>
        </is>
      </c>
      <c r="G1163" s="8" t="inlineStr">
        <is>
          <t>土</t>
        </is>
      </c>
      <c r="H1163" s="8" t="inlineStr">
        <is>
          <t>earth</t>
        </is>
      </c>
      <c r="I1163" s="8" t="inlineStr">
        <is>
          <t>2×2</t>
        </is>
      </c>
      <c r="J1163" s="8" t="n">
        <v>4</v>
      </c>
      <c r="K1163" s="8" t="n">
        <v>9</v>
      </c>
      <c r="L1163" s="8" t="inlineStr">
        <is>
          <t>否</t>
        </is>
      </c>
      <c r="M1163" s="9" t="inlineStr"/>
      <c r="N1163" s="8" t="n">
        <v>1</v>
      </c>
      <c r="O1163" s="9" t="inlineStr">
        <is>
          <t>周期触发</t>
        </is>
      </c>
      <c r="P1163" s="9" t="inlineStr">
        <is>
          <t>periodicPulse</t>
        </is>
      </c>
      <c r="Q1163" s="9" t="inlineStr">
        <is>
          <t>周期触发：轮转时，消耗 5 点体力，对敌方造成 3 点伤害</t>
        </is>
      </c>
      <c r="R1163" s="9" t="inlineStr"/>
      <c r="S1163" s="9" t="inlineStr">
        <is>
          <t>林獐前蹄。产自妖兽「碎角林獐」。</t>
        </is>
      </c>
      <c r="T1163" s="8" t="inlineStr">
        <is>
          <t>material_suijiao_linzhang_forest_hoof_2x2</t>
        </is>
      </c>
      <c r="U1163" s="8" t="inlineStr">
        <is>
          <t>allowed</t>
        </is>
      </c>
    </row>
    <row r="1164" ht="34" customHeight="1">
      <c r="A1164" s="8" t="n">
        <v>1163</v>
      </c>
      <c r="B1164" s="8" t="n">
        <v>500220</v>
      </c>
      <c r="C1164" s="8" t="inlineStr">
        <is>
          <t>灰纹筋束</t>
        </is>
      </c>
      <c r="D1164" s="8" t="inlineStr">
        <is>
          <t>材料</t>
        </is>
      </c>
      <c r="E1164" s="8" t="inlineStr">
        <is>
          <t>material</t>
        </is>
      </c>
      <c r="F1164" s="8" t="inlineStr">
        <is>
          <t>common</t>
        </is>
      </c>
      <c r="G1164" s="8" t="inlineStr">
        <is>
          <t>木</t>
        </is>
      </c>
      <c r="H1164" s="8" t="inlineStr">
        <is>
          <t>wood</t>
        </is>
      </c>
      <c r="I1164" s="8" t="inlineStr">
        <is>
          <t>2×2</t>
        </is>
      </c>
      <c r="J1164" s="8" t="n">
        <v>4</v>
      </c>
      <c r="K1164" s="8" t="n">
        <v>14</v>
      </c>
      <c r="L1164" s="8" t="inlineStr">
        <is>
          <t>否</t>
        </is>
      </c>
      <c r="M1164" s="9" t="inlineStr"/>
      <c r="N1164" s="8" t="n">
        <v>1</v>
      </c>
      <c r="O1164" s="9" t="inlineStr">
        <is>
          <t>周期触发</t>
        </is>
      </c>
      <c r="P1164" s="9" t="inlineStr">
        <is>
          <t>periodicPulse</t>
        </is>
      </c>
      <c r="Q1164" s="9" t="inlineStr">
        <is>
          <t>周期触发：轮转时，恢复 3 点气血和 5 点体力</t>
        </is>
      </c>
      <c r="R1164" s="9" t="inlineStr"/>
      <c r="S1164" s="9" t="inlineStr">
        <is>
          <t>灰纹筋束。产自妖兽「碎角林獐」。</t>
        </is>
      </c>
      <c r="T1164" s="8" t="inlineStr">
        <is>
          <t>material_suijiao_linzhang_gray_tendon_bundle_2x2</t>
        </is>
      </c>
      <c r="U1164" s="8" t="inlineStr">
        <is>
          <t>allowed</t>
        </is>
      </c>
    </row>
    <row r="1165" ht="34" customHeight="1">
      <c r="A1165" s="8" t="n">
        <v>1164</v>
      </c>
      <c r="B1165" s="8" t="n">
        <v>500221</v>
      </c>
      <c r="C1165" s="8" t="inlineStr">
        <is>
          <t>伏岩斑皮</t>
        </is>
      </c>
      <c r="D1165" s="8" t="inlineStr">
        <is>
          <t>材料</t>
        </is>
      </c>
      <c r="E1165" s="8" t="inlineStr">
        <is>
          <t>material</t>
        </is>
      </c>
      <c r="F1165" s="8" t="inlineStr">
        <is>
          <t>common</t>
        </is>
      </c>
      <c r="G1165" s="8" t="inlineStr">
        <is>
          <t>土</t>
        </is>
      </c>
      <c r="H1165" s="8" t="inlineStr">
        <is>
          <t>earth</t>
        </is>
      </c>
      <c r="I1165" s="8" t="inlineStr">
        <is>
          <t>2×2</t>
        </is>
      </c>
      <c r="J1165" s="8" t="n">
        <v>4</v>
      </c>
      <c r="K1165" s="8" t="n">
        <v>14</v>
      </c>
      <c r="L1165" s="8" t="inlineStr">
        <is>
          <t>是</t>
        </is>
      </c>
      <c r="M1165" s="9" t="inlineStr">
        <is>
          <t>beastDrop</t>
        </is>
      </c>
      <c r="N1165" s="8" t="n">
        <v>1</v>
      </c>
      <c r="O1165" s="9" t="inlineStr">
        <is>
          <t>周期触发</t>
        </is>
      </c>
      <c r="P1165" s="9" t="inlineStr">
        <is>
          <t>periodicPulse</t>
        </is>
      </c>
      <c r="Q1165" s="9" t="inlineStr">
        <is>
          <t>周期触发：轮转时，获得 2 层坚硬</t>
        </is>
      </c>
      <c r="R1165" s="9" t="inlineStr"/>
      <c r="S1165" s="9" t="inlineStr">
        <is>
          <t>伏岩斑皮。产自妖兽「伏岩黑貂」。</t>
        </is>
      </c>
      <c r="T1165" s="8" t="inlineStr">
        <is>
          <t>material_fuyan_heidiao_rock_spotted_hide_2x2</t>
        </is>
      </c>
      <c r="U1165" s="8" t="inlineStr">
        <is>
          <t>allowed</t>
        </is>
      </c>
    </row>
    <row r="1166" ht="34" customHeight="1">
      <c r="A1166" s="8" t="n">
        <v>1165</v>
      </c>
      <c r="B1166" s="8" t="n">
        <v>500222</v>
      </c>
      <c r="C1166" s="8" t="inlineStr">
        <is>
          <t>黑貂利爪</t>
        </is>
      </c>
      <c r="D1166" s="8" t="inlineStr">
        <is>
          <t>材料</t>
        </is>
      </c>
      <c r="E1166" s="8" t="inlineStr">
        <is>
          <t>material</t>
        </is>
      </c>
      <c r="F1166" s="8" t="inlineStr">
        <is>
          <t>common</t>
        </is>
      </c>
      <c r="G1166" s="8" t="inlineStr">
        <is>
          <t>金</t>
        </is>
      </c>
      <c r="H1166" s="8" t="inlineStr">
        <is>
          <t>metal</t>
        </is>
      </c>
      <c r="I1166" s="8" t="inlineStr">
        <is>
          <t>2×2</t>
        </is>
      </c>
      <c r="J1166" s="8" t="n">
        <v>4</v>
      </c>
      <c r="K1166" s="8" t="n">
        <v>6</v>
      </c>
      <c r="L1166" s="8" t="inlineStr">
        <is>
          <t>否</t>
        </is>
      </c>
      <c r="M1166" s="9" t="inlineStr"/>
      <c r="N1166" s="8" t="n">
        <v>1</v>
      </c>
      <c r="O1166" s="9" t="inlineStr">
        <is>
          <t>周期触发</t>
        </is>
      </c>
      <c r="P1166" s="9" t="inlineStr">
        <is>
          <t>periodicPulse</t>
        </is>
      </c>
      <c r="Q1166" s="9" t="inlineStr">
        <is>
          <t>周期触发：轮转时，消耗 5 点体力，对敌方造成 7 点伤害</t>
        </is>
      </c>
      <c r="R1166" s="9" t="inlineStr"/>
      <c r="S1166" s="9" t="inlineStr">
        <is>
          <t>黑貂利爪。产自妖兽「伏岩黑貂」。</t>
        </is>
      </c>
      <c r="T1166" s="8" t="inlineStr">
        <is>
          <t>material_fuyan_heidiao_dark_claw_2x2</t>
        </is>
      </c>
      <c r="U1166" s="8" t="inlineStr">
        <is>
          <t>allowed</t>
        </is>
      </c>
    </row>
    <row r="1167" ht="34" customHeight="1">
      <c r="A1167" s="8" t="n">
        <v>1166</v>
      </c>
      <c r="B1167" s="8" t="n">
        <v>500223</v>
      </c>
      <c r="C1167" s="8" t="inlineStr">
        <is>
          <t>岩影长尾</t>
        </is>
      </c>
      <c r="D1167" s="8" t="inlineStr">
        <is>
          <t>材料</t>
        </is>
      </c>
      <c r="E1167" s="8" t="inlineStr">
        <is>
          <t>material</t>
        </is>
      </c>
      <c r="F1167" s="8" t="inlineStr">
        <is>
          <t>common</t>
        </is>
      </c>
      <c r="G1167" s="8" t="inlineStr">
        <is>
          <t>土</t>
        </is>
      </c>
      <c r="H1167" s="8" t="inlineStr">
        <is>
          <t>earth</t>
        </is>
      </c>
      <c r="I1167" s="8" t="inlineStr">
        <is>
          <t>2×2</t>
        </is>
      </c>
      <c r="J1167" s="8" t="n">
        <v>4</v>
      </c>
      <c r="K1167" s="8" t="n">
        <v>9</v>
      </c>
      <c r="L1167" s="8" t="inlineStr">
        <is>
          <t>否</t>
        </is>
      </c>
      <c r="M1167" s="9" t="inlineStr"/>
      <c r="N1167" s="8" t="n">
        <v>1</v>
      </c>
      <c r="O1167" s="9" t="inlineStr">
        <is>
          <t>周期触发</t>
        </is>
      </c>
      <c r="P1167" s="9" t="inlineStr">
        <is>
          <t>periodicPulse</t>
        </is>
      </c>
      <c r="Q1167" s="9" t="inlineStr">
        <is>
          <t>周期触发：轮转时，将 1 点精血转化为 2 层闪避</t>
        </is>
      </c>
      <c r="R1167" s="9" t="inlineStr"/>
      <c r="S1167" s="9" t="inlineStr">
        <is>
          <t>岩影长尾。产自妖兽「伏岩黑貂」。</t>
        </is>
      </c>
      <c r="T1167" s="8" t="inlineStr">
        <is>
          <t>material_fuyan_heidiao_shadow_tail_2x2</t>
        </is>
      </c>
      <c r="U1167" s="8" t="inlineStr">
        <is>
          <t>allowed</t>
        </is>
      </c>
    </row>
    <row r="1168" ht="34" customHeight="1">
      <c r="A1168" s="8" t="n">
        <v>1167</v>
      </c>
      <c r="B1168" s="8" t="n">
        <v>500224</v>
      </c>
      <c r="C1168" s="8" t="inlineStr">
        <is>
          <t>冷眼须针</t>
        </is>
      </c>
      <c r="D1168" s="8" t="inlineStr">
        <is>
          <t>材料</t>
        </is>
      </c>
      <c r="E1168" s="8" t="inlineStr">
        <is>
          <t>material</t>
        </is>
      </c>
      <c r="F1168" s="8" t="inlineStr">
        <is>
          <t>common</t>
        </is>
      </c>
      <c r="G1168" s="8" t="inlineStr">
        <is>
          <t>金</t>
        </is>
      </c>
      <c r="H1168" s="8" t="inlineStr">
        <is>
          <t>metal</t>
        </is>
      </c>
      <c r="I1168" s="8" t="inlineStr">
        <is>
          <t>2×2</t>
        </is>
      </c>
      <c r="J1168" s="8" t="n">
        <v>4</v>
      </c>
      <c r="K1168" s="8" t="n">
        <v>14</v>
      </c>
      <c r="L1168" s="8" t="inlineStr">
        <is>
          <t>否</t>
        </is>
      </c>
      <c r="M1168" s="9" t="inlineStr"/>
      <c r="N1168" s="8" t="n">
        <v>1</v>
      </c>
      <c r="O1168" s="9" t="inlineStr">
        <is>
          <t>周期触发</t>
        </is>
      </c>
      <c r="P1168" s="9" t="inlineStr">
        <is>
          <t>periodicPulse</t>
        </is>
      </c>
      <c r="Q1168" s="9" t="inlineStr">
        <is>
          <t>周期触发：轮转时，将 1 点法力转化为 10 点体力</t>
        </is>
      </c>
      <c r="R1168" s="9" t="inlineStr"/>
      <c r="S1168" s="9" t="inlineStr">
        <is>
          <t>冷眼须针。产自妖兽「伏岩黑貂」。</t>
        </is>
      </c>
      <c r="T1168" s="8" t="inlineStr">
        <is>
          <t>material_fuyan_heidiao_cold_whisker_spines_2x2</t>
        </is>
      </c>
      <c r="U1168" s="8" t="inlineStr">
        <is>
          <t>allowed</t>
        </is>
      </c>
    </row>
    <row r="1169" ht="34" customHeight="1">
      <c r="A1169" s="8" t="n">
        <v>1168</v>
      </c>
      <c r="B1169" s="8" t="n">
        <v>500225</v>
      </c>
      <c r="C1169" s="8" t="inlineStr">
        <is>
          <t>铁喙尖片</t>
        </is>
      </c>
      <c r="D1169" s="8" t="inlineStr">
        <is>
          <t>材料</t>
        </is>
      </c>
      <c r="E1169" s="8" t="inlineStr">
        <is>
          <t>material</t>
        </is>
      </c>
      <c r="F1169" s="8" t="inlineStr">
        <is>
          <t>common</t>
        </is>
      </c>
      <c r="G1169" s="8" t="inlineStr">
        <is>
          <t>金</t>
        </is>
      </c>
      <c r="H1169" s="8" t="inlineStr">
        <is>
          <t>metal</t>
        </is>
      </c>
      <c r="I1169" s="8" t="inlineStr">
        <is>
          <t>2×2</t>
        </is>
      </c>
      <c r="J1169" s="8" t="n">
        <v>4</v>
      </c>
      <c r="K1169" s="8" t="n">
        <v>14</v>
      </c>
      <c r="L1169" s="8" t="inlineStr">
        <is>
          <t>是</t>
        </is>
      </c>
      <c r="M1169" s="9" t="inlineStr">
        <is>
          <t>beastDrop</t>
        </is>
      </c>
      <c r="N1169" s="8" t="n">
        <v>1</v>
      </c>
      <c r="O1169" s="9" t="inlineStr">
        <is>
          <t>周期触发</t>
        </is>
      </c>
      <c r="P1169" s="9" t="inlineStr">
        <is>
          <t>periodicPulse</t>
        </is>
      </c>
      <c r="Q1169" s="9" t="inlineStr">
        <is>
          <t>周期触发：轮转时，对敌方造成 3 点伤害</t>
        </is>
      </c>
      <c r="R1169" s="9" t="inlineStr"/>
      <c r="S1169" s="9" t="inlineStr">
        <is>
          <t>铁喙尖片。产自妖兽「铁喙松鸦」。</t>
        </is>
      </c>
      <c r="T1169" s="8" t="inlineStr">
        <is>
          <t>material_tiehui_songya_iron_beak_tip_2x2</t>
        </is>
      </c>
      <c r="U1169" s="8" t="inlineStr">
        <is>
          <t>allowed</t>
        </is>
      </c>
    </row>
    <row r="1170" ht="34" customHeight="1">
      <c r="A1170" s="8" t="n">
        <v>1169</v>
      </c>
      <c r="B1170" s="8" t="n">
        <v>500226</v>
      </c>
      <c r="C1170" s="8" t="inlineStr">
        <is>
          <t>蓝灰羽束</t>
        </is>
      </c>
      <c r="D1170" s="8" t="inlineStr">
        <is>
          <t>材料</t>
        </is>
      </c>
      <c r="E1170" s="8" t="inlineStr">
        <is>
          <t>material</t>
        </is>
      </c>
      <c r="F1170" s="8" t="inlineStr">
        <is>
          <t>common</t>
        </is>
      </c>
      <c r="G1170" s="8" t="inlineStr">
        <is>
          <t>木</t>
        </is>
      </c>
      <c r="H1170" s="8" t="inlineStr">
        <is>
          <t>wood</t>
        </is>
      </c>
      <c r="I1170" s="8" t="inlineStr">
        <is>
          <t>2×2</t>
        </is>
      </c>
      <c r="J1170" s="8" t="n">
        <v>4</v>
      </c>
      <c r="K1170" s="8" t="n">
        <v>6</v>
      </c>
      <c r="L1170" s="8" t="inlineStr">
        <is>
          <t>否</t>
        </is>
      </c>
      <c r="M1170" s="9" t="inlineStr"/>
      <c r="N1170" s="8" t="n">
        <v>1</v>
      </c>
      <c r="O1170" s="9" t="inlineStr">
        <is>
          <t>周期触发</t>
        </is>
      </c>
      <c r="P1170" s="9" t="inlineStr">
        <is>
          <t>periodicPulse</t>
        </is>
      </c>
      <c r="Q1170" s="9" t="inlineStr">
        <is>
          <t>周期触发：轮转时，获得 3 层闪避</t>
        </is>
      </c>
      <c r="R1170" s="9" t="inlineStr"/>
      <c r="S1170" s="9" t="inlineStr">
        <is>
          <t>蓝灰羽束。产自妖兽「铁喙松鸦」。</t>
        </is>
      </c>
      <c r="T1170" s="8" t="inlineStr">
        <is>
          <t>material_tiehui_songya_blue_gray_feather_bundle_2x2</t>
        </is>
      </c>
      <c r="U1170" s="8" t="inlineStr">
        <is>
          <t>allowed</t>
        </is>
      </c>
    </row>
    <row r="1171" ht="34" customHeight="1">
      <c r="A1171" s="8" t="n">
        <v>1170</v>
      </c>
      <c r="B1171" s="8" t="n">
        <v>500227</v>
      </c>
      <c r="C1171" s="8" t="inlineStr">
        <is>
          <t>松针翼骨</t>
        </is>
      </c>
      <c r="D1171" s="8" t="inlineStr">
        <is>
          <t>材料</t>
        </is>
      </c>
      <c r="E1171" s="8" t="inlineStr">
        <is>
          <t>material</t>
        </is>
      </c>
      <c r="F1171" s="8" t="inlineStr">
        <is>
          <t>common</t>
        </is>
      </c>
      <c r="G1171" s="8" t="inlineStr">
        <is>
          <t>木</t>
        </is>
      </c>
      <c r="H1171" s="8" t="inlineStr">
        <is>
          <t>wood</t>
        </is>
      </c>
      <c r="I1171" s="8" t="inlineStr">
        <is>
          <t>2×2</t>
        </is>
      </c>
      <c r="J1171" s="8" t="n">
        <v>4</v>
      </c>
      <c r="K1171" s="8" t="n">
        <v>9</v>
      </c>
      <c r="L1171" s="8" t="inlineStr">
        <is>
          <t>否</t>
        </is>
      </c>
      <c r="M1171" s="9" t="inlineStr"/>
      <c r="N1171" s="8" t="n">
        <v>1</v>
      </c>
      <c r="O1171" s="9" t="inlineStr">
        <is>
          <t>周期触发</t>
        </is>
      </c>
      <c r="P1171" s="9" t="inlineStr">
        <is>
          <t>periodicPulse</t>
        </is>
      </c>
      <c r="Q1171" s="9" t="inlineStr">
        <is>
          <t>周期触发：轮转时，消耗 1 点法力，给敌方施加 1 层冰霜</t>
        </is>
      </c>
      <c r="R1171" s="9" t="inlineStr"/>
      <c r="S1171" s="9" t="inlineStr">
        <is>
          <t>松针翼骨。产自妖兽「铁喙松鸦」。</t>
        </is>
      </c>
      <c r="T1171" s="8" t="inlineStr">
        <is>
          <t>material_tiehui_songya_pine_wing_bone_2x2</t>
        </is>
      </c>
      <c r="U1171" s="8" t="inlineStr">
        <is>
          <t>allowed</t>
        </is>
      </c>
    </row>
    <row r="1172" ht="34" customHeight="1">
      <c r="A1172" s="8" t="n">
        <v>1171</v>
      </c>
      <c r="B1172" s="8" t="n">
        <v>500228</v>
      </c>
      <c r="C1172" s="8" t="inlineStr">
        <is>
          <t>鸦爪扣节</t>
        </is>
      </c>
      <c r="D1172" s="8" t="inlineStr">
        <is>
          <t>材料</t>
        </is>
      </c>
      <c r="E1172" s="8" t="inlineStr">
        <is>
          <t>material</t>
        </is>
      </c>
      <c r="F1172" s="8" t="inlineStr">
        <is>
          <t>common</t>
        </is>
      </c>
      <c r="G1172" s="8" t="inlineStr">
        <is>
          <t>金</t>
        </is>
      </c>
      <c r="H1172" s="8" t="inlineStr">
        <is>
          <t>metal</t>
        </is>
      </c>
      <c r="I1172" s="8" t="inlineStr">
        <is>
          <t>2×2</t>
        </is>
      </c>
      <c r="J1172" s="8" t="n">
        <v>4</v>
      </c>
      <c r="K1172" s="8" t="n">
        <v>14</v>
      </c>
      <c r="L1172" s="8" t="inlineStr">
        <is>
          <t>否</t>
        </is>
      </c>
      <c r="M1172" s="9" t="inlineStr"/>
      <c r="N1172" s="8" t="n">
        <v>1</v>
      </c>
      <c r="O1172" s="9" t="inlineStr">
        <is>
          <t>周期触发</t>
        </is>
      </c>
      <c r="P1172" s="9" t="inlineStr">
        <is>
          <t>periodicPulse</t>
        </is>
      </c>
      <c r="Q1172" s="9" t="inlineStr">
        <is>
          <t>周期触发：轮转时，消耗 8 点体力，对敌方造成 8 点伤害</t>
        </is>
      </c>
      <c r="R1172" s="9" t="inlineStr"/>
      <c r="S1172" s="9" t="inlineStr">
        <is>
          <t>鸦爪扣节。产自妖兽「铁喙松鸦」。</t>
        </is>
      </c>
      <c r="T1172" s="8" t="inlineStr">
        <is>
          <t>material_tiehui_songya_jay_claw_joint_2x2</t>
        </is>
      </c>
      <c r="U1172" s="8" t="inlineStr">
        <is>
          <t>allowed</t>
        </is>
      </c>
    </row>
    <row r="1173" ht="34" customHeight="1">
      <c r="A1173" s="8" t="n">
        <v>1172</v>
      </c>
      <c r="B1173" s="8" t="n">
        <v>500229</v>
      </c>
      <c r="C1173" s="8" t="inlineStr">
        <is>
          <t>竹节蛇蜕</t>
        </is>
      </c>
      <c r="D1173" s="8" t="inlineStr">
        <is>
          <t>材料</t>
        </is>
      </c>
      <c r="E1173" s="8" t="inlineStr">
        <is>
          <t>material</t>
        </is>
      </c>
      <c r="F1173" s="8" t="inlineStr">
        <is>
          <t>common</t>
        </is>
      </c>
      <c r="G1173" s="8" t="inlineStr">
        <is>
          <t>木</t>
        </is>
      </c>
      <c r="H1173" s="8" t="inlineStr">
        <is>
          <t>wood</t>
        </is>
      </c>
      <c r="I1173" s="8" t="inlineStr">
        <is>
          <t>2×2</t>
        </is>
      </c>
      <c r="J1173" s="8" t="n">
        <v>4</v>
      </c>
      <c r="K1173" s="8" t="n">
        <v>14</v>
      </c>
      <c r="L1173" s="8" t="inlineStr">
        <is>
          <t>是</t>
        </is>
      </c>
      <c r="M1173" s="9" t="inlineStr">
        <is>
          <t>beastDrop</t>
        </is>
      </c>
      <c r="N1173" s="8" t="n">
        <v>1</v>
      </c>
      <c r="O1173" s="9" t="inlineStr">
        <is>
          <t>周期触发</t>
        </is>
      </c>
      <c r="P1173" s="9" t="inlineStr">
        <is>
          <t>periodicPulse</t>
        </is>
      </c>
      <c r="Q1173" s="9" t="inlineStr">
        <is>
          <t>周期触发：轮转时，将 4 点体力转化为 3 层露水</t>
        </is>
      </c>
      <c r="R1173" s="9" t="inlineStr"/>
      <c r="S1173" s="9" t="inlineStr">
        <is>
          <t>竹节蛇蜕。产自妖兽「竹节青蛇」。</t>
        </is>
      </c>
      <c r="T1173" s="8" t="inlineStr">
        <is>
          <t>material_zhujie_qingshe_bamboo_shed_skin_2x2</t>
        </is>
      </c>
      <c r="U1173" s="8" t="inlineStr">
        <is>
          <t>allowed</t>
        </is>
      </c>
    </row>
    <row r="1174" ht="34" customHeight="1">
      <c r="A1174" s="8" t="n">
        <v>1173</v>
      </c>
      <c r="B1174" s="8" t="n">
        <v>500230</v>
      </c>
      <c r="C1174" s="8" t="inlineStr">
        <is>
          <t>青鳞脊片</t>
        </is>
      </c>
      <c r="D1174" s="8" t="inlineStr">
        <is>
          <t>材料</t>
        </is>
      </c>
      <c r="E1174" s="8" t="inlineStr">
        <is>
          <t>material</t>
        </is>
      </c>
      <c r="F1174" s="8" t="inlineStr">
        <is>
          <t>common</t>
        </is>
      </c>
      <c r="G1174" s="8" t="inlineStr">
        <is>
          <t>木</t>
        </is>
      </c>
      <c r="H1174" s="8" t="inlineStr">
        <is>
          <t>wood</t>
        </is>
      </c>
      <c r="I1174" s="8" t="inlineStr">
        <is>
          <t>2×2</t>
        </is>
      </c>
      <c r="J1174" s="8" t="n">
        <v>4</v>
      </c>
      <c r="K1174" s="8" t="n">
        <v>6</v>
      </c>
      <c r="L1174" s="8" t="inlineStr">
        <is>
          <t>否</t>
        </is>
      </c>
      <c r="M1174" s="9" t="inlineStr"/>
      <c r="N1174" s="8" t="n">
        <v>1</v>
      </c>
      <c r="O1174" s="9" t="inlineStr">
        <is>
          <t>周期触发</t>
        </is>
      </c>
      <c r="P1174" s="9" t="inlineStr">
        <is>
          <t>periodicPulse</t>
        </is>
      </c>
      <c r="Q1174" s="9" t="inlineStr">
        <is>
          <t>周期触发：轮转时，每有 1 层露水，对敌方造成 2 点伤害</t>
        </is>
      </c>
      <c r="R1174" s="9" t="inlineStr"/>
      <c r="S1174" s="9" t="inlineStr">
        <is>
          <t>青鳞脊片。产自妖兽「竹节青蛇」。</t>
        </is>
      </c>
      <c r="T1174" s="8" t="inlineStr">
        <is>
          <t>material_zhujie_qingshe_green_spine_scale_2x2</t>
        </is>
      </c>
      <c r="U1174" s="8" t="inlineStr">
        <is>
          <t>allowed</t>
        </is>
      </c>
    </row>
    <row r="1175" ht="34" customHeight="1">
      <c r="A1175" s="8" t="n">
        <v>1174</v>
      </c>
      <c r="B1175" s="8" t="n">
        <v>500231</v>
      </c>
      <c r="C1175" s="8" t="inlineStr">
        <is>
          <t>细藤蛇骨</t>
        </is>
      </c>
      <c r="D1175" s="8" t="inlineStr">
        <is>
          <t>材料</t>
        </is>
      </c>
      <c r="E1175" s="8" t="inlineStr">
        <is>
          <t>material</t>
        </is>
      </c>
      <c r="F1175" s="8" t="inlineStr">
        <is>
          <t>common</t>
        </is>
      </c>
      <c r="G1175" s="8" t="inlineStr">
        <is>
          <t>木</t>
        </is>
      </c>
      <c r="H1175" s="8" t="inlineStr">
        <is>
          <t>wood</t>
        </is>
      </c>
      <c r="I1175" s="8" t="inlineStr">
        <is>
          <t>2×2</t>
        </is>
      </c>
      <c r="J1175" s="8" t="n">
        <v>4</v>
      </c>
      <c r="K1175" s="8" t="n">
        <v>9</v>
      </c>
      <c r="L1175" s="8" t="inlineStr">
        <is>
          <t>否</t>
        </is>
      </c>
      <c r="M1175" s="9" t="inlineStr"/>
      <c r="N1175" s="8" t="n">
        <v>1</v>
      </c>
      <c r="O1175" s="9" t="inlineStr">
        <is>
          <t>周期触发</t>
        </is>
      </c>
      <c r="P1175" s="9" t="inlineStr">
        <is>
          <t>periodicPulse</t>
        </is>
      </c>
      <c r="Q1175" s="9" t="inlineStr">
        <is>
          <t>周期触发：轮转时，将 2 点法力转化为 2 层露水</t>
        </is>
      </c>
      <c r="R1175" s="9" t="inlineStr"/>
      <c r="S1175" s="9" t="inlineStr">
        <is>
          <t>细藤蛇骨。产自妖兽「竹节青蛇」。</t>
        </is>
      </c>
      <c r="T1175" s="8" t="inlineStr">
        <is>
          <t>material_zhujie_qingshe_vine_snake_bone_2x2</t>
        </is>
      </c>
      <c r="U1175" s="8" t="inlineStr">
        <is>
          <t>allowed</t>
        </is>
      </c>
    </row>
    <row r="1176" ht="34" customHeight="1">
      <c r="A1176" s="8" t="n">
        <v>1175</v>
      </c>
      <c r="B1176" s="8" t="n">
        <v>500232</v>
      </c>
      <c r="C1176" s="8" t="inlineStr">
        <is>
          <t>冷绿毒牙</t>
        </is>
      </c>
      <c r="D1176" s="8" t="inlineStr">
        <is>
          <t>材料</t>
        </is>
      </c>
      <c r="E1176" s="8" t="inlineStr">
        <is>
          <t>material</t>
        </is>
      </c>
      <c r="F1176" s="8" t="inlineStr">
        <is>
          <t>common</t>
        </is>
      </c>
      <c r="G1176" s="8" t="inlineStr">
        <is>
          <t>水</t>
        </is>
      </c>
      <c r="H1176" s="8" t="inlineStr">
        <is>
          <t>water</t>
        </is>
      </c>
      <c r="I1176" s="8" t="inlineStr">
        <is>
          <t>2×2</t>
        </is>
      </c>
      <c r="J1176" s="8" t="n">
        <v>4</v>
      </c>
      <c r="K1176" s="8" t="n">
        <v>14</v>
      </c>
      <c r="L1176" s="8" t="inlineStr">
        <is>
          <t>否</t>
        </is>
      </c>
      <c r="M1176" s="9" t="inlineStr"/>
      <c r="N1176" s="8" t="n">
        <v>1</v>
      </c>
      <c r="O1176" s="9" t="inlineStr">
        <is>
          <t>周期触发</t>
        </is>
      </c>
      <c r="P1176" s="9" t="inlineStr">
        <is>
          <t>periodicPulse</t>
        </is>
      </c>
      <c r="Q1176" s="9" t="inlineStr">
        <is>
          <t>周期触发：轮转时，消耗所有的露水，对敌方施加相等层数的中毒；消耗所有的露水，对敌方施加相等层数的中毒</t>
        </is>
      </c>
      <c r="R1176" s="9" t="inlineStr"/>
      <c r="S1176" s="9" t="inlineStr">
        <is>
          <t>冷绿毒牙。产自妖兽「竹节青蛇」。</t>
        </is>
      </c>
      <c r="T1176" s="8" t="inlineStr">
        <is>
          <t>material_zhujie_qingshe_cold_green_fang_2x2</t>
        </is>
      </c>
      <c r="U1176" s="8" t="inlineStr">
        <is>
          <t>allowed</t>
        </is>
      </c>
    </row>
    <row r="1177" ht="34" customHeight="1">
      <c r="A1177" s="8" t="n">
        <v>1176</v>
      </c>
      <c r="B1177" s="8" t="n">
        <v>500233</v>
      </c>
      <c r="C1177" s="8" t="inlineStr">
        <is>
          <t>霜纹厚皮</t>
        </is>
      </c>
      <c r="D1177" s="8" t="inlineStr">
        <is>
          <t>材料</t>
        </is>
      </c>
      <c r="E1177" s="8" t="inlineStr">
        <is>
          <t>material</t>
        </is>
      </c>
      <c r="F1177" s="8" t="inlineStr">
        <is>
          <t>common</t>
        </is>
      </c>
      <c r="G1177" s="8" t="inlineStr">
        <is>
          <t>水</t>
        </is>
      </c>
      <c r="H1177" s="8" t="inlineStr">
        <is>
          <t>water</t>
        </is>
      </c>
      <c r="I1177" s="8" t="inlineStr">
        <is>
          <t>2×2</t>
        </is>
      </c>
      <c r="J1177" s="8" t="n">
        <v>4</v>
      </c>
      <c r="K1177" s="8" t="n">
        <v>14</v>
      </c>
      <c r="L1177" s="8" t="inlineStr">
        <is>
          <t>是</t>
        </is>
      </c>
      <c r="M1177" s="9" t="inlineStr">
        <is>
          <t>beastDrop</t>
        </is>
      </c>
      <c r="N1177" s="8" t="n">
        <v>1</v>
      </c>
      <c r="O1177" s="9" t="inlineStr">
        <is>
          <t>条件触发</t>
        </is>
      </c>
      <c r="P1177" s="9" t="inlineStr">
        <is>
          <t>triggered</t>
        </is>
      </c>
      <c r="Q1177" s="9" t="inlineStr">
        <is>
          <t>条件触发：受到伤害时，获得 1 层坚硬</t>
        </is>
      </c>
      <c r="R1177" s="9" t="inlineStr"/>
      <c r="S1177" s="9" t="inlineStr">
        <is>
          <t>霜纹厚皮。产自妖兽「霜纹竹貘」。</t>
        </is>
      </c>
      <c r="T1177" s="8" t="inlineStr">
        <is>
          <t>material_shuangwen_zhumo_frost_pattern_hide_2x2</t>
        </is>
      </c>
      <c r="U1177" s="8" t="inlineStr">
        <is>
          <t>allowed</t>
        </is>
      </c>
    </row>
    <row r="1178" ht="34" customHeight="1">
      <c r="A1178" s="8" t="n">
        <v>1177</v>
      </c>
      <c r="B1178" s="8" t="n">
        <v>500234</v>
      </c>
      <c r="C1178" s="8" t="inlineStr">
        <is>
          <t>竹根鼻骨</t>
        </is>
      </c>
      <c r="D1178" s="8" t="inlineStr">
        <is>
          <t>材料</t>
        </is>
      </c>
      <c r="E1178" s="8" t="inlineStr">
        <is>
          <t>material</t>
        </is>
      </c>
      <c r="F1178" s="8" t="inlineStr">
        <is>
          <t>common</t>
        </is>
      </c>
      <c r="G1178" s="8" t="inlineStr">
        <is>
          <t>木</t>
        </is>
      </c>
      <c r="H1178" s="8" t="inlineStr">
        <is>
          <t>wood</t>
        </is>
      </c>
      <c r="I1178" s="8" t="inlineStr">
        <is>
          <t>2×2</t>
        </is>
      </c>
      <c r="J1178" s="8" t="n">
        <v>4</v>
      </c>
      <c r="K1178" s="8" t="n">
        <v>6</v>
      </c>
      <c r="L1178" s="8" t="inlineStr">
        <is>
          <t>否</t>
        </is>
      </c>
      <c r="M1178" s="9" t="inlineStr"/>
      <c r="N1178" s="8" t="n">
        <v>1</v>
      </c>
      <c r="O1178" s="9" t="inlineStr">
        <is>
          <t>周期触发</t>
        </is>
      </c>
      <c r="P1178" s="9" t="inlineStr">
        <is>
          <t>periodicPulse</t>
        </is>
      </c>
      <c r="Q1178" s="9" t="inlineStr">
        <is>
          <t>周期触发：轮转时，获得 3 层坚硬</t>
        </is>
      </c>
      <c r="R1178" s="9" t="inlineStr"/>
      <c r="S1178" s="9" t="inlineStr">
        <is>
          <t>竹根鼻骨。产自妖兽「霜纹竹貘」。</t>
        </is>
      </c>
      <c r="T1178" s="8" t="inlineStr">
        <is>
          <t>material_shuangwen_zhumo_bamboo_root_nasal_bone_2x2</t>
        </is>
      </c>
      <c r="U1178" s="8" t="inlineStr">
        <is>
          <t>allowed</t>
        </is>
      </c>
    </row>
    <row r="1179" ht="34" customHeight="1">
      <c r="A1179" s="8" t="n">
        <v>1178</v>
      </c>
      <c r="B1179" s="8" t="n">
        <v>500235</v>
      </c>
      <c r="C1179" s="8" t="inlineStr">
        <is>
          <t>灰白绒束</t>
        </is>
      </c>
      <c r="D1179" s="8" t="inlineStr">
        <is>
          <t>材料</t>
        </is>
      </c>
      <c r="E1179" s="8" t="inlineStr">
        <is>
          <t>material</t>
        </is>
      </c>
      <c r="F1179" s="8" t="inlineStr">
        <is>
          <t>common</t>
        </is>
      </c>
      <c r="G1179" s="8" t="inlineStr">
        <is>
          <t>水</t>
        </is>
      </c>
      <c r="H1179" s="8" t="inlineStr">
        <is>
          <t>water</t>
        </is>
      </c>
      <c r="I1179" s="8" t="inlineStr">
        <is>
          <t>2×2</t>
        </is>
      </c>
      <c r="J1179" s="8" t="n">
        <v>4</v>
      </c>
      <c r="K1179" s="8" t="n">
        <v>9</v>
      </c>
      <c r="L1179" s="8" t="inlineStr">
        <is>
          <t>否</t>
        </is>
      </c>
      <c r="M1179" s="9" t="inlineStr"/>
      <c r="N1179" s="8" t="n">
        <v>1</v>
      </c>
      <c r="O1179" s="9" t="inlineStr">
        <is>
          <t>周期触发</t>
        </is>
      </c>
      <c r="P1179" s="9" t="inlineStr">
        <is>
          <t>periodicPulse</t>
        </is>
      </c>
      <c r="Q1179" s="9" t="inlineStr">
        <is>
          <t>周期触发：轮转时，消耗 1 点法力，对敌方造成 5 点伤害</t>
        </is>
      </c>
      <c r="R1179" s="9" t="inlineStr"/>
      <c r="S1179" s="9" t="inlineStr">
        <is>
          <t>灰白绒束。产自妖兽「霜纹竹貘」。</t>
        </is>
      </c>
      <c r="T1179" s="8" t="inlineStr">
        <is>
          <t>material_shuangwen_zhumo_gray_white_fur_bundle_2x2</t>
        </is>
      </c>
      <c r="U1179" s="8" t="inlineStr">
        <is>
          <t>allowed</t>
        </is>
      </c>
    </row>
    <row r="1180" ht="34" customHeight="1">
      <c r="A1180" s="8" t="n">
        <v>1179</v>
      </c>
      <c r="B1180" s="8" t="n">
        <v>500236</v>
      </c>
      <c r="C1180" s="8" t="inlineStr">
        <is>
          <t>霜苔蹄片</t>
        </is>
      </c>
      <c r="D1180" s="8" t="inlineStr">
        <is>
          <t>材料</t>
        </is>
      </c>
      <c r="E1180" s="8" t="inlineStr">
        <is>
          <t>material</t>
        </is>
      </c>
      <c r="F1180" s="8" t="inlineStr">
        <is>
          <t>common</t>
        </is>
      </c>
      <c r="G1180" s="8" t="inlineStr">
        <is>
          <t>土</t>
        </is>
      </c>
      <c r="H1180" s="8" t="inlineStr">
        <is>
          <t>earth</t>
        </is>
      </c>
      <c r="I1180" s="8" t="inlineStr">
        <is>
          <t>2×2</t>
        </is>
      </c>
      <c r="J1180" s="8" t="n">
        <v>4</v>
      </c>
      <c r="K1180" s="8" t="n">
        <v>14</v>
      </c>
      <c r="L1180" s="8" t="inlineStr">
        <is>
          <t>否</t>
        </is>
      </c>
      <c r="M1180" s="9" t="inlineStr"/>
      <c r="N1180" s="8" t="n">
        <v>1</v>
      </c>
      <c r="O1180" s="9" t="inlineStr">
        <is>
          <t>周期触发</t>
        </is>
      </c>
      <c r="P1180" s="9" t="inlineStr">
        <is>
          <t>periodicPulse</t>
        </is>
      </c>
      <c r="Q1180" s="9" t="inlineStr">
        <is>
          <t>周期触发：轮转时，消耗 3 点体力，降低敌方 1 点法力</t>
        </is>
      </c>
      <c r="R1180" s="9" t="inlineStr"/>
      <c r="S1180" s="9" t="inlineStr">
        <is>
          <t>霜苔蹄片。产自妖兽「霜纹竹貘」。</t>
        </is>
      </c>
      <c r="T1180" s="8" t="inlineStr">
        <is>
          <t>material_shuangwen_zhumo_frost_moss_hoof_chip_2x2</t>
        </is>
      </c>
      <c r="U1180" s="8" t="inlineStr">
        <is>
          <t>allowed</t>
        </is>
      </c>
    </row>
    <row r="1181" ht="34" customHeight="1">
      <c r="A1181" s="8" t="n">
        <v>1180</v>
      </c>
      <c r="B1181" s="8" t="n">
        <v>500237</v>
      </c>
      <c r="C1181" s="8" t="inlineStr">
        <is>
          <t>裂谷狼牙</t>
        </is>
      </c>
      <c r="D1181" s="8" t="inlineStr">
        <is>
          <t>材料</t>
        </is>
      </c>
      <c r="E1181" s="8" t="inlineStr">
        <is>
          <t>material</t>
        </is>
      </c>
      <c r="F1181" s="8" t="inlineStr">
        <is>
          <t>common</t>
        </is>
      </c>
      <c r="G1181" s="8" t="inlineStr">
        <is>
          <t>金</t>
        </is>
      </c>
      <c r="H1181" s="8" t="inlineStr">
        <is>
          <t>metal</t>
        </is>
      </c>
      <c r="I1181" s="8" t="inlineStr">
        <is>
          <t>2×2</t>
        </is>
      </c>
      <c r="J1181" s="8" t="n">
        <v>4</v>
      </c>
      <c r="K1181" s="8" t="n">
        <v>14</v>
      </c>
      <c r="L1181" s="8" t="inlineStr">
        <is>
          <t>是</t>
        </is>
      </c>
      <c r="M1181" s="9" t="inlineStr">
        <is>
          <t>beastDrop</t>
        </is>
      </c>
      <c r="N1181" s="8" t="n">
        <v>1</v>
      </c>
      <c r="O1181" s="9" t="inlineStr">
        <is>
          <t>周期触发</t>
        </is>
      </c>
      <c r="P1181" s="9" t="inlineStr">
        <is>
          <t>periodicPulse</t>
        </is>
      </c>
      <c r="Q1181" s="9" t="inlineStr">
        <is>
          <t>周期触发：轮转时，消耗 1 点体力，对敌方造成 2 点伤害</t>
        </is>
      </c>
      <c r="R1181" s="9" t="inlineStr"/>
      <c r="S1181" s="9" t="inlineStr">
        <is>
          <t>裂谷狼牙。产自妖兽「裂谷灰狼」。</t>
        </is>
      </c>
      <c r="T1181" s="8" t="inlineStr">
        <is>
          <t>material_liegu_huilang_ravine_wolf_fang_2x2</t>
        </is>
      </c>
      <c r="U1181" s="8" t="inlineStr">
        <is>
          <t>allowed</t>
        </is>
      </c>
    </row>
    <row r="1182" ht="34" customHeight="1">
      <c r="A1182" s="8" t="n">
        <v>1181</v>
      </c>
      <c r="B1182" s="8" t="n">
        <v>500238</v>
      </c>
      <c r="C1182" s="8" t="inlineStr">
        <is>
          <t>灰狼脊毛</t>
        </is>
      </c>
      <c r="D1182" s="8" t="inlineStr">
        <is>
          <t>材料</t>
        </is>
      </c>
      <c r="E1182" s="8" t="inlineStr">
        <is>
          <t>material</t>
        </is>
      </c>
      <c r="F1182" s="8" t="inlineStr">
        <is>
          <t>common</t>
        </is>
      </c>
      <c r="G1182" s="8" t="inlineStr">
        <is>
          <t>土</t>
        </is>
      </c>
      <c r="H1182" s="8" t="inlineStr">
        <is>
          <t>earth</t>
        </is>
      </c>
      <c r="I1182" s="8" t="inlineStr">
        <is>
          <t>2×2</t>
        </is>
      </c>
      <c r="J1182" s="8" t="n">
        <v>4</v>
      </c>
      <c r="K1182" s="8" t="n">
        <v>6</v>
      </c>
      <c r="L1182" s="8" t="inlineStr">
        <is>
          <t>否</t>
        </is>
      </c>
      <c r="M1182" s="9" t="inlineStr"/>
      <c r="N1182" s="8" t="n">
        <v>1</v>
      </c>
      <c r="O1182" s="9" t="inlineStr">
        <is>
          <t>周期触发</t>
        </is>
      </c>
      <c r="P1182" s="9" t="inlineStr">
        <is>
          <t>periodicPulse</t>
        </is>
      </c>
      <c r="Q1182" s="9" t="inlineStr">
        <is>
          <t>周期触发：轮转时，消耗 3 点法力，获得 2 层坚硬</t>
        </is>
      </c>
      <c r="R1182" s="9" t="inlineStr"/>
      <c r="S1182" s="9" t="inlineStr">
        <is>
          <t>灰狼脊毛。产自妖兽「裂谷灰狼」。</t>
        </is>
      </c>
      <c r="T1182" s="8" t="inlineStr">
        <is>
          <t>material_liegu_huilang_gray_back_fur_2x2</t>
        </is>
      </c>
      <c r="U1182" s="8" t="inlineStr">
        <is>
          <t>allowed</t>
        </is>
      </c>
    </row>
    <row r="1183" ht="34" customHeight="1">
      <c r="A1183" s="8" t="n">
        <v>1182</v>
      </c>
      <c r="B1183" s="8" t="n">
        <v>500239</v>
      </c>
      <c r="C1183" s="8" t="inlineStr">
        <is>
          <t>风蚀爪骨</t>
        </is>
      </c>
      <c r="D1183" s="8" t="inlineStr">
        <is>
          <t>材料</t>
        </is>
      </c>
      <c r="E1183" s="8" t="inlineStr">
        <is>
          <t>material</t>
        </is>
      </c>
      <c r="F1183" s="8" t="inlineStr">
        <is>
          <t>common</t>
        </is>
      </c>
      <c r="G1183" s="8" t="inlineStr">
        <is>
          <t>金</t>
        </is>
      </c>
      <c r="H1183" s="8" t="inlineStr">
        <is>
          <t>metal</t>
        </is>
      </c>
      <c r="I1183" s="8" t="inlineStr">
        <is>
          <t>2×2</t>
        </is>
      </c>
      <c r="J1183" s="8" t="n">
        <v>4</v>
      </c>
      <c r="K1183" s="8" t="n">
        <v>9</v>
      </c>
      <c r="L1183" s="8" t="inlineStr">
        <is>
          <t>否</t>
        </is>
      </c>
      <c r="M1183" s="9" t="inlineStr"/>
      <c r="N1183" s="8" t="n">
        <v>1</v>
      </c>
      <c r="O1183" s="9" t="inlineStr">
        <is>
          <t>周期触发</t>
        </is>
      </c>
      <c r="P1183" s="9" t="inlineStr">
        <is>
          <t>periodicPulse</t>
        </is>
      </c>
      <c r="Q1183" s="9" t="inlineStr">
        <is>
          <t>周期触发：轮转时，对敌方造成 5 点伤害，气血低于 50% 时，伤害翻倍</t>
        </is>
      </c>
      <c r="R1183" s="9" t="inlineStr"/>
      <c r="S1183" s="9" t="inlineStr">
        <is>
          <t>风蚀爪骨。产自妖兽「裂谷灰狼」。</t>
        </is>
      </c>
      <c r="T1183" s="8" t="inlineStr">
        <is>
          <t>material_liegu_huilang_wind_worn_claw_bone_2x2</t>
        </is>
      </c>
      <c r="U1183" s="8" t="inlineStr">
        <is>
          <t>allowed</t>
        </is>
      </c>
    </row>
    <row r="1184" ht="34" customHeight="1">
      <c r="A1184" s="8" t="n">
        <v>1183</v>
      </c>
      <c r="B1184" s="8" t="n">
        <v>500240</v>
      </c>
      <c r="C1184" s="8" t="inlineStr">
        <is>
          <t>谷尘肩皮</t>
        </is>
      </c>
      <c r="D1184" s="8" t="inlineStr">
        <is>
          <t>材料</t>
        </is>
      </c>
      <c r="E1184" s="8" t="inlineStr">
        <is>
          <t>material</t>
        </is>
      </c>
      <c r="F1184" s="8" t="inlineStr">
        <is>
          <t>common</t>
        </is>
      </c>
      <c r="G1184" s="8" t="inlineStr">
        <is>
          <t>土</t>
        </is>
      </c>
      <c r="H1184" s="8" t="inlineStr">
        <is>
          <t>earth</t>
        </is>
      </c>
      <c r="I1184" s="8" t="inlineStr">
        <is>
          <t>2×2</t>
        </is>
      </c>
      <c r="J1184" s="8" t="n">
        <v>4</v>
      </c>
      <c r="K1184" s="8" t="n">
        <v>14</v>
      </c>
      <c r="L1184" s="8" t="inlineStr">
        <is>
          <t>否</t>
        </is>
      </c>
      <c r="M1184" s="9" t="inlineStr"/>
      <c r="N1184" s="8" t="n">
        <v>1</v>
      </c>
      <c r="O1184" s="9" t="inlineStr">
        <is>
          <t>周期触发</t>
        </is>
      </c>
      <c r="P1184" s="9" t="inlineStr">
        <is>
          <t>periodicPulse</t>
        </is>
      </c>
      <c r="Q1184" s="9" t="inlineStr">
        <is>
          <t>周期触发：轮转时，获得 1 层闪避</t>
        </is>
      </c>
      <c r="R1184" s="9" t="inlineStr"/>
      <c r="S1184" s="9" t="inlineStr">
        <is>
          <t>谷尘肩皮。产自妖兽「裂谷灰狼」。</t>
        </is>
      </c>
      <c r="T1184" s="8" t="inlineStr">
        <is>
          <t>material_liegu_huilang_dusty_shoulder_hide_2x2</t>
        </is>
      </c>
      <c r="U1184" s="8" t="inlineStr">
        <is>
          <t>allowed</t>
        </is>
      </c>
    </row>
    <row r="1185" ht="34" customHeight="1">
      <c r="A1185" s="8" t="n">
        <v>1184</v>
      </c>
      <c r="B1185" s="8" t="n">
        <v>500241</v>
      </c>
      <c r="C1185" s="8" t="inlineStr">
        <is>
          <t>尘蜥尾骨</t>
        </is>
      </c>
      <c r="D1185" s="8" t="inlineStr">
        <is>
          <t>材料</t>
        </is>
      </c>
      <c r="E1185" s="8" t="inlineStr">
        <is>
          <t>material</t>
        </is>
      </c>
      <c r="F1185" s="8" t="inlineStr">
        <is>
          <t>common</t>
        </is>
      </c>
      <c r="G1185" s="8" t="inlineStr">
        <is>
          <t>土</t>
        </is>
      </c>
      <c r="H1185" s="8" t="inlineStr">
        <is>
          <t>earth</t>
        </is>
      </c>
      <c r="I1185" s="8" t="inlineStr">
        <is>
          <t>2×2</t>
        </is>
      </c>
      <c r="J1185" s="8" t="n">
        <v>4</v>
      </c>
      <c r="K1185" s="8" t="n">
        <v>14</v>
      </c>
      <c r="L1185" s="8" t="inlineStr">
        <is>
          <t>是</t>
        </is>
      </c>
      <c r="M1185" s="9" t="inlineStr">
        <is>
          <t>beastDrop</t>
        </is>
      </c>
      <c r="N1185" s="8" t="n">
        <v>1</v>
      </c>
      <c r="O1185" s="9" t="inlineStr">
        <is>
          <t>周期触发</t>
        </is>
      </c>
      <c r="P1185" s="9" t="inlineStr">
        <is>
          <t>periodicPulse</t>
        </is>
      </c>
      <c r="Q1185" s="9" t="inlineStr">
        <is>
          <t>周期触发：轮转时，获得 3 层闪避</t>
        </is>
      </c>
      <c r="R1185" s="9" t="inlineStr"/>
      <c r="S1185" s="9" t="inlineStr">
        <is>
          <t>尘蜥尾骨。产自妖兽「野路尘蜥」。</t>
        </is>
      </c>
      <c r="T1185" s="8" t="inlineStr">
        <is>
          <t>material_yelu_chenxi_dust_lizard_tailbone_2x2</t>
        </is>
      </c>
      <c r="U1185" s="8" t="inlineStr">
        <is>
          <t>allowed</t>
        </is>
      </c>
    </row>
    <row r="1186" ht="34" customHeight="1">
      <c r="A1186" s="8" t="n">
        <v>1185</v>
      </c>
      <c r="B1186" s="8" t="n">
        <v>500242</v>
      </c>
      <c r="C1186" s="8" t="inlineStr">
        <is>
          <t>砂鳞皮片</t>
        </is>
      </c>
      <c r="D1186" s="8" t="inlineStr">
        <is>
          <t>材料</t>
        </is>
      </c>
      <c r="E1186" s="8" t="inlineStr">
        <is>
          <t>material</t>
        </is>
      </c>
      <c r="F1186" s="8" t="inlineStr">
        <is>
          <t>common</t>
        </is>
      </c>
      <c r="G1186" s="8" t="inlineStr">
        <is>
          <t>土</t>
        </is>
      </c>
      <c r="H1186" s="8" t="inlineStr">
        <is>
          <t>earth</t>
        </is>
      </c>
      <c r="I1186" s="8" t="inlineStr">
        <is>
          <t>2×2</t>
        </is>
      </c>
      <c r="J1186" s="8" t="n">
        <v>4</v>
      </c>
      <c r="K1186" s="8" t="n">
        <v>6</v>
      </c>
      <c r="L1186" s="8" t="inlineStr">
        <is>
          <t>否</t>
        </is>
      </c>
      <c r="M1186" s="9" t="inlineStr"/>
      <c r="N1186" s="8" t="n">
        <v>1</v>
      </c>
      <c r="O1186" s="9" t="inlineStr">
        <is>
          <t>周期触发</t>
        </is>
      </c>
      <c r="P1186" s="9" t="inlineStr">
        <is>
          <t>periodicPulse</t>
        </is>
      </c>
      <c r="Q1186" s="9" t="inlineStr">
        <is>
          <t>周期触发：轮转时，将 3 点体力转化为 1 层坚硬</t>
        </is>
      </c>
      <c r="R1186" s="9" t="inlineStr"/>
      <c r="S1186" s="9" t="inlineStr">
        <is>
          <t>砂鳞皮片。产自妖兽「野路尘蜥」。</t>
        </is>
      </c>
      <c r="T1186" s="8" t="inlineStr">
        <is>
          <t>material_yelu_chenxi_sandy_scale_hide_2x2</t>
        </is>
      </c>
      <c r="U1186" s="8" t="inlineStr">
        <is>
          <t>allowed</t>
        </is>
      </c>
    </row>
    <row r="1187" ht="34" customHeight="1">
      <c r="A1187" s="8" t="n">
        <v>1186</v>
      </c>
      <c r="B1187" s="8" t="n">
        <v>500243</v>
      </c>
      <c r="C1187" s="8" t="inlineStr">
        <is>
          <t>干草爪节</t>
        </is>
      </c>
      <c r="D1187" s="8" t="inlineStr">
        <is>
          <t>材料</t>
        </is>
      </c>
      <c r="E1187" s="8" t="inlineStr">
        <is>
          <t>material</t>
        </is>
      </c>
      <c r="F1187" s="8" t="inlineStr">
        <is>
          <t>common</t>
        </is>
      </c>
      <c r="G1187" s="8" t="inlineStr">
        <is>
          <t>木</t>
        </is>
      </c>
      <c r="H1187" s="8" t="inlineStr">
        <is>
          <t>wood</t>
        </is>
      </c>
      <c r="I1187" s="8" t="inlineStr">
        <is>
          <t>2×2</t>
        </is>
      </c>
      <c r="J1187" s="8" t="n">
        <v>4</v>
      </c>
      <c r="K1187" s="8" t="n">
        <v>9</v>
      </c>
      <c r="L1187" s="8" t="inlineStr">
        <is>
          <t>否</t>
        </is>
      </c>
      <c r="M1187" s="9" t="inlineStr"/>
      <c r="N1187" s="8" t="n">
        <v>1</v>
      </c>
      <c r="O1187" s="9" t="inlineStr">
        <is>
          <t>周期触发</t>
        </is>
      </c>
      <c r="P1187" s="9" t="inlineStr">
        <is>
          <t>periodicPulse</t>
        </is>
      </c>
      <c r="Q1187" s="9" t="inlineStr">
        <is>
          <t>周期触发：轮转时，对敌方造成 6 点伤害，体力低于 50% 时，伤害减半</t>
        </is>
      </c>
      <c r="R1187" s="9" t="inlineStr"/>
      <c r="S1187" s="9" t="inlineStr">
        <is>
          <t>干草爪节。产自妖兽「野路尘蜥」。</t>
        </is>
      </c>
      <c r="T1187" s="8" t="inlineStr">
        <is>
          <t>material_yelu_chenxi_dry_grass_claw_joint_2x2</t>
        </is>
      </c>
      <c r="U1187" s="8" t="inlineStr">
        <is>
          <t>allowed</t>
        </is>
      </c>
    </row>
    <row r="1188" ht="34" customHeight="1">
      <c r="A1188" s="8" t="n">
        <v>1187</v>
      </c>
      <c r="B1188" s="8" t="n">
        <v>500244</v>
      </c>
      <c r="C1188" s="8" t="inlineStr">
        <is>
          <t>野路腹甲</t>
        </is>
      </c>
      <c r="D1188" s="8" t="inlineStr">
        <is>
          <t>材料</t>
        </is>
      </c>
      <c r="E1188" s="8" t="inlineStr">
        <is>
          <t>material</t>
        </is>
      </c>
      <c r="F1188" s="8" t="inlineStr">
        <is>
          <t>common</t>
        </is>
      </c>
      <c r="G1188" s="8" t="inlineStr">
        <is>
          <t>土</t>
        </is>
      </c>
      <c r="H1188" s="8" t="inlineStr">
        <is>
          <t>earth</t>
        </is>
      </c>
      <c r="I1188" s="8" t="inlineStr">
        <is>
          <t>2×2</t>
        </is>
      </c>
      <c r="J1188" s="8" t="n">
        <v>4</v>
      </c>
      <c r="K1188" s="8" t="n">
        <v>14</v>
      </c>
      <c r="L1188" s="8" t="inlineStr">
        <is>
          <t>否</t>
        </is>
      </c>
      <c r="M1188" s="9" t="inlineStr"/>
      <c r="N1188" s="8" t="n">
        <v>1</v>
      </c>
      <c r="O1188" s="9" t="inlineStr">
        <is>
          <t>周期触发</t>
        </is>
      </c>
      <c r="P1188" s="9" t="inlineStr">
        <is>
          <t>periodicPulse</t>
        </is>
      </c>
      <c r="Q1188" s="9" t="inlineStr">
        <is>
          <t>周期触发：轮转时，获得 1 层坚硬</t>
        </is>
      </c>
      <c r="R1188" s="9" t="inlineStr"/>
      <c r="S1188" s="9" t="inlineStr">
        <is>
          <t>野路腹甲。产自妖兽「野路尘蜥」。</t>
        </is>
      </c>
      <c r="T1188" s="8" t="inlineStr">
        <is>
          <t>material_yelu_chenxi_road_belly_plate_2x2</t>
        </is>
      </c>
      <c r="U1188" s="8" t="inlineStr">
        <is>
          <t>allowed</t>
        </is>
      </c>
    </row>
    <row r="1189" ht="34" customHeight="1">
      <c r="A1189" s="8" t="n">
        <v>1188</v>
      </c>
      <c r="B1189" s="8" t="n">
        <v>500245</v>
      </c>
      <c r="C1189" s="8" t="inlineStr">
        <is>
          <t>银蟾疣石</t>
        </is>
      </c>
      <c r="D1189" s="8" t="inlineStr">
        <is>
          <t>材料</t>
        </is>
      </c>
      <c r="E1189" s="8" t="inlineStr">
        <is>
          <t>material</t>
        </is>
      </c>
      <c r="F1189" s="8" t="inlineStr">
        <is>
          <t>common</t>
        </is>
      </c>
      <c r="G1189" s="8" t="inlineStr">
        <is>
          <t>水</t>
        </is>
      </c>
      <c r="H1189" s="8" t="inlineStr">
        <is>
          <t>water</t>
        </is>
      </c>
      <c r="I1189" s="8" t="inlineStr">
        <is>
          <t>2×2</t>
        </is>
      </c>
      <c r="J1189" s="8" t="n">
        <v>4</v>
      </c>
      <c r="K1189" s="8" t="n">
        <v>14</v>
      </c>
      <c r="L1189" s="8" t="inlineStr">
        <is>
          <t>是</t>
        </is>
      </c>
      <c r="M1189" s="9" t="inlineStr">
        <is>
          <t>beastDrop</t>
        </is>
      </c>
      <c r="N1189" s="8" t="n">
        <v>1</v>
      </c>
      <c r="O1189" s="9" t="inlineStr">
        <is>
          <t>周期触发</t>
        </is>
      </c>
      <c r="P1189" s="9" t="inlineStr">
        <is>
          <t>periodicPulse</t>
        </is>
      </c>
      <c r="Q1189" s="9" t="inlineStr">
        <is>
          <t>周期触发：轮转时，消耗 3 点法力，吸取敌方 4 点气血</t>
        </is>
      </c>
      <c r="R1189" s="9" t="inlineStr"/>
      <c r="S1189" s="9" t="inlineStr">
        <is>
          <t>银蟾疣石。产自妖兽「瀑背银蟾」。</t>
        </is>
      </c>
      <c r="T1189" s="8" t="inlineStr">
        <is>
          <t>material_pubei_yinchan_silver_wart_stone_2x2</t>
        </is>
      </c>
      <c r="U1189" s="8" t="inlineStr">
        <is>
          <t>allowed</t>
        </is>
      </c>
    </row>
    <row r="1190" ht="34" customHeight="1">
      <c r="A1190" s="8" t="n">
        <v>1189</v>
      </c>
      <c r="B1190" s="8" t="n">
        <v>500246</v>
      </c>
      <c r="C1190" s="8" t="inlineStr">
        <is>
          <t>瀑水背皮</t>
        </is>
      </c>
      <c r="D1190" s="8" t="inlineStr">
        <is>
          <t>材料</t>
        </is>
      </c>
      <c r="E1190" s="8" t="inlineStr">
        <is>
          <t>material</t>
        </is>
      </c>
      <c r="F1190" s="8" t="inlineStr">
        <is>
          <t>common</t>
        </is>
      </c>
      <c r="G1190" s="8" t="inlineStr">
        <is>
          <t>水</t>
        </is>
      </c>
      <c r="H1190" s="8" t="inlineStr">
        <is>
          <t>water</t>
        </is>
      </c>
      <c r="I1190" s="8" t="inlineStr">
        <is>
          <t>2×2</t>
        </is>
      </c>
      <c r="J1190" s="8" t="n">
        <v>4</v>
      </c>
      <c r="K1190" s="8" t="n">
        <v>6</v>
      </c>
      <c r="L1190" s="8" t="inlineStr">
        <is>
          <t>否</t>
        </is>
      </c>
      <c r="M1190" s="9" t="inlineStr"/>
      <c r="N1190" s="8" t="n">
        <v>1</v>
      </c>
      <c r="O1190" s="9" t="inlineStr">
        <is>
          <t>条件触发</t>
        </is>
      </c>
      <c r="P1190" s="9" t="inlineStr">
        <is>
          <t>triggered</t>
        </is>
      </c>
      <c r="Q1190" s="9" t="inlineStr">
        <is>
          <t>条件触发：受到伤害时，获得 1 层露水</t>
        </is>
      </c>
      <c r="R1190" s="9" t="inlineStr"/>
      <c r="S1190" s="9" t="inlineStr">
        <is>
          <t>瀑水背皮。产自妖兽「瀑背银蟾」。</t>
        </is>
      </c>
      <c r="T1190" s="8" t="inlineStr">
        <is>
          <t>material_pubei_yinchan_waterfall_back_hide_2x2</t>
        </is>
      </c>
      <c r="U1190" s="8" t="inlineStr">
        <is>
          <t>allowed</t>
        </is>
      </c>
    </row>
    <row r="1191" ht="34" customHeight="1">
      <c r="A1191" s="8" t="n">
        <v>1190</v>
      </c>
      <c r="B1191" s="8" t="n">
        <v>500247</v>
      </c>
      <c r="C1191" s="8" t="inlineStr">
        <is>
          <t>湿苔蹼掌</t>
        </is>
      </c>
      <c r="D1191" s="8" t="inlineStr">
        <is>
          <t>材料</t>
        </is>
      </c>
      <c r="E1191" s="8" t="inlineStr">
        <is>
          <t>material</t>
        </is>
      </c>
      <c r="F1191" s="8" t="inlineStr">
        <is>
          <t>common</t>
        </is>
      </c>
      <c r="G1191" s="8" t="inlineStr">
        <is>
          <t>木</t>
        </is>
      </c>
      <c r="H1191" s="8" t="inlineStr">
        <is>
          <t>wood</t>
        </is>
      </c>
      <c r="I1191" s="8" t="inlineStr">
        <is>
          <t>2×2</t>
        </is>
      </c>
      <c r="J1191" s="8" t="n">
        <v>4</v>
      </c>
      <c r="K1191" s="8" t="n">
        <v>9</v>
      </c>
      <c r="L1191" s="8" t="inlineStr">
        <is>
          <t>否</t>
        </is>
      </c>
      <c r="M1191" s="9" t="inlineStr"/>
      <c r="N1191" s="8" t="n">
        <v>1</v>
      </c>
      <c r="O1191" s="9" t="inlineStr">
        <is>
          <t>周期触发</t>
        </is>
      </c>
      <c r="P1191" s="9" t="inlineStr">
        <is>
          <t>periodicPulse</t>
        </is>
      </c>
      <c r="Q1191" s="9" t="inlineStr">
        <is>
          <t>周期触发：轮转时，如果露水层数大于 10，对敌方造成 5 点伤害</t>
        </is>
      </c>
      <c r="R1191" s="9" t="inlineStr"/>
      <c r="S1191" s="9" t="inlineStr">
        <is>
          <t>湿苔蹼掌。产自妖兽「瀑背银蟾」。</t>
        </is>
      </c>
      <c r="T1191" s="8" t="inlineStr">
        <is>
          <t>material_pubei_yinchan_mossy_webbed_foot_2x2</t>
        </is>
      </c>
      <c r="U1191" s="8" t="inlineStr">
        <is>
          <t>allowed</t>
        </is>
      </c>
    </row>
    <row r="1192" ht="34" customHeight="1">
      <c r="A1192" s="8" t="n">
        <v>1191</v>
      </c>
      <c r="B1192" s="8" t="n">
        <v>500248</v>
      </c>
      <c r="C1192" s="8" t="inlineStr">
        <is>
          <t>冷泉喉囊</t>
        </is>
      </c>
      <c r="D1192" s="8" t="inlineStr">
        <is>
          <t>材料</t>
        </is>
      </c>
      <c r="E1192" s="8" t="inlineStr">
        <is>
          <t>material</t>
        </is>
      </c>
      <c r="F1192" s="8" t="inlineStr">
        <is>
          <t>common</t>
        </is>
      </c>
      <c r="G1192" s="8" t="inlineStr">
        <is>
          <t>水</t>
        </is>
      </c>
      <c r="H1192" s="8" t="inlineStr">
        <is>
          <t>water</t>
        </is>
      </c>
      <c r="I1192" s="8" t="inlineStr">
        <is>
          <t>2×2</t>
        </is>
      </c>
      <c r="J1192" s="8" t="n">
        <v>4</v>
      </c>
      <c r="K1192" s="8" t="n">
        <v>14</v>
      </c>
      <c r="L1192" s="8" t="inlineStr">
        <is>
          <t>否</t>
        </is>
      </c>
      <c r="M1192" s="9" t="inlineStr"/>
      <c r="N1192" s="8" t="n">
        <v>1</v>
      </c>
      <c r="O1192" s="9" t="inlineStr">
        <is>
          <t>周期触发</t>
        </is>
      </c>
      <c r="P1192" s="9" t="inlineStr">
        <is>
          <t>periodicPulse</t>
        </is>
      </c>
      <c r="Q1192" s="9" t="inlineStr">
        <is>
          <t>周期触发：轮转时，获得 1 层露水</t>
        </is>
      </c>
      <c r="R1192" s="9" t="inlineStr"/>
      <c r="S1192" s="9" t="inlineStr">
        <is>
          <t>冷泉喉囊。产自妖兽「瀑背银蟾」。</t>
        </is>
      </c>
      <c r="T1192" s="8" t="inlineStr">
        <is>
          <t>material_pubei_yinchan_cold_throat_sac_2x2</t>
        </is>
      </c>
      <c r="U1192" s="8" t="inlineStr">
        <is>
          <t>allowed</t>
        </is>
      </c>
    </row>
    <row r="1193" ht="34" customHeight="1">
      <c r="A1193" s="8" t="n">
        <v>1192</v>
      </c>
      <c r="B1193" s="8" t="n">
        <v>500249</v>
      </c>
      <c r="C1193" s="8" t="inlineStr">
        <is>
          <t>湍鳞蛇蜕</t>
        </is>
      </c>
      <c r="D1193" s="8" t="inlineStr">
        <is>
          <t>材料</t>
        </is>
      </c>
      <c r="E1193" s="8" t="inlineStr">
        <is>
          <t>material</t>
        </is>
      </c>
      <c r="F1193" s="8" t="inlineStr">
        <is>
          <t>spirit</t>
        </is>
      </c>
      <c r="G1193" s="8" t="inlineStr">
        <is>
          <t>水</t>
        </is>
      </c>
      <c r="H1193" s="8" t="inlineStr">
        <is>
          <t>water</t>
        </is>
      </c>
      <c r="I1193" s="8" t="inlineStr">
        <is>
          <t>3×3</t>
        </is>
      </c>
      <c r="J1193" s="8" t="n">
        <v>9</v>
      </c>
      <c r="K1193" s="8" t="n">
        <v>140</v>
      </c>
      <c r="L1193" s="8" t="inlineStr">
        <is>
          <t>是</t>
        </is>
      </c>
      <c r="M1193" s="9" t="inlineStr">
        <is>
          <t>beastDrop</t>
        </is>
      </c>
      <c r="N1193" s="8" t="n">
        <v>1</v>
      </c>
      <c r="O1193" s="9" t="inlineStr">
        <is>
          <t>周期触发</t>
        </is>
      </c>
      <c r="P1193" s="9" t="inlineStr">
        <is>
          <t>periodicPulse</t>
        </is>
      </c>
      <c r="Q1193" s="9" t="inlineStr">
        <is>
          <t>周期触发：轮转时，消耗 40 点体力，获得 48 层露水；与它相邻的道具本场战斗中每次轮转消耗的气血、体力、法力或神识 -2，最多 -6</t>
        </is>
      </c>
      <c r="R1193" s="9" t="inlineStr"/>
      <c r="S1193" s="9" t="inlineStr">
        <is>
          <t>湍鳞蛇蜕。产自妖兽「湍鳞水蛇」。</t>
        </is>
      </c>
      <c r="T1193" s="8" t="inlineStr">
        <is>
          <t>material_tuanlin_shuishe_rapid_scale_shed_3x3</t>
        </is>
      </c>
      <c r="U1193" s="8" t="inlineStr">
        <is>
          <t>allowed</t>
        </is>
      </c>
    </row>
    <row r="1194" ht="34" customHeight="1">
      <c r="A1194" s="8" t="n">
        <v>1193</v>
      </c>
      <c r="B1194" s="8" t="n">
        <v>500250</v>
      </c>
      <c r="C1194" s="8" t="inlineStr">
        <is>
          <t>水蛇脊鳞</t>
        </is>
      </c>
      <c r="D1194" s="8" t="inlineStr">
        <is>
          <t>材料</t>
        </is>
      </c>
      <c r="E1194" s="8" t="inlineStr">
        <is>
          <t>material</t>
        </is>
      </c>
      <c r="F1194" s="8" t="inlineStr">
        <is>
          <t>spirit</t>
        </is>
      </c>
      <c r="G1194" s="8" t="inlineStr">
        <is>
          <t>水</t>
        </is>
      </c>
      <c r="H1194" s="8" t="inlineStr">
        <is>
          <t>water</t>
        </is>
      </c>
      <c r="I1194" s="8" t="inlineStr">
        <is>
          <t>1×1</t>
        </is>
      </c>
      <c r="J1194" s="8" t="n">
        <v>1</v>
      </c>
      <c r="K1194" s="8" t="n">
        <v>60</v>
      </c>
      <c r="L1194" s="8" t="inlineStr">
        <is>
          <t>否</t>
        </is>
      </c>
      <c r="M1194" s="9" t="inlineStr"/>
      <c r="N1194" s="8" t="n">
        <v>1</v>
      </c>
      <c r="O1194" s="9" t="inlineStr">
        <is>
          <t>周期触发</t>
        </is>
      </c>
      <c r="P1194" s="9" t="inlineStr">
        <is>
          <t>periodicPulse</t>
        </is>
      </c>
      <c r="Q1194" s="9" t="inlineStr">
        <is>
          <t>周期触发：轮转时，消耗 14 点法力，恢复自身 60 点体力，每次轮转后消耗效果升级；消耗降低</t>
        </is>
      </c>
      <c r="R1194" s="9" t="inlineStr"/>
      <c r="S1194" s="9" t="inlineStr">
        <is>
          <t>水蛇脊鳞。产自妖兽「湍鳞水蛇」。</t>
        </is>
      </c>
      <c r="T1194" s="8" t="inlineStr">
        <is>
          <t>material_tuanlin_shuishe_spine_scale_1x1</t>
        </is>
      </c>
      <c r="U1194" s="8" t="inlineStr">
        <is>
          <t>allowed</t>
        </is>
      </c>
    </row>
    <row r="1195" ht="34" customHeight="1">
      <c r="A1195" s="8" t="n">
        <v>1194</v>
      </c>
      <c r="B1195" s="8" t="n">
        <v>500251</v>
      </c>
      <c r="C1195" s="8" t="inlineStr">
        <is>
          <t>青流毒牙</t>
        </is>
      </c>
      <c r="D1195" s="8" t="inlineStr">
        <is>
          <t>材料</t>
        </is>
      </c>
      <c r="E1195" s="8" t="inlineStr">
        <is>
          <t>material</t>
        </is>
      </c>
      <c r="F1195" s="8" t="inlineStr">
        <is>
          <t>spirit</t>
        </is>
      </c>
      <c r="G1195" s="8" t="inlineStr">
        <is>
          <t>水</t>
        </is>
      </c>
      <c r="H1195" s="8" t="inlineStr">
        <is>
          <t>water</t>
        </is>
      </c>
      <c r="I1195" s="8" t="inlineStr">
        <is>
          <t>1×1</t>
        </is>
      </c>
      <c r="J1195" s="8" t="n">
        <v>1</v>
      </c>
      <c r="K1195" s="8" t="n">
        <v>90</v>
      </c>
      <c r="L1195" s="8" t="inlineStr">
        <is>
          <t>否</t>
        </is>
      </c>
      <c r="M1195" s="9" t="inlineStr"/>
      <c r="N1195" s="8" t="n">
        <v>1</v>
      </c>
      <c r="O1195" s="9" t="inlineStr">
        <is>
          <t>周期触发</t>
        </is>
      </c>
      <c r="P1195" s="9" t="inlineStr">
        <is>
          <t>periodicPulse</t>
        </is>
      </c>
      <c r="Q1195" s="9" t="inlineStr">
        <is>
          <t>周期触发：轮转时，消耗 12 点体力，对敌方造成 90 点伤害并施加 10 层中毒，每次轮转后伤害效果升级；伤害</t>
        </is>
      </c>
      <c r="R1195" s="9" t="inlineStr"/>
      <c r="S1195" s="9" t="inlineStr">
        <is>
          <t>青流毒牙。产自妖兽「湍鳞水蛇」。</t>
        </is>
      </c>
      <c r="T1195" s="8" t="inlineStr">
        <is>
          <t>material_tuanlin_shuishe_green_stream_fang_1x1</t>
        </is>
      </c>
      <c r="U1195" s="8" t="inlineStr">
        <is>
          <t>allowed</t>
        </is>
      </c>
    </row>
    <row r="1196" ht="34" customHeight="1">
      <c r="A1196" s="8" t="n">
        <v>1195</v>
      </c>
      <c r="B1196" s="8" t="n">
        <v>500252</v>
      </c>
      <c r="C1196" s="8" t="inlineStr">
        <is>
          <t>滑石尾骨</t>
        </is>
      </c>
      <c r="D1196" s="8" t="inlineStr">
        <is>
          <t>材料</t>
        </is>
      </c>
      <c r="E1196" s="8" t="inlineStr">
        <is>
          <t>material</t>
        </is>
      </c>
      <c r="F1196" s="8" t="inlineStr">
        <is>
          <t>spirit</t>
        </is>
      </c>
      <c r="G1196" s="8" t="inlineStr">
        <is>
          <t>土</t>
        </is>
      </c>
      <c r="H1196" s="8" t="inlineStr">
        <is>
          <t>earth</t>
        </is>
      </c>
      <c r="I1196" s="8" t="inlineStr">
        <is>
          <t>2×2</t>
        </is>
      </c>
      <c r="J1196" s="8" t="n">
        <v>4</v>
      </c>
      <c r="K1196" s="8" t="n">
        <v>140</v>
      </c>
      <c r="L1196" s="8" t="inlineStr">
        <is>
          <t>否</t>
        </is>
      </c>
      <c r="M1196" s="9" t="inlineStr"/>
      <c r="N1196" s="8" t="n">
        <v>1</v>
      </c>
      <c r="O1196" s="9" t="inlineStr">
        <is>
          <t>周期触发</t>
        </is>
      </c>
      <c r="P1196" s="9" t="inlineStr">
        <is>
          <t>periodicPulse</t>
        </is>
      </c>
      <c r="Q1196" s="9" t="inlineStr">
        <is>
          <t>周期触发：轮转时，消耗 32 点体力与最多 96 层露水；每消耗 1 层露水，对敌方造成 2 点伤害，并使相邻道具加速 8 秒</t>
        </is>
      </c>
      <c r="R1196" s="9" t="inlineStr"/>
      <c r="S1196" s="9" t="inlineStr">
        <is>
          <t>滑石尾骨。产自妖兽「湍鳞水蛇」。</t>
        </is>
      </c>
      <c r="T1196" s="8" t="inlineStr">
        <is>
          <t>material_tuanlin_shuishe_slick_stone_tailbone_2x2</t>
        </is>
      </c>
      <c r="U1196" s="8" t="inlineStr">
        <is>
          <t>allowed</t>
        </is>
      </c>
    </row>
    <row r="1197" ht="34" customHeight="1">
      <c r="A1197" s="8" t="n">
        <v>1196</v>
      </c>
      <c r="B1197" s="8" t="n">
        <v>500253</v>
      </c>
      <c r="C1197" s="8" t="inlineStr">
        <is>
          <t>沉壳蚌片</t>
        </is>
      </c>
      <c r="D1197" s="8" t="inlineStr">
        <is>
          <t>材料</t>
        </is>
      </c>
      <c r="E1197" s="8" t="inlineStr">
        <is>
          <t>material</t>
        </is>
      </c>
      <c r="F1197" s="8" t="inlineStr">
        <is>
          <t>common</t>
        </is>
      </c>
      <c r="G1197" s="8" t="inlineStr">
        <is>
          <t>水</t>
        </is>
      </c>
      <c r="H1197" s="8" t="inlineStr">
        <is>
          <t>water</t>
        </is>
      </c>
      <c r="I1197" s="8" t="inlineStr">
        <is>
          <t>2×2</t>
        </is>
      </c>
      <c r="J1197" s="8" t="n">
        <v>4</v>
      </c>
      <c r="K1197" s="8" t="n">
        <v>14</v>
      </c>
      <c r="L1197" s="8" t="inlineStr">
        <is>
          <t>是</t>
        </is>
      </c>
      <c r="M1197" s="9" t="inlineStr">
        <is>
          <t>beastDrop</t>
        </is>
      </c>
      <c r="N1197" s="8" t="n">
        <v>1</v>
      </c>
      <c r="O1197" s="9" t="inlineStr">
        <is>
          <t>周期触发</t>
        </is>
      </c>
      <c r="P1197" s="9" t="inlineStr">
        <is>
          <t>periodicPulse</t>
        </is>
      </c>
      <c r="Q1197" s="9" t="inlineStr">
        <is>
          <t>周期触发：轮转时，获得 1 层露水</t>
        </is>
      </c>
      <c r="R1197" s="9" t="inlineStr"/>
      <c r="S1197" s="9" t="inlineStr">
        <is>
          <t>沉壳蚌片。产自妖兽「沉壳溪蚌」。</t>
        </is>
      </c>
      <c r="T1197" s="8" t="inlineStr">
        <is>
          <t>material_chenke_xibang_heavy_shell_chip_2x2</t>
        </is>
      </c>
      <c r="U1197" s="8" t="inlineStr">
        <is>
          <t>allowed</t>
        </is>
      </c>
    </row>
    <row r="1198" ht="34" customHeight="1">
      <c r="A1198" s="8" t="n">
        <v>1197</v>
      </c>
      <c r="B1198" s="8" t="n">
        <v>500254</v>
      </c>
      <c r="C1198" s="8" t="inlineStr">
        <is>
          <t>溪泥珠膜</t>
        </is>
      </c>
      <c r="D1198" s="8" t="inlineStr">
        <is>
          <t>材料</t>
        </is>
      </c>
      <c r="E1198" s="8" t="inlineStr">
        <is>
          <t>material</t>
        </is>
      </c>
      <c r="F1198" s="8" t="inlineStr">
        <is>
          <t>common</t>
        </is>
      </c>
      <c r="G1198" s="8" t="inlineStr">
        <is>
          <t>水</t>
        </is>
      </c>
      <c r="H1198" s="8" t="inlineStr">
        <is>
          <t>water</t>
        </is>
      </c>
      <c r="I1198" s="8" t="inlineStr">
        <is>
          <t>2×2</t>
        </is>
      </c>
      <c r="J1198" s="8" t="n">
        <v>4</v>
      </c>
      <c r="K1198" s="8" t="n">
        <v>6</v>
      </c>
      <c r="L1198" s="8" t="inlineStr">
        <is>
          <t>否</t>
        </is>
      </c>
      <c r="M1198" s="9" t="inlineStr"/>
      <c r="N1198" s="8" t="n">
        <v>1</v>
      </c>
      <c r="O1198" s="9" t="inlineStr">
        <is>
          <t>周期触发</t>
        </is>
      </c>
      <c r="P1198" s="9" t="inlineStr">
        <is>
          <t>periodicPulse</t>
        </is>
      </c>
      <c r="Q1198" s="9" t="inlineStr">
        <is>
          <t>周期触发：轮转时，消耗 1 点法力，对敌方造成 7 点伤害</t>
        </is>
      </c>
      <c r="R1198" s="9" t="inlineStr"/>
      <c r="S1198" s="9" t="inlineStr">
        <is>
          <t>溪泥珠膜。产自妖兽「沉壳溪蚌」。</t>
        </is>
      </c>
      <c r="T1198" s="8" t="inlineStr">
        <is>
          <t>material_chenke_xibang_muddy_pearl_membrane_2x2</t>
        </is>
      </c>
      <c r="U1198" s="8" t="inlineStr">
        <is>
          <t>allowed</t>
        </is>
      </c>
    </row>
    <row r="1199" ht="34" customHeight="1">
      <c r="A1199" s="8" t="n">
        <v>1198</v>
      </c>
      <c r="B1199" s="8" t="n">
        <v>500255</v>
      </c>
      <c r="C1199" s="8" t="inlineStr">
        <is>
          <t>水苔壳脊</t>
        </is>
      </c>
      <c r="D1199" s="8" t="inlineStr">
        <is>
          <t>材料</t>
        </is>
      </c>
      <c r="E1199" s="8" t="inlineStr">
        <is>
          <t>material</t>
        </is>
      </c>
      <c r="F1199" s="8" t="inlineStr">
        <is>
          <t>common</t>
        </is>
      </c>
      <c r="G1199" s="8" t="inlineStr">
        <is>
          <t>木</t>
        </is>
      </c>
      <c r="H1199" s="8" t="inlineStr">
        <is>
          <t>wood</t>
        </is>
      </c>
      <c r="I1199" s="8" t="inlineStr">
        <is>
          <t>2×2</t>
        </is>
      </c>
      <c r="J1199" s="8" t="n">
        <v>4</v>
      </c>
      <c r="K1199" s="8" t="n">
        <v>9</v>
      </c>
      <c r="L1199" s="8" t="inlineStr">
        <is>
          <t>否</t>
        </is>
      </c>
      <c r="M1199" s="9" t="inlineStr"/>
      <c r="N1199" s="8" t="n">
        <v>1</v>
      </c>
      <c r="O1199" s="9" t="inlineStr">
        <is>
          <t>周期触发</t>
        </is>
      </c>
      <c r="P1199" s="9" t="inlineStr">
        <is>
          <t>periodicPulse</t>
        </is>
      </c>
      <c r="Q1199" s="9" t="inlineStr">
        <is>
          <t>周期触发：轮转时，将 1 层露水转化为 2 点气血；将 1 层露水转化为 2 点气血</t>
        </is>
      </c>
      <c r="R1199" s="9" t="inlineStr"/>
      <c r="S1199" s="9" t="inlineStr">
        <is>
          <t>水苔壳脊。产自妖兽「沉壳溪蚌」。</t>
        </is>
      </c>
      <c r="T1199" s="8" t="inlineStr">
        <is>
          <t>material_chenke_xibang_moss_shell_ridge_2x2</t>
        </is>
      </c>
      <c r="U1199" s="8" t="inlineStr">
        <is>
          <t>allowed</t>
        </is>
      </c>
    </row>
    <row r="1200" ht="34" customHeight="1">
      <c r="A1200" s="8" t="n">
        <v>1199</v>
      </c>
      <c r="B1200" s="8" t="n">
        <v>500256</v>
      </c>
      <c r="C1200" s="8" t="inlineStr">
        <is>
          <t>闭壳软筋</t>
        </is>
      </c>
      <c r="D1200" s="8" t="inlineStr">
        <is>
          <t>材料</t>
        </is>
      </c>
      <c r="E1200" s="8" t="inlineStr">
        <is>
          <t>material</t>
        </is>
      </c>
      <c r="F1200" s="8" t="inlineStr">
        <is>
          <t>common</t>
        </is>
      </c>
      <c r="G1200" s="8" t="inlineStr">
        <is>
          <t>水</t>
        </is>
      </c>
      <c r="H1200" s="8" t="inlineStr">
        <is>
          <t>water</t>
        </is>
      </c>
      <c r="I1200" s="8" t="inlineStr">
        <is>
          <t>2×2</t>
        </is>
      </c>
      <c r="J1200" s="8" t="n">
        <v>4</v>
      </c>
      <c r="K1200" s="8" t="n">
        <v>14</v>
      </c>
      <c r="L1200" s="8" t="inlineStr">
        <is>
          <t>否</t>
        </is>
      </c>
      <c r="M1200" s="9" t="inlineStr"/>
      <c r="N1200" s="8" t="n">
        <v>1</v>
      </c>
      <c r="O1200" s="9" t="inlineStr">
        <is>
          <t>消耗品效果</t>
        </is>
      </c>
      <c r="P1200" s="9" t="inlineStr">
        <is>
          <t>consumable</t>
        </is>
      </c>
      <c r="Q1200" s="9" t="inlineStr">
        <is>
          <t>消耗品效果：耗尽：每有 1 层露水，对敌方造成 1 点伤害</t>
        </is>
      </c>
      <c r="R1200" s="9" t="inlineStr"/>
      <c r="S1200" s="9" t="inlineStr">
        <is>
          <t>闭壳软筋。产自妖兽「沉壳溪蚌」。</t>
        </is>
      </c>
      <c r="T1200" s="8" t="inlineStr">
        <is>
          <t>material_chenke_xibang_closing_soft_tendon_2x2</t>
        </is>
      </c>
      <c r="U1200" s="8" t="inlineStr">
        <is>
          <t>allowed</t>
        </is>
      </c>
    </row>
    <row r="1201" ht="34" customHeight="1">
      <c r="A1201" s="8" t="n">
        <v>1200</v>
      </c>
      <c r="B1201" s="8" t="n">
        <v>500257</v>
      </c>
      <c r="C1201" s="8" t="inlineStr">
        <is>
          <t>墨涧碎牙</t>
        </is>
      </c>
      <c r="D1201" s="8" t="inlineStr">
        <is>
          <t>材料</t>
        </is>
      </c>
      <c r="E1201" s="8" t="inlineStr">
        <is>
          <t>material</t>
        </is>
      </c>
      <c r="F1201" s="8" t="inlineStr">
        <is>
          <t>common</t>
        </is>
      </c>
      <c r="G1201" s="8" t="inlineStr">
        <is>
          <t>水</t>
        </is>
      </c>
      <c r="H1201" s="8" t="inlineStr">
        <is>
          <t>water</t>
        </is>
      </c>
      <c r="I1201" s="8" t="inlineStr">
        <is>
          <t>1×3</t>
        </is>
      </c>
      <c r="J1201" s="8" t="n">
        <v>3</v>
      </c>
      <c r="K1201" s="8" t="n">
        <v>2</v>
      </c>
      <c r="L1201" s="8" t="inlineStr">
        <is>
          <t>否</t>
        </is>
      </c>
      <c r="M1201" s="9" t="inlineStr"/>
      <c r="N1201" s="8" t="n">
        <v>1</v>
      </c>
      <c r="O1201" s="9" t="inlineStr">
        <is>
          <t>周期触发</t>
        </is>
      </c>
      <c r="P1201" s="9" t="inlineStr">
        <is>
          <t>periodicPulse</t>
        </is>
      </c>
      <c r="Q1201" s="9" t="inlineStr">
        <is>
          <t>周期触发：轮转时，对敌方造成 1 点伤害 5 次</t>
        </is>
      </c>
      <c r="R1201" s="9" t="inlineStr"/>
      <c r="S1201" s="9" t="inlineStr">
        <is>
          <t>一枚黑亮碎牙，齿根残留湿涧水光。产自妖兽「墨涧水獭」。</t>
        </is>
      </c>
      <c r="T1201" s="8" t="inlineStr">
        <is>
          <t>material_mojian_shuita_ink_shard_fang_1x3</t>
        </is>
      </c>
      <c r="U1201" s="8" t="inlineStr">
        <is>
          <t>allowed</t>
        </is>
      </c>
    </row>
    <row r="1202" ht="34" customHeight="1">
      <c r="A1202" s="8" t="n">
        <v>1201</v>
      </c>
      <c r="B1202" s="8" t="n">
        <v>500258</v>
      </c>
      <c r="C1202" s="8" t="inlineStr">
        <is>
          <t>回渊吸须</t>
        </is>
      </c>
      <c r="D1202" s="8" t="inlineStr">
        <is>
          <t>材料</t>
        </is>
      </c>
      <c r="E1202" s="8" t="inlineStr">
        <is>
          <t>material</t>
        </is>
      </c>
      <c r="F1202" s="8" t="inlineStr">
        <is>
          <t>common</t>
        </is>
      </c>
      <c r="G1202" s="8" t="inlineStr">
        <is>
          <t>水</t>
        </is>
      </c>
      <c r="H1202" s="8" t="inlineStr">
        <is>
          <t>water</t>
        </is>
      </c>
      <c r="I1202" s="8" t="inlineStr">
        <is>
          <t>2×1</t>
        </is>
      </c>
      <c r="J1202" s="8" t="n">
        <v>2</v>
      </c>
      <c r="K1202" s="8" t="n">
        <v>2</v>
      </c>
      <c r="L1202" s="8" t="inlineStr">
        <is>
          <t>否</t>
        </is>
      </c>
      <c r="M1202" s="9" t="inlineStr"/>
      <c r="N1202" s="8" t="n">
        <v>1</v>
      </c>
      <c r="O1202" s="9" t="inlineStr">
        <is>
          <t>周期触发</t>
        </is>
      </c>
      <c r="P1202" s="9" t="inlineStr">
        <is>
          <t>periodicPulse</t>
        </is>
      </c>
      <c r="Q1202" s="9" t="inlineStr">
        <is>
          <t>周期触发：轮转时，吸取敌人 3 点气血</t>
        </is>
      </c>
      <c r="R1202" s="9" t="inlineStr"/>
      <c r="S1202" s="9" t="inlineStr">
        <is>
          <t>一束柔韧长须，须尖像被墨水浸过。产自妖兽「墨涧水獭」。</t>
        </is>
      </c>
      <c r="T1202" s="8" t="inlineStr">
        <is>
          <t>material_mojian_shuita_returning_abyss_whisker_2x1</t>
        </is>
      </c>
      <c r="U1202" s="8" t="inlineStr">
        <is>
          <t>allowed</t>
        </is>
      </c>
    </row>
    <row r="1203" ht="34" customHeight="1">
      <c r="A1203" s="8" t="n">
        <v>1202</v>
      </c>
      <c r="B1203" s="8" t="n">
        <v>500259</v>
      </c>
      <c r="C1203" s="8" t="inlineStr">
        <is>
          <t>焰狐丹尾</t>
        </is>
      </c>
      <c r="D1203" s="8" t="inlineStr">
        <is>
          <t>材料</t>
        </is>
      </c>
      <c r="E1203" s="8" t="inlineStr">
        <is>
          <t>material</t>
        </is>
      </c>
      <c r="F1203" s="8" t="inlineStr">
        <is>
          <t>common</t>
        </is>
      </c>
      <c r="G1203" s="8" t="inlineStr">
        <is>
          <t>火</t>
        </is>
      </c>
      <c r="H1203" s="8" t="inlineStr">
        <is>
          <t>fire</t>
        </is>
      </c>
      <c r="I1203" s="8" t="inlineStr">
        <is>
          <t>2×2</t>
        </is>
      </c>
      <c r="J1203" s="8" t="n">
        <v>4</v>
      </c>
      <c r="K1203" s="8" t="n">
        <v>3</v>
      </c>
      <c r="L1203" s="8" t="inlineStr">
        <is>
          <t>否</t>
        </is>
      </c>
      <c r="M1203" s="9" t="inlineStr"/>
      <c r="N1203" s="8" t="n">
        <v>1</v>
      </c>
      <c r="O1203" s="9" t="inlineStr">
        <is>
          <t>周期触发</t>
        </is>
      </c>
      <c r="P1203" s="9" t="inlineStr">
        <is>
          <t>periodicPulse</t>
        </is>
      </c>
      <c r="Q1203" s="9" t="inlineStr">
        <is>
          <t>周期触发：轮转时，消耗 10 层炎热，对敌方造成 20 点伤害；消耗 10 层炎热，对敌方造成 20 点伤害</t>
        </is>
      </c>
      <c r="R1203" s="9" t="inlineStr"/>
      <c r="S1203" s="9" t="inlineStr">
        <is>
          <t>一截赤红狐尾，尾尖凝着丹砂般的热光。产自妖兽「绛尾焰狐」。</t>
        </is>
      </c>
      <c r="T1203" s="8" t="inlineStr">
        <is>
          <t>material_jiangwei_yanhu_cinnabar_tail_2x2</t>
        </is>
      </c>
      <c r="U1203" s="8" t="inlineStr">
        <is>
          <t>allowed</t>
        </is>
      </c>
    </row>
    <row r="1204" ht="34" customHeight="1">
      <c r="A1204" s="8" t="n">
        <v>1203</v>
      </c>
      <c r="B1204" s="8" t="n">
        <v>500260</v>
      </c>
      <c r="C1204" s="8" t="inlineStr">
        <is>
          <t>蓄焰耳轮</t>
        </is>
      </c>
      <c r="D1204" s="8" t="inlineStr">
        <is>
          <t>材料</t>
        </is>
      </c>
      <c r="E1204" s="8" t="inlineStr">
        <is>
          <t>material</t>
        </is>
      </c>
      <c r="F1204" s="8" t="inlineStr">
        <is>
          <t>common</t>
        </is>
      </c>
      <c r="G1204" s="8" t="inlineStr">
        <is>
          <t>火</t>
        </is>
      </c>
      <c r="H1204" s="8" t="inlineStr">
        <is>
          <t>fire</t>
        </is>
      </c>
      <c r="I1204" s="8" t="inlineStr">
        <is>
          <t>1×2</t>
        </is>
      </c>
      <c r="J1204" s="8" t="n">
        <v>2</v>
      </c>
      <c r="K1204" s="8" t="n">
        <v>2</v>
      </c>
      <c r="L1204" s="8" t="inlineStr">
        <is>
          <t>否</t>
        </is>
      </c>
      <c r="M1204" s="9" t="inlineStr"/>
      <c r="N1204" s="8" t="n">
        <v>1</v>
      </c>
      <c r="O1204" s="9" t="inlineStr">
        <is>
          <t>周期触发</t>
        </is>
      </c>
      <c r="P1204" s="9" t="inlineStr">
        <is>
          <t>periodicPulse</t>
        </is>
      </c>
      <c r="Q1204" s="9" t="inlineStr">
        <is>
          <t>周期触发：轮转时，如果敌方有 10 层灼烧，自身获得 1 层炎热</t>
        </is>
      </c>
      <c r="R1204" s="9" t="inlineStr"/>
      <c r="S1204" s="9" t="inlineStr">
        <is>
          <t>一片卷曲狐耳，耳缘残留温热火纹。产自妖兽「绛尾焰狐」。</t>
        </is>
      </c>
      <c r="T1204" s="8" t="inlineStr">
        <is>
          <t>material_jiangwei_yanhu_heat_storing_ear_1x2</t>
        </is>
      </c>
      <c r="U1204" s="8" t="inlineStr">
        <is>
          <t>allowed</t>
        </is>
      </c>
    </row>
    <row r="1205" ht="34" customHeight="1">
      <c r="A1205" s="8" t="n">
        <v>1204</v>
      </c>
      <c r="B1205" s="8" t="n">
        <v>500261</v>
      </c>
      <c r="C1205" s="8" t="inlineStr">
        <is>
          <t>裂岩齿</t>
        </is>
      </c>
      <c r="D1205" s="8" t="inlineStr">
        <is>
          <t>材料</t>
        </is>
      </c>
      <c r="E1205" s="8" t="inlineStr">
        <is>
          <t>material</t>
        </is>
      </c>
      <c r="F1205" s="8" t="inlineStr">
        <is>
          <t>common</t>
        </is>
      </c>
      <c r="G1205" s="8" t="inlineStr">
        <is>
          <t>土</t>
        </is>
      </c>
      <c r="H1205" s="8" t="inlineStr">
        <is>
          <t>earth</t>
        </is>
      </c>
      <c r="I1205" s="8" t="inlineStr">
        <is>
          <t>1×2</t>
        </is>
      </c>
      <c r="J1205" s="8" t="n">
        <v>2</v>
      </c>
      <c r="K1205" s="8" t="n">
        <v>1</v>
      </c>
      <c r="L1205" s="8" t="inlineStr">
        <is>
          <t>否</t>
        </is>
      </c>
      <c r="M1205" s="9" t="inlineStr"/>
      <c r="N1205" s="8" t="n">
        <v>1</v>
      </c>
      <c r="O1205" s="9" t="inlineStr">
        <is>
          <t>周期触发</t>
        </is>
      </c>
      <c r="P1205" s="9" t="inlineStr">
        <is>
          <t>periodicPulse</t>
        </is>
      </c>
      <c r="Q1205" s="9" t="inlineStr">
        <is>
          <t>周期触发：轮转时，扣除敌方 1 点法力</t>
        </is>
      </c>
      <c r="R1205" s="9" t="inlineStr"/>
      <c r="S1205" s="9" t="inlineStr">
        <is>
          <t>短钝岩齿嵌着灰白石纹，齿面有细裂。产自妖兽「铁脊岩蜥」。</t>
        </is>
      </c>
      <c r="T1205" s="8" t="inlineStr">
        <is>
          <t>material_tieji_yanxi_cracked_rock_tooth_1x2</t>
        </is>
      </c>
      <c r="U1205" s="8" t="inlineStr">
        <is>
          <t>allowed</t>
        </is>
      </c>
    </row>
    <row r="1206" ht="34" customHeight="1">
      <c r="A1206" s="8" t="n">
        <v>1205</v>
      </c>
      <c r="B1206" s="8" t="n">
        <v>500262</v>
      </c>
      <c r="C1206" s="8" t="inlineStr">
        <is>
          <t>铁脊厚鳞</t>
        </is>
      </c>
      <c r="D1206" s="8" t="inlineStr">
        <is>
          <t>材料</t>
        </is>
      </c>
      <c r="E1206" s="8" t="inlineStr">
        <is>
          <t>material</t>
        </is>
      </c>
      <c r="F1206" s="8" t="inlineStr">
        <is>
          <t>common</t>
        </is>
      </c>
      <c r="G1206" s="8" t="inlineStr">
        <is>
          <t>土</t>
        </is>
      </c>
      <c r="H1206" s="8" t="inlineStr">
        <is>
          <t>earth</t>
        </is>
      </c>
      <c r="I1206" s="8" t="inlineStr">
        <is>
          <t>1×2</t>
        </is>
      </c>
      <c r="J1206" s="8" t="n">
        <v>2</v>
      </c>
      <c r="K1206" s="8" t="n">
        <v>2</v>
      </c>
      <c r="L1206" s="8" t="inlineStr">
        <is>
          <t>否</t>
        </is>
      </c>
      <c r="M1206" s="9" t="inlineStr"/>
      <c r="N1206" s="8" t="n">
        <v>1</v>
      </c>
      <c r="O1206" s="9" t="inlineStr">
        <is>
          <t>周期触发</t>
        </is>
      </c>
      <c r="P1206" s="9" t="inlineStr">
        <is>
          <t>periodicPulse</t>
        </is>
      </c>
      <c r="Q1206" s="9" t="inlineStr">
        <is>
          <t>周期触发：轮转时，获得 8 层坚硬</t>
        </is>
      </c>
      <c r="R1206" s="9" t="inlineStr"/>
      <c r="S1206" s="9" t="inlineStr">
        <is>
          <t>一片厚重背鳞，边缘像铁片叠成。产自妖兽「铁脊岩蜥」。</t>
        </is>
      </c>
      <c r="T1206" s="8" t="inlineStr">
        <is>
          <t>material_tieji_yanxi_iron_spine_scale_1x2</t>
        </is>
      </c>
      <c r="U1206" s="8" t="inlineStr">
        <is>
          <t>allowed</t>
        </is>
      </c>
    </row>
    <row r="1207" ht="34" customHeight="1">
      <c r="A1207" s="8" t="n">
        <v>1206</v>
      </c>
      <c r="B1207" s="8" t="n">
        <v>500263</v>
      </c>
      <c r="C1207" s="8" t="inlineStr">
        <is>
          <t>灵猕轻腕</t>
        </is>
      </c>
      <c r="D1207" s="8" t="inlineStr">
        <is>
          <t>材料</t>
        </is>
      </c>
      <c r="E1207" s="8" t="inlineStr">
        <is>
          <t>material</t>
        </is>
      </c>
      <c r="F1207" s="8" t="inlineStr">
        <is>
          <t>common</t>
        </is>
      </c>
      <c r="G1207" s="8" t="inlineStr">
        <is>
          <t>木</t>
        </is>
      </c>
      <c r="H1207" s="8" t="inlineStr">
        <is>
          <t>wood</t>
        </is>
      </c>
      <c r="I1207" s="8" t="inlineStr">
        <is>
          <t>1×2</t>
        </is>
      </c>
      <c r="J1207" s="8" t="n">
        <v>2</v>
      </c>
      <c r="K1207" s="8" t="n">
        <v>2</v>
      </c>
      <c r="L1207" s="8" t="inlineStr">
        <is>
          <t>否</t>
        </is>
      </c>
      <c r="M1207" s="9" t="inlineStr"/>
      <c r="N1207" s="8" t="n">
        <v>1</v>
      </c>
      <c r="O1207" s="9" t="inlineStr">
        <is>
          <t>周期触发</t>
        </is>
      </c>
      <c r="P1207" s="9" t="inlineStr">
        <is>
          <t>periodicPulse</t>
        </is>
      </c>
      <c r="Q1207" s="9" t="inlineStr">
        <is>
          <t>周期触发：开局时，获得 10 层闪避</t>
        </is>
      </c>
      <c r="R1207" s="9" t="inlineStr"/>
      <c r="S1207" s="9" t="inlineStr">
        <is>
          <t>一截轻巧腕骨，骨面缠着淡绿藤纹。产自妖兽「青枝灵猕」。</t>
        </is>
      </c>
      <c r="T1207" s="8" t="inlineStr">
        <is>
          <t>material_qingzhi_lingmi_light_wrist_1x2</t>
        </is>
      </c>
      <c r="U1207" s="8" t="inlineStr">
        <is>
          <t>allowed</t>
        </is>
      </c>
    </row>
    <row r="1208" ht="34" customHeight="1">
      <c r="A1208" s="8" t="n">
        <v>1207</v>
      </c>
      <c r="B1208" s="8" t="n">
        <v>500264</v>
      </c>
      <c r="C1208" s="8" t="inlineStr">
        <is>
          <t>青叶跳筋</t>
        </is>
      </c>
      <c r="D1208" s="8" t="inlineStr">
        <is>
          <t>材料</t>
        </is>
      </c>
      <c r="E1208" s="8" t="inlineStr">
        <is>
          <t>material</t>
        </is>
      </c>
      <c r="F1208" s="8" t="inlineStr">
        <is>
          <t>common</t>
        </is>
      </c>
      <c r="G1208" s="8" t="inlineStr">
        <is>
          <t>木</t>
        </is>
      </c>
      <c r="H1208" s="8" t="inlineStr">
        <is>
          <t>wood</t>
        </is>
      </c>
      <c r="I1208" s="8" t="inlineStr">
        <is>
          <t>1×2</t>
        </is>
      </c>
      <c r="J1208" s="8" t="n">
        <v>2</v>
      </c>
      <c r="K1208" s="8" t="n">
        <v>1</v>
      </c>
      <c r="L1208" s="8" t="inlineStr">
        <is>
          <t>否</t>
        </is>
      </c>
      <c r="M1208" s="9" t="inlineStr"/>
      <c r="N1208" s="8" t="n">
        <v>1</v>
      </c>
      <c r="O1208" s="9" t="inlineStr">
        <is>
          <t>周期触发</t>
        </is>
      </c>
      <c r="P1208" s="9" t="inlineStr">
        <is>
          <t>periodicPulse</t>
        </is>
      </c>
      <c r="Q1208" s="9" t="inlineStr">
        <is>
          <t>周期触发：轮转时，获得 1 层闪避</t>
        </is>
      </c>
      <c r="R1208" s="9" t="inlineStr"/>
      <c r="S1208" s="9" t="inlineStr">
        <is>
          <t>细长青筋弹性极好，像带着跃枝余劲。产自妖兽「青枝灵猕」。</t>
        </is>
      </c>
      <c r="T1208" s="8" t="inlineStr">
        <is>
          <t>material_qingzhi_lingmi_green_leaf_tendon_1x2</t>
        </is>
      </c>
      <c r="U1208" s="8" t="inlineStr">
        <is>
          <t>allowed</t>
        </is>
      </c>
    </row>
    <row r="1209" ht="34" customHeight="1">
      <c r="A1209" s="8" t="n">
        <v>1208</v>
      </c>
      <c r="B1209" s="8" t="n">
        <v>500265</v>
      </c>
      <c r="C1209" s="8" t="inlineStr">
        <is>
          <t>白眉灵须</t>
        </is>
      </c>
      <c r="D1209" s="8" t="inlineStr">
        <is>
          <t>材料</t>
        </is>
      </c>
      <c r="E1209" s="8" t="inlineStr">
        <is>
          <t>material</t>
        </is>
      </c>
      <c r="F1209" s="8" t="inlineStr">
        <is>
          <t>common</t>
        </is>
      </c>
      <c r="G1209" s="8" t="inlineStr">
        <is>
          <t>无</t>
        </is>
      </c>
      <c r="H1209" s="8" t="inlineStr">
        <is>
          <t>none</t>
        </is>
      </c>
      <c r="I1209" s="8" t="inlineStr">
        <is>
          <t>1×2</t>
        </is>
      </c>
      <c r="J1209" s="8" t="n">
        <v>2</v>
      </c>
      <c r="K1209" s="8" t="n">
        <v>1</v>
      </c>
      <c r="L1209" s="8" t="inlineStr">
        <is>
          <t>否</t>
        </is>
      </c>
      <c r="M1209" s="9" t="inlineStr"/>
      <c r="N1209" s="8" t="n">
        <v>1</v>
      </c>
      <c r="O1209" s="9" t="inlineStr">
        <is>
          <t>周期触发</t>
        </is>
      </c>
      <c r="P1209" s="9" t="inlineStr">
        <is>
          <t>periodicPulse</t>
        </is>
      </c>
      <c r="Q1209" s="9" t="inlineStr">
        <is>
          <t>周期触发：轮转时，获得 1 层闪避</t>
        </is>
      </c>
      <c r="R1209" s="9" t="inlineStr"/>
      <c r="S1209" s="9" t="inlineStr">
        <is>
          <t>一缕雪白鼠须，须根泛着微弱灵光。产自妖兽「白眉识鼠」。</t>
        </is>
      </c>
      <c r="T1209" s="8" t="inlineStr">
        <is>
          <t>material_baimei_shishu_spirit_whisker_1x2</t>
        </is>
      </c>
      <c r="U1209" s="8" t="inlineStr">
        <is>
          <t>allowed</t>
        </is>
      </c>
    </row>
    <row r="1210" ht="34" customHeight="1">
      <c r="A1210" s="8" t="n">
        <v>1209</v>
      </c>
      <c r="B1210" s="8" t="n">
        <v>500266</v>
      </c>
      <c r="C1210" s="8" t="inlineStr">
        <is>
          <t>识鼠硬齿</t>
        </is>
      </c>
      <c r="D1210" s="8" t="inlineStr">
        <is>
          <t>材料</t>
        </is>
      </c>
      <c r="E1210" s="8" t="inlineStr">
        <is>
          <t>material</t>
        </is>
      </c>
      <c r="F1210" s="8" t="inlineStr">
        <is>
          <t>common</t>
        </is>
      </c>
      <c r="G1210" s="8" t="inlineStr">
        <is>
          <t>无</t>
        </is>
      </c>
      <c r="H1210" s="8" t="inlineStr">
        <is>
          <t>none</t>
        </is>
      </c>
      <c r="I1210" s="8" t="inlineStr">
        <is>
          <t>1×2</t>
        </is>
      </c>
      <c r="J1210" s="8" t="n">
        <v>2</v>
      </c>
      <c r="K1210" s="8" t="n">
        <v>2</v>
      </c>
      <c r="L1210" s="8" t="inlineStr">
        <is>
          <t>否</t>
        </is>
      </c>
      <c r="M1210" s="9" t="inlineStr"/>
      <c r="N1210" s="8" t="n">
        <v>1</v>
      </c>
      <c r="O1210" s="9" t="inlineStr">
        <is>
          <t>周期触发</t>
        </is>
      </c>
      <c r="P1210" s="9" t="inlineStr">
        <is>
          <t>periodicPulse</t>
        </is>
      </c>
      <c r="Q1210" s="9" t="inlineStr">
        <is>
          <t>周期触发：轮转时，将 5 层闪避转化为 5 层坚硬；将 5 层闪避转化为 5 层坚硬</t>
        </is>
      </c>
      <c r="R1210" s="9" t="inlineStr"/>
      <c r="S1210" s="9" t="inlineStr">
        <is>
          <t>小而坚硬的鼠齿，齿尖磨得发亮。产自妖兽「白眉识鼠」。</t>
        </is>
      </c>
      <c r="T1210" s="8" t="inlineStr">
        <is>
          <t>material_baimei_shishu_hard_tooth_1x2</t>
        </is>
      </c>
      <c r="U1210" s="8" t="inlineStr">
        <is>
          <t>allowed</t>
        </is>
      </c>
    </row>
    <row r="1211" ht="34" customHeight="1">
      <c r="A1211" s="8" t="n">
        <v>1210</v>
      </c>
      <c r="B1211" s="8" t="n">
        <v>500267</v>
      </c>
      <c r="C1211" s="8" t="inlineStr">
        <is>
          <t>回湾蛇胆</t>
        </is>
      </c>
      <c r="D1211" s="8" t="inlineStr">
        <is>
          <t>材料</t>
        </is>
      </c>
      <c r="E1211" s="8" t="inlineStr">
        <is>
          <t>material</t>
        </is>
      </c>
      <c r="F1211" s="8" t="inlineStr">
        <is>
          <t>spirit</t>
        </is>
      </c>
      <c r="G1211" s="8" t="inlineStr">
        <is>
          <t>水</t>
        </is>
      </c>
      <c r="H1211" s="8" t="inlineStr">
        <is>
          <t>water</t>
        </is>
      </c>
      <c r="I1211" s="8" t="inlineStr">
        <is>
          <t>2×4</t>
        </is>
      </c>
      <c r="J1211" s="8" t="n">
        <v>8</v>
      </c>
      <c r="K1211" s="8" t="n">
        <v>90</v>
      </c>
      <c r="L1211" s="8" t="inlineStr">
        <is>
          <t>否</t>
        </is>
      </c>
      <c r="M1211" s="9" t="inlineStr"/>
      <c r="N1211" s="8" t="n">
        <v>1</v>
      </c>
      <c r="O1211" s="9" t="inlineStr">
        <is>
          <t>周期触发</t>
        </is>
      </c>
      <c r="P1211" s="9" t="inlineStr">
        <is>
          <t>periodicPulse</t>
        </is>
      </c>
      <c r="Q1211" s="9" t="inlineStr">
        <is>
          <t>周期触发：轮转时，消耗 60 点气血，恢复自身 110 点法力，并随机冻结敌方 3 个道具 2.4 秒</t>
        </is>
      </c>
      <c r="R1211" s="9" t="inlineStr"/>
      <c r="S1211" s="9" t="inlineStr">
        <is>
          <t>一枚浸着清凉水息的青黑蛇胆，产自妖兽「湍鳞水蛇」。</t>
        </is>
      </c>
      <c r="T1211" s="8" t="inlineStr">
        <is>
          <t>material_tuanlin_shuishe_backwater_gall_2x4</t>
        </is>
      </c>
      <c r="U1211" s="8" t="inlineStr">
        <is>
          <t>allowed</t>
        </is>
      </c>
    </row>
    <row r="1212" ht="34" customHeight="1">
      <c r="A1212" s="8" t="n">
        <v>1211</v>
      </c>
      <c r="B1212" s="8" t="n">
        <v>500268</v>
      </c>
      <c r="C1212" s="8" t="inlineStr">
        <is>
          <t>逐浪腹鳞</t>
        </is>
      </c>
      <c r="D1212" s="8" t="inlineStr">
        <is>
          <t>材料</t>
        </is>
      </c>
      <c r="E1212" s="8" t="inlineStr">
        <is>
          <t>material</t>
        </is>
      </c>
      <c r="F1212" s="8" t="inlineStr">
        <is>
          <t>spirit</t>
        </is>
      </c>
      <c r="G1212" s="8" t="inlineStr">
        <is>
          <t>水</t>
        </is>
      </c>
      <c r="H1212" s="8" t="inlineStr">
        <is>
          <t>water</t>
        </is>
      </c>
      <c r="I1212" s="8" t="inlineStr">
        <is>
          <t>1×2</t>
        </is>
      </c>
      <c r="J1212" s="8" t="n">
        <v>2</v>
      </c>
      <c r="K1212" s="8" t="n">
        <v>90</v>
      </c>
      <c r="L1212" s="8" t="inlineStr">
        <is>
          <t>否</t>
        </is>
      </c>
      <c r="M1212" s="9" t="inlineStr"/>
      <c r="N1212" s="8" t="n">
        <v>1</v>
      </c>
      <c r="O1212" s="9" t="inlineStr">
        <is>
          <t>周期触发</t>
        </is>
      </c>
      <c r="P1212" s="9" t="inlineStr">
        <is>
          <t>periodicPulse</t>
        </is>
      </c>
      <c r="Q1212" s="9" t="inlineStr">
        <is>
          <t>周期触发：轮转时，消耗 24 点体力，对敌方造成 50 点伤害，获得 12 层闪避，使相邻道具现有的冻结和减速各缩短 1.5 秒并加速 5 秒，每次轮转后伤害效果升级；伤害</t>
        </is>
      </c>
      <c r="R1212" s="9" t="inlineStr"/>
      <c r="S1212" s="9" t="inlineStr">
        <is>
          <t>一片带着急流细纹的蓝青腹鳞，产自妖兽「湍鳞水蛇」。</t>
        </is>
      </c>
      <c r="T1212" s="8" t="inlineStr">
        <is>
          <t>material_tuanlin_shuishe_wave_belly_scale_1x2</t>
        </is>
      </c>
      <c r="U1212" s="8" t="inlineStr">
        <is>
          <t>allowed</t>
        </is>
      </c>
    </row>
    <row r="1213" ht="34" customHeight="1">
      <c r="A1213" s="8" t="n">
        <v>1212</v>
      </c>
      <c r="B1213" s="8" t="n">
        <v>500320</v>
      </c>
      <c r="C1213" s="8" t="inlineStr">
        <is>
          <t>萤纹背羽</t>
        </is>
      </c>
      <c r="D1213" s="8" t="inlineStr">
        <is>
          <t>材料</t>
        </is>
      </c>
      <c r="E1213" s="8" t="inlineStr">
        <is>
          <t>material</t>
        </is>
      </c>
      <c r="F1213" s="8" t="inlineStr">
        <is>
          <t>common</t>
        </is>
      </c>
      <c r="G1213" s="8" t="inlineStr">
        <is>
          <t>水</t>
        </is>
      </c>
      <c r="H1213" s="8" t="inlineStr">
        <is>
          <t>water</t>
        </is>
      </c>
      <c r="I1213" s="8" t="inlineStr">
        <is>
          <t>2×2</t>
        </is>
      </c>
      <c r="J1213" s="8" t="n">
        <v>4</v>
      </c>
      <c r="K1213" s="8" t="n">
        <v>4</v>
      </c>
      <c r="L1213" s="8" t="inlineStr">
        <is>
          <t>是</t>
        </is>
      </c>
      <c r="M1213" s="9" t="inlineStr">
        <is>
          <t>beastDrop</t>
        </is>
      </c>
      <c r="N1213" s="8" t="n">
        <v>1</v>
      </c>
      <c r="O1213" s="9" t="inlineStr">
        <is>
          <t>周期触发</t>
        </is>
      </c>
      <c r="P1213" s="9" t="inlineStr">
        <is>
          <t>periodicPulse</t>
        </is>
      </c>
      <c r="Q1213" s="9" t="inlineStr">
        <is>
          <t>周期触发：轮转时，每有 1 层露水，恢复 1 点气血</t>
        </is>
      </c>
      <c r="R1213" s="9" t="inlineStr"/>
      <c r="S1213" s="9" t="inlineStr">
        <is>
          <t>一片覆着青萤纹路的背羽，羽面柔韧如薄皮。产自妖兽「萤羽岩雀」。</t>
        </is>
      </c>
      <c r="T1213" s="8" t="inlineStr">
        <is>
          <t>material_yingyu_yanque_glow_back_feather_2x2</t>
        </is>
      </c>
      <c r="U1213" s="8" t="inlineStr">
        <is>
          <t>allowed</t>
        </is>
      </c>
    </row>
    <row r="1214" ht="34" customHeight="1">
      <c r="A1214" s="8" t="n">
        <v>1213</v>
      </c>
      <c r="B1214" s="8" t="n">
        <v>500321</v>
      </c>
      <c r="C1214" s="8" t="inlineStr">
        <is>
          <t>岩雀暖爪</t>
        </is>
      </c>
      <c r="D1214" s="8" t="inlineStr">
        <is>
          <t>材料</t>
        </is>
      </c>
      <c r="E1214" s="8" t="inlineStr">
        <is>
          <t>material</t>
        </is>
      </c>
      <c r="F1214" s="8" t="inlineStr">
        <is>
          <t>common</t>
        </is>
      </c>
      <c r="G1214" s="8" t="inlineStr">
        <is>
          <t>水</t>
        </is>
      </c>
      <c r="H1214" s="8" t="inlineStr">
        <is>
          <t>water</t>
        </is>
      </c>
      <c r="I1214" s="8" t="inlineStr">
        <is>
          <t>2×2</t>
        </is>
      </c>
      <c r="J1214" s="8" t="n">
        <v>4</v>
      </c>
      <c r="K1214" s="8" t="n">
        <v>2</v>
      </c>
      <c r="L1214" s="8" t="inlineStr">
        <is>
          <t>否</t>
        </is>
      </c>
      <c r="M1214" s="9" t="inlineStr"/>
      <c r="N1214" s="8" t="n">
        <v>1</v>
      </c>
      <c r="O1214" s="9" t="inlineStr">
        <is>
          <t>周期触发</t>
        </is>
      </c>
      <c r="P1214" s="9" t="inlineStr">
        <is>
          <t>periodicPulse</t>
        </is>
      </c>
      <c r="Q1214" s="9" t="inlineStr">
        <is>
          <t>周期触发：轮转时，消耗 2 点体力，对敌方造成 3 点伤害</t>
        </is>
      </c>
      <c r="R1214" s="9" t="inlineStr"/>
      <c r="S1214" s="9" t="inlineStr">
        <is>
          <t>一枚带有暖石纹理的岩雀爪，爪尖仍有微弱青光。产自妖兽「萤羽岩雀」。</t>
        </is>
      </c>
      <c r="T1214" s="8" t="inlineStr">
        <is>
          <t>material_yingyu_yanque_warm_stone_claw_2x2</t>
        </is>
      </c>
      <c r="U1214" s="8" t="inlineStr">
        <is>
          <t>allowed</t>
        </is>
      </c>
    </row>
    <row r="1215" ht="34" customHeight="1">
      <c r="A1215" s="8" t="n">
        <v>1214</v>
      </c>
      <c r="B1215" s="8" t="n">
        <v>500322</v>
      </c>
      <c r="C1215" s="8" t="inlineStr">
        <is>
          <t>青萤露囊</t>
        </is>
      </c>
      <c r="D1215" s="8" t="inlineStr">
        <is>
          <t>材料</t>
        </is>
      </c>
      <c r="E1215" s="8" t="inlineStr">
        <is>
          <t>material</t>
        </is>
      </c>
      <c r="F1215" s="8" t="inlineStr">
        <is>
          <t>common</t>
        </is>
      </c>
      <c r="G1215" s="8" t="inlineStr">
        <is>
          <t>水</t>
        </is>
      </c>
      <c r="H1215" s="8" t="inlineStr">
        <is>
          <t>water</t>
        </is>
      </c>
      <c r="I1215" s="8" t="inlineStr">
        <is>
          <t>2×2</t>
        </is>
      </c>
      <c r="J1215" s="8" t="n">
        <v>4</v>
      </c>
      <c r="K1215" s="8" t="n">
        <v>2</v>
      </c>
      <c r="L1215" s="8" t="inlineStr">
        <is>
          <t>否</t>
        </is>
      </c>
      <c r="M1215" s="9" t="inlineStr"/>
      <c r="N1215" s="8" t="n">
        <v>1</v>
      </c>
      <c r="O1215" s="9" t="inlineStr">
        <is>
          <t>周期触发</t>
        </is>
      </c>
      <c r="P1215" s="9" t="inlineStr">
        <is>
          <t>periodicPulse</t>
        </is>
      </c>
      <c r="Q1215" s="9" t="inlineStr">
        <is>
          <t>周期触发：轮转时，获得 5 层露水</t>
        </is>
      </c>
      <c r="R1215" s="9" t="inlineStr"/>
      <c r="S1215" s="9" t="inlineStr">
        <is>
          <t>一只细小露囊，囊壁透出萤火般的青光。产自妖兽「萤羽岩雀」。</t>
        </is>
      </c>
      <c r="T1215" s="8" t="inlineStr">
        <is>
          <t>material_yingyu_yanque_glow_dew_sac_2x2</t>
        </is>
      </c>
      <c r="U1215" s="8" t="inlineStr">
        <is>
          <t>allowed</t>
        </is>
      </c>
    </row>
    <row r="1216" ht="34" customHeight="1">
      <c r="A1216" s="8" t="n">
        <v>1215</v>
      </c>
      <c r="B1216" s="8" t="n">
        <v>500323</v>
      </c>
      <c r="C1216" s="8" t="inlineStr">
        <is>
          <t>萤影眼睑</t>
        </is>
      </c>
      <c r="D1216" s="8" t="inlineStr">
        <is>
          <t>材料</t>
        </is>
      </c>
      <c r="E1216" s="8" t="inlineStr">
        <is>
          <t>material</t>
        </is>
      </c>
      <c r="F1216" s="8" t="inlineStr">
        <is>
          <t>common</t>
        </is>
      </c>
      <c r="G1216" s="8" t="inlineStr">
        <is>
          <t>水</t>
        </is>
      </c>
      <c r="H1216" s="8" t="inlineStr">
        <is>
          <t>water</t>
        </is>
      </c>
      <c r="I1216" s="8" t="inlineStr">
        <is>
          <t>2×2</t>
        </is>
      </c>
      <c r="J1216" s="8" t="n">
        <v>4</v>
      </c>
      <c r="K1216" s="8" t="n">
        <v>2</v>
      </c>
      <c r="L1216" s="8" t="inlineStr">
        <is>
          <t>否</t>
        </is>
      </c>
      <c r="M1216" s="9" t="inlineStr"/>
      <c r="N1216" s="8" t="n">
        <v>1</v>
      </c>
      <c r="O1216" s="9" t="inlineStr">
        <is>
          <t>周期触发</t>
        </is>
      </c>
      <c r="P1216" s="9" t="inlineStr">
        <is>
          <t>periodicPulse</t>
        </is>
      </c>
      <c r="Q1216" s="9" t="inlineStr">
        <is>
          <t>周期触发：开局时，获得 10 层闪避</t>
        </is>
      </c>
      <c r="R1216" s="9" t="inlineStr"/>
      <c r="S1216" s="9" t="inlineStr">
        <is>
          <t>一片轻薄眼睑，合拢时像萤光掠过石壁。产自妖兽「萤羽岩雀」。</t>
        </is>
      </c>
      <c r="T1216" s="8" t="inlineStr">
        <is>
          <t>material_yingyu_yanque_glow_shadow_eyelid_2x2</t>
        </is>
      </c>
      <c r="U1216" s="8" t="inlineStr">
        <is>
          <t>allowed</t>
        </is>
      </c>
    </row>
    <row r="1217" ht="34" customHeight="1">
      <c r="A1217" s="8" t="n">
        <v>1216</v>
      </c>
      <c r="B1217" s="8" t="n">
        <v>500324</v>
      </c>
      <c r="C1217" s="8" t="inlineStr">
        <is>
          <t>流光鹿尾</t>
        </is>
      </c>
      <c r="D1217" s="8" t="inlineStr">
        <is>
          <t>材料</t>
        </is>
      </c>
      <c r="E1217" s="8" t="inlineStr">
        <is>
          <t>material</t>
        </is>
      </c>
      <c r="F1217" s="8" t="inlineStr">
        <is>
          <t>common</t>
        </is>
      </c>
      <c r="G1217" s="8" t="inlineStr">
        <is>
          <t>土</t>
        </is>
      </c>
      <c r="H1217" s="8" t="inlineStr">
        <is>
          <t>earth</t>
        </is>
      </c>
      <c r="I1217" s="8" t="inlineStr">
        <is>
          <t>1×4</t>
        </is>
      </c>
      <c r="J1217" s="8" t="n">
        <v>4</v>
      </c>
      <c r="K1217" s="8" t="n">
        <v>7</v>
      </c>
      <c r="L1217" s="8" t="inlineStr">
        <is>
          <t>是</t>
        </is>
      </c>
      <c r="M1217" s="9" t="inlineStr">
        <is>
          <t>beastDrop</t>
        </is>
      </c>
      <c r="N1217" s="8" t="n">
        <v>1</v>
      </c>
      <c r="O1217" s="9" t="inlineStr">
        <is>
          <t>周期触发</t>
        </is>
      </c>
      <c r="P1217" s="9" t="inlineStr">
        <is>
          <t>periodicPulse</t>
        </is>
      </c>
      <c r="Q1217" s="9" t="inlineStr">
        <is>
          <t>周期触发：轮转时，对敌方造成 8 点伤害</t>
        </is>
      </c>
      <c r="R1217" s="9" t="inlineStr"/>
      <c r="S1217" s="9" t="inlineStr">
        <is>
          <t>一截流光鹿尾，尾端晶芒细长。产自妖兽「流光萤鹿」。</t>
        </is>
      </c>
      <c r="T1217" s="8" t="inlineStr">
        <is>
          <t>material_liuguang_yinglu_flowing_light_tail_1x4</t>
        </is>
      </c>
      <c r="U1217" s="8" t="inlineStr">
        <is>
          <t>allowed</t>
        </is>
      </c>
    </row>
    <row r="1218" ht="34" customHeight="1">
      <c r="A1218" s="8" t="n">
        <v>1217</v>
      </c>
      <c r="B1218" s="8" t="n">
        <v>500325</v>
      </c>
      <c r="C1218" s="8" t="inlineStr">
        <is>
          <t>萤纹背皮</t>
        </is>
      </c>
      <c r="D1218" s="8" t="inlineStr">
        <is>
          <t>材料</t>
        </is>
      </c>
      <c r="E1218" s="8" t="inlineStr">
        <is>
          <t>material</t>
        </is>
      </c>
      <c r="F1218" s="8" t="inlineStr">
        <is>
          <t>common</t>
        </is>
      </c>
      <c r="G1218" s="8" t="inlineStr">
        <is>
          <t>水</t>
        </is>
      </c>
      <c r="H1218" s="8" t="inlineStr">
        <is>
          <t>water</t>
        </is>
      </c>
      <c r="I1218" s="8" t="inlineStr">
        <is>
          <t>2×2</t>
        </is>
      </c>
      <c r="J1218" s="8" t="n">
        <v>4</v>
      </c>
      <c r="K1218" s="8" t="n">
        <v>3</v>
      </c>
      <c r="L1218" s="8" t="inlineStr">
        <is>
          <t>否</t>
        </is>
      </c>
      <c r="M1218" s="9" t="inlineStr"/>
      <c r="N1218" s="8" t="n">
        <v>1</v>
      </c>
      <c r="O1218" s="9" t="inlineStr">
        <is>
          <t>周期触发</t>
        </is>
      </c>
      <c r="P1218" s="9" t="inlineStr">
        <is>
          <t>periodicPulse</t>
        </is>
      </c>
      <c r="Q1218" s="9" t="inlineStr">
        <is>
          <t>周期触发：轮转时，获得 3 层坚硬和 5 层露水</t>
        </is>
      </c>
      <c r="R1218" s="9" t="inlineStr"/>
      <c r="S1218" s="9" t="inlineStr">
        <is>
          <t>一片带有萤纹的背皮，触感柔韧。产自妖兽「流光萤鹿」。</t>
        </is>
      </c>
      <c r="T1218" s="8" t="inlineStr">
        <is>
          <t>material_liuguang_yinglu_glow_back_hide_2x2</t>
        </is>
      </c>
      <c r="U1218" s="8" t="inlineStr">
        <is>
          <t>allowed</t>
        </is>
      </c>
    </row>
    <row r="1219" ht="34" customHeight="1">
      <c r="A1219" s="8" t="n">
        <v>1218</v>
      </c>
      <c r="B1219" s="8" t="n">
        <v>500326</v>
      </c>
      <c r="C1219" s="8" t="inlineStr">
        <is>
          <t>净露长舌</t>
        </is>
      </c>
      <c r="D1219" s="8" t="inlineStr">
        <is>
          <t>材料</t>
        </is>
      </c>
      <c r="E1219" s="8" t="inlineStr">
        <is>
          <t>material</t>
        </is>
      </c>
      <c r="F1219" s="8" t="inlineStr">
        <is>
          <t>common</t>
        </is>
      </c>
      <c r="G1219" s="8" t="inlineStr">
        <is>
          <t>水</t>
        </is>
      </c>
      <c r="H1219" s="8" t="inlineStr">
        <is>
          <t>water</t>
        </is>
      </c>
      <c r="I1219" s="8" t="inlineStr">
        <is>
          <t>2×2</t>
        </is>
      </c>
      <c r="J1219" s="8" t="n">
        <v>4</v>
      </c>
      <c r="K1219" s="8" t="n">
        <v>3</v>
      </c>
      <c r="L1219" s="8" t="inlineStr">
        <is>
          <t>否</t>
        </is>
      </c>
      <c r="M1219" s="9" t="inlineStr"/>
      <c r="N1219" s="8" t="n">
        <v>1</v>
      </c>
      <c r="O1219" s="9" t="inlineStr">
        <is>
          <t>周期触发</t>
        </is>
      </c>
      <c r="P1219" s="9" t="inlineStr">
        <is>
          <t>periodicPulse</t>
        </is>
      </c>
      <c r="Q1219" s="9" t="inlineStr">
        <is>
          <t>周期触发：轮转时，消耗 5 点法力，吸取敌方 8 点体力</t>
        </is>
      </c>
      <c r="R1219" s="9" t="inlineStr"/>
      <c r="S1219" s="9" t="inlineStr">
        <is>
          <t>一段凝着净露的长舌，表面有淡淡青光。产自妖兽「流光萤鹿」。</t>
        </is>
      </c>
      <c r="T1219" s="8" t="inlineStr">
        <is>
          <t>material_liuguang_yinglu_clear_dew_tongue_2x2</t>
        </is>
      </c>
      <c r="U1219" s="8" t="inlineStr">
        <is>
          <t>allowed</t>
        </is>
      </c>
    </row>
    <row r="1220" ht="34" customHeight="1">
      <c r="A1220" s="8" t="n">
        <v>1219</v>
      </c>
      <c r="B1220" s="8" t="n">
        <v>500327</v>
      </c>
      <c r="C1220" s="8" t="inlineStr">
        <is>
          <t>月白覆眼</t>
        </is>
      </c>
      <c r="D1220" s="8" t="inlineStr">
        <is>
          <t>材料</t>
        </is>
      </c>
      <c r="E1220" s="8" t="inlineStr">
        <is>
          <t>material</t>
        </is>
      </c>
      <c r="F1220" s="8" t="inlineStr">
        <is>
          <t>common</t>
        </is>
      </c>
      <c r="G1220" s="8" t="inlineStr">
        <is>
          <t>土</t>
        </is>
      </c>
      <c r="H1220" s="8" t="inlineStr">
        <is>
          <t>earth</t>
        </is>
      </c>
      <c r="I1220" s="8" t="inlineStr">
        <is>
          <t>1×1</t>
        </is>
      </c>
      <c r="J1220" s="8" t="n">
        <v>1</v>
      </c>
      <c r="K1220" s="8" t="n">
        <v>2</v>
      </c>
      <c r="L1220" s="8" t="inlineStr">
        <is>
          <t>否</t>
        </is>
      </c>
      <c r="M1220" s="9" t="inlineStr"/>
      <c r="N1220" s="8" t="n">
        <v>1</v>
      </c>
      <c r="O1220" s="9" t="inlineStr">
        <is>
          <t>周期触发</t>
        </is>
      </c>
      <c r="P1220" s="9" t="inlineStr">
        <is>
          <t>periodicPulse</t>
        </is>
      </c>
      <c r="Q1220" s="9" t="inlineStr">
        <is>
          <t>周期触发：开局时，获得 10 层闪避</t>
        </is>
      </c>
      <c r="R1220" s="9" t="inlineStr"/>
      <c r="S1220" s="9" t="inlineStr">
        <is>
          <t>一片月白覆眼膜，边缘像石台冷光。产自妖兽「流光萤鹿」。</t>
        </is>
      </c>
      <c r="T1220" s="8" t="inlineStr">
        <is>
          <t>material_liuguang_yinglu_moonlit_eye_cover_1x1</t>
        </is>
      </c>
      <c r="U1220" s="8" t="inlineStr">
        <is>
          <t>allowed</t>
        </is>
      </c>
    </row>
    <row r="1221" ht="34" customHeight="1">
      <c r="A1221" s="8" t="n">
        <v>1220</v>
      </c>
      <c r="B1221" s="8" t="n">
        <v>500328</v>
      </c>
      <c r="C1221" s="8" t="inlineStr">
        <is>
          <t>流光鼓腹</t>
        </is>
      </c>
      <c r="D1221" s="8" t="inlineStr">
        <is>
          <t>材料</t>
        </is>
      </c>
      <c r="E1221" s="8" t="inlineStr">
        <is>
          <t>material</t>
        </is>
      </c>
      <c r="F1221" s="8" t="inlineStr">
        <is>
          <t>common</t>
        </is>
      </c>
      <c r="G1221" s="8" t="inlineStr">
        <is>
          <t>土</t>
        </is>
      </c>
      <c r="H1221" s="8" t="inlineStr">
        <is>
          <t>earth</t>
        </is>
      </c>
      <c r="I1221" s="8" t="inlineStr">
        <is>
          <t>1×1</t>
        </is>
      </c>
      <c r="J1221" s="8" t="n">
        <v>1</v>
      </c>
      <c r="K1221" s="8" t="n">
        <v>2</v>
      </c>
      <c r="L1221" s="8" t="inlineStr">
        <is>
          <t>否</t>
        </is>
      </c>
      <c r="M1221" s="9" t="inlineStr"/>
      <c r="N1221" s="8" t="n">
        <v>1</v>
      </c>
      <c r="O1221" s="9" t="inlineStr">
        <is>
          <t>周期触发</t>
        </is>
      </c>
      <c r="P1221" s="9" t="inlineStr">
        <is>
          <t>periodicPulse</t>
        </is>
      </c>
      <c r="Q1221" s="9" t="inlineStr">
        <is>
          <t>周期触发：轮转时，将 2 点体力转化为 2 点气血</t>
        </is>
      </c>
      <c r="R1221" s="9" t="inlineStr"/>
      <c r="S1221" s="9" t="inlineStr">
        <is>
          <t>一枚带有流光纹的腹膜，仍留有轻微震颤。产自妖兽「流光萤鹿」。</t>
        </is>
      </c>
      <c r="T1221" s="8" t="inlineStr">
        <is>
          <t>material_liuguang_yinglu_resonant_belly_1x1</t>
        </is>
      </c>
      <c r="U1221" s="8" t="inlineStr">
        <is>
          <t>allowed</t>
        </is>
      </c>
    </row>
    <row r="1222" ht="34" customHeight="1">
      <c r="A1222" s="8" t="n">
        <v>1221</v>
      </c>
      <c r="B1222" s="8" t="n">
        <v>500329</v>
      </c>
      <c r="C1222" s="8" t="inlineStr">
        <is>
          <t>晶蹄趾骨</t>
        </is>
      </c>
      <c r="D1222" s="8" t="inlineStr">
        <is>
          <t>材料</t>
        </is>
      </c>
      <c r="E1222" s="8" t="inlineStr">
        <is>
          <t>material</t>
        </is>
      </c>
      <c r="F1222" s="8" t="inlineStr">
        <is>
          <t>common</t>
        </is>
      </c>
      <c r="G1222" s="8" t="inlineStr">
        <is>
          <t>土</t>
        </is>
      </c>
      <c r="H1222" s="8" t="inlineStr">
        <is>
          <t>earth</t>
        </is>
      </c>
      <c r="I1222" s="8" t="inlineStr">
        <is>
          <t>1×1</t>
        </is>
      </c>
      <c r="J1222" s="8" t="n">
        <v>1</v>
      </c>
      <c r="K1222" s="8" t="n">
        <v>1</v>
      </c>
      <c r="L1222" s="8" t="inlineStr">
        <is>
          <t>否</t>
        </is>
      </c>
      <c r="M1222" s="9" t="inlineStr"/>
      <c r="N1222" s="8" t="n">
        <v>1</v>
      </c>
      <c r="O1222" s="9" t="inlineStr">
        <is>
          <t>周期触发</t>
        </is>
      </c>
      <c r="P1222" s="9" t="inlineStr">
        <is>
          <t>periodicPulse</t>
        </is>
      </c>
      <c r="Q1222" s="9" t="inlineStr">
        <is>
          <t>周期触发：轮转时，对敌方造成 1 点伤害</t>
        </is>
      </c>
      <c r="R1222" s="9" t="inlineStr"/>
      <c r="S1222" s="9" t="inlineStr">
        <is>
          <t>一枚晶质蹄骨，棱面干净透亮。产自妖兽「流光萤鹿」。</t>
        </is>
      </c>
      <c r="T1222" s="8" t="inlineStr">
        <is>
          <t>material_liuguang_yinglu_crystal_toe_bone_1x1</t>
        </is>
      </c>
      <c r="U1222" s="8" t="inlineStr">
        <is>
          <t>allowed</t>
        </is>
      </c>
    </row>
    <row r="1223" ht="34" customHeight="1">
      <c r="A1223" s="8" t="n">
        <v>1222</v>
      </c>
      <c r="B1223" s="8" t="n">
        <v>500330</v>
      </c>
      <c r="C1223" s="8" t="inlineStr">
        <is>
          <t>石台露囊</t>
        </is>
      </c>
      <c r="D1223" s="8" t="inlineStr">
        <is>
          <t>材料</t>
        </is>
      </c>
      <c r="E1223" s="8" t="inlineStr">
        <is>
          <t>material</t>
        </is>
      </c>
      <c r="F1223" s="8" t="inlineStr">
        <is>
          <t>common</t>
        </is>
      </c>
      <c r="G1223" s="8" t="inlineStr">
        <is>
          <t>水</t>
        </is>
      </c>
      <c r="H1223" s="8" t="inlineStr">
        <is>
          <t>water</t>
        </is>
      </c>
      <c r="I1223" s="8" t="inlineStr">
        <is>
          <t>1×1</t>
        </is>
      </c>
      <c r="J1223" s="8" t="n">
        <v>1</v>
      </c>
      <c r="K1223" s="8" t="n">
        <v>2</v>
      </c>
      <c r="L1223" s="8" t="inlineStr">
        <is>
          <t>否</t>
        </is>
      </c>
      <c r="M1223" s="9" t="inlineStr"/>
      <c r="N1223" s="8" t="n">
        <v>1</v>
      </c>
      <c r="O1223" s="9" t="inlineStr">
        <is>
          <t>周期触发</t>
        </is>
      </c>
      <c r="P1223" s="9" t="inlineStr">
        <is>
          <t>periodicPulse</t>
        </is>
      </c>
      <c r="Q1223" s="9" t="inlineStr">
        <is>
          <t>周期触发：轮转时，每有 1 层露水，恢复 1 点气血</t>
        </is>
      </c>
      <c r="R1223" s="9" t="inlineStr"/>
      <c r="S1223" s="9" t="inlineStr">
        <is>
          <t>一只石台露囊，囊中青露缓缓晃动。产自妖兽「流光萤鹿」。</t>
        </is>
      </c>
      <c r="T1223" s="8" t="inlineStr">
        <is>
          <t>material_liuguang_yinglu_stone_dew_sac_1x1</t>
        </is>
      </c>
      <c r="U1223" s="8" t="inlineStr">
        <is>
          <t>allowed</t>
        </is>
      </c>
    </row>
    <row r="1224" ht="34" customHeight="1">
      <c r="A1224" s="8" t="n">
        <v>1223</v>
      </c>
      <c r="B1224" s="8" t="n">
        <v>500331</v>
      </c>
      <c r="C1224" s="8" t="inlineStr">
        <is>
          <t>云根绒爪</t>
        </is>
      </c>
      <c r="D1224" s="8" t="inlineStr">
        <is>
          <t>材料</t>
        </is>
      </c>
      <c r="E1224" s="8" t="inlineStr">
        <is>
          <t>material</t>
        </is>
      </c>
      <c r="F1224" s="8" t="inlineStr">
        <is>
          <t>common</t>
        </is>
      </c>
      <c r="G1224" s="8" t="inlineStr">
        <is>
          <t>水</t>
        </is>
      </c>
      <c r="H1224" s="8" t="inlineStr">
        <is>
          <t>water</t>
        </is>
      </c>
      <c r="I1224" s="8" t="inlineStr">
        <is>
          <t>2×2</t>
        </is>
      </c>
      <c r="J1224" s="8" t="n">
        <v>4</v>
      </c>
      <c r="K1224" s="8" t="n">
        <v>7</v>
      </c>
      <c r="L1224" s="8" t="inlineStr">
        <is>
          <t>是</t>
        </is>
      </c>
      <c r="M1224" s="9" t="inlineStr">
        <is>
          <t>beastDrop</t>
        </is>
      </c>
      <c r="N1224" s="8" t="n">
        <v>1</v>
      </c>
      <c r="O1224" s="9" t="inlineStr">
        <is>
          <t>周期触发</t>
        </is>
      </c>
      <c r="P1224" s="9" t="inlineStr">
        <is>
          <t>periodicPulse</t>
        </is>
      </c>
      <c r="Q1224" s="9" t="inlineStr">
        <is>
          <t>周期触发：轮转时，将 1 点法力转化为 10 点气血</t>
        </is>
      </c>
      <c r="R1224" s="9" t="inlineStr"/>
      <c r="S1224" s="9" t="inlineStr">
        <is>
          <t>一枚覆着云根绒毛的细爪，爪缘仍有雾气。产自妖兽「云根山鼯」。</t>
        </is>
      </c>
      <c r="T1224" s="8" t="inlineStr">
        <is>
          <t>material_yungen_shanwu_cloud_root_claw_2x2</t>
        </is>
      </c>
      <c r="U1224" s="8" t="inlineStr">
        <is>
          <t>allowed</t>
        </is>
      </c>
    </row>
    <row r="1225" ht="34" customHeight="1">
      <c r="A1225" s="8" t="n">
        <v>1224</v>
      </c>
      <c r="B1225" s="8" t="n">
        <v>500332</v>
      </c>
      <c r="C1225" s="8" t="inlineStr">
        <is>
          <t>山鼯眨膜</t>
        </is>
      </c>
      <c r="D1225" s="8" t="inlineStr">
        <is>
          <t>材料</t>
        </is>
      </c>
      <c r="E1225" s="8" t="inlineStr">
        <is>
          <t>material</t>
        </is>
      </c>
      <c r="F1225" s="8" t="inlineStr">
        <is>
          <t>common</t>
        </is>
      </c>
      <c r="G1225" s="8" t="inlineStr">
        <is>
          <t>水</t>
        </is>
      </c>
      <c r="H1225" s="8" t="inlineStr">
        <is>
          <t>water</t>
        </is>
      </c>
      <c r="I1225" s="8" t="inlineStr">
        <is>
          <t>2×2</t>
        </is>
      </c>
      <c r="J1225" s="8" t="n">
        <v>4</v>
      </c>
      <c r="K1225" s="8" t="n">
        <v>3</v>
      </c>
      <c r="L1225" s="8" t="inlineStr">
        <is>
          <t>否</t>
        </is>
      </c>
      <c r="M1225" s="9" t="inlineStr"/>
      <c r="N1225" s="8" t="n">
        <v>1</v>
      </c>
      <c r="O1225" s="9" t="inlineStr">
        <is>
          <t>周期触发</t>
        </is>
      </c>
      <c r="P1225" s="9" t="inlineStr">
        <is>
          <t>periodicPulse</t>
        </is>
      </c>
      <c r="Q1225" s="9" t="inlineStr">
        <is>
          <t>周期触发：轮转时，获得 3 层闪避</t>
        </is>
      </c>
      <c r="R1225" s="9" t="inlineStr"/>
      <c r="S1225" s="9" t="inlineStr">
        <is>
          <t>一片透明眨膜，膜面泛着淡淡白雾。产自妖兽「云根山鼯」。</t>
        </is>
      </c>
      <c r="T1225" s="8" t="inlineStr">
        <is>
          <t>material_yungen_shanwu_gliding_membrane_2x2</t>
        </is>
      </c>
      <c r="U1225" s="8" t="inlineStr">
        <is>
          <t>allowed</t>
        </is>
      </c>
    </row>
    <row r="1226" ht="34" customHeight="1">
      <c r="A1226" s="8" t="n">
        <v>1225</v>
      </c>
      <c r="B1226" s="8" t="n">
        <v>500333</v>
      </c>
      <c r="C1226" s="8" t="inlineStr">
        <is>
          <t>脱绒薄膜</t>
        </is>
      </c>
      <c r="D1226" s="8" t="inlineStr">
        <is>
          <t>材料</t>
        </is>
      </c>
      <c r="E1226" s="8" t="inlineStr">
        <is>
          <t>material</t>
        </is>
      </c>
      <c r="F1226" s="8" t="inlineStr">
        <is>
          <t>common</t>
        </is>
      </c>
      <c r="G1226" s="8" t="inlineStr">
        <is>
          <t>水</t>
        </is>
      </c>
      <c r="H1226" s="8" t="inlineStr">
        <is>
          <t>water</t>
        </is>
      </c>
      <c r="I1226" s="8" t="inlineStr">
        <is>
          <t>2×2</t>
        </is>
      </c>
      <c r="J1226" s="8" t="n">
        <v>4</v>
      </c>
      <c r="K1226" s="8" t="n">
        <v>7</v>
      </c>
      <c r="L1226" s="8" t="inlineStr">
        <is>
          <t>否</t>
        </is>
      </c>
      <c r="M1226" s="9" t="inlineStr"/>
      <c r="N1226" s="8" t="n">
        <v>1</v>
      </c>
      <c r="O1226" s="9" t="inlineStr">
        <is>
          <t>周期触发</t>
        </is>
      </c>
      <c r="P1226" s="9" t="inlineStr">
        <is>
          <t>periodicPulse</t>
        </is>
      </c>
      <c r="Q1226" s="9" t="inlineStr">
        <is>
          <t>周期触发：轮转时，获得 3 层闪避</t>
        </is>
      </c>
      <c r="R1226" s="9" t="inlineStr"/>
      <c r="S1226" s="9" t="inlineStr">
        <is>
          <t>一片脱落的薄膜，柔韧而轻。产自妖兽「云根山鼯」。</t>
        </is>
      </c>
      <c r="T1226" s="8" t="inlineStr">
        <is>
          <t>material_yungen_shanwu_shed_fur_membrane_2x2</t>
        </is>
      </c>
      <c r="U1226" s="8" t="inlineStr">
        <is>
          <t>allowed</t>
        </is>
      </c>
    </row>
    <row r="1227" ht="34" customHeight="1">
      <c r="A1227" s="8" t="n">
        <v>1226</v>
      </c>
      <c r="B1227" s="8" t="n">
        <v>500334</v>
      </c>
      <c r="C1227" s="8" t="inlineStr">
        <is>
          <t>雾石短牙</t>
        </is>
      </c>
      <c r="D1227" s="8" t="inlineStr">
        <is>
          <t>材料</t>
        </is>
      </c>
      <c r="E1227" s="8" t="inlineStr">
        <is>
          <t>material</t>
        </is>
      </c>
      <c r="F1227" s="8" t="inlineStr">
        <is>
          <t>common</t>
        </is>
      </c>
      <c r="G1227" s="8" t="inlineStr">
        <is>
          <t>水</t>
        </is>
      </c>
      <c r="H1227" s="8" t="inlineStr">
        <is>
          <t>water</t>
        </is>
      </c>
      <c r="I1227" s="8" t="inlineStr">
        <is>
          <t>2×2</t>
        </is>
      </c>
      <c r="J1227" s="8" t="n">
        <v>4</v>
      </c>
      <c r="K1227" s="8" t="n">
        <v>1</v>
      </c>
      <c r="L1227" s="8" t="inlineStr">
        <is>
          <t>否</t>
        </is>
      </c>
      <c r="M1227" s="9" t="inlineStr"/>
      <c r="N1227" s="8" t="n">
        <v>1</v>
      </c>
      <c r="O1227" s="9" t="inlineStr">
        <is>
          <t>周期触发</t>
        </is>
      </c>
      <c r="P1227" s="9" t="inlineStr">
        <is>
          <t>periodicPulse</t>
        </is>
      </c>
      <c r="Q1227" s="9" t="inlineStr">
        <is>
          <t>周期触发：轮转时，对敌方造成 1 点伤害</t>
        </is>
      </c>
      <c r="R1227" s="9" t="inlineStr"/>
      <c r="S1227" s="9" t="inlineStr">
        <is>
          <t>一枚短牙，牙根带有雾石纹理。产自妖兽「云根山鼯」。</t>
        </is>
      </c>
      <c r="T1227" s="8" t="inlineStr">
        <is>
          <t>material_yungen_shanwu_mist_stone_fang_2x2</t>
        </is>
      </c>
      <c r="U1227" s="8" t="inlineStr">
        <is>
          <t>allowed</t>
        </is>
      </c>
    </row>
    <row r="1228" ht="34" customHeight="1">
      <c r="A1228" s="8" t="n">
        <v>1227</v>
      </c>
      <c r="B1228" s="8" t="n">
        <v>500335</v>
      </c>
      <c r="C1228" s="8" t="inlineStr">
        <is>
          <t>碧根长尾</t>
        </is>
      </c>
      <c r="D1228" s="8" t="inlineStr">
        <is>
          <t>材料</t>
        </is>
      </c>
      <c r="E1228" s="8" t="inlineStr">
        <is>
          <t>material</t>
        </is>
      </c>
      <c r="F1228" s="8" t="inlineStr">
        <is>
          <t>common</t>
        </is>
      </c>
      <c r="G1228" s="8" t="inlineStr">
        <is>
          <t>水</t>
        </is>
      </c>
      <c r="H1228" s="8" t="inlineStr">
        <is>
          <t>water</t>
        </is>
      </c>
      <c r="I1228" s="8" t="inlineStr">
        <is>
          <t>1×4</t>
        </is>
      </c>
      <c r="J1228" s="8" t="n">
        <v>4</v>
      </c>
      <c r="K1228" s="8" t="n">
        <v>7</v>
      </c>
      <c r="L1228" s="8" t="inlineStr">
        <is>
          <t>是</t>
        </is>
      </c>
      <c r="M1228" s="9" t="inlineStr">
        <is>
          <t>beastDrop</t>
        </is>
      </c>
      <c r="N1228" s="8" t="n">
        <v>1</v>
      </c>
      <c r="O1228" s="9" t="inlineStr">
        <is>
          <t>周期触发</t>
        </is>
      </c>
      <c r="P1228" s="9" t="inlineStr">
        <is>
          <t>periodicPulse</t>
        </is>
      </c>
      <c r="Q1228" s="9" t="inlineStr">
        <is>
          <t>周期触发：轮转时，使敌方尺寸最大的道具冻结 5 秒</t>
        </is>
      </c>
      <c r="R1228" s="9" t="inlineStr"/>
      <c r="S1228" s="9" t="inlineStr">
        <is>
          <t>一截带有碧根纹的长尾，尾端如藤。产自妖兽「碧根灵猿」。</t>
        </is>
      </c>
      <c r="T1228" s="8" t="inlineStr">
        <is>
          <t>material_bigen_lingyuan_green_root_tail_1x4</t>
        </is>
      </c>
      <c r="U1228" s="8" t="inlineStr">
        <is>
          <t>allowed</t>
        </is>
      </c>
    </row>
    <row r="1229" ht="34" customHeight="1">
      <c r="A1229" s="8" t="n">
        <v>1228</v>
      </c>
      <c r="B1229" s="8" t="n">
        <v>500336</v>
      </c>
      <c r="C1229" s="8" t="inlineStr">
        <is>
          <t>根泉脊棱</t>
        </is>
      </c>
      <c r="D1229" s="8" t="inlineStr">
        <is>
          <t>材料</t>
        </is>
      </c>
      <c r="E1229" s="8" t="inlineStr">
        <is>
          <t>material</t>
        </is>
      </c>
      <c r="F1229" s="8" t="inlineStr">
        <is>
          <t>common</t>
        </is>
      </c>
      <c r="G1229" s="8" t="inlineStr">
        <is>
          <t>水</t>
        </is>
      </c>
      <c r="H1229" s="8" t="inlineStr">
        <is>
          <t>water</t>
        </is>
      </c>
      <c r="I1229" s="8" t="inlineStr">
        <is>
          <t>2×2</t>
        </is>
      </c>
      <c r="J1229" s="8" t="n">
        <v>4</v>
      </c>
      <c r="K1229" s="8" t="n">
        <v>3</v>
      </c>
      <c r="L1229" s="8" t="inlineStr">
        <is>
          <t>否</t>
        </is>
      </c>
      <c r="M1229" s="9" t="inlineStr"/>
      <c r="N1229" s="8" t="n">
        <v>1</v>
      </c>
      <c r="O1229" s="9" t="inlineStr">
        <is>
          <t>周期触发</t>
        </is>
      </c>
      <c r="P1229" s="9" t="inlineStr">
        <is>
          <t>periodicPulse</t>
        </is>
      </c>
      <c r="Q1229" s="9" t="inlineStr">
        <is>
          <t>周期触发：轮转时，将所有露水转化为寒冷；将所有露水转化为寒冷</t>
        </is>
      </c>
      <c r="R1229" s="9" t="inlineStr"/>
      <c r="S1229" s="9" t="inlineStr">
        <is>
          <t>一片根泉脊棱，棱面透出青光。产自妖兽「碧根灵猿」。</t>
        </is>
      </c>
      <c r="T1229" s="8" t="inlineStr">
        <is>
          <t>material_bigen_lingyuan_root_spring_spine_2x2</t>
        </is>
      </c>
      <c r="U1229" s="8" t="inlineStr">
        <is>
          <t>allowed</t>
        </is>
      </c>
    </row>
    <row r="1230" ht="34" customHeight="1">
      <c r="A1230" s="8" t="n">
        <v>1229</v>
      </c>
      <c r="B1230" s="8" t="n">
        <v>500337</v>
      </c>
      <c r="C1230" s="8" t="inlineStr">
        <is>
          <t>青露臂鳞</t>
        </is>
      </c>
      <c r="D1230" s="8" t="inlineStr">
        <is>
          <t>材料</t>
        </is>
      </c>
      <c r="E1230" s="8" t="inlineStr">
        <is>
          <t>material</t>
        </is>
      </c>
      <c r="F1230" s="8" t="inlineStr">
        <is>
          <t>common</t>
        </is>
      </c>
      <c r="G1230" s="8" t="inlineStr">
        <is>
          <t>水</t>
        </is>
      </c>
      <c r="H1230" s="8" t="inlineStr">
        <is>
          <t>water</t>
        </is>
      </c>
      <c r="I1230" s="8" t="inlineStr">
        <is>
          <t>1×2</t>
        </is>
      </c>
      <c r="J1230" s="8" t="n">
        <v>2</v>
      </c>
      <c r="K1230" s="8" t="n">
        <v>1</v>
      </c>
      <c r="L1230" s="8" t="inlineStr">
        <is>
          <t>否</t>
        </is>
      </c>
      <c r="M1230" s="9" t="inlineStr"/>
      <c r="N1230" s="8" t="n">
        <v>1</v>
      </c>
      <c r="O1230" s="9" t="inlineStr">
        <is>
          <t>周期触发</t>
        </is>
      </c>
      <c r="P1230" s="9" t="inlineStr">
        <is>
          <t>periodicPulse</t>
        </is>
      </c>
      <c r="Q1230" s="9" t="inlineStr">
        <is>
          <t>周期触发：轮转时，获得 1 层露水</t>
        </is>
      </c>
      <c r="R1230" s="9" t="inlineStr"/>
      <c r="S1230" s="9" t="inlineStr">
        <is>
          <t>一片凝着青露的臂鳞，质地坚韧。产自妖兽「碧根灵猿」。</t>
        </is>
      </c>
      <c r="T1230" s="8" t="inlineStr">
        <is>
          <t>material_bigen_lingyuan_green_dew_scale_1x2</t>
        </is>
      </c>
      <c r="U1230" s="8" t="inlineStr">
        <is>
          <t>allowed</t>
        </is>
      </c>
    </row>
    <row r="1231" ht="34" customHeight="1">
      <c r="A1231" s="8" t="n">
        <v>1230</v>
      </c>
      <c r="B1231" s="8" t="n">
        <v>500338</v>
      </c>
      <c r="C1231" s="8" t="inlineStr">
        <is>
          <t>裂根眼珠</t>
        </is>
      </c>
      <c r="D1231" s="8" t="inlineStr">
        <is>
          <t>材料</t>
        </is>
      </c>
      <c r="E1231" s="8" t="inlineStr">
        <is>
          <t>material</t>
        </is>
      </c>
      <c r="F1231" s="8" t="inlineStr">
        <is>
          <t>common</t>
        </is>
      </c>
      <c r="G1231" s="8" t="inlineStr">
        <is>
          <t>水</t>
        </is>
      </c>
      <c r="H1231" s="8" t="inlineStr">
        <is>
          <t>water</t>
        </is>
      </c>
      <c r="I1231" s="8" t="inlineStr">
        <is>
          <t>1×2</t>
        </is>
      </c>
      <c r="J1231" s="8" t="n">
        <v>2</v>
      </c>
      <c r="K1231" s="8" t="n">
        <v>3</v>
      </c>
      <c r="L1231" s="8" t="inlineStr">
        <is>
          <t>否</t>
        </is>
      </c>
      <c r="M1231" s="9" t="inlineStr"/>
      <c r="N1231" s="8" t="n">
        <v>1</v>
      </c>
      <c r="O1231" s="9" t="inlineStr">
        <is>
          <t>周期触发</t>
        </is>
      </c>
      <c r="P1231" s="9" t="inlineStr">
        <is>
          <t>periodicPulse</t>
        </is>
      </c>
      <c r="Q1231" s="9" t="inlineStr">
        <is>
          <t>周期触发：轮转时，每有 1 层寒冷，使敌方随机 1 件道具冻结 2 秒</t>
        </is>
      </c>
      <c r="R1231" s="9" t="inlineStr"/>
      <c r="S1231" s="9" t="inlineStr">
        <is>
          <t>一枚带有裂根纹的眼珠，内里微光流动。产自妖兽「碧根灵猿」。</t>
        </is>
      </c>
      <c r="T1231" s="8" t="inlineStr">
        <is>
          <t>material_bigen_lingyuan_cracked_root_eye_1x2</t>
        </is>
      </c>
      <c r="U1231" s="8" t="inlineStr">
        <is>
          <t>allowed</t>
        </is>
      </c>
    </row>
    <row r="1232" ht="34" customHeight="1">
      <c r="A1232" s="8" t="n">
        <v>1231</v>
      </c>
      <c r="B1232" s="8" t="n">
        <v>500339</v>
      </c>
      <c r="C1232" s="8" t="inlineStr">
        <is>
          <t>碧根爪刃</t>
        </is>
      </c>
      <c r="D1232" s="8" t="inlineStr">
        <is>
          <t>材料</t>
        </is>
      </c>
      <c r="E1232" s="8" t="inlineStr">
        <is>
          <t>material</t>
        </is>
      </c>
      <c r="F1232" s="8" t="inlineStr">
        <is>
          <t>common</t>
        </is>
      </c>
      <c r="G1232" s="8" t="inlineStr">
        <is>
          <t>水</t>
        </is>
      </c>
      <c r="H1232" s="8" t="inlineStr">
        <is>
          <t>water</t>
        </is>
      </c>
      <c r="I1232" s="8" t="inlineStr">
        <is>
          <t>1×2</t>
        </is>
      </c>
      <c r="J1232" s="8" t="n">
        <v>2</v>
      </c>
      <c r="K1232" s="8" t="n">
        <v>2</v>
      </c>
      <c r="L1232" s="8" t="inlineStr">
        <is>
          <t>否</t>
        </is>
      </c>
      <c r="M1232" s="9" t="inlineStr"/>
      <c r="N1232" s="8" t="n">
        <v>1</v>
      </c>
      <c r="O1232" s="9" t="inlineStr">
        <is>
          <t>周期触发</t>
        </is>
      </c>
      <c r="P1232" s="9" t="inlineStr">
        <is>
          <t>periodicPulse</t>
        </is>
      </c>
      <c r="Q1232" s="9" t="inlineStr">
        <is>
          <t>周期触发：轮转时，对敌方造成 3 点伤害</t>
        </is>
      </c>
      <c r="R1232" s="9" t="inlineStr"/>
      <c r="S1232" s="9" t="inlineStr">
        <is>
          <t>一枚碧根爪刃，边缘像薄玉。产自妖兽「碧根灵猿」。</t>
        </is>
      </c>
      <c r="T1232" s="8" t="inlineStr">
        <is>
          <t>material_bigen_lingyuan_green_root_clawblade_1x2</t>
        </is>
      </c>
      <c r="U1232" s="8" t="inlineStr">
        <is>
          <t>allowed</t>
        </is>
      </c>
    </row>
    <row r="1233" ht="34" customHeight="1">
      <c r="A1233" s="8" t="n">
        <v>1232</v>
      </c>
      <c r="B1233" s="8" t="n">
        <v>500340</v>
      </c>
      <c r="C1233" s="8" t="inlineStr">
        <is>
          <t>根泉灵腺</t>
        </is>
      </c>
      <c r="D1233" s="8" t="inlineStr">
        <is>
          <t>材料</t>
        </is>
      </c>
      <c r="E1233" s="8" t="inlineStr">
        <is>
          <t>material</t>
        </is>
      </c>
      <c r="F1233" s="8" t="inlineStr">
        <is>
          <t>common</t>
        </is>
      </c>
      <c r="G1233" s="8" t="inlineStr">
        <is>
          <t>水</t>
        </is>
      </c>
      <c r="H1233" s="8" t="inlineStr">
        <is>
          <t>water</t>
        </is>
      </c>
      <c r="I1233" s="8" t="inlineStr">
        <is>
          <t>1×2</t>
        </is>
      </c>
      <c r="J1233" s="8" t="n">
        <v>2</v>
      </c>
      <c r="K1233" s="8" t="n">
        <v>2</v>
      </c>
      <c r="L1233" s="8" t="inlineStr">
        <is>
          <t>否</t>
        </is>
      </c>
      <c r="M1233" s="9" t="inlineStr"/>
      <c r="N1233" s="8" t="n">
        <v>1</v>
      </c>
      <c r="O1233" s="9" t="inlineStr">
        <is>
          <t>周期触发</t>
        </is>
      </c>
      <c r="P1233" s="9" t="inlineStr">
        <is>
          <t>periodicPulse</t>
        </is>
      </c>
      <c r="Q1233" s="9" t="inlineStr">
        <is>
          <t>周期触发：轮转时，给敌方施加 3 层冰霜</t>
        </is>
      </c>
      <c r="R1233" s="9" t="inlineStr"/>
      <c r="S1233" s="9" t="inlineStr">
        <is>
          <t>一枚根泉灵腺，仍留有淡淡清气。产自妖兽「碧根灵猿」。</t>
        </is>
      </c>
      <c r="T1233" s="8" t="inlineStr">
        <is>
          <t>material_bigen_lingyuan_root_spring_gland_1x2</t>
        </is>
      </c>
      <c r="U1233" s="8" t="inlineStr">
        <is>
          <t>allowed</t>
        </is>
      </c>
    </row>
    <row r="1234" ht="34" customHeight="1">
      <c r="A1234" s="8" t="n">
        <v>1233</v>
      </c>
      <c r="B1234" s="8" t="n">
        <v>500341</v>
      </c>
      <c r="C1234" s="8" t="inlineStr">
        <is>
          <t>清泉连尾</t>
        </is>
      </c>
      <c r="D1234" s="8" t="inlineStr">
        <is>
          <t>材料</t>
        </is>
      </c>
      <c r="E1234" s="8" t="inlineStr">
        <is>
          <t>material</t>
        </is>
      </c>
      <c r="F1234" s="8" t="inlineStr">
        <is>
          <t>common</t>
        </is>
      </c>
      <c r="G1234" s="8" t="inlineStr">
        <is>
          <t>无</t>
        </is>
      </c>
      <c r="H1234" s="8" t="inlineStr">
        <is>
          <t>none</t>
        </is>
      </c>
      <c r="I1234" s="8" t="inlineStr">
        <is>
          <t>1×4</t>
        </is>
      </c>
      <c r="J1234" s="8" t="n">
        <v>4</v>
      </c>
      <c r="K1234" s="8" t="n">
        <v>4</v>
      </c>
      <c r="L1234" s="8" t="inlineStr">
        <is>
          <t>是</t>
        </is>
      </c>
      <c r="M1234" s="9" t="inlineStr">
        <is>
          <t>beastDrop</t>
        </is>
      </c>
      <c r="N1234" s="8" t="n">
        <v>1</v>
      </c>
      <c r="O1234" s="9" t="inlineStr">
        <is>
          <t>周期触发</t>
        </is>
      </c>
      <c r="P1234" s="9" t="inlineStr">
        <is>
          <t>periodicPulse</t>
        </is>
      </c>
      <c r="Q1234" s="9" t="inlineStr">
        <is>
          <t>周期触发：轮转时，对敌方造成 3 点伤害 3 次</t>
        </is>
      </c>
      <c r="R1234" s="9" t="inlineStr"/>
      <c r="S1234" s="9" t="inlineStr">
        <is>
          <t>一截清泉鳞尾，尾节像连珠水纹。产自妖兽「清泉鳞狸」。</t>
        </is>
      </c>
      <c r="T1234" s="8" t="inlineStr">
        <is>
          <t>material_qingquan_linli_clear_spring_tail_1x4</t>
        </is>
      </c>
      <c r="U1234" s="8" t="inlineStr">
        <is>
          <t>allowed</t>
        </is>
      </c>
    </row>
    <row r="1235" ht="34" customHeight="1">
      <c r="A1235" s="8" t="n">
        <v>1234</v>
      </c>
      <c r="B1235" s="8" t="n">
        <v>500342</v>
      </c>
      <c r="C1235" s="8" t="inlineStr">
        <is>
          <t>鳞狸水牙</t>
        </is>
      </c>
      <c r="D1235" s="8" t="inlineStr">
        <is>
          <t>材料</t>
        </is>
      </c>
      <c r="E1235" s="8" t="inlineStr">
        <is>
          <t>material</t>
        </is>
      </c>
      <c r="F1235" s="8" t="inlineStr">
        <is>
          <t>common</t>
        </is>
      </c>
      <c r="G1235" s="8" t="inlineStr">
        <is>
          <t>无</t>
        </is>
      </c>
      <c r="H1235" s="8" t="inlineStr">
        <is>
          <t>none</t>
        </is>
      </c>
      <c r="I1235" s="8" t="inlineStr">
        <is>
          <t>1×2</t>
        </is>
      </c>
      <c r="J1235" s="8" t="n">
        <v>2</v>
      </c>
      <c r="K1235" s="8" t="n">
        <v>2</v>
      </c>
      <c r="L1235" s="8" t="inlineStr">
        <is>
          <t>否</t>
        </is>
      </c>
      <c r="M1235" s="9" t="inlineStr"/>
      <c r="N1235" s="8" t="n">
        <v>1</v>
      </c>
      <c r="O1235" s="9" t="inlineStr">
        <is>
          <t>周期触发</t>
        </is>
      </c>
      <c r="P1235" s="9" t="inlineStr">
        <is>
          <t>periodicPulse</t>
        </is>
      </c>
      <c r="Q1235" s="9" t="inlineStr">
        <is>
          <t>周期触发：轮转时，对敌方施加 1 层中毒</t>
        </is>
      </c>
      <c r="R1235" s="9" t="inlineStr"/>
      <c r="S1235" s="9" t="inlineStr">
        <is>
          <t>一枚细长水牙，牙尖泛着清光。产自妖兽「清泉鳞狸」。</t>
        </is>
      </c>
      <c r="T1235" s="8" t="inlineStr">
        <is>
          <t>material_qingquan_linli_water_fang_1x2</t>
        </is>
      </c>
      <c r="U1235" s="8" t="inlineStr">
        <is>
          <t>allowed</t>
        </is>
      </c>
    </row>
    <row r="1236" ht="34" customHeight="1">
      <c r="A1236" s="8" t="n">
        <v>1235</v>
      </c>
      <c r="B1236" s="8" t="n">
        <v>500343</v>
      </c>
      <c r="C1236" s="8" t="inlineStr">
        <is>
          <t>伏泉背刺</t>
        </is>
      </c>
      <c r="D1236" s="8" t="inlineStr">
        <is>
          <t>材料</t>
        </is>
      </c>
      <c r="E1236" s="8" t="inlineStr">
        <is>
          <t>material</t>
        </is>
      </c>
      <c r="F1236" s="8" t="inlineStr">
        <is>
          <t>common</t>
        </is>
      </c>
      <c r="G1236" s="8" t="inlineStr">
        <is>
          <t>无</t>
        </is>
      </c>
      <c r="H1236" s="8" t="inlineStr">
        <is>
          <t>none</t>
        </is>
      </c>
      <c r="I1236" s="8" t="inlineStr">
        <is>
          <t>3×2</t>
        </is>
      </c>
      <c r="J1236" s="8" t="n">
        <v>6</v>
      </c>
      <c r="K1236" s="8" t="n">
        <v>2</v>
      </c>
      <c r="L1236" s="8" t="inlineStr">
        <is>
          <t>否</t>
        </is>
      </c>
      <c r="M1236" s="9" t="inlineStr"/>
      <c r="N1236" s="8" t="n">
        <v>1</v>
      </c>
      <c r="O1236" s="9" t="inlineStr">
        <is>
          <t>周期触发</t>
        </is>
      </c>
      <c r="P1236" s="9" t="inlineStr">
        <is>
          <t>periodicPulse</t>
        </is>
      </c>
      <c r="Q1236" s="9" t="inlineStr">
        <is>
          <t>周期触发：开局时，对敌方造成 5 点伤害</t>
        </is>
      </c>
      <c r="R1236" s="9" t="inlineStr"/>
      <c r="S1236" s="9" t="inlineStr">
        <is>
          <t>一枚伏泉背刺，表面有浅蓝水痕。产自妖兽「清泉鳞狸」。</t>
        </is>
      </c>
      <c r="T1236" s="8" t="inlineStr">
        <is>
          <t>material_qingquan_linli_spring_back_spine_3x2</t>
        </is>
      </c>
      <c r="U1236" s="8" t="inlineStr">
        <is>
          <t>allowed</t>
        </is>
      </c>
    </row>
    <row r="1237" ht="34" customHeight="1">
      <c r="A1237" s="8" t="n">
        <v>1236</v>
      </c>
      <c r="B1237" s="8" t="n">
        <v>500344</v>
      </c>
      <c r="C1237" s="8" t="inlineStr">
        <is>
          <t>清泉微囊</t>
        </is>
      </c>
      <c r="D1237" s="8" t="inlineStr">
        <is>
          <t>材料</t>
        </is>
      </c>
      <c r="E1237" s="8" t="inlineStr">
        <is>
          <t>material</t>
        </is>
      </c>
      <c r="F1237" s="8" t="inlineStr">
        <is>
          <t>common</t>
        </is>
      </c>
      <c r="G1237" s="8" t="inlineStr">
        <is>
          <t>无</t>
        </is>
      </c>
      <c r="H1237" s="8" t="inlineStr">
        <is>
          <t>none</t>
        </is>
      </c>
      <c r="I1237" s="8" t="inlineStr">
        <is>
          <t>2×2</t>
        </is>
      </c>
      <c r="J1237" s="8" t="n">
        <v>4</v>
      </c>
      <c r="K1237" s="8" t="n">
        <v>2</v>
      </c>
      <c r="L1237" s="8" t="inlineStr">
        <is>
          <t>否</t>
        </is>
      </c>
      <c r="M1237" s="9" t="inlineStr"/>
      <c r="N1237" s="8" t="n">
        <v>1</v>
      </c>
      <c r="O1237" s="9" t="inlineStr">
        <is>
          <t>周期触发</t>
        </is>
      </c>
      <c r="P1237" s="9" t="inlineStr">
        <is>
          <t>periodicPulse</t>
        </is>
      </c>
      <c r="Q1237" s="9" t="inlineStr">
        <is>
          <t>周期触发：轮转时，对敌方施加 1 层中毒</t>
        </is>
      </c>
      <c r="R1237" s="9" t="inlineStr"/>
      <c r="S1237" s="9" t="inlineStr">
        <is>
          <t>一只细小水囊，囊中净泉微晃。产自妖兽「清泉鳞狸」。</t>
        </is>
      </c>
      <c r="T1237" s="8" t="inlineStr">
        <is>
          <t>material_qingquan_linli_clear_spring_sac_2x2</t>
        </is>
      </c>
      <c r="U1237" s="8" t="inlineStr">
        <is>
          <t>allowed</t>
        </is>
      </c>
    </row>
    <row r="1238" ht="34" customHeight="1">
      <c r="A1238" s="8" t="n">
        <v>1237</v>
      </c>
      <c r="B1238" s="8" t="n">
        <v>500345</v>
      </c>
      <c r="C1238" s="8" t="inlineStr">
        <is>
          <t>碧潭护盘</t>
        </is>
      </c>
      <c r="D1238" s="8" t="inlineStr">
        <is>
          <t>材料</t>
        </is>
      </c>
      <c r="E1238" s="8" t="inlineStr">
        <is>
          <t>material</t>
        </is>
      </c>
      <c r="F1238" s="8" t="inlineStr">
        <is>
          <t>common</t>
        </is>
      </c>
      <c r="G1238" s="8" t="inlineStr">
        <is>
          <t>土</t>
        </is>
      </c>
      <c r="H1238" s="8" t="inlineStr">
        <is>
          <t>earth</t>
        </is>
      </c>
      <c r="I1238" s="8" t="inlineStr">
        <is>
          <t>2×2</t>
        </is>
      </c>
      <c r="J1238" s="8" t="n">
        <v>4</v>
      </c>
      <c r="K1238" s="8" t="n">
        <v>7</v>
      </c>
      <c r="L1238" s="8" t="inlineStr">
        <is>
          <t>是</t>
        </is>
      </c>
      <c r="M1238" s="9" t="inlineStr">
        <is>
          <t>beastDrop</t>
        </is>
      </c>
      <c r="N1238" s="8" t="n">
        <v>1</v>
      </c>
      <c r="O1238" s="9" t="inlineStr">
        <is>
          <t>被动效果</t>
        </is>
      </c>
      <c r="P1238" s="9" t="inlineStr">
        <is>
          <t>passive</t>
        </is>
      </c>
      <c r="Q1238" s="9" t="inlineStr">
        <is>
          <t>被动效果：气血上限临时 +10</t>
        </is>
      </c>
      <c r="R1238" s="9" t="inlineStr"/>
      <c r="S1238" s="9" t="inlineStr">
        <is>
          <t>一片圆润护盘，盘面有碧潭水纹。产自妖兽「碧潭灵獭」。</t>
        </is>
      </c>
      <c r="T1238" s="8" t="inlineStr">
        <is>
          <t>material_bitan_lingta_pool_guard_disc_2x2</t>
        </is>
      </c>
      <c r="U1238" s="8" t="inlineStr">
        <is>
          <t>allowed</t>
        </is>
      </c>
    </row>
    <row r="1239" ht="34" customHeight="1">
      <c r="A1239" s="8" t="n">
        <v>1238</v>
      </c>
      <c r="B1239" s="8" t="n">
        <v>500346</v>
      </c>
      <c r="C1239" s="8" t="inlineStr">
        <is>
          <t>回波背刺</t>
        </is>
      </c>
      <c r="D1239" s="8" t="inlineStr">
        <is>
          <t>材料</t>
        </is>
      </c>
      <c r="E1239" s="8" t="inlineStr">
        <is>
          <t>material</t>
        </is>
      </c>
      <c r="F1239" s="8" t="inlineStr">
        <is>
          <t>common</t>
        </is>
      </c>
      <c r="G1239" s="8" t="inlineStr">
        <is>
          <t>土</t>
        </is>
      </c>
      <c r="H1239" s="8" t="inlineStr">
        <is>
          <t>earth</t>
        </is>
      </c>
      <c r="I1239" s="8" t="inlineStr">
        <is>
          <t>2×2</t>
        </is>
      </c>
      <c r="J1239" s="8" t="n">
        <v>4</v>
      </c>
      <c r="K1239" s="8" t="n">
        <v>3</v>
      </c>
      <c r="L1239" s="8" t="inlineStr">
        <is>
          <t>否</t>
        </is>
      </c>
      <c r="M1239" s="9" t="inlineStr"/>
      <c r="N1239" s="8" t="n">
        <v>1</v>
      </c>
      <c r="O1239" s="9" t="inlineStr">
        <is>
          <t>周期触发</t>
        </is>
      </c>
      <c r="P1239" s="9" t="inlineStr">
        <is>
          <t>periodicPulse</t>
        </is>
      </c>
      <c r="Q1239" s="9" t="inlineStr">
        <is>
          <t>周期触发：开局时，对敌方造成 20 点伤害</t>
        </is>
      </c>
      <c r="R1239" s="9" t="inlineStr"/>
      <c r="S1239" s="9" t="inlineStr">
        <is>
          <t>一枚回波背刺，根部透着泉光。产自妖兽「碧潭灵獭」。</t>
        </is>
      </c>
      <c r="T1239" s="8" t="inlineStr">
        <is>
          <t>material_bitan_lingta_echo_back_spine_2x2</t>
        </is>
      </c>
      <c r="U1239" s="8" t="inlineStr">
        <is>
          <t>allowed</t>
        </is>
      </c>
    </row>
    <row r="1240" ht="34" customHeight="1">
      <c r="A1240" s="8" t="n">
        <v>1239</v>
      </c>
      <c r="B1240" s="8" t="n">
        <v>500347</v>
      </c>
      <c r="C1240" s="8" t="inlineStr">
        <is>
          <t>灵獭连足</t>
        </is>
      </c>
      <c r="D1240" s="8" t="inlineStr">
        <is>
          <t>材料</t>
        </is>
      </c>
      <c r="E1240" s="8" t="inlineStr">
        <is>
          <t>material</t>
        </is>
      </c>
      <c r="F1240" s="8" t="inlineStr">
        <is>
          <t>common</t>
        </is>
      </c>
      <c r="G1240" s="8" t="inlineStr">
        <is>
          <t>无</t>
        </is>
      </c>
      <c r="H1240" s="8" t="inlineStr">
        <is>
          <t>none</t>
        </is>
      </c>
      <c r="I1240" s="8" t="inlineStr">
        <is>
          <t>1×3</t>
        </is>
      </c>
      <c r="J1240" s="8" t="n">
        <v>3</v>
      </c>
      <c r="K1240" s="8" t="n">
        <v>2</v>
      </c>
      <c r="L1240" s="8" t="inlineStr">
        <is>
          <t>否</t>
        </is>
      </c>
      <c r="M1240" s="9" t="inlineStr"/>
      <c r="N1240" s="8" t="n">
        <v>1</v>
      </c>
      <c r="O1240" s="9" t="inlineStr">
        <is>
          <t>周期触发</t>
        </is>
      </c>
      <c r="P1240" s="9" t="inlineStr">
        <is>
          <t>periodicPulse</t>
        </is>
      </c>
      <c r="Q1240" s="9" t="inlineStr">
        <is>
          <t>周期触发：轮转时，对敌方造成 3 点伤害 3 次</t>
        </is>
      </c>
      <c r="R1240" s="9" t="inlineStr"/>
      <c r="S1240" s="9" t="inlineStr">
        <is>
          <t>一段灵獭连足骨，骨节轻巧。产自妖兽「碧潭灵獭」。</t>
        </is>
      </c>
      <c r="T1240" s="8" t="inlineStr">
        <is>
          <t>material_bitan_lingta_otter_linked_legs_1x3</t>
        </is>
      </c>
      <c r="U1240" s="8" t="inlineStr">
        <is>
          <t>allowed</t>
        </is>
      </c>
    </row>
    <row r="1241" ht="34" customHeight="1">
      <c r="A1241" s="8" t="n">
        <v>1240</v>
      </c>
      <c r="B1241" s="8" t="n">
        <v>500348</v>
      </c>
      <c r="C1241" s="8" t="inlineStr">
        <is>
          <t>泉眼灵腺</t>
        </is>
      </c>
      <c r="D1241" s="8" t="inlineStr">
        <is>
          <t>材料</t>
        </is>
      </c>
      <c r="E1241" s="8" t="inlineStr">
        <is>
          <t>material</t>
        </is>
      </c>
      <c r="F1241" s="8" t="inlineStr">
        <is>
          <t>common</t>
        </is>
      </c>
      <c r="G1241" s="8" t="inlineStr">
        <is>
          <t>无</t>
        </is>
      </c>
      <c r="H1241" s="8" t="inlineStr">
        <is>
          <t>none</t>
        </is>
      </c>
      <c r="I1241" s="8" t="inlineStr">
        <is>
          <t>1×2</t>
        </is>
      </c>
      <c r="J1241" s="8" t="n">
        <v>2</v>
      </c>
      <c r="K1241" s="8" t="n">
        <v>4</v>
      </c>
      <c r="L1241" s="8" t="inlineStr">
        <is>
          <t>否</t>
        </is>
      </c>
      <c r="M1241" s="9" t="inlineStr"/>
      <c r="N1241" s="8" t="n">
        <v>1</v>
      </c>
      <c r="O1241" s="9" t="inlineStr">
        <is>
          <t>周期触发</t>
        </is>
      </c>
      <c r="P1241" s="9" t="inlineStr">
        <is>
          <t>periodicPulse</t>
        </is>
      </c>
      <c r="Q1241" s="9" t="inlineStr">
        <is>
          <t>周期触发：轮转时，对敌方施加 2 层中毒</t>
        </is>
      </c>
      <c r="R1241" s="9" t="inlineStr"/>
      <c r="S1241" s="9" t="inlineStr">
        <is>
          <t>一枚泉眼灵腺，内里有清波流动。产自妖兽「碧潭灵獭」。</t>
        </is>
      </c>
      <c r="T1241" s="8" t="inlineStr">
        <is>
          <t>material_bitan_lingta_spring_venom_gland_1x2</t>
        </is>
      </c>
      <c r="U1241" s="8" t="inlineStr">
        <is>
          <t>allowed</t>
        </is>
      </c>
    </row>
    <row r="1242" ht="34" customHeight="1">
      <c r="A1242" s="8" t="n">
        <v>1241</v>
      </c>
      <c r="B1242" s="8" t="n">
        <v>500349</v>
      </c>
      <c r="C1242" s="8" t="inlineStr">
        <is>
          <t>碧潭水囊</t>
        </is>
      </c>
      <c r="D1242" s="8" t="inlineStr">
        <is>
          <t>材料</t>
        </is>
      </c>
      <c r="E1242" s="8" t="inlineStr">
        <is>
          <t>material</t>
        </is>
      </c>
      <c r="F1242" s="8" t="inlineStr">
        <is>
          <t>common</t>
        </is>
      </c>
      <c r="G1242" s="8" t="inlineStr">
        <is>
          <t>土</t>
        </is>
      </c>
      <c r="H1242" s="8" t="inlineStr">
        <is>
          <t>earth</t>
        </is>
      </c>
      <c r="I1242" s="8" t="inlineStr">
        <is>
          <t>1×2</t>
        </is>
      </c>
      <c r="J1242" s="8" t="n">
        <v>2</v>
      </c>
      <c r="K1242" s="8" t="n">
        <v>3</v>
      </c>
      <c r="L1242" s="8" t="inlineStr">
        <is>
          <t>否</t>
        </is>
      </c>
      <c r="M1242" s="9" t="inlineStr"/>
      <c r="N1242" s="8" t="n">
        <v>1</v>
      </c>
      <c r="O1242" s="9" t="inlineStr">
        <is>
          <t>周期触发</t>
        </is>
      </c>
      <c r="P1242" s="9" t="inlineStr">
        <is>
          <t>periodicPulse</t>
        </is>
      </c>
      <c r="Q1242" s="9" t="inlineStr">
        <is>
          <t>周期触发：轮转时，将 10 点体力转化为 10 点气血</t>
        </is>
      </c>
      <c r="R1242" s="9" t="inlineStr"/>
      <c r="S1242" s="9" t="inlineStr">
        <is>
          <t>一只碧潭水囊，囊壁柔韧。产自妖兽「碧潭灵獭」。</t>
        </is>
      </c>
      <c r="T1242" s="8" t="inlineStr">
        <is>
          <t>material_bitan_lingta_pool_belly_sac_1x2</t>
        </is>
      </c>
      <c r="U1242" s="8" t="inlineStr">
        <is>
          <t>allowed</t>
        </is>
      </c>
    </row>
    <row r="1243" ht="34" customHeight="1">
      <c r="A1243" s="8" t="n">
        <v>1242</v>
      </c>
      <c r="B1243" s="8" t="n">
        <v>500350</v>
      </c>
      <c r="C1243" s="8" t="inlineStr">
        <is>
          <t>储水软腱</t>
        </is>
      </c>
      <c r="D1243" s="8" t="inlineStr">
        <is>
          <t>材料</t>
        </is>
      </c>
      <c r="E1243" s="8" t="inlineStr">
        <is>
          <t>material</t>
        </is>
      </c>
      <c r="F1243" s="8" t="inlineStr">
        <is>
          <t>common</t>
        </is>
      </c>
      <c r="G1243" s="8" t="inlineStr">
        <is>
          <t>无</t>
        </is>
      </c>
      <c r="H1243" s="8" t="inlineStr">
        <is>
          <t>none</t>
        </is>
      </c>
      <c r="I1243" s="8" t="inlineStr">
        <is>
          <t>1×1</t>
        </is>
      </c>
      <c r="J1243" s="8" t="n">
        <v>1</v>
      </c>
      <c r="K1243" s="8" t="n">
        <v>2</v>
      </c>
      <c r="L1243" s="8" t="inlineStr">
        <is>
          <t>否</t>
        </is>
      </c>
      <c r="M1243" s="9" t="inlineStr"/>
      <c r="N1243" s="8" t="n">
        <v>1</v>
      </c>
      <c r="O1243" s="9" t="inlineStr">
        <is>
          <t>周期触发</t>
        </is>
      </c>
      <c r="P1243" s="9" t="inlineStr">
        <is>
          <t>periodicPulse</t>
        </is>
      </c>
      <c r="Q1243" s="9" t="inlineStr">
        <is>
          <t>周期触发：轮转时，恢复 20 点体力</t>
        </is>
      </c>
      <c r="R1243" s="9" t="inlineStr"/>
      <c r="S1243" s="9" t="inlineStr">
        <is>
          <t>一段储水软腱，仍带有泉气。产自妖兽「碧潭灵獭」。</t>
        </is>
      </c>
      <c r="T1243" s="8" t="inlineStr">
        <is>
          <t>material_bitan_lingta_water_storing_tendon_1x1</t>
        </is>
      </c>
      <c r="U1243" s="8" t="inlineStr">
        <is>
          <t>allowed</t>
        </is>
      </c>
    </row>
    <row r="1244" ht="34" customHeight="1">
      <c r="A1244" s="8" t="n">
        <v>1243</v>
      </c>
      <c r="B1244" s="8" t="n">
        <v>500351</v>
      </c>
      <c r="C1244" s="8" t="inlineStr">
        <is>
          <t>月砂吸盘</t>
        </is>
      </c>
      <c r="D1244" s="8" t="inlineStr">
        <is>
          <t>材料</t>
        </is>
      </c>
      <c r="E1244" s="8" t="inlineStr">
        <is>
          <t>material</t>
        </is>
      </c>
      <c r="F1244" s="8" t="inlineStr">
        <is>
          <t>common</t>
        </is>
      </c>
      <c r="G1244" s="8" t="inlineStr">
        <is>
          <t>水</t>
        </is>
      </c>
      <c r="H1244" s="8" t="inlineStr">
        <is>
          <t>water</t>
        </is>
      </c>
      <c r="I1244" s="8" t="inlineStr">
        <is>
          <t>2×2</t>
        </is>
      </c>
      <c r="J1244" s="8" t="n">
        <v>4</v>
      </c>
      <c r="K1244" s="8" t="n">
        <v>4</v>
      </c>
      <c r="L1244" s="8" t="inlineStr">
        <is>
          <t>是</t>
        </is>
      </c>
      <c r="M1244" s="9" t="inlineStr">
        <is>
          <t>beastDrop</t>
        </is>
      </c>
      <c r="N1244" s="8" t="n">
        <v>1</v>
      </c>
      <c r="O1244" s="9" t="inlineStr">
        <is>
          <t>周期触发</t>
        </is>
      </c>
      <c r="P1244" s="9" t="inlineStr">
        <is>
          <t>periodicPulse</t>
        </is>
      </c>
      <c r="Q1244" s="9" t="inlineStr">
        <is>
          <t>周期触发：轮转时，吸取敌方 3 点气血</t>
        </is>
      </c>
      <c r="R1244" s="9" t="inlineStr"/>
      <c r="S1244" s="9" t="inlineStr">
        <is>
          <t>一片月砂足垫，边缘带着细砂纹。产自妖兽「月砂石貂」。</t>
        </is>
      </c>
      <c r="T1244" s="8" t="inlineStr">
        <is>
          <t>material_yuesha_shidiao_moon_sand_footpad_2x2</t>
        </is>
      </c>
      <c r="U1244" s="8" t="inlineStr">
        <is>
          <t>allowed</t>
        </is>
      </c>
    </row>
    <row r="1245" ht="34" customHeight="1">
      <c r="A1245" s="8" t="n">
        <v>1244</v>
      </c>
      <c r="B1245" s="8" t="n">
        <v>500352</v>
      </c>
      <c r="C1245" s="8" t="inlineStr">
        <is>
          <t>石貂腹环</t>
        </is>
      </c>
      <c r="D1245" s="8" t="inlineStr">
        <is>
          <t>材料</t>
        </is>
      </c>
      <c r="E1245" s="8" t="inlineStr">
        <is>
          <t>material</t>
        </is>
      </c>
      <c r="F1245" s="8" t="inlineStr">
        <is>
          <t>common</t>
        </is>
      </c>
      <c r="G1245" s="8" t="inlineStr">
        <is>
          <t>水</t>
        </is>
      </c>
      <c r="H1245" s="8" t="inlineStr">
        <is>
          <t>water</t>
        </is>
      </c>
      <c r="I1245" s="8" t="inlineStr">
        <is>
          <t>2×2</t>
        </is>
      </c>
      <c r="J1245" s="8" t="n">
        <v>4</v>
      </c>
      <c r="K1245" s="8" t="n">
        <v>2</v>
      </c>
      <c r="L1245" s="8" t="inlineStr">
        <is>
          <t>否</t>
        </is>
      </c>
      <c r="M1245" s="9" t="inlineStr"/>
      <c r="N1245" s="8" t="n">
        <v>1</v>
      </c>
      <c r="O1245" s="9" t="inlineStr">
        <is>
          <t>周期触发</t>
        </is>
      </c>
      <c r="P1245" s="9" t="inlineStr">
        <is>
          <t>periodicPulse</t>
        </is>
      </c>
      <c r="Q1245" s="9" t="inlineStr">
        <is>
          <t>周期触发：轮转时，吸取敌方 5 点体力</t>
        </is>
      </c>
      <c r="R1245" s="9" t="inlineStr"/>
      <c r="S1245" s="9" t="inlineStr">
        <is>
          <t>一枚石貂腹环，表面有银砂细纹。产自妖兽「月砂石貂」。</t>
        </is>
      </c>
      <c r="T1245" s="8" t="inlineStr">
        <is>
          <t>material_yuesha_shidiao_marten_belly_ring_2x2</t>
        </is>
      </c>
      <c r="U1245" s="8" t="inlineStr">
        <is>
          <t>allowed</t>
        </is>
      </c>
    </row>
    <row r="1246" ht="34" customHeight="1">
      <c r="A1246" s="8" t="n">
        <v>1245</v>
      </c>
      <c r="B1246" s="8" t="n">
        <v>500353</v>
      </c>
      <c r="C1246" s="8" t="inlineStr">
        <is>
          <t>月砂细牙</t>
        </is>
      </c>
      <c r="D1246" s="8" t="inlineStr">
        <is>
          <t>材料</t>
        </is>
      </c>
      <c r="E1246" s="8" t="inlineStr">
        <is>
          <t>material</t>
        </is>
      </c>
      <c r="F1246" s="8" t="inlineStr">
        <is>
          <t>common</t>
        </is>
      </c>
      <c r="G1246" s="8" t="inlineStr">
        <is>
          <t>水</t>
        </is>
      </c>
      <c r="H1246" s="8" t="inlineStr">
        <is>
          <t>water</t>
        </is>
      </c>
      <c r="I1246" s="8" t="inlineStr">
        <is>
          <t>2×2</t>
        </is>
      </c>
      <c r="J1246" s="8" t="n">
        <v>4</v>
      </c>
      <c r="K1246" s="8" t="n">
        <v>2</v>
      </c>
      <c r="L1246" s="8" t="inlineStr">
        <is>
          <t>否</t>
        </is>
      </c>
      <c r="M1246" s="9" t="inlineStr"/>
      <c r="N1246" s="8" t="n">
        <v>1</v>
      </c>
      <c r="O1246" s="9" t="inlineStr">
        <is>
          <t>周期触发</t>
        </is>
      </c>
      <c r="P1246" s="9" t="inlineStr">
        <is>
          <t>periodicPulse</t>
        </is>
      </c>
      <c r="Q1246" s="9" t="inlineStr">
        <is>
          <t>周期触发：轮转时，对敌方造成 1 点伤害 3 次</t>
        </is>
      </c>
      <c r="R1246" s="9" t="inlineStr"/>
      <c r="S1246" s="9" t="inlineStr">
        <is>
          <t>一组月砂细牙，牙尖像碎月石。产自妖兽「月砂石貂」。</t>
        </is>
      </c>
      <c r="T1246" s="8" t="inlineStr">
        <is>
          <t>material_yuesha_shidiao_moon_sand_teeth_2x2</t>
        </is>
      </c>
      <c r="U1246" s="8" t="inlineStr">
        <is>
          <t>allowed</t>
        </is>
      </c>
    </row>
    <row r="1247" ht="34" customHeight="1">
      <c r="A1247" s="8" t="n">
        <v>1246</v>
      </c>
      <c r="B1247" s="8" t="n">
        <v>500354</v>
      </c>
      <c r="C1247" s="8" t="inlineStr">
        <is>
          <t>碎月尾针</t>
        </is>
      </c>
      <c r="D1247" s="8" t="inlineStr">
        <is>
          <t>材料</t>
        </is>
      </c>
      <c r="E1247" s="8" t="inlineStr">
        <is>
          <t>material</t>
        </is>
      </c>
      <c r="F1247" s="8" t="inlineStr">
        <is>
          <t>common</t>
        </is>
      </c>
      <c r="G1247" s="8" t="inlineStr">
        <is>
          <t>水</t>
        </is>
      </c>
      <c r="H1247" s="8" t="inlineStr">
        <is>
          <t>water</t>
        </is>
      </c>
      <c r="I1247" s="8" t="inlineStr">
        <is>
          <t>2×2</t>
        </is>
      </c>
      <c r="J1247" s="8" t="n">
        <v>4</v>
      </c>
      <c r="K1247" s="8" t="n">
        <v>1</v>
      </c>
      <c r="L1247" s="8" t="inlineStr">
        <is>
          <t>否</t>
        </is>
      </c>
      <c r="M1247" s="9" t="inlineStr"/>
      <c r="N1247" s="8" t="n">
        <v>1</v>
      </c>
      <c r="O1247" s="9" t="inlineStr">
        <is>
          <t>周期触发</t>
        </is>
      </c>
      <c r="P1247" s="9" t="inlineStr">
        <is>
          <t>periodicPulse</t>
        </is>
      </c>
      <c r="Q1247" s="9" t="inlineStr">
        <is>
          <t>周期触发：轮转时，对敌方造成 1 点伤害</t>
        </is>
      </c>
      <c r="R1247" s="9" t="inlineStr"/>
      <c r="S1247" s="9" t="inlineStr">
        <is>
          <t>一枚碎月尾针，针身细长透亮。产自妖兽「月砂石貂」。</t>
        </is>
      </c>
      <c r="T1247" s="8" t="inlineStr">
        <is>
          <t>material_yuesha_shidiao_moon_tail_needle_2x2</t>
        </is>
      </c>
      <c r="U1247" s="8" t="inlineStr">
        <is>
          <t>allowed</t>
        </is>
      </c>
    </row>
    <row r="1248" ht="34" customHeight="1">
      <c r="A1248" s="8" t="n">
        <v>1247</v>
      </c>
      <c r="B1248" s="8" t="n">
        <v>500355</v>
      </c>
      <c r="C1248" s="8" t="inlineStr">
        <is>
          <t>玄砂蹄环</t>
        </is>
      </c>
      <c r="D1248" s="8" t="inlineStr">
        <is>
          <t>材料</t>
        </is>
      </c>
      <c r="E1248" s="8" t="inlineStr">
        <is>
          <t>material</t>
        </is>
      </c>
      <c r="F1248" s="8" t="inlineStr">
        <is>
          <t>common</t>
        </is>
      </c>
      <c r="G1248" s="8" t="inlineStr">
        <is>
          <t>水</t>
        </is>
      </c>
      <c r="H1248" s="8" t="inlineStr">
        <is>
          <t>water</t>
        </is>
      </c>
      <c r="I1248" s="8" t="inlineStr">
        <is>
          <t>2×2</t>
        </is>
      </c>
      <c r="J1248" s="8" t="n">
        <v>4</v>
      </c>
      <c r="K1248" s="8" t="n">
        <v>7</v>
      </c>
      <c r="L1248" s="8" t="inlineStr">
        <is>
          <t>是</t>
        </is>
      </c>
      <c r="M1248" s="9" t="inlineStr">
        <is>
          <t>beastDrop</t>
        </is>
      </c>
      <c r="N1248" s="8" t="n">
        <v>1</v>
      </c>
      <c r="O1248" s="9" t="inlineStr">
        <is>
          <t>周期触发</t>
        </is>
      </c>
      <c r="P1248" s="9" t="inlineStr">
        <is>
          <t>periodicPulse</t>
        </is>
      </c>
      <c r="Q1248" s="9" t="inlineStr">
        <is>
          <t>周期触发：轮转时，吸取敌方 5 点体力</t>
        </is>
      </c>
      <c r="R1248" s="9" t="inlineStr"/>
      <c r="S1248" s="9" t="inlineStr">
        <is>
          <t>一枚玄砂蹄环，边缘带着银白晶砂。产自妖兽「玄砂岩麂」。</t>
        </is>
      </c>
      <c r="T1248" s="8" t="inlineStr">
        <is>
          <t>material_xuansha_yanji_black_sand_hoof_ring_2x2</t>
        </is>
      </c>
      <c r="U1248" s="8" t="inlineStr">
        <is>
          <t>allowed</t>
        </is>
      </c>
    </row>
    <row r="1249" ht="34" customHeight="1">
      <c r="A1249" s="8" t="n">
        <v>1248</v>
      </c>
      <c r="B1249" s="8" t="n">
        <v>500356</v>
      </c>
      <c r="C1249" s="8" t="inlineStr">
        <is>
          <t>岩麂裂牙</t>
        </is>
      </c>
      <c r="D1249" s="8" t="inlineStr">
        <is>
          <t>材料</t>
        </is>
      </c>
      <c r="E1249" s="8" t="inlineStr">
        <is>
          <t>material</t>
        </is>
      </c>
      <c r="F1249" s="8" t="inlineStr">
        <is>
          <t>common</t>
        </is>
      </c>
      <c r="G1249" s="8" t="inlineStr">
        <is>
          <t>水</t>
        </is>
      </c>
      <c r="H1249" s="8" t="inlineStr">
        <is>
          <t>water</t>
        </is>
      </c>
      <c r="I1249" s="8" t="inlineStr">
        <is>
          <t>1×2</t>
        </is>
      </c>
      <c r="J1249" s="8" t="n">
        <v>2</v>
      </c>
      <c r="K1249" s="8" t="n">
        <v>2</v>
      </c>
      <c r="L1249" s="8" t="inlineStr">
        <is>
          <t>否</t>
        </is>
      </c>
      <c r="M1249" s="9" t="inlineStr"/>
      <c r="N1249" s="8" t="n">
        <v>1</v>
      </c>
      <c r="O1249" s="9" t="inlineStr">
        <is>
          <t>周期触发</t>
        </is>
      </c>
      <c r="P1249" s="9" t="inlineStr">
        <is>
          <t>periodicPulse</t>
        </is>
      </c>
      <c r="Q1249" s="9" t="inlineStr">
        <is>
          <t>周期触发：轮转时，对敌方造成 2 点伤害 3 次</t>
        </is>
      </c>
      <c r="R1249" s="9" t="inlineStr"/>
      <c r="S1249" s="9" t="inlineStr">
        <is>
          <t>一枚岩麂裂牙，牙面有玄砂裂纹。产自妖兽「玄砂岩麂」。</t>
        </is>
      </c>
      <c r="T1249" s="8" t="inlineStr">
        <is>
          <t>material_xuansha_yanji_muntjac_split_fang_1x2</t>
        </is>
      </c>
      <c r="U1249" s="8" t="inlineStr">
        <is>
          <t>allowed</t>
        </is>
      </c>
    </row>
    <row r="1250" ht="34" customHeight="1">
      <c r="A1250" s="8" t="n">
        <v>1249</v>
      </c>
      <c r="B1250" s="8" t="n">
        <v>500357</v>
      </c>
      <c r="C1250" s="8" t="inlineStr">
        <is>
          <t>月砂厚皮</t>
        </is>
      </c>
      <c r="D1250" s="8" t="inlineStr">
        <is>
          <t>材料</t>
        </is>
      </c>
      <c r="E1250" s="8" t="inlineStr">
        <is>
          <t>material</t>
        </is>
      </c>
      <c r="F1250" s="8" t="inlineStr">
        <is>
          <t>common</t>
        </is>
      </c>
      <c r="G1250" s="8" t="inlineStr">
        <is>
          <t>水</t>
        </is>
      </c>
      <c r="H1250" s="8" t="inlineStr">
        <is>
          <t>water</t>
        </is>
      </c>
      <c r="I1250" s="8" t="inlineStr">
        <is>
          <t>1×2</t>
        </is>
      </c>
      <c r="J1250" s="8" t="n">
        <v>2</v>
      </c>
      <c r="K1250" s="8" t="n">
        <v>2</v>
      </c>
      <c r="L1250" s="8" t="inlineStr">
        <is>
          <t>否</t>
        </is>
      </c>
      <c r="M1250" s="9" t="inlineStr"/>
      <c r="N1250" s="8" t="n">
        <v>1</v>
      </c>
      <c r="O1250" s="9" t="inlineStr">
        <is>
          <t>被动效果</t>
        </is>
      </c>
      <c r="P1250" s="9" t="inlineStr">
        <is>
          <t>passive</t>
        </is>
      </c>
      <c r="Q1250" s="9" t="inlineStr">
        <is>
          <t>被动效果：气血上限临时 +10</t>
        </is>
      </c>
      <c r="R1250" s="9" t="inlineStr"/>
      <c r="S1250" s="9" t="inlineStr">
        <is>
          <t>一片月砂厚皮，质地坚韧。产自妖兽「玄砂岩麂」。</t>
        </is>
      </c>
      <c r="T1250" s="8" t="inlineStr">
        <is>
          <t>material_xuansha_yanji_moon_sand_thick_hide_1x2</t>
        </is>
      </c>
      <c r="U1250" s="8" t="inlineStr">
        <is>
          <t>allowed</t>
        </is>
      </c>
    </row>
    <row r="1251" ht="34" customHeight="1">
      <c r="A1251" s="8" t="n">
        <v>1250</v>
      </c>
      <c r="B1251" s="8" t="n">
        <v>500358</v>
      </c>
      <c r="C1251" s="8" t="inlineStr">
        <is>
          <t>玄砂颚爪</t>
        </is>
      </c>
      <c r="D1251" s="8" t="inlineStr">
        <is>
          <t>材料</t>
        </is>
      </c>
      <c r="E1251" s="8" t="inlineStr">
        <is>
          <t>material</t>
        </is>
      </c>
      <c r="F1251" s="8" t="inlineStr">
        <is>
          <t>common</t>
        </is>
      </c>
      <c r="G1251" s="8" t="inlineStr">
        <is>
          <t>水</t>
        </is>
      </c>
      <c r="H1251" s="8" t="inlineStr">
        <is>
          <t>water</t>
        </is>
      </c>
      <c r="I1251" s="8" t="inlineStr">
        <is>
          <t>2×2</t>
        </is>
      </c>
      <c r="J1251" s="8" t="n">
        <v>4</v>
      </c>
      <c r="K1251" s="8" t="n">
        <v>4</v>
      </c>
      <c r="L1251" s="8" t="inlineStr">
        <is>
          <t>否</t>
        </is>
      </c>
      <c r="M1251" s="9" t="inlineStr"/>
      <c r="N1251" s="8" t="n">
        <v>1</v>
      </c>
      <c r="O1251" s="9" t="inlineStr">
        <is>
          <t>周期触发</t>
        </is>
      </c>
      <c r="P1251" s="9" t="inlineStr">
        <is>
          <t>periodicPulse</t>
        </is>
      </c>
      <c r="Q1251" s="9" t="inlineStr">
        <is>
          <t>周期触发：轮转时，吸取敌方 3 点气血</t>
        </is>
      </c>
      <c r="R1251" s="9" t="inlineStr"/>
      <c r="S1251" s="9" t="inlineStr">
        <is>
          <t>一枚玄砂颚爪，弧度清晰。产自妖兽「玄砂岩麂」。</t>
        </is>
      </c>
      <c r="T1251" s="8" t="inlineStr">
        <is>
          <t>material_xuansha_yanji_black_sand_jaw_claw_2x2</t>
        </is>
      </c>
      <c r="U1251" s="8" t="inlineStr">
        <is>
          <t>allowed</t>
        </is>
      </c>
    </row>
    <row r="1252" ht="34" customHeight="1">
      <c r="A1252" s="8" t="n">
        <v>1251</v>
      </c>
      <c r="B1252" s="8" t="n">
        <v>500359</v>
      </c>
      <c r="C1252" s="8" t="inlineStr">
        <is>
          <t>砂脉须管</t>
        </is>
      </c>
      <c r="D1252" s="8" t="inlineStr">
        <is>
          <t>材料</t>
        </is>
      </c>
      <c r="E1252" s="8" t="inlineStr">
        <is>
          <t>material</t>
        </is>
      </c>
      <c r="F1252" s="8" t="inlineStr">
        <is>
          <t>common</t>
        </is>
      </c>
      <c r="G1252" s="8" t="inlineStr">
        <is>
          <t>水</t>
        </is>
      </c>
      <c r="H1252" s="8" t="inlineStr">
        <is>
          <t>water</t>
        </is>
      </c>
      <c r="I1252" s="8" t="inlineStr">
        <is>
          <t>1×2</t>
        </is>
      </c>
      <c r="J1252" s="8" t="n">
        <v>2</v>
      </c>
      <c r="K1252" s="8" t="n">
        <v>2</v>
      </c>
      <c r="L1252" s="8" t="inlineStr">
        <is>
          <t>否</t>
        </is>
      </c>
      <c r="M1252" s="9" t="inlineStr"/>
      <c r="N1252" s="8" t="n">
        <v>1</v>
      </c>
      <c r="O1252" s="9" t="inlineStr">
        <is>
          <t>周期触发</t>
        </is>
      </c>
      <c r="P1252" s="9" t="inlineStr">
        <is>
          <t>periodicPulse</t>
        </is>
      </c>
      <c r="Q1252" s="9" t="inlineStr">
        <is>
          <t>周期触发：轮转时，吸取敌方 2 点法力</t>
        </is>
      </c>
      <c r="R1252" s="9" t="inlineStr"/>
      <c r="S1252" s="9" t="inlineStr">
        <is>
          <t>一段砂脉须管，管壁有微亮晶点。产自妖兽「玄砂岩麂」。</t>
        </is>
      </c>
      <c r="T1252" s="8" t="inlineStr">
        <is>
          <t>material_xuansha_yanji_sand_vein_whisker_1x2</t>
        </is>
      </c>
      <c r="U1252" s="8" t="inlineStr">
        <is>
          <t>allowed</t>
        </is>
      </c>
    </row>
    <row r="1253" ht="34" customHeight="1">
      <c r="A1253" s="8" t="n">
        <v>1252</v>
      </c>
      <c r="B1253" s="8" t="n">
        <v>500360</v>
      </c>
      <c r="C1253" s="8" t="inlineStr">
        <is>
          <t>岩麂尾刺</t>
        </is>
      </c>
      <c r="D1253" s="8" t="inlineStr">
        <is>
          <t>材料</t>
        </is>
      </c>
      <c r="E1253" s="8" t="inlineStr">
        <is>
          <t>material</t>
        </is>
      </c>
      <c r="F1253" s="8" t="inlineStr">
        <is>
          <t>common</t>
        </is>
      </c>
      <c r="G1253" s="8" t="inlineStr">
        <is>
          <t>水</t>
        </is>
      </c>
      <c r="H1253" s="8" t="inlineStr">
        <is>
          <t>water</t>
        </is>
      </c>
      <c r="I1253" s="8" t="inlineStr">
        <is>
          <t>1×2</t>
        </is>
      </c>
      <c r="J1253" s="8" t="n">
        <v>2</v>
      </c>
      <c r="K1253" s="8" t="n">
        <v>1</v>
      </c>
      <c r="L1253" s="8" t="inlineStr">
        <is>
          <t>否</t>
        </is>
      </c>
      <c r="M1253" s="9" t="inlineStr"/>
      <c r="N1253" s="8" t="n">
        <v>1</v>
      </c>
      <c r="O1253" s="9" t="inlineStr">
        <is>
          <t>周期触发</t>
        </is>
      </c>
      <c r="P1253" s="9" t="inlineStr">
        <is>
          <t>periodicPulse</t>
        </is>
      </c>
      <c r="Q1253" s="9" t="inlineStr">
        <is>
          <t>周期触发：轮转时，对敌方造成 3 点伤害</t>
        </is>
      </c>
      <c r="R1253" s="9" t="inlineStr"/>
      <c r="S1253" s="9" t="inlineStr">
        <is>
          <t>一枚岩麂尾刺，刺尖像碎月石。产自妖兽「玄砂岩麂」。</t>
        </is>
      </c>
      <c r="T1253" s="8" t="inlineStr">
        <is>
          <t>material_xuansha_yanji_muntjac_tail_spine_1x2</t>
        </is>
      </c>
      <c r="U1253" s="8" t="inlineStr">
        <is>
          <t>allowed</t>
        </is>
      </c>
    </row>
    <row r="1254" ht="34" customHeight="1">
      <c r="A1254" s="8" t="n">
        <v>1253</v>
      </c>
      <c r="B1254" s="8" t="n">
        <v>500361</v>
      </c>
      <c r="C1254" s="8" t="inlineStr">
        <is>
          <t>芝冠鹿角</t>
        </is>
      </c>
      <c r="D1254" s="8" t="inlineStr">
        <is>
          <t>材料</t>
        </is>
      </c>
      <c r="E1254" s="8" t="inlineStr">
        <is>
          <t>material</t>
        </is>
      </c>
      <c r="F1254" s="8" t="inlineStr">
        <is>
          <t>common</t>
        </is>
      </c>
      <c r="G1254" s="8" t="inlineStr">
        <is>
          <t>木</t>
        </is>
      </c>
      <c r="H1254" s="8" t="inlineStr">
        <is>
          <t>wood</t>
        </is>
      </c>
      <c r="I1254" s="8" t="inlineStr">
        <is>
          <t>2×2</t>
        </is>
      </c>
      <c r="J1254" s="8" t="n">
        <v>4</v>
      </c>
      <c r="K1254" s="8" t="n">
        <v>4</v>
      </c>
      <c r="L1254" s="8" t="inlineStr">
        <is>
          <t>是</t>
        </is>
      </c>
      <c r="M1254" s="9" t="inlineStr">
        <is>
          <t>beastDrop</t>
        </is>
      </c>
      <c r="N1254" s="8" t="n">
        <v>1</v>
      </c>
      <c r="O1254" s="9" t="inlineStr">
        <is>
          <t>周期触发</t>
        </is>
      </c>
      <c r="P1254" s="9" t="inlineStr">
        <is>
          <t>periodicPulse</t>
        </is>
      </c>
      <c r="Q1254" s="9" t="inlineStr">
        <is>
          <t>周期触发：轮转时，获得 5 层露水</t>
        </is>
      </c>
      <c r="R1254" s="9" t="inlineStr"/>
      <c r="S1254" s="9" t="inlineStr">
        <is>
          <t>一段芝冠鹿角，角枝带着灵芝纹。产自妖兽「芝冠灵鹿」。</t>
        </is>
      </c>
      <c r="T1254" s="8" t="inlineStr">
        <is>
          <t>material_zhiguan_linglu_mushroom_crown_antler_2x2</t>
        </is>
      </c>
      <c r="U1254" s="8" t="inlineStr">
        <is>
          <t>allowed</t>
        </is>
      </c>
    </row>
    <row r="1255" ht="34" customHeight="1">
      <c r="A1255" s="8" t="n">
        <v>1254</v>
      </c>
      <c r="B1255" s="8" t="n">
        <v>500362</v>
      </c>
      <c r="C1255" s="8" t="inlineStr">
        <is>
          <t>护台绒衣</t>
        </is>
      </c>
      <c r="D1255" s="8" t="inlineStr">
        <is>
          <t>材料</t>
        </is>
      </c>
      <c r="E1255" s="8" t="inlineStr">
        <is>
          <t>material</t>
        </is>
      </c>
      <c r="F1255" s="8" t="inlineStr">
        <is>
          <t>common</t>
        </is>
      </c>
      <c r="G1255" s="8" t="inlineStr">
        <is>
          <t>木</t>
        </is>
      </c>
      <c r="H1255" s="8" t="inlineStr">
        <is>
          <t>wood</t>
        </is>
      </c>
      <c r="I1255" s="8" t="inlineStr">
        <is>
          <t>2×2</t>
        </is>
      </c>
      <c r="J1255" s="8" t="n">
        <v>4</v>
      </c>
      <c r="K1255" s="8" t="n">
        <v>2</v>
      </c>
      <c r="L1255" s="8" t="inlineStr">
        <is>
          <t>否</t>
        </is>
      </c>
      <c r="M1255" s="9" t="inlineStr"/>
      <c r="N1255" s="8" t="n">
        <v>1</v>
      </c>
      <c r="O1255" s="9" t="inlineStr">
        <is>
          <t>条件触发</t>
        </is>
      </c>
      <c r="P1255" s="9" t="inlineStr">
        <is>
          <t>triggered</t>
        </is>
      </c>
      <c r="Q1255" s="9" t="inlineStr">
        <is>
          <t>条件触发：受到伤害时，获得 1 层露水</t>
        </is>
      </c>
      <c r="R1255" s="9" t="inlineStr"/>
      <c r="S1255" s="9" t="inlineStr">
        <is>
          <t>一片护台绒衣，表面覆着青玉细绒。产自妖兽「芝冠灵鹿」。</t>
        </is>
      </c>
      <c r="T1255" s="8" t="inlineStr">
        <is>
          <t>material_zhiguan_linglu_guarding_fleece_2x2</t>
        </is>
      </c>
      <c r="U1255" s="8" t="inlineStr">
        <is>
          <t>allowed</t>
        </is>
      </c>
    </row>
    <row r="1256" ht="34" customHeight="1">
      <c r="A1256" s="8" t="n">
        <v>1255</v>
      </c>
      <c r="B1256" s="8" t="n">
        <v>500363</v>
      </c>
      <c r="C1256" s="8" t="inlineStr">
        <is>
          <t>芝角裂晶</t>
        </is>
      </c>
      <c r="D1256" s="8" t="inlineStr">
        <is>
          <t>材料</t>
        </is>
      </c>
      <c r="E1256" s="8" t="inlineStr">
        <is>
          <t>material</t>
        </is>
      </c>
      <c r="F1256" s="8" t="inlineStr">
        <is>
          <t>common</t>
        </is>
      </c>
      <c r="G1256" s="8" t="inlineStr">
        <is>
          <t>木</t>
        </is>
      </c>
      <c r="H1256" s="8" t="inlineStr">
        <is>
          <t>wood</t>
        </is>
      </c>
      <c r="I1256" s="8" t="inlineStr">
        <is>
          <t>2×2</t>
        </is>
      </c>
      <c r="J1256" s="8" t="n">
        <v>4</v>
      </c>
      <c r="K1256" s="8" t="n">
        <v>3</v>
      </c>
      <c r="L1256" s="8" t="inlineStr">
        <is>
          <t>否</t>
        </is>
      </c>
      <c r="M1256" s="9" t="inlineStr"/>
      <c r="N1256" s="8" t="n">
        <v>1</v>
      </c>
      <c r="O1256" s="9" t="inlineStr">
        <is>
          <t>周期触发</t>
        </is>
      </c>
      <c r="P1256" s="9" t="inlineStr">
        <is>
          <t>periodicPulse</t>
        </is>
      </c>
      <c r="Q1256" s="9" t="inlineStr">
        <is>
          <t>周期触发：轮转时，消耗 8 层露水，对敌方造成 8 点伤害；消耗 8 层露水，对敌方造成 8 点伤害</t>
        </is>
      </c>
      <c r="R1256" s="9" t="inlineStr"/>
      <c r="S1256" s="9" t="inlineStr">
        <is>
          <t>一枚芝角裂晶，晶面泛着青光。产自妖兽「芝冠灵鹿」。</t>
        </is>
      </c>
      <c r="T1256" s="8" t="inlineStr">
        <is>
          <t>material_zhiguan_linglu_cracked_antler_crystal_2x2</t>
        </is>
      </c>
      <c r="U1256" s="8" t="inlineStr">
        <is>
          <t>allowed</t>
        </is>
      </c>
    </row>
    <row r="1257" ht="34" customHeight="1">
      <c r="A1257" s="8" t="n">
        <v>1256</v>
      </c>
      <c r="B1257" s="8" t="n">
        <v>500364</v>
      </c>
      <c r="C1257" s="8" t="inlineStr">
        <is>
          <t>玉露初芽</t>
        </is>
      </c>
      <c r="D1257" s="8" t="inlineStr">
        <is>
          <t>材料</t>
        </is>
      </c>
      <c r="E1257" s="8" t="inlineStr">
        <is>
          <t>material</t>
        </is>
      </c>
      <c r="F1257" s="8" t="inlineStr">
        <is>
          <t>common</t>
        </is>
      </c>
      <c r="G1257" s="8" t="inlineStr">
        <is>
          <t>木</t>
        </is>
      </c>
      <c r="H1257" s="8" t="inlineStr">
        <is>
          <t>wood</t>
        </is>
      </c>
      <c r="I1257" s="8" t="inlineStr">
        <is>
          <t>2×2</t>
        </is>
      </c>
      <c r="J1257" s="8" t="n">
        <v>4</v>
      </c>
      <c r="K1257" s="8" t="n">
        <v>2</v>
      </c>
      <c r="L1257" s="8" t="inlineStr">
        <is>
          <t>否</t>
        </is>
      </c>
      <c r="M1257" s="9" t="inlineStr"/>
      <c r="N1257" s="8" t="n">
        <v>1</v>
      </c>
      <c r="O1257" s="9" t="inlineStr">
        <is>
          <t>周期触发</t>
        </is>
      </c>
      <c r="P1257" s="9" t="inlineStr">
        <is>
          <t>periodicPulse</t>
        </is>
      </c>
      <c r="Q1257" s="9" t="inlineStr">
        <is>
          <t>周期触发：开局时，获得 8 层露水</t>
        </is>
      </c>
      <c r="R1257" s="9" t="inlineStr"/>
      <c r="S1257" s="9" t="inlineStr">
        <is>
          <t>一枚玉露初芽，仍含清亮露气。产自妖兽「芝冠灵鹿」。</t>
        </is>
      </c>
      <c r="T1257" s="8" t="inlineStr">
        <is>
          <t>material_zhiguan_linglu_jade_dew_sprout_2x2</t>
        </is>
      </c>
      <c r="U1257" s="8" t="inlineStr">
        <is>
          <t>allowed</t>
        </is>
      </c>
    </row>
    <row r="1258" ht="34" customHeight="1">
      <c r="A1258" s="8" t="n">
        <v>1257</v>
      </c>
      <c r="B1258" s="8" t="n">
        <v>500365</v>
      </c>
      <c r="C1258" s="8" t="inlineStr">
        <is>
          <t>青麟玉衣</t>
        </is>
      </c>
      <c r="D1258" s="8" t="inlineStr">
        <is>
          <t>材料</t>
        </is>
      </c>
      <c r="E1258" s="8" t="inlineStr">
        <is>
          <t>material</t>
        </is>
      </c>
      <c r="F1258" s="8" t="inlineStr">
        <is>
          <t>common</t>
        </is>
      </c>
      <c r="G1258" s="8" t="inlineStr">
        <is>
          <t>木</t>
        </is>
      </c>
      <c r="H1258" s="8" t="inlineStr">
        <is>
          <t>wood</t>
        </is>
      </c>
      <c r="I1258" s="8" t="inlineStr">
        <is>
          <t>2×1</t>
        </is>
      </c>
      <c r="J1258" s="8" t="n">
        <v>2</v>
      </c>
      <c r="K1258" s="8" t="n">
        <v>7</v>
      </c>
      <c r="L1258" s="8" t="inlineStr">
        <is>
          <t>是</t>
        </is>
      </c>
      <c r="M1258" s="9" t="inlineStr">
        <is>
          <t>beastDrop</t>
        </is>
      </c>
      <c r="N1258" s="8" t="n">
        <v>1</v>
      </c>
      <c r="O1258" s="9" t="inlineStr">
        <is>
          <t>条件触发</t>
        </is>
      </c>
      <c r="P1258" s="9" t="inlineStr">
        <is>
          <t>triggered</t>
        </is>
      </c>
      <c r="Q1258" s="9" t="inlineStr">
        <is>
          <t>条件触发：受到伤害时，获得 1 层露水</t>
        </is>
      </c>
      <c r="R1258" s="9" t="inlineStr"/>
      <c r="S1258" s="9" t="inlineStr">
        <is>
          <t>一片青麟玉衣，表面有温润玉光。产自妖兽「玉台青麟」。</t>
        </is>
      </c>
      <c r="T1258" s="8" t="inlineStr">
        <is>
          <t>material_yutai_qinglin_jade_scale_cloak_2x1</t>
        </is>
      </c>
      <c r="U1258" s="8" t="inlineStr">
        <is>
          <t>allowed</t>
        </is>
      </c>
    </row>
    <row r="1259" ht="34" customHeight="1">
      <c r="A1259" s="8" t="n">
        <v>1258</v>
      </c>
      <c r="B1259" s="8" t="n">
        <v>500366</v>
      </c>
      <c r="C1259" s="8" t="inlineStr">
        <is>
          <t>玉核裂髓</t>
        </is>
      </c>
      <c r="D1259" s="8" t="inlineStr">
        <is>
          <t>材料</t>
        </is>
      </c>
      <c r="E1259" s="8" t="inlineStr">
        <is>
          <t>material</t>
        </is>
      </c>
      <c r="F1259" s="8" t="inlineStr">
        <is>
          <t>common</t>
        </is>
      </c>
      <c r="G1259" s="8" t="inlineStr">
        <is>
          <t>木</t>
        </is>
      </c>
      <c r="H1259" s="8" t="inlineStr">
        <is>
          <t>wood</t>
        </is>
      </c>
      <c r="I1259" s="8" t="inlineStr">
        <is>
          <t>1×2</t>
        </is>
      </c>
      <c r="J1259" s="8" t="n">
        <v>2</v>
      </c>
      <c r="K1259" s="8" t="n">
        <v>3</v>
      </c>
      <c r="L1259" s="8" t="inlineStr">
        <is>
          <t>否</t>
        </is>
      </c>
      <c r="M1259" s="9" t="inlineStr"/>
      <c r="N1259" s="8" t="n">
        <v>1</v>
      </c>
      <c r="O1259" s="9" t="inlineStr">
        <is>
          <t>周期触发</t>
        </is>
      </c>
      <c r="P1259" s="9" t="inlineStr">
        <is>
          <t>periodicPulse</t>
        </is>
      </c>
      <c r="Q1259" s="9" t="inlineStr">
        <is>
          <t>周期触发：轮转时，消耗 8 层露水，对敌方造成 8 点伤害；消耗 8 层露水，对敌方造成 8 点伤害</t>
        </is>
      </c>
      <c r="R1259" s="9" t="inlineStr"/>
      <c r="S1259" s="9" t="inlineStr">
        <is>
          <t>一枚玉核裂髓，裂纹中透出青光。产自妖兽「玉台青麟」。</t>
        </is>
      </c>
      <c r="T1259" s="8" t="inlineStr">
        <is>
          <t>material_yutai_qinglin_cracked_core_pulp_1x2</t>
        </is>
      </c>
      <c r="U1259" s="8" t="inlineStr">
        <is>
          <t>allowed</t>
        </is>
      </c>
    </row>
    <row r="1260" ht="34" customHeight="1">
      <c r="A1260" s="8" t="n">
        <v>1259</v>
      </c>
      <c r="B1260" s="8" t="n">
        <v>500367</v>
      </c>
      <c r="C1260" s="8" t="inlineStr">
        <is>
          <t>返光灵囊</t>
        </is>
      </c>
      <c r="D1260" s="8" t="inlineStr">
        <is>
          <t>材料</t>
        </is>
      </c>
      <c r="E1260" s="8" t="inlineStr">
        <is>
          <t>material</t>
        </is>
      </c>
      <c r="F1260" s="8" t="inlineStr">
        <is>
          <t>common</t>
        </is>
      </c>
      <c r="G1260" s="8" t="inlineStr">
        <is>
          <t>木</t>
        </is>
      </c>
      <c r="H1260" s="8" t="inlineStr">
        <is>
          <t>wood</t>
        </is>
      </c>
      <c r="I1260" s="8" t="inlineStr">
        <is>
          <t>2×1</t>
        </is>
      </c>
      <c r="J1260" s="8" t="n">
        <v>2</v>
      </c>
      <c r="K1260" s="8" t="n">
        <v>3</v>
      </c>
      <c r="L1260" s="8" t="inlineStr">
        <is>
          <t>否</t>
        </is>
      </c>
      <c r="M1260" s="9" t="inlineStr"/>
      <c r="N1260" s="8" t="n">
        <v>1</v>
      </c>
      <c r="O1260" s="9" t="inlineStr">
        <is>
          <t>周期触发</t>
        </is>
      </c>
      <c r="P1260" s="9" t="inlineStr">
        <is>
          <t>periodicPulse</t>
        </is>
      </c>
      <c r="Q1260" s="9" t="inlineStr">
        <is>
          <t>周期触发：轮转时，将所有露水转化为气血；将所有露水转化为气血</t>
        </is>
      </c>
      <c r="R1260" s="9" t="inlineStr"/>
      <c r="S1260" s="9" t="inlineStr">
        <is>
          <t>一只返光灵囊，囊壁柔韧透亮。产自妖兽「玉台青麟」。</t>
        </is>
      </c>
      <c r="T1260" s="8" t="inlineStr">
        <is>
          <t>material_yutai_qinglin_returning_light_sac_2x1</t>
        </is>
      </c>
      <c r="U1260" s="8" t="inlineStr">
        <is>
          <t>allowed</t>
        </is>
      </c>
    </row>
    <row r="1261" ht="34" customHeight="1">
      <c r="A1261" s="8" t="n">
        <v>1260</v>
      </c>
      <c r="B1261" s="8" t="n">
        <v>500368</v>
      </c>
      <c r="C1261" s="8" t="inlineStr">
        <is>
          <t>青麟护膜</t>
        </is>
      </c>
      <c r="D1261" s="8" t="inlineStr">
        <is>
          <t>材料</t>
        </is>
      </c>
      <c r="E1261" s="8" t="inlineStr">
        <is>
          <t>material</t>
        </is>
      </c>
      <c r="F1261" s="8" t="inlineStr">
        <is>
          <t>common</t>
        </is>
      </c>
      <c r="G1261" s="8" t="inlineStr">
        <is>
          <t>木</t>
        </is>
      </c>
      <c r="H1261" s="8" t="inlineStr">
        <is>
          <t>wood</t>
        </is>
      </c>
      <c r="I1261" s="8" t="inlineStr">
        <is>
          <t>2×1</t>
        </is>
      </c>
      <c r="J1261" s="8" t="n">
        <v>2</v>
      </c>
      <c r="K1261" s="8" t="n">
        <v>2</v>
      </c>
      <c r="L1261" s="8" t="inlineStr">
        <is>
          <t>否</t>
        </is>
      </c>
      <c r="M1261" s="9" t="inlineStr"/>
      <c r="N1261" s="8" t="n">
        <v>1</v>
      </c>
      <c r="O1261" s="9" t="inlineStr">
        <is>
          <t>条件触发</t>
        </is>
      </c>
      <c r="P1261" s="9" t="inlineStr">
        <is>
          <t>triggered</t>
        </is>
      </c>
      <c r="Q1261" s="9" t="inlineStr">
        <is>
          <t>条件触发：受到伤害时，若实际伤害大于 3 点，获得 3 层露水</t>
        </is>
      </c>
      <c r="R1261" s="9" t="inlineStr"/>
      <c r="S1261" s="9" t="inlineStr">
        <is>
          <t>一片青麟护膜，薄而坚韧。产自妖兽「玉台青麟」。</t>
        </is>
      </c>
      <c r="T1261" s="8" t="inlineStr">
        <is>
          <t>material_yutai_qinglin_guard_membrane_2x1</t>
        </is>
      </c>
      <c r="U1261" s="8" t="inlineStr">
        <is>
          <t>allowed</t>
        </is>
      </c>
    </row>
    <row r="1262" ht="34" customHeight="1">
      <c r="A1262" s="8" t="n">
        <v>1261</v>
      </c>
      <c r="B1262" s="8" t="n">
        <v>500369</v>
      </c>
      <c r="C1262" s="8" t="inlineStr">
        <is>
          <t>玉台软皮</t>
        </is>
      </c>
      <c r="D1262" s="8" t="inlineStr">
        <is>
          <t>材料</t>
        </is>
      </c>
      <c r="E1262" s="8" t="inlineStr">
        <is>
          <t>material</t>
        </is>
      </c>
      <c r="F1262" s="8" t="inlineStr">
        <is>
          <t>common</t>
        </is>
      </c>
      <c r="G1262" s="8" t="inlineStr">
        <is>
          <t>木</t>
        </is>
      </c>
      <c r="H1262" s="8" t="inlineStr">
        <is>
          <t>wood</t>
        </is>
      </c>
      <c r="I1262" s="8" t="inlineStr">
        <is>
          <t>2×1</t>
        </is>
      </c>
      <c r="J1262" s="8" t="n">
        <v>2</v>
      </c>
      <c r="K1262" s="8" t="n">
        <v>1</v>
      </c>
      <c r="L1262" s="8" t="inlineStr">
        <is>
          <t>否</t>
        </is>
      </c>
      <c r="M1262" s="9" t="inlineStr"/>
      <c r="N1262" s="8" t="n">
        <v>1</v>
      </c>
      <c r="O1262" s="9" t="inlineStr">
        <is>
          <t>周期触发</t>
        </is>
      </c>
      <c r="P1262" s="9" t="inlineStr">
        <is>
          <t>periodicPulse</t>
        </is>
      </c>
      <c r="Q1262" s="9" t="inlineStr">
        <is>
          <t>周期触发：轮转时，消耗 4 点气血，对敌方造成 3 点伤害</t>
        </is>
      </c>
      <c r="R1262" s="9" t="inlineStr"/>
      <c r="S1262" s="9" t="inlineStr">
        <is>
          <t>一片玉台软皮，纹理如细玉。产自妖兽「玉台青麟」。</t>
        </is>
      </c>
      <c r="T1262" s="8" t="inlineStr">
        <is>
          <t>material_yutai_qinglin_soft_jade_hide_2x1</t>
        </is>
      </c>
      <c r="U1262" s="8" t="inlineStr">
        <is>
          <t>allowed</t>
        </is>
      </c>
    </row>
    <row r="1263" ht="34" customHeight="1">
      <c r="A1263" s="8" t="n">
        <v>1262</v>
      </c>
      <c r="B1263" s="8" t="n">
        <v>500370</v>
      </c>
      <c r="C1263" s="8" t="inlineStr">
        <is>
          <t>台心露核</t>
        </is>
      </c>
      <c r="D1263" s="8" t="inlineStr">
        <is>
          <t>材料</t>
        </is>
      </c>
      <c r="E1263" s="8" t="inlineStr">
        <is>
          <t>material</t>
        </is>
      </c>
      <c r="F1263" s="8" t="inlineStr">
        <is>
          <t>common</t>
        </is>
      </c>
      <c r="G1263" s="8" t="inlineStr">
        <is>
          <t>木</t>
        </is>
      </c>
      <c r="H1263" s="8" t="inlineStr">
        <is>
          <t>wood</t>
        </is>
      </c>
      <c r="I1263" s="8" t="inlineStr">
        <is>
          <t>2×1</t>
        </is>
      </c>
      <c r="J1263" s="8" t="n">
        <v>2</v>
      </c>
      <c r="K1263" s="8" t="n">
        <v>3</v>
      </c>
      <c r="L1263" s="8" t="inlineStr">
        <is>
          <t>否</t>
        </is>
      </c>
      <c r="M1263" s="9" t="inlineStr"/>
      <c r="N1263" s="8" t="n">
        <v>1</v>
      </c>
      <c r="O1263" s="9" t="inlineStr">
        <is>
          <t>周期触发</t>
        </is>
      </c>
      <c r="P1263" s="9" t="inlineStr">
        <is>
          <t>periodicPulse</t>
        </is>
      </c>
      <c r="Q1263" s="9" t="inlineStr">
        <is>
          <t>周期触发：开局时，获得 12 层露水</t>
        </is>
      </c>
      <c r="R1263" s="9" t="inlineStr"/>
      <c r="S1263" s="9" t="inlineStr">
        <is>
          <t>一枚台心露核，内有露水回旋。产自妖兽「玉台青麟」。</t>
        </is>
      </c>
      <c r="T1263" s="8" t="inlineStr">
        <is>
          <t>material_yutai_qinglin_heart_dew_core_2x1</t>
        </is>
      </c>
      <c r="U1263" s="8" t="inlineStr">
        <is>
          <t>allowed</t>
        </is>
      </c>
    </row>
    <row r="1264" ht="34" customHeight="1">
      <c r="A1264" s="8" t="n">
        <v>1263</v>
      </c>
      <c r="B1264" s="8" t="n">
        <v>500371</v>
      </c>
      <c r="C1264" s="8" t="inlineStr">
        <is>
          <t>青玉根须</t>
        </is>
      </c>
      <c r="D1264" s="8" t="inlineStr">
        <is>
          <t>材料</t>
        </is>
      </c>
      <c r="E1264" s="8" t="inlineStr">
        <is>
          <t>material</t>
        </is>
      </c>
      <c r="F1264" s="8" t="inlineStr">
        <is>
          <t>common</t>
        </is>
      </c>
      <c r="G1264" s="8" t="inlineStr">
        <is>
          <t>木</t>
        </is>
      </c>
      <c r="H1264" s="8" t="inlineStr">
        <is>
          <t>wood</t>
        </is>
      </c>
      <c r="I1264" s="8" t="inlineStr">
        <is>
          <t>2×1</t>
        </is>
      </c>
      <c r="J1264" s="8" t="n">
        <v>2</v>
      </c>
      <c r="K1264" s="8" t="n">
        <v>1</v>
      </c>
      <c r="L1264" s="8" t="inlineStr">
        <is>
          <t>否</t>
        </is>
      </c>
      <c r="M1264" s="9" t="inlineStr"/>
      <c r="N1264" s="8" t="n">
        <v>1</v>
      </c>
      <c r="O1264" s="9" t="inlineStr">
        <is>
          <t>周期触发</t>
        </is>
      </c>
      <c r="P1264" s="9" t="inlineStr">
        <is>
          <t>periodicPulse</t>
        </is>
      </c>
      <c r="Q1264" s="9" t="inlineStr">
        <is>
          <t>周期触发：轮转时，将 1 点体力转化为 1 层露水</t>
        </is>
      </c>
      <c r="R1264" s="9" t="inlineStr"/>
      <c r="S1264" s="9" t="inlineStr">
        <is>
          <t>一束青玉根须，根端仍有灵气。产自妖兽「玉台青麟」。</t>
        </is>
      </c>
      <c r="T1264" s="8" t="inlineStr">
        <is>
          <t>material_yutai_qinglin_jade_rootlet_2x1</t>
        </is>
      </c>
      <c r="U1264" s="8" t="inlineStr">
        <is>
          <t>allowed</t>
        </is>
      </c>
    </row>
    <row r="1265" ht="34" customHeight="1">
      <c r="A1265" s="8" t="n">
        <v>1264</v>
      </c>
      <c r="B1265" s="8" t="n">
        <v>500372</v>
      </c>
      <c r="C1265" s="8" t="inlineStr">
        <is>
          <t>青麟息芽</t>
        </is>
      </c>
      <c r="D1265" s="8" t="inlineStr">
        <is>
          <t>材料</t>
        </is>
      </c>
      <c r="E1265" s="8" t="inlineStr">
        <is>
          <t>material</t>
        </is>
      </c>
      <c r="F1265" s="8" t="inlineStr">
        <is>
          <t>common</t>
        </is>
      </c>
      <c r="G1265" s="8" t="inlineStr">
        <is>
          <t>木</t>
        </is>
      </c>
      <c r="H1265" s="8" t="inlineStr">
        <is>
          <t>wood</t>
        </is>
      </c>
      <c r="I1265" s="8" t="inlineStr">
        <is>
          <t>1×2</t>
        </is>
      </c>
      <c r="J1265" s="8" t="n">
        <v>2</v>
      </c>
      <c r="K1265" s="8" t="n">
        <v>1</v>
      </c>
      <c r="L1265" s="8" t="inlineStr">
        <is>
          <t>否</t>
        </is>
      </c>
      <c r="M1265" s="9" t="inlineStr"/>
      <c r="N1265" s="8" t="n">
        <v>1</v>
      </c>
      <c r="O1265" s="9" t="inlineStr">
        <is>
          <t>周期触发</t>
        </is>
      </c>
      <c r="P1265" s="9" t="inlineStr">
        <is>
          <t>periodicPulse</t>
        </is>
      </c>
      <c r="Q1265" s="9" t="inlineStr">
        <is>
          <t>周期触发：轮转时，恢复 1 点气血</t>
        </is>
      </c>
      <c r="R1265" s="9" t="inlineStr"/>
      <c r="S1265" s="9" t="inlineStr">
        <is>
          <t>一枚青麟息芽，芽尖含光。产自妖兽「玉台青麟」。</t>
        </is>
      </c>
      <c r="T1265" s="8" t="inlineStr">
        <is>
          <t>material_yutai_qinglin_breathing_sprout_1x2</t>
        </is>
      </c>
      <c r="U1265" s="8" t="inlineStr">
        <is>
          <t>allowed</t>
        </is>
      </c>
    </row>
    <row r="1266" ht="34" customHeight="1">
      <c r="A1266" s="8" t="n">
        <v>1265</v>
      </c>
      <c r="B1266" s="8" t="n">
        <v>500424</v>
      </c>
      <c r="C1266" s="8" t="inlineStr">
        <is>
          <t>旧铜护鼻铠</t>
        </is>
      </c>
      <c r="D1266" s="8" t="inlineStr">
        <is>
          <t>材料</t>
        </is>
      </c>
      <c r="E1266" s="8" t="inlineStr">
        <is>
          <t>material</t>
        </is>
      </c>
      <c r="F1266" s="8" t="inlineStr">
        <is>
          <t>spirit</t>
        </is>
      </c>
      <c r="G1266" s="8" t="inlineStr">
        <is>
          <t>水</t>
        </is>
      </c>
      <c r="H1266" s="8" t="inlineStr">
        <is>
          <t>water</t>
        </is>
      </c>
      <c r="I1266" s="8" t="inlineStr">
        <is>
          <t>1×2</t>
        </is>
      </c>
      <c r="J1266" s="8" t="n">
        <v>2</v>
      </c>
      <c r="K1266" s="8" t="n">
        <v>114</v>
      </c>
      <c r="L1266" s="8" t="inlineStr">
        <is>
          <t>是</t>
        </is>
      </c>
      <c r="M1266" s="9" t="inlineStr">
        <is>
          <t>beastDrop</t>
        </is>
      </c>
      <c r="N1266" s="8" t="n">
        <v>1</v>
      </c>
      <c r="O1266" s="9" t="inlineStr">
        <is>
          <t>周期触发</t>
        </is>
      </c>
      <c r="P1266" s="9" t="inlineStr">
        <is>
          <t>periodicPulse</t>
        </is>
      </c>
      <c r="Q1266" s="9" t="inlineStr">
        <is>
          <t>周期触发：轮转时，恢复自身 80 点气血</t>
        </is>
      </c>
      <c r="R1266" s="9" t="inlineStr"/>
      <c r="S1266" s="9" t="inlineStr">
        <is>
          <t>长条旧铜护铠贴合象鼻弧度，内衬仍残留橙褐粗皮，铠片接缝带着反复弯折的暗痕。产自妖兽「钟甲象虫」。</t>
        </is>
      </c>
      <c r="T1266" s="8" t="inlineStr">
        <is>
          <t>material_zhongjia_xiangchong_trunk_armor_1x2</t>
        </is>
      </c>
      <c r="U1266" s="8" t="inlineStr">
        <is>
          <t>allowed</t>
        </is>
      </c>
    </row>
    <row r="1267" ht="34" customHeight="1">
      <c r="A1267" s="8" t="n">
        <v>1266</v>
      </c>
      <c r="B1267" s="8" t="n">
        <v>500425</v>
      </c>
      <c r="C1267" s="8" t="inlineStr">
        <is>
          <t>崩岩獠牙铜套</t>
        </is>
      </c>
      <c r="D1267" s="8" t="inlineStr">
        <is>
          <t>材料</t>
        </is>
      </c>
      <c r="E1267" s="8" t="inlineStr">
        <is>
          <t>material</t>
        </is>
      </c>
      <c r="F1267" s="8" t="inlineStr">
        <is>
          <t>spirit</t>
        </is>
      </c>
      <c r="G1267" s="8" t="inlineStr">
        <is>
          <t>金</t>
        </is>
      </c>
      <c r="H1267" s="8" t="inlineStr">
        <is>
          <t>metal</t>
        </is>
      </c>
      <c r="I1267" s="8" t="inlineStr">
        <is>
          <t>2×2</t>
        </is>
      </c>
      <c r="J1267" s="8" t="n">
        <v>4</v>
      </c>
      <c r="K1267" s="8" t="n">
        <v>110</v>
      </c>
      <c r="L1267" s="8" t="inlineStr">
        <is>
          <t>是</t>
        </is>
      </c>
      <c r="M1267" s="9" t="inlineStr">
        <is>
          <t>beastDrop</t>
        </is>
      </c>
      <c r="N1267" s="8" t="n">
        <v>1</v>
      </c>
      <c r="O1267" s="9" t="inlineStr">
        <is>
          <t>周期触发</t>
        </is>
      </c>
      <c r="P1267" s="9" t="inlineStr">
        <is>
          <t>periodicPulse</t>
        </is>
      </c>
      <c r="Q1267" s="9" t="inlineStr">
        <is>
          <t>周期触发：轮转时，消耗 30 点体力，扣除敌方 180 点体力，并施加 8 层麻痹</t>
        </is>
      </c>
      <c r="R1267" s="9" t="inlineStr"/>
      <c r="S1267" s="9" t="inlineStr">
        <is>
          <t>两截粗钝象牙连着开裂牙根，牙尖各套一枚旧铜撞角，铜面沾满岩粉和撞击凹痕。产自妖兽「钟甲象虫」。</t>
        </is>
      </c>
      <c r="T1267" s="8" t="inlineStr">
        <is>
          <t>material_zhongjia_xiangchong_tusk_caps_2x2</t>
        </is>
      </c>
      <c r="U1267" s="8" t="inlineStr">
        <is>
          <t>allowed</t>
        </is>
      </c>
    </row>
    <row r="1268" ht="34" customHeight="1">
      <c r="A1268" s="8" t="n">
        <v>1267</v>
      </c>
      <c r="B1268" s="8" t="n">
        <v>500426</v>
      </c>
      <c r="C1268" s="8" t="inlineStr">
        <is>
          <t>镇步四蹄铃</t>
        </is>
      </c>
      <c r="D1268" s="8" t="inlineStr">
        <is>
          <t>材料</t>
        </is>
      </c>
      <c r="E1268" s="8" t="inlineStr">
        <is>
          <t>material</t>
        </is>
      </c>
      <c r="F1268" s="8" t="inlineStr">
        <is>
          <t>spirit</t>
        </is>
      </c>
      <c r="G1268" s="8" t="inlineStr">
        <is>
          <t>金</t>
        </is>
      </c>
      <c r="H1268" s="8" t="inlineStr">
        <is>
          <t>metal</t>
        </is>
      </c>
      <c r="I1268" s="8" t="inlineStr">
        <is>
          <t>2×2</t>
        </is>
      </c>
      <c r="J1268" s="8" t="n">
        <v>4</v>
      </c>
      <c r="K1268" s="8" t="n">
        <v>110</v>
      </c>
      <c r="L1268" s="8" t="inlineStr">
        <is>
          <t>是</t>
        </is>
      </c>
      <c r="M1268" s="9" t="inlineStr">
        <is>
          <t>beastDrop</t>
        </is>
      </c>
      <c r="N1268" s="8" t="n">
        <v>1</v>
      </c>
      <c r="O1268" s="9" t="inlineStr">
        <is>
          <t>周期触发</t>
        </is>
      </c>
      <c r="P1268" s="9" t="inlineStr">
        <is>
          <t>periodicPulse</t>
        </is>
      </c>
      <c r="Q1268" s="9" t="inlineStr">
        <is>
          <t>周期触发：轮转时，消耗 50 点体力，最多移除敌方 40 层护甲，并对敌方造成 240 点伤害</t>
        </is>
      </c>
      <c r="R1268" s="9" t="inlineStr"/>
      <c r="S1268" s="9" t="inlineStr">
        <is>
          <t>四枚旧铜厚铃由钴蓝皮圈串起，铃舌短而沉，表面刻着象蹄踏地留下的环形磨纹。产自妖兽「钟甲象虫」。</t>
        </is>
      </c>
      <c r="T1268" s="8" t="inlineStr">
        <is>
          <t>material_zhongjia_xiangchong_hoof_bells_2x2</t>
        </is>
      </c>
      <c r="U1268" s="8" t="inlineStr">
        <is>
          <t>allowed</t>
        </is>
      </c>
    </row>
    <row r="1269" ht="34" customHeight="1">
      <c r="A1269" s="8" t="n">
        <v>1268</v>
      </c>
      <c r="B1269" s="8" t="n">
        <v>500446</v>
      </c>
      <c r="C1269" s="8" t="inlineStr">
        <is>
          <t>鳞尾节鞭</t>
        </is>
      </c>
      <c r="D1269" s="8" t="inlineStr">
        <is>
          <t>材料</t>
        </is>
      </c>
      <c r="E1269" s="8" t="inlineStr">
        <is>
          <t>material</t>
        </is>
      </c>
      <c r="F1269" s="8" t="inlineStr">
        <is>
          <t>spirit</t>
        </is>
      </c>
      <c r="G1269" s="8" t="inlineStr">
        <is>
          <t>木</t>
        </is>
      </c>
      <c r="H1269" s="8" t="inlineStr">
        <is>
          <t>wood</t>
        </is>
      </c>
      <c r="I1269" s="8" t="inlineStr">
        <is>
          <t>3×1</t>
        </is>
      </c>
      <c r="J1269" s="8" t="n">
        <v>3</v>
      </c>
      <c r="K1269" s="8" t="n">
        <v>160</v>
      </c>
      <c r="L1269" s="8" t="inlineStr">
        <is>
          <t>是</t>
        </is>
      </c>
      <c r="M1269" s="9" t="inlineStr">
        <is>
          <t>beastDrop</t>
        </is>
      </c>
      <c r="N1269" s="8" t="n">
        <v>1</v>
      </c>
      <c r="O1269" s="9" t="inlineStr">
        <is>
          <t>周期触发</t>
        </is>
      </c>
      <c r="P1269" s="9" t="inlineStr">
        <is>
          <t>periodicPulse</t>
        </is>
      </c>
      <c r="Q1269" s="9" t="inlineStr">
        <is>
          <t>周期触发：轮转时，恢复自身 30 点法力，获得 16 层闪避</t>
        </is>
      </c>
      <c r="R1269" s="9" t="inlineStr"/>
      <c r="S1269" s="9" t="inlineStr">
        <is>
          <t>三节青绿鳞尾由柔韧筋膜相连，尾端保留一枚钝金色硬棘。产自妖兽「笼胸鳞螳」。</t>
        </is>
      </c>
      <c r="T1269" s="8" t="inlineStr">
        <is>
          <t>material_longxiong_lintang_scale_tail_segment_whip_3x1</t>
        </is>
      </c>
      <c r="U1269" s="8" t="inlineStr">
        <is>
          <t>allowed</t>
        </is>
      </c>
    </row>
    <row r="1270" ht="34" customHeight="1">
      <c r="A1270" s="8" t="n">
        <v>1269</v>
      </c>
      <c r="B1270" s="8" t="n">
        <v>500447</v>
      </c>
      <c r="C1270" s="8" t="inlineStr">
        <is>
          <t>束胸眼腺</t>
        </is>
      </c>
      <c r="D1270" s="8" t="inlineStr">
        <is>
          <t>材料</t>
        </is>
      </c>
      <c r="E1270" s="8" t="inlineStr">
        <is>
          <t>material</t>
        </is>
      </c>
      <c r="F1270" s="8" t="inlineStr">
        <is>
          <t>spirit</t>
        </is>
      </c>
      <c r="G1270" s="8" t="inlineStr">
        <is>
          <t>水</t>
        </is>
      </c>
      <c r="H1270" s="8" t="inlineStr">
        <is>
          <t>water</t>
        </is>
      </c>
      <c r="I1270" s="8" t="inlineStr">
        <is>
          <t>1×1</t>
        </is>
      </c>
      <c r="J1270" s="8" t="n">
        <v>1</v>
      </c>
      <c r="K1270" s="8" t="n">
        <v>157</v>
      </c>
      <c r="L1270" s="8" t="inlineStr">
        <is>
          <t>是</t>
        </is>
      </c>
      <c r="M1270" s="9" t="inlineStr">
        <is>
          <t>beastDrop</t>
        </is>
      </c>
      <c r="N1270" s="8" t="n">
        <v>1</v>
      </c>
      <c r="O1270" s="9" t="inlineStr">
        <is>
          <t>周期触发</t>
        </is>
      </c>
      <c r="P1270" s="9" t="inlineStr">
        <is>
          <t>periodicPulse</t>
        </is>
      </c>
      <c r="Q1270" s="9" t="inlineStr">
        <is>
          <t>周期触发：轮转时，消耗 12 点法力，对敌方造成 76 点伤害，并最多扣除敌方 20 点法力；敌方法力为 0 时，伤害仍结算；法力不足时不触发</t>
        </is>
      </c>
      <c r="R1270" s="9" t="inlineStr"/>
      <c r="S1270" s="9" t="inlineStr">
        <is>
          <t>一枚被青蓝筋束包住的小型眼腺，表面只有抽象环纹而无完整瞳孔。产自妖兽「笼胸鳞螳」。</t>
        </is>
      </c>
      <c r="T1270" s="8" t="inlineStr">
        <is>
          <t>material_longxiong_lintang_chest_eye_gland_1x1</t>
        </is>
      </c>
      <c r="U1270" s="8" t="inlineStr">
        <is>
          <t>allowed</t>
        </is>
      </c>
    </row>
    <row r="1271" ht="34" customHeight="1">
      <c r="A1271" s="8" t="n">
        <v>1270</v>
      </c>
      <c r="B1271" s="8" t="n">
        <v>500448</v>
      </c>
      <c r="C1271" s="8" t="inlineStr">
        <is>
          <t>青铜钩杆节</t>
        </is>
      </c>
      <c r="D1271" s="8" t="inlineStr">
        <is>
          <t>材料</t>
        </is>
      </c>
      <c r="E1271" s="8" t="inlineStr">
        <is>
          <t>material</t>
        </is>
      </c>
      <c r="F1271" s="8" t="inlineStr">
        <is>
          <t>spirit</t>
        </is>
      </c>
      <c r="G1271" s="8" t="inlineStr">
        <is>
          <t>金</t>
        </is>
      </c>
      <c r="H1271" s="8" t="inlineStr">
        <is>
          <t>metal</t>
        </is>
      </c>
      <c r="I1271" s="8" t="inlineStr">
        <is>
          <t>4×1</t>
        </is>
      </c>
      <c r="J1271" s="8" t="n">
        <v>4</v>
      </c>
      <c r="K1271" s="8" t="n">
        <v>160</v>
      </c>
      <c r="L1271" s="8" t="inlineStr">
        <is>
          <t>是</t>
        </is>
      </c>
      <c r="M1271" s="9" t="inlineStr">
        <is>
          <t>beastDrop</t>
        </is>
      </c>
      <c r="N1271" s="8" t="n">
        <v>1</v>
      </c>
      <c r="O1271" s="9" t="inlineStr">
        <is>
          <t>周期触发</t>
        </is>
      </c>
      <c r="P1271" s="9" t="inlineStr">
        <is>
          <t>periodicPulse</t>
        </is>
      </c>
      <c r="Q1271" s="9" t="inlineStr">
        <is>
          <t>周期触发：轮转时，消耗 110 点体力和 48 点法力，对敌方造成 360 点伤害；任一成本不足时不触发</t>
        </is>
      </c>
      <c r="R1271" s="9" t="inlineStr"/>
      <c r="S1271" s="9" t="inlineStr">
        <is>
          <t>一截青铜钩杆仍缠着黄绿甲屑，关节处磨出频繁挥击留下的亮痕。产自妖兽「笼胸鳞螳」。</t>
        </is>
      </c>
      <c r="T1271" s="8" t="inlineStr">
        <is>
          <t>material_longxiong_lintang_bronze_hook_pole_joint_4x1</t>
        </is>
      </c>
      <c r="U1271" s="8" t="inlineStr">
        <is>
          <t>allowed</t>
        </is>
      </c>
    </row>
    <row r="1272" ht="34" customHeight="1">
      <c r="A1272" s="8" t="n">
        <v>1271</v>
      </c>
      <c r="B1272" s="8" t="n">
        <v>500480</v>
      </c>
      <c r="C1272" s="8" t="inlineStr">
        <is>
          <t>铡风前鳍缘</t>
        </is>
      </c>
      <c r="D1272" s="8" t="inlineStr">
        <is>
          <t>材料</t>
        </is>
      </c>
      <c r="E1272" s="8" t="inlineStr">
        <is>
          <t>material</t>
        </is>
      </c>
      <c r="F1272" s="8" t="inlineStr">
        <is>
          <t>spirit</t>
        </is>
      </c>
      <c r="G1272" s="8" t="inlineStr">
        <is>
          <t>金</t>
        </is>
      </c>
      <c r="H1272" s="8" t="inlineStr">
        <is>
          <t>metal</t>
        </is>
      </c>
      <c r="I1272" s="8" t="inlineStr">
        <is>
          <t>3×2</t>
        </is>
      </c>
      <c r="J1272" s="8" t="n">
        <v>6</v>
      </c>
      <c r="K1272" s="8" t="n">
        <v>190</v>
      </c>
      <c r="L1272" s="8" t="inlineStr">
        <is>
          <t>是</t>
        </is>
      </c>
      <c r="M1272" s="9" t="inlineStr">
        <is>
          <t>beastDrop</t>
        </is>
      </c>
      <c r="N1272" s="8" t="n">
        <v>1</v>
      </c>
      <c r="O1272" s="9" t="inlineStr">
        <is>
          <t>周期触发</t>
        </is>
      </c>
      <c r="P1272" s="9" t="inlineStr">
        <is>
          <t>periodicPulse</t>
        </is>
      </c>
      <c r="Q1272" s="9" t="inlineStr">
        <is>
          <t>周期触发：轮转时，自身敏捷不少于 32 层时，消耗 24 点法力和 32 层敏捷，每层敏捷对敌方造成 8 点伤害</t>
        </is>
      </c>
      <c r="R1272" s="9" t="inlineStr"/>
      <c r="S1272" s="9" t="inlineStr">
        <is>
          <t>一段亮青前鳍硬缘，迎风面被磨得像钝铡刀口。产自妖兽「铡翼鳐犬」。</t>
        </is>
      </c>
      <c r="T1272" s="8" t="inlineStr">
        <is>
          <t>material_zhayi_yaoquan_windcut_leading_fin_3x2</t>
        </is>
      </c>
      <c r="U1272" s="8" t="inlineStr">
        <is>
          <t>allowed</t>
        </is>
      </c>
    </row>
    <row r="1273" ht="34" customHeight="1">
      <c r="A1273" s="8" t="n">
        <v>1272</v>
      </c>
      <c r="B1273" s="8" t="n">
        <v>500481</v>
      </c>
      <c r="C1273" s="8" t="inlineStr">
        <is>
          <t>亮纹后鳍膜</t>
        </is>
      </c>
      <c r="D1273" s="8" t="inlineStr">
        <is>
          <t>材料</t>
        </is>
      </c>
      <c r="E1273" s="8" t="inlineStr">
        <is>
          <t>material</t>
        </is>
      </c>
      <c r="F1273" s="8" t="inlineStr">
        <is>
          <t>spirit</t>
        </is>
      </c>
      <c r="G1273" s="8" t="inlineStr">
        <is>
          <t>水</t>
        </is>
      </c>
      <c r="H1273" s="8" t="inlineStr">
        <is>
          <t>water</t>
        </is>
      </c>
      <c r="I1273" s="8" t="inlineStr">
        <is>
          <t>2×2</t>
        </is>
      </c>
      <c r="J1273" s="8" t="n">
        <v>4</v>
      </c>
      <c r="K1273" s="8" t="n">
        <v>40</v>
      </c>
      <c r="L1273" s="8" t="inlineStr">
        <is>
          <t>否</t>
        </is>
      </c>
      <c r="M1273" s="9" t="inlineStr"/>
      <c r="N1273" s="8" t="n">
        <v>1</v>
      </c>
      <c r="O1273" s="9" t="inlineStr">
        <is>
          <t>周期触发</t>
        </is>
      </c>
      <c r="P1273" s="9" t="inlineStr">
        <is>
          <t>periodicPulse</t>
        </is>
      </c>
      <c r="Q1273" s="9" t="inlineStr">
        <is>
          <t>周期触发：轮转时，恢复自身 24 点体力，获得 12 层寒冷</t>
        </is>
      </c>
      <c r="R1273" s="9" t="inlineStr"/>
      <c r="S1273" s="9" t="inlineStr">
        <is>
          <t>半透明的天蓝后鳍膜，橙黄亮纹顺着柔韧纤维向外舒展。产自妖兽「铡翼鳐犬」。</t>
        </is>
      </c>
      <c r="T1273" s="8" t="inlineStr">
        <is>
          <t>material_zhayi_yaoquan_bright_trailing_membrane_2x2</t>
        </is>
      </c>
      <c r="U1273" s="8" t="inlineStr">
        <is>
          <t>allowed</t>
        </is>
      </c>
    </row>
    <row r="1274" ht="34" customHeight="1">
      <c r="A1274" s="8" t="n">
        <v>1273</v>
      </c>
      <c r="B1274" s="8" t="n">
        <v>500482</v>
      </c>
      <c r="C1274" s="8" t="inlineStr">
        <is>
          <t>纵裂颚板</t>
        </is>
      </c>
      <c r="D1274" s="8" t="inlineStr">
        <is>
          <t>材料</t>
        </is>
      </c>
      <c r="E1274" s="8" t="inlineStr">
        <is>
          <t>material</t>
        </is>
      </c>
      <c r="F1274" s="8" t="inlineStr">
        <is>
          <t>spirit</t>
        </is>
      </c>
      <c r="G1274" s="8" t="inlineStr">
        <is>
          <t>金</t>
        </is>
      </c>
      <c r="H1274" s="8" t="inlineStr">
        <is>
          <t>metal</t>
        </is>
      </c>
      <c r="I1274" s="8" t="inlineStr">
        <is>
          <t>2×2</t>
        </is>
      </c>
      <c r="J1274" s="8" t="n">
        <v>4</v>
      </c>
      <c r="K1274" s="8" t="n">
        <v>40</v>
      </c>
      <c r="L1274" s="8" t="inlineStr">
        <is>
          <t>否</t>
        </is>
      </c>
      <c r="M1274" s="9" t="inlineStr"/>
      <c r="N1274" s="8" t="n">
        <v>1</v>
      </c>
      <c r="O1274" s="9" t="inlineStr">
        <is>
          <t>周期触发</t>
        </is>
      </c>
      <c r="P1274" s="9" t="inlineStr">
        <is>
          <t>periodicPulse</t>
        </is>
      </c>
      <c r="Q1274" s="9" t="inlineStr">
        <is>
          <t>周期触发：轮转时，自身寒冷不少于 12 层时，消耗 20 点体力和 12 层寒冷，每层寒冷对敌方造成 12 点伤害</t>
        </is>
      </c>
      <c r="R1274" s="9" t="inlineStr"/>
      <c r="S1274" s="9" t="inlineStr">
        <is>
          <t>一对沿中线扣合的乳白颚板，内缘密布细小铡齿。产自妖兽「铡翼鳐犬」。</t>
        </is>
      </c>
      <c r="T1274" s="8" t="inlineStr">
        <is>
          <t>material_zhayi_yaoquan_vertical_jaw_plate_2x2</t>
        </is>
      </c>
      <c r="U1274" s="8" t="inlineStr">
        <is>
          <t>allowed</t>
        </is>
      </c>
    </row>
    <row r="1275" ht="34" customHeight="1">
      <c r="A1275" s="8" t="n">
        <v>1274</v>
      </c>
      <c r="B1275" s="8" t="n">
        <v>500483</v>
      </c>
      <c r="C1275" s="8" t="inlineStr">
        <is>
          <t>靛潮背鳐皮</t>
        </is>
      </c>
      <c r="D1275" s="8" t="inlineStr">
        <is>
          <t>材料</t>
        </is>
      </c>
      <c r="E1275" s="8" t="inlineStr">
        <is>
          <t>material</t>
        </is>
      </c>
      <c r="F1275" s="8" t="inlineStr">
        <is>
          <t>spirit</t>
        </is>
      </c>
      <c r="G1275" s="8" t="inlineStr">
        <is>
          <t>水</t>
        </is>
      </c>
      <c r="H1275" s="8" t="inlineStr">
        <is>
          <t>water</t>
        </is>
      </c>
      <c r="I1275" s="8" t="inlineStr">
        <is>
          <t>3×1</t>
        </is>
      </c>
      <c r="J1275" s="8" t="n">
        <v>3</v>
      </c>
      <c r="K1275" s="8" t="n">
        <v>40</v>
      </c>
      <c r="L1275" s="8" t="inlineStr">
        <is>
          <t>否</t>
        </is>
      </c>
      <c r="M1275" s="9" t="inlineStr"/>
      <c r="N1275" s="8" t="n">
        <v>1</v>
      </c>
      <c r="O1275" s="9" t="inlineStr">
        <is>
          <t>周期触发</t>
        </is>
      </c>
      <c r="P1275" s="9" t="inlineStr">
        <is>
          <t>periodicPulse</t>
        </is>
      </c>
      <c r="Q1275" s="9" t="inlineStr">
        <is>
          <t>周期触发：开局时，获得 40 层敏捷</t>
        </is>
      </c>
      <c r="R1275" s="9" t="inlineStr"/>
      <c r="S1275" s="9" t="inlineStr">
        <is>
          <t>一整片靛蓝背皮，青色斑纹像退潮后留在砂上的水线。产自妖兽「铡翼鳐犬」。</t>
        </is>
      </c>
      <c r="T1275" s="8" t="inlineStr">
        <is>
          <t>material_zhayi_yaoquan_indigo_dorsal_hide_3x1</t>
        </is>
      </c>
      <c r="U1275" s="8" t="inlineStr">
        <is>
          <t>allowed</t>
        </is>
      </c>
    </row>
    <row r="1276" ht="34" customHeight="1">
      <c r="A1276" s="8" t="n">
        <v>1275</v>
      </c>
      <c r="B1276" s="8" t="n">
        <v>500484</v>
      </c>
      <c r="C1276" s="8" t="inlineStr">
        <is>
          <t>涡滤鳃瓣</t>
        </is>
      </c>
      <c r="D1276" s="8" t="inlineStr">
        <is>
          <t>材料</t>
        </is>
      </c>
      <c r="E1276" s="8" t="inlineStr">
        <is>
          <t>material</t>
        </is>
      </c>
      <c r="F1276" s="8" t="inlineStr">
        <is>
          <t>spirit</t>
        </is>
      </c>
      <c r="G1276" s="8" t="inlineStr">
        <is>
          <t>水</t>
        </is>
      </c>
      <c r="H1276" s="8" t="inlineStr">
        <is>
          <t>water</t>
        </is>
      </c>
      <c r="I1276" s="8" t="inlineStr">
        <is>
          <t>2×1</t>
        </is>
      </c>
      <c r="J1276" s="8" t="n">
        <v>2</v>
      </c>
      <c r="K1276" s="8" t="n">
        <v>40</v>
      </c>
      <c r="L1276" s="8" t="inlineStr">
        <is>
          <t>否</t>
        </is>
      </c>
      <c r="M1276" s="9" t="inlineStr"/>
      <c r="N1276" s="8" t="n">
        <v>1</v>
      </c>
      <c r="O1276" s="9" t="inlineStr">
        <is>
          <t>周期触发</t>
        </is>
      </c>
      <c r="P1276" s="9" t="inlineStr">
        <is>
          <t>periodicPulse</t>
        </is>
      </c>
      <c r="Q1276" s="9" t="inlineStr">
        <is>
          <t>周期触发：轮转时，恢复自身 36 点法力</t>
        </is>
      </c>
      <c r="R1276" s="9" t="inlineStr"/>
      <c r="S1276" s="9" t="inlineStr">
        <is>
          <t>两枚卷成小涡的青白鳃瓣，边缘仍会缓慢翕动。产自妖兽「铡翼鳐犬」。</t>
        </is>
      </c>
      <c r="T1276" s="8" t="inlineStr">
        <is>
          <t>material_zhayi_yaoquan_vortex_gill_lobe_2x1</t>
        </is>
      </c>
      <c r="U1276" s="8" t="inlineStr">
        <is>
          <t>allowed</t>
        </is>
      </c>
    </row>
    <row r="1277" ht="34" customHeight="1">
      <c r="A1277" s="8" t="n">
        <v>1276</v>
      </c>
      <c r="B1277" s="8" t="n">
        <v>500485</v>
      </c>
      <c r="C1277" s="8" t="inlineStr">
        <is>
          <t>镇航铜尾坠</t>
        </is>
      </c>
      <c r="D1277" s="8" t="inlineStr">
        <is>
          <t>材料</t>
        </is>
      </c>
      <c r="E1277" s="8" t="inlineStr">
        <is>
          <t>material</t>
        </is>
      </c>
      <c r="F1277" s="8" t="inlineStr">
        <is>
          <t>spirit</t>
        </is>
      </c>
      <c r="G1277" s="8" t="inlineStr">
        <is>
          <t>火</t>
        </is>
      </c>
      <c r="H1277" s="8" t="inlineStr">
        <is>
          <t>fire</t>
        </is>
      </c>
      <c r="I1277" s="8" t="inlineStr">
        <is>
          <t>1×1</t>
        </is>
      </c>
      <c r="J1277" s="8" t="n">
        <v>1</v>
      </c>
      <c r="K1277" s="8" t="n">
        <v>40</v>
      </c>
      <c r="L1277" s="8" t="inlineStr">
        <is>
          <t>否</t>
        </is>
      </c>
      <c r="M1277" s="9" t="inlineStr"/>
      <c r="N1277" s="8" t="n">
        <v>1</v>
      </c>
      <c r="O1277" s="9" t="inlineStr">
        <is>
          <t>周期触发</t>
        </is>
      </c>
      <c r="P1277" s="9" t="inlineStr">
        <is>
          <t>periodicPulse</t>
        </is>
      </c>
      <c r="Q1277" s="9" t="inlineStr">
        <is>
          <t>周期触发：轮转时，消耗 6 点体力，扣除敌方 32 点体力</t>
        </is>
      </c>
      <c r="R1277" s="9" t="inlineStr"/>
      <c r="S1277" s="9" t="inlineStr">
        <is>
          <t>一枚磨圆的赤铜尾坠，单孔中还嵌着蓝黑尾筋。产自妖兽「铡翼鳐犬」。</t>
        </is>
      </c>
      <c r="T1277" s="8" t="inlineStr">
        <is>
          <t>material_zhayi_yaoquan_copper_tail_counterweight_1x1</t>
        </is>
      </c>
      <c r="U1277" s="8" t="inlineStr">
        <is>
          <t>allowed</t>
        </is>
      </c>
    </row>
    <row r="1278" ht="34" customHeight="1">
      <c r="A1278" s="8" t="n">
        <v>1277</v>
      </c>
      <c r="B1278" s="8" t="n">
        <v>500486</v>
      </c>
      <c r="C1278" s="8" t="inlineStr">
        <is>
          <t>腹脊弹筋</t>
        </is>
      </c>
      <c r="D1278" s="8" t="inlineStr">
        <is>
          <t>材料</t>
        </is>
      </c>
      <c r="E1278" s="8" t="inlineStr">
        <is>
          <t>material</t>
        </is>
      </c>
      <c r="F1278" s="8" t="inlineStr">
        <is>
          <t>spirit</t>
        </is>
      </c>
      <c r="G1278" s="8" t="inlineStr">
        <is>
          <t>木</t>
        </is>
      </c>
      <c r="H1278" s="8" t="inlineStr">
        <is>
          <t>wood</t>
        </is>
      </c>
      <c r="I1278" s="8" t="inlineStr">
        <is>
          <t>2×1</t>
        </is>
      </c>
      <c r="J1278" s="8" t="n">
        <v>2</v>
      </c>
      <c r="K1278" s="8" t="n">
        <v>40</v>
      </c>
      <c r="L1278" s="8" t="inlineStr">
        <is>
          <t>否</t>
        </is>
      </c>
      <c r="M1278" s="9" t="inlineStr"/>
      <c r="N1278" s="8" t="n">
        <v>1</v>
      </c>
      <c r="O1278" s="9" t="inlineStr">
        <is>
          <t>周期触发</t>
        </is>
      </c>
      <c r="P1278" s="9" t="inlineStr">
        <is>
          <t>periodicPulse</t>
        </is>
      </c>
      <c r="Q1278" s="9" t="inlineStr">
        <is>
          <t>周期触发：轮转时，将 12 点法力转化为自身 80 点气血</t>
        </is>
      </c>
      <c r="R1278" s="9" t="inlineStr"/>
      <c r="S1278" s="9" t="inlineStr">
        <is>
          <t>两股并行的浅黄腹筋，拉开后会迅速弹回原长。产自妖兽「铡翼鳐犬」。</t>
        </is>
      </c>
      <c r="T1278" s="8" t="inlineStr">
        <is>
          <t>material_zhayi_yaoquan_ventral_spring_tendon_2x1</t>
        </is>
      </c>
      <c r="U1278" s="8" t="inlineStr">
        <is>
          <t>allowed</t>
        </is>
      </c>
    </row>
    <row r="1279" ht="34" customHeight="1">
      <c r="A1279" s="8" t="n">
        <v>1278</v>
      </c>
      <c r="B1279" s="8" t="n">
        <v>500487</v>
      </c>
      <c r="C1279" s="8" t="inlineStr">
        <is>
          <t>落地鳍趾</t>
        </is>
      </c>
      <c r="D1279" s="8" t="inlineStr">
        <is>
          <t>材料</t>
        </is>
      </c>
      <c r="E1279" s="8" t="inlineStr">
        <is>
          <t>material</t>
        </is>
      </c>
      <c r="F1279" s="8" t="inlineStr">
        <is>
          <t>spirit</t>
        </is>
      </c>
      <c r="G1279" s="8" t="inlineStr">
        <is>
          <t>土</t>
        </is>
      </c>
      <c r="H1279" s="8" t="inlineStr">
        <is>
          <t>earth</t>
        </is>
      </c>
      <c r="I1279" s="8" t="inlineStr">
        <is>
          <t>2×1</t>
        </is>
      </c>
      <c r="J1279" s="8" t="n">
        <v>2</v>
      </c>
      <c r="K1279" s="8" t="n">
        <v>40</v>
      </c>
      <c r="L1279" s="8" t="inlineStr">
        <is>
          <t>否</t>
        </is>
      </c>
      <c r="M1279" s="9" t="inlineStr"/>
      <c r="N1279" s="8" t="n">
        <v>1</v>
      </c>
      <c r="O1279" s="9" t="inlineStr">
        <is>
          <t>周期触发</t>
        </is>
      </c>
      <c r="P1279" s="9" t="inlineStr">
        <is>
          <t>periodicPulse</t>
        </is>
      </c>
      <c r="Q1279" s="9" t="inlineStr">
        <is>
          <t>周期触发：轮转时，自身敏捷不少于 8 层时，消耗 12 点体力和 8 层敏捷，每层敏捷对敌方造成 10 点伤害</t>
        </is>
      </c>
      <c r="R1279" s="9" t="inlineStr"/>
      <c r="S1279" s="9" t="inlineStr">
        <is>
          <t>一双由鳍端角质收紧而成的短趾，底面带着细密防滑纹。产自妖兽「铡翼鳐犬」。</t>
        </is>
      </c>
      <c r="T1279" s="8" t="inlineStr">
        <is>
          <t>material_zhayi_yaoquan_grounding_fin_tip_2x1</t>
        </is>
      </c>
      <c r="U1279" s="8" t="inlineStr">
        <is>
          <t>allowed</t>
        </is>
      </c>
    </row>
    <row r="1280" ht="34" customHeight="1">
      <c r="A1280" s="8" t="n">
        <v>1279</v>
      </c>
      <c r="B1280" s="8" t="n">
        <v>500488</v>
      </c>
      <c r="C1280" s="8" t="inlineStr">
        <is>
          <t>铡刃翼骨片</t>
        </is>
      </c>
      <c r="D1280" s="8" t="inlineStr">
        <is>
          <t>材料</t>
        </is>
      </c>
      <c r="E1280" s="8" t="inlineStr">
        <is>
          <t>material</t>
        </is>
      </c>
      <c r="F1280" s="8" t="inlineStr">
        <is>
          <t>spirit</t>
        </is>
      </c>
      <c r="G1280" s="8" t="inlineStr">
        <is>
          <t>金</t>
        </is>
      </c>
      <c r="H1280" s="8" t="inlineStr">
        <is>
          <t>metal</t>
        </is>
      </c>
      <c r="I1280" s="8" t="inlineStr">
        <is>
          <t>1×1</t>
        </is>
      </c>
      <c r="J1280" s="8" t="n">
        <v>1</v>
      </c>
      <c r="K1280" s="8" t="n">
        <v>40</v>
      </c>
      <c r="L1280" s="8" t="inlineStr">
        <is>
          <t>否</t>
        </is>
      </c>
      <c r="M1280" s="9" t="inlineStr"/>
      <c r="N1280" s="8" t="n">
        <v>1</v>
      </c>
      <c r="O1280" s="9" t="inlineStr">
        <is>
          <t>周期触发</t>
        </is>
      </c>
      <c r="P1280" s="9" t="inlineStr">
        <is>
          <t>periodicPulse</t>
        </is>
      </c>
      <c r="Q1280" s="9" t="inlineStr">
        <is>
          <t>周期触发：轮转时，将 8 点体力转化为 32 层敏捷</t>
        </is>
      </c>
      <c r="R1280" s="9" t="inlineStr"/>
      <c r="S1280" s="9" t="inlineStr">
        <is>
          <t>一枚从鳍翼根部剥下的蓝白骨片，弧边厚重，尖端却异常锋利。产自妖兽「铡翼鳐犬」。</t>
        </is>
      </c>
      <c r="T1280" s="8" t="inlineStr">
        <is>
          <t>material_zhayi_yaoquan_guillotine_wing_fragment_1x1</t>
        </is>
      </c>
      <c r="U1280" s="8" t="inlineStr">
        <is>
          <t>allowed</t>
        </is>
      </c>
    </row>
    <row r="1281" ht="34" customHeight="1">
      <c r="A1281" s="8" t="n">
        <v>1280</v>
      </c>
      <c r="B1281" s="8" t="n">
        <v>500520</v>
      </c>
      <c r="C1281" s="8" t="inlineStr">
        <is>
          <t>折节长喙</t>
        </is>
      </c>
      <c r="D1281" s="8" t="inlineStr">
        <is>
          <t>材料</t>
        </is>
      </c>
      <c r="E1281" s="8" t="inlineStr">
        <is>
          <t>material</t>
        </is>
      </c>
      <c r="F1281" s="8" t="inlineStr">
        <is>
          <t>spirit</t>
        </is>
      </c>
      <c r="G1281" s="8" t="inlineStr">
        <is>
          <t>金</t>
        </is>
      </c>
      <c r="H1281" s="8" t="inlineStr">
        <is>
          <t>metal</t>
        </is>
      </c>
      <c r="I1281" s="8" t="inlineStr">
        <is>
          <t>1×3</t>
        </is>
      </c>
      <c r="J1281" s="8" t="n">
        <v>3</v>
      </c>
      <c r="K1281" s="8" t="n">
        <v>154</v>
      </c>
      <c r="L1281" s="8" t="inlineStr">
        <is>
          <t>是</t>
        </is>
      </c>
      <c r="M1281" s="9" t="inlineStr">
        <is>
          <t>beastDrop</t>
        </is>
      </c>
      <c r="N1281" s="8" t="n">
        <v>1</v>
      </c>
      <c r="O1281" s="9" t="inlineStr">
        <is>
          <t>周期触发</t>
        </is>
      </c>
      <c r="P1281" s="9" t="inlineStr">
        <is>
          <t>periodicPulse</t>
        </is>
      </c>
      <c r="Q1281" s="9" t="inlineStr">
        <is>
          <t>周期触发：轮转时，消耗 10 点体力；敏捷不少于 9 层时，再消耗 9 层敏捷，对敌方造成 120 点伤害</t>
        </is>
      </c>
      <c r="R1281" s="9" t="inlineStr"/>
      <c r="S1281" s="9" t="inlineStr">
        <is>
          <t>一截青灰长喙，中段多出可屈可伸的骨节，合拢时锋线依旧笔直。产自妖兽「折喙苇鹭」。</t>
        </is>
      </c>
      <c r="T1281" s="8" t="inlineStr">
        <is>
          <t>material_zhehui_weilu_hinged_long_beak_1x3</t>
        </is>
      </c>
      <c r="U1281" s="8" t="inlineStr">
        <is>
          <t>allowed</t>
        </is>
      </c>
    </row>
    <row r="1282" ht="34" customHeight="1">
      <c r="A1282" s="8" t="n">
        <v>1281</v>
      </c>
      <c r="B1282" s="8" t="n">
        <v>500521</v>
      </c>
      <c r="C1282" s="8" t="inlineStr">
        <is>
          <t>苇芯枪杆</t>
        </is>
      </c>
      <c r="D1282" s="8" t="inlineStr">
        <is>
          <t>材料</t>
        </is>
      </c>
      <c r="E1282" s="8" t="inlineStr">
        <is>
          <t>material</t>
        </is>
      </c>
      <c r="F1282" s="8" t="inlineStr">
        <is>
          <t>spirit</t>
        </is>
      </c>
      <c r="G1282" s="8" t="inlineStr">
        <is>
          <t>木</t>
        </is>
      </c>
      <c r="H1282" s="8" t="inlineStr">
        <is>
          <t>wood</t>
        </is>
      </c>
      <c r="I1282" s="8" t="inlineStr">
        <is>
          <t>1×3</t>
        </is>
      </c>
      <c r="J1282" s="8" t="n">
        <v>3</v>
      </c>
      <c r="K1282" s="8" t="n">
        <v>40</v>
      </c>
      <c r="L1282" s="8" t="inlineStr">
        <is>
          <t>否</t>
        </is>
      </c>
      <c r="M1282" s="9" t="inlineStr"/>
      <c r="N1282" s="8" t="n">
        <v>1</v>
      </c>
      <c r="O1282" s="9" t="inlineStr">
        <is>
          <t>周期触发</t>
        </is>
      </c>
      <c r="P1282" s="9" t="inlineStr">
        <is>
          <t>periodicPulse</t>
        </is>
      </c>
      <c r="Q1282" s="9" t="inlineStr">
        <is>
          <t>周期触发：轮转时，恢复自身 76 点体力</t>
        </is>
      </c>
      <c r="R1282" s="9" t="inlineStr"/>
      <c r="S1282" s="9" t="inlineStr">
        <is>
          <t>一段浸透浅滩灵气的粗壮芦杆，杆芯紧实，末端留有反复握持的压痕。产自妖兽「折喙苇鹭」。</t>
        </is>
      </c>
      <c r="T1282" s="8" t="inlineStr">
        <is>
          <t>material_zhehui_weilu_reed_spear_shaft_1x3</t>
        </is>
      </c>
      <c r="U1282" s="8" t="inlineStr">
        <is>
          <t>allowed</t>
        </is>
      </c>
    </row>
    <row r="1283" ht="34" customHeight="1">
      <c r="A1283" s="8" t="n">
        <v>1282</v>
      </c>
      <c r="B1283" s="8" t="n">
        <v>500522</v>
      </c>
      <c r="C1283" s="8" t="inlineStr">
        <is>
          <t>芦编护胸羽</t>
        </is>
      </c>
      <c r="D1283" s="8" t="inlineStr">
        <is>
          <t>材料</t>
        </is>
      </c>
      <c r="E1283" s="8" t="inlineStr">
        <is>
          <t>material</t>
        </is>
      </c>
      <c r="F1283" s="8" t="inlineStr">
        <is>
          <t>spirit</t>
        </is>
      </c>
      <c r="G1283" s="8" t="inlineStr">
        <is>
          <t>土</t>
        </is>
      </c>
      <c r="H1283" s="8" t="inlineStr">
        <is>
          <t>earth</t>
        </is>
      </c>
      <c r="I1283" s="8" t="inlineStr">
        <is>
          <t>3×2</t>
        </is>
      </c>
      <c r="J1283" s="8" t="n">
        <v>6</v>
      </c>
      <c r="K1283" s="8" t="n">
        <v>40</v>
      </c>
      <c r="L1283" s="8" t="inlineStr">
        <is>
          <t>否</t>
        </is>
      </c>
      <c r="M1283" s="9" t="inlineStr"/>
      <c r="N1283" s="8" t="n">
        <v>1</v>
      </c>
      <c r="O1283" s="9" t="inlineStr">
        <is>
          <t>周期触发</t>
        </is>
      </c>
      <c r="P1283" s="9" t="inlineStr">
        <is>
          <t>periodicPulse</t>
        </is>
      </c>
      <c r="Q1283" s="9" t="inlineStr">
        <is>
          <t>周期触发：开局时，获得 46 层敏捷和 48 层寒冷，寒冷持续 40 秒</t>
        </is>
      </c>
      <c r="R1283" s="9" t="inlineStr"/>
      <c r="S1283" s="9" t="inlineStr">
        <is>
          <t>一片连着青白胸羽的芦编护甲，藤线虽粗，却将轻羽与硬苇压得十分牢靠。产自妖兽「折喙苇鹭」。</t>
        </is>
      </c>
      <c r="T1283" s="8" t="inlineStr">
        <is>
          <t>material_zhehui_weilu_reed_breast_feathers_3x2</t>
        </is>
      </c>
      <c r="U1283" s="8" t="inlineStr">
        <is>
          <t>allowed</t>
        </is>
      </c>
    </row>
    <row r="1284" ht="34" customHeight="1">
      <c r="A1284" s="8" t="n">
        <v>1283</v>
      </c>
      <c r="B1284" s="8" t="n">
        <v>500523</v>
      </c>
      <c r="C1284" s="8" t="inlineStr">
        <is>
          <t>掠水翼根羽</t>
        </is>
      </c>
      <c r="D1284" s="8" t="inlineStr">
        <is>
          <t>材料</t>
        </is>
      </c>
      <c r="E1284" s="8" t="inlineStr">
        <is>
          <t>material</t>
        </is>
      </c>
      <c r="F1284" s="8" t="inlineStr">
        <is>
          <t>spirit</t>
        </is>
      </c>
      <c r="G1284" s="8" t="inlineStr">
        <is>
          <t>木</t>
        </is>
      </c>
      <c r="H1284" s="8" t="inlineStr">
        <is>
          <t>wood</t>
        </is>
      </c>
      <c r="I1284" s="8" t="inlineStr">
        <is>
          <t>3×1</t>
        </is>
      </c>
      <c r="J1284" s="8" t="n">
        <v>3</v>
      </c>
      <c r="K1284" s="8" t="n">
        <v>40</v>
      </c>
      <c r="L1284" s="8" t="inlineStr">
        <is>
          <t>否</t>
        </is>
      </c>
      <c r="M1284" s="9" t="inlineStr"/>
      <c r="N1284" s="8" t="n">
        <v>1</v>
      </c>
      <c r="O1284" s="9" t="inlineStr">
        <is>
          <t>周期触发</t>
        </is>
      </c>
      <c r="P1284" s="9" t="inlineStr">
        <is>
          <t>periodicPulse</t>
        </is>
      </c>
      <c r="Q1284" s="9" t="inlineStr">
        <is>
          <t>周期触发：轮转时，将 50 点体力转化为 30 层闪避和 22 层护甲</t>
        </is>
      </c>
      <c r="R1284" s="9" t="inlineStr"/>
      <c r="S1284" s="9" t="inlineStr">
        <is>
          <t>三枚宽阔的青蓝翼根羽，羽轴硬韧，边缘带着掠过水面留下的细密波纹。产自妖兽「折喙苇鹭」。</t>
        </is>
      </c>
      <c r="T1284" s="8" t="inlineStr">
        <is>
          <t>material_zhehui_weilu_water_skimming_wing_feathers_3x1</t>
        </is>
      </c>
      <c r="U1284" s="8" t="inlineStr">
        <is>
          <t>allowed</t>
        </is>
      </c>
    </row>
    <row r="1285" ht="34" customHeight="1">
      <c r="A1285" s="8" t="n">
        <v>1284</v>
      </c>
      <c r="B1285" s="8" t="n">
        <v>500524</v>
      </c>
      <c r="C1285" s="8" t="inlineStr">
        <is>
          <t>浅沼阔蹼膜</t>
        </is>
      </c>
      <c r="D1285" s="8" t="inlineStr">
        <is>
          <t>材料</t>
        </is>
      </c>
      <c r="E1285" s="8" t="inlineStr">
        <is>
          <t>material</t>
        </is>
      </c>
      <c r="F1285" s="8" t="inlineStr">
        <is>
          <t>spirit</t>
        </is>
      </c>
      <c r="G1285" s="8" t="inlineStr">
        <is>
          <t>水</t>
        </is>
      </c>
      <c r="H1285" s="8" t="inlineStr">
        <is>
          <t>water</t>
        </is>
      </c>
      <c r="I1285" s="8" t="inlineStr">
        <is>
          <t>2×2</t>
        </is>
      </c>
      <c r="J1285" s="8" t="n">
        <v>4</v>
      </c>
      <c r="K1285" s="8" t="n">
        <v>40</v>
      </c>
      <c r="L1285" s="8" t="inlineStr">
        <is>
          <t>否</t>
        </is>
      </c>
      <c r="M1285" s="9" t="inlineStr"/>
      <c r="N1285" s="8" t="n">
        <v>1</v>
      </c>
      <c r="O1285" s="9" t="inlineStr">
        <is>
          <t>周期触发</t>
        </is>
      </c>
      <c r="P1285" s="9" t="inlineStr">
        <is>
          <t>periodicPulse</t>
        </is>
      </c>
      <c r="Q1285" s="9" t="inlineStr">
        <is>
          <t>周期触发：轮转时，将 40 点体力转化为 28 层敏捷和 16 层寒冷，寒冷持续 40 秒</t>
        </is>
      </c>
      <c r="R1285" s="9" t="inlineStr"/>
      <c r="S1285" s="9" t="inlineStr">
        <is>
          <t>两片宽大的墨青蹼膜，表面附着洗净后仍不褪色的浅水纹路，柔韧而不易撕裂。产自妖兽「折喙苇鹭」。</t>
        </is>
      </c>
      <c r="T1285" s="8" t="inlineStr">
        <is>
          <t>material_zhehui_weilu_marsh_webbing_2x2</t>
        </is>
      </c>
      <c r="U1285" s="8" t="inlineStr">
        <is>
          <t>allowed</t>
        </is>
      </c>
    </row>
    <row r="1286" ht="34" customHeight="1">
      <c r="A1286" s="8" t="n">
        <v>1285</v>
      </c>
      <c r="B1286" s="8" t="n">
        <v>500525</v>
      </c>
      <c r="C1286" s="8" t="inlineStr">
        <is>
          <t>曲颈韧筋</t>
        </is>
      </c>
      <c r="D1286" s="8" t="inlineStr">
        <is>
          <t>材料</t>
        </is>
      </c>
      <c r="E1286" s="8" t="inlineStr">
        <is>
          <t>material</t>
        </is>
      </c>
      <c r="F1286" s="8" t="inlineStr">
        <is>
          <t>spirit</t>
        </is>
      </c>
      <c r="G1286" s="8" t="inlineStr">
        <is>
          <t>无</t>
        </is>
      </c>
      <c r="H1286" s="8" t="inlineStr">
        <is>
          <t>none</t>
        </is>
      </c>
      <c r="I1286" s="8" t="inlineStr">
        <is>
          <t>1×2</t>
        </is>
      </c>
      <c r="J1286" s="8" t="n">
        <v>2</v>
      </c>
      <c r="K1286" s="8" t="n">
        <v>40</v>
      </c>
      <c r="L1286" s="8" t="inlineStr">
        <is>
          <t>否</t>
        </is>
      </c>
      <c r="M1286" s="9" t="inlineStr"/>
      <c r="N1286" s="8" t="n">
        <v>1</v>
      </c>
      <c r="O1286" s="9" t="inlineStr">
        <is>
          <t>周期触发</t>
        </is>
      </c>
      <c r="P1286" s="9" t="inlineStr">
        <is>
          <t>periodicPulse</t>
        </is>
      </c>
      <c r="Q1286" s="9" t="inlineStr">
        <is>
          <t>周期触发：轮转时，消耗 15 点体力；寒冷不少于 8 层时，再消耗 8 层寒冷，对敌方造成 66 点伤害并施加 6 层麻痹</t>
        </is>
      </c>
      <c r="R1286" s="9" t="inlineStr"/>
      <c r="S1286" s="9" t="inlineStr">
        <is>
          <t>一束自修长颈部完整剥下的淡青韧筋，弯折后仍会迅速绷回原状。产自妖兽「折喙苇鹭」。</t>
        </is>
      </c>
      <c r="T1286" s="8" t="inlineStr">
        <is>
          <t>material_zhehui_weilu_curved_neck_tendon_1x2</t>
        </is>
      </c>
      <c r="U1286" s="8" t="inlineStr">
        <is>
          <t>allowed</t>
        </is>
      </c>
    </row>
    <row r="1287" ht="34" customHeight="1">
      <c r="A1287" s="8" t="n">
        <v>1286</v>
      </c>
      <c r="B1287" s="8" t="n">
        <v>500526</v>
      </c>
      <c r="C1287" s="8" t="inlineStr">
        <is>
          <t>苇鹭鸣喉囊</t>
        </is>
      </c>
      <c r="D1287" s="8" t="inlineStr">
        <is>
          <t>材料</t>
        </is>
      </c>
      <c r="E1287" s="8" t="inlineStr">
        <is>
          <t>material</t>
        </is>
      </c>
      <c r="F1287" s="8" t="inlineStr">
        <is>
          <t>spirit</t>
        </is>
      </c>
      <c r="G1287" s="8" t="inlineStr">
        <is>
          <t>水</t>
        </is>
      </c>
      <c r="H1287" s="8" t="inlineStr">
        <is>
          <t>water</t>
        </is>
      </c>
      <c r="I1287" s="8" t="inlineStr">
        <is>
          <t>2×2</t>
        </is>
      </c>
      <c r="J1287" s="8" t="n">
        <v>4</v>
      </c>
      <c r="K1287" s="8" t="n">
        <v>40</v>
      </c>
      <c r="L1287" s="8" t="inlineStr">
        <is>
          <t>否</t>
        </is>
      </c>
      <c r="M1287" s="9" t="inlineStr"/>
      <c r="N1287" s="8" t="n">
        <v>1</v>
      </c>
      <c r="O1287" s="9" t="inlineStr">
        <is>
          <t>周期触发</t>
        </is>
      </c>
      <c r="P1287" s="9" t="inlineStr">
        <is>
          <t>periodicPulse</t>
        </is>
      </c>
      <c r="Q1287" s="9" t="inlineStr">
        <is>
          <t>周期触发：轮转时，消耗 60 点体力，移除敌方 20 层护甲并扣除 180 点体力</t>
        </is>
      </c>
      <c r="R1287" s="9" t="inlineStr"/>
      <c r="S1287" s="9" t="inlineStr">
        <is>
          <t>一只狭长的青白喉囊，外膜密布细小鸣纹，轻触便会发出短促清音。产自妖兽「折喙苇鹭」。</t>
        </is>
      </c>
      <c r="T1287" s="8" t="inlineStr">
        <is>
          <t>material_zhehui_weilu_calling_throat_sac_2x2</t>
        </is>
      </c>
      <c r="U1287" s="8" t="inlineStr">
        <is>
          <t>allowed</t>
        </is>
      </c>
    </row>
    <row r="1288" ht="34" customHeight="1">
      <c r="A1288" s="8" t="n">
        <v>1287</v>
      </c>
      <c r="B1288" s="8" t="n">
        <v>500594</v>
      </c>
      <c r="C1288" s="8" t="inlineStr">
        <is>
          <t>长趾绳腱</t>
        </is>
      </c>
      <c r="D1288" s="8" t="inlineStr">
        <is>
          <t>材料</t>
        </is>
      </c>
      <c r="E1288" s="8" t="inlineStr">
        <is>
          <t>material</t>
        </is>
      </c>
      <c r="F1288" s="8" t="inlineStr">
        <is>
          <t>spirit</t>
        </is>
      </c>
      <c r="G1288" s="8" t="inlineStr">
        <is>
          <t>木</t>
        </is>
      </c>
      <c r="H1288" s="8" t="inlineStr">
        <is>
          <t>wood</t>
        </is>
      </c>
      <c r="I1288" s="8" t="inlineStr">
        <is>
          <t>1×1</t>
        </is>
      </c>
      <c r="J1288" s="8" t="n">
        <v>1</v>
      </c>
      <c r="K1288" s="8" t="n">
        <v>130</v>
      </c>
      <c r="L1288" s="8" t="inlineStr">
        <is>
          <t>是</t>
        </is>
      </c>
      <c r="M1288" s="9" t="inlineStr">
        <is>
          <t>beastDrop</t>
        </is>
      </c>
      <c r="N1288" s="8" t="n">
        <v>1</v>
      </c>
      <c r="O1288" s="9" t="inlineStr">
        <is>
          <t>周期触发</t>
        </is>
      </c>
      <c r="P1288" s="9" t="inlineStr">
        <is>
          <t>periodicPulse</t>
        </is>
      </c>
      <c r="Q1288" s="9" t="inlineStr">
        <is>
          <t>周期触发：轮转时，恢复自身 40 点法力</t>
        </is>
      </c>
      <c r="R1288" s="9" t="inlineStr"/>
      <c r="S1288" s="9" t="inlineStr">
        <is>
          <t>一对赤褐长趾腱被金绳编作弹环，韧劲仍能带起鹤步疾掠的余势。产自妖兽「纸冠丹鹤」。</t>
        </is>
      </c>
      <c r="T1288" s="8" t="inlineStr">
        <is>
          <t>material_zhiguan_danhe_long_toe_rope_tendon_1x1</t>
        </is>
      </c>
      <c r="U1288" s="8" t="inlineStr">
        <is>
          <t>allowed</t>
        </is>
      </c>
    </row>
    <row r="1289" ht="34" customHeight="1">
      <c r="A1289" s="8" t="n">
        <v>1288</v>
      </c>
      <c r="B1289" s="8" t="n">
        <v>500595</v>
      </c>
      <c r="C1289" s="8" t="inlineStr">
        <is>
          <t>丹睛环羽</t>
        </is>
      </c>
      <c r="D1289" s="8" t="inlineStr">
        <is>
          <t>材料</t>
        </is>
      </c>
      <c r="E1289" s="8" t="inlineStr">
        <is>
          <t>material</t>
        </is>
      </c>
      <c r="F1289" s="8" t="inlineStr">
        <is>
          <t>spirit</t>
        </is>
      </c>
      <c r="G1289" s="8" t="inlineStr">
        <is>
          <t>火</t>
        </is>
      </c>
      <c r="H1289" s="8" t="inlineStr">
        <is>
          <t>fire</t>
        </is>
      </c>
      <c r="I1289" s="8" t="inlineStr">
        <is>
          <t>3×1</t>
        </is>
      </c>
      <c r="J1289" s="8" t="n">
        <v>3</v>
      </c>
      <c r="K1289" s="8" t="n">
        <v>130</v>
      </c>
      <c r="L1289" s="8" t="inlineStr">
        <is>
          <t>是</t>
        </is>
      </c>
      <c r="M1289" s="9" t="inlineStr">
        <is>
          <t>beastDrop</t>
        </is>
      </c>
      <c r="N1289" s="8" t="n">
        <v>1</v>
      </c>
      <c r="O1289" s="9" t="inlineStr">
        <is>
          <t>周期触发</t>
        </is>
      </c>
      <c r="P1289" s="9" t="inlineStr">
        <is>
          <t>periodicPulse</t>
        </is>
      </c>
      <c r="Q1289" s="9" t="inlineStr">
        <is>
          <t>周期触发：轮转时，将 50 点法力转化为自身 180 点气血</t>
        </is>
      </c>
      <c r="R1289" s="9" t="inlineStr"/>
      <c r="S1289" s="9" t="inlineStr">
        <is>
          <t>三枚朱睛环羽横列成束，暗红眼环与白色翎缘在狭长格中仍清晰可辨。产自妖兽「纸冠丹鹤」。</t>
        </is>
      </c>
      <c r="T1289" s="8" t="inlineStr">
        <is>
          <t>material_zhiguan_danhe_cinnabar_eye_ring_3x1</t>
        </is>
      </c>
      <c r="U1289" s="8" t="inlineStr">
        <is>
          <t>allowed</t>
        </is>
      </c>
    </row>
    <row r="1290" ht="34" customHeight="1">
      <c r="A1290" s="8" t="n">
        <v>1289</v>
      </c>
      <c r="B1290" s="8" t="n">
        <v>500615</v>
      </c>
      <c r="C1290" s="8" t="inlineStr">
        <is>
          <t>铁扣羚心</t>
        </is>
      </c>
      <c r="D1290" s="8" t="inlineStr">
        <is>
          <t>材料</t>
        </is>
      </c>
      <c r="E1290" s="8" t="inlineStr">
        <is>
          <t>material</t>
        </is>
      </c>
      <c r="F1290" s="8" t="inlineStr">
        <is>
          <t>spirit</t>
        </is>
      </c>
      <c r="G1290" s="8" t="inlineStr">
        <is>
          <t>火</t>
        </is>
      </c>
      <c r="H1290" s="8" t="inlineStr">
        <is>
          <t>fire</t>
        </is>
      </c>
      <c r="I1290" s="8" t="inlineStr">
        <is>
          <t>2×1</t>
        </is>
      </c>
      <c r="J1290" s="8" t="n">
        <v>2</v>
      </c>
      <c r="K1290" s="8" t="n">
        <v>137</v>
      </c>
      <c r="L1290" s="8" t="inlineStr">
        <is>
          <t>是</t>
        </is>
      </c>
      <c r="M1290" s="9" t="inlineStr">
        <is>
          <t>beastDrop</t>
        </is>
      </c>
      <c r="N1290" s="8" t="n">
        <v>1</v>
      </c>
      <c r="O1290" s="9" t="inlineStr">
        <is>
          <t>周期触发</t>
        </is>
      </c>
      <c r="P1290" s="9" t="inlineStr">
        <is>
          <t>periodicPulse</t>
        </is>
      </c>
      <c r="Q1290" s="9" t="inlineStr">
        <is>
          <t>周期触发：轮转时，自身至少有 6 层凝金时，最多消耗 12 层凝金，每消耗 1 层凝金，对敌方造成 7 点伤害</t>
        </is>
      </c>
      <c r="R1290" s="9" t="inlineStr"/>
      <c r="S1290" s="9" t="inlineStr">
        <is>
          <t>温润的羚心石外圈扣着黑铁细丝，靠近同类铁环时会微微震颤。产自妖兽「磁蹄羚」。</t>
        </is>
      </c>
      <c r="T1290" s="8" t="inlineStr">
        <is>
          <t>material_citi_ling_iron_clasp_heartstone_2x1</t>
        </is>
      </c>
      <c r="U1290" s="8" t="inlineStr">
        <is>
          <t>allowed</t>
        </is>
      </c>
    </row>
    <row r="1291" ht="34" customHeight="1">
      <c r="A1291" s="8" t="n">
        <v>1290</v>
      </c>
      <c r="B1291" s="8" t="n">
        <v>500616</v>
      </c>
      <c r="C1291" s="8" t="inlineStr">
        <is>
          <t>对极铁砂</t>
        </is>
      </c>
      <c r="D1291" s="8" t="inlineStr">
        <is>
          <t>材料</t>
        </is>
      </c>
      <c r="E1291" s="8" t="inlineStr">
        <is>
          <t>material</t>
        </is>
      </c>
      <c r="F1291" s="8" t="inlineStr">
        <is>
          <t>spirit</t>
        </is>
      </c>
      <c r="G1291" s="8" t="inlineStr">
        <is>
          <t>金</t>
        </is>
      </c>
      <c r="H1291" s="8" t="inlineStr">
        <is>
          <t>metal</t>
        </is>
      </c>
      <c r="I1291" s="8" t="inlineStr">
        <is>
          <t>1×2</t>
        </is>
      </c>
      <c r="J1291" s="8" t="n">
        <v>2</v>
      </c>
      <c r="K1291" s="8" t="n">
        <v>140</v>
      </c>
      <c r="L1291" s="8" t="inlineStr">
        <is>
          <t>是</t>
        </is>
      </c>
      <c r="M1291" s="9" t="inlineStr">
        <is>
          <t>beastDrop</t>
        </is>
      </c>
      <c r="N1291" s="8" t="n">
        <v>1</v>
      </c>
      <c r="O1291" s="9" t="inlineStr">
        <is>
          <t>周期触发</t>
        </is>
      </c>
      <c r="P1291" s="9" t="inlineStr">
        <is>
          <t>periodicPulse</t>
        </is>
      </c>
      <c r="Q1291" s="9" t="inlineStr">
        <is>
          <t>周期触发：轮转时，消耗 10 点体力，对敌方造成 144 点伤害</t>
        </is>
      </c>
      <c r="R1291" s="9" t="inlineStr"/>
      <c r="S1291" s="9" t="inlineStr">
        <is>
          <t>粗砺铁砂中夹着两色细屑，倒在石面上总会自行分成两撮。产自妖兽「磁蹄羚」。</t>
        </is>
      </c>
      <c r="T1291" s="8" t="inlineStr">
        <is>
          <t>material_citi_ling_polarity_iron_sand_1x2</t>
        </is>
      </c>
      <c r="U1291" s="8" t="inlineStr">
        <is>
          <t>allowed</t>
        </is>
      </c>
    </row>
    <row r="1292" ht="34" customHeight="1">
      <c r="A1292" s="8" t="n">
        <v>1291</v>
      </c>
      <c r="B1292" s="8" t="n">
        <v>500617</v>
      </c>
      <c r="C1292" s="8" t="inlineStr">
        <is>
          <t>羚蹄锁链</t>
        </is>
      </c>
      <c r="D1292" s="8" t="inlineStr">
        <is>
          <t>材料</t>
        </is>
      </c>
      <c r="E1292" s="8" t="inlineStr">
        <is>
          <t>material</t>
        </is>
      </c>
      <c r="F1292" s="8" t="inlineStr">
        <is>
          <t>spirit</t>
        </is>
      </c>
      <c r="G1292" s="8" t="inlineStr">
        <is>
          <t>土</t>
        </is>
      </c>
      <c r="H1292" s="8" t="inlineStr">
        <is>
          <t>earth</t>
        </is>
      </c>
      <c r="I1292" s="8" t="inlineStr">
        <is>
          <t>2×1</t>
        </is>
      </c>
      <c r="J1292" s="8" t="n">
        <v>2</v>
      </c>
      <c r="K1292" s="8" t="n">
        <v>140</v>
      </c>
      <c r="L1292" s="8" t="inlineStr">
        <is>
          <t>是</t>
        </is>
      </c>
      <c r="M1292" s="9" t="inlineStr">
        <is>
          <t>beastDrop</t>
        </is>
      </c>
      <c r="N1292" s="8" t="n">
        <v>1</v>
      </c>
      <c r="O1292" s="9" t="inlineStr">
        <is>
          <t>周期触发</t>
        </is>
      </c>
      <c r="P1292" s="9" t="inlineStr">
        <is>
          <t>periodicPulse</t>
        </is>
      </c>
      <c r="Q1292" s="9" t="inlineStr">
        <is>
          <t>周期触发：轮转时，消耗 2 点体力，扣除敌方 16 点体力</t>
        </is>
      </c>
      <c r="R1292" s="9" t="inlineStr"/>
      <c r="S1292" s="9" t="inlineStr">
        <is>
          <t>数枚短黑铁环以细链相连，扣在岩羚蹄侧时能承住急转的拉力。产自妖兽「磁蹄羚」。</t>
        </is>
      </c>
      <c r="T1292" s="8" t="inlineStr">
        <is>
          <t>material_citi_ling_hoof_ring_chain_2x1</t>
        </is>
      </c>
      <c r="U1292" s="8" t="inlineStr">
        <is>
          <t>allowed</t>
        </is>
      </c>
    </row>
    <row r="1293" ht="34" customHeight="1">
      <c r="A1293" s="8" t="n">
        <v>1292</v>
      </c>
      <c r="B1293" s="8" t="n">
        <v>500626</v>
      </c>
      <c r="C1293" s="8" t="inlineStr">
        <is>
          <t>腹鳞皮条</t>
        </is>
      </c>
      <c r="D1293" s="8" t="inlineStr">
        <is>
          <t>材料</t>
        </is>
      </c>
      <c r="E1293" s="8" t="inlineStr">
        <is>
          <t>material</t>
        </is>
      </c>
      <c r="F1293" s="8" t="inlineStr">
        <is>
          <t>spirit</t>
        </is>
      </c>
      <c r="G1293" s="8" t="inlineStr">
        <is>
          <t>土</t>
        </is>
      </c>
      <c r="H1293" s="8" t="inlineStr">
        <is>
          <t>earth</t>
        </is>
      </c>
      <c r="I1293" s="8" t="inlineStr">
        <is>
          <t>1×2</t>
        </is>
      </c>
      <c r="J1293" s="8" t="n">
        <v>2</v>
      </c>
      <c r="K1293" s="8" t="n">
        <v>160</v>
      </c>
      <c r="L1293" s="8" t="inlineStr">
        <is>
          <t>是</t>
        </is>
      </c>
      <c r="M1293" s="9" t="inlineStr">
        <is>
          <t>beastDrop</t>
        </is>
      </c>
      <c r="N1293" s="8" t="n">
        <v>1</v>
      </c>
      <c r="O1293" s="9" t="inlineStr">
        <is>
          <t>周期触发</t>
        </is>
      </c>
      <c r="P1293" s="9" t="inlineStr">
        <is>
          <t>periodicPulse</t>
        </is>
      </c>
      <c r="Q1293" s="9" t="inlineStr">
        <is>
          <t>周期触发：轮转时，消耗 6 点法力，连续 2 次对敌方造成 30 点伤害</t>
        </is>
      </c>
      <c r="R1293" s="9" t="inlineStr"/>
      <c r="S1293" s="9" t="inlineStr">
        <is>
          <t>一条乳白腹鳞皮，边缘缀着一线翠色细鳞。产自妖兽「伞颈鬣蜥」。</t>
        </is>
      </c>
      <c r="T1293" s="8" t="inlineStr">
        <is>
          <t>material_sanjing_liexi_belly_hide_strip_1x2</t>
        </is>
      </c>
      <c r="U1293" s="8" t="inlineStr">
        <is>
          <t>allowed</t>
        </is>
      </c>
    </row>
    <row r="1294" ht="34" customHeight="1">
      <c r="A1294" s="8" t="n">
        <v>1293</v>
      </c>
      <c r="B1294" s="8" t="n">
        <v>500627</v>
      </c>
      <c r="C1294" s="8" t="inlineStr">
        <is>
          <t>张褶棘</t>
        </is>
      </c>
      <c r="D1294" s="8" t="inlineStr">
        <is>
          <t>材料</t>
        </is>
      </c>
      <c r="E1294" s="8" t="inlineStr">
        <is>
          <t>material</t>
        </is>
      </c>
      <c r="F1294" s="8" t="inlineStr">
        <is>
          <t>spirit</t>
        </is>
      </c>
      <c r="G1294" s="8" t="inlineStr">
        <is>
          <t>金</t>
        </is>
      </c>
      <c r="H1294" s="8" t="inlineStr">
        <is>
          <t>metal</t>
        </is>
      </c>
      <c r="I1294" s="8" t="inlineStr">
        <is>
          <t>1×1</t>
        </is>
      </c>
      <c r="J1294" s="8" t="n">
        <v>1</v>
      </c>
      <c r="K1294" s="8" t="n">
        <v>157</v>
      </c>
      <c r="L1294" s="8" t="inlineStr">
        <is>
          <t>是</t>
        </is>
      </c>
      <c r="M1294" s="9" t="inlineStr">
        <is>
          <t>beastDrop</t>
        </is>
      </c>
      <c r="N1294" s="8" t="n">
        <v>1</v>
      </c>
      <c r="O1294" s="9" t="inlineStr">
        <is>
          <t>周期触发</t>
        </is>
      </c>
      <c r="P1294" s="9" t="inlineStr">
        <is>
          <t>periodicPulse</t>
        </is>
      </c>
      <c r="Q1294" s="9" t="inlineStr">
        <is>
          <t>周期触发：轮转时，恢复自身 60 点法力</t>
        </is>
      </c>
      <c r="R1294" s="9" t="inlineStr"/>
      <c r="S1294" s="9" t="inlineStr">
        <is>
          <t>一枚细小的橙色褶棘，扇开时最先弹出的便是它。产自妖兽「伞颈鬣蜥」。</t>
        </is>
      </c>
      <c r="T1294" s="8" t="inlineStr">
        <is>
          <t>material_sanjing_liexi_frill_spur_1x1</t>
        </is>
      </c>
      <c r="U1294" s="8" t="inlineStr">
        <is>
          <t>allowed</t>
        </is>
      </c>
    </row>
    <row r="1295" ht="34" customHeight="1">
      <c r="A1295" s="8" t="n">
        <v>1294</v>
      </c>
      <c r="B1295" s="8" t="n">
        <v>500628</v>
      </c>
      <c r="C1295" s="8" t="inlineStr">
        <is>
          <t>琥珀眼珠</t>
        </is>
      </c>
      <c r="D1295" s="8" t="inlineStr">
        <is>
          <t>材料</t>
        </is>
      </c>
      <c r="E1295" s="8" t="inlineStr">
        <is>
          <t>material</t>
        </is>
      </c>
      <c r="F1295" s="8" t="inlineStr">
        <is>
          <t>spirit</t>
        </is>
      </c>
      <c r="G1295" s="8" t="inlineStr">
        <is>
          <t>水</t>
        </is>
      </c>
      <c r="H1295" s="8" t="inlineStr">
        <is>
          <t>water</t>
        </is>
      </c>
      <c r="I1295" s="8" t="inlineStr">
        <is>
          <t>1×1</t>
        </is>
      </c>
      <c r="J1295" s="8" t="n">
        <v>1</v>
      </c>
      <c r="K1295" s="8" t="n">
        <v>160</v>
      </c>
      <c r="L1295" s="8" t="inlineStr">
        <is>
          <t>是</t>
        </is>
      </c>
      <c r="M1295" s="9" t="inlineStr">
        <is>
          <t>beastDrop</t>
        </is>
      </c>
      <c r="N1295" s="8" t="n">
        <v>1</v>
      </c>
      <c r="O1295" s="9" t="inlineStr">
        <is>
          <t>周期触发</t>
        </is>
      </c>
      <c r="P1295" s="9" t="inlineStr">
        <is>
          <t>periodicPulse</t>
        </is>
      </c>
      <c r="Q1295" s="9" t="inlineStr">
        <is>
          <t>周期触发：轮转时，恢复自身 70 点体力</t>
        </is>
      </c>
      <c r="R1295" s="9" t="inlineStr"/>
      <c r="S1295" s="9" t="inlineStr">
        <is>
          <t>一颗晶亮的琥珀色眼珠，乳白眼缘仍完整贴着外壳。产自妖兽「伞颈鬣蜥」。</t>
        </is>
      </c>
      <c r="T1295" s="8" t="inlineStr">
        <is>
          <t>material_sanjing_liexi_amber_eye_bead_1x1</t>
        </is>
      </c>
      <c r="U1295" s="8" t="inlineStr">
        <is>
          <t>allowed</t>
        </is>
      </c>
    </row>
    <row r="1296" ht="34" customHeight="1">
      <c r="A1296" s="8" t="n">
        <v>1295</v>
      </c>
      <c r="B1296" s="8" t="n">
        <v>500634</v>
      </c>
      <c r="C1296" s="8" t="inlineStr">
        <is>
          <t>负炉铜扣束带</t>
        </is>
      </c>
      <c r="D1296" s="8" t="inlineStr">
        <is>
          <t>材料</t>
        </is>
      </c>
      <c r="E1296" s="8" t="inlineStr">
        <is>
          <t>material</t>
        </is>
      </c>
      <c r="F1296" s="8" t="inlineStr">
        <is>
          <t>spirit</t>
        </is>
      </c>
      <c r="G1296" s="8" t="inlineStr">
        <is>
          <t>金</t>
        </is>
      </c>
      <c r="H1296" s="8" t="inlineStr">
        <is>
          <t>metal</t>
        </is>
      </c>
      <c r="I1296" s="8" t="inlineStr">
        <is>
          <t>1×2</t>
        </is>
      </c>
      <c r="J1296" s="8" t="n">
        <v>2</v>
      </c>
      <c r="K1296" s="8" t="n">
        <v>120</v>
      </c>
      <c r="L1296" s="8" t="inlineStr">
        <is>
          <t>是</t>
        </is>
      </c>
      <c r="M1296" s="9" t="inlineStr">
        <is>
          <t>beastDrop</t>
        </is>
      </c>
      <c r="N1296" s="8" t="n">
        <v>1</v>
      </c>
      <c r="O1296" s="9" t="inlineStr">
        <is>
          <t>周期触发</t>
        </is>
      </c>
      <c r="P1296" s="9" t="inlineStr">
        <is>
          <t>periodicPulse</t>
        </is>
      </c>
      <c r="Q1296" s="9" t="inlineStr">
        <is>
          <t>周期触发：轮转时，将 40 点法力转化为 140 层护甲</t>
        </is>
      </c>
      <c r="R1296" s="9" t="inlineStr"/>
      <c r="S1296" s="9" t="inlineStr">
        <is>
          <t>旧皮束带以方形铜扣锁住炉甲，边缘沾着难以洗净的青黑水渍。产自妖兽「炉甲鲵」。</t>
        </is>
      </c>
      <c r="T1296" s="8" t="inlineStr">
        <is>
          <t>material_lujia_ni_furnace_harness_1x2</t>
        </is>
      </c>
      <c r="U1296" s="8" t="inlineStr">
        <is>
          <t>allowed</t>
        </is>
      </c>
    </row>
    <row r="1297" ht="34" customHeight="1">
      <c r="A1297" s="8" t="n">
        <v>1296</v>
      </c>
      <c r="B1297" s="8" t="n">
        <v>500635</v>
      </c>
      <c r="C1297" s="8" t="inlineStr">
        <is>
          <t>厚蹼尾皮</t>
        </is>
      </c>
      <c r="D1297" s="8" t="inlineStr">
        <is>
          <t>材料</t>
        </is>
      </c>
      <c r="E1297" s="8" t="inlineStr">
        <is>
          <t>material</t>
        </is>
      </c>
      <c r="F1297" s="8" t="inlineStr">
        <is>
          <t>spirit</t>
        </is>
      </c>
      <c r="G1297" s="8" t="inlineStr">
        <is>
          <t>水</t>
        </is>
      </c>
      <c r="H1297" s="8" t="inlineStr">
        <is>
          <t>water</t>
        </is>
      </c>
      <c r="I1297" s="8" t="inlineStr">
        <is>
          <t>2×2</t>
        </is>
      </c>
      <c r="J1297" s="8" t="n">
        <v>4</v>
      </c>
      <c r="K1297" s="8" t="n">
        <v>90</v>
      </c>
      <c r="L1297" s="8" t="inlineStr">
        <is>
          <t>是</t>
        </is>
      </c>
      <c r="M1297" s="9" t="inlineStr">
        <is>
          <t>beastDrop</t>
        </is>
      </c>
      <c r="N1297" s="8" t="n">
        <v>1</v>
      </c>
      <c r="O1297" s="9" t="inlineStr">
        <is>
          <t>周期触发</t>
        </is>
      </c>
      <c r="P1297" s="9" t="inlineStr">
        <is>
          <t>periodicPulse</t>
        </is>
      </c>
      <c r="Q1297" s="9" t="inlineStr">
        <is>
          <t>周期触发：轮转时，消耗 140 点体力，对敌方施加 40 层灼烧</t>
        </is>
      </c>
      <c r="R1297" s="9" t="inlineStr"/>
      <c r="S1297" s="9" t="inlineStr">
        <is>
          <t>厚尾皮带着斑驳褐纹，折起时仍能看出尾蹼舒展留下的宽阔弧线。产自妖兽「炉甲鲵」。</t>
        </is>
      </c>
      <c r="T1297" s="8" t="inlineStr">
        <is>
          <t>material_lujia_ni_webbed_tail_hide_2x2</t>
        </is>
      </c>
      <c r="U1297" s="8" t="inlineStr">
        <is>
          <t>allowed</t>
        </is>
      </c>
    </row>
    <row r="1298" ht="34" customHeight="1">
      <c r="A1298" s="8" t="n">
        <v>1297</v>
      </c>
      <c r="B1298" s="8" t="n">
        <v>500636</v>
      </c>
      <c r="C1298" s="8" t="inlineStr">
        <is>
          <t>铜环鸣囊</t>
        </is>
      </c>
      <c r="D1298" s="8" t="inlineStr">
        <is>
          <t>材料</t>
        </is>
      </c>
      <c r="E1298" s="8" t="inlineStr">
        <is>
          <t>material</t>
        </is>
      </c>
      <c r="F1298" s="8" t="inlineStr">
        <is>
          <t>spirit</t>
        </is>
      </c>
      <c r="G1298" s="8" t="inlineStr">
        <is>
          <t>火</t>
        </is>
      </c>
      <c r="H1298" s="8" t="inlineStr">
        <is>
          <t>fire</t>
        </is>
      </c>
      <c r="I1298" s="8" t="inlineStr">
        <is>
          <t>2×1</t>
        </is>
      </c>
      <c r="J1298" s="8" t="n">
        <v>2</v>
      </c>
      <c r="K1298" s="8" t="n">
        <v>120</v>
      </c>
      <c r="L1298" s="8" t="inlineStr">
        <is>
          <t>是</t>
        </is>
      </c>
      <c r="M1298" s="9" t="inlineStr">
        <is>
          <t>beastDrop</t>
        </is>
      </c>
      <c r="N1298" s="8" t="n">
        <v>1</v>
      </c>
      <c r="O1298" s="9" t="inlineStr">
        <is>
          <t>周期触发</t>
        </is>
      </c>
      <c r="P1298" s="9" t="inlineStr">
        <is>
          <t>periodicPulse</t>
        </is>
      </c>
      <c r="Q1298" s="9" t="inlineStr">
        <is>
          <t>周期触发：轮转时，消耗 32 点法力，对敌方施加 36 层麻痹</t>
        </is>
      </c>
      <c r="R1298" s="9" t="inlineStr"/>
      <c r="S1298" s="9" t="inlineStr">
        <is>
          <t>暗红鸣囊两端套着旧铜环，按压时发出极低的闷响，囊壁坚韧不易破。产自妖兽「炉甲鲵」。</t>
        </is>
      </c>
      <c r="T1298" s="8" t="inlineStr">
        <is>
          <t>material_lujia_ni_bronze_ring_resonance_sac_2x1</t>
        </is>
      </c>
      <c r="U1298" s="8" t="inlineStr">
        <is>
          <t>allowed</t>
        </is>
      </c>
    </row>
    <row r="1299" ht="34" customHeight="1">
      <c r="A1299" s="8" t="n">
        <v>1298</v>
      </c>
      <c r="B1299" s="8" t="n">
        <v>500656</v>
      </c>
      <c r="C1299" s="8" t="inlineStr">
        <is>
          <t>狸背墨囊</t>
        </is>
      </c>
      <c r="D1299" s="8" t="inlineStr">
        <is>
          <t>材料</t>
        </is>
      </c>
      <c r="E1299" s="8" t="inlineStr">
        <is>
          <t>material</t>
        </is>
      </c>
      <c r="F1299" s="8" t="inlineStr">
        <is>
          <t>spirit</t>
        </is>
      </c>
      <c r="G1299" s="8" t="inlineStr">
        <is>
          <t>木</t>
        </is>
      </c>
      <c r="H1299" s="8" t="inlineStr">
        <is>
          <t>wood</t>
        </is>
      </c>
      <c r="I1299" s="8" t="inlineStr">
        <is>
          <t>2×1</t>
        </is>
      </c>
      <c r="J1299" s="8" t="n">
        <v>2</v>
      </c>
      <c r="K1299" s="8" t="n">
        <v>160</v>
      </c>
      <c r="L1299" s="8" t="inlineStr">
        <is>
          <t>是</t>
        </is>
      </c>
      <c r="M1299" s="9" t="inlineStr">
        <is>
          <t>beastDrop</t>
        </is>
      </c>
      <c r="N1299" s="8" t="n">
        <v>1</v>
      </c>
      <c r="O1299" s="9" t="inlineStr">
        <is>
          <t>周期触发</t>
        </is>
      </c>
      <c r="P1299" s="9" t="inlineStr">
        <is>
          <t>periodicPulse</t>
        </is>
      </c>
      <c r="Q1299" s="9" t="inlineStr">
        <is>
          <t>周期触发：轮转时，恢复自身 48 点法力，获得 12 层再生</t>
        </is>
      </c>
      <c r="R1299" s="9" t="inlineStr"/>
      <c r="S1299" s="9" t="inlineStr">
        <is>
          <t>系在墨盒下的小墨囊结实耐磨，囊口只沾着凝住的旧墨。产自妖兽「笔尾狸」。</t>
        </is>
      </c>
      <c r="T1299" s="8" t="inlineStr">
        <is>
          <t>material_biwei_li_back_ink_pouch_2x1</t>
        </is>
      </c>
      <c r="U1299" s="8" t="inlineStr">
        <is>
          <t>allowed</t>
        </is>
      </c>
    </row>
    <row r="1300" ht="34" customHeight="1">
      <c r="A1300" s="8" t="n">
        <v>1299</v>
      </c>
      <c r="B1300" s="8" t="n">
        <v>500657</v>
      </c>
      <c r="C1300" s="8" t="inlineStr">
        <is>
          <t>漆盒墨饼</t>
        </is>
      </c>
      <c r="D1300" s="8" t="inlineStr">
        <is>
          <t>材料</t>
        </is>
      </c>
      <c r="E1300" s="8" t="inlineStr">
        <is>
          <t>material</t>
        </is>
      </c>
      <c r="F1300" s="8" t="inlineStr">
        <is>
          <t>spirit</t>
        </is>
      </c>
      <c r="G1300" s="8" t="inlineStr">
        <is>
          <t>土</t>
        </is>
      </c>
      <c r="H1300" s="8" t="inlineStr">
        <is>
          <t>earth</t>
        </is>
      </c>
      <c r="I1300" s="8" t="inlineStr">
        <is>
          <t>1×1</t>
        </is>
      </c>
      <c r="J1300" s="8" t="n">
        <v>1</v>
      </c>
      <c r="K1300" s="8" t="n">
        <v>157</v>
      </c>
      <c r="L1300" s="8" t="inlineStr">
        <is>
          <t>是</t>
        </is>
      </c>
      <c r="M1300" s="9" t="inlineStr">
        <is>
          <t>beastDrop</t>
        </is>
      </c>
      <c r="N1300" s="8" t="n">
        <v>1</v>
      </c>
      <c r="O1300" s="9" t="inlineStr">
        <is>
          <t>周期触发</t>
        </is>
      </c>
      <c r="P1300" s="9" t="inlineStr">
        <is>
          <t>periodicPulse</t>
        </is>
      </c>
      <c r="Q1300" s="9" t="inlineStr">
        <is>
          <t>周期触发：轮转时，恢复自身 20 点体力，获得 8 层再生</t>
        </is>
      </c>
      <c r="R1300" s="9" t="inlineStr"/>
      <c r="S1300" s="9" t="inlineStr">
        <is>
          <t>从墨盒角落取出的圆墨饼，表面漆黑，尚未化开半点。产自妖兽「笔尾狸」。</t>
        </is>
      </c>
      <c r="T1300" s="8" t="inlineStr">
        <is>
          <t>material_biwei_li_lacquered_ink_cake_1x1</t>
        </is>
      </c>
      <c r="U1300" s="8" t="inlineStr">
        <is>
          <t>allowed</t>
        </is>
      </c>
    </row>
    <row r="1301" ht="34" customHeight="1">
      <c r="A1301" s="8" t="n">
        <v>1300</v>
      </c>
      <c r="B1301" s="8" t="n">
        <v>500658</v>
      </c>
      <c r="C1301" s="8" t="inlineStr">
        <is>
          <t>灵狸绒耳</t>
        </is>
      </c>
      <c r="D1301" s="8" t="inlineStr">
        <is>
          <t>材料</t>
        </is>
      </c>
      <c r="E1301" s="8" t="inlineStr">
        <is>
          <t>material</t>
        </is>
      </c>
      <c r="F1301" s="8" t="inlineStr">
        <is>
          <t>spirit</t>
        </is>
      </c>
      <c r="G1301" s="8" t="inlineStr">
        <is>
          <t>金</t>
        </is>
      </c>
      <c r="H1301" s="8" t="inlineStr">
        <is>
          <t>metal</t>
        </is>
      </c>
      <c r="I1301" s="8" t="inlineStr">
        <is>
          <t>1×1</t>
        </is>
      </c>
      <c r="J1301" s="8" t="n">
        <v>1</v>
      </c>
      <c r="K1301" s="8" t="n">
        <v>160</v>
      </c>
      <c r="L1301" s="8" t="inlineStr">
        <is>
          <t>是</t>
        </is>
      </c>
      <c r="M1301" s="9" t="inlineStr">
        <is>
          <t>beastDrop</t>
        </is>
      </c>
      <c r="N1301" s="8" t="n">
        <v>1</v>
      </c>
      <c r="O1301" s="9" t="inlineStr">
        <is>
          <t>周期触发</t>
        </is>
      </c>
      <c r="P1301" s="9" t="inlineStr">
        <is>
          <t>periodicPulse</t>
        </is>
      </c>
      <c r="Q1301" s="9" t="inlineStr">
        <is>
          <t>周期触发：轮转时，消耗 24 点体力，对敌方造成 104 点伤害</t>
        </is>
      </c>
      <c r="R1301" s="9" t="inlineStr"/>
      <c r="S1301" s="9" t="inlineStr">
        <is>
          <t>一小撮软耳绒带着淡淡暖意，夹在墨盒皮带下仍蓬松如初。产自妖兽「笔尾狸」。</t>
        </is>
      </c>
      <c r="T1301" s="8" t="inlineStr">
        <is>
          <t>material_biwei_li_spirit_raccoon_ear_tuft_1x1</t>
        </is>
      </c>
      <c r="U1301" s="8" t="inlineStr">
        <is>
          <t>allowed</t>
        </is>
      </c>
    </row>
    <row r="1302" ht="34" customHeight="1">
      <c r="A1302" s="8" t="n">
        <v>1301</v>
      </c>
      <c r="B1302" s="8" t="n">
        <v>500664</v>
      </c>
      <c r="C1302" s="8" t="inlineStr">
        <is>
          <t>俯冲长翎</t>
        </is>
      </c>
      <c r="D1302" s="8" t="inlineStr">
        <is>
          <t>材料</t>
        </is>
      </c>
      <c r="E1302" s="8" t="inlineStr">
        <is>
          <t>material</t>
        </is>
      </c>
      <c r="F1302" s="8" t="inlineStr">
        <is>
          <t>spirit</t>
        </is>
      </c>
      <c r="G1302" s="8" t="inlineStr">
        <is>
          <t>风</t>
        </is>
      </c>
      <c r="H1302" s="8" t="inlineStr">
        <is>
          <t>wind</t>
        </is>
      </c>
      <c r="I1302" s="8" t="inlineStr">
        <is>
          <t>1×4</t>
        </is>
      </c>
      <c r="J1302" s="8" t="n">
        <v>4</v>
      </c>
      <c r="K1302" s="8" t="n">
        <v>114</v>
      </c>
      <c r="L1302" s="8" t="inlineStr">
        <is>
          <t>是</t>
        </is>
      </c>
      <c r="M1302" s="9" t="inlineStr">
        <is>
          <t>beastDrop</t>
        </is>
      </c>
      <c r="N1302" s="8" t="n">
        <v>1</v>
      </c>
      <c r="O1302" s="9" t="inlineStr">
        <is>
          <t>周期触发</t>
        </is>
      </c>
      <c r="P1302" s="9" t="inlineStr">
        <is>
          <t>periodicPulse</t>
        </is>
      </c>
      <c r="Q1302" s="9" t="inlineStr">
        <is>
          <t>周期触发：凝金不少于 15 层时，消耗 48 点体力和 15 层凝金；每消耗 1 层凝金，对敌方造成 8 点伤害</t>
        </is>
      </c>
      <c r="R1302" s="9" t="inlineStr"/>
      <c r="S1302" s="9" t="inlineStr">
        <is>
          <t>四根长翎以旧铜扣束在一起，翎脉硬直，带着高空折风时留下的细白划痕。产自妖兽「钟胸鸠」。</t>
        </is>
      </c>
      <c r="T1302" s="8" t="inlineStr">
        <is>
          <t>material_zhongxiong_jiu_diving_flight_feathers_1x4</t>
        </is>
      </c>
      <c r="U1302" s="8" t="inlineStr">
        <is>
          <t>allowed</t>
        </is>
      </c>
    </row>
    <row r="1303" ht="34" customHeight="1">
      <c r="A1303" s="8" t="n">
        <v>1302</v>
      </c>
      <c r="B1303" s="8" t="n">
        <v>500665</v>
      </c>
      <c r="C1303" s="8" t="inlineStr">
        <is>
          <t>钟钉嗉囊</t>
        </is>
      </c>
      <c r="D1303" s="8" t="inlineStr">
        <is>
          <t>材料</t>
        </is>
      </c>
      <c r="E1303" s="8" t="inlineStr">
        <is>
          <t>material</t>
        </is>
      </c>
      <c r="F1303" s="8" t="inlineStr">
        <is>
          <t>spirit</t>
        </is>
      </c>
      <c r="G1303" s="8" t="inlineStr">
        <is>
          <t>木</t>
        </is>
      </c>
      <c r="H1303" s="8" t="inlineStr">
        <is>
          <t>wood</t>
        </is>
      </c>
      <c r="I1303" s="8" t="inlineStr">
        <is>
          <t>2×3</t>
        </is>
      </c>
      <c r="J1303" s="8" t="n">
        <v>6</v>
      </c>
      <c r="K1303" s="8" t="n">
        <v>110</v>
      </c>
      <c r="L1303" s="8" t="inlineStr">
        <is>
          <t>是</t>
        </is>
      </c>
      <c r="M1303" s="9" t="inlineStr">
        <is>
          <t>beastDrop</t>
        </is>
      </c>
      <c r="N1303" s="8" t="n">
        <v>1</v>
      </c>
      <c r="O1303" s="9" t="inlineStr">
        <is>
          <t>周期触发</t>
        </is>
      </c>
      <c r="P1303" s="9" t="inlineStr">
        <is>
          <t>periodicPulse</t>
        </is>
      </c>
      <c r="Q1303" s="9" t="inlineStr">
        <is>
          <t>周期触发：开局时，获得 240 层护甲、40 层坚硬和 6 层闪避</t>
        </is>
      </c>
      <c r="R1303" s="9" t="inlineStr"/>
      <c r="S1303" s="9" t="inlineStr">
        <is>
          <t>厚实嗉囊外缀着一枚铜钟铆片，按压时仍会传出微弱的闷响。产自妖兽「钟胸鸠」。</t>
        </is>
      </c>
      <c r="T1303" s="8" t="inlineStr">
        <is>
          <t>material_zhongxiong_jiu_bell_rivet_crop_2x3</t>
        </is>
      </c>
      <c r="U1303" s="8" t="inlineStr">
        <is>
          <t>allowed</t>
        </is>
      </c>
    </row>
    <row r="1304" ht="34" customHeight="1">
      <c r="A1304" s="8" t="n">
        <v>1303</v>
      </c>
      <c r="B1304" s="8" t="n">
        <v>500666</v>
      </c>
      <c r="C1304" s="8" t="inlineStr">
        <is>
          <t>悬铃翼骨</t>
        </is>
      </c>
      <c r="D1304" s="8" t="inlineStr">
        <is>
          <t>材料</t>
        </is>
      </c>
      <c r="E1304" s="8" t="inlineStr">
        <is>
          <t>material</t>
        </is>
      </c>
      <c r="F1304" s="8" t="inlineStr">
        <is>
          <t>spirit</t>
        </is>
      </c>
      <c r="G1304" s="8" t="inlineStr">
        <is>
          <t>金</t>
        </is>
      </c>
      <c r="H1304" s="8" t="inlineStr">
        <is>
          <t>metal</t>
        </is>
      </c>
      <c r="I1304" s="8" t="inlineStr">
        <is>
          <t>2×2</t>
        </is>
      </c>
      <c r="J1304" s="8" t="n">
        <v>4</v>
      </c>
      <c r="K1304" s="8" t="n">
        <v>110</v>
      </c>
      <c r="L1304" s="8" t="inlineStr">
        <is>
          <t>是</t>
        </is>
      </c>
      <c r="M1304" s="9" t="inlineStr">
        <is>
          <t>beastDrop</t>
        </is>
      </c>
      <c r="N1304" s="8" t="n">
        <v>1</v>
      </c>
      <c r="O1304" s="9" t="inlineStr">
        <is>
          <t>周期触发</t>
        </is>
      </c>
      <c r="P1304" s="9" t="inlineStr">
        <is>
          <t>periodicPulse</t>
        </is>
      </c>
      <c r="Q1304" s="9" t="inlineStr">
        <is>
          <t>周期触发：轮转时，恢复自身 120 点体力，获得 30 层凝金</t>
        </is>
      </c>
      <c r="R1304" s="9" t="inlineStr"/>
      <c r="S1304" s="9" t="inlineStr">
        <is>
          <t>粗壮翼骨上缠着一段铜制承力带，正是战钟随俯冲摆动时的受力处。产自妖兽「钟胸鸠」。</t>
        </is>
      </c>
      <c r="T1304" s="8" t="inlineStr">
        <is>
          <t>material_zhongxiong_jiu_bell_slung_wingbone_2x2</t>
        </is>
      </c>
      <c r="U1304" s="8" t="inlineStr">
        <is>
          <t>allowed</t>
        </is>
      </c>
    </row>
    <row r="1305" ht="34" customHeight="1">
      <c r="A1305" s="8" t="n">
        <v>1304</v>
      </c>
      <c r="B1305" s="8" t="n">
        <v>500694</v>
      </c>
      <c r="C1305" s="8" t="inlineStr">
        <is>
          <t>淬铁短獠</t>
        </is>
      </c>
      <c r="D1305" s="8" t="inlineStr">
        <is>
          <t>材料</t>
        </is>
      </c>
      <c r="E1305" s="8" t="inlineStr">
        <is>
          <t>material</t>
        </is>
      </c>
      <c r="F1305" s="8" t="inlineStr">
        <is>
          <t>spirit</t>
        </is>
      </c>
      <c r="G1305" s="8" t="inlineStr">
        <is>
          <t>金</t>
        </is>
      </c>
      <c r="H1305" s="8" t="inlineStr">
        <is>
          <t>metal</t>
        </is>
      </c>
      <c r="I1305" s="8" t="inlineStr">
        <is>
          <t>1×2</t>
        </is>
      </c>
      <c r="J1305" s="8" t="n">
        <v>2</v>
      </c>
      <c r="K1305" s="8" t="n">
        <v>120</v>
      </c>
      <c r="L1305" s="8" t="inlineStr">
        <is>
          <t>是</t>
        </is>
      </c>
      <c r="M1305" s="9" t="inlineStr">
        <is>
          <t>beastDrop</t>
        </is>
      </c>
      <c r="N1305" s="8" t="n">
        <v>1</v>
      </c>
      <c r="O1305" s="9" t="inlineStr">
        <is>
          <t>周期触发</t>
        </is>
      </c>
      <c r="P1305" s="9" t="inlineStr">
        <is>
          <t>periodicPulse</t>
        </is>
      </c>
      <c r="Q1305" s="9" t="inlineStr">
        <is>
          <t>周期触发：轮转时，坚硬不少于 5 层时，消耗 120 点体力，对敌方造成 200 点伤害，并施加 6 层麻痹</t>
        </is>
      </c>
      <c r="R1305" s="9" t="inlineStr"/>
      <c r="S1305" s="9" t="inlineStr">
        <is>
          <t>一枚粗短熊獠牙被铁屑反复磨亮，牙根呈焦褐色，尖端留着深浅不一的淬打纹。产自妖兽「砧背熊」。</t>
        </is>
      </c>
      <c r="T1305" s="8" t="inlineStr">
        <is>
          <t>material_zhenbei_xiong_quenched_fang_1x2</t>
        </is>
      </c>
      <c r="U1305" s="8" t="inlineStr">
        <is>
          <t>allowed</t>
        </is>
      </c>
    </row>
    <row r="1306" ht="34" customHeight="1">
      <c r="A1306" s="8" t="n">
        <v>1305</v>
      </c>
      <c r="B1306" s="8" t="n">
        <v>500695</v>
      </c>
      <c r="C1306" s="8" t="inlineStr">
        <is>
          <t>风箱喉囊</t>
        </is>
      </c>
      <c r="D1306" s="8" t="inlineStr">
        <is>
          <t>材料</t>
        </is>
      </c>
      <c r="E1306" s="8" t="inlineStr">
        <is>
          <t>material</t>
        </is>
      </c>
      <c r="F1306" s="8" t="inlineStr">
        <is>
          <t>spirit</t>
        </is>
      </c>
      <c r="G1306" s="8" t="inlineStr">
        <is>
          <t>火</t>
        </is>
      </c>
      <c r="H1306" s="8" t="inlineStr">
        <is>
          <t>fire</t>
        </is>
      </c>
      <c r="I1306" s="8" t="inlineStr">
        <is>
          <t>2×2</t>
        </is>
      </c>
      <c r="J1306" s="8" t="n">
        <v>4</v>
      </c>
      <c r="K1306" s="8" t="n">
        <v>100</v>
      </c>
      <c r="L1306" s="8" t="inlineStr">
        <is>
          <t>是</t>
        </is>
      </c>
      <c r="M1306" s="9" t="inlineStr">
        <is>
          <t>beastDrop</t>
        </is>
      </c>
      <c r="N1306" s="8" t="n">
        <v>1</v>
      </c>
      <c r="O1306" s="9" t="inlineStr">
        <is>
          <t>周期触发</t>
        </is>
      </c>
      <c r="P1306" s="9" t="inlineStr">
        <is>
          <t>periodicPulse</t>
        </is>
      </c>
      <c r="Q1306" s="9" t="inlineStr">
        <is>
          <t>周期触发：轮转时，凝金不少于 10 层时，恢复自身 280 点体力，获得 10 层凝金</t>
        </is>
      </c>
      <c r="R1306" s="9" t="inlineStr"/>
      <c r="S1306" s="9" t="inlineStr">
        <is>
          <t>宽大的暗红喉囊外覆黑毛短皮，收缩褶层像旧风箱，囊口残留一圈烟灰色硬膜。产自妖兽「砧背熊」。</t>
        </is>
      </c>
      <c r="T1306" s="8" t="inlineStr">
        <is>
          <t>material_zhenbei_xiong_bellows_throat_sac_2x2</t>
        </is>
      </c>
      <c r="U1306" s="8" t="inlineStr">
        <is>
          <t>allowed</t>
        </is>
      </c>
    </row>
    <row r="1307" ht="34" customHeight="1">
      <c r="A1307" s="8" t="n">
        <v>1306</v>
      </c>
      <c r="B1307" s="8" t="n">
        <v>500696</v>
      </c>
      <c r="C1307" s="8" t="inlineStr">
        <is>
          <t>重踏后掌</t>
        </is>
      </c>
      <c r="D1307" s="8" t="inlineStr">
        <is>
          <t>材料</t>
        </is>
      </c>
      <c r="E1307" s="8" t="inlineStr">
        <is>
          <t>material</t>
        </is>
      </c>
      <c r="F1307" s="8" t="inlineStr">
        <is>
          <t>spirit</t>
        </is>
      </c>
      <c r="G1307" s="8" t="inlineStr">
        <is>
          <t>土</t>
        </is>
      </c>
      <c r="H1307" s="8" t="inlineStr">
        <is>
          <t>earth</t>
        </is>
      </c>
      <c r="I1307" s="8" t="inlineStr">
        <is>
          <t>2×1</t>
        </is>
      </c>
      <c r="J1307" s="8" t="n">
        <v>2</v>
      </c>
      <c r="K1307" s="8" t="n">
        <v>120</v>
      </c>
      <c r="L1307" s="8" t="inlineStr">
        <is>
          <t>是</t>
        </is>
      </c>
      <c r="M1307" s="9" t="inlineStr">
        <is>
          <t>beastDrop</t>
        </is>
      </c>
      <c r="N1307" s="8" t="n">
        <v>1</v>
      </c>
      <c r="O1307" s="9" t="inlineStr">
        <is>
          <t>周期触发</t>
        </is>
      </c>
      <c r="P1307" s="9" t="inlineStr">
        <is>
          <t>periodicPulse</t>
        </is>
      </c>
      <c r="Q1307" s="9" t="inlineStr">
        <is>
          <t>周期触发：轮转时，消耗 120 点体力，对敌方造成 100 点伤害，并施加 12 层冰霜</t>
        </is>
      </c>
      <c r="R1307" s="9" t="inlineStr"/>
      <c r="S1307" s="9" t="inlineStr">
        <is>
          <t>一只宽大的黑熊后掌连着厚实掌垫，钝爪间嵌有细碎矿砂，掌缘磨出铁灰硬茧。产自妖兽「砧背熊」。</t>
        </is>
      </c>
      <c r="T1307" s="8" t="inlineStr">
        <is>
          <t>material_zhenbei_xiong_heavy_hind_paw_2x1</t>
        </is>
      </c>
      <c r="U1307" s="8" t="inlineStr">
        <is>
          <t>allowed</t>
        </is>
      </c>
    </row>
    <row r="1308" ht="34" customHeight="1">
      <c r="A1308" s="8" t="n">
        <v>1307</v>
      </c>
      <c r="B1308" s="8" t="n">
        <v>500740</v>
      </c>
      <c r="C1308" s="8" t="inlineStr">
        <is>
          <t>分锚尾骨甲</t>
        </is>
      </c>
      <c r="D1308" s="8" t="inlineStr">
        <is>
          <t>材料</t>
        </is>
      </c>
      <c r="E1308" s="8" t="inlineStr">
        <is>
          <t>material</t>
        </is>
      </c>
      <c r="F1308" s="8" t="inlineStr">
        <is>
          <t>spirit</t>
        </is>
      </c>
      <c r="G1308" s="8" t="inlineStr">
        <is>
          <t>土</t>
        </is>
      </c>
      <c r="H1308" s="8" t="inlineStr">
        <is>
          <t>earth</t>
        </is>
      </c>
      <c r="I1308" s="8" t="inlineStr">
        <is>
          <t>3×2</t>
        </is>
      </c>
      <c r="J1308" s="8" t="n">
        <v>6</v>
      </c>
      <c r="K1308" s="8" t="n">
        <v>52</v>
      </c>
      <c r="L1308" s="8" t="inlineStr">
        <is>
          <t>否</t>
        </is>
      </c>
      <c r="M1308" s="9" t="inlineStr"/>
      <c r="N1308" s="8" t="n">
        <v>1</v>
      </c>
      <c r="O1308" s="9" t="inlineStr">
        <is>
          <t>周期触发</t>
        </is>
      </c>
      <c r="P1308" s="9" t="inlineStr">
        <is>
          <t>periodicPulse</t>
        </is>
      </c>
      <c r="Q1308" s="9" t="inlineStr">
        <is>
          <t>周期触发：开局时，消耗 160 点体力，获得 900 层护甲</t>
        </is>
      </c>
      <c r="R1308" s="9" t="inlineStr"/>
      <c r="S1308" s="9" t="inlineStr">
        <is>
          <t>一整块沉厚尾端骨甲，末梢天然分作两枚内弯锚爪，断面仍可见连续生长的骨纹。产自妖兽「悬锚鳄」。</t>
        </is>
      </c>
      <c r="T1308" s="8" t="inlineStr">
        <is>
          <t>material_xuanmao_e_anchor_tail_armor_3x2</t>
        </is>
      </c>
      <c r="U1308" s="8" t="inlineStr">
        <is>
          <t>allowed</t>
        </is>
      </c>
    </row>
    <row r="1309" ht="34" customHeight="1">
      <c r="A1309" s="8" t="n">
        <v>1308</v>
      </c>
      <c r="B1309" s="8" t="n">
        <v>500741</v>
      </c>
      <c r="C1309" s="8" t="inlineStr">
        <is>
          <t>牵锚尾根筋</t>
        </is>
      </c>
      <c r="D1309" s="8" t="inlineStr">
        <is>
          <t>材料</t>
        </is>
      </c>
      <c r="E1309" s="8" t="inlineStr">
        <is>
          <t>material</t>
        </is>
      </c>
      <c r="F1309" s="8" t="inlineStr">
        <is>
          <t>spirit</t>
        </is>
      </c>
      <c r="G1309" s="8" t="inlineStr">
        <is>
          <t>木</t>
        </is>
      </c>
      <c r="H1309" s="8" t="inlineStr">
        <is>
          <t>wood</t>
        </is>
      </c>
      <c r="I1309" s="8" t="inlineStr">
        <is>
          <t>3×2</t>
        </is>
      </c>
      <c r="J1309" s="8" t="n">
        <v>6</v>
      </c>
      <c r="K1309" s="8" t="n">
        <v>48</v>
      </c>
      <c r="L1309" s="8" t="inlineStr">
        <is>
          <t>否</t>
        </is>
      </c>
      <c r="M1309" s="9" t="inlineStr"/>
      <c r="N1309" s="8" t="n">
        <v>1</v>
      </c>
      <c r="O1309" s="9" t="inlineStr">
        <is>
          <t>周期触发</t>
        </is>
      </c>
      <c r="P1309" s="9" t="inlineStr">
        <is>
          <t>periodicPulse</t>
        </is>
      </c>
      <c r="Q1309" s="9" t="inlineStr">
        <is>
          <t>周期触发：轮转时，将 200 点气血转化为 320 点体力</t>
        </is>
      </c>
      <c r="R1309" s="9" t="inlineStr"/>
      <c r="S1309" s="9" t="inlineStr">
        <is>
          <t>一束宽厚尾根筋膜，青灰筋束层层绞合，末端仍粘着细碎骨甲。产自妖兽「悬锚鳄」。</t>
        </is>
      </c>
      <c r="T1309" s="8" t="inlineStr">
        <is>
          <t>material_xuanmao_e_anchor_tail_sinew_3x2</t>
        </is>
      </c>
      <c r="U1309" s="8" t="inlineStr">
        <is>
          <t>allowed</t>
        </is>
      </c>
    </row>
    <row r="1310" ht="34" customHeight="1">
      <c r="A1310" s="8" t="n">
        <v>1309</v>
      </c>
      <c r="B1310" s="8" t="n">
        <v>500742</v>
      </c>
      <c r="C1310" s="8" t="inlineStr">
        <is>
          <t>沉湾鳄颚骨</t>
        </is>
      </c>
      <c r="D1310" s="8" t="inlineStr">
        <is>
          <t>材料</t>
        </is>
      </c>
      <c r="E1310" s="8" t="inlineStr">
        <is>
          <t>material</t>
        </is>
      </c>
      <c r="F1310" s="8" t="inlineStr">
        <is>
          <t>spirit</t>
        </is>
      </c>
      <c r="G1310" s="8" t="inlineStr">
        <is>
          <t>土</t>
        </is>
      </c>
      <c r="H1310" s="8" t="inlineStr">
        <is>
          <t>earth</t>
        </is>
      </c>
      <c r="I1310" s="8" t="inlineStr">
        <is>
          <t>2×2</t>
        </is>
      </c>
      <c r="J1310" s="8" t="n">
        <v>4</v>
      </c>
      <c r="K1310" s="8" t="n">
        <v>46</v>
      </c>
      <c r="L1310" s="8" t="inlineStr">
        <is>
          <t>否</t>
        </is>
      </c>
      <c r="M1310" s="9" t="inlineStr"/>
      <c r="N1310" s="8" t="n">
        <v>1</v>
      </c>
      <c r="O1310" s="9" t="inlineStr">
        <is>
          <t>周期触发</t>
        </is>
      </c>
      <c r="P1310" s="9" t="inlineStr">
        <is>
          <t>periodicPulse</t>
        </is>
      </c>
      <c r="Q1310" s="9" t="inlineStr">
        <is>
          <t>周期触发：轮转时，消耗 120 点体力，对敌方造成 336 点伤害</t>
        </is>
      </c>
      <c r="R1310" s="9" t="inlineStr"/>
      <c r="S1310" s="9" t="inlineStr">
        <is>
          <t>一块弯阔厚重的下颚骨，齿槽深陷，外侧布满在岩岸拖磨留下的灰白划痕。产自妖兽「悬锚鳄」。</t>
        </is>
      </c>
      <c r="T1310" s="8" t="inlineStr">
        <is>
          <t>material_xuanmao_e_heavy_jawbone_2x2</t>
        </is>
      </c>
      <c r="U1310" s="8" t="inlineStr">
        <is>
          <t>allowed</t>
        </is>
      </c>
    </row>
    <row r="1311" ht="34" customHeight="1">
      <c r="A1311" s="8" t="n">
        <v>1310</v>
      </c>
      <c r="B1311" s="8" t="n">
        <v>500743</v>
      </c>
      <c r="C1311" s="8" t="inlineStr">
        <is>
          <t>伏流背脊甲</t>
        </is>
      </c>
      <c r="D1311" s="8" t="inlineStr">
        <is>
          <t>材料</t>
        </is>
      </c>
      <c r="E1311" s="8" t="inlineStr">
        <is>
          <t>material</t>
        </is>
      </c>
      <c r="F1311" s="8" t="inlineStr">
        <is>
          <t>spirit</t>
        </is>
      </c>
      <c r="G1311" s="8" t="inlineStr">
        <is>
          <t>水</t>
        </is>
      </c>
      <c r="H1311" s="8" t="inlineStr">
        <is>
          <t>water</t>
        </is>
      </c>
      <c r="I1311" s="8" t="inlineStr">
        <is>
          <t>2×2</t>
        </is>
      </c>
      <c r="J1311" s="8" t="n">
        <v>4</v>
      </c>
      <c r="K1311" s="8" t="n">
        <v>44</v>
      </c>
      <c r="L1311" s="8" t="inlineStr">
        <is>
          <t>否</t>
        </is>
      </c>
      <c r="M1311" s="9" t="inlineStr"/>
      <c r="N1311" s="8" t="n">
        <v>1</v>
      </c>
      <c r="O1311" s="9" t="inlineStr">
        <is>
          <t>周期触发</t>
        </is>
      </c>
      <c r="P1311" s="9" t="inlineStr">
        <is>
          <t>periodicPulse</t>
        </is>
      </c>
      <c r="Q1311" s="9" t="inlineStr">
        <is>
          <t>周期触发：轮转时，将 80 点体力转化为自身 280 点气血</t>
        </is>
      </c>
      <c r="R1311" s="9" t="inlineStr"/>
      <c r="S1311" s="9" t="inlineStr">
        <is>
          <t>四片青蓝背鳞紧密相扣，鳞面低伏如水下暗礁，边缘带着浅金色旧磨痕。产自妖兽「悬锚鳄」。</t>
        </is>
      </c>
      <c r="T1311" s="8" t="inlineStr">
        <is>
          <t>material_xuanmao_e_back_ridge_armor_2x2</t>
        </is>
      </c>
      <c r="U1311" s="8" t="inlineStr">
        <is>
          <t>allowed</t>
        </is>
      </c>
    </row>
    <row r="1312" ht="34" customHeight="1">
      <c r="A1312" s="8" t="n">
        <v>1311</v>
      </c>
      <c r="B1312" s="8" t="n">
        <v>500744</v>
      </c>
      <c r="C1312" s="8" t="inlineStr">
        <is>
          <t>锁流尾脊节</t>
        </is>
      </c>
      <c r="D1312" s="8" t="inlineStr">
        <is>
          <t>材料</t>
        </is>
      </c>
      <c r="E1312" s="8" t="inlineStr">
        <is>
          <t>material</t>
        </is>
      </c>
      <c r="F1312" s="8" t="inlineStr">
        <is>
          <t>spirit</t>
        </is>
      </c>
      <c r="G1312" s="8" t="inlineStr">
        <is>
          <t>水</t>
        </is>
      </c>
      <c r="H1312" s="8" t="inlineStr">
        <is>
          <t>water</t>
        </is>
      </c>
      <c r="I1312" s="8" t="inlineStr">
        <is>
          <t>2×1</t>
        </is>
      </c>
      <c r="J1312" s="8" t="n">
        <v>2</v>
      </c>
      <c r="K1312" s="8" t="n">
        <v>40</v>
      </c>
      <c r="L1312" s="8" t="inlineStr">
        <is>
          <t>否</t>
        </is>
      </c>
      <c r="M1312" s="9" t="inlineStr"/>
      <c r="N1312" s="8" t="n">
        <v>1</v>
      </c>
      <c r="O1312" s="9" t="inlineStr">
        <is>
          <t>周期触发</t>
        </is>
      </c>
      <c r="P1312" s="9" t="inlineStr">
        <is>
          <t>periodicPulse</t>
        </is>
      </c>
      <c r="Q1312" s="9" t="inlineStr">
        <is>
          <t>周期触发：轮转时，消耗 20 点法力，使敌方获得 40 层冰霜</t>
        </is>
      </c>
      <c r="R1312" s="9" t="inlineStr"/>
      <c r="S1312" s="9" t="inlineStr">
        <is>
          <t>一段扁长尾脊骨，骨节两侧生有对称导力棱线，能将甩尾冲力层层传向末梢。产自妖兽「悬锚鳄」。</t>
        </is>
      </c>
      <c r="T1312" s="8" t="inlineStr">
        <is>
          <t>material_xuanmao_e_tail_spine_joint_2x1</t>
        </is>
      </c>
      <c r="U1312" s="8" t="inlineStr">
        <is>
          <t>allowed</t>
        </is>
      </c>
    </row>
    <row r="1313" ht="34" customHeight="1">
      <c r="A1313" s="8" t="n">
        <v>1312</v>
      </c>
      <c r="B1313" s="8" t="n">
        <v>500745</v>
      </c>
      <c r="C1313" s="8" t="inlineStr">
        <is>
          <t>潭息喉囊</t>
        </is>
      </c>
      <c r="D1313" s="8" t="inlineStr">
        <is>
          <t>材料</t>
        </is>
      </c>
      <c r="E1313" s="8" t="inlineStr">
        <is>
          <t>material</t>
        </is>
      </c>
      <c r="F1313" s="8" t="inlineStr">
        <is>
          <t>spirit</t>
        </is>
      </c>
      <c r="G1313" s="8" t="inlineStr">
        <is>
          <t>水</t>
        </is>
      </c>
      <c r="H1313" s="8" t="inlineStr">
        <is>
          <t>water</t>
        </is>
      </c>
      <c r="I1313" s="8" t="inlineStr">
        <is>
          <t>1×1</t>
        </is>
      </c>
      <c r="J1313" s="8" t="n">
        <v>1</v>
      </c>
      <c r="K1313" s="8" t="n">
        <v>147</v>
      </c>
      <c r="L1313" s="8" t="inlineStr">
        <is>
          <t>是</t>
        </is>
      </c>
      <c r="M1313" s="9" t="inlineStr">
        <is>
          <t>beastDrop</t>
        </is>
      </c>
      <c r="N1313" s="8" t="n">
        <v>1</v>
      </c>
      <c r="O1313" s="9" t="inlineStr">
        <is>
          <t>周期触发</t>
        </is>
      </c>
      <c r="P1313" s="9" t="inlineStr">
        <is>
          <t>periodicPulse</t>
        </is>
      </c>
      <c r="Q1313" s="9" t="inlineStr">
        <is>
          <t>周期触发：轮转时，将 50 点体力转化为 60 点法力</t>
        </is>
      </c>
      <c r="R1313" s="9" t="inlineStr"/>
      <c r="S1313" s="9" t="inlineStr">
        <is>
          <t>一枚厚韧的靛青喉囊，表面覆着细密水纹状筋络，收缩后仍保持饱满弹性。产自妖兽「悬锚鳄」，适合作为抱一丹的炼制材料。</t>
        </is>
      </c>
      <c r="T1313" s="8" t="inlineStr">
        <is>
          <t>material_xuanmao_e_deep_pool_throat_sac_1x1</t>
        </is>
      </c>
      <c r="U1313" s="8" t="inlineStr">
        <is>
          <t>allowed</t>
        </is>
      </c>
    </row>
    <row r="1314" ht="34" customHeight="1">
      <c r="A1314" s="8" t="n">
        <v>1313</v>
      </c>
      <c r="B1314" s="8" t="n">
        <v>500746</v>
      </c>
      <c r="C1314" s="8" t="inlineStr">
        <is>
          <t>闭水鼻阀骨</t>
        </is>
      </c>
      <c r="D1314" s="8" t="inlineStr">
        <is>
          <t>材料</t>
        </is>
      </c>
      <c r="E1314" s="8" t="inlineStr">
        <is>
          <t>material</t>
        </is>
      </c>
      <c r="F1314" s="8" t="inlineStr">
        <is>
          <t>spirit</t>
        </is>
      </c>
      <c r="G1314" s="8" t="inlineStr">
        <is>
          <t>水</t>
        </is>
      </c>
      <c r="H1314" s="8" t="inlineStr">
        <is>
          <t>water</t>
        </is>
      </c>
      <c r="I1314" s="8" t="inlineStr">
        <is>
          <t>1×1</t>
        </is>
      </c>
      <c r="J1314" s="8" t="n">
        <v>1</v>
      </c>
      <c r="K1314" s="8" t="n">
        <v>137</v>
      </c>
      <c r="L1314" s="8" t="inlineStr">
        <is>
          <t>是</t>
        </is>
      </c>
      <c r="M1314" s="9" t="inlineStr">
        <is>
          <t>beastDrop</t>
        </is>
      </c>
      <c r="N1314" s="8" t="n">
        <v>1</v>
      </c>
      <c r="O1314" s="9" t="inlineStr">
        <is>
          <t>周期触发</t>
        </is>
      </c>
      <c r="P1314" s="9" t="inlineStr">
        <is>
          <t>periodicPulse</t>
        </is>
      </c>
      <c r="Q1314" s="9" t="inlineStr">
        <is>
          <t>周期触发：轮转时，消耗 40 点体力，连续 2 次对敌方造成 32 点伤害</t>
        </is>
      </c>
      <c r="R1314" s="9" t="inlineStr"/>
      <c r="S1314" s="9" t="inlineStr">
        <is>
          <t>一对短阔鼻骨由软骨紧密相连，边缘光滑，合拢时几乎不留水隙。产自妖兽「悬锚鳄」，适合作为抱一丹的炼制材料。</t>
        </is>
      </c>
      <c r="T1314" s="8" t="inlineStr">
        <is>
          <t>material_xuanmao_e_water_seal_nasal_bone_1x1</t>
        </is>
      </c>
      <c r="U1314" s="8" t="inlineStr">
        <is>
          <t>allowed</t>
        </is>
      </c>
    </row>
    <row r="1315" ht="34" customHeight="1">
      <c r="A1315" s="8" t="n">
        <v>1314</v>
      </c>
      <c r="B1315" s="8" t="n">
        <v>500747</v>
      </c>
      <c r="C1315" s="8" t="inlineStr">
        <is>
          <t>潮痕鳄齿</t>
        </is>
      </c>
      <c r="D1315" s="8" t="inlineStr">
        <is>
          <t>材料</t>
        </is>
      </c>
      <c r="E1315" s="8" t="inlineStr">
        <is>
          <t>material</t>
        </is>
      </c>
      <c r="F1315" s="8" t="inlineStr">
        <is>
          <t>spirit</t>
        </is>
      </c>
      <c r="G1315" s="8" t="inlineStr">
        <is>
          <t>金</t>
        </is>
      </c>
      <c r="H1315" s="8" t="inlineStr">
        <is>
          <t>metal</t>
        </is>
      </c>
      <c r="I1315" s="8" t="inlineStr">
        <is>
          <t>1×1</t>
        </is>
      </c>
      <c r="J1315" s="8" t="n">
        <v>1</v>
      </c>
      <c r="K1315" s="8" t="n">
        <v>177</v>
      </c>
      <c r="L1315" s="8" t="inlineStr">
        <is>
          <t>是</t>
        </is>
      </c>
      <c r="M1315" s="9" t="inlineStr">
        <is>
          <t>beastDrop</t>
        </is>
      </c>
      <c r="N1315" s="8" t="n">
        <v>1</v>
      </c>
      <c r="O1315" s="9" t="inlineStr">
        <is>
          <t>周期触发</t>
        </is>
      </c>
      <c r="P1315" s="9" t="inlineStr">
        <is>
          <t>periodicPulse</t>
        </is>
      </c>
      <c r="Q1315" s="9" t="inlineStr">
        <is>
          <t>周期触发：轮转时，消耗 40 点体力，对敌方造成 80 点伤害</t>
        </is>
      </c>
      <c r="R1315" s="9" t="inlineStr"/>
      <c r="S1315" s="9" t="inlineStr">
        <is>
          <t>一枚乳白粗齿，齿根留有层叠潮痕，尖端因长期咬合岩壳而磨出斜面。产自妖兽「悬锚鳄」，适合作为抱一丹的炼制材料。</t>
        </is>
      </c>
      <c r="T1315" s="8" t="inlineStr">
        <is>
          <t>material_xuanmao_e_tide_marked_fang_1x1</t>
        </is>
      </c>
      <c r="U1315" s="8" t="inlineStr">
        <is>
          <t>allowed</t>
        </is>
      </c>
    </row>
    <row r="1316" ht="34" customHeight="1">
      <c r="A1316" s="8" t="n">
        <v>1315</v>
      </c>
      <c r="B1316" s="8" t="n">
        <v>500756</v>
      </c>
      <c r="C1316" s="8" t="inlineStr">
        <is>
          <t>赤纹鼻甲</t>
        </is>
      </c>
      <c r="D1316" s="8" t="inlineStr">
        <is>
          <t>材料</t>
        </is>
      </c>
      <c r="E1316" s="8" t="inlineStr">
        <is>
          <t>material</t>
        </is>
      </c>
      <c r="F1316" s="8" t="inlineStr">
        <is>
          <t>spirit</t>
        </is>
      </c>
      <c r="G1316" s="8" t="inlineStr">
        <is>
          <t>火</t>
        </is>
      </c>
      <c r="H1316" s="8" t="inlineStr">
        <is>
          <t>fire</t>
        </is>
      </c>
      <c r="I1316" s="8" t="inlineStr">
        <is>
          <t>1×1</t>
        </is>
      </c>
      <c r="J1316" s="8" t="n">
        <v>1</v>
      </c>
      <c r="K1316" s="8" t="n">
        <v>157</v>
      </c>
      <c r="L1316" s="8" t="inlineStr">
        <is>
          <t>是</t>
        </is>
      </c>
      <c r="M1316" s="9" t="inlineStr">
        <is>
          <t>beastDrop</t>
        </is>
      </c>
      <c r="N1316" s="8" t="n">
        <v>1</v>
      </c>
      <c r="O1316" s="9" t="inlineStr">
        <is>
          <t>周期触发</t>
        </is>
      </c>
      <c r="P1316" s="9" t="inlineStr">
        <is>
          <t>periodicPulse</t>
        </is>
      </c>
      <c r="Q1316" s="9" t="inlineStr">
        <is>
          <t>周期触发：轮转时，消耗 24 点法力，对敌方造成 88 点伤害</t>
        </is>
      </c>
      <c r="R1316" s="9" t="inlineStr"/>
      <c r="S1316" s="9" t="inlineStr">
        <is>
          <t>一枚圆钝鼻甲，赭红角质上分布着细密赤纹，边缘仍连着几根浅金触须。产自妖兽「釜背犰狳」。</t>
        </is>
      </c>
      <c r="T1316" s="8" t="inlineStr">
        <is>
          <t>material_fubei_qiuyu_vermilion_nose_armor_1x1</t>
        </is>
      </c>
      <c r="U1316" s="8" t="inlineStr">
        <is>
          <t>allowed</t>
        </is>
      </c>
    </row>
    <row r="1317" ht="34" customHeight="1">
      <c r="A1317" s="8" t="n">
        <v>1316</v>
      </c>
      <c r="B1317" s="8" t="n">
        <v>500757</v>
      </c>
      <c r="C1317" s="8" t="inlineStr">
        <is>
          <t>滚压髋骨</t>
        </is>
      </c>
      <c r="D1317" s="8" t="inlineStr">
        <is>
          <t>材料</t>
        </is>
      </c>
      <c r="E1317" s="8" t="inlineStr">
        <is>
          <t>material</t>
        </is>
      </c>
      <c r="F1317" s="8" t="inlineStr">
        <is>
          <t>spirit</t>
        </is>
      </c>
      <c r="G1317" s="8" t="inlineStr">
        <is>
          <t>土</t>
        </is>
      </c>
      <c r="H1317" s="8" t="inlineStr">
        <is>
          <t>earth</t>
        </is>
      </c>
      <c r="I1317" s="8" t="inlineStr">
        <is>
          <t>1×1</t>
        </is>
      </c>
      <c r="J1317" s="8" t="n">
        <v>1</v>
      </c>
      <c r="K1317" s="8" t="n">
        <v>154</v>
      </c>
      <c r="L1317" s="8" t="inlineStr">
        <is>
          <t>是</t>
        </is>
      </c>
      <c r="M1317" s="9" t="inlineStr">
        <is>
          <t>beastDrop</t>
        </is>
      </c>
      <c r="N1317" s="8" t="n">
        <v>1</v>
      </c>
      <c r="O1317" s="9" t="inlineStr">
        <is>
          <t>周期触发</t>
        </is>
      </c>
      <c r="P1317" s="9" t="inlineStr">
        <is>
          <t>periodicPulse</t>
        </is>
      </c>
      <c r="Q1317" s="9" t="inlineStr">
        <is>
          <t>周期触发：轮转时，消耗 56 点体力，连续 2 次对敌方造成 60 点伤害</t>
        </is>
      </c>
      <c r="R1317" s="9" t="inlineStr"/>
      <c r="S1317" s="9" t="inlineStr">
        <is>
          <t>一枚厚圆髋骨，骨面被长期卷身滚压磨成平滑弧面，内侧保留深褐筋槽。产自妖兽「釜背犰狳」。</t>
        </is>
      </c>
      <c r="T1317" s="8" t="inlineStr">
        <is>
          <t>material_fubei_qiuyu_rolling_hip_bone_1x1</t>
        </is>
      </c>
      <c r="U1317" s="8" t="inlineStr">
        <is>
          <t>allowed</t>
        </is>
      </c>
    </row>
    <row r="1318" ht="34" customHeight="1">
      <c r="A1318" s="8" t="n">
        <v>1317</v>
      </c>
      <c r="B1318" s="8" t="n">
        <v>500758</v>
      </c>
      <c r="C1318" s="8" t="inlineStr">
        <is>
          <t>盘卷腰筋</t>
        </is>
      </c>
      <c r="D1318" s="8" t="inlineStr">
        <is>
          <t>材料</t>
        </is>
      </c>
      <c r="E1318" s="8" t="inlineStr">
        <is>
          <t>material</t>
        </is>
      </c>
      <c r="F1318" s="8" t="inlineStr">
        <is>
          <t>spirit</t>
        </is>
      </c>
      <c r="G1318" s="8" t="inlineStr">
        <is>
          <t>木</t>
        </is>
      </c>
      <c r="H1318" s="8" t="inlineStr">
        <is>
          <t>wood</t>
        </is>
      </c>
      <c r="I1318" s="8" t="inlineStr">
        <is>
          <t>1×1</t>
        </is>
      </c>
      <c r="J1318" s="8" t="n">
        <v>1</v>
      </c>
      <c r="K1318" s="8" t="n">
        <v>157</v>
      </c>
      <c r="L1318" s="8" t="inlineStr">
        <is>
          <t>是</t>
        </is>
      </c>
      <c r="M1318" s="9" t="inlineStr">
        <is>
          <t>beastDrop</t>
        </is>
      </c>
      <c r="N1318" s="8" t="n">
        <v>1</v>
      </c>
      <c r="O1318" s="9" t="inlineStr">
        <is>
          <t>周期触发</t>
        </is>
      </c>
      <c r="P1318" s="9" t="inlineStr">
        <is>
          <t>periodicPulse</t>
        </is>
      </c>
      <c r="Q1318" s="9" t="inlineStr">
        <is>
          <t>周期触发：轮转时，恢复自身 120 点体力</t>
        </is>
      </c>
      <c r="R1318" s="9" t="inlineStr"/>
      <c r="S1318" s="9" t="inlineStr">
        <is>
          <t>一团盘成紧环的深橙腰筋，纤维粗密而富有回弹，断口处可见浅金色筋膜。产自妖兽「釜背犰狳」。</t>
        </is>
      </c>
      <c r="T1318" s="8" t="inlineStr">
        <is>
          <t>material_fubei_qiuyu_coiled_waist_sinew_1x1</t>
        </is>
      </c>
      <c r="U1318" s="8" t="inlineStr">
        <is>
          <t>allowed</t>
        </is>
      </c>
    </row>
    <row r="1319" ht="34" customHeight="1">
      <c r="A1319" s="8" t="n">
        <v>1318</v>
      </c>
      <c r="B1319" s="8" t="n">
        <v>500767</v>
      </c>
      <c r="C1319" s="8" t="inlineStr">
        <is>
          <t>回弹颈侧筋</t>
        </is>
      </c>
      <c r="D1319" s="8" t="inlineStr">
        <is>
          <t>材料</t>
        </is>
      </c>
      <c r="E1319" s="8" t="inlineStr">
        <is>
          <t>material</t>
        </is>
      </c>
      <c r="F1319" s="8" t="inlineStr">
        <is>
          <t>spirit</t>
        </is>
      </c>
      <c r="G1319" s="8" t="inlineStr">
        <is>
          <t>风</t>
        </is>
      </c>
      <c r="H1319" s="8" t="inlineStr">
        <is>
          <t>wind</t>
        </is>
      </c>
      <c r="I1319" s="8" t="inlineStr">
        <is>
          <t>2×1</t>
        </is>
      </c>
      <c r="J1319" s="8" t="n">
        <v>2</v>
      </c>
      <c r="K1319" s="8" t="n">
        <v>154</v>
      </c>
      <c r="L1319" s="8" t="inlineStr">
        <is>
          <t>是</t>
        </is>
      </c>
      <c r="M1319" s="9" t="inlineStr">
        <is>
          <t>beastDrop</t>
        </is>
      </c>
      <c r="N1319" s="8" t="n">
        <v>1</v>
      </c>
      <c r="O1319" s="9" t="inlineStr">
        <is>
          <t>周期触发</t>
        </is>
      </c>
      <c r="P1319" s="9" t="inlineStr">
        <is>
          <t>periodicPulse</t>
        </is>
      </c>
      <c r="Q1319" s="9" t="inlineStr">
        <is>
          <t>周期触发：轮转时，恢复自身 120 点气血，获得 8 层灵巧</t>
        </is>
      </c>
      <c r="R1319" s="9" t="inlineStr"/>
      <c r="S1319" s="9" t="inlineStr">
        <is>
          <t>两束细长颈筋彼此绞合，松手后会迅速弹回弯曲的原形。产自妖兽「绞索鸵将」。</t>
        </is>
      </c>
      <c r="T1319" s="8" t="inlineStr">
        <is>
          <t>material_jiaosuo_tuojiang_rebounding_neck_sinew_2x1</t>
        </is>
      </c>
      <c r="U1319" s="8" t="inlineStr">
        <is>
          <t>allowed</t>
        </is>
      </c>
    </row>
    <row r="1320" ht="34" customHeight="1">
      <c r="A1320" s="8" t="n">
        <v>1319</v>
      </c>
      <c r="B1320" s="8" t="n">
        <v>500768</v>
      </c>
      <c r="C1320" s="8" t="inlineStr">
        <is>
          <t>踏震踝核</t>
        </is>
      </c>
      <c r="D1320" s="8" t="inlineStr">
        <is>
          <t>材料</t>
        </is>
      </c>
      <c r="E1320" s="8" t="inlineStr">
        <is>
          <t>material</t>
        </is>
      </c>
      <c r="F1320" s="8" t="inlineStr">
        <is>
          <t>spirit</t>
        </is>
      </c>
      <c r="G1320" s="8" t="inlineStr">
        <is>
          <t>土</t>
        </is>
      </c>
      <c r="H1320" s="8" t="inlineStr">
        <is>
          <t>earth</t>
        </is>
      </c>
      <c r="I1320" s="8" t="inlineStr">
        <is>
          <t>1×1</t>
        </is>
      </c>
      <c r="J1320" s="8" t="n">
        <v>1</v>
      </c>
      <c r="K1320" s="8" t="n">
        <v>200</v>
      </c>
      <c r="L1320" s="8" t="inlineStr">
        <is>
          <t>是</t>
        </is>
      </c>
      <c r="M1320" s="9" t="inlineStr">
        <is>
          <t>beastDrop</t>
        </is>
      </c>
      <c r="N1320" s="8" t="n">
        <v>1</v>
      </c>
      <c r="O1320" s="9" t="inlineStr">
        <is>
          <t>周期触发</t>
        </is>
      </c>
      <c r="P1320" s="9" t="inlineStr">
        <is>
          <t>periodicPulse</t>
        </is>
      </c>
      <c r="Q1320" s="9" t="inlineStr">
        <is>
          <t>周期触发：轮转时，敌方拥有不少于 2 层坚硬时，消耗敌方 2 层坚硬和 4 层护甲，对敌方造成 100 点伤害</t>
        </is>
      </c>
      <c r="R1320" s="9" t="inlineStr"/>
      <c r="S1320" s="9" t="inlineStr">
        <is>
          <t>一枚暗金踝骨核呈紧密球节状，表面留着刃靴卡榫压出的四道凹槽。产自妖兽「绞索鸵将」。</t>
        </is>
      </c>
      <c r="T1320" s="8" t="inlineStr">
        <is>
          <t>material_jiaosuo_tuojiang_shock_step_ankle_core_1x1</t>
        </is>
      </c>
      <c r="U1320" s="8" t="inlineStr">
        <is>
          <t>allowed</t>
        </is>
      </c>
    </row>
    <row r="1321" ht="34" customHeight="1">
      <c r="A1321" s="8" t="n">
        <v>1320</v>
      </c>
      <c r="B1321" s="8" t="n">
        <v>500769</v>
      </c>
      <c r="C1321" s="8" t="inlineStr">
        <is>
          <t>风听耳羽</t>
        </is>
      </c>
      <c r="D1321" s="8" t="inlineStr">
        <is>
          <t>材料</t>
        </is>
      </c>
      <c r="E1321" s="8" t="inlineStr">
        <is>
          <t>material</t>
        </is>
      </c>
      <c r="F1321" s="8" t="inlineStr">
        <is>
          <t>spirit</t>
        </is>
      </c>
      <c r="G1321" s="8" t="inlineStr">
        <is>
          <t>无</t>
        </is>
      </c>
      <c r="H1321" s="8" t="inlineStr">
        <is>
          <t>none</t>
        </is>
      </c>
      <c r="I1321" s="8" t="inlineStr">
        <is>
          <t>1×1</t>
        </is>
      </c>
      <c r="J1321" s="8" t="n">
        <v>1</v>
      </c>
      <c r="K1321" s="8" t="n">
        <v>197</v>
      </c>
      <c r="L1321" s="8" t="inlineStr">
        <is>
          <t>是</t>
        </is>
      </c>
      <c r="M1321" s="9" t="inlineStr">
        <is>
          <t>beastDrop</t>
        </is>
      </c>
      <c r="N1321" s="8" t="n">
        <v>1</v>
      </c>
      <c r="O1321" s="9" t="inlineStr">
        <is>
          <t>周期触发</t>
        </is>
      </c>
      <c r="P1321" s="9" t="inlineStr">
        <is>
          <t>periodicPulse</t>
        </is>
      </c>
      <c r="Q1321" s="9" t="inlineStr">
        <is>
          <t>周期触发：轮转时，敌方拥有不少于 4 层冰霜时，消耗敌方 4 层冰霜，吸取敌人 8 点法力并造成 32 点伤害</t>
        </is>
      </c>
      <c r="R1321" s="9" t="inlineStr"/>
      <c r="S1321" s="9" t="inlineStr">
        <is>
          <t>一撮贴耳短羽卷成小扇，羽面保留分辨绳索破风声的细密波纹。产自妖兽「绞索鸵将」。</t>
        </is>
      </c>
      <c r="T1321" s="8" t="inlineStr">
        <is>
          <t>material_jiaosuo_tuojiang_wind_hearing_ear_feathers_1x1</t>
        </is>
      </c>
      <c r="U1321" s="8" t="inlineStr">
        <is>
          <t>allowed</t>
        </is>
      </c>
    </row>
    <row r="1322" ht="34" customHeight="1">
      <c r="A1322" s="8" t="n">
        <v>1321</v>
      </c>
      <c r="B1322" s="8" t="n">
        <v>500775</v>
      </c>
      <c r="C1322" s="8" t="inlineStr">
        <is>
          <t>胸腔鸣膜</t>
        </is>
      </c>
      <c r="D1322" s="8" t="inlineStr">
        <is>
          <t>材料</t>
        </is>
      </c>
      <c r="E1322" s="8" t="inlineStr">
        <is>
          <t>material</t>
        </is>
      </c>
      <c r="F1322" s="8" t="inlineStr">
        <is>
          <t>spirit</t>
        </is>
      </c>
      <c r="G1322" s="8" t="inlineStr">
        <is>
          <t>水</t>
        </is>
      </c>
      <c r="H1322" s="8" t="inlineStr">
        <is>
          <t>water</t>
        </is>
      </c>
      <c r="I1322" s="8" t="inlineStr">
        <is>
          <t>1×1</t>
        </is>
      </c>
      <c r="J1322" s="8" t="n">
        <v>1</v>
      </c>
      <c r="K1322" s="8" t="n">
        <v>134</v>
      </c>
      <c r="L1322" s="8" t="inlineStr">
        <is>
          <t>是</t>
        </is>
      </c>
      <c r="M1322" s="9" t="inlineStr">
        <is>
          <t>beastDrop</t>
        </is>
      </c>
      <c r="N1322" s="8" t="n">
        <v>1</v>
      </c>
      <c r="O1322" s="9" t="inlineStr">
        <is>
          <t>周期触发</t>
        </is>
      </c>
      <c r="P1322" s="9" t="inlineStr">
        <is>
          <t>periodicPulse</t>
        </is>
      </c>
      <c r="Q1322" s="9" t="inlineStr">
        <is>
          <t>周期触发：轮转时，将 40 点体力转化为自身 120 点气血</t>
        </is>
      </c>
      <c r="R1322" s="9" t="inlineStr"/>
      <c r="S1322" s="9" t="inlineStr">
        <is>
          <t>一小片半透明琥珀色鸣膜，边缘连着坚韧胸甲纤维，轻触会发出低沉振音。产自妖兽「盔首天牛」。</t>
        </is>
      </c>
      <c r="T1322" s="8" t="inlineStr">
        <is>
          <t>material_kuishou_tianniu_thoracic_resonance_membrane_1x1</t>
        </is>
      </c>
      <c r="U1322" s="8" t="inlineStr">
        <is>
          <t>allowed</t>
        </is>
      </c>
    </row>
    <row r="1323" ht="34" customHeight="1">
      <c r="A1323" s="8" t="n">
        <v>1322</v>
      </c>
      <c r="B1323" s="8" t="n">
        <v>500776</v>
      </c>
      <c r="C1323" s="8" t="inlineStr">
        <is>
          <t>节足韧筋</t>
        </is>
      </c>
      <c r="D1323" s="8" t="inlineStr">
        <is>
          <t>材料</t>
        </is>
      </c>
      <c r="E1323" s="8" t="inlineStr">
        <is>
          <t>material</t>
        </is>
      </c>
      <c r="F1323" s="8" t="inlineStr">
        <is>
          <t>spirit</t>
        </is>
      </c>
      <c r="G1323" s="8" t="inlineStr">
        <is>
          <t>木</t>
        </is>
      </c>
      <c r="H1323" s="8" t="inlineStr">
        <is>
          <t>wood</t>
        </is>
      </c>
      <c r="I1323" s="8" t="inlineStr">
        <is>
          <t>1×1</t>
        </is>
      </c>
      <c r="J1323" s="8" t="n">
        <v>1</v>
      </c>
      <c r="K1323" s="8" t="n">
        <v>177</v>
      </c>
      <c r="L1323" s="8" t="inlineStr">
        <is>
          <t>是</t>
        </is>
      </c>
      <c r="M1323" s="9" t="inlineStr">
        <is>
          <t>beastDrop</t>
        </is>
      </c>
      <c r="N1323" s="8" t="n">
        <v>1</v>
      </c>
      <c r="O1323" s="9" t="inlineStr">
        <is>
          <t>周期触发</t>
        </is>
      </c>
      <c r="P1323" s="9" t="inlineStr">
        <is>
          <t>periodicPulse</t>
        </is>
      </c>
      <c r="Q1323" s="9" t="inlineStr">
        <is>
          <t>周期触发：轮转时，消耗 20 点体力，获得 60 层凝金</t>
        </is>
      </c>
      <c r="R1323" s="9" t="inlineStr"/>
      <c r="S1323" s="9" t="inlineStr">
        <is>
          <t>从六足关节中抽出的墨青筋束，盘结后仍能迅速回弹，表面沾着细碎黄甲屑。产自妖兽「盔首天牛」。</t>
        </is>
      </c>
      <c r="T1323" s="8" t="inlineStr">
        <is>
          <t>material_kuishou_tianniu_leg_sinew_knot_1x1</t>
        </is>
      </c>
      <c r="U1323" s="8" t="inlineStr">
        <is>
          <t>allowed</t>
        </is>
      </c>
    </row>
    <row r="1324" ht="34" customHeight="1">
      <c r="A1324" s="8" t="n">
        <v>1323</v>
      </c>
      <c r="B1324" s="8" t="n">
        <v>500777</v>
      </c>
      <c r="C1324" s="8" t="inlineStr">
        <is>
          <t>盔角髓晶</t>
        </is>
      </c>
      <c r="D1324" s="8" t="inlineStr">
        <is>
          <t>材料</t>
        </is>
      </c>
      <c r="E1324" s="8" t="inlineStr">
        <is>
          <t>material</t>
        </is>
      </c>
      <c r="F1324" s="8" t="inlineStr">
        <is>
          <t>spirit</t>
        </is>
      </c>
      <c r="G1324" s="8" t="inlineStr">
        <is>
          <t>土</t>
        </is>
      </c>
      <c r="H1324" s="8" t="inlineStr">
        <is>
          <t>earth</t>
        </is>
      </c>
      <c r="I1324" s="8" t="inlineStr">
        <is>
          <t>1×1</t>
        </is>
      </c>
      <c r="J1324" s="8" t="n">
        <v>1</v>
      </c>
      <c r="K1324" s="8" t="n">
        <v>160</v>
      </c>
      <c r="L1324" s="8" t="inlineStr">
        <is>
          <t>是</t>
        </is>
      </c>
      <c r="M1324" s="9" t="inlineStr">
        <is>
          <t>beastDrop</t>
        </is>
      </c>
      <c r="N1324" s="8" t="n">
        <v>1</v>
      </c>
      <c r="O1324" s="9" t="inlineStr">
        <is>
          <t>周期触发</t>
        </is>
      </c>
      <c r="P1324" s="9" t="inlineStr">
        <is>
          <t>periodicPulse</t>
        </is>
      </c>
      <c r="Q1324" s="9" t="inlineStr">
        <is>
          <t>周期触发：轮转时，消耗 20 点体力，扣除敌方 220 点体力</t>
        </is>
      </c>
      <c r="R1324" s="9" t="inlineStr"/>
      <c r="S1324" s="9" t="inlineStr">
        <is>
          <t>盔形巨角根部凝出的浅金髓晶，晶面包着细薄角质，不具妖丹般的完整灵核结构。产自妖兽「盔首天牛」。</t>
        </is>
      </c>
      <c r="T1324" s="8" t="inlineStr">
        <is>
          <t>material_kuishou_tianniu_helmet_horn_marrow_crystal_1x1</t>
        </is>
      </c>
      <c r="U1324" s="8" t="inlineStr">
        <is>
          <t>allowed</t>
        </is>
      </c>
    </row>
    <row r="1325" ht="34" customHeight="1">
      <c r="A1325" s="8" t="n">
        <v>1324</v>
      </c>
      <c r="B1325" s="8" t="n">
        <v>500786</v>
      </c>
      <c r="C1325" s="8" t="inlineStr">
        <is>
          <t>平衡尾舵羽</t>
        </is>
      </c>
      <c r="D1325" s="8" t="inlineStr">
        <is>
          <t>材料</t>
        </is>
      </c>
      <c r="E1325" s="8" t="inlineStr">
        <is>
          <t>material</t>
        </is>
      </c>
      <c r="F1325" s="8" t="inlineStr">
        <is>
          <t>spirit</t>
        </is>
      </c>
      <c r="G1325" s="8" t="inlineStr">
        <is>
          <t>木</t>
        </is>
      </c>
      <c r="H1325" s="8" t="inlineStr">
        <is>
          <t>wood</t>
        </is>
      </c>
      <c r="I1325" s="8" t="inlineStr">
        <is>
          <t>1×1</t>
        </is>
      </c>
      <c r="J1325" s="8" t="n">
        <v>1</v>
      </c>
      <c r="K1325" s="8" t="n">
        <v>150</v>
      </c>
      <c r="L1325" s="8" t="inlineStr">
        <is>
          <t>是</t>
        </is>
      </c>
      <c r="M1325" s="9" t="inlineStr">
        <is>
          <t>beastDrop</t>
        </is>
      </c>
      <c r="N1325" s="8" t="n">
        <v>1</v>
      </c>
      <c r="O1325" s="9" t="inlineStr">
        <is>
          <t>周期触发</t>
        </is>
      </c>
      <c r="P1325" s="9" t="inlineStr">
        <is>
          <t>periodicPulse</t>
        </is>
      </c>
      <c r="Q1325" s="9" t="inlineStr">
        <is>
          <t>周期触发：轮转时，消耗 16 点法力，扣除敌方 40 点体力和 48 点法力</t>
        </is>
      </c>
      <c r="R1325" s="9" t="inlineStr"/>
      <c r="S1325" s="9" t="inlineStr">
        <is>
          <t>一枚短阔尾羽，青蓝羽面由奶白中轴均分，末端磨成稳住俯冲姿态的平直弧缘。产自妖兽「拨弦人面鸮」。</t>
        </is>
      </c>
      <c r="T1325" s="8" t="inlineStr">
        <is>
          <t>material_boxian_renmianxiao_balance_tail_vane_1x1</t>
        </is>
      </c>
      <c r="U1325" s="8" t="inlineStr">
        <is>
          <t>allowed</t>
        </is>
      </c>
    </row>
    <row r="1326" ht="34" customHeight="1">
      <c r="A1326" s="8" t="n">
        <v>1325</v>
      </c>
      <c r="B1326" s="8" t="n">
        <v>500787</v>
      </c>
      <c r="C1326" s="8" t="inlineStr">
        <is>
          <t>绷弦翼根筋</t>
        </is>
      </c>
      <c r="D1326" s="8" t="inlineStr">
        <is>
          <t>材料</t>
        </is>
      </c>
      <c r="E1326" s="8" t="inlineStr">
        <is>
          <t>material</t>
        </is>
      </c>
      <c r="F1326" s="8" t="inlineStr">
        <is>
          <t>spirit</t>
        </is>
      </c>
      <c r="G1326" s="8" t="inlineStr">
        <is>
          <t>木</t>
        </is>
      </c>
      <c r="H1326" s="8" t="inlineStr">
        <is>
          <t>wood</t>
        </is>
      </c>
      <c r="I1326" s="8" t="inlineStr">
        <is>
          <t>2×2</t>
        </is>
      </c>
      <c r="J1326" s="8" t="n">
        <v>4</v>
      </c>
      <c r="K1326" s="8" t="n">
        <v>170</v>
      </c>
      <c r="L1326" s="8" t="inlineStr">
        <is>
          <t>是</t>
        </is>
      </c>
      <c r="M1326" s="9" t="inlineStr">
        <is>
          <t>beastDrop</t>
        </is>
      </c>
      <c r="N1326" s="8" t="n">
        <v>1</v>
      </c>
      <c r="O1326" s="9" t="inlineStr">
        <is>
          <t>周期触发</t>
        </is>
      </c>
      <c r="P1326" s="9" t="inlineStr">
        <is>
          <t>periodicPulse</t>
        </is>
      </c>
      <c r="Q1326" s="9" t="inlineStr">
        <is>
          <t>周期触发：轮转时，消耗 44 点法力；最多消耗 48 层凝金，每消耗 1 层恢复自身 5 点法力</t>
        </is>
      </c>
      <c r="R1326" s="9" t="inlineStr"/>
      <c r="S1326" s="9" t="inlineStr">
        <is>
          <t>一束从长弦羽根部剥离的青金翼筋，五股筋束并列绷紧，回弹时仍带轻微鸣颤。产自妖兽「拨弦人面鸮」。</t>
        </is>
      </c>
      <c r="T1326" s="8" t="inlineStr">
        <is>
          <t>material_boxian_renmianxiao_tensioned_string_wing_tendons_2x2</t>
        </is>
      </c>
      <c r="U1326" s="8" t="inlineStr">
        <is>
          <t>allowed</t>
        </is>
      </c>
    </row>
    <row r="1327" ht="34" customHeight="1">
      <c r="A1327" s="8" t="n">
        <v>1326</v>
      </c>
      <c r="B1327" s="8" t="n">
        <v>500788</v>
      </c>
      <c r="C1327" s="8" t="inlineStr">
        <is>
          <t>共鸣胸骨板</t>
        </is>
      </c>
      <c r="D1327" s="8" t="inlineStr">
        <is>
          <t>材料</t>
        </is>
      </c>
      <c r="E1327" s="8" t="inlineStr">
        <is>
          <t>material</t>
        </is>
      </c>
      <c r="F1327" s="8" t="inlineStr">
        <is>
          <t>spirit</t>
        </is>
      </c>
      <c r="G1327" s="8" t="inlineStr">
        <is>
          <t>水</t>
        </is>
      </c>
      <c r="H1327" s="8" t="inlineStr">
        <is>
          <t>water</t>
        </is>
      </c>
      <c r="I1327" s="8" t="inlineStr">
        <is>
          <t>3×2</t>
        </is>
      </c>
      <c r="J1327" s="8" t="n">
        <v>6</v>
      </c>
      <c r="K1327" s="8" t="n">
        <v>190</v>
      </c>
      <c r="L1327" s="8" t="inlineStr">
        <is>
          <t>是</t>
        </is>
      </c>
      <c r="M1327" s="9" t="inlineStr">
        <is>
          <t>beastDrop</t>
        </is>
      </c>
      <c r="N1327" s="8" t="n">
        <v>1</v>
      </c>
      <c r="O1327" s="9" t="inlineStr">
        <is>
          <t>周期触发</t>
        </is>
      </c>
      <c r="P1327" s="9" t="inlineStr">
        <is>
          <t>periodicPulse</t>
        </is>
      </c>
      <c r="Q1327" s="9" t="inlineStr">
        <is>
          <t>周期触发：轮转时，消耗 60 点法力，对敌方造成 360 点伤害；最多消耗敌方 12 层护甲，每消耗 1 层追加 10 点伤害</t>
        </is>
      </c>
      <c r="R1327" s="9" t="inlineStr"/>
      <c r="S1327" s="9" t="inlineStr">
        <is>
          <t>一整块奶白胸骨板，内侧五道青金骨棱与弦羽同频排列，敲击时会传出沉厚余响。产自妖兽「拨弦人面鸮」。</t>
        </is>
      </c>
      <c r="T1327" s="8" t="inlineStr">
        <is>
          <t>material_boxian_renmianxiao_resonant_sternum_plate_3x2</t>
        </is>
      </c>
      <c r="U1327" s="8" t="inlineStr">
        <is>
          <t>allowed</t>
        </is>
      </c>
    </row>
    <row r="1328" ht="34" customHeight="1">
      <c r="A1328" s="8" t="n">
        <v>1327</v>
      </c>
      <c r="B1328" s="8" t="n">
        <v>500800</v>
      </c>
      <c r="C1328" s="8" t="inlineStr">
        <is>
          <t>青阙犀角符</t>
        </is>
      </c>
      <c r="D1328" s="8" t="inlineStr">
        <is>
          <t>材料</t>
        </is>
      </c>
      <c r="E1328" s="8" t="inlineStr">
        <is>
          <t>material</t>
        </is>
      </c>
      <c r="F1328" s="8" t="inlineStr">
        <is>
          <t>common</t>
        </is>
      </c>
      <c r="G1328" s="8" t="inlineStr">
        <is>
          <t>火</t>
        </is>
      </c>
      <c r="H1328" s="8" t="inlineStr">
        <is>
          <t>fire</t>
        </is>
      </c>
      <c r="I1328" s="8" t="inlineStr">
        <is>
          <t>1×1</t>
        </is>
      </c>
      <c r="J1328" s="8" t="n">
        <v>1</v>
      </c>
      <c r="K1328" s="8" t="n">
        <v>8</v>
      </c>
      <c r="L1328" s="8" t="inlineStr">
        <is>
          <t>否</t>
        </is>
      </c>
      <c r="M1328" s="9" t="inlineStr"/>
      <c r="N1328" s="8" t="n">
        <v>1</v>
      </c>
      <c r="O1328" s="9" t="inlineStr">
        <is>
          <t>周期触发</t>
        </is>
      </c>
      <c r="P1328" s="9" t="inlineStr">
        <is>
          <t>periodicPulse</t>
        </is>
      </c>
      <c r="Q1328" s="9" t="inlineStr">
        <is>
          <t>周期触发：轮转时，消耗 1 点法力，每有 1 层蓄势，对敌方造成 1 点伤害</t>
        </is>
      </c>
      <c r="R1328" s="9" t="inlineStr"/>
      <c r="S1328" s="9" t="inlineStr">
        <is>
          <t>石犀角尖被青铜符箍锁成小巧角符，断面仍留着层层石质年轮。产自妖兽「青阙符背石犀」。</t>
        </is>
      </c>
      <c r="T1328" s="8" t="inlineStr">
        <is>
          <t>material_qingque_fubei_shixi_rune_horn_talisman_1x1</t>
        </is>
      </c>
      <c r="U1328" s="8" t="inlineStr">
        <is>
          <t>allowed</t>
        </is>
      </c>
    </row>
    <row r="1329" ht="34" customHeight="1">
      <c r="A1329" s="8" t="n">
        <v>1328</v>
      </c>
      <c r="B1329" s="8" t="n">
        <v>500801</v>
      </c>
      <c r="C1329" s="8" t="inlineStr">
        <is>
          <t>镇旗髓结</t>
        </is>
      </c>
      <c r="D1329" s="8" t="inlineStr">
        <is>
          <t>材料</t>
        </is>
      </c>
      <c r="E1329" s="8" t="inlineStr">
        <is>
          <t>material</t>
        </is>
      </c>
      <c r="F1329" s="8" t="inlineStr">
        <is>
          <t>common</t>
        </is>
      </c>
      <c r="G1329" s="8" t="inlineStr">
        <is>
          <t>火</t>
        </is>
      </c>
      <c r="H1329" s="8" t="inlineStr">
        <is>
          <t>fire</t>
        </is>
      </c>
      <c r="I1329" s="8" t="inlineStr">
        <is>
          <t>1×1</t>
        </is>
      </c>
      <c r="J1329" s="8" t="n">
        <v>1</v>
      </c>
      <c r="K1329" s="8" t="n">
        <v>8</v>
      </c>
      <c r="L1329" s="8" t="inlineStr">
        <is>
          <t>否</t>
        </is>
      </c>
      <c r="M1329" s="9" t="inlineStr"/>
      <c r="N1329" s="8" t="n">
        <v>2</v>
      </c>
      <c r="O1329" s="9" t="inlineStr">
        <is>
          <t>周期触发</t>
        </is>
      </c>
      <c r="P1329" s="9" t="inlineStr">
        <is>
          <t>periodicPulse</t>
        </is>
      </c>
      <c r="Q1329" s="9" t="inlineStr">
        <is>
          <t>周期触发：开局时，获得 3 层坚硬 | 周期触发：轮转时，恢复自身 1 点气血</t>
        </is>
      </c>
      <c r="R1329" s="9" t="inlineStr"/>
      <c r="S1329" s="9" t="inlineStr">
        <is>
          <t>三枚石化髓结被镇旗铜箍锁成一体，暗金髓线在骨孔间彼此牵连。产自妖兽「青阙符背石犀」。</t>
        </is>
      </c>
      <c r="T1329" s="8" t="inlineStr">
        <is>
          <t>material_qingque_fubei_shixi_banner_marrow_knot_1x1</t>
        </is>
      </c>
      <c r="U1329" s="8" t="inlineStr">
        <is>
          <t>allowed</t>
        </is>
      </c>
    </row>
    <row r="1330" ht="34" customHeight="1">
      <c r="A1330" s="8" t="n">
        <v>1329</v>
      </c>
      <c r="B1330" s="8" t="n">
        <v>600001</v>
      </c>
      <c r="C1330" s="8" t="inlineStr">
        <is>
          <t>小周天阵盘</t>
        </is>
      </c>
      <c r="D1330" s="8" t="inlineStr">
        <is>
          <t>阵法</t>
        </is>
      </c>
      <c r="E1330" s="8" t="inlineStr">
        <is>
          <t>formation</t>
        </is>
      </c>
      <c r="F1330" s="8" t="inlineStr">
        <is>
          <t>common</t>
        </is>
      </c>
      <c r="G1330" s="8" t="inlineStr">
        <is>
          <t>木</t>
        </is>
      </c>
      <c r="H1330" s="8" t="inlineStr">
        <is>
          <t>wood</t>
        </is>
      </c>
      <c r="I1330" s="8" t="inlineStr">
        <is>
          <t>1×1</t>
        </is>
      </c>
      <c r="J1330" s="8" t="n">
        <v>1</v>
      </c>
      <c r="K1330" s="8" t="n">
        <v>6</v>
      </c>
      <c r="L1330" s="8" t="inlineStr">
        <is>
          <t>否</t>
        </is>
      </c>
      <c r="M1330" s="9" t="inlineStr">
        <is>
          <t>bazaar；dynamicRandomReward；itemReforge</t>
        </is>
      </c>
      <c r="N1330" s="8" t="n">
        <v>1</v>
      </c>
      <c r="O1330" s="9" t="inlineStr">
        <is>
          <t>说明/执行器</t>
        </is>
      </c>
      <c r="P1330" s="9" t="inlineStr">
        <is>
          <t>effectNote</t>
        </is>
      </c>
      <c r="Q1330" s="9" t="inlineStr">
        <is>
          <t>说明/执行器：变阵：所有己方储物袋道具获得 2 秒加速；变阵：所有己方储物袋道具获得 2.5 秒加速；变阵：所有己方储物袋道具获得 3 秒加速；变阵：所有己方储物袋道具获得 3.5 秒加速</t>
        </is>
      </c>
      <c r="R1330" s="9" t="inlineStr"/>
      <c r="S1330" s="9" t="inlineStr">
        <is>
          <t>青玉阵盘上刻着一圈细密周天纹，灵光沿盘面缓缓转动，适合在换阵时催动全袋气机。</t>
        </is>
      </c>
      <c r="T1330" s="8" t="inlineStr">
        <is>
          <t>formation_batch11_016_1x1</t>
        </is>
      </c>
      <c r="U1330" s="8" t="inlineStr">
        <is>
          <t>allowed</t>
        </is>
      </c>
    </row>
    <row r="1331" ht="34" customHeight="1">
      <c r="A1331" s="8" t="n">
        <v>1330</v>
      </c>
      <c r="B1331" s="8" t="n">
        <v>600002</v>
      </c>
      <c r="C1331" s="8" t="inlineStr">
        <is>
          <t>寒锁阵盘</t>
        </is>
      </c>
      <c r="D1331" s="8" t="inlineStr">
        <is>
          <t>阵法</t>
        </is>
      </c>
      <c r="E1331" s="8" t="inlineStr">
        <is>
          <t>formation</t>
        </is>
      </c>
      <c r="F1331" s="8" t="inlineStr">
        <is>
          <t>common</t>
        </is>
      </c>
      <c r="G1331" s="8" t="inlineStr">
        <is>
          <t>水</t>
        </is>
      </c>
      <c r="H1331" s="8" t="inlineStr">
        <is>
          <t>water</t>
        </is>
      </c>
      <c r="I1331" s="8" t="inlineStr">
        <is>
          <t>1×1</t>
        </is>
      </c>
      <c r="J1331" s="8" t="n">
        <v>1</v>
      </c>
      <c r="K1331" s="8" t="n">
        <v>6</v>
      </c>
      <c r="L1331" s="8" t="inlineStr">
        <is>
          <t>否</t>
        </is>
      </c>
      <c r="M1331" s="9" t="inlineStr">
        <is>
          <t>bazaar；dynamicRandomReward；itemReforge</t>
        </is>
      </c>
      <c r="N1331" s="8" t="n">
        <v>1</v>
      </c>
      <c r="O1331" s="9" t="inlineStr">
        <is>
          <t>说明/执行器</t>
        </is>
      </c>
      <c r="P1331" s="9" t="inlineStr">
        <is>
          <t>effectNote</t>
        </is>
      </c>
      <c r="Q1331" s="9" t="inlineStr">
        <is>
          <t>说明/执行器：变阵：冻结敌方 3 个道具 3 秒</t>
        </is>
      </c>
      <c r="R1331" s="9" t="inlineStr"/>
      <c r="S1331" s="9" t="inlineStr">
        <is>
          <t>冰蓝阵盘边缘浮着细碎霜纹，盘心寒芒收束成锁，换阵时能把寒意打入敌方袋阵。</t>
        </is>
      </c>
      <c r="T1331" s="8" t="inlineStr">
        <is>
          <t>formation_abyssal_frost_disk_glowstream_1x1</t>
        </is>
      </c>
      <c r="U1331" s="8" t="inlineStr">
        <is>
          <t>allowed</t>
        </is>
      </c>
    </row>
    <row r="1332" ht="34" customHeight="1">
      <c r="A1332" s="8" t="n">
        <v>1331</v>
      </c>
      <c r="B1332" s="8" t="n">
        <v>600003</v>
      </c>
      <c r="C1332" s="8" t="inlineStr">
        <is>
          <t>归元阵盘</t>
        </is>
      </c>
      <c r="D1332" s="8" t="inlineStr">
        <is>
          <t>阵法</t>
        </is>
      </c>
      <c r="E1332" s="8" t="inlineStr">
        <is>
          <t>formation</t>
        </is>
      </c>
      <c r="F1332" s="8" t="inlineStr">
        <is>
          <t>common</t>
        </is>
      </c>
      <c r="G1332" s="8" t="inlineStr">
        <is>
          <t>水</t>
        </is>
      </c>
      <c r="H1332" s="8" t="inlineStr">
        <is>
          <t>water</t>
        </is>
      </c>
      <c r="I1332" s="8" t="inlineStr">
        <is>
          <t>1×1</t>
        </is>
      </c>
      <c r="J1332" s="8" t="n">
        <v>1</v>
      </c>
      <c r="K1332" s="8" t="n">
        <v>6</v>
      </c>
      <c r="L1332" s="8" t="inlineStr">
        <is>
          <t>否</t>
        </is>
      </c>
      <c r="M1332" s="9" t="inlineStr">
        <is>
          <t>bazaar；dynamicRandomReward；itemReforge</t>
        </is>
      </c>
      <c r="N1332" s="8" t="n">
        <v>1</v>
      </c>
      <c r="O1332" s="9" t="inlineStr">
        <is>
          <t>说明/执行器</t>
        </is>
      </c>
      <c r="P1332" s="9" t="inlineStr">
        <is>
          <t>effectNote</t>
        </is>
      </c>
      <c r="Q1332" s="9" t="inlineStr">
        <is>
          <t>说明/执行器：变阵：恢复 10 点气血；变阵：恢复 20 点气血；变阵：恢复 30 点气血；变阵：恢复 40 点气血</t>
        </is>
      </c>
      <c r="R1332" s="9" t="inlineStr"/>
      <c r="S1332" s="9" t="inlineStr">
        <is>
          <t>白玉阵盘中央凝着一滴清露，阵纹回环向心，换阵时会牵回血气归于本源。</t>
        </is>
      </c>
      <c r="T1332" s="8" t="inlineStr">
        <is>
          <t>formation_clearheart_dew_dan_1x1</t>
        </is>
      </c>
      <c r="U1332" s="8" t="inlineStr">
        <is>
          <t>allowed</t>
        </is>
      </c>
    </row>
    <row r="1333" ht="34" customHeight="1">
      <c r="A1333" s="8" t="n">
        <v>1332</v>
      </c>
      <c r="B1333" s="8" t="n">
        <v>600004</v>
      </c>
      <c r="C1333" s="8" t="inlineStr">
        <is>
          <t>厚土沉岳阵</t>
        </is>
      </c>
      <c r="D1333" s="8" t="inlineStr">
        <is>
          <t>阵法</t>
        </is>
      </c>
      <c r="E1333" s="8" t="inlineStr">
        <is>
          <t>formation</t>
        </is>
      </c>
      <c r="F1333" s="8" t="inlineStr">
        <is>
          <t>common</t>
        </is>
      </c>
      <c r="G1333" s="8" t="inlineStr">
        <is>
          <t>土</t>
        </is>
      </c>
      <c r="H1333" s="8" t="inlineStr">
        <is>
          <t>earth</t>
        </is>
      </c>
      <c r="I1333" s="8" t="inlineStr">
        <is>
          <t>2×2</t>
        </is>
      </c>
      <c r="J1333" s="8" t="n">
        <v>4</v>
      </c>
      <c r="K1333" s="8" t="n">
        <v>10</v>
      </c>
      <c r="L1333" s="8" t="inlineStr">
        <is>
          <t>否</t>
        </is>
      </c>
      <c r="M1333" s="9" t="inlineStr">
        <is>
          <t>bazaar；dynamicRandomReward；itemReforge</t>
        </is>
      </c>
      <c r="N1333" s="8" t="n">
        <v>1</v>
      </c>
      <c r="O1333" s="9" t="inlineStr">
        <is>
          <t>说明/执行器</t>
        </is>
      </c>
      <c r="P1333" s="9" t="inlineStr">
        <is>
          <t>effectNote</t>
        </is>
      </c>
      <c r="Q1333" s="9" t="inlineStr">
        <is>
          <t>说明/执行器：变阵：每相邻 1 个土属性道具，对敌方施加 1 层冰霜</t>
        </is>
      </c>
      <c r="R1333" s="9" t="inlineStr"/>
      <c r="S1333" s="9" t="inlineStr">
        <is>
          <t>土黄阵盘层叠如山脉俯压，换阵时相邻土行灵物会一同引动沉岳之势。</t>
        </is>
      </c>
      <c r="T1333" s="8" t="inlineStr">
        <is>
          <t>formation_batch100_031_2x2</t>
        </is>
      </c>
      <c r="U1333" s="8" t="inlineStr">
        <is>
          <t>allowed</t>
        </is>
      </c>
    </row>
    <row r="1334" ht="34" customHeight="1">
      <c r="A1334" s="8" t="n">
        <v>1333</v>
      </c>
      <c r="B1334" s="8" t="n">
        <v>600005</v>
      </c>
      <c r="C1334" s="8" t="inlineStr">
        <is>
          <t>回元养息阵</t>
        </is>
      </c>
      <c r="D1334" s="8" t="inlineStr">
        <is>
          <t>阵法</t>
        </is>
      </c>
      <c r="E1334" s="8" t="inlineStr">
        <is>
          <t>formation</t>
        </is>
      </c>
      <c r="F1334" s="8" t="inlineStr">
        <is>
          <t>common</t>
        </is>
      </c>
      <c r="G1334" s="8" t="inlineStr">
        <is>
          <t>木</t>
        </is>
      </c>
      <c r="H1334" s="8" t="inlineStr">
        <is>
          <t>wood</t>
        </is>
      </c>
      <c r="I1334" s="8" t="inlineStr">
        <is>
          <t>2×2</t>
        </is>
      </c>
      <c r="J1334" s="8" t="n">
        <v>4</v>
      </c>
      <c r="K1334" s="8" t="n">
        <v>10</v>
      </c>
      <c r="L1334" s="8" t="inlineStr">
        <is>
          <t>否</t>
        </is>
      </c>
      <c r="M1334" s="9" t="inlineStr">
        <is>
          <t>bazaar；dynamicRandomReward；itemReforge</t>
        </is>
      </c>
      <c r="N1334" s="8" t="n">
        <v>1</v>
      </c>
      <c r="O1334" s="9" t="inlineStr">
        <is>
          <t>说明/执行器</t>
        </is>
      </c>
      <c r="P1334" s="9" t="inlineStr">
        <is>
          <t>effectNote</t>
        </is>
      </c>
      <c r="Q1334" s="9" t="inlineStr">
        <is>
          <t>说明/执行器：变阵：6 秒内，体力的恢复量翻倍；变阵：8 秒内，体力的恢复量翻倍；变阵：10 秒内，体力的恢复量翻倍；变阵：12 秒内，体力的恢复量翻倍</t>
        </is>
      </c>
      <c r="R1334" s="9" t="inlineStr"/>
      <c r="S1334" s="9" t="inlineStr">
        <is>
          <t>青木阵盘纹路舒展如吐纳周天，换阵后会暂时放大体力回流的每一次脉动。</t>
        </is>
      </c>
      <c r="T1334" s="8" t="inlineStr">
        <is>
          <t>formation_batch100_034_2x2</t>
        </is>
      </c>
      <c r="U1334" s="8" t="inlineStr">
        <is>
          <t>allowed</t>
        </is>
      </c>
    </row>
    <row r="1335" ht="34" customHeight="1">
      <c r="A1335" s="8" t="n">
        <v>1334</v>
      </c>
      <c r="B1335" s="8" t="n">
        <v>600006</v>
      </c>
      <c r="C1335" s="8" t="inlineStr">
        <is>
          <t>潮引归灵阵</t>
        </is>
      </c>
      <c r="D1335" s="8" t="inlineStr">
        <is>
          <t>阵法</t>
        </is>
      </c>
      <c r="E1335" s="8" t="inlineStr">
        <is>
          <t>formation</t>
        </is>
      </c>
      <c r="F1335" s="8" t="inlineStr">
        <is>
          <t>common</t>
        </is>
      </c>
      <c r="G1335" s="8" t="inlineStr">
        <is>
          <t>水</t>
        </is>
      </c>
      <c r="H1335" s="8" t="inlineStr">
        <is>
          <t>water</t>
        </is>
      </c>
      <c r="I1335" s="8" t="inlineStr">
        <is>
          <t>2×2</t>
        </is>
      </c>
      <c r="J1335" s="8" t="n">
        <v>4</v>
      </c>
      <c r="K1335" s="8" t="n">
        <v>10</v>
      </c>
      <c r="L1335" s="8" t="inlineStr">
        <is>
          <t>否</t>
        </is>
      </c>
      <c r="M1335" s="9" t="inlineStr">
        <is>
          <t>bazaar；dynamicRandomReward；itemReforge</t>
        </is>
      </c>
      <c r="N1335" s="8" t="n">
        <v>1</v>
      </c>
      <c r="O1335" s="9" t="inlineStr">
        <is>
          <t>说明/执行器</t>
        </is>
      </c>
      <c r="P1335" s="9" t="inlineStr">
        <is>
          <t>effectNote</t>
        </is>
      </c>
      <c r="Q1335" s="9" t="inlineStr">
        <is>
          <t>说明/执行器：变阵：6 秒内，法力的恢复量翻倍；变阵：8 秒内，法力的恢复量翻倍；变阵：10 秒内，法力的恢复量翻倍；变阵：12 秒内，法力的恢复量翻倍</t>
        </is>
      </c>
      <c r="R1335" s="9" t="inlineStr"/>
      <c r="S1335" s="9" t="inlineStr">
        <is>
          <t>碧蓝阵盘中央潮纹回旋，换阵时会牵引四散灵息，加倍汇回丹田法脉。</t>
        </is>
      </c>
      <c r="T1335" s="8" t="inlineStr">
        <is>
          <t>formation_batch100_022_2x2</t>
        </is>
      </c>
      <c r="U1335" s="8" t="inlineStr">
        <is>
          <t>allowed</t>
        </is>
      </c>
    </row>
    <row r="1336" ht="34" customHeight="1">
      <c r="A1336" s="8" t="n">
        <v>1335</v>
      </c>
      <c r="B1336" s="8" t="n">
        <v>600007</v>
      </c>
      <c r="C1336" s="8" t="inlineStr">
        <is>
          <t>玄水护心阵</t>
        </is>
      </c>
      <c r="D1336" s="8" t="inlineStr">
        <is>
          <t>阵法</t>
        </is>
      </c>
      <c r="E1336" s="8" t="inlineStr">
        <is>
          <t>formation</t>
        </is>
      </c>
      <c r="F1336" s="8" t="inlineStr">
        <is>
          <t>common</t>
        </is>
      </c>
      <c r="G1336" s="8" t="inlineStr">
        <is>
          <t>水</t>
        </is>
      </c>
      <c r="H1336" s="8" t="inlineStr">
        <is>
          <t>water</t>
        </is>
      </c>
      <c r="I1336" s="8" t="inlineStr">
        <is>
          <t>2×2</t>
        </is>
      </c>
      <c r="J1336" s="8" t="n">
        <v>4</v>
      </c>
      <c r="K1336" s="8" t="n">
        <v>10</v>
      </c>
      <c r="L1336" s="8" t="inlineStr">
        <is>
          <t>否</t>
        </is>
      </c>
      <c r="M1336" s="9" t="inlineStr">
        <is>
          <t>bazaar；dynamicRandomReward；itemReforge</t>
        </is>
      </c>
      <c r="N1336" s="8" t="n">
        <v>1</v>
      </c>
      <c r="O1336" s="9" t="inlineStr">
        <is>
          <t>说明/执行器</t>
        </is>
      </c>
      <c r="P1336" s="9" t="inlineStr">
        <is>
          <t>effectNote</t>
        </is>
      </c>
      <c r="Q1336" s="9" t="inlineStr">
        <is>
          <t>说明/执行器：变阵：6 秒内，使用法力来抵御伤害；变阵：8 秒内，使用法力来抵御伤害；变阵：10 秒内，使用法力来抵御伤害；变阵：12 秒内，使用法力来抵御伤害</t>
        </is>
      </c>
      <c r="R1336" s="9" t="inlineStr"/>
      <c r="S1336" s="9" t="inlineStr">
        <is>
          <t>深蓝阵盘以水纹护住心脉，换阵后法力会暂代气血承受来袭伤势。</t>
        </is>
      </c>
      <c r="T1336" s="8" t="inlineStr">
        <is>
          <t>formation_batch100_098_2x2</t>
        </is>
      </c>
      <c r="U1336" s="8" t="inlineStr">
        <is>
          <t>allowed</t>
        </is>
      </c>
    </row>
    <row r="1337" ht="34" customHeight="1">
      <c r="A1337" s="8" t="n">
        <v>1336</v>
      </c>
      <c r="B1337" s="8" t="n">
        <v>600008</v>
      </c>
      <c r="C1337" s="8" t="inlineStr">
        <is>
          <t>赤莲铸甲阵</t>
        </is>
      </c>
      <c r="D1337" s="8" t="inlineStr">
        <is>
          <t>阵法</t>
        </is>
      </c>
      <c r="E1337" s="8" t="inlineStr">
        <is>
          <t>formation</t>
        </is>
      </c>
      <c r="F1337" s="8" t="inlineStr">
        <is>
          <t>common</t>
        </is>
      </c>
      <c r="G1337" s="8" t="inlineStr">
        <is>
          <t>火</t>
        </is>
      </c>
      <c r="H1337" s="8" t="inlineStr">
        <is>
          <t>fire</t>
        </is>
      </c>
      <c r="I1337" s="8" t="inlineStr">
        <is>
          <t>2×2</t>
        </is>
      </c>
      <c r="J1337" s="8" t="n">
        <v>4</v>
      </c>
      <c r="K1337" s="8" t="n">
        <v>10</v>
      </c>
      <c r="L1337" s="8" t="inlineStr">
        <is>
          <t>否</t>
        </is>
      </c>
      <c r="M1337" s="9" t="inlineStr">
        <is>
          <t>bazaar；dynamicRandomReward；itemReforge</t>
        </is>
      </c>
      <c r="N1337" s="8" t="n">
        <v>1</v>
      </c>
      <c r="O1337" s="9" t="inlineStr">
        <is>
          <t>说明/执行器</t>
        </is>
      </c>
      <c r="P1337" s="9" t="inlineStr">
        <is>
          <t>effectNote</t>
        </is>
      </c>
      <c r="Q1337" s="9" t="inlineStr">
        <is>
          <t>说明/执行器：变阵：6 秒内，每获得 1 层炎热，就获得 2 层护甲；变阵：8 秒内，每获得 1 层炎热，就获得 2 层护甲；变阵：10 秒内，每获得 1 层炎热，就获得 2 层护甲；变阵：12 秒内，每获得 1 层炎热，就获得 2 层护甲</t>
        </is>
      </c>
      <c r="R1337" s="9" t="inlineStr"/>
      <c r="S1337" s="9" t="inlineStr">
        <is>
          <t>赤莲阵纹围着炉心绽开，换阵后新生炎热会被阵势锻成护身甲光。</t>
        </is>
      </c>
      <c r="T1337" s="8" t="inlineStr">
        <is>
          <t>formation_batch100_055_2x2</t>
        </is>
      </c>
      <c r="U1337" s="8" t="inlineStr">
        <is>
          <t>allowed</t>
        </is>
      </c>
    </row>
    <row r="1338" ht="34" customHeight="1">
      <c r="A1338" s="8" t="n">
        <v>1337</v>
      </c>
      <c r="B1338" s="8" t="n">
        <v>600009</v>
      </c>
      <c r="C1338" s="8" t="inlineStr">
        <is>
          <t>露水幻影阵</t>
        </is>
      </c>
      <c r="D1338" s="8" t="inlineStr">
        <is>
          <t>阵法</t>
        </is>
      </c>
      <c r="E1338" s="8" t="inlineStr">
        <is>
          <t>formation</t>
        </is>
      </c>
      <c r="F1338" s="8" t="inlineStr">
        <is>
          <t>common</t>
        </is>
      </c>
      <c r="G1338" s="8" t="inlineStr">
        <is>
          <t>水</t>
        </is>
      </c>
      <c r="H1338" s="8" t="inlineStr">
        <is>
          <t>water</t>
        </is>
      </c>
      <c r="I1338" s="8" t="inlineStr">
        <is>
          <t>2×2</t>
        </is>
      </c>
      <c r="J1338" s="8" t="n">
        <v>4</v>
      </c>
      <c r="K1338" s="8" t="n">
        <v>10</v>
      </c>
      <c r="L1338" s="8" t="inlineStr">
        <is>
          <t>否</t>
        </is>
      </c>
      <c r="M1338" s="9" t="inlineStr">
        <is>
          <t>bazaar；dynamicRandomReward；itemReforge</t>
        </is>
      </c>
      <c r="N1338" s="8" t="n">
        <v>1</v>
      </c>
      <c r="O1338" s="9" t="inlineStr">
        <is>
          <t>说明/执行器</t>
        </is>
      </c>
      <c r="P1338" s="9" t="inlineStr">
        <is>
          <t>effectNote</t>
        </is>
      </c>
      <c r="Q1338" s="9" t="inlineStr">
        <is>
          <t>说明/执行器：变阵：6 秒内，每获得 1 层露水，就获得 1 层闪避；变阵：8 秒内，每获得 1 层露水，就获得 1 层闪避；变阵：10 秒内，每获得 1 层露水，就获得 1 层闪避；变阵：12 秒内，每获得 1 层露水，就获得 1 层闪避</t>
        </is>
      </c>
      <c r="R1338" s="9" t="inlineStr"/>
      <c r="S1338" s="9" t="inlineStr">
        <is>
          <t>清蓝阵盘映着层层水影，换阵后每滴新露都会折出一线飘忽身形。</t>
        </is>
      </c>
      <c r="T1338" s="8" t="inlineStr">
        <is>
          <t>formation_batch100_090_2x2</t>
        </is>
      </c>
      <c r="U1338" s="8" t="inlineStr">
        <is>
          <t>allowed</t>
        </is>
      </c>
    </row>
    <row r="1339" ht="34" customHeight="1">
      <c r="A1339" s="8" t="n">
        <v>1338</v>
      </c>
      <c r="B1339" s="8" t="n">
        <v>600010</v>
      </c>
      <c r="C1339" s="8" t="inlineStr">
        <is>
          <t>三才金衡</t>
        </is>
      </c>
      <c r="D1339" s="8" t="inlineStr">
        <is>
          <t>阵法</t>
        </is>
      </c>
      <c r="E1339" s="8" t="inlineStr">
        <is>
          <t>formation</t>
        </is>
      </c>
      <c r="F1339" s="8" t="inlineStr">
        <is>
          <t>common</t>
        </is>
      </c>
      <c r="G1339" s="8" t="inlineStr">
        <is>
          <t>金</t>
        </is>
      </c>
      <c r="H1339" s="8" t="inlineStr">
        <is>
          <t>metal</t>
        </is>
      </c>
      <c r="I1339" s="8" t="inlineStr">
        <is>
          <t>2×2</t>
        </is>
      </c>
      <c r="J1339" s="8" t="n">
        <v>4</v>
      </c>
      <c r="K1339" s="8" t="n">
        <v>10</v>
      </c>
      <c r="L1339" s="8" t="inlineStr">
        <is>
          <t>否</t>
        </is>
      </c>
      <c r="M1339" s="9" t="inlineStr">
        <is>
          <t>bazaar；dynamicRandomReward；itemReforge</t>
        </is>
      </c>
      <c r="N1339" s="8" t="n">
        <v>1</v>
      </c>
      <c r="O1339" s="9" t="inlineStr">
        <is>
          <t>说明/执行器</t>
        </is>
      </c>
      <c r="P1339" s="9" t="inlineStr">
        <is>
          <t>effectNote</t>
        </is>
      </c>
      <c r="Q1339" s="9" t="inlineStr">
        <is>
          <t>说明/执行器：变阵：每相邻 1 件金属性道具，获得 1 层凝金；变阵：每相邻 1 件金属性道具，获得 2 层凝金；变阵：每相邻 1 件金属性道具，获得 3 层凝金；变阵：每相邻 1 件金属性道具，获得 4 层凝金</t>
        </is>
      </c>
      <c r="R1339" s="9" t="inlineStr"/>
      <c r="S1339" s="9" t="inlineStr">
        <is>
          <t>青铜阵盘以三道衡轨分定方位，换阵时，邻近金行灵物会同时将金气汇入阵心。</t>
        </is>
      </c>
      <c r="T1339" s="8" t="inlineStr">
        <is>
          <t>formation_batch100_001_2x2</t>
        </is>
      </c>
      <c r="U1339" s="8" t="inlineStr">
        <is>
          <t>allowed</t>
        </is>
      </c>
    </row>
    <row r="1340" ht="34" customHeight="1">
      <c r="A1340" s="8" t="n">
        <v>1339</v>
      </c>
      <c r="B1340" s="8" t="n">
        <v>600011</v>
      </c>
      <c r="C1340" s="8" t="inlineStr">
        <is>
          <t>回元铸金轮</t>
        </is>
      </c>
      <c r="D1340" s="8" t="inlineStr">
        <is>
          <t>阵法</t>
        </is>
      </c>
      <c r="E1340" s="8" t="inlineStr">
        <is>
          <t>formation</t>
        </is>
      </c>
      <c r="F1340" s="8" t="inlineStr">
        <is>
          <t>common</t>
        </is>
      </c>
      <c r="G1340" s="8" t="inlineStr">
        <is>
          <t>金</t>
        </is>
      </c>
      <c r="H1340" s="8" t="inlineStr">
        <is>
          <t>metal</t>
        </is>
      </c>
      <c r="I1340" s="8" t="inlineStr">
        <is>
          <t>2×2</t>
        </is>
      </c>
      <c r="J1340" s="8" t="n">
        <v>4</v>
      </c>
      <c r="K1340" s="8" t="n">
        <v>10</v>
      </c>
      <c r="L1340" s="8" t="inlineStr">
        <is>
          <t>否</t>
        </is>
      </c>
      <c r="M1340" s="9" t="inlineStr">
        <is>
          <t>bazaar；dynamicRandomReward；itemReforge</t>
        </is>
      </c>
      <c r="N1340" s="8" t="n">
        <v>1</v>
      </c>
      <c r="O1340" s="9" t="inlineStr">
        <is>
          <t>说明/执行器</t>
        </is>
      </c>
      <c r="P1340" s="9" t="inlineStr">
        <is>
          <t>effectNote</t>
        </is>
      </c>
      <c r="Q1340" s="9" t="inlineStr">
        <is>
          <t>说明/执行器：变阵：最多将 10 层凝金转化为法力，每 1 层转化为 3 点法力</t>
        </is>
      </c>
      <c r="R1340" s="9" t="inlineStr"/>
      <c r="S1340" s="9" t="inlineStr">
        <is>
          <t>白玉阵轮中央托着聚灵珠，换阵时轮齿倒转，将凝金中锁住的灵息重新铸回法脉。</t>
        </is>
      </c>
      <c r="T1340" s="8" t="inlineStr">
        <is>
          <t>formation_batch100_012_2x2</t>
        </is>
      </c>
      <c r="U1340" s="8" t="inlineStr">
        <is>
          <t>allowed</t>
        </is>
      </c>
    </row>
    <row r="1341" ht="34" customHeight="1">
      <c r="A1341" s="8" t="n">
        <v>1340</v>
      </c>
      <c r="B1341" s="8" t="n">
        <v>600012</v>
      </c>
      <c r="C1341" s="8" t="inlineStr">
        <is>
          <t>万锋归炉</t>
        </is>
      </c>
      <c r="D1341" s="8" t="inlineStr">
        <is>
          <t>阵法</t>
        </is>
      </c>
      <c r="E1341" s="8" t="inlineStr">
        <is>
          <t>formation</t>
        </is>
      </c>
      <c r="F1341" s="8" t="inlineStr">
        <is>
          <t>mystic</t>
        </is>
      </c>
      <c r="G1341" s="8" t="inlineStr">
        <is>
          <t>金</t>
        </is>
      </c>
      <c r="H1341" s="8" t="inlineStr">
        <is>
          <t>metal</t>
        </is>
      </c>
      <c r="I1341" s="8" t="inlineStr">
        <is>
          <t>2×2</t>
        </is>
      </c>
      <c r="J1341" s="8" t="n">
        <v>4</v>
      </c>
      <c r="K1341" s="8" t="n">
        <v>1600</v>
      </c>
      <c r="L1341" s="8" t="inlineStr">
        <is>
          <t>否</t>
        </is>
      </c>
      <c r="M1341" s="9" t="inlineStr">
        <is>
          <t>bazaar；dynamicRandomReward；itemReforge</t>
        </is>
      </c>
      <c r="N1341" s="8" t="n">
        <v>1</v>
      </c>
      <c r="O1341" s="9" t="inlineStr">
        <is>
          <t>说明/执行器</t>
        </is>
      </c>
      <c r="P1341" s="9" t="inlineStr">
        <is>
          <t>effectNote</t>
        </is>
      </c>
      <c r="Q1341" s="9" t="inlineStr">
        <is>
          <t>说明/执行器：变阵：相邻金属性道具的轮转进度前进 4 秒</t>
        </is>
      </c>
      <c r="R1341" s="9" t="inlineStr"/>
      <c r="S1341" s="9" t="inlineStr">
        <is>
          <t>曜金刃片环绕炉心层层咬合，换阵时万锋归一，催动袋中金行灵物同时向前运转。</t>
        </is>
      </c>
      <c r="T1341" s="8" t="inlineStr">
        <is>
          <t>formation_batch100_015_2x2</t>
        </is>
      </c>
      <c r="U1341" s="8" t="inlineStr">
        <is>
          <t>allowed</t>
        </is>
      </c>
    </row>
    <row r="1342" ht="34" customHeight="1">
      <c r="A1342" s="8" t="n">
        <v>1341</v>
      </c>
      <c r="B1342" s="8" t="n">
        <v>600013</v>
      </c>
      <c r="C1342" s="8" t="inlineStr">
        <is>
          <t>流风换位阵</t>
        </is>
      </c>
      <c r="D1342" s="8" t="inlineStr">
        <is>
          <t>阵法</t>
        </is>
      </c>
      <c r="E1342" s="8" t="inlineStr">
        <is>
          <t>formation</t>
        </is>
      </c>
      <c r="F1342" s="8" t="inlineStr">
        <is>
          <t>common</t>
        </is>
      </c>
      <c r="G1342" s="8" t="inlineStr">
        <is>
          <t>风</t>
        </is>
      </c>
      <c r="H1342" s="8" t="inlineStr">
        <is>
          <t>wind</t>
        </is>
      </c>
      <c r="I1342" s="8" t="inlineStr">
        <is>
          <t>2×2</t>
        </is>
      </c>
      <c r="J1342" s="8" t="n">
        <v>4</v>
      </c>
      <c r="K1342" s="8" t="n">
        <v>12</v>
      </c>
      <c r="L1342" s="8" t="inlineStr">
        <is>
          <t>否</t>
        </is>
      </c>
      <c r="M1342" s="9" t="inlineStr">
        <is>
          <t>bazaar；dynamicRandomReward；itemReforge</t>
        </is>
      </c>
      <c r="N1342" s="8" t="n">
        <v>1</v>
      </c>
      <c r="O1342" s="9" t="inlineStr">
        <is>
          <t>说明/执行器</t>
        </is>
      </c>
      <c r="P1342" s="9" t="inlineStr">
        <is>
          <t>effectNote</t>
        </is>
      </c>
      <c r="Q1342" s="9" t="inlineStr">
        <is>
          <t>说明/执行器：变阵：每相邻 1 件招式道具，获得 3 层敏捷；变阵：每相邻 1 件招式道具，获得 6 层敏捷；变阵：每相邻 1 件招式道具，获得 9 层敏捷；变阵：每相邻 1 件招式道具，获得 12 层敏捷</t>
        </is>
      </c>
      <c r="R1342" s="9" t="inlineStr"/>
      <c r="S1342" s="9" t="inlineStr">
        <is>
          <t>青白阵盘上云阶回旋，阵位一换，邻近器物便牵起数道流风，汇入阵心。</t>
        </is>
      </c>
      <c r="T1342" s="8" t="inlineStr">
        <is>
          <t>formation_batch100_014_2x2</t>
        </is>
      </c>
      <c r="U1342" s="8" t="inlineStr">
        <is>
          <t>allowed</t>
        </is>
      </c>
    </row>
    <row r="1343" ht="34" customHeight="1">
      <c r="A1343" s="8" t="n">
        <v>1342</v>
      </c>
      <c r="B1343" s="8" t="n">
        <v>600015</v>
      </c>
      <c r="C1343" s="8" t="inlineStr">
        <is>
          <t>占露铜盘</t>
        </is>
      </c>
      <c r="D1343" s="8" t="inlineStr">
        <is>
          <t>阵法</t>
        </is>
      </c>
      <c r="E1343" s="8" t="inlineStr">
        <is>
          <t>formation</t>
        </is>
      </c>
      <c r="F1343" s="8" t="inlineStr">
        <is>
          <t>common</t>
        </is>
      </c>
      <c r="G1343" s="8" t="inlineStr">
        <is>
          <t>水</t>
        </is>
      </c>
      <c r="H1343" s="8" t="inlineStr">
        <is>
          <t>water</t>
        </is>
      </c>
      <c r="I1343" s="8" t="inlineStr">
        <is>
          <t>1×1</t>
        </is>
      </c>
      <c r="J1343" s="8" t="n">
        <v>1</v>
      </c>
      <c r="K1343" s="8" t="n">
        <v>6</v>
      </c>
      <c r="L1343" s="8" t="inlineStr">
        <is>
          <t>否</t>
        </is>
      </c>
      <c r="M1343" s="9" t="inlineStr">
        <is>
          <t>bazaar；dynamicRandomReward；itemReforge</t>
        </is>
      </c>
      <c r="N1343" s="8" t="n">
        <v>1</v>
      </c>
      <c r="O1343" s="9" t="inlineStr">
        <is>
          <t>说明/执行器</t>
        </is>
      </c>
      <c r="P1343" s="9" t="inlineStr">
        <is>
          <t>effectNote</t>
        </is>
      </c>
      <c r="Q1343" s="9" t="inlineStr">
        <is>
          <t>说明/执行器：变阵：获得 7 层露水；变阵：获得 8 层露水；变阵：获得 9 层露水；变阵：获得 10 层露水</t>
        </is>
      </c>
      <c r="R1343" s="9" t="inlineStr"/>
      <c r="S1343" s="9" t="inlineStr">
        <is>
          <t>铜盘上八卦纹势清晰，盘心常聚一粒露水，轻转时像在卜问水气去向。</t>
        </is>
      </c>
      <c r="T1343" s="8" t="inlineStr">
        <is>
          <t>implement_bagua_disc_1x1</t>
        </is>
      </c>
      <c r="U1343" s="8" t="inlineStr">
        <is>
          <t>allowed</t>
        </is>
      </c>
    </row>
    <row r="1344" ht="34" customHeight="1">
      <c r="A1344" s="8" t="n">
        <v>1343</v>
      </c>
      <c r="B1344" s="8" t="n">
        <v>600016</v>
      </c>
      <c r="C1344" s="8" t="inlineStr">
        <is>
          <t>锁雷震脉阵</t>
        </is>
      </c>
      <c r="D1344" s="8" t="inlineStr">
        <is>
          <t>阵法</t>
        </is>
      </c>
      <c r="E1344" s="8" t="inlineStr">
        <is>
          <t>formation</t>
        </is>
      </c>
      <c r="F1344" s="8" t="inlineStr">
        <is>
          <t>common</t>
        </is>
      </c>
      <c r="G1344" s="8" t="inlineStr">
        <is>
          <t>雷</t>
        </is>
      </c>
      <c r="H1344" s="8" t="inlineStr">
        <is>
          <t>thunder</t>
        </is>
      </c>
      <c r="I1344" s="8" t="inlineStr">
        <is>
          <t>2×2</t>
        </is>
      </c>
      <c r="J1344" s="8" t="n">
        <v>4</v>
      </c>
      <c r="K1344" s="8" t="n">
        <v>10</v>
      </c>
      <c r="L1344" s="8" t="inlineStr">
        <is>
          <t>否</t>
        </is>
      </c>
      <c r="M1344" s="9" t="inlineStr">
        <is>
          <t>bazaar；beastDrop；dynamicRandomReward；itemReforge</t>
        </is>
      </c>
      <c r="N1344" s="8" t="n">
        <v>1</v>
      </c>
      <c r="O1344" s="9" t="inlineStr">
        <is>
          <t>说明/执行器</t>
        </is>
      </c>
      <c r="P1344" s="9" t="inlineStr">
        <is>
          <t>effectNote</t>
        </is>
      </c>
      <c r="Q1344" s="9" t="inlineStr">
        <is>
          <t>说明/执行器：变阵：对敌方施加 2 层麻痹；变阵：对敌方施加 3 层麻痹；变阵：对敌方施加 4 层麻痹；变阵：对敌方施加 5 层麻痹</t>
        </is>
      </c>
      <c r="R1344" s="9" t="inlineStr"/>
      <c r="S1344" s="9" t="inlineStr">
        <is>
          <t>四枚旧铜钉围成方阵，阵心雷纹不显，转阵时才会有一缕麻意沿地脉窜开。</t>
        </is>
      </c>
      <c r="T1344" s="8" t="inlineStr">
        <is>
          <t>formation_thunder_meridian_lock_array_2x2</t>
        </is>
      </c>
      <c r="U1344" s="8" t="inlineStr">
        <is>
          <t>allowed</t>
        </is>
      </c>
    </row>
    <row r="1345" ht="34" customHeight="1">
      <c r="A1345" s="8" t="n">
        <v>1344</v>
      </c>
      <c r="B1345" s="8" t="n">
        <v>600017</v>
      </c>
      <c r="C1345" s="8" t="inlineStr">
        <is>
          <t>玄霜易位盘</t>
        </is>
      </c>
      <c r="D1345" s="8" t="inlineStr">
        <is>
          <t>阵法</t>
        </is>
      </c>
      <c r="E1345" s="8" t="inlineStr">
        <is>
          <t>formation</t>
        </is>
      </c>
      <c r="F1345" s="8" t="inlineStr">
        <is>
          <t>common</t>
        </is>
      </c>
      <c r="G1345" s="8" t="inlineStr">
        <is>
          <t>冰</t>
        </is>
      </c>
      <c r="H1345" s="8" t="inlineStr">
        <is>
          <t>ice</t>
        </is>
      </c>
      <c r="I1345" s="8" t="inlineStr">
        <is>
          <t>2×2</t>
        </is>
      </c>
      <c r="J1345" s="8" t="n">
        <v>4</v>
      </c>
      <c r="K1345" s="8" t="n">
        <v>12</v>
      </c>
      <c r="L1345" s="8" t="inlineStr">
        <is>
          <t>否</t>
        </is>
      </c>
      <c r="M1345" s="9" t="inlineStr">
        <is>
          <t>bazaar；beastDrop；dynamicRandomReward；itemReforge</t>
        </is>
      </c>
      <c r="N1345" s="8" t="n">
        <v>1</v>
      </c>
      <c r="O1345" s="9" t="inlineStr">
        <is>
          <t>说明/执行器</t>
        </is>
      </c>
      <c r="P1345" s="9" t="inlineStr">
        <is>
          <t>effectNote</t>
        </is>
      </c>
      <c r="Q1345" s="9" t="inlineStr">
        <is>
          <t>说明/执行器：变阵：消耗 4 层寒冷；使敌方获得 8 层冰霜；变阵：消耗 4 层寒冷；使敌方获得 8 层冰霜；变阵：消耗 4 层寒冷；使敌方获得 10 层冰霜；使敌方获得 10 层冰霜；变阵：消耗 4 层寒冷；使敌方获得 12 层冰霜；使敌方获得 12 层冰霜；变阵：消耗 4 层寒冷；使敌方获得 16 层冰霜；使敌方获得 16 层冰霜</t>
        </is>
      </c>
      <c r="R1345" s="9" t="inlineStr"/>
      <c r="S1345" s="9" t="inlineStr">
        <is>
          <t>黑银阵盘刻着错位霜环，阵势切换时寒纹疾走，将敌方器位短暂封入冰锁。</t>
        </is>
      </c>
      <c r="T1345" s="8" t="inlineStr">
        <is>
          <t>formation_mystic_frost_shift_disk_2x2</t>
        </is>
      </c>
      <c r="U1345" s="8" t="inlineStr">
        <is>
          <t>allowed</t>
        </is>
      </c>
    </row>
    <row r="1346" ht="34" customHeight="1">
      <c r="A1346" s="8" t="n">
        <v>1345</v>
      </c>
      <c r="B1346" s="8" t="n">
        <v>600018</v>
      </c>
      <c r="C1346" s="8" t="inlineStr">
        <is>
          <t>万籁封天阵</t>
        </is>
      </c>
      <c r="D1346" s="8" t="inlineStr">
        <is>
          <t>阵法</t>
        </is>
      </c>
      <c r="E1346" s="8" t="inlineStr">
        <is>
          <t>formation</t>
        </is>
      </c>
      <c r="F1346" s="8" t="inlineStr">
        <is>
          <t>spirit</t>
        </is>
      </c>
      <c r="G1346" s="8" t="inlineStr">
        <is>
          <t>冰</t>
        </is>
      </c>
      <c r="H1346" s="8" t="inlineStr">
        <is>
          <t>ice</t>
        </is>
      </c>
      <c r="I1346" s="8" t="inlineStr">
        <is>
          <t>2×3</t>
        </is>
      </c>
      <c r="J1346" s="8" t="n">
        <v>6</v>
      </c>
      <c r="K1346" s="8" t="n">
        <v>160</v>
      </c>
      <c r="L1346" s="8" t="inlineStr">
        <is>
          <t>否</t>
        </is>
      </c>
      <c r="M1346" s="9" t="inlineStr">
        <is>
          <t>bazaar；beastDrop；dynamicRandomReward；itemReforge</t>
        </is>
      </c>
      <c r="N1346" s="8" t="n">
        <v>1</v>
      </c>
      <c r="O1346" s="9" t="inlineStr">
        <is>
          <t>说明/执行器</t>
        </is>
      </c>
      <c r="P1346" s="9" t="inlineStr">
        <is>
          <t>effectNote</t>
        </is>
      </c>
      <c r="Q1346" s="9" t="inlineStr">
        <is>
          <t>说明/执行器：变阵：消耗 50 层寒冷；使敌方获得 150 层冰霜；使所有冰属性道具加速 4 秒；变阵：消耗 50 层寒冷；使敌方获得 150 层冰霜；使所有冰属性道具加速 4 秒；变阵：消耗 50 层寒冷；使敌方获得 200 层冰霜；使所有冰属性道具加速 5 秒；使敌方获得 200 层冰霜；使所有冰属性道具加速 5 秒；变阵：消耗 50 层寒冷；使敌方获得 250 层冰霜；使所有冰属性道具加速 6 秒；使敌方获得 250 层冰霜；使所有冰属性道具加速 6 秒；变阵：消耗 50 层寒冷；使敌方获得 300 层冰霜；使所有冰属性道具加速 8 秒；使敌方获得 300 层冰霜；使所有冰属性道具加速 8 秒</t>
        </is>
      </c>
      <c r="R1346" s="9" t="inlineStr"/>
      <c r="S1346" s="9" t="inlineStr">
        <is>
          <t>六角阵盘中心凝着无声雪眼，换阵时太阴寒潮压向敌阵，也令己方冰属器物运转如飞。</t>
        </is>
      </c>
      <c r="T1346" s="8" t="inlineStr">
        <is>
          <t>formation_silent_heaven_sealing_array_2x3</t>
        </is>
      </c>
      <c r="U1346" s="8" t="inlineStr">
        <is>
          <t>allowed</t>
        </is>
      </c>
    </row>
    <row r="1347" ht="34" customHeight="1">
      <c r="A1347" s="8" t="n">
        <v>1346</v>
      </c>
      <c r="B1347" s="8" t="n">
        <v>612101</v>
      </c>
      <c r="C1347" s="8" t="inlineStr">
        <is>
          <t>赤毫引焰阵</t>
        </is>
      </c>
      <c r="D1347" s="8" t="inlineStr">
        <is>
          <t>阵法</t>
        </is>
      </c>
      <c r="E1347" s="8" t="inlineStr">
        <is>
          <t>formation</t>
        </is>
      </c>
      <c r="F1347" s="8" t="inlineStr">
        <is>
          <t>common</t>
        </is>
      </c>
      <c r="G1347" s="8" t="inlineStr">
        <is>
          <t>火</t>
        </is>
      </c>
      <c r="H1347" s="8" t="inlineStr">
        <is>
          <t>fire</t>
        </is>
      </c>
      <c r="I1347" s="8" t="inlineStr">
        <is>
          <t>2×1</t>
        </is>
      </c>
      <c r="J1347" s="8" t="n">
        <v>2</v>
      </c>
      <c r="K1347" s="8" t="n">
        <v>20</v>
      </c>
      <c r="L1347" s="8" t="inlineStr">
        <is>
          <t>否</t>
        </is>
      </c>
      <c r="M1347" s="9" t="inlineStr"/>
      <c r="N1347" s="8" t="n">
        <v>1</v>
      </c>
      <c r="O1347" s="9" t="inlineStr">
        <is>
          <t>说明/执行器</t>
        </is>
      </c>
      <c r="P1347" s="9" t="inlineStr">
        <is>
          <t>effectNote</t>
        </is>
      </c>
      <c r="Q1347" s="9" t="inlineStr">
        <is>
          <t>说明/执行器：变阵：所有丹药获得 4 秒减速；变阵：所有丹药获得 5 秒减速；变阵：所有丹药获得 7 秒减速；变阵：所有丹药获得 8 秒减速</t>
        </is>
      </c>
      <c r="R1347" s="9" t="inlineStr"/>
      <c r="S1347" s="9" t="inlineStr">
        <is>
          <t>环形黑金阵盘托着一簇炉灰赤毫，细密炉纹围住毛根。</t>
        </is>
      </c>
      <c r="T1347" s="8" t="inlineStr">
        <is>
          <t>formation_danlu_chixiao_ash_fur_ignition_array_2x1</t>
        </is>
      </c>
      <c r="U1347" s="8" t="inlineStr">
        <is>
          <t>allowed</t>
        </is>
      </c>
    </row>
    <row r="1348" ht="34" customHeight="1">
      <c r="A1348" s="8" t="n">
        <v>1347</v>
      </c>
      <c r="B1348" s="8" t="n">
        <v>612105</v>
      </c>
      <c r="C1348" s="8" t="inlineStr">
        <is>
          <t>炉心导焰阵</t>
        </is>
      </c>
      <c r="D1348" s="8" t="inlineStr">
        <is>
          <t>阵法</t>
        </is>
      </c>
      <c r="E1348" s="8" t="inlineStr">
        <is>
          <t>formation</t>
        </is>
      </c>
      <c r="F1348" s="8" t="inlineStr">
        <is>
          <t>common</t>
        </is>
      </c>
      <c r="G1348" s="8" t="inlineStr">
        <is>
          <t>火</t>
        </is>
      </c>
      <c r="H1348" s="8" t="inlineStr">
        <is>
          <t>fire</t>
        </is>
      </c>
      <c r="I1348" s="8" t="inlineStr">
        <is>
          <t>1×2</t>
        </is>
      </c>
      <c r="J1348" s="8" t="n">
        <v>2</v>
      </c>
      <c r="K1348" s="8" t="n">
        <v>20</v>
      </c>
      <c r="L1348" s="8" t="inlineStr">
        <is>
          <t>否</t>
        </is>
      </c>
      <c r="M1348" s="9" t="inlineStr"/>
      <c r="N1348" s="8" t="n">
        <v>1</v>
      </c>
      <c r="O1348" s="9" t="inlineStr">
        <is>
          <t>说明/执行器</t>
        </is>
      </c>
      <c r="P1348" s="9" t="inlineStr">
        <is>
          <t>effectNote</t>
        </is>
      </c>
      <c r="Q1348" s="9" t="inlineStr">
        <is>
          <t>说明/执行器：变阵：所有炼丹炉获得 10 秒加速；变阵：所有炼丹炉获得 13 秒加速；变阵：所有炼丹炉获得 16 秒加速；变阵：所有炼丹炉获得 19 秒加速</t>
        </is>
      </c>
      <c r="R1348" s="9" t="inlineStr"/>
      <c r="S1348" s="9" t="inlineStr">
        <is>
          <t>竖式阵盘嵌着丹炉心火，赤晶与黑金炉纹逐道相扣。</t>
        </is>
      </c>
      <c r="T1348" s="8" t="inlineStr">
        <is>
          <t>formation_danlu_chixiao_furnace_heart_conduit_array_1x2</t>
        </is>
      </c>
      <c r="U1348" s="8" t="inlineStr">
        <is>
          <t>allowed</t>
        </is>
      </c>
    </row>
    <row r="1349" ht="34" customHeight="1">
      <c r="A1349" s="8" t="n">
        <v>1348</v>
      </c>
      <c r="B1349" s="8" t="n">
        <v>612150</v>
      </c>
      <c r="C1349" s="8" t="inlineStr">
        <is>
          <t>炉骨转焰匣</t>
        </is>
      </c>
      <c r="D1349" s="8" t="inlineStr">
        <is>
          <t>阵法</t>
        </is>
      </c>
      <c r="E1349" s="8" t="inlineStr">
        <is>
          <t>formation</t>
        </is>
      </c>
      <c r="F1349" s="8" t="inlineStr">
        <is>
          <t>common</t>
        </is>
      </c>
      <c r="G1349" s="8" t="inlineStr">
        <is>
          <t>火</t>
        </is>
      </c>
      <c r="H1349" s="8" t="inlineStr">
        <is>
          <t>fire</t>
        </is>
      </c>
      <c r="I1349" s="8" t="inlineStr">
        <is>
          <t>2×1</t>
        </is>
      </c>
      <c r="J1349" s="8" t="n">
        <v>2</v>
      </c>
      <c r="K1349" s="8" t="n">
        <v>20</v>
      </c>
      <c r="L1349" s="8" t="inlineStr">
        <is>
          <t>否</t>
        </is>
      </c>
      <c r="M1349" s="9" t="inlineStr"/>
      <c r="N1349" s="8" t="n">
        <v>1</v>
      </c>
      <c r="O1349" s="9" t="inlineStr">
        <is>
          <t>说明/执行器</t>
        </is>
      </c>
      <c r="P1349" s="9" t="inlineStr">
        <is>
          <t>effectNote</t>
        </is>
      </c>
      <c r="Q1349" s="9" t="inlineStr">
        <is>
          <t>说明/执行器：变阵：最多将 4 层护甲转化为炎热，每层获得 3 层炎热；变阵：最多将 5 层护甲转化为炎热，每层获得 3 层炎热；变阵：最多将 6 层护甲转化为炎热，每层获得 3 层炎热；变阵：最多将 7 层护甲转化为炎热，每层获得 3 层炎热</t>
        </is>
      </c>
      <c r="R1349" s="9" t="inlineStr"/>
      <c r="S1349" s="9" t="inlineStr">
        <is>
          <t>黑金阵盘围着一截赤色腕骨，炉纹沿盘缘密密收拢。</t>
        </is>
      </c>
      <c r="T1349" s="8" t="inlineStr">
        <is>
          <t>implement_danlu_chixiao_wrist_bone_conduit_array_2x1</t>
        </is>
      </c>
      <c r="U1349" s="8" t="inlineStr">
        <is>
          <t>allowed</t>
        </is>
      </c>
    </row>
    <row r="1350" ht="34" customHeight="1">
      <c r="A1350" s="8" t="n">
        <v>1349</v>
      </c>
      <c r="B1350" s="8" t="n">
        <v>612152</v>
      </c>
      <c r="C1350" s="8" t="inlineStr">
        <is>
          <t>颅焰回流匣</t>
        </is>
      </c>
      <c r="D1350" s="8" t="inlineStr">
        <is>
          <t>阵法</t>
        </is>
      </c>
      <c r="E1350" s="8" t="inlineStr">
        <is>
          <t>formation</t>
        </is>
      </c>
      <c r="F1350" s="8" t="inlineStr">
        <is>
          <t>common</t>
        </is>
      </c>
      <c r="G1350" s="8" t="inlineStr">
        <is>
          <t>火</t>
        </is>
      </c>
      <c r="H1350" s="8" t="inlineStr">
        <is>
          <t>fire</t>
        </is>
      </c>
      <c r="I1350" s="8" t="inlineStr">
        <is>
          <t>2×1</t>
        </is>
      </c>
      <c r="J1350" s="8" t="n">
        <v>2</v>
      </c>
      <c r="K1350" s="8" t="n">
        <v>20</v>
      </c>
      <c r="L1350" s="8" t="inlineStr">
        <is>
          <t>否</t>
        </is>
      </c>
      <c r="M1350" s="9" t="inlineStr"/>
      <c r="N1350" s="8" t="n">
        <v>1</v>
      </c>
      <c r="O1350" s="9" t="inlineStr">
        <is>
          <t>说明/执行器</t>
        </is>
      </c>
      <c r="P1350" s="9" t="inlineStr">
        <is>
          <t>effectNote</t>
        </is>
      </c>
      <c r="Q1350" s="9" t="inlineStr">
        <is>
          <t>说明/执行器：变阵：每有 1 件 1×2 型道具，获得 5 层护甲，最多计算 4 件；变阵：每有 1 件 1×2 型道具，获得 7 层护甲，最多计算 4 件；变阵：每有 1 件 1×2 型道具，获得 8 层护甲，最多计算 4 件；变阵：每有 1 件 1×2 型道具，获得 10 层护甲，最多计算 4 件</t>
        </is>
      </c>
      <c r="R1350" s="9" t="inlineStr"/>
      <c r="S1350" s="9" t="inlineStr">
        <is>
          <t>宽阔阵盘中央嵌着弧形颅片，骨缝与赤纹彼此咬合。</t>
        </is>
      </c>
      <c r="T1350" s="8" t="inlineStr">
        <is>
          <t>implement_danlu_chixiao_skull_plate_reflux_array_2x1</t>
        </is>
      </c>
      <c r="U1350" s="8" t="inlineStr">
        <is>
          <t>allowed</t>
        </is>
      </c>
    </row>
    <row r="1351" ht="34" customHeight="1">
      <c r="A1351" s="8" t="n">
        <v>1350</v>
      </c>
      <c r="B1351" s="8" t="n">
        <v>612154</v>
      </c>
      <c r="C1351" s="8" t="inlineStr">
        <is>
          <t>赤筋牵机枢</t>
        </is>
      </c>
      <c r="D1351" s="8" t="inlineStr">
        <is>
          <t>阵法</t>
        </is>
      </c>
      <c r="E1351" s="8" t="inlineStr">
        <is>
          <t>formation</t>
        </is>
      </c>
      <c r="F1351" s="8" t="inlineStr">
        <is>
          <t>common</t>
        </is>
      </c>
      <c r="G1351" s="8" t="inlineStr">
        <is>
          <t>火</t>
        </is>
      </c>
      <c r="H1351" s="8" t="inlineStr">
        <is>
          <t>fire</t>
        </is>
      </c>
      <c r="I1351" s="8" t="inlineStr">
        <is>
          <t>1×1</t>
        </is>
      </c>
      <c r="J1351" s="8" t="n">
        <v>1</v>
      </c>
      <c r="K1351" s="8" t="n">
        <v>20</v>
      </c>
      <c r="L1351" s="8" t="inlineStr">
        <is>
          <t>否</t>
        </is>
      </c>
      <c r="M1351" s="9" t="inlineStr"/>
      <c r="N1351" s="8" t="n">
        <v>1</v>
      </c>
      <c r="O1351" s="9" t="inlineStr">
        <is>
          <t>说明/执行器</t>
        </is>
      </c>
      <c r="P1351" s="9" t="inlineStr">
        <is>
          <t>effectNote</t>
        </is>
      </c>
      <c r="Q1351" s="9" t="inlineStr">
        <is>
          <t>说明/执行器：变阵：左右相邻道具获得 8 秒加速；变阵：左右相邻道具获得 10 秒加速；变阵：左右相邻道具获得 11 秒加速；变阵：左右相邻道具获得 13 秒加速</t>
        </is>
      </c>
      <c r="R1351" s="9" t="inlineStr"/>
      <c r="S1351" s="9" t="inlineStr">
        <is>
          <t>方圆阵盘中央嵌着盘绕臂筋，黑金机括藏在筋束之间。</t>
        </is>
      </c>
      <c r="T1351" s="8" t="inlineStr">
        <is>
          <t>implement_danlu_chixiao_arm_sinew_linkage_array_1x1</t>
        </is>
      </c>
      <c r="U1351" s="8" t="inlineStr">
        <is>
          <t>allowed</t>
        </is>
      </c>
    </row>
    <row r="1352" ht="34" customHeight="1">
      <c r="A1352" s="8" t="n">
        <v>1351</v>
      </c>
      <c r="B1352" s="8" t="n">
        <v>612155</v>
      </c>
      <c r="C1352" s="8" t="inlineStr">
        <is>
          <t>髓晶炼转枢</t>
        </is>
      </c>
      <c r="D1352" s="8" t="inlineStr">
        <is>
          <t>阵法</t>
        </is>
      </c>
      <c r="E1352" s="8" t="inlineStr">
        <is>
          <t>formation</t>
        </is>
      </c>
      <c r="F1352" s="8" t="inlineStr">
        <is>
          <t>common</t>
        </is>
      </c>
      <c r="G1352" s="8" t="inlineStr">
        <is>
          <t>火</t>
        </is>
      </c>
      <c r="H1352" s="8" t="inlineStr">
        <is>
          <t>fire</t>
        </is>
      </c>
      <c r="I1352" s="8" t="inlineStr">
        <is>
          <t>1×1</t>
        </is>
      </c>
      <c r="J1352" s="8" t="n">
        <v>1</v>
      </c>
      <c r="K1352" s="8" t="n">
        <v>20</v>
      </c>
      <c r="L1352" s="8" t="inlineStr">
        <is>
          <t>否</t>
        </is>
      </c>
      <c r="M1352" s="9" t="inlineStr"/>
      <c r="N1352" s="8" t="n">
        <v>1</v>
      </c>
      <c r="O1352" s="9" t="inlineStr">
        <is>
          <t>说明/执行器</t>
        </is>
      </c>
      <c r="P1352" s="9" t="inlineStr">
        <is>
          <t>effectNote</t>
        </is>
      </c>
      <c r="Q1352" s="9" t="inlineStr">
        <is>
          <t>说明/执行器：变阵：本局每有 1 件已耗尽消耗品，获得 5 层炎热，最多计算 4 件；变阵：本局每有 1 件已耗尽消耗品，获得 7 层炎热，最多计算 4 件；变阵：本局每有 1 件已耗尽消耗品，获得 8 层炎热，最多计算 4 件；变阵：本局每有 1 件已耗尽消耗品，获得 10 层炎热，最多计算 4 件</t>
        </is>
      </c>
      <c r="R1352" s="9" t="inlineStr"/>
      <c r="S1352" s="9" t="inlineStr">
        <is>
          <t>小型阵盘中央嵌着丹髓晶核，赤黑切面被金环紧紧围住。</t>
        </is>
      </c>
      <c r="T1352" s="8" t="inlineStr">
        <is>
          <t>implement_danlu_chixiao_cinnabar_marrow_refining_array_1x1</t>
        </is>
      </c>
      <c r="U1352" s="8" t="inlineStr">
        <is>
          <t>allowed</t>
        </is>
      </c>
    </row>
    <row r="1353" ht="34" customHeight="1">
      <c r="A1353" s="8" t="n">
        <v>1352</v>
      </c>
      <c r="B1353" s="8" t="n">
        <v>612156</v>
      </c>
      <c r="C1353" s="8" t="inlineStr">
        <is>
          <t>魈牙引砂枢</t>
        </is>
      </c>
      <c r="D1353" s="8" t="inlineStr">
        <is>
          <t>阵法</t>
        </is>
      </c>
      <c r="E1353" s="8" t="inlineStr">
        <is>
          <t>formation</t>
        </is>
      </c>
      <c r="F1353" s="8" t="inlineStr">
        <is>
          <t>common</t>
        </is>
      </c>
      <c r="G1353" s="8" t="inlineStr">
        <is>
          <t>火</t>
        </is>
      </c>
      <c r="H1353" s="8" t="inlineStr">
        <is>
          <t>fire</t>
        </is>
      </c>
      <c r="I1353" s="8" t="inlineStr">
        <is>
          <t>1×1</t>
        </is>
      </c>
      <c r="J1353" s="8" t="n">
        <v>1</v>
      </c>
      <c r="K1353" s="8" t="n">
        <v>20</v>
      </c>
      <c r="L1353" s="8" t="inlineStr">
        <is>
          <t>否</t>
        </is>
      </c>
      <c r="M1353" s="9" t="inlineStr"/>
      <c r="N1353" s="8" t="n">
        <v>1</v>
      </c>
      <c r="O1353" s="9" t="inlineStr">
        <is>
          <t>说明/执行器</t>
        </is>
      </c>
      <c r="P1353" s="9" t="inlineStr">
        <is>
          <t>effectNote</t>
        </is>
      </c>
      <c r="Q1353" s="9" t="inlineStr">
        <is>
          <t>说明/执行器：变阵：相邻符箓获得 8 秒加速；变阵：相邻符箓获得 10 秒加速；变阵：相邻符箓获得 11 秒加速；变阵：相邻符箓获得 13 秒加速</t>
        </is>
      </c>
      <c r="R1353" s="9" t="inlineStr"/>
      <c r="S1353" s="9" t="inlineStr">
        <is>
          <t>紧凑阵盘中央嵌着魈牙，丹砂晶面映着黑金刻槽。</t>
        </is>
      </c>
      <c r="T1353" s="8" t="inlineStr">
        <is>
          <t>implement_danlu_chixiao_fang_cinnabar_guiding_array_1x1</t>
        </is>
      </c>
      <c r="U1353" s="8" t="inlineStr">
        <is>
          <t>allowed</t>
        </is>
      </c>
    </row>
    <row r="1354" ht="34" customHeight="1">
      <c r="A1354" s="8" t="n">
        <v>1353</v>
      </c>
      <c r="B1354" s="8" t="n">
        <v>612157</v>
      </c>
      <c r="C1354" s="8" t="inlineStr">
        <is>
          <t>耳骨回声枢</t>
        </is>
      </c>
      <c r="D1354" s="8" t="inlineStr">
        <is>
          <t>阵法</t>
        </is>
      </c>
      <c r="E1354" s="8" t="inlineStr">
        <is>
          <t>formation</t>
        </is>
      </c>
      <c r="F1354" s="8" t="inlineStr">
        <is>
          <t>common</t>
        </is>
      </c>
      <c r="G1354" s="8" t="inlineStr">
        <is>
          <t>火</t>
        </is>
      </c>
      <c r="H1354" s="8" t="inlineStr">
        <is>
          <t>fire</t>
        </is>
      </c>
      <c r="I1354" s="8" t="inlineStr">
        <is>
          <t>1×1</t>
        </is>
      </c>
      <c r="J1354" s="8" t="n">
        <v>1</v>
      </c>
      <c r="K1354" s="8" t="n">
        <v>20</v>
      </c>
      <c r="L1354" s="8" t="inlineStr">
        <is>
          <t>否</t>
        </is>
      </c>
      <c r="M1354" s="9" t="inlineStr"/>
      <c r="N1354" s="8" t="n">
        <v>1</v>
      </c>
      <c r="O1354" s="9" t="inlineStr">
        <is>
          <t>说明/执行器</t>
        </is>
      </c>
      <c r="P1354" s="9" t="inlineStr">
        <is>
          <t>effectNote</t>
        </is>
      </c>
      <c r="Q1354" s="9" t="inlineStr">
        <is>
          <t>说明/执行器：变阵：所有饰品获得 8 秒加速；变阵：所有饰品获得 10 秒加速；变阵：所有饰品获得 11 秒加速；变阵：所有饰品获得 13 秒加速</t>
        </is>
      </c>
      <c r="R1354" s="9" t="inlineStr"/>
      <c r="S1354" s="9" t="inlineStr">
        <is>
          <t>小阵盘中央嵌着弯曲耳骨，灰黑回纹沿骨窝向外扩散。</t>
        </is>
      </c>
      <c r="T1354" s="8" t="inlineStr">
        <is>
          <t>implement_danlu_chixiao_smoke_ear_bone_echo_array_1x1</t>
        </is>
      </c>
      <c r="U1354" s="8" t="inlineStr">
        <is>
          <t>allowed</t>
        </is>
      </c>
    </row>
    <row r="1355" ht="34" customHeight="1">
      <c r="A1355" s="8" t="n">
        <v>1354</v>
      </c>
      <c r="B1355" s="8" t="n">
        <v>612201</v>
      </c>
      <c r="C1355" s="8" t="inlineStr">
        <is>
          <t>叠角引势阵</t>
        </is>
      </c>
      <c r="D1355" s="8" t="inlineStr">
        <is>
          <t>阵法</t>
        </is>
      </c>
      <c r="E1355" s="8" t="inlineStr">
        <is>
          <t>formation</t>
        </is>
      </c>
      <c r="F1355" s="8" t="inlineStr">
        <is>
          <t>common</t>
        </is>
      </c>
      <c r="G1355" s="8" t="inlineStr">
        <is>
          <t>土</t>
        </is>
      </c>
      <c r="H1355" s="8" t="inlineStr">
        <is>
          <t>earth</t>
        </is>
      </c>
      <c r="I1355" s="8" t="inlineStr">
        <is>
          <t>2×2</t>
        </is>
      </c>
      <c r="J1355" s="8" t="n">
        <v>4</v>
      </c>
      <c r="K1355" s="8" t="n">
        <v>20</v>
      </c>
      <c r="L1355" s="8" t="inlineStr">
        <is>
          <t>否</t>
        </is>
      </c>
      <c r="M1355" s="9" t="inlineStr"/>
      <c r="N1355" s="8" t="n">
        <v>1</v>
      </c>
      <c r="O1355" s="9" t="inlineStr">
        <is>
          <t>说明/执行器</t>
        </is>
      </c>
      <c r="P1355" s="9" t="inlineStr">
        <is>
          <t>effectNote</t>
        </is>
      </c>
      <c r="Q1355" s="9" t="inlineStr">
        <is>
          <t>说明/执行器：变阵：每相邻 1 件阵盘，获得 7 层护甲，最多计算 3 件；变阵：每相邻 1 件阵盘，获得 8 层护甲，最多计算 3 件；变阵：每相邻 1 件阵盘，获得 10 层护甲，最多计算 3 件；变阵：每相邻 1 件阵盘，获得 12 层护甲，最多计算 3 件</t>
        </is>
      </c>
      <c r="R1355" s="9" t="inlineStr"/>
      <c r="S1355" s="9" t="inlineStr">
        <is>
          <t>数层角片环扣阵心，尖锐棱脊将土黄纹路引向四方。</t>
        </is>
      </c>
      <c r="T1355" s="8" t="inlineStr">
        <is>
          <t>formation_fubei_shixi_horn_relay_2x2</t>
        </is>
      </c>
      <c r="U1355" s="8" t="inlineStr">
        <is>
          <t>allowed</t>
        </is>
      </c>
    </row>
    <row r="1356" ht="34" customHeight="1">
      <c r="A1356" s="8" t="n">
        <v>1355</v>
      </c>
      <c r="B1356" s="8" t="n">
        <v>612202</v>
      </c>
      <c r="C1356" s="8" t="inlineStr">
        <is>
          <t>骨纹转枢阵</t>
        </is>
      </c>
      <c r="D1356" s="8" t="inlineStr">
        <is>
          <t>阵法</t>
        </is>
      </c>
      <c r="E1356" s="8" t="inlineStr">
        <is>
          <t>formation</t>
        </is>
      </c>
      <c r="F1356" s="8" t="inlineStr">
        <is>
          <t>common</t>
        </is>
      </c>
      <c r="G1356" s="8" t="inlineStr">
        <is>
          <t>土</t>
        </is>
      </c>
      <c r="H1356" s="8" t="inlineStr">
        <is>
          <t>earth</t>
        </is>
      </c>
      <c r="I1356" s="8" t="inlineStr">
        <is>
          <t>2×1</t>
        </is>
      </c>
      <c r="J1356" s="8" t="n">
        <v>2</v>
      </c>
      <c r="K1356" s="8" t="n">
        <v>20</v>
      </c>
      <c r="L1356" s="8" t="inlineStr">
        <is>
          <t>否</t>
        </is>
      </c>
      <c r="M1356" s="9" t="inlineStr"/>
      <c r="N1356" s="8" t="n">
        <v>1</v>
      </c>
      <c r="O1356" s="9" t="inlineStr">
        <is>
          <t>说明/执行器</t>
        </is>
      </c>
      <c r="P1356" s="9" t="inlineStr">
        <is>
          <t>effectNote</t>
        </is>
      </c>
      <c r="Q1356" s="9" t="inlineStr">
        <is>
          <t>说明/执行器：变阵：所有其他阵盘获得 8 秒加速；变阵：所有其他阵盘获得 10 秒加速；变阵：所有其他阵盘获得 11 秒加速；变阵：所有其他阵盘获得 13 秒加速</t>
        </is>
      </c>
      <c r="R1356" s="9" t="inlineStr"/>
      <c r="S1356" s="9" t="inlineStr">
        <is>
          <t>长骨贯穿双环阵枢，斑驳骨纹与土色刻线彼此咬合。</t>
        </is>
      </c>
      <c r="T1356" s="8" t="inlineStr">
        <is>
          <t>formation_fubei_shixi_bone_relay_2x1</t>
        </is>
      </c>
      <c r="U1356" s="8" t="inlineStr">
        <is>
          <t>allowed</t>
        </is>
      </c>
    </row>
    <row r="1357" ht="34" customHeight="1">
      <c r="A1357" s="8" t="n">
        <v>1356</v>
      </c>
      <c r="B1357" s="8" t="n">
        <v>612204</v>
      </c>
      <c r="C1357" s="8" t="inlineStr">
        <is>
          <t>列脊换势阵</t>
        </is>
      </c>
      <c r="D1357" s="8" t="inlineStr">
        <is>
          <t>阵法</t>
        </is>
      </c>
      <c r="E1357" s="8" t="inlineStr">
        <is>
          <t>formation</t>
        </is>
      </c>
      <c r="F1357" s="8" t="inlineStr">
        <is>
          <t>common</t>
        </is>
      </c>
      <c r="G1357" s="8" t="inlineStr">
        <is>
          <t>土</t>
        </is>
      </c>
      <c r="H1357" s="8" t="inlineStr">
        <is>
          <t>earth</t>
        </is>
      </c>
      <c r="I1357" s="8" t="inlineStr">
        <is>
          <t>1×2</t>
        </is>
      </c>
      <c r="J1357" s="8" t="n">
        <v>2</v>
      </c>
      <c r="K1357" s="8" t="n">
        <v>20</v>
      </c>
      <c r="L1357" s="8" t="inlineStr">
        <is>
          <t>否</t>
        </is>
      </c>
      <c r="M1357" s="9" t="inlineStr"/>
      <c r="N1357" s="8" t="n">
        <v>1</v>
      </c>
      <c r="O1357" s="9" t="inlineStr">
        <is>
          <t>说明/执行器</t>
        </is>
      </c>
      <c r="P1357" s="9" t="inlineStr">
        <is>
          <t>effectNote</t>
        </is>
      </c>
      <c r="Q1357" s="9" t="inlineStr">
        <is>
          <t>说明/执行器：变阵：左右相邻道具获得 8 层护甲；变阵：左右相邻道具获得 12 层护甲；变阵：左右相邻道具获得 15 层护甲；变阵：左右相邻道具获得 18 层护甲</t>
        </is>
      </c>
      <c r="R1357" s="9" t="inlineStr"/>
      <c r="S1357" s="9" t="inlineStr">
        <is>
          <t>两节脊骨上下列置，纵向阵纹沿骨缝缓缓盘旋。</t>
        </is>
      </c>
      <c r="T1357" s="8" t="inlineStr">
        <is>
          <t>formation_fubei_shixi_spine_relay_1x2</t>
        </is>
      </c>
      <c r="U1357" s="8" t="inlineStr">
        <is>
          <t>allowed</t>
        </is>
      </c>
    </row>
    <row r="1358" ht="34" customHeight="1">
      <c r="A1358" s="8" t="n">
        <v>1357</v>
      </c>
      <c r="B1358" s="8" t="n">
        <v>612205</v>
      </c>
      <c r="C1358" s="8" t="inlineStr">
        <is>
          <t>符核转轮阵</t>
        </is>
      </c>
      <c r="D1358" s="8" t="inlineStr">
        <is>
          <t>阵法</t>
        </is>
      </c>
      <c r="E1358" s="8" t="inlineStr">
        <is>
          <t>formation</t>
        </is>
      </c>
      <c r="F1358" s="8" t="inlineStr">
        <is>
          <t>common</t>
        </is>
      </c>
      <c r="G1358" s="8" t="inlineStr">
        <is>
          <t>土</t>
        </is>
      </c>
      <c r="H1358" s="8" t="inlineStr">
        <is>
          <t>earth</t>
        </is>
      </c>
      <c r="I1358" s="8" t="inlineStr">
        <is>
          <t>1×2</t>
        </is>
      </c>
      <c r="J1358" s="8" t="n">
        <v>2</v>
      </c>
      <c r="K1358" s="8" t="n">
        <v>20</v>
      </c>
      <c r="L1358" s="8" t="inlineStr">
        <is>
          <t>否</t>
        </is>
      </c>
      <c r="M1358" s="9" t="inlineStr"/>
      <c r="N1358" s="8" t="n">
        <v>1</v>
      </c>
      <c r="O1358" s="9" t="inlineStr">
        <is>
          <t>说明/执行器</t>
        </is>
      </c>
      <c r="P1358" s="9" t="inlineStr">
        <is>
          <t>effectNote</t>
        </is>
      </c>
      <c r="Q1358" s="9" t="inlineStr">
        <is>
          <t>说明/执行器：变阵：所有符箓获得 8 秒加速；变阵：所有符箓获得 10 秒加速；变阵：所有符箓获得 11 秒加速；变阵：所有符箓获得 13 秒加速</t>
        </is>
      </c>
      <c r="R1358" s="9" t="inlineStr"/>
      <c r="S1358" s="9" t="inlineStr">
        <is>
          <t>符核镶在纵置转轮中心，青光沿上下轮齿次第游走。</t>
        </is>
      </c>
      <c r="T1358" s="8" t="inlineStr">
        <is>
          <t>formation_fubei_shixi_rune_core_relay_1x2</t>
        </is>
      </c>
      <c r="U1358" s="8" t="inlineStr">
        <is>
          <t>allowed</t>
        </is>
      </c>
    </row>
    <row r="1359" ht="34" customHeight="1">
      <c r="A1359" s="8" t="n">
        <v>1358</v>
      </c>
      <c r="B1359" s="8" t="n">
        <v>612250</v>
      </c>
      <c r="C1359" s="8" t="inlineStr">
        <is>
          <t>回纹承压盘</t>
        </is>
      </c>
      <c r="D1359" s="8" t="inlineStr">
        <is>
          <t>阵法</t>
        </is>
      </c>
      <c r="E1359" s="8" t="inlineStr">
        <is>
          <t>formation</t>
        </is>
      </c>
      <c r="F1359" s="8" t="inlineStr">
        <is>
          <t>common</t>
        </is>
      </c>
      <c r="G1359" s="8" t="inlineStr">
        <is>
          <t>金</t>
        </is>
      </c>
      <c r="H1359" s="8" t="inlineStr">
        <is>
          <t>metal</t>
        </is>
      </c>
      <c r="I1359" s="8" t="inlineStr">
        <is>
          <t>2×2</t>
        </is>
      </c>
      <c r="J1359" s="8" t="n">
        <v>4</v>
      </c>
      <c r="K1359" s="8" t="n">
        <v>20</v>
      </c>
      <c r="L1359" s="8" t="inlineStr">
        <is>
          <t>否</t>
        </is>
      </c>
      <c r="M1359" s="9" t="inlineStr"/>
      <c r="N1359" s="8" t="n">
        <v>1</v>
      </c>
      <c r="O1359" s="9" t="inlineStr">
        <is>
          <t>说明/执行器</t>
        </is>
      </c>
      <c r="P1359" s="9" t="inlineStr">
        <is>
          <t>effectNote</t>
        </is>
      </c>
      <c r="Q1359" s="9" t="inlineStr">
        <is>
          <t>说明/执行器：变阵：未接触储物袋边缘时，获得 3 层护甲；变阵：未接触储物袋边缘时，获得 5 层护甲；变阵：未接触储物袋边缘时，获得 7 层护甲；变阵：未接触储物袋边缘时，获得 8 层护甲</t>
        </is>
      </c>
      <c r="R1359" s="9" t="inlineStr"/>
      <c r="S1359" s="9" t="inlineStr">
        <is>
          <t>符甲嵌入回纹阵盘，沉厚甲理沿盘面层层闭合。</t>
        </is>
      </c>
      <c r="T1359" s="8" t="inlineStr">
        <is>
          <t>implement_fubei_shixi_carapace_relay_2x2</t>
        </is>
      </c>
      <c r="U1359" s="8" t="inlineStr">
        <is>
          <t>allowed</t>
        </is>
      </c>
    </row>
    <row r="1360" ht="34" customHeight="1">
      <c r="A1360" s="8" t="n">
        <v>1359</v>
      </c>
      <c r="B1360" s="8" t="n">
        <v>612301</v>
      </c>
      <c r="C1360" s="8" t="inlineStr">
        <is>
          <t>凝月回生阵</t>
        </is>
      </c>
      <c r="D1360" s="8" t="inlineStr">
        <is>
          <t>阵法</t>
        </is>
      </c>
      <c r="E1360" s="8" t="inlineStr">
        <is>
          <t>formation</t>
        </is>
      </c>
      <c r="F1360" s="8" t="inlineStr">
        <is>
          <t>common</t>
        </is>
      </c>
      <c r="G1360" s="8" t="inlineStr">
        <is>
          <t>水</t>
        </is>
      </c>
      <c r="H1360" s="8" t="inlineStr">
        <is>
          <t>water</t>
        </is>
      </c>
      <c r="I1360" s="8" t="inlineStr">
        <is>
          <t>2×2</t>
        </is>
      </c>
      <c r="J1360" s="8" t="n">
        <v>4</v>
      </c>
      <c r="K1360" s="8" t="n">
        <v>20</v>
      </c>
      <c r="L1360" s="8" t="inlineStr">
        <is>
          <t>否</t>
        </is>
      </c>
      <c r="M1360" s="9" t="inlineStr"/>
      <c r="N1360" s="8" t="n">
        <v>1</v>
      </c>
      <c r="O1360" s="9" t="inlineStr">
        <is>
          <t>说明/执行器</t>
        </is>
      </c>
      <c r="P1360" s="9" t="inlineStr">
        <is>
          <t>effectNote</t>
        </is>
      </c>
      <c r="Q1360" s="9" t="inlineStr">
        <is>
          <t>说明/执行器：变阵：消耗 5 层再生；移除敌方 5 层护甲；变阵：消耗 7 层再生；移除敌方 7 层护甲；变阵：消耗 8 层再生；移除敌方 8 层护甲；变阵：消耗 10 层再生；移除敌方 10 层护甲</t>
        </is>
      </c>
      <c r="R1360" s="9" t="inlineStr"/>
      <c r="S1360" s="9" t="inlineStr">
        <is>
          <t>六角阵框围着一枚凝月肉核，柔白灵光沿蓝纹回环不息。</t>
        </is>
      </c>
      <c r="T1360" s="8" t="inlineStr">
        <is>
          <t>formation_yuejian_lingbang_moon_flesh_vitality_array_2x2</t>
        </is>
      </c>
      <c r="U1360" s="8" t="inlineStr">
        <is>
          <t>allowed</t>
        </is>
      </c>
    </row>
    <row r="1361" ht="34" customHeight="1">
      <c r="A1361" s="8" t="n">
        <v>1360</v>
      </c>
      <c r="B1361" s="8" t="n">
        <v>612302</v>
      </c>
      <c r="C1361" s="8" t="inlineStr">
        <is>
          <t>月涧导流阵</t>
        </is>
      </c>
      <c r="D1361" s="8" t="inlineStr">
        <is>
          <t>阵法</t>
        </is>
      </c>
      <c r="E1361" s="8" t="inlineStr">
        <is>
          <t>formation</t>
        </is>
      </c>
      <c r="F1361" s="8" t="inlineStr">
        <is>
          <t>common</t>
        </is>
      </c>
      <c r="G1361" s="8" t="inlineStr">
        <is>
          <t>水</t>
        </is>
      </c>
      <c r="H1361" s="8" t="inlineStr">
        <is>
          <t>water</t>
        </is>
      </c>
      <c r="I1361" s="8" t="inlineStr">
        <is>
          <t>2×2</t>
        </is>
      </c>
      <c r="J1361" s="8" t="n">
        <v>4</v>
      </c>
      <c r="K1361" s="8" t="n">
        <v>20</v>
      </c>
      <c r="L1361" s="8" t="inlineStr">
        <is>
          <t>否</t>
        </is>
      </c>
      <c r="M1361" s="9" t="inlineStr"/>
      <c r="N1361" s="8" t="n">
        <v>1</v>
      </c>
      <c r="O1361" s="9" t="inlineStr">
        <is>
          <t>说明/执行器</t>
        </is>
      </c>
      <c r="P1361" s="9" t="inlineStr">
        <is>
          <t>effectNote</t>
        </is>
      </c>
      <c r="Q1361" s="9" t="inlineStr">
        <is>
          <t>说明/执行器：变阵：敌方随机 1 件道具获得 8 秒减速；变阵：敌方随机 1 件道具获得 9 秒减速；变阵：敌方随机 1 件道具获得 11 秒减速；变阵：敌方随机 1 件道具获得 12 秒减速</t>
        </is>
      </c>
      <c r="R1361" s="9" t="inlineStr"/>
      <c r="S1361" s="9" t="inlineStr">
        <is>
          <t>方形阵渠以水膜卷为阵眼，四道蓝白流槽自中心铺开。</t>
        </is>
      </c>
      <c r="T1361" s="8" t="inlineStr">
        <is>
          <t>formation_yuejian_lingbang_stream_membrane_channel_array_2x2</t>
        </is>
      </c>
      <c r="U1361" s="8" t="inlineStr">
        <is>
          <t>allowed</t>
        </is>
      </c>
    </row>
    <row r="1362" ht="34" customHeight="1">
      <c r="A1362" s="8" t="n">
        <v>1361</v>
      </c>
      <c r="B1362" s="8" t="n">
        <v>612303</v>
      </c>
      <c r="C1362" s="8" t="inlineStr">
        <is>
          <t>月池回澜幡</t>
        </is>
      </c>
      <c r="D1362" s="8" t="inlineStr">
        <is>
          <t>阵法</t>
        </is>
      </c>
      <c r="E1362" s="8" t="inlineStr">
        <is>
          <t>formation</t>
        </is>
      </c>
      <c r="F1362" s="8" t="inlineStr">
        <is>
          <t>common</t>
        </is>
      </c>
      <c r="G1362" s="8" t="inlineStr">
        <is>
          <t>水</t>
        </is>
      </c>
      <c r="H1362" s="8" t="inlineStr">
        <is>
          <t>water</t>
        </is>
      </c>
      <c r="I1362" s="8" t="inlineStr">
        <is>
          <t>1×2</t>
        </is>
      </c>
      <c r="J1362" s="8" t="n">
        <v>2</v>
      </c>
      <c r="K1362" s="8" t="n">
        <v>22</v>
      </c>
      <c r="L1362" s="8" t="inlineStr">
        <is>
          <t>否</t>
        </is>
      </c>
      <c r="M1362" s="9" t="inlineStr"/>
      <c r="N1362" s="8" t="n">
        <v>1</v>
      </c>
      <c r="O1362" s="9" t="inlineStr">
        <is>
          <t>说明/执行器</t>
        </is>
      </c>
      <c r="P1362" s="9" t="inlineStr">
        <is>
          <t>effectNote</t>
        </is>
      </c>
      <c r="Q1362" s="9" t="inlineStr">
        <is>
          <t>说明/执行器：变阵：相邻丹药获得 5 秒减速；变阵：相邻丹药获得 7 秒减速；变阵：相邻丹药获得 8 秒减速；变阵：相邻丹药获得 9 秒减速</t>
        </is>
      </c>
      <c r="R1362" s="9" t="inlineStr"/>
      <c r="S1362" s="9" t="inlineStr">
        <is>
          <t>长幡盘绕蓝白水纹，幡心嵌着一枚缩炼护珠。</t>
        </is>
      </c>
      <c r="T1362" s="8" t="inlineStr">
        <is>
          <t>formation_yuejian_lingbang_guard_pearl_tide_banner_1x2</t>
        </is>
      </c>
      <c r="U1362" s="8" t="inlineStr">
        <is>
          <t>allowed</t>
        </is>
      </c>
    </row>
    <row r="1363" ht="34" customHeight="1">
      <c r="A1363" s="8" t="n">
        <v>1362</v>
      </c>
      <c r="B1363" s="8" t="n">
        <v>612350</v>
      </c>
      <c r="C1363" s="8" t="inlineStr">
        <is>
          <t>清辉引潮盘</t>
        </is>
      </c>
      <c r="D1363" s="8" t="inlineStr">
        <is>
          <t>阵法</t>
        </is>
      </c>
      <c r="E1363" s="8" t="inlineStr">
        <is>
          <t>formation</t>
        </is>
      </c>
      <c r="F1363" s="8" t="inlineStr">
        <is>
          <t>common</t>
        </is>
      </c>
      <c r="G1363" s="8" t="inlineStr">
        <is>
          <t>金</t>
        </is>
      </c>
      <c r="H1363" s="8" t="inlineStr">
        <is>
          <t>metal</t>
        </is>
      </c>
      <c r="I1363" s="8" t="inlineStr">
        <is>
          <t>2×2</t>
        </is>
      </c>
      <c r="J1363" s="8" t="n">
        <v>4</v>
      </c>
      <c r="K1363" s="8" t="n">
        <v>20</v>
      </c>
      <c r="L1363" s="8" t="inlineStr">
        <is>
          <t>否</t>
        </is>
      </c>
      <c r="M1363" s="9" t="inlineStr"/>
      <c r="N1363" s="8" t="n">
        <v>1</v>
      </c>
      <c r="O1363" s="9" t="inlineStr">
        <is>
          <t>说明/执行器</t>
        </is>
      </c>
      <c r="P1363" s="9" t="inlineStr">
        <is>
          <t>effectNote</t>
        </is>
      </c>
      <c r="Q1363" s="9" t="inlineStr">
        <is>
          <t>说明/执行器：变阵：位于储物袋边缘时，获得 8 层露水；变阵：位于储物袋边缘时，获得 12 层露水；变阵：位于储物袋边缘时，获得 15 层露水；变阵：位于储物袋边缘时，获得 18 层露水</t>
        </is>
      </c>
      <c r="R1363" s="9" t="inlineStr"/>
      <c r="S1363" s="9" t="inlineStr">
        <is>
          <t>圆盘中央嵌着一枚清辉蚌片，层层潮槽将月色引向四周。</t>
        </is>
      </c>
      <c r="T1363" s="8" t="inlineStr">
        <is>
          <t>implement_yuejian_lingbang_moonlit_shell_tidearray_disk_2x2</t>
        </is>
      </c>
      <c r="U1363" s="8" t="inlineStr">
        <is>
          <t>allowed</t>
        </is>
      </c>
    </row>
    <row r="1364" ht="34" customHeight="1">
      <c r="A1364" s="8" t="n">
        <v>1363</v>
      </c>
      <c r="B1364" s="8" t="n">
        <v>612402</v>
      </c>
      <c r="C1364" s="8" t="inlineStr">
        <is>
          <t>梧绒回风阵框</t>
        </is>
      </c>
      <c r="D1364" s="8" t="inlineStr">
        <is>
          <t>阵法</t>
        </is>
      </c>
      <c r="E1364" s="8" t="inlineStr">
        <is>
          <t>formation</t>
        </is>
      </c>
      <c r="F1364" s="8" t="inlineStr">
        <is>
          <t>common</t>
        </is>
      </c>
      <c r="G1364" s="8" t="inlineStr">
        <is>
          <t>木</t>
        </is>
      </c>
      <c r="H1364" s="8" t="inlineStr">
        <is>
          <t>wood</t>
        </is>
      </c>
      <c r="I1364" s="8" t="inlineStr">
        <is>
          <t>2×1</t>
        </is>
      </c>
      <c r="J1364" s="8" t="n">
        <v>2</v>
      </c>
      <c r="K1364" s="8" t="n">
        <v>20</v>
      </c>
      <c r="L1364" s="8" t="inlineStr">
        <is>
          <t>否</t>
        </is>
      </c>
      <c r="M1364" s="9" t="inlineStr"/>
      <c r="N1364" s="8" t="n">
        <v>1</v>
      </c>
      <c r="O1364" s="9" t="inlineStr">
        <is>
          <t>说明/执行器</t>
        </is>
      </c>
      <c r="P1364" s="9" t="inlineStr">
        <is>
          <t>effectNote</t>
        </is>
      </c>
      <c r="Q1364" s="9" t="inlineStr">
        <is>
          <t>说明/执行器：变阵：所有装备获得 8 秒加速；变阵：所有装备获得 10 秒加速；变阵：所有装备获得 11 秒加速；变阵：所有装备获得 13 秒加速</t>
        </is>
      </c>
      <c r="R1364" s="9" t="inlineStr"/>
      <c r="S1364" s="9" t="inlineStr">
        <is>
          <t>狭长木框中央嵌着一簇梧叶形尾毛，青褐绒尖环着深褐中轴，像一扇收住山风的小窗。</t>
        </is>
      </c>
      <c r="T1364" s="8" t="inlineStr">
        <is>
          <t>formation_wutong_fur_relay_frame_2x1</t>
        </is>
      </c>
      <c r="U1364" s="8" t="inlineStr">
        <is>
          <t>allowed</t>
        </is>
      </c>
    </row>
    <row r="1365" ht="34" customHeight="1">
      <c r="A1365" s="8" t="n">
        <v>1364</v>
      </c>
      <c r="B1365" s="8" t="n">
        <v>612404</v>
      </c>
      <c r="C1365" s="8" t="inlineStr">
        <is>
          <t>牵脉灵筋阵旗</t>
        </is>
      </c>
      <c r="D1365" s="8" t="inlineStr">
        <is>
          <t>阵法</t>
        </is>
      </c>
      <c r="E1365" s="8" t="inlineStr">
        <is>
          <t>formation</t>
        </is>
      </c>
      <c r="F1365" s="8" t="inlineStr">
        <is>
          <t>common</t>
        </is>
      </c>
      <c r="G1365" s="8" t="inlineStr">
        <is>
          <t>木</t>
        </is>
      </c>
      <c r="H1365" s="8" t="inlineStr">
        <is>
          <t>wood</t>
        </is>
      </c>
      <c r="I1365" s="8" t="inlineStr">
        <is>
          <t>1×2</t>
        </is>
      </c>
      <c r="J1365" s="8" t="n">
        <v>2</v>
      </c>
      <c r="K1365" s="8" t="n">
        <v>20</v>
      </c>
      <c r="L1365" s="8" t="inlineStr">
        <is>
          <t>否</t>
        </is>
      </c>
      <c r="M1365" s="9" t="inlineStr"/>
      <c r="N1365" s="8" t="n">
        <v>1</v>
      </c>
      <c r="O1365" s="9" t="inlineStr">
        <is>
          <t>说明/执行器</t>
        </is>
      </c>
      <c r="P1365" s="9" t="inlineStr">
        <is>
          <t>effectNote</t>
        </is>
      </c>
      <c r="Q1365" s="9" t="inlineStr">
        <is>
          <t>说明/执行器：变阵：所有武器获得 8 秒加速；变阵：所有武器获得 10 秒加速；变阵：所有武器获得 11 秒加速；变阵：所有武器获得 13 秒加速</t>
        </is>
      </c>
      <c r="R1365" s="9" t="inlineStr"/>
      <c r="S1365" s="9" t="inlineStr">
        <is>
          <t>狭长阵旗以灵筋晶核贯穿旗脊，藤纹旗面随细微灵息轻轻绷紧。</t>
        </is>
      </c>
      <c r="T1365" s="8" t="inlineStr">
        <is>
          <t>formation_biwu_spirit_sinew_relay_banner_1x2</t>
        </is>
      </c>
      <c r="U1365" s="8" t="inlineStr">
        <is>
          <t>allowed</t>
        </is>
      </c>
    </row>
    <row r="1366" ht="34" customHeight="1">
      <c r="A1366" s="8" t="n">
        <v>1365</v>
      </c>
      <c r="B1366" s="8" t="n">
        <v>612454</v>
      </c>
      <c r="C1366" s="8" t="inlineStr">
        <is>
          <t>青核回枢法盘</t>
        </is>
      </c>
      <c r="D1366" s="8" t="inlineStr">
        <is>
          <t>阵法</t>
        </is>
      </c>
      <c r="E1366" s="8" t="inlineStr">
        <is>
          <t>formation</t>
        </is>
      </c>
      <c r="F1366" s="8" t="inlineStr">
        <is>
          <t>common</t>
        </is>
      </c>
      <c r="G1366" s="8" t="inlineStr">
        <is>
          <t>木</t>
        </is>
      </c>
      <c r="H1366" s="8" t="inlineStr">
        <is>
          <t>wood</t>
        </is>
      </c>
      <c r="I1366" s="8" t="inlineStr">
        <is>
          <t>1×1</t>
        </is>
      </c>
      <c r="J1366" s="8" t="n">
        <v>1</v>
      </c>
      <c r="K1366" s="8" t="n">
        <v>40</v>
      </c>
      <c r="L1366" s="8" t="inlineStr">
        <is>
          <t>否</t>
        </is>
      </c>
      <c r="M1366" s="9" t="inlineStr"/>
      <c r="N1366" s="8" t="n">
        <v>1</v>
      </c>
      <c r="O1366" s="9" t="inlineStr">
        <is>
          <t>说明/执行器</t>
        </is>
      </c>
      <c r="P1366" s="9" t="inlineStr">
        <is>
          <t>effectNote</t>
        </is>
      </c>
      <c r="Q1366" s="9" t="inlineStr">
        <is>
          <t>说明/执行器：变阵：每有 1 件招式，恢复 5 点法力，最多计算 4 件；变阵：每有 1 件招式，恢复 7 点法力，最多计算 4 件；变阵：每有 1 件招式，恢复 8 点法力，最多计算 4 件；变阵：每有 1 件招式，恢复 10 点法力，最多计算 4 件</t>
        </is>
      </c>
      <c r="R1366" s="9" t="inlineStr"/>
      <c r="S1366" s="9" t="inlineStr">
        <is>
          <t>三重铜轨围住青木胆核，黑色裂纹正对阵盘枢线，转动时会发出细密的卡合声。</t>
        </is>
      </c>
      <c r="T1366" s="8" t="inlineStr">
        <is>
          <t>implement_green_core_relay_array_disc_1x1</t>
        </is>
      </c>
      <c r="U1366" s="8" t="inlineStr">
        <is>
          <t>allowed</t>
        </is>
      </c>
    </row>
    <row r="1367" ht="34" customHeight="1">
      <c r="A1367" s="8" t="n">
        <v>1366</v>
      </c>
      <c r="B1367" s="8" t="n">
        <v>612455</v>
      </c>
      <c r="C1367" s="8" t="inlineStr">
        <is>
          <t>灵瞳索敌灵枢</t>
        </is>
      </c>
      <c r="D1367" s="8" t="inlineStr">
        <is>
          <t>阵法</t>
        </is>
      </c>
      <c r="E1367" s="8" t="inlineStr">
        <is>
          <t>formation</t>
        </is>
      </c>
      <c r="F1367" s="8" t="inlineStr">
        <is>
          <t>common</t>
        </is>
      </c>
      <c r="G1367" s="8" t="inlineStr">
        <is>
          <t>木</t>
        </is>
      </c>
      <c r="H1367" s="8" t="inlineStr">
        <is>
          <t>wood</t>
        </is>
      </c>
      <c r="I1367" s="8" t="inlineStr">
        <is>
          <t>1×1</t>
        </is>
      </c>
      <c r="J1367" s="8" t="n">
        <v>1</v>
      </c>
      <c r="K1367" s="8" t="n">
        <v>40</v>
      </c>
      <c r="L1367" s="8" t="inlineStr">
        <is>
          <t>否</t>
        </is>
      </c>
      <c r="M1367" s="9" t="inlineStr"/>
      <c r="N1367" s="8" t="n">
        <v>1</v>
      </c>
      <c r="O1367" s="9" t="inlineStr">
        <is>
          <t>说明/执行器</t>
        </is>
      </c>
      <c r="P1367" s="9" t="inlineStr">
        <is>
          <t>effectNote</t>
        </is>
      </c>
      <c r="Q1367" s="9" t="inlineStr">
        <is>
          <t>说明/执行器：变阵：敌方随机 2 件道具获得 6 秒减速；变阵：敌方随机 2 件道具获得 8 秒减速；变阵：敌方随机 2 件道具获得 9 秒减速；变阵：敌方随机 2 件道具获得 11 秒减速</t>
        </is>
      </c>
      <c r="R1367" s="9" t="inlineStr"/>
      <c r="S1367" s="9" t="inlineStr">
        <is>
          <t>四向铜爪围成阵枢，青睛灵核沉在同心刻槽中央，瞳线始终朝向气机最乱的一侧。</t>
        </is>
      </c>
      <c r="T1367" s="8" t="inlineStr">
        <is>
          <t>implement_spirit_eye_tracking_array_compass_1x1</t>
        </is>
      </c>
      <c r="U1367" s="8" t="inlineStr">
        <is>
          <t>allowed</t>
        </is>
      </c>
    </row>
    <row r="1368" ht="34" customHeight="1">
      <c r="A1368" s="8" t="n">
        <v>1367</v>
      </c>
      <c r="B1368" s="8" t="n">
        <v>612550</v>
      </c>
      <c r="C1368" s="8" t="inlineStr">
        <is>
          <t>赤炉回纹盘</t>
        </is>
      </c>
      <c r="D1368" s="8" t="inlineStr">
        <is>
          <t>阵法</t>
        </is>
      </c>
      <c r="E1368" s="8" t="inlineStr">
        <is>
          <t>formation</t>
        </is>
      </c>
      <c r="F1368" s="8" t="inlineStr">
        <is>
          <t>common</t>
        </is>
      </c>
      <c r="G1368" s="8" t="inlineStr">
        <is>
          <t>火</t>
        </is>
      </c>
      <c r="H1368" s="8" t="inlineStr">
        <is>
          <t>fire</t>
        </is>
      </c>
      <c r="I1368" s="8" t="inlineStr">
        <is>
          <t>2×2</t>
        </is>
      </c>
      <c r="J1368" s="8" t="n">
        <v>4</v>
      </c>
      <c r="K1368" s="8" t="n">
        <v>28</v>
      </c>
      <c r="L1368" s="8" t="inlineStr">
        <is>
          <t>否</t>
        </is>
      </c>
      <c r="M1368" s="9" t="inlineStr"/>
      <c r="N1368" s="8" t="n">
        <v>1</v>
      </c>
      <c r="O1368" s="9" t="inlineStr">
        <is>
          <t>说明/执行器</t>
        </is>
      </c>
      <c r="P1368" s="9" t="inlineStr">
        <is>
          <t>effectNote</t>
        </is>
      </c>
      <c r="Q1368" s="9" t="inlineStr">
        <is>
          <t>说明/执行器：变阵：最多将 4 层炎热转化为护甲，每层获得 5 层护甲；变阵：最多将 5 层炎热转化为护甲，每层获得 5 层护甲；变阵：最多将 6 层炎热转化为护甲，每层获得 5 层护甲；变阵：最多将 7 层炎热转化为护甲，每层获得 5 层护甲</t>
        </is>
      </c>
      <c r="R1368" s="9" t="inlineStr"/>
      <c r="S1368" s="9" t="inlineStr">
        <is>
          <t>八角赤铜盘环抱一枚岩灰炉心，盘面回纹沿内槽层层收拢。</t>
        </is>
      </c>
      <c r="T1368" s="8" t="inlineStr">
        <is>
          <t>implement_chiwen_yanli_rockheart_relay_disc_2x2</t>
        </is>
      </c>
      <c r="U1368" s="8" t="inlineStr">
        <is>
          <t>allowed</t>
        </is>
      </c>
    </row>
    <row r="1369" ht="34" customHeight="1">
      <c r="A1369" s="8" t="n">
        <v>1368</v>
      </c>
      <c r="B1369" s="8" t="n">
        <v>612552</v>
      </c>
      <c r="C1369" s="8" t="inlineStr">
        <is>
          <t>四爪引脉盘</t>
        </is>
      </c>
      <c r="D1369" s="8" t="inlineStr">
        <is>
          <t>阵法</t>
        </is>
      </c>
      <c r="E1369" s="8" t="inlineStr">
        <is>
          <t>formation</t>
        </is>
      </c>
      <c r="F1369" s="8" t="inlineStr">
        <is>
          <t>common</t>
        </is>
      </c>
      <c r="G1369" s="8" t="inlineStr">
        <is>
          <t>火</t>
        </is>
      </c>
      <c r="H1369" s="8" t="inlineStr">
        <is>
          <t>fire</t>
        </is>
      </c>
      <c r="I1369" s="8" t="inlineStr">
        <is>
          <t>2×2</t>
        </is>
      </c>
      <c r="J1369" s="8" t="n">
        <v>4</v>
      </c>
      <c r="K1369" s="8" t="n">
        <v>20</v>
      </c>
      <c r="L1369" s="8" t="inlineStr">
        <is>
          <t>否</t>
        </is>
      </c>
      <c r="M1369" s="9" t="inlineStr"/>
      <c r="N1369" s="8" t="n">
        <v>1</v>
      </c>
      <c r="O1369" s="9" t="inlineStr">
        <is>
          <t>说明/执行器</t>
        </is>
      </c>
      <c r="P1369" s="9" t="inlineStr">
        <is>
          <t>effectNote</t>
        </is>
      </c>
      <c r="Q1369" s="9" t="inlineStr">
        <is>
          <t>说明/执行器：变阵：左右相邻武器获得 11 秒加速；变阵：左右相邻武器获得 13 秒加速；变阵：左右相邻武器获得 14 秒加速；变阵：左右相邻武器获得 16 秒加速</t>
        </is>
      </c>
      <c r="R1369" s="9" t="inlineStr"/>
      <c r="S1369" s="9" t="inlineStr">
        <is>
          <t>黑铁圆盘中央嵌着灰石爪印，四路赤铜导脉直抵方位钉。</t>
        </is>
      </c>
      <c r="T1369" s="8" t="inlineStr">
        <is>
          <t>implement_chiwen_yanli_claw_relay_disc_2x2</t>
        </is>
      </c>
      <c r="U1369" s="8" t="inlineStr">
        <is>
          <t>allowed</t>
        </is>
      </c>
    </row>
    <row r="1370" ht="34" customHeight="1">
      <c r="A1370" s="8" t="n">
        <v>1369</v>
      </c>
      <c r="B1370" s="8" t="n">
        <v>612604</v>
      </c>
      <c r="C1370" s="8" t="inlineStr">
        <is>
          <t>三叉寒流阵</t>
        </is>
      </c>
      <c r="D1370" s="8" t="inlineStr">
        <is>
          <t>阵法</t>
        </is>
      </c>
      <c r="E1370" s="8" t="inlineStr">
        <is>
          <t>formation</t>
        </is>
      </c>
      <c r="F1370" s="8" t="inlineStr">
        <is>
          <t>spirit</t>
        </is>
      </c>
      <c r="G1370" s="8" t="inlineStr">
        <is>
          <t>水</t>
        </is>
      </c>
      <c r="H1370" s="8" t="inlineStr">
        <is>
          <t>water</t>
        </is>
      </c>
      <c r="I1370" s="8" t="inlineStr">
        <is>
          <t>1×3</t>
        </is>
      </c>
      <c r="J1370" s="8" t="n">
        <v>3</v>
      </c>
      <c r="K1370" s="8" t="n">
        <v>200</v>
      </c>
      <c r="L1370" s="8" t="inlineStr">
        <is>
          <t>否</t>
        </is>
      </c>
      <c r="M1370" s="9" t="inlineStr"/>
      <c r="N1370" s="8" t="n">
        <v>1</v>
      </c>
      <c r="O1370" s="9" t="inlineStr">
        <is>
          <t>说明/执行器</t>
        </is>
      </c>
      <c r="P1370" s="9" t="inlineStr">
        <is>
          <t>effectNote</t>
        </is>
      </c>
      <c r="Q1370" s="9" t="inlineStr">
        <is>
          <t>说明/执行器：变阵：所有水属性道具获得 8 秒加速；变阵：所有水属性道具获得 10 秒加速；变阵：所有水属性道具获得 12 秒加速；变阵：所有水属性道具获得 14 秒加速</t>
        </is>
      </c>
      <c r="R1370" s="9" t="inlineStr"/>
      <c r="S1370" s="9" t="inlineStr">
        <is>
          <t>纵向阵架中央封着霜枝灵角，三道水纹沿角叉分流而上。</t>
        </is>
      </c>
      <c r="T1370" s="8" t="inlineStr">
        <is>
          <t>formation_shuangmai_frost_branch_antler_trident_spine_1x3</t>
        </is>
      </c>
      <c r="U1370" s="8" t="inlineStr">
        <is>
          <t>allowed</t>
        </is>
      </c>
    </row>
    <row r="1371" ht="34" customHeight="1">
      <c r="A1371" s="8" t="n">
        <v>1370</v>
      </c>
      <c r="B1371" s="8" t="n">
        <v>612701</v>
      </c>
      <c r="C1371" s="8" t="inlineStr">
        <is>
          <t>地行爪阵</t>
        </is>
      </c>
      <c r="D1371" s="8" t="inlineStr">
        <is>
          <t>阵法</t>
        </is>
      </c>
      <c r="E1371" s="8" t="inlineStr">
        <is>
          <t>formation</t>
        </is>
      </c>
      <c r="F1371" s="8" t="inlineStr">
        <is>
          <t>common</t>
        </is>
      </c>
      <c r="G1371" s="8" t="inlineStr">
        <is>
          <t>土</t>
        </is>
      </c>
      <c r="H1371" s="8" t="inlineStr">
        <is>
          <t>earth</t>
        </is>
      </c>
      <c r="I1371" s="8" t="inlineStr">
        <is>
          <t>2×2</t>
        </is>
      </c>
      <c r="J1371" s="8" t="n">
        <v>4</v>
      </c>
      <c r="K1371" s="8" t="n">
        <v>20</v>
      </c>
      <c r="L1371" s="8" t="inlineStr">
        <is>
          <t>否</t>
        </is>
      </c>
      <c r="M1371" s="9" t="inlineStr"/>
      <c r="N1371" s="8" t="n">
        <v>1</v>
      </c>
      <c r="O1371" s="9" t="inlineStr">
        <is>
          <t>说明/执行器</t>
        </is>
      </c>
      <c r="P1371" s="9" t="inlineStr">
        <is>
          <t>effectNote</t>
        </is>
      </c>
      <c r="Q1371" s="9" t="inlineStr">
        <is>
          <t>说明/执行器：变阵：相邻武器获得 10 秒加速；变阵：相邻武器获得 11 秒加速；变阵：相邻武器获得 13 秒加速；变阵：相邻武器获得 14 秒加速</t>
        </is>
      </c>
      <c r="R1371" s="9" t="inlineStr"/>
      <c r="S1371" s="9" t="inlineStr">
        <is>
          <t>环形阵盘中央嵌着交叠利爪，土纹沿八向阵槽铺开。</t>
        </is>
      </c>
      <c r="T1371" s="8" t="inlineStr">
        <is>
          <t>formation_xuanmai_burrowing_claw_relay_2x2</t>
        </is>
      </c>
      <c r="U1371" s="8" t="inlineStr">
        <is>
          <t>allowed</t>
        </is>
      </c>
    </row>
    <row r="1372" ht="34" customHeight="1">
      <c r="A1372" s="8" t="n">
        <v>1371</v>
      </c>
      <c r="B1372" s="8" t="n">
        <v>612705</v>
      </c>
      <c r="C1372" s="8" t="inlineStr">
        <is>
          <t>聚脉心鳞阵</t>
        </is>
      </c>
      <c r="D1372" s="8" t="inlineStr">
        <is>
          <t>阵法</t>
        </is>
      </c>
      <c r="E1372" s="8" t="inlineStr">
        <is>
          <t>formation</t>
        </is>
      </c>
      <c r="F1372" s="8" t="inlineStr">
        <is>
          <t>common</t>
        </is>
      </c>
      <c r="G1372" s="8" t="inlineStr">
        <is>
          <t>土</t>
        </is>
      </c>
      <c r="H1372" s="8" t="inlineStr">
        <is>
          <t>earth</t>
        </is>
      </c>
      <c r="I1372" s="8" t="inlineStr">
        <is>
          <t>2×1</t>
        </is>
      </c>
      <c r="J1372" s="8" t="n">
        <v>2</v>
      </c>
      <c r="K1372" s="8" t="n">
        <v>20</v>
      </c>
      <c r="L1372" s="8" t="inlineStr">
        <is>
          <t>否</t>
        </is>
      </c>
      <c r="M1372" s="9" t="inlineStr"/>
      <c r="N1372" s="8" t="n">
        <v>1</v>
      </c>
      <c r="O1372" s="9" t="inlineStr">
        <is>
          <t>说明/执行器</t>
        </is>
      </c>
      <c r="P1372" s="9" t="inlineStr">
        <is>
          <t>effectNote</t>
        </is>
      </c>
      <c r="Q1372" s="9" t="inlineStr">
        <is>
          <t>说明/执行器：变阵：最多将 4 层蓄势转化为护甲，每层获得 5 层护甲；变阵：最多将 5 层蓄势转化为护甲，每层获得 5 层护甲；变阵：最多将 6 层蓄势转化为护甲，每层获得 5 层护甲；变阵：最多将 7 层蓄势转化为护甲，每层获得 5 层护甲</t>
        </is>
      </c>
      <c r="R1372" s="9" t="inlineStr"/>
      <c r="S1372" s="9" t="inlineStr">
        <is>
          <t>长形阵盘中央嵌着心形厚鳞，两侧聚脉槽将金纹汇入鳞心。</t>
        </is>
      </c>
      <c r="T1372" s="8" t="inlineStr">
        <is>
          <t>formation_xuanmai_earth_heart_scale_relay_2x1</t>
        </is>
      </c>
      <c r="U1372" s="8" t="inlineStr">
        <is>
          <t>allowed</t>
        </is>
      </c>
    </row>
    <row r="1373" ht="34" customHeight="1">
      <c r="A1373" s="8" t="n">
        <v>1372</v>
      </c>
      <c r="B1373" s="8" t="n">
        <v>612706</v>
      </c>
      <c r="C1373" s="8" t="inlineStr">
        <is>
          <t>胆石坤元阵</t>
        </is>
      </c>
      <c r="D1373" s="8" t="inlineStr">
        <is>
          <t>阵法</t>
        </is>
      </c>
      <c r="E1373" s="8" t="inlineStr">
        <is>
          <t>formation</t>
        </is>
      </c>
      <c r="F1373" s="8" t="inlineStr">
        <is>
          <t>common</t>
        </is>
      </c>
      <c r="G1373" s="8" t="inlineStr">
        <is>
          <t>土</t>
        </is>
      </c>
      <c r="H1373" s="8" t="inlineStr">
        <is>
          <t>earth</t>
        </is>
      </c>
      <c r="I1373" s="8" t="inlineStr">
        <is>
          <t>1×1</t>
        </is>
      </c>
      <c r="J1373" s="8" t="n">
        <v>1</v>
      </c>
      <c r="K1373" s="8" t="n">
        <v>20</v>
      </c>
      <c r="L1373" s="8" t="inlineStr">
        <is>
          <t>否</t>
        </is>
      </c>
      <c r="M1373" s="9" t="inlineStr"/>
      <c r="N1373" s="8" t="n">
        <v>1</v>
      </c>
      <c r="O1373" s="9" t="inlineStr">
        <is>
          <t>说明/执行器</t>
        </is>
      </c>
      <c r="P1373" s="9" t="inlineStr">
        <is>
          <t>effectNote</t>
        </is>
      </c>
      <c r="Q1373" s="9" t="inlineStr">
        <is>
          <t>说明/执行器：变阵：左右相邻丹药获得 7 秒减速；变阵：左右相邻丹药获得 8 秒减速；变阵：左右相邻丹药获得 9 秒减速；变阵：左右相邻丹药获得 10 秒减速</t>
        </is>
      </c>
      <c r="R1373" s="9" t="inlineStr"/>
      <c r="S1373" s="9" t="inlineStr">
        <is>
          <t>圆形坤元阵盘中央嵌着玄土胆石，金纹沿六道阵槽向外延伸。</t>
        </is>
      </c>
      <c r="T1373" s="8" t="inlineStr">
        <is>
          <t>formation_xuanmai_dark_earth_gallstone_relay_1x1</t>
        </is>
      </c>
      <c r="U1373" s="8" t="inlineStr">
        <is>
          <t>allowed</t>
        </is>
      </c>
    </row>
    <row r="1374" ht="34" customHeight="1">
      <c r="A1374" s="8" t="n">
        <v>1373</v>
      </c>
      <c r="B1374" s="8" t="n">
        <v>613400</v>
      </c>
      <c r="C1374" s="8" t="inlineStr">
        <is>
          <t>共鸣胸骨板锁势阵盘</t>
        </is>
      </c>
      <c r="D1374" s="8" t="inlineStr">
        <is>
          <t>阵法</t>
        </is>
      </c>
      <c r="E1374" s="8" t="inlineStr">
        <is>
          <t>formation</t>
        </is>
      </c>
      <c r="F1374" s="8" t="inlineStr">
        <is>
          <t>spirit</t>
        </is>
      </c>
      <c r="G1374" s="8" t="inlineStr">
        <is>
          <t>金</t>
        </is>
      </c>
      <c r="H1374" s="8" t="inlineStr">
        <is>
          <t>metal</t>
        </is>
      </c>
      <c r="I1374" s="8" t="inlineStr">
        <is>
          <t>3×2</t>
        </is>
      </c>
      <c r="J1374" s="8" t="n">
        <v>6</v>
      </c>
      <c r="K1374" s="8" t="n">
        <v>200</v>
      </c>
      <c r="L1374" s="8" t="inlineStr">
        <is>
          <t>否</t>
        </is>
      </c>
      <c r="M1374" s="9" t="inlineStr"/>
      <c r="N1374" s="8" t="n">
        <v>1</v>
      </c>
      <c r="O1374" s="9" t="inlineStr">
        <is>
          <t>说明/执行器</t>
        </is>
      </c>
      <c r="P1374" s="9" t="inlineStr">
        <is>
          <t>effectNote</t>
        </is>
      </c>
      <c r="Q1374" s="9" t="inlineStr">
        <is>
          <t>说明/执行器：变阵：敌方随机 5 件道具获得 3 秒减速；变阵：敌方随机 5 件道具获得 4 秒减速；变阵：敌方随机 5 件道具获得 5 秒减速；变阵：敌方随机 5 件道具获得 6 秒减速</t>
        </is>
      </c>
      <c r="R1374" s="9" t="inlineStr"/>
      <c r="S1374" s="9" t="inlineStr">
        <is>
          <t>以共鸣胸骨板为阵核炼成的阵器。阵纹展开后可稳定牵引母材灵机，适合筑基期布阵使用。</t>
        </is>
      </c>
      <c r="T1374" s="8" t="inlineStr">
        <is>
          <t>formation_five_string_resonance_array_3x2</t>
        </is>
      </c>
      <c r="U1374" s="8" t="inlineStr">
        <is>
          <t>allowed</t>
        </is>
      </c>
    </row>
    <row r="1375" ht="34" customHeight="1">
      <c r="A1375" s="8" t="n">
        <v>1374</v>
      </c>
      <c r="B1375" s="8" t="n">
        <v>614100</v>
      </c>
      <c r="C1375" s="8" t="inlineStr">
        <is>
          <t>盘卷腰筋锁势阵盘</t>
        </is>
      </c>
      <c r="D1375" s="8" t="inlineStr">
        <is>
          <t>阵法</t>
        </is>
      </c>
      <c r="E1375" s="8" t="inlineStr">
        <is>
          <t>formation</t>
        </is>
      </c>
      <c r="F1375" s="8" t="inlineStr">
        <is>
          <t>spirit</t>
        </is>
      </c>
      <c r="G1375" s="8" t="inlineStr">
        <is>
          <t>火</t>
        </is>
      </c>
      <c r="H1375" s="8" t="inlineStr">
        <is>
          <t>fire</t>
        </is>
      </c>
      <c r="I1375" s="8" t="inlineStr">
        <is>
          <t>1×1</t>
        </is>
      </c>
      <c r="J1375" s="8" t="n">
        <v>1</v>
      </c>
      <c r="K1375" s="8" t="n">
        <v>200</v>
      </c>
      <c r="L1375" s="8" t="inlineStr">
        <is>
          <t>否</t>
        </is>
      </c>
      <c r="M1375" s="9" t="inlineStr"/>
      <c r="N1375" s="8" t="n">
        <v>1</v>
      </c>
      <c r="O1375" s="9" t="inlineStr">
        <is>
          <t>说明/执行器</t>
        </is>
      </c>
      <c r="P1375" s="9" t="inlineStr">
        <is>
          <t>effectNote</t>
        </is>
      </c>
      <c r="Q1375" s="9" t="inlineStr">
        <is>
          <t>说明/执行器：变阵：每相邻 1 件火属性道具，对敌方施加 6 层冰霜，最多计算 2 件；变阵：每相邻 1 件火属性道具，对敌方施加 10 层冰霜，最多计算 2 件；变阵：每相邻 1 件火属性道具，对敌方施加 16 层冰霜，最多计算 2 件；变阵：每相邻 1 件火属性道具，对敌方施加 20 层冰霜，最多计算 2 件</t>
        </is>
      </c>
      <c r="R1375" s="9" t="inlineStr"/>
      <c r="S1375" s="9" t="inlineStr">
        <is>
          <t>以盘卷腰筋为阵核炼成的阵器。阵纹展开后可稳定牵引母材灵机，适合筑基期布阵使用。</t>
        </is>
      </c>
      <c r="T1375" s="8" t="inlineStr">
        <is>
          <t>formation_forged_fubei_qiuyu_coiled_waist_sinew_2_1x1</t>
        </is>
      </c>
      <c r="U1375" s="8" t="inlineStr">
        <is>
          <t>allowed</t>
        </is>
      </c>
    </row>
    <row r="1376" ht="34" customHeight="1">
      <c r="A1376" s="8" t="n">
        <v>1375</v>
      </c>
      <c r="B1376" s="8" t="n">
        <v>614101</v>
      </c>
      <c r="C1376" s="8" t="inlineStr">
        <is>
          <t>滚压髋骨锁势阵盘</t>
        </is>
      </c>
      <c r="D1376" s="8" t="inlineStr">
        <is>
          <t>阵法</t>
        </is>
      </c>
      <c r="E1376" s="8" t="inlineStr">
        <is>
          <t>formation</t>
        </is>
      </c>
      <c r="F1376" s="8" t="inlineStr">
        <is>
          <t>spirit</t>
        </is>
      </c>
      <c r="G1376" s="8" t="inlineStr">
        <is>
          <t>土</t>
        </is>
      </c>
      <c r="H1376" s="8" t="inlineStr">
        <is>
          <t>earth</t>
        </is>
      </c>
      <c r="I1376" s="8" t="inlineStr">
        <is>
          <t>1×1</t>
        </is>
      </c>
      <c r="J1376" s="8" t="n">
        <v>1</v>
      </c>
      <c r="K1376" s="8" t="n">
        <v>200</v>
      </c>
      <c r="L1376" s="8" t="inlineStr">
        <is>
          <t>否</t>
        </is>
      </c>
      <c r="M1376" s="9" t="inlineStr"/>
      <c r="N1376" s="8" t="n">
        <v>1</v>
      </c>
      <c r="O1376" s="9" t="inlineStr">
        <is>
          <t>说明/执行器</t>
        </is>
      </c>
      <c r="P1376" s="9" t="inlineStr">
        <is>
          <t>effectNote</t>
        </is>
      </c>
      <c r="Q1376" s="9" t="inlineStr">
        <is>
          <t>说明/执行器：变阵：敌方占格面积最大的道具获得 10 秒减速；变阵：敌方占格面积最大的道具获得 13 秒减速；变阵：敌方占格面积最大的道具获得 15 秒减速；变阵：敌方占格面积最大的道具获得 18 秒减速</t>
        </is>
      </c>
      <c r="R1376" s="9" t="inlineStr"/>
      <c r="S1376" s="9" t="inlineStr">
        <is>
          <t>以滚压髋骨为阵核炼成的阵器。阵纹展开后可稳定牵引母材灵机，适合筑基期布阵使用。</t>
        </is>
      </c>
      <c r="T1376" s="8" t="inlineStr">
        <is>
          <t>formation_forged_fubei_qiuyu_rolling_hip_bone_2_1x1</t>
        </is>
      </c>
      <c r="U1376" s="8" t="inlineStr">
        <is>
          <t>allowed</t>
        </is>
      </c>
    </row>
    <row r="1377" ht="34" customHeight="1">
      <c r="A1377" s="8" t="n">
        <v>1376</v>
      </c>
      <c r="B1377" s="8" t="n">
        <v>615500</v>
      </c>
      <c r="C1377" s="8" t="inlineStr">
        <is>
          <t>腹鳞皮条三衡阵盘</t>
        </is>
      </c>
      <c r="D1377" s="8" t="inlineStr">
        <is>
          <t>阵法</t>
        </is>
      </c>
      <c r="E1377" s="8" t="inlineStr">
        <is>
          <t>formation</t>
        </is>
      </c>
      <c r="F1377" s="8" t="inlineStr">
        <is>
          <t>spirit</t>
        </is>
      </c>
      <c r="G1377" s="8" t="inlineStr">
        <is>
          <t>土</t>
        </is>
      </c>
      <c r="H1377" s="8" t="inlineStr">
        <is>
          <t>earth</t>
        </is>
      </c>
      <c r="I1377" s="8" t="inlineStr">
        <is>
          <t>1×2</t>
        </is>
      </c>
      <c r="J1377" s="8" t="n">
        <v>2</v>
      </c>
      <c r="K1377" s="8" t="n">
        <v>200</v>
      </c>
      <c r="L1377" s="8" t="inlineStr">
        <is>
          <t>否</t>
        </is>
      </c>
      <c r="M1377" s="9" t="inlineStr"/>
      <c r="N1377" s="8" t="n">
        <v>1</v>
      </c>
      <c r="O1377" s="9" t="inlineStr">
        <is>
          <t>说明/执行器</t>
        </is>
      </c>
      <c r="P1377" s="9" t="inlineStr">
        <is>
          <t>effectNote</t>
        </is>
      </c>
      <c r="Q1377" s="9" t="inlineStr">
        <is>
          <t>说明/执行器：变阵：敌方随机 5 件道具获得 3 秒减速；变阵：敌方随机 5 件道具获得 4 秒减速；变阵：敌方随机 5 件道具获得 5 秒减速；变阵：敌方随机 5 件道具获得 6 秒减速</t>
        </is>
      </c>
      <c r="R1377" s="9" t="inlineStr"/>
      <c r="S1377" s="9" t="inlineStr">
        <is>
          <t>以腹鳞皮条为阵核炼成的阵器。阵纹展开后可稳定牵引母材灵机，适合筑基期布阵使用。</t>
        </is>
      </c>
      <c r="T1377" s="8" t="inlineStr">
        <is>
          <t>formation_sanjing_liexi_belly_hide_strip_core_1x2</t>
        </is>
      </c>
      <c r="U1377" s="8" t="inlineStr">
        <is>
          <t>allowed</t>
        </is>
      </c>
    </row>
    <row r="1378" ht="34" customHeight="1">
      <c r="A1378" s="8" t="n">
        <v>1377</v>
      </c>
      <c r="B1378" s="8" t="n">
        <v>616000</v>
      </c>
      <c r="C1378" s="8" t="inlineStr">
        <is>
          <t>闭水鼻阀骨锁势阵盘</t>
        </is>
      </c>
      <c r="D1378" s="8" t="inlineStr">
        <is>
          <t>阵法</t>
        </is>
      </c>
      <c r="E1378" s="8" t="inlineStr">
        <is>
          <t>formation</t>
        </is>
      </c>
      <c r="F1378" s="8" t="inlineStr">
        <is>
          <t>spirit</t>
        </is>
      </c>
      <c r="G1378" s="8" t="inlineStr">
        <is>
          <t>水</t>
        </is>
      </c>
      <c r="H1378" s="8" t="inlineStr">
        <is>
          <t>water</t>
        </is>
      </c>
      <c r="I1378" s="8" t="inlineStr">
        <is>
          <t>1×1</t>
        </is>
      </c>
      <c r="J1378" s="8" t="n">
        <v>1</v>
      </c>
      <c r="K1378" s="8" t="n">
        <v>200</v>
      </c>
      <c r="L1378" s="8" t="inlineStr">
        <is>
          <t>否</t>
        </is>
      </c>
      <c r="M1378" s="9" t="inlineStr"/>
      <c r="N1378" s="8" t="n">
        <v>1</v>
      </c>
      <c r="O1378" s="9" t="inlineStr">
        <is>
          <t>说明/执行器</t>
        </is>
      </c>
      <c r="P1378" s="9" t="inlineStr">
        <is>
          <t>effectNote</t>
        </is>
      </c>
      <c r="Q1378" s="9" t="inlineStr">
        <is>
          <t>说明/执行器：变阵：敌方随机 5 件道具获得 3 秒减速；变阵：敌方随机 5 件道具获得 4 秒减速；变阵：敌方随机 5 件道具获得 5 秒减速；变阵：敌方随机 5 件道具获得 6 秒减速</t>
        </is>
      </c>
      <c r="R1378" s="9" t="inlineStr"/>
      <c r="S1378" s="9" t="inlineStr">
        <is>
          <t>以闭水鼻阀骨为阵核炼成的阵器。阵纹展开后可稳定牵引母材灵机，适合筑基期布阵使用。</t>
        </is>
      </c>
      <c r="T1378" s="8" t="inlineStr">
        <is>
          <t>formation_forged_xuanmao_e_water_seal_nasal_bone_2_1x1</t>
        </is>
      </c>
      <c r="U1378" s="8" t="inlineStr">
        <is>
          <t>allowed</t>
        </is>
      </c>
    </row>
    <row r="1379" ht="34" customHeight="1">
      <c r="A1379" s="8" t="n">
        <v>1378</v>
      </c>
      <c r="B1379" s="8" t="n">
        <v>616400</v>
      </c>
      <c r="C1379" s="8" t="inlineStr">
        <is>
          <t>丹睛环羽换势阵盘</t>
        </is>
      </c>
      <c r="D1379" s="8" t="inlineStr">
        <is>
          <t>阵法</t>
        </is>
      </c>
      <c r="E1379" s="8" t="inlineStr">
        <is>
          <t>formation</t>
        </is>
      </c>
      <c r="F1379" s="8" t="inlineStr">
        <is>
          <t>spirit</t>
        </is>
      </c>
      <c r="G1379" s="8" t="inlineStr">
        <is>
          <t>火</t>
        </is>
      </c>
      <c r="H1379" s="8" t="inlineStr">
        <is>
          <t>fire</t>
        </is>
      </c>
      <c r="I1379" s="8" t="inlineStr">
        <is>
          <t>3×1</t>
        </is>
      </c>
      <c r="J1379" s="8" t="n">
        <v>3</v>
      </c>
      <c r="K1379" s="8" t="n">
        <v>200</v>
      </c>
      <c r="L1379" s="8" t="inlineStr">
        <is>
          <t>否</t>
        </is>
      </c>
      <c r="M1379" s="9" t="inlineStr"/>
      <c r="N1379" s="8" t="n">
        <v>1</v>
      </c>
      <c r="O1379" s="9" t="inlineStr">
        <is>
          <t>说明/执行器</t>
        </is>
      </c>
      <c r="P1379" s="9" t="inlineStr">
        <is>
          <t>effectNote</t>
        </is>
      </c>
      <c r="Q1379" s="9" t="inlineStr">
        <is>
          <t>说明/执行器：变阵：每相邻 1 件符箓或投掷物，获得 16 层炎热，最多计算 2 件；变阵：每相邻 1 件符箓或投掷物，获得 20 层炎热，最多计算 2 件；变阵：每相邻 1 件符箓或投掷物，获得 26 层炎热，最多计算 2 件；变阵：每相邻 1 件符箓或投掷物，获得 30 层炎热，最多计算 2 件</t>
        </is>
      </c>
      <c r="R1379" s="9" t="inlineStr"/>
      <c r="S1379" s="9" t="inlineStr">
        <is>
          <t>以丹睛环羽为阵核炼成的阵器。阵纹展开后可稳定牵引母材灵机，适合筑基期布阵使用。</t>
        </is>
      </c>
      <c r="T1379" s="8" t="inlineStr">
        <is>
          <t>formation_zhiguan_danhe_cinnabar_eye_ring_bridge_1_3x1</t>
        </is>
      </c>
      <c r="U1379" s="8" t="inlineStr">
        <is>
          <t>allowed</t>
        </is>
      </c>
    </row>
    <row r="1380" ht="34" customHeight="1">
      <c r="A1380" s="8" t="n">
        <v>1379</v>
      </c>
      <c r="B1380" s="8" t="n">
        <v>616401</v>
      </c>
      <c r="C1380" s="8" t="inlineStr">
        <is>
          <t>长趾绳腱换势阵盘</t>
        </is>
      </c>
      <c r="D1380" s="8" t="inlineStr">
        <is>
          <t>阵法</t>
        </is>
      </c>
      <c r="E1380" s="8" t="inlineStr">
        <is>
          <t>formation</t>
        </is>
      </c>
      <c r="F1380" s="8" t="inlineStr">
        <is>
          <t>spirit</t>
        </is>
      </c>
      <c r="G1380" s="8" t="inlineStr">
        <is>
          <t>火</t>
        </is>
      </c>
      <c r="H1380" s="8" t="inlineStr">
        <is>
          <t>fire</t>
        </is>
      </c>
      <c r="I1380" s="8" t="inlineStr">
        <is>
          <t>1×1</t>
        </is>
      </c>
      <c r="J1380" s="8" t="n">
        <v>1</v>
      </c>
      <c r="K1380" s="8" t="n">
        <v>200</v>
      </c>
      <c r="L1380" s="8" t="inlineStr">
        <is>
          <t>否</t>
        </is>
      </c>
      <c r="M1380" s="9" t="inlineStr"/>
      <c r="N1380" s="8" t="n">
        <v>1</v>
      </c>
      <c r="O1380" s="9" t="inlineStr">
        <is>
          <t>说明/执行器</t>
        </is>
      </c>
      <c r="P1380" s="9" t="inlineStr">
        <is>
          <t>effectNote</t>
        </is>
      </c>
      <c r="Q1380" s="9" t="inlineStr">
        <is>
          <t>说明/执行器：变阵：左右相邻道具获得 10 秒加速；变阵：左右相邻道具获得 13 秒加速；变阵：左右相邻道具获得 15 秒加速；变阵：左右相邻道具获得 18 秒加速</t>
        </is>
      </c>
      <c r="R1380" s="9" t="inlineStr"/>
      <c r="S1380" s="9" t="inlineStr">
        <is>
          <t>以长趾绳腱为阵核炼成的阵器。阵纹展开后可稳定牵引母材灵机，适合筑基期布阵使用。</t>
        </is>
      </c>
      <c r="T1380" s="8" t="inlineStr">
        <is>
          <t>formation_zhiguan_danhe_long_toe_rope_tendon_bridge_2_1x1</t>
        </is>
      </c>
      <c r="U1380" s="8" t="inlineStr">
        <is>
          <t>allowed</t>
        </is>
      </c>
    </row>
    <row r="1381" ht="34" customHeight="1">
      <c r="A1381" s="8" t="n">
        <v>1380</v>
      </c>
      <c r="B1381" s="8" t="n">
        <v>616600</v>
      </c>
      <c r="C1381" s="8" t="inlineStr">
        <is>
          <t>悬铃翼骨回环阵图</t>
        </is>
      </c>
      <c r="D1381" s="8" t="inlineStr">
        <is>
          <t>阵法</t>
        </is>
      </c>
      <c r="E1381" s="8" t="inlineStr">
        <is>
          <t>formation</t>
        </is>
      </c>
      <c r="F1381" s="8" t="inlineStr">
        <is>
          <t>spirit</t>
        </is>
      </c>
      <c r="G1381" s="8" t="inlineStr">
        <is>
          <t>金</t>
        </is>
      </c>
      <c r="H1381" s="8" t="inlineStr">
        <is>
          <t>metal</t>
        </is>
      </c>
      <c r="I1381" s="8" t="inlineStr">
        <is>
          <t>2×2</t>
        </is>
      </c>
      <c r="J1381" s="8" t="n">
        <v>4</v>
      </c>
      <c r="K1381" s="8" t="n">
        <v>200</v>
      </c>
      <c r="L1381" s="8" t="inlineStr">
        <is>
          <t>否</t>
        </is>
      </c>
      <c r="M1381" s="9" t="inlineStr"/>
      <c r="N1381" s="8" t="n">
        <v>1</v>
      </c>
      <c r="O1381" s="9" t="inlineStr">
        <is>
          <t>说明/执行器</t>
        </is>
      </c>
      <c r="P1381" s="9" t="inlineStr">
        <is>
          <t>effectNote</t>
        </is>
      </c>
      <c r="Q1381" s="9" t="inlineStr">
        <is>
          <t>说明/执行器：变阵：对敌方施加 6 层麻痹；变阵：对敌方施加 10 层麻痹；变阵：对敌方施加 16 层麻痹；变阵：对敌方施加 20 层麻痹</t>
        </is>
      </c>
      <c r="R1381" s="9" t="inlineStr"/>
      <c r="S1381" s="9" t="inlineStr">
        <is>
          <t>以悬铃翼骨为阵核炼成的阵器。阵纹展开后可稳定牵引母材灵机，适合筑基期布阵使用。</t>
        </is>
      </c>
      <c r="T1381" s="8" t="inlineStr">
        <is>
          <t>formation_zhongxiong_jiu_bell_slung_wingbone_seal_2x2</t>
        </is>
      </c>
      <c r="U1381" s="8" t="inlineStr">
        <is>
          <t>allowed</t>
        </is>
      </c>
    </row>
    <row r="1382" ht="34" customHeight="1">
      <c r="A1382" s="8" t="n">
        <v>1381</v>
      </c>
      <c r="B1382" s="8" t="n">
        <v>616601</v>
      </c>
      <c r="C1382" s="8" t="inlineStr">
        <is>
          <t>钟钉嗉囊回环阵图</t>
        </is>
      </c>
      <c r="D1382" s="8" t="inlineStr">
        <is>
          <t>阵法</t>
        </is>
      </c>
      <c r="E1382" s="8" t="inlineStr">
        <is>
          <t>formation</t>
        </is>
      </c>
      <c r="F1382" s="8" t="inlineStr">
        <is>
          <t>spirit</t>
        </is>
      </c>
      <c r="G1382" s="8" t="inlineStr">
        <is>
          <t>木</t>
        </is>
      </c>
      <c r="H1382" s="8" t="inlineStr">
        <is>
          <t>wood</t>
        </is>
      </c>
      <c r="I1382" s="8" t="inlineStr">
        <is>
          <t>2×3</t>
        </is>
      </c>
      <c r="J1382" s="8" t="n">
        <v>6</v>
      </c>
      <c r="K1382" s="8" t="n">
        <v>200</v>
      </c>
      <c r="L1382" s="8" t="inlineStr">
        <is>
          <t>否</t>
        </is>
      </c>
      <c r="M1382" s="9" t="inlineStr"/>
      <c r="N1382" s="8" t="n">
        <v>1</v>
      </c>
      <c r="O1382" s="9" t="inlineStr">
        <is>
          <t>说明/执行器</t>
        </is>
      </c>
      <c r="P1382" s="9" t="inlineStr">
        <is>
          <t>effectNote</t>
        </is>
      </c>
      <c r="Q1382" s="9" t="inlineStr">
        <is>
          <t>说明/执行器：变阵：相邻占格面积不少于 4 的道具获得 10 秒加速；变阵：相邻占格面积不少于 4 的道具获得 13 秒加速；变阵：相邻占格面积不少于 4 的道具获得 15 秒加速；变阵：相邻占格面积不少于 4 的道具获得 18 秒加速</t>
        </is>
      </c>
      <c r="R1382" s="9" t="inlineStr"/>
      <c r="S1382" s="9" t="inlineStr">
        <is>
          <t>以钟钉嗉囊为阵核炼成的阵器。阵纹展开后可稳定牵引母材灵机，适合筑基期布阵使用。</t>
        </is>
      </c>
      <c r="T1382" s="8" t="inlineStr">
        <is>
          <t>formation_zhongxiong_jiu_bell_rivet_crop_seal_2x3</t>
        </is>
      </c>
      <c r="U1382" s="8" t="inlineStr">
        <is>
          <t>allowed</t>
        </is>
      </c>
    </row>
    <row r="1383" ht="34" customHeight="1">
      <c r="A1383" s="8" t="n">
        <v>1382</v>
      </c>
      <c r="B1383" s="8" t="n">
        <v>616602</v>
      </c>
      <c r="C1383" s="8" t="inlineStr">
        <is>
          <t>俯冲长翎回环阵图</t>
        </is>
      </c>
      <c r="D1383" s="8" t="inlineStr">
        <is>
          <t>阵法</t>
        </is>
      </c>
      <c r="E1383" s="8" t="inlineStr">
        <is>
          <t>formation</t>
        </is>
      </c>
      <c r="F1383" s="8" t="inlineStr">
        <is>
          <t>spirit</t>
        </is>
      </c>
      <c r="G1383" s="8" t="inlineStr">
        <is>
          <t>风</t>
        </is>
      </c>
      <c r="H1383" s="8" t="inlineStr">
        <is>
          <t>wind</t>
        </is>
      </c>
      <c r="I1383" s="8" t="inlineStr">
        <is>
          <t>1×4</t>
        </is>
      </c>
      <c r="J1383" s="8" t="n">
        <v>4</v>
      </c>
      <c r="K1383" s="8" t="n">
        <v>200</v>
      </c>
      <c r="L1383" s="8" t="inlineStr">
        <is>
          <t>否</t>
        </is>
      </c>
      <c r="M1383" s="9" t="inlineStr"/>
      <c r="N1383" s="8" t="n">
        <v>1</v>
      </c>
      <c r="O1383" s="9" t="inlineStr">
        <is>
          <t>说明/执行器</t>
        </is>
      </c>
      <c r="P1383" s="9" t="inlineStr">
        <is>
          <t>effectNote</t>
        </is>
      </c>
      <c r="Q1383" s="9" t="inlineStr">
        <is>
          <t>说明/执行器：变阵：上下相邻的风属性道具获得 13 秒加速；变阵：上下相邻的风属性道具获得 15 秒加速；变阵：上下相邻的风属性道具获得 18 秒加速；变阵：上下相邻的风属性道具获得 20 秒加速</t>
        </is>
      </c>
      <c r="R1383" s="9" t="inlineStr"/>
      <c r="S1383" s="9" t="inlineStr">
        <is>
          <t>以俯冲长翎为阵核炼成的阵器。阵纹展开后可稳定牵引母材灵机，适合筑基期布阵使用。</t>
        </is>
      </c>
      <c r="T1383" s="8" t="inlineStr">
        <is>
          <t>formation_zhongxiong_jiu_diving_flight_feathers_seal_1x4</t>
        </is>
      </c>
      <c r="U1383" s="8" t="inlineStr">
        <is>
          <t>allowed</t>
        </is>
      </c>
    </row>
    <row r="1384" ht="34" customHeight="1">
      <c r="A1384" s="8" t="n">
        <v>1383</v>
      </c>
      <c r="B1384" s="8" t="n">
        <v>618001</v>
      </c>
      <c r="C1384" s="8" t="inlineStr">
        <is>
          <t>炉口赤芒阵刃</t>
        </is>
      </c>
      <c r="D1384" s="8" t="inlineStr">
        <is>
          <t>阵法</t>
        </is>
      </c>
      <c r="E1384" s="8" t="inlineStr">
        <is>
          <t>formation</t>
        </is>
      </c>
      <c r="F1384" s="8" t="inlineStr">
        <is>
          <t>common</t>
        </is>
      </c>
      <c r="G1384" s="8" t="inlineStr">
        <is>
          <t>火</t>
        </is>
      </c>
      <c r="H1384" s="8" t="inlineStr">
        <is>
          <t>fire</t>
        </is>
      </c>
      <c r="I1384" s="8" t="inlineStr">
        <is>
          <t>2×2</t>
        </is>
      </c>
      <c r="J1384" s="8" t="n">
        <v>4</v>
      </c>
      <c r="K1384" s="8" t="inlineStr"/>
      <c r="L1384" s="8" t="inlineStr">
        <is>
          <t>否</t>
        </is>
      </c>
      <c r="M1384" s="9" t="inlineStr"/>
      <c r="N1384" s="8" t="n">
        <v>2</v>
      </c>
      <c r="O1384" s="9" t="inlineStr">
        <is>
          <t>周期触发；条件触发</t>
        </is>
      </c>
      <c r="P1384" s="9" t="inlineStr">
        <is>
          <t>periodicPulse；triggered</t>
        </is>
      </c>
      <c r="Q1384" s="9" t="inlineStr">
        <is>
          <t>周期触发：轮转时，对敌方造成 55 点伤害 | 条件触发：累计获得 120 层灼烧后毁坏</t>
        </is>
      </c>
      <c r="R1384" s="9" t="inlineStr">
        <is>
          <t>sect-formation-facility；sect-formation-danxia；sect-formation-role-output</t>
        </is>
      </c>
      <c r="S1384" s="9" t="inlineStr">
        <is>
          <t>一枚扁长赤铜阵刃，三层炉口槽纹向前收束，刃端嵌炭黑耐火片，单一冲击轴</t>
        </is>
      </c>
      <c r="T1384" s="8" t="inlineStr">
        <is>
          <t>formation_danxia_output_lukou_chimang_blade_2x2</t>
        </is>
      </c>
      <c r="U1384" s="8" t="inlineStr">
        <is>
          <t>allowed</t>
        </is>
      </c>
    </row>
    <row r="1385" ht="34" customHeight="1">
      <c r="A1385" s="8" t="n">
        <v>1384</v>
      </c>
      <c r="B1385" s="8" t="n">
        <v>618002</v>
      </c>
      <c r="C1385" s="8" t="inlineStr">
        <is>
          <t>回烬续脉盘</t>
        </is>
      </c>
      <c r="D1385" s="8" t="inlineStr">
        <is>
          <t>阵法</t>
        </is>
      </c>
      <c r="E1385" s="8" t="inlineStr">
        <is>
          <t>formation</t>
        </is>
      </c>
      <c r="F1385" s="8" t="inlineStr">
        <is>
          <t>common</t>
        </is>
      </c>
      <c r="G1385" s="8" t="inlineStr">
        <is>
          <t>火</t>
        </is>
      </c>
      <c r="H1385" s="8" t="inlineStr">
        <is>
          <t>fire</t>
        </is>
      </c>
      <c r="I1385" s="8" t="inlineStr">
        <is>
          <t>2×2</t>
        </is>
      </c>
      <c r="J1385" s="8" t="n">
        <v>4</v>
      </c>
      <c r="K1385" s="8" t="inlineStr"/>
      <c r="L1385" s="8" t="inlineStr">
        <is>
          <t>否</t>
        </is>
      </c>
      <c r="M1385" s="9" t="inlineStr"/>
      <c r="N1385" s="8" t="n">
        <v>2</v>
      </c>
      <c r="O1385" s="9" t="inlineStr">
        <is>
          <t>周期触发；条件触发</t>
        </is>
      </c>
      <c r="P1385" s="9" t="inlineStr">
        <is>
          <t>periodicPulse；triggered</t>
        </is>
      </c>
      <c r="Q1385" s="9" t="inlineStr">
        <is>
          <t>周期触发：轮转时，恢复 400 点气血；自身气血低于 30% 时恢复量翻倍 | 条件触发：累计获得 200 层灼烧后毁坏</t>
        </is>
      </c>
      <c r="R1385" s="9" t="inlineStr">
        <is>
          <t>sect-formation-facility；sect-formation-danxia；sect-formation-role-recovery</t>
        </is>
      </c>
      <c r="S1385" s="9" t="inlineStr">
        <is>
          <t>圆形旧铜续脉盘，内外两道回烬槽，中心是实心琥珀色炉芯，回流环路清楚</t>
        </is>
      </c>
      <c r="T1385" s="8" t="inlineStr">
        <is>
          <t>formation_danxia_recovery_huijin_xumai_disc_2x2</t>
        </is>
      </c>
      <c r="U1385" s="8" t="inlineStr">
        <is>
          <t>allowed</t>
        </is>
      </c>
    </row>
    <row r="1386" ht="34" customHeight="1">
      <c r="A1386" s="8" t="n">
        <v>1385</v>
      </c>
      <c r="B1386" s="8" t="n">
        <v>618003</v>
      </c>
      <c r="C1386" s="8" t="inlineStr">
        <is>
          <t>三候护炉环</t>
        </is>
      </c>
      <c r="D1386" s="8" t="inlineStr">
        <is>
          <t>阵法</t>
        </is>
      </c>
      <c r="E1386" s="8" t="inlineStr">
        <is>
          <t>formation</t>
        </is>
      </c>
      <c r="F1386" s="8" t="inlineStr">
        <is>
          <t>common</t>
        </is>
      </c>
      <c r="G1386" s="8" t="inlineStr">
        <is>
          <t>火</t>
        </is>
      </c>
      <c r="H1386" s="8" t="inlineStr">
        <is>
          <t>fire</t>
        </is>
      </c>
      <c r="I1386" s="8" t="inlineStr">
        <is>
          <t>2×2</t>
        </is>
      </c>
      <c r="J1386" s="8" t="n">
        <v>4</v>
      </c>
      <c r="K1386" s="8" t="inlineStr"/>
      <c r="L1386" s="8" t="inlineStr">
        <is>
          <t>否</t>
        </is>
      </c>
      <c r="M1386" s="9" t="inlineStr"/>
      <c r="N1386" s="8" t="n">
        <v>2</v>
      </c>
      <c r="O1386" s="9" t="inlineStr">
        <is>
          <t>周期触发；条件触发</t>
        </is>
      </c>
      <c r="P1386" s="9" t="inlineStr">
        <is>
          <t>periodicPulse；triggered</t>
        </is>
      </c>
      <c r="Q1386" s="9" t="inlineStr">
        <is>
          <t>周期触发：轮转时，如果坚硬层数低于 20 层，将坚硬层数补齐到 20 层 | 条件触发：累计获得 120 层灼烧后毁坏</t>
        </is>
      </c>
      <c r="R1386" s="9" t="inlineStr">
        <is>
          <t>sect-formation-facility；sect-formation-danxia；sect-formation-role-defense</t>
        </is>
      </c>
      <c r="S1386" s="9" t="inlineStr">
        <is>
          <t>厚实三重护炉环，炭黑耐火环包住旧铜炉口，外圈有收束灰线和抗压卡扣</t>
        </is>
      </c>
      <c r="T1386" s="8" t="inlineStr">
        <is>
          <t>formation_danxia_defense_sanhou_huluo_ring_2x2</t>
        </is>
      </c>
      <c r="U1386" s="8" t="inlineStr">
        <is>
          <t>allowed</t>
        </is>
      </c>
    </row>
    <row r="1387" ht="34" customHeight="1">
      <c r="A1387" s="8" t="n">
        <v>1386</v>
      </c>
      <c r="B1387" s="8" t="n">
        <v>618004</v>
      </c>
      <c r="C1387" s="8" t="inlineStr">
        <is>
          <t>守烬炉心</t>
        </is>
      </c>
      <c r="D1387" s="8" t="inlineStr">
        <is>
          <t>阵法</t>
        </is>
      </c>
      <c r="E1387" s="8" t="inlineStr">
        <is>
          <t>formation</t>
        </is>
      </c>
      <c r="F1387" s="8" t="inlineStr">
        <is>
          <t>common</t>
        </is>
      </c>
      <c r="G1387" s="8" t="inlineStr">
        <is>
          <t>火</t>
        </is>
      </c>
      <c r="H1387" s="8" t="inlineStr">
        <is>
          <t>fire</t>
        </is>
      </c>
      <c r="I1387" s="8" t="inlineStr">
        <is>
          <t>2×2</t>
        </is>
      </c>
      <c r="J1387" s="8" t="n">
        <v>4</v>
      </c>
      <c r="K1387" s="8" t="inlineStr"/>
      <c r="L1387" s="8" t="inlineStr">
        <is>
          <t>否</t>
        </is>
      </c>
      <c r="M1387" s="9" t="inlineStr"/>
      <c r="N1387" s="8" t="n">
        <v>2</v>
      </c>
      <c r="O1387" s="9" t="inlineStr">
        <is>
          <t>周期触发；条件触发</t>
        </is>
      </c>
      <c r="P1387" s="9" t="inlineStr">
        <is>
          <t>periodicPulse；triggered</t>
        </is>
      </c>
      <c r="Q1387" s="9" t="inlineStr">
        <is>
          <t>周期触发：轮转时，恢复所有被毁坏的法阵道具 | 条件触发：累计获得 240 层灼烧后毁坏</t>
        </is>
      </c>
      <c r="R1387" s="9" t="inlineStr">
        <is>
          <t>sect-formation-facility；sect-formation-danxia；sect-formation-role-core</t>
        </is>
      </c>
      <c r="S1387" s="9" t="inlineStr">
        <is>
          <t>方圆结合的守烬炉心，赤岩红底座托住琥珀色实心火候柱，三层炉印结构</t>
        </is>
      </c>
      <c r="T1387" s="8" t="inlineStr">
        <is>
          <t>formation_danxia_core_shoujin_luxin_2x2</t>
        </is>
      </c>
      <c r="U1387" s="8" t="inlineStr">
        <is>
          <t>allowed</t>
        </is>
      </c>
    </row>
    <row r="1388" ht="34" customHeight="1">
      <c r="A1388" s="8" t="n">
        <v>1387</v>
      </c>
      <c r="B1388" s="8" t="n">
        <v>618005</v>
      </c>
      <c r="C1388" s="8" t="inlineStr">
        <is>
          <t>雾岭截锋旗</t>
        </is>
      </c>
      <c r="D1388" s="8" t="inlineStr">
        <is>
          <t>阵法</t>
        </is>
      </c>
      <c r="E1388" s="8" t="inlineStr">
        <is>
          <t>formation</t>
        </is>
      </c>
      <c r="F1388" s="8" t="inlineStr">
        <is>
          <t>common</t>
        </is>
      </c>
      <c r="G1388" s="8" t="inlineStr">
        <is>
          <t>土</t>
        </is>
      </c>
      <c r="H1388" s="8" t="inlineStr">
        <is>
          <t>earth</t>
        </is>
      </c>
      <c r="I1388" s="8" t="inlineStr">
        <is>
          <t>2×2</t>
        </is>
      </c>
      <c r="J1388" s="8" t="n">
        <v>4</v>
      </c>
      <c r="K1388" s="8" t="inlineStr"/>
      <c r="L1388" s="8" t="inlineStr">
        <is>
          <t>否</t>
        </is>
      </c>
      <c r="M1388" s="9" t="inlineStr"/>
      <c r="N1388" s="8" t="n">
        <v>2</v>
      </c>
      <c r="O1388" s="9" t="inlineStr">
        <is>
          <t>周期触发；条件触发</t>
        </is>
      </c>
      <c r="P1388" s="9" t="inlineStr">
        <is>
          <t>periodicPulse；triggered</t>
        </is>
      </c>
      <c r="Q1388" s="9" t="inlineStr">
        <is>
          <t>周期触发：轮转时，对敌方造成 58 点伤害 | 条件触发：累计获得 100 层凝滞后毁坏</t>
        </is>
      </c>
      <c r="R1388" s="9" t="inlineStr">
        <is>
          <t>sect-formation-facility；sect-formation-qingque；sect-formation-role-output</t>
        </is>
      </c>
      <c r="S1388" s="9" t="inlineStr">
        <is>
          <t>一面短垂青灰阵旗固定在方形石座上，旗线和折角刻度指向前方，像收束的封位冲击</t>
        </is>
      </c>
      <c r="T1388" s="8" t="inlineStr">
        <is>
          <t>formation_qingque_output_wuling_jiefeng_flag_2x2</t>
        </is>
      </c>
      <c r="U1388" s="8" t="inlineStr">
        <is>
          <t>allowed</t>
        </is>
      </c>
    </row>
    <row r="1389" ht="34" customHeight="1">
      <c r="A1389" s="8" t="n">
        <v>1388</v>
      </c>
      <c r="B1389" s="8" t="n">
        <v>618006</v>
      </c>
      <c r="C1389" s="8" t="inlineStr">
        <is>
          <t>回环补位盘</t>
        </is>
      </c>
      <c r="D1389" s="8" t="inlineStr">
        <is>
          <t>阵法</t>
        </is>
      </c>
      <c r="E1389" s="8" t="inlineStr">
        <is>
          <t>formation</t>
        </is>
      </c>
      <c r="F1389" s="8" t="inlineStr">
        <is>
          <t>common</t>
        </is>
      </c>
      <c r="G1389" s="8" t="inlineStr">
        <is>
          <t>土</t>
        </is>
      </c>
      <c r="H1389" s="8" t="inlineStr">
        <is>
          <t>earth</t>
        </is>
      </c>
      <c r="I1389" s="8" t="inlineStr">
        <is>
          <t>2×2</t>
        </is>
      </c>
      <c r="J1389" s="8" t="n">
        <v>4</v>
      </c>
      <c r="K1389" s="8" t="inlineStr"/>
      <c r="L1389" s="8" t="inlineStr">
        <is>
          <t>否</t>
        </is>
      </c>
      <c r="M1389" s="9" t="inlineStr"/>
      <c r="N1389" s="8" t="n">
        <v>2</v>
      </c>
      <c r="O1389" s="9" t="inlineStr">
        <is>
          <t>周期触发；条件触发</t>
        </is>
      </c>
      <c r="P1389" s="9" t="inlineStr">
        <is>
          <t>periodicPulse；triggered</t>
        </is>
      </c>
      <c r="Q1389" s="9" t="inlineStr">
        <is>
          <t>周期触发：轮转时，恢复 360 点气血；自身气血低于 30% 时恢复量翻倍 | 条件触发：累计获得 180 层凝滞后毁坏</t>
        </is>
      </c>
      <c r="R1389" s="9" t="inlineStr">
        <is>
          <t>sect-formation-facility；sect-formation-qingque；sect-formation-role-recovery</t>
        </is>
      </c>
      <c r="S1389" s="9" t="inlineStr">
        <is>
          <t>可旋转的雾青补位盘，四个石灰方阙槽围住旧银回环扣，呈现重新对齐阵位</t>
        </is>
      </c>
      <c r="T1389" s="8" t="inlineStr">
        <is>
          <t>formation_qingque_recovery_huihuan_buwei_disc_2x2</t>
        </is>
      </c>
      <c r="U1389" s="8" t="inlineStr">
        <is>
          <t>allowed</t>
        </is>
      </c>
    </row>
    <row r="1390" ht="34" customHeight="1">
      <c r="A1390" s="8" t="n">
        <v>1389</v>
      </c>
      <c r="B1390" s="8" t="n">
        <v>618007</v>
      </c>
      <c r="C1390" s="8" t="inlineStr">
        <is>
          <t>负岳承符环</t>
        </is>
      </c>
      <c r="D1390" s="8" t="inlineStr">
        <is>
          <t>阵法</t>
        </is>
      </c>
      <c r="E1390" s="8" t="inlineStr">
        <is>
          <t>formation</t>
        </is>
      </c>
      <c r="F1390" s="8" t="inlineStr">
        <is>
          <t>common</t>
        </is>
      </c>
      <c r="G1390" s="8" t="inlineStr">
        <is>
          <t>土</t>
        </is>
      </c>
      <c r="H1390" s="8" t="inlineStr">
        <is>
          <t>earth</t>
        </is>
      </c>
      <c r="I1390" s="8" t="inlineStr">
        <is>
          <t>2×2</t>
        </is>
      </c>
      <c r="J1390" s="8" t="n">
        <v>4</v>
      </c>
      <c r="K1390" s="8" t="inlineStr"/>
      <c r="L1390" s="8" t="inlineStr">
        <is>
          <t>否</t>
        </is>
      </c>
      <c r="M1390" s="9" t="inlineStr"/>
      <c r="N1390" s="8" t="n">
        <v>2</v>
      </c>
      <c r="O1390" s="9" t="inlineStr">
        <is>
          <t>周期触发；条件触发</t>
        </is>
      </c>
      <c r="P1390" s="9" t="inlineStr">
        <is>
          <t>periodicPulse；triggered</t>
        </is>
      </c>
      <c r="Q1390" s="9" t="inlineStr">
        <is>
          <t>周期触发：轮转时，如果坚硬层数低于 20 层，将坚硬层数补齐到 20 层 | 条件触发：累计获得 160 层凝滞后毁坏</t>
        </is>
      </c>
      <c r="R1390" s="9" t="inlineStr">
        <is>
          <t>sect-formation-facility；sect-formation-qingque；sect-formation-role-defense</t>
        </is>
      </c>
      <c r="S1390" s="9" t="inlineStr">
        <is>
          <t>石灰与墨黑叠片组成的承符环，方阙护壁层层咬合，正面厚重承压</t>
        </is>
      </c>
      <c r="T1390" s="8" t="inlineStr">
        <is>
          <t>formation_qingque_defense_fuyue_chengfu_ring_2x2</t>
        </is>
      </c>
      <c r="U1390" s="8" t="inlineStr">
        <is>
          <t>allowed</t>
        </is>
      </c>
    </row>
    <row r="1391" ht="34" customHeight="1">
      <c r="A1391" s="8" t="n">
        <v>1390</v>
      </c>
      <c r="B1391" s="8" t="n">
        <v>618008</v>
      </c>
      <c r="C1391" s="8" t="inlineStr">
        <is>
          <t>定阙地脉印</t>
        </is>
      </c>
      <c r="D1391" s="8" t="inlineStr">
        <is>
          <t>阵法</t>
        </is>
      </c>
      <c r="E1391" s="8" t="inlineStr">
        <is>
          <t>formation</t>
        </is>
      </c>
      <c r="F1391" s="8" t="inlineStr">
        <is>
          <t>common</t>
        </is>
      </c>
      <c r="G1391" s="8" t="inlineStr">
        <is>
          <t>土</t>
        </is>
      </c>
      <c r="H1391" s="8" t="inlineStr">
        <is>
          <t>earth</t>
        </is>
      </c>
      <c r="I1391" s="8" t="inlineStr">
        <is>
          <t>2×2</t>
        </is>
      </c>
      <c r="J1391" s="8" t="n">
        <v>4</v>
      </c>
      <c r="K1391" s="8" t="inlineStr"/>
      <c r="L1391" s="8" t="inlineStr">
        <is>
          <t>否</t>
        </is>
      </c>
      <c r="M1391" s="9" t="inlineStr"/>
      <c r="N1391" s="8" t="n">
        <v>2</v>
      </c>
      <c r="O1391" s="9" t="inlineStr">
        <is>
          <t>周期触发；条件触发</t>
        </is>
      </c>
      <c r="P1391" s="9" t="inlineStr">
        <is>
          <t>periodicPulse；triggered</t>
        </is>
      </c>
      <c r="Q1391" s="9" t="inlineStr">
        <is>
          <t>周期触发：轮转时，恢复所有被毁坏的法阵道具 | 条件触发：累计获得 200 层凝滞后毁坏</t>
        </is>
      </c>
      <c r="R1391" s="9" t="inlineStr">
        <is>
          <t>sect-formation-facility；sect-formation-qingque；sect-formation-role-core</t>
        </is>
      </c>
      <c r="S1391" s="9" t="inlineStr">
        <is>
          <t>一枚方阙形地脉印，旧银刻度嵌入石灰底座，中央是深墨实心阵钉</t>
        </is>
      </c>
      <c r="T1391" s="8" t="inlineStr">
        <is>
          <t>formation_qingque_core_dingque_dimai_seal_2x2</t>
        </is>
      </c>
      <c r="U1391" s="8" t="inlineStr">
        <is>
          <t>allowed</t>
        </is>
      </c>
    </row>
    <row r="1392" ht="34" customHeight="1">
      <c r="A1392" s="8" t="n">
        <v>1391</v>
      </c>
      <c r="B1392" s="8" t="n">
        <v>618009</v>
      </c>
      <c r="C1392" s="8" t="inlineStr">
        <is>
          <t>镜月返潮针</t>
        </is>
      </c>
      <c r="D1392" s="8" t="inlineStr">
        <is>
          <t>阵法</t>
        </is>
      </c>
      <c r="E1392" s="8" t="inlineStr">
        <is>
          <t>formation</t>
        </is>
      </c>
      <c r="F1392" s="8" t="inlineStr">
        <is>
          <t>common</t>
        </is>
      </c>
      <c r="G1392" s="8" t="inlineStr">
        <is>
          <t>水</t>
        </is>
      </c>
      <c r="H1392" s="8" t="inlineStr">
        <is>
          <t>water</t>
        </is>
      </c>
      <c r="I1392" s="8" t="inlineStr">
        <is>
          <t>2×2</t>
        </is>
      </c>
      <c r="J1392" s="8" t="n">
        <v>4</v>
      </c>
      <c r="K1392" s="8" t="inlineStr"/>
      <c r="L1392" s="8" t="inlineStr">
        <is>
          <t>否</t>
        </is>
      </c>
      <c r="M1392" s="9" t="inlineStr"/>
      <c r="N1392" s="8" t="n">
        <v>2</v>
      </c>
      <c r="O1392" s="9" t="inlineStr">
        <is>
          <t>周期触发；条件触发</t>
        </is>
      </c>
      <c r="P1392" s="9" t="inlineStr">
        <is>
          <t>periodicPulse；triggered</t>
        </is>
      </c>
      <c r="Q1392" s="9" t="inlineStr">
        <is>
          <t>周期触发：轮转时，对敌方造成 68 点伤害 | 条件触发：累计获得 160 层乱流后毁坏</t>
        </is>
      </c>
      <c r="R1392" s="9" t="inlineStr">
        <is>
          <t>sect-formation-facility；sect-formation-shuiyue；sect-formation-role-output</t>
        </is>
      </c>
      <c r="S1392" s="9" t="inlineStr">
        <is>
          <t>月白圆盘上立起细长冷银返潮针，半月水线从后向前收束，形成克制的贯穿方向</t>
        </is>
      </c>
      <c r="T1392" s="8" t="inlineStr">
        <is>
          <t>formation_shuiyue_output_jingyue_fanchao_needle_2x2</t>
        </is>
      </c>
      <c r="U1392" s="8" t="inlineStr">
        <is>
          <t>allowed</t>
        </is>
      </c>
    </row>
    <row r="1393" ht="34" customHeight="1">
      <c r="A1393" s="8" t="n">
        <v>1392</v>
      </c>
      <c r="B1393" s="8" t="n">
        <v>618010</v>
      </c>
      <c r="C1393" s="8" t="inlineStr">
        <is>
          <t>凝露回息环</t>
        </is>
      </c>
      <c r="D1393" s="8" t="inlineStr">
        <is>
          <t>阵法</t>
        </is>
      </c>
      <c r="E1393" s="8" t="inlineStr">
        <is>
          <t>formation</t>
        </is>
      </c>
      <c r="F1393" s="8" t="inlineStr">
        <is>
          <t>common</t>
        </is>
      </c>
      <c r="G1393" s="8" t="inlineStr">
        <is>
          <t>水</t>
        </is>
      </c>
      <c r="H1393" s="8" t="inlineStr">
        <is>
          <t>water</t>
        </is>
      </c>
      <c r="I1393" s="8" t="inlineStr">
        <is>
          <t>2×2</t>
        </is>
      </c>
      <c r="J1393" s="8" t="n">
        <v>4</v>
      </c>
      <c r="K1393" s="8" t="inlineStr"/>
      <c r="L1393" s="8" t="inlineStr">
        <is>
          <t>否</t>
        </is>
      </c>
      <c r="M1393" s="9" t="inlineStr"/>
      <c r="N1393" s="8" t="n">
        <v>2</v>
      </c>
      <c r="O1393" s="9" t="inlineStr">
        <is>
          <t>周期触发；条件触发</t>
        </is>
      </c>
      <c r="P1393" s="9" t="inlineStr">
        <is>
          <t>periodicPulse；triggered</t>
        </is>
      </c>
      <c r="Q1393" s="9" t="inlineStr">
        <is>
          <t>周期触发：轮转时，恢复 320 点气血；自身气血低于 30% 时恢复量翻倍 | 条件触发：累计获得 220 层乱流后毁坏</t>
        </is>
      </c>
      <c r="R1393" s="9" t="inlineStr">
        <is>
          <t>sect-formation-facility；sect-formation-shuiyue；sect-formation-role-recovery</t>
        </is>
      </c>
      <c r="S1393" s="9" t="inlineStr">
        <is>
          <t>月白与竹青的回息环，内圈为实心水玉露槽，外圈是两道低对比涟漪</t>
        </is>
      </c>
      <c r="T1393" s="8" t="inlineStr">
        <is>
          <t>formation_shuiyue_recovery_ninglu_huixi_ring_2x2</t>
        </is>
      </c>
      <c r="U1393" s="8" t="inlineStr">
        <is>
          <t>allowed</t>
        </is>
      </c>
    </row>
    <row r="1394" ht="34" customHeight="1">
      <c r="A1394" s="8" t="n">
        <v>1393</v>
      </c>
      <c r="B1394" s="8" t="n">
        <v>618011</v>
      </c>
      <c r="C1394" s="8" t="inlineStr">
        <is>
          <t>竹影月池幕</t>
        </is>
      </c>
      <c r="D1394" s="8" t="inlineStr">
        <is>
          <t>阵法</t>
        </is>
      </c>
      <c r="E1394" s="8" t="inlineStr">
        <is>
          <t>formation</t>
        </is>
      </c>
      <c r="F1394" s="8" t="inlineStr">
        <is>
          <t>common</t>
        </is>
      </c>
      <c r="G1394" s="8" t="inlineStr">
        <is>
          <t>水</t>
        </is>
      </c>
      <c r="H1394" s="8" t="inlineStr">
        <is>
          <t>water</t>
        </is>
      </c>
      <c r="I1394" s="8" t="inlineStr">
        <is>
          <t>2×2</t>
        </is>
      </c>
      <c r="J1394" s="8" t="n">
        <v>4</v>
      </c>
      <c r="K1394" s="8" t="inlineStr"/>
      <c r="L1394" s="8" t="inlineStr">
        <is>
          <t>否</t>
        </is>
      </c>
      <c r="M1394" s="9" t="inlineStr"/>
      <c r="N1394" s="8" t="n">
        <v>2</v>
      </c>
      <c r="O1394" s="9" t="inlineStr">
        <is>
          <t>周期触发；条件触发</t>
        </is>
      </c>
      <c r="P1394" s="9" t="inlineStr">
        <is>
          <t>periodicPulse；triggered</t>
        </is>
      </c>
      <c r="Q1394" s="9" t="inlineStr">
        <is>
          <t>周期触发：轮转时，如果坚硬层数低于 20 层，将坚硬层数补齐到 20 层 | 条件触发：累计获得 180 层乱流后毁坏</t>
        </is>
      </c>
      <c r="R1394" s="9" t="inlineStr">
        <is>
          <t>sect-formation-facility；sect-formation-shuiyue；sect-formation-role-defense</t>
        </is>
      </c>
      <c r="S1394" s="9" t="inlineStr">
        <is>
          <t>竹青圆门护幕盘，冷银半月环围住月白实心水玉芯，层层回纹表现包围与回护</t>
        </is>
      </c>
      <c r="T1394" s="8" t="inlineStr">
        <is>
          <t>formation_shuiyue_defense_zhuying_yuechi_screen_2x2</t>
        </is>
      </c>
      <c r="U1394" s="8" t="inlineStr">
        <is>
          <t>allowed</t>
        </is>
      </c>
    </row>
    <row r="1395" ht="34" customHeight="1">
      <c r="A1395" s="8" t="n">
        <v>1394</v>
      </c>
      <c r="B1395" s="8" t="n">
        <v>618012</v>
      </c>
      <c r="C1395" s="8" t="inlineStr">
        <is>
          <t>澄月水心</t>
        </is>
      </c>
      <c r="D1395" s="8" t="inlineStr">
        <is>
          <t>阵法</t>
        </is>
      </c>
      <c r="E1395" s="8" t="inlineStr">
        <is>
          <t>formation</t>
        </is>
      </c>
      <c r="F1395" s="8" t="inlineStr">
        <is>
          <t>common</t>
        </is>
      </c>
      <c r="G1395" s="8" t="inlineStr">
        <is>
          <t>水</t>
        </is>
      </c>
      <c r="H1395" s="8" t="inlineStr">
        <is>
          <t>water</t>
        </is>
      </c>
      <c r="I1395" s="8" t="inlineStr">
        <is>
          <t>2×2</t>
        </is>
      </c>
      <c r="J1395" s="8" t="n">
        <v>4</v>
      </c>
      <c r="K1395" s="8" t="inlineStr"/>
      <c r="L1395" s="8" t="inlineStr">
        <is>
          <t>否</t>
        </is>
      </c>
      <c r="M1395" s="9" t="inlineStr"/>
      <c r="N1395" s="8" t="n">
        <v>2</v>
      </c>
      <c r="O1395" s="9" t="inlineStr">
        <is>
          <t>周期触发；条件触发</t>
        </is>
      </c>
      <c r="P1395" s="9" t="inlineStr">
        <is>
          <t>periodicPulse；triggered</t>
        </is>
      </c>
      <c r="Q1395" s="9" t="inlineStr">
        <is>
          <t>周期触发：轮转时，恢复所有被毁坏的法阵道具 | 条件触发：累计获得 280 层乱流后毁坏</t>
        </is>
      </c>
      <c r="R1395" s="9" t="inlineStr">
        <is>
          <t>sect-formation-facility；sect-formation-shuiyue；sect-formation-role-core</t>
        </is>
      </c>
      <c r="S1395" s="9" t="inlineStr">
        <is>
          <t>冷银圆门框和月白实心水玉核组成的水心，竹叶纹锁住中心，结构安静庄重</t>
        </is>
      </c>
      <c r="T1395" s="8" t="inlineStr">
        <is>
          <t>formation_shuiyue_core_chengyue_shuixin_2x2</t>
        </is>
      </c>
      <c r="U1395" s="8" t="inlineStr">
        <is>
          <t>allowed</t>
        </is>
      </c>
    </row>
    <row r="1396" ht="34" customHeight="1">
      <c r="A1396" s="8" t="n">
        <v>1395</v>
      </c>
      <c r="B1396" s="8" t="n">
        <v>700001</v>
      </c>
      <c r="C1396" s="8" t="inlineStr">
        <is>
          <t>千斤坠符</t>
        </is>
      </c>
      <c r="D1396" s="8" t="inlineStr">
        <is>
          <t>符箓</t>
        </is>
      </c>
      <c r="E1396" s="8" t="inlineStr">
        <is>
          <t>talisman</t>
        </is>
      </c>
      <c r="F1396" s="8" t="inlineStr">
        <is>
          <t>common</t>
        </is>
      </c>
      <c r="G1396" s="8" t="inlineStr">
        <is>
          <t>无</t>
        </is>
      </c>
      <c r="H1396" s="8" t="inlineStr">
        <is>
          <t>none</t>
        </is>
      </c>
      <c r="I1396" s="8" t="inlineStr">
        <is>
          <t>1×2</t>
        </is>
      </c>
      <c r="J1396" s="8" t="n">
        <v>2</v>
      </c>
      <c r="K1396" s="8" t="n">
        <v>3</v>
      </c>
      <c r="L1396" s="8" t="inlineStr">
        <is>
          <t>是</t>
        </is>
      </c>
      <c r="M1396" s="9" t="inlineStr">
        <is>
          <t>bazaar；beastDrop；dynamicRandomReward；itemReforge</t>
        </is>
      </c>
      <c r="N1396" s="8" t="n">
        <v>1</v>
      </c>
      <c r="O1396" s="9" t="inlineStr">
        <is>
          <t>消耗品效果</t>
        </is>
      </c>
      <c r="P1396" s="9" t="inlineStr">
        <is>
          <t>consumable</t>
        </is>
      </c>
      <c r="Q1396" s="9" t="inlineStr">
        <is>
          <t>消耗品效果：体力上限临时 +5</t>
        </is>
      </c>
      <c r="R1396" s="9" t="inlineStr"/>
      <c r="S1396" s="9" t="inlineStr">
        <is>
          <t>玄铁重锤符纹压在长符之上，符纸一握便沉坠如山，像有无形重物沿臂压下。</t>
        </is>
      </c>
      <c r="T1396" s="8" t="inlineStr">
        <is>
          <t>talisman_heavy_hammer_charm_1x2</t>
        </is>
      </c>
      <c r="U1396" s="8" t="inlineStr">
        <is>
          <t>allowed</t>
        </is>
      </c>
    </row>
    <row r="1397" ht="34" customHeight="1">
      <c r="A1397" s="8" t="n">
        <v>1396</v>
      </c>
      <c r="B1397" s="8" t="n">
        <v>700002</v>
      </c>
      <c r="C1397" s="8" t="inlineStr">
        <is>
          <t>云火旧符</t>
        </is>
      </c>
      <c r="D1397" s="8" t="inlineStr">
        <is>
          <t>符箓</t>
        </is>
      </c>
      <c r="E1397" s="8" t="inlineStr">
        <is>
          <t>talisman</t>
        </is>
      </c>
      <c r="F1397" s="8" t="inlineStr">
        <is>
          <t>common</t>
        </is>
      </c>
      <c r="G1397" s="8" t="inlineStr">
        <is>
          <t>火</t>
        </is>
      </c>
      <c r="H1397" s="8" t="inlineStr">
        <is>
          <t>fire</t>
        </is>
      </c>
      <c r="I1397" s="8" t="inlineStr">
        <is>
          <t>1×1</t>
        </is>
      </c>
      <c r="J1397" s="8" t="n">
        <v>1</v>
      </c>
      <c r="K1397" s="8" t="n">
        <v>3</v>
      </c>
      <c r="L1397" s="8" t="inlineStr">
        <is>
          <t>是</t>
        </is>
      </c>
      <c r="M1397" s="9" t="inlineStr">
        <is>
          <t>bazaar；beastDrop；dynamicRandomReward；itemReforge</t>
        </is>
      </c>
      <c r="N1397" s="8" t="n">
        <v>1</v>
      </c>
      <c r="O1397" s="9" t="inlineStr">
        <is>
          <t>消耗品效果</t>
        </is>
      </c>
      <c r="P1397" s="9" t="inlineStr">
        <is>
          <t>consumable</t>
        </is>
      </c>
      <c r="Q1397" s="9" t="inlineStr">
        <is>
          <t>消耗品效果：获得 2 层炎热</t>
        </is>
      </c>
      <c r="R1397" s="9" t="inlineStr"/>
      <c r="S1397" s="9" t="inlineStr">
        <is>
          <t>火剑纹样压在旧符纸中央，边缘被烟气熏得微卷，像把一缕云中余焰封进朱砂符胆。</t>
        </is>
      </c>
      <c r="T1397" s="8" t="inlineStr">
        <is>
          <t>talisman_batch10_025_1x1</t>
        </is>
      </c>
      <c r="U1397" s="8" t="inlineStr">
        <is>
          <t>allowed</t>
        </is>
      </c>
    </row>
    <row r="1398" ht="34" customHeight="1">
      <c r="A1398" s="8" t="n">
        <v>1397</v>
      </c>
      <c r="B1398" s="8" t="n">
        <v>700008</v>
      </c>
      <c r="C1398" s="8" t="inlineStr">
        <is>
          <t>浅波符</t>
        </is>
      </c>
      <c r="D1398" s="8" t="inlineStr">
        <is>
          <t>符箓</t>
        </is>
      </c>
      <c r="E1398" s="8" t="inlineStr">
        <is>
          <t>talisman</t>
        </is>
      </c>
      <c r="F1398" s="8" t="inlineStr">
        <is>
          <t>common</t>
        </is>
      </c>
      <c r="G1398" s="8" t="inlineStr">
        <is>
          <t>水</t>
        </is>
      </c>
      <c r="H1398" s="8" t="inlineStr">
        <is>
          <t>water</t>
        </is>
      </c>
      <c r="I1398" s="8" t="inlineStr">
        <is>
          <t>1×2</t>
        </is>
      </c>
      <c r="J1398" s="8" t="n">
        <v>2</v>
      </c>
      <c r="K1398" s="8" t="n">
        <v>9</v>
      </c>
      <c r="L1398" s="8" t="inlineStr">
        <is>
          <t>是</t>
        </is>
      </c>
      <c r="M1398" s="9" t="inlineStr">
        <is>
          <t>bazaar；beastDrop；dynamicRandomReward；itemReforge</t>
        </is>
      </c>
      <c r="N1398" s="8" t="n">
        <v>1</v>
      </c>
      <c r="O1398" s="9" t="inlineStr">
        <is>
          <t>消耗品效果</t>
        </is>
      </c>
      <c r="P1398" s="9" t="inlineStr">
        <is>
          <t>consumable</t>
        </is>
      </c>
      <c r="Q1398" s="9" t="inlineStr">
        <is>
          <t>消耗品效果：恢复 5 点法力</t>
        </is>
      </c>
      <c r="R1398" s="9" t="inlineStr">
        <is>
          <t>water_scripture_rotation_boost；active_talisman</t>
        </is>
      </c>
      <c r="S1398" s="9" t="inlineStr">
        <is>
          <t>长卷符纸写满厚重道纹，浅蓝水痕从印记旁层层推开，如被风拂过的平静水面。</t>
        </is>
      </c>
      <c r="T1398" s="8" t="inlineStr">
        <is>
          <t>scripture_dao_sigil_scroll_1x2</t>
        </is>
      </c>
      <c r="U1398" s="8" t="inlineStr">
        <is>
          <t>allowed</t>
        </is>
      </c>
    </row>
    <row r="1399" ht="34" customHeight="1">
      <c r="A1399" s="8" t="n">
        <v>1398</v>
      </c>
      <c r="B1399" s="8" t="n">
        <v>700010</v>
      </c>
      <c r="C1399" s="8" t="inlineStr">
        <is>
          <t>续力符</t>
        </is>
      </c>
      <c r="D1399" s="8" t="inlineStr">
        <is>
          <t>符箓</t>
        </is>
      </c>
      <c r="E1399" s="8" t="inlineStr">
        <is>
          <t>talisman</t>
        </is>
      </c>
      <c r="F1399" s="8" t="inlineStr">
        <is>
          <t>common</t>
        </is>
      </c>
      <c r="G1399" s="8" t="inlineStr">
        <is>
          <t>无</t>
        </is>
      </c>
      <c r="H1399" s="8" t="inlineStr">
        <is>
          <t>none</t>
        </is>
      </c>
      <c r="I1399" s="8" t="inlineStr">
        <is>
          <t>1×1</t>
        </is>
      </c>
      <c r="J1399" s="8" t="n">
        <v>1</v>
      </c>
      <c r="K1399" s="8" t="n">
        <v>4</v>
      </c>
      <c r="L1399" s="8" t="inlineStr">
        <is>
          <t>是</t>
        </is>
      </c>
      <c r="M1399" s="9" t="inlineStr">
        <is>
          <t>bazaar；beastDrop；dynamicRandomReward；itemReforge</t>
        </is>
      </c>
      <c r="N1399" s="8" t="n">
        <v>1</v>
      </c>
      <c r="O1399" s="9" t="inlineStr">
        <is>
          <t>消耗品效果</t>
        </is>
      </c>
      <c r="P1399" s="9" t="inlineStr">
        <is>
          <t>consumable</t>
        </is>
      </c>
      <c r="Q1399" s="9" t="inlineStr">
        <is>
          <t>消耗品效果：恢复 3 点体力</t>
        </is>
      </c>
      <c r="R1399" s="9" t="inlineStr"/>
      <c r="S1399" s="9" t="inlineStr">
        <is>
          <t>短符朱砂厚重，符尾压着三道回劲小纹，适合在气力将断时续上一线。</t>
        </is>
      </c>
      <c r="T1399" s="8" t="inlineStr">
        <is>
          <t>talisman_batch10_020_1x1</t>
        </is>
      </c>
      <c r="U1399" s="8" t="inlineStr">
        <is>
          <t>allowed</t>
        </is>
      </c>
    </row>
    <row r="1400" ht="34" customHeight="1">
      <c r="A1400" s="8" t="n">
        <v>1399</v>
      </c>
      <c r="B1400" s="8" t="n">
        <v>700011</v>
      </c>
      <c r="C1400" s="8" t="inlineStr">
        <is>
          <t>回法符</t>
        </is>
      </c>
      <c r="D1400" s="8" t="inlineStr">
        <is>
          <t>符箓</t>
        </is>
      </c>
      <c r="E1400" s="8" t="inlineStr">
        <is>
          <t>talisman</t>
        </is>
      </c>
      <c r="F1400" s="8" t="inlineStr">
        <is>
          <t>common</t>
        </is>
      </c>
      <c r="G1400" s="8" t="inlineStr">
        <is>
          <t>无</t>
        </is>
      </c>
      <c r="H1400" s="8" t="inlineStr">
        <is>
          <t>none</t>
        </is>
      </c>
      <c r="I1400" s="8" t="inlineStr">
        <is>
          <t>1×1</t>
        </is>
      </c>
      <c r="J1400" s="8" t="n">
        <v>1</v>
      </c>
      <c r="K1400" s="8" t="n">
        <v>4</v>
      </c>
      <c r="L1400" s="8" t="inlineStr">
        <is>
          <t>是</t>
        </is>
      </c>
      <c r="M1400" s="9" t="inlineStr">
        <is>
          <t>bazaar；beastDrop；dynamicRandomReward；itemReforge</t>
        </is>
      </c>
      <c r="N1400" s="8" t="n">
        <v>1</v>
      </c>
      <c r="O1400" s="9" t="inlineStr">
        <is>
          <t>消耗品效果</t>
        </is>
      </c>
      <c r="P1400" s="9" t="inlineStr">
        <is>
          <t>consumable</t>
        </is>
      </c>
      <c r="Q1400" s="9" t="inlineStr">
        <is>
          <t>消耗品效果：恢复 5 点法力</t>
        </is>
      </c>
      <c r="R1400" s="9" t="inlineStr"/>
      <c r="S1400" s="9" t="inlineStr">
        <is>
          <t>青绿符纸上旋纹回卷如风，墨色轻盈，能在片刻后把散乱法力重新牵回。</t>
        </is>
      </c>
      <c r="T1400" s="8" t="inlineStr">
        <is>
          <t>talisman_springgrowth_talisman_1x1</t>
        </is>
      </c>
      <c r="U1400" s="8" t="inlineStr">
        <is>
          <t>allowed</t>
        </is>
      </c>
    </row>
    <row r="1401" ht="34" customHeight="1">
      <c r="A1401" s="8" t="n">
        <v>1400</v>
      </c>
      <c r="B1401" s="8" t="n">
        <v>700012</v>
      </c>
      <c r="C1401" s="8" t="inlineStr">
        <is>
          <t>冻星符</t>
        </is>
      </c>
      <c r="D1401" s="8" t="inlineStr">
        <is>
          <t>符箓</t>
        </is>
      </c>
      <c r="E1401" s="8" t="inlineStr">
        <is>
          <t>talisman</t>
        </is>
      </c>
      <c r="F1401" s="8" t="inlineStr">
        <is>
          <t>common</t>
        </is>
      </c>
      <c r="G1401" s="8" t="inlineStr">
        <is>
          <t>水</t>
        </is>
      </c>
      <c r="H1401" s="8" t="inlineStr">
        <is>
          <t>water</t>
        </is>
      </c>
      <c r="I1401" s="8" t="inlineStr">
        <is>
          <t>1×1</t>
        </is>
      </c>
      <c r="J1401" s="8" t="n">
        <v>1</v>
      </c>
      <c r="K1401" s="8" t="n">
        <v>10</v>
      </c>
      <c r="L1401" s="8" t="inlineStr">
        <is>
          <t>是</t>
        </is>
      </c>
      <c r="M1401" s="9" t="inlineStr">
        <is>
          <t>bazaar；beastDrop；dynamicRandomReward；itemReforge</t>
        </is>
      </c>
      <c r="N1401" s="8" t="n">
        <v>1</v>
      </c>
      <c r="O1401" s="9" t="inlineStr">
        <is>
          <t>消耗品效果</t>
        </is>
      </c>
      <c r="P1401" s="9" t="inlineStr">
        <is>
          <t>consumable</t>
        </is>
      </c>
      <c r="Q1401" s="9" t="inlineStr">
        <is>
          <t>消耗品效果：消耗 8 层寒冷；冻结敌方随机 3 件道具 3 秒；消耗 8 层寒冷；冻结敌方随机 3 件道具 3 秒</t>
        </is>
      </c>
      <c r="R1401" s="9" t="inlineStr"/>
      <c r="S1401" s="9" t="inlineStr">
        <is>
          <t>冰蓝符牌中央封着一枚冷亮星晶，符纹展开时碎霜会循星轨射入敌阵。</t>
        </is>
      </c>
      <c r="T1401" s="8" t="inlineStr">
        <is>
          <t>talisman_batch10_053_1x1</t>
        </is>
      </c>
      <c r="U1401" s="8" t="inlineStr">
        <is>
          <t>allowed</t>
        </is>
      </c>
    </row>
    <row r="1402" ht="34" customHeight="1">
      <c r="A1402" s="8" t="n">
        <v>1401</v>
      </c>
      <c r="B1402" s="8" t="n">
        <v>700013</v>
      </c>
      <c r="C1402" s="8" t="inlineStr">
        <is>
          <t>轻羽风行符</t>
        </is>
      </c>
      <c r="D1402" s="8" t="inlineStr">
        <is>
          <t>符箓</t>
        </is>
      </c>
      <c r="E1402" s="8" t="inlineStr">
        <is>
          <t>talisman</t>
        </is>
      </c>
      <c r="F1402" s="8" t="inlineStr">
        <is>
          <t>common</t>
        </is>
      </c>
      <c r="G1402" s="8" t="inlineStr">
        <is>
          <t>风</t>
        </is>
      </c>
      <c r="H1402" s="8" t="inlineStr">
        <is>
          <t>wind</t>
        </is>
      </c>
      <c r="I1402" s="8" t="inlineStr">
        <is>
          <t>1×1</t>
        </is>
      </c>
      <c r="J1402" s="8" t="n">
        <v>1</v>
      </c>
      <c r="K1402" s="8" t="n">
        <v>5</v>
      </c>
      <c r="L1402" s="8" t="inlineStr">
        <is>
          <t>是</t>
        </is>
      </c>
      <c r="M1402" s="9" t="inlineStr">
        <is>
          <t>bazaar；dynamicRandomReward；itemReforge</t>
        </is>
      </c>
      <c r="N1402" s="8" t="n">
        <v>1</v>
      </c>
      <c r="O1402" s="9" t="inlineStr">
        <is>
          <t>消耗品效果</t>
        </is>
      </c>
      <c r="P1402" s="9" t="inlineStr">
        <is>
          <t>consumable</t>
        </is>
      </c>
      <c r="Q1402" s="9" t="inlineStr">
        <is>
          <t>消耗品效果：使用后获得 3 层敏捷，持续 15 秒；获得 3 层敏捷，持续 15 秒</t>
        </is>
      </c>
      <c r="R1402" s="9" t="inlineStr"/>
      <c r="S1402" s="9" t="inlineStr">
        <is>
          <t>素白符纸上只画一枚旋风羽印，催动后纸角化作轻羽，绕身而行十五息。</t>
        </is>
      </c>
      <c r="T1402" s="8" t="inlineStr">
        <is>
          <t>talisman_batch10_057_1x1</t>
        </is>
      </c>
      <c r="U1402" s="8" t="inlineStr">
        <is>
          <t>allowed</t>
        </is>
      </c>
    </row>
    <row r="1403" ht="34" customHeight="1">
      <c r="A1403" s="8" t="n">
        <v>1402</v>
      </c>
      <c r="B1403" s="8" t="n">
        <v>700014</v>
      </c>
      <c r="C1403" s="8" t="inlineStr">
        <is>
          <t>雷击符</t>
        </is>
      </c>
      <c r="D1403" s="8" t="inlineStr">
        <is>
          <t>符箓</t>
        </is>
      </c>
      <c r="E1403" s="8" t="inlineStr">
        <is>
          <t>talisman</t>
        </is>
      </c>
      <c r="F1403" s="8" t="inlineStr">
        <is>
          <t>common</t>
        </is>
      </c>
      <c r="G1403" s="8" t="inlineStr">
        <is>
          <t>金</t>
        </is>
      </c>
      <c r="H1403" s="8" t="inlineStr">
        <is>
          <t>metal</t>
        </is>
      </c>
      <c r="I1403" s="8" t="inlineStr">
        <is>
          <t>1×2</t>
        </is>
      </c>
      <c r="J1403" s="8" t="n">
        <v>2</v>
      </c>
      <c r="K1403" s="8" t="n">
        <v>10</v>
      </c>
      <c r="L1403" s="8" t="inlineStr">
        <is>
          <t>是</t>
        </is>
      </c>
      <c r="M1403" s="9" t="inlineStr"/>
      <c r="N1403" s="8" t="n">
        <v>1</v>
      </c>
      <c r="O1403" s="9" t="inlineStr">
        <is>
          <t>消耗品效果</t>
        </is>
      </c>
      <c r="P1403" s="9" t="inlineStr">
        <is>
          <t>consumable</t>
        </is>
      </c>
      <c r="Q1403" s="9" t="inlineStr">
        <is>
          <t>消耗品效果：对敌方造成 6 点伤害</t>
        </is>
      </c>
      <c r="R1403" s="9" t="inlineStr"/>
      <c r="S1403" s="9" t="inlineStr">
        <is>
          <t>紫蓝长符的金色雷印劈开云纹，灵力灌入时会发出极细的爆鸣。</t>
        </is>
      </c>
      <c r="T1403" s="8" t="inlineStr">
        <is>
          <t>talisman_qingque_thunderstrike_scroll_1x2</t>
        </is>
      </c>
      <c r="U1403" s="8" t="inlineStr">
        <is>
          <t>allowed</t>
        </is>
      </c>
    </row>
    <row r="1404" ht="34" customHeight="1">
      <c r="A1404" s="8" t="n">
        <v>1403</v>
      </c>
      <c r="B1404" s="8" t="n">
        <v>700019</v>
      </c>
      <c r="C1404" s="8" t="inlineStr">
        <is>
          <t>聚霆符</t>
        </is>
      </c>
      <c r="D1404" s="8" t="inlineStr">
        <is>
          <t>符箓</t>
        </is>
      </c>
      <c r="E1404" s="8" t="inlineStr">
        <is>
          <t>talisman</t>
        </is>
      </c>
      <c r="F1404" s="8" t="inlineStr">
        <is>
          <t>common</t>
        </is>
      </c>
      <c r="G1404" s="8" t="inlineStr">
        <is>
          <t>雷</t>
        </is>
      </c>
      <c r="H1404" s="8" t="inlineStr">
        <is>
          <t>thunder</t>
        </is>
      </c>
      <c r="I1404" s="8" t="inlineStr">
        <is>
          <t>1×2</t>
        </is>
      </c>
      <c r="J1404" s="8" t="n">
        <v>2</v>
      </c>
      <c r="K1404" s="8" t="n">
        <v>6</v>
      </c>
      <c r="L1404" s="8" t="inlineStr">
        <is>
          <t>是</t>
        </is>
      </c>
      <c r="M1404" s="9" t="inlineStr">
        <is>
          <t>bazaar；beastDrop；dynamicRandomReward；itemReforge</t>
        </is>
      </c>
      <c r="N1404" s="8" t="n">
        <v>1</v>
      </c>
      <c r="O1404" s="9" t="inlineStr">
        <is>
          <t>消耗品效果</t>
        </is>
      </c>
      <c r="P1404" s="9" t="inlineStr">
        <is>
          <t>consumable</t>
        </is>
      </c>
      <c r="Q1404" s="9" t="inlineStr">
        <is>
          <t>消耗品效果：获得 6 层引雷；获得 8 层引雷；获得 10 层引雷；获得 12 层引雷</t>
        </is>
      </c>
      <c r="R1404" s="9" t="inlineStr"/>
      <c r="S1404" s="9" t="inlineStr">
        <is>
          <t>朱砂沿符纸拖出细长雷痕，未燃时安静伏在袖中，像在等待一声遥远的雷鸣。</t>
        </is>
      </c>
      <c r="T1404" s="8" t="inlineStr">
        <is>
          <t>talisman_thunder_gathering_talisman_1x2</t>
        </is>
      </c>
      <c r="U1404" s="8" t="inlineStr">
        <is>
          <t>allowed</t>
        </is>
      </c>
    </row>
    <row r="1405" ht="34" customHeight="1">
      <c r="A1405" s="8" t="n">
        <v>1404</v>
      </c>
      <c r="B1405" s="8" t="n">
        <v>700020</v>
      </c>
      <c r="C1405" s="8" t="inlineStr">
        <is>
          <t>霜行符</t>
        </is>
      </c>
      <c r="D1405" s="8" t="inlineStr">
        <is>
          <t>符箓</t>
        </is>
      </c>
      <c r="E1405" s="8" t="inlineStr">
        <is>
          <t>talisman</t>
        </is>
      </c>
      <c r="F1405" s="8" t="inlineStr">
        <is>
          <t>common</t>
        </is>
      </c>
      <c r="G1405" s="8" t="inlineStr">
        <is>
          <t>冰</t>
        </is>
      </c>
      <c r="H1405" s="8" t="inlineStr">
        <is>
          <t>ice</t>
        </is>
      </c>
      <c r="I1405" s="8" t="inlineStr">
        <is>
          <t>1×1</t>
        </is>
      </c>
      <c r="J1405" s="8" t="n">
        <v>1</v>
      </c>
      <c r="K1405" s="8" t="n">
        <v>6</v>
      </c>
      <c r="L1405" s="8" t="inlineStr">
        <is>
          <t>是</t>
        </is>
      </c>
      <c r="M1405" s="9" t="inlineStr">
        <is>
          <t>bazaar；beastDrop；dynamicRandomReward；itemReforge</t>
        </is>
      </c>
      <c r="N1405" s="8" t="n">
        <v>1</v>
      </c>
      <c r="O1405" s="9" t="inlineStr">
        <is>
          <t>消耗品效果</t>
        </is>
      </c>
      <c r="P1405" s="9" t="inlineStr">
        <is>
          <t>consumable</t>
        </is>
      </c>
      <c r="Q1405" s="9" t="inlineStr">
        <is>
          <t>消耗品效果：使用后获得 8 层寒冷；使用后获得 10 层寒冷；使用后获得 12 层寒冷；使用后获得 15 层寒冷</t>
        </is>
      </c>
      <c r="R1405" s="9" t="inlineStr"/>
      <c r="S1405" s="9" t="inlineStr">
        <is>
          <t>淡青符纸绘着三道踏霜足印，揭符时寒息沿经脉疾行，顷刻凝成一层霜甲。</t>
        </is>
      </c>
      <c r="T1405" s="8" t="inlineStr">
        <is>
          <t>talisman_froststride_1x1</t>
        </is>
      </c>
      <c r="U1405" s="8" t="inlineStr">
        <is>
          <t>allowed</t>
        </is>
      </c>
    </row>
    <row r="1406" ht="34" customHeight="1">
      <c r="A1406" s="8" t="n">
        <v>1405</v>
      </c>
      <c r="B1406" s="8" t="n">
        <v>700021</v>
      </c>
      <c r="C1406" s="8" t="inlineStr">
        <is>
          <t>冰牢符</t>
        </is>
      </c>
      <c r="D1406" s="8" t="inlineStr">
        <is>
          <t>符箓</t>
        </is>
      </c>
      <c r="E1406" s="8" t="inlineStr">
        <is>
          <t>talisman</t>
        </is>
      </c>
      <c r="F1406" s="8" t="inlineStr">
        <is>
          <t>common</t>
        </is>
      </c>
      <c r="G1406" s="8" t="inlineStr">
        <is>
          <t>冰</t>
        </is>
      </c>
      <c r="H1406" s="8" t="inlineStr">
        <is>
          <t>ice</t>
        </is>
      </c>
      <c r="I1406" s="8" t="inlineStr">
        <is>
          <t>1×2</t>
        </is>
      </c>
      <c r="J1406" s="8" t="n">
        <v>2</v>
      </c>
      <c r="K1406" s="8" t="n">
        <v>80</v>
      </c>
      <c r="L1406" s="8" t="inlineStr">
        <is>
          <t>是</t>
        </is>
      </c>
      <c r="M1406" s="9" t="inlineStr">
        <is>
          <t>bazaar；beastDrop；dynamicRandomReward；itemReforge</t>
        </is>
      </c>
      <c r="N1406" s="8" t="n">
        <v>1</v>
      </c>
      <c r="O1406" s="9" t="inlineStr">
        <is>
          <t>消耗品效果</t>
        </is>
      </c>
      <c r="P1406" s="9" t="inlineStr">
        <is>
          <t>consumable</t>
        </is>
      </c>
      <c r="Q1406" s="9" t="inlineStr">
        <is>
          <t>消耗品效果：消耗敌方 6 层冰霜，使敌方一件最大道具冻结 4 秒；消耗敌方 6 层冰霜；使敌方一件最大道具冻结 4 秒；消耗敌方 6 层冰霜，使敌方一件最大道具冻结 5 秒；消耗敌方 6 层冰霜，使敌方一件最大道具冻结 6 秒；消耗敌方 6 层冰霜，使敌方一件最大道具冻结 8 秒</t>
        </is>
      </c>
      <c r="R1406" s="9" t="inlineStr"/>
      <c r="S1406" s="9" t="inlineStr">
        <is>
          <t>长符中央绘着六棱冰牢，符胆只在敌方霜层足够时闭合，将最大器物封在寒晶之中。</t>
        </is>
      </c>
      <c r="T1406" s="8" t="inlineStr">
        <is>
          <t>talisman_ice_prison_1x2</t>
        </is>
      </c>
      <c r="U1406" s="8" t="inlineStr">
        <is>
          <t>allowed</t>
        </is>
      </c>
    </row>
    <row r="1407" ht="34" customHeight="1">
      <c r="A1407" s="8" t="n">
        <v>1406</v>
      </c>
      <c r="B1407" s="8" t="n">
        <v>712100</v>
      </c>
      <c r="C1407" s="8" t="inlineStr">
        <is>
          <t>赤骨破关符</t>
        </is>
      </c>
      <c r="D1407" s="8" t="inlineStr">
        <is>
          <t>符箓</t>
        </is>
      </c>
      <c r="E1407" s="8" t="inlineStr">
        <is>
          <t>talisman</t>
        </is>
      </c>
      <c r="F1407" s="8" t="inlineStr">
        <is>
          <t>common</t>
        </is>
      </c>
      <c r="G1407" s="8" t="inlineStr">
        <is>
          <t>火</t>
        </is>
      </c>
      <c r="H1407" s="8" t="inlineStr">
        <is>
          <t>fire</t>
        </is>
      </c>
      <c r="I1407" s="8" t="inlineStr">
        <is>
          <t>2×1</t>
        </is>
      </c>
      <c r="J1407" s="8" t="n">
        <v>2</v>
      </c>
      <c r="K1407" s="8" t="n">
        <v>10</v>
      </c>
      <c r="L1407" s="8" t="inlineStr">
        <is>
          <t>是</t>
        </is>
      </c>
      <c r="M1407" s="9" t="inlineStr"/>
      <c r="N1407" s="8" t="n">
        <v>1</v>
      </c>
      <c r="O1407" s="9" t="inlineStr">
        <is>
          <t>消耗品效果</t>
        </is>
      </c>
      <c r="P1407" s="9" t="inlineStr">
        <is>
          <t>consumable</t>
        </is>
      </c>
      <c r="Q1407" s="9" t="inlineStr">
        <is>
          <t>消耗品效果：对敌方造成 27 点伤害；对敌方造成 37 点伤害；对敌方造成 48 点伤害；对敌方造成 58 点伤害</t>
        </is>
      </c>
      <c r="R1407" s="9" t="inlineStr"/>
      <c r="S1407" s="9" t="inlineStr">
        <is>
          <t>厚实赤符以腕骨短扣封合，纸面留着暗红火痕。</t>
        </is>
      </c>
      <c r="T1407" s="8" t="inlineStr">
        <is>
          <t>talisman_danlu_chixiao_wrist_bone_breach_scroll_2x1</t>
        </is>
      </c>
      <c r="U1407" s="8" t="inlineStr">
        <is>
          <t>allowed</t>
        </is>
      </c>
    </row>
    <row r="1408" ht="34" customHeight="1">
      <c r="A1408" s="8" t="n">
        <v>1407</v>
      </c>
      <c r="B1408" s="8" t="n">
        <v>712101</v>
      </c>
      <c r="C1408" s="8" t="inlineStr">
        <is>
          <t>焦火裂爪符</t>
        </is>
      </c>
      <c r="D1408" s="8" t="inlineStr">
        <is>
          <t>符箓</t>
        </is>
      </c>
      <c r="E1408" s="8" t="inlineStr">
        <is>
          <t>talisman</t>
        </is>
      </c>
      <c r="F1408" s="8" t="inlineStr">
        <is>
          <t>common</t>
        </is>
      </c>
      <c r="G1408" s="8" t="inlineStr">
        <is>
          <t>火</t>
        </is>
      </c>
      <c r="H1408" s="8" t="inlineStr">
        <is>
          <t>fire</t>
        </is>
      </c>
      <c r="I1408" s="8" t="inlineStr">
        <is>
          <t>1×2</t>
        </is>
      </c>
      <c r="J1408" s="8" t="n">
        <v>2</v>
      </c>
      <c r="K1408" s="8" t="n">
        <v>10</v>
      </c>
      <c r="L1408" s="8" t="inlineStr">
        <is>
          <t>是</t>
        </is>
      </c>
      <c r="M1408" s="9" t="inlineStr"/>
      <c r="N1408" s="8" t="n">
        <v>1</v>
      </c>
      <c r="O1408" s="9" t="inlineStr">
        <is>
          <t>消耗品效果</t>
        </is>
      </c>
      <c r="P1408" s="9" t="inlineStr">
        <is>
          <t>consumable</t>
        </is>
      </c>
      <c r="Q1408" s="9" t="inlineStr">
        <is>
          <t>消耗品效果：移除敌方 6 层护甲；移除敌方 8 层护甲；移除敌方 9 层护甲；移除敌方 11 层护甲</t>
        </is>
      </c>
      <c r="R1408" s="9" t="inlineStr"/>
      <c r="S1408" s="9" t="inlineStr">
        <is>
          <t>长符卷以焦爪作划符尖，纸面留下黑红相间的爪痕。</t>
        </is>
      </c>
      <c r="T1408" s="8" t="inlineStr">
        <is>
          <t>talisman_danlu_chixiao_scorched_claw_rending_scroll_1x2</t>
        </is>
      </c>
      <c r="U1408" s="8" t="inlineStr">
        <is>
          <t>allowed</t>
        </is>
      </c>
    </row>
    <row r="1409" ht="34" customHeight="1">
      <c r="A1409" s="8" t="n">
        <v>1408</v>
      </c>
      <c r="B1409" s="8" t="n">
        <v>712102</v>
      </c>
      <c r="C1409" s="8" t="inlineStr">
        <is>
          <t>赤囊喷焰符</t>
        </is>
      </c>
      <c r="D1409" s="8" t="inlineStr">
        <is>
          <t>符箓</t>
        </is>
      </c>
      <c r="E1409" s="8" t="inlineStr">
        <is>
          <t>talisman</t>
        </is>
      </c>
      <c r="F1409" s="8" t="inlineStr">
        <is>
          <t>common</t>
        </is>
      </c>
      <c r="G1409" s="8" t="inlineStr">
        <is>
          <t>火</t>
        </is>
      </c>
      <c r="H1409" s="8" t="inlineStr">
        <is>
          <t>fire</t>
        </is>
      </c>
      <c r="I1409" s="8" t="inlineStr">
        <is>
          <t>1×2</t>
        </is>
      </c>
      <c r="J1409" s="8" t="n">
        <v>2</v>
      </c>
      <c r="K1409" s="8" t="n">
        <v>10</v>
      </c>
      <c r="L1409" s="8" t="inlineStr">
        <is>
          <t>是</t>
        </is>
      </c>
      <c r="M1409" s="9" t="inlineStr"/>
      <c r="N1409" s="8" t="n">
        <v>1</v>
      </c>
      <c r="O1409" s="9" t="inlineStr">
        <is>
          <t>消耗品效果</t>
        </is>
      </c>
      <c r="P1409" s="9" t="inlineStr">
        <is>
          <t>consumable</t>
        </is>
      </c>
      <c r="Q1409" s="9" t="inlineStr">
        <is>
          <t>消耗品效果：对敌方施加 7 层灼烧；对敌方施加 8 层灼烧；对敌方施加 9 层灼烧；对敌方施加 11 层灼烧</t>
        </is>
      </c>
      <c r="R1409" s="9" t="inlineStr"/>
      <c r="S1409" s="9" t="inlineStr">
        <is>
          <t>长符卷下端装着火囊喷口，焦黑筋膜缠住赤色符尾。</t>
        </is>
      </c>
      <c r="T1409" s="8" t="inlineStr">
        <is>
          <t>talisman_danlu_chixiao_fire_sac_flame_scroll_1x2</t>
        </is>
      </c>
      <c r="U1409" s="8" t="inlineStr">
        <is>
          <t>allowed</t>
        </is>
      </c>
    </row>
    <row r="1410" ht="34" customHeight="1">
      <c r="A1410" s="8" t="n">
        <v>1409</v>
      </c>
      <c r="B1410" s="8" t="n">
        <v>712103</v>
      </c>
      <c r="C1410" s="8" t="inlineStr">
        <is>
          <t>炉筋崩火符</t>
        </is>
      </c>
      <c r="D1410" s="8" t="inlineStr">
        <is>
          <t>符箓</t>
        </is>
      </c>
      <c r="E1410" s="8" t="inlineStr">
        <is>
          <t>talisman</t>
        </is>
      </c>
      <c r="F1410" s="8" t="inlineStr">
        <is>
          <t>common</t>
        </is>
      </c>
      <c r="G1410" s="8" t="inlineStr">
        <is>
          <t>火</t>
        </is>
      </c>
      <c r="H1410" s="8" t="inlineStr">
        <is>
          <t>fire</t>
        </is>
      </c>
      <c r="I1410" s="8" t="inlineStr">
        <is>
          <t>1×1</t>
        </is>
      </c>
      <c r="J1410" s="8" t="n">
        <v>1</v>
      </c>
      <c r="K1410" s="8" t="n">
        <v>10</v>
      </c>
      <c r="L1410" s="8" t="inlineStr">
        <is>
          <t>是</t>
        </is>
      </c>
      <c r="M1410" s="9" t="inlineStr"/>
      <c r="N1410" s="8" t="n">
        <v>1</v>
      </c>
      <c r="O1410" s="9" t="inlineStr">
        <is>
          <t>消耗品效果</t>
        </is>
      </c>
      <c r="P1410" s="9" t="inlineStr">
        <is>
          <t>consumable</t>
        </is>
      </c>
      <c r="Q1410" s="9" t="inlineStr">
        <is>
          <t>消耗品效果：获得 5 层炎热；获得 6 层炎热；获得 8 层炎热；获得 9 层炎热</t>
        </is>
      </c>
      <c r="R1410" s="9" t="inlineStr"/>
      <c r="S1410" s="9" t="inlineStr">
        <is>
          <t>短符以炉纹臂筋作弹索，赤色筋束压住折叠符纸。</t>
        </is>
      </c>
      <c r="T1410" s="8" t="inlineStr">
        <is>
          <t>talisman_danlu_chixiao_arm_sinew_burst_scroll_1x1</t>
        </is>
      </c>
      <c r="U1410" s="8" t="inlineStr">
        <is>
          <t>allowed</t>
        </is>
      </c>
    </row>
    <row r="1411" ht="34" customHeight="1">
      <c r="A1411" s="8" t="n">
        <v>1410</v>
      </c>
      <c r="B1411" s="8" t="n">
        <v>712104</v>
      </c>
      <c r="C1411" s="8" t="inlineStr">
        <is>
          <t>牙砂破罡符</t>
        </is>
      </c>
      <c r="D1411" s="8" t="inlineStr">
        <is>
          <t>符箓</t>
        </is>
      </c>
      <c r="E1411" s="8" t="inlineStr">
        <is>
          <t>talisman</t>
        </is>
      </c>
      <c r="F1411" s="8" t="inlineStr">
        <is>
          <t>common</t>
        </is>
      </c>
      <c r="G1411" s="8" t="inlineStr">
        <is>
          <t>火</t>
        </is>
      </c>
      <c r="H1411" s="8" t="inlineStr">
        <is>
          <t>fire</t>
        </is>
      </c>
      <c r="I1411" s="8" t="inlineStr">
        <is>
          <t>1×1</t>
        </is>
      </c>
      <c r="J1411" s="8" t="n">
        <v>1</v>
      </c>
      <c r="K1411" s="8" t="n">
        <v>10</v>
      </c>
      <c r="L1411" s="8" t="inlineStr">
        <is>
          <t>是</t>
        </is>
      </c>
      <c r="M1411" s="9" t="inlineStr"/>
      <c r="N1411" s="8" t="n">
        <v>1</v>
      </c>
      <c r="O1411" s="9" t="inlineStr">
        <is>
          <t>消耗品效果</t>
        </is>
      </c>
      <c r="P1411" s="9" t="inlineStr">
        <is>
          <t>consumable</t>
        </is>
      </c>
      <c r="Q1411" s="9" t="inlineStr">
        <is>
          <t>消耗品效果：对敌方造成 24 点伤害；对敌方造成 34 点伤害；对敌方造成 44 点伤害；对敌方造成 54 点伤害</t>
        </is>
      </c>
      <c r="R1411" s="9" t="inlineStr"/>
      <c r="S1411" s="9" t="inlineStr">
        <is>
          <t>折叠符纸以魈牙作穿孔针，丹砂晶末压在符胆四周。</t>
        </is>
      </c>
      <c r="T1411" s="8" t="inlineStr">
        <is>
          <t>talisman_danlu_chixiao_fang_cinnabar_breach_scroll_1x1</t>
        </is>
      </c>
      <c r="U1411" s="8" t="inlineStr">
        <is>
          <t>allowed</t>
        </is>
      </c>
    </row>
    <row r="1412" ht="34" customHeight="1">
      <c r="A1412" s="8" t="n">
        <v>1411</v>
      </c>
      <c r="B1412" s="8" t="n">
        <v>712350</v>
      </c>
      <c r="C1412" s="8" t="inlineStr">
        <is>
          <t>月膜凝流箓</t>
        </is>
      </c>
      <c r="D1412" s="8" t="inlineStr">
        <is>
          <t>符箓</t>
        </is>
      </c>
      <c r="E1412" s="8" t="inlineStr">
        <is>
          <t>talisman</t>
        </is>
      </c>
      <c r="F1412" s="8" t="inlineStr">
        <is>
          <t>common</t>
        </is>
      </c>
      <c r="G1412" s="8" t="inlineStr">
        <is>
          <t>水</t>
        </is>
      </c>
      <c r="H1412" s="8" t="inlineStr">
        <is>
          <t>water</t>
        </is>
      </c>
      <c r="I1412" s="8" t="inlineStr">
        <is>
          <t>2×2</t>
        </is>
      </c>
      <c r="J1412" s="8" t="n">
        <v>4</v>
      </c>
      <c r="K1412" s="8" t="n">
        <v>13</v>
      </c>
      <c r="L1412" s="8" t="inlineStr">
        <is>
          <t>是</t>
        </is>
      </c>
      <c r="M1412" s="9" t="inlineStr"/>
      <c r="N1412" s="8" t="n">
        <v>1</v>
      </c>
      <c r="O1412" s="9" t="inlineStr">
        <is>
          <t>消耗品效果</t>
        </is>
      </c>
      <c r="P1412" s="9" t="inlineStr">
        <is>
          <t>consumable</t>
        </is>
      </c>
      <c r="Q1412" s="9" t="inlineStr">
        <is>
          <t>消耗品效果：敌方占格面积最大的道具冻结 4 秒；敌方占格面积最大的道具冻结 5 秒；敌方占格面积最大的道具冻结 6 秒；敌方占格面积最大的道具冻结 7 秒</t>
        </is>
      </c>
      <c r="R1412" s="9" t="inlineStr"/>
      <c r="S1412" s="9" t="inlineStr">
        <is>
          <t>月白长符裁出三道弦月窗，月涧水膜缝作透亮夹层，符力散尽时寒流随露珠坠落。</t>
        </is>
      </c>
      <c r="T1412" s="8" t="inlineStr">
        <is>
          <t>talisman_yuejian_lingbang_stream_membrane_moonflow_tally_2x2</t>
        </is>
      </c>
      <c r="U1412" s="8" t="inlineStr">
        <is>
          <t>allowed</t>
        </is>
      </c>
    </row>
    <row r="1413" ht="34" customHeight="1">
      <c r="A1413" s="8" t="n">
        <v>1412</v>
      </c>
      <c r="B1413" s="8" t="n">
        <v>712500</v>
      </c>
      <c r="C1413" s="8" t="inlineStr">
        <is>
          <t>岩心破障符</t>
        </is>
      </c>
      <c r="D1413" s="8" t="inlineStr">
        <is>
          <t>符箓</t>
        </is>
      </c>
      <c r="E1413" s="8" t="inlineStr">
        <is>
          <t>talisman</t>
        </is>
      </c>
      <c r="F1413" s="8" t="inlineStr">
        <is>
          <t>common</t>
        </is>
      </c>
      <c r="G1413" s="8" t="inlineStr">
        <is>
          <t>火</t>
        </is>
      </c>
      <c r="H1413" s="8" t="inlineStr">
        <is>
          <t>fire</t>
        </is>
      </c>
      <c r="I1413" s="8" t="inlineStr">
        <is>
          <t>2×2</t>
        </is>
      </c>
      <c r="J1413" s="8" t="n">
        <v>4</v>
      </c>
      <c r="K1413" s="8" t="n">
        <v>28</v>
      </c>
      <c r="L1413" s="8" t="inlineStr">
        <is>
          <t>是</t>
        </is>
      </c>
      <c r="M1413" s="9" t="inlineStr"/>
      <c r="N1413" s="8" t="n">
        <v>1</v>
      </c>
      <c r="O1413" s="9" t="inlineStr">
        <is>
          <t>消耗品效果</t>
        </is>
      </c>
      <c r="P1413" s="9" t="inlineStr">
        <is>
          <t>consumable</t>
        </is>
      </c>
      <c r="Q1413" s="9" t="inlineStr">
        <is>
          <t>消耗品效果：对敌方造成 34 点伤害；对敌方造成 46 点伤害；对敌方造成 58 点伤害；对敌方造成 70 点伤害</t>
        </is>
      </c>
      <c r="R1413" s="9" t="inlineStr"/>
      <c r="S1413" s="9" t="inlineStr">
        <is>
          <t>方形赤砂符纸顶端扣着岩心薄片，石壳与内纹恰好咬合。</t>
        </is>
      </c>
      <c r="T1413" s="8" t="inlineStr">
        <is>
          <t>talisman_chiwen_yanli_rockheart_breach_seal_2x2</t>
        </is>
      </c>
      <c r="U1413" s="8" t="inlineStr">
        <is>
          <t>allowed</t>
        </is>
      </c>
    </row>
    <row r="1414" ht="34" customHeight="1">
      <c r="A1414" s="8" t="n">
        <v>1413</v>
      </c>
      <c r="B1414" s="8" t="n">
        <v>712502</v>
      </c>
      <c r="C1414" s="8" t="inlineStr">
        <is>
          <t>破甲爪符</t>
        </is>
      </c>
      <c r="D1414" s="8" t="inlineStr">
        <is>
          <t>符箓</t>
        </is>
      </c>
      <c r="E1414" s="8" t="inlineStr">
        <is>
          <t>talisman</t>
        </is>
      </c>
      <c r="F1414" s="8" t="inlineStr">
        <is>
          <t>common</t>
        </is>
      </c>
      <c r="G1414" s="8" t="inlineStr">
        <is>
          <t>火</t>
        </is>
      </c>
      <c r="H1414" s="8" t="inlineStr">
        <is>
          <t>fire</t>
        </is>
      </c>
      <c r="I1414" s="8" t="inlineStr">
        <is>
          <t>2×2</t>
        </is>
      </c>
      <c r="J1414" s="8" t="n">
        <v>4</v>
      </c>
      <c r="K1414" s="8" t="n">
        <v>10</v>
      </c>
      <c r="L1414" s="8" t="inlineStr">
        <is>
          <t>是</t>
        </is>
      </c>
      <c r="M1414" s="9" t="inlineStr"/>
      <c r="N1414" s="8" t="n">
        <v>1</v>
      </c>
      <c r="O1414" s="9" t="inlineStr">
        <is>
          <t>消耗品效果</t>
        </is>
      </c>
      <c r="P1414" s="9" t="inlineStr">
        <is>
          <t>consumable</t>
        </is>
      </c>
      <c r="Q1414" s="9" t="inlineStr">
        <is>
          <t>消耗品效果：移除敌方 8 层护甲；移除敌方 9 层护甲；移除敌方 11 层护甲；移除敌方 12 层护甲</t>
        </is>
      </c>
      <c r="R1414" s="9" t="inlineStr"/>
      <c r="S1414" s="9" t="inlineStr">
        <is>
          <t>菱形赤砂符片上斜扣一枚灰石爪尖，赤纹裂线穿过铜座。</t>
        </is>
      </c>
      <c r="T1414" s="8" t="inlineStr">
        <is>
          <t>talisman_chiwen_yanli_claw_breach_talisman_2x2</t>
        </is>
      </c>
      <c r="U1414" s="8" t="inlineStr">
        <is>
          <t>allowed</t>
        </is>
      </c>
    </row>
    <row r="1415" ht="34" customHeight="1">
      <c r="A1415" s="8" t="n">
        <v>1414</v>
      </c>
      <c r="B1415" s="8" t="n">
        <v>712503</v>
      </c>
      <c r="C1415" s="8" t="inlineStr">
        <is>
          <t>炉线截焰符</t>
        </is>
      </c>
      <c r="D1415" s="8" t="inlineStr">
        <is>
          <t>符箓</t>
        </is>
      </c>
      <c r="E1415" s="8" t="inlineStr">
        <is>
          <t>talisman</t>
        </is>
      </c>
      <c r="F1415" s="8" t="inlineStr">
        <is>
          <t>common</t>
        </is>
      </c>
      <c r="G1415" s="8" t="inlineStr">
        <is>
          <t>火</t>
        </is>
      </c>
      <c r="H1415" s="8" t="inlineStr">
        <is>
          <t>fire</t>
        </is>
      </c>
      <c r="I1415" s="8" t="inlineStr">
        <is>
          <t>2×1</t>
        </is>
      </c>
      <c r="J1415" s="8" t="n">
        <v>2</v>
      </c>
      <c r="K1415" s="8" t="n">
        <v>16</v>
      </c>
      <c r="L1415" s="8" t="inlineStr">
        <is>
          <t>是</t>
        </is>
      </c>
      <c r="M1415" s="9" t="inlineStr"/>
      <c r="N1415" s="8" t="n">
        <v>1</v>
      </c>
      <c r="O1415" s="9" t="inlineStr">
        <is>
          <t>消耗品效果</t>
        </is>
      </c>
      <c r="P1415" s="9" t="inlineStr">
        <is>
          <t>consumable</t>
        </is>
      </c>
      <c r="Q1415" s="9" t="inlineStr">
        <is>
          <t>消耗品效果：相邻符箓耗尽时，对敌方施加 3 层灼烧；相邻符箓耗尽时，对敌方施加 4 层灼烧；相邻符箓耗尽时，对敌方施加 5 层灼烧；相邻符箓耗尽时，对敌方施加 6 层灼烧</t>
        </is>
      </c>
      <c r="R1415" s="9" t="inlineStr"/>
      <c r="S1415" s="9" t="inlineStr">
        <is>
          <t>狭长符带末端扣着乳白骨钩，赤色炉线与纸上回纹连成一笔。</t>
        </is>
      </c>
      <c r="T1415" s="8" t="inlineStr">
        <is>
          <t>talisman_chiwen_yanli_tailbone_trigger_talisman_2x1</t>
        </is>
      </c>
      <c r="U1415" s="8" t="inlineStr">
        <is>
          <t>allowed</t>
        </is>
      </c>
    </row>
    <row r="1416" ht="34" customHeight="1">
      <c r="A1416" s="8" t="n">
        <v>1415</v>
      </c>
      <c r="B1416" s="8" t="n">
        <v>712504</v>
      </c>
      <c r="C1416" s="8" t="inlineStr">
        <is>
          <t>热髓破势符</t>
        </is>
      </c>
      <c r="D1416" s="8" t="inlineStr">
        <is>
          <t>符箓</t>
        </is>
      </c>
      <c r="E1416" s="8" t="inlineStr">
        <is>
          <t>talisman</t>
        </is>
      </c>
      <c r="F1416" s="8" t="inlineStr">
        <is>
          <t>common</t>
        </is>
      </c>
      <c r="G1416" s="8" t="inlineStr">
        <is>
          <t>火</t>
        </is>
      </c>
      <c r="H1416" s="8" t="inlineStr">
        <is>
          <t>fire</t>
        </is>
      </c>
      <c r="I1416" s="8" t="inlineStr">
        <is>
          <t>2×1</t>
        </is>
      </c>
      <c r="J1416" s="8" t="n">
        <v>2</v>
      </c>
      <c r="K1416" s="8" t="n">
        <v>16</v>
      </c>
      <c r="L1416" s="8" t="inlineStr">
        <is>
          <t>是</t>
        </is>
      </c>
      <c r="M1416" s="9" t="inlineStr"/>
      <c r="N1416" s="8" t="n">
        <v>1</v>
      </c>
      <c r="O1416" s="9" t="inlineStr">
        <is>
          <t>消耗品效果</t>
        </is>
      </c>
      <c r="P1416" s="9" t="inlineStr">
        <is>
          <t>consumable</t>
        </is>
      </c>
      <c r="Q1416" s="9" t="inlineStr">
        <is>
          <t>消耗品效果：对敌方造成 31 点伤害；对敌方造成 41 点伤害；对敌方造成 51 点伤害；对敌方造成 61 点伤害</t>
        </is>
      </c>
      <c r="R1416" s="9" t="inlineStr"/>
      <c r="S1416" s="9" t="inlineStr">
        <is>
          <t>长条赤砂符纸中央卡着断面骨楔，褐骨内的赤髓纹清晰可见。</t>
        </is>
      </c>
      <c r="T1416" s="8" t="inlineStr">
        <is>
          <t>talisman_chiwen_yanli_hotbone_breach_talisman_2x1</t>
        </is>
      </c>
      <c r="U1416" s="8" t="inlineStr">
        <is>
          <t>allowed</t>
        </is>
      </c>
    </row>
    <row r="1417" ht="34" customHeight="1">
      <c r="A1417" s="8" t="n">
        <v>1416</v>
      </c>
      <c r="B1417" s="8" t="n">
        <v>712601</v>
      </c>
      <c r="C1417" s="8" t="inlineStr">
        <is>
          <t>寒雾卸劲符</t>
        </is>
      </c>
      <c r="D1417" s="8" t="inlineStr">
        <is>
          <t>符箓</t>
        </is>
      </c>
      <c r="E1417" s="8" t="inlineStr">
        <is>
          <t>talisman</t>
        </is>
      </c>
      <c r="F1417" s="8" t="inlineStr">
        <is>
          <t>spirit</t>
        </is>
      </c>
      <c r="G1417" s="8" t="inlineStr">
        <is>
          <t>水</t>
        </is>
      </c>
      <c r="H1417" s="8" t="inlineStr">
        <is>
          <t>water</t>
        </is>
      </c>
      <c r="I1417" s="8" t="inlineStr">
        <is>
          <t>2×1</t>
        </is>
      </c>
      <c r="J1417" s="8" t="n">
        <v>2</v>
      </c>
      <c r="K1417" s="8" t="n">
        <v>120</v>
      </c>
      <c r="L1417" s="8" t="inlineStr">
        <is>
          <t>是</t>
        </is>
      </c>
      <c r="M1417" s="9" t="inlineStr"/>
      <c r="N1417" s="8" t="n">
        <v>1</v>
      </c>
      <c r="O1417" s="9" t="inlineStr">
        <is>
          <t>消耗品效果</t>
        </is>
      </c>
      <c r="P1417" s="9" t="inlineStr">
        <is>
          <t>consumable</t>
        </is>
      </c>
      <c r="Q1417" s="9" t="inlineStr">
        <is>
          <t>消耗品效果：敌方占格面积最大的 10 件道具获得 8 秒减速；敌方占格面积最大的 10 件道具获得 9 秒减速；敌方占格面积最大的 10 件道具获得 11 秒减速；敌方占格面积最大的 10 件道具获得 12 秒减速</t>
        </is>
      </c>
      <c r="R1417" s="9" t="inlineStr"/>
      <c r="S1417" s="9" t="inlineStr">
        <is>
          <t>横符两翼缀着短绒皮片，展开时如薄雾贴地掠过雪坡。</t>
        </is>
      </c>
      <c r="T1417" s="8" t="inlineStr">
        <is>
          <t>talisman_shuangmai_jiaolu_cold_mist_hide_release_charm_2x1</t>
        </is>
      </c>
      <c r="U1417" s="8" t="inlineStr">
        <is>
          <t>allowed</t>
        </is>
      </c>
    </row>
    <row r="1418" ht="34" customHeight="1">
      <c r="A1418" s="8" t="n">
        <v>1417</v>
      </c>
      <c r="B1418" s="8" t="n">
        <v>712603</v>
      </c>
      <c r="C1418" s="8" t="inlineStr">
        <is>
          <t>霜骨破甲符</t>
        </is>
      </c>
      <c r="D1418" s="8" t="inlineStr">
        <is>
          <t>符箓</t>
        </is>
      </c>
      <c r="E1418" s="8" t="inlineStr">
        <is>
          <t>talisman</t>
        </is>
      </c>
      <c r="F1418" s="8" t="inlineStr">
        <is>
          <t>spirit</t>
        </is>
      </c>
      <c r="G1418" s="8" t="inlineStr">
        <is>
          <t>水</t>
        </is>
      </c>
      <c r="H1418" s="8" t="inlineStr">
        <is>
          <t>water</t>
        </is>
      </c>
      <c r="I1418" s="8" t="inlineStr">
        <is>
          <t>2×1</t>
        </is>
      </c>
      <c r="J1418" s="8" t="n">
        <v>2</v>
      </c>
      <c r="K1418" s="8" t="n">
        <v>160</v>
      </c>
      <c r="L1418" s="8" t="inlineStr">
        <is>
          <t>是</t>
        </is>
      </c>
      <c r="M1418" s="9" t="inlineStr"/>
      <c r="N1418" s="8" t="n">
        <v>1</v>
      </c>
      <c r="O1418" s="9" t="inlineStr">
        <is>
          <t>消耗品效果</t>
        </is>
      </c>
      <c r="P1418" s="9" t="inlineStr">
        <is>
          <t>consumable</t>
        </is>
      </c>
      <c r="Q1418" s="9" t="inlineStr">
        <is>
          <t>消耗品效果：移除敌方 12 层坚硬；移除敌方 16 层坚硬；移除敌方 18 层坚硬；移除敌方 22 层坚硬</t>
        </is>
      </c>
      <c r="R1418" s="9" t="inlineStr">
        <is>
          <t>active_talisman</t>
        </is>
      </c>
      <c r="S1418" s="9" t="inlineStr">
        <is>
          <t>横幅符纸端部扣着霜骨楔，展开时骨锋直指阵前。</t>
        </is>
      </c>
      <c r="T1418" s="8" t="inlineStr">
        <is>
          <t>talisman_shuangmai_frost_shoulder_bone_breach_scroll_2x1</t>
        </is>
      </c>
      <c r="U1418" s="8" t="inlineStr">
        <is>
          <t>allowed</t>
        </is>
      </c>
    </row>
    <row r="1419" ht="34" customHeight="1">
      <c r="A1419" s="8" t="n">
        <v>1418</v>
      </c>
      <c r="B1419" s="8" t="n">
        <v>712604</v>
      </c>
      <c r="C1419" s="8" t="inlineStr">
        <is>
          <t>裂霜角锋符</t>
        </is>
      </c>
      <c r="D1419" s="8" t="inlineStr">
        <is>
          <t>符箓</t>
        </is>
      </c>
      <c r="E1419" s="8" t="inlineStr">
        <is>
          <t>talisman</t>
        </is>
      </c>
      <c r="F1419" s="8" t="inlineStr">
        <is>
          <t>spirit</t>
        </is>
      </c>
      <c r="G1419" s="8" t="inlineStr">
        <is>
          <t>水</t>
        </is>
      </c>
      <c r="H1419" s="8" t="inlineStr">
        <is>
          <t>water</t>
        </is>
      </c>
      <c r="I1419" s="8" t="inlineStr">
        <is>
          <t>1×3</t>
        </is>
      </c>
      <c r="J1419" s="8" t="n">
        <v>3</v>
      </c>
      <c r="K1419" s="8" t="n">
        <v>160</v>
      </c>
      <c r="L1419" s="8" t="inlineStr">
        <is>
          <t>是</t>
        </is>
      </c>
      <c r="M1419" s="9" t="inlineStr"/>
      <c r="N1419" s="8" t="n">
        <v>1</v>
      </c>
      <c r="O1419" s="9" t="inlineStr">
        <is>
          <t>消耗品效果</t>
        </is>
      </c>
      <c r="P1419" s="9" t="inlineStr">
        <is>
          <t>consumable</t>
        </is>
      </c>
      <c r="Q1419" s="9" t="inlineStr">
        <is>
          <t>消耗品效果：对敌方造成 240 点伤害，并使敌方占格面积最大的 10 件道具冻结 3 秒；对敌方造成 360 点伤害，并使敌方占格面积最大的 10 件道具冻结 4 秒；对敌方造成 480 点伤害，并使敌方占格面积最大的 10 件道具冻结 5 秒；对敌方造成 600 点伤害，并使敌方占格面积最大的 10 件道具冻结 6 秒</t>
        </is>
      </c>
      <c r="R1419" s="9" t="inlineStr">
        <is>
          <t>active_talisman</t>
        </is>
      </c>
      <c r="S1419" s="9" t="inlineStr">
        <is>
          <t>窄长符幡下端装着灵角锋刃，符胆顺角纹一路收向尖端。</t>
        </is>
      </c>
      <c r="T1419" s="8" t="inlineStr">
        <is>
          <t>talisman_shuangmai_frost_branch_antler_piercing_banner_1x3</t>
        </is>
      </c>
      <c r="U1419" s="8" t="inlineStr">
        <is>
          <t>allowed</t>
        </is>
      </c>
    </row>
    <row r="1420" ht="34" customHeight="1">
      <c r="A1420" s="8" t="n">
        <v>1419</v>
      </c>
      <c r="B1420" s="8" t="n">
        <v>712605</v>
      </c>
      <c r="C1420" s="8" t="inlineStr">
        <is>
          <t>寒髓裂脉符</t>
        </is>
      </c>
      <c r="D1420" s="8" t="inlineStr">
        <is>
          <t>符箓</t>
        </is>
      </c>
      <c r="E1420" s="8" t="inlineStr">
        <is>
          <t>talisman</t>
        </is>
      </c>
      <c r="F1420" s="8" t="inlineStr">
        <is>
          <t>spirit</t>
        </is>
      </c>
      <c r="G1420" s="8" t="inlineStr">
        <is>
          <t>水</t>
        </is>
      </c>
      <c r="H1420" s="8" t="inlineStr">
        <is>
          <t>water</t>
        </is>
      </c>
      <c r="I1420" s="8" t="inlineStr">
        <is>
          <t>1×2</t>
        </is>
      </c>
      <c r="J1420" s="8" t="n">
        <v>2</v>
      </c>
      <c r="K1420" s="8" t="n">
        <v>280</v>
      </c>
      <c r="L1420" s="8" t="inlineStr">
        <is>
          <t>是</t>
        </is>
      </c>
      <c r="M1420" s="9" t="inlineStr"/>
      <c r="N1420" s="8" t="n">
        <v>1</v>
      </c>
      <c r="O1420" s="9" t="inlineStr">
        <is>
          <t>消耗品效果</t>
        </is>
      </c>
      <c r="P1420" s="9" t="inlineStr">
        <is>
          <t>consumable</t>
        </is>
      </c>
      <c r="Q1420" s="9" t="inlineStr">
        <is>
          <t>消耗品效果：对敌方造成 400 点伤害，并对敌方施加 100 层寒冷；对敌方造成 540 点伤害，并对敌方施加 140 层寒冷；对敌方造成 680 点伤害，并对敌方施加 160 层寒冷；对敌方造成 820 点伤害，并对敌方施加 200 层寒冷</t>
        </is>
      </c>
      <c r="R1420" s="9" t="inlineStr">
        <is>
          <t>active_talisman</t>
        </is>
      </c>
      <c r="S1420" s="9" t="inlineStr">
        <is>
          <t>竖符末端装着一枚寒髓晶凿，冰蓝符线将寒意尽数压向凿尖。</t>
        </is>
      </c>
      <c r="T1420" s="8" t="inlineStr">
        <is>
          <t>talisman_shuangmai_cold_vein_marrow_ice_chisel_1x2</t>
        </is>
      </c>
      <c r="U1420" s="8" t="inlineStr">
        <is>
          <t>allowed</t>
        </is>
      </c>
    </row>
    <row r="1421" ht="34" customHeight="1">
      <c r="A1421" s="8" t="n">
        <v>1420</v>
      </c>
      <c r="B1421" s="8" t="n">
        <v>712606</v>
      </c>
      <c r="C1421" s="8" t="inlineStr">
        <is>
          <t>霜筋锁脉符</t>
        </is>
      </c>
      <c r="D1421" s="8" t="inlineStr">
        <is>
          <t>符箓</t>
        </is>
      </c>
      <c r="E1421" s="8" t="inlineStr">
        <is>
          <t>talisman</t>
        </is>
      </c>
      <c r="F1421" s="8" t="inlineStr">
        <is>
          <t>spirit</t>
        </is>
      </c>
      <c r="G1421" s="8" t="inlineStr">
        <is>
          <t>水</t>
        </is>
      </c>
      <c r="H1421" s="8" t="inlineStr">
        <is>
          <t>water</t>
        </is>
      </c>
      <c r="I1421" s="8" t="inlineStr">
        <is>
          <t>1×2</t>
        </is>
      </c>
      <c r="J1421" s="8" t="n">
        <v>2</v>
      </c>
      <c r="K1421" s="8" t="n">
        <v>350</v>
      </c>
      <c r="L1421" s="8" t="inlineStr">
        <is>
          <t>是</t>
        </is>
      </c>
      <c r="M1421" s="9" t="inlineStr"/>
      <c r="N1421" s="8" t="n">
        <v>1</v>
      </c>
      <c r="O1421" s="9" t="inlineStr">
        <is>
          <t>消耗品效果</t>
        </is>
      </c>
      <c r="P1421" s="9" t="inlineStr">
        <is>
          <t>consumable</t>
        </is>
      </c>
      <c r="Q1421" s="9" t="inlineStr">
        <is>
          <t>消耗品效果：敌方随机 20 件道具获得 6 秒减速；敌方随机 20 件道具获得 9 秒减速；敌方随机 30 件道具获得 9 秒减速；敌方随机 30 件道具获得 12 秒减速</t>
        </is>
      </c>
      <c r="R1421" s="9" t="inlineStr"/>
      <c r="S1421" s="9" t="inlineStr">
        <is>
          <t>冰白符牌垂着三缕霜筋，扣环轻响时寒光骤然绷直。</t>
        </is>
      </c>
      <c r="T1421" s="8" t="inlineStr">
        <is>
          <t>talisman_frost_sinew_severing_charm_1x2</t>
        </is>
      </c>
      <c r="U1421" s="8" t="inlineStr">
        <is>
          <t>allowed</t>
        </is>
      </c>
    </row>
    <row r="1422" ht="34" customHeight="1">
      <c r="A1422" s="8" t="n">
        <v>1421</v>
      </c>
      <c r="B1422" s="8" t="n">
        <v>713300</v>
      </c>
      <c r="C1422" s="8" t="inlineStr">
        <is>
          <t>狸背墨囊回响符</t>
        </is>
      </c>
      <c r="D1422" s="8" t="inlineStr">
        <is>
          <t>符箓</t>
        </is>
      </c>
      <c r="E1422" s="8" t="inlineStr">
        <is>
          <t>talisman</t>
        </is>
      </c>
      <c r="F1422" s="8" t="inlineStr">
        <is>
          <t>spirit</t>
        </is>
      </c>
      <c r="G1422" s="8" t="inlineStr">
        <is>
          <t>木</t>
        </is>
      </c>
      <c r="H1422" s="8" t="inlineStr">
        <is>
          <t>wood</t>
        </is>
      </c>
      <c r="I1422" s="8" t="inlineStr">
        <is>
          <t>2×1</t>
        </is>
      </c>
      <c r="J1422" s="8" t="n">
        <v>2</v>
      </c>
      <c r="K1422" s="8" t="n">
        <v>100</v>
      </c>
      <c r="L1422" s="8" t="inlineStr">
        <is>
          <t>是</t>
        </is>
      </c>
      <c r="M1422" s="9" t="inlineStr"/>
      <c r="N1422" s="8" t="n">
        <v>1</v>
      </c>
      <c r="O1422" s="9" t="inlineStr">
        <is>
          <t>消耗品效果</t>
        </is>
      </c>
      <c r="P1422" s="9" t="inlineStr">
        <is>
          <t>consumable</t>
        </is>
      </c>
      <c r="Q1422" s="9" t="inlineStr">
        <is>
          <t>消耗品效果：获得 12 层再生；获得 16 层再生；获得 20 层再生；获得 24 层再生</t>
        </is>
      </c>
      <c r="R1422" s="9" t="inlineStr"/>
      <c r="S1422" s="9" t="inlineStr">
        <is>
          <t>将狸背墨囊灵性封入符胆炼成的符箓。催动时符纹会显化母材特征，释放筑基期灵效。</t>
        </is>
      </c>
      <c r="T1422" s="8" t="inlineStr">
        <is>
          <t>talisman_biwei_li_back_ink_pouch_link_2x1</t>
        </is>
      </c>
      <c r="U1422" s="8" t="inlineStr">
        <is>
          <t>allowed</t>
        </is>
      </c>
    </row>
    <row r="1423" ht="34" customHeight="1">
      <c r="A1423" s="8" t="n">
        <v>1422</v>
      </c>
      <c r="B1423" s="8" t="n">
        <v>713400</v>
      </c>
      <c r="C1423" s="8" t="inlineStr">
        <is>
          <t>共鸣胸骨板引脉符</t>
        </is>
      </c>
      <c r="D1423" s="8" t="inlineStr">
        <is>
          <t>符箓</t>
        </is>
      </c>
      <c r="E1423" s="8" t="inlineStr">
        <is>
          <t>talisman</t>
        </is>
      </c>
      <c r="F1423" s="8" t="inlineStr">
        <is>
          <t>spirit</t>
        </is>
      </c>
      <c r="G1423" s="8" t="inlineStr">
        <is>
          <t>金</t>
        </is>
      </c>
      <c r="H1423" s="8" t="inlineStr">
        <is>
          <t>metal</t>
        </is>
      </c>
      <c r="I1423" s="8" t="inlineStr">
        <is>
          <t>3×2</t>
        </is>
      </c>
      <c r="J1423" s="8" t="n">
        <v>6</v>
      </c>
      <c r="K1423" s="8" t="n">
        <v>100</v>
      </c>
      <c r="L1423" s="8" t="inlineStr">
        <is>
          <t>是</t>
        </is>
      </c>
      <c r="M1423" s="9" t="inlineStr"/>
      <c r="N1423" s="8" t="n">
        <v>1</v>
      </c>
      <c r="O1423" s="9" t="inlineStr">
        <is>
          <t>消耗品效果</t>
        </is>
      </c>
      <c r="P1423" s="9" t="inlineStr">
        <is>
          <t>consumable</t>
        </is>
      </c>
      <c r="Q1423" s="9" t="inlineStr">
        <is>
          <t>消耗品效果：消耗 6 点法力，对敌方造成 60 点伤害，并施加 2 层麻痹；消耗 3 点法力，对敌方造成 60 点伤害，并施加 2 层麻痹；消耗 8 点法力，对敌方造成 80 点伤害，并施加 4 层麻痹；消耗 10 点法力，对敌方造成 100 点伤害，并施加 6 层麻痹；消耗 5 点法力，对敌方造成 100 点伤害，并施加 6 层麻痹；消耗 12 点法力，对敌方造成 120 点伤害，并施加 8 层麻痹；消耗 6 点法力，对敌方造成 120 点伤害，并施加 8 层麻痹</t>
        </is>
      </c>
      <c r="R1423" s="9" t="inlineStr"/>
      <c r="S1423" s="9" t="inlineStr">
        <is>
          <t>将共鸣胸骨板灵性封入符胆炼成的符箓。催动时符纹会显化母材特征，释放筑基期灵效。</t>
        </is>
      </c>
      <c r="T1423" s="8" t="inlineStr">
        <is>
          <t>talisman_forged_boxian_renmianxiao_resonant_sternum_plate_3_3x2</t>
        </is>
      </c>
      <c r="U1423" s="8" t="inlineStr">
        <is>
          <t>allowed</t>
        </is>
      </c>
    </row>
    <row r="1424" ht="34" customHeight="1">
      <c r="A1424" s="8" t="n">
        <v>1423</v>
      </c>
      <c r="B1424" s="8" t="n">
        <v>713401</v>
      </c>
      <c r="C1424" s="8" t="inlineStr">
        <is>
          <t>绷弦翼根筋引脉符</t>
        </is>
      </c>
      <c r="D1424" s="8" t="inlineStr">
        <is>
          <t>符箓</t>
        </is>
      </c>
      <c r="E1424" s="8" t="inlineStr">
        <is>
          <t>talisman</t>
        </is>
      </c>
      <c r="F1424" s="8" t="inlineStr">
        <is>
          <t>spirit</t>
        </is>
      </c>
      <c r="G1424" s="8" t="inlineStr">
        <is>
          <t>木</t>
        </is>
      </c>
      <c r="H1424" s="8" t="inlineStr">
        <is>
          <t>wood</t>
        </is>
      </c>
      <c r="I1424" s="8" t="inlineStr">
        <is>
          <t>2×2</t>
        </is>
      </c>
      <c r="J1424" s="8" t="n">
        <v>4</v>
      </c>
      <c r="K1424" s="8" t="n">
        <v>100</v>
      </c>
      <c r="L1424" s="8" t="inlineStr">
        <is>
          <t>是</t>
        </is>
      </c>
      <c r="M1424" s="9" t="inlineStr"/>
      <c r="N1424" s="8" t="n">
        <v>1</v>
      </c>
      <c r="O1424" s="9" t="inlineStr">
        <is>
          <t>消耗品效果</t>
        </is>
      </c>
      <c r="P1424" s="9" t="inlineStr">
        <is>
          <t>consumable</t>
        </is>
      </c>
      <c r="Q1424" s="9" t="inlineStr">
        <is>
          <t>消耗品效果：使相邻法器获得 10 秒加速；使相邻法器获得 13 秒加速；使相邻法器获得 15 秒加速；使相邻法器获得 18 秒加速</t>
        </is>
      </c>
      <c r="R1424" s="9" t="inlineStr"/>
      <c r="S1424" s="9" t="inlineStr">
        <is>
          <t>将绷弦翼根筋灵性封入符胆炼成的符箓。催动时符纹会显化母材特征，释放筑基期灵效。</t>
        </is>
      </c>
      <c r="T1424" s="8" t="inlineStr">
        <is>
          <t>talisman_forged_boxian_renmianxiao_tensioned_string_wing_tendons_3_2x2</t>
        </is>
      </c>
      <c r="U1424" s="8" t="inlineStr">
        <is>
          <t>allowed</t>
        </is>
      </c>
    </row>
    <row r="1425" ht="34" customHeight="1">
      <c r="A1425" s="8" t="n">
        <v>1424</v>
      </c>
      <c r="B1425" s="8" t="n">
        <v>713402</v>
      </c>
      <c r="C1425" s="8" t="inlineStr">
        <is>
          <t>平衡尾舵羽引脉符</t>
        </is>
      </c>
      <c r="D1425" s="8" t="inlineStr">
        <is>
          <t>符箓</t>
        </is>
      </c>
      <c r="E1425" s="8" t="inlineStr">
        <is>
          <t>talisman</t>
        </is>
      </c>
      <c r="F1425" s="8" t="inlineStr">
        <is>
          <t>spirit</t>
        </is>
      </c>
      <c r="G1425" s="8" t="inlineStr">
        <is>
          <t>木</t>
        </is>
      </c>
      <c r="H1425" s="8" t="inlineStr">
        <is>
          <t>wood</t>
        </is>
      </c>
      <c r="I1425" s="8" t="inlineStr">
        <is>
          <t>1×1</t>
        </is>
      </c>
      <c r="J1425" s="8" t="n">
        <v>1</v>
      </c>
      <c r="K1425" s="8" t="n">
        <v>100</v>
      </c>
      <c r="L1425" s="8" t="inlineStr">
        <is>
          <t>是</t>
        </is>
      </c>
      <c r="M1425" s="9" t="inlineStr"/>
      <c r="N1425" s="8" t="n">
        <v>1</v>
      </c>
      <c r="O1425" s="9" t="inlineStr">
        <is>
          <t>消耗品效果</t>
        </is>
      </c>
      <c r="P1425" s="9" t="inlineStr">
        <is>
          <t>consumable</t>
        </is>
      </c>
      <c r="Q1425" s="9" t="inlineStr">
        <is>
          <t>消耗品效果：冻结敌方占格面积最大的道具 5 秒；冻结敌方占格面积最大的道具 8 秒；冻结敌方占格面积最大的道具 10 秒；冻结敌方占格面积最大的道具 13 秒</t>
        </is>
      </c>
      <c r="R1425" s="9" t="inlineStr"/>
      <c r="S1425" s="9" t="inlineStr">
        <is>
          <t>将平衡尾舵羽灵性封入符胆炼成的符箓。催动时符纹会显化母材特征，释放筑基期灵效。</t>
        </is>
      </c>
      <c r="T1425" s="8" t="inlineStr">
        <is>
          <t>talisman_forged_boxian_renmianxiao_balance_tail_vane_3_1x1</t>
        </is>
      </c>
      <c r="U1425" s="8" t="inlineStr">
        <is>
          <t>allowed</t>
        </is>
      </c>
    </row>
    <row r="1426" ht="34" customHeight="1">
      <c r="A1426" s="8" t="n">
        <v>1425</v>
      </c>
      <c r="B1426" s="8" t="n">
        <v>713600</v>
      </c>
      <c r="C1426" s="8" t="inlineStr">
        <is>
          <t>羚蹄锁链回响符</t>
        </is>
      </c>
      <c r="D1426" s="8" t="inlineStr">
        <is>
          <t>符箓</t>
        </is>
      </c>
      <c r="E1426" s="8" t="inlineStr">
        <is>
          <t>talisman</t>
        </is>
      </c>
      <c r="F1426" s="8" t="inlineStr">
        <is>
          <t>spirit</t>
        </is>
      </c>
      <c r="G1426" s="8" t="inlineStr">
        <is>
          <t>金</t>
        </is>
      </c>
      <c r="H1426" s="8" t="inlineStr">
        <is>
          <t>metal</t>
        </is>
      </c>
      <c r="I1426" s="8" t="inlineStr">
        <is>
          <t>2×1</t>
        </is>
      </c>
      <c r="J1426" s="8" t="n">
        <v>2</v>
      </c>
      <c r="K1426" s="8" t="n">
        <v>100</v>
      </c>
      <c r="L1426" s="8" t="inlineStr">
        <is>
          <t>是</t>
        </is>
      </c>
      <c r="M1426" s="9" t="inlineStr"/>
      <c r="N1426" s="8" t="n">
        <v>1</v>
      </c>
      <c r="O1426" s="9" t="inlineStr">
        <is>
          <t>消耗品效果</t>
        </is>
      </c>
      <c r="P1426" s="9" t="inlineStr">
        <is>
          <t>consumable</t>
        </is>
      </c>
      <c r="Q1426" s="9" t="inlineStr">
        <is>
          <t>消耗品效果：最多将 12 层凝金转化为 5 倍层数的护甲；最多将 16 层凝金转化为 5 倍层数的护甲；最多将 20 层凝金转化为 5 倍层数的护甲；最多将 24 层凝金转化为 5 倍层数的护甲</t>
        </is>
      </c>
      <c r="R1426" s="9" t="inlineStr"/>
      <c r="S1426" s="9" t="inlineStr">
        <is>
          <t>将羚蹄锁链灵性封入符胆炼成的符箓。催动时符纹会显化母材特征，释放筑基期灵效。</t>
        </is>
      </c>
      <c r="T1426" s="8" t="inlineStr">
        <is>
          <t>talisman_citi_ling_hoof_ring_chain_link_2x1</t>
        </is>
      </c>
      <c r="U1426" s="8" t="inlineStr">
        <is>
          <t>allowed</t>
        </is>
      </c>
    </row>
    <row r="1427" ht="34" customHeight="1">
      <c r="A1427" s="8" t="n">
        <v>1426</v>
      </c>
      <c r="B1427" s="8" t="n">
        <v>713601</v>
      </c>
      <c r="C1427" s="8" t="inlineStr">
        <is>
          <t>对极铁砂回响符</t>
        </is>
      </c>
      <c r="D1427" s="8" t="inlineStr">
        <is>
          <t>符箓</t>
        </is>
      </c>
      <c r="E1427" s="8" t="inlineStr">
        <is>
          <t>talisman</t>
        </is>
      </c>
      <c r="F1427" s="8" t="inlineStr">
        <is>
          <t>spirit</t>
        </is>
      </c>
      <c r="G1427" s="8" t="inlineStr">
        <is>
          <t>金</t>
        </is>
      </c>
      <c r="H1427" s="8" t="inlineStr">
        <is>
          <t>metal</t>
        </is>
      </c>
      <c r="I1427" s="8" t="inlineStr">
        <is>
          <t>1×2</t>
        </is>
      </c>
      <c r="J1427" s="8" t="n">
        <v>2</v>
      </c>
      <c r="K1427" s="8" t="n">
        <v>100</v>
      </c>
      <c r="L1427" s="8" t="inlineStr">
        <is>
          <t>是</t>
        </is>
      </c>
      <c r="M1427" s="9" t="inlineStr"/>
      <c r="N1427" s="8" t="n">
        <v>1</v>
      </c>
      <c r="O1427" s="9" t="inlineStr">
        <is>
          <t>消耗品效果</t>
        </is>
      </c>
      <c r="P1427" s="9" t="inlineStr">
        <is>
          <t>consumable</t>
        </is>
      </c>
      <c r="Q1427" s="9" t="inlineStr">
        <is>
          <t>消耗品效果：敌方占格面积最大的道具获得 10 秒减速；敌方占格面积最大的道具获得 13 秒减速；敌方占格面积最大的道具获得 15 秒减速；敌方占格面积最大的道具获得 18 秒减速</t>
        </is>
      </c>
      <c r="R1427" s="9" t="inlineStr"/>
      <c r="S1427" s="9" t="inlineStr">
        <is>
          <t>将对极铁砂灵性封入符胆炼成的符箓。催动时符纹会显化母材特征，释放筑基期灵效。</t>
        </is>
      </c>
      <c r="T1427" s="8" t="inlineStr">
        <is>
          <t>talisman_citi_ling_polarity_iron_sand_link_1x2</t>
        </is>
      </c>
      <c r="U1427" s="8" t="inlineStr">
        <is>
          <t>allowed</t>
        </is>
      </c>
    </row>
    <row r="1428" ht="34" customHeight="1">
      <c r="A1428" s="8" t="n">
        <v>1427</v>
      </c>
      <c r="B1428" s="8" t="n">
        <v>713602</v>
      </c>
      <c r="C1428" s="8" t="inlineStr">
        <is>
          <t>铁扣羚心回响符</t>
        </is>
      </c>
      <c r="D1428" s="8" t="inlineStr">
        <is>
          <t>符箓</t>
        </is>
      </c>
      <c r="E1428" s="8" t="inlineStr">
        <is>
          <t>talisman</t>
        </is>
      </c>
      <c r="F1428" s="8" t="inlineStr">
        <is>
          <t>spirit</t>
        </is>
      </c>
      <c r="G1428" s="8" t="inlineStr">
        <is>
          <t>火</t>
        </is>
      </c>
      <c r="H1428" s="8" t="inlineStr">
        <is>
          <t>fire</t>
        </is>
      </c>
      <c r="I1428" s="8" t="inlineStr">
        <is>
          <t>2×1</t>
        </is>
      </c>
      <c r="J1428" s="8" t="n">
        <v>2</v>
      </c>
      <c r="K1428" s="8" t="n">
        <v>100</v>
      </c>
      <c r="L1428" s="8" t="inlineStr">
        <is>
          <t>是</t>
        </is>
      </c>
      <c r="M1428" s="9" t="inlineStr"/>
      <c r="N1428" s="8" t="n">
        <v>1</v>
      </c>
      <c r="O1428" s="9" t="inlineStr">
        <is>
          <t>消耗品效果</t>
        </is>
      </c>
      <c r="P1428" s="9" t="inlineStr">
        <is>
          <t>consumable</t>
        </is>
      </c>
      <c r="Q1428" s="9" t="inlineStr">
        <is>
          <t>消耗品效果：获得 16 层炎热；获得 20 层炎热；获得 26 层炎热；获得 30 层炎热</t>
        </is>
      </c>
      <c r="R1428" s="9" t="inlineStr"/>
      <c r="S1428" s="9" t="inlineStr">
        <is>
          <t>将铁扣羚心灵性封入符胆炼成的符箓。催动时符纹会显化母材特征，释放筑基期灵效。</t>
        </is>
      </c>
      <c r="T1428" s="8" t="inlineStr">
        <is>
          <t>talisman_citi_ling_iron_clasp_heartstone_link_2x1</t>
        </is>
      </c>
      <c r="U1428" s="8" t="inlineStr">
        <is>
          <t>allowed</t>
        </is>
      </c>
    </row>
    <row r="1429" ht="34" customHeight="1">
      <c r="A1429" s="8" t="n">
        <v>1428</v>
      </c>
      <c r="B1429" s="8" t="n">
        <v>714100</v>
      </c>
      <c r="C1429" s="8" t="inlineStr">
        <is>
          <t>盘卷腰筋引脉符</t>
        </is>
      </c>
      <c r="D1429" s="8" t="inlineStr">
        <is>
          <t>符箓</t>
        </is>
      </c>
      <c r="E1429" s="8" t="inlineStr">
        <is>
          <t>talisman</t>
        </is>
      </c>
      <c r="F1429" s="8" t="inlineStr">
        <is>
          <t>spirit</t>
        </is>
      </c>
      <c r="G1429" s="8" t="inlineStr">
        <is>
          <t>火</t>
        </is>
      </c>
      <c r="H1429" s="8" t="inlineStr">
        <is>
          <t>fire</t>
        </is>
      </c>
      <c r="I1429" s="8" t="inlineStr">
        <is>
          <t>1×1</t>
        </is>
      </c>
      <c r="J1429" s="8" t="n">
        <v>1</v>
      </c>
      <c r="K1429" s="8" t="n">
        <v>100</v>
      </c>
      <c r="L1429" s="8" t="inlineStr">
        <is>
          <t>是</t>
        </is>
      </c>
      <c r="M1429" s="9" t="inlineStr"/>
      <c r="N1429" s="8" t="n">
        <v>1</v>
      </c>
      <c r="O1429" s="9" t="inlineStr">
        <is>
          <t>消耗品效果</t>
        </is>
      </c>
      <c r="P1429" s="9" t="inlineStr">
        <is>
          <t>consumable</t>
        </is>
      </c>
      <c r="Q1429" s="9" t="inlineStr">
        <is>
          <t>消耗品效果：最多将 10 层蓄势转化为 8 倍层数的护甲；最多将 12 层蓄势转化为 8 倍层数的护甲；最多将 14 层蓄势转化为 8 倍层数的护甲；最多将 16 层蓄势转化为 8 倍层数的护甲</t>
        </is>
      </c>
      <c r="R1429" s="9" t="inlineStr"/>
      <c r="S1429" s="9" t="inlineStr">
        <is>
          <t>将盘卷腰筋灵性封入符胆炼成的符箓。催动时符纹会显化母材特征，释放筑基期灵效。</t>
        </is>
      </c>
      <c r="T1429" s="8" t="inlineStr">
        <is>
          <t>talisman_forged_fubei_qiuyu_coiled_waist_sinew_3_1x1</t>
        </is>
      </c>
      <c r="U1429" s="8" t="inlineStr">
        <is>
          <t>allowed</t>
        </is>
      </c>
    </row>
    <row r="1430" ht="34" customHeight="1">
      <c r="A1430" s="8" t="n">
        <v>1429</v>
      </c>
      <c r="B1430" s="8" t="n">
        <v>714101</v>
      </c>
      <c r="C1430" s="8" t="inlineStr">
        <is>
          <t>滚压髋骨引脉符</t>
        </is>
      </c>
      <c r="D1430" s="8" t="inlineStr">
        <is>
          <t>符箓</t>
        </is>
      </c>
      <c r="E1430" s="8" t="inlineStr">
        <is>
          <t>talisman</t>
        </is>
      </c>
      <c r="F1430" s="8" t="inlineStr">
        <is>
          <t>spirit</t>
        </is>
      </c>
      <c r="G1430" s="8" t="inlineStr">
        <is>
          <t>土</t>
        </is>
      </c>
      <c r="H1430" s="8" t="inlineStr">
        <is>
          <t>earth</t>
        </is>
      </c>
      <c r="I1430" s="8" t="inlineStr">
        <is>
          <t>1×1</t>
        </is>
      </c>
      <c r="J1430" s="8" t="n">
        <v>1</v>
      </c>
      <c r="K1430" s="8" t="n">
        <v>100</v>
      </c>
      <c r="L1430" s="8" t="inlineStr">
        <is>
          <t>是</t>
        </is>
      </c>
      <c r="M1430" s="9" t="inlineStr"/>
      <c r="N1430" s="8" t="n">
        <v>1</v>
      </c>
      <c r="O1430" s="9" t="inlineStr">
        <is>
          <t>消耗品效果</t>
        </is>
      </c>
      <c r="P1430" s="9" t="inlineStr">
        <is>
          <t>consumable</t>
        </is>
      </c>
      <c r="Q1430" s="9" t="inlineStr">
        <is>
          <t>消耗品效果：对敌方造成 80 点伤害，并移除敌方 8 层护甲；对敌方造成 100 点伤害，并移除敌方 12 层护甲；对敌方造成 120 点伤害，并移除敌方 16 层护甲；对敌方造成 140 点伤害，并移除敌方 20 层护甲</t>
        </is>
      </c>
      <c r="R1430" s="9" t="inlineStr"/>
      <c r="S1430" s="9" t="inlineStr">
        <is>
          <t>将滚压髋骨灵性封入符胆炼成的符箓。催动时符纹会显化母材特征，释放筑基期灵效。</t>
        </is>
      </c>
      <c r="T1430" s="8" t="inlineStr">
        <is>
          <t>talisman_forged_fubei_qiuyu_rolling_hip_bone_3_1x1</t>
        </is>
      </c>
      <c r="U1430" s="8" t="inlineStr">
        <is>
          <t>allowed</t>
        </is>
      </c>
    </row>
    <row r="1431" ht="34" customHeight="1">
      <c r="A1431" s="8" t="n">
        <v>1430</v>
      </c>
      <c r="B1431" s="8" t="n">
        <v>714102</v>
      </c>
      <c r="C1431" s="8" t="inlineStr">
        <is>
          <t>赤纹鼻甲引脉符</t>
        </is>
      </c>
      <c r="D1431" s="8" t="inlineStr">
        <is>
          <t>符箓</t>
        </is>
      </c>
      <c r="E1431" s="8" t="inlineStr">
        <is>
          <t>talisman</t>
        </is>
      </c>
      <c r="F1431" s="8" t="inlineStr">
        <is>
          <t>spirit</t>
        </is>
      </c>
      <c r="G1431" s="8" t="inlineStr">
        <is>
          <t>火</t>
        </is>
      </c>
      <c r="H1431" s="8" t="inlineStr">
        <is>
          <t>fire</t>
        </is>
      </c>
      <c r="I1431" s="8" t="inlineStr">
        <is>
          <t>1×1</t>
        </is>
      </c>
      <c r="J1431" s="8" t="n">
        <v>1</v>
      </c>
      <c r="K1431" s="8" t="n">
        <v>100</v>
      </c>
      <c r="L1431" s="8" t="inlineStr">
        <is>
          <t>是</t>
        </is>
      </c>
      <c r="M1431" s="9" t="inlineStr"/>
      <c r="N1431" s="8" t="n">
        <v>1</v>
      </c>
      <c r="O1431" s="9" t="inlineStr">
        <is>
          <t>消耗品效果</t>
        </is>
      </c>
      <c r="P1431" s="9" t="inlineStr">
        <is>
          <t>consumable</t>
        </is>
      </c>
      <c r="Q1431" s="9" t="inlineStr">
        <is>
          <t>消耗品效果：对敌方造成 70 点伤害，并施加 8 层灼烧；对敌方造成 90 点伤害，并施加 10 层灼烧；对敌方造成 110 点伤害，并施加 12 层灼烧；对敌方造成 130 点伤害，并施加 14 层灼烧</t>
        </is>
      </c>
      <c r="R1431" s="9" t="inlineStr"/>
      <c r="S1431" s="9" t="inlineStr">
        <is>
          <t>将赤纹鼻甲灵性封入符胆炼成的符箓。催动时符纹会显化母材特征，释放筑基期灵效。</t>
        </is>
      </c>
      <c r="T1431" s="8" t="inlineStr">
        <is>
          <t>talisman_forged_fubei_qiuyu_vermilion_nose_armor_3_1x1</t>
        </is>
      </c>
      <c r="U1431" s="8" t="inlineStr">
        <is>
          <t>allowed</t>
        </is>
      </c>
    </row>
    <row r="1432" ht="34" customHeight="1">
      <c r="A1432" s="8" t="n">
        <v>1431</v>
      </c>
      <c r="B1432" s="8" t="n">
        <v>714500</v>
      </c>
      <c r="C1432" s="8" t="inlineStr">
        <is>
          <t>风听耳羽引脉符</t>
        </is>
      </c>
      <c r="D1432" s="8" t="inlineStr">
        <is>
          <t>符箓</t>
        </is>
      </c>
      <c r="E1432" s="8" t="inlineStr">
        <is>
          <t>talisman</t>
        </is>
      </c>
      <c r="F1432" s="8" t="inlineStr">
        <is>
          <t>spirit</t>
        </is>
      </c>
      <c r="G1432" s="8" t="inlineStr">
        <is>
          <t>无</t>
        </is>
      </c>
      <c r="H1432" s="8" t="inlineStr">
        <is>
          <t>none</t>
        </is>
      </c>
      <c r="I1432" s="8" t="inlineStr">
        <is>
          <t>1×1</t>
        </is>
      </c>
      <c r="J1432" s="8" t="n">
        <v>1</v>
      </c>
      <c r="K1432" s="8" t="n">
        <v>100</v>
      </c>
      <c r="L1432" s="8" t="inlineStr">
        <is>
          <t>是</t>
        </is>
      </c>
      <c r="M1432" s="9" t="inlineStr"/>
      <c r="N1432" s="8" t="n">
        <v>1</v>
      </c>
      <c r="O1432" s="9" t="inlineStr">
        <is>
          <t>消耗品效果</t>
        </is>
      </c>
      <c r="P1432" s="9" t="inlineStr">
        <is>
          <t>consumable</t>
        </is>
      </c>
      <c r="Q1432" s="9" t="inlineStr">
        <is>
          <t>消耗品效果：冻结敌方随机 1 件道具 8 秒；冻结敌方随机 1 件道具 10 秒；冻结敌方随机 1 件道具 13 秒；冻结敌方随机 1 件道具 15 秒</t>
        </is>
      </c>
      <c r="R1432" s="9" t="inlineStr"/>
      <c r="S1432" s="9" t="inlineStr">
        <is>
          <t>将风听耳羽灵性封入符胆炼成的符箓。催动时符纹会显化母材特征，释放筑基期灵效。</t>
        </is>
      </c>
      <c r="T1432" s="8" t="inlineStr">
        <is>
          <t>talisman_forged_jiaosuo_tuojiang_wind_hearing_ear_feathers_3_1x1</t>
        </is>
      </c>
      <c r="U1432" s="8" t="inlineStr">
        <is>
          <t>allowed</t>
        </is>
      </c>
    </row>
    <row r="1433" ht="34" customHeight="1">
      <c r="A1433" s="8" t="n">
        <v>1432</v>
      </c>
      <c r="B1433" s="8" t="n">
        <v>714501</v>
      </c>
      <c r="C1433" s="8" t="inlineStr">
        <is>
          <t>踏震踝核引脉符</t>
        </is>
      </c>
      <c r="D1433" s="8" t="inlineStr">
        <is>
          <t>符箓</t>
        </is>
      </c>
      <c r="E1433" s="8" t="inlineStr">
        <is>
          <t>talisman</t>
        </is>
      </c>
      <c r="F1433" s="8" t="inlineStr">
        <is>
          <t>spirit</t>
        </is>
      </c>
      <c r="G1433" s="8" t="inlineStr">
        <is>
          <t>金</t>
        </is>
      </c>
      <c r="H1433" s="8" t="inlineStr">
        <is>
          <t>metal</t>
        </is>
      </c>
      <c r="I1433" s="8" t="inlineStr">
        <is>
          <t>1×1</t>
        </is>
      </c>
      <c r="J1433" s="8" t="n">
        <v>1</v>
      </c>
      <c r="K1433" s="8" t="n">
        <v>100</v>
      </c>
      <c r="L1433" s="8" t="inlineStr">
        <is>
          <t>是</t>
        </is>
      </c>
      <c r="M1433" s="9" t="inlineStr"/>
      <c r="N1433" s="8" t="n">
        <v>1</v>
      </c>
      <c r="O1433" s="9" t="inlineStr">
        <is>
          <t>消耗品效果</t>
        </is>
      </c>
      <c r="P1433" s="9" t="inlineStr">
        <is>
          <t>consumable</t>
        </is>
      </c>
      <c r="Q1433" s="9" t="inlineStr">
        <is>
          <t>消耗品效果：消耗 6 点体力，对敌方造成 60 点伤害，并施加 6 层冰霜；消耗 3 点体力，对敌方造成 60 点伤害，并施加 6 层冰霜；消耗 8 点体力，对敌方造成 80 点伤害，并施加 8 层冰霜；消耗 10 点体力，对敌方造成 100 点伤害，并施加 10 层冰霜；消耗 12 点体力，对敌方造成 120 点伤害，并施加 12 层冰霜</t>
        </is>
      </c>
      <c r="R1433" s="9" t="inlineStr"/>
      <c r="S1433" s="9" t="inlineStr">
        <is>
          <t>将踏震踝核灵性封入符胆炼成的符箓。催动时符纹会显化母材特征，释放筑基期灵效。</t>
        </is>
      </c>
      <c r="T1433" s="8" t="inlineStr">
        <is>
          <t>talisman_forged_jiaosuo_tuojiang_shock_step_ankle_core_3_1x1</t>
        </is>
      </c>
      <c r="U1433" s="8" t="inlineStr">
        <is>
          <t>allowed</t>
        </is>
      </c>
    </row>
    <row r="1434" ht="34" customHeight="1">
      <c r="A1434" s="8" t="n">
        <v>1433</v>
      </c>
      <c r="B1434" s="8" t="n">
        <v>714502</v>
      </c>
      <c r="C1434" s="8" t="inlineStr">
        <is>
          <t>回弹颈侧筋引脉符</t>
        </is>
      </c>
      <c r="D1434" s="8" t="inlineStr">
        <is>
          <t>符箓</t>
        </is>
      </c>
      <c r="E1434" s="8" t="inlineStr">
        <is>
          <t>talisman</t>
        </is>
      </c>
      <c r="F1434" s="8" t="inlineStr">
        <is>
          <t>spirit</t>
        </is>
      </c>
      <c r="G1434" s="8" t="inlineStr">
        <is>
          <t>木</t>
        </is>
      </c>
      <c r="H1434" s="8" t="inlineStr">
        <is>
          <t>wood</t>
        </is>
      </c>
      <c r="I1434" s="8" t="inlineStr">
        <is>
          <t>2×1</t>
        </is>
      </c>
      <c r="J1434" s="8" t="n">
        <v>2</v>
      </c>
      <c r="K1434" s="8" t="n">
        <v>100</v>
      </c>
      <c r="L1434" s="8" t="inlineStr">
        <is>
          <t>是</t>
        </is>
      </c>
      <c r="M1434" s="9" t="inlineStr"/>
      <c r="N1434" s="8" t="n">
        <v>1</v>
      </c>
      <c r="O1434" s="9" t="inlineStr">
        <is>
          <t>消耗品效果</t>
        </is>
      </c>
      <c r="P1434" s="9" t="inlineStr">
        <is>
          <t>consumable</t>
        </is>
      </c>
      <c r="Q1434" s="9" t="inlineStr">
        <is>
          <t>消耗品效果：敌方随机 2 件道具获得 8 秒减速；敌方随机 2 件道具获得 10 秒减速；敌方随机 2 件道具获得 13 秒减速；敌方随机 2 件道具获得 15 秒减速</t>
        </is>
      </c>
      <c r="R1434" s="9" t="inlineStr"/>
      <c r="S1434" s="9" t="inlineStr">
        <is>
          <t>将回弹颈侧筋灵性封入符胆炼成的符箓。催动时符纹会显化母材特征，释放筑基期灵效。</t>
        </is>
      </c>
      <c r="T1434" s="8" t="inlineStr">
        <is>
          <t>talisman_forged_jiaosuo_tuojiang_rebounding_neck_sinew_3_2x1</t>
        </is>
      </c>
      <c r="U1434" s="8" t="inlineStr">
        <is>
          <t>allowed</t>
        </is>
      </c>
    </row>
    <row r="1435" ht="34" customHeight="1">
      <c r="A1435" s="8" t="n">
        <v>1434</v>
      </c>
      <c r="B1435" s="8" t="n">
        <v>714800</v>
      </c>
      <c r="C1435" s="8" t="inlineStr">
        <is>
          <t>盔角髓晶引脉符</t>
        </is>
      </c>
      <c r="D1435" s="8" t="inlineStr">
        <is>
          <t>符箓</t>
        </is>
      </c>
      <c r="E1435" s="8" t="inlineStr">
        <is>
          <t>talisman</t>
        </is>
      </c>
      <c r="F1435" s="8" t="inlineStr">
        <is>
          <t>spirit</t>
        </is>
      </c>
      <c r="G1435" s="8" t="inlineStr">
        <is>
          <t>金</t>
        </is>
      </c>
      <c r="H1435" s="8" t="inlineStr">
        <is>
          <t>metal</t>
        </is>
      </c>
      <c r="I1435" s="8" t="inlineStr">
        <is>
          <t>1×1</t>
        </is>
      </c>
      <c r="J1435" s="8" t="n">
        <v>1</v>
      </c>
      <c r="K1435" s="8" t="n">
        <v>100</v>
      </c>
      <c r="L1435" s="8" t="inlineStr">
        <is>
          <t>是</t>
        </is>
      </c>
      <c r="M1435" s="9" t="inlineStr"/>
      <c r="N1435" s="8" t="n">
        <v>1</v>
      </c>
      <c r="O1435" s="9" t="inlineStr">
        <is>
          <t>消耗品效果</t>
        </is>
      </c>
      <c r="P1435" s="9" t="inlineStr">
        <is>
          <t>consumable</t>
        </is>
      </c>
      <c r="Q1435" s="9" t="inlineStr">
        <is>
          <t>消耗品效果：冻结敌方占格面积最大的道具 8 秒；冻结敌方占格面积最大的道具 10 秒；冻结敌方占格面积最大的道具 13 秒；冻结敌方占格面积最大的道具 15 秒</t>
        </is>
      </c>
      <c r="R1435" s="9" t="inlineStr"/>
      <c r="S1435" s="9" t="inlineStr">
        <is>
          <t>将盔角髓晶灵性封入符胆炼成的符箓。催动时符纹会显化母材特征，释放筑基期灵效。</t>
        </is>
      </c>
      <c r="T1435" s="8" t="inlineStr">
        <is>
          <t>talisman_forged_kuishou_tianniu_helmet_horn_marrow_crystal_2_1x1</t>
        </is>
      </c>
      <c r="U1435" s="8" t="inlineStr">
        <is>
          <t>allowed</t>
        </is>
      </c>
    </row>
    <row r="1436" ht="34" customHeight="1">
      <c r="A1436" s="8" t="n">
        <v>1435</v>
      </c>
      <c r="B1436" s="8" t="n">
        <v>714801</v>
      </c>
      <c r="C1436" s="8" t="inlineStr">
        <is>
          <t>节足韧筋引脉符</t>
        </is>
      </c>
      <c r="D1436" s="8" t="inlineStr">
        <is>
          <t>符箓</t>
        </is>
      </c>
      <c r="E1436" s="8" t="inlineStr">
        <is>
          <t>talisman</t>
        </is>
      </c>
      <c r="F1436" s="8" t="inlineStr">
        <is>
          <t>spirit</t>
        </is>
      </c>
      <c r="G1436" s="8" t="inlineStr">
        <is>
          <t>木</t>
        </is>
      </c>
      <c r="H1436" s="8" t="inlineStr">
        <is>
          <t>wood</t>
        </is>
      </c>
      <c r="I1436" s="8" t="inlineStr">
        <is>
          <t>1×1</t>
        </is>
      </c>
      <c r="J1436" s="8" t="n">
        <v>1</v>
      </c>
      <c r="K1436" s="8" t="n">
        <v>100</v>
      </c>
      <c r="L1436" s="8" t="inlineStr">
        <is>
          <t>是</t>
        </is>
      </c>
      <c r="M1436" s="9" t="inlineStr"/>
      <c r="N1436" s="8" t="n">
        <v>1</v>
      </c>
      <c r="O1436" s="9" t="inlineStr">
        <is>
          <t>消耗品效果</t>
        </is>
      </c>
      <c r="P1436" s="9" t="inlineStr">
        <is>
          <t>consumable</t>
        </is>
      </c>
      <c r="Q1436" s="9" t="inlineStr">
        <is>
          <t>消耗品效果：使相邻武器获得 13 秒加速；使相邻武器获得 15 秒加速；使相邻武器获得 18 秒加速；使相邻武器获得 20 秒加速</t>
        </is>
      </c>
      <c r="R1436" s="9" t="inlineStr"/>
      <c r="S1436" s="9" t="inlineStr">
        <is>
          <t>将节足韧筋灵性封入符胆炼成的符箓。催动时符纹会显化母材特征，释放筑基期灵效。</t>
        </is>
      </c>
      <c r="T1436" s="8" t="inlineStr">
        <is>
          <t>talisman_forged_kuishou_tianniu_leg_sinew_knot_2_1x1</t>
        </is>
      </c>
      <c r="U1436" s="8" t="inlineStr">
        <is>
          <t>allowed</t>
        </is>
      </c>
    </row>
    <row r="1437" ht="34" customHeight="1">
      <c r="A1437" s="8" t="n">
        <v>1436</v>
      </c>
      <c r="B1437" s="8" t="n">
        <v>714802</v>
      </c>
      <c r="C1437" s="8" t="inlineStr">
        <is>
          <t>胸腔鸣膜引脉符</t>
        </is>
      </c>
      <c r="D1437" s="8" t="inlineStr">
        <is>
          <t>符箓</t>
        </is>
      </c>
      <c r="E1437" s="8" t="inlineStr">
        <is>
          <t>talisman</t>
        </is>
      </c>
      <c r="F1437" s="8" t="inlineStr">
        <is>
          <t>spirit</t>
        </is>
      </c>
      <c r="G1437" s="8" t="inlineStr">
        <is>
          <t>火</t>
        </is>
      </c>
      <c r="H1437" s="8" t="inlineStr">
        <is>
          <t>fire</t>
        </is>
      </c>
      <c r="I1437" s="8" t="inlineStr">
        <is>
          <t>1×1</t>
        </is>
      </c>
      <c r="J1437" s="8" t="n">
        <v>1</v>
      </c>
      <c r="K1437" s="8" t="n">
        <v>100</v>
      </c>
      <c r="L1437" s="8" t="inlineStr">
        <is>
          <t>是</t>
        </is>
      </c>
      <c r="M1437" s="9" t="inlineStr"/>
      <c r="N1437" s="8" t="n">
        <v>1</v>
      </c>
      <c r="O1437" s="9" t="inlineStr">
        <is>
          <t>消耗品效果</t>
        </is>
      </c>
      <c r="P1437" s="9" t="inlineStr">
        <is>
          <t>consumable</t>
        </is>
      </c>
      <c r="Q1437" s="9" t="inlineStr">
        <is>
          <t>消耗品效果：对敌方施加 4 层麻痹；对敌方施加 6 层麻痹；对敌方施加 10 层麻痹；对敌方施加 12 层麻痹</t>
        </is>
      </c>
      <c r="R1437" s="9" t="inlineStr"/>
      <c r="S1437" s="9" t="inlineStr">
        <is>
          <t>将胸腔鸣膜灵性封入符胆炼成的符箓。催动时符纹会显化母材特征，释放筑基期灵效。</t>
        </is>
      </c>
      <c r="T1437" s="8" t="inlineStr">
        <is>
          <t>talisman_forged_kuishou_tianniu_thoracic_resonance_membrane_2_1x1</t>
        </is>
      </c>
      <c r="U1437" s="8" t="inlineStr">
        <is>
          <t>allowed</t>
        </is>
      </c>
    </row>
    <row r="1438" ht="34" customHeight="1">
      <c r="A1438" s="8" t="n">
        <v>1437</v>
      </c>
      <c r="B1438" s="8" t="n">
        <v>715000</v>
      </c>
      <c r="C1438" s="8" t="inlineStr">
        <is>
          <t>青铜钩杆节引脉符</t>
        </is>
      </c>
      <c r="D1438" s="8" t="inlineStr">
        <is>
          <t>符箓</t>
        </is>
      </c>
      <c r="E1438" s="8" t="inlineStr">
        <is>
          <t>talisman</t>
        </is>
      </c>
      <c r="F1438" s="8" t="inlineStr">
        <is>
          <t>spirit</t>
        </is>
      </c>
      <c r="G1438" s="8" t="inlineStr">
        <is>
          <t>金</t>
        </is>
      </c>
      <c r="H1438" s="8" t="inlineStr">
        <is>
          <t>metal</t>
        </is>
      </c>
      <c r="I1438" s="8" t="inlineStr">
        <is>
          <t>4×1</t>
        </is>
      </c>
      <c r="J1438" s="8" t="n">
        <v>4</v>
      </c>
      <c r="K1438" s="8" t="n">
        <v>100</v>
      </c>
      <c r="L1438" s="8" t="inlineStr">
        <is>
          <t>是</t>
        </is>
      </c>
      <c r="M1438" s="9" t="inlineStr"/>
      <c r="N1438" s="8" t="n">
        <v>1</v>
      </c>
      <c r="O1438" s="9" t="inlineStr">
        <is>
          <t>消耗品效果</t>
        </is>
      </c>
      <c r="P1438" s="9" t="inlineStr">
        <is>
          <t>consumable</t>
        </is>
      </c>
      <c r="Q1438" s="9" t="inlineStr">
        <is>
          <t>消耗品效果：冻结敌方随机 2 件道具 3 秒；冻结敌方随机 2 件道具 5 秒；冻结敌方随机 2 件道具 8 秒；冻结敌方随机 2 件道具 10 秒</t>
        </is>
      </c>
      <c r="R1438" s="9" t="inlineStr"/>
      <c r="S1438" s="9" t="inlineStr">
        <is>
          <t>将青铜钩杆节灵性封入符胆炼成的符箓。催动时符纹会显化母材特征，释放筑基期灵效。</t>
        </is>
      </c>
      <c r="T1438" s="8" t="inlineStr">
        <is>
          <t>talisman_forged_longxiong_lintang_bronze_hook_pole_joint_3_4x1</t>
        </is>
      </c>
      <c r="U1438" s="8" t="inlineStr">
        <is>
          <t>allowed</t>
        </is>
      </c>
    </row>
    <row r="1439" ht="34" customHeight="1">
      <c r="A1439" s="8" t="n">
        <v>1438</v>
      </c>
      <c r="B1439" s="8" t="n">
        <v>715001</v>
      </c>
      <c r="C1439" s="8" t="inlineStr">
        <is>
          <t>束胸眼腺引脉符</t>
        </is>
      </c>
      <c r="D1439" s="8" t="inlineStr">
        <is>
          <t>符箓</t>
        </is>
      </c>
      <c r="E1439" s="8" t="inlineStr">
        <is>
          <t>talisman</t>
        </is>
      </c>
      <c r="F1439" s="8" t="inlineStr">
        <is>
          <t>spirit</t>
        </is>
      </c>
      <c r="G1439" s="8" t="inlineStr">
        <is>
          <t>水</t>
        </is>
      </c>
      <c r="H1439" s="8" t="inlineStr">
        <is>
          <t>water</t>
        </is>
      </c>
      <c r="I1439" s="8" t="inlineStr">
        <is>
          <t>1×1</t>
        </is>
      </c>
      <c r="J1439" s="8" t="n">
        <v>1</v>
      </c>
      <c r="K1439" s="8" t="n">
        <v>100</v>
      </c>
      <c r="L1439" s="8" t="inlineStr">
        <is>
          <t>是</t>
        </is>
      </c>
      <c r="M1439" s="9" t="inlineStr"/>
      <c r="N1439" s="8" t="n">
        <v>1</v>
      </c>
      <c r="O1439" s="9" t="inlineStr">
        <is>
          <t>消耗品效果</t>
        </is>
      </c>
      <c r="P1439" s="9" t="inlineStr">
        <is>
          <t>consumable</t>
        </is>
      </c>
      <c r="Q1439" s="9" t="inlineStr">
        <is>
          <t>消耗品效果：对敌方造成 60 点伤害，并施加 6 层中毒；对敌方造成 80 点伤害，并施加 8 层中毒；对敌方造成 100 点伤害，并施加 10 层中毒；对敌方造成 120 点伤害，并施加 12 层中毒</t>
        </is>
      </c>
      <c r="R1439" s="9" t="inlineStr"/>
      <c r="S1439" s="9" t="inlineStr">
        <is>
          <t>将束胸眼腺灵性封入符胆炼成的符箓。催动时符纹会显化母材特征，释放筑基期灵效。</t>
        </is>
      </c>
      <c r="T1439" s="8" t="inlineStr">
        <is>
          <t>talisman_forged_longxiong_lintang_chest_eye_gland_3_1x1</t>
        </is>
      </c>
      <c r="U1439" s="8" t="inlineStr">
        <is>
          <t>allowed</t>
        </is>
      </c>
    </row>
    <row r="1440" ht="34" customHeight="1">
      <c r="A1440" s="8" t="n">
        <v>1439</v>
      </c>
      <c r="B1440" s="8" t="n">
        <v>715002</v>
      </c>
      <c r="C1440" s="8" t="inlineStr">
        <is>
          <t>鳞尾节鞭引脉符</t>
        </is>
      </c>
      <c r="D1440" s="8" t="inlineStr">
        <is>
          <t>符箓</t>
        </is>
      </c>
      <c r="E1440" s="8" t="inlineStr">
        <is>
          <t>talisman</t>
        </is>
      </c>
      <c r="F1440" s="8" t="inlineStr">
        <is>
          <t>spirit</t>
        </is>
      </c>
      <c r="G1440" s="8" t="inlineStr">
        <is>
          <t>木</t>
        </is>
      </c>
      <c r="H1440" s="8" t="inlineStr">
        <is>
          <t>wood</t>
        </is>
      </c>
      <c r="I1440" s="8" t="inlineStr">
        <is>
          <t>3×1</t>
        </is>
      </c>
      <c r="J1440" s="8" t="n">
        <v>3</v>
      </c>
      <c r="K1440" s="8" t="n">
        <v>100</v>
      </c>
      <c r="L1440" s="8" t="inlineStr">
        <is>
          <t>是</t>
        </is>
      </c>
      <c r="M1440" s="9" t="inlineStr"/>
      <c r="N1440" s="8" t="n">
        <v>1</v>
      </c>
      <c r="O1440" s="9" t="inlineStr">
        <is>
          <t>消耗品效果</t>
        </is>
      </c>
      <c r="P1440" s="9" t="inlineStr">
        <is>
          <t>consumable</t>
        </is>
      </c>
      <c r="Q1440" s="9" t="inlineStr">
        <is>
          <t>消耗品效果：敌方随机 2 件道具获得 10 秒减速；敌方随机 2 件道具获得 13 秒减速；敌方随机 2 件道具获得 15 秒减速；敌方随机 2 件道具获得 18 秒减速</t>
        </is>
      </c>
      <c r="R1440" s="9" t="inlineStr"/>
      <c r="S1440" s="9" t="inlineStr">
        <is>
          <t>将鳞尾节鞭灵性封入符胆炼成的符箓。催动时符纹会显化母材特征，释放筑基期灵效。</t>
        </is>
      </c>
      <c r="T1440" s="8" t="inlineStr">
        <is>
          <t>talisman_forged_longxiong_lintang_scale_tail_segment_whip_3_3x1</t>
        </is>
      </c>
      <c r="U1440" s="8" t="inlineStr">
        <is>
          <t>allowed</t>
        </is>
      </c>
    </row>
    <row r="1441" ht="34" customHeight="1">
      <c r="A1441" s="8" t="n">
        <v>1440</v>
      </c>
      <c r="B1441" s="8" t="n">
        <v>715200</v>
      </c>
      <c r="C1441" s="8" t="inlineStr">
        <is>
          <t>铜环鸣囊护脉符</t>
        </is>
      </c>
      <c r="D1441" s="8" t="inlineStr">
        <is>
          <t>符箓</t>
        </is>
      </c>
      <c r="E1441" s="8" t="inlineStr">
        <is>
          <t>talisman</t>
        </is>
      </c>
      <c r="F1441" s="8" t="inlineStr">
        <is>
          <t>spirit</t>
        </is>
      </c>
      <c r="G1441" s="8" t="inlineStr">
        <is>
          <t>火</t>
        </is>
      </c>
      <c r="H1441" s="8" t="inlineStr">
        <is>
          <t>fire</t>
        </is>
      </c>
      <c r="I1441" s="8" t="inlineStr">
        <is>
          <t>2×1</t>
        </is>
      </c>
      <c r="J1441" s="8" t="n">
        <v>2</v>
      </c>
      <c r="K1441" s="8" t="n">
        <v>100</v>
      </c>
      <c r="L1441" s="8" t="inlineStr">
        <is>
          <t>是</t>
        </is>
      </c>
      <c r="M1441" s="9" t="inlineStr"/>
      <c r="N1441" s="8" t="n">
        <v>1</v>
      </c>
      <c r="O1441" s="9" t="inlineStr">
        <is>
          <t>消耗品效果</t>
        </is>
      </c>
      <c r="P1441" s="9" t="inlineStr">
        <is>
          <t>consumable</t>
        </is>
      </c>
      <c r="Q1441" s="9" t="inlineStr">
        <is>
          <t>消耗品效果：对敌方施加 26 层灼烧；对敌方施加 30 层灼烧；对敌方施加 36 层灼烧；对敌方施加 40 层灼烧</t>
        </is>
      </c>
      <c r="R1441" s="9" t="inlineStr"/>
      <c r="S1441" s="9" t="inlineStr">
        <is>
          <t>将铜环鸣囊灵性封入符胆炼成的符箓。催动时符纹会显化母材特征，释放筑基期灵效。</t>
        </is>
      </c>
      <c r="T1441" s="8" t="inlineStr">
        <is>
          <t>talisman_lujia_ni_bronze_ring_resonance_sac_seal_2x1</t>
        </is>
      </c>
      <c r="U1441" s="8" t="inlineStr">
        <is>
          <t>allowed</t>
        </is>
      </c>
    </row>
    <row r="1442" ht="34" customHeight="1">
      <c r="A1442" s="8" t="n">
        <v>1441</v>
      </c>
      <c r="B1442" s="8" t="n">
        <v>715201</v>
      </c>
      <c r="C1442" s="8" t="inlineStr">
        <is>
          <t>厚蹼尾皮护脉符</t>
        </is>
      </c>
      <c r="D1442" s="8" t="inlineStr">
        <is>
          <t>符箓</t>
        </is>
      </c>
      <c r="E1442" s="8" t="inlineStr">
        <is>
          <t>talisman</t>
        </is>
      </c>
      <c r="F1442" s="8" t="inlineStr">
        <is>
          <t>spirit</t>
        </is>
      </c>
      <c r="G1442" s="8" t="inlineStr">
        <is>
          <t>水</t>
        </is>
      </c>
      <c r="H1442" s="8" t="inlineStr">
        <is>
          <t>water</t>
        </is>
      </c>
      <c r="I1442" s="8" t="inlineStr">
        <is>
          <t>2×2</t>
        </is>
      </c>
      <c r="J1442" s="8" t="n">
        <v>4</v>
      </c>
      <c r="K1442" s="8" t="n">
        <v>100</v>
      </c>
      <c r="L1442" s="8" t="inlineStr">
        <is>
          <t>是</t>
        </is>
      </c>
      <c r="M1442" s="9" t="inlineStr"/>
      <c r="N1442" s="8" t="n">
        <v>1</v>
      </c>
      <c r="O1442" s="9" t="inlineStr">
        <is>
          <t>消耗品效果</t>
        </is>
      </c>
      <c r="P1442" s="9" t="inlineStr">
        <is>
          <t>consumable</t>
        </is>
      </c>
      <c r="Q1442" s="9" t="inlineStr">
        <is>
          <t>消耗品效果：使相邻水属性道具获得 10 秒加速；使相邻水属性道具获得 13 秒加速；使相邻水属性道具获得 15 秒加速；使相邻水属性道具获得 18 秒加速</t>
        </is>
      </c>
      <c r="R1442" s="9" t="inlineStr"/>
      <c r="S1442" s="9" t="inlineStr">
        <is>
          <t>将厚蹼尾皮灵性封入符胆炼成的符箓。催动时符纹会显化母材特征，释放筑基期灵效。</t>
        </is>
      </c>
      <c r="T1442" s="8" t="inlineStr">
        <is>
          <t>talisman_lujia_ni_webbed_tail_hide_seal_2x2</t>
        </is>
      </c>
      <c r="U1442" s="8" t="inlineStr">
        <is>
          <t>allowed</t>
        </is>
      </c>
    </row>
    <row r="1443" ht="34" customHeight="1">
      <c r="A1443" s="8" t="n">
        <v>1442</v>
      </c>
      <c r="B1443" s="8" t="n">
        <v>715202</v>
      </c>
      <c r="C1443" s="8" t="inlineStr">
        <is>
          <t>负炉铜扣束带护脉符</t>
        </is>
      </c>
      <c r="D1443" s="8" t="inlineStr">
        <is>
          <t>符箓</t>
        </is>
      </c>
      <c r="E1443" s="8" t="inlineStr">
        <is>
          <t>talisman</t>
        </is>
      </c>
      <c r="F1443" s="8" t="inlineStr">
        <is>
          <t>spirit</t>
        </is>
      </c>
      <c r="G1443" s="8" t="inlineStr">
        <is>
          <t>金</t>
        </is>
      </c>
      <c r="H1443" s="8" t="inlineStr">
        <is>
          <t>metal</t>
        </is>
      </c>
      <c r="I1443" s="8" t="inlineStr">
        <is>
          <t>1×2</t>
        </is>
      </c>
      <c r="J1443" s="8" t="n">
        <v>2</v>
      </c>
      <c r="K1443" s="8" t="n">
        <v>100</v>
      </c>
      <c r="L1443" s="8" t="inlineStr">
        <is>
          <t>是</t>
        </is>
      </c>
      <c r="M1443" s="9" t="inlineStr"/>
      <c r="N1443" s="8" t="n">
        <v>1</v>
      </c>
      <c r="O1443" s="9" t="inlineStr">
        <is>
          <t>消耗品效果</t>
        </is>
      </c>
      <c r="P1443" s="9" t="inlineStr">
        <is>
          <t>consumable</t>
        </is>
      </c>
      <c r="Q1443" s="9" t="inlineStr">
        <is>
          <t>消耗品效果：最多将 12 层护甲转化为等量凝金；最多将 16 层护甲转化为等量凝金；最多将 20 层护甲转化为等量凝金；最多将 24 层护甲转化为等量凝金</t>
        </is>
      </c>
      <c r="R1443" s="9" t="inlineStr"/>
      <c r="S1443" s="9" t="inlineStr">
        <is>
          <t>将负炉铜扣束带灵性封入符胆炼成的符箓。催动时符纹会显化母材特征，释放筑基期灵效。</t>
        </is>
      </c>
      <c r="T1443" s="8" t="inlineStr">
        <is>
          <t>talisman_lujia_ni_furnace_harness_seal_1x2</t>
        </is>
      </c>
      <c r="U1443" s="8" t="inlineStr">
        <is>
          <t>allowed</t>
        </is>
      </c>
    </row>
    <row r="1444" ht="34" customHeight="1">
      <c r="A1444" s="8" t="n">
        <v>1443</v>
      </c>
      <c r="B1444" s="8" t="n">
        <v>715500</v>
      </c>
      <c r="C1444" s="8" t="inlineStr">
        <is>
          <t>琥珀眼珠护脉符</t>
        </is>
      </c>
      <c r="D1444" s="8" t="inlineStr">
        <is>
          <t>符箓</t>
        </is>
      </c>
      <c r="E1444" s="8" t="inlineStr">
        <is>
          <t>talisman</t>
        </is>
      </c>
      <c r="F1444" s="8" t="inlineStr">
        <is>
          <t>spirit</t>
        </is>
      </c>
      <c r="G1444" s="8" t="inlineStr">
        <is>
          <t>火</t>
        </is>
      </c>
      <c r="H1444" s="8" t="inlineStr">
        <is>
          <t>fire</t>
        </is>
      </c>
      <c r="I1444" s="8" t="inlineStr">
        <is>
          <t>1×1</t>
        </is>
      </c>
      <c r="J1444" s="8" t="n">
        <v>1</v>
      </c>
      <c r="K1444" s="8" t="n">
        <v>100</v>
      </c>
      <c r="L1444" s="8" t="inlineStr">
        <is>
          <t>是</t>
        </is>
      </c>
      <c r="M1444" s="9" t="inlineStr"/>
      <c r="N1444" s="8" t="n">
        <v>1</v>
      </c>
      <c r="O1444" s="9" t="inlineStr">
        <is>
          <t>消耗品效果</t>
        </is>
      </c>
      <c r="P1444" s="9" t="inlineStr">
        <is>
          <t>consumable</t>
        </is>
      </c>
      <c r="Q1444" s="9" t="inlineStr">
        <is>
          <t>消耗品效果：对敌方造成 30 点伤害，并冻结敌方占格面积最大的道具 2 秒；对敌方造成 40 点伤害，并冻结敌方占格面积最大的道具 3 秒；对敌方造成 50 点伤害，并冻结敌方占格面积最大的道具 4 秒；对敌方造成 60 点伤害，并冻结敌方占格面积最大的道具 5 秒</t>
        </is>
      </c>
      <c r="R1444" s="9" t="inlineStr"/>
      <c r="S1444" s="9" t="inlineStr">
        <is>
          <t>将琥珀眼珠灵性封入符胆炼成的符箓。催动时符纹会显化母材特征，释放筑基期灵效。</t>
        </is>
      </c>
      <c r="T1444" s="8" t="inlineStr">
        <is>
          <t>talisman_sanjing_liexi_amber_eye_bead_seal_1x1</t>
        </is>
      </c>
      <c r="U1444" s="8" t="inlineStr">
        <is>
          <t>allowed</t>
        </is>
      </c>
    </row>
    <row r="1445" ht="34" customHeight="1">
      <c r="A1445" s="8" t="n">
        <v>1444</v>
      </c>
      <c r="B1445" s="8" t="n">
        <v>715501</v>
      </c>
      <c r="C1445" s="8" t="inlineStr">
        <is>
          <t>张褶棘护脉符</t>
        </is>
      </c>
      <c r="D1445" s="8" t="inlineStr">
        <is>
          <t>符箓</t>
        </is>
      </c>
      <c r="E1445" s="8" t="inlineStr">
        <is>
          <t>talisman</t>
        </is>
      </c>
      <c r="F1445" s="8" t="inlineStr">
        <is>
          <t>spirit</t>
        </is>
      </c>
      <c r="G1445" s="8" t="inlineStr">
        <is>
          <t>金</t>
        </is>
      </c>
      <c r="H1445" s="8" t="inlineStr">
        <is>
          <t>metal</t>
        </is>
      </c>
      <c r="I1445" s="8" t="inlineStr">
        <is>
          <t>1×1</t>
        </is>
      </c>
      <c r="J1445" s="8" t="n">
        <v>1</v>
      </c>
      <c r="K1445" s="8" t="n">
        <v>100</v>
      </c>
      <c r="L1445" s="8" t="inlineStr">
        <is>
          <t>是</t>
        </is>
      </c>
      <c r="M1445" s="9" t="inlineStr"/>
      <c r="N1445" s="8" t="n">
        <v>1</v>
      </c>
      <c r="O1445" s="9" t="inlineStr">
        <is>
          <t>消耗品效果</t>
        </is>
      </c>
      <c r="P1445" s="9" t="inlineStr">
        <is>
          <t>consumable</t>
        </is>
      </c>
      <c r="Q1445" s="9" t="inlineStr">
        <is>
          <t>消耗品效果：消耗 4 点法力，对敌方造成 40 点伤害，并施加 2 层麻痹；消耗 6 点法力，对敌方造成 50 点伤害，并施加 4 层麻痹；消耗 8 点法力，对敌方造成 60 点伤害，并施加 6 层麻痹；消耗 10 点法力，对敌方造成 70 点伤害，并施加 8 层麻痹；消耗 5 点法力，对敌方造成 70 点伤害，并施加 8 层麻痹</t>
        </is>
      </c>
      <c r="R1445" s="9" t="inlineStr"/>
      <c r="S1445" s="9" t="inlineStr">
        <is>
          <t>将张褶棘灵性封入符胆炼成的符箓。催动时符纹会显化母材特征，释放筑基期灵效。</t>
        </is>
      </c>
      <c r="T1445" s="8" t="inlineStr">
        <is>
          <t>talisman_sanjing_liexi_frill_spur_seal_1x1</t>
        </is>
      </c>
      <c r="U1445" s="8" t="inlineStr">
        <is>
          <t>allowed</t>
        </is>
      </c>
    </row>
    <row r="1446" ht="34" customHeight="1">
      <c r="A1446" s="8" t="n">
        <v>1445</v>
      </c>
      <c r="B1446" s="8" t="n">
        <v>715502</v>
      </c>
      <c r="C1446" s="8" t="inlineStr">
        <is>
          <t>腹鳞皮条护脉符</t>
        </is>
      </c>
      <c r="D1446" s="8" t="inlineStr">
        <is>
          <t>符箓</t>
        </is>
      </c>
      <c r="E1446" s="8" t="inlineStr">
        <is>
          <t>talisman</t>
        </is>
      </c>
      <c r="F1446" s="8" t="inlineStr">
        <is>
          <t>spirit</t>
        </is>
      </c>
      <c r="G1446" s="8" t="inlineStr">
        <is>
          <t>土</t>
        </is>
      </c>
      <c r="H1446" s="8" t="inlineStr">
        <is>
          <t>earth</t>
        </is>
      </c>
      <c r="I1446" s="8" t="inlineStr">
        <is>
          <t>1×2</t>
        </is>
      </c>
      <c r="J1446" s="8" t="n">
        <v>2</v>
      </c>
      <c r="K1446" s="8" t="n">
        <v>100</v>
      </c>
      <c r="L1446" s="8" t="inlineStr">
        <is>
          <t>是</t>
        </is>
      </c>
      <c r="M1446" s="9" t="inlineStr"/>
      <c r="N1446" s="8" t="n">
        <v>1</v>
      </c>
      <c r="O1446" s="9" t="inlineStr">
        <is>
          <t>消耗品效果</t>
        </is>
      </c>
      <c r="P1446" s="9" t="inlineStr">
        <is>
          <t>consumable</t>
        </is>
      </c>
      <c r="Q1446" s="9" t="inlineStr">
        <is>
          <t>消耗品效果：获得 16 层闪避；获得 20 层闪避；获得 26 层闪避；获得 30 层闪避</t>
        </is>
      </c>
      <c r="R1446" s="9" t="inlineStr"/>
      <c r="S1446" s="9" t="inlineStr">
        <is>
          <t>将腹鳞皮条灵性封入符胆炼成的符箓。催动时符纹会显化母材特征，释放筑基期灵效。</t>
        </is>
      </c>
      <c r="T1446" s="8" t="inlineStr">
        <is>
          <t>talisman_sanjing_liexi_belly_hide_strip_seal_1x2</t>
        </is>
      </c>
      <c r="U1446" s="8" t="inlineStr">
        <is>
          <t>allowed</t>
        </is>
      </c>
    </row>
    <row r="1447" ht="34" customHeight="1">
      <c r="A1447" s="8" t="n">
        <v>1446</v>
      </c>
      <c r="B1447" s="8" t="n">
        <v>716000</v>
      </c>
      <c r="C1447" s="8" t="inlineStr">
        <is>
          <t>潮痕鳄齿引脉符</t>
        </is>
      </c>
      <c r="D1447" s="8" t="inlineStr">
        <is>
          <t>符箓</t>
        </is>
      </c>
      <c r="E1447" s="8" t="inlineStr">
        <is>
          <t>talisman</t>
        </is>
      </c>
      <c r="F1447" s="8" t="inlineStr">
        <is>
          <t>spirit</t>
        </is>
      </c>
      <c r="G1447" s="8" t="inlineStr">
        <is>
          <t>金</t>
        </is>
      </c>
      <c r="H1447" s="8" t="inlineStr">
        <is>
          <t>metal</t>
        </is>
      </c>
      <c r="I1447" s="8" t="inlineStr">
        <is>
          <t>1×1</t>
        </is>
      </c>
      <c r="J1447" s="8" t="n">
        <v>1</v>
      </c>
      <c r="K1447" s="8" t="n">
        <v>100</v>
      </c>
      <c r="L1447" s="8" t="inlineStr">
        <is>
          <t>是</t>
        </is>
      </c>
      <c r="M1447" s="9" t="inlineStr"/>
      <c r="N1447" s="8" t="n">
        <v>1</v>
      </c>
      <c r="O1447" s="9" t="inlineStr">
        <is>
          <t>消耗品效果</t>
        </is>
      </c>
      <c r="P1447" s="9" t="inlineStr">
        <is>
          <t>consumable</t>
        </is>
      </c>
      <c r="Q1447" s="9" t="inlineStr">
        <is>
          <t>消耗品效果：对敌方施加 20 层冰霜；对敌方施加 26 层冰霜；对敌方施加 30 层冰霜；对敌方施加 36 层冰霜</t>
        </is>
      </c>
      <c r="R1447" s="9" t="inlineStr"/>
      <c r="S1447" s="9" t="inlineStr">
        <is>
          <t>将潮痕鳄齿灵性封入符胆炼成的符箓。催动时符纹会显化母材特征，释放筑基期灵效。</t>
        </is>
      </c>
      <c r="T1447" s="8" t="inlineStr">
        <is>
          <t>talisman_forged_xuanmao_e_tide_marked_fang_2_1x1</t>
        </is>
      </c>
      <c r="U1447" s="8" t="inlineStr">
        <is>
          <t>allowed</t>
        </is>
      </c>
    </row>
    <row r="1448" ht="34" customHeight="1">
      <c r="A1448" s="8" t="n">
        <v>1447</v>
      </c>
      <c r="B1448" s="8" t="n">
        <v>716001</v>
      </c>
      <c r="C1448" s="8" t="inlineStr">
        <is>
          <t>潭息喉囊引脉符</t>
        </is>
      </c>
      <c r="D1448" s="8" t="inlineStr">
        <is>
          <t>符箓</t>
        </is>
      </c>
      <c r="E1448" s="8" t="inlineStr">
        <is>
          <t>talisman</t>
        </is>
      </c>
      <c r="F1448" s="8" t="inlineStr">
        <is>
          <t>spirit</t>
        </is>
      </c>
      <c r="G1448" s="8" t="inlineStr">
        <is>
          <t>水</t>
        </is>
      </c>
      <c r="H1448" s="8" t="inlineStr">
        <is>
          <t>water</t>
        </is>
      </c>
      <c r="I1448" s="8" t="inlineStr">
        <is>
          <t>1×1</t>
        </is>
      </c>
      <c r="J1448" s="8" t="n">
        <v>1</v>
      </c>
      <c r="K1448" s="8" t="n">
        <v>100</v>
      </c>
      <c r="L1448" s="8" t="inlineStr">
        <is>
          <t>是</t>
        </is>
      </c>
      <c r="M1448" s="9" t="inlineStr"/>
      <c r="N1448" s="8" t="n">
        <v>1</v>
      </c>
      <c r="O1448" s="9" t="inlineStr">
        <is>
          <t>消耗品效果</t>
        </is>
      </c>
      <c r="P1448" s="9" t="inlineStr">
        <is>
          <t>consumable</t>
        </is>
      </c>
      <c r="Q1448" s="9" t="inlineStr">
        <is>
          <t>消耗品效果：冻结敌方随机 1 件道具 5 秒；冻结敌方随机 1 件道具 8 秒；冻结敌方随机 1 件道具 10 秒；冻结敌方随机 1 件道具 13 秒</t>
        </is>
      </c>
      <c r="R1448" s="9" t="inlineStr"/>
      <c r="S1448" s="9" t="inlineStr">
        <is>
          <t>将潭息喉囊灵性封入符胆炼成的符箓。催动时符纹会显化母材特征，释放筑基期灵效。</t>
        </is>
      </c>
      <c r="T1448" s="8" t="inlineStr">
        <is>
          <t>talisman_forged_xuanmao_e_deep_pool_throat_sac_2_1x1</t>
        </is>
      </c>
      <c r="U1448" s="8" t="inlineStr">
        <is>
          <t>allowed</t>
        </is>
      </c>
    </row>
    <row r="1449" ht="34" customHeight="1">
      <c r="A1449" s="8" t="n">
        <v>1448</v>
      </c>
      <c r="B1449" s="8" t="n">
        <v>716300</v>
      </c>
      <c r="C1449" s="8" t="inlineStr">
        <is>
          <t>重踏后掌回响符</t>
        </is>
      </c>
      <c r="D1449" s="8" t="inlineStr">
        <is>
          <t>符箓</t>
        </is>
      </c>
      <c r="E1449" s="8" t="inlineStr">
        <is>
          <t>talisman</t>
        </is>
      </c>
      <c r="F1449" s="8" t="inlineStr">
        <is>
          <t>spirit</t>
        </is>
      </c>
      <c r="G1449" s="8" t="inlineStr">
        <is>
          <t>土</t>
        </is>
      </c>
      <c r="H1449" s="8" t="inlineStr">
        <is>
          <t>earth</t>
        </is>
      </c>
      <c r="I1449" s="8" t="inlineStr">
        <is>
          <t>2×1</t>
        </is>
      </c>
      <c r="J1449" s="8" t="n">
        <v>2</v>
      </c>
      <c r="K1449" s="8" t="n">
        <v>100</v>
      </c>
      <c r="L1449" s="8" t="inlineStr">
        <is>
          <t>是</t>
        </is>
      </c>
      <c r="M1449" s="9" t="inlineStr"/>
      <c r="N1449" s="8" t="n">
        <v>1</v>
      </c>
      <c r="O1449" s="9" t="inlineStr">
        <is>
          <t>消耗品效果</t>
        </is>
      </c>
      <c r="P1449" s="9" t="inlineStr">
        <is>
          <t>consumable</t>
        </is>
      </c>
      <c r="Q1449" s="9" t="inlineStr">
        <is>
          <t>消耗品效果：获得 12 层坚硬；获得 16 层坚硬；获得 20 层坚硬；获得 24 层坚硬</t>
        </is>
      </c>
      <c r="R1449" s="9" t="inlineStr"/>
      <c r="S1449" s="9" t="inlineStr">
        <is>
          <t>将重踏后掌灵性封入符胆炼成的符箓。催动时符纹会显化母材特征，释放筑基期灵效。</t>
        </is>
      </c>
      <c r="T1449" s="8" t="inlineStr">
        <is>
          <t>talisman_zhenbei_xiong_heavy_hind_paw_link_2x1</t>
        </is>
      </c>
      <c r="U1449" s="8" t="inlineStr">
        <is>
          <t>allowed</t>
        </is>
      </c>
    </row>
    <row r="1450" ht="34" customHeight="1">
      <c r="A1450" s="8" t="n">
        <v>1449</v>
      </c>
      <c r="B1450" s="8" t="n">
        <v>716301</v>
      </c>
      <c r="C1450" s="8" t="inlineStr">
        <is>
          <t>风箱喉囊回响符</t>
        </is>
      </c>
      <c r="D1450" s="8" t="inlineStr">
        <is>
          <t>符箓</t>
        </is>
      </c>
      <c r="E1450" s="8" t="inlineStr">
        <is>
          <t>talisman</t>
        </is>
      </c>
      <c r="F1450" s="8" t="inlineStr">
        <is>
          <t>spirit</t>
        </is>
      </c>
      <c r="G1450" s="8" t="inlineStr">
        <is>
          <t>火</t>
        </is>
      </c>
      <c r="H1450" s="8" t="inlineStr">
        <is>
          <t>fire</t>
        </is>
      </c>
      <c r="I1450" s="8" t="inlineStr">
        <is>
          <t>2×2</t>
        </is>
      </c>
      <c r="J1450" s="8" t="n">
        <v>4</v>
      </c>
      <c r="K1450" s="8" t="n">
        <v>100</v>
      </c>
      <c r="L1450" s="8" t="inlineStr">
        <is>
          <t>是</t>
        </is>
      </c>
      <c r="M1450" s="9" t="inlineStr"/>
      <c r="N1450" s="8" t="n">
        <v>1</v>
      </c>
      <c r="O1450" s="9" t="inlineStr">
        <is>
          <t>消耗品效果</t>
        </is>
      </c>
      <c r="P1450" s="9" t="inlineStr">
        <is>
          <t>consumable</t>
        </is>
      </c>
      <c r="Q1450" s="9" t="inlineStr">
        <is>
          <t>消耗品效果：将 10 层炎热转化为 3 层坚硬；将 20 层炎热转化为 4 层坚硬；将 20 层炎热转化为 5 层坚硬；将 20 层炎热转化为 6 层坚硬</t>
        </is>
      </c>
      <c r="R1450" s="9" t="inlineStr"/>
      <c r="S1450" s="9" t="inlineStr">
        <is>
          <t>将风箱喉囊灵性封入符胆炼成的符箓。催动时符纹会显化母材特征，释放筑基期灵效。</t>
        </is>
      </c>
      <c r="T1450" s="8" t="inlineStr">
        <is>
          <t>talisman_zhenbei_xiong_bellows_throat_sac_link_2x2</t>
        </is>
      </c>
      <c r="U1450" s="8" t="inlineStr">
        <is>
          <t>allowed</t>
        </is>
      </c>
    </row>
    <row r="1451" ht="34" customHeight="1">
      <c r="A1451" s="8" t="n">
        <v>1450</v>
      </c>
      <c r="B1451" s="8" t="n">
        <v>716302</v>
      </c>
      <c r="C1451" s="8" t="inlineStr">
        <is>
          <t>淬铁短獠回响符</t>
        </is>
      </c>
      <c r="D1451" s="8" t="inlineStr">
        <is>
          <t>符箓</t>
        </is>
      </c>
      <c r="E1451" s="8" t="inlineStr">
        <is>
          <t>talisman</t>
        </is>
      </c>
      <c r="F1451" s="8" t="inlineStr">
        <is>
          <t>spirit</t>
        </is>
      </c>
      <c r="G1451" s="8" t="inlineStr">
        <is>
          <t>金</t>
        </is>
      </c>
      <c r="H1451" s="8" t="inlineStr">
        <is>
          <t>metal</t>
        </is>
      </c>
      <c r="I1451" s="8" t="inlineStr">
        <is>
          <t>1×2</t>
        </is>
      </c>
      <c r="J1451" s="8" t="n">
        <v>2</v>
      </c>
      <c r="K1451" s="8" t="n">
        <v>100</v>
      </c>
      <c r="L1451" s="8" t="inlineStr">
        <is>
          <t>是</t>
        </is>
      </c>
      <c r="M1451" s="9" t="inlineStr"/>
      <c r="N1451" s="8" t="n">
        <v>1</v>
      </c>
      <c r="O1451" s="9" t="inlineStr">
        <is>
          <t>消耗品效果</t>
        </is>
      </c>
      <c r="P1451" s="9" t="inlineStr">
        <is>
          <t>consumable</t>
        </is>
      </c>
      <c r="Q1451" s="9" t="inlineStr">
        <is>
          <t>消耗品效果：最多消耗 24 层护甲，每消耗 1 层，对敌方造成 8 点伤害；并对敌方施加 10 层冰霜；最多消耗 24 层护甲，每消耗 1 层，对敌方造成 10 点伤害；并对敌方施加 16 层冰霜；最多消耗 24 层护甲，每消耗 1 层，对敌方造成 20 点伤害；并对敌方施加 16 层冰霜；最多消耗 24 层护甲，每消耗 1 层，对敌方造成 13 点伤害；并对敌方施加 20 层冰霜；最多消耗 24 层护甲，每消耗 1 层，对敌方造成 26 点伤害；并对敌方施加 20 层冰霜；最多消耗 24 层护甲，每消耗 1 层，对敌方造成 15 点伤害；并对敌方施加 26 层冰霜</t>
        </is>
      </c>
      <c r="R1451" s="9" t="inlineStr"/>
      <c r="S1451" s="9" t="inlineStr">
        <is>
          <t>将淬铁短獠灵性封入符胆炼成的符箓。催动时符纹会显化母材特征，释放筑基期灵效。</t>
        </is>
      </c>
      <c r="T1451" s="8" t="inlineStr">
        <is>
          <t>talisman_zhenbei_xiong_quenched_fang_link_1x2</t>
        </is>
      </c>
      <c r="U1451" s="8" t="inlineStr">
        <is>
          <t>allowed</t>
        </is>
      </c>
    </row>
    <row r="1452" ht="34" customHeight="1">
      <c r="A1452" s="8" t="n">
        <v>1451</v>
      </c>
      <c r="B1452" s="8" t="n">
        <v>800001</v>
      </c>
      <c r="C1452" s="8" t="inlineStr">
        <is>
          <t>碎石劲</t>
        </is>
      </c>
      <c r="D1452" s="8" t="inlineStr">
        <is>
          <t>招式</t>
        </is>
      </c>
      <c r="E1452" s="8" t="inlineStr">
        <is>
          <t>spell</t>
        </is>
      </c>
      <c r="F1452" s="8" t="inlineStr">
        <is>
          <t>common</t>
        </is>
      </c>
      <c r="G1452" s="8" t="inlineStr">
        <is>
          <t>无</t>
        </is>
      </c>
      <c r="H1452" s="8" t="inlineStr">
        <is>
          <t>none</t>
        </is>
      </c>
      <c r="I1452" s="8" t="inlineStr">
        <is>
          <t>1×1</t>
        </is>
      </c>
      <c r="J1452" s="8" t="n">
        <v>1</v>
      </c>
      <c r="K1452" s="8" t="inlineStr"/>
      <c r="L1452" s="8" t="inlineStr">
        <is>
          <t>是</t>
        </is>
      </c>
      <c r="M1452" s="9" t="inlineStr">
        <is>
          <t>scriptureSpellReward</t>
        </is>
      </c>
      <c r="N1452" s="8" t="n">
        <v>1</v>
      </c>
      <c r="O1452" s="9" t="inlineStr">
        <is>
          <t>说明/执行器</t>
        </is>
      </c>
      <c r="P1452" s="9" t="inlineStr">
        <is>
          <t>effectNote</t>
        </is>
      </c>
      <c r="Q1452" s="9" t="inlineStr">
        <is>
          <t>说明/执行器：长按释放，消耗 6 点法力，使所有武器造成的伤害时可移除敌方 2 层坚硬，持续 10 秒</t>
        </is>
      </c>
      <c r="R1452" s="9" t="inlineStr">
        <is>
          <t>scripture_spell</t>
        </is>
      </c>
      <c r="S1452" s="9" t="inlineStr">
        <is>
          <t>旧竹简里最朴素的一式发劲法，气血沉肩入臂，出手时像钝器砸开顽石。</t>
        </is>
      </c>
      <c r="T1452" s="8" t="inlineStr">
        <is>
          <t>spell_suishi_jin_1x1</t>
        </is>
      </c>
      <c r="U1452" s="8" t="inlineStr">
        <is>
          <t>allowed</t>
        </is>
      </c>
    </row>
    <row r="1453" ht="34" customHeight="1">
      <c r="A1453" s="8" t="n">
        <v>1452</v>
      </c>
      <c r="B1453" s="8" t="n">
        <v>800002</v>
      </c>
      <c r="C1453" s="8" t="inlineStr">
        <is>
          <t>回身劲</t>
        </is>
      </c>
      <c r="D1453" s="8" t="inlineStr">
        <is>
          <t>招式</t>
        </is>
      </c>
      <c r="E1453" s="8" t="inlineStr">
        <is>
          <t>spell</t>
        </is>
      </c>
      <c r="F1453" s="8" t="inlineStr">
        <is>
          <t>common</t>
        </is>
      </c>
      <c r="G1453" s="8" t="inlineStr">
        <is>
          <t>无</t>
        </is>
      </c>
      <c r="H1453" s="8" t="inlineStr">
        <is>
          <t>none</t>
        </is>
      </c>
      <c r="I1453" s="8" t="inlineStr">
        <is>
          <t>1×1</t>
        </is>
      </c>
      <c r="J1453" s="8" t="n">
        <v>1</v>
      </c>
      <c r="K1453" s="8" t="inlineStr"/>
      <c r="L1453" s="8" t="inlineStr">
        <is>
          <t>是</t>
        </is>
      </c>
      <c r="M1453" s="9" t="inlineStr">
        <is>
          <t>scriptureSpellReward</t>
        </is>
      </c>
      <c r="N1453" s="8" t="n">
        <v>1</v>
      </c>
      <c r="O1453" s="9" t="inlineStr">
        <is>
          <t>说明/执行器</t>
        </is>
      </c>
      <c r="P1453" s="9" t="inlineStr">
        <is>
          <t>effectNote</t>
        </is>
      </c>
      <c r="Q1453" s="9" t="inlineStr">
        <is>
          <t>说明/执行器：长按释放，消耗 10 点法力，对敌方造成伤害，数值等同于上一次武器对其造成的伤害值</t>
        </is>
      </c>
      <c r="R1453" s="9" t="inlineStr">
        <is>
          <t>scripture_spell</t>
        </is>
      </c>
      <c r="S1453" s="9" t="inlineStr">
        <is>
          <t>脚跟回扣，腰背如弓，受压时反把散开的气力收回身中。</t>
        </is>
      </c>
      <c r="T1453" s="8" t="inlineStr">
        <is>
          <t>spell_huishen_jin_1x1</t>
        </is>
      </c>
      <c r="U1453" s="8" t="inlineStr">
        <is>
          <t>allowed</t>
        </is>
      </c>
    </row>
    <row r="1454" ht="34" customHeight="1">
      <c r="A1454" s="8" t="n">
        <v>1453</v>
      </c>
      <c r="B1454" s="8" t="n">
        <v>800003</v>
      </c>
      <c r="C1454" s="8" t="inlineStr">
        <is>
          <t>凝息劲</t>
        </is>
      </c>
      <c r="D1454" s="8" t="inlineStr">
        <is>
          <t>招式</t>
        </is>
      </c>
      <c r="E1454" s="8" t="inlineStr">
        <is>
          <t>spell</t>
        </is>
      </c>
      <c r="F1454" s="8" t="inlineStr">
        <is>
          <t>common</t>
        </is>
      </c>
      <c r="G1454" s="8" t="inlineStr">
        <is>
          <t>无</t>
        </is>
      </c>
      <c r="H1454" s="8" t="inlineStr">
        <is>
          <t>none</t>
        </is>
      </c>
      <c r="I1454" s="8" t="inlineStr">
        <is>
          <t>1×1</t>
        </is>
      </c>
      <c r="J1454" s="8" t="n">
        <v>1</v>
      </c>
      <c r="K1454" s="8" t="inlineStr"/>
      <c r="L1454" s="8" t="inlineStr">
        <is>
          <t>是</t>
        </is>
      </c>
      <c r="M1454" s="9" t="inlineStr">
        <is>
          <t>scriptureSpellReward</t>
        </is>
      </c>
      <c r="N1454" s="8" t="n">
        <v>1</v>
      </c>
      <c r="O1454" s="9" t="inlineStr">
        <is>
          <t>说明/执行器</t>
        </is>
      </c>
      <c r="P1454" s="9" t="inlineStr">
        <is>
          <t>effectNote</t>
        </is>
      </c>
      <c r="Q1454" s="9" t="inlineStr">
        <is>
          <t>说明/执行器：长按释放，消耗 15 点气血，10 秒内获得的体力翻倍</t>
        </is>
      </c>
      <c r="R1454" s="9" t="inlineStr">
        <is>
          <t>scripture_spell</t>
        </is>
      </c>
      <c r="S1454" s="9" t="inlineStr">
        <is>
          <t>出手之前先收一口短息，气机压入指掌，使对手动作微滞。</t>
        </is>
      </c>
      <c r="T1454" s="8" t="inlineStr">
        <is>
          <t>spell_ningxi_jin_1x1</t>
        </is>
      </c>
      <c r="U1454" s="8" t="inlineStr">
        <is>
          <t>allowed</t>
        </is>
      </c>
    </row>
    <row r="1455" ht="34" customHeight="1">
      <c r="A1455" s="8" t="n">
        <v>1454</v>
      </c>
      <c r="B1455" s="8" t="n">
        <v>800004</v>
      </c>
      <c r="C1455" s="8" t="inlineStr">
        <is>
          <t>铁骨劲</t>
        </is>
      </c>
      <c r="D1455" s="8" t="inlineStr">
        <is>
          <t>招式</t>
        </is>
      </c>
      <c r="E1455" s="8" t="inlineStr">
        <is>
          <t>spell</t>
        </is>
      </c>
      <c r="F1455" s="8" t="inlineStr">
        <is>
          <t>common</t>
        </is>
      </c>
      <c r="G1455" s="8" t="inlineStr">
        <is>
          <t>无</t>
        </is>
      </c>
      <c r="H1455" s="8" t="inlineStr">
        <is>
          <t>none</t>
        </is>
      </c>
      <c r="I1455" s="8" t="inlineStr">
        <is>
          <t>1×1</t>
        </is>
      </c>
      <c r="J1455" s="8" t="n">
        <v>1</v>
      </c>
      <c r="K1455" s="8" t="inlineStr"/>
      <c r="L1455" s="8" t="inlineStr">
        <is>
          <t>是</t>
        </is>
      </c>
      <c r="M1455" s="9" t="inlineStr">
        <is>
          <t>scriptureSpellReward</t>
        </is>
      </c>
      <c r="N1455" s="8" t="n">
        <v>1</v>
      </c>
      <c r="O1455" s="9" t="inlineStr">
        <is>
          <t>说明/执行器</t>
        </is>
      </c>
      <c r="P1455" s="9" t="inlineStr">
        <is>
          <t>effectNote</t>
        </is>
      </c>
      <c r="Q1455" s="9" t="inlineStr">
        <is>
          <t>说明/执行器：长按释放，消耗 10 点法力，获得 15 层护甲和 5 层坚硬</t>
        </is>
      </c>
      <c r="R1455" s="9" t="inlineStr">
        <is>
          <t>scripture_spell</t>
        </is>
      </c>
      <c r="S1455" s="9" t="inlineStr">
        <is>
          <t>气血沉入骨缝，周身像覆上一层暗铁，受击时骨节低鸣而不散。</t>
        </is>
      </c>
      <c r="T1455" s="8" t="inlineStr">
        <is>
          <t>spell_tiegu_jin_1x1</t>
        </is>
      </c>
      <c r="U1455" s="8" t="inlineStr">
        <is>
          <t>allowed</t>
        </is>
      </c>
    </row>
    <row r="1456" ht="34" customHeight="1">
      <c r="A1456" s="8" t="n">
        <v>1455</v>
      </c>
      <c r="B1456" s="8" t="n">
        <v>800005</v>
      </c>
      <c r="C1456" s="8" t="inlineStr">
        <is>
          <t>伏虎势</t>
        </is>
      </c>
      <c r="D1456" s="8" t="inlineStr">
        <is>
          <t>招式</t>
        </is>
      </c>
      <c r="E1456" s="8" t="inlineStr">
        <is>
          <t>spell</t>
        </is>
      </c>
      <c r="F1456" s="8" t="inlineStr">
        <is>
          <t>common</t>
        </is>
      </c>
      <c r="G1456" s="8" t="inlineStr">
        <is>
          <t>无</t>
        </is>
      </c>
      <c r="H1456" s="8" t="inlineStr">
        <is>
          <t>none</t>
        </is>
      </c>
      <c r="I1456" s="8" t="inlineStr">
        <is>
          <t>2×2</t>
        </is>
      </c>
      <c r="J1456" s="8" t="n">
        <v>4</v>
      </c>
      <c r="K1456" s="8" t="inlineStr"/>
      <c r="L1456" s="8" t="inlineStr">
        <is>
          <t>是</t>
        </is>
      </c>
      <c r="M1456" s="9" t="inlineStr">
        <is>
          <t>scriptureSpellReward</t>
        </is>
      </c>
      <c r="N1456" s="8" t="n">
        <v>1</v>
      </c>
      <c r="O1456" s="9" t="inlineStr">
        <is>
          <t>说明/执行器</t>
        </is>
      </c>
      <c r="P1456" s="9" t="inlineStr">
        <is>
          <t>effectNote</t>
        </is>
      </c>
      <c r="Q1456" s="9" t="inlineStr">
        <is>
          <t>说明/执行器：长按释放，如果体力低于 30，清空体力，对敌方造成等同于体力 3 倍的伤害</t>
        </is>
      </c>
      <c r="R1456" s="9" t="inlineStr">
        <is>
          <t>scripture_spell</t>
        </is>
      </c>
      <c r="S1456" s="9" t="inlineStr">
        <is>
          <t>身形微伏，筋肉如弦，气息压在足底，待到出手时仍留有一口余力。</t>
        </is>
      </c>
      <c r="T1456" s="8" t="inlineStr">
        <is>
          <t>spell_fuhu_shi_2x2</t>
        </is>
      </c>
      <c r="U1456" s="8" t="inlineStr">
        <is>
          <t>allowed</t>
        </is>
      </c>
    </row>
    <row r="1457" ht="34" customHeight="1">
      <c r="A1457" s="8" t="n">
        <v>1456</v>
      </c>
      <c r="B1457" s="8" t="n">
        <v>800006</v>
      </c>
      <c r="C1457" s="8" t="inlineStr">
        <is>
          <t>崩山劲</t>
        </is>
      </c>
      <c r="D1457" s="8" t="inlineStr">
        <is>
          <t>招式</t>
        </is>
      </c>
      <c r="E1457" s="8" t="inlineStr">
        <is>
          <t>spell</t>
        </is>
      </c>
      <c r="F1457" s="8" t="inlineStr">
        <is>
          <t>common</t>
        </is>
      </c>
      <c r="G1457" s="8" t="inlineStr">
        <is>
          <t>无</t>
        </is>
      </c>
      <c r="H1457" s="8" t="inlineStr">
        <is>
          <t>none</t>
        </is>
      </c>
      <c r="I1457" s="8" t="inlineStr">
        <is>
          <t>2×2</t>
        </is>
      </c>
      <c r="J1457" s="8" t="n">
        <v>4</v>
      </c>
      <c r="K1457" s="8" t="inlineStr"/>
      <c r="L1457" s="8" t="inlineStr">
        <is>
          <t>是</t>
        </is>
      </c>
      <c r="M1457" s="9" t="inlineStr">
        <is>
          <t>scriptureSpellReward</t>
        </is>
      </c>
      <c r="N1457" s="8" t="n">
        <v>1</v>
      </c>
      <c r="O1457" s="9" t="inlineStr">
        <is>
          <t>说明/执行器</t>
        </is>
      </c>
      <c r="P1457" s="9" t="inlineStr">
        <is>
          <t>effectNote</t>
        </is>
      </c>
      <c r="Q1457" s="9" t="inlineStr">
        <is>
          <t>说明/执行器：长按释放，每有 1 层坚硬，对敌方造成 5 点伤害</t>
        </is>
      </c>
      <c r="R1457" s="9" t="inlineStr">
        <is>
          <t>scripture_spell</t>
        </is>
      </c>
      <c r="S1457" s="9" t="inlineStr">
        <is>
          <t>全身劲力拧成一线，拳锋未至，压迫感已像山岩倾倒。</t>
        </is>
      </c>
      <c r="T1457" s="8" t="inlineStr">
        <is>
          <t>spell_bengshan_jin_2x2</t>
        </is>
      </c>
      <c r="U1457" s="8" t="inlineStr">
        <is>
          <t>allowed</t>
        </is>
      </c>
    </row>
    <row r="1458" ht="34" customHeight="1">
      <c r="A1458" s="8" t="n">
        <v>1457</v>
      </c>
      <c r="B1458" s="8" t="n">
        <v>800007</v>
      </c>
      <c r="C1458" s="8" t="inlineStr">
        <is>
          <t>血罡护体</t>
        </is>
      </c>
      <c r="D1458" s="8" t="inlineStr">
        <is>
          <t>招式</t>
        </is>
      </c>
      <c r="E1458" s="8" t="inlineStr">
        <is>
          <t>spell</t>
        </is>
      </c>
      <c r="F1458" s="8" t="inlineStr">
        <is>
          <t>common</t>
        </is>
      </c>
      <c r="G1458" s="8" t="inlineStr">
        <is>
          <t>无</t>
        </is>
      </c>
      <c r="H1458" s="8" t="inlineStr">
        <is>
          <t>none</t>
        </is>
      </c>
      <c r="I1458" s="8" t="inlineStr">
        <is>
          <t>2×2</t>
        </is>
      </c>
      <c r="J1458" s="8" t="n">
        <v>4</v>
      </c>
      <c r="K1458" s="8" t="inlineStr"/>
      <c r="L1458" s="8" t="inlineStr">
        <is>
          <t>是</t>
        </is>
      </c>
      <c r="M1458" s="9" t="inlineStr">
        <is>
          <t>scriptureSpellReward</t>
        </is>
      </c>
      <c r="N1458" s="8" t="n">
        <v>1</v>
      </c>
      <c r="O1458" s="9" t="inlineStr">
        <is>
          <t>说明/执行器</t>
        </is>
      </c>
      <c r="P1458" s="9" t="inlineStr">
        <is>
          <t>effectNote</t>
        </is>
      </c>
      <c r="Q1458" s="9" t="inlineStr">
        <is>
          <t>说明/执行器：长按释放，将 10 点法力转化为 10 层坚硬</t>
        </is>
      </c>
      <c r="R1458" s="9" t="inlineStr">
        <is>
          <t>scripture_spell</t>
        </is>
      </c>
      <c r="S1458" s="9" t="inlineStr">
        <is>
          <t>气血鼓荡成罡，贴着皮肉浮起一层暗红光膜，受击时如老树盘根般卸去来势。</t>
        </is>
      </c>
      <c r="T1458" s="8" t="inlineStr">
        <is>
          <t>spell_xuegang_huti_2x2</t>
        </is>
      </c>
      <c r="U1458" s="8" t="inlineStr">
        <is>
          <t>allowed</t>
        </is>
      </c>
    </row>
    <row r="1459" ht="34" customHeight="1">
      <c r="A1459" s="8" t="n">
        <v>1458</v>
      </c>
      <c r="B1459" s="8" t="n">
        <v>800008</v>
      </c>
      <c r="C1459" s="8" t="inlineStr">
        <is>
          <t>纳云开府</t>
        </is>
      </c>
      <c r="D1459" s="8" t="inlineStr">
        <is>
          <t>招式</t>
        </is>
      </c>
      <c r="E1459" s="8" t="inlineStr">
        <is>
          <t>spell</t>
        </is>
      </c>
      <c r="F1459" s="8" t="inlineStr">
        <is>
          <t>common</t>
        </is>
      </c>
      <c r="G1459" s="8" t="inlineStr">
        <is>
          <t>木</t>
        </is>
      </c>
      <c r="H1459" s="8" t="inlineStr">
        <is>
          <t>wood</t>
        </is>
      </c>
      <c r="I1459" s="8" t="inlineStr">
        <is>
          <t>1×1</t>
        </is>
      </c>
      <c r="J1459" s="8" t="n">
        <v>1</v>
      </c>
      <c r="K1459" s="8" t="inlineStr"/>
      <c r="L1459" s="8" t="inlineStr">
        <is>
          <t>是</t>
        </is>
      </c>
      <c r="M1459" s="9" t="inlineStr">
        <is>
          <t>scriptureSpellReward</t>
        </is>
      </c>
      <c r="N1459" s="8" t="n">
        <v>1</v>
      </c>
      <c r="O1459" s="9" t="inlineStr">
        <is>
          <t>被动效果</t>
        </is>
      </c>
      <c r="P1459" s="9" t="inlineStr">
        <is>
          <t>passive</t>
        </is>
      </c>
      <c r="Q1459" s="9" t="inlineStr">
        <is>
          <t>被动效果：本局内法力上限临时提升 10 点，体力上限临时提升 10 点</t>
        </is>
      </c>
      <c r="R1459" s="9" t="inlineStr">
        <is>
          <t>scripture_spell</t>
        </is>
      </c>
      <c r="S1459" s="9" t="inlineStr">
        <is>
          <t>指诀轻叩丹田，如引一缕青云入府，法力经脉随之多开一线。</t>
        </is>
      </c>
      <c r="T1459" s="8" t="inlineStr">
        <is>
          <t>spell_nayun_kaifu_1x1</t>
        </is>
      </c>
      <c r="U1459" s="8" t="inlineStr">
        <is>
          <t>allowed</t>
        </is>
      </c>
    </row>
    <row r="1460" ht="34" customHeight="1">
      <c r="A1460" s="8" t="n">
        <v>1459</v>
      </c>
      <c r="B1460" s="8" t="n">
        <v>800009</v>
      </c>
      <c r="C1460" s="8" t="inlineStr">
        <is>
          <t>散云护身</t>
        </is>
      </c>
      <c r="D1460" s="8" t="inlineStr">
        <is>
          <t>招式</t>
        </is>
      </c>
      <c r="E1460" s="8" t="inlineStr">
        <is>
          <t>spell</t>
        </is>
      </c>
      <c r="F1460" s="8" t="inlineStr">
        <is>
          <t>common</t>
        </is>
      </c>
      <c r="G1460" s="8" t="inlineStr">
        <is>
          <t>木</t>
        </is>
      </c>
      <c r="H1460" s="8" t="inlineStr">
        <is>
          <t>wood</t>
        </is>
      </c>
      <c r="I1460" s="8" t="inlineStr">
        <is>
          <t>1×1</t>
        </is>
      </c>
      <c r="J1460" s="8" t="n">
        <v>1</v>
      </c>
      <c r="K1460" s="8" t="inlineStr"/>
      <c r="L1460" s="8" t="inlineStr">
        <is>
          <t>是</t>
        </is>
      </c>
      <c r="M1460" s="9" t="inlineStr">
        <is>
          <t>scriptureSpellReward</t>
        </is>
      </c>
      <c r="N1460" s="8" t="n">
        <v>1</v>
      </c>
      <c r="O1460" s="9" t="inlineStr">
        <is>
          <t>说明/执行器</t>
        </is>
      </c>
      <c r="P1460" s="9" t="inlineStr">
        <is>
          <t>effectNote</t>
        </is>
      </c>
      <c r="Q1460" s="9" t="inlineStr">
        <is>
          <t>说明/执行器：长按释放，恢复自身 10 点气血，获得 1 层闪避</t>
        </is>
      </c>
      <c r="R1460" s="9" t="inlineStr">
        <is>
          <t>scripture_spell</t>
        </is>
      </c>
      <c r="S1460" s="9" t="inlineStr">
        <is>
          <t>将护持经脉的云气散入周身，暂解伤势，却也削薄了丹府余裕。</t>
        </is>
      </c>
      <c r="T1460" s="8" t="inlineStr">
        <is>
          <t>spell_sanyun_hushen_1x1</t>
        </is>
      </c>
      <c r="U1460" s="8" t="inlineStr">
        <is>
          <t>allowed</t>
        </is>
      </c>
    </row>
    <row r="1461" ht="34" customHeight="1">
      <c r="A1461" s="8" t="n">
        <v>1460</v>
      </c>
      <c r="B1461" s="8" t="n">
        <v>800010</v>
      </c>
      <c r="C1461" s="8" t="inlineStr">
        <is>
          <t>行云续府</t>
        </is>
      </c>
      <c r="D1461" s="8" t="inlineStr">
        <is>
          <t>招式</t>
        </is>
      </c>
      <c r="E1461" s="8" t="inlineStr">
        <is>
          <t>spell</t>
        </is>
      </c>
      <c r="F1461" s="8" t="inlineStr">
        <is>
          <t>common</t>
        </is>
      </c>
      <c r="G1461" s="8" t="inlineStr">
        <is>
          <t>木</t>
        </is>
      </c>
      <c r="H1461" s="8" t="inlineStr">
        <is>
          <t>wood</t>
        </is>
      </c>
      <c r="I1461" s="8" t="inlineStr">
        <is>
          <t>1×1</t>
        </is>
      </c>
      <c r="J1461" s="8" t="n">
        <v>1</v>
      </c>
      <c r="K1461" s="8" t="inlineStr"/>
      <c r="L1461" s="8" t="inlineStr">
        <is>
          <t>是</t>
        </is>
      </c>
      <c r="M1461" s="9" t="inlineStr">
        <is>
          <t>scriptureSpellReward</t>
        </is>
      </c>
      <c r="N1461" s="8" t="n">
        <v>1</v>
      </c>
      <c r="O1461" s="9" t="inlineStr">
        <is>
          <t>说明/执行器</t>
        </is>
      </c>
      <c r="P1461" s="9" t="inlineStr">
        <is>
          <t>effectNote</t>
        </is>
      </c>
      <c r="Q1461" s="9" t="inlineStr">
        <is>
          <t>说明/执行器：长按释放，恢复 10 点法力</t>
        </is>
      </c>
      <c r="R1461" s="9" t="inlineStr">
        <is>
          <t>scripture_spell</t>
        </is>
      </c>
      <c r="S1461" s="9" t="inlineStr">
        <is>
          <t>以气血催开云纹法脉，短时扩张丹府，使一口清气回旋不绝。</t>
        </is>
      </c>
      <c r="T1461" s="8" t="inlineStr">
        <is>
          <t>spell_xingyun_xufu_1x1</t>
        </is>
      </c>
      <c r="U1461" s="8" t="inlineStr">
        <is>
          <t>allowed</t>
        </is>
      </c>
    </row>
    <row r="1462" ht="34" customHeight="1">
      <c r="A1462" s="8" t="n">
        <v>1461</v>
      </c>
      <c r="B1462" s="8" t="n">
        <v>800011</v>
      </c>
      <c r="C1462" s="8" t="inlineStr">
        <is>
          <t>截云散劲</t>
        </is>
      </c>
      <c r="D1462" s="8" t="inlineStr">
        <is>
          <t>招式</t>
        </is>
      </c>
      <c r="E1462" s="8" t="inlineStr">
        <is>
          <t>spell</t>
        </is>
      </c>
      <c r="F1462" s="8" t="inlineStr">
        <is>
          <t>common</t>
        </is>
      </c>
      <c r="G1462" s="8" t="inlineStr">
        <is>
          <t>木</t>
        </is>
      </c>
      <c r="H1462" s="8" t="inlineStr">
        <is>
          <t>wood</t>
        </is>
      </c>
      <c r="I1462" s="8" t="inlineStr">
        <is>
          <t>2×2</t>
        </is>
      </c>
      <c r="J1462" s="8" t="n">
        <v>4</v>
      </c>
      <c r="K1462" s="8" t="inlineStr"/>
      <c r="L1462" s="8" t="inlineStr">
        <is>
          <t>是</t>
        </is>
      </c>
      <c r="M1462" s="9" t="inlineStr">
        <is>
          <t>scriptureSpellReward</t>
        </is>
      </c>
      <c r="N1462" s="8" t="n">
        <v>1</v>
      </c>
      <c r="O1462" s="9" t="inlineStr">
        <is>
          <t>周期触发</t>
        </is>
      </c>
      <c r="P1462" s="9" t="inlineStr">
        <is>
          <t>periodicPulse</t>
        </is>
      </c>
      <c r="Q1462" s="9" t="inlineStr">
        <is>
          <t>周期触发：开局：获得 10 层闪避</t>
        </is>
      </c>
      <c r="R1462" s="9" t="inlineStr">
        <is>
          <t>scripture_spell</t>
        </is>
      </c>
      <c r="S1462" s="9" t="inlineStr">
        <is>
          <t>截断对手气劲流转，再把散开的云息牵回自身经脉。</t>
        </is>
      </c>
      <c r="T1462" s="8" t="inlineStr">
        <is>
          <t>spell_jieyun_sanjin_2x2</t>
        </is>
      </c>
      <c r="U1462" s="8" t="inlineStr">
        <is>
          <t>allowed</t>
        </is>
      </c>
    </row>
    <row r="1463" ht="34" customHeight="1">
      <c r="A1463" s="8" t="n">
        <v>1462</v>
      </c>
      <c r="B1463" s="8" t="n">
        <v>800012</v>
      </c>
      <c r="C1463" s="8" t="inlineStr">
        <is>
          <t>青云省耗诀</t>
        </is>
      </c>
      <c r="D1463" s="8" t="inlineStr">
        <is>
          <t>招式</t>
        </is>
      </c>
      <c r="E1463" s="8" t="inlineStr">
        <is>
          <t>spell</t>
        </is>
      </c>
      <c r="F1463" s="8" t="inlineStr">
        <is>
          <t>common</t>
        </is>
      </c>
      <c r="G1463" s="8" t="inlineStr">
        <is>
          <t>木</t>
        </is>
      </c>
      <c r="H1463" s="8" t="inlineStr">
        <is>
          <t>wood</t>
        </is>
      </c>
      <c r="I1463" s="8" t="inlineStr">
        <is>
          <t>1×1</t>
        </is>
      </c>
      <c r="J1463" s="8" t="n">
        <v>1</v>
      </c>
      <c r="K1463" s="8" t="inlineStr"/>
      <c r="L1463" s="8" t="inlineStr">
        <is>
          <t>是</t>
        </is>
      </c>
      <c r="M1463" s="9" t="inlineStr">
        <is>
          <t>scriptureSpellReward</t>
        </is>
      </c>
      <c r="N1463" s="8" t="n">
        <v>1</v>
      </c>
      <c r="O1463" s="9" t="inlineStr">
        <is>
          <t>说明/执行器</t>
        </is>
      </c>
      <c r="P1463" s="9" t="inlineStr">
        <is>
          <t>effectNote</t>
        </is>
      </c>
      <c r="Q1463" s="9" t="inlineStr">
        <is>
          <t>说明/执行器：长按释放，5 秒内所有道具的属性消耗降低 2 点</t>
        </is>
      </c>
      <c r="R1463" s="9" t="inlineStr">
        <is>
          <t>scripture_spell</t>
        </is>
      </c>
      <c r="S1463" s="9" t="inlineStr">
        <is>
          <t>青云符意贴附诸器，使法力流经道具时少损一分。</t>
        </is>
      </c>
      <c r="T1463" s="8" t="inlineStr">
        <is>
          <t>spell_qingyun_shenghao_jue_1x1</t>
        </is>
      </c>
      <c r="U1463" s="8" t="inlineStr">
        <is>
          <t>allowed</t>
        </is>
      </c>
    </row>
    <row r="1464" ht="34" customHeight="1">
      <c r="A1464" s="8" t="n">
        <v>1463</v>
      </c>
      <c r="B1464" s="8" t="n">
        <v>800013</v>
      </c>
      <c r="C1464" s="8" t="inlineStr">
        <is>
          <t>云海回生息</t>
        </is>
      </c>
      <c r="D1464" s="8" t="inlineStr">
        <is>
          <t>招式</t>
        </is>
      </c>
      <c r="E1464" s="8" t="inlineStr">
        <is>
          <t>spell</t>
        </is>
      </c>
      <c r="F1464" s="8" t="inlineStr">
        <is>
          <t>common</t>
        </is>
      </c>
      <c r="G1464" s="8" t="inlineStr">
        <is>
          <t>木</t>
        </is>
      </c>
      <c r="H1464" s="8" t="inlineStr">
        <is>
          <t>wood</t>
        </is>
      </c>
      <c r="I1464" s="8" t="inlineStr">
        <is>
          <t>2×2</t>
        </is>
      </c>
      <c r="J1464" s="8" t="n">
        <v>4</v>
      </c>
      <c r="K1464" s="8" t="inlineStr"/>
      <c r="L1464" s="8" t="inlineStr">
        <is>
          <t>是</t>
        </is>
      </c>
      <c r="M1464" s="9" t="inlineStr">
        <is>
          <t>scriptureSpellReward</t>
        </is>
      </c>
      <c r="N1464" s="8" t="n">
        <v>1</v>
      </c>
      <c r="O1464" s="9" t="inlineStr">
        <is>
          <t>说明/执行器</t>
        </is>
      </c>
      <c r="P1464" s="9" t="inlineStr">
        <is>
          <t>effectNote</t>
        </is>
      </c>
      <c r="Q1464" s="9" t="inlineStr">
        <is>
          <t>说明/执行器：开局：本局内体力上限临时下降 30%，法力上限临时提升 30%</t>
        </is>
      </c>
      <c r="R1464" s="9" t="inlineStr">
        <is>
          <t>scripture_spell</t>
        </is>
      </c>
      <c r="S1464" s="9" t="inlineStr">
        <is>
          <t>云海倒卷入身，清息周流百骸，伤势与枯竭法力一并回转。</t>
        </is>
      </c>
      <c r="T1464" s="8" t="inlineStr">
        <is>
          <t>spell_yunhai_huisheng_xi_2x2</t>
        </is>
      </c>
      <c r="U1464" s="8" t="inlineStr">
        <is>
          <t>allowed</t>
        </is>
      </c>
    </row>
    <row r="1465" ht="34" customHeight="1">
      <c r="A1465" s="8" t="n">
        <v>1464</v>
      </c>
      <c r="B1465" s="8" t="n">
        <v>800014</v>
      </c>
      <c r="C1465" s="8" t="inlineStr">
        <is>
          <t>回炉纳气</t>
        </is>
      </c>
      <c r="D1465" s="8" t="inlineStr">
        <is>
          <t>招式</t>
        </is>
      </c>
      <c r="E1465" s="8" t="inlineStr">
        <is>
          <t>spell</t>
        </is>
      </c>
      <c r="F1465" s="8" t="inlineStr">
        <is>
          <t>common</t>
        </is>
      </c>
      <c r="G1465" s="8" t="inlineStr">
        <is>
          <t>火</t>
        </is>
      </c>
      <c r="H1465" s="8" t="inlineStr">
        <is>
          <t>fire</t>
        </is>
      </c>
      <c r="I1465" s="8" t="inlineStr">
        <is>
          <t>1×1</t>
        </is>
      </c>
      <c r="J1465" s="8" t="n">
        <v>1</v>
      </c>
      <c r="K1465" s="8" t="inlineStr"/>
      <c r="L1465" s="8" t="inlineStr">
        <is>
          <t>是</t>
        </is>
      </c>
      <c r="M1465" s="9" t="inlineStr">
        <is>
          <t>scriptureSpellReward</t>
        </is>
      </c>
      <c r="N1465" s="8" t="n">
        <v>1</v>
      </c>
      <c r="O1465" s="9" t="inlineStr">
        <is>
          <t>说明/执行器</t>
        </is>
      </c>
      <c r="P1465" s="9" t="inlineStr">
        <is>
          <t>effectNote</t>
        </is>
      </c>
      <c r="Q1465" s="9" t="inlineStr">
        <is>
          <t>说明/执行器：长按释放，恢复 7 点法力；每当有丹药耗尽时，本招式剩余冷却缩短 15 秒</t>
        </is>
      </c>
      <c r="R1465" s="9" t="inlineStr">
        <is>
          <t>scripture_spell</t>
        </is>
      </c>
      <c r="S1465" s="9" t="inlineStr">
        <is>
          <t>借丹药余息回卷炉心，将散开的法力重新收束入脉。</t>
        </is>
      </c>
      <c r="T1465" s="8" t="inlineStr">
        <is>
          <t>spell_huilu_naqi_1x1</t>
        </is>
      </c>
      <c r="U1465" s="8" t="inlineStr">
        <is>
          <t>allowed</t>
        </is>
      </c>
    </row>
    <row r="1466" ht="34" customHeight="1">
      <c r="A1466" s="8" t="n">
        <v>1465</v>
      </c>
      <c r="B1466" s="8" t="n">
        <v>800015</v>
      </c>
      <c r="C1466" s="8" t="inlineStr">
        <is>
          <t>药气润身</t>
        </is>
      </c>
      <c r="D1466" s="8" t="inlineStr">
        <is>
          <t>招式</t>
        </is>
      </c>
      <c r="E1466" s="8" t="inlineStr">
        <is>
          <t>spell</t>
        </is>
      </c>
      <c r="F1466" s="8" t="inlineStr">
        <is>
          <t>common</t>
        </is>
      </c>
      <c r="G1466" s="8" t="inlineStr">
        <is>
          <t>火</t>
        </is>
      </c>
      <c r="H1466" s="8" t="inlineStr">
        <is>
          <t>fire</t>
        </is>
      </c>
      <c r="I1466" s="8" t="inlineStr">
        <is>
          <t>1×1</t>
        </is>
      </c>
      <c r="J1466" s="8" t="n">
        <v>1</v>
      </c>
      <c r="K1466" s="8" t="inlineStr"/>
      <c r="L1466" s="8" t="inlineStr">
        <is>
          <t>是</t>
        </is>
      </c>
      <c r="M1466" s="9" t="inlineStr">
        <is>
          <t>scriptureSpellReward</t>
        </is>
      </c>
      <c r="N1466" s="8" t="n">
        <v>1</v>
      </c>
      <c r="O1466" s="9" t="inlineStr">
        <is>
          <t>说明/执行器</t>
        </is>
      </c>
      <c r="P1466" s="9" t="inlineStr">
        <is>
          <t>effectNote</t>
        </is>
      </c>
      <c r="Q1466" s="9" t="inlineStr">
        <is>
          <t>说明/执行器：所有丹药的耗尽速度加快 100%，每当有丹药耗尽时，恢复 10 点法力与 10 点体力</t>
        </is>
      </c>
      <c r="R1466" s="9" t="inlineStr">
        <is>
          <t>scripture_spell</t>
        </is>
      </c>
      <c r="S1466" s="9" t="inlineStr">
        <is>
          <t>将丹药散出的温润药气导入周身经络，缓慢护住血脉。</t>
        </is>
      </c>
      <c r="T1466" s="8" t="inlineStr">
        <is>
          <t>spell_yaoqi_runshen_1x1</t>
        </is>
      </c>
      <c r="U1466" s="8" t="inlineStr">
        <is>
          <t>allowed</t>
        </is>
      </c>
    </row>
    <row r="1467" ht="34" customHeight="1">
      <c r="A1467" s="8" t="n">
        <v>1466</v>
      </c>
      <c r="B1467" s="8" t="n">
        <v>800016</v>
      </c>
      <c r="C1467" s="8" t="inlineStr">
        <is>
          <t>丹息回流</t>
        </is>
      </c>
      <c r="D1467" s="8" t="inlineStr">
        <is>
          <t>招式</t>
        </is>
      </c>
      <c r="E1467" s="8" t="inlineStr">
        <is>
          <t>spell</t>
        </is>
      </c>
      <c r="F1467" s="8" t="inlineStr">
        <is>
          <t>common</t>
        </is>
      </c>
      <c r="G1467" s="8" t="inlineStr">
        <is>
          <t>火</t>
        </is>
      </c>
      <c r="H1467" s="8" t="inlineStr">
        <is>
          <t>fire</t>
        </is>
      </c>
      <c r="I1467" s="8" t="inlineStr">
        <is>
          <t>1×1</t>
        </is>
      </c>
      <c r="J1467" s="8" t="n">
        <v>1</v>
      </c>
      <c r="K1467" s="8" t="inlineStr"/>
      <c r="L1467" s="8" t="inlineStr">
        <is>
          <t>是</t>
        </is>
      </c>
      <c r="M1467" s="9" t="inlineStr">
        <is>
          <t>scriptureSpellReward</t>
        </is>
      </c>
      <c r="N1467" s="8" t="n">
        <v>1</v>
      </c>
      <c r="O1467" s="9" t="inlineStr">
        <is>
          <t>说明/执行器</t>
        </is>
      </c>
      <c r="P1467" s="9" t="inlineStr">
        <is>
          <t>effectNote</t>
        </is>
      </c>
      <c r="Q1467" s="9" t="inlineStr">
        <is>
          <t>说明/执行器：所有丹药的耗尽速度降低 50%</t>
        </is>
      </c>
      <c r="R1467" s="9" t="inlineStr">
        <is>
          <t>scripture_spell</t>
        </is>
      </c>
      <c r="S1467" s="9" t="inlineStr">
        <is>
          <t>丹息落尽时反引余波，使血气与法力一同回流丹田。</t>
        </is>
      </c>
      <c r="T1467" s="8" t="inlineStr">
        <is>
          <t>spell_danxi_huiliu_1x1</t>
        </is>
      </c>
      <c r="U1467" s="8" t="inlineStr">
        <is>
          <t>allowed</t>
        </is>
      </c>
    </row>
    <row r="1468" ht="34" customHeight="1">
      <c r="A1468" s="8" t="n">
        <v>1467</v>
      </c>
      <c r="B1468" s="8" t="n">
        <v>800017</v>
      </c>
      <c r="C1468" s="8" t="inlineStr">
        <is>
          <t>炉息归元</t>
        </is>
      </c>
      <c r="D1468" s="8" t="inlineStr">
        <is>
          <t>招式</t>
        </is>
      </c>
      <c r="E1468" s="8" t="inlineStr">
        <is>
          <t>spell</t>
        </is>
      </c>
      <c r="F1468" s="8" t="inlineStr">
        <is>
          <t>common</t>
        </is>
      </c>
      <c r="G1468" s="8" t="inlineStr">
        <is>
          <t>火</t>
        </is>
      </c>
      <c r="H1468" s="8" t="inlineStr">
        <is>
          <t>fire</t>
        </is>
      </c>
      <c r="I1468" s="8" t="inlineStr">
        <is>
          <t>2×2</t>
        </is>
      </c>
      <c r="J1468" s="8" t="n">
        <v>4</v>
      </c>
      <c r="K1468" s="8" t="inlineStr"/>
      <c r="L1468" s="8" t="inlineStr">
        <is>
          <t>是</t>
        </is>
      </c>
      <c r="M1468" s="9" t="inlineStr">
        <is>
          <t>scriptureSpellReward</t>
        </is>
      </c>
      <c r="N1468" s="8" t="n">
        <v>1</v>
      </c>
      <c r="O1468" s="9" t="inlineStr">
        <is>
          <t>说明/执行器</t>
        </is>
      </c>
      <c r="P1468" s="9" t="inlineStr">
        <is>
          <t>effectNote</t>
        </is>
      </c>
      <c r="Q1468" s="9" t="inlineStr">
        <is>
          <t>说明/执行器：长按释放，恢复 20 点法力；本局内每有 1 个丹药耗尽，额外恢复 5 点法力</t>
        </is>
      </c>
      <c r="R1468" s="9" t="inlineStr">
        <is>
          <t>scripture_spell</t>
        </is>
      </c>
      <c r="S1468" s="9" t="inlineStr">
        <is>
          <t>炉息归拢成一线，丹药耗尽越多，回转的法力越厚。</t>
        </is>
      </c>
      <c r="T1468" s="8" t="inlineStr">
        <is>
          <t>spell_luxi_guiyuan_2x2</t>
        </is>
      </c>
      <c r="U1468" s="8" t="inlineStr">
        <is>
          <t>allowed</t>
        </is>
      </c>
    </row>
    <row r="1469" ht="34" customHeight="1">
      <c r="A1469" s="8" t="n">
        <v>1468</v>
      </c>
      <c r="B1469" s="8" t="n">
        <v>800018</v>
      </c>
      <c r="C1469" s="8" t="inlineStr">
        <is>
          <t>五气弹</t>
        </is>
      </c>
      <c r="D1469" s="8" t="inlineStr">
        <is>
          <t>招式</t>
        </is>
      </c>
      <c r="E1469" s="8" t="inlineStr">
        <is>
          <t>spell</t>
        </is>
      </c>
      <c r="F1469" s="8" t="inlineStr">
        <is>
          <t>common</t>
        </is>
      </c>
      <c r="G1469" s="8" t="inlineStr">
        <is>
          <t>无</t>
        </is>
      </c>
      <c r="H1469" s="8" t="inlineStr">
        <is>
          <t>none</t>
        </is>
      </c>
      <c r="I1469" s="8" t="inlineStr">
        <is>
          <t>1×1</t>
        </is>
      </c>
      <c r="J1469" s="8" t="n">
        <v>1</v>
      </c>
      <c r="K1469" s="8" t="inlineStr"/>
      <c r="L1469" s="8" t="inlineStr">
        <is>
          <t>是</t>
        </is>
      </c>
      <c r="M1469" s="9" t="inlineStr">
        <is>
          <t>scriptureSpellReward</t>
        </is>
      </c>
      <c r="N1469" s="8" t="n">
        <v>1</v>
      </c>
      <c r="O1469" s="9" t="inlineStr">
        <is>
          <t>说明/执行器</t>
        </is>
      </c>
      <c r="P1469" s="9" t="inlineStr">
        <is>
          <t>effectNote</t>
        </is>
      </c>
      <c r="Q1469" s="9" t="inlineStr">
        <is>
          <t>说明/执行器：长按释放，消耗 1 点法力，对敌方造成 3 点伤害，相邻每有一个五行属性道具，额外释放一次</t>
        </is>
      </c>
      <c r="R1469" s="9" t="inlineStr">
        <is>
          <t>scripture_spell</t>
        </is>
      </c>
      <c r="S1469" s="9" t="inlineStr">
        <is>
          <t>指尖撮起一缕五色杂气，借周围五行灵机成弹，近旁五行越全，弹劲越足。</t>
        </is>
      </c>
      <c r="T1469" s="8" t="inlineStr">
        <is>
          <t>spell_wuqi_dan_1x1</t>
        </is>
      </c>
      <c r="U1469" s="8" t="inlineStr">
        <is>
          <t>allowed</t>
        </is>
      </c>
    </row>
    <row r="1470" ht="34" customHeight="1">
      <c r="A1470" s="8" t="n">
        <v>1469</v>
      </c>
      <c r="B1470" s="8" t="n">
        <v>800019</v>
      </c>
      <c r="C1470" s="8" t="inlineStr">
        <is>
          <t>引气护身</t>
        </is>
      </c>
      <c r="D1470" s="8" t="inlineStr">
        <is>
          <t>招式</t>
        </is>
      </c>
      <c r="E1470" s="8" t="inlineStr">
        <is>
          <t>spell</t>
        </is>
      </c>
      <c r="F1470" s="8" t="inlineStr">
        <is>
          <t>common</t>
        </is>
      </c>
      <c r="G1470" s="8" t="inlineStr">
        <is>
          <t>无</t>
        </is>
      </c>
      <c r="H1470" s="8" t="inlineStr">
        <is>
          <t>none</t>
        </is>
      </c>
      <c r="I1470" s="8" t="inlineStr">
        <is>
          <t>1×2</t>
        </is>
      </c>
      <c r="J1470" s="8" t="n">
        <v>2</v>
      </c>
      <c r="K1470" s="8" t="inlineStr"/>
      <c r="L1470" s="8" t="inlineStr">
        <is>
          <t>是</t>
        </is>
      </c>
      <c r="M1470" s="9" t="inlineStr">
        <is>
          <t>scriptureSpellReward</t>
        </is>
      </c>
      <c r="N1470" s="8" t="n">
        <v>1</v>
      </c>
      <c r="O1470" s="9" t="inlineStr">
        <is>
          <t>说明/执行器</t>
        </is>
      </c>
      <c r="P1470" s="9" t="inlineStr">
        <is>
          <t>effectNote</t>
        </is>
      </c>
      <c r="Q1470" s="9" t="inlineStr">
        <is>
          <t>说明/执行器：长按释放，消耗 4 点法力，相邻每有一个五行属性道具，获得 2 层坚硬</t>
        </is>
      </c>
      <c r="R1470" s="9" t="inlineStr">
        <is>
          <t>scripture_spell</t>
        </is>
      </c>
      <c r="S1470" s="9" t="inlineStr">
        <is>
          <t>将游散灵气引回身前，结成薄而坚的护体气膜，受击时先替血肉挡下一分。</t>
        </is>
      </c>
      <c r="T1470" s="8" t="inlineStr">
        <is>
          <t>spell_yinqi_hushen_1x2</t>
        </is>
      </c>
      <c r="U1470" s="8" t="inlineStr">
        <is>
          <t>allowed</t>
        </is>
      </c>
    </row>
    <row r="1471" ht="34" customHeight="1">
      <c r="A1471" s="8" t="n">
        <v>1470</v>
      </c>
      <c r="B1471" s="8" t="n">
        <v>800020</v>
      </c>
      <c r="C1471" s="8" t="inlineStr">
        <is>
          <t>火弹术</t>
        </is>
      </c>
      <c r="D1471" s="8" t="inlineStr">
        <is>
          <t>招式</t>
        </is>
      </c>
      <c r="E1471" s="8" t="inlineStr">
        <is>
          <t>spell</t>
        </is>
      </c>
      <c r="F1471" s="8" t="inlineStr">
        <is>
          <t>common</t>
        </is>
      </c>
      <c r="G1471" s="8" t="inlineStr">
        <is>
          <t>火</t>
        </is>
      </c>
      <c r="H1471" s="8" t="inlineStr">
        <is>
          <t>fire</t>
        </is>
      </c>
      <c r="I1471" s="8" t="inlineStr">
        <is>
          <t>1×1</t>
        </is>
      </c>
      <c r="J1471" s="8" t="n">
        <v>1</v>
      </c>
      <c r="K1471" s="8" t="inlineStr"/>
      <c r="L1471" s="8" t="inlineStr">
        <is>
          <t>是</t>
        </is>
      </c>
      <c r="M1471" s="9" t="inlineStr">
        <is>
          <t>scriptureSpellReward</t>
        </is>
      </c>
      <c r="N1471" s="8" t="n">
        <v>1</v>
      </c>
      <c r="O1471" s="9" t="inlineStr">
        <is>
          <t>说明/执行器</t>
        </is>
      </c>
      <c r="P1471" s="9" t="inlineStr">
        <is>
          <t>effectNote</t>
        </is>
      </c>
      <c r="Q1471" s="9" t="inlineStr">
        <is>
          <t>说明/执行器：长按释放，消耗 5 点法力，对敌方造成 15 点伤害；和火属性道具相邻时，伤害翻倍</t>
        </is>
      </c>
      <c r="R1471" s="9" t="inlineStr">
        <is>
          <t>scripture_spell</t>
        </is>
      </c>
      <c r="S1471" s="9" t="inlineStr">
        <is>
          <t>将法力搓成赤色小火丸掷出，若得火属性功法贴近引燃，火势会骤然翻涌。</t>
        </is>
      </c>
      <c r="T1471" s="8" t="inlineStr">
        <is>
          <t>spell_huodan_shu_1x1</t>
        </is>
      </c>
      <c r="U1471" s="8" t="inlineStr">
        <is>
          <t>allowed</t>
        </is>
      </c>
    </row>
    <row r="1472" ht="34" customHeight="1">
      <c r="A1472" s="8" t="n">
        <v>1471</v>
      </c>
      <c r="B1472" s="8" t="n">
        <v>800021</v>
      </c>
      <c r="C1472" s="8" t="inlineStr">
        <is>
          <t>冰锥术</t>
        </is>
      </c>
      <c r="D1472" s="8" t="inlineStr">
        <is>
          <t>招式</t>
        </is>
      </c>
      <c r="E1472" s="8" t="inlineStr">
        <is>
          <t>spell</t>
        </is>
      </c>
      <c r="F1472" s="8" t="inlineStr">
        <is>
          <t>common</t>
        </is>
      </c>
      <c r="G1472" s="8" t="inlineStr">
        <is>
          <t>冰</t>
        </is>
      </c>
      <c r="H1472" s="8" t="inlineStr">
        <is>
          <t>ice</t>
        </is>
      </c>
      <c r="I1472" s="8" t="inlineStr">
        <is>
          <t>1×2</t>
        </is>
      </c>
      <c r="J1472" s="8" t="n">
        <v>2</v>
      </c>
      <c r="K1472" s="8" t="inlineStr"/>
      <c r="L1472" s="8" t="inlineStr">
        <is>
          <t>是</t>
        </is>
      </c>
      <c r="M1472" s="9" t="inlineStr">
        <is>
          <t>scriptureSpellReward</t>
        </is>
      </c>
      <c r="N1472" s="8" t="n">
        <v>1</v>
      </c>
      <c r="O1472" s="9" t="inlineStr">
        <is>
          <t>说明/执行器</t>
        </is>
      </c>
      <c r="P1472" s="9" t="inlineStr">
        <is>
          <t>effectNote</t>
        </is>
      </c>
      <c r="Q1472" s="9" t="inlineStr">
        <is>
          <t>说明/执行器：长按释放，消耗 20 点法力，造成 28 点伤害，并使敌方随机 3 件道具减速 2 秒；和 2 件水属性道具相邻时，伤害和减速时长翻倍</t>
        </is>
      </c>
      <c r="R1472" s="9" t="inlineStr">
        <is>
          <t>scripture_spell</t>
        </is>
      </c>
      <c r="S1472" s="9" t="inlineStr">
        <is>
          <t>凝水气为寒锥刺入敌阵，使对手道具气机迟滞；若贴近水属性功法，寒意更深。</t>
        </is>
      </c>
      <c r="T1472" s="8" t="inlineStr">
        <is>
          <t>spell_bingzhui_shu_1x2</t>
        </is>
      </c>
      <c r="U1472" s="8" t="inlineStr">
        <is>
          <t>allowed</t>
        </is>
      </c>
    </row>
    <row r="1473" ht="34" customHeight="1">
      <c r="A1473" s="8" t="n">
        <v>1472</v>
      </c>
      <c r="B1473" s="8" t="n">
        <v>800022</v>
      </c>
      <c r="C1473" s="8" t="inlineStr">
        <is>
          <t>暴风雪</t>
        </is>
      </c>
      <c r="D1473" s="8" t="inlineStr">
        <is>
          <t>招式</t>
        </is>
      </c>
      <c r="E1473" s="8" t="inlineStr">
        <is>
          <t>spell</t>
        </is>
      </c>
      <c r="F1473" s="8" t="inlineStr">
        <is>
          <t>common</t>
        </is>
      </c>
      <c r="G1473" s="8" t="inlineStr">
        <is>
          <t>冰</t>
        </is>
      </c>
      <c r="H1473" s="8" t="inlineStr">
        <is>
          <t>ice</t>
        </is>
      </c>
      <c r="I1473" s="8" t="inlineStr">
        <is>
          <t>2×2</t>
        </is>
      </c>
      <c r="J1473" s="8" t="n">
        <v>4</v>
      </c>
      <c r="K1473" s="8" t="inlineStr"/>
      <c r="L1473" s="8" t="inlineStr">
        <is>
          <t>是</t>
        </is>
      </c>
      <c r="M1473" s="9" t="inlineStr">
        <is>
          <t>scriptureSpellReward</t>
        </is>
      </c>
      <c r="N1473" s="8" t="n">
        <v>1</v>
      </c>
      <c r="O1473" s="9" t="inlineStr">
        <is>
          <t>说明/执行器</t>
        </is>
      </c>
      <c r="P1473" s="9" t="inlineStr">
        <is>
          <t>effectNote</t>
        </is>
      </c>
      <c r="Q1473" s="9" t="inlineStr">
        <is>
          <t>说明/执行器：长按释放，消耗 40 点法力，造成 40 点伤害，并使敌方随机 5 件道具减速 5 秒；和 3 件水属性道具相邻时，伤害翻倍</t>
        </is>
      </c>
      <c r="R1473" s="9" t="inlineStr">
        <is>
          <t>scripture_spell</t>
        </is>
      </c>
      <c r="S1473" s="9" t="inlineStr">
        <is>
          <t>引寒风卷雪压过敌阵，短时冻滞大片道具气机；水属性功法在旁时，雪势倍增。</t>
        </is>
      </c>
      <c r="T1473" s="8" t="inlineStr">
        <is>
          <t>spell_baofengxue_2x2</t>
        </is>
      </c>
      <c r="U1473" s="8" t="inlineStr">
        <is>
          <t>allowed</t>
        </is>
      </c>
    </row>
    <row r="1474" ht="34" customHeight="1">
      <c r="A1474" s="8" t="n">
        <v>1473</v>
      </c>
      <c r="B1474" s="8" t="n">
        <v>800023</v>
      </c>
      <c r="C1474" s="8" t="inlineStr">
        <is>
          <t>陨石术</t>
        </is>
      </c>
      <c r="D1474" s="8" t="inlineStr">
        <is>
          <t>招式</t>
        </is>
      </c>
      <c r="E1474" s="8" t="inlineStr">
        <is>
          <t>spell</t>
        </is>
      </c>
      <c r="F1474" s="8" t="inlineStr">
        <is>
          <t>common</t>
        </is>
      </c>
      <c r="G1474" s="8" t="inlineStr">
        <is>
          <t>火</t>
        </is>
      </c>
      <c r="H1474" s="8" t="inlineStr">
        <is>
          <t>fire</t>
        </is>
      </c>
      <c r="I1474" s="8" t="inlineStr">
        <is>
          <t>2×2</t>
        </is>
      </c>
      <c r="J1474" s="8" t="n">
        <v>4</v>
      </c>
      <c r="K1474" s="8" t="inlineStr"/>
      <c r="L1474" s="8" t="inlineStr">
        <is>
          <t>是</t>
        </is>
      </c>
      <c r="M1474" s="9" t="inlineStr">
        <is>
          <t>scriptureSpellReward</t>
        </is>
      </c>
      <c r="N1474" s="8" t="n">
        <v>1</v>
      </c>
      <c r="O1474" s="9" t="inlineStr">
        <is>
          <t>说明/执行器</t>
        </is>
      </c>
      <c r="P1474" s="9" t="inlineStr">
        <is>
          <t>effectNote</t>
        </is>
      </c>
      <c r="Q1474" s="9" t="inlineStr">
        <is>
          <t>说明/执行器：长按释放，消耗 50 点法力，对敌方造成 100 点伤害；和火属性功法相邻时，伤害翻倍</t>
        </is>
      </c>
      <c r="R1474" s="9" t="inlineStr">
        <is>
          <t>scripture_spell</t>
        </is>
      </c>
      <c r="S1474" s="9" t="inlineStr">
        <is>
          <t>牵引火土浊气凝作坠石砸落，火属性功法在旁时，坠石外层会覆上一圈炽焰。</t>
        </is>
      </c>
      <c r="T1474" s="8" t="inlineStr">
        <is>
          <t>spell_yunshi_shu_2x2</t>
        </is>
      </c>
      <c r="U1474" s="8" t="inlineStr">
        <is>
          <t>allowed</t>
        </is>
      </c>
    </row>
    <row r="1475" ht="34" customHeight="1">
      <c r="A1475" s="8" t="n">
        <v>1474</v>
      </c>
      <c r="B1475" s="8" t="n">
        <v>800024</v>
      </c>
      <c r="C1475" s="8" t="inlineStr">
        <is>
          <t>月下回息</t>
        </is>
      </c>
      <c r="D1475" s="8" t="inlineStr">
        <is>
          <t>招式</t>
        </is>
      </c>
      <c r="E1475" s="8" t="inlineStr">
        <is>
          <t>spell</t>
        </is>
      </c>
      <c r="F1475" s="8" t="inlineStr">
        <is>
          <t>common</t>
        </is>
      </c>
      <c r="G1475" s="8" t="inlineStr">
        <is>
          <t>无</t>
        </is>
      </c>
      <c r="H1475" s="8" t="inlineStr">
        <is>
          <t>none</t>
        </is>
      </c>
      <c r="I1475" s="8" t="inlineStr">
        <is>
          <t>1×1</t>
        </is>
      </c>
      <c r="J1475" s="8" t="n">
        <v>1</v>
      </c>
      <c r="K1475" s="8" t="inlineStr"/>
      <c r="L1475" s="8" t="inlineStr">
        <is>
          <t>是</t>
        </is>
      </c>
      <c r="M1475" s="9" t="inlineStr">
        <is>
          <t>scriptureSpellReward</t>
        </is>
      </c>
      <c r="N1475" s="8" t="n">
        <v>1</v>
      </c>
      <c r="O1475" s="9" t="inlineStr">
        <is>
          <t>说明/执行器</t>
        </is>
      </c>
      <c r="P1475" s="9" t="inlineStr">
        <is>
          <t>effectNote</t>
        </is>
      </c>
      <c r="Q1475" s="9" t="inlineStr">
        <is>
          <t>说明/执行器：长按释放，消耗 5 点法力，10 秒内所有法力恢复翻倍</t>
        </is>
      </c>
      <c r="R1475" s="9" t="inlineStr">
        <is>
          <t>scripture_spell</t>
        </is>
      </c>
      <c r="S1475" s="9" t="inlineStr">
        <is>
          <t>月华沿掌心回旋入府，像夜露落回干涸经络，使散乱气息重新安住。</t>
        </is>
      </c>
      <c r="T1475" s="8" t="inlineStr">
        <is>
          <t>spell_yuexia_huixi_1x1</t>
        </is>
      </c>
      <c r="U1475" s="8" t="inlineStr">
        <is>
          <t>allowed</t>
        </is>
      </c>
    </row>
    <row r="1476" ht="34" customHeight="1">
      <c r="A1476" s="8" t="n">
        <v>1475</v>
      </c>
      <c r="B1476" s="8" t="n">
        <v>800025</v>
      </c>
      <c r="C1476" s="8" t="inlineStr">
        <is>
          <t>清辉护脉</t>
        </is>
      </c>
      <c r="D1476" s="8" t="inlineStr">
        <is>
          <t>招式</t>
        </is>
      </c>
      <c r="E1476" s="8" t="inlineStr">
        <is>
          <t>spell</t>
        </is>
      </c>
      <c r="F1476" s="8" t="inlineStr">
        <is>
          <t>common</t>
        </is>
      </c>
      <c r="G1476" s="8" t="inlineStr">
        <is>
          <t>无</t>
        </is>
      </c>
      <c r="H1476" s="8" t="inlineStr">
        <is>
          <t>none</t>
        </is>
      </c>
      <c r="I1476" s="8" t="inlineStr">
        <is>
          <t>1×1</t>
        </is>
      </c>
      <c r="J1476" s="8" t="n">
        <v>1</v>
      </c>
      <c r="K1476" s="8" t="inlineStr"/>
      <c r="L1476" s="8" t="inlineStr">
        <is>
          <t>是</t>
        </is>
      </c>
      <c r="M1476" s="9" t="inlineStr">
        <is>
          <t>scriptureSpellReward</t>
        </is>
      </c>
      <c r="N1476" s="8" t="n">
        <v>1</v>
      </c>
      <c r="O1476" s="9" t="inlineStr">
        <is>
          <t>说明/执行器</t>
        </is>
      </c>
      <c r="P1476" s="9" t="inlineStr">
        <is>
          <t>effectNote</t>
        </is>
      </c>
      <c r="Q1476" s="9" t="inlineStr">
        <is>
          <t>说明/执行器：长按释放，消耗最多 50 点体力，然后恢复等量法力。</t>
        </is>
      </c>
      <c r="R1476" s="9" t="inlineStr">
        <is>
          <t>scripture_spell</t>
        </is>
      </c>
      <c r="S1476" s="9" t="inlineStr">
        <is>
          <t>清冷月辉覆过经脉，银紫光点依次亮起，护住一口将散未散的灵息。</t>
        </is>
      </c>
      <c r="T1476" s="8" t="inlineStr">
        <is>
          <t>spell_qinghui_humai_1x1</t>
        </is>
      </c>
      <c r="U1476" s="8" t="inlineStr">
        <is>
          <t>allowed</t>
        </is>
      </c>
    </row>
    <row r="1477" ht="34" customHeight="1">
      <c r="A1477" s="8" t="n">
        <v>1476</v>
      </c>
      <c r="B1477" s="8" t="n">
        <v>800026</v>
      </c>
      <c r="C1477" s="8" t="inlineStr">
        <is>
          <t>月刃</t>
        </is>
      </c>
      <c r="D1477" s="8" t="inlineStr">
        <is>
          <t>招式</t>
        </is>
      </c>
      <c r="E1477" s="8" t="inlineStr">
        <is>
          <t>spell</t>
        </is>
      </c>
      <c r="F1477" s="8" t="inlineStr">
        <is>
          <t>common</t>
        </is>
      </c>
      <c r="G1477" s="8" t="inlineStr">
        <is>
          <t>无</t>
        </is>
      </c>
      <c r="H1477" s="8" t="inlineStr">
        <is>
          <t>none</t>
        </is>
      </c>
      <c r="I1477" s="8" t="inlineStr">
        <is>
          <t>1×1</t>
        </is>
      </c>
      <c r="J1477" s="8" t="n">
        <v>1</v>
      </c>
      <c r="K1477" s="8" t="inlineStr"/>
      <c r="L1477" s="8" t="inlineStr">
        <is>
          <t>是</t>
        </is>
      </c>
      <c r="M1477" s="9" t="inlineStr">
        <is>
          <t>scriptureSpellReward</t>
        </is>
      </c>
      <c r="N1477" s="8" t="n">
        <v>1</v>
      </c>
      <c r="O1477" s="9" t="inlineStr">
        <is>
          <t>周期触发</t>
        </is>
      </c>
      <c r="P1477" s="9" t="inlineStr">
        <is>
          <t>periodicPulse</t>
        </is>
      </c>
      <c r="Q1477" s="9" t="inlineStr">
        <is>
          <t>周期触发：轮转时，法力低于 30% 时，对敌方造成 5 点伤害</t>
        </is>
      </c>
      <c r="R1477" s="9" t="inlineStr">
        <is>
          <t>scripture_spell</t>
        </is>
      </c>
      <c r="S1477" s="9" t="inlineStr">
        <is>
          <t>残月化作薄刃斜斜掠出，冷光不盛，却有一线割开夜色的锋意。</t>
        </is>
      </c>
      <c r="T1477" s="8" t="inlineStr">
        <is>
          <t>spell_yueren_qingcai_1x1</t>
        </is>
      </c>
      <c r="U1477" s="8" t="inlineStr">
        <is>
          <t>allowed</t>
        </is>
      </c>
    </row>
    <row r="1478" ht="34" customHeight="1">
      <c r="A1478" s="8" t="n">
        <v>1477</v>
      </c>
      <c r="B1478" s="8" t="n">
        <v>800027</v>
      </c>
      <c r="C1478" s="8" t="inlineStr">
        <is>
          <t>残月敛神</t>
        </is>
      </c>
      <c r="D1478" s="8" t="inlineStr">
        <is>
          <t>招式</t>
        </is>
      </c>
      <c r="E1478" s="8" t="inlineStr">
        <is>
          <t>spell</t>
        </is>
      </c>
      <c r="F1478" s="8" t="inlineStr">
        <is>
          <t>common</t>
        </is>
      </c>
      <c r="G1478" s="8" t="inlineStr">
        <is>
          <t>无</t>
        </is>
      </c>
      <c r="H1478" s="8" t="inlineStr">
        <is>
          <t>none</t>
        </is>
      </c>
      <c r="I1478" s="8" t="inlineStr">
        <is>
          <t>1×1</t>
        </is>
      </c>
      <c r="J1478" s="8" t="n">
        <v>1</v>
      </c>
      <c r="K1478" s="8" t="inlineStr"/>
      <c r="L1478" s="8" t="inlineStr">
        <is>
          <t>是</t>
        </is>
      </c>
      <c r="M1478" s="9" t="inlineStr">
        <is>
          <t>scriptureSpellReward</t>
        </is>
      </c>
      <c r="N1478" s="8" t="n">
        <v>1</v>
      </c>
      <c r="O1478" s="9" t="inlineStr">
        <is>
          <t>被动效果</t>
        </is>
      </c>
      <c r="P1478" s="9" t="inlineStr">
        <is>
          <t>passive</t>
        </is>
      </c>
      <c r="Q1478" s="9" t="inlineStr">
        <is>
          <t>被动效果：消耗法力的道具造成的伤害 +8</t>
        </is>
      </c>
      <c r="R1478" s="9" t="inlineStr">
        <is>
          <t>scripture_spell</t>
        </is>
      </c>
      <c r="S1478" s="9" t="inlineStr">
        <is>
          <t>眉心月痕微亮，星屑与残月一同内收，纷乱神念随清辉沉入识海。</t>
        </is>
      </c>
      <c r="T1478" s="8" t="inlineStr">
        <is>
          <t>spell_canyue_lianshen_1x1</t>
        </is>
      </c>
      <c r="U1478" s="8" t="inlineStr">
        <is>
          <t>allowed</t>
        </is>
      </c>
    </row>
    <row r="1479" ht="34" customHeight="1">
      <c r="A1479" s="8" t="n">
        <v>1478</v>
      </c>
      <c r="B1479" s="8" t="n">
        <v>800028</v>
      </c>
      <c r="C1479" s="8" t="inlineStr">
        <is>
          <t>月影换府</t>
        </is>
      </c>
      <c r="D1479" s="8" t="inlineStr">
        <is>
          <t>招式</t>
        </is>
      </c>
      <c r="E1479" s="8" t="inlineStr">
        <is>
          <t>spell</t>
        </is>
      </c>
      <c r="F1479" s="8" t="inlineStr">
        <is>
          <t>common</t>
        </is>
      </c>
      <c r="G1479" s="8" t="inlineStr">
        <is>
          <t>无</t>
        </is>
      </c>
      <c r="H1479" s="8" t="inlineStr">
        <is>
          <t>none</t>
        </is>
      </c>
      <c r="I1479" s="8" t="inlineStr">
        <is>
          <t>2×2</t>
        </is>
      </c>
      <c r="J1479" s="8" t="n">
        <v>4</v>
      </c>
      <c r="K1479" s="8" t="inlineStr"/>
      <c r="L1479" s="8" t="inlineStr">
        <is>
          <t>是</t>
        </is>
      </c>
      <c r="M1479" s="9" t="inlineStr">
        <is>
          <t>scriptureSpellReward</t>
        </is>
      </c>
      <c r="N1479" s="8" t="n">
        <v>1</v>
      </c>
      <c r="O1479" s="9" t="inlineStr">
        <is>
          <t>说明/执行器</t>
        </is>
      </c>
      <c r="P1479" s="9" t="inlineStr">
        <is>
          <t>effectNote</t>
        </is>
      </c>
      <c r="Q1479" s="9" t="inlineStr">
        <is>
          <t>说明/执行器：长按释放，将当前剩余体力和剩余法力互换（不会突破上限）</t>
        </is>
      </c>
      <c r="R1479" s="9" t="inlineStr">
        <is>
          <t>scripture_spell</t>
        </is>
      </c>
      <c r="S1479" s="9" t="inlineStr">
        <is>
          <t>明暗两道月影在掌间交错，似把丹府中的余息与影中清辉互相调换。</t>
        </is>
      </c>
      <c r="T1479" s="8" t="inlineStr">
        <is>
          <t>spell_yueying_huanfu_2x2</t>
        </is>
      </c>
      <c r="U1479" s="8" t="inlineStr">
        <is>
          <t>allowed</t>
        </is>
      </c>
    </row>
    <row r="1480" ht="34" customHeight="1">
      <c r="A1480" s="8" t="n">
        <v>1479</v>
      </c>
      <c r="B1480" s="8" t="n">
        <v>800029</v>
      </c>
      <c r="C1480" s="8" t="inlineStr">
        <is>
          <t>静夜无波</t>
        </is>
      </c>
      <c r="D1480" s="8" t="inlineStr">
        <is>
          <t>招式</t>
        </is>
      </c>
      <c r="E1480" s="8" t="inlineStr">
        <is>
          <t>spell</t>
        </is>
      </c>
      <c r="F1480" s="8" t="inlineStr">
        <is>
          <t>common</t>
        </is>
      </c>
      <c r="G1480" s="8" t="inlineStr">
        <is>
          <t>无</t>
        </is>
      </c>
      <c r="H1480" s="8" t="inlineStr">
        <is>
          <t>none</t>
        </is>
      </c>
      <c r="I1480" s="8" t="inlineStr">
        <is>
          <t>1×1</t>
        </is>
      </c>
      <c r="J1480" s="8" t="n">
        <v>1</v>
      </c>
      <c r="K1480" s="8" t="inlineStr"/>
      <c r="L1480" s="8" t="inlineStr">
        <is>
          <t>是</t>
        </is>
      </c>
      <c r="M1480" s="9" t="inlineStr">
        <is>
          <t>scriptureSpellReward</t>
        </is>
      </c>
      <c r="N1480" s="8" t="n">
        <v>1</v>
      </c>
      <c r="O1480" s="9" t="inlineStr">
        <is>
          <t>说明/执行器</t>
        </is>
      </c>
      <c r="P1480" s="9" t="inlineStr">
        <is>
          <t>effectNote</t>
        </is>
      </c>
      <c r="Q1480" s="9" t="inlineStr">
        <is>
          <t>说明/执行器：长按释放，消耗 8 点法力，我方获得 15 层闪避</t>
        </is>
      </c>
      <c r="R1480" s="9" t="inlineStr">
        <is>
          <t>scripture_spell</t>
        </is>
      </c>
      <c r="S1480" s="9" t="inlineStr">
        <is>
          <t>镜湖月影在身前铺开，四周声息俱静，只余一层薄而稳定的夜色屏障。</t>
        </is>
      </c>
      <c r="T1480" s="8" t="inlineStr">
        <is>
          <t>spell_jingye_wubo_1x1</t>
        </is>
      </c>
      <c r="U1480" s="8" t="inlineStr">
        <is>
          <t>allowed</t>
        </is>
      </c>
    </row>
    <row r="1481" ht="34" customHeight="1">
      <c r="A1481" s="8" t="n">
        <v>1480</v>
      </c>
      <c r="B1481" s="8" t="n">
        <v>800030</v>
      </c>
      <c r="C1481" s="8" t="inlineStr">
        <is>
          <t>月满归元</t>
        </is>
      </c>
      <c r="D1481" s="8" t="inlineStr">
        <is>
          <t>招式</t>
        </is>
      </c>
      <c r="E1481" s="8" t="inlineStr">
        <is>
          <t>spell</t>
        </is>
      </c>
      <c r="F1481" s="8" t="inlineStr">
        <is>
          <t>common</t>
        </is>
      </c>
      <c r="G1481" s="8" t="inlineStr">
        <is>
          <t>无</t>
        </is>
      </c>
      <c r="H1481" s="8" t="inlineStr">
        <is>
          <t>none</t>
        </is>
      </c>
      <c r="I1481" s="8" t="inlineStr">
        <is>
          <t>1×1</t>
        </is>
      </c>
      <c r="J1481" s="8" t="n">
        <v>1</v>
      </c>
      <c r="K1481" s="8" t="inlineStr"/>
      <c r="L1481" s="8" t="inlineStr">
        <is>
          <t>是</t>
        </is>
      </c>
      <c r="M1481" s="9" t="inlineStr">
        <is>
          <t>scriptureSpellReward</t>
        </is>
      </c>
      <c r="N1481" s="8" t="n">
        <v>1</v>
      </c>
      <c r="O1481" s="9" t="inlineStr">
        <is>
          <t>周期触发</t>
        </is>
      </c>
      <c r="P1481" s="9" t="inlineStr">
        <is>
          <t>periodicPulse</t>
        </is>
      </c>
      <c r="Q1481" s="9" t="inlineStr">
        <is>
          <t>周期触发：轮转时，法力满时，恢复 20 点气血和 20 点体力</t>
        </is>
      </c>
      <c r="R1481" s="9" t="inlineStr">
        <is>
          <t>scripture_spell</t>
        </is>
      </c>
      <c r="S1481" s="9" t="inlineStr">
        <is>
          <t>满月高悬身后，银紫灵息如潮回卷，诸般散气尽数归入丹田。</t>
        </is>
      </c>
      <c r="T1481" s="8" t="inlineStr">
        <is>
          <t>spell_yueman_guiyuan_1x1</t>
        </is>
      </c>
      <c r="U1481" s="8" t="inlineStr">
        <is>
          <t>allowed</t>
        </is>
      </c>
    </row>
    <row r="1482" ht="34" customHeight="1">
      <c r="A1482" s="8" t="n">
        <v>1481</v>
      </c>
      <c r="B1482" s="8" t="n">
        <v>800031</v>
      </c>
      <c r="C1482" s="8" t="inlineStr">
        <is>
          <t>赤阳掌</t>
        </is>
      </c>
      <c r="D1482" s="8" t="inlineStr">
        <is>
          <t>招式</t>
        </is>
      </c>
      <c r="E1482" s="8" t="inlineStr">
        <is>
          <t>spell</t>
        </is>
      </c>
      <c r="F1482" s="8" t="inlineStr">
        <is>
          <t>common</t>
        </is>
      </c>
      <c r="G1482" s="8" t="inlineStr">
        <is>
          <t>火</t>
        </is>
      </c>
      <c r="H1482" s="8" t="inlineStr">
        <is>
          <t>fire</t>
        </is>
      </c>
      <c r="I1482" s="8" t="inlineStr">
        <is>
          <t>1×1</t>
        </is>
      </c>
      <c r="J1482" s="8" t="n">
        <v>1</v>
      </c>
      <c r="K1482" s="8" t="inlineStr"/>
      <c r="L1482" s="8" t="inlineStr">
        <is>
          <t>是</t>
        </is>
      </c>
      <c r="M1482" s="9" t="inlineStr">
        <is>
          <t>scriptureSpellReward</t>
        </is>
      </c>
      <c r="N1482" s="8" t="n">
        <v>1</v>
      </c>
      <c r="O1482" s="9" t="inlineStr">
        <is>
          <t>说明/执行器</t>
        </is>
      </c>
      <c r="P1482" s="9" t="inlineStr">
        <is>
          <t>effectNote</t>
        </is>
      </c>
      <c r="Q1482" s="9" t="inlineStr">
        <is>
          <t>说明/执行器：长按释放，消耗 7 层炎热，对敌方施加 7 层灼烧</t>
        </is>
      </c>
      <c r="R1482" s="9" t="inlineStr">
        <is>
          <t>scripture_spell</t>
        </is>
      </c>
      <c r="S1482" s="9" t="inlineStr">
        <is>
          <t>掌心赤光骤燃，热浪先一步压向敌身，像把初升烈日握在手中推出。</t>
        </is>
      </c>
      <c r="T1482" s="8" t="inlineStr">
        <is>
          <t>spell_chiyang_zhang_1x1</t>
        </is>
      </c>
      <c r="U1482" s="8" t="inlineStr">
        <is>
          <t>allowed</t>
        </is>
      </c>
    </row>
    <row r="1483" ht="34" customHeight="1">
      <c r="A1483" s="8" t="n">
        <v>1482</v>
      </c>
      <c r="B1483" s="8" t="n">
        <v>800032</v>
      </c>
      <c r="C1483" s="8" t="inlineStr">
        <is>
          <t>灼脉式</t>
        </is>
      </c>
      <c r="D1483" s="8" t="inlineStr">
        <is>
          <t>招式</t>
        </is>
      </c>
      <c r="E1483" s="8" t="inlineStr">
        <is>
          <t>spell</t>
        </is>
      </c>
      <c r="F1483" s="8" t="inlineStr">
        <is>
          <t>common</t>
        </is>
      </c>
      <c r="G1483" s="8" t="inlineStr">
        <is>
          <t>火</t>
        </is>
      </c>
      <c r="H1483" s="8" t="inlineStr">
        <is>
          <t>fire</t>
        </is>
      </c>
      <c r="I1483" s="8" t="inlineStr">
        <is>
          <t>1×1</t>
        </is>
      </c>
      <c r="J1483" s="8" t="n">
        <v>1</v>
      </c>
      <c r="K1483" s="8" t="inlineStr"/>
      <c r="L1483" s="8" t="inlineStr">
        <is>
          <t>是</t>
        </is>
      </c>
      <c r="M1483" s="9" t="inlineStr">
        <is>
          <t>scriptureSpellReward</t>
        </is>
      </c>
      <c r="N1483" s="8" t="n">
        <v>1</v>
      </c>
      <c r="O1483" s="9" t="inlineStr">
        <is>
          <t>说明/执行器</t>
        </is>
      </c>
      <c r="P1483" s="9" t="inlineStr">
        <is>
          <t>effectNote</t>
        </is>
      </c>
      <c r="Q1483" s="9" t="inlineStr">
        <is>
          <t>说明/执行器：长按释放，消耗 10 点法力，获得 5 层炎热，对敌方施加相同数量的灼烧</t>
        </is>
      </c>
      <c r="R1483" s="9" t="inlineStr">
        <is>
          <t>scripture_spell</t>
        </is>
      </c>
      <c r="S1483" s="9" t="inlineStr">
        <is>
          <t>金红火线循着对手气脉缠绕而上，灼意不在皮肉，而在每一次换气之间。</t>
        </is>
      </c>
      <c r="T1483" s="8" t="inlineStr">
        <is>
          <t>spell_zhuomai_shi_1x1</t>
        </is>
      </c>
      <c r="U1483" s="8" t="inlineStr">
        <is>
          <t>allowed</t>
        </is>
      </c>
    </row>
    <row r="1484" ht="34" customHeight="1">
      <c r="A1484" s="8" t="n">
        <v>1483</v>
      </c>
      <c r="B1484" s="8" t="n">
        <v>800033</v>
      </c>
      <c r="C1484" s="8" t="inlineStr">
        <is>
          <t>扶阳息</t>
        </is>
      </c>
      <c r="D1484" s="8" t="inlineStr">
        <is>
          <t>招式</t>
        </is>
      </c>
      <c r="E1484" s="8" t="inlineStr">
        <is>
          <t>spell</t>
        </is>
      </c>
      <c r="F1484" s="8" t="inlineStr">
        <is>
          <t>common</t>
        </is>
      </c>
      <c r="G1484" s="8" t="inlineStr">
        <is>
          <t>火</t>
        </is>
      </c>
      <c r="H1484" s="8" t="inlineStr">
        <is>
          <t>fire</t>
        </is>
      </c>
      <c r="I1484" s="8" t="inlineStr">
        <is>
          <t>1×1</t>
        </is>
      </c>
      <c r="J1484" s="8" t="n">
        <v>1</v>
      </c>
      <c r="K1484" s="8" t="inlineStr"/>
      <c r="L1484" s="8" t="inlineStr">
        <is>
          <t>是</t>
        </is>
      </c>
      <c r="M1484" s="9" t="inlineStr">
        <is>
          <t>scriptureSpellReward</t>
        </is>
      </c>
      <c r="N1484" s="8" t="n">
        <v>1</v>
      </c>
      <c r="O1484" s="9" t="inlineStr">
        <is>
          <t>说明/执行器</t>
        </is>
      </c>
      <c r="P1484" s="9" t="inlineStr">
        <is>
          <t>effectNote</t>
        </is>
      </c>
      <c r="Q1484" s="9" t="inlineStr">
        <is>
          <t>说明/执行器：长按释放，消耗 10 点法力，获得 12 层炎热</t>
        </is>
      </c>
      <c r="R1484" s="9" t="inlineStr">
        <is>
          <t>scripture_spell</t>
        </is>
      </c>
      <c r="S1484" s="9" t="inlineStr">
        <is>
          <t>一点暖阳被托入胸中，衰弱气息随金光回升，像晨光重新照进经络。</t>
        </is>
      </c>
      <c r="T1484" s="8" t="inlineStr">
        <is>
          <t>spell_fuyang_xi_1x1</t>
        </is>
      </c>
      <c r="U1484" s="8" t="inlineStr">
        <is>
          <t>allowed</t>
        </is>
      </c>
    </row>
    <row r="1485" ht="34" customHeight="1">
      <c r="A1485" s="8" t="n">
        <v>1484</v>
      </c>
      <c r="B1485" s="8" t="n">
        <v>800034</v>
      </c>
      <c r="C1485" s="8" t="inlineStr">
        <is>
          <t>烈日护身</t>
        </is>
      </c>
      <c r="D1485" s="8" t="inlineStr">
        <is>
          <t>招式</t>
        </is>
      </c>
      <c r="E1485" s="8" t="inlineStr">
        <is>
          <t>spell</t>
        </is>
      </c>
      <c r="F1485" s="8" t="inlineStr">
        <is>
          <t>common</t>
        </is>
      </c>
      <c r="G1485" s="8" t="inlineStr">
        <is>
          <t>火</t>
        </is>
      </c>
      <c r="H1485" s="8" t="inlineStr">
        <is>
          <t>fire</t>
        </is>
      </c>
      <c r="I1485" s="8" t="inlineStr">
        <is>
          <t>1×1</t>
        </is>
      </c>
      <c r="J1485" s="8" t="n">
        <v>1</v>
      </c>
      <c r="K1485" s="8" t="inlineStr"/>
      <c r="L1485" s="8" t="inlineStr">
        <is>
          <t>是</t>
        </is>
      </c>
      <c r="M1485" s="9" t="inlineStr">
        <is>
          <t>scriptureSpellReward</t>
        </is>
      </c>
      <c r="N1485" s="8" t="n">
        <v>1</v>
      </c>
      <c r="O1485" s="9" t="inlineStr">
        <is>
          <t>说明/执行器</t>
        </is>
      </c>
      <c r="P1485" s="9" t="inlineStr">
        <is>
          <t>effectNote</t>
        </is>
      </c>
      <c r="Q1485" s="9" t="inlineStr">
        <is>
          <t>说明/执行器：长按释放，消耗 5 点法力，将所有炎热转化为 3 倍层数的护甲</t>
        </is>
      </c>
      <c r="R1485" s="9" t="inlineStr">
        <is>
          <t>scripture_spell</t>
        </is>
      </c>
      <c r="S1485" s="9" t="inlineStr">
        <is>
          <t>炽烈日轮张成护罩，火光贴身流转，将逼近的寒意与锋芒一并逼退。</t>
        </is>
      </c>
      <c r="T1485" s="8" t="inlineStr">
        <is>
          <t>spell_lieri_hushen_1x1</t>
        </is>
      </c>
      <c r="U1485" s="8" t="inlineStr">
        <is>
          <t>allowed</t>
        </is>
      </c>
    </row>
    <row r="1486" ht="34" customHeight="1">
      <c r="A1486" s="8" t="n">
        <v>1485</v>
      </c>
      <c r="B1486" s="8" t="n">
        <v>800035</v>
      </c>
      <c r="C1486" s="8" t="inlineStr">
        <is>
          <t>炎轮步</t>
        </is>
      </c>
      <c r="D1486" s="8" t="inlineStr">
        <is>
          <t>招式</t>
        </is>
      </c>
      <c r="E1486" s="8" t="inlineStr">
        <is>
          <t>spell</t>
        </is>
      </c>
      <c r="F1486" s="8" t="inlineStr">
        <is>
          <t>common</t>
        </is>
      </c>
      <c r="G1486" s="8" t="inlineStr">
        <is>
          <t>火</t>
        </is>
      </c>
      <c r="H1486" s="8" t="inlineStr">
        <is>
          <t>fire</t>
        </is>
      </c>
      <c r="I1486" s="8" t="inlineStr">
        <is>
          <t>2×2</t>
        </is>
      </c>
      <c r="J1486" s="8" t="n">
        <v>4</v>
      </c>
      <c r="K1486" s="8" t="inlineStr"/>
      <c r="L1486" s="8" t="inlineStr">
        <is>
          <t>是</t>
        </is>
      </c>
      <c r="M1486" s="9" t="inlineStr">
        <is>
          <t>scriptureSpellReward</t>
        </is>
      </c>
      <c r="N1486" s="8" t="n">
        <v>1</v>
      </c>
      <c r="O1486" s="9" t="inlineStr">
        <is>
          <t>周期触发</t>
        </is>
      </c>
      <c r="P1486" s="9" t="inlineStr">
        <is>
          <t>periodicPulse</t>
        </is>
      </c>
      <c r="Q1486" s="9" t="inlineStr">
        <is>
          <t>周期触发：轮转时，每有 1 层炎热，使下方相邻招式获得 2 秒加速（最多计算 20 层）</t>
        </is>
      </c>
      <c r="R1486" s="9" t="inlineStr">
        <is>
          <t>scripture_spell</t>
        </is>
      </c>
      <c r="S1486" s="9" t="inlineStr">
        <is>
          <t>足下火轮急旋，身形随赤金弧光错开，留下一圈滚烫的步法残影。</t>
        </is>
      </c>
      <c r="T1486" s="8" t="inlineStr">
        <is>
          <t>spell_yanlun_bu_2x2</t>
        </is>
      </c>
      <c r="U1486" s="8" t="inlineStr">
        <is>
          <t>allowed</t>
        </is>
      </c>
    </row>
    <row r="1487" ht="34" customHeight="1">
      <c r="A1487" s="8" t="n">
        <v>1486</v>
      </c>
      <c r="B1487" s="8" t="n">
        <v>800036</v>
      </c>
      <c r="C1487" s="8" t="inlineStr">
        <is>
          <t>焚气指</t>
        </is>
      </c>
      <c r="D1487" s="8" t="inlineStr">
        <is>
          <t>招式</t>
        </is>
      </c>
      <c r="E1487" s="8" t="inlineStr">
        <is>
          <t>spell</t>
        </is>
      </c>
      <c r="F1487" s="8" t="inlineStr">
        <is>
          <t>common</t>
        </is>
      </c>
      <c r="G1487" s="8" t="inlineStr">
        <is>
          <t>火</t>
        </is>
      </c>
      <c r="H1487" s="8" t="inlineStr">
        <is>
          <t>fire</t>
        </is>
      </c>
      <c r="I1487" s="8" t="inlineStr">
        <is>
          <t>2×2</t>
        </is>
      </c>
      <c r="J1487" s="8" t="n">
        <v>4</v>
      </c>
      <c r="K1487" s="8" t="inlineStr"/>
      <c r="L1487" s="8" t="inlineStr">
        <is>
          <t>是</t>
        </is>
      </c>
      <c r="M1487" s="9" t="inlineStr">
        <is>
          <t>scriptureSpellReward</t>
        </is>
      </c>
      <c r="N1487" s="8" t="n">
        <v>1</v>
      </c>
      <c r="O1487" s="9" t="inlineStr">
        <is>
          <t>说明/执行器</t>
        </is>
      </c>
      <c r="P1487" s="9" t="inlineStr">
        <is>
          <t>effectNote</t>
        </is>
      </c>
      <c r="Q1487" s="9" t="inlineStr">
        <is>
          <t>说明/执行器：消耗敌方所有灼烧，每消耗 1 层，对其造成 7 点伤害</t>
        </is>
      </c>
      <c r="R1487" s="9" t="inlineStr">
        <is>
          <t>scripture_spell</t>
        </is>
      </c>
      <c r="S1487" s="9" t="inlineStr">
        <is>
          <t>双指并起，白热火线凝成一束穿出，像把散乱火息炼成锋利一针。</t>
        </is>
      </c>
      <c r="T1487" s="8" t="inlineStr">
        <is>
          <t>spell_fenqi_zhi_2x2</t>
        </is>
      </c>
      <c r="U1487" s="8" t="inlineStr">
        <is>
          <t>allowed</t>
        </is>
      </c>
    </row>
    <row r="1488" ht="34" customHeight="1">
      <c r="A1488" s="8" t="n">
        <v>1487</v>
      </c>
      <c r="B1488" s="8" t="n">
        <v>800037</v>
      </c>
      <c r="C1488" s="8" t="inlineStr">
        <is>
          <t>日轮坠</t>
        </is>
      </c>
      <c r="D1488" s="8" t="inlineStr">
        <is>
          <t>招式</t>
        </is>
      </c>
      <c r="E1488" s="8" t="inlineStr">
        <is>
          <t>spell</t>
        </is>
      </c>
      <c r="F1488" s="8" t="inlineStr">
        <is>
          <t>common</t>
        </is>
      </c>
      <c r="G1488" s="8" t="inlineStr">
        <is>
          <t>火</t>
        </is>
      </c>
      <c r="H1488" s="8" t="inlineStr">
        <is>
          <t>fire</t>
        </is>
      </c>
      <c r="I1488" s="8" t="inlineStr">
        <is>
          <t>2×2</t>
        </is>
      </c>
      <c r="J1488" s="8" t="n">
        <v>4</v>
      </c>
      <c r="K1488" s="8" t="inlineStr"/>
      <c r="L1488" s="8" t="inlineStr">
        <is>
          <t>是</t>
        </is>
      </c>
      <c r="M1488" s="9" t="inlineStr">
        <is>
          <t>scriptureSpellReward</t>
        </is>
      </c>
      <c r="N1488" s="8" t="n">
        <v>1</v>
      </c>
      <c r="O1488" s="9" t="inlineStr">
        <is>
          <t>说明/执行器</t>
        </is>
      </c>
      <c r="P1488" s="9" t="inlineStr">
        <is>
          <t>effectNote</t>
        </is>
      </c>
      <c r="Q1488" s="9" t="inlineStr">
        <is>
          <t>说明/执行器：每当相邻道具使用时，对敌方造成等同于我方炎热层数的伤害，然后消耗我方 3 层炎热；对敌方造成等同于我方炎热层数的伤害</t>
        </is>
      </c>
      <c r="R1488" s="9" t="inlineStr">
        <is>
          <t>scripture_spell</t>
        </is>
      </c>
      <c r="S1488" s="9" t="inlineStr">
        <is>
          <t>高悬日轮轰然下坠，赤金烈光砸入战局，四周火浪如山崩般掀起。</t>
        </is>
      </c>
      <c r="T1488" s="8" t="inlineStr">
        <is>
          <t>spell_rilun_zhui_2x2</t>
        </is>
      </c>
      <c r="U1488" s="8" t="inlineStr">
        <is>
          <t>allowed</t>
        </is>
      </c>
    </row>
    <row r="1489" ht="34" customHeight="1">
      <c r="A1489" s="8" t="n">
        <v>1488</v>
      </c>
      <c r="B1489" s="8" t="n">
        <v>800038</v>
      </c>
      <c r="C1489" s="8" t="inlineStr">
        <is>
          <t>雷波刺</t>
        </is>
      </c>
      <c r="D1489" s="8" t="inlineStr">
        <is>
          <t>招式</t>
        </is>
      </c>
      <c r="E1489" s="8" t="inlineStr">
        <is>
          <t>spell</t>
        </is>
      </c>
      <c r="F1489" s="8" t="inlineStr">
        <is>
          <t>common</t>
        </is>
      </c>
      <c r="G1489" s="8" t="inlineStr">
        <is>
          <t>雷</t>
        </is>
      </c>
      <c r="H1489" s="8" t="inlineStr">
        <is>
          <t>thunder</t>
        </is>
      </c>
      <c r="I1489" s="8" t="inlineStr">
        <is>
          <t>1×1</t>
        </is>
      </c>
      <c r="J1489" s="8" t="n">
        <v>1</v>
      </c>
      <c r="K1489" s="8" t="inlineStr"/>
      <c r="L1489" s="8" t="inlineStr">
        <is>
          <t>是</t>
        </is>
      </c>
      <c r="M1489" s="9" t="inlineStr">
        <is>
          <t>scriptureSpellReward</t>
        </is>
      </c>
      <c r="N1489" s="8" t="n">
        <v>1</v>
      </c>
      <c r="O1489" s="9" t="inlineStr">
        <is>
          <t>被动效果</t>
        </is>
      </c>
      <c r="P1489" s="9" t="inlineStr">
        <is>
          <t>passive</t>
        </is>
      </c>
      <c r="Q1489" s="9" t="inlineStr">
        <is>
          <t>被动效果：任意武器对敌人造成伤害时，双方都获得 1 层引雷</t>
        </is>
      </c>
      <c r="R1489" s="9" t="inlineStr">
        <is>
          <t>scripture_spell</t>
        </is>
      </c>
      <c r="S1489" s="9" t="inlineStr">
        <is>
          <t>指尖凝出一线玄水寒锋，水光裹着细雷破空而去。</t>
        </is>
      </c>
      <c r="T1489" s="8" t="inlineStr">
        <is>
          <t>spell_xuanshui_ci_1x1</t>
        </is>
      </c>
      <c r="U1489" s="8" t="inlineStr">
        <is>
          <t>allowed</t>
        </is>
      </c>
    </row>
    <row r="1490" ht="34" customHeight="1">
      <c r="A1490" s="8" t="n">
        <v>1489</v>
      </c>
      <c r="B1490" s="8" t="n">
        <v>800039</v>
      </c>
      <c r="C1490" s="8" t="inlineStr">
        <is>
          <t>寒雷缚</t>
        </is>
      </c>
      <c r="D1490" s="8" t="inlineStr">
        <is>
          <t>招式</t>
        </is>
      </c>
      <c r="E1490" s="8" t="inlineStr">
        <is>
          <t>spell</t>
        </is>
      </c>
      <c r="F1490" s="8" t="inlineStr">
        <is>
          <t>common</t>
        </is>
      </c>
      <c r="G1490" s="8" t="inlineStr">
        <is>
          <t>雷</t>
        </is>
      </c>
      <c r="H1490" s="8" t="inlineStr">
        <is>
          <t>thunder</t>
        </is>
      </c>
      <c r="I1490" s="8" t="inlineStr">
        <is>
          <t>1×1</t>
        </is>
      </c>
      <c r="J1490" s="8" t="n">
        <v>1</v>
      </c>
      <c r="K1490" s="8" t="inlineStr"/>
      <c r="L1490" s="8" t="inlineStr">
        <is>
          <t>是</t>
        </is>
      </c>
      <c r="M1490" s="9" t="inlineStr">
        <is>
          <t>scriptureSpellReward</t>
        </is>
      </c>
      <c r="N1490" s="8" t="n">
        <v>1</v>
      </c>
      <c r="O1490" s="9" t="inlineStr">
        <is>
          <t>说明/执行器</t>
        </is>
      </c>
      <c r="P1490" s="9" t="inlineStr">
        <is>
          <t>effectNote</t>
        </is>
      </c>
      <c r="Q1490" s="9" t="inlineStr">
        <is>
          <t>说明/执行器：长按释放，消耗3点法力，获得 3 层引雷，对敌方施加4层麻痹</t>
        </is>
      </c>
      <c r="R1490" s="9" t="inlineStr">
        <is>
          <t>scripture_spell</t>
        </is>
      </c>
      <c r="S1490" s="9" t="inlineStr">
        <is>
          <t>寒水化链，雷光入扣，转瞬便将敌身牵制在水雾之中。</t>
        </is>
      </c>
      <c r="T1490" s="8" t="inlineStr">
        <is>
          <t>spell_hanlei_fu_1x1</t>
        </is>
      </c>
      <c r="U1490" s="8" t="inlineStr">
        <is>
          <t>allowed</t>
        </is>
      </c>
    </row>
    <row r="1491" ht="34" customHeight="1">
      <c r="A1491" s="8" t="n">
        <v>1490</v>
      </c>
      <c r="B1491" s="8" t="n">
        <v>800040</v>
      </c>
      <c r="C1491" s="8" t="inlineStr">
        <is>
          <t>潭息回法</t>
        </is>
      </c>
      <c r="D1491" s="8" t="inlineStr">
        <is>
          <t>招式</t>
        </is>
      </c>
      <c r="E1491" s="8" t="inlineStr">
        <is>
          <t>spell</t>
        </is>
      </c>
      <c r="F1491" s="8" t="inlineStr">
        <is>
          <t>common</t>
        </is>
      </c>
      <c r="G1491" s="8" t="inlineStr">
        <is>
          <t>雷</t>
        </is>
      </c>
      <c r="H1491" s="8" t="inlineStr">
        <is>
          <t>thunder</t>
        </is>
      </c>
      <c r="I1491" s="8" t="inlineStr">
        <is>
          <t>1×1</t>
        </is>
      </c>
      <c r="J1491" s="8" t="n">
        <v>1</v>
      </c>
      <c r="K1491" s="8" t="inlineStr"/>
      <c r="L1491" s="8" t="inlineStr">
        <is>
          <t>是</t>
        </is>
      </c>
      <c r="M1491" s="9" t="inlineStr">
        <is>
          <t>scriptureSpellReward</t>
        </is>
      </c>
      <c r="N1491" s="8" t="n">
        <v>1</v>
      </c>
      <c r="O1491" s="9" t="inlineStr">
        <is>
          <t>周期触发</t>
        </is>
      </c>
      <c r="P1491" s="9" t="inlineStr">
        <is>
          <t>periodicPulse</t>
        </is>
      </c>
      <c r="Q1491" s="9" t="inlineStr">
        <is>
          <t>周期触发：如果引雷层数不少于 10 层，恢复 10 点法力</t>
        </is>
      </c>
      <c r="R1491" s="9" t="inlineStr">
        <is>
          <t>scripture_spell</t>
        </is>
      </c>
      <c r="S1491" s="9" t="inlineStr">
        <is>
          <t>深潭微澜倒卷入府，水雷之息沿经脉缓缓回旋。</t>
        </is>
      </c>
      <c r="T1491" s="8" t="inlineStr">
        <is>
          <t>spell_tanxi_huifa_1x1</t>
        </is>
      </c>
      <c r="U1491" s="8" t="inlineStr">
        <is>
          <t>allowed</t>
        </is>
      </c>
    </row>
    <row r="1492" ht="34" customHeight="1">
      <c r="A1492" s="8" t="n">
        <v>1491</v>
      </c>
      <c r="B1492" s="8" t="n">
        <v>800041</v>
      </c>
      <c r="C1492" s="8" t="inlineStr">
        <is>
          <t>潭雷回响</t>
        </is>
      </c>
      <c r="D1492" s="8" t="inlineStr">
        <is>
          <t>招式</t>
        </is>
      </c>
      <c r="E1492" s="8" t="inlineStr">
        <is>
          <t>spell</t>
        </is>
      </c>
      <c r="F1492" s="8" t="inlineStr">
        <is>
          <t>common</t>
        </is>
      </c>
      <c r="G1492" s="8" t="inlineStr">
        <is>
          <t>雷</t>
        </is>
      </c>
      <c r="H1492" s="8" t="inlineStr">
        <is>
          <t>thunder</t>
        </is>
      </c>
      <c r="I1492" s="8" t="inlineStr">
        <is>
          <t>1×1</t>
        </is>
      </c>
      <c r="J1492" s="8" t="n">
        <v>1</v>
      </c>
      <c r="K1492" s="8" t="inlineStr"/>
      <c r="L1492" s="8" t="inlineStr">
        <is>
          <t>是</t>
        </is>
      </c>
      <c r="M1492" s="9" t="inlineStr">
        <is>
          <t>scriptureSpellReward</t>
        </is>
      </c>
      <c r="N1492" s="8" t="n">
        <v>1</v>
      </c>
      <c r="O1492" s="9" t="inlineStr">
        <is>
          <t>被动效果</t>
        </is>
      </c>
      <c r="P1492" s="9" t="inlineStr">
        <is>
          <t>passive</t>
        </is>
      </c>
      <c r="Q1492" s="9" t="inlineStr">
        <is>
          <t>被动效果：当敌方对我方造成伤害时，消耗 3 层引雷，反弹最多 10 点伤害</t>
        </is>
      </c>
      <c r="R1492" s="9" t="inlineStr">
        <is>
          <t>scripture_spell</t>
        </is>
      </c>
      <c r="S1492" s="9" t="inlineStr">
        <is>
          <t>雷落寒潭，余波一圈圈震开，水纹深处仍有电芒回鸣。</t>
        </is>
      </c>
      <c r="T1492" s="8" t="inlineStr">
        <is>
          <t>spell_tanlei_huixiang_1x1</t>
        </is>
      </c>
      <c r="U1492" s="8" t="inlineStr">
        <is>
          <t>allowed</t>
        </is>
      </c>
    </row>
    <row r="1493" ht="34" customHeight="1">
      <c r="A1493" s="8" t="n">
        <v>1492</v>
      </c>
      <c r="B1493" s="8" t="n">
        <v>800042</v>
      </c>
      <c r="C1493" s="8" t="inlineStr">
        <is>
          <t>雷脉锁</t>
        </is>
      </c>
      <c r="D1493" s="8" t="inlineStr">
        <is>
          <t>招式</t>
        </is>
      </c>
      <c r="E1493" s="8" t="inlineStr">
        <is>
          <t>spell</t>
        </is>
      </c>
      <c r="F1493" s="8" t="inlineStr">
        <is>
          <t>common</t>
        </is>
      </c>
      <c r="G1493" s="8" t="inlineStr">
        <is>
          <t>雷</t>
        </is>
      </c>
      <c r="H1493" s="8" t="inlineStr">
        <is>
          <t>thunder</t>
        </is>
      </c>
      <c r="I1493" s="8" t="inlineStr">
        <is>
          <t>1×1</t>
        </is>
      </c>
      <c r="J1493" s="8" t="n">
        <v>1</v>
      </c>
      <c r="K1493" s="8" t="inlineStr"/>
      <c r="L1493" s="8" t="inlineStr">
        <is>
          <t>是</t>
        </is>
      </c>
      <c r="M1493" s="9" t="inlineStr">
        <is>
          <t>scriptureSpellReward</t>
        </is>
      </c>
      <c r="N1493" s="8" t="n">
        <v>1</v>
      </c>
      <c r="O1493" s="9" t="inlineStr">
        <is>
          <t>周期触发</t>
        </is>
      </c>
      <c r="P1493" s="9" t="inlineStr">
        <is>
          <t>periodicPulse</t>
        </is>
      </c>
      <c r="Q1493" s="9" t="inlineStr">
        <is>
          <t>周期触发：消耗 5 层引雷，对敌方施加8层麻痹</t>
        </is>
      </c>
      <c r="R1493" s="9" t="inlineStr">
        <is>
          <t>scripture_spell</t>
        </is>
      </c>
      <c r="S1493" s="9" t="inlineStr">
        <is>
          <t>霜纹贴脉，雷符定穴，寒意如细锁般缠住敌方气机。</t>
        </is>
      </c>
      <c r="T1493" s="8" t="inlineStr">
        <is>
          <t>spell_shuangmai_suo_1x1</t>
        </is>
      </c>
      <c r="U1493" s="8" t="inlineStr">
        <is>
          <t>allowed</t>
        </is>
      </c>
    </row>
    <row r="1494" ht="34" customHeight="1">
      <c r="A1494" s="8" t="n">
        <v>1493</v>
      </c>
      <c r="B1494" s="8" t="n">
        <v>800043</v>
      </c>
      <c r="C1494" s="8" t="inlineStr">
        <is>
          <t>雷纹护身</t>
        </is>
      </c>
      <c r="D1494" s="8" t="inlineStr">
        <is>
          <t>招式</t>
        </is>
      </c>
      <c r="E1494" s="8" t="inlineStr">
        <is>
          <t>spell</t>
        </is>
      </c>
      <c r="F1494" s="8" t="inlineStr">
        <is>
          <t>common</t>
        </is>
      </c>
      <c r="G1494" s="8" t="inlineStr">
        <is>
          <t>雷</t>
        </is>
      </c>
      <c r="H1494" s="8" t="inlineStr">
        <is>
          <t>thunder</t>
        </is>
      </c>
      <c r="I1494" s="8" t="inlineStr">
        <is>
          <t>1×1</t>
        </is>
      </c>
      <c r="J1494" s="8" t="n">
        <v>1</v>
      </c>
      <c r="K1494" s="8" t="inlineStr"/>
      <c r="L1494" s="8" t="inlineStr">
        <is>
          <t>是</t>
        </is>
      </c>
      <c r="M1494" s="9" t="inlineStr">
        <is>
          <t>scriptureSpellReward</t>
        </is>
      </c>
      <c r="N1494" s="8" t="n">
        <v>1</v>
      </c>
      <c r="O1494" s="9" t="inlineStr">
        <is>
          <t>被动效果</t>
        </is>
      </c>
      <c r="P1494" s="9" t="inlineStr">
        <is>
          <t>passive</t>
        </is>
      </c>
      <c r="Q1494" s="9" t="inlineStr">
        <is>
          <t>被动效果：受到伤害时，有几率消耗 1 层引雷，对敌人造成 5 点伤害，几率等同于当前暴击率</t>
        </is>
      </c>
      <c r="R1494" s="9" t="inlineStr">
        <is>
          <t>scripture_spell</t>
        </is>
      </c>
      <c r="S1494" s="9" t="inlineStr">
        <is>
          <t>水幕成圆，雷纹游走其上，将近身杀意尽数荡开。</t>
        </is>
      </c>
      <c r="T1494" s="8" t="inlineStr">
        <is>
          <t>spell_leiwen_hushen_1x1</t>
        </is>
      </c>
      <c r="U1494" s="8" t="inlineStr">
        <is>
          <t>allowed</t>
        </is>
      </c>
    </row>
    <row r="1495" ht="34" customHeight="1">
      <c r="A1495" s="8" t="n">
        <v>1494</v>
      </c>
      <c r="B1495" s="8" t="n">
        <v>800044</v>
      </c>
      <c r="C1495" s="8" t="inlineStr">
        <is>
          <t>玄冥雷落</t>
        </is>
      </c>
      <c r="D1495" s="8" t="inlineStr">
        <is>
          <t>招式</t>
        </is>
      </c>
      <c r="E1495" s="8" t="inlineStr">
        <is>
          <t>spell</t>
        </is>
      </c>
      <c r="F1495" s="8" t="inlineStr">
        <is>
          <t>common</t>
        </is>
      </c>
      <c r="G1495" s="8" t="inlineStr">
        <is>
          <t>雷</t>
        </is>
      </c>
      <c r="H1495" s="8" t="inlineStr">
        <is>
          <t>thunder</t>
        </is>
      </c>
      <c r="I1495" s="8" t="inlineStr">
        <is>
          <t>1×2</t>
        </is>
      </c>
      <c r="J1495" s="8" t="n">
        <v>2</v>
      </c>
      <c r="K1495" s="8" t="inlineStr"/>
      <c r="L1495" s="8" t="inlineStr">
        <is>
          <t>是</t>
        </is>
      </c>
      <c r="M1495" s="9" t="inlineStr">
        <is>
          <t>scriptureSpellReward</t>
        </is>
      </c>
      <c r="N1495" s="8" t="n">
        <v>1</v>
      </c>
      <c r="O1495" s="9" t="inlineStr">
        <is>
          <t>说明/执行器</t>
        </is>
      </c>
      <c r="P1495" s="9" t="inlineStr">
        <is>
          <t>effectNote</t>
        </is>
      </c>
      <c r="Q1495" s="9" t="inlineStr">
        <is>
          <t>说明/执行器：长按释放，消耗所有引雷，对敌方造成 3 倍层数的伤害</t>
        </is>
      </c>
      <c r="R1495" s="9" t="inlineStr">
        <is>
          <t>scripture_spell</t>
        </is>
      </c>
      <c r="S1495" s="9" t="inlineStr">
        <is>
          <t>玄水自天幕倾下，雷柱贯入阵心，寒黑水光随轰鸣翻腾。</t>
        </is>
      </c>
      <c r="T1495" s="8" t="inlineStr">
        <is>
          <t>spell_xuanming_leiluo_1x2</t>
        </is>
      </c>
      <c r="U1495" s="8" t="inlineStr">
        <is>
          <t>allowed</t>
        </is>
      </c>
    </row>
    <row r="1496" ht="34" customHeight="1">
      <c r="A1496" s="8" t="n">
        <v>1495</v>
      </c>
      <c r="B1496" s="8" t="n">
        <v>800045</v>
      </c>
      <c r="C1496" s="8" t="inlineStr">
        <is>
          <t>纳印</t>
        </is>
      </c>
      <c r="D1496" s="8" t="inlineStr">
        <is>
          <t>招式</t>
        </is>
      </c>
      <c r="E1496" s="8" t="inlineStr">
        <is>
          <t>spell</t>
        </is>
      </c>
      <c r="F1496" s="8" t="inlineStr">
        <is>
          <t>common</t>
        </is>
      </c>
      <c r="G1496" s="8" t="inlineStr">
        <is>
          <t>无</t>
        </is>
      </c>
      <c r="H1496" s="8" t="inlineStr">
        <is>
          <t>none</t>
        </is>
      </c>
      <c r="I1496" s="8" t="inlineStr">
        <is>
          <t>1×1</t>
        </is>
      </c>
      <c r="J1496" s="8" t="n">
        <v>1</v>
      </c>
      <c r="K1496" s="8" t="inlineStr"/>
      <c r="L1496" s="8" t="inlineStr">
        <is>
          <t>是</t>
        </is>
      </c>
      <c r="M1496" s="9" t="inlineStr">
        <is>
          <t>scriptureSpellReward</t>
        </is>
      </c>
      <c r="N1496" s="8" t="n">
        <v>1</v>
      </c>
      <c r="O1496" s="9" t="inlineStr">
        <is>
          <t>被动效果</t>
        </is>
      </c>
      <c r="P1496" s="9" t="inlineStr">
        <is>
          <t>passive</t>
        </is>
      </c>
      <c r="Q1496" s="9" t="inlineStr">
        <is>
          <t>被动效果：法力上限 +10，每击杀一只妖兽后效果升级。；法力上限</t>
        </is>
      </c>
      <c r="R1496" s="9" t="inlineStr">
        <is>
          <t>scripture_spell</t>
        </is>
      </c>
      <c r="S1496" s="9" t="inlineStr">
        <is>
          <t>玉印轻落，方寸之间纳入游离元气，印痕明灭如呼吸。</t>
        </is>
      </c>
      <c r="T1496" s="8" t="inlineStr">
        <is>
          <t>spell_nayin_1x1</t>
        </is>
      </c>
      <c r="U1496" s="8" t="inlineStr">
        <is>
          <t>allowed</t>
        </is>
      </c>
    </row>
    <row r="1497" ht="34" customHeight="1">
      <c r="A1497" s="8" t="n">
        <v>1496</v>
      </c>
      <c r="B1497" s="8" t="n">
        <v>800046</v>
      </c>
      <c r="C1497" s="8" t="inlineStr">
        <is>
          <t>敛气诀</t>
        </is>
      </c>
      <c r="D1497" s="8" t="inlineStr">
        <is>
          <t>招式</t>
        </is>
      </c>
      <c r="E1497" s="8" t="inlineStr">
        <is>
          <t>spell</t>
        </is>
      </c>
      <c r="F1497" s="8" t="inlineStr">
        <is>
          <t>common</t>
        </is>
      </c>
      <c r="G1497" s="8" t="inlineStr">
        <is>
          <t>无</t>
        </is>
      </c>
      <c r="H1497" s="8" t="inlineStr">
        <is>
          <t>none</t>
        </is>
      </c>
      <c r="I1497" s="8" t="inlineStr">
        <is>
          <t>1×1</t>
        </is>
      </c>
      <c r="J1497" s="8" t="n">
        <v>1</v>
      </c>
      <c r="K1497" s="8" t="inlineStr"/>
      <c r="L1497" s="8" t="inlineStr">
        <is>
          <t>是</t>
        </is>
      </c>
      <c r="M1497" s="9" t="inlineStr">
        <is>
          <t>scriptureSpellReward</t>
        </is>
      </c>
      <c r="N1497" s="8" t="n">
        <v>1</v>
      </c>
      <c r="O1497" s="9" t="inlineStr">
        <is>
          <t>说明/执行器</t>
        </is>
      </c>
      <c r="P1497" s="9" t="inlineStr">
        <is>
          <t>effectNote</t>
        </is>
      </c>
      <c r="Q1497" s="9" t="inlineStr">
        <is>
          <t>说明/执行器：开局：所有招式冷却时间快进 50%</t>
        </is>
      </c>
      <c r="R1497" s="9" t="inlineStr">
        <is>
          <t>scripture_spell</t>
        </is>
      </c>
      <c r="S1497" s="9" t="inlineStr">
        <is>
          <t>双手结成敛气印，散乱灵息随印诀回收，纳入经脉深处。</t>
        </is>
      </c>
      <c r="T1497" s="8" t="inlineStr">
        <is>
          <t>spell_lianqi_jue_1x1</t>
        </is>
      </c>
      <c r="U1497" s="8" t="inlineStr">
        <is>
          <t>allowed</t>
        </is>
      </c>
    </row>
    <row r="1498" ht="34" customHeight="1">
      <c r="A1498" s="8" t="n">
        <v>1497</v>
      </c>
      <c r="B1498" s="8" t="n">
        <v>800047</v>
      </c>
      <c r="C1498" s="8" t="inlineStr">
        <is>
          <t>回元</t>
        </is>
      </c>
      <c r="D1498" s="8" t="inlineStr">
        <is>
          <t>招式</t>
        </is>
      </c>
      <c r="E1498" s="8" t="inlineStr">
        <is>
          <t>spell</t>
        </is>
      </c>
      <c r="F1498" s="8" t="inlineStr">
        <is>
          <t>common</t>
        </is>
      </c>
      <c r="G1498" s="8" t="inlineStr">
        <is>
          <t>无</t>
        </is>
      </c>
      <c r="H1498" s="8" t="inlineStr">
        <is>
          <t>none</t>
        </is>
      </c>
      <c r="I1498" s="8" t="inlineStr">
        <is>
          <t>1×1</t>
        </is>
      </c>
      <c r="J1498" s="8" t="n">
        <v>1</v>
      </c>
      <c r="K1498" s="8" t="inlineStr"/>
      <c r="L1498" s="8" t="inlineStr">
        <is>
          <t>是</t>
        </is>
      </c>
      <c r="M1498" s="9" t="inlineStr">
        <is>
          <t>scriptureSpellReward</t>
        </is>
      </c>
      <c r="N1498" s="8" t="n">
        <v>1</v>
      </c>
      <c r="O1498" s="9" t="inlineStr">
        <is>
          <t>周期触发</t>
        </is>
      </c>
      <c r="P1498" s="9" t="inlineStr">
        <is>
          <t>periodicPulse</t>
        </is>
      </c>
      <c r="Q1498" s="9" t="inlineStr">
        <is>
          <t>周期触发：轮转时，法力低于 50% 时，恢复 8 点法力</t>
        </is>
      </c>
      <c r="R1498" s="9" t="inlineStr">
        <is>
          <t>scripture_spell</t>
        </is>
      </c>
      <c r="S1498" s="9" t="inlineStr">
        <is>
          <t>元息绕身一转，碎光归府，如潮水退回玉印之心。</t>
        </is>
      </c>
      <c r="T1498" s="8" t="inlineStr">
        <is>
          <t>spell_huiyuan_1x1</t>
        </is>
      </c>
      <c r="U1498" s="8" t="inlineStr">
        <is>
          <t>allowed</t>
        </is>
      </c>
    </row>
    <row r="1499" ht="34" customHeight="1">
      <c r="A1499" s="8" t="n">
        <v>1498</v>
      </c>
      <c r="B1499" s="8" t="n">
        <v>800048</v>
      </c>
      <c r="C1499" s="8" t="inlineStr">
        <is>
          <t>开府印</t>
        </is>
      </c>
      <c r="D1499" s="8" t="inlineStr">
        <is>
          <t>招式</t>
        </is>
      </c>
      <c r="E1499" s="8" t="inlineStr">
        <is>
          <t>spell</t>
        </is>
      </c>
      <c r="F1499" s="8" t="inlineStr">
        <is>
          <t>common</t>
        </is>
      </c>
      <c r="G1499" s="8" t="inlineStr">
        <is>
          <t>无</t>
        </is>
      </c>
      <c r="H1499" s="8" t="inlineStr">
        <is>
          <t>none</t>
        </is>
      </c>
      <c r="I1499" s="8" t="inlineStr">
        <is>
          <t>1×1</t>
        </is>
      </c>
      <c r="J1499" s="8" t="n">
        <v>1</v>
      </c>
      <c r="K1499" s="8" t="inlineStr"/>
      <c r="L1499" s="8" t="inlineStr">
        <is>
          <t>是</t>
        </is>
      </c>
      <c r="M1499" s="9" t="inlineStr">
        <is>
          <t>scriptureSpellReward</t>
        </is>
      </c>
      <c r="N1499" s="8" t="n">
        <v>1</v>
      </c>
      <c r="O1499" s="9" t="inlineStr">
        <is>
          <t>周期触发</t>
        </is>
      </c>
      <c r="P1499" s="9" t="inlineStr">
        <is>
          <t>periodicPulse</t>
        </is>
      </c>
      <c r="Q1499" s="9" t="inlineStr">
        <is>
          <t>周期触发：开局：消耗 20 点法力，气血上限临时 +40%</t>
        </is>
      </c>
      <c r="R1499" s="9" t="inlineStr">
        <is>
          <t>scripture_spell</t>
        </is>
      </c>
      <c r="S1499" s="9" t="inlineStr">
        <is>
          <t>方印临丹府而开，玉色印门一瞬显形，内里灵光沉稳流转。</t>
        </is>
      </c>
      <c r="T1499" s="8" t="inlineStr">
        <is>
          <t>spell_kaifu_yin_1x1</t>
        </is>
      </c>
      <c r="U1499" s="8" t="inlineStr">
        <is>
          <t>allowed</t>
        </is>
      </c>
    </row>
    <row r="1500" ht="34" customHeight="1">
      <c r="A1500" s="8" t="n">
        <v>1499</v>
      </c>
      <c r="B1500" s="8" t="n">
        <v>800049</v>
      </c>
      <c r="C1500" s="8" t="inlineStr">
        <is>
          <t>锁元</t>
        </is>
      </c>
      <c r="D1500" s="8" t="inlineStr">
        <is>
          <t>招式</t>
        </is>
      </c>
      <c r="E1500" s="8" t="inlineStr">
        <is>
          <t>spell</t>
        </is>
      </c>
      <c r="F1500" s="8" t="inlineStr">
        <is>
          <t>common</t>
        </is>
      </c>
      <c r="G1500" s="8" t="inlineStr">
        <is>
          <t>无</t>
        </is>
      </c>
      <c r="H1500" s="8" t="inlineStr">
        <is>
          <t>none</t>
        </is>
      </c>
      <c r="I1500" s="8" t="inlineStr">
        <is>
          <t>1×1</t>
        </is>
      </c>
      <c r="J1500" s="8" t="n">
        <v>1</v>
      </c>
      <c r="K1500" s="8" t="inlineStr"/>
      <c r="L1500" s="8" t="inlineStr">
        <is>
          <t>是</t>
        </is>
      </c>
      <c r="M1500" s="9" t="inlineStr">
        <is>
          <t>scriptureSpellReward</t>
        </is>
      </c>
      <c r="N1500" s="8" t="n">
        <v>1</v>
      </c>
      <c r="O1500" s="9" t="inlineStr">
        <is>
          <t>说明/执行器</t>
        </is>
      </c>
      <c r="P1500" s="9" t="inlineStr">
        <is>
          <t>effectNote</t>
        </is>
      </c>
      <c r="Q1500" s="9" t="inlineStr">
        <is>
          <t>说明/执行器：长按释放，8 秒内我方法力不会减少</t>
        </is>
      </c>
      <c r="R1500" s="9" t="inlineStr">
        <is>
          <t>scripture_spell</t>
        </is>
      </c>
      <c r="S1500" s="9" t="inlineStr">
        <is>
          <t>墨绿印纹环环相扣，封住外泄元息，也压住敌方气机。</t>
        </is>
      </c>
      <c r="T1500" s="8" t="inlineStr">
        <is>
          <t>spell_suoyuan_1x1</t>
        </is>
      </c>
      <c r="U1500" s="8" t="inlineStr">
        <is>
          <t>allowed</t>
        </is>
      </c>
    </row>
    <row r="1501" ht="34" customHeight="1">
      <c r="A1501" s="8" t="n">
        <v>1500</v>
      </c>
      <c r="B1501" s="8" t="n">
        <v>800050</v>
      </c>
      <c r="C1501" s="8" t="inlineStr">
        <is>
          <t>引元成盾</t>
        </is>
      </c>
      <c r="D1501" s="8" t="inlineStr">
        <is>
          <t>招式</t>
        </is>
      </c>
      <c r="E1501" s="8" t="inlineStr">
        <is>
          <t>spell</t>
        </is>
      </c>
      <c r="F1501" s="8" t="inlineStr">
        <is>
          <t>common</t>
        </is>
      </c>
      <c r="G1501" s="8" t="inlineStr">
        <is>
          <t>无</t>
        </is>
      </c>
      <c r="H1501" s="8" t="inlineStr">
        <is>
          <t>none</t>
        </is>
      </c>
      <c r="I1501" s="8" t="inlineStr">
        <is>
          <t>2×2</t>
        </is>
      </c>
      <c r="J1501" s="8" t="n">
        <v>4</v>
      </c>
      <c r="K1501" s="8" t="inlineStr"/>
      <c r="L1501" s="8" t="inlineStr">
        <is>
          <t>是</t>
        </is>
      </c>
      <c r="M1501" s="9" t="inlineStr">
        <is>
          <t>scriptureSpellReward</t>
        </is>
      </c>
      <c r="N1501" s="8" t="n">
        <v>1</v>
      </c>
      <c r="O1501" s="9" t="inlineStr">
        <is>
          <t>说明/执行器</t>
        </is>
      </c>
      <c r="P1501" s="9" t="inlineStr">
        <is>
          <t>effectNote</t>
        </is>
      </c>
      <c r="Q1501" s="9" t="inlineStr">
        <is>
          <t>说明/执行器：受到伤害时，优先使用法力抵挡 80% 的伤害</t>
        </is>
      </c>
      <c r="R1501" s="9" t="inlineStr">
        <is>
          <t>scripture_spell</t>
        </is>
      </c>
      <c r="S1501" s="9" t="inlineStr">
        <is>
          <t>牵引四散元气凝成玉盾，方正印纹在盾面层层亮起。</t>
        </is>
      </c>
      <c r="T1501" s="8" t="inlineStr">
        <is>
          <t>spell_yinyuan_chengdun_2x2</t>
        </is>
      </c>
      <c r="U1501" s="8" t="inlineStr">
        <is>
          <t>allowed</t>
        </is>
      </c>
    </row>
    <row r="1502" ht="34" customHeight="1">
      <c r="A1502" s="8" t="n">
        <v>1501</v>
      </c>
      <c r="B1502" s="8" t="n">
        <v>800051</v>
      </c>
      <c r="C1502" s="8" t="inlineStr">
        <is>
          <t>镇元大印</t>
        </is>
      </c>
      <c r="D1502" s="8" t="inlineStr">
        <is>
          <t>招式</t>
        </is>
      </c>
      <c r="E1502" s="8" t="inlineStr">
        <is>
          <t>spell</t>
        </is>
      </c>
      <c r="F1502" s="8" t="inlineStr">
        <is>
          <t>common</t>
        </is>
      </c>
      <c r="G1502" s="8" t="inlineStr">
        <is>
          <t>无</t>
        </is>
      </c>
      <c r="H1502" s="8" t="inlineStr">
        <is>
          <t>none</t>
        </is>
      </c>
      <c r="I1502" s="8" t="inlineStr">
        <is>
          <t>1×1</t>
        </is>
      </c>
      <c r="J1502" s="8" t="n">
        <v>1</v>
      </c>
      <c r="K1502" s="8" t="inlineStr"/>
      <c r="L1502" s="8" t="inlineStr">
        <is>
          <t>是</t>
        </is>
      </c>
      <c r="M1502" s="9" t="inlineStr">
        <is>
          <t>scriptureSpellReward</t>
        </is>
      </c>
      <c r="N1502" s="8" t="n">
        <v>1</v>
      </c>
      <c r="O1502" s="9" t="inlineStr">
        <is>
          <t>说明/执行器</t>
        </is>
      </c>
      <c r="P1502" s="9" t="inlineStr">
        <is>
          <t>effectNote</t>
        </is>
      </c>
      <c r="Q1502" s="9" t="inlineStr">
        <is>
          <t>说明/执行器：长按释放，消耗 50点法力，10 秒内禁止敌方恢复气血和获得 Buff</t>
        </is>
      </c>
      <c r="R1502" s="9" t="inlineStr">
        <is>
          <t>scripture_spell</t>
        </is>
      </c>
      <c r="S1502" s="9" t="inlineStr">
        <is>
          <t>大印如山，自虚空镇下，元气被方正印阵压成沉重波纹。</t>
        </is>
      </c>
      <c r="T1502" s="8" t="inlineStr">
        <is>
          <t>spell_zhenyuan_dayin_1x1</t>
        </is>
      </c>
      <c r="U1502" s="8" t="inlineStr">
        <is>
          <t>allowed</t>
        </is>
      </c>
    </row>
    <row r="1503" ht="34" customHeight="1">
      <c r="A1503" s="8" t="n">
        <v>1502</v>
      </c>
      <c r="B1503" s="8" t="n">
        <v>800052</v>
      </c>
      <c r="C1503" s="8" t="inlineStr">
        <is>
          <t>启悟</t>
        </is>
      </c>
      <c r="D1503" s="8" t="inlineStr">
        <is>
          <t>招式</t>
        </is>
      </c>
      <c r="E1503" s="8" t="inlineStr">
        <is>
          <t>spell</t>
        </is>
      </c>
      <c r="F1503" s="8" t="inlineStr">
        <is>
          <t>common</t>
        </is>
      </c>
      <c r="G1503" s="8" t="inlineStr">
        <is>
          <t>无</t>
        </is>
      </c>
      <c r="H1503" s="8" t="inlineStr">
        <is>
          <t>none</t>
        </is>
      </c>
      <c r="I1503" s="8" t="inlineStr">
        <is>
          <t>1×1</t>
        </is>
      </c>
      <c r="J1503" s="8" t="n">
        <v>1</v>
      </c>
      <c r="K1503" s="8" t="inlineStr"/>
      <c r="L1503" s="8" t="inlineStr">
        <is>
          <t>是</t>
        </is>
      </c>
      <c r="M1503" s="9" t="inlineStr">
        <is>
          <t>scriptureSpellReward</t>
        </is>
      </c>
      <c r="N1503" s="8" t="n">
        <v>1</v>
      </c>
      <c r="O1503" s="9" t="inlineStr">
        <is>
          <t>周期触发</t>
        </is>
      </c>
      <c r="P1503" s="9" t="inlineStr">
        <is>
          <t>periodicPulse</t>
        </is>
      </c>
      <c r="Q1503" s="9" t="inlineStr">
        <is>
          <t>周期触发：轮转时，获得等同于道具数量1倍的修为</t>
        </is>
      </c>
      <c r="R1503" s="9" t="inlineStr">
        <is>
          <t>scripture_spell</t>
        </is>
      </c>
      <c r="S1503" s="9" t="inlineStr">
        <is>
          <t>指尖轻触眉心，玉简微光照入灵台，似有一念忽然通明。</t>
        </is>
      </c>
      <c r="T1503" s="8" t="inlineStr">
        <is>
          <t>spell_qiwu_1x1</t>
        </is>
      </c>
      <c r="U1503" s="8" t="inlineStr">
        <is>
          <t>allowed</t>
        </is>
      </c>
    </row>
    <row r="1504" ht="34" customHeight="1">
      <c r="A1504" s="8" t="n">
        <v>1503</v>
      </c>
      <c r="B1504" s="8" t="n">
        <v>800053</v>
      </c>
      <c r="C1504" s="8" t="inlineStr">
        <is>
          <t>观简</t>
        </is>
      </c>
      <c r="D1504" s="8" t="inlineStr">
        <is>
          <t>招式</t>
        </is>
      </c>
      <c r="E1504" s="8" t="inlineStr">
        <is>
          <t>spell</t>
        </is>
      </c>
      <c r="F1504" s="8" t="inlineStr">
        <is>
          <t>common</t>
        </is>
      </c>
      <c r="G1504" s="8" t="inlineStr">
        <is>
          <t>无</t>
        </is>
      </c>
      <c r="H1504" s="8" t="inlineStr">
        <is>
          <t>none</t>
        </is>
      </c>
      <c r="I1504" s="8" t="inlineStr">
        <is>
          <t>1×1</t>
        </is>
      </c>
      <c r="J1504" s="8" t="n">
        <v>1</v>
      </c>
      <c r="K1504" s="8" t="inlineStr"/>
      <c r="L1504" s="8" t="inlineStr">
        <is>
          <t>是</t>
        </is>
      </c>
      <c r="M1504" s="9" t="inlineStr">
        <is>
          <t>scriptureSpellReward</t>
        </is>
      </c>
      <c r="N1504" s="8" t="n">
        <v>1</v>
      </c>
      <c r="O1504" s="9" t="inlineStr">
        <is>
          <t>周期触发</t>
        </is>
      </c>
      <c r="P1504" s="9" t="inlineStr">
        <is>
          <t>periodicPulse</t>
        </is>
      </c>
      <c r="Q1504" s="9" t="inlineStr">
        <is>
          <t>周期触发：轮转时，每有 1 个相邻功法，获得 3 点修为</t>
        </is>
      </c>
      <c r="R1504" s="9" t="inlineStr">
        <is>
          <t>scripture_spell</t>
        </is>
      </c>
      <c r="S1504" s="9" t="inlineStr">
        <is>
          <t>玉简展开如册，简面篆痕一行行亮起，引人凝神细观。</t>
        </is>
      </c>
      <c r="T1504" s="8" t="inlineStr">
        <is>
          <t>spell_guanjian_1x1</t>
        </is>
      </c>
      <c r="U1504" s="8" t="inlineStr">
        <is>
          <t>allowed</t>
        </is>
      </c>
    </row>
    <row r="1505" ht="34" customHeight="1">
      <c r="A1505" s="8" t="n">
        <v>1504</v>
      </c>
      <c r="B1505" s="8" t="n">
        <v>800054</v>
      </c>
      <c r="C1505" s="8" t="inlineStr">
        <is>
          <t>明心诀</t>
        </is>
      </c>
      <c r="D1505" s="8" t="inlineStr">
        <is>
          <t>招式</t>
        </is>
      </c>
      <c r="E1505" s="8" t="inlineStr">
        <is>
          <t>spell</t>
        </is>
      </c>
      <c r="F1505" s="8" t="inlineStr">
        <is>
          <t>common</t>
        </is>
      </c>
      <c r="G1505" s="8" t="inlineStr">
        <is>
          <t>无</t>
        </is>
      </c>
      <c r="H1505" s="8" t="inlineStr">
        <is>
          <t>none</t>
        </is>
      </c>
      <c r="I1505" s="8" t="inlineStr">
        <is>
          <t>1×1</t>
        </is>
      </c>
      <c r="J1505" s="8" t="n">
        <v>1</v>
      </c>
      <c r="K1505" s="8" t="inlineStr"/>
      <c r="L1505" s="8" t="inlineStr">
        <is>
          <t>是</t>
        </is>
      </c>
      <c r="M1505" s="9" t="inlineStr">
        <is>
          <t>scriptureSpellReward</t>
        </is>
      </c>
      <c r="N1505" s="8" t="n">
        <v>1</v>
      </c>
      <c r="O1505" s="9" t="inlineStr">
        <is>
          <t>说明/执行器</t>
        </is>
      </c>
      <c r="P1505" s="9" t="inlineStr">
        <is>
          <t>effectNote</t>
        </is>
      </c>
      <c r="Q1505" s="9" t="inlineStr">
        <is>
          <t>说明/执行器：长按释放，消耗30点法力，清除全部负面效果</t>
        </is>
      </c>
      <c r="R1505" s="9" t="inlineStr">
        <is>
          <t>scripture_spell</t>
        </is>
      </c>
      <c r="S1505" s="9" t="inlineStr">
        <is>
          <t>合掌守心，墨色杂念自胸前散开，心光澄澈如玉。</t>
        </is>
      </c>
      <c r="T1505" s="8" t="inlineStr">
        <is>
          <t>spell_mingxin_jue_1x1</t>
        </is>
      </c>
      <c r="U1505" s="8" t="inlineStr">
        <is>
          <t>allowed</t>
        </is>
      </c>
    </row>
    <row r="1506" ht="34" customHeight="1">
      <c r="A1506" s="8" t="n">
        <v>1505</v>
      </c>
      <c r="B1506" s="8" t="n">
        <v>800055</v>
      </c>
      <c r="C1506" s="8" t="inlineStr">
        <is>
          <t>旁通</t>
        </is>
      </c>
      <c r="D1506" s="8" t="inlineStr">
        <is>
          <t>招式</t>
        </is>
      </c>
      <c r="E1506" s="8" t="inlineStr">
        <is>
          <t>spell</t>
        </is>
      </c>
      <c r="F1506" s="8" t="inlineStr">
        <is>
          <t>common</t>
        </is>
      </c>
      <c r="G1506" s="8" t="inlineStr">
        <is>
          <t>无</t>
        </is>
      </c>
      <c r="H1506" s="8" t="inlineStr">
        <is>
          <t>none</t>
        </is>
      </c>
      <c r="I1506" s="8" t="inlineStr">
        <is>
          <t>2×2</t>
        </is>
      </c>
      <c r="J1506" s="8" t="n">
        <v>4</v>
      </c>
      <c r="K1506" s="8" t="inlineStr"/>
      <c r="L1506" s="8" t="inlineStr">
        <is>
          <t>是</t>
        </is>
      </c>
      <c r="M1506" s="9" t="inlineStr">
        <is>
          <t>scriptureSpellReward</t>
        </is>
      </c>
      <c r="N1506" s="8" t="n">
        <v>1</v>
      </c>
      <c r="O1506" s="9" t="inlineStr">
        <is>
          <t>条件触发</t>
        </is>
      </c>
      <c r="P1506" s="9" t="inlineStr">
        <is>
          <t>triggered</t>
        </is>
      </c>
      <c r="Q1506" s="9" t="inlineStr">
        <is>
          <t>条件触发：相邻道具使用时，获得 5 点修为</t>
        </is>
      </c>
      <c r="R1506" s="9" t="inlineStr">
        <is>
          <t>scripture_spell</t>
        </is>
      </c>
      <c r="S1506" s="9" t="inlineStr">
        <is>
          <t>数枚玉简互相牵连，细金思绪越过窄门，将旁支道理一并照亮。</t>
        </is>
      </c>
      <c r="T1506" s="8" t="inlineStr">
        <is>
          <t>spell_pangtong_2x2</t>
        </is>
      </c>
      <c r="U1506" s="8" t="inlineStr">
        <is>
          <t>allowed</t>
        </is>
      </c>
    </row>
    <row r="1507" ht="34" customHeight="1">
      <c r="A1507" s="8" t="n">
        <v>1506</v>
      </c>
      <c r="B1507" s="8" t="n">
        <v>800056</v>
      </c>
      <c r="C1507" s="8" t="inlineStr">
        <is>
          <t>破障问道</t>
        </is>
      </c>
      <c r="D1507" s="8" t="inlineStr">
        <is>
          <t>招式</t>
        </is>
      </c>
      <c r="E1507" s="8" t="inlineStr">
        <is>
          <t>spell</t>
        </is>
      </c>
      <c r="F1507" s="8" t="inlineStr">
        <is>
          <t>common</t>
        </is>
      </c>
      <c r="G1507" s="8" t="inlineStr">
        <is>
          <t>无</t>
        </is>
      </c>
      <c r="H1507" s="8" t="inlineStr">
        <is>
          <t>none</t>
        </is>
      </c>
      <c r="I1507" s="8" t="inlineStr">
        <is>
          <t>1×1</t>
        </is>
      </c>
      <c r="J1507" s="8" t="n">
        <v>1</v>
      </c>
      <c r="K1507" s="8" t="inlineStr"/>
      <c r="L1507" s="8" t="inlineStr">
        <is>
          <t>是</t>
        </is>
      </c>
      <c r="M1507" s="9" t="inlineStr">
        <is>
          <t>scriptureSpellReward</t>
        </is>
      </c>
      <c r="N1507" s="8" t="n">
        <v>1</v>
      </c>
      <c r="O1507" s="9" t="inlineStr">
        <is>
          <t>说明/执行器</t>
        </is>
      </c>
      <c r="P1507" s="9" t="inlineStr">
        <is>
          <t>effectNote</t>
        </is>
      </c>
      <c r="Q1507" s="9" t="inlineStr">
        <is>
          <t>说明/执行器：长按释放，消耗敌方 10 层坚硬和 10 层护甲，对敌方造成 20 点伤害</t>
        </is>
      </c>
      <c r="R1507" s="9" t="inlineStr">
        <is>
          <t>scripture_spell</t>
        </is>
      </c>
      <c r="S1507" s="9" t="inlineStr">
        <is>
          <t>玉简清辉划开墨障，前方道途在裂隙中显出一线明光。</t>
        </is>
      </c>
      <c r="T1507" s="8" t="inlineStr">
        <is>
          <t>spell_pozhang_wendao_1x1</t>
        </is>
      </c>
      <c r="U1507" s="8" t="inlineStr">
        <is>
          <t>allowed</t>
        </is>
      </c>
    </row>
    <row r="1508" ht="34" customHeight="1">
      <c r="A1508" s="8" t="n">
        <v>1507</v>
      </c>
      <c r="B1508" s="8" t="n">
        <v>800057</v>
      </c>
      <c r="C1508" s="8" t="inlineStr">
        <is>
          <t>玉简同鸣</t>
        </is>
      </c>
      <c r="D1508" s="8" t="inlineStr">
        <is>
          <t>招式</t>
        </is>
      </c>
      <c r="E1508" s="8" t="inlineStr">
        <is>
          <t>spell</t>
        </is>
      </c>
      <c r="F1508" s="8" t="inlineStr">
        <is>
          <t>common</t>
        </is>
      </c>
      <c r="G1508" s="8" t="inlineStr">
        <is>
          <t>无</t>
        </is>
      </c>
      <c r="H1508" s="8" t="inlineStr">
        <is>
          <t>none</t>
        </is>
      </c>
      <c r="I1508" s="8" t="inlineStr">
        <is>
          <t>1×1</t>
        </is>
      </c>
      <c r="J1508" s="8" t="n">
        <v>1</v>
      </c>
      <c r="K1508" s="8" t="inlineStr"/>
      <c r="L1508" s="8" t="inlineStr">
        <is>
          <t>是</t>
        </is>
      </c>
      <c r="M1508" s="9" t="inlineStr">
        <is>
          <t>scriptureSpellReward</t>
        </is>
      </c>
      <c r="N1508" s="8" t="n">
        <v>1</v>
      </c>
      <c r="O1508" s="9" t="inlineStr">
        <is>
          <t>说明/执行器</t>
        </is>
      </c>
      <c r="P1508" s="9" t="inlineStr">
        <is>
          <t>effectNote</t>
        </is>
      </c>
      <c r="Q1508" s="9" t="inlineStr">
        <is>
          <t>说明/执行器：长按释放，10 秒内使所有道具获得的修为值提升 50%</t>
        </is>
      </c>
      <c r="R1508" s="9" t="inlineStr">
        <is>
          <t>scripture_spell</t>
        </is>
      </c>
      <c r="S1508" s="9" t="inlineStr">
        <is>
          <t>一简鸣，群简应，清越灵音沿着简影一圈圈荡开。</t>
        </is>
      </c>
      <c r="T1508" s="8" t="inlineStr">
        <is>
          <t>spell_yujian_tongming_1x1</t>
        </is>
      </c>
      <c r="U1508" s="8" t="inlineStr">
        <is>
          <t>allowed</t>
        </is>
      </c>
    </row>
    <row r="1509" ht="34" customHeight="1">
      <c r="A1509" s="8" t="n">
        <v>1508</v>
      </c>
      <c r="B1509" s="8" t="n">
        <v>800058</v>
      </c>
      <c r="C1509" s="8" t="inlineStr">
        <is>
          <t>一念悟道</t>
        </is>
      </c>
      <c r="D1509" s="8" t="inlineStr">
        <is>
          <t>招式</t>
        </is>
      </c>
      <c r="E1509" s="8" t="inlineStr">
        <is>
          <t>spell</t>
        </is>
      </c>
      <c r="F1509" s="8" t="inlineStr">
        <is>
          <t>common</t>
        </is>
      </c>
      <c r="G1509" s="8" t="inlineStr">
        <is>
          <t>无</t>
        </is>
      </c>
      <c r="H1509" s="8" t="inlineStr">
        <is>
          <t>none</t>
        </is>
      </c>
      <c r="I1509" s="8" t="inlineStr">
        <is>
          <t>1×1</t>
        </is>
      </c>
      <c r="J1509" s="8" t="n">
        <v>1</v>
      </c>
      <c r="K1509" s="8" t="inlineStr"/>
      <c r="L1509" s="8" t="inlineStr">
        <is>
          <t>是</t>
        </is>
      </c>
      <c r="M1509" s="9" t="inlineStr">
        <is>
          <t>scriptureSpellReward</t>
        </is>
      </c>
      <c r="N1509" s="8" t="n">
        <v>1</v>
      </c>
      <c r="O1509" s="9" t="inlineStr">
        <is>
          <t>条件触发</t>
        </is>
      </c>
      <c r="P1509" s="9" t="inlineStr">
        <is>
          <t>triggered</t>
        </is>
      </c>
      <c r="Q1509" s="9" t="inlineStr">
        <is>
          <t>条件触发：累计获得 100 点修为后，将悟道玉简的 100 点修为转化为由所有其他功法均摊</t>
        </is>
      </c>
      <c r="R1509" s="9" t="inlineStr">
        <is>
          <t>scripture_spell</t>
        </is>
      </c>
      <c r="S1509" s="9" t="inlineStr">
        <is>
          <t>静坐一念，玉简与墨痕绕身成环，胸中疑难尽化清光。</t>
        </is>
      </c>
      <c r="T1509" s="8" t="inlineStr">
        <is>
          <t>spell_yinian_wudao_1x1</t>
        </is>
      </c>
      <c r="U1509" s="8" t="inlineStr">
        <is>
          <t>allowed</t>
        </is>
      </c>
    </row>
    <row r="1510" ht="34" customHeight="1">
      <c r="A1510" s="8" t="n">
        <v>1509</v>
      </c>
      <c r="B1510" s="8" t="n">
        <v>800059</v>
      </c>
      <c r="C1510" s="8" t="inlineStr">
        <is>
          <t>焰纹</t>
        </is>
      </c>
      <c r="D1510" s="8" t="inlineStr">
        <is>
          <t>招式</t>
        </is>
      </c>
      <c r="E1510" s="8" t="inlineStr">
        <is>
          <t>spell</t>
        </is>
      </c>
      <c r="F1510" s="8" t="inlineStr">
        <is>
          <t>spirit</t>
        </is>
      </c>
      <c r="G1510" s="8" t="inlineStr">
        <is>
          <t>火</t>
        </is>
      </c>
      <c r="H1510" s="8" t="inlineStr">
        <is>
          <t>fire</t>
        </is>
      </c>
      <c r="I1510" s="8" t="inlineStr">
        <is>
          <t>1×1</t>
        </is>
      </c>
      <c r="J1510" s="8" t="n">
        <v>1</v>
      </c>
      <c r="K1510" s="8" t="inlineStr"/>
      <c r="L1510" s="8" t="inlineStr">
        <is>
          <t>否</t>
        </is>
      </c>
      <c r="M1510" s="9" t="inlineStr"/>
      <c r="N1510" s="8" t="n">
        <v>1</v>
      </c>
      <c r="O1510" s="9" t="inlineStr">
        <is>
          <t>说明/执行器</t>
        </is>
      </c>
      <c r="P1510" s="9" t="inlineStr">
        <is>
          <t>effectNote</t>
        </is>
      </c>
      <c r="Q1510" s="9" t="inlineStr">
        <is>
          <t>说明/执行器：长按释放，对敌方造成 6 点伤害</t>
        </is>
      </c>
      <c r="R1510" s="9" t="inlineStr">
        <is>
          <t>scripture_spell</t>
        </is>
      </c>
      <c r="S1510" s="9" t="inlineStr">
        <is>
          <t>秘卷一角燃起细密焰纹，赤金符线随指尖划入战局。</t>
        </is>
      </c>
      <c r="T1510" s="8" t="inlineStr">
        <is>
          <t>spell_yanwen_1x1</t>
        </is>
      </c>
      <c r="U1510" s="8" t="inlineStr">
        <is>
          <t>allowed</t>
        </is>
      </c>
    </row>
    <row r="1511" ht="34" customHeight="1">
      <c r="A1511" s="8" t="n">
        <v>1510</v>
      </c>
      <c r="B1511" s="8" t="n">
        <v>800060</v>
      </c>
      <c r="C1511" s="8" t="inlineStr">
        <is>
          <t>火器息</t>
        </is>
      </c>
      <c r="D1511" s="8" t="inlineStr">
        <is>
          <t>招式</t>
        </is>
      </c>
      <c r="E1511" s="8" t="inlineStr">
        <is>
          <t>spell</t>
        </is>
      </c>
      <c r="F1511" s="8" t="inlineStr">
        <is>
          <t>spirit</t>
        </is>
      </c>
      <c r="G1511" s="8" t="inlineStr">
        <is>
          <t>火</t>
        </is>
      </c>
      <c r="H1511" s="8" t="inlineStr">
        <is>
          <t>fire</t>
        </is>
      </c>
      <c r="I1511" s="8" t="inlineStr">
        <is>
          <t>1×1</t>
        </is>
      </c>
      <c r="J1511" s="8" t="n">
        <v>1</v>
      </c>
      <c r="K1511" s="8" t="inlineStr"/>
      <c r="L1511" s="8" t="inlineStr">
        <is>
          <t>否</t>
        </is>
      </c>
      <c r="M1511" s="9" t="inlineStr"/>
      <c r="N1511" s="8" t="n">
        <v>1</v>
      </c>
      <c r="O1511" s="9" t="inlineStr">
        <is>
          <t>说明/执行器</t>
        </is>
      </c>
      <c r="P1511" s="9" t="inlineStr">
        <is>
          <t>effectNote</t>
        </is>
      </c>
      <c r="Q1511" s="9" t="inlineStr">
        <is>
          <t>说明/执行器：长按释放，对敌方造成 6 点伤害</t>
        </is>
      </c>
      <c r="R1511" s="9" t="inlineStr">
        <is>
          <t>scripture_spell</t>
        </is>
      </c>
      <c r="S1511" s="9" t="inlineStr">
        <is>
          <t>火行法器虚影应卷而鸣，暖焰化息，沿经脉缓缓回流。</t>
        </is>
      </c>
      <c r="T1511" s="8" t="inlineStr">
        <is>
          <t>spell_huoqi_xi_1x1</t>
        </is>
      </c>
      <c r="U1511" s="8" t="inlineStr">
        <is>
          <t>allowed</t>
        </is>
      </c>
    </row>
    <row r="1512" ht="34" customHeight="1">
      <c r="A1512" s="8" t="n">
        <v>1511</v>
      </c>
      <c r="B1512" s="8" t="n">
        <v>800061</v>
      </c>
      <c r="C1512" s="8" t="inlineStr">
        <is>
          <t>炉心</t>
        </is>
      </c>
      <c r="D1512" s="8" t="inlineStr">
        <is>
          <t>招式</t>
        </is>
      </c>
      <c r="E1512" s="8" t="inlineStr">
        <is>
          <t>spell</t>
        </is>
      </c>
      <c r="F1512" s="8" t="inlineStr">
        <is>
          <t>spirit</t>
        </is>
      </c>
      <c r="G1512" s="8" t="inlineStr">
        <is>
          <t>火</t>
        </is>
      </c>
      <c r="H1512" s="8" t="inlineStr">
        <is>
          <t>fire</t>
        </is>
      </c>
      <c r="I1512" s="8" t="inlineStr">
        <is>
          <t>1×1</t>
        </is>
      </c>
      <c r="J1512" s="8" t="n">
        <v>1</v>
      </c>
      <c r="K1512" s="8" t="inlineStr"/>
      <c r="L1512" s="8" t="inlineStr">
        <is>
          <t>否</t>
        </is>
      </c>
      <c r="M1512" s="9" t="inlineStr"/>
      <c r="N1512" s="8" t="n">
        <v>1</v>
      </c>
      <c r="O1512" s="9" t="inlineStr">
        <is>
          <t>说明/执行器</t>
        </is>
      </c>
      <c r="P1512" s="9" t="inlineStr">
        <is>
          <t>effectNote</t>
        </is>
      </c>
      <c r="Q1512" s="9" t="inlineStr">
        <is>
          <t>说明/执行器：长按释放，对敌方造成 6 点伤害</t>
        </is>
      </c>
      <c r="R1512" s="9" t="inlineStr">
        <is>
          <t>scripture_spell</t>
        </is>
      </c>
      <c r="S1512" s="9" t="inlineStr">
        <is>
          <t>丹府中一点炉火不灭，秘卷焰纹为其添上一线赤光。</t>
        </is>
      </c>
      <c r="T1512" s="8" t="inlineStr">
        <is>
          <t>spell_luxin_1x1</t>
        </is>
      </c>
      <c r="U1512" s="8" t="inlineStr">
        <is>
          <t>allowed</t>
        </is>
      </c>
    </row>
    <row r="1513" ht="34" customHeight="1">
      <c r="A1513" s="8" t="n">
        <v>1512</v>
      </c>
      <c r="B1513" s="8" t="n">
        <v>800062</v>
      </c>
      <c r="C1513" s="8" t="inlineStr">
        <is>
          <t>赤卷护身</t>
        </is>
      </c>
      <c r="D1513" s="8" t="inlineStr">
        <is>
          <t>招式</t>
        </is>
      </c>
      <c r="E1513" s="8" t="inlineStr">
        <is>
          <t>spell</t>
        </is>
      </c>
      <c r="F1513" s="8" t="inlineStr">
        <is>
          <t>spirit</t>
        </is>
      </c>
      <c r="G1513" s="8" t="inlineStr">
        <is>
          <t>火</t>
        </is>
      </c>
      <c r="H1513" s="8" t="inlineStr">
        <is>
          <t>fire</t>
        </is>
      </c>
      <c r="I1513" s="8" t="inlineStr">
        <is>
          <t>2×2</t>
        </is>
      </c>
      <c r="J1513" s="8" t="n">
        <v>4</v>
      </c>
      <c r="K1513" s="8" t="inlineStr"/>
      <c r="L1513" s="8" t="inlineStr">
        <is>
          <t>否</t>
        </is>
      </c>
      <c r="M1513" s="9" t="inlineStr"/>
      <c r="N1513" s="8" t="n">
        <v>1</v>
      </c>
      <c r="O1513" s="9" t="inlineStr">
        <is>
          <t>说明/执行器</t>
        </is>
      </c>
      <c r="P1513" s="9" t="inlineStr">
        <is>
          <t>effectNote</t>
        </is>
      </c>
      <c r="Q1513" s="9" t="inlineStr">
        <is>
          <t>说明/执行器：长按释放，对敌方造成 6 点伤害</t>
        </is>
      </c>
      <c r="R1513" s="9" t="inlineStr">
        <is>
          <t>scripture_spell</t>
        </is>
      </c>
      <c r="S1513" s="9" t="inlineStr">
        <is>
          <t>赤色秘卷绕身展开，卷上火纹层层相扣，挡下近前杀意。</t>
        </is>
      </c>
      <c r="T1513" s="8" t="inlineStr">
        <is>
          <t>spell_chijuan_hushen_2x2</t>
        </is>
      </c>
      <c r="U1513" s="8" t="inlineStr">
        <is>
          <t>allowed</t>
        </is>
      </c>
    </row>
    <row r="1514" ht="34" customHeight="1">
      <c r="A1514" s="8" t="n">
        <v>1513</v>
      </c>
      <c r="B1514" s="8" t="n">
        <v>800063</v>
      </c>
      <c r="C1514" s="8" t="inlineStr">
        <is>
          <t>逐焰</t>
        </is>
      </c>
      <c r="D1514" s="8" t="inlineStr">
        <is>
          <t>招式</t>
        </is>
      </c>
      <c r="E1514" s="8" t="inlineStr">
        <is>
          <t>spell</t>
        </is>
      </c>
      <c r="F1514" s="8" t="inlineStr">
        <is>
          <t>spirit</t>
        </is>
      </c>
      <c r="G1514" s="8" t="inlineStr">
        <is>
          <t>火</t>
        </is>
      </c>
      <c r="H1514" s="8" t="inlineStr">
        <is>
          <t>fire</t>
        </is>
      </c>
      <c r="I1514" s="8" t="inlineStr">
        <is>
          <t>2×1</t>
        </is>
      </c>
      <c r="J1514" s="8" t="n">
        <v>2</v>
      </c>
      <c r="K1514" s="8" t="inlineStr"/>
      <c r="L1514" s="8" t="inlineStr">
        <is>
          <t>否</t>
        </is>
      </c>
      <c r="M1514" s="9" t="inlineStr"/>
      <c r="N1514" s="8" t="n">
        <v>1</v>
      </c>
      <c r="O1514" s="9" t="inlineStr">
        <is>
          <t>说明/执行器</t>
        </is>
      </c>
      <c r="P1514" s="9" t="inlineStr">
        <is>
          <t>effectNote</t>
        </is>
      </c>
      <c r="Q1514" s="9" t="inlineStr">
        <is>
          <t>说明/执行器：长按释放，对敌方造成 6 点伤害</t>
        </is>
      </c>
      <c r="R1514" s="9" t="inlineStr">
        <is>
          <t>scripture_spell</t>
        </is>
      </c>
      <c r="S1514" s="9" t="inlineStr">
        <is>
          <t>脚下焰纹连成赤线，身形追火而行，卷文在身后拖出余辉。</t>
        </is>
      </c>
      <c r="T1514" s="8" t="inlineStr">
        <is>
          <t>spell_zhuyan_2x1</t>
        </is>
      </c>
      <c r="U1514" s="8" t="inlineStr">
        <is>
          <t>allowed</t>
        </is>
      </c>
    </row>
    <row r="1515" ht="34" customHeight="1">
      <c r="A1515" s="8" t="n">
        <v>1514</v>
      </c>
      <c r="B1515" s="8" t="n">
        <v>800064</v>
      </c>
      <c r="C1515" s="8" t="inlineStr">
        <is>
          <t>焚纹引器</t>
        </is>
      </c>
      <c r="D1515" s="8" t="inlineStr">
        <is>
          <t>招式</t>
        </is>
      </c>
      <c r="E1515" s="8" t="inlineStr">
        <is>
          <t>spell</t>
        </is>
      </c>
      <c r="F1515" s="8" t="inlineStr">
        <is>
          <t>spirit</t>
        </is>
      </c>
      <c r="G1515" s="8" t="inlineStr">
        <is>
          <t>火</t>
        </is>
      </c>
      <c r="H1515" s="8" t="inlineStr">
        <is>
          <t>fire</t>
        </is>
      </c>
      <c r="I1515" s="8" t="inlineStr">
        <is>
          <t>2×2</t>
        </is>
      </c>
      <c r="J1515" s="8" t="n">
        <v>4</v>
      </c>
      <c r="K1515" s="8" t="inlineStr"/>
      <c r="L1515" s="8" t="inlineStr">
        <is>
          <t>否</t>
        </is>
      </c>
      <c r="M1515" s="9" t="inlineStr"/>
      <c r="N1515" s="8" t="n">
        <v>1</v>
      </c>
      <c r="O1515" s="9" t="inlineStr">
        <is>
          <t>说明/执行器</t>
        </is>
      </c>
      <c r="P1515" s="9" t="inlineStr">
        <is>
          <t>effectNote</t>
        </is>
      </c>
      <c r="Q1515" s="9" t="inlineStr">
        <is>
          <t>说明/执行器：长按释放，对敌方造成 6 点伤害</t>
        </is>
      </c>
      <c r="R1515" s="9" t="inlineStr">
        <is>
          <t>scripture_spell</t>
        </is>
      </c>
      <c r="S1515" s="9" t="inlineStr">
        <is>
          <t>焚纹自卷中伸展，牵动火行法器虚影，让炉火与器鸣同频。</t>
        </is>
      </c>
      <c r="T1515" s="8" t="inlineStr">
        <is>
          <t>spell_fenwen_yinqi_2x2</t>
        </is>
      </c>
      <c r="U1515" s="8" t="inlineStr">
        <is>
          <t>allowed</t>
        </is>
      </c>
    </row>
    <row r="1516" ht="34" customHeight="1">
      <c r="A1516" s="8" t="n">
        <v>1515</v>
      </c>
      <c r="B1516" s="8" t="n">
        <v>800065</v>
      </c>
      <c r="C1516" s="8" t="inlineStr">
        <is>
          <t>秘卷焰潮</t>
        </is>
      </c>
      <c r="D1516" s="8" t="inlineStr">
        <is>
          <t>招式</t>
        </is>
      </c>
      <c r="E1516" s="8" t="inlineStr">
        <is>
          <t>spell</t>
        </is>
      </c>
      <c r="F1516" s="8" t="inlineStr">
        <is>
          <t>spirit</t>
        </is>
      </c>
      <c r="G1516" s="8" t="inlineStr">
        <is>
          <t>火</t>
        </is>
      </c>
      <c r="H1516" s="8" t="inlineStr">
        <is>
          <t>fire</t>
        </is>
      </c>
      <c r="I1516" s="8" t="inlineStr">
        <is>
          <t>3×3</t>
        </is>
      </c>
      <c r="J1516" s="8" t="n">
        <v>9</v>
      </c>
      <c r="K1516" s="8" t="inlineStr"/>
      <c r="L1516" s="8" t="inlineStr">
        <is>
          <t>否</t>
        </is>
      </c>
      <c r="M1516" s="9" t="inlineStr"/>
      <c r="N1516" s="8" t="n">
        <v>1</v>
      </c>
      <c r="O1516" s="9" t="inlineStr">
        <is>
          <t>说明/执行器</t>
        </is>
      </c>
      <c r="P1516" s="9" t="inlineStr">
        <is>
          <t>effectNote</t>
        </is>
      </c>
      <c r="Q1516" s="9" t="inlineStr">
        <is>
          <t>说明/执行器：长按释放，对敌方造成 6 点伤害</t>
        </is>
      </c>
      <c r="R1516" s="9" t="inlineStr">
        <is>
          <t>scripture_spell</t>
        </is>
      </c>
      <c r="S1516" s="9" t="inlineStr">
        <is>
          <t>秘卷尽展，万千焰纹如潮奔涌，炽热卷光吞没眼前。</t>
        </is>
      </c>
      <c r="T1516" s="8" t="inlineStr">
        <is>
          <t>spell_mijuan_yanchao_3x3</t>
        </is>
      </c>
      <c r="U1516" s="8" t="inlineStr">
        <is>
          <t>allowed</t>
        </is>
      </c>
    </row>
    <row r="1517" ht="34" customHeight="1">
      <c r="A1517" s="8" t="n">
        <v>1516</v>
      </c>
      <c r="B1517" s="8" t="n">
        <v>800066</v>
      </c>
      <c r="C1517" s="8" t="inlineStr">
        <is>
          <t>引灵</t>
        </is>
      </c>
      <c r="D1517" s="8" t="inlineStr">
        <is>
          <t>招式</t>
        </is>
      </c>
      <c r="E1517" s="8" t="inlineStr">
        <is>
          <t>spell</t>
        </is>
      </c>
      <c r="F1517" s="8" t="inlineStr">
        <is>
          <t>common</t>
        </is>
      </c>
      <c r="G1517" s="8" t="inlineStr">
        <is>
          <t>木</t>
        </is>
      </c>
      <c r="H1517" s="8" t="inlineStr">
        <is>
          <t>wood</t>
        </is>
      </c>
      <c r="I1517" s="8" t="inlineStr">
        <is>
          <t>1×1</t>
        </is>
      </c>
      <c r="J1517" s="8" t="n">
        <v>1</v>
      </c>
      <c r="K1517" s="8" t="inlineStr"/>
      <c r="L1517" s="8" t="inlineStr">
        <is>
          <t>是</t>
        </is>
      </c>
      <c r="M1517" s="9" t="inlineStr">
        <is>
          <t>scriptureSpellReward</t>
        </is>
      </c>
      <c r="N1517" s="8" t="n">
        <v>1</v>
      </c>
      <c r="O1517" s="9" t="inlineStr">
        <is>
          <t>周期触发</t>
        </is>
      </c>
      <c r="P1517" s="9" t="inlineStr">
        <is>
          <t>periodicPulse</t>
        </is>
      </c>
      <c r="Q1517" s="9" t="inlineStr">
        <is>
          <t>周期触发：开局：获得 5 层再生</t>
        </is>
      </c>
      <c r="R1517" s="9" t="inlineStr">
        <is>
          <t>scripture_spell</t>
        </is>
      </c>
      <c r="S1517" s="9" t="inlineStr">
        <is>
          <t>竹简叶纹微亮，青木灵息被牵成细线，缓缓归入掌中。</t>
        </is>
      </c>
      <c r="T1517" s="8" t="inlineStr">
        <is>
          <t>spell_yinling_1x1</t>
        </is>
      </c>
      <c r="U1517" s="8" t="inlineStr">
        <is>
          <t>allowed</t>
        </is>
      </c>
    </row>
    <row r="1518" ht="34" customHeight="1">
      <c r="A1518" s="8" t="n">
        <v>1517</v>
      </c>
      <c r="B1518" s="8" t="n">
        <v>800067</v>
      </c>
      <c r="C1518" s="8" t="inlineStr">
        <is>
          <t>青芽</t>
        </is>
      </c>
      <c r="D1518" s="8" t="inlineStr">
        <is>
          <t>招式</t>
        </is>
      </c>
      <c r="E1518" s="8" t="inlineStr">
        <is>
          <t>spell</t>
        </is>
      </c>
      <c r="F1518" s="8" t="inlineStr">
        <is>
          <t>common</t>
        </is>
      </c>
      <c r="G1518" s="8" t="inlineStr">
        <is>
          <t>木</t>
        </is>
      </c>
      <c r="H1518" s="8" t="inlineStr">
        <is>
          <t>wood</t>
        </is>
      </c>
      <c r="I1518" s="8" t="inlineStr">
        <is>
          <t>1×1</t>
        </is>
      </c>
      <c r="J1518" s="8" t="n">
        <v>1</v>
      </c>
      <c r="K1518" s="8" t="inlineStr"/>
      <c r="L1518" s="8" t="inlineStr">
        <is>
          <t>是</t>
        </is>
      </c>
      <c r="M1518" s="9" t="inlineStr">
        <is>
          <t>scriptureSpellReward</t>
        </is>
      </c>
      <c r="N1518" s="8" t="n">
        <v>1</v>
      </c>
      <c r="O1518" s="9" t="inlineStr">
        <is>
          <t>条件触发</t>
        </is>
      </c>
      <c r="P1518" s="9" t="inlineStr">
        <is>
          <t>triggered</t>
        </is>
      </c>
      <c r="Q1518" s="9" t="inlineStr">
        <is>
          <t>条件触发：每当上下相邻招式释放时，获得 2 层再生</t>
        </is>
      </c>
      <c r="R1518" s="9" t="inlineStr">
        <is>
          <t>scripture_spell</t>
        </is>
      </c>
      <c r="S1518" s="9" t="inlineStr">
        <is>
          <t>一点青芽自丹府映出，竹简灵纹随嫩叶舒展而亮起。</t>
        </is>
      </c>
      <c r="T1518" s="8" t="inlineStr">
        <is>
          <t>spell_qingya_1x1</t>
        </is>
      </c>
      <c r="U1518" s="8" t="inlineStr">
        <is>
          <t>allowed</t>
        </is>
      </c>
    </row>
    <row r="1519" ht="34" customHeight="1">
      <c r="A1519" s="8" t="n">
        <v>1518</v>
      </c>
      <c r="B1519" s="8" t="n">
        <v>800068</v>
      </c>
      <c r="C1519" s="8" t="inlineStr">
        <is>
          <t>叶脉诀</t>
        </is>
      </c>
      <c r="D1519" s="8" t="inlineStr">
        <is>
          <t>招式</t>
        </is>
      </c>
      <c r="E1519" s="8" t="inlineStr">
        <is>
          <t>spell</t>
        </is>
      </c>
      <c r="F1519" s="8" t="inlineStr">
        <is>
          <t>common</t>
        </is>
      </c>
      <c r="G1519" s="8" t="inlineStr">
        <is>
          <t>木</t>
        </is>
      </c>
      <c r="H1519" s="8" t="inlineStr">
        <is>
          <t>wood</t>
        </is>
      </c>
      <c r="I1519" s="8" t="inlineStr">
        <is>
          <t>1×1</t>
        </is>
      </c>
      <c r="J1519" s="8" t="n">
        <v>1</v>
      </c>
      <c r="K1519" s="8" t="inlineStr"/>
      <c r="L1519" s="8" t="inlineStr">
        <is>
          <t>是</t>
        </is>
      </c>
      <c r="M1519" s="9" t="inlineStr">
        <is>
          <t>scriptureSpellReward</t>
        </is>
      </c>
      <c r="N1519" s="8" t="n">
        <v>1</v>
      </c>
      <c r="O1519" s="9" t="inlineStr">
        <is>
          <t>条件触发</t>
        </is>
      </c>
      <c r="P1519" s="9" t="inlineStr">
        <is>
          <t>triggered</t>
        </is>
      </c>
      <c r="Q1519" s="9" t="inlineStr">
        <is>
          <t>条件触发：每当有丹药耗尽时，获得 5 层再生</t>
        </is>
      </c>
      <c r="R1519" s="9" t="inlineStr">
        <is>
          <t>scripture_spell</t>
        </is>
      </c>
      <c r="S1519" s="9" t="inlineStr">
        <is>
          <t>指尖划过虚空，叶脉般的青绿法诀顺势铺展开来。</t>
        </is>
      </c>
      <c r="T1519" s="8" t="inlineStr">
        <is>
          <t>spell_yemai_jue_1x1</t>
        </is>
      </c>
      <c r="U1519" s="8" t="inlineStr">
        <is>
          <t>allowed</t>
        </is>
      </c>
    </row>
    <row r="1520" ht="34" customHeight="1">
      <c r="A1520" s="8" t="n">
        <v>1519</v>
      </c>
      <c r="B1520" s="8" t="n">
        <v>800069</v>
      </c>
      <c r="C1520" s="8" t="inlineStr">
        <is>
          <t>木息化法</t>
        </is>
      </c>
      <c r="D1520" s="8" t="inlineStr">
        <is>
          <t>招式</t>
        </is>
      </c>
      <c r="E1520" s="8" t="inlineStr">
        <is>
          <t>spell</t>
        </is>
      </c>
      <c r="F1520" s="8" t="inlineStr">
        <is>
          <t>common</t>
        </is>
      </c>
      <c r="G1520" s="8" t="inlineStr">
        <is>
          <t>木</t>
        </is>
      </c>
      <c r="H1520" s="8" t="inlineStr">
        <is>
          <t>wood</t>
        </is>
      </c>
      <c r="I1520" s="8" t="inlineStr">
        <is>
          <t>2×2</t>
        </is>
      </c>
      <c r="J1520" s="8" t="n">
        <v>4</v>
      </c>
      <c r="K1520" s="8" t="inlineStr"/>
      <c r="L1520" s="8" t="inlineStr">
        <is>
          <t>是</t>
        </is>
      </c>
      <c r="M1520" s="9" t="inlineStr">
        <is>
          <t>scriptureSpellReward</t>
        </is>
      </c>
      <c r="N1520" s="8" t="n">
        <v>1</v>
      </c>
      <c r="O1520" s="9" t="inlineStr">
        <is>
          <t>周期触发</t>
        </is>
      </c>
      <c r="P1520" s="9" t="inlineStr">
        <is>
          <t>periodicPulse</t>
        </is>
      </c>
      <c r="Q1520" s="9" t="inlineStr">
        <is>
          <t>周期触发：轮转时，每有 1 层再生，恢复 3 点体力，恢复 3 点法力</t>
        </is>
      </c>
      <c r="R1520" s="9" t="inlineStr">
        <is>
          <t>scripture_spell</t>
        </is>
      </c>
      <c r="S1520" s="9" t="inlineStr">
        <is>
          <t>青木呼吸化作清亮法力，在竹简周围凝成细密灵滴。</t>
        </is>
      </c>
      <c r="T1520" s="8" t="inlineStr">
        <is>
          <t>spell_muxi_huafa_2x2</t>
        </is>
      </c>
      <c r="U1520" s="8" t="inlineStr">
        <is>
          <t>allowed</t>
        </is>
      </c>
    </row>
    <row r="1521" ht="34" customHeight="1">
      <c r="A1521" s="8" t="n">
        <v>1520</v>
      </c>
      <c r="B1521" s="8" t="n">
        <v>800070</v>
      </c>
      <c r="C1521" s="8" t="inlineStr">
        <is>
          <t>竹简生辉</t>
        </is>
      </c>
      <c r="D1521" s="8" t="inlineStr">
        <is>
          <t>招式</t>
        </is>
      </c>
      <c r="E1521" s="8" t="inlineStr">
        <is>
          <t>spell</t>
        </is>
      </c>
      <c r="F1521" s="8" t="inlineStr">
        <is>
          <t>common</t>
        </is>
      </c>
      <c r="G1521" s="8" t="inlineStr">
        <is>
          <t>木</t>
        </is>
      </c>
      <c r="H1521" s="8" t="inlineStr">
        <is>
          <t>wood</t>
        </is>
      </c>
      <c r="I1521" s="8" t="inlineStr">
        <is>
          <t>1×1</t>
        </is>
      </c>
      <c r="J1521" s="8" t="n">
        <v>1</v>
      </c>
      <c r="K1521" s="8" t="inlineStr"/>
      <c r="L1521" s="8" t="inlineStr">
        <is>
          <t>是</t>
        </is>
      </c>
      <c r="M1521" s="9" t="inlineStr">
        <is>
          <t>scriptureSpellReward</t>
        </is>
      </c>
      <c r="N1521" s="8" t="n">
        <v>1</v>
      </c>
      <c r="O1521" s="9" t="inlineStr">
        <is>
          <t>说明/执行器</t>
        </is>
      </c>
      <c r="P1521" s="9" t="inlineStr">
        <is>
          <t>effectNote</t>
        </is>
      </c>
      <c r="Q1521" s="9" t="inlineStr">
        <is>
          <t>说明/执行器：长按释放，每相邻一个功法或符箓，消耗敌方 5 层护甲和 3 层坚硬</t>
        </is>
      </c>
      <c r="R1521" s="9" t="inlineStr">
        <is>
          <t>scripture_spell</t>
        </is>
      </c>
      <c r="S1521" s="9" t="inlineStr">
        <is>
          <t>成册竹简自行展开，叶纹与简光一同照亮经脉。</t>
        </is>
      </c>
      <c r="T1521" s="8" t="inlineStr">
        <is>
          <t>spell_zhujian_shenghui_1x1</t>
        </is>
      </c>
      <c r="U1521" s="8" t="inlineStr">
        <is>
          <t>allowed</t>
        </is>
      </c>
    </row>
    <row r="1522" ht="34" customHeight="1">
      <c r="A1522" s="8" t="n">
        <v>1521</v>
      </c>
      <c r="B1522" s="8" t="n">
        <v>800071</v>
      </c>
      <c r="C1522" s="8" t="inlineStr">
        <is>
          <t>灵根回响</t>
        </is>
      </c>
      <c r="D1522" s="8" t="inlineStr">
        <is>
          <t>招式</t>
        </is>
      </c>
      <c r="E1522" s="8" t="inlineStr">
        <is>
          <t>spell</t>
        </is>
      </c>
      <c r="F1522" s="8" t="inlineStr">
        <is>
          <t>common</t>
        </is>
      </c>
      <c r="G1522" s="8" t="inlineStr">
        <is>
          <t>木</t>
        </is>
      </c>
      <c r="H1522" s="8" t="inlineStr">
        <is>
          <t>wood</t>
        </is>
      </c>
      <c r="I1522" s="8" t="inlineStr">
        <is>
          <t>2×2</t>
        </is>
      </c>
      <c r="J1522" s="8" t="n">
        <v>4</v>
      </c>
      <c r="K1522" s="8" t="inlineStr"/>
      <c r="L1522" s="8" t="inlineStr">
        <is>
          <t>是</t>
        </is>
      </c>
      <c r="M1522" s="9" t="inlineStr">
        <is>
          <t>scriptureSpellReward</t>
        </is>
      </c>
      <c r="N1522" s="8" t="n">
        <v>2</v>
      </c>
      <c r="O1522" s="9" t="inlineStr">
        <is>
          <t>被动效果</t>
        </is>
      </c>
      <c r="P1522" s="9" t="inlineStr">
        <is>
          <t>passive</t>
        </is>
      </c>
      <c r="Q1522" s="9" t="inlineStr">
        <is>
          <t>被动效果：每有 1 层再生，体力上限临时 +1 | 被动效果：每有 1 层再生，法力上限临时 +1</t>
        </is>
      </c>
      <c r="R1522" s="9" t="inlineStr">
        <is>
          <t>scripture_spell</t>
        </is>
      </c>
      <c r="S1522" s="9" t="inlineStr">
        <is>
          <t>根须状灵光从足下回荡，连通竹简中沉睡的木行灵意。</t>
        </is>
      </c>
      <c r="T1522" s="8" t="inlineStr">
        <is>
          <t>spell_linggen_huixiang_2x2</t>
        </is>
      </c>
      <c r="U1522" s="8" t="inlineStr">
        <is>
          <t>allowed</t>
        </is>
      </c>
    </row>
    <row r="1523" ht="34" customHeight="1">
      <c r="A1523" s="8" t="n">
        <v>1522</v>
      </c>
      <c r="B1523" s="8" t="n">
        <v>800072</v>
      </c>
      <c r="C1523" s="8" t="inlineStr">
        <is>
          <t>青木归元潮</t>
        </is>
      </c>
      <c r="D1523" s="8" t="inlineStr">
        <is>
          <t>招式</t>
        </is>
      </c>
      <c r="E1523" s="8" t="inlineStr">
        <is>
          <t>spell</t>
        </is>
      </c>
      <c r="F1523" s="8" t="inlineStr">
        <is>
          <t>common</t>
        </is>
      </c>
      <c r="G1523" s="8" t="inlineStr">
        <is>
          <t>木</t>
        </is>
      </c>
      <c r="H1523" s="8" t="inlineStr">
        <is>
          <t>wood</t>
        </is>
      </c>
      <c r="I1523" s="8" t="inlineStr">
        <is>
          <t>1×1</t>
        </is>
      </c>
      <c r="J1523" s="8" t="n">
        <v>1</v>
      </c>
      <c r="K1523" s="8" t="inlineStr"/>
      <c r="L1523" s="8" t="inlineStr">
        <is>
          <t>是</t>
        </is>
      </c>
      <c r="M1523" s="9" t="inlineStr">
        <is>
          <t>scriptureSpellReward</t>
        </is>
      </c>
      <c r="N1523" s="8" t="n">
        <v>1</v>
      </c>
      <c r="O1523" s="9" t="inlineStr">
        <is>
          <t>说明/执行器</t>
        </is>
      </c>
      <c r="P1523" s="9" t="inlineStr">
        <is>
          <t>effectNote</t>
        </is>
      </c>
      <c r="Q1523" s="9" t="inlineStr">
        <is>
          <t>说明/执行器：使下方相邻功法所属的所有招式获得 8 秒加速</t>
        </is>
      </c>
      <c r="R1523" s="9" t="inlineStr">
        <is>
          <t>scripture_spell</t>
        </is>
      </c>
      <c r="S1523" s="9" t="inlineStr">
        <is>
          <t>青木灵潮携叶影回卷，竹简翻动如林，万息归于一处。</t>
        </is>
      </c>
      <c r="T1523" s="8" t="inlineStr">
        <is>
          <t>spell_qingmu_guiyuan_chao_1x1</t>
        </is>
      </c>
      <c r="U1523" s="8" t="inlineStr">
        <is>
          <t>allowed</t>
        </is>
      </c>
    </row>
    <row r="1524" ht="34" customHeight="1">
      <c r="A1524" s="8" t="n">
        <v>1523</v>
      </c>
      <c r="B1524" s="8" t="n">
        <v>800073</v>
      </c>
      <c r="C1524" s="8" t="inlineStr">
        <is>
          <t>寒息</t>
        </is>
      </c>
      <c r="D1524" s="8" t="inlineStr">
        <is>
          <t>招式</t>
        </is>
      </c>
      <c r="E1524" s="8" t="inlineStr">
        <is>
          <t>spell</t>
        </is>
      </c>
      <c r="F1524" s="8" t="inlineStr">
        <is>
          <t>common</t>
        </is>
      </c>
      <c r="G1524" s="8" t="inlineStr">
        <is>
          <t>水</t>
        </is>
      </c>
      <c r="H1524" s="8" t="inlineStr">
        <is>
          <t>water</t>
        </is>
      </c>
      <c r="I1524" s="8" t="inlineStr">
        <is>
          <t>1×1</t>
        </is>
      </c>
      <c r="J1524" s="8" t="n">
        <v>1</v>
      </c>
      <c r="K1524" s="8" t="inlineStr"/>
      <c r="L1524" s="8" t="inlineStr">
        <is>
          <t>是</t>
        </is>
      </c>
      <c r="M1524" s="9" t="inlineStr">
        <is>
          <t>scriptureSpellReward</t>
        </is>
      </c>
      <c r="N1524" s="8" t="n">
        <v>1</v>
      </c>
      <c r="O1524" s="9" t="inlineStr">
        <is>
          <t>说明/执行器</t>
        </is>
      </c>
      <c r="P1524" s="9" t="inlineStr">
        <is>
          <t>effectNote</t>
        </is>
      </c>
      <c r="Q1524" s="9" t="inlineStr">
        <is>
          <t>说明/执行器：长按释放，消耗 10 点法力，获得 8 层寒冷</t>
        </is>
      </c>
      <c r="R1524" s="9" t="inlineStr">
        <is>
          <t>scripture_spell</t>
        </is>
      </c>
      <c r="S1524" s="9" t="inlineStr">
        <is>
          <t>一缕寒息自唇齿间散开，冷雾盘旋成细小冰环。</t>
        </is>
      </c>
      <c r="T1524" s="8" t="inlineStr">
        <is>
          <t>spell_hanxi_1x1</t>
        </is>
      </c>
      <c r="U1524" s="8" t="inlineStr">
        <is>
          <t>allowed</t>
        </is>
      </c>
    </row>
    <row r="1525" ht="34" customHeight="1">
      <c r="A1525" s="8" t="n">
        <v>1524</v>
      </c>
      <c r="B1525" s="8" t="n">
        <v>800074</v>
      </c>
      <c r="C1525" s="8" t="inlineStr">
        <is>
          <t>波纹</t>
        </is>
      </c>
      <c r="D1525" s="8" t="inlineStr">
        <is>
          <t>招式</t>
        </is>
      </c>
      <c r="E1525" s="8" t="inlineStr">
        <is>
          <t>spell</t>
        </is>
      </c>
      <c r="F1525" s="8" t="inlineStr">
        <is>
          <t>common</t>
        </is>
      </c>
      <c r="G1525" s="8" t="inlineStr">
        <is>
          <t>水</t>
        </is>
      </c>
      <c r="H1525" s="8" t="inlineStr">
        <is>
          <t>water</t>
        </is>
      </c>
      <c r="I1525" s="8" t="inlineStr">
        <is>
          <t>1×1</t>
        </is>
      </c>
      <c r="J1525" s="8" t="n">
        <v>1</v>
      </c>
      <c r="K1525" s="8" t="inlineStr"/>
      <c r="L1525" s="8" t="inlineStr">
        <is>
          <t>是</t>
        </is>
      </c>
      <c r="M1525" s="9" t="inlineStr">
        <is>
          <t>scriptureSpellReward</t>
        </is>
      </c>
      <c r="N1525" s="8" t="n">
        <v>1</v>
      </c>
      <c r="O1525" s="9" t="inlineStr">
        <is>
          <t>说明/执行器</t>
        </is>
      </c>
      <c r="P1525" s="9" t="inlineStr">
        <is>
          <t>effectNote</t>
        </is>
      </c>
      <c r="Q1525" s="9" t="inlineStr">
        <is>
          <t>说明/执行器：长按释放，消耗 3 层寒冷对敌方施加 10 层冰霜</t>
        </is>
      </c>
      <c r="R1525" s="9" t="inlineStr">
        <is>
          <t>scripture_spell</t>
        </is>
      </c>
      <c r="S1525" s="9" t="inlineStr">
        <is>
          <t>掌下寒波轻荡，层层蓝白纹路在空中缓慢铺开。</t>
        </is>
      </c>
      <c r="T1525" s="8" t="inlineStr">
        <is>
          <t>spell_bowen_1x1</t>
        </is>
      </c>
      <c r="U1525" s="8" t="inlineStr">
        <is>
          <t>allowed</t>
        </is>
      </c>
    </row>
    <row r="1526" ht="34" customHeight="1">
      <c r="A1526" s="8" t="n">
        <v>1525</v>
      </c>
      <c r="B1526" s="8" t="n">
        <v>800075</v>
      </c>
      <c r="C1526" s="8" t="inlineStr">
        <is>
          <t>回澜</t>
        </is>
      </c>
      <c r="D1526" s="8" t="inlineStr">
        <is>
          <t>招式</t>
        </is>
      </c>
      <c r="E1526" s="8" t="inlineStr">
        <is>
          <t>spell</t>
        </is>
      </c>
      <c r="F1526" s="8" t="inlineStr">
        <is>
          <t>common</t>
        </is>
      </c>
      <c r="G1526" s="8" t="inlineStr">
        <is>
          <t>水</t>
        </is>
      </c>
      <c r="H1526" s="8" t="inlineStr">
        <is>
          <t>water</t>
        </is>
      </c>
      <c r="I1526" s="8" t="inlineStr">
        <is>
          <t>2×2</t>
        </is>
      </c>
      <c r="J1526" s="8" t="n">
        <v>4</v>
      </c>
      <c r="K1526" s="8" t="inlineStr"/>
      <c r="L1526" s="8" t="inlineStr">
        <is>
          <t>是</t>
        </is>
      </c>
      <c r="M1526" s="9" t="inlineStr">
        <is>
          <t>scriptureSpellReward</t>
        </is>
      </c>
      <c r="N1526" s="8" t="n">
        <v>1</v>
      </c>
      <c r="O1526" s="9" t="inlineStr">
        <is>
          <t>说明/执行器</t>
        </is>
      </c>
      <c r="P1526" s="9" t="inlineStr">
        <is>
          <t>effectNote</t>
        </is>
      </c>
      <c r="Q1526" s="9" t="inlineStr">
        <is>
          <t>说明/执行器：长按释放，消耗 10 点法力；将最多 20 层露水转化为等量寒冷</t>
        </is>
      </c>
      <c r="R1526" s="9" t="inlineStr">
        <is>
          <t>scripture_spell</t>
        </is>
      </c>
      <c r="S1526" s="9" t="inlineStr">
        <is>
          <t>冷澜倒卷入府，法力水滴随呼吸一枚枚回归。</t>
        </is>
      </c>
      <c r="T1526" s="8" t="inlineStr">
        <is>
          <t>spell_huilan_2x2</t>
        </is>
      </c>
      <c r="U1526" s="8" t="inlineStr">
        <is>
          <t>allowed</t>
        </is>
      </c>
    </row>
    <row r="1527" ht="34" customHeight="1">
      <c r="A1527" s="8" t="n">
        <v>1526</v>
      </c>
      <c r="B1527" s="8" t="n">
        <v>800076</v>
      </c>
      <c r="C1527" s="8" t="inlineStr">
        <is>
          <t>冰脉调息</t>
        </is>
      </c>
      <c r="D1527" s="8" t="inlineStr">
        <is>
          <t>招式</t>
        </is>
      </c>
      <c r="E1527" s="8" t="inlineStr">
        <is>
          <t>spell</t>
        </is>
      </c>
      <c r="F1527" s="8" t="inlineStr">
        <is>
          <t>common</t>
        </is>
      </c>
      <c r="G1527" s="8" t="inlineStr">
        <is>
          <t>水</t>
        </is>
      </c>
      <c r="H1527" s="8" t="inlineStr">
        <is>
          <t>water</t>
        </is>
      </c>
      <c r="I1527" s="8" t="inlineStr">
        <is>
          <t>2×2</t>
        </is>
      </c>
      <c r="J1527" s="8" t="n">
        <v>4</v>
      </c>
      <c r="K1527" s="8" t="inlineStr"/>
      <c r="L1527" s="8" t="inlineStr">
        <is>
          <t>是</t>
        </is>
      </c>
      <c r="M1527" s="9" t="inlineStr">
        <is>
          <t>scriptureSpellReward</t>
        </is>
      </c>
      <c r="N1527" s="8" t="n">
        <v>1</v>
      </c>
      <c r="O1527" s="9" t="inlineStr">
        <is>
          <t>周期触发</t>
        </is>
      </c>
      <c r="P1527" s="9" t="inlineStr">
        <is>
          <t>periodicPulse</t>
        </is>
      </c>
      <c r="Q1527" s="9" t="inlineStr">
        <is>
          <t>周期触发：寒冷层数超过 15 时，消耗 5 点法力，恢复 20 点气血</t>
        </is>
      </c>
      <c r="R1527" s="9" t="inlineStr">
        <is>
          <t>scripture_spell</t>
        </is>
      </c>
      <c r="S1527" s="9" t="inlineStr">
        <is>
          <t>冰蓝经脉随吐纳明灭，寒意沿周身细细流转。</t>
        </is>
      </c>
      <c r="T1527" s="8" t="inlineStr">
        <is>
          <t>spell_bingmai_tiaoxi_2x2</t>
        </is>
      </c>
      <c r="U1527" s="8" t="inlineStr">
        <is>
          <t>allowed</t>
        </is>
      </c>
    </row>
    <row r="1528" ht="34" customHeight="1">
      <c r="A1528" s="8" t="n">
        <v>1527</v>
      </c>
      <c r="B1528" s="8" t="n">
        <v>800077</v>
      </c>
      <c r="C1528" s="8" t="inlineStr">
        <is>
          <t>冷雾护法</t>
        </is>
      </c>
      <c r="D1528" s="8" t="inlineStr">
        <is>
          <t>招式</t>
        </is>
      </c>
      <c r="E1528" s="8" t="inlineStr">
        <is>
          <t>spell</t>
        </is>
      </c>
      <c r="F1528" s="8" t="inlineStr">
        <is>
          <t>common</t>
        </is>
      </c>
      <c r="G1528" s="8" t="inlineStr">
        <is>
          <t>水</t>
        </is>
      </c>
      <c r="H1528" s="8" t="inlineStr">
        <is>
          <t>water</t>
        </is>
      </c>
      <c r="I1528" s="8" t="inlineStr">
        <is>
          <t>2×2</t>
        </is>
      </c>
      <c r="J1528" s="8" t="n">
        <v>4</v>
      </c>
      <c r="K1528" s="8" t="inlineStr"/>
      <c r="L1528" s="8" t="inlineStr">
        <is>
          <t>是</t>
        </is>
      </c>
      <c r="M1528" s="9" t="inlineStr">
        <is>
          <t>scriptureSpellReward</t>
        </is>
      </c>
      <c r="N1528" s="8" t="n">
        <v>1</v>
      </c>
      <c r="O1528" s="9" t="inlineStr">
        <is>
          <t>说明/执行器</t>
        </is>
      </c>
      <c r="P1528" s="9" t="inlineStr">
        <is>
          <t>effectNote</t>
        </is>
      </c>
      <c r="Q1528" s="9" t="inlineStr">
        <is>
          <t>说明/执行器：长按释放，将 20 层寒冷转化为 8 层坚硬</t>
        </is>
      </c>
      <c r="R1528" s="9" t="inlineStr">
        <is>
          <t>scripture_spell</t>
        </is>
      </c>
      <c r="S1528" s="9" t="inlineStr">
        <is>
          <t>冷雾绕身成幕，寒波在雾中伏流，护住一线清明。</t>
        </is>
      </c>
      <c r="T1528" s="8" t="inlineStr">
        <is>
          <t>spell_lengwu_hufa_2x2</t>
        </is>
      </c>
      <c r="U1528" s="8" t="inlineStr">
        <is>
          <t>allowed</t>
        </is>
      </c>
    </row>
    <row r="1529" ht="34" customHeight="1">
      <c r="A1529" s="8" t="n">
        <v>1528</v>
      </c>
      <c r="B1529" s="8" t="n">
        <v>800078</v>
      </c>
      <c r="C1529" s="8" t="inlineStr">
        <is>
          <t>寒层纳法</t>
        </is>
      </c>
      <c r="D1529" s="8" t="inlineStr">
        <is>
          <t>招式</t>
        </is>
      </c>
      <c r="E1529" s="8" t="inlineStr">
        <is>
          <t>spell</t>
        </is>
      </c>
      <c r="F1529" s="8" t="inlineStr">
        <is>
          <t>common</t>
        </is>
      </c>
      <c r="G1529" s="8" t="inlineStr">
        <is>
          <t>水</t>
        </is>
      </c>
      <c r="H1529" s="8" t="inlineStr">
        <is>
          <t>water</t>
        </is>
      </c>
      <c r="I1529" s="8" t="inlineStr">
        <is>
          <t>2×2</t>
        </is>
      </c>
      <c r="J1529" s="8" t="n">
        <v>4</v>
      </c>
      <c r="K1529" s="8" t="inlineStr"/>
      <c r="L1529" s="8" t="inlineStr">
        <is>
          <t>是</t>
        </is>
      </c>
      <c r="M1529" s="9" t="inlineStr">
        <is>
          <t>scriptureSpellReward</t>
        </is>
      </c>
      <c r="N1529" s="8" t="n">
        <v>1</v>
      </c>
      <c r="O1529" s="9" t="inlineStr">
        <is>
          <t>被动效果</t>
        </is>
      </c>
      <c r="P1529" s="9" t="inlineStr">
        <is>
          <t>passive</t>
        </is>
      </c>
      <c r="Q1529" s="9" t="inlineStr">
        <is>
          <t>被动效果：每次受到伤害时，获得 1 层寒冷和 3 点法力</t>
        </is>
      </c>
      <c r="R1529" s="9" t="inlineStr">
        <is>
          <t>scripture_spell</t>
        </is>
      </c>
      <c r="S1529" s="9" t="inlineStr">
        <is>
          <t>一层层寒意化作霜环，将散乱法力纳入调息节律。</t>
        </is>
      </c>
      <c r="T1529" s="8" t="inlineStr">
        <is>
          <t>spell_hanceng_nafa_2x2</t>
        </is>
      </c>
      <c r="U1529" s="8" t="inlineStr">
        <is>
          <t>allowed</t>
        </is>
      </c>
    </row>
    <row r="1530" ht="34" customHeight="1">
      <c r="A1530" s="8" t="n">
        <v>1529</v>
      </c>
      <c r="B1530" s="8" t="n">
        <v>800079</v>
      </c>
      <c r="C1530" s="8" t="inlineStr">
        <is>
          <t>万波归息</t>
        </is>
      </c>
      <c r="D1530" s="8" t="inlineStr">
        <is>
          <t>招式</t>
        </is>
      </c>
      <c r="E1530" s="8" t="inlineStr">
        <is>
          <t>spell</t>
        </is>
      </c>
      <c r="F1530" s="8" t="inlineStr">
        <is>
          <t>common</t>
        </is>
      </c>
      <c r="G1530" s="8" t="inlineStr">
        <is>
          <t>水</t>
        </is>
      </c>
      <c r="H1530" s="8" t="inlineStr">
        <is>
          <t>water</t>
        </is>
      </c>
      <c r="I1530" s="8" t="inlineStr">
        <is>
          <t>2×2</t>
        </is>
      </c>
      <c r="J1530" s="8" t="n">
        <v>4</v>
      </c>
      <c r="K1530" s="8" t="inlineStr"/>
      <c r="L1530" s="8" t="inlineStr">
        <is>
          <t>是</t>
        </is>
      </c>
      <c r="M1530" s="9" t="inlineStr">
        <is>
          <t>scriptureSpellReward</t>
        </is>
      </c>
      <c r="N1530" s="8" t="n">
        <v>1</v>
      </c>
      <c r="O1530" s="9" t="inlineStr">
        <is>
          <t>说明/执行器</t>
        </is>
      </c>
      <c r="P1530" s="9" t="inlineStr">
        <is>
          <t>effectNote</t>
        </is>
      </c>
      <c r="Q1530" s="9" t="inlineStr">
        <is>
          <t>说明/执行器：长按释放，将己方全部露水转化为等量寒冷</t>
        </is>
      </c>
      <c r="R1530" s="9" t="inlineStr">
        <is>
          <t>scripture_spell</t>
        </is>
      </c>
      <c r="S1530" s="9" t="inlineStr">
        <is>
          <t>万重寒波随一口长息归入丹府，蓝白光潮沉静收束。</t>
        </is>
      </c>
      <c r="T1530" s="8" t="inlineStr">
        <is>
          <t>spell_wanbo_guixi_2x2</t>
        </is>
      </c>
      <c r="U1530" s="8" t="inlineStr">
        <is>
          <t>allowed</t>
        </is>
      </c>
    </row>
    <row r="1531" ht="34" customHeight="1">
      <c r="A1531" s="8" t="n">
        <v>1530</v>
      </c>
      <c r="B1531" s="8" t="n">
        <v>800080</v>
      </c>
      <c r="C1531" s="8" t="inlineStr">
        <is>
          <t>凝金</t>
        </is>
      </c>
      <c r="D1531" s="8" t="inlineStr">
        <is>
          <t>招式</t>
        </is>
      </c>
      <c r="E1531" s="8" t="inlineStr">
        <is>
          <t>spell</t>
        </is>
      </c>
      <c r="F1531" s="8" t="inlineStr">
        <is>
          <t>common</t>
        </is>
      </c>
      <c r="G1531" s="8" t="inlineStr">
        <is>
          <t>金</t>
        </is>
      </c>
      <c r="H1531" s="8" t="inlineStr">
        <is>
          <t>metal</t>
        </is>
      </c>
      <c r="I1531" s="8" t="inlineStr">
        <is>
          <t>1×1</t>
        </is>
      </c>
      <c r="J1531" s="8" t="n">
        <v>1</v>
      </c>
      <c r="K1531" s="8" t="inlineStr"/>
      <c r="L1531" s="8" t="inlineStr">
        <is>
          <t>是</t>
        </is>
      </c>
      <c r="M1531" s="9" t="inlineStr">
        <is>
          <t>scriptureSpellReward</t>
        </is>
      </c>
      <c r="N1531" s="8" t="n">
        <v>1</v>
      </c>
      <c r="O1531" s="9" t="inlineStr">
        <is>
          <t>周期触发</t>
        </is>
      </c>
      <c r="P1531" s="9" t="inlineStr">
        <is>
          <t>periodicPulse</t>
        </is>
      </c>
      <c r="Q1531" s="9" t="inlineStr">
        <is>
          <t>周期触发：轮转时，每有 1 件金属性道具，获得 1 层凝金</t>
        </is>
      </c>
      <c r="R1531" s="9" t="inlineStr">
        <is>
          <t>scripture_spell</t>
        </is>
      </c>
      <c r="S1531" s="9" t="inlineStr">
        <is>
          <t>金气聚于掌前，压成一枚沉重明亮的凝金阵核。</t>
        </is>
      </c>
      <c r="T1531" s="8" t="inlineStr">
        <is>
          <t>spell_ningjin_1x1</t>
        </is>
      </c>
      <c r="U1531" s="8" t="inlineStr">
        <is>
          <t>allowed</t>
        </is>
      </c>
    </row>
    <row r="1532" ht="34" customHeight="1">
      <c r="A1532" s="8" t="n">
        <v>1531</v>
      </c>
      <c r="B1532" s="8" t="n">
        <v>800081</v>
      </c>
      <c r="C1532" s="8" t="inlineStr">
        <is>
          <t>金位</t>
        </is>
      </c>
      <c r="D1532" s="8" t="inlineStr">
        <is>
          <t>招式</t>
        </is>
      </c>
      <c r="E1532" s="8" t="inlineStr">
        <is>
          <t>spell</t>
        </is>
      </c>
      <c r="F1532" s="8" t="inlineStr">
        <is>
          <t>common</t>
        </is>
      </c>
      <c r="G1532" s="8" t="inlineStr">
        <is>
          <t>金</t>
        </is>
      </c>
      <c r="H1532" s="8" t="inlineStr">
        <is>
          <t>metal</t>
        </is>
      </c>
      <c r="I1532" s="8" t="inlineStr">
        <is>
          <t>2×2</t>
        </is>
      </c>
      <c r="J1532" s="8" t="n">
        <v>4</v>
      </c>
      <c r="K1532" s="8" t="inlineStr"/>
      <c r="L1532" s="8" t="inlineStr">
        <is>
          <t>是</t>
        </is>
      </c>
      <c r="M1532" s="9" t="inlineStr">
        <is>
          <t>scriptureSpellReward</t>
        </is>
      </c>
      <c r="N1532" s="8" t="n">
        <v>1</v>
      </c>
      <c r="O1532" s="9" t="inlineStr">
        <is>
          <t>被动效果</t>
        </is>
      </c>
      <c r="P1532" s="9" t="inlineStr">
        <is>
          <t>passive</t>
        </is>
      </c>
      <c r="Q1532" s="9" t="inlineStr">
        <is>
          <t>被动效果：储物袋边缘道具额外视为金属性</t>
        </is>
      </c>
      <c r="R1532" s="9" t="inlineStr">
        <is>
          <t>scripture_spell</t>
        </is>
      </c>
      <c r="S1532" s="9" t="inlineStr">
        <is>
          <t>一枚金位在足下亮起，阵诀由此定住第一处根基。</t>
        </is>
      </c>
      <c r="T1532" s="8" t="inlineStr">
        <is>
          <t>spell_jinwei_2x2</t>
        </is>
      </c>
      <c r="U1532" s="8" t="inlineStr">
        <is>
          <t>allowed</t>
        </is>
      </c>
    </row>
    <row r="1533" ht="34" customHeight="1">
      <c r="A1533" s="8" t="n">
        <v>1532</v>
      </c>
      <c r="B1533" s="8" t="n">
        <v>800082</v>
      </c>
      <c r="C1533" s="8" t="inlineStr">
        <is>
          <t>阵核</t>
        </is>
      </c>
      <c r="D1533" s="8" t="inlineStr">
        <is>
          <t>招式</t>
        </is>
      </c>
      <c r="E1533" s="8" t="inlineStr">
        <is>
          <t>spell</t>
        </is>
      </c>
      <c r="F1533" s="8" t="inlineStr">
        <is>
          <t>common</t>
        </is>
      </c>
      <c r="G1533" s="8" t="inlineStr">
        <is>
          <t>金</t>
        </is>
      </c>
      <c r="H1533" s="8" t="inlineStr">
        <is>
          <t>metal</t>
        </is>
      </c>
      <c r="I1533" s="8" t="inlineStr">
        <is>
          <t>1×1</t>
        </is>
      </c>
      <c r="J1533" s="8" t="n">
        <v>1</v>
      </c>
      <c r="K1533" s="8" t="inlineStr"/>
      <c r="L1533" s="8" t="inlineStr">
        <is>
          <t>是</t>
        </is>
      </c>
      <c r="M1533" s="9" t="inlineStr">
        <is>
          <t>scriptureSpellReward</t>
        </is>
      </c>
      <c r="N1533" s="8" t="n">
        <v>1</v>
      </c>
      <c r="O1533" s="9" t="inlineStr">
        <is>
          <t>被动效果</t>
        </is>
      </c>
      <c r="P1533" s="9" t="inlineStr">
        <is>
          <t>passive</t>
        </is>
      </c>
      <c r="Q1533" s="9" t="inlineStr">
        <is>
          <t>被动效果：相邻 4 件金属性道具时，凝金转化护甲量翻倍</t>
        </is>
      </c>
      <c r="R1533" s="9" t="inlineStr">
        <is>
          <t>scripture_spell</t>
        </is>
      </c>
      <c r="S1533" s="9" t="inlineStr">
        <is>
          <t>金纹短卷轻震，简明阵核在身前浮现，稳住四方金气。</t>
        </is>
      </c>
      <c r="T1533" s="8" t="inlineStr">
        <is>
          <t>spell_zhenhe_1x1</t>
        </is>
      </c>
      <c r="U1533" s="8" t="inlineStr">
        <is>
          <t>allowed</t>
        </is>
      </c>
    </row>
    <row r="1534" ht="34" customHeight="1">
      <c r="A1534" s="8" t="n">
        <v>1533</v>
      </c>
      <c r="B1534" s="8" t="n">
        <v>800083</v>
      </c>
      <c r="C1534" s="8" t="inlineStr">
        <is>
          <t>三邻成阵</t>
        </is>
      </c>
      <c r="D1534" s="8" t="inlineStr">
        <is>
          <t>招式</t>
        </is>
      </c>
      <c r="E1534" s="8" t="inlineStr">
        <is>
          <t>spell</t>
        </is>
      </c>
      <c r="F1534" s="8" t="inlineStr">
        <is>
          <t>common</t>
        </is>
      </c>
      <c r="G1534" s="8" t="inlineStr">
        <is>
          <t>金</t>
        </is>
      </c>
      <c r="H1534" s="8" t="inlineStr">
        <is>
          <t>metal</t>
        </is>
      </c>
      <c r="I1534" s="8" t="inlineStr">
        <is>
          <t>2×2</t>
        </is>
      </c>
      <c r="J1534" s="8" t="n">
        <v>4</v>
      </c>
      <c r="K1534" s="8" t="inlineStr"/>
      <c r="L1534" s="8" t="inlineStr">
        <is>
          <t>是</t>
        </is>
      </c>
      <c r="M1534" s="9" t="inlineStr">
        <is>
          <t>scriptureSpellReward</t>
        </is>
      </c>
      <c r="N1534" s="8" t="n">
        <v>1</v>
      </c>
      <c r="O1534" s="9" t="inlineStr">
        <is>
          <t>周期触发</t>
        </is>
      </c>
      <c r="P1534" s="9" t="inlineStr">
        <is>
          <t>periodicPulse</t>
        </is>
      </c>
      <c r="Q1534" s="9" t="inlineStr">
        <is>
          <t>周期触发：轮转时，每有 1 层凝金，使敌方所有道具获得 0.7 秒减速（最多计算 20 层）</t>
        </is>
      </c>
      <c r="R1534" s="9" t="inlineStr">
        <is>
          <t>scripture_spell</t>
        </is>
      </c>
      <c r="S1534" s="9" t="inlineStr">
        <is>
          <t>三处金气彼此相连，阵线一合，凝金之势便立刻成形。</t>
        </is>
      </c>
      <c r="T1534" s="8" t="inlineStr">
        <is>
          <t>spell_sanlin_chengzhen_2x2</t>
        </is>
      </c>
      <c r="U1534" s="8" t="inlineStr">
        <is>
          <t>allowed</t>
        </is>
      </c>
    </row>
    <row r="1535" ht="34" customHeight="1">
      <c r="A1535" s="8" t="n">
        <v>1534</v>
      </c>
      <c r="B1535" s="8" t="n">
        <v>800084</v>
      </c>
      <c r="C1535" s="8" t="inlineStr">
        <is>
          <t>金纹护身</t>
        </is>
      </c>
      <c r="D1535" s="8" t="inlineStr">
        <is>
          <t>招式</t>
        </is>
      </c>
      <c r="E1535" s="8" t="inlineStr">
        <is>
          <t>spell</t>
        </is>
      </c>
      <c r="F1535" s="8" t="inlineStr">
        <is>
          <t>common</t>
        </is>
      </c>
      <c r="G1535" s="8" t="inlineStr">
        <is>
          <t>金</t>
        </is>
      </c>
      <c r="H1535" s="8" t="inlineStr">
        <is>
          <t>metal</t>
        </is>
      </c>
      <c r="I1535" s="8" t="inlineStr">
        <is>
          <t>2×2</t>
        </is>
      </c>
      <c r="J1535" s="8" t="n">
        <v>4</v>
      </c>
      <c r="K1535" s="8" t="inlineStr"/>
      <c r="L1535" s="8" t="inlineStr">
        <is>
          <t>是</t>
        </is>
      </c>
      <c r="M1535" s="9" t="inlineStr">
        <is>
          <t>scriptureSpellReward</t>
        </is>
      </c>
      <c r="N1535" s="8" t="n">
        <v>1</v>
      </c>
      <c r="O1535" s="9" t="inlineStr">
        <is>
          <t>说明/执行器</t>
        </is>
      </c>
      <c r="P1535" s="9" t="inlineStr">
        <is>
          <t>effectNote</t>
        </is>
      </c>
      <c r="Q1535" s="9" t="inlineStr">
        <is>
          <t>说明/执行器：长按释放，消耗 5 点法力，每 5 层凝金转化为 1 层坚硬，最多 10 层坚硬</t>
        </is>
      </c>
      <c r="R1535" s="9" t="inlineStr">
        <is>
          <t>scripture_spell</t>
        </is>
      </c>
      <c r="S1535" s="9" t="inlineStr">
        <is>
          <t>金纹化作厚重盾面，横在身前，挡下迎面锋芒。</t>
        </is>
      </c>
      <c r="T1535" s="8" t="inlineStr">
        <is>
          <t>spell_jinwen_hushen_2x2</t>
        </is>
      </c>
      <c r="U1535" s="8" t="inlineStr">
        <is>
          <t>allowed</t>
        </is>
      </c>
    </row>
    <row r="1536" ht="34" customHeight="1">
      <c r="A1536" s="8" t="n">
        <v>1535</v>
      </c>
      <c r="B1536" s="8" t="n">
        <v>800085</v>
      </c>
      <c r="C1536" s="8" t="inlineStr">
        <is>
          <t>锁锋</t>
        </is>
      </c>
      <c r="D1536" s="8" t="inlineStr">
        <is>
          <t>招式</t>
        </is>
      </c>
      <c r="E1536" s="8" t="inlineStr">
        <is>
          <t>spell</t>
        </is>
      </c>
      <c r="F1536" s="8" t="inlineStr">
        <is>
          <t>common</t>
        </is>
      </c>
      <c r="G1536" s="8" t="inlineStr">
        <is>
          <t>金</t>
        </is>
      </c>
      <c r="H1536" s="8" t="inlineStr">
        <is>
          <t>metal</t>
        </is>
      </c>
      <c r="I1536" s="8" t="inlineStr">
        <is>
          <t>1×1</t>
        </is>
      </c>
      <c r="J1536" s="8" t="n">
        <v>1</v>
      </c>
      <c r="K1536" s="8" t="inlineStr"/>
      <c r="L1536" s="8" t="inlineStr">
        <is>
          <t>是</t>
        </is>
      </c>
      <c r="M1536" s="9" t="inlineStr">
        <is>
          <t>scriptureSpellReward</t>
        </is>
      </c>
      <c r="N1536" s="8" t="n">
        <v>1</v>
      </c>
      <c r="O1536" s="9" t="inlineStr">
        <is>
          <t>条件触发</t>
        </is>
      </c>
      <c r="P1536" s="9" t="inlineStr">
        <is>
          <t>triggered</t>
        </is>
      </c>
      <c r="Q1536" s="9" t="inlineStr">
        <is>
          <t>条件触发：左侧相邻道具消耗法力时，获得 5 层凝金</t>
        </is>
      </c>
      <c r="R1536" s="9" t="inlineStr">
        <is>
          <t>scripture_spell</t>
        </is>
      </c>
      <c r="S1536" s="9" t="inlineStr">
        <is>
          <t>一线金锋横锁身前，锋芒被阵诀压住，寒光不再游移。</t>
        </is>
      </c>
      <c r="T1536" s="8" t="inlineStr">
        <is>
          <t>spell_suofeng_1x1</t>
        </is>
      </c>
      <c r="U1536" s="8" t="inlineStr">
        <is>
          <t>allowed</t>
        </is>
      </c>
    </row>
    <row r="1537" ht="34" customHeight="1">
      <c r="A1537" s="8" t="n">
        <v>1536</v>
      </c>
      <c r="B1537" s="8" t="n">
        <v>800086</v>
      </c>
      <c r="C1537" s="8" t="inlineStr">
        <is>
          <t>凝金大阵</t>
        </is>
      </c>
      <c r="D1537" s="8" t="inlineStr">
        <is>
          <t>招式</t>
        </is>
      </c>
      <c r="E1537" s="8" t="inlineStr">
        <is>
          <t>spell</t>
        </is>
      </c>
      <c r="F1537" s="8" t="inlineStr">
        <is>
          <t>common</t>
        </is>
      </c>
      <c r="G1537" s="8" t="inlineStr">
        <is>
          <t>金</t>
        </is>
      </c>
      <c r="H1537" s="8" t="inlineStr">
        <is>
          <t>metal</t>
        </is>
      </c>
      <c r="I1537" s="8" t="inlineStr">
        <is>
          <t>3×3</t>
        </is>
      </c>
      <c r="J1537" s="8" t="n">
        <v>9</v>
      </c>
      <c r="K1537" s="8" t="inlineStr"/>
      <c r="L1537" s="8" t="inlineStr">
        <is>
          <t>是</t>
        </is>
      </c>
      <c r="M1537" s="9" t="inlineStr">
        <is>
          <t>scriptureSpellReward</t>
        </is>
      </c>
      <c r="N1537" s="8" t="n">
        <v>2</v>
      </c>
      <c r="O1537" s="9" t="inlineStr">
        <is>
          <t>被动效果；周期触发</t>
        </is>
      </c>
      <c r="P1537" s="9" t="inlineStr">
        <is>
          <t>passive；periodicPulse</t>
        </is>
      </c>
      <c r="Q1537" s="9" t="inlineStr">
        <is>
          <t>被动效果：凝金的持续时间缩短 50% | 周期触发：轮转时，使敌方所有道具获得 4.5 秒减速</t>
        </is>
      </c>
      <c r="R1537" s="9" t="inlineStr">
        <is>
          <t>scripture_spell</t>
        </is>
      </c>
      <c r="S1537" s="9" t="inlineStr">
        <is>
          <t>金纹阵列大开，凝金之柱自阵心升起，沉稳如山。</t>
        </is>
      </c>
      <c r="T1537" s="8" t="inlineStr">
        <is>
          <t>spell_ningjin_dazhen_3x3</t>
        </is>
      </c>
      <c r="U1537" s="8" t="inlineStr">
        <is>
          <t>allowed</t>
        </is>
      </c>
    </row>
    <row r="1538" ht="34" customHeight="1">
      <c r="A1538" s="8" t="n">
        <v>1537</v>
      </c>
      <c r="B1538" s="8" t="n">
        <v>800094</v>
      </c>
      <c r="C1538" s="8" t="inlineStr">
        <is>
          <t>沉息</t>
        </is>
      </c>
      <c r="D1538" s="8" t="inlineStr">
        <is>
          <t>招式</t>
        </is>
      </c>
      <c r="E1538" s="8" t="inlineStr">
        <is>
          <t>spell</t>
        </is>
      </c>
      <c r="F1538" s="8" t="inlineStr">
        <is>
          <t>common</t>
        </is>
      </c>
      <c r="G1538" s="8" t="inlineStr">
        <is>
          <t>土</t>
        </is>
      </c>
      <c r="H1538" s="8" t="inlineStr">
        <is>
          <t>earth</t>
        </is>
      </c>
      <c r="I1538" s="8" t="inlineStr">
        <is>
          <t>1×1</t>
        </is>
      </c>
      <c r="J1538" s="8" t="n">
        <v>1</v>
      </c>
      <c r="K1538" s="8" t="inlineStr"/>
      <c r="L1538" s="8" t="inlineStr">
        <is>
          <t>是</t>
        </is>
      </c>
      <c r="M1538" s="9" t="inlineStr">
        <is>
          <t>scriptureSpellReward</t>
        </is>
      </c>
      <c r="N1538" s="8" t="n">
        <v>1</v>
      </c>
      <c r="O1538" s="9" t="inlineStr">
        <is>
          <t>周期触发</t>
        </is>
      </c>
      <c r="P1538" s="9" t="inlineStr">
        <is>
          <t>periodicPulse</t>
        </is>
      </c>
      <c r="Q1538" s="9" t="inlineStr">
        <is>
          <t>周期触发：轮转时，每有 1 层蓄势，恢复 1 点气血</t>
        </is>
      </c>
      <c r="R1538" s="9" t="inlineStr">
        <is>
          <t>scripture_spell</t>
        </is>
      </c>
      <c r="S1538" s="9" t="inlineStr">
        <is>
          <t>一口沉息缓缓下坠，土色气环压住浮躁心神。</t>
        </is>
      </c>
      <c r="T1538" s="8" t="inlineStr">
        <is>
          <t>spell_chenxi_1x1</t>
        </is>
      </c>
      <c r="U1538" s="8" t="inlineStr">
        <is>
          <t>allowed</t>
        </is>
      </c>
    </row>
    <row r="1539" ht="34" customHeight="1">
      <c r="A1539" s="8" t="n">
        <v>1538</v>
      </c>
      <c r="B1539" s="8" t="n">
        <v>800095</v>
      </c>
      <c r="C1539" s="8" t="inlineStr">
        <is>
          <t>厚土</t>
        </is>
      </c>
      <c r="D1539" s="8" t="inlineStr">
        <is>
          <t>招式</t>
        </is>
      </c>
      <c r="E1539" s="8" t="inlineStr">
        <is>
          <t>spell</t>
        </is>
      </c>
      <c r="F1539" s="8" t="inlineStr">
        <is>
          <t>common</t>
        </is>
      </c>
      <c r="G1539" s="8" t="inlineStr">
        <is>
          <t>土</t>
        </is>
      </c>
      <c r="H1539" s="8" t="inlineStr">
        <is>
          <t>earth</t>
        </is>
      </c>
      <c r="I1539" s="8" t="inlineStr">
        <is>
          <t>1×1</t>
        </is>
      </c>
      <c r="J1539" s="8" t="n">
        <v>1</v>
      </c>
      <c r="K1539" s="8" t="inlineStr"/>
      <c r="L1539" s="8" t="inlineStr">
        <is>
          <t>是</t>
        </is>
      </c>
      <c r="M1539" s="9" t="inlineStr">
        <is>
          <t>scriptureSpellReward</t>
        </is>
      </c>
      <c r="N1539" s="8" t="n">
        <v>1</v>
      </c>
      <c r="O1539" s="9" t="inlineStr">
        <is>
          <t>被动效果</t>
        </is>
      </c>
      <c r="P1539" s="9" t="inlineStr">
        <is>
          <t>passive</t>
        </is>
      </c>
      <c r="Q1539" s="9" t="inlineStr">
        <is>
          <t>被动效果：相邻道具每次获得蓄势时，额外获得 1 层蓄势</t>
        </is>
      </c>
      <c r="R1539" s="9" t="inlineStr">
        <is>
          <t>scripture_spell</t>
        </is>
      </c>
      <c r="S1539" s="9" t="inlineStr">
        <is>
          <t>厚土石板自地气中升起，沉稳地挡在身前。</t>
        </is>
      </c>
      <c r="T1539" s="8" t="inlineStr">
        <is>
          <t>spell_houtu_1x1</t>
        </is>
      </c>
      <c r="U1539" s="8" t="inlineStr">
        <is>
          <t>allowed</t>
        </is>
      </c>
    </row>
    <row r="1540" ht="34" customHeight="1">
      <c r="A1540" s="8" t="n">
        <v>1539</v>
      </c>
      <c r="B1540" s="8" t="n">
        <v>800096</v>
      </c>
      <c r="C1540" s="8" t="inlineStr">
        <is>
          <t>归元</t>
        </is>
      </c>
      <c r="D1540" s="8" t="inlineStr">
        <is>
          <t>招式</t>
        </is>
      </c>
      <c r="E1540" s="8" t="inlineStr">
        <is>
          <t>spell</t>
        </is>
      </c>
      <c r="F1540" s="8" t="inlineStr">
        <is>
          <t>common</t>
        </is>
      </c>
      <c r="G1540" s="8" t="inlineStr">
        <is>
          <t>土</t>
        </is>
      </c>
      <c r="H1540" s="8" t="inlineStr">
        <is>
          <t>earth</t>
        </is>
      </c>
      <c r="I1540" s="8" t="inlineStr">
        <is>
          <t>1×1</t>
        </is>
      </c>
      <c r="J1540" s="8" t="n">
        <v>1</v>
      </c>
      <c r="K1540" s="8" t="inlineStr"/>
      <c r="L1540" s="8" t="inlineStr">
        <is>
          <t>是</t>
        </is>
      </c>
      <c r="M1540" s="9" t="inlineStr">
        <is>
          <t>scriptureSpellReward</t>
        </is>
      </c>
      <c r="N1540" s="8" t="n">
        <v>1</v>
      </c>
      <c r="O1540" s="9" t="inlineStr">
        <is>
          <t>说明/执行器</t>
        </is>
      </c>
      <c r="P1540" s="9" t="inlineStr">
        <is>
          <t>effectNote</t>
        </is>
      </c>
      <c r="Q1540" s="9" t="inlineStr">
        <is>
          <t>说明/执行器：长按释放，将所有蓄势转化为 2 倍的气血</t>
        </is>
      </c>
      <c r="R1540" s="9" t="inlineStr">
        <is>
          <t>scripture_spell</t>
        </is>
      </c>
      <c r="S1540" s="9" t="inlineStr">
        <is>
          <t>土黄灵光回入丹府，沉重之气重新化作体魄根基。</t>
        </is>
      </c>
      <c r="T1540" s="8" t="inlineStr">
        <is>
          <t>spell_guiyuan_1x1</t>
        </is>
      </c>
      <c r="U1540" s="8" t="inlineStr">
        <is>
          <t>allowed</t>
        </is>
      </c>
    </row>
    <row r="1541" ht="34" customHeight="1">
      <c r="A1541" s="8" t="n">
        <v>1540</v>
      </c>
      <c r="B1541" s="8" t="n">
        <v>800097</v>
      </c>
      <c r="C1541" s="8" t="inlineStr">
        <is>
          <t>重息护身</t>
        </is>
      </c>
      <c r="D1541" s="8" t="inlineStr">
        <is>
          <t>招式</t>
        </is>
      </c>
      <c r="E1541" s="8" t="inlineStr">
        <is>
          <t>spell</t>
        </is>
      </c>
      <c r="F1541" s="8" t="inlineStr">
        <is>
          <t>common</t>
        </is>
      </c>
      <c r="G1541" s="8" t="inlineStr">
        <is>
          <t>土</t>
        </is>
      </c>
      <c r="H1541" s="8" t="inlineStr">
        <is>
          <t>earth</t>
        </is>
      </c>
      <c r="I1541" s="8" t="inlineStr">
        <is>
          <t>2×2</t>
        </is>
      </c>
      <c r="J1541" s="8" t="n">
        <v>4</v>
      </c>
      <c r="K1541" s="8" t="inlineStr"/>
      <c r="L1541" s="8" t="inlineStr">
        <is>
          <t>是</t>
        </is>
      </c>
      <c r="M1541" s="9" t="inlineStr">
        <is>
          <t>scriptureSpellReward</t>
        </is>
      </c>
      <c r="N1541" s="8" t="n">
        <v>1</v>
      </c>
      <c r="O1541" s="9" t="inlineStr">
        <is>
          <t>说明/执行器</t>
        </is>
      </c>
      <c r="P1541" s="9" t="inlineStr">
        <is>
          <t>effectNote</t>
        </is>
      </c>
      <c r="Q1541" s="9" t="inlineStr">
        <is>
          <t>说明/执行器：长按释放，将所有蓄势转化为 2 倍的护甲</t>
        </is>
      </c>
      <c r="R1541" s="9" t="inlineStr">
        <is>
          <t>scripture_spell</t>
        </is>
      </c>
      <c r="S1541" s="9" t="inlineStr">
        <is>
          <t>沉重土息层层环身，像厚壤一样承住冲击。</t>
        </is>
      </c>
      <c r="T1541" s="8" t="inlineStr">
        <is>
          <t>spell_zhongxi_hushen_2x2</t>
        </is>
      </c>
      <c r="U1541" s="8" t="inlineStr">
        <is>
          <t>allowed</t>
        </is>
      </c>
    </row>
    <row r="1542" ht="34" customHeight="1">
      <c r="A1542" s="8" t="n">
        <v>1541</v>
      </c>
      <c r="B1542" s="8" t="n">
        <v>800098</v>
      </c>
      <c r="C1542" s="8" t="inlineStr">
        <is>
          <t>石压炼体</t>
        </is>
      </c>
      <c r="D1542" s="8" t="inlineStr">
        <is>
          <t>招式</t>
        </is>
      </c>
      <c r="E1542" s="8" t="inlineStr">
        <is>
          <t>spell</t>
        </is>
      </c>
      <c r="F1542" s="8" t="inlineStr">
        <is>
          <t>common</t>
        </is>
      </c>
      <c r="G1542" s="8" t="inlineStr">
        <is>
          <t>土</t>
        </is>
      </c>
      <c r="H1542" s="8" t="inlineStr">
        <is>
          <t>earth</t>
        </is>
      </c>
      <c r="I1542" s="8" t="inlineStr">
        <is>
          <t>2×1</t>
        </is>
      </c>
      <c r="J1542" s="8" t="n">
        <v>2</v>
      </c>
      <c r="K1542" s="8" t="inlineStr"/>
      <c r="L1542" s="8" t="inlineStr">
        <is>
          <t>是</t>
        </is>
      </c>
      <c r="M1542" s="9" t="inlineStr">
        <is>
          <t>scriptureSpellReward</t>
        </is>
      </c>
      <c r="N1542" s="8" t="n">
        <v>1</v>
      </c>
      <c r="O1542" s="9" t="inlineStr">
        <is>
          <t>说明/执行器</t>
        </is>
      </c>
      <c r="P1542" s="9" t="inlineStr">
        <is>
          <t>effectNote</t>
        </is>
      </c>
      <c r="Q1542" s="9" t="inlineStr">
        <is>
          <t>说明/执行器：长按释放，消耗 10 点气血，将所有蓄势转化为临时的体力上限</t>
        </is>
      </c>
      <c r="R1542" s="9" t="inlineStr">
        <is>
          <t>scripture_spell</t>
        </is>
      </c>
      <c r="S1542" s="9" t="inlineStr">
        <is>
          <t>宽石横压而下，身躯在沉重中一点点炼回气力。</t>
        </is>
      </c>
      <c r="T1542" s="8" t="inlineStr">
        <is>
          <t>spell_shiya_lianti_2x1</t>
        </is>
      </c>
      <c r="U1542" s="8" t="inlineStr">
        <is>
          <t>allowed</t>
        </is>
      </c>
    </row>
    <row r="1543" ht="34" customHeight="1">
      <c r="A1543" s="8" t="n">
        <v>1542</v>
      </c>
      <c r="B1543" s="8" t="n">
        <v>800099</v>
      </c>
      <c r="C1543" s="8" t="inlineStr">
        <is>
          <t>沉重纳力</t>
        </is>
      </c>
      <c r="D1543" s="8" t="inlineStr">
        <is>
          <t>招式</t>
        </is>
      </c>
      <c r="E1543" s="8" t="inlineStr">
        <is>
          <t>spell</t>
        </is>
      </c>
      <c r="F1543" s="8" t="inlineStr">
        <is>
          <t>common</t>
        </is>
      </c>
      <c r="G1543" s="8" t="inlineStr">
        <is>
          <t>土</t>
        </is>
      </c>
      <c r="H1543" s="8" t="inlineStr">
        <is>
          <t>earth</t>
        </is>
      </c>
      <c r="I1543" s="8" t="inlineStr">
        <is>
          <t>2×2</t>
        </is>
      </c>
      <c r="J1543" s="8" t="n">
        <v>4</v>
      </c>
      <c r="K1543" s="8" t="inlineStr"/>
      <c r="L1543" s="8" t="inlineStr">
        <is>
          <t>是</t>
        </is>
      </c>
      <c r="M1543" s="9" t="inlineStr">
        <is>
          <t>scriptureSpellReward</t>
        </is>
      </c>
      <c r="N1543" s="8" t="n">
        <v>1</v>
      </c>
      <c r="O1543" s="9" t="inlineStr">
        <is>
          <t>说明/执行器</t>
        </is>
      </c>
      <c r="P1543" s="9" t="inlineStr">
        <is>
          <t>effectNote</t>
        </is>
      </c>
      <c r="Q1543" s="9" t="inlineStr">
        <is>
          <t>说明/执行器：长按释放，最多将 20 层蓄势转化为 40 点体力</t>
        </is>
      </c>
      <c r="R1543" s="9" t="inlineStr">
        <is>
          <t>scripture_spell</t>
        </is>
      </c>
      <c r="S1543" s="9" t="inlineStr">
        <is>
          <t>重石入息，体力光随沉重之势重新纳入经脉。</t>
        </is>
      </c>
      <c r="T1543" s="8" t="inlineStr">
        <is>
          <t>spell_chenzhong_nali_2x2</t>
        </is>
      </c>
      <c r="U1543" s="8" t="inlineStr">
        <is>
          <t>allowed</t>
        </is>
      </c>
    </row>
    <row r="1544" ht="34" customHeight="1">
      <c r="A1544" s="8" t="n">
        <v>1543</v>
      </c>
      <c r="B1544" s="8" t="n">
        <v>800100</v>
      </c>
      <c r="C1544" s="8" t="inlineStr">
        <is>
          <t>山息归元</t>
        </is>
      </c>
      <c r="D1544" s="8" t="inlineStr">
        <is>
          <t>招式</t>
        </is>
      </c>
      <c r="E1544" s="8" t="inlineStr">
        <is>
          <t>spell</t>
        </is>
      </c>
      <c r="F1544" s="8" t="inlineStr">
        <is>
          <t>common</t>
        </is>
      </c>
      <c r="G1544" s="8" t="inlineStr">
        <is>
          <t>土</t>
        </is>
      </c>
      <c r="H1544" s="8" t="inlineStr">
        <is>
          <t>earth</t>
        </is>
      </c>
      <c r="I1544" s="8" t="inlineStr">
        <is>
          <t>2×1</t>
        </is>
      </c>
      <c r="J1544" s="8" t="n">
        <v>2</v>
      </c>
      <c r="K1544" s="8" t="inlineStr"/>
      <c r="L1544" s="8" t="inlineStr">
        <is>
          <t>是</t>
        </is>
      </c>
      <c r="M1544" s="9" t="inlineStr">
        <is>
          <t>scriptureSpellReward</t>
        </is>
      </c>
      <c r="N1544" s="8" t="n">
        <v>1</v>
      </c>
      <c r="O1544" s="9" t="inlineStr">
        <is>
          <t>说明/执行器</t>
        </is>
      </c>
      <c r="P1544" s="9" t="inlineStr">
        <is>
          <t>effectNote</t>
        </is>
      </c>
      <c r="Q1544" s="9" t="inlineStr">
        <is>
          <t>说明/执行器：长按释放，将 50 层蓄势转化为 100 点体力和 50 点法力</t>
        </is>
      </c>
      <c r="R1544" s="9" t="inlineStr">
        <is>
          <t>scripture_spell</t>
        </is>
      </c>
      <c r="S1544" s="9" t="inlineStr">
        <is>
          <t>山形土息沉沉合拢，万钧重压化作一脉归元之力。</t>
        </is>
      </c>
      <c r="T1544" s="8" t="inlineStr">
        <is>
          <t>spell_shanxi_guiyuan_2x1</t>
        </is>
      </c>
      <c r="U1544" s="8" t="inlineStr">
        <is>
          <t>allowed</t>
        </is>
      </c>
    </row>
    <row r="1545" ht="34" customHeight="1">
      <c r="A1545" s="8" t="n">
        <v>1544</v>
      </c>
      <c r="B1545" s="8" t="n">
        <v>800108</v>
      </c>
      <c r="C1545" s="8" t="inlineStr">
        <is>
          <t>搬山</t>
        </is>
      </c>
      <c r="D1545" s="8" t="inlineStr">
        <is>
          <t>招式</t>
        </is>
      </c>
      <c r="E1545" s="8" t="inlineStr">
        <is>
          <t>spell</t>
        </is>
      </c>
      <c r="F1545" s="8" t="inlineStr">
        <is>
          <t>common</t>
        </is>
      </c>
      <c r="G1545" s="8" t="inlineStr">
        <is>
          <t>土</t>
        </is>
      </c>
      <c r="H1545" s="8" t="inlineStr">
        <is>
          <t>earth</t>
        </is>
      </c>
      <c r="I1545" s="8" t="inlineStr">
        <is>
          <t>1×1</t>
        </is>
      </c>
      <c r="J1545" s="8" t="n">
        <v>1</v>
      </c>
      <c r="K1545" s="8" t="inlineStr"/>
      <c r="L1545" s="8" t="inlineStr">
        <is>
          <t>是</t>
        </is>
      </c>
      <c r="M1545" s="9" t="inlineStr">
        <is>
          <t>scriptureSpellReward</t>
        </is>
      </c>
      <c r="N1545" s="8" t="n">
        <v>1</v>
      </c>
      <c r="O1545" s="9" t="inlineStr">
        <is>
          <t>说明/执行器</t>
        </is>
      </c>
      <c r="P1545" s="9" t="inlineStr">
        <is>
          <t>effectNote</t>
        </is>
      </c>
      <c r="Q1545" s="9" t="inlineStr">
        <is>
          <t>说明/执行器：长按释放，将 10 点体力转化为 5 层蓄势</t>
        </is>
      </c>
      <c r="R1545" s="9" t="inlineStr">
        <is>
          <t>scripture_spell</t>
        </is>
      </c>
      <c r="S1545" s="9" t="inlineStr">
        <is>
          <t>双臂搬起一块沉石，筋骨余力随山势聚拢。</t>
        </is>
      </c>
      <c r="T1545" s="8" t="inlineStr">
        <is>
          <t>spell_banshan_1x1</t>
        </is>
      </c>
      <c r="U1545" s="8" t="inlineStr">
        <is>
          <t>allowed</t>
        </is>
      </c>
    </row>
    <row r="1546" ht="34" customHeight="1">
      <c r="A1546" s="8" t="n">
        <v>1545</v>
      </c>
      <c r="B1546" s="8" t="n">
        <v>800109</v>
      </c>
      <c r="C1546" s="8" t="inlineStr">
        <is>
          <t>运气</t>
        </is>
      </c>
      <c r="D1546" s="8" t="inlineStr">
        <is>
          <t>招式</t>
        </is>
      </c>
      <c r="E1546" s="8" t="inlineStr">
        <is>
          <t>spell</t>
        </is>
      </c>
      <c r="F1546" s="8" t="inlineStr">
        <is>
          <t>common</t>
        </is>
      </c>
      <c r="G1546" s="8" t="inlineStr">
        <is>
          <t>土</t>
        </is>
      </c>
      <c r="H1546" s="8" t="inlineStr">
        <is>
          <t>earth</t>
        </is>
      </c>
      <c r="I1546" s="8" t="inlineStr">
        <is>
          <t>1×1</t>
        </is>
      </c>
      <c r="J1546" s="8" t="n">
        <v>1</v>
      </c>
      <c r="K1546" s="8" t="inlineStr"/>
      <c r="L1546" s="8" t="inlineStr">
        <is>
          <t>是</t>
        </is>
      </c>
      <c r="M1546" s="9" t="inlineStr">
        <is>
          <t>scriptureSpellReward</t>
        </is>
      </c>
      <c r="N1546" s="8" t="n">
        <v>1</v>
      </c>
      <c r="O1546" s="9" t="inlineStr">
        <is>
          <t>说明/执行器</t>
        </is>
      </c>
      <c r="P1546" s="9" t="inlineStr">
        <is>
          <t>effectNote</t>
        </is>
      </c>
      <c r="Q1546" s="9" t="inlineStr">
        <is>
          <t>说明/执行器：长按释放，将 10 点气血转化为 5 层蓄势</t>
        </is>
      </c>
      <c r="R1546" s="9" t="inlineStr">
        <is>
          <t>scripture_spell</t>
        </is>
      </c>
      <c r="S1546" s="9" t="inlineStr">
        <is>
          <t>一道厚重气带绕腰行走，将外力缓缓导入丹田。</t>
        </is>
      </c>
      <c r="T1546" s="8" t="inlineStr">
        <is>
          <t>spell_yunqi_1x1</t>
        </is>
      </c>
      <c r="U1546" s="8" t="inlineStr">
        <is>
          <t>allowed</t>
        </is>
      </c>
    </row>
    <row r="1547" ht="34" customHeight="1">
      <c r="A1547" s="8" t="n">
        <v>1546</v>
      </c>
      <c r="B1547" s="8" t="n">
        <v>800110</v>
      </c>
      <c r="C1547" s="8" t="inlineStr">
        <is>
          <t>力入丹田</t>
        </is>
      </c>
      <c r="D1547" s="8" t="inlineStr">
        <is>
          <t>招式</t>
        </is>
      </c>
      <c r="E1547" s="8" t="inlineStr">
        <is>
          <t>spell</t>
        </is>
      </c>
      <c r="F1547" s="8" t="inlineStr">
        <is>
          <t>common</t>
        </is>
      </c>
      <c r="G1547" s="8" t="inlineStr">
        <is>
          <t>土</t>
        </is>
      </c>
      <c r="H1547" s="8" t="inlineStr">
        <is>
          <t>earth</t>
        </is>
      </c>
      <c r="I1547" s="8" t="inlineStr">
        <is>
          <t>1×1</t>
        </is>
      </c>
      <c r="J1547" s="8" t="n">
        <v>1</v>
      </c>
      <c r="K1547" s="8" t="inlineStr"/>
      <c r="L1547" s="8" t="inlineStr">
        <is>
          <t>是</t>
        </is>
      </c>
      <c r="M1547" s="9" t="inlineStr">
        <is>
          <t>scriptureSpellReward</t>
        </is>
      </c>
      <c r="N1547" s="8" t="n">
        <v>1</v>
      </c>
      <c r="O1547" s="9" t="inlineStr">
        <is>
          <t>说明/执行器</t>
        </is>
      </c>
      <c r="P1547" s="9" t="inlineStr">
        <is>
          <t>effectNote</t>
        </is>
      </c>
      <c r="Q1547" s="9" t="inlineStr">
        <is>
          <t>说明/执行器：长按释放，最多将 10 层护甲转化为等量蓄势</t>
        </is>
      </c>
      <c r="R1547" s="9" t="inlineStr">
        <is>
          <t>scripture_spell</t>
        </is>
      </c>
      <c r="S1547" s="9" t="inlineStr">
        <is>
          <t>筋骨之力归入丹府，一点蓝色法力由此生出。</t>
        </is>
      </c>
      <c r="T1547" s="8" t="inlineStr">
        <is>
          <t>spell_li_ru_dantian_1x1</t>
        </is>
      </c>
      <c r="U1547" s="8" t="inlineStr">
        <is>
          <t>allowed</t>
        </is>
      </c>
    </row>
    <row r="1548" ht="34" customHeight="1">
      <c r="A1548" s="8" t="n">
        <v>1547</v>
      </c>
      <c r="B1548" s="8" t="n">
        <v>800111</v>
      </c>
      <c r="C1548" s="8" t="inlineStr">
        <is>
          <t>山步</t>
        </is>
      </c>
      <c r="D1548" s="8" t="inlineStr">
        <is>
          <t>招式</t>
        </is>
      </c>
      <c r="E1548" s="8" t="inlineStr">
        <is>
          <t>spell</t>
        </is>
      </c>
      <c r="F1548" s="8" t="inlineStr">
        <is>
          <t>common</t>
        </is>
      </c>
      <c r="G1548" s="8" t="inlineStr">
        <is>
          <t>土</t>
        </is>
      </c>
      <c r="H1548" s="8" t="inlineStr">
        <is>
          <t>earth</t>
        </is>
      </c>
      <c r="I1548" s="8" t="inlineStr">
        <is>
          <t>2×2</t>
        </is>
      </c>
      <c r="J1548" s="8" t="n">
        <v>4</v>
      </c>
      <c r="K1548" s="8" t="inlineStr"/>
      <c r="L1548" s="8" t="inlineStr">
        <is>
          <t>是</t>
        </is>
      </c>
      <c r="M1548" s="9" t="inlineStr">
        <is>
          <t>scriptureSpellReward</t>
        </is>
      </c>
      <c r="N1548" s="8" t="n">
        <v>1</v>
      </c>
      <c r="O1548" s="9" t="inlineStr">
        <is>
          <t>条件触发</t>
        </is>
      </c>
      <c r="P1548" s="9" t="inlineStr">
        <is>
          <t>triggered</t>
        </is>
      </c>
      <c r="Q1548" s="9" t="inlineStr">
        <is>
          <t>条件触发：每当获得蓄势时，对敌方造成 3 点伤害</t>
        </is>
      </c>
      <c r="R1548" s="9" t="inlineStr">
        <is>
          <t>scripture_spell</t>
        </is>
      </c>
      <c r="S1548" s="9" t="inlineStr">
        <is>
          <t>一步踏下如山落地，气机随沉稳步伐向内回转。</t>
        </is>
      </c>
      <c r="T1548" s="8" t="inlineStr">
        <is>
          <t>spell_shanbu_2x2</t>
        </is>
      </c>
      <c r="U1548" s="8" t="inlineStr">
        <is>
          <t>allowed</t>
        </is>
      </c>
    </row>
    <row r="1549" ht="34" customHeight="1">
      <c r="A1549" s="8" t="n">
        <v>1548</v>
      </c>
      <c r="B1549" s="8" t="n">
        <v>800112</v>
      </c>
      <c r="C1549" s="8" t="inlineStr">
        <is>
          <t>转力成法</t>
        </is>
      </c>
      <c r="D1549" s="8" t="inlineStr">
        <is>
          <t>招式</t>
        </is>
      </c>
      <c r="E1549" s="8" t="inlineStr">
        <is>
          <t>spell</t>
        </is>
      </c>
      <c r="F1549" s="8" t="inlineStr">
        <is>
          <t>common</t>
        </is>
      </c>
      <c r="G1549" s="8" t="inlineStr">
        <is>
          <t>土</t>
        </is>
      </c>
      <c r="H1549" s="8" t="inlineStr">
        <is>
          <t>earth</t>
        </is>
      </c>
      <c r="I1549" s="8" t="inlineStr">
        <is>
          <t>2×2</t>
        </is>
      </c>
      <c r="J1549" s="8" t="n">
        <v>4</v>
      </c>
      <c r="K1549" s="8" t="inlineStr"/>
      <c r="L1549" s="8" t="inlineStr">
        <is>
          <t>是</t>
        </is>
      </c>
      <c r="M1549" s="9" t="inlineStr">
        <is>
          <t>scriptureSpellReward</t>
        </is>
      </c>
      <c r="N1549" s="8" t="n">
        <v>1</v>
      </c>
      <c r="O1549" s="9" t="inlineStr">
        <is>
          <t>说明/执行器</t>
        </is>
      </c>
      <c r="P1549" s="9" t="inlineStr">
        <is>
          <t>effectNote</t>
        </is>
      </c>
      <c r="Q1549" s="9" t="inlineStr">
        <is>
          <t>说明/执行器：长按释放，将所有蓄势转化为 2 倍数量的法力</t>
        </is>
      </c>
      <c r="R1549" s="9" t="inlineStr">
        <is>
          <t>scripture_spell</t>
        </is>
      </c>
      <c r="S1549" s="9" t="inlineStr">
        <is>
          <t>一道力弧在掌中翻转，化作清亮法力光球。</t>
        </is>
      </c>
      <c r="T1549" s="8" t="inlineStr">
        <is>
          <t>spell_zhuanli_chengfa_2x2</t>
        </is>
      </c>
      <c r="U1549" s="8" t="inlineStr">
        <is>
          <t>allowed</t>
        </is>
      </c>
    </row>
    <row r="1550" ht="34" customHeight="1">
      <c r="A1550" s="8" t="n">
        <v>1549</v>
      </c>
      <c r="B1550" s="8" t="n">
        <v>800113</v>
      </c>
      <c r="C1550" s="8" t="inlineStr">
        <is>
          <t>横山行气</t>
        </is>
      </c>
      <c r="D1550" s="8" t="inlineStr">
        <is>
          <t>招式</t>
        </is>
      </c>
      <c r="E1550" s="8" t="inlineStr">
        <is>
          <t>spell</t>
        </is>
      </c>
      <c r="F1550" s="8" t="inlineStr">
        <is>
          <t>common</t>
        </is>
      </c>
      <c r="G1550" s="8" t="inlineStr">
        <is>
          <t>土</t>
        </is>
      </c>
      <c r="H1550" s="8" t="inlineStr">
        <is>
          <t>earth</t>
        </is>
      </c>
      <c r="I1550" s="8" t="inlineStr">
        <is>
          <t>1×1</t>
        </is>
      </c>
      <c r="J1550" s="8" t="n">
        <v>1</v>
      </c>
      <c r="K1550" s="8" t="inlineStr"/>
      <c r="L1550" s="8" t="inlineStr">
        <is>
          <t>是</t>
        </is>
      </c>
      <c r="M1550" s="9" t="inlineStr">
        <is>
          <t>scriptureSpellReward</t>
        </is>
      </c>
      <c r="N1550" s="8" t="n">
        <v>1</v>
      </c>
      <c r="O1550" s="9" t="inlineStr">
        <is>
          <t>说明/执行器</t>
        </is>
      </c>
      <c r="P1550" s="9" t="inlineStr">
        <is>
          <t>effectNote</t>
        </is>
      </c>
      <c r="Q1550" s="9" t="inlineStr">
        <is>
          <t>说明/执行器：长按释放，将 30 点体力和 30 点法力转化为 30 层蓄势</t>
        </is>
      </c>
      <c r="R1550" s="9" t="inlineStr">
        <is>
          <t>scripture_spell</t>
        </is>
      </c>
      <c r="S1550" s="9" t="inlineStr">
        <is>
          <t>横山随气而动，长长山脊把筋骨余力送入经脉。</t>
        </is>
      </c>
      <c r="T1550" s="8" t="inlineStr">
        <is>
          <t>spell_hengshan_xingqi_1x1</t>
        </is>
      </c>
      <c r="U1550" s="8" t="inlineStr">
        <is>
          <t>allowed</t>
        </is>
      </c>
    </row>
    <row r="1551" ht="34" customHeight="1">
      <c r="A1551" s="8" t="n">
        <v>1550</v>
      </c>
      <c r="B1551" s="8" t="n">
        <v>800114</v>
      </c>
      <c r="C1551" s="8" t="inlineStr">
        <is>
          <t>搬山归法</t>
        </is>
      </c>
      <c r="D1551" s="8" t="inlineStr">
        <is>
          <t>招式</t>
        </is>
      </c>
      <c r="E1551" s="8" t="inlineStr">
        <is>
          <t>spell</t>
        </is>
      </c>
      <c r="F1551" s="8" t="inlineStr">
        <is>
          <t>common</t>
        </is>
      </c>
      <c r="G1551" s="8" t="inlineStr">
        <is>
          <t>土</t>
        </is>
      </c>
      <c r="H1551" s="8" t="inlineStr">
        <is>
          <t>earth</t>
        </is>
      </c>
      <c r="I1551" s="8" t="inlineStr">
        <is>
          <t>2×1</t>
        </is>
      </c>
      <c r="J1551" s="8" t="n">
        <v>2</v>
      </c>
      <c r="K1551" s="8" t="inlineStr"/>
      <c r="L1551" s="8" t="inlineStr">
        <is>
          <t>是</t>
        </is>
      </c>
      <c r="M1551" s="9" t="inlineStr">
        <is>
          <t>scriptureSpellReward</t>
        </is>
      </c>
      <c r="N1551" s="8" t="n">
        <v>1</v>
      </c>
      <c r="O1551" s="9" t="inlineStr">
        <is>
          <t>说明/执行器</t>
        </is>
      </c>
      <c r="P1551" s="9" t="inlineStr">
        <is>
          <t>effectNote</t>
        </is>
      </c>
      <c r="Q1551" s="9" t="inlineStr">
        <is>
          <t>说明/执行器：长按释放，消耗所有蓄势，每消耗 1 层蓄势，对敌人造成 3 点伤害，恢复 1 点法力和 1 点体力</t>
        </is>
      </c>
      <c r="R1551" s="9" t="inlineStr">
        <is>
          <t>scripture_spell</t>
        </is>
      </c>
      <c r="S1551" s="9" t="inlineStr">
        <is>
          <t>山形气机归入法环，体力余势尽化为可用法力。</t>
        </is>
      </c>
      <c r="T1551" s="8" t="inlineStr">
        <is>
          <t>spell_banshan_guifa_2x1</t>
        </is>
      </c>
      <c r="U1551" s="8" t="inlineStr">
        <is>
          <t>allowed</t>
        </is>
      </c>
    </row>
    <row r="1552" ht="34" customHeight="1">
      <c r="A1552" s="8" t="n">
        <v>1551</v>
      </c>
      <c r="B1552" s="8" t="n">
        <v>800115</v>
      </c>
      <c r="C1552" s="8" t="inlineStr">
        <is>
          <t>养火</t>
        </is>
      </c>
      <c r="D1552" s="8" t="inlineStr">
        <is>
          <t>招式</t>
        </is>
      </c>
      <c r="E1552" s="8" t="inlineStr">
        <is>
          <t>spell</t>
        </is>
      </c>
      <c r="F1552" s="8" t="inlineStr">
        <is>
          <t>common</t>
        </is>
      </c>
      <c r="G1552" s="8" t="inlineStr">
        <is>
          <t>火</t>
        </is>
      </c>
      <c r="H1552" s="8" t="inlineStr">
        <is>
          <t>fire</t>
        </is>
      </c>
      <c r="I1552" s="8" t="inlineStr">
        <is>
          <t>1×1</t>
        </is>
      </c>
      <c r="J1552" s="8" t="n">
        <v>1</v>
      </c>
      <c r="K1552" s="8" t="inlineStr"/>
      <c r="L1552" s="8" t="inlineStr">
        <is>
          <t>是</t>
        </is>
      </c>
      <c r="M1552" s="9" t="inlineStr">
        <is>
          <t>scriptureSpellReward</t>
        </is>
      </c>
      <c r="N1552" s="8" t="n">
        <v>1</v>
      </c>
      <c r="O1552" s="9" t="inlineStr">
        <is>
          <t>说明/执行器</t>
        </is>
      </c>
      <c r="P1552" s="9" t="inlineStr">
        <is>
          <t>effectNote</t>
        </is>
      </c>
      <c r="Q1552" s="9" t="inlineStr">
        <is>
          <t>说明/执行器：长按释放，每有 1 层炎热，使相邻炼丹炉获得 0.1 秒加速</t>
        </is>
      </c>
      <c r="R1552" s="9" t="inlineStr">
        <is>
          <t>scripture_spell</t>
        </is>
      </c>
      <c r="S1552" s="9" t="inlineStr">
        <is>
          <t>双掌护住一簇细火，先稳气力，再养火意。</t>
        </is>
      </c>
      <c r="T1552" s="8" t="inlineStr">
        <is>
          <t>spell_yanghuo_1x1</t>
        </is>
      </c>
      <c r="U1552" s="8" t="inlineStr">
        <is>
          <t>allowed</t>
        </is>
      </c>
    </row>
    <row r="1553" ht="34" customHeight="1">
      <c r="A1553" s="8" t="n">
        <v>1552</v>
      </c>
      <c r="B1553" s="8" t="n">
        <v>800116</v>
      </c>
      <c r="C1553" s="8" t="inlineStr">
        <is>
          <t>细焰</t>
        </is>
      </c>
      <c r="D1553" s="8" t="inlineStr">
        <is>
          <t>招式</t>
        </is>
      </c>
      <c r="E1553" s="8" t="inlineStr">
        <is>
          <t>spell</t>
        </is>
      </c>
      <c r="F1553" s="8" t="inlineStr">
        <is>
          <t>common</t>
        </is>
      </c>
      <c r="G1553" s="8" t="inlineStr">
        <is>
          <t>火</t>
        </is>
      </c>
      <c r="H1553" s="8" t="inlineStr">
        <is>
          <t>fire</t>
        </is>
      </c>
      <c r="I1553" s="8" t="inlineStr">
        <is>
          <t>1×1</t>
        </is>
      </c>
      <c r="J1553" s="8" t="n">
        <v>1</v>
      </c>
      <c r="K1553" s="8" t="inlineStr"/>
      <c r="L1553" s="8" t="inlineStr">
        <is>
          <t>是</t>
        </is>
      </c>
      <c r="M1553" s="9" t="inlineStr">
        <is>
          <t>scriptureSpellReward</t>
        </is>
      </c>
      <c r="N1553" s="8" t="n">
        <v>1</v>
      </c>
      <c r="O1553" s="9" t="inlineStr">
        <is>
          <t>说明/执行器</t>
        </is>
      </c>
      <c r="P1553" s="9" t="inlineStr">
        <is>
          <t>effectNote</t>
        </is>
      </c>
      <c r="Q1553" s="9" t="inlineStr">
        <is>
          <t>说明/执行器：每当丹药耗尽时，对敌方施加 5 层灼烧</t>
        </is>
      </c>
      <c r="R1553" s="9" t="inlineStr">
        <is>
          <t>scripture_spell</t>
        </is>
      </c>
      <c r="S1553" s="9" t="inlineStr">
        <is>
          <t>一线细焰随指尖升起，不烈不躁，恰好入息。</t>
        </is>
      </c>
      <c r="T1553" s="8" t="inlineStr">
        <is>
          <t>spell_xiyan_1x1</t>
        </is>
      </c>
      <c r="U1553" s="8" t="inlineStr">
        <is>
          <t>allowed</t>
        </is>
      </c>
    </row>
    <row r="1554" ht="34" customHeight="1">
      <c r="A1554" s="8" t="n">
        <v>1553</v>
      </c>
      <c r="B1554" s="8" t="n">
        <v>800117</v>
      </c>
      <c r="C1554" s="8" t="inlineStr">
        <is>
          <t>体火入周天</t>
        </is>
      </c>
      <c r="D1554" s="8" t="inlineStr">
        <is>
          <t>招式</t>
        </is>
      </c>
      <c r="E1554" s="8" t="inlineStr">
        <is>
          <t>spell</t>
        </is>
      </c>
      <c r="F1554" s="8" t="inlineStr">
        <is>
          <t>common</t>
        </is>
      </c>
      <c r="G1554" s="8" t="inlineStr">
        <is>
          <t>火</t>
        </is>
      </c>
      <c r="H1554" s="8" t="inlineStr">
        <is>
          <t>fire</t>
        </is>
      </c>
      <c r="I1554" s="8" t="inlineStr">
        <is>
          <t>1×1</t>
        </is>
      </c>
      <c r="J1554" s="8" t="n">
        <v>1</v>
      </c>
      <c r="K1554" s="8" t="inlineStr"/>
      <c r="L1554" s="8" t="inlineStr">
        <is>
          <t>是</t>
        </is>
      </c>
      <c r="M1554" s="9" t="inlineStr">
        <is>
          <t>scriptureSpellReward</t>
        </is>
      </c>
      <c r="N1554" s="8" t="n">
        <v>1</v>
      </c>
      <c r="O1554" s="9" t="inlineStr">
        <is>
          <t>说明/执行器</t>
        </is>
      </c>
      <c r="P1554" s="9" t="inlineStr">
        <is>
          <t>effectNote</t>
        </is>
      </c>
      <c r="Q1554" s="9" t="inlineStr">
        <is>
          <t>说明/执行器：每当丹药耗尽时，获得 10 层炎热</t>
        </is>
      </c>
      <c r="R1554" s="9" t="inlineStr">
        <is>
          <t>scripture_spell</t>
        </is>
      </c>
      <c r="S1554" s="9" t="inlineStr">
        <is>
          <t>体力余火归入周天，转成一线稳固修行。</t>
        </is>
      </c>
      <c r="T1554" s="8" t="inlineStr">
        <is>
          <t>spell_tihuo_ruzhoutian_1x1</t>
        </is>
      </c>
      <c r="U1554" s="8" t="inlineStr">
        <is>
          <t>allowed</t>
        </is>
      </c>
    </row>
    <row r="1555" ht="34" customHeight="1">
      <c r="A1555" s="8" t="n">
        <v>1554</v>
      </c>
      <c r="B1555" s="8" t="n">
        <v>800118</v>
      </c>
      <c r="C1555" s="8" t="inlineStr">
        <is>
          <t>丹霞息</t>
        </is>
      </c>
      <c r="D1555" s="8" t="inlineStr">
        <is>
          <t>招式</t>
        </is>
      </c>
      <c r="E1555" s="8" t="inlineStr">
        <is>
          <t>spell</t>
        </is>
      </c>
      <c r="F1555" s="8" t="inlineStr">
        <is>
          <t>common</t>
        </is>
      </c>
      <c r="G1555" s="8" t="inlineStr">
        <is>
          <t>火</t>
        </is>
      </c>
      <c r="H1555" s="8" t="inlineStr">
        <is>
          <t>fire</t>
        </is>
      </c>
      <c r="I1555" s="8" t="inlineStr">
        <is>
          <t>2×2</t>
        </is>
      </c>
      <c r="J1555" s="8" t="n">
        <v>4</v>
      </c>
      <c r="K1555" s="8" t="inlineStr"/>
      <c r="L1555" s="8" t="inlineStr">
        <is>
          <t>是</t>
        </is>
      </c>
      <c r="M1555" s="9" t="inlineStr">
        <is>
          <t>scriptureSpellReward</t>
        </is>
      </c>
      <c r="N1555" s="8" t="n">
        <v>1</v>
      </c>
      <c r="O1555" s="9" t="inlineStr">
        <is>
          <t>说明/执行器</t>
        </is>
      </c>
      <c r="P1555" s="9" t="inlineStr">
        <is>
          <t>effectNote</t>
        </is>
      </c>
      <c r="Q1555" s="9" t="inlineStr">
        <is>
          <t>说明/执行器：每当丹药耗尽时，使相邻炼丹炉获得 10 秒加速</t>
        </is>
      </c>
      <c r="R1555" s="9" t="inlineStr">
        <is>
          <t>scripture_spell</t>
        </is>
      </c>
      <c r="S1555" s="9" t="inlineStr">
        <is>
          <t>丹霞火息回入胸口，温热而不伤经脉。</t>
        </is>
      </c>
      <c r="T1555" s="8" t="inlineStr">
        <is>
          <t>spell_danxia_xi_2x2</t>
        </is>
      </c>
      <c r="U1555" s="8" t="inlineStr">
        <is>
          <t>allowed</t>
        </is>
      </c>
    </row>
    <row r="1556" ht="34" customHeight="1">
      <c r="A1556" s="8" t="n">
        <v>1555</v>
      </c>
      <c r="B1556" s="8" t="n">
        <v>800119</v>
      </c>
      <c r="C1556" s="8" t="inlineStr">
        <is>
          <t>温炉护身</t>
        </is>
      </c>
      <c r="D1556" s="8" t="inlineStr">
        <is>
          <t>招式</t>
        </is>
      </c>
      <c r="E1556" s="8" t="inlineStr">
        <is>
          <t>spell</t>
        </is>
      </c>
      <c r="F1556" s="8" t="inlineStr">
        <is>
          <t>common</t>
        </is>
      </c>
      <c r="G1556" s="8" t="inlineStr">
        <is>
          <t>火</t>
        </is>
      </c>
      <c r="H1556" s="8" t="inlineStr">
        <is>
          <t>fire</t>
        </is>
      </c>
      <c r="I1556" s="8" t="inlineStr">
        <is>
          <t>2×2</t>
        </is>
      </c>
      <c r="J1556" s="8" t="n">
        <v>4</v>
      </c>
      <c r="K1556" s="8" t="inlineStr"/>
      <c r="L1556" s="8" t="inlineStr">
        <is>
          <t>是</t>
        </is>
      </c>
      <c r="M1556" s="9" t="inlineStr">
        <is>
          <t>scriptureSpellReward</t>
        </is>
      </c>
      <c r="N1556" s="8" t="n">
        <v>1</v>
      </c>
      <c r="O1556" s="9" t="inlineStr">
        <is>
          <t>说明/执行器</t>
        </is>
      </c>
      <c r="P1556" s="9" t="inlineStr">
        <is>
          <t>effectNote</t>
        </is>
      </c>
      <c r="Q1556" s="9" t="inlineStr">
        <is>
          <t>说明/执行器：每当丹药耗尽时，获得 30 层护甲和 10 层坚硬</t>
        </is>
      </c>
      <c r="R1556" s="9" t="inlineStr">
        <is>
          <t>scripture_spell</t>
        </is>
      </c>
      <c r="S1556" s="9" t="inlineStr">
        <is>
          <t>小炉微明，温火成环，护住正在养息的身形。</t>
        </is>
      </c>
      <c r="T1556" s="8" t="inlineStr">
        <is>
          <t>spell_wenlu_hushen_2x2</t>
        </is>
      </c>
      <c r="U1556" s="8" t="inlineStr">
        <is>
          <t>allowed</t>
        </is>
      </c>
    </row>
    <row r="1557" ht="34" customHeight="1">
      <c r="A1557" s="8" t="n">
        <v>1556</v>
      </c>
      <c r="B1557" s="8" t="n">
        <v>800120</v>
      </c>
      <c r="C1557" s="8" t="inlineStr">
        <is>
          <t>小火成修</t>
        </is>
      </c>
      <c r="D1557" s="8" t="inlineStr">
        <is>
          <t>招式</t>
        </is>
      </c>
      <c r="E1557" s="8" t="inlineStr">
        <is>
          <t>spell</t>
        </is>
      </c>
      <c r="F1557" s="8" t="inlineStr">
        <is>
          <t>common</t>
        </is>
      </c>
      <c r="G1557" s="8" t="inlineStr">
        <is>
          <t>火</t>
        </is>
      </c>
      <c r="H1557" s="8" t="inlineStr">
        <is>
          <t>fire</t>
        </is>
      </c>
      <c r="I1557" s="8" t="inlineStr">
        <is>
          <t>2×1</t>
        </is>
      </c>
      <c r="J1557" s="8" t="n">
        <v>2</v>
      </c>
      <c r="K1557" s="8" t="inlineStr"/>
      <c r="L1557" s="8" t="inlineStr">
        <is>
          <t>是</t>
        </is>
      </c>
      <c r="M1557" s="9" t="inlineStr">
        <is>
          <t>scriptureSpellReward</t>
        </is>
      </c>
      <c r="N1557" s="8" t="n">
        <v>1</v>
      </c>
      <c r="O1557" s="9" t="inlineStr">
        <is>
          <t>被动效果</t>
        </is>
      </c>
      <c r="P1557" s="9" t="inlineStr">
        <is>
          <t>passive</t>
        </is>
      </c>
      <c r="Q1557" s="9" t="inlineStr">
        <is>
          <t>被动效果：炎热层数小于上限的 50% 时，本功法获得的修为翻倍</t>
        </is>
      </c>
      <c r="R1557" s="9" t="inlineStr">
        <is>
          <t>scripture_spell</t>
        </is>
      </c>
      <c r="S1557" s="9" t="inlineStr">
        <is>
          <t>小火沿经脉横行一线，最后化入修行光中。</t>
        </is>
      </c>
      <c r="T1557" s="8" t="inlineStr">
        <is>
          <t>spell_xiaohuo_chengxiu_2x1</t>
        </is>
      </c>
      <c r="U1557" s="8" t="inlineStr">
        <is>
          <t>allowed</t>
        </is>
      </c>
    </row>
    <row r="1558" ht="34" customHeight="1">
      <c r="A1558" s="8" t="n">
        <v>1557</v>
      </c>
      <c r="B1558" s="8" t="n">
        <v>800121</v>
      </c>
      <c r="C1558" s="8" t="inlineStr">
        <is>
          <t>丹霞火轮</t>
        </is>
      </c>
      <c r="D1558" s="8" t="inlineStr">
        <is>
          <t>招式</t>
        </is>
      </c>
      <c r="E1558" s="8" t="inlineStr">
        <is>
          <t>spell</t>
        </is>
      </c>
      <c r="F1558" s="8" t="inlineStr">
        <is>
          <t>common</t>
        </is>
      </c>
      <c r="G1558" s="8" t="inlineStr">
        <is>
          <t>火</t>
        </is>
      </c>
      <c r="H1558" s="8" t="inlineStr">
        <is>
          <t>fire</t>
        </is>
      </c>
      <c r="I1558" s="8" t="inlineStr">
        <is>
          <t>3×3</t>
        </is>
      </c>
      <c r="J1558" s="8" t="n">
        <v>9</v>
      </c>
      <c r="K1558" s="8" t="inlineStr"/>
      <c r="L1558" s="8" t="inlineStr">
        <is>
          <t>是</t>
        </is>
      </c>
      <c r="M1558" s="9" t="inlineStr">
        <is>
          <t>scriptureSpellReward</t>
        </is>
      </c>
      <c r="N1558" s="8" t="n">
        <v>1</v>
      </c>
      <c r="O1558" s="9" t="inlineStr">
        <is>
          <t>说明/执行器</t>
        </is>
      </c>
      <c r="P1558" s="9" t="inlineStr">
        <is>
          <t>effectNote</t>
        </is>
      </c>
      <c r="Q1558" s="9" t="inlineStr">
        <is>
          <t>说明/执行器：长按释放，消耗 40 点法力，炼丹炉每相邻 1 个道具，对敌方施加 3 层灼烧</t>
        </is>
      </c>
      <c r="R1558" s="9" t="inlineStr">
        <is>
          <t>scripture_spell</t>
        </is>
      </c>
      <c r="S1558" s="9" t="inlineStr">
        <is>
          <t>丹霞温火成轮，绕身一转，将余力炼入修途。</t>
        </is>
      </c>
      <c r="T1558" s="8" t="inlineStr">
        <is>
          <t>spell_danxia_huolun_3x3</t>
        </is>
      </c>
      <c r="U1558" s="8" t="inlineStr">
        <is>
          <t>allowed</t>
        </is>
      </c>
    </row>
    <row r="1559" ht="34" customHeight="1">
      <c r="A1559" s="8" t="n">
        <v>1558</v>
      </c>
      <c r="B1559" s="8" t="n">
        <v>800122</v>
      </c>
      <c r="C1559" s="8" t="inlineStr">
        <is>
          <t>立旗</t>
        </is>
      </c>
      <c r="D1559" s="8" t="inlineStr">
        <is>
          <t>招式</t>
        </is>
      </c>
      <c r="E1559" s="8" t="inlineStr">
        <is>
          <t>spell</t>
        </is>
      </c>
      <c r="F1559" s="8" t="inlineStr">
        <is>
          <t>common</t>
        </is>
      </c>
      <c r="G1559" s="8" t="inlineStr">
        <is>
          <t>土</t>
        </is>
      </c>
      <c r="H1559" s="8" t="inlineStr">
        <is>
          <t>earth</t>
        </is>
      </c>
      <c r="I1559" s="8" t="inlineStr">
        <is>
          <t>1×1</t>
        </is>
      </c>
      <c r="J1559" s="8" t="n">
        <v>1</v>
      </c>
      <c r="K1559" s="8" t="inlineStr"/>
      <c r="L1559" s="8" t="inlineStr">
        <is>
          <t>是</t>
        </is>
      </c>
      <c r="M1559" s="9" t="inlineStr">
        <is>
          <t>scriptureSpellReward</t>
        </is>
      </c>
      <c r="N1559" s="8" t="n">
        <v>1</v>
      </c>
      <c r="O1559" s="9" t="inlineStr">
        <is>
          <t>说明/执行器</t>
        </is>
      </c>
      <c r="P1559" s="9" t="inlineStr">
        <is>
          <t>effectNote</t>
        </is>
      </c>
      <c r="Q1559" s="9" t="inlineStr">
        <is>
          <t>说明/执行器：长按释放，消耗 15 点法力，在空格中生成 1 件随机临时符箓</t>
        </is>
      </c>
      <c r="R1559" s="9" t="inlineStr">
        <is>
          <t>scripture_spell</t>
        </is>
      </c>
      <c r="S1559" s="9" t="inlineStr">
        <is>
          <t>青旗入地，旗脚阵光稳稳扎入地脉。</t>
        </is>
      </c>
      <c r="T1559" s="8" t="inlineStr">
        <is>
          <t>spell_liqi_1x1</t>
        </is>
      </c>
      <c r="U1559" s="8" t="inlineStr">
        <is>
          <t>allowed</t>
        </is>
      </c>
    </row>
    <row r="1560" ht="34" customHeight="1">
      <c r="A1560" s="8" t="n">
        <v>1559</v>
      </c>
      <c r="B1560" s="8" t="n">
        <v>800123</v>
      </c>
      <c r="C1560" s="8" t="inlineStr">
        <is>
          <t>符息</t>
        </is>
      </c>
      <c r="D1560" s="8" t="inlineStr">
        <is>
          <t>招式</t>
        </is>
      </c>
      <c r="E1560" s="8" t="inlineStr">
        <is>
          <t>spell</t>
        </is>
      </c>
      <c r="F1560" s="8" t="inlineStr">
        <is>
          <t>common</t>
        </is>
      </c>
      <c r="G1560" s="8" t="inlineStr">
        <is>
          <t>土</t>
        </is>
      </c>
      <c r="H1560" s="8" t="inlineStr">
        <is>
          <t>earth</t>
        </is>
      </c>
      <c r="I1560" s="8" t="inlineStr">
        <is>
          <t>1×1</t>
        </is>
      </c>
      <c r="J1560" s="8" t="n">
        <v>1</v>
      </c>
      <c r="K1560" s="8" t="inlineStr"/>
      <c r="L1560" s="8" t="inlineStr">
        <is>
          <t>否</t>
        </is>
      </c>
      <c r="M1560" s="9" t="inlineStr"/>
      <c r="N1560" s="8" t="n">
        <v>1</v>
      </c>
      <c r="O1560" s="9" t="inlineStr">
        <is>
          <t>条件触发</t>
        </is>
      </c>
      <c r="P1560" s="9" t="inlineStr">
        <is>
          <t>triggered</t>
        </is>
      </c>
      <c r="Q1560" s="9" t="inlineStr">
        <is>
          <t>条件触发：每次使用符箓时，获得 10 点体力</t>
        </is>
      </c>
      <c r="R1560" s="9" t="inlineStr">
        <is>
          <t>scripture_spell</t>
        </is>
      </c>
      <c r="S1560" s="9" t="inlineStr">
        <is>
          <t>一缕法息没入青旗，旗面几何纹路随之微明。</t>
        </is>
      </c>
      <c r="T1560" s="8" t="inlineStr">
        <is>
          <t>spell_fuxi_1x1</t>
        </is>
      </c>
      <c r="U1560" s="8" t="inlineStr">
        <is>
          <t>allowed</t>
        </is>
      </c>
    </row>
    <row r="1561" ht="34" customHeight="1">
      <c r="A1561" s="8" t="n">
        <v>1560</v>
      </c>
      <c r="B1561" s="8" t="n">
        <v>800124</v>
      </c>
      <c r="C1561" s="8" t="inlineStr">
        <is>
          <t>法入地脉</t>
        </is>
      </c>
      <c r="D1561" s="8" t="inlineStr">
        <is>
          <t>招式</t>
        </is>
      </c>
      <c r="E1561" s="8" t="inlineStr">
        <is>
          <t>spell</t>
        </is>
      </c>
      <c r="F1561" s="8" t="inlineStr">
        <is>
          <t>common</t>
        </is>
      </c>
      <c r="G1561" s="8" t="inlineStr">
        <is>
          <t>土</t>
        </is>
      </c>
      <c r="H1561" s="8" t="inlineStr">
        <is>
          <t>earth</t>
        </is>
      </c>
      <c r="I1561" s="8" t="inlineStr">
        <is>
          <t>1×1</t>
        </is>
      </c>
      <c r="J1561" s="8" t="n">
        <v>1</v>
      </c>
      <c r="K1561" s="8" t="inlineStr"/>
      <c r="L1561" s="8" t="inlineStr">
        <is>
          <t>否</t>
        </is>
      </c>
      <c r="M1561" s="9" t="inlineStr"/>
      <c r="N1561" s="8" t="n">
        <v>1</v>
      </c>
      <c r="O1561" s="9" t="inlineStr">
        <is>
          <t>条件触发</t>
        </is>
      </c>
      <c r="P1561" s="9" t="inlineStr">
        <is>
          <t>triggered</t>
        </is>
      </c>
      <c r="Q1561" s="9" t="inlineStr">
        <is>
          <t>条件触发：每次使用符箓时，获得 3 层蓄势</t>
        </is>
      </c>
      <c r="R1561" s="9" t="inlineStr">
        <is>
          <t>scripture_spell</t>
        </is>
      </c>
      <c r="S1561" s="9" t="inlineStr">
        <is>
          <t>法力沿掌心落入地脉，青石阵线被逐段点亮。</t>
        </is>
      </c>
      <c r="T1561" s="8" t="inlineStr">
        <is>
          <t>spell_fa_ru_dimai_1x1</t>
        </is>
      </c>
      <c r="U1561" s="8" t="inlineStr">
        <is>
          <t>allowed</t>
        </is>
      </c>
    </row>
    <row r="1562" ht="34" customHeight="1">
      <c r="A1562" s="8" t="n">
        <v>1561</v>
      </c>
      <c r="B1562" s="8" t="n">
        <v>800125</v>
      </c>
      <c r="C1562" s="8" t="inlineStr">
        <is>
          <t>青阙阵位</t>
        </is>
      </c>
      <c r="D1562" s="8" t="inlineStr">
        <is>
          <t>招式</t>
        </is>
      </c>
      <c r="E1562" s="8" t="inlineStr">
        <is>
          <t>spell</t>
        </is>
      </c>
      <c r="F1562" s="8" t="inlineStr">
        <is>
          <t>common</t>
        </is>
      </c>
      <c r="G1562" s="8" t="inlineStr">
        <is>
          <t>土</t>
        </is>
      </c>
      <c r="H1562" s="8" t="inlineStr">
        <is>
          <t>earth</t>
        </is>
      </c>
      <c r="I1562" s="8" t="inlineStr">
        <is>
          <t>2×2</t>
        </is>
      </c>
      <c r="J1562" s="8" t="n">
        <v>4</v>
      </c>
      <c r="K1562" s="8" t="inlineStr"/>
      <c r="L1562" s="8" t="inlineStr">
        <is>
          <t>否</t>
        </is>
      </c>
      <c r="M1562" s="9" t="inlineStr"/>
      <c r="N1562" s="8" t="n">
        <v>1</v>
      </c>
      <c r="O1562" s="9" t="inlineStr">
        <is>
          <t>说明/执行器</t>
        </is>
      </c>
      <c r="P1562" s="9" t="inlineStr">
        <is>
          <t>effectNote</t>
        </is>
      </c>
      <c r="Q1562" s="9" t="inlineStr">
        <is>
          <t>说明/执行器：当储物袋四角都是符箓时，对敌方造成 35 点伤害</t>
        </is>
      </c>
      <c r="R1562" s="9" t="inlineStr">
        <is>
          <t>scripture_spell</t>
        </is>
      </c>
      <c r="S1562" s="9" t="inlineStr">
        <is>
          <t>青旗立在石阵中央，阵位稳定，气机自成一格。</t>
        </is>
      </c>
      <c r="T1562" s="8" t="inlineStr">
        <is>
          <t>spell_qingque_zhenwei_2x2</t>
        </is>
      </c>
      <c r="U1562" s="8" t="inlineStr">
        <is>
          <t>allowed</t>
        </is>
      </c>
    </row>
    <row r="1563" ht="34" customHeight="1">
      <c r="A1563" s="8" t="n">
        <v>1562</v>
      </c>
      <c r="B1563" s="8" t="n">
        <v>800126</v>
      </c>
      <c r="C1563" s="8" t="inlineStr">
        <is>
          <t>旗影护身</t>
        </is>
      </c>
      <c r="D1563" s="8" t="inlineStr">
        <is>
          <t>招式</t>
        </is>
      </c>
      <c r="E1563" s="8" t="inlineStr">
        <is>
          <t>spell</t>
        </is>
      </c>
      <c r="F1563" s="8" t="inlineStr">
        <is>
          <t>common</t>
        </is>
      </c>
      <c r="G1563" s="8" t="inlineStr">
        <is>
          <t>土</t>
        </is>
      </c>
      <c r="H1563" s="8" t="inlineStr">
        <is>
          <t>earth</t>
        </is>
      </c>
      <c r="I1563" s="8" t="inlineStr">
        <is>
          <t>2×2</t>
        </is>
      </c>
      <c r="J1563" s="8" t="n">
        <v>4</v>
      </c>
      <c r="K1563" s="8" t="inlineStr"/>
      <c r="L1563" s="8" t="inlineStr">
        <is>
          <t>否</t>
        </is>
      </c>
      <c r="M1563" s="9" t="inlineStr"/>
      <c r="N1563" s="8" t="n">
        <v>1</v>
      </c>
      <c r="O1563" s="9" t="inlineStr">
        <is>
          <t>周期触发</t>
        </is>
      </c>
      <c r="P1563" s="9" t="inlineStr">
        <is>
          <t>periodicPulse</t>
        </is>
      </c>
      <c r="Q1563" s="9" t="inlineStr">
        <is>
          <t>周期触发：轮转时，每有 1 个相邻符箓，获得 3 层护甲</t>
        </is>
      </c>
      <c r="R1563" s="9" t="inlineStr">
        <is>
          <t>scripture_spell</t>
        </is>
      </c>
      <c r="S1563" s="9" t="inlineStr">
        <is>
          <t>青旗影幕垂落身前，替施术者挡住外来冲击。</t>
        </is>
      </c>
      <c r="T1563" s="8" t="inlineStr">
        <is>
          <t>spell_qiying_hushen_2x2</t>
        </is>
      </c>
      <c r="U1563" s="8" t="inlineStr">
        <is>
          <t>allowed</t>
        </is>
      </c>
    </row>
    <row r="1564" ht="34" customHeight="1">
      <c r="A1564" s="8" t="n">
        <v>1563</v>
      </c>
      <c r="B1564" s="8" t="n">
        <v>800127</v>
      </c>
      <c r="C1564" s="8" t="inlineStr">
        <is>
          <t>横旗行气</t>
        </is>
      </c>
      <c r="D1564" s="8" t="inlineStr">
        <is>
          <t>招式</t>
        </is>
      </c>
      <c r="E1564" s="8" t="inlineStr">
        <is>
          <t>spell</t>
        </is>
      </c>
      <c r="F1564" s="8" t="inlineStr">
        <is>
          <t>common</t>
        </is>
      </c>
      <c r="G1564" s="8" t="inlineStr">
        <is>
          <t>土</t>
        </is>
      </c>
      <c r="H1564" s="8" t="inlineStr">
        <is>
          <t>earth</t>
        </is>
      </c>
      <c r="I1564" s="8" t="inlineStr">
        <is>
          <t>2×1</t>
        </is>
      </c>
      <c r="J1564" s="8" t="n">
        <v>2</v>
      </c>
      <c r="K1564" s="8" t="inlineStr"/>
      <c r="L1564" s="8" t="inlineStr">
        <is>
          <t>否</t>
        </is>
      </c>
      <c r="M1564" s="9" t="inlineStr"/>
      <c r="N1564" s="8" t="n">
        <v>1</v>
      </c>
      <c r="O1564" s="9" t="inlineStr">
        <is>
          <t>说明/执行器</t>
        </is>
      </c>
      <c r="P1564" s="9" t="inlineStr">
        <is>
          <t>effectNote</t>
        </is>
      </c>
      <c r="Q1564" s="9" t="inlineStr">
        <is>
          <t>说明/执行器：长按释放，消耗 20 点法力，使用右侧相邻符箓，并使其效果额外激发一次</t>
        </is>
      </c>
      <c r="R1564" s="9" t="inlineStr">
        <is>
          <t>scripture_spell</t>
        </is>
      </c>
      <c r="S1564" s="9" t="inlineStr">
        <is>
          <t>长旗横展，法力沿旗面向前推行，最后归入地脉。</t>
        </is>
      </c>
      <c r="T1564" s="8" t="inlineStr">
        <is>
          <t>spell_hengqi_xingqi_2x1</t>
        </is>
      </c>
      <c r="U1564" s="8" t="inlineStr">
        <is>
          <t>allowed</t>
        </is>
      </c>
    </row>
    <row r="1565" ht="34" customHeight="1">
      <c r="A1565" s="8" t="n">
        <v>1564</v>
      </c>
      <c r="B1565" s="8" t="n">
        <v>800128</v>
      </c>
      <c r="C1565" s="8" t="inlineStr">
        <is>
          <t>符旗归修</t>
        </is>
      </c>
      <c r="D1565" s="8" t="inlineStr">
        <is>
          <t>招式</t>
        </is>
      </c>
      <c r="E1565" s="8" t="inlineStr">
        <is>
          <t>spell</t>
        </is>
      </c>
      <c r="F1565" s="8" t="inlineStr">
        <is>
          <t>common</t>
        </is>
      </c>
      <c r="G1565" s="8" t="inlineStr">
        <is>
          <t>土</t>
        </is>
      </c>
      <c r="H1565" s="8" t="inlineStr">
        <is>
          <t>earth</t>
        </is>
      </c>
      <c r="I1565" s="8" t="inlineStr">
        <is>
          <t>3×3</t>
        </is>
      </c>
      <c r="J1565" s="8" t="n">
        <v>9</v>
      </c>
      <c r="K1565" s="8" t="inlineStr"/>
      <c r="L1565" s="8" t="inlineStr">
        <is>
          <t>否</t>
        </is>
      </c>
      <c r="M1565" s="9" t="inlineStr"/>
      <c r="N1565" s="8" t="n">
        <v>1</v>
      </c>
      <c r="O1565" s="9" t="inlineStr">
        <is>
          <t>被动效果</t>
        </is>
      </c>
      <c r="P1565" s="9" t="inlineStr">
        <is>
          <t>passive</t>
        </is>
      </c>
      <c r="Q1565" s="9" t="inlineStr">
        <is>
          <t>被动效果：如果储物袋中有不少于 8 种不同符箓，青阙符旗诀获得修为 +50%；青阙符旗诀获得修为 +50%</t>
        </is>
      </c>
      <c r="R1565" s="9" t="inlineStr">
        <is>
          <t>scripture_spell</t>
        </is>
      </c>
      <c r="S1565" s="9" t="inlineStr">
        <is>
          <t>青旗与地脉同时收光，将一缕法力炼成修行进境。</t>
        </is>
      </c>
      <c r="T1565" s="8" t="inlineStr">
        <is>
          <t>spell_fuqi_guixiu_3x3</t>
        </is>
      </c>
      <c r="U1565" s="8" t="inlineStr">
        <is>
          <t>allowed</t>
        </is>
      </c>
    </row>
    <row r="1566" ht="34" customHeight="1">
      <c r="A1566" s="8" t="n">
        <v>1565</v>
      </c>
      <c r="B1566" s="8" t="n">
        <v>800129</v>
      </c>
      <c r="C1566" s="8" t="inlineStr">
        <is>
          <t>调息</t>
        </is>
      </c>
      <c r="D1566" s="8" t="inlineStr">
        <is>
          <t>招式</t>
        </is>
      </c>
      <c r="E1566" s="8" t="inlineStr">
        <is>
          <t>spell</t>
        </is>
      </c>
      <c r="F1566" s="8" t="inlineStr">
        <is>
          <t>common</t>
        </is>
      </c>
      <c r="G1566" s="8" t="inlineStr">
        <is>
          <t>水</t>
        </is>
      </c>
      <c r="H1566" s="8" t="inlineStr">
        <is>
          <t>water</t>
        </is>
      </c>
      <c r="I1566" s="8" t="inlineStr">
        <is>
          <t>1×1</t>
        </is>
      </c>
      <c r="J1566" s="8" t="n">
        <v>1</v>
      </c>
      <c r="K1566" s="8" t="inlineStr"/>
      <c r="L1566" s="8" t="inlineStr">
        <is>
          <t>是</t>
        </is>
      </c>
      <c r="M1566" s="9" t="inlineStr">
        <is>
          <t>scriptureSpellReward</t>
        </is>
      </c>
      <c r="N1566" s="8" t="n">
        <v>1</v>
      </c>
      <c r="O1566" s="9" t="inlineStr">
        <is>
          <t>被动效果</t>
        </is>
      </c>
      <c r="P1566" s="9" t="inlineStr">
        <is>
          <t>passive</t>
        </is>
      </c>
      <c r="Q1566" s="9" t="inlineStr">
        <is>
          <t>被动效果：露水恢复属性时，如果该属性低于 30%，恢复效果翻倍</t>
        </is>
      </c>
      <c r="R1566" s="9" t="inlineStr">
        <is>
          <t>scripture_spell</t>
        </is>
      </c>
      <c r="S1566" s="9" t="inlineStr">
        <is>
          <t>一圈清息在胸前缓缓成形，体力与法力都随之平稳。</t>
        </is>
      </c>
      <c r="T1566" s="8" t="inlineStr">
        <is>
          <t>spell_tiaoxi_1x1</t>
        </is>
      </c>
      <c r="U1566" s="8" t="inlineStr">
        <is>
          <t>allowed</t>
        </is>
      </c>
    </row>
    <row r="1567" ht="34" customHeight="1">
      <c r="A1567" s="8" t="n">
        <v>1566</v>
      </c>
      <c r="B1567" s="8" t="n">
        <v>800130</v>
      </c>
      <c r="C1567" s="8" t="inlineStr">
        <is>
          <t>静水</t>
        </is>
      </c>
      <c r="D1567" s="8" t="inlineStr">
        <is>
          <t>招式</t>
        </is>
      </c>
      <c r="E1567" s="8" t="inlineStr">
        <is>
          <t>spell</t>
        </is>
      </c>
      <c r="F1567" s="8" t="inlineStr">
        <is>
          <t>common</t>
        </is>
      </c>
      <c r="G1567" s="8" t="inlineStr">
        <is>
          <t>水</t>
        </is>
      </c>
      <c r="H1567" s="8" t="inlineStr">
        <is>
          <t>water</t>
        </is>
      </c>
      <c r="I1567" s="8" t="inlineStr">
        <is>
          <t>1×1</t>
        </is>
      </c>
      <c r="J1567" s="8" t="n">
        <v>1</v>
      </c>
      <c r="K1567" s="8" t="inlineStr"/>
      <c r="L1567" s="8" t="inlineStr">
        <is>
          <t>是</t>
        </is>
      </c>
      <c r="M1567" s="9" t="inlineStr">
        <is>
          <t>scriptureSpellReward</t>
        </is>
      </c>
      <c r="N1567" s="8" t="n">
        <v>1</v>
      </c>
      <c r="O1567" s="9" t="inlineStr">
        <is>
          <t>说明/执行器</t>
        </is>
      </c>
      <c r="P1567" s="9" t="inlineStr">
        <is>
          <t>effectNote</t>
        </is>
      </c>
      <c r="Q1567" s="9" t="inlineStr">
        <is>
          <t>说明/执行器：长按释放，如果露水层数为 0，获得 15 层露水</t>
        </is>
      </c>
      <c r="R1567" s="9" t="inlineStr">
        <is>
          <t>scripture_spell</t>
        </is>
      </c>
      <c r="S1567" s="9" t="inlineStr">
        <is>
          <t>指尖落在静水之上，水纹一圈圈安定气机。</t>
        </is>
      </c>
      <c r="T1567" s="8" t="inlineStr">
        <is>
          <t>spell_jingshui_1x1</t>
        </is>
      </c>
      <c r="U1567" s="8" t="inlineStr">
        <is>
          <t>allowed</t>
        </is>
      </c>
    </row>
    <row r="1568" ht="34" customHeight="1">
      <c r="A1568" s="8" t="n">
        <v>1567</v>
      </c>
      <c r="B1568" s="8" t="n">
        <v>800131</v>
      </c>
      <c r="C1568" s="8" t="inlineStr">
        <is>
          <t>回气</t>
        </is>
      </c>
      <c r="D1568" s="8" t="inlineStr">
        <is>
          <t>招式</t>
        </is>
      </c>
      <c r="E1568" s="8" t="inlineStr">
        <is>
          <t>spell</t>
        </is>
      </c>
      <c r="F1568" s="8" t="inlineStr">
        <is>
          <t>common</t>
        </is>
      </c>
      <c r="G1568" s="8" t="inlineStr">
        <is>
          <t>水</t>
        </is>
      </c>
      <c r="H1568" s="8" t="inlineStr">
        <is>
          <t>water</t>
        </is>
      </c>
      <c r="I1568" s="8" t="inlineStr">
        <is>
          <t>1×1</t>
        </is>
      </c>
      <c r="J1568" s="8" t="n">
        <v>1</v>
      </c>
      <c r="K1568" s="8" t="inlineStr"/>
      <c r="L1568" s="8" t="inlineStr">
        <is>
          <t>是</t>
        </is>
      </c>
      <c r="M1568" s="9" t="inlineStr">
        <is>
          <t>scriptureSpellReward</t>
        </is>
      </c>
      <c r="N1568" s="8" t="n">
        <v>1</v>
      </c>
      <c r="O1568" s="9" t="inlineStr">
        <is>
          <t>说明/执行器</t>
        </is>
      </c>
      <c r="P1568" s="9" t="inlineStr">
        <is>
          <t>effectNote</t>
        </is>
      </c>
      <c r="Q1568" s="9" t="inlineStr">
        <is>
          <t>说明/执行器：长按释放，消耗 5 层露水，获得 10 点体力和 10 点法力</t>
        </is>
      </c>
      <c r="R1568" s="9" t="inlineStr">
        <is>
          <t>scripture_spell</t>
        </is>
      </c>
      <c r="S1568" s="9" t="inlineStr">
        <is>
          <t>体力与法力两点清光同时归府，久战之息不乱。</t>
        </is>
      </c>
      <c r="T1568" s="8" t="inlineStr">
        <is>
          <t>spell_huiqi_1x1</t>
        </is>
      </c>
      <c r="U1568" s="8" t="inlineStr">
        <is>
          <t>allowed</t>
        </is>
      </c>
    </row>
    <row r="1569" ht="34" customHeight="1">
      <c r="A1569" s="8" t="n">
        <v>1568</v>
      </c>
      <c r="B1569" s="8" t="n">
        <v>800132</v>
      </c>
      <c r="C1569" s="8" t="inlineStr">
        <is>
          <t>水月护心</t>
        </is>
      </c>
      <c r="D1569" s="8" t="inlineStr">
        <is>
          <t>招式</t>
        </is>
      </c>
      <c r="E1569" s="8" t="inlineStr">
        <is>
          <t>spell</t>
        </is>
      </c>
      <c r="F1569" s="8" t="inlineStr">
        <is>
          <t>common</t>
        </is>
      </c>
      <c r="G1569" s="8" t="inlineStr">
        <is>
          <t>水</t>
        </is>
      </c>
      <c r="H1569" s="8" t="inlineStr">
        <is>
          <t>water</t>
        </is>
      </c>
      <c r="I1569" s="8" t="inlineStr">
        <is>
          <t>2×2</t>
        </is>
      </c>
      <c r="J1569" s="8" t="n">
        <v>4</v>
      </c>
      <c r="K1569" s="8" t="inlineStr"/>
      <c r="L1569" s="8" t="inlineStr">
        <is>
          <t>是</t>
        </is>
      </c>
      <c r="M1569" s="9" t="inlineStr">
        <is>
          <t>scriptureSpellReward</t>
        </is>
      </c>
      <c r="N1569" s="8" t="n">
        <v>1</v>
      </c>
      <c r="O1569" s="9" t="inlineStr">
        <is>
          <t>周期触发</t>
        </is>
      </c>
      <c r="P1569" s="9" t="inlineStr">
        <is>
          <t>periodicPulse</t>
        </is>
      </c>
      <c r="Q1569" s="9" t="inlineStr">
        <is>
          <t>周期触发：轮转时，当露水满层时，获得 3 层护甲</t>
        </is>
      </c>
      <c r="R1569" s="9" t="inlineStr">
        <is>
          <t>scripture_spell</t>
        </is>
      </c>
      <c r="S1569" s="9" t="inlineStr">
        <is>
          <t>静水映月成盾，护住心神与呼吸的节律。</t>
        </is>
      </c>
      <c r="T1569" s="8" t="inlineStr">
        <is>
          <t>spell_shuiyue_huxin_2x2</t>
        </is>
      </c>
      <c r="U1569" s="8" t="inlineStr">
        <is>
          <t>allowed</t>
        </is>
      </c>
    </row>
    <row r="1570" ht="34" customHeight="1">
      <c r="A1570" s="8" t="n">
        <v>1569</v>
      </c>
      <c r="B1570" s="8" t="n">
        <v>800133</v>
      </c>
      <c r="C1570" s="8" t="inlineStr">
        <is>
          <t>双息归元</t>
        </is>
      </c>
      <c r="D1570" s="8" t="inlineStr">
        <is>
          <t>招式</t>
        </is>
      </c>
      <c r="E1570" s="8" t="inlineStr">
        <is>
          <t>spell</t>
        </is>
      </c>
      <c r="F1570" s="8" t="inlineStr">
        <is>
          <t>common</t>
        </is>
      </c>
      <c r="G1570" s="8" t="inlineStr">
        <is>
          <t>水</t>
        </is>
      </c>
      <c r="H1570" s="8" t="inlineStr">
        <is>
          <t>water</t>
        </is>
      </c>
      <c r="I1570" s="8" t="inlineStr">
        <is>
          <t>2×2</t>
        </is>
      </c>
      <c r="J1570" s="8" t="n">
        <v>4</v>
      </c>
      <c r="K1570" s="8" t="inlineStr"/>
      <c r="L1570" s="8" t="inlineStr">
        <is>
          <t>是</t>
        </is>
      </c>
      <c r="M1570" s="9" t="inlineStr">
        <is>
          <t>scriptureSpellReward</t>
        </is>
      </c>
      <c r="N1570" s="8" t="n">
        <v>1</v>
      </c>
      <c r="O1570" s="9" t="inlineStr">
        <is>
          <t>被动效果</t>
        </is>
      </c>
      <c r="P1570" s="9" t="inlineStr">
        <is>
          <t>passive</t>
        </is>
      </c>
      <c r="Q1570" s="9" t="inlineStr">
        <is>
          <t>被动效果：当气血为满时，露水的恢复效果翻倍</t>
        </is>
      </c>
      <c r="R1570" s="9" t="inlineStr">
        <is>
          <t>scripture_spell</t>
        </is>
      </c>
      <c r="S1570" s="9" t="inlineStr">
        <is>
          <t>青蓝两息并行归入丹府，一补体力，一养法力。</t>
        </is>
      </c>
      <c r="T1570" s="8" t="inlineStr">
        <is>
          <t>spell_shuangxi_guiyuan_2x2</t>
        </is>
      </c>
      <c r="U1570" s="8" t="inlineStr">
        <is>
          <t>allowed</t>
        </is>
      </c>
    </row>
    <row r="1571" ht="34" customHeight="1">
      <c r="A1571" s="8" t="n">
        <v>1570</v>
      </c>
      <c r="B1571" s="8" t="n">
        <v>800134</v>
      </c>
      <c r="C1571" s="8" t="inlineStr">
        <is>
          <t>横波调息</t>
        </is>
      </c>
      <c r="D1571" s="8" t="inlineStr">
        <is>
          <t>招式</t>
        </is>
      </c>
      <c r="E1571" s="8" t="inlineStr">
        <is>
          <t>spell</t>
        </is>
      </c>
      <c r="F1571" s="8" t="inlineStr">
        <is>
          <t>common</t>
        </is>
      </c>
      <c r="G1571" s="8" t="inlineStr">
        <is>
          <t>水</t>
        </is>
      </c>
      <c r="H1571" s="8" t="inlineStr">
        <is>
          <t>water</t>
        </is>
      </c>
      <c r="I1571" s="8" t="inlineStr">
        <is>
          <t>2×1</t>
        </is>
      </c>
      <c r="J1571" s="8" t="n">
        <v>2</v>
      </c>
      <c r="K1571" s="8" t="inlineStr"/>
      <c r="L1571" s="8" t="inlineStr">
        <is>
          <t>是</t>
        </is>
      </c>
      <c r="M1571" s="9" t="inlineStr">
        <is>
          <t>scriptureSpellReward</t>
        </is>
      </c>
      <c r="N1571" s="8" t="n">
        <v>1</v>
      </c>
      <c r="O1571" s="9" t="inlineStr">
        <is>
          <t>周期触发</t>
        </is>
      </c>
      <c r="P1571" s="9" t="inlineStr">
        <is>
          <t>periodicPulse</t>
        </is>
      </c>
      <c r="Q1571" s="9" t="inlineStr">
        <is>
          <t>周期触发：轮转时，如果体力、法力全满，消耗最多 20 点体力和最多 20 点法力，获得 20 层露水</t>
        </is>
      </c>
      <c r="R1571" s="9" t="inlineStr">
        <is>
          <t>scripture_spell</t>
        </is>
      </c>
      <c r="S1571" s="9" t="inlineStr">
        <is>
          <t>一道横波缓缓推过，呼吸随水纹重新归稳。</t>
        </is>
      </c>
      <c r="T1571" s="8" t="inlineStr">
        <is>
          <t>spell_hengbo_tiaoxi_2x1</t>
        </is>
      </c>
      <c r="U1571" s="8" t="inlineStr">
        <is>
          <t>allowed</t>
        </is>
      </c>
    </row>
    <row r="1572" ht="34" customHeight="1">
      <c r="A1572" s="8" t="n">
        <v>1571</v>
      </c>
      <c r="B1572" s="8" t="n">
        <v>800135</v>
      </c>
      <c r="C1572" s="8" t="inlineStr">
        <is>
          <t>月照长息</t>
        </is>
      </c>
      <c r="D1572" s="8" t="inlineStr">
        <is>
          <t>招式</t>
        </is>
      </c>
      <c r="E1572" s="8" t="inlineStr">
        <is>
          <t>spell</t>
        </is>
      </c>
      <c r="F1572" s="8" t="inlineStr">
        <is>
          <t>common</t>
        </is>
      </c>
      <c r="G1572" s="8" t="inlineStr">
        <is>
          <t>水</t>
        </is>
      </c>
      <c r="H1572" s="8" t="inlineStr">
        <is>
          <t>water</t>
        </is>
      </c>
      <c r="I1572" s="8" t="inlineStr">
        <is>
          <t>3×3</t>
        </is>
      </c>
      <c r="J1572" s="8" t="n">
        <v>9</v>
      </c>
      <c r="K1572" s="8" t="inlineStr"/>
      <c r="L1572" s="8" t="inlineStr">
        <is>
          <t>是</t>
        </is>
      </c>
      <c r="M1572" s="9" t="inlineStr">
        <is>
          <t>scriptureSpellReward</t>
        </is>
      </c>
      <c r="N1572" s="8" t="n">
        <v>1</v>
      </c>
      <c r="O1572" s="9" t="inlineStr">
        <is>
          <t>被动效果</t>
        </is>
      </c>
      <c r="P1572" s="9" t="inlineStr">
        <is>
          <t>passive</t>
        </is>
      </c>
      <c r="Q1572" s="9" t="inlineStr">
        <is>
          <t>被动效果：露水只会恢复当前数值最低的属性</t>
        </is>
      </c>
      <c r="R1572" s="9" t="inlineStr">
        <is>
          <t>scripture_spell</t>
        </is>
      </c>
      <c r="S1572" s="9" t="inlineStr">
        <is>
          <t>月影照在静水之上，长息不绝，体法皆回。</t>
        </is>
      </c>
      <c r="T1572" s="8" t="inlineStr">
        <is>
          <t>spell_yuezhao_changxi_3x3</t>
        </is>
      </c>
      <c r="U1572" s="8" t="inlineStr">
        <is>
          <t>allowed</t>
        </is>
      </c>
    </row>
    <row r="1573" ht="34" customHeight="1">
      <c r="A1573" s="8" t="n">
        <v>1572</v>
      </c>
      <c r="B1573" s="8" t="n">
        <v>800136</v>
      </c>
      <c r="C1573" s="8" t="inlineStr">
        <is>
          <t>映月冰锥术</t>
        </is>
      </c>
      <c r="D1573" s="8" t="inlineStr">
        <is>
          <t>招式</t>
        </is>
      </c>
      <c r="E1573" s="8" t="inlineStr">
        <is>
          <t>spell</t>
        </is>
      </c>
      <c r="F1573" s="8" t="inlineStr">
        <is>
          <t>common</t>
        </is>
      </c>
      <c r="G1573" s="8" t="inlineStr">
        <is>
          <t>冰</t>
        </is>
      </c>
      <c r="H1573" s="8" t="inlineStr">
        <is>
          <t>ice</t>
        </is>
      </c>
      <c r="I1573" s="8" t="inlineStr">
        <is>
          <t>1×2</t>
        </is>
      </c>
      <c r="J1573" s="8" t="n">
        <v>2</v>
      </c>
      <c r="K1573" s="8" t="inlineStr"/>
      <c r="L1573" s="8" t="inlineStr">
        <is>
          <t>否</t>
        </is>
      </c>
      <c r="M1573" s="9" t="inlineStr"/>
      <c r="N1573" s="8" t="n">
        <v>1</v>
      </c>
      <c r="O1573" s="9" t="inlineStr">
        <is>
          <t>说明/执行器</t>
        </is>
      </c>
      <c r="P1573" s="9" t="inlineStr">
        <is>
          <t>effectNote</t>
        </is>
      </c>
      <c r="Q1573" s="9" t="inlineStr">
        <is>
          <t>说明/执行器：长按释放，消耗 1 点法力，造成 14 点伤害，并使敌方随机 3 件道具减速 2 秒；和水属性功法相邻时，效果翻倍</t>
        </is>
      </c>
      <c r="R1573" s="9" t="inlineStr">
        <is>
          <t>scripture_spell</t>
        </is>
      </c>
      <c r="S1573" s="9" t="inlineStr">
        <is>
          <t>沈映月将水月寒意压入锥锋，冷光凝练得近乎无声，出手时只余一道刺骨月痕。</t>
        </is>
      </c>
      <c r="T1573" s="8" t="inlineStr">
        <is>
          <t>spell_yingyue_bingzhui_shu_1x2</t>
        </is>
      </c>
      <c r="U1573" s="8" t="inlineStr">
        <is>
          <t>allowed</t>
        </is>
      </c>
    </row>
    <row r="1574" ht="34" customHeight="1">
      <c r="A1574" s="8" t="n">
        <v>1573</v>
      </c>
      <c r="B1574" s="8" t="n">
        <v>800137</v>
      </c>
      <c r="C1574" s="8" t="inlineStr">
        <is>
          <t>映月暴风雪</t>
        </is>
      </c>
      <c r="D1574" s="8" t="inlineStr">
        <is>
          <t>招式</t>
        </is>
      </c>
      <c r="E1574" s="8" t="inlineStr">
        <is>
          <t>spell</t>
        </is>
      </c>
      <c r="F1574" s="8" t="inlineStr">
        <is>
          <t>common</t>
        </is>
      </c>
      <c r="G1574" s="8" t="inlineStr">
        <is>
          <t>冰</t>
        </is>
      </c>
      <c r="H1574" s="8" t="inlineStr">
        <is>
          <t>ice</t>
        </is>
      </c>
      <c r="I1574" s="8" t="inlineStr">
        <is>
          <t>2×2</t>
        </is>
      </c>
      <c r="J1574" s="8" t="n">
        <v>4</v>
      </c>
      <c r="K1574" s="8" t="inlineStr"/>
      <c r="L1574" s="8" t="inlineStr">
        <is>
          <t>否</t>
        </is>
      </c>
      <c r="M1574" s="9" t="inlineStr"/>
      <c r="N1574" s="8" t="n">
        <v>1</v>
      </c>
      <c r="O1574" s="9" t="inlineStr">
        <is>
          <t>说明/执行器</t>
        </is>
      </c>
      <c r="P1574" s="9" t="inlineStr">
        <is>
          <t>effectNote</t>
        </is>
      </c>
      <c r="Q1574" s="9" t="inlineStr">
        <is>
          <t>说明/执行器：长按释放，消耗 8 点法力，造成 20 点伤害，并使敌方随机 5 件道具减速 5 秒；和水属性功法相邻时，伤害翻倍</t>
        </is>
      </c>
      <c r="R1574" s="9" t="inlineStr">
        <is>
          <t>scripture_spell</t>
        </is>
      </c>
      <c r="S1574" s="9" t="inlineStr">
        <is>
          <t>沈映月引动别院深处积寒，风雪如月潮层层合拢，将交手之地压入一片冷寂。</t>
        </is>
      </c>
      <c r="T1574" s="8" t="inlineStr">
        <is>
          <t>spell_yingyue_baofengxue_2x2</t>
        </is>
      </c>
      <c r="U1574" s="8" t="inlineStr">
        <is>
          <t>allowed</t>
        </is>
      </c>
    </row>
    <row r="1575" ht="34" customHeight="1">
      <c r="A1575" s="8" t="n">
        <v>1574</v>
      </c>
      <c r="B1575" s="8" t="n">
        <v>800138</v>
      </c>
      <c r="C1575" s="8" t="inlineStr">
        <is>
          <t>引金</t>
        </is>
      </c>
      <c r="D1575" s="8" t="inlineStr">
        <is>
          <t>招式</t>
        </is>
      </c>
      <c r="E1575" s="8" t="inlineStr">
        <is>
          <t>spell</t>
        </is>
      </c>
      <c r="F1575" s="8" t="inlineStr">
        <is>
          <t>common</t>
        </is>
      </c>
      <c r="G1575" s="8" t="inlineStr">
        <is>
          <t>金</t>
        </is>
      </c>
      <c r="H1575" s="8" t="inlineStr">
        <is>
          <t>metal</t>
        </is>
      </c>
      <c r="I1575" s="8" t="inlineStr">
        <is>
          <t>1×1</t>
        </is>
      </c>
      <c r="J1575" s="8" t="n">
        <v>1</v>
      </c>
      <c r="K1575" s="8" t="inlineStr"/>
      <c r="L1575" s="8" t="inlineStr">
        <is>
          <t>是</t>
        </is>
      </c>
      <c r="M1575" s="9" t="inlineStr">
        <is>
          <t>scriptureSpellReward</t>
        </is>
      </c>
      <c r="N1575" s="8" t="n">
        <v>1</v>
      </c>
      <c r="O1575" s="9" t="inlineStr">
        <is>
          <t>条件触发</t>
        </is>
      </c>
      <c r="P1575" s="9" t="inlineStr">
        <is>
          <t>triggered</t>
        </is>
      </c>
      <c r="Q1575" s="9" t="inlineStr">
        <is>
          <t>条件触发：相邻武器消耗法力时，获得等同于实际消耗量的凝金，单次最多 5 层</t>
        </is>
      </c>
      <c r="R1575" s="9" t="inlineStr">
        <is>
          <t>scripture_spell</t>
        </is>
      </c>
      <c r="S1575" s="9" t="inlineStr">
        <is>
          <t>指诀轻引，邻刃逸散的法力化作细碎金屑，汇入掌中。</t>
        </is>
      </c>
      <c r="T1575" s="8" t="inlineStr">
        <is>
          <t>spell_jinren_yinjin_1x1</t>
        </is>
      </c>
      <c r="U1575" s="8" t="inlineStr">
        <is>
          <t>allowed</t>
        </is>
      </c>
    </row>
    <row r="1576" ht="34" customHeight="1">
      <c r="A1576" s="8" t="n">
        <v>1575</v>
      </c>
      <c r="B1576" s="8" t="n">
        <v>800139</v>
      </c>
      <c r="C1576" s="8" t="inlineStr">
        <is>
          <t>金刃</t>
        </is>
      </c>
      <c r="D1576" s="8" t="inlineStr">
        <is>
          <t>招式</t>
        </is>
      </c>
      <c r="E1576" s="8" t="inlineStr">
        <is>
          <t>spell</t>
        </is>
      </c>
      <c r="F1576" s="8" t="inlineStr">
        <is>
          <t>common</t>
        </is>
      </c>
      <c r="G1576" s="8" t="inlineStr">
        <is>
          <t>金</t>
        </is>
      </c>
      <c r="H1576" s="8" t="inlineStr">
        <is>
          <t>metal</t>
        </is>
      </c>
      <c r="I1576" s="8" t="inlineStr">
        <is>
          <t>1×1</t>
        </is>
      </c>
      <c r="J1576" s="8" t="n">
        <v>1</v>
      </c>
      <c r="K1576" s="8" t="inlineStr"/>
      <c r="L1576" s="8" t="inlineStr">
        <is>
          <t>是</t>
        </is>
      </c>
      <c r="M1576" s="9" t="inlineStr">
        <is>
          <t>scriptureSpellReward</t>
        </is>
      </c>
      <c r="N1576" s="8" t="n">
        <v>1</v>
      </c>
      <c r="O1576" s="9" t="inlineStr">
        <is>
          <t>说明/执行器</t>
        </is>
      </c>
      <c r="P1576" s="9" t="inlineStr">
        <is>
          <t>effectNote</t>
        </is>
      </c>
      <c r="Q1576" s="9" t="inlineStr">
        <is>
          <t>说明/执行器：长按释放，消耗 3 点法力和 3 层凝金，对敌方造成 15 点伤害</t>
        </is>
      </c>
      <c r="R1576" s="9" t="inlineStr">
        <is>
          <t>scripture_spell</t>
        </is>
      </c>
      <c r="S1576" s="9" t="inlineStr">
        <is>
          <t>凝金贴锋而走，一线锐光随挥斩迸出。</t>
        </is>
      </c>
      <c r="T1576" s="8" t="inlineStr">
        <is>
          <t>spell_jinren_jinren_1x1</t>
        </is>
      </c>
      <c r="U1576" s="8" t="inlineStr">
        <is>
          <t>allowed</t>
        </is>
      </c>
    </row>
    <row r="1577" ht="34" customHeight="1">
      <c r="A1577" s="8" t="n">
        <v>1576</v>
      </c>
      <c r="B1577" s="8" t="n">
        <v>800140</v>
      </c>
      <c r="C1577" s="8" t="inlineStr">
        <is>
          <t>回锋斩</t>
        </is>
      </c>
      <c r="D1577" s="8" t="inlineStr">
        <is>
          <t>招式</t>
        </is>
      </c>
      <c r="E1577" s="8" t="inlineStr">
        <is>
          <t>spell</t>
        </is>
      </c>
      <c r="F1577" s="8" t="inlineStr">
        <is>
          <t>common</t>
        </is>
      </c>
      <c r="G1577" s="8" t="inlineStr">
        <is>
          <t>金</t>
        </is>
      </c>
      <c r="H1577" s="8" t="inlineStr">
        <is>
          <t>metal</t>
        </is>
      </c>
      <c r="I1577" s="8" t="inlineStr">
        <is>
          <t>1×1</t>
        </is>
      </c>
      <c r="J1577" s="8" t="n">
        <v>1</v>
      </c>
      <c r="K1577" s="8" t="inlineStr"/>
      <c r="L1577" s="8" t="inlineStr">
        <is>
          <t>是</t>
        </is>
      </c>
      <c r="M1577" s="9" t="inlineStr">
        <is>
          <t>scriptureSpellReward</t>
        </is>
      </c>
      <c r="N1577" s="8" t="n">
        <v>1</v>
      </c>
      <c r="O1577" s="9" t="inlineStr">
        <is>
          <t>说明/执行器</t>
        </is>
      </c>
      <c r="P1577" s="9" t="inlineStr">
        <is>
          <t>effectNote</t>
        </is>
      </c>
      <c r="Q1577" s="9" t="inlineStr">
        <is>
          <t>说明/执行器：长按释放，消耗 12 层凝金，对敌方造成 3 次伤害，每次等于上一次武器造成的伤害</t>
        </is>
      </c>
      <c r="R1577" s="9" t="inlineStr">
        <is>
          <t>scripture_spell</t>
        </is>
      </c>
      <c r="S1577" s="9" t="inlineStr">
        <is>
          <t>刀势回卷，将上一击残留的锋意再度送入敌阵。</t>
        </is>
      </c>
      <c r="T1577" s="8" t="inlineStr">
        <is>
          <t>spell_jinren_huifengzhan_1x1</t>
        </is>
      </c>
      <c r="U1577" s="8" t="inlineStr">
        <is>
          <t>allowed</t>
        </is>
      </c>
    </row>
    <row r="1578" ht="34" customHeight="1">
      <c r="A1578" s="8" t="n">
        <v>1577</v>
      </c>
      <c r="B1578" s="8" t="n">
        <v>800141</v>
      </c>
      <c r="C1578" s="8" t="inlineStr">
        <is>
          <t>碎甲式</t>
        </is>
      </c>
      <c r="D1578" s="8" t="inlineStr">
        <is>
          <t>招式</t>
        </is>
      </c>
      <c r="E1578" s="8" t="inlineStr">
        <is>
          <t>spell</t>
        </is>
      </c>
      <c r="F1578" s="8" t="inlineStr">
        <is>
          <t>common</t>
        </is>
      </c>
      <c r="G1578" s="8" t="inlineStr">
        <is>
          <t>金</t>
        </is>
      </c>
      <c r="H1578" s="8" t="inlineStr">
        <is>
          <t>metal</t>
        </is>
      </c>
      <c r="I1578" s="8" t="inlineStr">
        <is>
          <t>1×1</t>
        </is>
      </c>
      <c r="J1578" s="8" t="n">
        <v>1</v>
      </c>
      <c r="K1578" s="8" t="inlineStr"/>
      <c r="L1578" s="8" t="inlineStr">
        <is>
          <t>是</t>
        </is>
      </c>
      <c r="M1578" s="9" t="inlineStr">
        <is>
          <t>scriptureSpellReward</t>
        </is>
      </c>
      <c r="N1578" s="8" t="n">
        <v>1</v>
      </c>
      <c r="O1578" s="9" t="inlineStr">
        <is>
          <t>说明/执行器</t>
        </is>
      </c>
      <c r="P1578" s="9" t="inlineStr">
        <is>
          <t>effectNote</t>
        </is>
      </c>
      <c r="Q1578" s="9" t="inlineStr">
        <is>
          <t>说明/执行器：长按释放，消耗 6 点法力，使武器造成实际伤害时额外移除敌方 2 层护甲，持续 10 秒</t>
        </is>
      </c>
      <c r="R1578" s="9" t="inlineStr">
        <is>
          <t>scripture_spell</t>
        </is>
      </c>
      <c r="S1578" s="9" t="inlineStr">
        <is>
          <t>金光贴着兵锋游走，专寻甲隙与护势薄弱之处。</t>
        </is>
      </c>
      <c r="T1578" s="8" t="inlineStr">
        <is>
          <t>spell_jinren_suijia_1x1</t>
        </is>
      </c>
      <c r="U1578" s="8" t="inlineStr">
        <is>
          <t>allowed</t>
        </is>
      </c>
    </row>
    <row r="1579" ht="34" customHeight="1">
      <c r="A1579" s="8" t="n">
        <v>1578</v>
      </c>
      <c r="B1579" s="8" t="n">
        <v>800142</v>
      </c>
      <c r="C1579" s="8" t="inlineStr">
        <is>
          <t>炼金回气法</t>
        </is>
      </c>
      <c r="D1579" s="8" t="inlineStr">
        <is>
          <t>招式</t>
        </is>
      </c>
      <c r="E1579" s="8" t="inlineStr">
        <is>
          <t>spell</t>
        </is>
      </c>
      <c r="F1579" s="8" t="inlineStr">
        <is>
          <t>common</t>
        </is>
      </c>
      <c r="G1579" s="8" t="inlineStr">
        <is>
          <t>金</t>
        </is>
      </c>
      <c r="H1579" s="8" t="inlineStr">
        <is>
          <t>metal</t>
        </is>
      </c>
      <c r="I1579" s="8" t="inlineStr">
        <is>
          <t>1×1</t>
        </is>
      </c>
      <c r="J1579" s="8" t="n">
        <v>1</v>
      </c>
      <c r="K1579" s="8" t="inlineStr"/>
      <c r="L1579" s="8" t="inlineStr">
        <is>
          <t>是</t>
        </is>
      </c>
      <c r="M1579" s="9" t="inlineStr">
        <is>
          <t>scriptureSpellReward</t>
        </is>
      </c>
      <c r="N1579" s="8" t="n">
        <v>1</v>
      </c>
      <c r="O1579" s="9" t="inlineStr">
        <is>
          <t>说明/执行器</t>
        </is>
      </c>
      <c r="P1579" s="9" t="inlineStr">
        <is>
          <t>effectNote</t>
        </is>
      </c>
      <c r="Q1579" s="9" t="inlineStr">
        <is>
          <t>说明/执行器：长按释放，将最多 12 层凝金转化为等量法力</t>
        </is>
      </c>
      <c r="R1579" s="9" t="inlineStr">
        <is>
          <t>scripture_spell</t>
        </is>
      </c>
      <c r="S1579" s="9" t="inlineStr">
        <is>
          <t>掌中金屑层层化开，凝滞的锋气重新回流经脉。</t>
        </is>
      </c>
      <c r="T1579" s="8" t="inlineStr">
        <is>
          <t>spell_jinren_lianjin_huiqi_1x1</t>
        </is>
      </c>
      <c r="U1579" s="8" t="inlineStr">
        <is>
          <t>allowed</t>
        </is>
      </c>
    </row>
    <row r="1580" ht="34" customHeight="1">
      <c r="A1580" s="8" t="n">
        <v>1579</v>
      </c>
      <c r="B1580" s="8" t="n">
        <v>800143</v>
      </c>
      <c r="C1580" s="8" t="inlineStr">
        <is>
          <t>金气贯锋术</t>
        </is>
      </c>
      <c r="D1580" s="8" t="inlineStr">
        <is>
          <t>招式</t>
        </is>
      </c>
      <c r="E1580" s="8" t="inlineStr">
        <is>
          <t>spell</t>
        </is>
      </c>
      <c r="F1580" s="8" t="inlineStr">
        <is>
          <t>common</t>
        </is>
      </c>
      <c r="G1580" s="8" t="inlineStr">
        <is>
          <t>金</t>
        </is>
      </c>
      <c r="H1580" s="8" t="inlineStr">
        <is>
          <t>metal</t>
        </is>
      </c>
      <c r="I1580" s="8" t="inlineStr">
        <is>
          <t>1×1</t>
        </is>
      </c>
      <c r="J1580" s="8" t="n">
        <v>1</v>
      </c>
      <c r="K1580" s="8" t="inlineStr"/>
      <c r="L1580" s="8" t="inlineStr">
        <is>
          <t>是</t>
        </is>
      </c>
      <c r="M1580" s="9" t="inlineStr">
        <is>
          <t>scriptureSpellReward</t>
        </is>
      </c>
      <c r="N1580" s="8" t="n">
        <v>1</v>
      </c>
      <c r="O1580" s="9" t="inlineStr">
        <is>
          <t>说明/执行器</t>
        </is>
      </c>
      <c r="P1580" s="9" t="inlineStr">
        <is>
          <t>effectNote</t>
        </is>
      </c>
      <c r="Q1580" s="9" t="inlineStr">
        <is>
          <t>说明/执行器：长按释放，消耗 8 点法力和 8 层凝金，对敌方造成 18 点无视护甲的伤害</t>
        </is>
      </c>
      <c r="R1580" s="9" t="inlineStr">
        <is>
          <t>scripture_spell</t>
        </is>
      </c>
      <c r="S1580" s="9" t="inlineStr">
        <is>
          <t>法力与凝金一并灌入锋刃，金气自刃尖贯穿而出。</t>
        </is>
      </c>
      <c r="T1580" s="8" t="inlineStr">
        <is>
          <t>spell_jinren_jinqi_guanfen_1x1</t>
        </is>
      </c>
      <c r="U1580" s="8" t="inlineStr">
        <is>
          <t>allowed</t>
        </is>
      </c>
    </row>
    <row r="1581" ht="34" customHeight="1">
      <c r="A1581" s="8" t="n">
        <v>1580</v>
      </c>
      <c r="B1581" s="8" t="n">
        <v>800144</v>
      </c>
      <c r="C1581" s="8" t="inlineStr">
        <is>
          <t>百兵凝锋破阵诀</t>
        </is>
      </c>
      <c r="D1581" s="8" t="inlineStr">
        <is>
          <t>招式</t>
        </is>
      </c>
      <c r="E1581" s="8" t="inlineStr">
        <is>
          <t>spell</t>
        </is>
      </c>
      <c r="F1581" s="8" t="inlineStr">
        <is>
          <t>common</t>
        </is>
      </c>
      <c r="G1581" s="8" t="inlineStr">
        <is>
          <t>金</t>
        </is>
      </c>
      <c r="H1581" s="8" t="inlineStr">
        <is>
          <t>metal</t>
        </is>
      </c>
      <c r="I1581" s="8" t="inlineStr">
        <is>
          <t>1×1</t>
        </is>
      </c>
      <c r="J1581" s="8" t="n">
        <v>1</v>
      </c>
      <c r="K1581" s="8" t="inlineStr"/>
      <c r="L1581" s="8" t="inlineStr">
        <is>
          <t>是</t>
        </is>
      </c>
      <c r="M1581" s="9" t="inlineStr">
        <is>
          <t>scriptureSpellReward</t>
        </is>
      </c>
      <c r="N1581" s="8" t="n">
        <v>1</v>
      </c>
      <c r="O1581" s="9" t="inlineStr">
        <is>
          <t>说明/执行器</t>
        </is>
      </c>
      <c r="P1581" s="9" t="inlineStr">
        <is>
          <t>effectNote</t>
        </is>
      </c>
      <c r="Q1581" s="9" t="inlineStr">
        <is>
          <t>说明/执行器：长按释放，消耗 15 点法力和 15 层凝金，对敌方造成 10 点伤害多次，次数等于储物袋中武器数量</t>
        </is>
      </c>
      <c r="R1581" s="9" t="inlineStr">
        <is>
          <t>scripture_spell</t>
        </is>
      </c>
      <c r="S1581" s="9" t="inlineStr">
        <is>
          <t>百般兵锋的金意归于一线，先裂阵甲，再以凝锋长虹贯敌。</t>
        </is>
      </c>
      <c r="T1581" s="8" t="inlineStr">
        <is>
          <t>spell_jinren_baibing_fengxing_1x1</t>
        </is>
      </c>
      <c r="U1581" s="8" t="inlineStr">
        <is>
          <t>allowed</t>
        </is>
      </c>
    </row>
    <row r="1582" ht="34" customHeight="1">
      <c r="A1582" s="8" t="n">
        <v>1581</v>
      </c>
      <c r="B1582" s="8" t="n">
        <v>800145</v>
      </c>
      <c r="C1582" s="8" t="inlineStr">
        <is>
          <t>加甲</t>
        </is>
      </c>
      <c r="D1582" s="8" t="inlineStr">
        <is>
          <t>招式</t>
        </is>
      </c>
      <c r="E1582" s="8" t="inlineStr">
        <is>
          <t>spell</t>
        </is>
      </c>
      <c r="F1582" s="8" t="inlineStr">
        <is>
          <t>common</t>
        </is>
      </c>
      <c r="G1582" s="8" t="inlineStr">
        <is>
          <t>无</t>
        </is>
      </c>
      <c r="H1582" s="8" t="inlineStr">
        <is>
          <t>none</t>
        </is>
      </c>
      <c r="I1582" s="8" t="inlineStr">
        <is>
          <t>1×1</t>
        </is>
      </c>
      <c r="J1582" s="8" t="n">
        <v>1</v>
      </c>
      <c r="K1582" s="8" t="inlineStr"/>
      <c r="L1582" s="8" t="inlineStr">
        <is>
          <t>是</t>
        </is>
      </c>
      <c r="M1582" s="9" t="inlineStr">
        <is>
          <t>scriptureSpellReward</t>
        </is>
      </c>
      <c r="N1582" s="8" t="n">
        <v>1</v>
      </c>
      <c r="O1582" s="9" t="inlineStr">
        <is>
          <t>说明/执行器</t>
        </is>
      </c>
      <c r="P1582" s="9" t="inlineStr">
        <is>
          <t>effectNote</t>
        </is>
      </c>
      <c r="Q1582" s="9" t="inlineStr">
        <is>
          <t>说明/执行器：长按释放，消耗 4 点体力，获得 8 层护甲</t>
        </is>
      </c>
      <c r="R1582" s="9" t="inlineStr">
        <is>
          <t>scripture_spell</t>
        </is>
      </c>
      <c r="S1582" s="9" t="inlineStr">
        <is>
          <t>气沉双肩，甲势沿周身迅速合拢。</t>
        </is>
      </c>
      <c r="T1582" s="8" t="inlineStr">
        <is>
          <t>spell_tiejia_jiajia_1x1</t>
        </is>
      </c>
      <c r="U1582" s="8" t="inlineStr">
        <is>
          <t>allowed</t>
        </is>
      </c>
    </row>
    <row r="1583" ht="34" customHeight="1">
      <c r="A1583" s="8" t="n">
        <v>1582</v>
      </c>
      <c r="B1583" s="8" t="n">
        <v>800146</v>
      </c>
      <c r="C1583" s="8" t="inlineStr">
        <is>
          <t>沉身</t>
        </is>
      </c>
      <c r="D1583" s="8" t="inlineStr">
        <is>
          <t>招式</t>
        </is>
      </c>
      <c r="E1583" s="8" t="inlineStr">
        <is>
          <t>spell</t>
        </is>
      </c>
      <c r="F1583" s="8" t="inlineStr">
        <is>
          <t>common</t>
        </is>
      </c>
      <c r="G1583" s="8" t="inlineStr">
        <is>
          <t>无</t>
        </is>
      </c>
      <c r="H1583" s="8" t="inlineStr">
        <is>
          <t>none</t>
        </is>
      </c>
      <c r="I1583" s="8" t="inlineStr">
        <is>
          <t>1×1</t>
        </is>
      </c>
      <c r="J1583" s="8" t="n">
        <v>1</v>
      </c>
      <c r="K1583" s="8" t="inlineStr"/>
      <c r="L1583" s="8" t="inlineStr">
        <is>
          <t>是</t>
        </is>
      </c>
      <c r="M1583" s="9" t="inlineStr">
        <is>
          <t>scriptureSpellReward</t>
        </is>
      </c>
      <c r="N1583" s="8" t="n">
        <v>1</v>
      </c>
      <c r="O1583" s="9" t="inlineStr">
        <is>
          <t>说明/执行器</t>
        </is>
      </c>
      <c r="P1583" s="9" t="inlineStr">
        <is>
          <t>effectNote</t>
        </is>
      </c>
      <c r="Q1583" s="9" t="inlineStr">
        <is>
          <t>说明/执行器：长按释放，消耗 5 点体力，获得 4 层蓄势和 4 层护甲</t>
        </is>
      </c>
      <c r="R1583" s="9" t="inlineStr">
        <is>
          <t>scripture_spell</t>
        </is>
      </c>
      <c r="S1583" s="9" t="inlineStr">
        <is>
          <t>重心骤降，筋骨与甲势一同压稳，如铁桩钉地。</t>
        </is>
      </c>
      <c r="T1583" s="8" t="inlineStr">
        <is>
          <t>spell_tiejia_chenshen_1x1</t>
        </is>
      </c>
      <c r="U1583" s="8" t="inlineStr">
        <is>
          <t>allowed</t>
        </is>
      </c>
    </row>
    <row r="1584" ht="34" customHeight="1">
      <c r="A1584" s="8" t="n">
        <v>1583</v>
      </c>
      <c r="B1584" s="8" t="n">
        <v>800147</v>
      </c>
      <c r="C1584" s="8" t="inlineStr">
        <is>
          <t>护甲回力</t>
        </is>
      </c>
      <c r="D1584" s="8" t="inlineStr">
        <is>
          <t>招式</t>
        </is>
      </c>
      <c r="E1584" s="8" t="inlineStr">
        <is>
          <t>spell</t>
        </is>
      </c>
      <c r="F1584" s="8" t="inlineStr">
        <is>
          <t>common</t>
        </is>
      </c>
      <c r="G1584" s="8" t="inlineStr">
        <is>
          <t>无</t>
        </is>
      </c>
      <c r="H1584" s="8" t="inlineStr">
        <is>
          <t>none</t>
        </is>
      </c>
      <c r="I1584" s="8" t="inlineStr">
        <is>
          <t>1×1</t>
        </is>
      </c>
      <c r="J1584" s="8" t="n">
        <v>1</v>
      </c>
      <c r="K1584" s="8" t="inlineStr"/>
      <c r="L1584" s="8" t="inlineStr">
        <is>
          <t>是</t>
        </is>
      </c>
      <c r="M1584" s="9" t="inlineStr">
        <is>
          <t>scriptureSpellReward</t>
        </is>
      </c>
      <c r="N1584" s="8" t="n">
        <v>1</v>
      </c>
      <c r="O1584" s="9" t="inlineStr">
        <is>
          <t>周期触发</t>
        </is>
      </c>
      <c r="P1584" s="9" t="inlineStr">
        <is>
          <t>periodicPulse</t>
        </is>
      </c>
      <c r="Q1584" s="9" t="inlineStr">
        <is>
          <t>周期触发：轮转时，如果护甲超过 10 层，获得 5 点体力</t>
        </is>
      </c>
      <c r="R1584" s="9" t="inlineStr">
        <is>
          <t>scripture_spell</t>
        </is>
      </c>
      <c r="S1584" s="9" t="inlineStr">
        <is>
          <t>甲势层层卸落，封在其中的余力随吐息回到四肢。</t>
        </is>
      </c>
      <c r="T1584" s="8" t="inlineStr">
        <is>
          <t>spell_tiejia_hujia_huili_1x1</t>
        </is>
      </c>
      <c r="U1584" s="8" t="inlineStr">
        <is>
          <t>allowed</t>
        </is>
      </c>
    </row>
    <row r="1585" ht="34" customHeight="1">
      <c r="A1585" s="8" t="n">
        <v>1584</v>
      </c>
      <c r="B1585" s="8" t="n">
        <v>800148</v>
      </c>
      <c r="C1585" s="8" t="inlineStr">
        <is>
          <t>铁衣覆身</t>
        </is>
      </c>
      <c r="D1585" s="8" t="inlineStr">
        <is>
          <t>招式</t>
        </is>
      </c>
      <c r="E1585" s="8" t="inlineStr">
        <is>
          <t>spell</t>
        </is>
      </c>
      <c r="F1585" s="8" t="inlineStr">
        <is>
          <t>common</t>
        </is>
      </c>
      <c r="G1585" s="8" t="inlineStr">
        <is>
          <t>无</t>
        </is>
      </c>
      <c r="H1585" s="8" t="inlineStr">
        <is>
          <t>none</t>
        </is>
      </c>
      <c r="I1585" s="8" t="inlineStr">
        <is>
          <t>1×1</t>
        </is>
      </c>
      <c r="J1585" s="8" t="n">
        <v>1</v>
      </c>
      <c r="K1585" s="8" t="inlineStr"/>
      <c r="L1585" s="8" t="inlineStr">
        <is>
          <t>是</t>
        </is>
      </c>
      <c r="M1585" s="9" t="inlineStr">
        <is>
          <t>scriptureSpellReward</t>
        </is>
      </c>
      <c r="N1585" s="8" t="n">
        <v>1</v>
      </c>
      <c r="O1585" s="9" t="inlineStr">
        <is>
          <t>周期触发</t>
        </is>
      </c>
      <c r="P1585" s="9" t="inlineStr">
        <is>
          <t>periodicPulse</t>
        </is>
      </c>
      <c r="Q1585" s="9" t="inlineStr">
        <is>
          <t>周期触发：轮转时，如果护甲超过 10 层，获得 2 层坚硬</t>
        </is>
      </c>
      <c r="R1585" s="9" t="inlineStr">
        <is>
          <t>scripture_spell</t>
        </is>
      </c>
      <c r="S1585" s="9" t="inlineStr">
        <is>
          <t>沉坠之势化作层层铁衣，自肩背向周身覆盖。</t>
        </is>
      </c>
      <c r="T1585" s="8" t="inlineStr">
        <is>
          <t>spell_tiejia_tieyi_fushen_1x1</t>
        </is>
      </c>
      <c r="U1585" s="8" t="inlineStr">
        <is>
          <t>allowed</t>
        </is>
      </c>
    </row>
    <row r="1586" ht="34" customHeight="1">
      <c r="A1586" s="8" t="n">
        <v>1585</v>
      </c>
      <c r="B1586" s="8" t="n">
        <v>800149</v>
      </c>
      <c r="C1586" s="8" t="inlineStr">
        <is>
          <t>重甲守势诀</t>
        </is>
      </c>
      <c r="D1586" s="8" t="inlineStr">
        <is>
          <t>招式</t>
        </is>
      </c>
      <c r="E1586" s="8" t="inlineStr">
        <is>
          <t>spell</t>
        </is>
      </c>
      <c r="F1586" s="8" t="inlineStr">
        <is>
          <t>common</t>
        </is>
      </c>
      <c r="G1586" s="8" t="inlineStr">
        <is>
          <t>无</t>
        </is>
      </c>
      <c r="H1586" s="8" t="inlineStr">
        <is>
          <t>none</t>
        </is>
      </c>
      <c r="I1586" s="8" t="inlineStr">
        <is>
          <t>1×1</t>
        </is>
      </c>
      <c r="J1586" s="8" t="n">
        <v>1</v>
      </c>
      <c r="K1586" s="8" t="inlineStr"/>
      <c r="L1586" s="8" t="inlineStr">
        <is>
          <t>是</t>
        </is>
      </c>
      <c r="M1586" s="9" t="inlineStr">
        <is>
          <t>scriptureSpellReward</t>
        </is>
      </c>
      <c r="N1586" s="8" t="n">
        <v>1</v>
      </c>
      <c r="O1586" s="9" t="inlineStr">
        <is>
          <t>周期触发</t>
        </is>
      </c>
      <c r="P1586" s="9" t="inlineStr">
        <is>
          <t>periodicPulse</t>
        </is>
      </c>
      <c r="Q1586" s="9" t="inlineStr">
        <is>
          <t>周期触发：开局时，如果拥有不少于 8 件装备，获得 30 层护甲</t>
        </is>
      </c>
      <c r="R1586" s="9" t="inlineStr">
        <is>
          <t>scripture_spell</t>
        </is>
      </c>
      <c r="S1586" s="9" t="inlineStr">
        <is>
          <t>袋中护具彼此呼应，层层甲影沿守势叠合。</t>
        </is>
      </c>
      <c r="T1586" s="8" t="inlineStr">
        <is>
          <t>spell_tiejia_zhongjia_shoushi_1x1</t>
        </is>
      </c>
      <c r="U1586" s="8" t="inlineStr">
        <is>
          <t>allowed</t>
        </is>
      </c>
    </row>
    <row r="1587" ht="34" customHeight="1">
      <c r="A1587" s="8" t="n">
        <v>1586</v>
      </c>
      <c r="B1587" s="8" t="n">
        <v>800150</v>
      </c>
      <c r="C1587" s="8" t="inlineStr">
        <is>
          <t>负甲冲身式</t>
        </is>
      </c>
      <c r="D1587" s="8" t="inlineStr">
        <is>
          <t>招式</t>
        </is>
      </c>
      <c r="E1587" s="8" t="inlineStr">
        <is>
          <t>spell</t>
        </is>
      </c>
      <c r="F1587" s="8" t="inlineStr">
        <is>
          <t>common</t>
        </is>
      </c>
      <c r="G1587" s="8" t="inlineStr">
        <is>
          <t>无</t>
        </is>
      </c>
      <c r="H1587" s="8" t="inlineStr">
        <is>
          <t>none</t>
        </is>
      </c>
      <c r="I1587" s="8" t="inlineStr">
        <is>
          <t>1×1</t>
        </is>
      </c>
      <c r="J1587" s="8" t="n">
        <v>1</v>
      </c>
      <c r="K1587" s="8" t="inlineStr"/>
      <c r="L1587" s="8" t="inlineStr">
        <is>
          <t>是</t>
        </is>
      </c>
      <c r="M1587" s="9" t="inlineStr">
        <is>
          <t>scriptureSpellReward</t>
        </is>
      </c>
      <c r="N1587" s="8" t="n">
        <v>1</v>
      </c>
      <c r="O1587" s="9" t="inlineStr">
        <is>
          <t>说明/执行器</t>
        </is>
      </c>
      <c r="P1587" s="9" t="inlineStr">
        <is>
          <t>effectNote</t>
        </is>
      </c>
      <c r="Q1587" s="9" t="inlineStr">
        <is>
          <t>说明/执行器：长按释放，消耗 20 点体力和 20 层护甲，对敌方造成 60 点伤害</t>
        </is>
      </c>
      <c r="R1587" s="9" t="inlineStr">
        <is>
          <t>scripture_spell</t>
        </is>
      </c>
      <c r="S1587" s="9" t="inlineStr">
        <is>
          <t>披甲蓄势后骤然前冲，护势与体力一并化作撞阵重击。</t>
        </is>
      </c>
      <c r="T1587" s="8" t="inlineStr">
        <is>
          <t>spell_tiejia_fujia_chongshen_1x1</t>
        </is>
      </c>
      <c r="U1587" s="8" t="inlineStr">
        <is>
          <t>allowed</t>
        </is>
      </c>
    </row>
    <row r="1588" ht="34" customHeight="1">
      <c r="A1588" s="8" t="n">
        <v>1587</v>
      </c>
      <c r="B1588" s="8" t="n">
        <v>800151</v>
      </c>
      <c r="C1588" s="8" t="inlineStr">
        <is>
          <t>百炼护具结阵法</t>
        </is>
      </c>
      <c r="D1588" s="8" t="inlineStr">
        <is>
          <t>招式</t>
        </is>
      </c>
      <c r="E1588" s="8" t="inlineStr">
        <is>
          <t>spell</t>
        </is>
      </c>
      <c r="F1588" s="8" t="inlineStr">
        <is>
          <t>common</t>
        </is>
      </c>
      <c r="G1588" s="8" t="inlineStr">
        <is>
          <t>无</t>
        </is>
      </c>
      <c r="H1588" s="8" t="inlineStr">
        <is>
          <t>none</t>
        </is>
      </c>
      <c r="I1588" s="8" t="inlineStr">
        <is>
          <t>1×1</t>
        </is>
      </c>
      <c r="J1588" s="8" t="n">
        <v>1</v>
      </c>
      <c r="K1588" s="8" t="inlineStr"/>
      <c r="L1588" s="8" t="inlineStr">
        <is>
          <t>是</t>
        </is>
      </c>
      <c r="M1588" s="9" t="inlineStr">
        <is>
          <t>scriptureSpellReward</t>
        </is>
      </c>
      <c r="N1588" s="8" t="n">
        <v>1</v>
      </c>
      <c r="O1588" s="9" t="inlineStr">
        <is>
          <t>周期触发</t>
        </is>
      </c>
      <c r="P1588" s="9" t="inlineStr">
        <is>
          <t>periodicPulse</t>
        </is>
      </c>
      <c r="Q1588" s="9" t="inlineStr">
        <is>
          <t>周期触发：轮转时，每有 1 件装备，获得 2 层护甲，最多计算 10 件</t>
        </is>
      </c>
      <c r="R1588" s="9" t="inlineStr">
        <is>
          <t>scripture_spell</t>
        </is>
      </c>
      <c r="S1588" s="9" t="inlineStr">
        <is>
          <t>百炼护具各守一隅，甲影相扣成阵，阵心随负重愈发沉稳。</t>
        </is>
      </c>
      <c r="T1588" s="8" t="inlineStr">
        <is>
          <t>spell_tiejia_huju_jiezhen_1x1</t>
        </is>
      </c>
      <c r="U1588" s="8" t="inlineStr">
        <is>
          <t>allowed</t>
        </is>
      </c>
    </row>
    <row r="1589" ht="34" customHeight="1">
      <c r="A1589" s="8" t="n">
        <v>1588</v>
      </c>
      <c r="B1589" s="8" t="n">
        <v>800152</v>
      </c>
      <c r="C1589" s="8" t="inlineStr">
        <is>
          <t>听潮引</t>
        </is>
      </c>
      <c r="D1589" s="8" t="inlineStr">
        <is>
          <t>招式</t>
        </is>
      </c>
      <c r="E1589" s="8" t="inlineStr">
        <is>
          <t>spell</t>
        </is>
      </c>
      <c r="F1589" s="8" t="inlineStr">
        <is>
          <t>common</t>
        </is>
      </c>
      <c r="G1589" s="8" t="inlineStr">
        <is>
          <t>水</t>
        </is>
      </c>
      <c r="H1589" s="8" t="inlineStr">
        <is>
          <t>water</t>
        </is>
      </c>
      <c r="I1589" s="8" t="inlineStr">
        <is>
          <t>1×1</t>
        </is>
      </c>
      <c r="J1589" s="8" t="n">
        <v>1</v>
      </c>
      <c r="K1589" s="8" t="inlineStr"/>
      <c r="L1589" s="8" t="inlineStr">
        <is>
          <t>是</t>
        </is>
      </c>
      <c r="M1589" s="9" t="inlineStr">
        <is>
          <t>scriptureSpellReward</t>
        </is>
      </c>
      <c r="N1589" s="8" t="n">
        <v>1</v>
      </c>
      <c r="O1589" s="9" t="inlineStr">
        <is>
          <t>周期触发</t>
        </is>
      </c>
      <c r="P1589" s="9" t="inlineStr">
        <is>
          <t>periodicPulse</t>
        </is>
      </c>
      <c r="Q1589" s="9" t="inlineStr">
        <is>
          <t>周期触发：轮转时，如果拥有不少于 10 层露水，获得 3 层再生</t>
        </is>
      </c>
      <c r="R1589" s="9" t="inlineStr">
        <is>
          <t>scripture_spell</t>
        </is>
      </c>
      <c r="S1589" s="9" t="inlineStr">
        <is>
          <t>听潮引承接青河宗青河听潮篇的行气法门，出手如水势转折。</t>
        </is>
      </c>
      <c r="T1589" s="8" t="inlineStr">
        <is>
          <t>spell_qinghe_tingchao_tingchao_yin_1x1</t>
        </is>
      </c>
      <c r="U1589" s="8" t="inlineStr">
        <is>
          <t>allowed</t>
        </is>
      </c>
    </row>
    <row r="1590" ht="34" customHeight="1">
      <c r="A1590" s="8" t="n">
        <v>1589</v>
      </c>
      <c r="B1590" s="8" t="n">
        <v>800153</v>
      </c>
      <c r="C1590" s="8" t="inlineStr">
        <is>
          <t>澜息照</t>
        </is>
      </c>
      <c r="D1590" s="8" t="inlineStr">
        <is>
          <t>招式</t>
        </is>
      </c>
      <c r="E1590" s="8" t="inlineStr">
        <is>
          <t>spell</t>
        </is>
      </c>
      <c r="F1590" s="8" t="inlineStr">
        <is>
          <t>common</t>
        </is>
      </c>
      <c r="G1590" s="8" t="inlineStr">
        <is>
          <t>水</t>
        </is>
      </c>
      <c r="H1590" s="8" t="inlineStr">
        <is>
          <t>water</t>
        </is>
      </c>
      <c r="I1590" s="8" t="inlineStr">
        <is>
          <t>1×1</t>
        </is>
      </c>
      <c r="J1590" s="8" t="n">
        <v>1</v>
      </c>
      <c r="K1590" s="8" t="inlineStr"/>
      <c r="L1590" s="8" t="inlineStr">
        <is>
          <t>是</t>
        </is>
      </c>
      <c r="M1590" s="9" t="inlineStr">
        <is>
          <t>scriptureSpellReward</t>
        </is>
      </c>
      <c r="N1590" s="8" t="n">
        <v>1</v>
      </c>
      <c r="O1590" s="9" t="inlineStr">
        <is>
          <t>周期触发</t>
        </is>
      </c>
      <c r="P1590" s="9" t="inlineStr">
        <is>
          <t>periodicPulse</t>
        </is>
      </c>
      <c r="Q1590" s="9" t="inlineStr">
        <is>
          <t>周期触发：轮转时，如果拥有不少于 10 层露水，获得 8 点修为</t>
        </is>
      </c>
      <c r="R1590" s="9" t="inlineStr">
        <is>
          <t>scripture_spell</t>
        </is>
      </c>
      <c r="S1590" s="9" t="inlineStr">
        <is>
          <t>澜息照承接青河宗青河听潮篇的行气法门，出手如水势转折。</t>
        </is>
      </c>
      <c r="T1590" s="8" t="inlineStr">
        <is>
          <t>spell_qinghe_tingchao_lanxi_zhao_1x1</t>
        </is>
      </c>
      <c r="U1590" s="8" t="inlineStr">
        <is>
          <t>allowed</t>
        </is>
      </c>
    </row>
    <row r="1591" ht="34" customHeight="1">
      <c r="A1591" s="8" t="n">
        <v>1590</v>
      </c>
      <c r="B1591" s="8" t="n">
        <v>800154</v>
      </c>
      <c r="C1591" s="8" t="inlineStr">
        <is>
          <t>桥鸣辨</t>
        </is>
      </c>
      <c r="D1591" s="8" t="inlineStr">
        <is>
          <t>招式</t>
        </is>
      </c>
      <c r="E1591" s="8" t="inlineStr">
        <is>
          <t>spell</t>
        </is>
      </c>
      <c r="F1591" s="8" t="inlineStr">
        <is>
          <t>common</t>
        </is>
      </c>
      <c r="G1591" s="8" t="inlineStr">
        <is>
          <t>水</t>
        </is>
      </c>
      <c r="H1591" s="8" t="inlineStr">
        <is>
          <t>water</t>
        </is>
      </c>
      <c r="I1591" s="8" t="inlineStr">
        <is>
          <t>1×1</t>
        </is>
      </c>
      <c r="J1591" s="8" t="n">
        <v>1</v>
      </c>
      <c r="K1591" s="8" t="inlineStr"/>
      <c r="L1591" s="8" t="inlineStr">
        <is>
          <t>是</t>
        </is>
      </c>
      <c r="M1591" s="9" t="inlineStr">
        <is>
          <t>scriptureSpellReward</t>
        </is>
      </c>
      <c r="N1591" s="8" t="n">
        <v>1</v>
      </c>
      <c r="O1591" s="9" t="inlineStr">
        <is>
          <t>说明/执行器</t>
        </is>
      </c>
      <c r="P1591" s="9" t="inlineStr">
        <is>
          <t>effectNote</t>
        </is>
      </c>
      <c r="Q1591" s="9" t="inlineStr">
        <is>
          <t>说明/执行器：长按释放，消耗 6 层露水，给敌方施加10层乱流</t>
        </is>
      </c>
      <c r="R1591" s="9" t="inlineStr">
        <is>
          <t>scripture_spell</t>
        </is>
      </c>
      <c r="S1591" s="9" t="inlineStr">
        <is>
          <t>桥鸣辨承接青河宗青河听潮篇的行气法门，出手如水势转折。</t>
        </is>
      </c>
      <c r="T1591" s="8" t="inlineStr">
        <is>
          <t>spell_qinghe_tingchao_qiaoming_bian_1x1</t>
        </is>
      </c>
      <c r="U1591" s="8" t="inlineStr">
        <is>
          <t>allowed</t>
        </is>
      </c>
    </row>
    <row r="1592" ht="34" customHeight="1">
      <c r="A1592" s="8" t="n">
        <v>1591</v>
      </c>
      <c r="B1592" s="8" t="n">
        <v>800155</v>
      </c>
      <c r="C1592" s="8" t="inlineStr">
        <is>
          <t>回波定</t>
        </is>
      </c>
      <c r="D1592" s="8" t="inlineStr">
        <is>
          <t>招式</t>
        </is>
      </c>
      <c r="E1592" s="8" t="inlineStr">
        <is>
          <t>spell</t>
        </is>
      </c>
      <c r="F1592" s="8" t="inlineStr">
        <is>
          <t>common</t>
        </is>
      </c>
      <c r="G1592" s="8" t="inlineStr">
        <is>
          <t>水</t>
        </is>
      </c>
      <c r="H1592" s="8" t="inlineStr">
        <is>
          <t>water</t>
        </is>
      </c>
      <c r="I1592" s="8" t="inlineStr">
        <is>
          <t>1×1</t>
        </is>
      </c>
      <c r="J1592" s="8" t="n">
        <v>1</v>
      </c>
      <c r="K1592" s="8" t="inlineStr"/>
      <c r="L1592" s="8" t="inlineStr">
        <is>
          <t>是</t>
        </is>
      </c>
      <c r="M1592" s="9" t="inlineStr">
        <is>
          <t>scriptureSpellReward</t>
        </is>
      </c>
      <c r="N1592" s="8" t="n">
        <v>1</v>
      </c>
      <c r="O1592" s="9" t="inlineStr">
        <is>
          <t>说明/执行器</t>
        </is>
      </c>
      <c r="P1592" s="9" t="inlineStr">
        <is>
          <t>effectNote</t>
        </is>
      </c>
      <c r="Q1592" s="9" t="inlineStr">
        <is>
          <t>说明/执行器：长按释放，消耗 10 点法力，获得 4 层坚硬，并使敌方随机 2 件道具冻结 1 秒</t>
        </is>
      </c>
      <c r="R1592" s="9" t="inlineStr">
        <is>
          <t>scripture_spell</t>
        </is>
      </c>
      <c r="S1592" s="9" t="inlineStr">
        <is>
          <t>回波定承接青河宗青河听潮篇的行气法门，出手如水势转折。</t>
        </is>
      </c>
      <c r="T1592" s="8" t="inlineStr">
        <is>
          <t>spell_qinghe_tingchao_huibo_ding_1x1</t>
        </is>
      </c>
      <c r="U1592" s="8" t="inlineStr">
        <is>
          <t>allowed</t>
        </is>
      </c>
    </row>
    <row r="1593" ht="34" customHeight="1">
      <c r="A1593" s="8" t="n">
        <v>1592</v>
      </c>
      <c r="B1593" s="8" t="n">
        <v>800156</v>
      </c>
      <c r="C1593" s="8" t="inlineStr">
        <is>
          <t>潮门合</t>
        </is>
      </c>
      <c r="D1593" s="8" t="inlineStr">
        <is>
          <t>招式</t>
        </is>
      </c>
      <c r="E1593" s="8" t="inlineStr">
        <is>
          <t>spell</t>
        </is>
      </c>
      <c r="F1593" s="8" t="inlineStr">
        <is>
          <t>common</t>
        </is>
      </c>
      <c r="G1593" s="8" t="inlineStr">
        <is>
          <t>水</t>
        </is>
      </c>
      <c r="H1593" s="8" t="inlineStr">
        <is>
          <t>water</t>
        </is>
      </c>
      <c r="I1593" s="8" t="inlineStr">
        <is>
          <t>1×1</t>
        </is>
      </c>
      <c r="J1593" s="8" t="n">
        <v>1</v>
      </c>
      <c r="K1593" s="8" t="inlineStr"/>
      <c r="L1593" s="8" t="inlineStr">
        <is>
          <t>是</t>
        </is>
      </c>
      <c r="M1593" s="9" t="inlineStr">
        <is>
          <t>scriptureSpellReward</t>
        </is>
      </c>
      <c r="N1593" s="8" t="n">
        <v>1</v>
      </c>
      <c r="O1593" s="9" t="inlineStr">
        <is>
          <t>说明/执行器</t>
        </is>
      </c>
      <c r="P1593" s="9" t="inlineStr">
        <is>
          <t>effectNote</t>
        </is>
      </c>
      <c r="Q1593" s="9" t="inlineStr">
        <is>
          <t>说明/执行器：长按释放，6 秒内所有道具的属性消耗降低 3 点</t>
        </is>
      </c>
      <c r="R1593" s="9" t="inlineStr">
        <is>
          <t>scripture_spell</t>
        </is>
      </c>
      <c r="S1593" s="9" t="inlineStr">
        <is>
          <t>潮门合承接青河宗青河听潮篇的行气法门，出手如水势转折。</t>
        </is>
      </c>
      <c r="T1593" s="8" t="inlineStr">
        <is>
          <t>spell_qinghe_tingchao_chaomen_he_1x1</t>
        </is>
      </c>
      <c r="U1593" s="8" t="inlineStr">
        <is>
          <t>allowed</t>
        </is>
      </c>
    </row>
    <row r="1594" ht="34" customHeight="1">
      <c r="A1594" s="8" t="n">
        <v>1593</v>
      </c>
      <c r="B1594" s="8" t="n">
        <v>800157</v>
      </c>
      <c r="C1594" s="8" t="inlineStr">
        <is>
          <t>青河闻真</t>
        </is>
      </c>
      <c r="D1594" s="8" t="inlineStr">
        <is>
          <t>招式</t>
        </is>
      </c>
      <c r="E1594" s="8" t="inlineStr">
        <is>
          <t>spell</t>
        </is>
      </c>
      <c r="F1594" s="8" t="inlineStr">
        <is>
          <t>common</t>
        </is>
      </c>
      <c r="G1594" s="8" t="inlineStr">
        <is>
          <t>水</t>
        </is>
      </c>
      <c r="H1594" s="8" t="inlineStr">
        <is>
          <t>water</t>
        </is>
      </c>
      <c r="I1594" s="8" t="inlineStr">
        <is>
          <t>1×1</t>
        </is>
      </c>
      <c r="J1594" s="8" t="n">
        <v>1</v>
      </c>
      <c r="K1594" s="8" t="inlineStr"/>
      <c r="L1594" s="8" t="inlineStr">
        <is>
          <t>是</t>
        </is>
      </c>
      <c r="M1594" s="9" t="inlineStr">
        <is>
          <t>scriptureSpellReward</t>
        </is>
      </c>
      <c r="N1594" s="8" t="n">
        <v>1</v>
      </c>
      <c r="O1594" s="9" t="inlineStr">
        <is>
          <t>说明/执行器</t>
        </is>
      </c>
      <c r="P1594" s="9" t="inlineStr">
        <is>
          <t>effectNote</t>
        </is>
      </c>
      <c r="Q1594" s="9" t="inlineStr">
        <is>
          <t>说明/执行器：长按释放，10 秒内青河听潮篇获得的修为值增加 20%</t>
        </is>
      </c>
      <c r="R1594" s="9" t="inlineStr">
        <is>
          <t>scripture_spell</t>
        </is>
      </c>
      <c r="S1594" s="9" t="inlineStr">
        <is>
          <t>青河闻真承接青河宗青河听潮篇的行气法门，出手如水势转折。</t>
        </is>
      </c>
      <c r="T1594" s="8" t="inlineStr">
        <is>
          <t>spell_qinghe_tingchao_qinghe_wenzhen_1x1</t>
        </is>
      </c>
      <c r="U1594" s="8" t="inlineStr">
        <is>
          <t>allowed</t>
        </is>
      </c>
    </row>
    <row r="1595" ht="34" customHeight="1">
      <c r="A1595" s="8" t="n">
        <v>1594</v>
      </c>
      <c r="B1595" s="8" t="n">
        <v>800158</v>
      </c>
      <c r="C1595" s="8" t="inlineStr">
        <is>
          <t>潜痕步</t>
        </is>
      </c>
      <c r="D1595" s="8" t="inlineStr">
        <is>
          <t>招式</t>
        </is>
      </c>
      <c r="E1595" s="8" t="inlineStr">
        <is>
          <t>spell</t>
        </is>
      </c>
      <c r="F1595" s="8" t="inlineStr">
        <is>
          <t>common</t>
        </is>
      </c>
      <c r="G1595" s="8" t="inlineStr">
        <is>
          <t>风</t>
        </is>
      </c>
      <c r="H1595" s="8" t="inlineStr">
        <is>
          <t>wind</t>
        </is>
      </c>
      <c r="I1595" s="8" t="inlineStr">
        <is>
          <t>1×1</t>
        </is>
      </c>
      <c r="J1595" s="8" t="n">
        <v>1</v>
      </c>
      <c r="K1595" s="8" t="inlineStr"/>
      <c r="L1595" s="8" t="inlineStr">
        <is>
          <t>是</t>
        </is>
      </c>
      <c r="M1595" s="9" t="inlineStr">
        <is>
          <t>scriptureSpellReward</t>
        </is>
      </c>
      <c r="N1595" s="8" t="n">
        <v>1</v>
      </c>
      <c r="O1595" s="9" t="inlineStr">
        <is>
          <t>周期触发</t>
        </is>
      </c>
      <c r="P1595" s="9" t="inlineStr">
        <is>
          <t>periodicPulse</t>
        </is>
      </c>
      <c r="Q1595" s="9" t="inlineStr">
        <is>
          <t>周期触发：开局时，对接下来的 3 次伤害，每次有 50% 的概率规避伤害</t>
        </is>
      </c>
      <c r="R1595" s="9" t="inlineStr">
        <is>
          <t>scripture_spell</t>
        </is>
      </c>
      <c r="S1595" s="9" t="inlineStr">
        <is>
          <t>潜痕步承接青河宗伏流追息诀的行气法门，出手如水势转折。</t>
        </is>
      </c>
      <c r="T1595" s="8" t="inlineStr">
        <is>
          <t>spell_fuliu_zhuixi_qianhen_bu_1x1</t>
        </is>
      </c>
      <c r="U1595" s="8" t="inlineStr">
        <is>
          <t>allowed</t>
        </is>
      </c>
    </row>
    <row r="1596" ht="34" customHeight="1">
      <c r="A1596" s="8" t="n">
        <v>1595</v>
      </c>
      <c r="B1596" s="8" t="n">
        <v>800159</v>
      </c>
      <c r="C1596" s="8" t="inlineStr">
        <is>
          <t>水线寻</t>
        </is>
      </c>
      <c r="D1596" s="8" t="inlineStr">
        <is>
          <t>招式</t>
        </is>
      </c>
      <c r="E1596" s="8" t="inlineStr">
        <is>
          <t>spell</t>
        </is>
      </c>
      <c r="F1596" s="8" t="inlineStr">
        <is>
          <t>common</t>
        </is>
      </c>
      <c r="G1596" s="8" t="inlineStr">
        <is>
          <t>风</t>
        </is>
      </c>
      <c r="H1596" s="8" t="inlineStr">
        <is>
          <t>wind</t>
        </is>
      </c>
      <c r="I1596" s="8" t="inlineStr">
        <is>
          <t>1×1</t>
        </is>
      </c>
      <c r="J1596" s="8" t="n">
        <v>1</v>
      </c>
      <c r="K1596" s="8" t="inlineStr"/>
      <c r="L1596" s="8" t="inlineStr">
        <is>
          <t>是</t>
        </is>
      </c>
      <c r="M1596" s="9" t="inlineStr">
        <is>
          <t>scriptureSpellReward</t>
        </is>
      </c>
      <c r="N1596" s="8" t="n">
        <v>1</v>
      </c>
      <c r="O1596" s="9" t="inlineStr">
        <is>
          <t>周期触发</t>
        </is>
      </c>
      <c r="P1596" s="9" t="inlineStr">
        <is>
          <t>periodicPulse</t>
        </is>
      </c>
      <c r="Q1596" s="9" t="inlineStr">
        <is>
          <t>周期触发：开局时，如果敏捷层数不低于 5 层，储物袋左边缘的所有道具获得 5 秒加速</t>
        </is>
      </c>
      <c r="R1596" s="9" t="inlineStr">
        <is>
          <t>scripture_spell</t>
        </is>
      </c>
      <c r="S1596" s="9" t="inlineStr">
        <is>
          <t>水线寻承接青河宗伏流追息诀的行气法门，出手如水势转折。</t>
        </is>
      </c>
      <c r="T1596" s="8" t="inlineStr">
        <is>
          <t>spell_fuliu_zhuixi_shuixian_xun_1x1</t>
        </is>
      </c>
      <c r="U1596" s="8" t="inlineStr">
        <is>
          <t>allowed</t>
        </is>
      </c>
    </row>
    <row r="1597" ht="34" customHeight="1">
      <c r="A1597" s="8" t="n">
        <v>1596</v>
      </c>
      <c r="B1597" s="8" t="n">
        <v>800160</v>
      </c>
      <c r="C1597" s="8" t="inlineStr">
        <is>
          <t>回涡锁</t>
        </is>
      </c>
      <c r="D1597" s="8" t="inlineStr">
        <is>
          <t>招式</t>
        </is>
      </c>
      <c r="E1597" s="8" t="inlineStr">
        <is>
          <t>spell</t>
        </is>
      </c>
      <c r="F1597" s="8" t="inlineStr">
        <is>
          <t>common</t>
        </is>
      </c>
      <c r="G1597" s="8" t="inlineStr">
        <is>
          <t>风</t>
        </is>
      </c>
      <c r="H1597" s="8" t="inlineStr">
        <is>
          <t>wind</t>
        </is>
      </c>
      <c r="I1597" s="8" t="inlineStr">
        <is>
          <t>1×1</t>
        </is>
      </c>
      <c r="J1597" s="8" t="n">
        <v>1</v>
      </c>
      <c r="K1597" s="8" t="inlineStr"/>
      <c r="L1597" s="8" t="inlineStr">
        <is>
          <t>是</t>
        </is>
      </c>
      <c r="M1597" s="9" t="inlineStr">
        <is>
          <t>scriptureSpellReward</t>
        </is>
      </c>
      <c r="N1597" s="8" t="n">
        <v>1</v>
      </c>
      <c r="O1597" s="9" t="inlineStr">
        <is>
          <t>周期触发</t>
        </is>
      </c>
      <c r="P1597" s="9" t="inlineStr">
        <is>
          <t>periodicPulse</t>
        </is>
      </c>
      <c r="Q1597" s="9" t="inlineStr">
        <is>
          <t>周期触发：开局时，如果敏捷层数不低于 5 层，使敌方随机 3 件道具减速 5 秒</t>
        </is>
      </c>
      <c r="R1597" s="9" t="inlineStr">
        <is>
          <t>scripture_spell</t>
        </is>
      </c>
      <c r="S1597" s="9" t="inlineStr">
        <is>
          <t>回涡锁承接青河宗伏流追息诀的行气法门，出手如水势转折。</t>
        </is>
      </c>
      <c r="T1597" s="8" t="inlineStr">
        <is>
          <t>spell_fuliu_zhuixi_huiwo_suo_1x1</t>
        </is>
      </c>
      <c r="U1597" s="8" t="inlineStr">
        <is>
          <t>allowed</t>
        </is>
      </c>
    </row>
    <row r="1598" ht="34" customHeight="1">
      <c r="A1598" s="8" t="n">
        <v>1597</v>
      </c>
      <c r="B1598" s="8" t="n">
        <v>800161</v>
      </c>
      <c r="C1598" s="8" t="inlineStr">
        <is>
          <t>伏波缚</t>
        </is>
      </c>
      <c r="D1598" s="8" t="inlineStr">
        <is>
          <t>招式</t>
        </is>
      </c>
      <c r="E1598" s="8" t="inlineStr">
        <is>
          <t>spell</t>
        </is>
      </c>
      <c r="F1598" s="8" t="inlineStr">
        <is>
          <t>common</t>
        </is>
      </c>
      <c r="G1598" s="8" t="inlineStr">
        <is>
          <t>风</t>
        </is>
      </c>
      <c r="H1598" s="8" t="inlineStr">
        <is>
          <t>wind</t>
        </is>
      </c>
      <c r="I1598" s="8" t="inlineStr">
        <is>
          <t>1×1</t>
        </is>
      </c>
      <c r="J1598" s="8" t="n">
        <v>1</v>
      </c>
      <c r="K1598" s="8" t="inlineStr"/>
      <c r="L1598" s="8" t="inlineStr">
        <is>
          <t>是</t>
        </is>
      </c>
      <c r="M1598" s="9" t="inlineStr">
        <is>
          <t>scriptureSpellReward</t>
        </is>
      </c>
      <c r="N1598" s="8" t="n">
        <v>1</v>
      </c>
      <c r="O1598" s="9" t="inlineStr">
        <is>
          <t>说明/执行器</t>
        </is>
      </c>
      <c r="P1598" s="9" t="inlineStr">
        <is>
          <t>effectNote</t>
        </is>
      </c>
      <c r="Q1598" s="9" t="inlineStr">
        <is>
          <t>说明/执行器：消耗全部敏捷层数，获得 10 层坚硬和 8 层闪避</t>
        </is>
      </c>
      <c r="R1598" s="9" t="inlineStr">
        <is>
          <t>scripture_spell</t>
        </is>
      </c>
      <c r="S1598" s="9" t="inlineStr">
        <is>
          <t>伏波缚承接青河宗伏流追息诀的行气法门，出手如水势转折。</t>
        </is>
      </c>
      <c r="T1598" s="8" t="inlineStr">
        <is>
          <t>spell_fuliu_zhuixi_fubo_fu_1x1</t>
        </is>
      </c>
      <c r="U1598" s="8" t="inlineStr">
        <is>
          <t>allowed</t>
        </is>
      </c>
    </row>
    <row r="1599" ht="34" customHeight="1">
      <c r="A1599" s="8" t="n">
        <v>1598</v>
      </c>
      <c r="B1599" s="8" t="n">
        <v>800162</v>
      </c>
      <c r="C1599" s="8" t="inlineStr">
        <is>
          <t>溯源针</t>
        </is>
      </c>
      <c r="D1599" s="8" t="inlineStr">
        <is>
          <t>招式</t>
        </is>
      </c>
      <c r="E1599" s="8" t="inlineStr">
        <is>
          <t>spell</t>
        </is>
      </c>
      <c r="F1599" s="8" t="inlineStr">
        <is>
          <t>common</t>
        </is>
      </c>
      <c r="G1599" s="8" t="inlineStr">
        <is>
          <t>风</t>
        </is>
      </c>
      <c r="H1599" s="8" t="inlineStr">
        <is>
          <t>wind</t>
        </is>
      </c>
      <c r="I1599" s="8" t="inlineStr">
        <is>
          <t>1×1</t>
        </is>
      </c>
      <c r="J1599" s="8" t="n">
        <v>1</v>
      </c>
      <c r="K1599" s="8" t="inlineStr"/>
      <c r="L1599" s="8" t="inlineStr">
        <is>
          <t>是</t>
        </is>
      </c>
      <c r="M1599" s="9" t="inlineStr">
        <is>
          <t>scriptureSpellReward</t>
        </is>
      </c>
      <c r="N1599" s="8" t="n">
        <v>1</v>
      </c>
      <c r="O1599" s="9" t="inlineStr">
        <is>
          <t>条件触发</t>
        </is>
      </c>
      <c r="P1599" s="9" t="inlineStr">
        <is>
          <t>triggered</t>
        </is>
      </c>
      <c r="Q1599" s="9" t="inlineStr">
        <is>
          <t>条件触发：每次成功闪避后，对敌方造成等同于我方敏捷层数的伤害</t>
        </is>
      </c>
      <c r="R1599" s="9" t="inlineStr">
        <is>
          <t>scripture_spell</t>
        </is>
      </c>
      <c r="S1599" s="9" t="inlineStr">
        <is>
          <t>溯源针承接青河宗伏流追息诀的行气法门，出手如水势转折。</t>
        </is>
      </c>
      <c r="T1599" s="8" t="inlineStr">
        <is>
          <t>spell_fuliu_zhuixi_suyuan_zhen_1x1</t>
        </is>
      </c>
      <c r="U1599" s="8" t="inlineStr">
        <is>
          <t>allowed</t>
        </is>
      </c>
    </row>
    <row r="1600" ht="34" customHeight="1">
      <c r="A1600" s="8" t="n">
        <v>1599</v>
      </c>
      <c r="B1600" s="8" t="n">
        <v>800163</v>
      </c>
      <c r="C1600" s="8" t="inlineStr">
        <is>
          <t>百里追汐</t>
        </is>
      </c>
      <c r="D1600" s="8" t="inlineStr">
        <is>
          <t>招式</t>
        </is>
      </c>
      <c r="E1600" s="8" t="inlineStr">
        <is>
          <t>spell</t>
        </is>
      </c>
      <c r="F1600" s="8" t="inlineStr">
        <is>
          <t>common</t>
        </is>
      </c>
      <c r="G1600" s="8" t="inlineStr">
        <is>
          <t>风</t>
        </is>
      </c>
      <c r="H1600" s="8" t="inlineStr">
        <is>
          <t>wind</t>
        </is>
      </c>
      <c r="I1600" s="8" t="inlineStr">
        <is>
          <t>1×1</t>
        </is>
      </c>
      <c r="J1600" s="8" t="n">
        <v>1</v>
      </c>
      <c r="K1600" s="8" t="inlineStr"/>
      <c r="L1600" s="8" t="inlineStr">
        <is>
          <t>是</t>
        </is>
      </c>
      <c r="M1600" s="9" t="inlineStr">
        <is>
          <t>scriptureSpellReward</t>
        </is>
      </c>
      <c r="N1600" s="8" t="n">
        <v>1</v>
      </c>
      <c r="O1600" s="9" t="inlineStr">
        <is>
          <t>周期触发</t>
        </is>
      </c>
      <c r="P1600" s="9" t="inlineStr">
        <is>
          <t>periodicPulse</t>
        </is>
      </c>
      <c r="Q1600" s="9" t="inlineStr">
        <is>
          <t>周期触发：轮转时，消耗 1 层敏捷，使敌方接下来 1 次闪避判定必定失效</t>
        </is>
      </c>
      <c r="R1600" s="9" t="inlineStr">
        <is>
          <t>scripture_spell</t>
        </is>
      </c>
      <c r="S1600" s="9" t="inlineStr">
        <is>
          <t>百里追汐承接青河宗伏流追息诀的行气法门，出手如水势转折。</t>
        </is>
      </c>
      <c r="T1600" s="8" t="inlineStr">
        <is>
          <t>spell_fuliu_zhuixi_baili_zhuixi_1x1</t>
        </is>
      </c>
      <c r="U1600" s="8" t="inlineStr">
        <is>
          <t>allowed</t>
        </is>
      </c>
    </row>
    <row r="1601" ht="34" customHeight="1">
      <c r="A1601" s="8" t="n">
        <v>1600</v>
      </c>
      <c r="B1601" s="8" t="n">
        <v>800164</v>
      </c>
      <c r="C1601" s="8" t="inlineStr">
        <is>
          <t>牵索引</t>
        </is>
      </c>
      <c r="D1601" s="8" t="inlineStr">
        <is>
          <t>招式</t>
        </is>
      </c>
      <c r="E1601" s="8" t="inlineStr">
        <is>
          <t>spell</t>
        </is>
      </c>
      <c r="F1601" s="8" t="inlineStr">
        <is>
          <t>common</t>
        </is>
      </c>
      <c r="G1601" s="8" t="inlineStr">
        <is>
          <t>水</t>
        </is>
      </c>
      <c r="H1601" s="8" t="inlineStr">
        <is>
          <t>water</t>
        </is>
      </c>
      <c r="I1601" s="8" t="inlineStr">
        <is>
          <t>1×1</t>
        </is>
      </c>
      <c r="J1601" s="8" t="n">
        <v>1</v>
      </c>
      <c r="K1601" s="8" t="inlineStr"/>
      <c r="L1601" s="8" t="inlineStr">
        <is>
          <t>是</t>
        </is>
      </c>
      <c r="M1601" s="9" t="inlineStr">
        <is>
          <t>scriptureSpellReward</t>
        </is>
      </c>
      <c r="N1601" s="8" t="n">
        <v>1</v>
      </c>
      <c r="O1601" s="9" t="inlineStr">
        <is>
          <t>说明/执行器</t>
        </is>
      </c>
      <c r="P1601" s="9" t="inlineStr">
        <is>
          <t>effectNote</t>
        </is>
      </c>
      <c r="Q1601" s="9" t="inlineStr">
        <is>
          <t>说明/执行器：长按释放，获得 3 层露水，使右侧所有武器获得 2 秒加速；敏捷不少于 5 层时，加速时间再增加 2 秒</t>
        </is>
      </c>
      <c r="R1601" s="9" t="inlineStr">
        <is>
          <t>scripture_spell</t>
        </is>
      </c>
      <c r="S1601" s="9" t="inlineStr">
        <is>
          <t>牵索引承接青河宗回澜牵机诀的行气法门，出手如水势转折。</t>
        </is>
      </c>
      <c r="T1601" s="8" t="inlineStr">
        <is>
          <t>spell_huilan_qianji_qiansuo_yin_1x1</t>
        </is>
      </c>
      <c r="U1601" s="8" t="inlineStr">
        <is>
          <t>allowed</t>
        </is>
      </c>
    </row>
    <row r="1602" ht="34" customHeight="1">
      <c r="A1602" s="8" t="n">
        <v>1601</v>
      </c>
      <c r="B1602" s="8" t="n">
        <v>800165</v>
      </c>
      <c r="C1602" s="8" t="inlineStr">
        <is>
          <t>舟钉回</t>
        </is>
      </c>
      <c r="D1602" s="8" t="inlineStr">
        <is>
          <t>招式</t>
        </is>
      </c>
      <c r="E1602" s="8" t="inlineStr">
        <is>
          <t>spell</t>
        </is>
      </c>
      <c r="F1602" s="8" t="inlineStr">
        <is>
          <t>common</t>
        </is>
      </c>
      <c r="G1602" s="8" t="inlineStr">
        <is>
          <t>水</t>
        </is>
      </c>
      <c r="H1602" s="8" t="inlineStr">
        <is>
          <t>water</t>
        </is>
      </c>
      <c r="I1602" s="8" t="inlineStr">
        <is>
          <t>1×1</t>
        </is>
      </c>
      <c r="J1602" s="8" t="n">
        <v>1</v>
      </c>
      <c r="K1602" s="8" t="inlineStr"/>
      <c r="L1602" s="8" t="inlineStr">
        <is>
          <t>是</t>
        </is>
      </c>
      <c r="M1602" s="9" t="inlineStr">
        <is>
          <t>scriptureSpellReward</t>
        </is>
      </c>
      <c r="N1602" s="8" t="n">
        <v>1</v>
      </c>
      <c r="O1602" s="9" t="inlineStr">
        <is>
          <t>说明/执行器</t>
        </is>
      </c>
      <c r="P1602" s="9" t="inlineStr">
        <is>
          <t>effectNote</t>
        </is>
      </c>
      <c r="Q1602" s="9" t="inlineStr">
        <is>
          <t>说明/执行器：长按释放，消耗 10 点体力，获得 3 层露水，使同行最右侧武器下一次伤害额外造成 30 点伤害</t>
        </is>
      </c>
      <c r="R1602" s="9" t="inlineStr">
        <is>
          <t>scripture_spell</t>
        </is>
      </c>
      <c r="S1602" s="9" t="inlineStr">
        <is>
          <t>舟钉回承接青河宗回澜牵机诀的行气法门，出手如水势转折。</t>
        </is>
      </c>
      <c r="T1602" s="8" t="inlineStr">
        <is>
          <t>spell_huilan_qianji_zhouding_hui_1x1</t>
        </is>
      </c>
      <c r="U1602" s="8" t="inlineStr">
        <is>
          <t>allowed</t>
        </is>
      </c>
    </row>
    <row r="1603" ht="34" customHeight="1">
      <c r="A1603" s="8" t="n">
        <v>1602</v>
      </c>
      <c r="B1603" s="8" t="n">
        <v>800166</v>
      </c>
      <c r="C1603" s="8" t="inlineStr">
        <is>
          <t>转舵卸</t>
        </is>
      </c>
      <c r="D1603" s="8" t="inlineStr">
        <is>
          <t>招式</t>
        </is>
      </c>
      <c r="E1603" s="8" t="inlineStr">
        <is>
          <t>spell</t>
        </is>
      </c>
      <c r="F1603" s="8" t="inlineStr">
        <is>
          <t>common</t>
        </is>
      </c>
      <c r="G1603" s="8" t="inlineStr">
        <is>
          <t>水</t>
        </is>
      </c>
      <c r="H1603" s="8" t="inlineStr">
        <is>
          <t>water</t>
        </is>
      </c>
      <c r="I1603" s="8" t="inlineStr">
        <is>
          <t>1×1</t>
        </is>
      </c>
      <c r="J1603" s="8" t="n">
        <v>1</v>
      </c>
      <c r="K1603" s="8" t="inlineStr"/>
      <c r="L1603" s="8" t="inlineStr">
        <is>
          <t>是</t>
        </is>
      </c>
      <c r="M1603" s="9" t="inlineStr">
        <is>
          <t>scriptureSpellReward</t>
        </is>
      </c>
      <c r="N1603" s="8" t="n">
        <v>1</v>
      </c>
      <c r="O1603" s="9" t="inlineStr">
        <is>
          <t>说明/执行器</t>
        </is>
      </c>
      <c r="P1603" s="9" t="inlineStr">
        <is>
          <t>effectNote</t>
        </is>
      </c>
      <c r="Q1603" s="9" t="inlineStr">
        <is>
          <t>说明/执行器：受到伤害时，使用体力抵挡 30% 的伤害（最多 50 点）</t>
        </is>
      </c>
      <c r="R1603" s="9" t="inlineStr">
        <is>
          <t>scripture_spell</t>
        </is>
      </c>
      <c r="S1603" s="9" t="inlineStr">
        <is>
          <t>转舵卸承接青河宗回澜牵机诀的行气法门，出手如水势转折。</t>
        </is>
      </c>
      <c r="T1603" s="8" t="inlineStr">
        <is>
          <t>spell_huilan_qianji_zhuanduo_xie_1x1</t>
        </is>
      </c>
      <c r="U1603" s="8" t="inlineStr">
        <is>
          <t>allowed</t>
        </is>
      </c>
    </row>
    <row r="1604" ht="34" customHeight="1">
      <c r="A1604" s="8" t="n">
        <v>1603</v>
      </c>
      <c r="B1604" s="8" t="n">
        <v>800167</v>
      </c>
      <c r="C1604" s="8" t="inlineStr">
        <is>
          <t>横缆困</t>
        </is>
      </c>
      <c r="D1604" s="8" t="inlineStr">
        <is>
          <t>招式</t>
        </is>
      </c>
      <c r="E1604" s="8" t="inlineStr">
        <is>
          <t>spell</t>
        </is>
      </c>
      <c r="F1604" s="8" t="inlineStr">
        <is>
          <t>common</t>
        </is>
      </c>
      <c r="G1604" s="8" t="inlineStr">
        <is>
          <t>水</t>
        </is>
      </c>
      <c r="H1604" s="8" t="inlineStr">
        <is>
          <t>water</t>
        </is>
      </c>
      <c r="I1604" s="8" t="inlineStr">
        <is>
          <t>1×1</t>
        </is>
      </c>
      <c r="J1604" s="8" t="n">
        <v>1</v>
      </c>
      <c r="K1604" s="8" t="inlineStr"/>
      <c r="L1604" s="8" t="inlineStr">
        <is>
          <t>是</t>
        </is>
      </c>
      <c r="M1604" s="9" t="inlineStr">
        <is>
          <t>scriptureSpellReward</t>
        </is>
      </c>
      <c r="N1604" s="8" t="n">
        <v>1</v>
      </c>
      <c r="O1604" s="9" t="inlineStr">
        <is>
          <t>说明/执行器</t>
        </is>
      </c>
      <c r="P1604" s="9" t="inlineStr">
        <is>
          <t>effectNote</t>
        </is>
      </c>
      <c r="Q1604" s="9" t="inlineStr">
        <is>
          <t>说明/执行器：长按释放，消耗 6 点体力，使敌方随机 2 件道具减速 5 秒</t>
        </is>
      </c>
      <c r="R1604" s="9" t="inlineStr">
        <is>
          <t>scripture_spell</t>
        </is>
      </c>
      <c r="S1604" s="9" t="inlineStr">
        <is>
          <t>横缆困承接青河宗回澜牵机诀的行气法门，出手如水势转折。</t>
        </is>
      </c>
      <c r="T1604" s="8" t="inlineStr">
        <is>
          <t>spell_huilan_qianji_henglan_kun_1x1</t>
        </is>
      </c>
      <c r="U1604" s="8" t="inlineStr">
        <is>
          <t>allowed</t>
        </is>
      </c>
    </row>
    <row r="1605" ht="34" customHeight="1">
      <c r="A1605" s="8" t="n">
        <v>1604</v>
      </c>
      <c r="B1605" s="8" t="n">
        <v>800168</v>
      </c>
      <c r="C1605" s="8" t="inlineStr">
        <is>
          <t>回澜振</t>
        </is>
      </c>
      <c r="D1605" s="8" t="inlineStr">
        <is>
          <t>招式</t>
        </is>
      </c>
      <c r="E1605" s="8" t="inlineStr">
        <is>
          <t>spell</t>
        </is>
      </c>
      <c r="F1605" s="8" t="inlineStr">
        <is>
          <t>common</t>
        </is>
      </c>
      <c r="G1605" s="8" t="inlineStr">
        <is>
          <t>水</t>
        </is>
      </c>
      <c r="H1605" s="8" t="inlineStr">
        <is>
          <t>water</t>
        </is>
      </c>
      <c r="I1605" s="8" t="inlineStr">
        <is>
          <t>1×1</t>
        </is>
      </c>
      <c r="J1605" s="8" t="n">
        <v>1</v>
      </c>
      <c r="K1605" s="8" t="inlineStr"/>
      <c r="L1605" s="8" t="inlineStr">
        <is>
          <t>是</t>
        </is>
      </c>
      <c r="M1605" s="9" t="inlineStr">
        <is>
          <t>scriptureSpellReward</t>
        </is>
      </c>
      <c r="N1605" s="8" t="n">
        <v>1</v>
      </c>
      <c r="O1605" s="9" t="inlineStr">
        <is>
          <t>说明/执行器</t>
        </is>
      </c>
      <c r="P1605" s="9" t="inlineStr">
        <is>
          <t>effectNote</t>
        </is>
      </c>
      <c r="Q1605" s="9" t="inlineStr">
        <is>
          <t>说明/执行器：长按释放，消耗 14 点体力，敌方每有 1 件道具处于加速状态，随机使 1 件道具获得 3 秒减速</t>
        </is>
      </c>
      <c r="R1605" s="9" t="inlineStr">
        <is>
          <t>scripture_spell</t>
        </is>
      </c>
      <c r="S1605" s="9" t="inlineStr">
        <is>
          <t>回澜振承接青河宗回澜牵机诀的行气法门，出手如水势转折。</t>
        </is>
      </c>
      <c r="T1605" s="8" t="inlineStr">
        <is>
          <t>spell_huilan_qianji_huilan_zhen_1x1</t>
        </is>
      </c>
      <c r="U1605" s="8" t="inlineStr">
        <is>
          <t>allowed</t>
        </is>
      </c>
    </row>
    <row r="1606" ht="34" customHeight="1">
      <c r="A1606" s="8" t="n">
        <v>1605</v>
      </c>
      <c r="B1606" s="8" t="n">
        <v>800169</v>
      </c>
      <c r="C1606" s="8" t="inlineStr">
        <is>
          <t>百机同牵</t>
        </is>
      </c>
      <c r="D1606" s="8" t="inlineStr">
        <is>
          <t>招式</t>
        </is>
      </c>
      <c r="E1606" s="8" t="inlineStr">
        <is>
          <t>spell</t>
        </is>
      </c>
      <c r="F1606" s="8" t="inlineStr">
        <is>
          <t>common</t>
        </is>
      </c>
      <c r="G1606" s="8" t="inlineStr">
        <is>
          <t>水</t>
        </is>
      </c>
      <c r="H1606" s="8" t="inlineStr">
        <is>
          <t>water</t>
        </is>
      </c>
      <c r="I1606" s="8" t="inlineStr">
        <is>
          <t>1×1</t>
        </is>
      </c>
      <c r="J1606" s="8" t="n">
        <v>1</v>
      </c>
      <c r="K1606" s="8" t="inlineStr"/>
      <c r="L1606" s="8" t="inlineStr">
        <is>
          <t>是</t>
        </is>
      </c>
      <c r="M1606" s="9" t="inlineStr">
        <is>
          <t>scriptureSpellReward</t>
        </is>
      </c>
      <c r="N1606" s="8" t="n">
        <v>1</v>
      </c>
      <c r="O1606" s="9" t="inlineStr">
        <is>
          <t>说明/执行器</t>
        </is>
      </c>
      <c r="P1606" s="9" t="inlineStr">
        <is>
          <t>effectNote</t>
        </is>
      </c>
      <c r="Q1606" s="9" t="inlineStr">
        <is>
          <t>说明/执行器：长按释放，消耗全部露水和 20 点体力，敌我场上每有 1 件加速或减速道具，对敌方造成 10 点伤害</t>
        </is>
      </c>
      <c r="R1606" s="9" t="inlineStr">
        <is>
          <t>scripture_spell</t>
        </is>
      </c>
      <c r="S1606" s="9" t="inlineStr">
        <is>
          <t>百机同牵承接青河宗回澜牵机诀的行气法门，出手如水势转折。</t>
        </is>
      </c>
      <c r="T1606" s="8" t="inlineStr">
        <is>
          <t>spell_huilan_qianji_baiji_tongqian_1x1</t>
        </is>
      </c>
      <c r="U1606" s="8" t="inlineStr">
        <is>
          <t>allowed</t>
        </is>
      </c>
    </row>
    <row r="1607" ht="34" customHeight="1">
      <c r="A1607" s="8" t="n">
        <v>1606</v>
      </c>
      <c r="B1607" s="8" t="n">
        <v>800262</v>
      </c>
      <c r="C1607" s="8" t="inlineStr">
        <is>
          <t>引露</t>
        </is>
      </c>
      <c r="D1607" s="8" t="inlineStr">
        <is>
          <t>招式</t>
        </is>
      </c>
      <c r="E1607" s="8" t="inlineStr">
        <is>
          <t>spell</t>
        </is>
      </c>
      <c r="F1607" s="8" t="inlineStr">
        <is>
          <t>common</t>
        </is>
      </c>
      <c r="G1607" s="8" t="inlineStr">
        <is>
          <t>水</t>
        </is>
      </c>
      <c r="H1607" s="8" t="inlineStr">
        <is>
          <t>water</t>
        </is>
      </c>
      <c r="I1607" s="8" t="inlineStr">
        <is>
          <t>1×1</t>
        </is>
      </c>
      <c r="J1607" s="8" t="n">
        <v>1</v>
      </c>
      <c r="K1607" s="8" t="inlineStr"/>
      <c r="L1607" s="8" t="inlineStr">
        <is>
          <t>是</t>
        </is>
      </c>
      <c r="M1607" s="9" t="inlineStr">
        <is>
          <t>scriptureSpellReward</t>
        </is>
      </c>
      <c r="N1607" s="8" t="n">
        <v>1</v>
      </c>
      <c r="O1607" s="9" t="inlineStr">
        <is>
          <t>周期触发</t>
        </is>
      </c>
      <c r="P1607" s="9" t="inlineStr">
        <is>
          <t>periodicPulse</t>
        </is>
      </c>
      <c r="Q1607" s="9" t="inlineStr">
        <is>
          <t>周期触发：开局时，将 10 点法力转化为 10 层露水</t>
        </is>
      </c>
      <c r="R1607" s="9" t="inlineStr">
        <is>
          <t>scripture_spell</t>
        </is>
      </c>
      <c r="S1607" s="9" t="inlineStr">
        <is>
          <t>指尖一引，藏在经脉里的水意便凝成晨露，沿着掌纹汇入川流。</t>
        </is>
      </c>
      <c r="T1607" s="8" t="inlineStr">
        <is>
          <t>spell_yuxi_fencha_yinlu_1x1</t>
        </is>
      </c>
      <c r="U1607" s="8" t="inlineStr">
        <is>
          <t>allowed</t>
        </is>
      </c>
    </row>
    <row r="1608" ht="34" customHeight="1">
      <c r="A1608" s="8" t="n">
        <v>1607</v>
      </c>
      <c r="B1608" s="8" t="n">
        <v>800263</v>
      </c>
      <c r="C1608" s="8" t="inlineStr">
        <is>
          <t>水线穿心</t>
        </is>
      </c>
      <c r="D1608" s="8" t="inlineStr">
        <is>
          <t>招式</t>
        </is>
      </c>
      <c r="E1608" s="8" t="inlineStr">
        <is>
          <t>spell</t>
        </is>
      </c>
      <c r="F1608" s="8" t="inlineStr">
        <is>
          <t>common</t>
        </is>
      </c>
      <c r="G1608" s="8" t="inlineStr">
        <is>
          <t>水</t>
        </is>
      </c>
      <c r="H1608" s="8" t="inlineStr">
        <is>
          <t>water</t>
        </is>
      </c>
      <c r="I1608" s="8" t="inlineStr">
        <is>
          <t>1×2</t>
        </is>
      </c>
      <c r="J1608" s="8" t="n">
        <v>2</v>
      </c>
      <c r="K1608" s="8" t="inlineStr"/>
      <c r="L1608" s="8" t="inlineStr">
        <is>
          <t>是</t>
        </is>
      </c>
      <c r="M1608" s="9" t="inlineStr">
        <is>
          <t>scriptureSpellReward</t>
        </is>
      </c>
      <c r="N1608" s="8" t="n">
        <v>1</v>
      </c>
      <c r="O1608" s="9" t="inlineStr">
        <is>
          <t>周期触发</t>
        </is>
      </c>
      <c r="P1608" s="9" t="inlineStr">
        <is>
          <t>periodicPulse</t>
        </is>
      </c>
      <c r="Q1608" s="9" t="inlineStr">
        <is>
          <t>周期触发：开局时，如果本列全部都是水属性招式，每个水属性招式对敌方造成 15 点伤害</t>
        </is>
      </c>
      <c r="R1608" s="9" t="inlineStr">
        <is>
          <t>scripture_spell</t>
        </is>
      </c>
      <c r="S1608" s="9" t="inlineStr">
        <is>
          <t>六脉水线在同一道河槽中骤然并流，细若游丝，去势却能贯穿石心。</t>
        </is>
      </c>
      <c r="T1608" s="8" t="inlineStr">
        <is>
          <t>spell_yuxi_cequ_chuanxin_1x2</t>
        </is>
      </c>
      <c r="U1608" s="8" t="inlineStr">
        <is>
          <t>allowed</t>
        </is>
      </c>
    </row>
    <row r="1609" ht="34" customHeight="1">
      <c r="A1609" s="8" t="n">
        <v>1608</v>
      </c>
      <c r="B1609" s="8" t="n">
        <v>800264</v>
      </c>
      <c r="C1609" s="8" t="inlineStr">
        <is>
          <t>潮满则寒</t>
        </is>
      </c>
      <c r="D1609" s="8" t="inlineStr">
        <is>
          <t>招式</t>
        </is>
      </c>
      <c r="E1609" s="8" t="inlineStr">
        <is>
          <t>spell</t>
        </is>
      </c>
      <c r="F1609" s="8" t="inlineStr">
        <is>
          <t>common</t>
        </is>
      </c>
      <c r="G1609" s="8" t="inlineStr">
        <is>
          <t>水</t>
        </is>
      </c>
      <c r="H1609" s="8" t="inlineStr">
        <is>
          <t>water</t>
        </is>
      </c>
      <c r="I1609" s="8" t="inlineStr">
        <is>
          <t>2×1</t>
        </is>
      </c>
      <c r="J1609" s="8" t="n">
        <v>2</v>
      </c>
      <c r="K1609" s="8" t="inlineStr"/>
      <c r="L1609" s="8" t="inlineStr">
        <is>
          <t>是</t>
        </is>
      </c>
      <c r="M1609" s="9" t="inlineStr">
        <is>
          <t>scriptureSpellReward</t>
        </is>
      </c>
      <c r="N1609" s="8" t="n">
        <v>1</v>
      </c>
      <c r="O1609" s="9" t="inlineStr">
        <is>
          <t>周期触发</t>
        </is>
      </c>
      <c r="P1609" s="9" t="inlineStr">
        <is>
          <t>periodicPulse</t>
        </is>
      </c>
      <c r="Q1609" s="9" t="inlineStr">
        <is>
          <t>周期触发：消耗 5 点法力，每有 3 层寒冷，对敌方施加 1 层冰霜</t>
        </is>
      </c>
      <c r="R1609" s="9" t="inlineStr">
        <is>
          <t>scripture_spell</t>
        </is>
      </c>
      <c r="S1609" s="9" t="inlineStr">
        <is>
          <t>潮水漫过旧刻的寒线，水声一静，霜意便沿堤岸寸寸结起。</t>
        </is>
      </c>
      <c r="T1609" s="8" t="inlineStr">
        <is>
          <t>spell_yuxi_xuchao_fengmai_2x1</t>
        </is>
      </c>
      <c r="U1609" s="8" t="inlineStr">
        <is>
          <t>allowed</t>
        </is>
      </c>
    </row>
    <row r="1610" ht="34" customHeight="1">
      <c r="A1610" s="8" t="n">
        <v>1609</v>
      </c>
      <c r="B1610" s="8" t="n">
        <v>800265</v>
      </c>
      <c r="C1610" s="8" t="inlineStr">
        <is>
          <t>寒汊回生法</t>
        </is>
      </c>
      <c r="D1610" s="8" t="inlineStr">
        <is>
          <t>招式</t>
        </is>
      </c>
      <c r="E1610" s="8" t="inlineStr">
        <is>
          <t>spell</t>
        </is>
      </c>
      <c r="F1610" s="8" t="inlineStr">
        <is>
          <t>common</t>
        </is>
      </c>
      <c r="G1610" s="8" t="inlineStr">
        <is>
          <t>水</t>
        </is>
      </c>
      <c r="H1610" s="8" t="inlineStr">
        <is>
          <t>water</t>
        </is>
      </c>
      <c r="I1610" s="8" t="inlineStr">
        <is>
          <t>1×3</t>
        </is>
      </c>
      <c r="J1610" s="8" t="n">
        <v>3</v>
      </c>
      <c r="K1610" s="8" t="inlineStr"/>
      <c r="L1610" s="8" t="inlineStr">
        <is>
          <t>是</t>
        </is>
      </c>
      <c r="M1610" s="9" t="inlineStr">
        <is>
          <t>scriptureSpellReward</t>
        </is>
      </c>
      <c r="N1610" s="8" t="n">
        <v>1</v>
      </c>
      <c r="O1610" s="9" t="inlineStr">
        <is>
          <t>周期触发</t>
        </is>
      </c>
      <c r="P1610" s="9" t="inlineStr">
        <is>
          <t>periodicPulse</t>
        </is>
      </c>
      <c r="Q1610" s="9" t="inlineStr">
        <is>
          <t>周期触发：寒冷层数超过 20 时，恢复 20 点气血和 10 点法力</t>
        </is>
      </c>
      <c r="R1610" s="9" t="inlineStr">
        <is>
          <t>scripture_spell</t>
        </is>
      </c>
      <c r="S1610" s="9" t="inlineStr">
        <is>
          <t>冻结的支汊并未断流，寒意回旋一周，反将清冽生机送回丹田。</t>
        </is>
      </c>
      <c r="T1610" s="8" t="inlineStr">
        <is>
          <t>spell_yuxi_huicha_nayuan_1x3</t>
        </is>
      </c>
      <c r="U1610" s="8" t="inlineStr">
        <is>
          <t>allowed</t>
        </is>
      </c>
    </row>
    <row r="1611" ht="34" customHeight="1">
      <c r="A1611" s="8" t="n">
        <v>1610</v>
      </c>
      <c r="B1611" s="8" t="n">
        <v>800266</v>
      </c>
      <c r="C1611" s="8" t="inlineStr">
        <is>
          <t>开三闸</t>
        </is>
      </c>
      <c r="D1611" s="8" t="inlineStr">
        <is>
          <t>招式</t>
        </is>
      </c>
      <c r="E1611" s="8" t="inlineStr">
        <is>
          <t>spell</t>
        </is>
      </c>
      <c r="F1611" s="8" t="inlineStr">
        <is>
          <t>common</t>
        </is>
      </c>
      <c r="G1611" s="8" t="inlineStr">
        <is>
          <t>水</t>
        </is>
      </c>
      <c r="H1611" s="8" t="inlineStr">
        <is>
          <t>water</t>
        </is>
      </c>
      <c r="I1611" s="8" t="inlineStr">
        <is>
          <t>2×2</t>
        </is>
      </c>
      <c r="J1611" s="8" t="n">
        <v>4</v>
      </c>
      <c r="K1611" s="8" t="inlineStr"/>
      <c r="L1611" s="8" t="inlineStr">
        <is>
          <t>是</t>
        </is>
      </c>
      <c r="M1611" s="9" t="inlineStr">
        <is>
          <t>scriptureSpellReward</t>
        </is>
      </c>
      <c r="N1611" s="8" t="n">
        <v>1</v>
      </c>
      <c r="O1611" s="9" t="inlineStr">
        <is>
          <t>说明/执行器</t>
        </is>
      </c>
      <c r="P1611" s="9" t="inlineStr">
        <is>
          <t>effectNote</t>
        </is>
      </c>
      <c r="Q1611" s="9" t="inlineStr">
        <is>
          <t>说明/执行器：每当使用水属性消耗品时，对敌方造成 3 次 10 点伤害；使用水属性消耗品时造成 10 点伤害；使用水属性消耗品时再次造成 10 点伤害；使用水属性消耗品时第三次造成 10 点伤害</t>
        </is>
      </c>
      <c r="R1611" s="9" t="inlineStr">
        <is>
          <t>scripture_spell</t>
        </is>
      </c>
      <c r="S1611" s="9" t="inlineStr">
        <is>
          <t>三道水闸依次拔起，符水连成急浪，一重未落，下一重已撞上敌阵。</t>
        </is>
      </c>
      <c r="T1611" s="8" t="inlineStr">
        <is>
          <t>spell_yuxi_sanzha_bingji_2x2</t>
        </is>
      </c>
      <c r="U1611" s="8" t="inlineStr">
        <is>
          <t>allowed</t>
        </is>
      </c>
    </row>
    <row r="1612" ht="34" customHeight="1">
      <c r="A1612" s="8" t="n">
        <v>1611</v>
      </c>
      <c r="B1612" s="8" t="n">
        <v>800267</v>
      </c>
      <c r="C1612" s="8" t="inlineStr">
        <is>
          <t>潮头压境</t>
        </is>
      </c>
      <c r="D1612" s="8" t="inlineStr">
        <is>
          <t>招式</t>
        </is>
      </c>
      <c r="E1612" s="8" t="inlineStr">
        <is>
          <t>spell</t>
        </is>
      </c>
      <c r="F1612" s="8" t="inlineStr">
        <is>
          <t>common</t>
        </is>
      </c>
      <c r="G1612" s="8" t="inlineStr">
        <is>
          <t>水</t>
        </is>
      </c>
      <c r="H1612" s="8" t="inlineStr">
        <is>
          <t>water</t>
        </is>
      </c>
      <c r="I1612" s="8" t="inlineStr">
        <is>
          <t>2×3</t>
        </is>
      </c>
      <c r="J1612" s="8" t="n">
        <v>6</v>
      </c>
      <c r="K1612" s="8" t="inlineStr"/>
      <c r="L1612" s="8" t="inlineStr">
        <is>
          <t>是</t>
        </is>
      </c>
      <c r="M1612" s="9" t="inlineStr">
        <is>
          <t>scriptureSpellReward</t>
        </is>
      </c>
      <c r="N1612" s="8" t="n">
        <v>1</v>
      </c>
      <c r="O1612" s="9" t="inlineStr">
        <is>
          <t>周期触发</t>
        </is>
      </c>
      <c r="P1612" s="9" t="inlineStr">
        <is>
          <t>periodicPulse</t>
        </is>
      </c>
      <c r="Q1612" s="9" t="inlineStr">
        <is>
          <t>周期触发：轮转时，我方露水达到敌方 2 倍时，对敌方施加 10 层冰霜</t>
        </is>
      </c>
      <c r="R1612" s="9" t="inlineStr">
        <is>
          <t>scripture_spell</t>
        </is>
      </c>
      <c r="S1612" s="9" t="inlineStr">
        <is>
          <t>两方水势在闸前相较，强潮卷过弱岸，留下沉得抬不起脚的湿沙。</t>
        </is>
      </c>
      <c r="T1612" s="8" t="inlineStr">
        <is>
          <t>spell_yuxi_chaomu_humai_2x3</t>
        </is>
      </c>
      <c r="U1612" s="8" t="inlineStr">
        <is>
          <t>allowed</t>
        </is>
      </c>
    </row>
    <row r="1613" ht="34" customHeight="1">
      <c r="A1613" s="8" t="n">
        <v>1612</v>
      </c>
      <c r="B1613" s="8" t="n">
        <v>800268</v>
      </c>
      <c r="C1613" s="8" t="inlineStr">
        <is>
          <t>万流成冰</t>
        </is>
      </c>
      <c r="D1613" s="8" t="inlineStr">
        <is>
          <t>招式</t>
        </is>
      </c>
      <c r="E1613" s="8" t="inlineStr">
        <is>
          <t>spell</t>
        </is>
      </c>
      <c r="F1613" s="8" t="inlineStr">
        <is>
          <t>common</t>
        </is>
      </c>
      <c r="G1613" s="8" t="inlineStr">
        <is>
          <t>水</t>
        </is>
      </c>
      <c r="H1613" s="8" t="inlineStr">
        <is>
          <t>water</t>
        </is>
      </c>
      <c r="I1613" s="8" t="inlineStr">
        <is>
          <t>2×3</t>
        </is>
      </c>
      <c r="J1613" s="8" t="n">
        <v>6</v>
      </c>
      <c r="K1613" s="8" t="inlineStr"/>
      <c r="L1613" s="8" t="inlineStr">
        <is>
          <t>是</t>
        </is>
      </c>
      <c r="M1613" s="9" t="inlineStr">
        <is>
          <t>scriptureSpellReward</t>
        </is>
      </c>
      <c r="N1613" s="8" t="n">
        <v>1</v>
      </c>
      <c r="O1613" s="9" t="inlineStr">
        <is>
          <t>说明/执行器</t>
        </is>
      </c>
      <c r="P1613" s="9" t="inlineStr">
        <is>
          <t>effectNote</t>
        </is>
      </c>
      <c r="Q1613" s="9" t="inlineStr">
        <is>
          <t>说明/执行器：长按释放，每有 1 个水属性法器，使敌方随机 1 件道具冻结 1 秒</t>
        </is>
      </c>
      <c r="R1613" s="9" t="inlineStr">
        <is>
          <t>scripture_spell</t>
        </is>
      </c>
      <c r="S1613" s="9" t="inlineStr">
        <is>
          <t>法器引来万条细流，月落之前，敌阵已被封进一片无声冰河。</t>
        </is>
      </c>
      <c r="T1613" s="8" t="inlineStr">
        <is>
          <t>spell_yuxi_wancha_guichao_2x3</t>
        </is>
      </c>
      <c r="U1613" s="8" t="inlineStr">
        <is>
          <t>allowed</t>
        </is>
      </c>
    </row>
    <row r="1614" ht="34" customHeight="1">
      <c r="A1614" s="8" t="n">
        <v>1613</v>
      </c>
      <c r="B1614" s="8" t="n">
        <v>800269</v>
      </c>
      <c r="C1614" s="8" t="inlineStr">
        <is>
          <t>借来一阵风</t>
        </is>
      </c>
      <c r="D1614" s="8" t="inlineStr">
        <is>
          <t>招式</t>
        </is>
      </c>
      <c r="E1614" s="8" t="inlineStr">
        <is>
          <t>spell</t>
        </is>
      </c>
      <c r="F1614" s="8" t="inlineStr">
        <is>
          <t>common</t>
        </is>
      </c>
      <c r="G1614" s="8" t="inlineStr">
        <is>
          <t>风</t>
        </is>
      </c>
      <c r="H1614" s="8" t="inlineStr">
        <is>
          <t>wind</t>
        </is>
      </c>
      <c r="I1614" s="8" t="inlineStr">
        <is>
          <t>1×1</t>
        </is>
      </c>
      <c r="J1614" s="8" t="n">
        <v>1</v>
      </c>
      <c r="K1614" s="8" t="inlineStr"/>
      <c r="L1614" s="8" t="inlineStr">
        <is>
          <t>是</t>
        </is>
      </c>
      <c r="M1614" s="9" t="inlineStr">
        <is>
          <t>scriptureSpellReward</t>
        </is>
      </c>
      <c r="N1614" s="8" t="n">
        <v>1</v>
      </c>
      <c r="O1614" s="9" t="inlineStr">
        <is>
          <t>条件触发</t>
        </is>
      </c>
      <c r="P1614" s="9" t="inlineStr">
        <is>
          <t>triggered</t>
        </is>
      </c>
      <c r="Q1614" s="9" t="inlineStr">
        <is>
          <t>条件触发：每当上下相邻招式释放时，获得 1 层敏捷</t>
        </is>
      </c>
      <c r="R1614" s="9" t="inlineStr">
        <is>
          <t>scripture_spell</t>
        </is>
      </c>
      <c r="S1614" s="9" t="inlineStr">
        <is>
          <t>两侧招式一动，帆角便借来一缕顺风，把舟身轻轻托离浪脊。</t>
        </is>
      </c>
      <c r="T1614" s="8" t="inlineStr">
        <is>
          <t>spell_yuxi_jiefeng_shengjie_1x1</t>
        </is>
      </c>
      <c r="U1614" s="8" t="inlineStr">
        <is>
          <t>allowed</t>
        </is>
      </c>
    </row>
    <row r="1615" ht="34" customHeight="1">
      <c r="A1615" s="8" t="n">
        <v>1614</v>
      </c>
      <c r="B1615" s="8" t="n">
        <v>800270</v>
      </c>
      <c r="C1615" s="8" t="inlineStr">
        <is>
          <t>割浪</t>
        </is>
      </c>
      <c r="D1615" s="8" t="inlineStr">
        <is>
          <t>招式</t>
        </is>
      </c>
      <c r="E1615" s="8" t="inlineStr">
        <is>
          <t>spell</t>
        </is>
      </c>
      <c r="F1615" s="8" t="inlineStr">
        <is>
          <t>common</t>
        </is>
      </c>
      <c r="G1615" s="8" t="inlineStr">
        <is>
          <t>风</t>
        </is>
      </c>
      <c r="H1615" s="8" t="inlineStr">
        <is>
          <t>wind</t>
        </is>
      </c>
      <c r="I1615" s="8" t="inlineStr">
        <is>
          <t>1×2</t>
        </is>
      </c>
      <c r="J1615" s="8" t="n">
        <v>2</v>
      </c>
      <c r="K1615" s="8" t="inlineStr"/>
      <c r="L1615" s="8" t="inlineStr">
        <is>
          <t>是</t>
        </is>
      </c>
      <c r="M1615" s="9" t="inlineStr">
        <is>
          <t>scriptureSpellReward</t>
        </is>
      </c>
      <c r="N1615" s="8" t="n">
        <v>1</v>
      </c>
      <c r="O1615" s="9" t="inlineStr">
        <is>
          <t>周期触发</t>
        </is>
      </c>
      <c r="P1615" s="9" t="inlineStr">
        <is>
          <t>periodicPulse</t>
        </is>
      </c>
      <c r="Q1615" s="9" t="inlineStr">
        <is>
          <t>周期触发：轮转时，如果再生不低于 8 层且敏捷不低于 4 层，对敌方造成 18 点伤害</t>
        </is>
      </c>
      <c r="R1615" s="9" t="inlineStr">
        <is>
          <t>scripture_spell</t>
        </is>
      </c>
      <c r="S1615" s="9" t="inlineStr">
        <is>
          <t>露水压稳船头，风意撑满侧帆，薄刃便从浪腹切出一道白线。</t>
        </is>
      </c>
      <c r="T1615" s="8" t="inlineStr">
        <is>
          <t>spell_yuxi_qingzhou_gelang_1x2</t>
        </is>
      </c>
      <c r="U1615" s="8" t="inlineStr">
        <is>
          <t>allowed</t>
        </is>
      </c>
    </row>
    <row r="1616" ht="34" customHeight="1">
      <c r="A1616" s="8" t="n">
        <v>1615</v>
      </c>
      <c r="B1616" s="8" t="n">
        <v>800271</v>
      </c>
      <c r="C1616" s="8" t="inlineStr">
        <is>
          <t>药尽帆张</t>
        </is>
      </c>
      <c r="D1616" s="8" t="inlineStr">
        <is>
          <t>招式</t>
        </is>
      </c>
      <c r="E1616" s="8" t="inlineStr">
        <is>
          <t>spell</t>
        </is>
      </c>
      <c r="F1616" s="8" t="inlineStr">
        <is>
          <t>common</t>
        </is>
      </c>
      <c r="G1616" s="8" t="inlineStr">
        <is>
          <t>风</t>
        </is>
      </c>
      <c r="H1616" s="8" t="inlineStr">
        <is>
          <t>wind</t>
        </is>
      </c>
      <c r="I1616" s="8" t="inlineStr">
        <is>
          <t>2×1</t>
        </is>
      </c>
      <c r="J1616" s="8" t="n">
        <v>2</v>
      </c>
      <c r="K1616" s="8" t="inlineStr"/>
      <c r="L1616" s="8" t="inlineStr">
        <is>
          <t>是</t>
        </is>
      </c>
      <c r="M1616" s="9" t="inlineStr">
        <is>
          <t>scriptureSpellReward</t>
        </is>
      </c>
      <c r="N1616" s="8" t="n">
        <v>1</v>
      </c>
      <c r="O1616" s="9" t="inlineStr">
        <is>
          <t>条件触发</t>
        </is>
      </c>
      <c r="P1616" s="9" t="inlineStr">
        <is>
          <t>triggered</t>
        </is>
      </c>
      <c r="Q1616" s="9" t="inlineStr">
        <is>
          <t>条件触发：每当有丹药耗尽时，获得 5 层敏捷</t>
        </is>
      </c>
      <c r="R1616" s="9" t="inlineStr">
        <is>
          <t>scripture_spell</t>
        </is>
      </c>
      <c r="S1616" s="9" t="inlineStr">
        <is>
          <t>丹香散尽的余热钻入帆骨，原本低垂的长帆骤然鼓满。</t>
        </is>
      </c>
      <c r="T1616" s="8" t="inlineStr">
        <is>
          <t>spell_yuxi_qianfan_bingjin_2x1</t>
        </is>
      </c>
      <c r="U1616" s="8" t="inlineStr">
        <is>
          <t>allowed</t>
        </is>
      </c>
    </row>
    <row r="1617" ht="34" customHeight="1">
      <c r="A1617" s="8" t="n">
        <v>1616</v>
      </c>
      <c r="B1617" s="8" t="n">
        <v>800272</v>
      </c>
      <c r="C1617" s="8" t="inlineStr">
        <is>
          <t>歇舟养气法</t>
        </is>
      </c>
      <c r="D1617" s="8" t="inlineStr">
        <is>
          <t>招式</t>
        </is>
      </c>
      <c r="E1617" s="8" t="inlineStr">
        <is>
          <t>spell</t>
        </is>
      </c>
      <c r="F1617" s="8" t="inlineStr">
        <is>
          <t>common</t>
        </is>
      </c>
      <c r="G1617" s="8" t="inlineStr">
        <is>
          <t>风</t>
        </is>
      </c>
      <c r="H1617" s="8" t="inlineStr">
        <is>
          <t>wind</t>
        </is>
      </c>
      <c r="I1617" s="8" t="inlineStr">
        <is>
          <t>1×3</t>
        </is>
      </c>
      <c r="J1617" s="8" t="n">
        <v>3</v>
      </c>
      <c r="K1617" s="8" t="inlineStr"/>
      <c r="L1617" s="8" t="inlineStr">
        <is>
          <t>是</t>
        </is>
      </c>
      <c r="M1617" s="9" t="inlineStr">
        <is>
          <t>scriptureSpellReward</t>
        </is>
      </c>
      <c r="N1617" s="8" t="n">
        <v>1</v>
      </c>
      <c r="O1617" s="9" t="inlineStr">
        <is>
          <t>条件触发</t>
        </is>
      </c>
      <c r="P1617" s="9" t="inlineStr">
        <is>
          <t>triggered</t>
        </is>
      </c>
      <c r="Q1617" s="9" t="inlineStr">
        <is>
          <t>条件触发：每消耗 1 层敏捷，恢复 2 点气血</t>
        </is>
      </c>
      <c r="R1617" s="9" t="inlineStr">
        <is>
          <t>scripture_spell</t>
        </is>
      </c>
      <c r="S1617" s="9" t="inlineStr">
        <is>
          <t>舟泊背风湾，卸下的风势化作温流，悄悄抚平行船留下的暗伤。</t>
        </is>
      </c>
      <c r="T1617" s="8" t="inlineStr">
        <is>
          <t>spell_yuxi_zhewei_xiezhong_1x3</t>
        </is>
      </c>
      <c r="U1617" s="8" t="inlineStr">
        <is>
          <t>allowed</t>
        </is>
      </c>
    </row>
    <row r="1618" ht="34" customHeight="1">
      <c r="A1618" s="8" t="n">
        <v>1617</v>
      </c>
      <c r="B1618" s="8" t="n">
        <v>800273</v>
      </c>
      <c r="C1618" s="8" t="inlineStr">
        <is>
          <t>逆汐穿港</t>
        </is>
      </c>
      <c r="D1618" s="8" t="inlineStr">
        <is>
          <t>招式</t>
        </is>
      </c>
      <c r="E1618" s="8" t="inlineStr">
        <is>
          <t>spell</t>
        </is>
      </c>
      <c r="F1618" s="8" t="inlineStr">
        <is>
          <t>common</t>
        </is>
      </c>
      <c r="G1618" s="8" t="inlineStr">
        <is>
          <t>风</t>
        </is>
      </c>
      <c r="H1618" s="8" t="inlineStr">
        <is>
          <t>wind</t>
        </is>
      </c>
      <c r="I1618" s="8" t="inlineStr">
        <is>
          <t>2×2</t>
        </is>
      </c>
      <c r="J1618" s="8" t="n">
        <v>4</v>
      </c>
      <c r="K1618" s="8" t="inlineStr"/>
      <c r="L1618" s="8" t="inlineStr">
        <is>
          <t>是</t>
        </is>
      </c>
      <c r="M1618" s="9" t="inlineStr">
        <is>
          <t>scriptureSpellReward</t>
        </is>
      </c>
      <c r="N1618" s="8" t="n">
        <v>1</v>
      </c>
      <c r="O1618" s="9" t="inlineStr">
        <is>
          <t>说明/执行器</t>
        </is>
      </c>
      <c r="P1618" s="9" t="inlineStr">
        <is>
          <t>effectNote</t>
        </is>
      </c>
      <c r="Q1618" s="9" t="inlineStr">
        <is>
          <t>说明/执行器：本局内，体力上限 +0、法力上限 +0，每次获得敏捷后效果升级。；本局内，体力上限；法力上限</t>
        </is>
      </c>
      <c r="R1618" s="9" t="inlineStr">
        <is>
          <t>scripture_spell</t>
        </is>
      </c>
      <c r="S1618" s="9" t="inlineStr">
        <is>
          <t>每次借风，舟腹便拓开一寸气海；逆潮越急，容得下的水势越多。</t>
        </is>
      </c>
      <c r="T1618" s="8" t="inlineStr">
        <is>
          <t>spell_yuxi_nixi_chuangang_2x2</t>
        </is>
      </c>
      <c r="U1618" s="8" t="inlineStr">
        <is>
          <t>allowed</t>
        </is>
      </c>
    </row>
    <row r="1619" ht="34" customHeight="1">
      <c r="A1619" s="8" t="n">
        <v>1618</v>
      </c>
      <c r="B1619" s="8" t="n">
        <v>800274</v>
      </c>
      <c r="C1619" s="8" t="inlineStr">
        <is>
          <t>大帆遮阵</t>
        </is>
      </c>
      <c r="D1619" s="8" t="inlineStr">
        <is>
          <t>招式</t>
        </is>
      </c>
      <c r="E1619" s="8" t="inlineStr">
        <is>
          <t>spell</t>
        </is>
      </c>
      <c r="F1619" s="8" t="inlineStr">
        <is>
          <t>common</t>
        </is>
      </c>
      <c r="G1619" s="8" t="inlineStr">
        <is>
          <t>风</t>
        </is>
      </c>
      <c r="H1619" s="8" t="inlineStr">
        <is>
          <t>wind</t>
        </is>
      </c>
      <c r="I1619" s="8" t="inlineStr">
        <is>
          <t>2×3</t>
        </is>
      </c>
      <c r="J1619" s="8" t="n">
        <v>6</v>
      </c>
      <c r="K1619" s="8" t="inlineStr"/>
      <c r="L1619" s="8" t="inlineStr">
        <is>
          <t>是</t>
        </is>
      </c>
      <c r="M1619" s="9" t="inlineStr">
        <is>
          <t>scriptureSpellReward</t>
        </is>
      </c>
      <c r="N1619" s="8" t="n">
        <v>1</v>
      </c>
      <c r="O1619" s="9" t="inlineStr">
        <is>
          <t>说明/执行器</t>
        </is>
      </c>
      <c r="P1619" s="9" t="inlineStr">
        <is>
          <t>effectNote</t>
        </is>
      </c>
      <c r="Q1619" s="9" t="inlineStr">
        <is>
          <t>说明/执行器：累计获得50层再生后，消耗50点体力，获得30层敏捷和20层闪避</t>
        </is>
      </c>
      <c r="R1619" s="9" t="inlineStr">
        <is>
          <t>scripture_spell</t>
        </is>
      </c>
      <c r="S1619" s="9" t="inlineStr">
        <is>
          <t>阵旗一换，大帆遮住半边江面，风与露同时沿新航道奔涌。</t>
        </is>
      </c>
      <c r="T1619" s="8" t="inlineStr">
        <is>
          <t>spell_yuxi_fanmu_huhang_2x3</t>
        </is>
      </c>
      <c r="U1619" s="8" t="inlineStr">
        <is>
          <t>allowed</t>
        </is>
      </c>
    </row>
    <row r="1620" ht="34" customHeight="1">
      <c r="A1620" s="8" t="n">
        <v>1619</v>
      </c>
      <c r="B1620" s="8" t="n">
        <v>800275</v>
      </c>
      <c r="C1620" s="8" t="inlineStr">
        <is>
          <t>好风送万舟</t>
        </is>
      </c>
      <c r="D1620" s="8" t="inlineStr">
        <is>
          <t>招式</t>
        </is>
      </c>
      <c r="E1620" s="8" t="inlineStr">
        <is>
          <t>spell</t>
        </is>
      </c>
      <c r="F1620" s="8" t="inlineStr">
        <is>
          <t>common</t>
        </is>
      </c>
      <c r="G1620" s="8" t="inlineStr">
        <is>
          <t>风</t>
        </is>
      </c>
      <c r="H1620" s="8" t="inlineStr">
        <is>
          <t>wind</t>
        </is>
      </c>
      <c r="I1620" s="8" t="inlineStr">
        <is>
          <t>2×3</t>
        </is>
      </c>
      <c r="J1620" s="8" t="n">
        <v>6</v>
      </c>
      <c r="K1620" s="8" t="inlineStr"/>
      <c r="L1620" s="8" t="inlineStr">
        <is>
          <t>是</t>
        </is>
      </c>
      <c r="M1620" s="9" t="inlineStr">
        <is>
          <t>scriptureSpellReward</t>
        </is>
      </c>
      <c r="N1620" s="8" t="n">
        <v>1</v>
      </c>
      <c r="O1620" s="9" t="inlineStr">
        <is>
          <t>说明/执行器</t>
        </is>
      </c>
      <c r="P1620" s="9" t="inlineStr">
        <is>
          <t>effectNote</t>
        </is>
      </c>
      <c r="Q1620" s="9" t="inlineStr">
        <is>
          <t>说明/执行器：长按释放，消耗 25 点法力，使下方相邻功法所属的所有招式获得 8 秒加速</t>
        </is>
      </c>
      <c r="R1620" s="9" t="inlineStr">
        <is>
          <t>scripture_spell</t>
        </is>
      </c>
      <c r="S1620" s="9" t="inlineStr">
        <is>
          <t>一帆先举，万舟同受其风；下方经卷里的招式也随潮齐发。</t>
        </is>
      </c>
      <c r="T1620" s="8" t="inlineStr">
        <is>
          <t>spell_yuxi_wanzhou_jieshi_2x3</t>
        </is>
      </c>
      <c r="U1620" s="8" t="inlineStr">
        <is>
          <t>allowed</t>
        </is>
      </c>
    </row>
    <row r="1621" ht="34" customHeight="1">
      <c r="A1621" s="8" t="n">
        <v>1620</v>
      </c>
      <c r="B1621" s="8" t="n">
        <v>800276</v>
      </c>
      <c r="C1621" s="8" t="inlineStr">
        <is>
          <t>一契成金</t>
        </is>
      </c>
      <c r="D1621" s="8" t="inlineStr">
        <is>
          <t>招式</t>
        </is>
      </c>
      <c r="E1621" s="8" t="inlineStr">
        <is>
          <t>spell</t>
        </is>
      </c>
      <c r="F1621" s="8" t="inlineStr">
        <is>
          <t>common</t>
        </is>
      </c>
      <c r="G1621" s="8" t="inlineStr">
        <is>
          <t>金</t>
        </is>
      </c>
      <c r="H1621" s="8" t="inlineStr">
        <is>
          <t>metal</t>
        </is>
      </c>
      <c r="I1621" s="8" t="inlineStr">
        <is>
          <t>1×1</t>
        </is>
      </c>
      <c r="J1621" s="8" t="n">
        <v>1</v>
      </c>
      <c r="K1621" s="8" t="inlineStr"/>
      <c r="L1621" s="8" t="inlineStr">
        <is>
          <t>是</t>
        </is>
      </c>
      <c r="M1621" s="9" t="inlineStr">
        <is>
          <t>scriptureSpellReward</t>
        </is>
      </c>
      <c r="N1621" s="8" t="n">
        <v>1</v>
      </c>
      <c r="O1621" s="9" t="inlineStr">
        <is>
          <t>周期触发</t>
        </is>
      </c>
      <c r="P1621" s="9" t="inlineStr">
        <is>
          <t>periodicPulse</t>
        </is>
      </c>
      <c r="Q1621" s="9" t="inlineStr">
        <is>
          <t>周期触发：轮转时，每有 1 件金属性道具，获得 1 层凝金</t>
        </is>
      </c>
      <c r="R1621" s="9" t="inlineStr">
        <is>
          <t>scripture_spell</t>
        </is>
      </c>
      <c r="S1621" s="9" t="inlineStr">
        <is>
          <t>金契逐件验过器印，合格的一笔落下，便有一缕凝金归入账册。</t>
        </is>
      </c>
      <c r="T1621" s="8" t="inlineStr">
        <is>
          <t>spell_yuxi_qiyin_ningjin_1x1</t>
        </is>
      </c>
      <c r="U1621" s="8" t="inlineStr">
        <is>
          <t>allowed</t>
        </is>
      </c>
    </row>
    <row r="1622" ht="34" customHeight="1">
      <c r="A1622" s="8" t="n">
        <v>1621</v>
      </c>
      <c r="B1622" s="8" t="n">
        <v>800277</v>
      </c>
      <c r="C1622" s="8" t="inlineStr">
        <is>
          <t>断锋</t>
        </is>
      </c>
      <c r="D1622" s="8" t="inlineStr">
        <is>
          <t>招式</t>
        </is>
      </c>
      <c r="E1622" s="8" t="inlineStr">
        <is>
          <t>spell</t>
        </is>
      </c>
      <c r="F1622" s="8" t="inlineStr">
        <is>
          <t>common</t>
        </is>
      </c>
      <c r="G1622" s="8" t="inlineStr">
        <is>
          <t>金</t>
        </is>
      </c>
      <c r="H1622" s="8" t="inlineStr">
        <is>
          <t>metal</t>
        </is>
      </c>
      <c r="I1622" s="8" t="inlineStr">
        <is>
          <t>1×2</t>
        </is>
      </c>
      <c r="J1622" s="8" t="n">
        <v>2</v>
      </c>
      <c r="K1622" s="8" t="inlineStr"/>
      <c r="L1622" s="8" t="inlineStr">
        <is>
          <t>是</t>
        </is>
      </c>
      <c r="M1622" s="9" t="inlineStr">
        <is>
          <t>scriptureSpellReward</t>
        </is>
      </c>
      <c r="N1622" s="8" t="n">
        <v>1</v>
      </c>
      <c r="O1622" s="9" t="inlineStr">
        <is>
          <t>说明/执行器</t>
        </is>
      </c>
      <c r="P1622" s="9" t="inlineStr">
        <is>
          <t>effectNote</t>
        </is>
      </c>
      <c r="Q1622" s="9" t="inlineStr">
        <is>
          <t>说明/执行器：长按释放，消耗 3 点法力和 3 层凝金，对敌方造成 22 点伤害</t>
        </is>
      </c>
      <c r="R1622" s="9" t="inlineStr">
        <is>
          <t>scripture_spell</t>
        </is>
      </c>
      <c r="S1622" s="9" t="inlineStr">
        <is>
          <t>封河金线骤然绷直，像旧闸上的断刃，专斩迎面而来的锋芒。</t>
        </is>
      </c>
      <c r="T1622" s="8" t="inlineStr">
        <is>
          <t>spell_yuxi_jianjiao_duanfeng_1x2</t>
        </is>
      </c>
      <c r="U1622" s="8" t="inlineStr">
        <is>
          <t>allowed</t>
        </is>
      </c>
    </row>
    <row r="1623" ht="34" customHeight="1">
      <c r="A1623" s="8" t="n">
        <v>1622</v>
      </c>
      <c r="B1623" s="8" t="n">
        <v>800278</v>
      </c>
      <c r="C1623" s="8" t="inlineStr">
        <is>
          <t>旧账重收</t>
        </is>
      </c>
      <c r="D1623" s="8" t="inlineStr">
        <is>
          <t>招式</t>
        </is>
      </c>
      <c r="E1623" s="8" t="inlineStr">
        <is>
          <t>spell</t>
        </is>
      </c>
      <c r="F1623" s="8" t="inlineStr">
        <is>
          <t>common</t>
        </is>
      </c>
      <c r="G1623" s="8" t="inlineStr">
        <is>
          <t>金</t>
        </is>
      </c>
      <c r="H1623" s="8" t="inlineStr">
        <is>
          <t>metal</t>
        </is>
      </c>
      <c r="I1623" s="8" t="inlineStr">
        <is>
          <t>2×1</t>
        </is>
      </c>
      <c r="J1623" s="8" t="n">
        <v>2</v>
      </c>
      <c r="K1623" s="8" t="inlineStr"/>
      <c r="L1623" s="8" t="inlineStr">
        <is>
          <t>是</t>
        </is>
      </c>
      <c r="M1623" s="9" t="inlineStr">
        <is>
          <t>scriptureSpellReward</t>
        </is>
      </c>
      <c r="N1623" s="8" t="n">
        <v>1</v>
      </c>
      <c r="O1623" s="9" t="inlineStr">
        <is>
          <t>说明/执行器</t>
        </is>
      </c>
      <c r="P1623" s="9" t="inlineStr">
        <is>
          <t>effectNote</t>
        </is>
      </c>
      <c r="Q1623" s="9" t="inlineStr">
        <is>
          <t>说明/执行器：长按释放，将最多 6 层凝金转化为等量法力</t>
        </is>
      </c>
      <c r="R1623" s="9" t="inlineStr">
        <is>
          <t>scripture_spell</t>
        </is>
      </c>
      <c r="S1623" s="9" t="inlineStr">
        <is>
          <t>尘封河契重新摊开，旧日凝金逐笔兑回，化作可再调度的法力。</t>
        </is>
      </c>
      <c r="T1623" s="8" t="inlineStr">
        <is>
          <t>spell_yuxi_jinqi_huiyuan_2x1</t>
        </is>
      </c>
      <c r="U1623" s="8" t="inlineStr">
        <is>
          <t>allowed</t>
        </is>
      </c>
    </row>
    <row r="1624" ht="34" customHeight="1">
      <c r="A1624" s="8" t="n">
        <v>1623</v>
      </c>
      <c r="B1624" s="8" t="n">
        <v>800279</v>
      </c>
      <c r="C1624" s="8" t="inlineStr">
        <is>
          <t>十息封械令</t>
        </is>
      </c>
      <c r="D1624" s="8" t="inlineStr">
        <is>
          <t>招式</t>
        </is>
      </c>
      <c r="E1624" s="8" t="inlineStr">
        <is>
          <t>spell</t>
        </is>
      </c>
      <c r="F1624" s="8" t="inlineStr">
        <is>
          <t>common</t>
        </is>
      </c>
      <c r="G1624" s="8" t="inlineStr">
        <is>
          <t>金</t>
        </is>
      </c>
      <c r="H1624" s="8" t="inlineStr">
        <is>
          <t>metal</t>
        </is>
      </c>
      <c r="I1624" s="8" t="inlineStr">
        <is>
          <t>1×3</t>
        </is>
      </c>
      <c r="J1624" s="8" t="n">
        <v>3</v>
      </c>
      <c r="K1624" s="8" t="inlineStr"/>
      <c r="L1624" s="8" t="inlineStr">
        <is>
          <t>是</t>
        </is>
      </c>
      <c r="M1624" s="9" t="inlineStr">
        <is>
          <t>scriptureSpellReward</t>
        </is>
      </c>
      <c r="N1624" s="8" t="n">
        <v>1</v>
      </c>
      <c r="O1624" s="9" t="inlineStr">
        <is>
          <t>说明/执行器</t>
        </is>
      </c>
      <c r="P1624" s="9" t="inlineStr">
        <is>
          <t>effectNote</t>
        </is>
      </c>
      <c r="Q1624" s="9" t="inlineStr">
        <is>
          <t>说明/执行器：长按释放，消耗 10 点法力，移除敌方 6 层护甲</t>
        </is>
      </c>
      <c r="R1624" s="9" t="inlineStr">
        <is>
          <t>scripture_spell</t>
        </is>
      </c>
      <c r="S1624" s="9" t="inlineStr">
        <is>
          <t>检校令牌拍上案头，敌阵铁甲的契纹随之一寸寸松脱。</t>
        </is>
      </c>
      <c r="T1624" s="8" t="inlineStr">
        <is>
          <t>spell_yuxi_jiaoqi_huanlun_1x3</t>
        </is>
      </c>
      <c r="U1624" s="8" t="inlineStr">
        <is>
          <t>allowed</t>
        </is>
      </c>
    </row>
    <row r="1625" ht="34" customHeight="1">
      <c r="A1625" s="8" t="n">
        <v>1624</v>
      </c>
      <c r="B1625" s="8" t="n">
        <v>800280</v>
      </c>
      <c r="C1625" s="8" t="inlineStr">
        <is>
          <t>金筹落</t>
        </is>
      </c>
      <c r="D1625" s="8" t="inlineStr">
        <is>
          <t>招式</t>
        </is>
      </c>
      <c r="E1625" s="8" t="inlineStr">
        <is>
          <t>spell</t>
        </is>
      </c>
      <c r="F1625" s="8" t="inlineStr">
        <is>
          <t>common</t>
        </is>
      </c>
      <c r="G1625" s="8" t="inlineStr">
        <is>
          <t>金</t>
        </is>
      </c>
      <c r="H1625" s="8" t="inlineStr">
        <is>
          <t>metal</t>
        </is>
      </c>
      <c r="I1625" s="8" t="inlineStr">
        <is>
          <t>2×2</t>
        </is>
      </c>
      <c r="J1625" s="8" t="n">
        <v>4</v>
      </c>
      <c r="K1625" s="8" t="inlineStr"/>
      <c r="L1625" s="8" t="inlineStr">
        <is>
          <t>是</t>
        </is>
      </c>
      <c r="M1625" s="9" t="inlineStr">
        <is>
          <t>scriptureSpellReward</t>
        </is>
      </c>
      <c r="N1625" s="8" t="n">
        <v>1</v>
      </c>
      <c r="O1625" s="9" t="inlineStr">
        <is>
          <t>说明/执行器</t>
        </is>
      </c>
      <c r="P1625" s="9" t="inlineStr">
        <is>
          <t>effectNote</t>
        </is>
      </c>
      <c r="Q1625" s="9" t="inlineStr">
        <is>
          <t>说明/执行器：长按释放，消耗 12 点法力和 8 层凝金，先移除敌方 6 层护甲，再对其造成 40 点伤害</t>
        </is>
      </c>
      <c r="R1625" s="9" t="inlineStr">
        <is>
          <t>scripture_spell</t>
        </is>
      </c>
      <c r="S1625" s="9" t="inlineStr">
        <is>
          <t>一枚金筹落案，先销甲契，再按旧章追收欠下的锋债。</t>
        </is>
      </c>
      <c r="T1625" s="8" t="inlineStr">
        <is>
          <t>spell_yuxi_jinchou_pojia_2x2</t>
        </is>
      </c>
      <c r="U1625" s="8" t="inlineStr">
        <is>
          <t>allowed</t>
        </is>
      </c>
    </row>
    <row r="1626" ht="34" customHeight="1">
      <c r="A1626" s="8" t="n">
        <v>1625</v>
      </c>
      <c r="B1626" s="8" t="n">
        <v>800281</v>
      </c>
      <c r="C1626" s="8" t="inlineStr">
        <is>
          <t>缚脉契网</t>
        </is>
      </c>
      <c r="D1626" s="8" t="inlineStr">
        <is>
          <t>招式</t>
        </is>
      </c>
      <c r="E1626" s="8" t="inlineStr">
        <is>
          <t>spell</t>
        </is>
      </c>
      <c r="F1626" s="8" t="inlineStr">
        <is>
          <t>common</t>
        </is>
      </c>
      <c r="G1626" s="8" t="inlineStr">
        <is>
          <t>金</t>
        </is>
      </c>
      <c r="H1626" s="8" t="inlineStr">
        <is>
          <t>metal</t>
        </is>
      </c>
      <c r="I1626" s="8" t="inlineStr">
        <is>
          <t>2×3</t>
        </is>
      </c>
      <c r="J1626" s="8" t="n">
        <v>6</v>
      </c>
      <c r="K1626" s="8" t="inlineStr"/>
      <c r="L1626" s="8" t="inlineStr">
        <is>
          <t>是</t>
        </is>
      </c>
      <c r="M1626" s="9" t="inlineStr">
        <is>
          <t>scriptureSpellReward</t>
        </is>
      </c>
      <c r="N1626" s="8" t="n">
        <v>1</v>
      </c>
      <c r="O1626" s="9" t="inlineStr">
        <is>
          <t>说明/执行器</t>
        </is>
      </c>
      <c r="P1626" s="9" t="inlineStr">
        <is>
          <t>effectNote</t>
        </is>
      </c>
      <c r="Q1626" s="9" t="inlineStr">
        <is>
          <t>说明/执行器：长按释放，消耗 14 点法力和 10 层凝金，对敌方施加 8 层冰霜</t>
        </is>
      </c>
      <c r="R1626" s="9" t="inlineStr">
        <is>
          <t>scripture_spell</t>
        </is>
      </c>
      <c r="S1626" s="9" t="inlineStr">
        <is>
          <t>万条细契交织成网，贴住经脉与器轴，令敌势沉滞如陷河泥。</t>
        </is>
      </c>
      <c r="T1626" s="8" t="inlineStr">
        <is>
          <t>spell_yuxi_qiwang_fengmai_2x3</t>
        </is>
      </c>
      <c r="U1626" s="8" t="inlineStr">
        <is>
          <t>allowed</t>
        </is>
      </c>
    </row>
    <row r="1627" ht="34" customHeight="1">
      <c r="A1627" s="8" t="n">
        <v>1626</v>
      </c>
      <c r="B1627" s="8" t="n">
        <v>800282</v>
      </c>
      <c r="C1627" s="8" t="inlineStr">
        <is>
          <t>诸契归锋</t>
        </is>
      </c>
      <c r="D1627" s="8" t="inlineStr">
        <is>
          <t>招式</t>
        </is>
      </c>
      <c r="E1627" s="8" t="inlineStr">
        <is>
          <t>spell</t>
        </is>
      </c>
      <c r="F1627" s="8" t="inlineStr">
        <is>
          <t>common</t>
        </is>
      </c>
      <c r="G1627" s="8" t="inlineStr">
        <is>
          <t>金</t>
        </is>
      </c>
      <c r="H1627" s="8" t="inlineStr">
        <is>
          <t>metal</t>
        </is>
      </c>
      <c r="I1627" s="8" t="inlineStr">
        <is>
          <t>2×3</t>
        </is>
      </c>
      <c r="J1627" s="8" t="n">
        <v>6</v>
      </c>
      <c r="K1627" s="8" t="inlineStr"/>
      <c r="L1627" s="8" t="inlineStr">
        <is>
          <t>是</t>
        </is>
      </c>
      <c r="M1627" s="9" t="inlineStr">
        <is>
          <t>scriptureSpellReward</t>
        </is>
      </c>
      <c r="N1627" s="8" t="n">
        <v>1</v>
      </c>
      <c r="O1627" s="9" t="inlineStr">
        <is>
          <t>说明/执行器</t>
        </is>
      </c>
      <c r="P1627" s="9" t="inlineStr">
        <is>
          <t>effectNote</t>
        </is>
      </c>
      <c r="Q1627" s="9" t="inlineStr">
        <is>
          <t>说明/执行器：长按释放，消耗 15 点法力和 15 层凝金，先移除敌方 10 层护甲，再对其造成 60 点伤害</t>
        </is>
      </c>
      <c r="R1627" s="9" t="inlineStr">
        <is>
          <t>scripture_spell</t>
        </is>
      </c>
      <c r="S1627" s="9" t="inlineStr">
        <is>
          <t>十二章河契尽数卷上刃口，旧印新债，都在这一锋里结清。</t>
        </is>
      </c>
      <c r="T1627" s="8" t="inlineStr">
        <is>
          <t>spell_yuxi_wanqi_guifeng_2x3</t>
        </is>
      </c>
      <c r="U1627" s="8" t="inlineStr">
        <is>
          <t>allowed</t>
        </is>
      </c>
    </row>
    <row r="1628" ht="34" customHeight="1">
      <c r="A1628" s="8" t="n">
        <v>1627</v>
      </c>
      <c r="B1628" s="8" t="n">
        <v>800283</v>
      </c>
      <c r="C1628" s="8" t="inlineStr">
        <is>
          <t>添火</t>
        </is>
      </c>
      <c r="D1628" s="8" t="inlineStr">
        <is>
          <t>招式</t>
        </is>
      </c>
      <c r="E1628" s="8" t="inlineStr">
        <is>
          <t>spell</t>
        </is>
      </c>
      <c r="F1628" s="8" t="inlineStr">
        <is>
          <t>common</t>
        </is>
      </c>
      <c r="G1628" s="8" t="inlineStr">
        <is>
          <t>火</t>
        </is>
      </c>
      <c r="H1628" s="8" t="inlineStr">
        <is>
          <t>fire</t>
        </is>
      </c>
      <c r="I1628" s="8" t="inlineStr">
        <is>
          <t>1×1</t>
        </is>
      </c>
      <c r="J1628" s="8" t="n">
        <v>1</v>
      </c>
      <c r="K1628" s="8" t="inlineStr"/>
      <c r="L1628" s="8" t="inlineStr">
        <is>
          <t>是</t>
        </is>
      </c>
      <c r="M1628" s="9" t="inlineStr">
        <is>
          <t>scriptureSpellReward</t>
        </is>
      </c>
      <c r="N1628" s="8" t="n">
        <v>1</v>
      </c>
      <c r="O1628" s="9" t="inlineStr">
        <is>
          <t>说明/执行器</t>
        </is>
      </c>
      <c r="P1628" s="9" t="inlineStr">
        <is>
          <t>effectNote</t>
        </is>
      </c>
      <c r="Q1628" s="9" t="inlineStr">
        <is>
          <t>说明/执行器：长按释放，消耗 10 点法力，获得 10 层炎热</t>
        </is>
      </c>
      <c r="R1628" s="9" t="inlineStr">
        <is>
          <t>scripture_spell</t>
        </is>
      </c>
      <c r="S1628" s="9" t="inlineStr">
        <is>
          <t>炉门只开一线，十缕细火依次添入，寒潭倒影顿时染红。</t>
        </is>
      </c>
      <c r="T1628" s="8" t="inlineStr">
        <is>
          <t>spell_yuxi_luxi_shengre_1x1</t>
        </is>
      </c>
      <c r="U1628" s="8" t="inlineStr">
        <is>
          <t>allowed</t>
        </is>
      </c>
    </row>
    <row r="1629" ht="34" customHeight="1">
      <c r="A1629" s="8" t="n">
        <v>1628</v>
      </c>
      <c r="B1629" s="8" t="n">
        <v>800284</v>
      </c>
      <c r="C1629" s="8" t="inlineStr">
        <is>
          <t>赤槌迸星</t>
        </is>
      </c>
      <c r="D1629" s="8" t="inlineStr">
        <is>
          <t>招式</t>
        </is>
      </c>
      <c r="E1629" s="8" t="inlineStr">
        <is>
          <t>spell</t>
        </is>
      </c>
      <c r="F1629" s="8" t="inlineStr">
        <is>
          <t>common</t>
        </is>
      </c>
      <c r="G1629" s="8" t="inlineStr">
        <is>
          <t>火</t>
        </is>
      </c>
      <c r="H1629" s="8" t="inlineStr">
        <is>
          <t>fire</t>
        </is>
      </c>
      <c r="I1629" s="8" t="inlineStr">
        <is>
          <t>1×2</t>
        </is>
      </c>
      <c r="J1629" s="8" t="n">
        <v>2</v>
      </c>
      <c r="K1629" s="8" t="inlineStr"/>
      <c r="L1629" s="8" t="inlineStr">
        <is>
          <t>是</t>
        </is>
      </c>
      <c r="M1629" s="9" t="inlineStr">
        <is>
          <t>scriptureSpellReward</t>
        </is>
      </c>
      <c r="N1629" s="8" t="n">
        <v>1</v>
      </c>
      <c r="O1629" s="9" t="inlineStr">
        <is>
          <t>说明/执行器</t>
        </is>
      </c>
      <c r="P1629" s="9" t="inlineStr">
        <is>
          <t>effectNote</t>
        </is>
      </c>
      <c r="Q1629" s="9" t="inlineStr">
        <is>
          <t>说明/执行器：相邻武器使用时，消耗 3 层炎热，对敌方施加 1 层灼烧</t>
        </is>
      </c>
      <c r="R1629" s="9" t="inlineStr">
        <is>
          <t>scripture_spell</t>
        </is>
      </c>
      <c r="S1629" s="9" t="inlineStr">
        <is>
          <t>邻刃一响，赤槌便借声落下，迸出的火星黏上敌阵久久不熄。</t>
        </is>
      </c>
      <c r="T1629" s="8" t="inlineStr">
        <is>
          <t>spell_yuxi_chichui_jilang_1x2</t>
        </is>
      </c>
      <c r="U1629" s="8" t="inlineStr">
        <is>
          <t>allowed</t>
        </is>
      </c>
    </row>
    <row r="1630" ht="34" customHeight="1">
      <c r="A1630" s="8" t="n">
        <v>1629</v>
      </c>
      <c r="B1630" s="8" t="n">
        <v>800285</v>
      </c>
      <c r="C1630" s="8" t="inlineStr">
        <is>
          <t>炉中十焰倾</t>
        </is>
      </c>
      <c r="D1630" s="8" t="inlineStr">
        <is>
          <t>招式</t>
        </is>
      </c>
      <c r="E1630" s="8" t="inlineStr">
        <is>
          <t>spell</t>
        </is>
      </c>
      <c r="F1630" s="8" t="inlineStr">
        <is>
          <t>common</t>
        </is>
      </c>
      <c r="G1630" s="8" t="inlineStr">
        <is>
          <t>火</t>
        </is>
      </c>
      <c r="H1630" s="8" t="inlineStr">
        <is>
          <t>fire</t>
        </is>
      </c>
      <c r="I1630" s="8" t="inlineStr">
        <is>
          <t>2×1</t>
        </is>
      </c>
      <c r="J1630" s="8" t="n">
        <v>2</v>
      </c>
      <c r="K1630" s="8" t="inlineStr"/>
      <c r="L1630" s="8" t="inlineStr">
        <is>
          <t>是</t>
        </is>
      </c>
      <c r="M1630" s="9" t="inlineStr">
        <is>
          <t>scriptureSpellReward</t>
        </is>
      </c>
      <c r="N1630" s="8" t="n">
        <v>1</v>
      </c>
      <c r="O1630" s="9" t="inlineStr">
        <is>
          <t>说明/执行器</t>
        </is>
      </c>
      <c r="P1630" s="9" t="inlineStr">
        <is>
          <t>effectNote</t>
        </is>
      </c>
      <c r="Q1630" s="9" t="inlineStr">
        <is>
          <t>说明/执行器：长按释放，炎热不低于 12 层时消耗 10 层露水，对敌方施加 6 层灼烧</t>
        </is>
      </c>
      <c r="R1630" s="9" t="inlineStr">
        <is>
          <t>scripture_spell</t>
        </is>
      </c>
      <c r="S1630" s="9" t="inlineStr">
        <is>
          <t>十二重炉温压住火口，十瓢寒露骤然倾下，蒸起灼人的白雾。</t>
        </is>
      </c>
      <c r="T1630" s="8" t="inlineStr">
        <is>
          <t>spell_yuxi_cangyan_hulu_2x1</t>
        </is>
      </c>
      <c r="U1630" s="8" t="inlineStr">
        <is>
          <t>allowed</t>
        </is>
      </c>
    </row>
    <row r="1631" ht="34" customHeight="1">
      <c r="A1631" s="8" t="n">
        <v>1630</v>
      </c>
      <c r="B1631" s="8" t="n">
        <v>800286</v>
      </c>
      <c r="C1631" s="8" t="inlineStr">
        <is>
          <t>藏焰铸甲法</t>
        </is>
      </c>
      <c r="D1631" s="8" t="inlineStr">
        <is>
          <t>招式</t>
        </is>
      </c>
      <c r="E1631" s="8" t="inlineStr">
        <is>
          <t>spell</t>
        </is>
      </c>
      <c r="F1631" s="8" t="inlineStr">
        <is>
          <t>common</t>
        </is>
      </c>
      <c r="G1631" s="8" t="inlineStr">
        <is>
          <t>火</t>
        </is>
      </c>
      <c r="H1631" s="8" t="inlineStr">
        <is>
          <t>fire</t>
        </is>
      </c>
      <c r="I1631" s="8" t="inlineStr">
        <is>
          <t>1×3</t>
        </is>
      </c>
      <c r="J1631" s="8" t="n">
        <v>3</v>
      </c>
      <c r="K1631" s="8" t="inlineStr"/>
      <c r="L1631" s="8" t="inlineStr">
        <is>
          <t>是</t>
        </is>
      </c>
      <c r="M1631" s="9" t="inlineStr">
        <is>
          <t>scriptureSpellReward</t>
        </is>
      </c>
      <c r="N1631" s="8" t="n">
        <v>1</v>
      </c>
      <c r="O1631" s="9" t="inlineStr">
        <is>
          <t>说明/执行器</t>
        </is>
      </c>
      <c r="P1631" s="9" t="inlineStr">
        <is>
          <t>effectNote</t>
        </is>
      </c>
      <c r="Q1631" s="9" t="inlineStr">
        <is>
          <t>说明/执行器：长按释放，消耗 10 点体力，每有 1 个装备，获得 3 层炎热</t>
        </is>
      </c>
      <c r="R1631" s="9" t="inlineStr">
        <is>
          <t>scripture_spell</t>
        </is>
      </c>
      <c r="S1631" s="9" t="inlineStr">
        <is>
          <t>每件甲胄都是一座小炉，沉在铁里的余焰被逐一唤醒。</t>
        </is>
      </c>
      <c r="T1631" s="8" t="inlineStr">
        <is>
          <t>spell_yuxi_fenqi_zhuoshen_1x3</t>
        </is>
      </c>
      <c r="U1631" s="8" t="inlineStr">
        <is>
          <t>allowed</t>
        </is>
      </c>
    </row>
    <row r="1632" ht="34" customHeight="1">
      <c r="A1632" s="8" t="n">
        <v>1631</v>
      </c>
      <c r="B1632" s="8" t="n">
        <v>800287</v>
      </c>
      <c r="C1632" s="8" t="inlineStr">
        <is>
          <t>双炉鸣</t>
        </is>
      </c>
      <c r="D1632" s="8" t="inlineStr">
        <is>
          <t>招式</t>
        </is>
      </c>
      <c r="E1632" s="8" t="inlineStr">
        <is>
          <t>spell</t>
        </is>
      </c>
      <c r="F1632" s="8" t="inlineStr">
        <is>
          <t>common</t>
        </is>
      </c>
      <c r="G1632" s="8" t="inlineStr">
        <is>
          <t>火</t>
        </is>
      </c>
      <c r="H1632" s="8" t="inlineStr">
        <is>
          <t>fire</t>
        </is>
      </c>
      <c r="I1632" s="8" t="inlineStr">
        <is>
          <t>2×2</t>
        </is>
      </c>
      <c r="J1632" s="8" t="n">
        <v>4</v>
      </c>
      <c r="K1632" s="8" t="inlineStr"/>
      <c r="L1632" s="8" t="inlineStr">
        <is>
          <t>是</t>
        </is>
      </c>
      <c r="M1632" s="9" t="inlineStr">
        <is>
          <t>scriptureSpellReward</t>
        </is>
      </c>
      <c r="N1632" s="8" t="n">
        <v>1</v>
      </c>
      <c r="O1632" s="9" t="inlineStr">
        <is>
          <t>说明/执行器</t>
        </is>
      </c>
      <c r="P1632" s="9" t="inlineStr">
        <is>
          <t>effectNote</t>
        </is>
      </c>
      <c r="Q1632" s="9" t="inlineStr">
        <is>
          <t>说明/执行器：长按释放，消耗 25 层炎热，使所有炼丹炉获得 15 秒加速</t>
        </is>
      </c>
      <c r="R1632" s="9" t="inlineStr">
        <is>
          <t>scripture_spell</t>
        </is>
      </c>
      <c r="S1632" s="9" t="inlineStr">
        <is>
          <t>两炉先后鸣响，百炉随声同振，整条火脉在一息间奔腾起来。</t>
        </is>
      </c>
      <c r="T1632" s="8" t="inlineStr">
        <is>
          <t>spell_yuxi_binglu_gongzhen_2x2</t>
        </is>
      </c>
      <c r="U1632" s="8" t="inlineStr">
        <is>
          <t>allowed</t>
        </is>
      </c>
    </row>
    <row r="1633" ht="34" customHeight="1">
      <c r="A1633" s="8" t="n">
        <v>1632</v>
      </c>
      <c r="B1633" s="8" t="n">
        <v>800288</v>
      </c>
      <c r="C1633" s="8" t="inlineStr">
        <is>
          <t>百炉压阵</t>
        </is>
      </c>
      <c r="D1633" s="8" t="inlineStr">
        <is>
          <t>招式</t>
        </is>
      </c>
      <c r="E1633" s="8" t="inlineStr">
        <is>
          <t>spell</t>
        </is>
      </c>
      <c r="F1633" s="8" t="inlineStr">
        <is>
          <t>common</t>
        </is>
      </c>
      <c r="G1633" s="8" t="inlineStr">
        <is>
          <t>火</t>
        </is>
      </c>
      <c r="H1633" s="8" t="inlineStr">
        <is>
          <t>fire</t>
        </is>
      </c>
      <c r="I1633" s="8" t="inlineStr">
        <is>
          <t>2×3</t>
        </is>
      </c>
      <c r="J1633" s="8" t="n">
        <v>6</v>
      </c>
      <c r="K1633" s="8" t="inlineStr"/>
      <c r="L1633" s="8" t="inlineStr">
        <is>
          <t>是</t>
        </is>
      </c>
      <c r="M1633" s="9" t="inlineStr">
        <is>
          <t>scriptureSpellReward</t>
        </is>
      </c>
      <c r="N1633" s="8" t="n">
        <v>1</v>
      </c>
      <c r="O1633" s="9" t="inlineStr">
        <is>
          <t>周期触发</t>
        </is>
      </c>
      <c r="P1633" s="9" t="inlineStr">
        <is>
          <t>periodicPulse</t>
        </is>
      </c>
      <c r="Q1633" s="9" t="inlineStr">
        <is>
          <t>周期触发：开局时，炼丹炉中每有 1 个道具，对敌方施加 1 层灼烧</t>
        </is>
      </c>
      <c r="R1633" s="9" t="inlineStr">
        <is>
          <t>scripture_spell</t>
        </is>
      </c>
      <c r="S1633" s="9" t="inlineStr">
        <is>
          <t>炉腹所藏皆化为开阵火种，百点赤光隔着铜壁照向敌营。</t>
        </is>
      </c>
      <c r="T1633" s="8" t="inlineStr">
        <is>
          <t>spell_yuxi_bailu_chizhi_2x3</t>
        </is>
      </c>
      <c r="U1633" s="8" t="inlineStr">
        <is>
          <t>allowed</t>
        </is>
      </c>
    </row>
    <row r="1634" ht="34" customHeight="1">
      <c r="A1634" s="8" t="n">
        <v>1633</v>
      </c>
      <c r="B1634" s="8" t="n">
        <v>800289</v>
      </c>
      <c r="C1634" s="8" t="inlineStr">
        <is>
          <t>炉火邻声</t>
        </is>
      </c>
      <c r="D1634" s="8" t="inlineStr">
        <is>
          <t>招式</t>
        </is>
      </c>
      <c r="E1634" s="8" t="inlineStr">
        <is>
          <t>spell</t>
        </is>
      </c>
      <c r="F1634" s="8" t="inlineStr">
        <is>
          <t>common</t>
        </is>
      </c>
      <c r="G1634" s="8" t="inlineStr">
        <is>
          <t>火</t>
        </is>
      </c>
      <c r="H1634" s="8" t="inlineStr">
        <is>
          <t>fire</t>
        </is>
      </c>
      <c r="I1634" s="8" t="inlineStr">
        <is>
          <t>2×3</t>
        </is>
      </c>
      <c r="J1634" s="8" t="n">
        <v>6</v>
      </c>
      <c r="K1634" s="8" t="inlineStr"/>
      <c r="L1634" s="8" t="inlineStr">
        <is>
          <t>是</t>
        </is>
      </c>
      <c r="M1634" s="9" t="inlineStr">
        <is>
          <t>scriptureSpellReward</t>
        </is>
      </c>
      <c r="N1634" s="8" t="n">
        <v>1</v>
      </c>
      <c r="O1634" s="9" t="inlineStr">
        <is>
          <t>周期触发</t>
        </is>
      </c>
      <c r="P1634" s="9" t="inlineStr">
        <is>
          <t>periodicPulse</t>
        </is>
      </c>
      <c r="Q1634" s="9" t="inlineStr">
        <is>
          <t>周期触发：开局时，每有 1 个相邻丹药，获得 5 层炎热</t>
        </is>
      </c>
      <c r="R1634" s="9" t="inlineStr">
        <is>
          <t>scripture_spell</t>
        </is>
      </c>
      <c r="S1634" s="9" t="inlineStr">
        <is>
          <t>炉火认得丹丸滚动的轻响，邻近每一声，都能添旺一层火候。</t>
        </is>
      </c>
      <c r="T1634" s="8" t="inlineStr">
        <is>
          <t>spell_yuxi_xuleng_kailu_2x3</t>
        </is>
      </c>
      <c r="U1634" s="8" t="inlineStr">
        <is>
          <t>allowed</t>
        </is>
      </c>
    </row>
    <row r="1635" ht="34" customHeight="1">
      <c r="A1635" s="8" t="n">
        <v>1634</v>
      </c>
      <c r="B1635" s="8" t="n">
        <v>800290</v>
      </c>
      <c r="C1635" s="8" t="inlineStr">
        <is>
          <t>披甲</t>
        </is>
      </c>
      <c r="D1635" s="8" t="inlineStr">
        <is>
          <t>招式</t>
        </is>
      </c>
      <c r="E1635" s="8" t="inlineStr">
        <is>
          <t>spell</t>
        </is>
      </c>
      <c r="F1635" s="8" t="inlineStr">
        <is>
          <t>common</t>
        </is>
      </c>
      <c r="G1635" s="8" t="inlineStr">
        <is>
          <t>土</t>
        </is>
      </c>
      <c r="H1635" s="8" t="inlineStr">
        <is>
          <t>earth</t>
        </is>
      </c>
      <c r="I1635" s="8" t="inlineStr">
        <is>
          <t>1×1</t>
        </is>
      </c>
      <c r="J1635" s="8" t="n">
        <v>1</v>
      </c>
      <c r="K1635" s="8" t="inlineStr"/>
      <c r="L1635" s="8" t="inlineStr">
        <is>
          <t>是</t>
        </is>
      </c>
      <c r="M1635" s="9" t="inlineStr">
        <is>
          <t>scriptureSpellReward</t>
        </is>
      </c>
      <c r="N1635" s="8" t="n">
        <v>1</v>
      </c>
      <c r="O1635" s="9" t="inlineStr">
        <is>
          <t>说明/执行器</t>
        </is>
      </c>
      <c r="P1635" s="9" t="inlineStr">
        <is>
          <t>effectNote</t>
        </is>
      </c>
      <c r="Q1635" s="9" t="inlineStr">
        <is>
          <t>说明/执行器：长按释放，消耗 5 点体力，获得 10 层护甲</t>
        </is>
      </c>
      <c r="R1635" s="9" t="inlineStr">
        <is>
          <t>scripture_spell</t>
        </is>
      </c>
      <c r="S1635" s="9" t="inlineStr">
        <is>
          <t>闸门铁甲沿肩背合拢，水压越沉，甲片咬合得越紧。</t>
        </is>
      </c>
      <c r="T1635" s="8" t="inlineStr">
        <is>
          <t>spell_yuxi_zhenmen_jiajia_1x1</t>
        </is>
      </c>
      <c r="U1635" s="8" t="inlineStr">
        <is>
          <t>allowed</t>
        </is>
      </c>
    </row>
    <row r="1636" ht="34" customHeight="1">
      <c r="A1636" s="8" t="n">
        <v>1635</v>
      </c>
      <c r="B1636" s="8" t="n">
        <v>800291</v>
      </c>
      <c r="C1636" s="8" t="inlineStr">
        <is>
          <t>沉桩定身法</t>
        </is>
      </c>
      <c r="D1636" s="8" t="inlineStr">
        <is>
          <t>招式</t>
        </is>
      </c>
      <c r="E1636" s="8" t="inlineStr">
        <is>
          <t>spell</t>
        </is>
      </c>
      <c r="F1636" s="8" t="inlineStr">
        <is>
          <t>common</t>
        </is>
      </c>
      <c r="G1636" s="8" t="inlineStr">
        <is>
          <t>土</t>
        </is>
      </c>
      <c r="H1636" s="8" t="inlineStr">
        <is>
          <t>earth</t>
        </is>
      </c>
      <c r="I1636" s="8" t="inlineStr">
        <is>
          <t>1×2</t>
        </is>
      </c>
      <c r="J1636" s="8" t="n">
        <v>2</v>
      </c>
      <c r="K1636" s="8" t="inlineStr"/>
      <c r="L1636" s="8" t="inlineStr">
        <is>
          <t>是</t>
        </is>
      </c>
      <c r="M1636" s="9" t="inlineStr">
        <is>
          <t>scriptureSpellReward</t>
        </is>
      </c>
      <c r="N1636" s="8" t="n">
        <v>1</v>
      </c>
      <c r="O1636" s="9" t="inlineStr">
        <is>
          <t>说明/执行器</t>
        </is>
      </c>
      <c r="P1636" s="9" t="inlineStr">
        <is>
          <t>effectNote</t>
        </is>
      </c>
      <c r="Q1636" s="9" t="inlineStr">
        <is>
          <t>说明/执行器：长按释放，消耗 3 层蓄势，使敌方随机 1 个道具冻结 3 秒，灵力：5</t>
        </is>
      </c>
      <c r="R1636" s="9" t="inlineStr">
        <is>
          <t>scripture_spell</t>
        </is>
      </c>
      <c r="S1636" s="9" t="inlineStr">
        <is>
          <t>三根沉桩钉入河床，震波沿水脉传去，将敌器封在霜壳之中。</t>
        </is>
      </c>
      <c r="T1636" s="8" t="inlineStr">
        <is>
          <t>spell_yuxi_chenzhuang_dingshen_1x2</t>
        </is>
      </c>
      <c r="U1636" s="8" t="inlineStr">
        <is>
          <t>allowed</t>
        </is>
      </c>
    </row>
    <row r="1637" ht="34" customHeight="1">
      <c r="A1637" s="8" t="n">
        <v>1636</v>
      </c>
      <c r="B1637" s="8" t="n">
        <v>800292</v>
      </c>
      <c r="C1637" s="8" t="inlineStr">
        <is>
          <t>叩门者自受其震</t>
        </is>
      </c>
      <c r="D1637" s="8" t="inlineStr">
        <is>
          <t>招式</t>
        </is>
      </c>
      <c r="E1637" s="8" t="inlineStr">
        <is>
          <t>spell</t>
        </is>
      </c>
      <c r="F1637" s="8" t="inlineStr">
        <is>
          <t>common</t>
        </is>
      </c>
      <c r="G1637" s="8" t="inlineStr">
        <is>
          <t>土</t>
        </is>
      </c>
      <c r="H1637" s="8" t="inlineStr">
        <is>
          <t>earth</t>
        </is>
      </c>
      <c r="I1637" s="8" t="inlineStr">
        <is>
          <t>2×1</t>
        </is>
      </c>
      <c r="J1637" s="8" t="n">
        <v>2</v>
      </c>
      <c r="K1637" s="8" t="inlineStr"/>
      <c r="L1637" s="8" t="inlineStr">
        <is>
          <t>是</t>
        </is>
      </c>
      <c r="M1637" s="9" t="inlineStr">
        <is>
          <t>scriptureSpellReward</t>
        </is>
      </c>
      <c r="N1637" s="8" t="n">
        <v>1</v>
      </c>
      <c r="O1637" s="9" t="inlineStr">
        <is>
          <t>条件触发</t>
        </is>
      </c>
      <c r="P1637" s="9" t="inlineStr">
        <is>
          <t>triggered</t>
        </is>
      </c>
      <c r="Q1637" s="9" t="inlineStr">
        <is>
          <t>条件触发：护甲不少于 30 层时，消耗 20 点体力，下一次受到攻击时，对敌方造成30点伤害</t>
        </is>
      </c>
      <c r="R1637" s="9" t="inlineStr">
        <is>
          <t>scripture_spell</t>
        </is>
      </c>
      <c r="S1637" s="9" t="inlineStr">
        <is>
          <t>来势撞上重闸，闸后暗簧回弹，叩门之力原样奉还。</t>
        </is>
      </c>
      <c r="T1637" s="8" t="inlineStr">
        <is>
          <t>spell_yuxi_koumen_fanzhen_2x1</t>
        </is>
      </c>
      <c r="U1637" s="8" t="inlineStr">
        <is>
          <t>allowed</t>
        </is>
      </c>
    </row>
    <row r="1638" ht="34" customHeight="1">
      <c r="A1638" s="8" t="n">
        <v>1637</v>
      </c>
      <c r="B1638" s="8" t="n">
        <v>800293</v>
      </c>
      <c r="C1638" s="8" t="inlineStr">
        <is>
          <t>卸千钧筑一墙</t>
        </is>
      </c>
      <c r="D1638" s="8" t="inlineStr">
        <is>
          <t>招式</t>
        </is>
      </c>
      <c r="E1638" s="8" t="inlineStr">
        <is>
          <t>spell</t>
        </is>
      </c>
      <c r="F1638" s="8" t="inlineStr">
        <is>
          <t>common</t>
        </is>
      </c>
      <c r="G1638" s="8" t="inlineStr">
        <is>
          <t>土</t>
        </is>
      </c>
      <c r="H1638" s="8" t="inlineStr">
        <is>
          <t>earth</t>
        </is>
      </c>
      <c r="I1638" s="8" t="inlineStr">
        <is>
          <t>1×3</t>
        </is>
      </c>
      <c r="J1638" s="8" t="n">
        <v>3</v>
      </c>
      <c r="K1638" s="8" t="inlineStr"/>
      <c r="L1638" s="8" t="inlineStr">
        <is>
          <t>是</t>
        </is>
      </c>
      <c r="M1638" s="9" t="inlineStr">
        <is>
          <t>scriptureSpellReward</t>
        </is>
      </c>
      <c r="N1638" s="8" t="n">
        <v>1</v>
      </c>
      <c r="O1638" s="9" t="inlineStr">
        <is>
          <t>说明/执行器</t>
        </is>
      </c>
      <c r="P1638" s="9" t="inlineStr">
        <is>
          <t>effectNote</t>
        </is>
      </c>
      <c r="Q1638" s="9" t="inlineStr">
        <is>
          <t>说明/执行器：长按释放，消耗最多 15 层蓄势，每消耗 1 层获得 2 层护甲</t>
        </is>
      </c>
      <c r="R1638" s="9" t="inlineStr">
        <is>
          <t>scripture_spell</t>
        </is>
      </c>
      <c r="S1638" s="9" t="inlineStr">
        <is>
          <t>肩头千钧一层层卸入河堤，沉势散尽时，壁垒已高过潮头。</t>
        </is>
      </c>
      <c r="T1638" s="8" t="inlineStr">
        <is>
          <t>spell_yuxi_huilan_xiezhong_1x3</t>
        </is>
      </c>
      <c r="U1638" s="8" t="inlineStr">
        <is>
          <t>allowed</t>
        </is>
      </c>
    </row>
    <row r="1639" ht="34" customHeight="1">
      <c r="A1639" s="8" t="n">
        <v>1638</v>
      </c>
      <c r="B1639" s="8" t="n">
        <v>800294</v>
      </c>
      <c r="C1639" s="8" t="inlineStr">
        <is>
          <t>坤壁起</t>
        </is>
      </c>
      <c r="D1639" s="8" t="inlineStr">
        <is>
          <t>招式</t>
        </is>
      </c>
      <c r="E1639" s="8" t="inlineStr">
        <is>
          <t>spell</t>
        </is>
      </c>
      <c r="F1639" s="8" t="inlineStr">
        <is>
          <t>common</t>
        </is>
      </c>
      <c r="G1639" s="8" t="inlineStr">
        <is>
          <t>土</t>
        </is>
      </c>
      <c r="H1639" s="8" t="inlineStr">
        <is>
          <t>earth</t>
        </is>
      </c>
      <c r="I1639" s="8" t="inlineStr">
        <is>
          <t>2×2</t>
        </is>
      </c>
      <c r="J1639" s="8" t="n">
        <v>4</v>
      </c>
      <c r="K1639" s="8" t="inlineStr"/>
      <c r="L1639" s="8" t="inlineStr">
        <is>
          <t>是</t>
        </is>
      </c>
      <c r="M1639" s="9" t="inlineStr">
        <is>
          <t>scriptureSpellReward</t>
        </is>
      </c>
      <c r="N1639" s="8" t="n">
        <v>1</v>
      </c>
      <c r="O1639" s="9" t="inlineStr">
        <is>
          <t>说明/执行器</t>
        </is>
      </c>
      <c r="P1639" s="9" t="inlineStr">
        <is>
          <t>effectNote</t>
        </is>
      </c>
      <c r="Q1639" s="9" t="inlineStr">
        <is>
          <t>说明/执行器：长按释放，消耗 15 层蓄势，每有 1 件装备，获得 2 层坚硬</t>
        </is>
      </c>
      <c r="R1639" s="9" t="inlineStr">
        <is>
          <t>scripture_spell</t>
        </is>
      </c>
      <c r="S1639" s="9" t="inlineStr">
        <is>
          <t>坤土从装备根脚隆起，沉桩尽落，坚壁随之封住整道水门。</t>
        </is>
      </c>
      <c r="T1639" s="8" t="inlineStr">
        <is>
          <t>spell_yuxi_kunbi_huizhenzhen_2x2</t>
        </is>
      </c>
      <c r="U1639" s="8" t="inlineStr">
        <is>
          <t>allowed</t>
        </is>
      </c>
    </row>
    <row r="1640" ht="34" customHeight="1">
      <c r="A1640" s="8" t="n">
        <v>1639</v>
      </c>
      <c r="B1640" s="8" t="n">
        <v>800295</v>
      </c>
      <c r="C1640" s="8" t="inlineStr">
        <is>
          <t>门后无潮声</t>
        </is>
      </c>
      <c r="D1640" s="8" t="inlineStr">
        <is>
          <t>招式</t>
        </is>
      </c>
      <c r="E1640" s="8" t="inlineStr">
        <is>
          <t>spell</t>
        </is>
      </c>
      <c r="F1640" s="8" t="inlineStr">
        <is>
          <t>common</t>
        </is>
      </c>
      <c r="G1640" s="8" t="inlineStr">
        <is>
          <t>土</t>
        </is>
      </c>
      <c r="H1640" s="8" t="inlineStr">
        <is>
          <t>earth</t>
        </is>
      </c>
      <c r="I1640" s="8" t="inlineStr">
        <is>
          <t>2×3</t>
        </is>
      </c>
      <c r="J1640" s="8" t="n">
        <v>6</v>
      </c>
      <c r="K1640" s="8" t="inlineStr"/>
      <c r="L1640" s="8" t="inlineStr">
        <is>
          <t>是</t>
        </is>
      </c>
      <c r="M1640" s="9" t="inlineStr">
        <is>
          <t>scriptureSpellReward</t>
        </is>
      </c>
      <c r="N1640" s="8" t="n">
        <v>1</v>
      </c>
      <c r="O1640" s="9" t="inlineStr">
        <is>
          <t>说明/执行器</t>
        </is>
      </c>
      <c r="P1640" s="9" t="inlineStr">
        <is>
          <t>effectNote</t>
        </is>
      </c>
      <c r="Q1640" s="9" t="inlineStr">
        <is>
          <t>说明/执行器：长按释放，消耗 25 层露水，获得 20 层护甲</t>
        </is>
      </c>
      <c r="R1640" s="9" t="inlineStr">
        <is>
          <t>scripture_spell</t>
        </is>
      </c>
      <c r="S1640" s="9" t="inlineStr">
        <is>
          <t>二十五滴静水没入门缝，闸后潮声顿绝，只余厚甲沉默守望。</t>
        </is>
      </c>
      <c r="T1640" s="8" t="inlineStr">
        <is>
          <t>spell_yuxi_zhenliu_humai_2x3</t>
        </is>
      </c>
      <c r="U1640" s="8" t="inlineStr">
        <is>
          <t>allowed</t>
        </is>
      </c>
    </row>
    <row r="1641" ht="34" customHeight="1">
      <c r="A1641" s="8" t="n">
        <v>1640</v>
      </c>
      <c r="B1641" s="8" t="n">
        <v>800296</v>
      </c>
      <c r="C1641" s="8" t="inlineStr">
        <is>
          <t>负岳撞关</t>
        </is>
      </c>
      <c r="D1641" s="8" t="inlineStr">
        <is>
          <t>招式</t>
        </is>
      </c>
      <c r="E1641" s="8" t="inlineStr">
        <is>
          <t>spell</t>
        </is>
      </c>
      <c r="F1641" s="8" t="inlineStr">
        <is>
          <t>common</t>
        </is>
      </c>
      <c r="G1641" s="8" t="inlineStr">
        <is>
          <t>土</t>
        </is>
      </c>
      <c r="H1641" s="8" t="inlineStr">
        <is>
          <t>earth</t>
        </is>
      </c>
      <c r="I1641" s="8" t="inlineStr">
        <is>
          <t>2×3</t>
        </is>
      </c>
      <c r="J1641" s="8" t="n">
        <v>6</v>
      </c>
      <c r="K1641" s="8" t="inlineStr"/>
      <c r="L1641" s="8" t="inlineStr">
        <is>
          <t>是</t>
        </is>
      </c>
      <c r="M1641" s="9" t="inlineStr">
        <is>
          <t>scriptureSpellReward</t>
        </is>
      </c>
      <c r="N1641" s="8" t="n">
        <v>1</v>
      </c>
      <c r="O1641" s="9" t="inlineStr">
        <is>
          <t>说明/执行器</t>
        </is>
      </c>
      <c r="P1641" s="9" t="inlineStr">
        <is>
          <t>effectNote</t>
        </is>
      </c>
      <c r="Q1641" s="9" t="inlineStr">
        <is>
          <t>说明/执行器：长按释放，护甲不少于 50 层时，消耗 100 点体力和 25 层护甲，对敌方造成 120 点伤害</t>
        </is>
      </c>
      <c r="R1641" s="9" t="inlineStr">
        <is>
          <t>scripture_spell</t>
        </is>
      </c>
      <c r="S1641" s="9" t="inlineStr">
        <is>
          <t>背负群岳蓄足百息，一步撞关，连五十重甲影都随拳势前压。</t>
        </is>
      </c>
      <c r="T1641" s="8" t="inlineStr">
        <is>
          <t>spell_yuxi_fuyue_huilan_2x3</t>
        </is>
      </c>
      <c r="U1641" s="8" t="inlineStr">
        <is>
          <t>allowed</t>
        </is>
      </c>
    </row>
    <row r="1642" ht="34" customHeight="1">
      <c r="A1642" s="8" t="n">
        <v>1641</v>
      </c>
      <c r="B1642" s="8" t="n">
        <v>800297</v>
      </c>
      <c r="C1642" s="8" t="inlineStr">
        <is>
          <t>玄霜吐纳</t>
        </is>
      </c>
      <c r="D1642" s="8" t="inlineStr">
        <is>
          <t>招式</t>
        </is>
      </c>
      <c r="E1642" s="8" t="inlineStr">
        <is>
          <t>spell</t>
        </is>
      </c>
      <c r="F1642" s="8" t="inlineStr">
        <is>
          <t>common</t>
        </is>
      </c>
      <c r="G1642" s="8" t="inlineStr">
        <is>
          <t>冰</t>
        </is>
      </c>
      <c r="H1642" s="8" t="inlineStr">
        <is>
          <t>ice</t>
        </is>
      </c>
      <c r="I1642" s="8" t="inlineStr">
        <is>
          <t>1×1</t>
        </is>
      </c>
      <c r="J1642" s="8" t="n">
        <v>1</v>
      </c>
      <c r="K1642" s="8" t="inlineStr"/>
      <c r="L1642" s="8" t="inlineStr">
        <is>
          <t>是</t>
        </is>
      </c>
      <c r="M1642" s="9" t="inlineStr">
        <is>
          <t>scriptureSpellReward</t>
        </is>
      </c>
      <c r="N1642" s="8" t="n">
        <v>1</v>
      </c>
      <c r="O1642" s="9" t="inlineStr">
        <is>
          <t>说明/执行器</t>
        </is>
      </c>
      <c r="P1642" s="9" t="inlineStr">
        <is>
          <t>effectNote</t>
        </is>
      </c>
      <c r="Q1642" s="9" t="inlineStr">
        <is>
          <t>说明/执行器：长按释放，每有1件相邻冰属性道具，将 2 点法力转化为 2 层寒冷</t>
        </is>
      </c>
      <c r="R1642" s="9" t="inlineStr">
        <is>
          <t>scripture_spell</t>
        </is>
      </c>
      <c r="S1642" s="9" t="inlineStr">
        <is>
          <t>引月华入息，在丹田凝成一团清亮玄霜，为后续冰法备下寒源。</t>
        </is>
      </c>
      <c r="T1642" s="8" t="inlineStr">
        <is>
          <t>spell_mystic_frost_breathing_1x1</t>
        </is>
      </c>
      <c r="U1642" s="8" t="inlineStr">
        <is>
          <t>allowed</t>
        </is>
      </c>
    </row>
    <row r="1643" ht="34" customHeight="1">
      <c r="A1643" s="8" t="n">
        <v>1642</v>
      </c>
      <c r="B1643" s="8" t="n">
        <v>800298</v>
      </c>
      <c r="C1643" s="8" t="inlineStr">
        <is>
          <t>冰脉回元</t>
        </is>
      </c>
      <c r="D1643" s="8" t="inlineStr">
        <is>
          <t>招式</t>
        </is>
      </c>
      <c r="E1643" s="8" t="inlineStr">
        <is>
          <t>spell</t>
        </is>
      </c>
      <c r="F1643" s="8" t="inlineStr">
        <is>
          <t>common</t>
        </is>
      </c>
      <c r="G1643" s="8" t="inlineStr">
        <is>
          <t>冰</t>
        </is>
      </c>
      <c r="H1643" s="8" t="inlineStr">
        <is>
          <t>ice</t>
        </is>
      </c>
      <c r="I1643" s="8" t="inlineStr">
        <is>
          <t>1×2</t>
        </is>
      </c>
      <c r="J1643" s="8" t="n">
        <v>2</v>
      </c>
      <c r="K1643" s="8" t="inlineStr"/>
      <c r="L1643" s="8" t="inlineStr">
        <is>
          <t>是</t>
        </is>
      </c>
      <c r="M1643" s="9" t="inlineStr">
        <is>
          <t>scriptureSpellReward</t>
        </is>
      </c>
      <c r="N1643" s="8" t="n">
        <v>1</v>
      </c>
      <c r="O1643" s="9" t="inlineStr">
        <is>
          <t>说明/执行器</t>
        </is>
      </c>
      <c r="P1643" s="9" t="inlineStr">
        <is>
          <t>effectNote</t>
        </is>
      </c>
      <c r="Q1643" s="9" t="inlineStr">
        <is>
          <t>说明/执行器：长按释放，将 8 层寒冷转化为 15 点体力</t>
        </is>
      </c>
      <c r="R1643" s="9" t="inlineStr">
        <is>
          <t>scripture_spell</t>
        </is>
      </c>
      <c r="S1643" s="9" t="inlineStr">
        <is>
          <t>以寒息逆行冰脉，将过盛寒冷融回清澈法力，供下一轮术法周转。</t>
        </is>
      </c>
      <c r="T1643" s="8" t="inlineStr">
        <is>
          <t>spell_ice_meridian_restoration_1x2</t>
        </is>
      </c>
      <c r="U1643" s="8" t="inlineStr">
        <is>
          <t>allowed</t>
        </is>
      </c>
    </row>
    <row r="1644" ht="34" customHeight="1">
      <c r="A1644" s="8" t="n">
        <v>1643</v>
      </c>
      <c r="B1644" s="8" t="n">
        <v>800299</v>
      </c>
      <c r="C1644" s="8" t="inlineStr">
        <is>
          <t>凝霜指</t>
        </is>
      </c>
      <c r="D1644" s="8" t="inlineStr">
        <is>
          <t>招式</t>
        </is>
      </c>
      <c r="E1644" s="8" t="inlineStr">
        <is>
          <t>spell</t>
        </is>
      </c>
      <c r="F1644" s="8" t="inlineStr">
        <is>
          <t>common</t>
        </is>
      </c>
      <c r="G1644" s="8" t="inlineStr">
        <is>
          <t>冰</t>
        </is>
      </c>
      <c r="H1644" s="8" t="inlineStr">
        <is>
          <t>ice</t>
        </is>
      </c>
      <c r="I1644" s="8" t="inlineStr">
        <is>
          <t>1×1</t>
        </is>
      </c>
      <c r="J1644" s="8" t="n">
        <v>1</v>
      </c>
      <c r="K1644" s="8" t="inlineStr"/>
      <c r="L1644" s="8" t="inlineStr">
        <is>
          <t>是</t>
        </is>
      </c>
      <c r="M1644" s="9" t="inlineStr">
        <is>
          <t>scriptureSpellReward</t>
        </is>
      </c>
      <c r="N1644" s="8" t="n">
        <v>1</v>
      </c>
      <c r="O1644" s="9" t="inlineStr">
        <is>
          <t>说明/执行器</t>
        </is>
      </c>
      <c r="P1644" s="9" t="inlineStr">
        <is>
          <t>effectNote</t>
        </is>
      </c>
      <c r="Q1644" s="9" t="inlineStr">
        <is>
          <t>说明/执行器：长按释放，消耗 5 层寒冷，对敌方施加 5 层冰霜</t>
        </is>
      </c>
      <c r="R1644" s="9" t="inlineStr">
        <is>
          <t>scripture_spell</t>
        </is>
      </c>
      <c r="S1644" s="9" t="inlineStr">
        <is>
          <t>指尖一点寒芒穿过阵线，在敌身经络中凝成迟滞冰霜。</t>
        </is>
      </c>
      <c r="T1644" s="8" t="inlineStr">
        <is>
          <t>spell_frost_coagulation_finger_1x1</t>
        </is>
      </c>
      <c r="U1644" s="8" t="inlineStr">
        <is>
          <t>allowed</t>
        </is>
      </c>
    </row>
    <row r="1645" ht="34" customHeight="1">
      <c r="A1645" s="8" t="n">
        <v>1644</v>
      </c>
      <c r="B1645" s="8" t="n">
        <v>800300</v>
      </c>
      <c r="C1645" s="8" t="inlineStr">
        <is>
          <t>寒甲诀</t>
        </is>
      </c>
      <c r="D1645" s="8" t="inlineStr">
        <is>
          <t>招式</t>
        </is>
      </c>
      <c r="E1645" s="8" t="inlineStr">
        <is>
          <t>spell</t>
        </is>
      </c>
      <c r="F1645" s="8" t="inlineStr">
        <is>
          <t>common</t>
        </is>
      </c>
      <c r="G1645" s="8" t="inlineStr">
        <is>
          <t>冰</t>
        </is>
      </c>
      <c r="H1645" s="8" t="inlineStr">
        <is>
          <t>ice</t>
        </is>
      </c>
      <c r="I1645" s="8" t="inlineStr">
        <is>
          <t>1×2</t>
        </is>
      </c>
      <c r="J1645" s="8" t="n">
        <v>2</v>
      </c>
      <c r="K1645" s="8" t="inlineStr"/>
      <c r="L1645" s="8" t="inlineStr">
        <is>
          <t>是</t>
        </is>
      </c>
      <c r="M1645" s="9" t="inlineStr">
        <is>
          <t>scriptureSpellReward</t>
        </is>
      </c>
      <c r="N1645" s="8" t="n">
        <v>1</v>
      </c>
      <c r="O1645" s="9" t="inlineStr">
        <is>
          <t>说明/执行器</t>
        </is>
      </c>
      <c r="P1645" s="9" t="inlineStr">
        <is>
          <t>effectNote</t>
        </is>
      </c>
      <c r="Q1645" s="9" t="inlineStr">
        <is>
          <t>说明/执行器：长按释放，将 20 层寒冷转化为 10 层坚硬</t>
        </is>
      </c>
      <c r="R1645" s="9" t="inlineStr">
        <is>
          <t>scripture_spell</t>
        </is>
      </c>
      <c r="S1645" s="9" t="inlineStr">
        <is>
          <t>玄霜沿周身经络铺展成甲，以寒意固守筋骨，挡住袭来的重击。</t>
        </is>
      </c>
      <c r="T1645" s="8" t="inlineStr">
        <is>
          <t>spell_cold_armor_art_1x2</t>
        </is>
      </c>
      <c r="U1645" s="8" t="inlineStr">
        <is>
          <t>allowed</t>
        </is>
      </c>
    </row>
    <row r="1646" ht="34" customHeight="1">
      <c r="A1646" s="8" t="n">
        <v>1645</v>
      </c>
      <c r="B1646" s="8" t="n">
        <v>800301</v>
      </c>
      <c r="C1646" s="8" t="inlineStr">
        <is>
          <t>霜刃诀</t>
        </is>
      </c>
      <c r="D1646" s="8" t="inlineStr">
        <is>
          <t>招式</t>
        </is>
      </c>
      <c r="E1646" s="8" t="inlineStr">
        <is>
          <t>spell</t>
        </is>
      </c>
      <c r="F1646" s="8" t="inlineStr">
        <is>
          <t>common</t>
        </is>
      </c>
      <c r="G1646" s="8" t="inlineStr">
        <is>
          <t>冰</t>
        </is>
      </c>
      <c r="H1646" s="8" t="inlineStr">
        <is>
          <t>ice</t>
        </is>
      </c>
      <c r="I1646" s="8" t="inlineStr">
        <is>
          <t>1×2</t>
        </is>
      </c>
      <c r="J1646" s="8" t="n">
        <v>2</v>
      </c>
      <c r="K1646" s="8" t="inlineStr"/>
      <c r="L1646" s="8" t="inlineStr">
        <is>
          <t>是</t>
        </is>
      </c>
      <c r="M1646" s="9" t="inlineStr">
        <is>
          <t>scriptureSpellReward</t>
        </is>
      </c>
      <c r="N1646" s="8" t="n">
        <v>1</v>
      </c>
      <c r="O1646" s="9" t="inlineStr">
        <is>
          <t>说明/执行器</t>
        </is>
      </c>
      <c r="P1646" s="9" t="inlineStr">
        <is>
          <t>effectNote</t>
        </is>
      </c>
      <c r="Q1646" s="9" t="inlineStr">
        <is>
          <t>说明/执行器：长按释放，消耗 20 层寒冷，对敌方造成 40 点伤害</t>
        </is>
      </c>
      <c r="R1646" s="9" t="inlineStr">
        <is>
          <t>scripture_spell</t>
        </is>
      </c>
      <c r="S1646" s="9" t="inlineStr">
        <is>
          <t>掌中寒气凝作弧形霜刃，斩出时碎成一道贴地冰光。</t>
        </is>
      </c>
      <c r="T1646" s="8" t="inlineStr">
        <is>
          <t>spell_frost_blade_art_1x2</t>
        </is>
      </c>
      <c r="U1646" s="8" t="inlineStr">
        <is>
          <t>allowed</t>
        </is>
      </c>
    </row>
    <row r="1647" ht="34" customHeight="1">
      <c r="A1647" s="8" t="n">
        <v>1646</v>
      </c>
      <c r="B1647" s="8" t="n">
        <v>800302</v>
      </c>
      <c r="C1647" s="8" t="inlineStr">
        <is>
          <t>封轮诀</t>
        </is>
      </c>
      <c r="D1647" s="8" t="inlineStr">
        <is>
          <t>招式</t>
        </is>
      </c>
      <c r="E1647" s="8" t="inlineStr">
        <is>
          <t>spell</t>
        </is>
      </c>
      <c r="F1647" s="8" t="inlineStr">
        <is>
          <t>common</t>
        </is>
      </c>
      <c r="G1647" s="8" t="inlineStr">
        <is>
          <t>冰</t>
        </is>
      </c>
      <c r="H1647" s="8" t="inlineStr">
        <is>
          <t>ice</t>
        </is>
      </c>
      <c r="I1647" s="8" t="inlineStr">
        <is>
          <t>2×1</t>
        </is>
      </c>
      <c r="J1647" s="8" t="n">
        <v>2</v>
      </c>
      <c r="K1647" s="8" t="inlineStr"/>
      <c r="L1647" s="8" t="inlineStr">
        <is>
          <t>是</t>
        </is>
      </c>
      <c r="M1647" s="9" t="inlineStr">
        <is>
          <t>scriptureSpellReward</t>
        </is>
      </c>
      <c r="N1647" s="8" t="n">
        <v>1</v>
      </c>
      <c r="O1647" s="9" t="inlineStr">
        <is>
          <t>说明/执行器</t>
        </is>
      </c>
      <c r="P1647" s="9" t="inlineStr">
        <is>
          <t>effectNote</t>
        </is>
      </c>
      <c r="Q1647" s="9" t="inlineStr">
        <is>
          <t>说明/执行器：长按释放，消耗 8 层寒冷，使敌方一件最大道具冻结 4 秒</t>
        </is>
      </c>
      <c r="R1647" s="9" t="inlineStr">
        <is>
          <t>scripture_spell</t>
        </is>
      </c>
      <c r="S1647" s="9" t="inlineStr">
        <is>
          <t>双掌错合封住器物轮转，一道冰环落下，将敌方最大器物锁在霜中。</t>
        </is>
      </c>
      <c r="T1647" s="8" t="inlineStr">
        <is>
          <t>spell_rotation_sealing_art_2x1</t>
        </is>
      </c>
      <c r="U1647" s="8" t="inlineStr">
        <is>
          <t>allowed</t>
        </is>
      </c>
    </row>
    <row r="1648" ht="34" customHeight="1">
      <c r="A1648" s="8" t="n">
        <v>1647</v>
      </c>
      <c r="B1648" s="8" t="n">
        <v>800303</v>
      </c>
      <c r="C1648" s="8" t="inlineStr">
        <is>
          <t>万籁冰封</t>
        </is>
      </c>
      <c r="D1648" s="8" t="inlineStr">
        <is>
          <t>招式</t>
        </is>
      </c>
      <c r="E1648" s="8" t="inlineStr">
        <is>
          <t>spell</t>
        </is>
      </c>
      <c r="F1648" s="8" t="inlineStr">
        <is>
          <t>common</t>
        </is>
      </c>
      <c r="G1648" s="8" t="inlineStr">
        <is>
          <t>冰</t>
        </is>
      </c>
      <c r="H1648" s="8" t="inlineStr">
        <is>
          <t>ice</t>
        </is>
      </c>
      <c r="I1648" s="8" t="inlineStr">
        <is>
          <t>2×2</t>
        </is>
      </c>
      <c r="J1648" s="8" t="n">
        <v>4</v>
      </c>
      <c r="K1648" s="8" t="inlineStr"/>
      <c r="L1648" s="8" t="inlineStr">
        <is>
          <t>是</t>
        </is>
      </c>
      <c r="M1648" s="9" t="inlineStr">
        <is>
          <t>scriptureSpellReward</t>
        </is>
      </c>
      <c r="N1648" s="8" t="n">
        <v>1</v>
      </c>
      <c r="O1648" s="9" t="inlineStr">
        <is>
          <t>说明/执行器</t>
        </is>
      </c>
      <c r="P1648" s="9" t="inlineStr">
        <is>
          <t>effectNote</t>
        </is>
      </c>
      <c r="Q1648" s="9" t="inlineStr">
        <is>
          <t>说明/执行器：累计获得100层寒冷后，可长按释放，消耗 25 点法力与 20 层寒冷；再消耗敌方 20 层冰霜，使敌方所有道具冻结 3 秒</t>
        </is>
      </c>
      <c r="R1648" s="9" t="inlineStr">
        <is>
          <t>scripture_spell</t>
        </is>
      </c>
      <c r="S1648" s="9" t="inlineStr">
        <is>
          <t>太阴寒潮从足下铺开，雪声、风声与器鸣一并止息，敌阵尽数封入寂静寒晶。</t>
        </is>
      </c>
      <c r="T1648" s="8" t="inlineStr">
        <is>
          <t>spell_silent_glacial_seal_2x2</t>
        </is>
      </c>
      <c r="U1648" s="8" t="inlineStr">
        <is>
          <t>allowed</t>
        </is>
      </c>
    </row>
    <row r="1649" ht="34" customHeight="1">
      <c r="A1649" s="8" t="n">
        <v>1648</v>
      </c>
      <c r="B1649" s="8" t="n">
        <v>900001</v>
      </c>
      <c r="C1649" s="8" t="inlineStr">
        <is>
          <t>天雷子</t>
        </is>
      </c>
      <c r="D1649" s="8" t="inlineStr">
        <is>
          <t>投掷物</t>
        </is>
      </c>
      <c r="E1649" s="8" t="inlineStr">
        <is>
          <t>throwable</t>
        </is>
      </c>
      <c r="F1649" s="8" t="inlineStr">
        <is>
          <t>common</t>
        </is>
      </c>
      <c r="G1649" s="8" t="inlineStr">
        <is>
          <t>雷</t>
        </is>
      </c>
      <c r="H1649" s="8" t="inlineStr">
        <is>
          <t>thunder</t>
        </is>
      </c>
      <c r="I1649" s="8" t="inlineStr">
        <is>
          <t>1×1</t>
        </is>
      </c>
      <c r="J1649" s="8" t="n">
        <v>1</v>
      </c>
      <c r="K1649" s="8" t="n">
        <v>50</v>
      </c>
      <c r="L1649" s="8" t="inlineStr">
        <is>
          <t>是</t>
        </is>
      </c>
      <c r="M1649" s="9" t="inlineStr">
        <is>
          <t>bazaar；dynamicRandomReward；itemReforge</t>
        </is>
      </c>
      <c r="N1649" s="8" t="n">
        <v>1</v>
      </c>
      <c r="O1649" s="9" t="inlineStr">
        <is>
          <t>说明/执行器</t>
        </is>
      </c>
      <c r="P1649" s="9" t="inlineStr">
        <is>
          <t>effectNote</t>
        </is>
      </c>
      <c r="Q1649" s="9" t="inlineStr">
        <is>
          <t>说明/执行器：获得 100 层引雷，对敌方造成 100 点伤害，对敌方施加 30 层麻痹</t>
        </is>
      </c>
      <c r="R1649" s="9" t="inlineStr">
        <is>
          <t>consumable</t>
        </is>
      </c>
      <c r="S1649" s="9" t="inlineStr">
        <is>
          <t>蓝紫雷珠握在掌心微微震颤，珠壳内电芒乱撞，掷出时会炸开一声短促雷鸣。</t>
        </is>
      </c>
      <c r="T1649" s="8" t="inlineStr">
        <is>
          <t>implement_thunder_soul_pearl_1x1</t>
        </is>
      </c>
      <c r="U1649" s="8" t="inlineStr">
        <is>
          <t>allowed</t>
        </is>
      </c>
    </row>
    <row r="1650" ht="34" customHeight="1">
      <c r="A1650" s="8" t="n">
        <v>1649</v>
      </c>
      <c r="B1650" s="8" t="n">
        <v>900002</v>
      </c>
      <c r="C1650" s="8" t="inlineStr">
        <is>
          <t>炎爆丸</t>
        </is>
      </c>
      <c r="D1650" s="8" t="inlineStr">
        <is>
          <t>投掷物</t>
        </is>
      </c>
      <c r="E1650" s="8" t="inlineStr">
        <is>
          <t>throwable</t>
        </is>
      </c>
      <c r="F1650" s="8" t="inlineStr">
        <is>
          <t>common</t>
        </is>
      </c>
      <c r="G1650" s="8" t="inlineStr">
        <is>
          <t>火</t>
        </is>
      </c>
      <c r="H1650" s="8" t="inlineStr">
        <is>
          <t>fire</t>
        </is>
      </c>
      <c r="I1650" s="8" t="inlineStr">
        <is>
          <t>1×1</t>
        </is>
      </c>
      <c r="J1650" s="8" t="n">
        <v>1</v>
      </c>
      <c r="K1650" s="8" t="n">
        <v>5</v>
      </c>
      <c r="L1650" s="8" t="inlineStr">
        <is>
          <t>是</t>
        </is>
      </c>
      <c r="M1650" s="9" t="inlineStr">
        <is>
          <t>bazaar；dynamicRandomReward；itemReforge</t>
        </is>
      </c>
      <c r="N1650" s="8" t="n">
        <v>1</v>
      </c>
      <c r="O1650" s="9" t="inlineStr">
        <is>
          <t>说明/执行器</t>
        </is>
      </c>
      <c r="P1650" s="9" t="inlineStr">
        <is>
          <t>effectNote</t>
        </is>
      </c>
      <c r="Q1650" s="9" t="inlineStr">
        <is>
          <t>说明/执行器：投掷，对敌方造成 20 点伤害，并施加 6 层灼烧</t>
        </is>
      </c>
      <c r="R1650" s="9" t="inlineStr">
        <is>
          <t>consumable</t>
        </is>
      </c>
      <c r="S1650" s="9" t="inlineStr">
        <is>
          <t>赤红小丸内卷着一缕火星涡流，外层金纹像被热意撑开，落地便会炸出灼人的火浪。</t>
        </is>
      </c>
      <c r="T1650" s="8" t="inlineStr">
        <is>
          <t>material_flame_spirit_orb_1x1</t>
        </is>
      </c>
      <c r="U1650" s="8" t="inlineStr">
        <is>
          <t>allowed</t>
        </is>
      </c>
    </row>
    <row r="1651" ht="34" customHeight="1">
      <c r="A1651" s="8" t="n">
        <v>1650</v>
      </c>
      <c r="B1651" s="8" t="n">
        <v>900003</v>
      </c>
      <c r="C1651" s="8" t="inlineStr">
        <is>
          <t>火药爆弹</t>
        </is>
      </c>
      <c r="D1651" s="8" t="inlineStr">
        <is>
          <t>投掷物</t>
        </is>
      </c>
      <c r="E1651" s="8" t="inlineStr">
        <is>
          <t>throwable</t>
        </is>
      </c>
      <c r="F1651" s="8" t="inlineStr">
        <is>
          <t>common</t>
        </is>
      </c>
      <c r="G1651" s="8" t="inlineStr">
        <is>
          <t>火</t>
        </is>
      </c>
      <c r="H1651" s="8" t="inlineStr">
        <is>
          <t>fire</t>
        </is>
      </c>
      <c r="I1651" s="8" t="inlineStr">
        <is>
          <t>1×1</t>
        </is>
      </c>
      <c r="J1651" s="8" t="n">
        <v>1</v>
      </c>
      <c r="K1651" s="8" t="n">
        <v>1</v>
      </c>
      <c r="L1651" s="8" t="inlineStr">
        <is>
          <t>是</t>
        </is>
      </c>
      <c r="M1651" s="9" t="inlineStr">
        <is>
          <t>bazaar；dynamicRandomReward；itemReforge</t>
        </is>
      </c>
      <c r="N1651" s="8" t="n">
        <v>1</v>
      </c>
      <c r="O1651" s="9" t="inlineStr">
        <is>
          <t>说明/执行器</t>
        </is>
      </c>
      <c r="P1651" s="9" t="inlineStr">
        <is>
          <t>effectNote</t>
        </is>
      </c>
      <c r="Q1651" s="9" t="inlineStr">
        <is>
          <t>说明/执行器：投掷，消耗 2 点气血，对敌方造成 10 点伤害</t>
        </is>
      </c>
      <c r="R1651" s="9" t="inlineStr">
        <is>
          <t>consumable</t>
        </is>
      </c>
      <c r="S1651" s="9" t="inlineStr">
        <is>
          <t>透明药瓶里封着赤金火液，瓶塞一启便有焦烈药气外泄，适合在短兵相接时强行炸开破口。</t>
        </is>
      </c>
      <c r="T1651" s="8" t="inlineStr">
        <is>
          <t>pill_exploding_flame_marrow_dan_1x1</t>
        </is>
      </c>
      <c r="U1651" s="8" t="inlineStr">
        <is>
          <t>allowed</t>
        </is>
      </c>
    </row>
    <row r="1652" ht="34" customHeight="1">
      <c r="A1652" s="8" t="n">
        <v>1651</v>
      </c>
      <c r="B1652" s="8" t="n">
        <v>900004</v>
      </c>
      <c r="C1652" s="8" t="inlineStr">
        <is>
          <t>蚀骨毒珠</t>
        </is>
      </c>
      <c r="D1652" s="8" t="inlineStr">
        <is>
          <t>投掷物</t>
        </is>
      </c>
      <c r="E1652" s="8" t="inlineStr">
        <is>
          <t>throwable</t>
        </is>
      </c>
      <c r="F1652" s="8" t="inlineStr">
        <is>
          <t>common</t>
        </is>
      </c>
      <c r="G1652" s="8" t="inlineStr">
        <is>
          <t>木</t>
        </is>
      </c>
      <c r="H1652" s="8" t="inlineStr">
        <is>
          <t>wood</t>
        </is>
      </c>
      <c r="I1652" s="8" t="inlineStr">
        <is>
          <t>1×1</t>
        </is>
      </c>
      <c r="J1652" s="8" t="n">
        <v>1</v>
      </c>
      <c r="K1652" s="8" t="n">
        <v>3</v>
      </c>
      <c r="L1652" s="8" t="inlineStr">
        <is>
          <t>是</t>
        </is>
      </c>
      <c r="M1652" s="9" t="inlineStr">
        <is>
          <t>bazaar；dynamicRandomReward；itemReforge</t>
        </is>
      </c>
      <c r="N1652" s="8" t="n">
        <v>1</v>
      </c>
      <c r="O1652" s="9" t="inlineStr">
        <is>
          <t>说明/执行器</t>
        </is>
      </c>
      <c r="P1652" s="9" t="inlineStr">
        <is>
          <t>effectNote</t>
        </is>
      </c>
      <c r="Q1652" s="9" t="inlineStr">
        <is>
          <t>说明/执行器：投掷，对敌方施加 5 层中毒</t>
        </is>
      </c>
      <c r="R1652" s="9" t="inlineStr">
        <is>
          <t>consumable</t>
        </is>
      </c>
      <c r="S1652" s="9" t="inlineStr">
        <is>
          <t>墨绿毒珠内封着缓慢游动的浊液，珠壳一裂便会散出附骨不退的毒雾。</t>
        </is>
      </c>
      <c r="T1652" s="8" t="inlineStr">
        <is>
          <t>material_spider_mother_venom_pearl_1x1</t>
        </is>
      </c>
      <c r="U1652" s="8" t="inlineStr">
        <is>
          <t>allowed</t>
        </is>
      </c>
    </row>
    <row r="1653" ht="34" customHeight="1">
      <c r="A1653" s="8" t="n">
        <v>1652</v>
      </c>
      <c r="B1653" s="8" t="n">
        <v>900005</v>
      </c>
      <c r="C1653" s="8" t="inlineStr">
        <is>
          <t>碎岳破甲锥</t>
        </is>
      </c>
      <c r="D1653" s="8" t="inlineStr">
        <is>
          <t>投掷物</t>
        </is>
      </c>
      <c r="E1653" s="8" t="inlineStr">
        <is>
          <t>throwable</t>
        </is>
      </c>
      <c r="F1653" s="8" t="inlineStr">
        <is>
          <t>common</t>
        </is>
      </c>
      <c r="G1653" s="8" t="inlineStr">
        <is>
          <t>土</t>
        </is>
      </c>
      <c r="H1653" s="8" t="inlineStr">
        <is>
          <t>earth</t>
        </is>
      </c>
      <c r="I1653" s="8" t="inlineStr">
        <is>
          <t>1×1</t>
        </is>
      </c>
      <c r="J1653" s="8" t="n">
        <v>1</v>
      </c>
      <c r="K1653" s="8" t="n">
        <v>4</v>
      </c>
      <c r="L1653" s="8" t="inlineStr">
        <is>
          <t>是</t>
        </is>
      </c>
      <c r="M1653" s="9" t="inlineStr">
        <is>
          <t>bazaar；dynamicRandomReward；itemReforge</t>
        </is>
      </c>
      <c r="N1653" s="8" t="n">
        <v>1</v>
      </c>
      <c r="O1653" s="9" t="inlineStr">
        <is>
          <t>说明/执行器</t>
        </is>
      </c>
      <c r="P1653" s="9" t="inlineStr">
        <is>
          <t>effectNote</t>
        </is>
      </c>
      <c r="Q1653" s="9" t="inlineStr">
        <is>
          <t>说明/执行器：投掷，消耗敌方 15 层坚硬</t>
        </is>
      </c>
      <c r="R1653" s="9" t="inlineStr">
        <is>
          <t>consumable</t>
        </is>
      </c>
      <c r="S1653" s="9" t="inlineStr">
        <is>
          <t>短锥以沉铁铸成，锥尖刻着断岳纹，掷出时专破凝结成层的坚硬气劲。</t>
        </is>
      </c>
      <c r="T1653" s="8" t="inlineStr">
        <is>
          <t>implement_batch13_003_1x1</t>
        </is>
      </c>
      <c r="U1653" s="8" t="inlineStr">
        <is>
          <t>allowed</t>
        </is>
      </c>
    </row>
    <row r="1654" ht="34" customHeight="1">
      <c r="A1654" s="8" t="n">
        <v>1653</v>
      </c>
      <c r="B1654" s="8" t="n">
        <v>900006</v>
      </c>
      <c r="C1654" s="8" t="inlineStr">
        <is>
          <t>坠山石丸</t>
        </is>
      </c>
      <c r="D1654" s="8" t="inlineStr">
        <is>
          <t>投掷物</t>
        </is>
      </c>
      <c r="E1654" s="8" t="inlineStr">
        <is>
          <t>throwable</t>
        </is>
      </c>
      <c r="F1654" s="8" t="inlineStr">
        <is>
          <t>common</t>
        </is>
      </c>
      <c r="G1654" s="8" t="inlineStr">
        <is>
          <t>土</t>
        </is>
      </c>
      <c r="H1654" s="8" t="inlineStr">
        <is>
          <t>earth</t>
        </is>
      </c>
      <c r="I1654" s="8" t="inlineStr">
        <is>
          <t>1×1</t>
        </is>
      </c>
      <c r="J1654" s="8" t="n">
        <v>1</v>
      </c>
      <c r="K1654" s="8" t="n">
        <v>3</v>
      </c>
      <c r="L1654" s="8" t="inlineStr">
        <is>
          <t>是</t>
        </is>
      </c>
      <c r="M1654" s="9" t="inlineStr">
        <is>
          <t>bazaar；dynamicRandomReward；itemReforge</t>
        </is>
      </c>
      <c r="N1654" s="8" t="n">
        <v>1</v>
      </c>
      <c r="O1654" s="9" t="inlineStr">
        <is>
          <t>说明/执行器</t>
        </is>
      </c>
      <c r="P1654" s="9" t="inlineStr">
        <is>
          <t>effectNote</t>
        </is>
      </c>
      <c r="Q1654" s="9" t="inlineStr">
        <is>
          <t>说明/执行器：投掷，对敌方施加 20 层凝滞</t>
        </is>
      </c>
      <c r="R1654" s="9" t="inlineStr">
        <is>
          <t>consumable</t>
        </is>
      </c>
      <c r="S1654" s="9" t="inlineStr">
        <is>
          <t>灰褐石丸密实沉重，表面山纹层层下压，击中后会把坠山般的重势灌入敌身。</t>
        </is>
      </c>
      <c r="T1654" s="8" t="inlineStr">
        <is>
          <t>material_rock_toad_back_plate_1x1</t>
        </is>
      </c>
      <c r="U1654" s="8" t="inlineStr">
        <is>
          <t>allowed</t>
        </is>
      </c>
    </row>
    <row r="1655" ht="34" customHeight="1">
      <c r="A1655" s="8" t="n">
        <v>1654</v>
      </c>
      <c r="B1655" s="8" t="n">
        <v>900007</v>
      </c>
      <c r="C1655" s="8" t="inlineStr">
        <is>
          <t>裂甲飞针</t>
        </is>
      </c>
      <c r="D1655" s="8" t="inlineStr">
        <is>
          <t>投掷物</t>
        </is>
      </c>
      <c r="E1655" s="8" t="inlineStr">
        <is>
          <t>throwable</t>
        </is>
      </c>
      <c r="F1655" s="8" t="inlineStr">
        <is>
          <t>common</t>
        </is>
      </c>
      <c r="G1655" s="8" t="inlineStr">
        <is>
          <t>金</t>
        </is>
      </c>
      <c r="H1655" s="8" t="inlineStr">
        <is>
          <t>metal</t>
        </is>
      </c>
      <c r="I1655" s="8" t="inlineStr">
        <is>
          <t>1×1</t>
        </is>
      </c>
      <c r="J1655" s="8" t="n">
        <v>1</v>
      </c>
      <c r="K1655" s="8" t="n">
        <v>4</v>
      </c>
      <c r="L1655" s="8" t="inlineStr">
        <is>
          <t>是</t>
        </is>
      </c>
      <c r="M1655" s="9" t="inlineStr">
        <is>
          <t>bazaar；dynamicRandomReward；itemReforge</t>
        </is>
      </c>
      <c r="N1655" s="8" t="n">
        <v>1</v>
      </c>
      <c r="O1655" s="9" t="inlineStr">
        <is>
          <t>说明/执行器</t>
        </is>
      </c>
      <c r="P1655" s="9" t="inlineStr">
        <is>
          <t>effectNote</t>
        </is>
      </c>
      <c r="Q1655" s="9" t="inlineStr">
        <is>
          <t>说明/执行器：投掷，消耗敌方 15 层护甲</t>
        </is>
      </c>
      <c r="R1655" s="9" t="inlineStr">
        <is>
          <t>consumable</t>
        </is>
      </c>
      <c r="S1655" s="9" t="inlineStr">
        <is>
          <t>银黑飞针细若寒芒，针身排着破甲倒刺，命中后会将护甲灵光成片撕散。</t>
        </is>
      </c>
      <c r="T1655" s="8" t="inlineStr">
        <is>
          <t>implement_batch13_043_1x1</t>
        </is>
      </c>
      <c r="U1655" s="8" t="inlineStr">
        <is>
          <t>allowed</t>
        </is>
      </c>
    </row>
    <row r="1656" ht="34" customHeight="1">
      <c r="A1656" s="8" t="n">
        <v>1655</v>
      </c>
      <c r="B1656" s="8" t="n">
        <v>912101</v>
      </c>
      <c r="C1656" s="8" t="inlineStr">
        <is>
          <t>颅片爆炉盘</t>
        </is>
      </c>
      <c r="D1656" s="8" t="inlineStr">
        <is>
          <t>投掷物</t>
        </is>
      </c>
      <c r="E1656" s="8" t="inlineStr">
        <is>
          <t>throwable</t>
        </is>
      </c>
      <c r="F1656" s="8" t="inlineStr">
        <is>
          <t>common</t>
        </is>
      </c>
      <c r="G1656" s="8" t="inlineStr">
        <is>
          <t>火</t>
        </is>
      </c>
      <c r="H1656" s="8" t="inlineStr">
        <is>
          <t>fire</t>
        </is>
      </c>
      <c r="I1656" s="8" t="inlineStr">
        <is>
          <t>2×1</t>
        </is>
      </c>
      <c r="J1656" s="8" t="n">
        <v>2</v>
      </c>
      <c r="K1656" s="8" t="n">
        <v>8</v>
      </c>
      <c r="L1656" s="8" t="inlineStr">
        <is>
          <t>是</t>
        </is>
      </c>
      <c r="M1656" s="9" t="inlineStr"/>
      <c r="N1656" s="8" t="n">
        <v>1</v>
      </c>
      <c r="O1656" s="9" t="inlineStr">
        <is>
          <t>说明/执行器</t>
        </is>
      </c>
      <c r="P1656" s="9" t="inlineStr">
        <is>
          <t>effectNote</t>
        </is>
      </c>
      <c r="Q1656" s="9" t="inlineStr">
        <is>
          <t>说明/执行器：投掷，每有 1 件装备，对敌方造成 7 点伤害；投掷，每有 1 件装备，对敌方造成 8 点伤害；投掷，每有 1 件装备，对敌方造成 10 点伤害；投掷，每有 1 件装备，对敌方造成 12 点伤害</t>
        </is>
      </c>
      <c r="R1656" s="9" t="inlineStr">
        <is>
          <t>consumable</t>
        </is>
      </c>
      <c r="S1656" s="9" t="inlineStr">
        <is>
          <t>薄刃飞盘以颅片作破风骨翼，边缘包着黑金扣环。</t>
        </is>
      </c>
      <c r="T1656" s="8" t="inlineStr">
        <is>
          <t>throwable_danlu_chixiao_skull_plate_blast_disc_2x1</t>
        </is>
      </c>
      <c r="U1656" s="8" t="inlineStr">
        <is>
          <t>allowed</t>
        </is>
      </c>
    </row>
    <row r="1657" ht="34" customHeight="1">
      <c r="A1657" s="8" t="n">
        <v>1656</v>
      </c>
      <c r="B1657" s="8" t="n">
        <v>912103</v>
      </c>
      <c r="C1657" s="8" t="inlineStr">
        <is>
          <t>丹髓震炉丸</t>
        </is>
      </c>
      <c r="D1657" s="8" t="inlineStr">
        <is>
          <t>投掷物</t>
        </is>
      </c>
      <c r="E1657" s="8" t="inlineStr">
        <is>
          <t>throwable</t>
        </is>
      </c>
      <c r="F1657" s="8" t="inlineStr">
        <is>
          <t>common</t>
        </is>
      </c>
      <c r="G1657" s="8" t="inlineStr">
        <is>
          <t>火</t>
        </is>
      </c>
      <c r="H1657" s="8" t="inlineStr">
        <is>
          <t>fire</t>
        </is>
      </c>
      <c r="I1657" s="8" t="inlineStr">
        <is>
          <t>1×1</t>
        </is>
      </c>
      <c r="J1657" s="8" t="n">
        <v>1</v>
      </c>
      <c r="K1657" s="8" t="n">
        <v>8</v>
      </c>
      <c r="L1657" s="8" t="inlineStr">
        <is>
          <t>是</t>
        </is>
      </c>
      <c r="M1657" s="9" t="inlineStr"/>
      <c r="N1657" s="8" t="n">
        <v>1</v>
      </c>
      <c r="O1657" s="9" t="inlineStr">
        <is>
          <t>说明/执行器</t>
        </is>
      </c>
      <c r="P1657" s="9" t="inlineStr">
        <is>
          <t>effectNote</t>
        </is>
      </c>
      <c r="Q1657" s="9" t="inlineStr">
        <is>
          <t>说明/执行器：投掷，本局每有 1 件已耗尽符箓，对敌方施加 7 层灼烧；投掷，本局每有 1 件已耗尽符箓，对敌方施加 8 层灼烧；投掷，本局每有 1 件已耗尽符箓，对敌方施加 10 层灼烧；投掷，本局每有 1 件已耗尽符箓，对敌方施加 12 层灼烧</t>
        </is>
      </c>
      <c r="R1657" s="9" t="inlineStr">
        <is>
          <t>consumable</t>
        </is>
      </c>
      <c r="S1657" s="9" t="inlineStr">
        <is>
          <t>震炉丸以丹髓晶作撞芯，外侧黑铁瓣片扣成紧凑球体。</t>
        </is>
      </c>
      <c r="T1657" s="8" t="inlineStr">
        <is>
          <t>throwable_danlu_chixiao_cinnabar_marrow_shock_pellet_1x1</t>
        </is>
      </c>
      <c r="U1657" s="8" t="inlineStr">
        <is>
          <t>allowed</t>
        </is>
      </c>
    </row>
    <row r="1658" ht="34" customHeight="1">
      <c r="A1658" s="8" t="n">
        <v>1657</v>
      </c>
      <c r="B1658" s="8" t="n">
        <v>912104</v>
      </c>
      <c r="C1658" s="8" t="inlineStr">
        <is>
          <t>炉烟鸣爆子</t>
        </is>
      </c>
      <c r="D1658" s="8" t="inlineStr">
        <is>
          <t>投掷物</t>
        </is>
      </c>
      <c r="E1658" s="8" t="inlineStr">
        <is>
          <t>throwable</t>
        </is>
      </c>
      <c r="F1658" s="8" t="inlineStr">
        <is>
          <t>common</t>
        </is>
      </c>
      <c r="G1658" s="8" t="inlineStr">
        <is>
          <t>火</t>
        </is>
      </c>
      <c r="H1658" s="8" t="inlineStr">
        <is>
          <t>fire</t>
        </is>
      </c>
      <c r="I1658" s="8" t="inlineStr">
        <is>
          <t>1×1</t>
        </is>
      </c>
      <c r="J1658" s="8" t="n">
        <v>1</v>
      </c>
      <c r="K1658" s="8" t="n">
        <v>10</v>
      </c>
      <c r="L1658" s="8" t="inlineStr">
        <is>
          <t>是</t>
        </is>
      </c>
      <c r="M1658" s="9" t="inlineStr"/>
      <c r="N1658" s="8" t="n">
        <v>1</v>
      </c>
      <c r="O1658" s="9" t="inlineStr">
        <is>
          <t>说明/执行器</t>
        </is>
      </c>
      <c r="P1658" s="9" t="inlineStr">
        <is>
          <t>effectNote</t>
        </is>
      </c>
      <c r="Q1658" s="9" t="inlineStr">
        <is>
          <t>说明/执行器：投掷，每有 1 件饰品，对敌方造成 7 点伤害，对敌方施加 10 层灼烧；投掷，每有 1 件饰品，对敌方造成 7 点伤害；投掷，每有 1 件饰品，对敌方造成 7 点伤害，并施加 10 层灼烧；投掷，每有 1 件饰品，对敌方造成 8 点伤害，对敌方施加 10 层灼烧；投掷，每有 1 件饰品，对敌方造成 8 点伤害；投掷，每有 1 件饰品，对敌方造成 8 点伤害，并施加 10 层灼烧；投掷，每有 1 件饰品，对敌方造成 10 点伤害，对敌方施加 10 层灼烧；投掷，每有 1 件饰品，对敌方造成 10 点伤害；投掷，每有 1 件饰品，对敌方造成 10 点伤害，并施加 10 层灼烧；投掷，每有 1 件饰品，对敌方造成 12 点伤害，对敌方施加 10 层灼烧；投掷，每有 1 件饰品，对敌方造成 12 点伤害；投掷，每有 1 件饰品，对敌方造成 12 点伤害，并施加 10 层灼烧</t>
        </is>
      </c>
      <c r="R1658" s="9" t="inlineStr">
        <is>
          <t>consumable</t>
        </is>
      </c>
      <c r="S1658" s="9" t="inlineStr">
        <is>
          <t>紧凑爆子以耳骨作鸣哨，乳白骨瓣扣在黑铁弹壳一侧。</t>
        </is>
      </c>
      <c r="T1658" s="8" t="inlineStr">
        <is>
          <t>throwable_danlu_chixiao_smoke_ear_bone_resonance_bomb_1x1</t>
        </is>
      </c>
      <c r="U1658" s="8" t="inlineStr">
        <is>
          <t>allowed</t>
        </is>
      </c>
    </row>
    <row r="1659" ht="34" customHeight="1">
      <c r="A1659" s="8" t="n">
        <v>1658</v>
      </c>
      <c r="B1659" s="8" t="n">
        <v>912200</v>
      </c>
      <c r="C1659" s="8" t="inlineStr">
        <is>
          <t>裂符甲弹</t>
        </is>
      </c>
      <c r="D1659" s="8" t="inlineStr">
        <is>
          <t>投掷物</t>
        </is>
      </c>
      <c r="E1659" s="8" t="inlineStr">
        <is>
          <t>throwable</t>
        </is>
      </c>
      <c r="F1659" s="8" t="inlineStr">
        <is>
          <t>common</t>
        </is>
      </c>
      <c r="G1659" s="8" t="inlineStr">
        <is>
          <t>金</t>
        </is>
      </c>
      <c r="H1659" s="8" t="inlineStr">
        <is>
          <t>metal</t>
        </is>
      </c>
      <c r="I1659" s="8" t="inlineStr">
        <is>
          <t>2×2</t>
        </is>
      </c>
      <c r="J1659" s="8" t="n">
        <v>4</v>
      </c>
      <c r="K1659" s="8" t="n">
        <v>20</v>
      </c>
      <c r="L1659" s="8" t="inlineStr">
        <is>
          <t>是</t>
        </is>
      </c>
      <c r="M1659" s="9" t="inlineStr"/>
      <c r="N1659" s="8" t="n">
        <v>1</v>
      </c>
      <c r="O1659" s="9" t="inlineStr">
        <is>
          <t>说明/执行器</t>
        </is>
      </c>
      <c r="P1659" s="9" t="inlineStr">
        <is>
          <t>effectNote</t>
        </is>
      </c>
      <c r="Q1659" s="9" t="inlineStr">
        <is>
          <t>说明/执行器：投掷，每有 1 件装备，对敌方造成 8 点伤害，对敌方施加 20 层裂甲；投掷，每有 1 件装备，对敌方造成 8 点伤害；投掷，每有 1 件装备，对敌方造成 8 点伤害，并施加 20 层破甲；投掷，每有 1 件装备，对敌方造成 12 点伤害，对敌方施加 20 层裂甲；投掷，每有 1 件装备，对敌方造成 12 点伤害；投掷，每有 1 件装备，对敌方造成 12 点伤害，并施加 20 层破甲；投掷，每有 1 件装备，对敌方造成 15 点伤害，对敌方施加 20 层裂甲；投掷，每有 1 件装备，对敌方造成 15 点伤害；投掷，每有 1 件装备，对敌方造成 15 点伤害，并施加 20 层破甲；投掷，每有 1 件装备，对敌方造成 18 点伤害，对敌方施加 20 层裂甲；投掷，每有 1 件装备，对敌方造成 18 点伤害；投掷，每有 1 件装备，对敌方造成 18 点伤害，并施加 20 层破甲</t>
        </is>
      </c>
      <c r="R1659" s="9" t="inlineStr">
        <is>
          <t>consumable</t>
        </is>
      </c>
      <c r="S1659" s="9" t="inlineStr">
        <is>
          <t>符甲碎片箍成沉圆弹体，石质裂隙中透出黯淡符光。</t>
        </is>
      </c>
      <c r="T1659" s="8" t="inlineStr">
        <is>
          <t>throwable_fubei_shixi_carapace_bomb_2x2</t>
        </is>
      </c>
      <c r="U1659" s="8" t="inlineStr">
        <is>
          <t>allowed</t>
        </is>
      </c>
    </row>
    <row r="1660" ht="34" customHeight="1">
      <c r="A1660" s="8" t="n">
        <v>1659</v>
      </c>
      <c r="B1660" s="8" t="n">
        <v>912203</v>
      </c>
      <c r="C1660" s="8" t="inlineStr">
        <is>
          <t>震地蹄雷</t>
        </is>
      </c>
      <c r="D1660" s="8" t="inlineStr">
        <is>
          <t>投掷物</t>
        </is>
      </c>
      <c r="E1660" s="8" t="inlineStr">
        <is>
          <t>throwable</t>
        </is>
      </c>
      <c r="F1660" s="8" t="inlineStr">
        <is>
          <t>common</t>
        </is>
      </c>
      <c r="G1660" s="8" t="inlineStr">
        <is>
          <t>土</t>
        </is>
      </c>
      <c r="H1660" s="8" t="inlineStr">
        <is>
          <t>earth</t>
        </is>
      </c>
      <c r="I1660" s="8" t="inlineStr">
        <is>
          <t>2×1</t>
        </is>
      </c>
      <c r="J1660" s="8" t="n">
        <v>2</v>
      </c>
      <c r="K1660" s="8" t="n">
        <v>25</v>
      </c>
      <c r="L1660" s="8" t="inlineStr">
        <is>
          <t>是</t>
        </is>
      </c>
      <c r="M1660" s="9" t="inlineStr"/>
      <c r="N1660" s="8" t="n">
        <v>1</v>
      </c>
      <c r="O1660" s="9" t="inlineStr">
        <is>
          <t>说明/执行器</t>
        </is>
      </c>
      <c r="P1660" s="9" t="inlineStr">
        <is>
          <t>effectNote</t>
        </is>
      </c>
      <c r="Q1660" s="9" t="inlineStr">
        <is>
          <t>说明/执行器：投掷，对敌方造成 31 点伤害，对敌方施加 30 层凝滞；投掷，对敌方造成 31 点伤害；投掷，对敌方造成 31 点伤害，并施加 30 层凝滞；投掷，对敌方造成 41 点伤害，对敌方施加 30 层凝滞；投掷，对敌方造成 41 点伤害；投掷，对敌方造成 41 点伤害，并施加 30 层凝滞；投掷，对敌方造成 51 点伤害，对敌方施加 30 层凝滞；投掷，对敌方造成 51 点伤害；投掷，对敌方造成 51 点伤害，并施加 30 层凝滞；投掷，对敌方造成 61 点伤害，对敌方施加 30 层凝滞；投掷，对敌方造成 61 点伤害；投掷，对敌方造成 61 点伤害，并施加 30 层凝滞</t>
        </is>
      </c>
      <c r="R1660" s="9" t="inlineStr">
        <is>
          <t>consumable</t>
        </is>
      </c>
      <c r="S1660" s="9" t="inlineStr">
        <is>
          <t>半枚厚蹄包成扁长雷壳，壳缝里塞满沉黄符砂。</t>
        </is>
      </c>
      <c r="T1660" s="8" t="inlineStr">
        <is>
          <t>throwable_fubei_shixi_hoof_charge_2x1</t>
        </is>
      </c>
      <c r="U1660" s="8" t="inlineStr">
        <is>
          <t>allowed</t>
        </is>
      </c>
    </row>
    <row r="1661" ht="34" customHeight="1">
      <c r="A1661" s="8" t="n">
        <v>1660</v>
      </c>
      <c r="B1661" s="8" t="n">
        <v>912300</v>
      </c>
      <c r="C1661" s="8" t="inlineStr">
        <is>
          <t>清辉裂潮镖</t>
        </is>
      </c>
      <c r="D1661" s="8" t="inlineStr">
        <is>
          <t>投掷物</t>
        </is>
      </c>
      <c r="E1661" s="8" t="inlineStr">
        <is>
          <t>throwable</t>
        </is>
      </c>
      <c r="F1661" s="8" t="inlineStr">
        <is>
          <t>common</t>
        </is>
      </c>
      <c r="G1661" s="8" t="inlineStr">
        <is>
          <t>金</t>
        </is>
      </c>
      <c r="H1661" s="8" t="inlineStr">
        <is>
          <t>metal</t>
        </is>
      </c>
      <c r="I1661" s="8" t="inlineStr">
        <is>
          <t>2×2</t>
        </is>
      </c>
      <c r="J1661" s="8" t="n">
        <v>4</v>
      </c>
      <c r="K1661" s="8" t="n">
        <v>12</v>
      </c>
      <c r="L1661" s="8" t="inlineStr">
        <is>
          <t>是</t>
        </is>
      </c>
      <c r="M1661" s="9" t="inlineStr"/>
      <c r="N1661" s="8" t="n">
        <v>1</v>
      </c>
      <c r="O1661" s="9" t="inlineStr">
        <is>
          <t>说明/执行器</t>
        </is>
      </c>
      <c r="P1661" s="9" t="inlineStr">
        <is>
          <t>effectNote</t>
        </is>
      </c>
      <c r="Q1661" s="9" t="inlineStr">
        <is>
          <t>说明/执行器：投掷，每有 1 件金属性道具，对敌方造成 5 点伤害；投掷，每有 1 件金属性道具，对敌方造成 7 点伤害；投掷，每有 1 件金属性道具，对敌方造成 8 点伤害；投掷，每有 1 件金属性道具，对敌方造成 10 点伤害</t>
        </is>
      </c>
      <c r="R1661" s="9" t="inlineStr">
        <is>
          <t>consumable</t>
        </is>
      </c>
      <c r="S1661" s="9" t="inlineStr">
        <is>
          <t>三片清辉蚌刃围住镖心，掷出时如碎月切开水面。</t>
        </is>
      </c>
      <c r="T1661" s="8" t="inlineStr">
        <is>
          <t>throwable_yuejian_lingbang_moonlit_shell_riptide_dart_2x2</t>
        </is>
      </c>
      <c r="U1661" s="8" t="inlineStr">
        <is>
          <t>allowed</t>
        </is>
      </c>
    </row>
    <row r="1662" ht="34" customHeight="1">
      <c r="A1662" s="8" t="n">
        <v>1661</v>
      </c>
      <c r="B1662" s="8" t="n">
        <v>912301</v>
      </c>
      <c r="C1662" s="8" t="inlineStr">
        <is>
          <t>凝月爆潮囊</t>
        </is>
      </c>
      <c r="D1662" s="8" t="inlineStr">
        <is>
          <t>投掷物</t>
        </is>
      </c>
      <c r="E1662" s="8" t="inlineStr">
        <is>
          <t>throwable</t>
        </is>
      </c>
      <c r="F1662" s="8" t="inlineStr">
        <is>
          <t>common</t>
        </is>
      </c>
      <c r="G1662" s="8" t="inlineStr">
        <is>
          <t>水</t>
        </is>
      </c>
      <c r="H1662" s="8" t="inlineStr">
        <is>
          <t>water</t>
        </is>
      </c>
      <c r="I1662" s="8" t="inlineStr">
        <is>
          <t>2×2</t>
        </is>
      </c>
      <c r="J1662" s="8" t="n">
        <v>4</v>
      </c>
      <c r="K1662" s="8" t="n">
        <v>12</v>
      </c>
      <c r="L1662" s="8" t="inlineStr">
        <is>
          <t>是</t>
        </is>
      </c>
      <c r="M1662" s="9" t="inlineStr"/>
      <c r="N1662" s="8" t="n">
        <v>1</v>
      </c>
      <c r="O1662" s="9" t="inlineStr">
        <is>
          <t>说明/执行器</t>
        </is>
      </c>
      <c r="P1662" s="9" t="inlineStr">
        <is>
          <t>effectNote</t>
        </is>
      </c>
      <c r="Q1662" s="9" t="inlineStr">
        <is>
          <t>说明/执行器：投掷，恢复 40 点气血；投掷，恢复 50 点气血；投掷，恢复 59 点气血；投掷，恢复 69 点气血</t>
        </is>
      </c>
      <c r="R1662" s="9" t="inlineStr">
        <is>
          <t>consumable</t>
        </is>
      </c>
      <c r="S1662" s="9" t="inlineStr">
        <is>
          <t>弹韧蚌肉被束成鼓胀潮囊，囊口封着一枚蓝灰水阀。</t>
        </is>
      </c>
      <c r="T1662" s="8" t="inlineStr">
        <is>
          <t>throwable_yuejian_lingbang_moon_flesh_burst_sac_2x2</t>
        </is>
      </c>
      <c r="U1662" s="8" t="inlineStr">
        <is>
          <t>allowed</t>
        </is>
      </c>
    </row>
    <row r="1663" ht="34" customHeight="1">
      <c r="A1663" s="8" t="n">
        <v>1662</v>
      </c>
      <c r="B1663" s="8" t="n">
        <v>912304</v>
      </c>
      <c r="C1663" s="8" t="inlineStr">
        <is>
          <t>月涧坠月弹</t>
        </is>
      </c>
      <c r="D1663" s="8" t="inlineStr">
        <is>
          <t>投掷物</t>
        </is>
      </c>
      <c r="E1663" s="8" t="inlineStr">
        <is>
          <t>throwable</t>
        </is>
      </c>
      <c r="F1663" s="8" t="inlineStr">
        <is>
          <t>common</t>
        </is>
      </c>
      <c r="G1663" s="8" t="inlineStr">
        <is>
          <t>金</t>
        </is>
      </c>
      <c r="H1663" s="8" t="inlineStr">
        <is>
          <t>metal</t>
        </is>
      </c>
      <c r="I1663" s="8" t="inlineStr">
        <is>
          <t>1×2</t>
        </is>
      </c>
      <c r="J1663" s="8" t="n">
        <v>2</v>
      </c>
      <c r="K1663" s="8" t="n">
        <v>16</v>
      </c>
      <c r="L1663" s="8" t="inlineStr">
        <is>
          <t>是</t>
        </is>
      </c>
      <c r="M1663" s="9" t="inlineStr"/>
      <c r="N1663" s="8" t="n">
        <v>1</v>
      </c>
      <c r="O1663" s="9" t="inlineStr">
        <is>
          <t>说明/执行器</t>
        </is>
      </c>
      <c r="P1663" s="9" t="inlineStr">
        <is>
          <t>effectNote</t>
        </is>
      </c>
      <c r="Q1663" s="9" t="inlineStr">
        <is>
          <t>说明/执行器：投掷，对敌方造成 28 点伤害，并使敌方随机 1 件道具获得 3 秒减速；投掷，对敌方造成 38 点伤害，并使敌方随机 1 件道具获得 4 秒减速；投掷，对敌方造成 48 点伤害，并使敌方随机 1 件道具获得 5 秒减速；投掷，对敌方造成 58 点伤害，并使敌方随机 1 件道具获得 6 秒减速</t>
        </is>
      </c>
      <c r="R1663" s="9" t="inlineStr">
        <is>
          <t>consumable</t>
        </is>
      </c>
      <c r="S1663" s="9" t="inlineStr">
        <is>
          <t>月面灵珠被锁进三翼弹架，尖帽下收束着冷白珠辉。</t>
        </is>
      </c>
      <c r="T1663" s="8" t="inlineStr">
        <is>
          <t>throwable_yuejian_lingbang_moon_stream_pearl_drop_bomb_1x2</t>
        </is>
      </c>
      <c r="U1663" s="8" t="inlineStr">
        <is>
          <t>allowed</t>
        </is>
      </c>
    </row>
    <row r="1664" ht="34" customHeight="1">
      <c r="A1664" s="8" t="n">
        <v>1663</v>
      </c>
      <c r="B1664" s="8" t="n">
        <v>912405</v>
      </c>
      <c r="C1664" s="8" t="inlineStr">
        <is>
          <t>木息髓爆筒</t>
        </is>
      </c>
      <c r="D1664" s="8" t="inlineStr">
        <is>
          <t>投掷物</t>
        </is>
      </c>
      <c r="E1664" s="8" t="inlineStr">
        <is>
          <t>throwable</t>
        </is>
      </c>
      <c r="F1664" s="8" t="inlineStr">
        <is>
          <t>common</t>
        </is>
      </c>
      <c r="G1664" s="8" t="inlineStr">
        <is>
          <t>木</t>
        </is>
      </c>
      <c r="H1664" s="8" t="inlineStr">
        <is>
          <t>wood</t>
        </is>
      </c>
      <c r="I1664" s="8" t="inlineStr">
        <is>
          <t>1×2</t>
        </is>
      </c>
      <c r="J1664" s="8" t="n">
        <v>2</v>
      </c>
      <c r="K1664" s="8" t="n">
        <v>24</v>
      </c>
      <c r="L1664" s="8" t="inlineStr">
        <is>
          <t>是</t>
        </is>
      </c>
      <c r="M1664" s="9" t="inlineStr"/>
      <c r="N1664" s="8" t="n">
        <v>1</v>
      </c>
      <c r="O1664" s="9" t="inlineStr">
        <is>
          <t>说明/执行器</t>
        </is>
      </c>
      <c r="P1664" s="9" t="inlineStr">
        <is>
          <t>effectNote</t>
        </is>
      </c>
      <c r="Q1664" s="9" t="inlineStr">
        <is>
          <t>说明/执行器：投掷，本局每有 1 件已耗尽投掷物，对敌方造成 7 点伤害；投掷，本局每有 1 件已耗尽投掷物，对敌方造成 8 点伤害；投掷，本局每有 1 件已耗尽投掷物，对敌方造成 10 点伤害；投掷，本局每有 1 件已耗尽投掷物，对敌方造成 12 点伤害</t>
        </is>
      </c>
      <c r="R1664" s="9" t="inlineStr">
        <is>
          <t>consumable</t>
        </is>
      </c>
      <c r="S1664" s="9" t="inlineStr">
        <is>
          <t>青铜爆筒以灵髓碎晶作引芯，窄长筒身缠着两圈深青护箍。</t>
        </is>
      </c>
      <c r="T1664" s="8" t="inlineStr">
        <is>
          <t>throwable_biwu_wood_marrow_burst_canister_1x2</t>
        </is>
      </c>
      <c r="U1664" s="8" t="inlineStr">
        <is>
          <t>allowed</t>
        </is>
      </c>
    </row>
    <row r="1665" ht="34" customHeight="1">
      <c r="A1665" s="8" t="n">
        <v>1664</v>
      </c>
      <c r="B1665" s="8" t="n">
        <v>912406</v>
      </c>
      <c r="C1665" s="8" t="inlineStr">
        <is>
          <t>断啸破罡哨箭</t>
        </is>
      </c>
      <c r="D1665" s="8" t="inlineStr">
        <is>
          <t>投掷物</t>
        </is>
      </c>
      <c r="E1665" s="8" t="inlineStr">
        <is>
          <t>throwable</t>
        </is>
      </c>
      <c r="F1665" s="8" t="inlineStr">
        <is>
          <t>common</t>
        </is>
      </c>
      <c r="G1665" s="8" t="inlineStr">
        <is>
          <t>木</t>
        </is>
      </c>
      <c r="H1665" s="8" t="inlineStr">
        <is>
          <t>wood</t>
        </is>
      </c>
      <c r="I1665" s="8" t="inlineStr">
        <is>
          <t>1×2</t>
        </is>
      </c>
      <c r="J1665" s="8" t="n">
        <v>2</v>
      </c>
      <c r="K1665" s="8" t="n">
        <v>30</v>
      </c>
      <c r="L1665" s="8" t="inlineStr">
        <is>
          <t>是</t>
        </is>
      </c>
      <c r="M1665" s="9" t="inlineStr"/>
      <c r="N1665" s="8" t="n">
        <v>1</v>
      </c>
      <c r="O1665" s="9" t="inlineStr">
        <is>
          <t>说明/执行器</t>
        </is>
      </c>
      <c r="P1665" s="9" t="inlineStr">
        <is>
          <t>effectNote</t>
        </is>
      </c>
      <c r="Q1665" s="9" t="inlineStr">
        <is>
          <t>说明/执行器：投掷，每有 1 件招式，对敌方造成 7 点伤害；投掷，每有 1 件招式，对敌方造成 8 点伤害；投掷，每有 1 件招式，对敌方造成 10 点伤害；投掷，每有 1 件招式，对敌方造成 12 点伤害</t>
        </is>
      </c>
      <c r="R1665" s="9" t="inlineStr">
        <is>
          <t>consumable</t>
        </is>
      </c>
      <c r="S1665" s="9" t="inlineStr">
        <is>
          <t>骨哨嵌在细长木杆前端，破空时会挤出一声短啸，青纹随尾羽一同震颤。</t>
        </is>
      </c>
      <c r="T1665" s="8" t="inlineStr">
        <is>
          <t>throwable_broken_howl_piercing_whistle_dart_1x2</t>
        </is>
      </c>
      <c r="U1665" s="8" t="inlineStr">
        <is>
          <t>allowed</t>
        </is>
      </c>
    </row>
    <row r="1666" ht="34" customHeight="1">
      <c r="A1666" s="8" t="n">
        <v>1665</v>
      </c>
      <c r="B1666" s="8" t="n">
        <v>912407</v>
      </c>
      <c r="C1666" s="8" t="inlineStr">
        <is>
          <t>裂胆震灵弹</t>
        </is>
      </c>
      <c r="D1666" s="8" t="inlineStr">
        <is>
          <t>投掷物</t>
        </is>
      </c>
      <c r="E1666" s="8" t="inlineStr">
        <is>
          <t>throwable</t>
        </is>
      </c>
      <c r="F1666" s="8" t="inlineStr">
        <is>
          <t>common</t>
        </is>
      </c>
      <c r="G1666" s="8" t="inlineStr">
        <is>
          <t>木</t>
        </is>
      </c>
      <c r="H1666" s="8" t="inlineStr">
        <is>
          <t>wood</t>
        </is>
      </c>
      <c r="I1666" s="8" t="inlineStr">
        <is>
          <t>1×1</t>
        </is>
      </c>
      <c r="J1666" s="8" t="n">
        <v>1</v>
      </c>
      <c r="K1666" s="8" t="n">
        <v>36</v>
      </c>
      <c r="L1666" s="8" t="inlineStr">
        <is>
          <t>是</t>
        </is>
      </c>
      <c r="M1666" s="9" t="inlineStr"/>
      <c r="N1666" s="8" t="n">
        <v>1</v>
      </c>
      <c r="O1666" s="9" t="inlineStr">
        <is>
          <t>说明/执行器</t>
        </is>
      </c>
      <c r="P1666" s="9" t="inlineStr">
        <is>
          <t>effectNote</t>
        </is>
      </c>
      <c r="Q1666" s="9" t="inlineStr">
        <is>
          <t>说明/执行器：投掷，对敌方造成 24 点伤害，并使敌方占格面积最大的道具获得 5 秒减速；投掷，对敌方造成 31 点伤害，并使敌方占格面积最大的道具获得 6 秒减速；投掷，对敌方造成 37 点伤害，并使敌方占格面积最大的道具获得 8 秒减速；投掷，对敌方造成 44 点伤害，并使敌方占格面积最大的道具获得 9 秒减速</t>
        </is>
      </c>
      <c r="R1666" s="9" t="inlineStr">
        <is>
          <t>consumable</t>
        </is>
      </c>
      <c r="S1666" s="9" t="inlineStr">
        <is>
          <t>三瓣铜甲箍住一枚梧心胆核，顶端撞簧扣得极紧，壳上裂线仿佛随时会一齐绽开。</t>
        </is>
      </c>
      <c r="T1666" s="8" t="inlineStr">
        <is>
          <t>throwable_gall_core_shock_bomb_1x1</t>
        </is>
      </c>
      <c r="U1666" s="8" t="inlineStr">
        <is>
          <t>allowed</t>
        </is>
      </c>
    </row>
    <row r="1667" ht="34" customHeight="1">
      <c r="A1667" s="8" t="n">
        <v>1666</v>
      </c>
      <c r="B1667" s="8" t="n">
        <v>912408</v>
      </c>
      <c r="C1667" s="8" t="inlineStr">
        <is>
          <t>破障追魂镖</t>
        </is>
      </c>
      <c r="D1667" s="8" t="inlineStr">
        <is>
          <t>投掷物</t>
        </is>
      </c>
      <c r="E1667" s="8" t="inlineStr">
        <is>
          <t>throwable</t>
        </is>
      </c>
      <c r="F1667" s="8" t="inlineStr">
        <is>
          <t>common</t>
        </is>
      </c>
      <c r="G1667" s="8" t="inlineStr">
        <is>
          <t>木</t>
        </is>
      </c>
      <c r="H1667" s="8" t="inlineStr">
        <is>
          <t>wood</t>
        </is>
      </c>
      <c r="I1667" s="8" t="inlineStr">
        <is>
          <t>1×1</t>
        </is>
      </c>
      <c r="J1667" s="8" t="n">
        <v>1</v>
      </c>
      <c r="K1667" s="8" t="n">
        <v>36</v>
      </c>
      <c r="L1667" s="8" t="inlineStr">
        <is>
          <t>是</t>
        </is>
      </c>
      <c r="M1667" s="9" t="inlineStr"/>
      <c r="N1667" s="8" t="n">
        <v>1</v>
      </c>
      <c r="O1667" s="9" t="inlineStr">
        <is>
          <t>说明/执行器</t>
        </is>
      </c>
      <c r="P1667" s="9" t="inlineStr">
        <is>
          <t>effectNote</t>
        </is>
      </c>
      <c r="Q1667" s="9" t="inlineStr">
        <is>
          <t>说明/执行器：投掷，对敌方造成 34 点伤害，并使敌方随机 1 件道具获得 6 秒减速；投掷，对敌方造成 44 点伤害，并使敌方随机 1 件道具获得 8 秒减速；投掷，对敌方造成 54 点伤害，并使敌方随机 1 件道具获得 9 秒减速；投掷，对敌方造成 65 点伤害，并使敌方随机 1 件道具获得 11 秒减速</t>
        </is>
      </c>
      <c r="R1667" s="9" t="inlineStr">
        <is>
          <t>consumable</t>
        </is>
      </c>
      <c r="S1667" s="9" t="inlineStr">
        <is>
          <t>四刃铜镖围着一枚青睛灵核张开，暗青瞳线锁在镖心，旋动时仍像在追逐远处身影。</t>
        </is>
      </c>
      <c r="T1667" s="8" t="inlineStr">
        <is>
          <t>throwable_barrier_breaking_soul_dart_1x1</t>
        </is>
      </c>
      <c r="U1667" s="8" t="inlineStr">
        <is>
          <t>allowed</t>
        </is>
      </c>
    </row>
    <row r="1668" ht="34" customHeight="1">
      <c r="A1668" s="8" t="n">
        <v>1667</v>
      </c>
      <c r="B1668" s="8" t="n">
        <v>912702</v>
      </c>
      <c r="C1668" s="8" t="inlineStr">
        <is>
          <t>裂髓骨矛</t>
        </is>
      </c>
      <c r="D1668" s="8" t="inlineStr">
        <is>
          <t>投掷物</t>
        </is>
      </c>
      <c r="E1668" s="8" t="inlineStr">
        <is>
          <t>throwable</t>
        </is>
      </c>
      <c r="F1668" s="8" t="inlineStr">
        <is>
          <t>common</t>
        </is>
      </c>
      <c r="G1668" s="8" t="inlineStr">
        <is>
          <t>土</t>
        </is>
      </c>
      <c r="H1668" s="8" t="inlineStr">
        <is>
          <t>earth</t>
        </is>
      </c>
      <c r="I1668" s="8" t="inlineStr">
        <is>
          <t>2×1</t>
        </is>
      </c>
      <c r="J1668" s="8" t="n">
        <v>2</v>
      </c>
      <c r="K1668" s="8" t="n">
        <v>12</v>
      </c>
      <c r="L1668" s="8" t="inlineStr">
        <is>
          <t>是</t>
        </is>
      </c>
      <c r="M1668" s="9" t="inlineStr"/>
      <c r="N1668" s="8" t="n">
        <v>1</v>
      </c>
      <c r="O1668" s="9" t="inlineStr">
        <is>
          <t>说明/执行器</t>
        </is>
      </c>
      <c r="P1668" s="9" t="inlineStr">
        <is>
          <t>effectNote</t>
        </is>
      </c>
      <c r="Q1668" s="9" t="inlineStr">
        <is>
          <t>说明/执行器：投掷，每有 1 件 1×2 型道具，对敌方造成 7 点伤害；投掷，每有 1 件 1×2 型道具，对敌方造成 8 点伤害；投掷，每有 1 件 1×2 型道具，对敌方造成 10 点伤害；投掷，每有 1 件 1×2 型道具，对敌方造成 12 点伤害</t>
        </is>
      </c>
      <c r="R1668" s="9" t="inlineStr">
        <is>
          <t>consumable</t>
        </is>
      </c>
      <c r="S1668" s="9" t="inlineStr">
        <is>
          <t>地髓骨断件装成短投矛的破岩矛头，黑金髓线直抵尖端。</t>
        </is>
      </c>
      <c r="T1668" s="8" t="inlineStr">
        <is>
          <t>throwable_xuanmai_earth_marrow_bone_active_2x1</t>
        </is>
      </c>
      <c r="U1668" s="8" t="inlineStr">
        <is>
          <t>allowed</t>
        </is>
      </c>
    </row>
    <row r="1669" ht="34" customHeight="1">
      <c r="A1669" s="8" t="n">
        <v>1668</v>
      </c>
      <c r="B1669" s="8" t="n">
        <v>912705</v>
      </c>
      <c r="C1669" s="8" t="inlineStr">
        <is>
          <t>裂心鳞梭</t>
        </is>
      </c>
      <c r="D1669" s="8" t="inlineStr">
        <is>
          <t>投掷物</t>
        </is>
      </c>
      <c r="E1669" s="8" t="inlineStr">
        <is>
          <t>throwable</t>
        </is>
      </c>
      <c r="F1669" s="8" t="inlineStr">
        <is>
          <t>common</t>
        </is>
      </c>
      <c r="G1669" s="8" t="inlineStr">
        <is>
          <t>土</t>
        </is>
      </c>
      <c r="H1669" s="8" t="inlineStr">
        <is>
          <t>earth</t>
        </is>
      </c>
      <c r="I1669" s="8" t="inlineStr">
        <is>
          <t>2×1</t>
        </is>
      </c>
      <c r="J1669" s="8" t="n">
        <v>2</v>
      </c>
      <c r="K1669" s="8" t="n">
        <v>12</v>
      </c>
      <c r="L1669" s="8" t="inlineStr">
        <is>
          <t>是</t>
        </is>
      </c>
      <c r="M1669" s="9" t="inlineStr"/>
      <c r="N1669" s="8" t="n">
        <v>1</v>
      </c>
      <c r="O1669" s="9" t="inlineStr">
        <is>
          <t>说明/执行器</t>
        </is>
      </c>
      <c r="P1669" s="9" t="inlineStr">
        <is>
          <t>effectNote</t>
        </is>
      </c>
      <c r="Q1669" s="9" t="inlineStr">
        <is>
          <t>说明/执行器：投掷，移除敌方 9 层护甲；投掷，移除敌方 11 层护甲；投掷，移除敌方 12 层护甲；投掷，移除敌方 14 层护甲</t>
        </is>
      </c>
      <c r="R1669" s="9" t="inlineStr">
        <is>
          <t>consumable</t>
        </is>
      </c>
      <c r="S1669" s="9" t="inlineStr">
        <is>
          <t>地脉心鳞装在飞梭前端作分流鳞翼，心尖正对破势方向。</t>
        </is>
      </c>
      <c r="T1669" s="8" t="inlineStr">
        <is>
          <t>throwable_xuanmai_earth_heart_scale_active_2x1</t>
        </is>
      </c>
      <c r="U1669" s="8" t="inlineStr">
        <is>
          <t>allowed</t>
        </is>
      </c>
    </row>
    <row r="1670" ht="34" customHeight="1">
      <c r="A1670" s="8" t="n">
        <v>1669</v>
      </c>
      <c r="B1670" s="8" t="n">
        <v>912706</v>
      </c>
      <c r="C1670" s="8" t="inlineStr">
        <is>
          <t>玄胆爆珠</t>
        </is>
      </c>
      <c r="D1670" s="8" t="inlineStr">
        <is>
          <t>投掷物</t>
        </is>
      </c>
      <c r="E1670" s="8" t="inlineStr">
        <is>
          <t>throwable</t>
        </is>
      </c>
      <c r="F1670" s="8" t="inlineStr">
        <is>
          <t>common</t>
        </is>
      </c>
      <c r="G1670" s="8" t="inlineStr">
        <is>
          <t>土</t>
        </is>
      </c>
      <c r="H1670" s="8" t="inlineStr">
        <is>
          <t>earth</t>
        </is>
      </c>
      <c r="I1670" s="8" t="inlineStr">
        <is>
          <t>1×1</t>
        </is>
      </c>
      <c r="J1670" s="8" t="n">
        <v>1</v>
      </c>
      <c r="K1670" s="8" t="n">
        <v>12</v>
      </c>
      <c r="L1670" s="8" t="inlineStr">
        <is>
          <t>是</t>
        </is>
      </c>
      <c r="M1670" s="9" t="inlineStr"/>
      <c r="N1670" s="8" t="n">
        <v>1</v>
      </c>
      <c r="O1670" s="9" t="inlineStr">
        <is>
          <t>说明/执行器</t>
        </is>
      </c>
      <c r="P1670" s="9" t="inlineStr">
        <is>
          <t>effectNote</t>
        </is>
      </c>
      <c r="Q1670" s="9" t="inlineStr">
        <is>
          <t>说明/执行器：投掷，本局每有 1 件已耗尽消耗品，对敌方造成 7 点伤害；投掷，本局每有 1 件已耗尽消耗品，对敌方造成 8 点伤害；投掷，本局每有 1 件已耗尽消耗品，对敌方造成 10 点伤害；投掷，本局每有 1 件已耗尽消耗品，对敌方造成 12 点伤害</t>
        </is>
      </c>
      <c r="R1670" s="9" t="inlineStr">
        <is>
          <t>consumable</t>
        </is>
      </c>
      <c r="S1670" s="9" t="inlineStr">
        <is>
          <t>玄土胆石装进开瓣爆珠核心，金色裂纹指向外层破片。</t>
        </is>
      </c>
      <c r="T1670" s="8" t="inlineStr">
        <is>
          <t>throwable_xuanmai_dark_earth_gallstone_active_1x1</t>
        </is>
      </c>
      <c r="U1670" s="8" t="inlineStr">
        <is>
          <t>allowed</t>
        </is>
      </c>
    </row>
    <row r="1671" ht="34" customHeight="1">
      <c r="A1671" s="8" t="n">
        <v>1670</v>
      </c>
      <c r="B1671" s="8" t="n">
        <v>913300</v>
      </c>
      <c r="C1671" s="8" t="inlineStr">
        <is>
          <t>灵狸绒耳震鸣丸</t>
        </is>
      </c>
      <c r="D1671" s="8" t="inlineStr">
        <is>
          <t>投掷物</t>
        </is>
      </c>
      <c r="E1671" s="8" t="inlineStr">
        <is>
          <t>throwable</t>
        </is>
      </c>
      <c r="F1671" s="8" t="inlineStr">
        <is>
          <t>spirit</t>
        </is>
      </c>
      <c r="G1671" s="8" t="inlineStr">
        <is>
          <t>金</t>
        </is>
      </c>
      <c r="H1671" s="8" t="inlineStr">
        <is>
          <t>metal</t>
        </is>
      </c>
      <c r="I1671" s="8" t="inlineStr">
        <is>
          <t>1×1</t>
        </is>
      </c>
      <c r="J1671" s="8" t="n">
        <v>1</v>
      </c>
      <c r="K1671" s="8" t="n">
        <v>80</v>
      </c>
      <c r="L1671" s="8" t="inlineStr">
        <is>
          <t>是</t>
        </is>
      </c>
      <c r="M1671" s="9" t="inlineStr"/>
      <c r="N1671" s="8" t="n">
        <v>1</v>
      </c>
      <c r="O1671" s="9" t="inlineStr">
        <is>
          <t>说明/执行器</t>
        </is>
      </c>
      <c r="P1671" s="9" t="inlineStr">
        <is>
          <t>effectNote</t>
        </is>
      </c>
      <c r="Q1671" s="9" t="inlineStr">
        <is>
          <t>说明/执行器：投掷，每有 1 件 1×1 道具，对敌方造成 8 点伤害，最多计 6 件，并施加 2 层中毒；投掷，每有 1 件 1×1 道具，对敌方造成 10 点伤害，最多计 6 件，并施加 3 层中毒；投掷，每有 1 件 1×1 道具，对敌方造成 13 点伤害，最多计 6 件，并施加 4 层中毒；投掷，每有 1 件 1×1 道具，对敌方造成 15 点伤害，最多计 6 件，并施加 5 层中毒</t>
        </is>
      </c>
      <c r="R1671" s="9" t="inlineStr">
        <is>
          <t>consumable</t>
        </is>
      </c>
      <c r="S1671" s="9" t="inlineStr">
        <is>
          <t>以灵狸绒耳炼成的投掷器。掷出或启封时会迅速释放母材灵机，适合筑基期临阵使用。</t>
        </is>
      </c>
      <c r="T1671" s="8" t="inlineStr">
        <is>
          <t>throwable_biwei_li_spirit_raccoon_ear_tuft_link_1x1</t>
        </is>
      </c>
      <c r="U1671" s="8" t="inlineStr">
        <is>
          <t>allowed</t>
        </is>
      </c>
    </row>
    <row r="1672" ht="34" customHeight="1">
      <c r="A1672" s="8" t="n">
        <v>1671</v>
      </c>
      <c r="B1672" s="8" t="n">
        <v>913301</v>
      </c>
      <c r="C1672" s="8" t="inlineStr">
        <is>
          <t>漆盒墨饼震鸣丸</t>
        </is>
      </c>
      <c r="D1672" s="8" t="inlineStr">
        <is>
          <t>投掷物</t>
        </is>
      </c>
      <c r="E1672" s="8" t="inlineStr">
        <is>
          <t>throwable</t>
        </is>
      </c>
      <c r="F1672" s="8" t="inlineStr">
        <is>
          <t>spirit</t>
        </is>
      </c>
      <c r="G1672" s="8" t="inlineStr">
        <is>
          <t>土</t>
        </is>
      </c>
      <c r="H1672" s="8" t="inlineStr">
        <is>
          <t>earth</t>
        </is>
      </c>
      <c r="I1672" s="8" t="inlineStr">
        <is>
          <t>1×1</t>
        </is>
      </c>
      <c r="J1672" s="8" t="n">
        <v>1</v>
      </c>
      <c r="K1672" s="8" t="n">
        <v>80</v>
      </c>
      <c r="L1672" s="8" t="inlineStr">
        <is>
          <t>是</t>
        </is>
      </c>
      <c r="M1672" s="9" t="inlineStr"/>
      <c r="N1672" s="8" t="n">
        <v>1</v>
      </c>
      <c r="O1672" s="9" t="inlineStr">
        <is>
          <t>说明/执行器</t>
        </is>
      </c>
      <c r="P1672" s="9" t="inlineStr">
        <is>
          <t>effectNote</t>
        </is>
      </c>
      <c r="Q1672" s="9" t="inlineStr">
        <is>
          <t>说明/执行器：投掷，使敌方随机 2 件道具获得 8 秒减速；投掷，使敌方随机 2 件道具获得 10 秒减速；投掷，使敌方随机 2 件道具获得 13 秒减速；投掷，使敌方随机 2 件道具获得 15 秒减速</t>
        </is>
      </c>
      <c r="R1672" s="9" t="inlineStr">
        <is>
          <t>consumable</t>
        </is>
      </c>
      <c r="S1672" s="9" t="inlineStr">
        <is>
          <t>以漆盒墨饼炼成的投掷器。掷出或启封时会迅速释放母材灵机，适合筑基期临阵使用。</t>
        </is>
      </c>
      <c r="T1672" s="8" t="inlineStr">
        <is>
          <t>throwable_biwei_li_lacquered_ink_cake_link_1x1</t>
        </is>
      </c>
      <c r="U1672" s="8" t="inlineStr">
        <is>
          <t>allowed</t>
        </is>
      </c>
    </row>
    <row r="1673" ht="34" customHeight="1">
      <c r="A1673" s="8" t="n">
        <v>1672</v>
      </c>
      <c r="B1673" s="8" t="n">
        <v>914800</v>
      </c>
      <c r="C1673" s="8" t="inlineStr">
        <is>
          <t>盔角髓晶裂势投器</t>
        </is>
      </c>
      <c r="D1673" s="8" t="inlineStr">
        <is>
          <t>投掷物</t>
        </is>
      </c>
      <c r="E1673" s="8" t="inlineStr">
        <is>
          <t>throwable</t>
        </is>
      </c>
      <c r="F1673" s="8" t="inlineStr">
        <is>
          <t>spirit</t>
        </is>
      </c>
      <c r="G1673" s="8" t="inlineStr">
        <is>
          <t>金</t>
        </is>
      </c>
      <c r="H1673" s="8" t="inlineStr">
        <is>
          <t>metal</t>
        </is>
      </c>
      <c r="I1673" s="8" t="inlineStr">
        <is>
          <t>1×1</t>
        </is>
      </c>
      <c r="J1673" s="8" t="n">
        <v>1</v>
      </c>
      <c r="K1673" s="8" t="n">
        <v>80</v>
      </c>
      <c r="L1673" s="8" t="inlineStr">
        <is>
          <t>是</t>
        </is>
      </c>
      <c r="M1673" s="9" t="inlineStr"/>
      <c r="N1673" s="8" t="n">
        <v>1</v>
      </c>
      <c r="O1673" s="9" t="inlineStr">
        <is>
          <t>说明/执行器</t>
        </is>
      </c>
      <c r="P1673" s="9" t="inlineStr">
        <is>
          <t>effectNote</t>
        </is>
      </c>
      <c r="Q1673" s="9" t="inlineStr">
        <is>
          <t>说明/执行器：投掷，对敌方造成 80 点伤害，并施加 3 层冰霜；投掷，对敌方造成 100 点伤害，并施加 4 层冰霜；投掷，对敌方造成 120 点伤害，并施加 5 层冰霜；投掷，对敌方造成 140 点伤害，并施加 6 层冰霜</t>
        </is>
      </c>
      <c r="R1673" s="9" t="inlineStr">
        <is>
          <t>consumable</t>
        </is>
      </c>
      <c r="S1673" s="9" t="inlineStr">
        <is>
          <t>以盔角髓晶炼成的投掷器。掷出或启封时会迅速释放母材灵机，适合筑基期临阵使用。</t>
        </is>
      </c>
      <c r="T1673" s="8" t="inlineStr">
        <is>
          <t>throwable_forged_kuishou_tianniu_helmet_horn_marrow_crystal_3_1x1</t>
        </is>
      </c>
      <c r="U1673" s="8" t="inlineStr">
        <is>
          <t>allowed</t>
        </is>
      </c>
    </row>
    <row r="1674" ht="34" customHeight="1">
      <c r="A1674" s="8" t="n">
        <v>1673</v>
      </c>
      <c r="B1674" s="8" t="n">
        <v>914801</v>
      </c>
      <c r="C1674" s="8" t="inlineStr">
        <is>
          <t>节足韧筋裂势投器</t>
        </is>
      </c>
      <c r="D1674" s="8" t="inlineStr">
        <is>
          <t>投掷物</t>
        </is>
      </c>
      <c r="E1674" s="8" t="inlineStr">
        <is>
          <t>throwable</t>
        </is>
      </c>
      <c r="F1674" s="8" t="inlineStr">
        <is>
          <t>spirit</t>
        </is>
      </c>
      <c r="G1674" s="8" t="inlineStr">
        <is>
          <t>木</t>
        </is>
      </c>
      <c r="H1674" s="8" t="inlineStr">
        <is>
          <t>wood</t>
        </is>
      </c>
      <c r="I1674" s="8" t="inlineStr">
        <is>
          <t>1×1</t>
        </is>
      </c>
      <c r="J1674" s="8" t="n">
        <v>1</v>
      </c>
      <c r="K1674" s="8" t="n">
        <v>80</v>
      </c>
      <c r="L1674" s="8" t="inlineStr">
        <is>
          <t>是</t>
        </is>
      </c>
      <c r="M1674" s="9" t="inlineStr"/>
      <c r="N1674" s="8" t="n">
        <v>1</v>
      </c>
      <c r="O1674" s="9" t="inlineStr">
        <is>
          <t>说明/执行器</t>
        </is>
      </c>
      <c r="P1674" s="9" t="inlineStr">
        <is>
          <t>effectNote</t>
        </is>
      </c>
      <c r="Q1674" s="9" t="inlineStr">
        <is>
          <t>说明/执行器：投掷，对敌方造成 60 点伤害，并使敌方随机 2 件道具获得 3 秒减速；投掷，对敌方造成 80 点伤害，并使敌方随机 2 件道具获得 4 秒减速；投掷，对敌方造成 100 点伤害，并使敌方随机 2 件道具获得 5 秒减速；投掷，对敌方造成 120 点伤害，并使敌方随机 2 件道具获得 6 秒减速</t>
        </is>
      </c>
      <c r="R1674" s="9" t="inlineStr">
        <is>
          <t>consumable</t>
        </is>
      </c>
      <c r="S1674" s="9" t="inlineStr">
        <is>
          <t>以节足韧筋炼成的投掷器。掷出或启封时会迅速释放母材灵机，适合筑基期临阵使用。</t>
        </is>
      </c>
      <c r="T1674" s="8" t="inlineStr">
        <is>
          <t>throwable_forged_kuishou_tianniu_leg_sinew_knot_3_1x1</t>
        </is>
      </c>
      <c r="U1674" s="8" t="inlineStr">
        <is>
          <t>allowed</t>
        </is>
      </c>
    </row>
    <row r="1675" ht="34" customHeight="1">
      <c r="A1675" s="8" t="n">
        <v>1674</v>
      </c>
      <c r="B1675" s="8" t="n">
        <v>914802</v>
      </c>
      <c r="C1675" s="8" t="inlineStr">
        <is>
          <t>胸腔鸣膜裂势投器</t>
        </is>
      </c>
      <c r="D1675" s="8" t="inlineStr">
        <is>
          <t>投掷物</t>
        </is>
      </c>
      <c r="E1675" s="8" t="inlineStr">
        <is>
          <t>throwable</t>
        </is>
      </c>
      <c r="F1675" s="8" t="inlineStr">
        <is>
          <t>spirit</t>
        </is>
      </c>
      <c r="G1675" s="8" t="inlineStr">
        <is>
          <t>火</t>
        </is>
      </c>
      <c r="H1675" s="8" t="inlineStr">
        <is>
          <t>fire</t>
        </is>
      </c>
      <c r="I1675" s="8" t="inlineStr">
        <is>
          <t>1×1</t>
        </is>
      </c>
      <c r="J1675" s="8" t="n">
        <v>1</v>
      </c>
      <c r="K1675" s="8" t="n">
        <v>80</v>
      </c>
      <c r="L1675" s="8" t="inlineStr">
        <is>
          <t>是</t>
        </is>
      </c>
      <c r="M1675" s="9" t="inlineStr"/>
      <c r="N1675" s="8" t="n">
        <v>1</v>
      </c>
      <c r="O1675" s="9" t="inlineStr">
        <is>
          <t>说明/执行器</t>
        </is>
      </c>
      <c r="P1675" s="9" t="inlineStr">
        <is>
          <t>effectNote</t>
        </is>
      </c>
      <c r="Q1675" s="9" t="inlineStr">
        <is>
          <t>说明/执行器：投掷，对敌方造成 70 点伤害，并施加 3 层冰霜；投掷，对敌方造成 90 点伤害，并施加 4 层冰霜；投掷，对敌方造成 110 点伤害，并施加 5 层冰霜；投掷，对敌方造成 130 点伤害，并施加 6 层冰霜</t>
        </is>
      </c>
      <c r="R1675" s="9" t="inlineStr">
        <is>
          <t>consumable</t>
        </is>
      </c>
      <c r="S1675" s="9" t="inlineStr">
        <is>
          <t>以胸腔鸣膜炼成的投掷器。掷出或启封时会迅速释放母材灵机，适合筑基期临阵使用。</t>
        </is>
      </c>
      <c r="T1675" s="8" t="inlineStr">
        <is>
          <t>throwable_forged_kuishou_tianniu_thoracic_resonance_membrane_3_1x1</t>
        </is>
      </c>
      <c r="U1675" s="8" t="inlineStr">
        <is>
          <t>allowed</t>
        </is>
      </c>
    </row>
    <row r="1676" ht="34" customHeight="1">
      <c r="A1676" s="8" t="n">
        <v>1675</v>
      </c>
      <c r="B1676" s="8" t="n">
        <v>915200</v>
      </c>
      <c r="C1676" s="8" t="inlineStr">
        <is>
          <t>铜环鸣囊震鸣丸</t>
        </is>
      </c>
      <c r="D1676" s="8" t="inlineStr">
        <is>
          <t>投掷物</t>
        </is>
      </c>
      <c r="E1676" s="8" t="inlineStr">
        <is>
          <t>throwable</t>
        </is>
      </c>
      <c r="F1676" s="8" t="inlineStr">
        <is>
          <t>spirit</t>
        </is>
      </c>
      <c r="G1676" s="8" t="inlineStr">
        <is>
          <t>火</t>
        </is>
      </c>
      <c r="H1676" s="8" t="inlineStr">
        <is>
          <t>fire</t>
        </is>
      </c>
      <c r="I1676" s="8" t="inlineStr">
        <is>
          <t>2×1</t>
        </is>
      </c>
      <c r="J1676" s="8" t="n">
        <v>2</v>
      </c>
      <c r="K1676" s="8" t="n">
        <v>80</v>
      </c>
      <c r="L1676" s="8" t="inlineStr">
        <is>
          <t>是</t>
        </is>
      </c>
      <c r="M1676" s="9" t="inlineStr"/>
      <c r="N1676" s="8" t="n">
        <v>1</v>
      </c>
      <c r="O1676" s="9" t="inlineStr">
        <is>
          <t>说明/执行器</t>
        </is>
      </c>
      <c r="P1676" s="9" t="inlineStr">
        <is>
          <t>effectNote</t>
        </is>
      </c>
      <c r="Q1676" s="9" t="inlineStr">
        <is>
          <t>说明/执行器：投掷，对敌方造成 80 点伤害，并施加 3 层灼烧；投掷，对敌方造成 110 点伤害，并施加 4 层灼烧；投掷，对敌方造成 140 点伤害，并施加 5 层灼烧；投掷，对敌方造成 170 点伤害，并施加 6 层灼烧</t>
        </is>
      </c>
      <c r="R1676" s="9" t="inlineStr">
        <is>
          <t>consumable</t>
        </is>
      </c>
      <c r="S1676" s="9" t="inlineStr">
        <is>
          <t>以铜环鸣囊炼成的投掷器。掷出或启封时会迅速释放母材灵机，适合筑基期临阵使用。</t>
        </is>
      </c>
      <c r="T1676" s="8" t="inlineStr">
        <is>
          <t>throwable_lujia_ni_bronze_ring_resonance_sac_link_2x1</t>
        </is>
      </c>
      <c r="U1676" s="8" t="inlineStr">
        <is>
          <t>allowed</t>
        </is>
      </c>
    </row>
    <row r="1677" ht="34" customHeight="1">
      <c r="A1677" s="8" t="n">
        <v>1676</v>
      </c>
      <c r="B1677" s="8" t="n">
        <v>915201</v>
      </c>
      <c r="C1677" s="8" t="inlineStr">
        <is>
          <t>厚蹼尾皮震鸣丸</t>
        </is>
      </c>
      <c r="D1677" s="8" t="inlineStr">
        <is>
          <t>投掷物</t>
        </is>
      </c>
      <c r="E1677" s="8" t="inlineStr">
        <is>
          <t>throwable</t>
        </is>
      </c>
      <c r="F1677" s="8" t="inlineStr">
        <is>
          <t>spirit</t>
        </is>
      </c>
      <c r="G1677" s="8" t="inlineStr">
        <is>
          <t>水</t>
        </is>
      </c>
      <c r="H1677" s="8" t="inlineStr">
        <is>
          <t>water</t>
        </is>
      </c>
      <c r="I1677" s="8" t="inlineStr">
        <is>
          <t>2×2</t>
        </is>
      </c>
      <c r="J1677" s="8" t="n">
        <v>4</v>
      </c>
      <c r="K1677" s="8" t="n">
        <v>80</v>
      </c>
      <c r="L1677" s="8" t="inlineStr">
        <is>
          <t>是</t>
        </is>
      </c>
      <c r="M1677" s="9" t="inlineStr"/>
      <c r="N1677" s="8" t="n">
        <v>1</v>
      </c>
      <c r="O1677" s="9" t="inlineStr">
        <is>
          <t>说明/执行器</t>
        </is>
      </c>
      <c r="P1677" s="9" t="inlineStr">
        <is>
          <t>effectNote</t>
        </is>
      </c>
      <c r="Q1677" s="9" t="inlineStr">
        <is>
          <t>说明/执行器：投掷，对敌方造成 70 点伤害，并施加 3 层冰霜；投掷，对敌方造成 90 点伤害，并施加 4 层冰霜；投掷，对敌方造成 110 点伤害，并施加 5 层冰霜；投掷，对敌方造成 130 点伤害，并施加 6 层冰霜</t>
        </is>
      </c>
      <c r="R1677" s="9" t="inlineStr">
        <is>
          <t>consumable</t>
        </is>
      </c>
      <c r="S1677" s="9" t="inlineStr">
        <is>
          <t>以厚蹼尾皮炼成的投掷器。掷出或启封时会迅速释放母材灵机，适合筑基期临阵使用。</t>
        </is>
      </c>
      <c r="T1677" s="8" t="inlineStr">
        <is>
          <t>throwable_lujia_ni_webbed_tail_hide_link_2x2</t>
        </is>
      </c>
      <c r="U1677" s="8" t="inlineStr">
        <is>
          <t>allowed</t>
        </is>
      </c>
    </row>
    <row r="1678" ht="34" customHeight="1">
      <c r="A1678" s="8" t="n">
        <v>1677</v>
      </c>
      <c r="B1678" s="8" t="n">
        <v>915202</v>
      </c>
      <c r="C1678" s="8" t="inlineStr">
        <is>
          <t>负炉铜扣束带震鸣丸</t>
        </is>
      </c>
      <c r="D1678" s="8" t="inlineStr">
        <is>
          <t>投掷物</t>
        </is>
      </c>
      <c r="E1678" s="8" t="inlineStr">
        <is>
          <t>throwable</t>
        </is>
      </c>
      <c r="F1678" s="8" t="inlineStr">
        <is>
          <t>spirit</t>
        </is>
      </c>
      <c r="G1678" s="8" t="inlineStr">
        <is>
          <t>金</t>
        </is>
      </c>
      <c r="H1678" s="8" t="inlineStr">
        <is>
          <t>metal</t>
        </is>
      </c>
      <c r="I1678" s="8" t="inlineStr">
        <is>
          <t>1×2</t>
        </is>
      </c>
      <c r="J1678" s="8" t="n">
        <v>2</v>
      </c>
      <c r="K1678" s="8" t="n">
        <v>80</v>
      </c>
      <c r="L1678" s="8" t="inlineStr">
        <is>
          <t>是</t>
        </is>
      </c>
      <c r="M1678" s="9" t="inlineStr"/>
      <c r="N1678" s="8" t="n">
        <v>1</v>
      </c>
      <c r="O1678" s="9" t="inlineStr">
        <is>
          <t>说明/执行器</t>
        </is>
      </c>
      <c r="P1678" s="9" t="inlineStr">
        <is>
          <t>effectNote</t>
        </is>
      </c>
      <c r="Q1678" s="9" t="inlineStr">
        <is>
          <t>说明/执行器：投掷，对敌方造成 70 点伤害，并施加 3 层冰霜；投掷，对敌方造成 90 点伤害，并施加 4 层冰霜；投掷，对敌方造成 110 点伤害，并施加 5 层冰霜；投掷，对敌方造成 130 点伤害，并施加 6 层冰霜</t>
        </is>
      </c>
      <c r="R1678" s="9" t="inlineStr">
        <is>
          <t>consumable</t>
        </is>
      </c>
      <c r="S1678" s="9" t="inlineStr">
        <is>
          <t>以负炉铜扣束带炼成的投掷器。掷出或启封时会迅速释放母材灵机，适合筑基期临阵使用。</t>
        </is>
      </c>
      <c r="T1678" s="8" t="inlineStr">
        <is>
          <t>throwable_lujia_ni_furnace_harness_link_1x2</t>
        </is>
      </c>
      <c r="U1678" s="8" t="inlineStr">
        <is>
          <t>allowed</t>
        </is>
      </c>
    </row>
    <row r="1679" ht="34" customHeight="1">
      <c r="A1679" s="8" t="n">
        <v>1678</v>
      </c>
      <c r="B1679" s="8" t="n">
        <v>915500</v>
      </c>
      <c r="C1679" s="8" t="inlineStr">
        <is>
          <t>琥珀眼珠震鸣丸</t>
        </is>
      </c>
      <c r="D1679" s="8" t="inlineStr">
        <is>
          <t>投掷物</t>
        </is>
      </c>
      <c r="E1679" s="8" t="inlineStr">
        <is>
          <t>throwable</t>
        </is>
      </c>
      <c r="F1679" s="8" t="inlineStr">
        <is>
          <t>spirit</t>
        </is>
      </c>
      <c r="G1679" s="8" t="inlineStr">
        <is>
          <t>火</t>
        </is>
      </c>
      <c r="H1679" s="8" t="inlineStr">
        <is>
          <t>fire</t>
        </is>
      </c>
      <c r="I1679" s="8" t="inlineStr">
        <is>
          <t>1×1</t>
        </is>
      </c>
      <c r="J1679" s="8" t="n">
        <v>1</v>
      </c>
      <c r="K1679" s="8" t="n">
        <v>80</v>
      </c>
      <c r="L1679" s="8" t="inlineStr">
        <is>
          <t>是</t>
        </is>
      </c>
      <c r="M1679" s="9" t="inlineStr"/>
      <c r="N1679" s="8" t="n">
        <v>1</v>
      </c>
      <c r="O1679" s="9" t="inlineStr">
        <is>
          <t>说明/执行器</t>
        </is>
      </c>
      <c r="P1679" s="9" t="inlineStr">
        <is>
          <t>effectNote</t>
        </is>
      </c>
      <c r="Q1679" s="9" t="inlineStr">
        <is>
          <t>说明/执行器：投掷，对敌方造成 60 点伤害，并施加 4 层冰霜；投掷，对敌方造成 80 点伤害，并施加 5 层冰霜；投掷，对敌方造成 100 点伤害，并施加 6 层冰霜；投掷，对敌方造成 120 点伤害，并施加 7 层冰霜</t>
        </is>
      </c>
      <c r="R1679" s="9" t="inlineStr">
        <is>
          <t>consumable</t>
        </is>
      </c>
      <c r="S1679" s="9" t="inlineStr">
        <is>
          <t>以琥珀眼珠炼成的投掷器。掷出或启封时会迅速释放母材灵机，适合筑基期临阵使用。</t>
        </is>
      </c>
      <c r="T1679" s="8" t="inlineStr">
        <is>
          <t>throwable_sanjing_liexi_amber_eye_bead_link_1x1</t>
        </is>
      </c>
      <c r="U1679" s="8" t="inlineStr">
        <is>
          <t>allowed</t>
        </is>
      </c>
    </row>
    <row r="1680" ht="34" customHeight="1">
      <c r="A1680" s="8" t="n">
        <v>1679</v>
      </c>
      <c r="B1680" s="8" t="n">
        <v>915501</v>
      </c>
      <c r="C1680" s="8" t="inlineStr">
        <is>
          <t>张褶棘震鸣丸</t>
        </is>
      </c>
      <c r="D1680" s="8" t="inlineStr">
        <is>
          <t>投掷物</t>
        </is>
      </c>
      <c r="E1680" s="8" t="inlineStr">
        <is>
          <t>throwable</t>
        </is>
      </c>
      <c r="F1680" s="8" t="inlineStr">
        <is>
          <t>spirit</t>
        </is>
      </c>
      <c r="G1680" s="8" t="inlineStr">
        <is>
          <t>金</t>
        </is>
      </c>
      <c r="H1680" s="8" t="inlineStr">
        <is>
          <t>metal</t>
        </is>
      </c>
      <c r="I1680" s="8" t="inlineStr">
        <is>
          <t>1×1</t>
        </is>
      </c>
      <c r="J1680" s="8" t="n">
        <v>1</v>
      </c>
      <c r="K1680" s="8" t="n">
        <v>80</v>
      </c>
      <c r="L1680" s="8" t="inlineStr">
        <is>
          <t>是</t>
        </is>
      </c>
      <c r="M1680" s="9" t="inlineStr"/>
      <c r="N1680" s="8" t="n">
        <v>1</v>
      </c>
      <c r="O1680" s="9" t="inlineStr">
        <is>
          <t>说明/执行器</t>
        </is>
      </c>
      <c r="P1680" s="9" t="inlineStr">
        <is>
          <t>effectNote</t>
        </is>
      </c>
      <c r="Q1680" s="9" t="inlineStr">
        <is>
          <t>说明/执行器：投掷，对敌方造成 90 点伤害，并施加 2 层冰霜；投掷，对敌方造成 110 点伤害，并施加 3 层冰霜；投掷，对敌方造成 130 点伤害，并施加 4 层冰霜；投掷，对敌方造成 150 点伤害，并施加 5 层冰霜</t>
        </is>
      </c>
      <c r="R1680" s="9" t="inlineStr">
        <is>
          <t>consumable</t>
        </is>
      </c>
      <c r="S1680" s="9" t="inlineStr">
        <is>
          <t>以张褶棘炼成的投掷器。掷出或启封时会迅速释放母材灵机，适合筑基期临阵使用。</t>
        </is>
      </c>
      <c r="T1680" s="8" t="inlineStr">
        <is>
          <t>throwable_sanjing_liexi_frill_spur_link_1x1</t>
        </is>
      </c>
      <c r="U1680" s="8" t="inlineStr">
        <is>
          <t>allowed</t>
        </is>
      </c>
    </row>
    <row r="1681" ht="34" customHeight="1">
      <c r="A1681" s="8" t="n">
        <v>1680</v>
      </c>
      <c r="B1681" s="8" t="n">
        <v>915502</v>
      </c>
      <c r="C1681" s="8" t="inlineStr">
        <is>
          <t>腹鳞皮条震鸣丸</t>
        </is>
      </c>
      <c r="D1681" s="8" t="inlineStr">
        <is>
          <t>投掷物</t>
        </is>
      </c>
      <c r="E1681" s="8" t="inlineStr">
        <is>
          <t>throwable</t>
        </is>
      </c>
      <c r="F1681" s="8" t="inlineStr">
        <is>
          <t>spirit</t>
        </is>
      </c>
      <c r="G1681" s="8" t="inlineStr">
        <is>
          <t>土</t>
        </is>
      </c>
      <c r="H1681" s="8" t="inlineStr">
        <is>
          <t>earth</t>
        </is>
      </c>
      <c r="I1681" s="8" t="inlineStr">
        <is>
          <t>1×2</t>
        </is>
      </c>
      <c r="J1681" s="8" t="n">
        <v>2</v>
      </c>
      <c r="K1681" s="8" t="n">
        <v>80</v>
      </c>
      <c r="L1681" s="8" t="inlineStr">
        <is>
          <t>是</t>
        </is>
      </c>
      <c r="M1681" s="9" t="inlineStr"/>
      <c r="N1681" s="8" t="n">
        <v>1</v>
      </c>
      <c r="O1681" s="9" t="inlineStr">
        <is>
          <t>说明/执行器</t>
        </is>
      </c>
      <c r="P1681" s="9" t="inlineStr">
        <is>
          <t>effectNote</t>
        </is>
      </c>
      <c r="Q1681" s="9" t="inlineStr">
        <is>
          <t>说明/执行器：投掷，对敌方造成 60 点伤害，并施加 2 层中毒；投掷，对敌方造成 80 点伤害，并施加 3 层中毒；投掷，对敌方造成 100 点伤害，并施加 4 层中毒；投掷，对敌方造成 120 点伤害，并施加 5 层中毒</t>
        </is>
      </c>
      <c r="R1681" s="9" t="inlineStr">
        <is>
          <t>consumable</t>
        </is>
      </c>
      <c r="S1681" s="9" t="inlineStr">
        <is>
          <t>以腹鳞皮条炼成的投掷器。掷出或启封时会迅速释放母材灵机，适合筑基期临阵使用。</t>
        </is>
      </c>
      <c r="T1681" s="8" t="inlineStr">
        <is>
          <t>throwable_sanjing_liexi_belly_hide_strip_link_1x2</t>
        </is>
      </c>
      <c r="U1681" s="8" t="inlineStr">
        <is>
          <t>allowed</t>
        </is>
      </c>
    </row>
    <row r="1682" ht="34" customHeight="1">
      <c r="A1682" s="8" t="n">
        <v>1681</v>
      </c>
      <c r="B1682" s="8" t="n">
        <v>916000</v>
      </c>
      <c r="C1682" s="8" t="inlineStr">
        <is>
          <t>潮痕鳄齿裂势投器</t>
        </is>
      </c>
      <c r="D1682" s="8" t="inlineStr">
        <is>
          <t>投掷物</t>
        </is>
      </c>
      <c r="E1682" s="8" t="inlineStr">
        <is>
          <t>throwable</t>
        </is>
      </c>
      <c r="F1682" s="8" t="inlineStr">
        <is>
          <t>spirit</t>
        </is>
      </c>
      <c r="G1682" s="8" t="inlineStr">
        <is>
          <t>金</t>
        </is>
      </c>
      <c r="H1682" s="8" t="inlineStr">
        <is>
          <t>metal</t>
        </is>
      </c>
      <c r="I1682" s="8" t="inlineStr">
        <is>
          <t>1×1</t>
        </is>
      </c>
      <c r="J1682" s="8" t="n">
        <v>1</v>
      </c>
      <c r="K1682" s="8" t="n">
        <v>80</v>
      </c>
      <c r="L1682" s="8" t="inlineStr">
        <is>
          <t>是</t>
        </is>
      </c>
      <c r="M1682" s="9" t="inlineStr"/>
      <c r="N1682" s="8" t="n">
        <v>1</v>
      </c>
      <c r="O1682" s="9" t="inlineStr">
        <is>
          <t>说明/执行器</t>
        </is>
      </c>
      <c r="P1682" s="9" t="inlineStr">
        <is>
          <t>effectNote</t>
        </is>
      </c>
      <c r="Q1682" s="9" t="inlineStr">
        <is>
          <t>说明/执行器：投掷，对敌方造成 90 点伤害，并移除敌方 3 层护甲；投掷，对敌方造成 110 点伤害，并移除敌方 5 层护甲；投掷，对敌方造成 130 点伤害，并移除敌方 7 层护甲；投掷，对敌方造成 150 点伤害，并移除敌方 9 层护甲</t>
        </is>
      </c>
      <c r="R1682" s="9" t="inlineStr">
        <is>
          <t>consumable</t>
        </is>
      </c>
      <c r="S1682" s="9" t="inlineStr">
        <is>
          <t>以潮痕鳄齿炼成的投掷器。掷出或启封时会迅速释放母材灵机，适合筑基期临阵使用。</t>
        </is>
      </c>
      <c r="T1682" s="8" t="inlineStr">
        <is>
          <t>throwable_forged_xuanmao_e_tide_marked_fang_3_1x1</t>
        </is>
      </c>
      <c r="U1682" s="8" t="inlineStr">
        <is>
          <t>allowed</t>
        </is>
      </c>
    </row>
    <row r="1683" ht="34" customHeight="1">
      <c r="A1683" s="8" t="n">
        <v>1682</v>
      </c>
      <c r="B1683" s="8" t="n">
        <v>916001</v>
      </c>
      <c r="C1683" s="8" t="inlineStr">
        <is>
          <t>闭水鼻阀骨裂势投器</t>
        </is>
      </c>
      <c r="D1683" s="8" t="inlineStr">
        <is>
          <t>投掷物</t>
        </is>
      </c>
      <c r="E1683" s="8" t="inlineStr">
        <is>
          <t>throwable</t>
        </is>
      </c>
      <c r="F1683" s="8" t="inlineStr">
        <is>
          <t>spirit</t>
        </is>
      </c>
      <c r="G1683" s="8" t="inlineStr">
        <is>
          <t>水</t>
        </is>
      </c>
      <c r="H1683" s="8" t="inlineStr">
        <is>
          <t>water</t>
        </is>
      </c>
      <c r="I1683" s="8" t="inlineStr">
        <is>
          <t>1×1</t>
        </is>
      </c>
      <c r="J1683" s="8" t="n">
        <v>1</v>
      </c>
      <c r="K1683" s="8" t="n">
        <v>80</v>
      </c>
      <c r="L1683" s="8" t="inlineStr">
        <is>
          <t>是</t>
        </is>
      </c>
      <c r="M1683" s="9" t="inlineStr"/>
      <c r="N1683" s="8" t="n">
        <v>1</v>
      </c>
      <c r="O1683" s="9" t="inlineStr">
        <is>
          <t>说明/执行器</t>
        </is>
      </c>
      <c r="P1683" s="9" t="inlineStr">
        <is>
          <t>effectNote</t>
        </is>
      </c>
      <c r="Q1683" s="9" t="inlineStr">
        <is>
          <t>说明/执行器：投掷，对敌方造成 80 点伤害，并施加 2 层冰霜；投掷，对敌方造成 100 点伤害，并施加 3 层冰霜；投掷，对敌方造成 120 点伤害，并施加 4 层冰霜；投掷，对敌方造成 140 点伤害，并施加 5 层冰霜</t>
        </is>
      </c>
      <c r="R1683" s="9" t="inlineStr">
        <is>
          <t>consumable</t>
        </is>
      </c>
      <c r="S1683" s="9" t="inlineStr">
        <is>
          <t>以闭水鼻阀骨炼成的投掷器。掷出或启封时会迅速释放母材灵机，适合筑基期临阵使用。</t>
        </is>
      </c>
      <c r="T1683" s="8" t="inlineStr">
        <is>
          <t>throwable_forged_xuanmao_e_water_seal_nasal_bone_3_1x1</t>
        </is>
      </c>
      <c r="U1683" s="8" t="inlineStr">
        <is>
          <t>allowed</t>
        </is>
      </c>
    </row>
    <row r="1684" ht="34" customHeight="1">
      <c r="A1684" s="8" t="n">
        <v>1683</v>
      </c>
      <c r="B1684" s="8" t="n">
        <v>916002</v>
      </c>
      <c r="C1684" s="8" t="inlineStr">
        <is>
          <t>潭息喉囊裂势投器</t>
        </is>
      </c>
      <c r="D1684" s="8" t="inlineStr">
        <is>
          <t>投掷物</t>
        </is>
      </c>
      <c r="E1684" s="8" t="inlineStr">
        <is>
          <t>throwable</t>
        </is>
      </c>
      <c r="F1684" s="8" t="inlineStr">
        <is>
          <t>spirit</t>
        </is>
      </c>
      <c r="G1684" s="8" t="inlineStr">
        <is>
          <t>水</t>
        </is>
      </c>
      <c r="H1684" s="8" t="inlineStr">
        <is>
          <t>water</t>
        </is>
      </c>
      <c r="I1684" s="8" t="inlineStr">
        <is>
          <t>1×1</t>
        </is>
      </c>
      <c r="J1684" s="8" t="n">
        <v>1</v>
      </c>
      <c r="K1684" s="8" t="n">
        <v>80</v>
      </c>
      <c r="L1684" s="8" t="inlineStr">
        <is>
          <t>是</t>
        </is>
      </c>
      <c r="M1684" s="9" t="inlineStr"/>
      <c r="N1684" s="8" t="n">
        <v>1</v>
      </c>
      <c r="O1684" s="9" t="inlineStr">
        <is>
          <t>说明/执行器</t>
        </is>
      </c>
      <c r="P1684" s="9" t="inlineStr">
        <is>
          <t>effectNote</t>
        </is>
      </c>
      <c r="Q1684" s="9" t="inlineStr">
        <is>
          <t>说明/执行器：投掷，对敌方造成 50 点伤害，并施加 3 层中毒；投掷，对敌方造成 70 点伤害，并施加 4 层中毒；投掷，对敌方造成 90 点伤害，并施加 5 层中毒；投掷，对敌方造成 110 点伤害，并施加 6 层中毒</t>
        </is>
      </c>
      <c r="R1684" s="9" t="inlineStr">
        <is>
          <t>consumable</t>
        </is>
      </c>
      <c r="S1684" s="9" t="inlineStr">
        <is>
          <t>以潭息喉囊炼成的投掷器。掷出或启封时会迅速释放母材灵机，适合筑基期临阵使用。</t>
        </is>
      </c>
      <c r="T1684" s="8" t="inlineStr">
        <is>
          <t>throwable_forged_xuanmao_e_deep_pool_throat_sac_3_1x1</t>
        </is>
      </c>
      <c r="U1684" s="8" t="inlineStr">
        <is>
          <t>allowed</t>
        </is>
      </c>
    </row>
    <row r="1685" ht="34" customHeight="1">
      <c r="A1685" s="8" t="n">
        <v>1684</v>
      </c>
      <c r="B1685" s="8" t="n">
        <v>916400</v>
      </c>
      <c r="C1685" s="8" t="inlineStr">
        <is>
          <t>丹睛环羽裂势丸</t>
        </is>
      </c>
      <c r="D1685" s="8" t="inlineStr">
        <is>
          <t>投掷物</t>
        </is>
      </c>
      <c r="E1685" s="8" t="inlineStr">
        <is>
          <t>throwable</t>
        </is>
      </c>
      <c r="F1685" s="8" t="inlineStr">
        <is>
          <t>spirit</t>
        </is>
      </c>
      <c r="G1685" s="8" t="inlineStr">
        <is>
          <t>火</t>
        </is>
      </c>
      <c r="H1685" s="8" t="inlineStr">
        <is>
          <t>fire</t>
        </is>
      </c>
      <c r="I1685" s="8" t="inlineStr">
        <is>
          <t>3×1</t>
        </is>
      </c>
      <c r="J1685" s="8" t="n">
        <v>3</v>
      </c>
      <c r="K1685" s="8" t="n">
        <v>80</v>
      </c>
      <c r="L1685" s="8" t="inlineStr">
        <is>
          <t>是</t>
        </is>
      </c>
      <c r="M1685" s="9" t="inlineStr"/>
      <c r="N1685" s="8" t="n">
        <v>1</v>
      </c>
      <c r="O1685" s="9" t="inlineStr">
        <is>
          <t>说明/执行器</t>
        </is>
      </c>
      <c r="P1685" s="9" t="inlineStr">
        <is>
          <t>effectNote</t>
        </is>
      </c>
      <c r="Q1685" s="9" t="inlineStr">
        <is>
          <t>说明/执行器：投掷，最多消耗 4 层炎热，每消耗 1 层对敌方造成 15 点伤害，并施加 3 层灼烧；投掷，最多消耗 5 层炎热，每消耗 1 层对敌方造成 15 点伤害，并施加 4 层灼烧；投掷，最多消耗 6 层炎热，每消耗 1 层对敌方造成 15 点伤害，并施加 5 层灼烧；投掷，最多消耗 7 层炎热，每消耗 1 层对敌方造成 15 点伤害，并施加 6 层灼烧</t>
        </is>
      </c>
      <c r="R1685" s="9" t="inlineStr">
        <is>
          <t>consumable</t>
        </is>
      </c>
      <c r="S1685" s="9" t="inlineStr">
        <is>
          <t>以丹睛环羽炼成的投掷器。掷出或启封时会迅速释放母材灵机，适合筑基期临阵使用。</t>
        </is>
      </c>
      <c r="T1685" s="8" t="inlineStr">
        <is>
          <t>throwable_zhiguan_danhe_cinnabar_eye_ring_burst_1_3x1</t>
        </is>
      </c>
      <c r="U1685" s="8" t="inlineStr">
        <is>
          <t>allowed</t>
        </is>
      </c>
    </row>
    <row r="1686" ht="34" customHeight="1">
      <c r="A1686" s="8" t="n">
        <v>1685</v>
      </c>
      <c r="B1686" s="8" t="n">
        <v>916401</v>
      </c>
      <c r="C1686" s="8" t="inlineStr">
        <is>
          <t>长趾绳腱裂势丸</t>
        </is>
      </c>
      <c r="D1686" s="8" t="inlineStr">
        <is>
          <t>投掷物</t>
        </is>
      </c>
      <c r="E1686" s="8" t="inlineStr">
        <is>
          <t>throwable</t>
        </is>
      </c>
      <c r="F1686" s="8" t="inlineStr">
        <is>
          <t>spirit</t>
        </is>
      </c>
      <c r="G1686" s="8" t="inlineStr">
        <is>
          <t>火</t>
        </is>
      </c>
      <c r="H1686" s="8" t="inlineStr">
        <is>
          <t>fire</t>
        </is>
      </c>
      <c r="I1686" s="8" t="inlineStr">
        <is>
          <t>1×1</t>
        </is>
      </c>
      <c r="J1686" s="8" t="n">
        <v>1</v>
      </c>
      <c r="K1686" s="8" t="n">
        <v>80</v>
      </c>
      <c r="L1686" s="8" t="inlineStr">
        <is>
          <t>是</t>
        </is>
      </c>
      <c r="M1686" s="9" t="inlineStr"/>
      <c r="N1686" s="8" t="n">
        <v>1</v>
      </c>
      <c r="O1686" s="9" t="inlineStr">
        <is>
          <t>说明/执行器</t>
        </is>
      </c>
      <c r="P1686" s="9" t="inlineStr">
        <is>
          <t>effectNote</t>
        </is>
      </c>
      <c r="Q1686" s="9" t="inlineStr">
        <is>
          <t>说明/执行器：投掷，对敌方造成 60 点伤害，并使敌方占格面积最大的道具获得 3 秒减速；投掷，对敌方造成 76 点伤害，并使敌方占格面积最大的道具获得 4 秒减速；投掷，对敌方造成 90 点伤害，并使敌方占格面积最大的道具获得 5 秒减速；投掷，对敌方造成 106 点伤害，并使敌方占格面积最大的道具获得 6 秒减速</t>
        </is>
      </c>
      <c r="R1686" s="9" t="inlineStr">
        <is>
          <t>consumable</t>
        </is>
      </c>
      <c r="S1686" s="9" t="inlineStr">
        <is>
          <t>以长趾绳腱炼成的投掷器。掷出或启封时会迅速释放母材灵机，适合筑基期临阵使用。</t>
        </is>
      </c>
      <c r="T1686" s="8" t="inlineStr">
        <is>
          <t>throwable_zhiguan_danhe_long_toe_rope_tendon_burst_2_1x1</t>
        </is>
      </c>
      <c r="U1686" s="8" t="inlineStr">
        <is>
          <t>allowed</t>
        </is>
      </c>
    </row>
    <row r="1687" ht="34" customHeight="1">
      <c r="A1687" s="8" t="n">
        <v>1686</v>
      </c>
      <c r="B1687" s="8" t="n">
        <v>916500</v>
      </c>
      <c r="C1687" s="8" t="inlineStr">
        <is>
          <t>镇步四蹄铃震鸣丸</t>
        </is>
      </c>
      <c r="D1687" s="8" t="inlineStr">
        <is>
          <t>投掷物</t>
        </is>
      </c>
      <c r="E1687" s="8" t="inlineStr">
        <is>
          <t>throwable</t>
        </is>
      </c>
      <c r="F1687" s="8" t="inlineStr">
        <is>
          <t>spirit</t>
        </is>
      </c>
      <c r="G1687" s="8" t="inlineStr">
        <is>
          <t>金</t>
        </is>
      </c>
      <c r="H1687" s="8" t="inlineStr">
        <is>
          <t>metal</t>
        </is>
      </c>
      <c r="I1687" s="8" t="inlineStr">
        <is>
          <t>2×2</t>
        </is>
      </c>
      <c r="J1687" s="8" t="n">
        <v>4</v>
      </c>
      <c r="K1687" s="8" t="n">
        <v>80</v>
      </c>
      <c r="L1687" s="8" t="inlineStr">
        <is>
          <t>是</t>
        </is>
      </c>
      <c r="M1687" s="9" t="inlineStr"/>
      <c r="N1687" s="8" t="n">
        <v>1</v>
      </c>
      <c r="O1687" s="9" t="inlineStr">
        <is>
          <t>说明/执行器</t>
        </is>
      </c>
      <c r="P1687" s="9" t="inlineStr">
        <is>
          <t>effectNote</t>
        </is>
      </c>
      <c r="Q1687" s="9" t="inlineStr">
        <is>
          <t>说明/执行器：投掷，对敌方造成 80 点伤害，并移除敌方 4 层护甲；投掷，对敌方造成 100 点伤害，并移除敌方 5 层护甲；投掷，对敌方造成 120 点伤害，并移除敌方 6 层护甲；投掷，对敌方造成 140 点伤害，并移除敌方 7 层护甲</t>
        </is>
      </c>
      <c r="R1687" s="9" t="inlineStr">
        <is>
          <t>consumable</t>
        </is>
      </c>
      <c r="S1687" s="9" t="inlineStr">
        <is>
          <t>以镇步四蹄铃炼成的投掷器。掷出或启封时会迅速释放母材灵机，适合筑基期临阵使用。</t>
        </is>
      </c>
      <c r="T1687" s="8" t="inlineStr">
        <is>
          <t>throwable_zhongjia_xiangchong_hoof_bells_link_2x2</t>
        </is>
      </c>
      <c r="U1687" s="8" t="inlineStr">
        <is>
          <t>allowed</t>
        </is>
      </c>
    </row>
    <row r="1688" ht="34" customHeight="1">
      <c r="A1688" s="8" t="n">
        <v>1687</v>
      </c>
      <c r="B1688" s="8" t="n">
        <v>916501</v>
      </c>
      <c r="C1688" s="8" t="inlineStr">
        <is>
          <t>崩岩獠牙铜套震鸣丸</t>
        </is>
      </c>
      <c r="D1688" s="8" t="inlineStr">
        <is>
          <t>投掷物</t>
        </is>
      </c>
      <c r="E1688" s="8" t="inlineStr">
        <is>
          <t>throwable</t>
        </is>
      </c>
      <c r="F1688" s="8" t="inlineStr">
        <is>
          <t>spirit</t>
        </is>
      </c>
      <c r="G1688" s="8" t="inlineStr">
        <is>
          <t>金</t>
        </is>
      </c>
      <c r="H1688" s="8" t="inlineStr">
        <is>
          <t>metal</t>
        </is>
      </c>
      <c r="I1688" s="8" t="inlineStr">
        <is>
          <t>2×2</t>
        </is>
      </c>
      <c r="J1688" s="8" t="n">
        <v>4</v>
      </c>
      <c r="K1688" s="8" t="n">
        <v>80</v>
      </c>
      <c r="L1688" s="8" t="inlineStr">
        <is>
          <t>是</t>
        </is>
      </c>
      <c r="M1688" s="9" t="inlineStr"/>
      <c r="N1688" s="8" t="n">
        <v>1</v>
      </c>
      <c r="O1688" s="9" t="inlineStr">
        <is>
          <t>说明/执行器</t>
        </is>
      </c>
      <c r="P1688" s="9" t="inlineStr">
        <is>
          <t>effectNote</t>
        </is>
      </c>
      <c r="Q1688" s="9" t="inlineStr">
        <is>
          <t>说明/执行器：投掷，每有 1 件 2×2 道具，对敌方造成 13 点伤害，最多计 4 件，并施加 2 层冰霜；投掷，每有 1 件 2×2 道具，对敌方造成 15 点伤害，最多计 4 件，并施加 3 层冰霜；投掷，每有 1 件 2×2 道具，对敌方造成 18 点伤害，最多计 4 件，并施加 4 层冰霜；投掷，每有 1 件 2×2 道具，对敌方造成 20 点伤害，最多计 4 件，并施加 5 层冰霜</t>
        </is>
      </c>
      <c r="R1688" s="9" t="inlineStr">
        <is>
          <t>consumable</t>
        </is>
      </c>
      <c r="S1688" s="9" t="inlineStr">
        <is>
          <t>以崩岩獠牙铜套炼成的投掷器。掷出或启封时会迅速释放母材灵机，适合筑基期临阵使用。</t>
        </is>
      </c>
      <c r="T1688" s="8" t="inlineStr">
        <is>
          <t>throwable_zhongjia_xiangchong_tusk_caps_link_2x2</t>
        </is>
      </c>
      <c r="U1688" s="8" t="inlineStr">
        <is>
          <t>allowed</t>
        </is>
      </c>
    </row>
    <row r="1689" ht="34" customHeight="1">
      <c r="A1689" s="8" t="n">
        <v>1688</v>
      </c>
      <c r="B1689" s="8" t="n">
        <v>916502</v>
      </c>
      <c r="C1689" s="8" t="inlineStr">
        <is>
          <t>旧铜护鼻铠震鸣丸</t>
        </is>
      </c>
      <c r="D1689" s="8" t="inlineStr">
        <is>
          <t>投掷物</t>
        </is>
      </c>
      <c r="E1689" s="8" t="inlineStr">
        <is>
          <t>throwable</t>
        </is>
      </c>
      <c r="F1689" s="8" t="inlineStr">
        <is>
          <t>spirit</t>
        </is>
      </c>
      <c r="G1689" s="8" t="inlineStr">
        <is>
          <t>金</t>
        </is>
      </c>
      <c r="H1689" s="8" t="inlineStr">
        <is>
          <t>metal</t>
        </is>
      </c>
      <c r="I1689" s="8" t="inlineStr">
        <is>
          <t>1×2</t>
        </is>
      </c>
      <c r="J1689" s="8" t="n">
        <v>2</v>
      </c>
      <c r="K1689" s="8" t="n">
        <v>80</v>
      </c>
      <c r="L1689" s="8" t="inlineStr">
        <is>
          <t>是</t>
        </is>
      </c>
      <c r="M1689" s="9" t="inlineStr"/>
      <c r="N1689" s="8" t="n">
        <v>1</v>
      </c>
      <c r="O1689" s="9" t="inlineStr">
        <is>
          <t>说明/执行器</t>
        </is>
      </c>
      <c r="P1689" s="9" t="inlineStr">
        <is>
          <t>effectNote</t>
        </is>
      </c>
      <c r="Q1689" s="9" t="inlineStr">
        <is>
          <t>说明/执行器：投掷，恢复 60 点气血，并获得 10 层护甲；投掷，恢复 80 点气血，并获得 13 层护甲；投掷，恢复 100 点气血，并获得 15 层护甲；投掷，恢复 120 点气血，并获得 18 层护甲</t>
        </is>
      </c>
      <c r="R1689" s="9" t="inlineStr">
        <is>
          <t>consumable</t>
        </is>
      </c>
      <c r="S1689" s="9" t="inlineStr">
        <is>
          <t>以旧铜护鼻铠炼成的投掷器。掷出或启封时会迅速释放母材灵机，适合筑基期临阵使用。</t>
        </is>
      </c>
      <c r="T1689" s="8" t="inlineStr">
        <is>
          <t>throwable_zhongjia_xiangchong_trunk_armor_link_1x2</t>
        </is>
      </c>
      <c r="U1689" s="8" t="inlineStr">
        <is>
          <t>allowed</t>
        </is>
      </c>
    </row>
    <row r="1690" ht="34" customHeight="1">
      <c r="A1690" s="8" t="n">
        <v>1689</v>
      </c>
      <c r="B1690" s="8" t="n">
        <v>916600</v>
      </c>
      <c r="C1690" s="8" t="inlineStr">
        <is>
          <t>悬铃翼骨震鸣丸</t>
        </is>
      </c>
      <c r="D1690" s="8" t="inlineStr">
        <is>
          <t>投掷物</t>
        </is>
      </c>
      <c r="E1690" s="8" t="inlineStr">
        <is>
          <t>throwable</t>
        </is>
      </c>
      <c r="F1690" s="8" t="inlineStr">
        <is>
          <t>spirit</t>
        </is>
      </c>
      <c r="G1690" s="8" t="inlineStr">
        <is>
          <t>金</t>
        </is>
      </c>
      <c r="H1690" s="8" t="inlineStr">
        <is>
          <t>metal</t>
        </is>
      </c>
      <c r="I1690" s="8" t="inlineStr">
        <is>
          <t>2×2</t>
        </is>
      </c>
      <c r="J1690" s="8" t="n">
        <v>4</v>
      </c>
      <c r="K1690" s="8" t="n">
        <v>80</v>
      </c>
      <c r="L1690" s="8" t="inlineStr">
        <is>
          <t>是</t>
        </is>
      </c>
      <c r="M1690" s="9" t="inlineStr"/>
      <c r="N1690" s="8" t="n">
        <v>1</v>
      </c>
      <c r="O1690" s="9" t="inlineStr">
        <is>
          <t>说明/执行器</t>
        </is>
      </c>
      <c r="P1690" s="9" t="inlineStr">
        <is>
          <t>effectNote</t>
        </is>
      </c>
      <c r="Q1690" s="9" t="inlineStr">
        <is>
          <t>说明/执行器：投掷，对敌方造成 90 点伤害，并施加 1 层麻痹；投掷，对敌方造成 120 点伤害，并施加 2 层麻痹；投掷，对敌方造成 150 点伤害，并施加 3 层麻痹；投掷，对敌方造成 180 点伤害，并施加 4 层麻痹</t>
        </is>
      </c>
      <c r="R1690" s="9" t="inlineStr">
        <is>
          <t>consumable</t>
        </is>
      </c>
      <c r="S1690" s="9" t="inlineStr">
        <is>
          <t>以悬铃翼骨炼成的投掷器。掷出或启封时会迅速释放母材灵机，适合筑基期临阵使用。</t>
        </is>
      </c>
      <c r="T1690" s="8" t="inlineStr">
        <is>
          <t>throwable_zhongxiong_jiu_bell_slung_wingbone_link_2x2</t>
        </is>
      </c>
      <c r="U1690" s="8" t="inlineStr">
        <is>
          <t>allowed</t>
        </is>
      </c>
    </row>
    <row r="1691" ht="34" customHeight="1">
      <c r="A1691" s="8" t="n">
        <v>1690</v>
      </c>
      <c r="B1691" s="8" t="n">
        <v>916601</v>
      </c>
      <c r="C1691" s="8" t="inlineStr">
        <is>
          <t>钟钉嗉囊震鸣丸</t>
        </is>
      </c>
      <c r="D1691" s="8" t="inlineStr">
        <is>
          <t>投掷物</t>
        </is>
      </c>
      <c r="E1691" s="8" t="inlineStr">
        <is>
          <t>throwable</t>
        </is>
      </c>
      <c r="F1691" s="8" t="inlineStr">
        <is>
          <t>spirit</t>
        </is>
      </c>
      <c r="G1691" s="8" t="inlineStr">
        <is>
          <t>木</t>
        </is>
      </c>
      <c r="H1691" s="8" t="inlineStr">
        <is>
          <t>wood</t>
        </is>
      </c>
      <c r="I1691" s="8" t="inlineStr">
        <is>
          <t>2×3</t>
        </is>
      </c>
      <c r="J1691" s="8" t="n">
        <v>6</v>
      </c>
      <c r="K1691" s="8" t="n">
        <v>80</v>
      </c>
      <c r="L1691" s="8" t="inlineStr">
        <is>
          <t>是</t>
        </is>
      </c>
      <c r="M1691" s="9" t="inlineStr"/>
      <c r="N1691" s="8" t="n">
        <v>1</v>
      </c>
      <c r="O1691" s="9" t="inlineStr">
        <is>
          <t>说明/执行器</t>
        </is>
      </c>
      <c r="P1691" s="9" t="inlineStr">
        <is>
          <t>effectNote</t>
        </is>
      </c>
      <c r="Q1691" s="9" t="inlineStr">
        <is>
          <t>说明/执行器：投掷，对敌方造成 80 点伤害，并施加 3 层冰霜；投掷，对敌方造成 110 点伤害，并施加 4 层冰霜；投掷，对敌方造成 140 点伤害，并施加 5 层冰霜；投掷，对敌方造成 170 点伤害，并施加 6 层冰霜</t>
        </is>
      </c>
      <c r="R1691" s="9" t="inlineStr">
        <is>
          <t>consumable</t>
        </is>
      </c>
      <c r="S1691" s="9" t="inlineStr">
        <is>
          <t>以钟钉嗉囊炼成的投掷器。掷出或启封时会迅速释放母材灵机，适合筑基期临阵使用。</t>
        </is>
      </c>
      <c r="T1691" s="8" t="inlineStr">
        <is>
          <t>throwable_zhongxiong_jiu_bell_rivet_crop_link_2x3</t>
        </is>
      </c>
      <c r="U1691" s="8" t="inlineStr">
        <is>
          <t>allowed</t>
        </is>
      </c>
    </row>
    <row r="1692" ht="34" customHeight="1">
      <c r="A1692" s="8" t="n">
        <v>1691</v>
      </c>
      <c r="B1692" s="8" t="n">
        <v>916602</v>
      </c>
      <c r="C1692" s="8" t="inlineStr">
        <is>
          <t>俯冲长翎震鸣丸</t>
        </is>
      </c>
      <c r="D1692" s="8" t="inlineStr">
        <is>
          <t>投掷物</t>
        </is>
      </c>
      <c r="E1692" s="8" t="inlineStr">
        <is>
          <t>throwable</t>
        </is>
      </c>
      <c r="F1692" s="8" t="inlineStr">
        <is>
          <t>spirit</t>
        </is>
      </c>
      <c r="G1692" s="8" t="inlineStr">
        <is>
          <t>风</t>
        </is>
      </c>
      <c r="H1692" s="8" t="inlineStr">
        <is>
          <t>wind</t>
        </is>
      </c>
      <c r="I1692" s="8" t="inlineStr">
        <is>
          <t>1×4</t>
        </is>
      </c>
      <c r="J1692" s="8" t="n">
        <v>4</v>
      </c>
      <c r="K1692" s="8" t="n">
        <v>80</v>
      </c>
      <c r="L1692" s="8" t="inlineStr">
        <is>
          <t>是</t>
        </is>
      </c>
      <c r="M1692" s="9" t="inlineStr"/>
      <c r="N1692" s="8" t="n">
        <v>1</v>
      </c>
      <c r="O1692" s="9" t="inlineStr">
        <is>
          <t>说明/执行器</t>
        </is>
      </c>
      <c r="P1692" s="9" t="inlineStr">
        <is>
          <t>effectNote</t>
        </is>
      </c>
      <c r="Q1692" s="9" t="inlineStr">
        <is>
          <t>说明/执行器：投掷，对敌方造成 90 点伤害，并使敌方随机 2 件道具获得 3 秒减速；投掷，对敌方造成 120 点伤害，并使敌方随机 2 件道具获得 4 秒减速；投掷，对敌方造成 150 点伤害，并使敌方随机 2 件道具获得 5 秒减速；投掷，对敌方造成 180 点伤害，并使敌方随机 2 件道具获得 6 秒减速</t>
        </is>
      </c>
      <c r="R1692" s="9" t="inlineStr">
        <is>
          <t>consumable</t>
        </is>
      </c>
      <c r="S1692" s="9" t="inlineStr">
        <is>
          <t>以俯冲长翎炼成的投掷器。掷出或启封时会迅速释放母材灵机，适合筑基期临阵使用。</t>
        </is>
      </c>
      <c r="T1692" s="8" t="inlineStr">
        <is>
          <t>throwable_zhongxiong_jiu_diving_flight_feathers_link_1x4</t>
        </is>
      </c>
      <c r="U1692" s="8" t="inlineStr">
        <is>
          <t>allowed</t>
        </is>
      </c>
    </row>
  </sheetData>
  <autoFilter ref="A1:U1692"/>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R206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3" customWidth="1" min="3" max="3"/>
    <col width="13" customWidth="1" min="4" max="4"/>
    <col width="13" customWidth="1" min="5" max="5"/>
    <col width="14" customWidth="1" min="6" max="6"/>
    <col width="14" customWidth="1" min="7" max="7"/>
    <col width="11" customWidth="1" min="8" max="8"/>
    <col width="24" customWidth="1" min="9" max="9"/>
    <col width="12" customWidth="1" min="10" max="10"/>
    <col width="12" customWidth="1" min="11" max="11"/>
    <col width="12" customWidth="1" min="12" max="12"/>
    <col width="16" customWidth="1" min="13" max="13"/>
    <col width="22" customWidth="1" min="14" max="14"/>
    <col width="60" customWidth="1" min="15" max="15"/>
    <col width="32" customWidth="1" min="16" max="16"/>
    <col width="40" customWidth="1" min="17" max="17"/>
    <col width="85" customWidth="1" min="18" max="18"/>
  </cols>
  <sheetData>
    <row r="1">
      <c r="A1" s="5" t="inlineStr">
        <is>
          <t>物品ID</t>
        </is>
      </c>
      <c r="B1" s="5" t="inlineStr">
        <is>
          <t>名称</t>
        </is>
      </c>
      <c r="C1" s="5" t="inlineStr">
        <is>
          <t>类别</t>
        </is>
      </c>
      <c r="D1" s="5" t="inlineStr">
        <is>
          <t>品阶代码</t>
        </is>
      </c>
      <c r="E1" s="5" t="inlineStr">
        <is>
          <t>元素代码</t>
        </is>
      </c>
      <c r="F1" s="5" t="inlineStr">
        <is>
          <t>顶层效果序号</t>
        </is>
      </c>
      <c r="G1" s="5" t="inlineStr">
        <is>
          <t>作用层级</t>
        </is>
      </c>
      <c r="H1" s="5" t="inlineStr">
        <is>
          <t>功法层数</t>
        </is>
      </c>
      <c r="I1" s="5" t="inlineStr">
        <is>
          <t>突破要求</t>
        </is>
      </c>
      <c r="J1" s="5" t="inlineStr">
        <is>
          <t>突破目标</t>
        </is>
      </c>
      <c r="K1" s="5" t="inlineStr">
        <is>
          <t>限时(秒)</t>
        </is>
      </c>
      <c r="L1" s="5" t="inlineStr">
        <is>
          <t>冷却(秒)</t>
        </is>
      </c>
      <c r="M1" s="5" t="inlineStr">
        <is>
          <t>效果类型</t>
        </is>
      </c>
      <c r="N1" s="5" t="inlineStr">
        <is>
          <t>效果类型代码</t>
        </is>
      </c>
      <c r="O1" s="5" t="inlineStr">
        <is>
          <t>效果文字</t>
        </is>
      </c>
      <c r="P1" s="5" t="inlineStr">
        <is>
          <t>触发器代码</t>
        </is>
      </c>
      <c r="Q1" s="5" t="inlineStr">
        <is>
          <t>机制类型代码</t>
        </is>
      </c>
      <c r="R1" s="5" t="inlineStr">
        <is>
          <t>效果JSON</t>
        </is>
      </c>
    </row>
    <row r="2" ht="32" customHeight="1">
      <c r="A2" s="6" t="n">
        <v>100001</v>
      </c>
      <c r="B2" s="6" t="inlineStr">
        <is>
          <t>炼体术</t>
        </is>
      </c>
      <c r="C2" s="6" t="inlineStr">
        <is>
          <t>功法</t>
        </is>
      </c>
      <c r="D2" s="6" t="inlineStr">
        <is>
          <t>common</t>
        </is>
      </c>
      <c r="E2" s="6" t="inlineStr">
        <is>
          <t>none</t>
        </is>
      </c>
      <c r="F2" s="6" t="n">
        <v>1</v>
      </c>
      <c r="G2" s="6" t="inlineStr">
        <is>
          <t>基础/顶层</t>
        </is>
      </c>
      <c r="H2" s="6" t="inlineStr"/>
      <c r="I2" s="7" t="inlineStr"/>
      <c r="J2" s="6" t="inlineStr"/>
      <c r="K2" s="6" t="inlineStr"/>
      <c r="L2" s="6" t="inlineStr"/>
      <c r="M2" s="6" t="inlineStr">
        <is>
          <t>被动效果</t>
        </is>
      </c>
      <c r="N2" s="6" t="inlineStr">
        <is>
          <t>passive</t>
        </is>
      </c>
      <c r="O2" s="7" t="inlineStr">
        <is>
          <t>每消耗 1 点体力，获得 1 点修为</t>
        </is>
      </c>
      <c r="P2" s="7" t="inlineStr"/>
      <c r="Q2" s="7" t="inlineStr">
        <is>
          <t>staminaConsumedToCultivation</t>
        </is>
      </c>
      <c r="R2" s="7" t="inlineStr">
        <is>
          <t>{"kind":"passive","label":"每消耗 1 点体力，获得 1 点修为","passiveEffect":{"type":"staminaConsumedToCultivation","value":1,"label":"每消耗 1 点体力，获得 1 点修为"}}</t>
        </is>
      </c>
    </row>
    <row r="3" ht="32" customHeight="1">
      <c r="A3" s="8" t="n">
        <v>100001</v>
      </c>
      <c r="B3" s="8" t="inlineStr">
        <is>
          <t>炼体术</t>
        </is>
      </c>
      <c r="C3" s="8" t="inlineStr">
        <is>
          <t>功法</t>
        </is>
      </c>
      <c r="D3" s="8" t="inlineStr">
        <is>
          <t>common</t>
        </is>
      </c>
      <c r="E3" s="8" t="inlineStr">
        <is>
          <t>none</t>
        </is>
      </c>
      <c r="F3" s="8" t="n">
        <v>2</v>
      </c>
      <c r="G3" s="8" t="inlineStr">
        <is>
          <t>功法成长层</t>
        </is>
      </c>
      <c r="H3" s="8" t="n">
        <v>1</v>
      </c>
      <c r="I3" s="9" t="inlineStr">
        <is>
          <t>无</t>
        </is>
      </c>
      <c r="J3" s="8" t="inlineStr"/>
      <c r="K3" s="8" t="inlineStr"/>
      <c r="L3" s="8" t="n">
        <v>15</v>
      </c>
      <c r="M3" s="8" t="inlineStr">
        <is>
          <t>被动效果</t>
        </is>
      </c>
      <c r="N3" s="8" t="inlineStr">
        <is>
          <t>passive</t>
        </is>
      </c>
      <c r="O3" s="9" t="inlineStr">
        <is>
          <t>每消耗 1 点体力，获得 1 点修为</t>
        </is>
      </c>
      <c r="P3" s="9" t="inlineStr"/>
      <c r="Q3" s="9" t="inlineStr">
        <is>
          <t>staminaConsumedToCultivation</t>
        </is>
      </c>
      <c r="R3" s="9" t="inlineStr">
        <is>
          <t>{"kind":"passive","label":"每消耗 1 点体力，获得 1 点修为","passiveEffect":{"type":"staminaConsumedToCultivation","value":1,"label":"每消耗 1 点体力，获得 1 点修为"}}</t>
        </is>
      </c>
    </row>
    <row r="4" ht="32" customHeight="1">
      <c r="A4" s="8" t="n">
        <v>100001</v>
      </c>
      <c r="B4" s="8" t="inlineStr">
        <is>
          <t>炼体术</t>
        </is>
      </c>
      <c r="C4" s="8" t="inlineStr">
        <is>
          <t>功法</t>
        </is>
      </c>
      <c r="D4" s="8" t="inlineStr">
        <is>
          <t>common</t>
        </is>
      </c>
      <c r="E4" s="8" t="inlineStr">
        <is>
          <t>none</t>
        </is>
      </c>
      <c r="F4" s="8" t="n">
        <v>2</v>
      </c>
      <c r="G4" s="8" t="inlineStr">
        <is>
          <t>功法成长层</t>
        </is>
      </c>
      <c r="H4" s="8" t="n">
        <v>2</v>
      </c>
      <c r="I4" s="9" t="inlineStr">
        <is>
          <t>修为≥120</t>
        </is>
      </c>
      <c r="J4" s="8" t="n">
        <v>120</v>
      </c>
      <c r="K4" s="8" t="n">
        <v>190</v>
      </c>
      <c r="L4" s="8" t="n">
        <v>15</v>
      </c>
      <c r="M4" s="8" t="inlineStr">
        <is>
          <t>被动效果</t>
        </is>
      </c>
      <c r="N4" s="8" t="inlineStr">
        <is>
          <t>passive</t>
        </is>
      </c>
      <c r="O4" s="9" t="inlineStr">
        <is>
          <t>每消耗 1 点体力，获得 2 点修为</t>
        </is>
      </c>
      <c r="P4" s="9" t="inlineStr"/>
      <c r="Q4" s="9" t="inlineStr">
        <is>
          <t>staminaConsumedToCultivation</t>
        </is>
      </c>
      <c r="R4" s="9" t="inlineStr">
        <is>
          <t>{"kind":"passive","label":"每消耗 1 点体力，获得 2 点修为","passiveEffect":{"type":"staminaConsumedToCultivation","value":2,"label":"每消耗 1 点体力，获得 2 点修为"}}</t>
        </is>
      </c>
    </row>
    <row r="5" ht="32" customHeight="1">
      <c r="A5" s="8" t="n">
        <v>100001</v>
      </c>
      <c r="B5" s="8" t="inlineStr">
        <is>
          <t>炼体术</t>
        </is>
      </c>
      <c r="C5" s="8" t="inlineStr">
        <is>
          <t>功法</t>
        </is>
      </c>
      <c r="D5" s="8" t="inlineStr">
        <is>
          <t>common</t>
        </is>
      </c>
      <c r="E5" s="8" t="inlineStr">
        <is>
          <t>none</t>
        </is>
      </c>
      <c r="F5" s="8" t="n">
        <v>2</v>
      </c>
      <c r="G5" s="8" t="inlineStr">
        <is>
          <t>功法成长层</t>
        </is>
      </c>
      <c r="H5" s="8" t="n">
        <v>3</v>
      </c>
      <c r="I5" s="9" t="inlineStr">
        <is>
          <t>修为≥760；境界≥炼气4层</t>
        </is>
      </c>
      <c r="J5" s="8" t="n">
        <v>760</v>
      </c>
      <c r="K5" s="8" t="n">
        <v>230</v>
      </c>
      <c r="L5" s="8" t="n">
        <v>60</v>
      </c>
      <c r="M5" s="8" t="inlineStr">
        <is>
          <t>被动效果</t>
        </is>
      </c>
      <c r="N5" s="8" t="inlineStr">
        <is>
          <t>passive</t>
        </is>
      </c>
      <c r="O5" s="9" t="inlineStr">
        <is>
          <t>每消耗 1 点体力，获得 3 点修为</t>
        </is>
      </c>
      <c r="P5" s="9" t="inlineStr"/>
      <c r="Q5" s="9" t="inlineStr">
        <is>
          <t>staminaConsumedToCultivation</t>
        </is>
      </c>
      <c r="R5" s="9" t="inlineStr">
        <is>
          <t>{"kind":"passive","label":"每消耗 1 点体力，获得 3 点修为","passiveEffect":{"type":"staminaConsumedToCultivation","value":3,"label":"每消耗 1 点体力，获得 3 点修为"}}</t>
        </is>
      </c>
    </row>
    <row r="6" ht="32" customHeight="1">
      <c r="A6" s="8" t="n">
        <v>100001</v>
      </c>
      <c r="B6" s="8" t="inlineStr">
        <is>
          <t>炼体术</t>
        </is>
      </c>
      <c r="C6" s="8" t="inlineStr">
        <is>
          <t>功法</t>
        </is>
      </c>
      <c r="D6" s="8" t="inlineStr">
        <is>
          <t>common</t>
        </is>
      </c>
      <c r="E6" s="8" t="inlineStr">
        <is>
          <t>none</t>
        </is>
      </c>
      <c r="F6" s="8" t="n">
        <v>2</v>
      </c>
      <c r="G6" s="8" t="inlineStr">
        <is>
          <t>功法成长层</t>
        </is>
      </c>
      <c r="H6" s="8" t="n">
        <v>4</v>
      </c>
      <c r="I6" s="9" t="inlineStr">
        <is>
          <t>修为≥2450；境界≥炼气4层</t>
        </is>
      </c>
      <c r="J6" s="8" t="n">
        <v>2450</v>
      </c>
      <c r="K6" s="8" t="n">
        <v>230</v>
      </c>
      <c r="L6" s="8" t="n">
        <v>120</v>
      </c>
      <c r="M6" s="8" t="inlineStr">
        <is>
          <t>被动效果</t>
        </is>
      </c>
      <c r="N6" s="8" t="inlineStr">
        <is>
          <t>passive</t>
        </is>
      </c>
      <c r="O6" s="9" t="inlineStr">
        <is>
          <t>每消耗 1 点体力，获得 4 点修为</t>
        </is>
      </c>
      <c r="P6" s="9" t="inlineStr"/>
      <c r="Q6" s="9" t="inlineStr">
        <is>
          <t>staminaConsumedToCultivation</t>
        </is>
      </c>
      <c r="R6" s="9" t="inlineStr">
        <is>
          <t>{"kind":"passive","label":"每消耗 1 点体力，获得 4 点修为","passiveEffect":{"type":"staminaConsumedToCultivation","value":4,"label":"每消耗 1 点体力，获得 4 点修为"}}</t>
        </is>
      </c>
    </row>
    <row r="7" ht="32" customHeight="1">
      <c r="A7" s="8" t="n">
        <v>100002</v>
      </c>
      <c r="B7" s="8" t="inlineStr">
        <is>
          <t>云字养气册</t>
        </is>
      </c>
      <c r="C7" s="8" t="inlineStr">
        <is>
          <t>功法</t>
        </is>
      </c>
      <c r="D7" s="8" t="inlineStr">
        <is>
          <t>common</t>
        </is>
      </c>
      <c r="E7" s="8" t="inlineStr">
        <is>
          <t>wood</t>
        </is>
      </c>
      <c r="F7" s="8" t="n">
        <v>1</v>
      </c>
      <c r="G7" s="8" t="inlineStr">
        <is>
          <t>基础/顶层</t>
        </is>
      </c>
      <c r="H7" s="8" t="inlineStr"/>
      <c r="I7" s="9" t="inlineStr"/>
      <c r="J7" s="8" t="inlineStr"/>
      <c r="K7" s="8" t="inlineStr"/>
      <c r="L7" s="8" t="inlineStr"/>
      <c r="M7" s="8" t="inlineStr">
        <is>
          <t>条件触发</t>
        </is>
      </c>
      <c r="N7" s="8" t="inlineStr">
        <is>
          <t>triggered</t>
        </is>
      </c>
      <c r="O7" s="9" t="inlineStr">
        <is>
          <t>每获得 1 点气血，获得 3 点修为</t>
        </is>
      </c>
      <c r="P7" s="9" t="inlineStr">
        <is>
          <t>onPrimaryStatGain</t>
        </is>
      </c>
      <c r="Q7" s="9" t="inlineStr">
        <is>
          <t>gainCultivation</t>
        </is>
      </c>
      <c r="R7" s="9" t="inlineStr">
        <is>
          <t>{"kind":"triggered","label":"每获得 1 点气血，获得 3 点修为","triggeredEffect":{"trigger":"onPrimaryStatGain","type":"gainCultivation","amount":2,"amountPerEventPrimaryStatGain":1,"eventPrimaryStatGainFilter":["health"]}}</t>
        </is>
      </c>
    </row>
    <row r="8" ht="32" customHeight="1">
      <c r="A8" s="8" t="n">
        <v>100002</v>
      </c>
      <c r="B8" s="8" t="inlineStr">
        <is>
          <t>云字养气册</t>
        </is>
      </c>
      <c r="C8" s="8" t="inlineStr">
        <is>
          <t>功法</t>
        </is>
      </c>
      <c r="D8" s="8" t="inlineStr">
        <is>
          <t>common</t>
        </is>
      </c>
      <c r="E8" s="8" t="inlineStr">
        <is>
          <t>wood</t>
        </is>
      </c>
      <c r="F8" s="8" t="n">
        <v>2</v>
      </c>
      <c r="G8" s="8" t="inlineStr">
        <is>
          <t>功法成长层</t>
        </is>
      </c>
      <c r="H8" s="8" t="n">
        <v>1</v>
      </c>
      <c r="I8" s="9" t="inlineStr">
        <is>
          <t>无</t>
        </is>
      </c>
      <c r="J8" s="8" t="inlineStr"/>
      <c r="K8" s="8" t="inlineStr"/>
      <c r="L8" s="8" t="n">
        <v>15</v>
      </c>
      <c r="M8" s="8" t="inlineStr">
        <is>
          <t>条件触发</t>
        </is>
      </c>
      <c r="N8" s="8" t="inlineStr">
        <is>
          <t>triggered</t>
        </is>
      </c>
      <c r="O8" s="9" t="inlineStr">
        <is>
          <t>每获得 1 点气血，获得 3 点修为</t>
        </is>
      </c>
      <c r="P8" s="9" t="inlineStr">
        <is>
          <t>onPrimaryStatGain</t>
        </is>
      </c>
      <c r="Q8" s="9" t="inlineStr">
        <is>
          <t>gainCultivation</t>
        </is>
      </c>
      <c r="R8" s="9" t="inlineStr">
        <is>
          <t>{"kind":"triggered","label":"每获得 1 点气血，获得 3 点修为","triggeredEffect":{"trigger":"onPrimaryStatGain","type":"gainCultivation","amount":2,"amountPerEventPrimaryStatGain":1,"eventPrimaryStatGainFilter":["health"]}}</t>
        </is>
      </c>
    </row>
    <row r="9" ht="32" customHeight="1">
      <c r="A9" s="8" t="n">
        <v>100002</v>
      </c>
      <c r="B9" s="8" t="inlineStr">
        <is>
          <t>云字养气册</t>
        </is>
      </c>
      <c r="C9" s="8" t="inlineStr">
        <is>
          <t>功法</t>
        </is>
      </c>
      <c r="D9" s="8" t="inlineStr">
        <is>
          <t>common</t>
        </is>
      </c>
      <c r="E9" s="8" t="inlineStr">
        <is>
          <t>wood</t>
        </is>
      </c>
      <c r="F9" s="8" t="n">
        <v>2</v>
      </c>
      <c r="G9" s="8" t="inlineStr">
        <is>
          <t>功法成长层</t>
        </is>
      </c>
      <c r="H9" s="8" t="n">
        <v>2</v>
      </c>
      <c r="I9" s="9" t="inlineStr">
        <is>
          <t>修为≥210</t>
        </is>
      </c>
      <c r="J9" s="8" t="n">
        <v>210</v>
      </c>
      <c r="K9" s="8" t="n">
        <v>275</v>
      </c>
      <c r="L9" s="8" t="n">
        <v>30</v>
      </c>
      <c r="M9" s="8" t="inlineStr">
        <is>
          <t>条件触发</t>
        </is>
      </c>
      <c r="N9" s="8" t="inlineStr">
        <is>
          <t>triggered</t>
        </is>
      </c>
      <c r="O9" s="9" t="inlineStr">
        <is>
          <t>每获得 1 点气血，获得 6 点修为</t>
        </is>
      </c>
      <c r="P9" s="9" t="inlineStr">
        <is>
          <t>onPrimaryStatGain</t>
        </is>
      </c>
      <c r="Q9" s="9" t="inlineStr">
        <is>
          <t>gainCultivation</t>
        </is>
      </c>
      <c r="R9" s="9" t="inlineStr">
        <is>
          <t>{"kind":"triggered","label":"每获得 1 点气血，获得 6 点修为","triggeredEffect":{"trigger":"onPrimaryStatGain","type":"gainCultivation","amount":4,"amountPerEventPrimaryStatGain":2,"eventPrimaryStatGainFilter":["health"]}}</t>
        </is>
      </c>
    </row>
    <row r="10" ht="32" customHeight="1">
      <c r="A10" s="8" t="n">
        <v>100002</v>
      </c>
      <c r="B10" s="8" t="inlineStr">
        <is>
          <t>云字养气册</t>
        </is>
      </c>
      <c r="C10" s="8" t="inlineStr">
        <is>
          <t>功法</t>
        </is>
      </c>
      <c r="D10" s="8" t="inlineStr">
        <is>
          <t>common</t>
        </is>
      </c>
      <c r="E10" s="8" t="inlineStr">
        <is>
          <t>wood</t>
        </is>
      </c>
      <c r="F10" s="8" t="n">
        <v>2</v>
      </c>
      <c r="G10" s="8" t="inlineStr">
        <is>
          <t>功法成长层</t>
        </is>
      </c>
      <c r="H10" s="8" t="n">
        <v>3</v>
      </c>
      <c r="I10" s="9" t="inlineStr">
        <is>
          <t>修为≥540</t>
        </is>
      </c>
      <c r="J10" s="8" t="n">
        <v>540</v>
      </c>
      <c r="K10" s="8" t="n">
        <v>195</v>
      </c>
      <c r="L10" s="8" t="n">
        <v>90</v>
      </c>
      <c r="M10" s="8" t="inlineStr">
        <is>
          <t>条件触发</t>
        </is>
      </c>
      <c r="N10" s="8" t="inlineStr">
        <is>
          <t>triggered</t>
        </is>
      </c>
      <c r="O10" s="9" t="inlineStr">
        <is>
          <t>每获得 1 点气血，获得 9 点修为</t>
        </is>
      </c>
      <c r="P10" s="9" t="inlineStr">
        <is>
          <t>onPrimaryStatGain</t>
        </is>
      </c>
      <c r="Q10" s="9" t="inlineStr">
        <is>
          <t>gainCultivation</t>
        </is>
      </c>
      <c r="R10" s="9" t="inlineStr">
        <is>
          <t>{"kind":"triggered","label":"每获得 1 点气血，获得 9 点修为","triggeredEffect":{"trigger":"onPrimaryStatGain","type":"gainCultivation","amount":6,"amountPerEventPrimaryStatGain":3,"eventPrimaryStatGainFilter":["health"]}}</t>
        </is>
      </c>
    </row>
    <row r="11" ht="32" customHeight="1">
      <c r="A11" s="8" t="n">
        <v>100002</v>
      </c>
      <c r="B11" s="8" t="inlineStr">
        <is>
          <t>云字养气册</t>
        </is>
      </c>
      <c r="C11" s="8" t="inlineStr">
        <is>
          <t>功法</t>
        </is>
      </c>
      <c r="D11" s="8" t="inlineStr">
        <is>
          <t>common</t>
        </is>
      </c>
      <c r="E11" s="8" t="inlineStr">
        <is>
          <t>wood</t>
        </is>
      </c>
      <c r="F11" s="8" t="n">
        <v>2</v>
      </c>
      <c r="G11" s="8" t="inlineStr">
        <is>
          <t>功法成长层</t>
        </is>
      </c>
      <c r="H11" s="8" t="n">
        <v>4</v>
      </c>
      <c r="I11" s="9" t="inlineStr">
        <is>
          <t>修为≥2950</t>
        </is>
      </c>
      <c r="J11" s="8" t="n">
        <v>2950</v>
      </c>
      <c r="K11" s="8" t="n">
        <v>240</v>
      </c>
      <c r="L11" s="8" t="n">
        <v>240</v>
      </c>
      <c r="M11" s="8" t="inlineStr">
        <is>
          <t>条件触发</t>
        </is>
      </c>
      <c r="N11" s="8" t="inlineStr">
        <is>
          <t>triggered</t>
        </is>
      </c>
      <c r="O11" s="9" t="inlineStr">
        <is>
          <t>每获得 1 点气血，获得 12 点修为</t>
        </is>
      </c>
      <c r="P11" s="9" t="inlineStr">
        <is>
          <t>onPrimaryStatGain</t>
        </is>
      </c>
      <c r="Q11" s="9" t="inlineStr">
        <is>
          <t>gainCultivation</t>
        </is>
      </c>
      <c r="R11" s="9" t="inlineStr">
        <is>
          <t>{"kind":"triggered","label":"每获得 1 点气血，获得 12 点修为","triggeredEffect":{"trigger":"onPrimaryStatGain","type":"gainCultivation","amount":8,"amountPerEventPrimaryStatGain":4,"eventPrimaryStatGainFilter":["health"]}}</t>
        </is>
      </c>
    </row>
    <row r="12" ht="32" customHeight="1">
      <c r="A12" s="8" t="n">
        <v>100003</v>
      </c>
      <c r="B12" s="8" t="inlineStr">
        <is>
          <t>聚气册</t>
        </is>
      </c>
      <c r="C12" s="8" t="inlineStr">
        <is>
          <t>功法</t>
        </is>
      </c>
      <c r="D12" s="8" t="inlineStr">
        <is>
          <t>common</t>
        </is>
      </c>
      <c r="E12" s="8" t="inlineStr">
        <is>
          <t>fire</t>
        </is>
      </c>
      <c r="F12" s="8" t="n">
        <v>1</v>
      </c>
      <c r="G12" s="8" t="inlineStr">
        <is>
          <t>基础/顶层</t>
        </is>
      </c>
      <c r="H12" s="8" t="inlineStr"/>
      <c r="I12" s="9" t="inlineStr"/>
      <c r="J12" s="8" t="inlineStr"/>
      <c r="K12" s="8" t="inlineStr"/>
      <c r="L12" s="8" t="inlineStr"/>
      <c r="M12" s="8" t="inlineStr">
        <is>
          <t>周期触发</t>
        </is>
      </c>
      <c r="N12" s="8" t="inlineStr">
        <is>
          <t>periodicPulse</t>
        </is>
      </c>
      <c r="O12" s="9" t="inlineStr">
        <is>
          <t>获得 10 点修为</t>
        </is>
      </c>
      <c r="P12" s="9" t="inlineStr"/>
      <c r="Q12" s="9" t="inlineStr"/>
      <c r="R12" s="9" t="inlineStr">
        <is>
          <t>{"kind":"periodicPulse","periodicPulse":{"intervalSec":30,"label":"获得 10 点修为","cultivationGain":10}}</t>
        </is>
      </c>
    </row>
    <row r="13" ht="32" customHeight="1">
      <c r="A13" s="8" t="n">
        <v>100003</v>
      </c>
      <c r="B13" s="8" t="inlineStr">
        <is>
          <t>聚气册</t>
        </is>
      </c>
      <c r="C13" s="8" t="inlineStr">
        <is>
          <t>功法</t>
        </is>
      </c>
      <c r="D13" s="8" t="inlineStr">
        <is>
          <t>common</t>
        </is>
      </c>
      <c r="E13" s="8" t="inlineStr">
        <is>
          <t>fire</t>
        </is>
      </c>
      <c r="F13" s="8" t="n">
        <v>2</v>
      </c>
      <c r="G13" s="8" t="inlineStr">
        <is>
          <t>基础/顶层</t>
        </is>
      </c>
      <c r="H13" s="8" t="inlineStr"/>
      <c r="I13" s="9" t="inlineStr"/>
      <c r="J13" s="8" t="inlineStr"/>
      <c r="K13" s="8" t="inlineStr"/>
      <c r="L13" s="8" t="inlineStr"/>
      <c r="M13" s="8" t="inlineStr">
        <is>
          <t>条件触发</t>
        </is>
      </c>
      <c r="N13" s="8" t="inlineStr">
        <is>
          <t>triggered</t>
        </is>
      </c>
      <c r="O13" s="9" t="inlineStr">
        <is>
          <t>每当有丹药耗尽时，获得 10 点修为</t>
        </is>
      </c>
      <c r="P13" s="9" t="inlineStr">
        <is>
          <t>onConsumableExhausted</t>
        </is>
      </c>
      <c r="Q13" s="9" t="inlineStr">
        <is>
          <t>grantResources；cultivation；any</t>
        </is>
      </c>
      <c r="R13" s="9" t="inlineStr">
        <is>
          <t>{"kind":"triggered","label":"每当有丹药耗尽时，获得 10 点修为","triggeredEffect":{"trigger":"onConsumableExhausted","type":"grantResources","grants":[{"type":"cultivation","amount":10}],"support":"cultivationOnly","eventSource":{"target":{"type":"any"},"filter":{"categories":["pill"]}}}}</t>
        </is>
      </c>
    </row>
    <row r="14" ht="32" customHeight="1">
      <c r="A14" s="8" t="n">
        <v>100003</v>
      </c>
      <c r="B14" s="8" t="inlineStr">
        <is>
          <t>聚气册</t>
        </is>
      </c>
      <c r="C14" s="8" t="inlineStr">
        <is>
          <t>功法</t>
        </is>
      </c>
      <c r="D14" s="8" t="inlineStr">
        <is>
          <t>common</t>
        </is>
      </c>
      <c r="E14" s="8" t="inlineStr">
        <is>
          <t>fire</t>
        </is>
      </c>
      <c r="F14" s="8" t="n">
        <v>3</v>
      </c>
      <c r="G14" s="8" t="inlineStr">
        <is>
          <t>功法成长层</t>
        </is>
      </c>
      <c r="H14" s="8" t="n">
        <v>1</v>
      </c>
      <c r="I14" s="9" t="inlineStr">
        <is>
          <t>无</t>
        </is>
      </c>
      <c r="J14" s="8" t="inlineStr"/>
      <c r="K14" s="8" t="inlineStr"/>
      <c r="L14" s="8" t="n">
        <v>15</v>
      </c>
      <c r="M14" s="8" t="inlineStr">
        <is>
          <t>周期触发</t>
        </is>
      </c>
      <c r="N14" s="8" t="inlineStr">
        <is>
          <t>periodicPulse</t>
        </is>
      </c>
      <c r="O14" s="9" t="inlineStr">
        <is>
          <t>获得 10 点修为</t>
        </is>
      </c>
      <c r="P14" s="9" t="inlineStr"/>
      <c r="Q14" s="9" t="inlineStr"/>
      <c r="R14" s="9" t="inlineStr">
        <is>
          <t>{"kind":"periodicPulse","periodicPulse":{"intervalSec":30,"label":"获得 10 点修为","cultivationGain":10}}</t>
        </is>
      </c>
    </row>
    <row r="15" ht="32" customHeight="1">
      <c r="A15" s="8" t="n">
        <v>100003</v>
      </c>
      <c r="B15" s="8" t="inlineStr">
        <is>
          <t>聚气册</t>
        </is>
      </c>
      <c r="C15" s="8" t="inlineStr">
        <is>
          <t>功法</t>
        </is>
      </c>
      <c r="D15" s="8" t="inlineStr">
        <is>
          <t>common</t>
        </is>
      </c>
      <c r="E15" s="8" t="inlineStr">
        <is>
          <t>fire</t>
        </is>
      </c>
      <c r="F15" s="8" t="n">
        <v>3</v>
      </c>
      <c r="G15" s="8" t="inlineStr">
        <is>
          <t>功法成长层</t>
        </is>
      </c>
      <c r="H15" s="8" t="n">
        <v>1</v>
      </c>
      <c r="I15" s="9" t="inlineStr">
        <is>
          <t>无</t>
        </is>
      </c>
      <c r="J15" s="8" t="inlineStr"/>
      <c r="K15" s="8" t="inlineStr"/>
      <c r="L15" s="8" t="n">
        <v>15</v>
      </c>
      <c r="M15" s="8" t="inlineStr">
        <is>
          <t>条件触发</t>
        </is>
      </c>
      <c r="N15" s="8" t="inlineStr">
        <is>
          <t>triggered</t>
        </is>
      </c>
      <c r="O15" s="9" t="inlineStr">
        <is>
          <t>每当有丹药耗尽时，获得 10 点修为</t>
        </is>
      </c>
      <c r="P15" s="9" t="inlineStr">
        <is>
          <t>onConsumableExhausted</t>
        </is>
      </c>
      <c r="Q15" s="9" t="inlineStr">
        <is>
          <t>grantResources；cultivation；any</t>
        </is>
      </c>
      <c r="R15" s="9" t="inlineStr">
        <is>
          <t>{"kind":"triggered","label":"每当有丹药耗尽时，获得 10 点修为","triggeredEffect":{"trigger":"onConsumableExhausted","type":"grantResources","grants":[{"type":"cultivation","amount":10}],"support":"cultivationOnly","eventSource":{"target":{"type":"any"},"filter":{"categories":["pill"]}}}}</t>
        </is>
      </c>
    </row>
    <row r="16" ht="32" customHeight="1">
      <c r="A16" s="8" t="n">
        <v>100003</v>
      </c>
      <c r="B16" s="8" t="inlineStr">
        <is>
          <t>聚气册</t>
        </is>
      </c>
      <c r="C16" s="8" t="inlineStr">
        <is>
          <t>功法</t>
        </is>
      </c>
      <c r="D16" s="8" t="inlineStr">
        <is>
          <t>common</t>
        </is>
      </c>
      <c r="E16" s="8" t="inlineStr">
        <is>
          <t>fire</t>
        </is>
      </c>
      <c r="F16" s="8" t="n">
        <v>3</v>
      </c>
      <c r="G16" s="8" t="inlineStr">
        <is>
          <t>功法成长层</t>
        </is>
      </c>
      <c r="H16" s="8" t="n">
        <v>2</v>
      </c>
      <c r="I16" s="9" t="inlineStr">
        <is>
          <t>修为≥210</t>
        </is>
      </c>
      <c r="J16" s="8" t="n">
        <v>210</v>
      </c>
      <c r="K16" s="8" t="n">
        <v>290</v>
      </c>
      <c r="L16" s="8" t="n">
        <v>30</v>
      </c>
      <c r="M16" s="8" t="inlineStr">
        <is>
          <t>周期触发</t>
        </is>
      </c>
      <c r="N16" s="8" t="inlineStr">
        <is>
          <t>periodicPulse</t>
        </is>
      </c>
      <c r="O16" s="9" t="inlineStr">
        <is>
          <t>获得 25 点修为</t>
        </is>
      </c>
      <c r="P16" s="9" t="inlineStr"/>
      <c r="Q16" s="9" t="inlineStr"/>
      <c r="R16" s="9" t="inlineStr">
        <is>
          <t>{"kind":"periodicPulse","periodicPulse":{"intervalSec":20,"label":"获得 25 点修为","cultivationGain":25}}</t>
        </is>
      </c>
    </row>
    <row r="17" ht="32" customHeight="1">
      <c r="A17" s="8" t="n">
        <v>100003</v>
      </c>
      <c r="B17" s="8" t="inlineStr">
        <is>
          <t>聚气册</t>
        </is>
      </c>
      <c r="C17" s="8" t="inlineStr">
        <is>
          <t>功法</t>
        </is>
      </c>
      <c r="D17" s="8" t="inlineStr">
        <is>
          <t>common</t>
        </is>
      </c>
      <c r="E17" s="8" t="inlineStr">
        <is>
          <t>fire</t>
        </is>
      </c>
      <c r="F17" s="8" t="n">
        <v>3</v>
      </c>
      <c r="G17" s="8" t="inlineStr">
        <is>
          <t>功法成长层</t>
        </is>
      </c>
      <c r="H17" s="8" t="n">
        <v>2</v>
      </c>
      <c r="I17" s="9" t="inlineStr">
        <is>
          <t>修为≥210</t>
        </is>
      </c>
      <c r="J17" s="8" t="n">
        <v>210</v>
      </c>
      <c r="K17" s="8" t="n">
        <v>290</v>
      </c>
      <c r="L17" s="8" t="n">
        <v>30</v>
      </c>
      <c r="M17" s="8" t="inlineStr">
        <is>
          <t>条件触发</t>
        </is>
      </c>
      <c r="N17" s="8" t="inlineStr">
        <is>
          <t>triggered</t>
        </is>
      </c>
      <c r="O17" s="9" t="inlineStr">
        <is>
          <t>每当有丹药耗尽时，获得 20 点修为</t>
        </is>
      </c>
      <c r="P17" s="9" t="inlineStr">
        <is>
          <t>onConsumableExhausted</t>
        </is>
      </c>
      <c r="Q17" s="9" t="inlineStr">
        <is>
          <t>grantResources；cultivation；any</t>
        </is>
      </c>
      <c r="R17" s="9" t="inlineStr">
        <is>
          <t>{"kind":"triggered","label":"每当有丹药耗尽时，获得 20 点修为","triggeredEffect":{"trigger":"onConsumableExhausted","type":"grantResources","grants":[{"type":"cultivation","amount":20}],"support":"cultivationOnly","eventSource":{"target":{"type":"any"},"filter":{"categories":["pill"]}}}}</t>
        </is>
      </c>
    </row>
    <row r="18" ht="32" customHeight="1">
      <c r="A18" s="8" t="n">
        <v>100003</v>
      </c>
      <c r="B18" s="8" t="inlineStr">
        <is>
          <t>聚气册</t>
        </is>
      </c>
      <c r="C18" s="8" t="inlineStr">
        <is>
          <t>功法</t>
        </is>
      </c>
      <c r="D18" s="8" t="inlineStr">
        <is>
          <t>common</t>
        </is>
      </c>
      <c r="E18" s="8" t="inlineStr">
        <is>
          <t>fire</t>
        </is>
      </c>
      <c r="F18" s="8" t="n">
        <v>3</v>
      </c>
      <c r="G18" s="8" t="inlineStr">
        <is>
          <t>功法成长层</t>
        </is>
      </c>
      <c r="H18" s="8" t="n">
        <v>3</v>
      </c>
      <c r="I18" s="9" t="inlineStr">
        <is>
          <t>修为≥760</t>
        </is>
      </c>
      <c r="J18" s="8" t="n">
        <v>760</v>
      </c>
      <c r="K18" s="8" t="n">
        <v>195</v>
      </c>
      <c r="L18" s="8" t="n">
        <v>120</v>
      </c>
      <c r="M18" s="8" t="inlineStr">
        <is>
          <t>周期触发</t>
        </is>
      </c>
      <c r="N18" s="8" t="inlineStr">
        <is>
          <t>periodicPulse</t>
        </is>
      </c>
      <c r="O18" s="9" t="inlineStr">
        <is>
          <t>获得 40 点修为</t>
        </is>
      </c>
      <c r="P18" s="9" t="inlineStr"/>
      <c r="Q18" s="9" t="inlineStr"/>
      <c r="R18" s="9" t="inlineStr">
        <is>
          <t>{"kind":"periodicPulse","periodicPulse":{"intervalSec":15,"label":"获得 40 点修为","cultivationGain":40}}</t>
        </is>
      </c>
    </row>
    <row r="19" ht="32" customHeight="1">
      <c r="A19" s="8" t="n">
        <v>100003</v>
      </c>
      <c r="B19" s="8" t="inlineStr">
        <is>
          <t>聚气册</t>
        </is>
      </c>
      <c r="C19" s="8" t="inlineStr">
        <is>
          <t>功法</t>
        </is>
      </c>
      <c r="D19" s="8" t="inlineStr">
        <is>
          <t>common</t>
        </is>
      </c>
      <c r="E19" s="8" t="inlineStr">
        <is>
          <t>fire</t>
        </is>
      </c>
      <c r="F19" s="8" t="n">
        <v>3</v>
      </c>
      <c r="G19" s="8" t="inlineStr">
        <is>
          <t>功法成长层</t>
        </is>
      </c>
      <c r="H19" s="8" t="n">
        <v>3</v>
      </c>
      <c r="I19" s="9" t="inlineStr">
        <is>
          <t>修为≥760</t>
        </is>
      </c>
      <c r="J19" s="8" t="n">
        <v>760</v>
      </c>
      <c r="K19" s="8" t="n">
        <v>195</v>
      </c>
      <c r="L19" s="8" t="n">
        <v>120</v>
      </c>
      <c r="M19" s="8" t="inlineStr">
        <is>
          <t>条件触发</t>
        </is>
      </c>
      <c r="N19" s="8" t="inlineStr">
        <is>
          <t>triggered</t>
        </is>
      </c>
      <c r="O19" s="9" t="inlineStr">
        <is>
          <t>每当有丹药耗尽时，获得 30 点修为</t>
        </is>
      </c>
      <c r="P19" s="9" t="inlineStr">
        <is>
          <t>onConsumableExhausted</t>
        </is>
      </c>
      <c r="Q19" s="9" t="inlineStr">
        <is>
          <t>grantResources；cultivation；any</t>
        </is>
      </c>
      <c r="R19" s="9" t="inlineStr">
        <is>
          <t>{"kind":"triggered","label":"每当有丹药耗尽时，获得 30 点修为","triggeredEffect":{"trigger":"onConsumableExhausted","type":"grantResources","grants":[{"type":"cultivation","amount":30}],"support":"cultivationOnly","eventSource":{"target":{"type":"any"},"filter":{"categories":["pill"]}}}}</t>
        </is>
      </c>
    </row>
    <row r="20" ht="32" customHeight="1">
      <c r="A20" s="8" t="n">
        <v>100004</v>
      </c>
      <c r="B20" s="8" t="inlineStr">
        <is>
          <t>月痕养息册</t>
        </is>
      </c>
      <c r="C20" s="8" t="inlineStr">
        <is>
          <t>功法</t>
        </is>
      </c>
      <c r="D20" s="8" t="inlineStr">
        <is>
          <t>common</t>
        </is>
      </c>
      <c r="E20" s="8" t="inlineStr">
        <is>
          <t>none</t>
        </is>
      </c>
      <c r="F20" s="8" t="n">
        <v>1</v>
      </c>
      <c r="G20" s="8" t="inlineStr">
        <is>
          <t>基础/顶层</t>
        </is>
      </c>
      <c r="H20" s="8" t="inlineStr"/>
      <c r="I20" s="9" t="inlineStr"/>
      <c r="J20" s="8" t="inlineStr"/>
      <c r="K20" s="8" t="inlineStr"/>
      <c r="L20" s="8" t="inlineStr"/>
      <c r="M20" s="8" t="inlineStr">
        <is>
          <t>条件触发</t>
        </is>
      </c>
      <c r="N20" s="8" t="inlineStr">
        <is>
          <t>triggered</t>
        </is>
      </c>
      <c r="O20" s="9" t="inlineStr">
        <is>
          <t>每获得 1 点法力，获得 1 点修为</t>
        </is>
      </c>
      <c r="P20" s="9" t="inlineStr">
        <is>
          <t>onPrimaryStatGain</t>
        </is>
      </c>
      <c r="Q20" s="9" t="inlineStr">
        <is>
          <t>gainCultivation</t>
        </is>
      </c>
      <c r="R20" s="9" t="inlineStr">
        <is>
          <t>{"kind":"triggered","label":"&lt;cultivation&gt;每获得 1 点法力，获得 1 点修为&lt;/cultivation&gt;","triggeredEffect":{"trigger":"onPrimaryStatGain","type":"gainCultivation","amount":0,"amountPerEventPrimaryStatGain":1,"eventPrimaryStatGainFilter":["mana"]}}</t>
        </is>
      </c>
    </row>
    <row r="21" ht="32" customHeight="1">
      <c r="A21" s="8" t="n">
        <v>100004</v>
      </c>
      <c r="B21" s="8" t="inlineStr">
        <is>
          <t>月痕养息册</t>
        </is>
      </c>
      <c r="C21" s="8" t="inlineStr">
        <is>
          <t>功法</t>
        </is>
      </c>
      <c r="D21" s="8" t="inlineStr">
        <is>
          <t>common</t>
        </is>
      </c>
      <c r="E21" s="8" t="inlineStr">
        <is>
          <t>none</t>
        </is>
      </c>
      <c r="F21" s="8" t="n">
        <v>2</v>
      </c>
      <c r="G21" s="8" t="inlineStr">
        <is>
          <t>基础/顶层</t>
        </is>
      </c>
      <c r="H21" s="8" t="inlineStr"/>
      <c r="I21" s="9" t="inlineStr"/>
      <c r="J21" s="8" t="inlineStr"/>
      <c r="K21" s="8" t="inlineStr"/>
      <c r="L21" s="8" t="inlineStr"/>
      <c r="M21" s="8" t="inlineStr">
        <is>
          <t>被动效果</t>
        </is>
      </c>
      <c r="N21" s="8" t="inlineStr">
        <is>
          <t>passive</t>
        </is>
      </c>
      <c r="O21" s="9" t="inlineStr">
        <is>
          <t>法力上限 +10</t>
        </is>
      </c>
      <c r="P21" s="9" t="inlineStr"/>
      <c r="Q21" s="9" t="inlineStr">
        <is>
          <t>primaryStatMaxFlatBonus</t>
        </is>
      </c>
      <c r="R21" s="9" t="inlineStr">
        <is>
          <t>{"kind":"passive","label":"法力上限 +10","passiveEffect":{"type":"primaryStatMaxFlatBonus","stat":"mana","value":10,"label":"法力上限 +10"}}</t>
        </is>
      </c>
    </row>
    <row r="22" ht="32" customHeight="1">
      <c r="A22" s="8" t="n">
        <v>100004</v>
      </c>
      <c r="B22" s="8" t="inlineStr">
        <is>
          <t>月痕养息册</t>
        </is>
      </c>
      <c r="C22" s="8" t="inlineStr">
        <is>
          <t>功法</t>
        </is>
      </c>
      <c r="D22" s="8" t="inlineStr">
        <is>
          <t>common</t>
        </is>
      </c>
      <c r="E22" s="8" t="inlineStr">
        <is>
          <t>none</t>
        </is>
      </c>
      <c r="F22" s="8" t="n">
        <v>3</v>
      </c>
      <c r="G22" s="8" t="inlineStr">
        <is>
          <t>功法成长层</t>
        </is>
      </c>
      <c r="H22" s="8" t="n">
        <v>1</v>
      </c>
      <c r="I22" s="9" t="inlineStr">
        <is>
          <t>无</t>
        </is>
      </c>
      <c r="J22" s="8" t="inlineStr"/>
      <c r="K22" s="8" t="inlineStr"/>
      <c r="L22" s="8" t="n">
        <v>15</v>
      </c>
      <c r="M22" s="8" t="inlineStr">
        <is>
          <t>条件触发</t>
        </is>
      </c>
      <c r="N22" s="8" t="inlineStr">
        <is>
          <t>triggered</t>
        </is>
      </c>
      <c r="O22" s="9" t="inlineStr">
        <is>
          <t>每获得 1 点法力，获得 1 点修为</t>
        </is>
      </c>
      <c r="P22" s="9" t="inlineStr">
        <is>
          <t>onPrimaryStatGain</t>
        </is>
      </c>
      <c r="Q22" s="9" t="inlineStr">
        <is>
          <t>gainCultivation</t>
        </is>
      </c>
      <c r="R22" s="9" t="inlineStr">
        <is>
          <t>{"kind":"triggered","label":"&lt;cultivation&gt;每获得 1 点法力，获得 1 点修为&lt;/cultivation&gt;","triggeredEffect":{"trigger":"onPrimaryStatGain","type":"gainCultivation","amount":0,"amountPerEventPrimaryStatGain":1,"eventPrimaryStatGainFilter":["mana"]}}</t>
        </is>
      </c>
    </row>
    <row r="23" ht="32" customHeight="1">
      <c r="A23" s="8" t="n">
        <v>100004</v>
      </c>
      <c r="B23" s="8" t="inlineStr">
        <is>
          <t>月痕养息册</t>
        </is>
      </c>
      <c r="C23" s="8" t="inlineStr">
        <is>
          <t>功法</t>
        </is>
      </c>
      <c r="D23" s="8" t="inlineStr">
        <is>
          <t>common</t>
        </is>
      </c>
      <c r="E23" s="8" t="inlineStr">
        <is>
          <t>none</t>
        </is>
      </c>
      <c r="F23" s="8" t="n">
        <v>3</v>
      </c>
      <c r="G23" s="8" t="inlineStr">
        <is>
          <t>功法成长层</t>
        </is>
      </c>
      <c r="H23" s="8" t="n">
        <v>1</v>
      </c>
      <c r="I23" s="9" t="inlineStr">
        <is>
          <t>无</t>
        </is>
      </c>
      <c r="J23" s="8" t="inlineStr"/>
      <c r="K23" s="8" t="inlineStr"/>
      <c r="L23" s="8" t="n">
        <v>15</v>
      </c>
      <c r="M23" s="8" t="inlineStr">
        <is>
          <t>被动效果</t>
        </is>
      </c>
      <c r="N23" s="8" t="inlineStr">
        <is>
          <t>passive</t>
        </is>
      </c>
      <c r="O23" s="9" t="inlineStr">
        <is>
          <t>法力上限 +10</t>
        </is>
      </c>
      <c r="P23" s="9" t="inlineStr"/>
      <c r="Q23" s="9" t="inlineStr">
        <is>
          <t>primaryStatMaxFlatBonus</t>
        </is>
      </c>
      <c r="R23" s="9" t="inlineStr">
        <is>
          <t>{"kind":"passive","label":"法力上限 +10","passiveEffect":{"type":"primaryStatMaxFlatBonus","stat":"mana","value":10,"label":"法力上限 +10"}}</t>
        </is>
      </c>
    </row>
    <row r="24" ht="32" customHeight="1">
      <c r="A24" s="8" t="n">
        <v>100004</v>
      </c>
      <c r="B24" s="8" t="inlineStr">
        <is>
          <t>月痕养息册</t>
        </is>
      </c>
      <c r="C24" s="8" t="inlineStr">
        <is>
          <t>功法</t>
        </is>
      </c>
      <c r="D24" s="8" t="inlineStr">
        <is>
          <t>common</t>
        </is>
      </c>
      <c r="E24" s="8" t="inlineStr">
        <is>
          <t>none</t>
        </is>
      </c>
      <c r="F24" s="8" t="n">
        <v>3</v>
      </c>
      <c r="G24" s="8" t="inlineStr">
        <is>
          <t>功法成长层</t>
        </is>
      </c>
      <c r="H24" s="8" t="n">
        <v>2</v>
      </c>
      <c r="I24" s="9" t="inlineStr">
        <is>
          <t>修为≥150</t>
        </is>
      </c>
      <c r="J24" s="8" t="n">
        <v>150</v>
      </c>
      <c r="K24" s="8" t="n">
        <v>195</v>
      </c>
      <c r="L24" s="8" t="n">
        <v>30</v>
      </c>
      <c r="M24" s="8" t="inlineStr">
        <is>
          <t>条件触发</t>
        </is>
      </c>
      <c r="N24" s="8" t="inlineStr">
        <is>
          <t>triggered</t>
        </is>
      </c>
      <c r="O24" s="9" t="inlineStr">
        <is>
          <t>每获得 1 点法力，获得 2 点修为</t>
        </is>
      </c>
      <c r="P24" s="9" t="inlineStr">
        <is>
          <t>onPrimaryStatGain</t>
        </is>
      </c>
      <c r="Q24" s="9" t="inlineStr">
        <is>
          <t>gainCultivation</t>
        </is>
      </c>
      <c r="R24" s="9" t="inlineStr">
        <is>
          <t>{"kind":"triggered","label":"&lt;cultivation&gt;每获得 1 点法力，获得 2 点修为&lt;/cultivation&gt;","triggeredEffect":{"trigger":"onPrimaryStatGain","type":"gainCultivation","amount":0,"amountPerEventPrimaryStatGain":2,"eventPrimaryStatGainFilter":["mana"]}}</t>
        </is>
      </c>
    </row>
    <row r="25" ht="32" customHeight="1">
      <c r="A25" s="8" t="n">
        <v>100004</v>
      </c>
      <c r="B25" s="8" t="inlineStr">
        <is>
          <t>月痕养息册</t>
        </is>
      </c>
      <c r="C25" s="8" t="inlineStr">
        <is>
          <t>功法</t>
        </is>
      </c>
      <c r="D25" s="8" t="inlineStr">
        <is>
          <t>common</t>
        </is>
      </c>
      <c r="E25" s="8" t="inlineStr">
        <is>
          <t>none</t>
        </is>
      </c>
      <c r="F25" s="8" t="n">
        <v>3</v>
      </c>
      <c r="G25" s="8" t="inlineStr">
        <is>
          <t>功法成长层</t>
        </is>
      </c>
      <c r="H25" s="8" t="n">
        <v>2</v>
      </c>
      <c r="I25" s="9" t="inlineStr">
        <is>
          <t>修为≥150</t>
        </is>
      </c>
      <c r="J25" s="8" t="n">
        <v>150</v>
      </c>
      <c r="K25" s="8" t="n">
        <v>195</v>
      </c>
      <c r="L25" s="8" t="n">
        <v>30</v>
      </c>
      <c r="M25" s="8" t="inlineStr">
        <is>
          <t>被动效果</t>
        </is>
      </c>
      <c r="N25" s="8" t="inlineStr">
        <is>
          <t>passive</t>
        </is>
      </c>
      <c r="O25" s="9" t="inlineStr">
        <is>
          <t>法力上限 +20</t>
        </is>
      </c>
      <c r="P25" s="9" t="inlineStr"/>
      <c r="Q25" s="9" t="inlineStr">
        <is>
          <t>primaryStatMaxFlatBonus</t>
        </is>
      </c>
      <c r="R25" s="9" t="inlineStr">
        <is>
          <t>{"kind":"passive","label":"法力上限 +20","passiveEffect":{"type":"primaryStatMaxFlatBonus","stat":"mana","value":20,"label":"法力上限 +20"}}</t>
        </is>
      </c>
    </row>
    <row r="26" ht="32" customHeight="1">
      <c r="A26" s="8" t="n">
        <v>100004</v>
      </c>
      <c r="B26" s="8" t="inlineStr">
        <is>
          <t>月痕养息册</t>
        </is>
      </c>
      <c r="C26" s="8" t="inlineStr">
        <is>
          <t>功法</t>
        </is>
      </c>
      <c r="D26" s="8" t="inlineStr">
        <is>
          <t>common</t>
        </is>
      </c>
      <c r="E26" s="8" t="inlineStr">
        <is>
          <t>none</t>
        </is>
      </c>
      <c r="F26" s="8" t="n">
        <v>3</v>
      </c>
      <c r="G26" s="8" t="inlineStr">
        <is>
          <t>功法成长层</t>
        </is>
      </c>
      <c r="H26" s="8" t="n">
        <v>3</v>
      </c>
      <c r="I26" s="9" t="inlineStr">
        <is>
          <t>修为≥780</t>
        </is>
      </c>
      <c r="J26" s="8" t="n">
        <v>780</v>
      </c>
      <c r="K26" s="8" t="n">
        <v>205</v>
      </c>
      <c r="L26" s="8" t="n">
        <v>90</v>
      </c>
      <c r="M26" s="8" t="inlineStr">
        <is>
          <t>条件触发</t>
        </is>
      </c>
      <c r="N26" s="8" t="inlineStr">
        <is>
          <t>triggered</t>
        </is>
      </c>
      <c r="O26" s="9" t="inlineStr">
        <is>
          <t>每获得 1 点法力，获得 3 点修为</t>
        </is>
      </c>
      <c r="P26" s="9" t="inlineStr">
        <is>
          <t>onPrimaryStatGain</t>
        </is>
      </c>
      <c r="Q26" s="9" t="inlineStr">
        <is>
          <t>gainCultivation</t>
        </is>
      </c>
      <c r="R26" s="9" t="inlineStr">
        <is>
          <t>{"kind":"triggered","label":"&lt;cultivation&gt;每获得 1 点法力，获得 3 点修为&lt;/cultivation&gt;","triggeredEffect":{"trigger":"onPrimaryStatGain","type":"gainCultivation","amount":0,"amountPerEventPrimaryStatGain":3,"eventPrimaryStatGainFilter":["mana"]}}</t>
        </is>
      </c>
    </row>
    <row r="27" ht="32" customHeight="1">
      <c r="A27" s="8" t="n">
        <v>100004</v>
      </c>
      <c r="B27" s="8" t="inlineStr">
        <is>
          <t>月痕养息册</t>
        </is>
      </c>
      <c r="C27" s="8" t="inlineStr">
        <is>
          <t>功法</t>
        </is>
      </c>
      <c r="D27" s="8" t="inlineStr">
        <is>
          <t>common</t>
        </is>
      </c>
      <c r="E27" s="8" t="inlineStr">
        <is>
          <t>none</t>
        </is>
      </c>
      <c r="F27" s="8" t="n">
        <v>3</v>
      </c>
      <c r="G27" s="8" t="inlineStr">
        <is>
          <t>功法成长层</t>
        </is>
      </c>
      <c r="H27" s="8" t="n">
        <v>3</v>
      </c>
      <c r="I27" s="9" t="inlineStr">
        <is>
          <t>修为≥780</t>
        </is>
      </c>
      <c r="J27" s="8" t="n">
        <v>780</v>
      </c>
      <c r="K27" s="8" t="n">
        <v>205</v>
      </c>
      <c r="L27" s="8" t="n">
        <v>90</v>
      </c>
      <c r="M27" s="8" t="inlineStr">
        <is>
          <t>被动效果</t>
        </is>
      </c>
      <c r="N27" s="8" t="inlineStr">
        <is>
          <t>passive</t>
        </is>
      </c>
      <c r="O27" s="9" t="inlineStr">
        <is>
          <t>法力上限 +30</t>
        </is>
      </c>
      <c r="P27" s="9" t="inlineStr"/>
      <c r="Q27" s="9" t="inlineStr">
        <is>
          <t>primaryStatMaxFlatBonus</t>
        </is>
      </c>
      <c r="R27" s="9" t="inlineStr">
        <is>
          <t>{"kind":"passive","label":"法力上限 +30","passiveEffect":{"type":"primaryStatMaxFlatBonus","stat":"mana","value":30,"label":"法力上限 +30"}}</t>
        </is>
      </c>
    </row>
    <row r="28" ht="32" customHeight="1">
      <c r="A28" s="8" t="n">
        <v>100004</v>
      </c>
      <c r="B28" s="8" t="inlineStr">
        <is>
          <t>月痕养息册</t>
        </is>
      </c>
      <c r="C28" s="8" t="inlineStr">
        <is>
          <t>功法</t>
        </is>
      </c>
      <c r="D28" s="8" t="inlineStr">
        <is>
          <t>common</t>
        </is>
      </c>
      <c r="E28" s="8" t="inlineStr">
        <is>
          <t>none</t>
        </is>
      </c>
      <c r="F28" s="8" t="n">
        <v>3</v>
      </c>
      <c r="G28" s="8" t="inlineStr">
        <is>
          <t>功法成长层</t>
        </is>
      </c>
      <c r="H28" s="8" t="n">
        <v>4</v>
      </c>
      <c r="I28" s="9" t="inlineStr">
        <is>
          <t>修为≥3800</t>
        </is>
      </c>
      <c r="J28" s="8" t="n">
        <v>3800</v>
      </c>
      <c r="K28" s="8" t="n">
        <v>275</v>
      </c>
      <c r="L28" s="8" t="n">
        <v>120</v>
      </c>
      <c r="M28" s="8" t="inlineStr">
        <is>
          <t>条件触发</t>
        </is>
      </c>
      <c r="N28" s="8" t="inlineStr">
        <is>
          <t>triggered</t>
        </is>
      </c>
      <c r="O28" s="9" t="inlineStr">
        <is>
          <t>每获得 1 点法力，获得 4 点修为</t>
        </is>
      </c>
      <c r="P28" s="9" t="inlineStr">
        <is>
          <t>onPrimaryStatGain</t>
        </is>
      </c>
      <c r="Q28" s="9" t="inlineStr">
        <is>
          <t>gainCultivation</t>
        </is>
      </c>
      <c r="R28" s="9" t="inlineStr">
        <is>
          <t>{"kind":"triggered","label":"&lt;cultivation&gt;每获得 1 点法力，获得 4 点修为&lt;/cultivation&gt;","triggeredEffect":{"trigger":"onPrimaryStatGain","type":"gainCultivation","amount":0,"amountPerEventPrimaryStatGain":4,"eventPrimaryStatGainFilter":["mana"]}}</t>
        </is>
      </c>
    </row>
    <row r="29" ht="32" customHeight="1">
      <c r="A29" s="8" t="n">
        <v>100004</v>
      </c>
      <c r="B29" s="8" t="inlineStr">
        <is>
          <t>月痕养息册</t>
        </is>
      </c>
      <c r="C29" s="8" t="inlineStr">
        <is>
          <t>功法</t>
        </is>
      </c>
      <c r="D29" s="8" t="inlineStr">
        <is>
          <t>common</t>
        </is>
      </c>
      <c r="E29" s="8" t="inlineStr">
        <is>
          <t>none</t>
        </is>
      </c>
      <c r="F29" s="8" t="n">
        <v>3</v>
      </c>
      <c r="G29" s="8" t="inlineStr">
        <is>
          <t>功法成长层</t>
        </is>
      </c>
      <c r="H29" s="8" t="n">
        <v>4</v>
      </c>
      <c r="I29" s="9" t="inlineStr">
        <is>
          <t>修为≥3800</t>
        </is>
      </c>
      <c r="J29" s="8" t="n">
        <v>3800</v>
      </c>
      <c r="K29" s="8" t="n">
        <v>275</v>
      </c>
      <c r="L29" s="8" t="n">
        <v>120</v>
      </c>
      <c r="M29" s="8" t="inlineStr">
        <is>
          <t>被动效果</t>
        </is>
      </c>
      <c r="N29" s="8" t="inlineStr">
        <is>
          <t>passive</t>
        </is>
      </c>
      <c r="O29" s="9" t="inlineStr">
        <is>
          <t>法力上限 +40</t>
        </is>
      </c>
      <c r="P29" s="9" t="inlineStr"/>
      <c r="Q29" s="9" t="inlineStr">
        <is>
          <t>primaryStatMaxFlatBonus</t>
        </is>
      </c>
      <c r="R29" s="9" t="inlineStr">
        <is>
          <t>{"kind":"passive","label":"法力上限 +40","passiveEffect":{"type":"primaryStatMaxFlatBonus","stat":"mana","value":40,"label":"法力上限 +40"}}</t>
        </is>
      </c>
    </row>
    <row r="30" ht="32" customHeight="1">
      <c r="A30" s="8" t="n">
        <v>100010</v>
      </c>
      <c r="B30" s="8" t="inlineStr">
        <is>
          <t>五行入门篇</t>
        </is>
      </c>
      <c r="C30" s="8" t="inlineStr">
        <is>
          <t>功法</t>
        </is>
      </c>
      <c r="D30" s="8" t="inlineStr">
        <is>
          <t>common</t>
        </is>
      </c>
      <c r="E30" s="8" t="inlineStr">
        <is>
          <t>none</t>
        </is>
      </c>
      <c r="F30" s="8" t="n">
        <v>1</v>
      </c>
      <c r="G30" s="8" t="inlineStr">
        <is>
          <t>基础/顶层</t>
        </is>
      </c>
      <c r="H30" s="8" t="inlineStr"/>
      <c r="I30" s="9" t="inlineStr"/>
      <c r="J30" s="8" t="inlineStr"/>
      <c r="K30" s="8" t="inlineStr"/>
      <c r="L30" s="8" t="inlineStr"/>
      <c r="M30" s="8" t="inlineStr">
        <is>
          <t>被动效果</t>
        </is>
      </c>
      <c r="N30" s="8" t="inlineStr">
        <is>
          <t>passive</t>
        </is>
      </c>
      <c r="O30" s="9" t="inlineStr">
        <is>
          <t>每消耗 1 点法力，获得 1 点修为</t>
        </is>
      </c>
      <c r="P30" s="9" t="inlineStr"/>
      <c r="Q30" s="9" t="inlineStr">
        <is>
          <t>primaryStatConsumedToCultivation</t>
        </is>
      </c>
      <c r="R30" s="9" t="inlineStr">
        <is>
          <t>{"kind":"passive","passiveEffect":{"type":"primaryStatConsumedToCultivation","stat":"mana","cost":1,"gain":1,"label":"每消耗 1 点法力，获得 1 点修为"}}</t>
        </is>
      </c>
    </row>
    <row r="31" ht="32" customHeight="1">
      <c r="A31" s="8" t="n">
        <v>100010</v>
      </c>
      <c r="B31" s="8" t="inlineStr">
        <is>
          <t>五行入门篇</t>
        </is>
      </c>
      <c r="C31" s="8" t="inlineStr">
        <is>
          <t>功法</t>
        </is>
      </c>
      <c r="D31" s="8" t="inlineStr">
        <is>
          <t>common</t>
        </is>
      </c>
      <c r="E31" s="8" t="inlineStr">
        <is>
          <t>none</t>
        </is>
      </c>
      <c r="F31" s="8" t="n">
        <v>2</v>
      </c>
      <c r="G31" s="8" t="inlineStr">
        <is>
          <t>功法成长层</t>
        </is>
      </c>
      <c r="H31" s="8" t="n">
        <v>1</v>
      </c>
      <c r="I31" s="9" t="inlineStr">
        <is>
          <t>无</t>
        </is>
      </c>
      <c r="J31" s="8" t="inlineStr"/>
      <c r="K31" s="8" t="inlineStr"/>
      <c r="L31" s="8" t="n">
        <v>15</v>
      </c>
      <c r="M31" s="8" t="inlineStr">
        <is>
          <t>被动效果</t>
        </is>
      </c>
      <c r="N31" s="8" t="inlineStr">
        <is>
          <t>passive</t>
        </is>
      </c>
      <c r="O31" s="9" t="inlineStr">
        <is>
          <t>每消耗 1 点法力，获得 1 点修为</t>
        </is>
      </c>
      <c r="P31" s="9" t="inlineStr"/>
      <c r="Q31" s="9" t="inlineStr">
        <is>
          <t>primaryStatConsumedToCultivation</t>
        </is>
      </c>
      <c r="R31" s="9" t="inlineStr">
        <is>
          <t>{"kind":"passive","passiveEffect":{"type":"primaryStatConsumedToCultivation","stat":"mana","cost":1,"gain":1,"label":"每消耗 1 点法力，获得 1 点修为"}}</t>
        </is>
      </c>
    </row>
    <row r="32" ht="32" customHeight="1">
      <c r="A32" s="8" t="n">
        <v>100010</v>
      </c>
      <c r="B32" s="8" t="inlineStr">
        <is>
          <t>五行入门篇</t>
        </is>
      </c>
      <c r="C32" s="8" t="inlineStr">
        <is>
          <t>功法</t>
        </is>
      </c>
      <c r="D32" s="8" t="inlineStr">
        <is>
          <t>common</t>
        </is>
      </c>
      <c r="E32" s="8" t="inlineStr">
        <is>
          <t>none</t>
        </is>
      </c>
      <c r="F32" s="8" t="n">
        <v>2</v>
      </c>
      <c r="G32" s="8" t="inlineStr">
        <is>
          <t>功法成长层</t>
        </is>
      </c>
      <c r="H32" s="8" t="n">
        <v>2</v>
      </c>
      <c r="I32" s="9" t="inlineStr">
        <is>
          <t>修为≥140；境界≥炼气4层</t>
        </is>
      </c>
      <c r="J32" s="8" t="n">
        <v>140</v>
      </c>
      <c r="K32" s="8" t="n">
        <v>210</v>
      </c>
      <c r="L32" s="8" t="n">
        <v>30</v>
      </c>
      <c r="M32" s="8" t="inlineStr">
        <is>
          <t>被动效果</t>
        </is>
      </c>
      <c r="N32" s="8" t="inlineStr">
        <is>
          <t>passive</t>
        </is>
      </c>
      <c r="O32" s="9" t="inlineStr">
        <is>
          <t>每消耗 1 点法力，获得 2 点修为</t>
        </is>
      </c>
      <c r="P32" s="9" t="inlineStr"/>
      <c r="Q32" s="9" t="inlineStr">
        <is>
          <t>primaryStatConsumedToCultivation</t>
        </is>
      </c>
      <c r="R32" s="9" t="inlineStr">
        <is>
          <t>{"kind":"passive","passiveEffect":{"type":"primaryStatConsumedToCultivation","stat":"mana","cost":1,"gain":2,"label":"每消耗 1 点法力，获得 2 点修为"}}</t>
        </is>
      </c>
    </row>
    <row r="33" ht="32" customHeight="1">
      <c r="A33" s="8" t="n">
        <v>100010</v>
      </c>
      <c r="B33" s="8" t="inlineStr">
        <is>
          <t>五行入门篇</t>
        </is>
      </c>
      <c r="C33" s="8" t="inlineStr">
        <is>
          <t>功法</t>
        </is>
      </c>
      <c r="D33" s="8" t="inlineStr">
        <is>
          <t>common</t>
        </is>
      </c>
      <c r="E33" s="8" t="inlineStr">
        <is>
          <t>none</t>
        </is>
      </c>
      <c r="F33" s="8" t="n">
        <v>2</v>
      </c>
      <c r="G33" s="8" t="inlineStr">
        <is>
          <t>功法成长层</t>
        </is>
      </c>
      <c r="H33" s="8" t="n">
        <v>3</v>
      </c>
      <c r="I33" s="9" t="inlineStr">
        <is>
          <t>修为≥1000</t>
        </is>
      </c>
      <c r="J33" s="8" t="n">
        <v>1000</v>
      </c>
      <c r="K33" s="8" t="n">
        <v>300</v>
      </c>
      <c r="L33" s="8" t="n">
        <v>60</v>
      </c>
      <c r="M33" s="8" t="inlineStr">
        <is>
          <t>被动效果</t>
        </is>
      </c>
      <c r="N33" s="8" t="inlineStr">
        <is>
          <t>passive</t>
        </is>
      </c>
      <c r="O33" s="9" t="inlineStr">
        <is>
          <t>每消耗 1 点法力，获得 3 点修为</t>
        </is>
      </c>
      <c r="P33" s="9" t="inlineStr"/>
      <c r="Q33" s="9" t="inlineStr">
        <is>
          <t>primaryStatConsumedToCultivation</t>
        </is>
      </c>
      <c r="R33" s="9" t="inlineStr">
        <is>
          <t>{"kind":"passive","passiveEffect":{"type":"primaryStatConsumedToCultivation","stat":"mana","cost":1,"gain":3,"label":"每消耗 1 点法力，获得 3 点修为"}}</t>
        </is>
      </c>
    </row>
    <row r="34" ht="32" customHeight="1">
      <c r="A34" s="8" t="n">
        <v>100010</v>
      </c>
      <c r="B34" s="8" t="inlineStr">
        <is>
          <t>五行入门篇</t>
        </is>
      </c>
      <c r="C34" s="8" t="inlineStr">
        <is>
          <t>功法</t>
        </is>
      </c>
      <c r="D34" s="8" t="inlineStr">
        <is>
          <t>common</t>
        </is>
      </c>
      <c r="E34" s="8" t="inlineStr">
        <is>
          <t>none</t>
        </is>
      </c>
      <c r="F34" s="8" t="n">
        <v>2</v>
      </c>
      <c r="G34" s="8" t="inlineStr">
        <is>
          <t>功法成长层</t>
        </is>
      </c>
      <c r="H34" s="8" t="n">
        <v>4</v>
      </c>
      <c r="I34" s="9" t="inlineStr">
        <is>
          <t>修为≥6000</t>
        </is>
      </c>
      <c r="J34" s="8" t="n">
        <v>6000</v>
      </c>
      <c r="K34" s="8" t="n">
        <v>285</v>
      </c>
      <c r="L34" s="8" t="n">
        <v>90</v>
      </c>
      <c r="M34" s="8" t="inlineStr">
        <is>
          <t>被动效果</t>
        </is>
      </c>
      <c r="N34" s="8" t="inlineStr">
        <is>
          <t>passive</t>
        </is>
      </c>
      <c r="O34" s="9" t="inlineStr">
        <is>
          <t>每消耗 1 点法力，获得 4 点修为</t>
        </is>
      </c>
      <c r="P34" s="9" t="inlineStr"/>
      <c r="Q34" s="9" t="inlineStr">
        <is>
          <t>primaryStatConsumedToCultivation</t>
        </is>
      </c>
      <c r="R34" s="9" t="inlineStr">
        <is>
          <t>{"kind":"passive","passiveEffect":{"type":"primaryStatConsumedToCultivation","stat":"mana","cost":1,"gain":4,"label":"每消耗 1 点法力，获得 4 点修为"}}</t>
        </is>
      </c>
    </row>
    <row r="35" ht="32" customHeight="1">
      <c r="A35" s="8" t="n">
        <v>100011</v>
      </c>
      <c r="B35" s="8" t="inlineStr">
        <is>
          <t>烈阳诀</t>
        </is>
      </c>
      <c r="C35" s="8" t="inlineStr">
        <is>
          <t>功法</t>
        </is>
      </c>
      <c r="D35" s="8" t="inlineStr">
        <is>
          <t>common</t>
        </is>
      </c>
      <c r="E35" s="8" t="inlineStr">
        <is>
          <t>fire</t>
        </is>
      </c>
      <c r="F35" s="8" t="n">
        <v>1</v>
      </c>
      <c r="G35" s="8" t="inlineStr">
        <is>
          <t>基础/顶层</t>
        </is>
      </c>
      <c r="H35" s="8" t="inlineStr"/>
      <c r="I35" s="9" t="inlineStr"/>
      <c r="J35" s="8" t="inlineStr"/>
      <c r="K35" s="8" t="inlineStr"/>
      <c r="L35" s="8" t="inlineStr"/>
      <c r="M35" s="8" t="inlineStr">
        <is>
          <t>条件触发</t>
        </is>
      </c>
      <c r="N35" s="8" t="inlineStr">
        <is>
          <t>triggered</t>
        </is>
      </c>
      <c r="O35" s="9" t="inlineStr">
        <is>
          <t>每获得 1 层炎热，获得 2 点修为</t>
        </is>
      </c>
      <c r="P35" s="9" t="inlineStr">
        <is>
          <t>onBuffGain</t>
        </is>
      </c>
      <c r="Q35" s="9" t="inlineStr">
        <is>
          <t>gainCultivation</t>
        </is>
      </c>
      <c r="R35" s="9" t="inlineStr">
        <is>
          <t>{"kind":"triggered","label":"每获得 1 层炎热，获得 2 点修为","triggeredEffect":{"trigger":"onBuffGain","type":"gainCultivation","amount":0,"amountPerEventBuffStack":2,"eventBuffId":"heat"}}</t>
        </is>
      </c>
    </row>
    <row r="36" ht="32" customHeight="1">
      <c r="A36" s="8" t="n">
        <v>100011</v>
      </c>
      <c r="B36" s="8" t="inlineStr">
        <is>
          <t>烈阳诀</t>
        </is>
      </c>
      <c r="C36" s="8" t="inlineStr">
        <is>
          <t>功法</t>
        </is>
      </c>
      <c r="D36" s="8" t="inlineStr">
        <is>
          <t>common</t>
        </is>
      </c>
      <c r="E36" s="8" t="inlineStr">
        <is>
          <t>fire</t>
        </is>
      </c>
      <c r="F36" s="8" t="n">
        <v>2</v>
      </c>
      <c r="G36" s="8" t="inlineStr">
        <is>
          <t>基础/顶层</t>
        </is>
      </c>
      <c r="H36" s="8" t="inlineStr"/>
      <c r="I36" s="9" t="inlineStr"/>
      <c r="J36" s="8" t="inlineStr"/>
      <c r="K36" s="8" t="inlineStr"/>
      <c r="L36" s="8" t="inlineStr"/>
      <c r="M36" s="8" t="inlineStr">
        <is>
          <t>被动效果</t>
        </is>
      </c>
      <c r="N36" s="8" t="inlineStr">
        <is>
          <t>passive</t>
        </is>
      </c>
      <c r="O36" s="9" t="inlineStr">
        <is>
          <t>炎热层数上限 +3</t>
        </is>
      </c>
      <c r="P36" s="9" t="inlineStr"/>
      <c r="Q36" s="9" t="inlineStr">
        <is>
          <t>buffStackCapBonus</t>
        </is>
      </c>
      <c r="R36" s="9" t="inlineStr">
        <is>
          <t>{"kind":"passive","label":"炎热层数上限 +3","passiveEffect":{"type":"buffStackCapBonus","buffId":"heat","value":3,"label":"炎热层数上限 +3"}}</t>
        </is>
      </c>
    </row>
    <row r="37" ht="32" customHeight="1">
      <c r="A37" s="8" t="n">
        <v>100011</v>
      </c>
      <c r="B37" s="8" t="inlineStr">
        <is>
          <t>烈阳诀</t>
        </is>
      </c>
      <c r="C37" s="8" t="inlineStr">
        <is>
          <t>功法</t>
        </is>
      </c>
      <c r="D37" s="8" t="inlineStr">
        <is>
          <t>common</t>
        </is>
      </c>
      <c r="E37" s="8" t="inlineStr">
        <is>
          <t>fire</t>
        </is>
      </c>
      <c r="F37" s="8" t="n">
        <v>3</v>
      </c>
      <c r="G37" s="8" t="inlineStr">
        <is>
          <t>功法成长层</t>
        </is>
      </c>
      <c r="H37" s="8" t="n">
        <v>1</v>
      </c>
      <c r="I37" s="9" t="inlineStr">
        <is>
          <t>无</t>
        </is>
      </c>
      <c r="J37" s="8" t="inlineStr"/>
      <c r="K37" s="8" t="inlineStr"/>
      <c r="L37" s="8" t="n">
        <v>15</v>
      </c>
      <c r="M37" s="8" t="inlineStr">
        <is>
          <t>条件触发</t>
        </is>
      </c>
      <c r="N37" s="8" t="inlineStr">
        <is>
          <t>triggered</t>
        </is>
      </c>
      <c r="O37" s="9" t="inlineStr">
        <is>
          <t>每获得 1 层炎热，获得 2 点修为</t>
        </is>
      </c>
      <c r="P37" s="9" t="inlineStr">
        <is>
          <t>onBuffGain</t>
        </is>
      </c>
      <c r="Q37" s="9" t="inlineStr">
        <is>
          <t>gainCultivation</t>
        </is>
      </c>
      <c r="R37" s="9" t="inlineStr">
        <is>
          <t>{"kind":"triggered","label":"每获得 1 层炎热，获得 2 点修为","triggeredEffect":{"trigger":"onBuffGain","type":"gainCultivation","amount":0,"amountPerEventBuffStack":2,"eventBuffId":"heat"}}</t>
        </is>
      </c>
    </row>
    <row r="38" ht="32" customHeight="1">
      <c r="A38" s="8" t="n">
        <v>100011</v>
      </c>
      <c r="B38" s="8" t="inlineStr">
        <is>
          <t>烈阳诀</t>
        </is>
      </c>
      <c r="C38" s="8" t="inlineStr">
        <is>
          <t>功法</t>
        </is>
      </c>
      <c r="D38" s="8" t="inlineStr">
        <is>
          <t>common</t>
        </is>
      </c>
      <c r="E38" s="8" t="inlineStr">
        <is>
          <t>fire</t>
        </is>
      </c>
      <c r="F38" s="8" t="n">
        <v>3</v>
      </c>
      <c r="G38" s="8" t="inlineStr">
        <is>
          <t>功法成长层</t>
        </is>
      </c>
      <c r="H38" s="8" t="n">
        <v>1</v>
      </c>
      <c r="I38" s="9" t="inlineStr">
        <is>
          <t>无</t>
        </is>
      </c>
      <c r="J38" s="8" t="inlineStr"/>
      <c r="K38" s="8" t="inlineStr"/>
      <c r="L38" s="8" t="n">
        <v>15</v>
      </c>
      <c r="M38" s="8" t="inlineStr">
        <is>
          <t>被动效果</t>
        </is>
      </c>
      <c r="N38" s="8" t="inlineStr">
        <is>
          <t>passive</t>
        </is>
      </c>
      <c r="O38" s="9" t="inlineStr">
        <is>
          <t>炎热层数上限 +3</t>
        </is>
      </c>
      <c r="P38" s="9" t="inlineStr"/>
      <c r="Q38" s="9" t="inlineStr">
        <is>
          <t>buffStackCapBonus</t>
        </is>
      </c>
      <c r="R38" s="9" t="inlineStr">
        <is>
          <t>{"kind":"passive","label":"炎热层数上限 +3","passiveEffect":{"type":"buffStackCapBonus","buffId":"heat","value":3,"label":"炎热层数上限 +3"}}</t>
        </is>
      </c>
    </row>
    <row r="39" ht="32" customHeight="1">
      <c r="A39" s="8" t="n">
        <v>100011</v>
      </c>
      <c r="B39" s="8" t="inlineStr">
        <is>
          <t>烈阳诀</t>
        </is>
      </c>
      <c r="C39" s="8" t="inlineStr">
        <is>
          <t>功法</t>
        </is>
      </c>
      <c r="D39" s="8" t="inlineStr">
        <is>
          <t>common</t>
        </is>
      </c>
      <c r="E39" s="8" t="inlineStr">
        <is>
          <t>fire</t>
        </is>
      </c>
      <c r="F39" s="8" t="n">
        <v>3</v>
      </c>
      <c r="G39" s="8" t="inlineStr">
        <is>
          <t>功法成长层</t>
        </is>
      </c>
      <c r="H39" s="8" t="n">
        <v>2</v>
      </c>
      <c r="I39" s="9" t="inlineStr">
        <is>
          <t>修为≥160</t>
        </is>
      </c>
      <c r="J39" s="8" t="n">
        <v>160</v>
      </c>
      <c r="K39" s="8" t="n">
        <v>230</v>
      </c>
      <c r="L39" s="8" t="n">
        <v>60</v>
      </c>
      <c r="M39" s="8" t="inlineStr">
        <is>
          <t>条件触发</t>
        </is>
      </c>
      <c r="N39" s="8" t="inlineStr">
        <is>
          <t>triggered</t>
        </is>
      </c>
      <c r="O39" s="9" t="inlineStr">
        <is>
          <t>每获得 1 层炎热，获得 4 点修为</t>
        </is>
      </c>
      <c r="P39" s="9" t="inlineStr">
        <is>
          <t>onBuffGain</t>
        </is>
      </c>
      <c r="Q39" s="9" t="inlineStr">
        <is>
          <t>gainCultivation</t>
        </is>
      </c>
      <c r="R39" s="9" t="inlineStr">
        <is>
          <t>{"kind":"triggered","label":"每获得 1 层炎热，获得 4 点修为","triggeredEffect":{"trigger":"onBuffGain","type":"gainCultivation","amount":0,"amountPerEventBuffStack":4,"eventBuffId":"heat"}}</t>
        </is>
      </c>
    </row>
    <row r="40" ht="32" customHeight="1">
      <c r="A40" s="8" t="n">
        <v>100011</v>
      </c>
      <c r="B40" s="8" t="inlineStr">
        <is>
          <t>烈阳诀</t>
        </is>
      </c>
      <c r="C40" s="8" t="inlineStr">
        <is>
          <t>功法</t>
        </is>
      </c>
      <c r="D40" s="8" t="inlineStr">
        <is>
          <t>common</t>
        </is>
      </c>
      <c r="E40" s="8" t="inlineStr">
        <is>
          <t>fire</t>
        </is>
      </c>
      <c r="F40" s="8" t="n">
        <v>3</v>
      </c>
      <c r="G40" s="8" t="inlineStr">
        <is>
          <t>功法成长层</t>
        </is>
      </c>
      <c r="H40" s="8" t="n">
        <v>2</v>
      </c>
      <c r="I40" s="9" t="inlineStr">
        <is>
          <t>修为≥160</t>
        </is>
      </c>
      <c r="J40" s="8" t="n">
        <v>160</v>
      </c>
      <c r="K40" s="8" t="n">
        <v>230</v>
      </c>
      <c r="L40" s="8" t="n">
        <v>60</v>
      </c>
      <c r="M40" s="8" t="inlineStr">
        <is>
          <t>被动效果</t>
        </is>
      </c>
      <c r="N40" s="8" t="inlineStr">
        <is>
          <t>passive</t>
        </is>
      </c>
      <c r="O40" s="9" t="inlineStr">
        <is>
          <t>炎热层数上限 +6</t>
        </is>
      </c>
      <c r="P40" s="9" t="inlineStr"/>
      <c r="Q40" s="9" t="inlineStr">
        <is>
          <t>buffStackCapBonus</t>
        </is>
      </c>
      <c r="R40" s="9" t="inlineStr">
        <is>
          <t>{"kind":"passive","label":"炎热层数上限 +6","passiveEffect":{"type":"buffStackCapBonus","buffId":"heat","value":6,"label":"炎热层数上限 +6"}}</t>
        </is>
      </c>
    </row>
    <row r="41" ht="32" customHeight="1">
      <c r="A41" s="8" t="n">
        <v>100011</v>
      </c>
      <c r="B41" s="8" t="inlineStr">
        <is>
          <t>烈阳诀</t>
        </is>
      </c>
      <c r="C41" s="8" t="inlineStr">
        <is>
          <t>功法</t>
        </is>
      </c>
      <c r="D41" s="8" t="inlineStr">
        <is>
          <t>common</t>
        </is>
      </c>
      <c r="E41" s="8" t="inlineStr">
        <is>
          <t>fire</t>
        </is>
      </c>
      <c r="F41" s="8" t="n">
        <v>3</v>
      </c>
      <c r="G41" s="8" t="inlineStr">
        <is>
          <t>功法成长层</t>
        </is>
      </c>
      <c r="H41" s="8" t="n">
        <v>3</v>
      </c>
      <c r="I41" s="9" t="inlineStr">
        <is>
          <t>修为≥840</t>
        </is>
      </c>
      <c r="J41" s="8" t="n">
        <v>840</v>
      </c>
      <c r="K41" s="8" t="n">
        <v>230</v>
      </c>
      <c r="L41" s="8" t="n">
        <v>90</v>
      </c>
      <c r="M41" s="8" t="inlineStr">
        <is>
          <t>条件触发</t>
        </is>
      </c>
      <c r="N41" s="8" t="inlineStr">
        <is>
          <t>triggered</t>
        </is>
      </c>
      <c r="O41" s="9" t="inlineStr">
        <is>
          <t>每获得 1 层炎热，获得 6 点修为</t>
        </is>
      </c>
      <c r="P41" s="9" t="inlineStr">
        <is>
          <t>onBuffGain</t>
        </is>
      </c>
      <c r="Q41" s="9" t="inlineStr">
        <is>
          <t>gainCultivation</t>
        </is>
      </c>
      <c r="R41" s="9" t="inlineStr">
        <is>
          <t>{"kind":"triggered","label":"每获得 1 层炎热，获得 6 点修为","triggeredEffect":{"trigger":"onBuffGain","type":"gainCultivation","amount":0,"amountPerEventBuffStack":6,"eventBuffId":"heat"}}</t>
        </is>
      </c>
    </row>
    <row r="42" ht="32" customHeight="1">
      <c r="A42" s="8" t="n">
        <v>100011</v>
      </c>
      <c r="B42" s="8" t="inlineStr">
        <is>
          <t>烈阳诀</t>
        </is>
      </c>
      <c r="C42" s="8" t="inlineStr">
        <is>
          <t>功法</t>
        </is>
      </c>
      <c r="D42" s="8" t="inlineStr">
        <is>
          <t>common</t>
        </is>
      </c>
      <c r="E42" s="8" t="inlineStr">
        <is>
          <t>fire</t>
        </is>
      </c>
      <c r="F42" s="8" t="n">
        <v>3</v>
      </c>
      <c r="G42" s="8" t="inlineStr">
        <is>
          <t>功法成长层</t>
        </is>
      </c>
      <c r="H42" s="8" t="n">
        <v>3</v>
      </c>
      <c r="I42" s="9" t="inlineStr">
        <is>
          <t>修为≥840</t>
        </is>
      </c>
      <c r="J42" s="8" t="n">
        <v>840</v>
      </c>
      <c r="K42" s="8" t="n">
        <v>230</v>
      </c>
      <c r="L42" s="8" t="n">
        <v>90</v>
      </c>
      <c r="M42" s="8" t="inlineStr">
        <is>
          <t>被动效果</t>
        </is>
      </c>
      <c r="N42" s="8" t="inlineStr">
        <is>
          <t>passive</t>
        </is>
      </c>
      <c r="O42" s="9" t="inlineStr">
        <is>
          <t>炎热层数上限 +9</t>
        </is>
      </c>
      <c r="P42" s="9" t="inlineStr"/>
      <c r="Q42" s="9" t="inlineStr">
        <is>
          <t>buffStackCapBonus</t>
        </is>
      </c>
      <c r="R42" s="9" t="inlineStr">
        <is>
          <t>{"kind":"passive","label":"炎热层数上限 +9","passiveEffect":{"type":"buffStackCapBonus","buffId":"heat","value":9,"label":"炎热层数上限 +9"}}</t>
        </is>
      </c>
    </row>
    <row r="43" ht="32" customHeight="1">
      <c r="A43" s="8" t="n">
        <v>100011</v>
      </c>
      <c r="B43" s="8" t="inlineStr">
        <is>
          <t>烈阳诀</t>
        </is>
      </c>
      <c r="C43" s="8" t="inlineStr">
        <is>
          <t>功法</t>
        </is>
      </c>
      <c r="D43" s="8" t="inlineStr">
        <is>
          <t>common</t>
        </is>
      </c>
      <c r="E43" s="8" t="inlineStr">
        <is>
          <t>fire</t>
        </is>
      </c>
      <c r="F43" s="8" t="n">
        <v>3</v>
      </c>
      <c r="G43" s="8" t="inlineStr">
        <is>
          <t>功法成长层</t>
        </is>
      </c>
      <c r="H43" s="8" t="n">
        <v>4</v>
      </c>
      <c r="I43" s="9" t="inlineStr">
        <is>
          <t>修为≥2900</t>
        </is>
      </c>
      <c r="J43" s="8" t="n">
        <v>2900</v>
      </c>
      <c r="K43" s="8" t="n">
        <v>265</v>
      </c>
      <c r="L43" s="8" t="n">
        <v>180</v>
      </c>
      <c r="M43" s="8" t="inlineStr">
        <is>
          <t>条件触发</t>
        </is>
      </c>
      <c r="N43" s="8" t="inlineStr">
        <is>
          <t>triggered</t>
        </is>
      </c>
      <c r="O43" s="9" t="inlineStr">
        <is>
          <t>每获得 1 层炎热，获得 8 点修为</t>
        </is>
      </c>
      <c r="P43" s="9" t="inlineStr">
        <is>
          <t>onBuffGain</t>
        </is>
      </c>
      <c r="Q43" s="9" t="inlineStr">
        <is>
          <t>gainCultivation</t>
        </is>
      </c>
      <c r="R43" s="9" t="inlineStr">
        <is>
          <t>{"kind":"triggered","label":"每获得 1 层炎热，获得 8 点修为","triggeredEffect":{"trigger":"onBuffGain","type":"gainCultivation","amount":0,"amountPerEventBuffStack":8,"eventBuffId":"heat"}}</t>
        </is>
      </c>
    </row>
    <row r="44" ht="32" customHeight="1">
      <c r="A44" s="8" t="n">
        <v>100011</v>
      </c>
      <c r="B44" s="8" t="inlineStr">
        <is>
          <t>烈阳诀</t>
        </is>
      </c>
      <c r="C44" s="8" t="inlineStr">
        <is>
          <t>功法</t>
        </is>
      </c>
      <c r="D44" s="8" t="inlineStr">
        <is>
          <t>common</t>
        </is>
      </c>
      <c r="E44" s="8" t="inlineStr">
        <is>
          <t>fire</t>
        </is>
      </c>
      <c r="F44" s="8" t="n">
        <v>3</v>
      </c>
      <c r="G44" s="8" t="inlineStr">
        <is>
          <t>功法成长层</t>
        </is>
      </c>
      <c r="H44" s="8" t="n">
        <v>4</v>
      </c>
      <c r="I44" s="9" t="inlineStr">
        <is>
          <t>修为≥2900</t>
        </is>
      </c>
      <c r="J44" s="8" t="n">
        <v>2900</v>
      </c>
      <c r="K44" s="8" t="n">
        <v>265</v>
      </c>
      <c r="L44" s="8" t="n">
        <v>180</v>
      </c>
      <c r="M44" s="8" t="inlineStr">
        <is>
          <t>被动效果</t>
        </is>
      </c>
      <c r="N44" s="8" t="inlineStr">
        <is>
          <t>passive</t>
        </is>
      </c>
      <c r="O44" s="9" t="inlineStr">
        <is>
          <t>炎热层数上限 +15</t>
        </is>
      </c>
      <c r="P44" s="9" t="inlineStr"/>
      <c r="Q44" s="9" t="inlineStr">
        <is>
          <t>buffStackCapBonus</t>
        </is>
      </c>
      <c r="R44" s="9" t="inlineStr">
        <is>
          <t>{"kind":"passive","label":"炎热层数上限 +15","passiveEffect":{"type":"buffStackCapBonus","buffId":"heat","value":15,"label":"炎热层数上限 +15"}}</t>
        </is>
      </c>
    </row>
    <row r="45" ht="32" customHeight="1">
      <c r="A45" s="8" t="n">
        <v>100012</v>
      </c>
      <c r="B45" s="8" t="inlineStr">
        <is>
          <t>玄水雷纹诀</t>
        </is>
      </c>
      <c r="C45" s="8" t="inlineStr">
        <is>
          <t>功法</t>
        </is>
      </c>
      <c r="D45" s="8" t="inlineStr">
        <is>
          <t>common</t>
        </is>
      </c>
      <c r="E45" s="8" t="inlineStr">
        <is>
          <t>thunder</t>
        </is>
      </c>
      <c r="F45" s="8" t="n">
        <v>1</v>
      </c>
      <c r="G45" s="8" t="inlineStr">
        <is>
          <t>基础/顶层</t>
        </is>
      </c>
      <c r="H45" s="8" t="inlineStr"/>
      <c r="I45" s="9" t="inlineStr"/>
      <c r="J45" s="8" t="inlineStr"/>
      <c r="K45" s="8" t="inlineStr"/>
      <c r="L45" s="8" t="inlineStr"/>
      <c r="M45" s="8" t="inlineStr">
        <is>
          <t>说明/执行器</t>
        </is>
      </c>
      <c r="N45" s="8" t="inlineStr">
        <is>
          <t>effectNote</t>
        </is>
      </c>
      <c r="O45" s="9" t="inlineStr">
        <is>
          <t>每获得 1 层引雷，获得 3 点修为</t>
        </is>
      </c>
      <c r="P45" s="9" t="inlineStr">
        <is>
          <t>onBuffGain</t>
        </is>
      </c>
      <c r="Q45" s="9" t="inlineStr">
        <is>
          <t>gainCultivation</t>
        </is>
      </c>
      <c r="R45" s="9" t="inlineStr">
        <is>
          <t>{"kind":"effectNote","label":"&lt;cultivation&gt;每获得 1 层引雷，获得 3 点修为&lt;/cultivation&gt;","executors":[{"trigger":"onBuffGain","type":"gainCultivation","amount":0,"amountPerEventBuffStack":3,"eventBuffId":"lightningCharge","label":"&lt;cultivation&gt;每获得 1 层引雷，获得 3 点修为&lt;/cultivation&gt;"}]}</t>
        </is>
      </c>
    </row>
    <row r="46" ht="32" customHeight="1">
      <c r="A46" s="8" t="n">
        <v>100012</v>
      </c>
      <c r="B46" s="8" t="inlineStr">
        <is>
          <t>玄水雷纹诀</t>
        </is>
      </c>
      <c r="C46" s="8" t="inlineStr">
        <is>
          <t>功法</t>
        </is>
      </c>
      <c r="D46" s="8" t="inlineStr">
        <is>
          <t>common</t>
        </is>
      </c>
      <c r="E46" s="8" t="inlineStr">
        <is>
          <t>thunder</t>
        </is>
      </c>
      <c r="F46" s="8" t="n">
        <v>2</v>
      </c>
      <c r="G46" s="8" t="inlineStr">
        <is>
          <t>基础/顶层</t>
        </is>
      </c>
      <c r="H46" s="8" t="inlineStr"/>
      <c r="I46" s="9" t="inlineStr"/>
      <c r="J46" s="8" t="inlineStr"/>
      <c r="K46" s="8" t="inlineStr"/>
      <c r="L46" s="8" t="inlineStr"/>
      <c r="M46" s="8" t="inlineStr">
        <is>
          <t>被动效果</t>
        </is>
      </c>
      <c r="N46" s="8" t="inlineStr">
        <is>
          <t>passive</t>
        </is>
      </c>
      <c r="O46" s="9" t="inlineStr">
        <is>
          <t>引雷层数上限 +3</t>
        </is>
      </c>
      <c r="P46" s="9" t="inlineStr"/>
      <c r="Q46" s="9" t="inlineStr">
        <is>
          <t>buffStackCapBonus</t>
        </is>
      </c>
      <c r="R46" s="9" t="inlineStr">
        <is>
          <t>{"kind":"passive","label":"引雷层数上限 +3","passiveEffect":{"type":"buffStackCapBonus","buffId":"lightningCharge","value":3,"label":"引雷层数上限 +3"}}</t>
        </is>
      </c>
    </row>
    <row r="47" ht="32" customHeight="1">
      <c r="A47" s="8" t="n">
        <v>100012</v>
      </c>
      <c r="B47" s="8" t="inlineStr">
        <is>
          <t>玄水雷纹诀</t>
        </is>
      </c>
      <c r="C47" s="8" t="inlineStr">
        <is>
          <t>功法</t>
        </is>
      </c>
      <c r="D47" s="8" t="inlineStr">
        <is>
          <t>common</t>
        </is>
      </c>
      <c r="E47" s="8" t="inlineStr">
        <is>
          <t>thunder</t>
        </is>
      </c>
      <c r="F47" s="8" t="n">
        <v>3</v>
      </c>
      <c r="G47" s="8" t="inlineStr">
        <is>
          <t>功法成长层</t>
        </is>
      </c>
      <c r="H47" s="8" t="n">
        <v>1</v>
      </c>
      <c r="I47" s="9" t="inlineStr">
        <is>
          <t>无</t>
        </is>
      </c>
      <c r="J47" s="8" t="inlineStr"/>
      <c r="K47" s="8" t="inlineStr"/>
      <c r="L47" s="8" t="n">
        <v>15</v>
      </c>
      <c r="M47" s="8" t="inlineStr">
        <is>
          <t>说明/执行器</t>
        </is>
      </c>
      <c r="N47" s="8" t="inlineStr">
        <is>
          <t>effectNote</t>
        </is>
      </c>
      <c r="O47" s="9" t="inlineStr">
        <is>
          <t>每获得 1 层引雷，获得 3 点修为</t>
        </is>
      </c>
      <c r="P47" s="9" t="inlineStr">
        <is>
          <t>onBuffGain</t>
        </is>
      </c>
      <c r="Q47" s="9" t="inlineStr">
        <is>
          <t>gainCultivation</t>
        </is>
      </c>
      <c r="R47" s="9" t="inlineStr">
        <is>
          <t>{"kind":"effectNote","label":"&lt;cultivation&gt;每获得 1 层引雷，获得 3 点修为&lt;/cultivation&gt;","executors":[{"trigger":"onBuffGain","type":"gainCultivation","amount":0,"amountPerEventBuffStack":3,"eventBuffId":"lightningCharge","label":"&lt;cultivation&gt;每获得 1 层引雷，获得 3 点修为&lt;/cultivation&gt;"}]}</t>
        </is>
      </c>
    </row>
    <row r="48" ht="32" customHeight="1">
      <c r="A48" s="8" t="n">
        <v>100012</v>
      </c>
      <c r="B48" s="8" t="inlineStr">
        <is>
          <t>玄水雷纹诀</t>
        </is>
      </c>
      <c r="C48" s="8" t="inlineStr">
        <is>
          <t>功法</t>
        </is>
      </c>
      <c r="D48" s="8" t="inlineStr">
        <is>
          <t>common</t>
        </is>
      </c>
      <c r="E48" s="8" t="inlineStr">
        <is>
          <t>thunder</t>
        </is>
      </c>
      <c r="F48" s="8" t="n">
        <v>3</v>
      </c>
      <c r="G48" s="8" t="inlineStr">
        <is>
          <t>功法成长层</t>
        </is>
      </c>
      <c r="H48" s="8" t="n">
        <v>1</v>
      </c>
      <c r="I48" s="9" t="inlineStr">
        <is>
          <t>无</t>
        </is>
      </c>
      <c r="J48" s="8" t="inlineStr"/>
      <c r="K48" s="8" t="inlineStr"/>
      <c r="L48" s="8" t="n">
        <v>15</v>
      </c>
      <c r="M48" s="8" t="inlineStr">
        <is>
          <t>被动效果</t>
        </is>
      </c>
      <c r="N48" s="8" t="inlineStr">
        <is>
          <t>passive</t>
        </is>
      </c>
      <c r="O48" s="9" t="inlineStr">
        <is>
          <t>引雷层数上限 +3</t>
        </is>
      </c>
      <c r="P48" s="9" t="inlineStr"/>
      <c r="Q48" s="9" t="inlineStr">
        <is>
          <t>buffStackCapBonus</t>
        </is>
      </c>
      <c r="R48" s="9" t="inlineStr">
        <is>
          <t>{"kind":"passive","label":"引雷层数上限 +3","passiveEffect":{"type":"buffStackCapBonus","buffId":"lightningCharge","value":3,"label":"引雷层数上限 +3"}}</t>
        </is>
      </c>
    </row>
    <row r="49" ht="32" customHeight="1">
      <c r="A49" s="8" t="n">
        <v>100012</v>
      </c>
      <c r="B49" s="8" t="inlineStr">
        <is>
          <t>玄水雷纹诀</t>
        </is>
      </c>
      <c r="C49" s="8" t="inlineStr">
        <is>
          <t>功法</t>
        </is>
      </c>
      <c r="D49" s="8" t="inlineStr">
        <is>
          <t>common</t>
        </is>
      </c>
      <c r="E49" s="8" t="inlineStr">
        <is>
          <t>thunder</t>
        </is>
      </c>
      <c r="F49" s="8" t="n">
        <v>3</v>
      </c>
      <c r="G49" s="8" t="inlineStr">
        <is>
          <t>功法成长层</t>
        </is>
      </c>
      <c r="H49" s="8" t="n">
        <v>2</v>
      </c>
      <c r="I49" s="9" t="inlineStr">
        <is>
          <t>修为≥200</t>
        </is>
      </c>
      <c r="J49" s="8" t="n">
        <v>200</v>
      </c>
      <c r="K49" s="8" t="n">
        <v>265</v>
      </c>
      <c r="L49" s="8" t="n">
        <v>60</v>
      </c>
      <c r="M49" s="8" t="inlineStr">
        <is>
          <t>说明/执行器</t>
        </is>
      </c>
      <c r="N49" s="8" t="inlineStr">
        <is>
          <t>effectNote</t>
        </is>
      </c>
      <c r="O49" s="9" t="inlineStr">
        <is>
          <t>每获得 1 层引雷，获得 6 点修为</t>
        </is>
      </c>
      <c r="P49" s="9" t="inlineStr">
        <is>
          <t>onBuffGain</t>
        </is>
      </c>
      <c r="Q49" s="9" t="inlineStr">
        <is>
          <t>gainCultivation</t>
        </is>
      </c>
      <c r="R49" s="9" t="inlineStr">
        <is>
          <t>{"kind":"effectNote","label":"&lt;cultivation&gt;每获得 1 层引雷，获得 6 点修为&lt;/cultivation&gt;","executors":[{"trigger":"onBuffGain","type":"gainCultivation","amount":0,"amountPerEventBuffStack":6,"eventBuffId":"lightningCharge","label":"&lt;cultivation&gt;每获得 1 层引雷，获得 6 点修为&lt;/cultivation&gt;"}]}</t>
        </is>
      </c>
    </row>
    <row r="50" ht="32" customHeight="1">
      <c r="A50" s="8" t="n">
        <v>100012</v>
      </c>
      <c r="B50" s="8" t="inlineStr">
        <is>
          <t>玄水雷纹诀</t>
        </is>
      </c>
      <c r="C50" s="8" t="inlineStr">
        <is>
          <t>功法</t>
        </is>
      </c>
      <c r="D50" s="8" t="inlineStr">
        <is>
          <t>common</t>
        </is>
      </c>
      <c r="E50" s="8" t="inlineStr">
        <is>
          <t>thunder</t>
        </is>
      </c>
      <c r="F50" s="8" t="n">
        <v>3</v>
      </c>
      <c r="G50" s="8" t="inlineStr">
        <is>
          <t>功法成长层</t>
        </is>
      </c>
      <c r="H50" s="8" t="n">
        <v>2</v>
      </c>
      <c r="I50" s="9" t="inlineStr">
        <is>
          <t>修为≥200</t>
        </is>
      </c>
      <c r="J50" s="8" t="n">
        <v>200</v>
      </c>
      <c r="K50" s="8" t="n">
        <v>265</v>
      </c>
      <c r="L50" s="8" t="n">
        <v>60</v>
      </c>
      <c r="M50" s="8" t="inlineStr">
        <is>
          <t>被动效果</t>
        </is>
      </c>
      <c r="N50" s="8" t="inlineStr">
        <is>
          <t>passive</t>
        </is>
      </c>
      <c r="O50" s="9" t="inlineStr">
        <is>
          <t>引雷层数上限 +6</t>
        </is>
      </c>
      <c r="P50" s="9" t="inlineStr"/>
      <c r="Q50" s="9" t="inlineStr">
        <is>
          <t>buffStackCapBonus</t>
        </is>
      </c>
      <c r="R50" s="9" t="inlineStr">
        <is>
          <t>{"kind":"passive","label":"引雷层数上限 +6","passiveEffect":{"type":"buffStackCapBonus","buffId":"lightningCharge","value":6,"label":"引雷层数上限 +6"}}</t>
        </is>
      </c>
    </row>
    <row r="51" ht="32" customHeight="1">
      <c r="A51" s="8" t="n">
        <v>100012</v>
      </c>
      <c r="B51" s="8" t="inlineStr">
        <is>
          <t>玄水雷纹诀</t>
        </is>
      </c>
      <c r="C51" s="8" t="inlineStr">
        <is>
          <t>功法</t>
        </is>
      </c>
      <c r="D51" s="8" t="inlineStr">
        <is>
          <t>common</t>
        </is>
      </c>
      <c r="E51" s="8" t="inlineStr">
        <is>
          <t>thunder</t>
        </is>
      </c>
      <c r="F51" s="8" t="n">
        <v>3</v>
      </c>
      <c r="G51" s="8" t="inlineStr">
        <is>
          <t>功法成长层</t>
        </is>
      </c>
      <c r="H51" s="8" t="n">
        <v>3</v>
      </c>
      <c r="I51" s="9" t="inlineStr">
        <is>
          <t>修为≥920</t>
        </is>
      </c>
      <c r="J51" s="8" t="n">
        <v>920</v>
      </c>
      <c r="K51" s="8" t="n">
        <v>240</v>
      </c>
      <c r="L51" s="8" t="n">
        <v>90</v>
      </c>
      <c r="M51" s="8" t="inlineStr">
        <is>
          <t>说明/执行器</t>
        </is>
      </c>
      <c r="N51" s="8" t="inlineStr">
        <is>
          <t>effectNote</t>
        </is>
      </c>
      <c r="O51" s="9" t="inlineStr">
        <is>
          <t>每获得 1 层引雷，获得 9 点修为</t>
        </is>
      </c>
      <c r="P51" s="9" t="inlineStr">
        <is>
          <t>onBuffGain</t>
        </is>
      </c>
      <c r="Q51" s="9" t="inlineStr">
        <is>
          <t>gainCultivation</t>
        </is>
      </c>
      <c r="R51" s="9" t="inlineStr">
        <is>
          <t>{"kind":"effectNote","label":"&lt;cultivation&gt;每获得 1 层引雷，获得 9 点修为&lt;/cultivation&gt;","executors":[{"trigger":"onBuffGain","type":"gainCultivation","amount":0,"amountPerEventBuffStack":9,"eventBuffId":"lightningCharge","label":"&lt;cultivation&gt;每获得 1 层引雷，获得 9 点修为&lt;/cultivation&gt;"}]}</t>
        </is>
      </c>
    </row>
    <row r="52" ht="32" customHeight="1">
      <c r="A52" s="8" t="n">
        <v>100012</v>
      </c>
      <c r="B52" s="8" t="inlineStr">
        <is>
          <t>玄水雷纹诀</t>
        </is>
      </c>
      <c r="C52" s="8" t="inlineStr">
        <is>
          <t>功法</t>
        </is>
      </c>
      <c r="D52" s="8" t="inlineStr">
        <is>
          <t>common</t>
        </is>
      </c>
      <c r="E52" s="8" t="inlineStr">
        <is>
          <t>thunder</t>
        </is>
      </c>
      <c r="F52" s="8" t="n">
        <v>3</v>
      </c>
      <c r="G52" s="8" t="inlineStr">
        <is>
          <t>功法成长层</t>
        </is>
      </c>
      <c r="H52" s="8" t="n">
        <v>3</v>
      </c>
      <c r="I52" s="9" t="inlineStr">
        <is>
          <t>修为≥920</t>
        </is>
      </c>
      <c r="J52" s="8" t="n">
        <v>920</v>
      </c>
      <c r="K52" s="8" t="n">
        <v>240</v>
      </c>
      <c r="L52" s="8" t="n">
        <v>90</v>
      </c>
      <c r="M52" s="8" t="inlineStr">
        <is>
          <t>被动效果</t>
        </is>
      </c>
      <c r="N52" s="8" t="inlineStr">
        <is>
          <t>passive</t>
        </is>
      </c>
      <c r="O52" s="9" t="inlineStr">
        <is>
          <t>引雷层数上限 +9</t>
        </is>
      </c>
      <c r="P52" s="9" t="inlineStr"/>
      <c r="Q52" s="9" t="inlineStr">
        <is>
          <t>buffStackCapBonus</t>
        </is>
      </c>
      <c r="R52" s="9" t="inlineStr">
        <is>
          <t>{"kind":"passive","label":"引雷层数上限 +9","passiveEffect":{"type":"buffStackCapBonus","buffId":"lightningCharge","value":9,"label":"引雷层数上限 +9"}}</t>
        </is>
      </c>
    </row>
    <row r="53" ht="32" customHeight="1">
      <c r="A53" s="8" t="n">
        <v>100012</v>
      </c>
      <c r="B53" s="8" t="inlineStr">
        <is>
          <t>玄水雷纹诀</t>
        </is>
      </c>
      <c r="C53" s="8" t="inlineStr">
        <is>
          <t>功法</t>
        </is>
      </c>
      <c r="D53" s="8" t="inlineStr">
        <is>
          <t>common</t>
        </is>
      </c>
      <c r="E53" s="8" t="inlineStr">
        <is>
          <t>thunder</t>
        </is>
      </c>
      <c r="F53" s="8" t="n">
        <v>3</v>
      </c>
      <c r="G53" s="8" t="inlineStr">
        <is>
          <t>功法成长层</t>
        </is>
      </c>
      <c r="H53" s="8" t="n">
        <v>4</v>
      </c>
      <c r="I53" s="9" t="inlineStr">
        <is>
          <t>修为≥1880</t>
        </is>
      </c>
      <c r="J53" s="8" t="n">
        <v>1880</v>
      </c>
      <c r="K53" s="8" t="n">
        <v>195</v>
      </c>
      <c r="L53" s="8" t="n">
        <v>180</v>
      </c>
      <c r="M53" s="8" t="inlineStr">
        <is>
          <t>说明/执行器</t>
        </is>
      </c>
      <c r="N53" s="8" t="inlineStr">
        <is>
          <t>effectNote</t>
        </is>
      </c>
      <c r="O53" s="9" t="inlineStr">
        <is>
          <t>每获得 1 层引雷，获得 12 点修为</t>
        </is>
      </c>
      <c r="P53" s="9" t="inlineStr">
        <is>
          <t>onBuffGain</t>
        </is>
      </c>
      <c r="Q53" s="9" t="inlineStr">
        <is>
          <t>gainCultivation</t>
        </is>
      </c>
      <c r="R53" s="9" t="inlineStr">
        <is>
          <t>{"kind":"effectNote","label":"&lt;cultivation&gt;每获得 1 层引雷，获得 12 点修为&lt;/cultivation&gt;","executors":[{"trigger":"onBuffGain","type":"gainCultivation","amount":0,"amountPerEventBuffStack":12,"eventBuffId":"lightningCharge","label":"&lt;cultivation&gt;每获得 1 层引雷，获得 12 点修为&lt;/cultivation&gt;"}]}</t>
        </is>
      </c>
    </row>
    <row r="54" ht="32" customHeight="1">
      <c r="A54" s="8" t="n">
        <v>100012</v>
      </c>
      <c r="B54" s="8" t="inlineStr">
        <is>
          <t>玄水雷纹诀</t>
        </is>
      </c>
      <c r="C54" s="8" t="inlineStr">
        <is>
          <t>功法</t>
        </is>
      </c>
      <c r="D54" s="8" t="inlineStr">
        <is>
          <t>common</t>
        </is>
      </c>
      <c r="E54" s="8" t="inlineStr">
        <is>
          <t>thunder</t>
        </is>
      </c>
      <c r="F54" s="8" t="n">
        <v>3</v>
      </c>
      <c r="G54" s="8" t="inlineStr">
        <is>
          <t>功法成长层</t>
        </is>
      </c>
      <c r="H54" s="8" t="n">
        <v>4</v>
      </c>
      <c r="I54" s="9" t="inlineStr">
        <is>
          <t>修为≥1880</t>
        </is>
      </c>
      <c r="J54" s="8" t="n">
        <v>1880</v>
      </c>
      <c r="K54" s="8" t="n">
        <v>195</v>
      </c>
      <c r="L54" s="8" t="n">
        <v>180</v>
      </c>
      <c r="M54" s="8" t="inlineStr">
        <is>
          <t>被动效果</t>
        </is>
      </c>
      <c r="N54" s="8" t="inlineStr">
        <is>
          <t>passive</t>
        </is>
      </c>
      <c r="O54" s="9" t="inlineStr">
        <is>
          <t>引雷层数上限 +12</t>
        </is>
      </c>
      <c r="P54" s="9" t="inlineStr"/>
      <c r="Q54" s="9" t="inlineStr">
        <is>
          <t>buffStackCapBonus</t>
        </is>
      </c>
      <c r="R54" s="9" t="inlineStr">
        <is>
          <t>{"kind":"passive","label":"引雷层数上限 +12","passiveEffect":{"type":"buffStackCapBonus","buffId":"lightningCharge","value":12,"label":"引雷层数上限 +12"}}</t>
        </is>
      </c>
    </row>
    <row r="55" ht="32" customHeight="1">
      <c r="A55" s="8" t="n">
        <v>100013</v>
      </c>
      <c r="B55" s="8" t="inlineStr">
        <is>
          <t>纳元印诀</t>
        </is>
      </c>
      <c r="C55" s="8" t="inlineStr">
        <is>
          <t>功法</t>
        </is>
      </c>
      <c r="D55" s="8" t="inlineStr">
        <is>
          <t>common</t>
        </is>
      </c>
      <c r="E55" s="8" t="inlineStr">
        <is>
          <t>none</t>
        </is>
      </c>
      <c r="F55" s="8" t="n">
        <v>1</v>
      </c>
      <c r="G55" s="8" t="inlineStr">
        <is>
          <t>基础/顶层</t>
        </is>
      </c>
      <c r="H55" s="8" t="inlineStr"/>
      <c r="I55" s="9" t="inlineStr"/>
      <c r="J55" s="8" t="inlineStr"/>
      <c r="K55" s="8" t="inlineStr"/>
      <c r="L55" s="8" t="inlineStr"/>
      <c r="M55" s="8" t="inlineStr">
        <is>
          <t>被动效果</t>
        </is>
      </c>
      <c r="N55" s="8" t="inlineStr">
        <is>
          <t>passive</t>
        </is>
      </c>
      <c r="O55" s="9" t="inlineStr">
        <is>
          <t>法力上限 +0，任意功法突破后效果升级。；法力上限</t>
        </is>
      </c>
      <c r="P55" s="9" t="inlineStr">
        <is>
          <t>onScriptureLayerBreakthrough</t>
        </is>
      </c>
      <c r="Q55" s="9" t="inlineStr">
        <is>
          <t>primaryStatMaxFlatBonus</t>
        </is>
      </c>
      <c r="R55" s="9" t="inlineStr">
        <is>
          <t>{"kind":"passive","label":"法力上限 +0，任意功法突破后效果升级。","passiveEffect":{"type":"primaryStatMaxFlatBonus","stat":"mana","value":0,"label":"法力上限 +0，任意功法突破后效果升级。"},"growth":{"lifecycle":"permanent","trigger":"onScriptureLayerBreakthrough","bindings":[{"path":"passiveEffect.value","delta":3,"maxValue":200,"label":"法力上限","textOccurrence":0}],"support":"cultivationOnly"}}</t>
        </is>
      </c>
    </row>
    <row r="56" ht="32" customHeight="1">
      <c r="A56" s="8" t="n">
        <v>100013</v>
      </c>
      <c r="B56" s="8" t="inlineStr">
        <is>
          <t>纳元印诀</t>
        </is>
      </c>
      <c r="C56" s="8" t="inlineStr">
        <is>
          <t>功法</t>
        </is>
      </c>
      <c r="D56" s="8" t="inlineStr">
        <is>
          <t>common</t>
        </is>
      </c>
      <c r="E56" s="8" t="inlineStr">
        <is>
          <t>none</t>
        </is>
      </c>
      <c r="F56" s="8" t="n">
        <v>2</v>
      </c>
      <c r="G56" s="8" t="inlineStr">
        <is>
          <t>基础/顶层</t>
        </is>
      </c>
      <c r="H56" s="8" t="inlineStr"/>
      <c r="I56" s="9" t="inlineStr"/>
      <c r="J56" s="8" t="inlineStr"/>
      <c r="K56" s="8" t="inlineStr"/>
      <c r="L56" s="8" t="inlineStr"/>
      <c r="M56" s="8" t="inlineStr">
        <is>
          <t>条件触发</t>
        </is>
      </c>
      <c r="N56" s="8" t="inlineStr">
        <is>
          <t>triggered</t>
        </is>
      </c>
      <c r="O56" s="9" t="inlineStr">
        <is>
          <t>任意招式使用时，获得 10 点修为</t>
        </is>
      </c>
      <c r="P56" s="9" t="inlineStr">
        <is>
          <t>onItemUse</t>
        </is>
      </c>
      <c r="Q56" s="9" t="inlineStr">
        <is>
          <t>gainCultivation；any</t>
        </is>
      </c>
      <c r="R56" s="9" t="inlineStr">
        <is>
          <t>{"kind":"triggered","label":"任意招式使用时，获得 10 点修为","triggeredEffect":{"trigger":"onItemUse","type":"gainCultivation","amount":10,"eventSource":{"target":{"type":"any"},"filter":{"categories":["spell"]}}}}</t>
        </is>
      </c>
    </row>
    <row r="57" ht="32" customHeight="1">
      <c r="A57" s="8" t="n">
        <v>100013</v>
      </c>
      <c r="B57" s="8" t="inlineStr">
        <is>
          <t>纳元印诀</t>
        </is>
      </c>
      <c r="C57" s="8" t="inlineStr">
        <is>
          <t>功法</t>
        </is>
      </c>
      <c r="D57" s="8" t="inlineStr">
        <is>
          <t>common</t>
        </is>
      </c>
      <c r="E57" s="8" t="inlineStr">
        <is>
          <t>none</t>
        </is>
      </c>
      <c r="F57" s="8" t="n">
        <v>3</v>
      </c>
      <c r="G57" s="8" t="inlineStr">
        <is>
          <t>功法成长层</t>
        </is>
      </c>
      <c r="H57" s="8" t="n">
        <v>1</v>
      </c>
      <c r="I57" s="9" t="inlineStr">
        <is>
          <t>无</t>
        </is>
      </c>
      <c r="J57" s="8" t="inlineStr"/>
      <c r="K57" s="8" t="inlineStr"/>
      <c r="L57" s="8" t="n">
        <v>15</v>
      </c>
      <c r="M57" s="8" t="inlineStr">
        <is>
          <t>被动效果</t>
        </is>
      </c>
      <c r="N57" s="8" t="inlineStr">
        <is>
          <t>passive</t>
        </is>
      </c>
      <c r="O57" s="9" t="inlineStr">
        <is>
          <t>法力上限 +0，任意功法突破后效果升级。；法力上限</t>
        </is>
      </c>
      <c r="P57" s="9" t="inlineStr">
        <is>
          <t>onScriptureLayerBreakthrough</t>
        </is>
      </c>
      <c r="Q57" s="9" t="inlineStr">
        <is>
          <t>primaryStatMaxFlatBonus</t>
        </is>
      </c>
      <c r="R57" s="9" t="inlineStr">
        <is>
          <t>{"kind":"passive","label":"法力上限 +0，任意功法突破后效果升级。","passiveEffect":{"type":"primaryStatMaxFlatBonus","stat":"mana","value":0,"label":"法力上限 +0，任意功法突破后效果升级。"},"growth":{"lifecycle":"permanent","trigger":"onScriptureLayerBreakthrough","bindings":[{"path":"passiveEffect.value","delta":3,"maxValue":200,"label":"法力上限","textOccurrence":0}],"support":"cultivationOnly"}}</t>
        </is>
      </c>
    </row>
    <row r="58" ht="32" customHeight="1">
      <c r="A58" s="8" t="n">
        <v>100013</v>
      </c>
      <c r="B58" s="8" t="inlineStr">
        <is>
          <t>纳元印诀</t>
        </is>
      </c>
      <c r="C58" s="8" t="inlineStr">
        <is>
          <t>功法</t>
        </is>
      </c>
      <c r="D58" s="8" t="inlineStr">
        <is>
          <t>common</t>
        </is>
      </c>
      <c r="E58" s="8" t="inlineStr">
        <is>
          <t>none</t>
        </is>
      </c>
      <c r="F58" s="8" t="n">
        <v>3</v>
      </c>
      <c r="G58" s="8" t="inlineStr">
        <is>
          <t>功法成长层</t>
        </is>
      </c>
      <c r="H58" s="8" t="n">
        <v>1</v>
      </c>
      <c r="I58" s="9" t="inlineStr">
        <is>
          <t>无</t>
        </is>
      </c>
      <c r="J58" s="8" t="inlineStr"/>
      <c r="K58" s="8" t="inlineStr"/>
      <c r="L58" s="8" t="n">
        <v>15</v>
      </c>
      <c r="M58" s="8" t="inlineStr">
        <is>
          <t>条件触发</t>
        </is>
      </c>
      <c r="N58" s="8" t="inlineStr">
        <is>
          <t>triggered</t>
        </is>
      </c>
      <c r="O58" s="9" t="inlineStr">
        <is>
          <t>任意招式使用时，获得 10 点修为</t>
        </is>
      </c>
      <c r="P58" s="9" t="inlineStr">
        <is>
          <t>onItemUse</t>
        </is>
      </c>
      <c r="Q58" s="9" t="inlineStr">
        <is>
          <t>gainCultivation；any</t>
        </is>
      </c>
      <c r="R58" s="9" t="inlineStr">
        <is>
          <t>{"kind":"triggered","label":"任意招式使用时，获得 10 点修为","triggeredEffect":{"trigger":"onItemUse","type":"gainCultivation","amount":10,"eventSource":{"target":{"type":"any"},"filter":{"categories":["spell"]}}}}</t>
        </is>
      </c>
    </row>
    <row r="59" ht="32" customHeight="1">
      <c r="A59" s="8" t="n">
        <v>100013</v>
      </c>
      <c r="B59" s="8" t="inlineStr">
        <is>
          <t>纳元印诀</t>
        </is>
      </c>
      <c r="C59" s="8" t="inlineStr">
        <is>
          <t>功法</t>
        </is>
      </c>
      <c r="D59" s="8" t="inlineStr">
        <is>
          <t>common</t>
        </is>
      </c>
      <c r="E59" s="8" t="inlineStr">
        <is>
          <t>none</t>
        </is>
      </c>
      <c r="F59" s="8" t="n">
        <v>3</v>
      </c>
      <c r="G59" s="8" t="inlineStr">
        <is>
          <t>功法成长层</t>
        </is>
      </c>
      <c r="H59" s="8" t="n">
        <v>2</v>
      </c>
      <c r="I59" s="9" t="inlineStr">
        <is>
          <t>修为≥180</t>
        </is>
      </c>
      <c r="J59" s="8" t="n">
        <v>180</v>
      </c>
      <c r="K59" s="8" t="n">
        <v>235</v>
      </c>
      <c r="L59" s="8" t="n">
        <v>60</v>
      </c>
      <c r="M59" s="8" t="inlineStr">
        <is>
          <t>被动效果</t>
        </is>
      </c>
      <c r="N59" s="8" t="inlineStr">
        <is>
          <t>passive</t>
        </is>
      </c>
      <c r="O59" s="9" t="inlineStr">
        <is>
          <t>法力上限 +0，任意功法突破后效果升级。；法力上限</t>
        </is>
      </c>
      <c r="P59" s="9" t="inlineStr">
        <is>
          <t>onScriptureLayerBreakthrough</t>
        </is>
      </c>
      <c r="Q59" s="9" t="inlineStr">
        <is>
          <t>primaryStatMaxFlatBonus</t>
        </is>
      </c>
      <c r="R59" s="9" t="inlineStr">
        <is>
          <t>{"kind":"passive","label":"法力上限 +0，任意功法突破后效果升级。","passiveEffect":{"type":"primaryStatMaxFlatBonus","stat":"mana","value":0,"label":"法力上限 +0，任意功法突破后效果升级。"},"growth":{"lifecycle":"permanent","trigger":"onScriptureLayerBreakthrough","bindings":[{"path":"passiveEffect.value","delta":6,"maxValue":200,"label":"法力上限","textOccurrence":0}],"support":"cultivationOnly"}}</t>
        </is>
      </c>
    </row>
    <row r="60" ht="32" customHeight="1">
      <c r="A60" s="8" t="n">
        <v>100013</v>
      </c>
      <c r="B60" s="8" t="inlineStr">
        <is>
          <t>纳元印诀</t>
        </is>
      </c>
      <c r="C60" s="8" t="inlineStr">
        <is>
          <t>功法</t>
        </is>
      </c>
      <c r="D60" s="8" t="inlineStr">
        <is>
          <t>common</t>
        </is>
      </c>
      <c r="E60" s="8" t="inlineStr">
        <is>
          <t>none</t>
        </is>
      </c>
      <c r="F60" s="8" t="n">
        <v>3</v>
      </c>
      <c r="G60" s="8" t="inlineStr">
        <is>
          <t>功法成长层</t>
        </is>
      </c>
      <c r="H60" s="8" t="n">
        <v>2</v>
      </c>
      <c r="I60" s="9" t="inlineStr">
        <is>
          <t>修为≥180</t>
        </is>
      </c>
      <c r="J60" s="8" t="n">
        <v>180</v>
      </c>
      <c r="K60" s="8" t="n">
        <v>235</v>
      </c>
      <c r="L60" s="8" t="n">
        <v>60</v>
      </c>
      <c r="M60" s="8" t="inlineStr">
        <is>
          <t>条件触发</t>
        </is>
      </c>
      <c r="N60" s="8" t="inlineStr">
        <is>
          <t>triggered</t>
        </is>
      </c>
      <c r="O60" s="9" t="inlineStr">
        <is>
          <t>任意招式使用时，获得 20 点修为</t>
        </is>
      </c>
      <c r="P60" s="9" t="inlineStr">
        <is>
          <t>onItemUse</t>
        </is>
      </c>
      <c r="Q60" s="9" t="inlineStr">
        <is>
          <t>gainCultivation；any</t>
        </is>
      </c>
      <c r="R60" s="9" t="inlineStr">
        <is>
          <t>{"kind":"triggered","label":"任意招式使用时，获得 20 点修为","triggeredEffect":{"trigger":"onItemUse","type":"gainCultivation","amount":20,"eventSource":{"target":{"type":"any"},"filter":{"categories":["spell"]}}}}</t>
        </is>
      </c>
    </row>
    <row r="61" ht="32" customHeight="1">
      <c r="A61" s="8" t="n">
        <v>100013</v>
      </c>
      <c r="B61" s="8" t="inlineStr">
        <is>
          <t>纳元印诀</t>
        </is>
      </c>
      <c r="C61" s="8" t="inlineStr">
        <is>
          <t>功法</t>
        </is>
      </c>
      <c r="D61" s="8" t="inlineStr">
        <is>
          <t>common</t>
        </is>
      </c>
      <c r="E61" s="8" t="inlineStr">
        <is>
          <t>none</t>
        </is>
      </c>
      <c r="F61" s="8" t="n">
        <v>3</v>
      </c>
      <c r="G61" s="8" t="inlineStr">
        <is>
          <t>功法成长层</t>
        </is>
      </c>
      <c r="H61" s="8" t="n">
        <v>3</v>
      </c>
      <c r="I61" s="9" t="inlineStr">
        <is>
          <t>修为≥800</t>
        </is>
      </c>
      <c r="J61" s="8" t="n">
        <v>800</v>
      </c>
      <c r="K61" s="8" t="n">
        <v>260</v>
      </c>
      <c r="L61" s="8" t="n">
        <v>90</v>
      </c>
      <c r="M61" s="8" t="inlineStr">
        <is>
          <t>被动效果</t>
        </is>
      </c>
      <c r="N61" s="8" t="inlineStr">
        <is>
          <t>passive</t>
        </is>
      </c>
      <c r="O61" s="9" t="inlineStr">
        <is>
          <t>法力上限 +0，任意功法突破后效果升级。；法力上限</t>
        </is>
      </c>
      <c r="P61" s="9" t="inlineStr">
        <is>
          <t>onScriptureLayerBreakthrough</t>
        </is>
      </c>
      <c r="Q61" s="9" t="inlineStr">
        <is>
          <t>primaryStatMaxFlatBonus</t>
        </is>
      </c>
      <c r="R61" s="9" t="inlineStr">
        <is>
          <t>{"kind":"passive","label":"法力上限 +0，任意功法突破后效果升级。","passiveEffect":{"type":"primaryStatMaxFlatBonus","stat":"mana","value":0,"label":"法力上限 +0，任意功法突破后效果升级。"},"growth":{"lifecycle":"permanent","trigger":"onScriptureLayerBreakthrough","bindings":[{"path":"passiveEffect.value","delta":9,"maxValue":200,"label":"法力上限","textOccurrence":0}],"support":"cultivationOnly"}}</t>
        </is>
      </c>
    </row>
    <row r="62" ht="32" customHeight="1">
      <c r="A62" s="8" t="n">
        <v>100013</v>
      </c>
      <c r="B62" s="8" t="inlineStr">
        <is>
          <t>纳元印诀</t>
        </is>
      </c>
      <c r="C62" s="8" t="inlineStr">
        <is>
          <t>功法</t>
        </is>
      </c>
      <c r="D62" s="8" t="inlineStr">
        <is>
          <t>common</t>
        </is>
      </c>
      <c r="E62" s="8" t="inlineStr">
        <is>
          <t>none</t>
        </is>
      </c>
      <c r="F62" s="8" t="n">
        <v>3</v>
      </c>
      <c r="G62" s="8" t="inlineStr">
        <is>
          <t>功法成长层</t>
        </is>
      </c>
      <c r="H62" s="8" t="n">
        <v>3</v>
      </c>
      <c r="I62" s="9" t="inlineStr">
        <is>
          <t>修为≥800</t>
        </is>
      </c>
      <c r="J62" s="8" t="n">
        <v>800</v>
      </c>
      <c r="K62" s="8" t="n">
        <v>260</v>
      </c>
      <c r="L62" s="8" t="n">
        <v>90</v>
      </c>
      <c r="M62" s="8" t="inlineStr">
        <is>
          <t>条件触发</t>
        </is>
      </c>
      <c r="N62" s="8" t="inlineStr">
        <is>
          <t>triggered</t>
        </is>
      </c>
      <c r="O62" s="9" t="inlineStr">
        <is>
          <t>任意招式使用时，获得 30 点修为</t>
        </is>
      </c>
      <c r="P62" s="9" t="inlineStr">
        <is>
          <t>onItemUse</t>
        </is>
      </c>
      <c r="Q62" s="9" t="inlineStr">
        <is>
          <t>gainCultivation；any</t>
        </is>
      </c>
      <c r="R62" s="9" t="inlineStr">
        <is>
          <t>{"kind":"triggered","label":"任意招式使用时，获得 30 点修为","triggeredEffect":{"trigger":"onItemUse","type":"gainCultivation","amount":30,"eventSource":{"target":{"type":"any"},"filter":{"categories":["spell"]}}}}</t>
        </is>
      </c>
    </row>
    <row r="63" ht="32" customHeight="1">
      <c r="A63" s="8" t="n">
        <v>100013</v>
      </c>
      <c r="B63" s="8" t="inlineStr">
        <is>
          <t>纳元印诀</t>
        </is>
      </c>
      <c r="C63" s="8" t="inlineStr">
        <is>
          <t>功法</t>
        </is>
      </c>
      <c r="D63" s="8" t="inlineStr">
        <is>
          <t>common</t>
        </is>
      </c>
      <c r="E63" s="8" t="inlineStr">
        <is>
          <t>none</t>
        </is>
      </c>
      <c r="F63" s="8" t="n">
        <v>3</v>
      </c>
      <c r="G63" s="8" t="inlineStr">
        <is>
          <t>功法成长层</t>
        </is>
      </c>
      <c r="H63" s="8" t="n">
        <v>4</v>
      </c>
      <c r="I63" s="9" t="inlineStr">
        <is>
          <t>修为≥3500</t>
        </is>
      </c>
      <c r="J63" s="8" t="n">
        <v>3500</v>
      </c>
      <c r="K63" s="8" t="n">
        <v>305</v>
      </c>
      <c r="L63" s="8" t="n">
        <v>180</v>
      </c>
      <c r="M63" s="8" t="inlineStr">
        <is>
          <t>被动效果</t>
        </is>
      </c>
      <c r="N63" s="8" t="inlineStr">
        <is>
          <t>passive</t>
        </is>
      </c>
      <c r="O63" s="9" t="inlineStr">
        <is>
          <t>法力上限 +0，任意功法突破后效果升级。；法力上限</t>
        </is>
      </c>
      <c r="P63" s="9" t="inlineStr">
        <is>
          <t>onScriptureLayerBreakthrough</t>
        </is>
      </c>
      <c r="Q63" s="9" t="inlineStr">
        <is>
          <t>primaryStatMaxFlatBonus</t>
        </is>
      </c>
      <c r="R63" s="9" t="inlineStr">
        <is>
          <t>{"kind":"passive","label":"法力上限 +0，任意功法突破后效果升级。","passiveEffect":{"type":"primaryStatMaxFlatBonus","stat":"mana","value":0,"label":"法力上限 +0，任意功法突破后效果升级。"},"growth":{"lifecycle":"permanent","trigger":"onScriptureLayerBreakthrough","bindings":[{"path":"passiveEffect.value","delta":12,"maxValue":200,"label":"法力上限","textOccurrence":0}],"support":"cultivationOnly"}}</t>
        </is>
      </c>
    </row>
    <row r="64" ht="32" customHeight="1">
      <c r="A64" s="8" t="n">
        <v>100013</v>
      </c>
      <c r="B64" s="8" t="inlineStr">
        <is>
          <t>纳元印诀</t>
        </is>
      </c>
      <c r="C64" s="8" t="inlineStr">
        <is>
          <t>功法</t>
        </is>
      </c>
      <c r="D64" s="8" t="inlineStr">
        <is>
          <t>common</t>
        </is>
      </c>
      <c r="E64" s="8" t="inlineStr">
        <is>
          <t>none</t>
        </is>
      </c>
      <c r="F64" s="8" t="n">
        <v>3</v>
      </c>
      <c r="G64" s="8" t="inlineStr">
        <is>
          <t>功法成长层</t>
        </is>
      </c>
      <c r="H64" s="8" t="n">
        <v>4</v>
      </c>
      <c r="I64" s="9" t="inlineStr">
        <is>
          <t>修为≥3500</t>
        </is>
      </c>
      <c r="J64" s="8" t="n">
        <v>3500</v>
      </c>
      <c r="K64" s="8" t="n">
        <v>305</v>
      </c>
      <c r="L64" s="8" t="n">
        <v>180</v>
      </c>
      <c r="M64" s="8" t="inlineStr">
        <is>
          <t>条件触发</t>
        </is>
      </c>
      <c r="N64" s="8" t="inlineStr">
        <is>
          <t>triggered</t>
        </is>
      </c>
      <c r="O64" s="9" t="inlineStr">
        <is>
          <t>任意招式使用时，获得 40 点修为</t>
        </is>
      </c>
      <c r="P64" s="9" t="inlineStr">
        <is>
          <t>onItemUse</t>
        </is>
      </c>
      <c r="Q64" s="9" t="inlineStr">
        <is>
          <t>gainCultivation；any</t>
        </is>
      </c>
      <c r="R64" s="9" t="inlineStr">
        <is>
          <t>{"kind":"triggered","label":"任意招式使用时，获得 40 点修为","triggeredEffect":{"trigger":"onItemUse","type":"gainCultivation","amount":40,"eventSource":{"target":{"type":"any"},"filter":{"categories":["spell"]}}}}</t>
        </is>
      </c>
    </row>
    <row r="65" ht="32" customHeight="1">
      <c r="A65" s="8" t="n">
        <v>100014</v>
      </c>
      <c r="B65" s="8" t="inlineStr">
        <is>
          <t>悟道玉简</t>
        </is>
      </c>
      <c r="C65" s="8" t="inlineStr">
        <is>
          <t>功法</t>
        </is>
      </c>
      <c r="D65" s="8" t="inlineStr">
        <is>
          <t>common</t>
        </is>
      </c>
      <c r="E65" s="8" t="inlineStr">
        <is>
          <t>none</t>
        </is>
      </c>
      <c r="F65" s="8" t="n">
        <v>1</v>
      </c>
      <c r="G65" s="8" t="inlineStr">
        <is>
          <t>基础/顶层</t>
        </is>
      </c>
      <c r="H65" s="8" t="inlineStr"/>
      <c r="I65" s="9" t="inlineStr"/>
      <c r="J65" s="8" t="inlineStr"/>
      <c r="K65" s="8" t="inlineStr"/>
      <c r="L65" s="8" t="inlineStr"/>
      <c r="M65" s="8" t="inlineStr">
        <is>
          <t>条件触发</t>
        </is>
      </c>
      <c r="N65" s="8" t="inlineStr">
        <is>
          <t>triggered</t>
        </is>
      </c>
      <c r="O65" s="9" t="inlineStr">
        <is>
          <t>每当其他功法累计获得 10 点修为时，本功法获得 1 点修为</t>
        </is>
      </c>
      <c r="P65" s="9" t="inlineStr">
        <is>
          <t>onCultivationGain</t>
        </is>
      </c>
      <c r="Q65" s="9" t="inlineStr">
        <is>
          <t>gainCultivation；other</t>
        </is>
      </c>
      <c r="R65" s="9" t="inlineStr">
        <is>
          <t>{"kind":"triggered","label":"&lt;cultivation&gt;每当其他功法累计获得 10 点修为时，本功法获得 1 点修为&lt;/cultivation&gt;","triggeredEffect":{"trigger":"onCultivationGain","type":"gainCultivation","amount":1,"eventSource":{"target":{"type":"other"},"filter":{"categories":["scripture"]}},"charge":{"threshold":10,"source":{"trigger":"onCultivationGain"}}}}</t>
        </is>
      </c>
    </row>
    <row r="66" ht="32" customHeight="1">
      <c r="A66" s="8" t="n">
        <v>100014</v>
      </c>
      <c r="B66" s="8" t="inlineStr">
        <is>
          <t>悟道玉简</t>
        </is>
      </c>
      <c r="C66" s="8" t="inlineStr">
        <is>
          <t>功法</t>
        </is>
      </c>
      <c r="D66" s="8" t="inlineStr">
        <is>
          <t>common</t>
        </is>
      </c>
      <c r="E66" s="8" t="inlineStr">
        <is>
          <t>none</t>
        </is>
      </c>
      <c r="F66" s="8" t="n">
        <v>2</v>
      </c>
      <c r="G66" s="8" t="inlineStr">
        <is>
          <t>功法成长层</t>
        </is>
      </c>
      <c r="H66" s="8" t="n">
        <v>1</v>
      </c>
      <c r="I66" s="9" t="inlineStr">
        <is>
          <t>无</t>
        </is>
      </c>
      <c r="J66" s="8" t="inlineStr"/>
      <c r="K66" s="8" t="inlineStr"/>
      <c r="L66" s="8" t="n">
        <v>15</v>
      </c>
      <c r="M66" s="8" t="inlineStr">
        <is>
          <t>条件触发</t>
        </is>
      </c>
      <c r="N66" s="8" t="inlineStr">
        <is>
          <t>triggered</t>
        </is>
      </c>
      <c r="O66" s="9" t="inlineStr">
        <is>
          <t>每当其他功法累计获得 10 点修为时，本功法获得 1 点修为</t>
        </is>
      </c>
      <c r="P66" s="9" t="inlineStr">
        <is>
          <t>onCultivationGain</t>
        </is>
      </c>
      <c r="Q66" s="9" t="inlineStr">
        <is>
          <t>gainCultivation；other</t>
        </is>
      </c>
      <c r="R66" s="9" t="inlineStr">
        <is>
          <t>{"kind":"triggered","label":"&lt;cultivation&gt;每当其他功法累计获得 10 点修为时，本功法获得 1 点修为&lt;/cultivation&gt;","triggeredEffect":{"trigger":"onCultivationGain","type":"gainCultivation","amount":1,"eventSource":{"target":{"type":"other"},"filter":{"categories":["scripture"]}},"charge":{"threshold":10,"source":{"trigger":"onCultivationGain"}}}}</t>
        </is>
      </c>
    </row>
    <row r="67" ht="32" customHeight="1">
      <c r="A67" s="8" t="n">
        <v>100014</v>
      </c>
      <c r="B67" s="8" t="inlineStr">
        <is>
          <t>悟道玉简</t>
        </is>
      </c>
      <c r="C67" s="8" t="inlineStr">
        <is>
          <t>功法</t>
        </is>
      </c>
      <c r="D67" s="8" t="inlineStr">
        <is>
          <t>common</t>
        </is>
      </c>
      <c r="E67" s="8" t="inlineStr">
        <is>
          <t>none</t>
        </is>
      </c>
      <c r="F67" s="8" t="n">
        <v>2</v>
      </c>
      <c r="G67" s="8" t="inlineStr">
        <is>
          <t>功法成长层</t>
        </is>
      </c>
      <c r="H67" s="8" t="n">
        <v>2</v>
      </c>
      <c r="I67" s="9" t="inlineStr">
        <is>
          <t>修为≥190</t>
        </is>
      </c>
      <c r="J67" s="8" t="n">
        <v>190</v>
      </c>
      <c r="K67" s="8" t="n">
        <v>250</v>
      </c>
      <c r="L67" s="8" t="n">
        <v>60</v>
      </c>
      <c r="M67" s="8" t="inlineStr">
        <is>
          <t>条件触发</t>
        </is>
      </c>
      <c r="N67" s="8" t="inlineStr">
        <is>
          <t>triggered</t>
        </is>
      </c>
      <c r="O67" s="9" t="inlineStr">
        <is>
          <t>每当其他功法累计获得 10 点修为时，本功法获得 2 点修为</t>
        </is>
      </c>
      <c r="P67" s="9" t="inlineStr">
        <is>
          <t>onCultivationGain</t>
        </is>
      </c>
      <c r="Q67" s="9" t="inlineStr">
        <is>
          <t>gainCultivation；other</t>
        </is>
      </c>
      <c r="R67" s="9" t="inlineStr">
        <is>
          <t>{"kind":"triggered","label":"&lt;cultivation&gt;每当其他功法累计获得 10 点修为时，本功法获得 2 点修为&lt;/cultivation&gt;","triggeredEffect":{"trigger":"onCultivationGain","type":"gainCultivation","amount":2,"eventSource":{"target":{"type":"other"},"filter":{"categories":["scripture"]}},"charge":{"threshold":10,"source":{"trigger":"onCultivationGain"}}}}</t>
        </is>
      </c>
    </row>
    <row r="68" ht="32" customHeight="1">
      <c r="A68" s="8" t="n">
        <v>100014</v>
      </c>
      <c r="B68" s="8" t="inlineStr">
        <is>
          <t>悟道玉简</t>
        </is>
      </c>
      <c r="C68" s="8" t="inlineStr">
        <is>
          <t>功法</t>
        </is>
      </c>
      <c r="D68" s="8" t="inlineStr">
        <is>
          <t>common</t>
        </is>
      </c>
      <c r="E68" s="8" t="inlineStr">
        <is>
          <t>none</t>
        </is>
      </c>
      <c r="F68" s="8" t="n">
        <v>2</v>
      </c>
      <c r="G68" s="8" t="inlineStr">
        <is>
          <t>功法成长层</t>
        </is>
      </c>
      <c r="H68" s="8" t="n">
        <v>3</v>
      </c>
      <c r="I68" s="9" t="inlineStr">
        <is>
          <t>修为≥780</t>
        </is>
      </c>
      <c r="J68" s="8" t="n">
        <v>780</v>
      </c>
      <c r="K68" s="8" t="n">
        <v>240</v>
      </c>
      <c r="L68" s="8" t="n">
        <v>90</v>
      </c>
      <c r="M68" s="8" t="inlineStr">
        <is>
          <t>条件触发</t>
        </is>
      </c>
      <c r="N68" s="8" t="inlineStr">
        <is>
          <t>triggered</t>
        </is>
      </c>
      <c r="O68" s="9" t="inlineStr">
        <is>
          <t>每当其他功法累计获得 10 点修为时，本功法获得 3 点修为</t>
        </is>
      </c>
      <c r="P68" s="9" t="inlineStr">
        <is>
          <t>onCultivationGain</t>
        </is>
      </c>
      <c r="Q68" s="9" t="inlineStr">
        <is>
          <t>gainCultivation；other</t>
        </is>
      </c>
      <c r="R68" s="9" t="inlineStr">
        <is>
          <t>{"kind":"triggered","label":"&lt;cultivation&gt;每当其他功法累计获得 10 点修为时，本功法获得 3 点修为&lt;/cultivation&gt;","triggeredEffect":{"trigger":"onCultivationGain","type":"gainCultivation","amount":3,"eventSource":{"target":{"type":"other"},"filter":{"categories":["scripture"]}},"charge":{"threshold":10,"source":{"trigger":"onCultivationGain"}}}}</t>
        </is>
      </c>
    </row>
    <row r="69" ht="32" customHeight="1">
      <c r="A69" s="8" t="n">
        <v>100014</v>
      </c>
      <c r="B69" s="8" t="inlineStr">
        <is>
          <t>悟道玉简</t>
        </is>
      </c>
      <c r="C69" s="8" t="inlineStr">
        <is>
          <t>功法</t>
        </is>
      </c>
      <c r="D69" s="8" t="inlineStr">
        <is>
          <t>common</t>
        </is>
      </c>
      <c r="E69" s="8" t="inlineStr">
        <is>
          <t>none</t>
        </is>
      </c>
      <c r="F69" s="8" t="n">
        <v>2</v>
      </c>
      <c r="G69" s="8" t="inlineStr">
        <is>
          <t>功法成长层</t>
        </is>
      </c>
      <c r="H69" s="8" t="n">
        <v>4</v>
      </c>
      <c r="I69" s="9" t="inlineStr">
        <is>
          <t>修为≥2100</t>
        </is>
      </c>
      <c r="J69" s="8" t="n">
        <v>2100</v>
      </c>
      <c r="K69" s="8" t="n">
        <v>215</v>
      </c>
      <c r="L69" s="8" t="n">
        <v>180</v>
      </c>
      <c r="M69" s="8" t="inlineStr">
        <is>
          <t>条件触发</t>
        </is>
      </c>
      <c r="N69" s="8" t="inlineStr">
        <is>
          <t>triggered</t>
        </is>
      </c>
      <c r="O69" s="9" t="inlineStr">
        <is>
          <t>每当其他功法累计获得 10 点修为时，本功法获得 4 点修为</t>
        </is>
      </c>
      <c r="P69" s="9" t="inlineStr">
        <is>
          <t>onCultivationGain</t>
        </is>
      </c>
      <c r="Q69" s="9" t="inlineStr">
        <is>
          <t>gainCultivation；other</t>
        </is>
      </c>
      <c r="R69" s="9" t="inlineStr">
        <is>
          <t>{"kind":"triggered","label":"&lt;cultivation&gt;每当其他功法累计获得 10 点修为时，本功法获得 4 点修为&lt;/cultivation&gt;","triggeredEffect":{"trigger":"onCultivationGain","type":"gainCultivation","amount":4,"eventSource":{"target":{"type":"other"},"filter":{"categories":["scripture"]}},"charge":{"threshold":10,"source":{"trigger":"onCultivationGain"}}}}</t>
        </is>
      </c>
    </row>
    <row r="70" ht="32" customHeight="1">
      <c r="A70" s="8" t="n">
        <v>100015</v>
      </c>
      <c r="B70" s="8" t="inlineStr">
        <is>
          <t>焰纹秘卷</t>
        </is>
      </c>
      <c r="C70" s="8" t="inlineStr">
        <is>
          <t>功法</t>
        </is>
      </c>
      <c r="D70" s="8" t="inlineStr">
        <is>
          <t>spirit</t>
        </is>
      </c>
      <c r="E70" s="8" t="inlineStr">
        <is>
          <t>fire</t>
        </is>
      </c>
      <c r="F70" s="8" t="n">
        <v>1</v>
      </c>
      <c r="G70" s="8" t="inlineStr">
        <is>
          <t>基础/顶层</t>
        </is>
      </c>
      <c r="H70" s="8" t="inlineStr"/>
      <c r="I70" s="9" t="inlineStr"/>
      <c r="J70" s="8" t="inlineStr"/>
      <c r="K70" s="8" t="inlineStr"/>
      <c r="L70" s="8" t="inlineStr"/>
      <c r="M70" s="8" t="inlineStr">
        <is>
          <t>条件触发</t>
        </is>
      </c>
      <c r="N70" s="8" t="inlineStr">
        <is>
          <t>triggered</t>
        </is>
      </c>
      <c r="O70" s="9" t="inlineStr">
        <is>
          <t>将每 1 层炎热转化为 4 点修为</t>
        </is>
      </c>
      <c r="P70" s="9" t="inlineStr">
        <is>
          <t>onBuffConsumed</t>
        </is>
      </c>
      <c r="Q70" s="9" t="inlineStr">
        <is>
          <t>gainCultivation</t>
        </is>
      </c>
      <c r="R70" s="9" t="inlineStr">
        <is>
          <t>{"kind":"triggered","label":"&lt;cultivation&gt;将每 1 层炎热转化为 4 点修为&lt;/cultivation&gt;","triggeredEffect":{"trigger":"onBuffConsumed","eventBuffId":"heat","type":"gainCultivation","amount":0,"amountPerEventBuffStack":4}}</t>
        </is>
      </c>
    </row>
    <row r="71" ht="32" customHeight="1">
      <c r="A71" s="8" t="n">
        <v>100015</v>
      </c>
      <c r="B71" s="8" t="inlineStr">
        <is>
          <t>焰纹秘卷</t>
        </is>
      </c>
      <c r="C71" s="8" t="inlineStr">
        <is>
          <t>功法</t>
        </is>
      </c>
      <c r="D71" s="8" t="inlineStr">
        <is>
          <t>spirit</t>
        </is>
      </c>
      <c r="E71" s="8" t="inlineStr">
        <is>
          <t>fire</t>
        </is>
      </c>
      <c r="F71" s="8" t="n">
        <v>2</v>
      </c>
      <c r="G71" s="8" t="inlineStr">
        <is>
          <t>基础/顶层</t>
        </is>
      </c>
      <c r="H71" s="8" t="inlineStr"/>
      <c r="I71" s="9" t="inlineStr"/>
      <c r="J71" s="8" t="inlineStr"/>
      <c r="K71" s="8" t="inlineStr"/>
      <c r="L71" s="8" t="inlineStr"/>
      <c r="M71" s="8" t="inlineStr">
        <is>
          <t>被动效果</t>
        </is>
      </c>
      <c r="N71" s="8" t="inlineStr">
        <is>
          <t>passive</t>
        </is>
      </c>
      <c r="O71" s="9" t="inlineStr">
        <is>
          <t>炎热层数上限 +6</t>
        </is>
      </c>
      <c r="P71" s="9" t="inlineStr"/>
      <c r="Q71" s="9" t="inlineStr">
        <is>
          <t>buffStackCapBonus</t>
        </is>
      </c>
      <c r="R71" s="9" t="inlineStr">
        <is>
          <t>{"kind":"passive","label":"炎热层数上限 +6","passiveEffect":{"type":"buffStackCapBonus","buffId":"heat","value":6,"label":"炎热层数上限 +6"}}</t>
        </is>
      </c>
    </row>
    <row r="72" ht="32" customHeight="1">
      <c r="A72" s="8" t="n">
        <v>100015</v>
      </c>
      <c r="B72" s="8" t="inlineStr">
        <is>
          <t>焰纹秘卷</t>
        </is>
      </c>
      <c r="C72" s="8" t="inlineStr">
        <is>
          <t>功法</t>
        </is>
      </c>
      <c r="D72" s="8" t="inlineStr">
        <is>
          <t>spirit</t>
        </is>
      </c>
      <c r="E72" s="8" t="inlineStr">
        <is>
          <t>fire</t>
        </is>
      </c>
      <c r="F72" s="8" t="n">
        <v>3</v>
      </c>
      <c r="G72" s="8" t="inlineStr">
        <is>
          <t>功法成长层</t>
        </is>
      </c>
      <c r="H72" s="8" t="n">
        <v>1</v>
      </c>
      <c r="I72" s="9" t="inlineStr">
        <is>
          <t>无</t>
        </is>
      </c>
      <c r="J72" s="8" t="inlineStr"/>
      <c r="K72" s="8" t="inlineStr"/>
      <c r="L72" s="8" t="n">
        <v>15</v>
      </c>
      <c r="M72" s="8" t="inlineStr">
        <is>
          <t>条件触发</t>
        </is>
      </c>
      <c r="N72" s="8" t="inlineStr">
        <is>
          <t>triggered</t>
        </is>
      </c>
      <c r="O72" s="9" t="inlineStr">
        <is>
          <t>将每 1 层炎热转化为 4 点修为</t>
        </is>
      </c>
      <c r="P72" s="9" t="inlineStr">
        <is>
          <t>onBuffConsumed</t>
        </is>
      </c>
      <c r="Q72" s="9" t="inlineStr">
        <is>
          <t>gainCultivation</t>
        </is>
      </c>
      <c r="R72" s="9" t="inlineStr">
        <is>
          <t>{"kind":"triggered","label":"&lt;cultivation&gt;将每 1 层炎热转化为 4 点修为&lt;/cultivation&gt;","triggeredEffect":{"trigger":"onBuffConsumed","eventBuffId":"heat","type":"gainCultivation","amount":0,"amountPerEventBuffStack":4}}</t>
        </is>
      </c>
    </row>
    <row r="73" ht="32" customHeight="1">
      <c r="A73" s="8" t="n">
        <v>100015</v>
      </c>
      <c r="B73" s="8" t="inlineStr">
        <is>
          <t>焰纹秘卷</t>
        </is>
      </c>
      <c r="C73" s="8" t="inlineStr">
        <is>
          <t>功法</t>
        </is>
      </c>
      <c r="D73" s="8" t="inlineStr">
        <is>
          <t>spirit</t>
        </is>
      </c>
      <c r="E73" s="8" t="inlineStr">
        <is>
          <t>fire</t>
        </is>
      </c>
      <c r="F73" s="8" t="n">
        <v>3</v>
      </c>
      <c r="G73" s="8" t="inlineStr">
        <is>
          <t>功法成长层</t>
        </is>
      </c>
      <c r="H73" s="8" t="n">
        <v>1</v>
      </c>
      <c r="I73" s="9" t="inlineStr">
        <is>
          <t>无</t>
        </is>
      </c>
      <c r="J73" s="8" t="inlineStr"/>
      <c r="K73" s="8" t="inlineStr"/>
      <c r="L73" s="8" t="n">
        <v>15</v>
      </c>
      <c r="M73" s="8" t="inlineStr">
        <is>
          <t>被动效果</t>
        </is>
      </c>
      <c r="N73" s="8" t="inlineStr">
        <is>
          <t>passive</t>
        </is>
      </c>
      <c r="O73" s="9" t="inlineStr">
        <is>
          <t>炎热层数上限 +6</t>
        </is>
      </c>
      <c r="P73" s="9" t="inlineStr"/>
      <c r="Q73" s="9" t="inlineStr">
        <is>
          <t>buffStackCapBonus</t>
        </is>
      </c>
      <c r="R73" s="9" t="inlineStr">
        <is>
          <t>{"kind":"passive","label":"炎热层数上限 +6","passiveEffect":{"type":"buffStackCapBonus","buffId":"heat","value":6,"label":"炎热层数上限 +6"}}</t>
        </is>
      </c>
    </row>
    <row r="74" ht="32" customHeight="1">
      <c r="A74" s="8" t="n">
        <v>100015</v>
      </c>
      <c r="B74" s="8" t="inlineStr">
        <is>
          <t>焰纹秘卷</t>
        </is>
      </c>
      <c r="C74" s="8" t="inlineStr">
        <is>
          <t>功法</t>
        </is>
      </c>
      <c r="D74" s="8" t="inlineStr">
        <is>
          <t>spirit</t>
        </is>
      </c>
      <c r="E74" s="8" t="inlineStr">
        <is>
          <t>fire</t>
        </is>
      </c>
      <c r="F74" s="8" t="n">
        <v>3</v>
      </c>
      <c r="G74" s="8" t="inlineStr">
        <is>
          <t>功法成长层</t>
        </is>
      </c>
      <c r="H74" s="8" t="n">
        <v>2</v>
      </c>
      <c r="I74" s="9" t="inlineStr">
        <is>
          <t>修为≥15400</t>
        </is>
      </c>
      <c r="J74" s="8" t="n">
        <v>15400</v>
      </c>
      <c r="K74" s="8" t="n">
        <v>365</v>
      </c>
      <c r="L74" s="8" t="n">
        <v>60</v>
      </c>
      <c r="M74" s="8" t="inlineStr">
        <is>
          <t>条件触发</t>
        </is>
      </c>
      <c r="N74" s="8" t="inlineStr">
        <is>
          <t>triggered</t>
        </is>
      </c>
      <c r="O74" s="9" t="inlineStr">
        <is>
          <t>将每 1 层炎热转化为 8 点修为</t>
        </is>
      </c>
      <c r="P74" s="9" t="inlineStr">
        <is>
          <t>onBuffConsumed</t>
        </is>
      </c>
      <c r="Q74" s="9" t="inlineStr">
        <is>
          <t>gainCultivation</t>
        </is>
      </c>
      <c r="R74" s="9" t="inlineStr">
        <is>
          <t>{"kind":"triggered","label":"&lt;cultivation&gt;将每 1 层炎热转化为 8 点修为&lt;/cultivation&gt;","triggeredEffect":{"trigger":"onBuffConsumed","eventBuffId":"heat","type":"gainCultivation","amount":0,"amountPerEventBuffStack":8}}</t>
        </is>
      </c>
    </row>
    <row r="75" ht="32" customHeight="1">
      <c r="A75" s="8" t="n">
        <v>100015</v>
      </c>
      <c r="B75" s="8" t="inlineStr">
        <is>
          <t>焰纹秘卷</t>
        </is>
      </c>
      <c r="C75" s="8" t="inlineStr">
        <is>
          <t>功法</t>
        </is>
      </c>
      <c r="D75" s="8" t="inlineStr">
        <is>
          <t>spirit</t>
        </is>
      </c>
      <c r="E75" s="8" t="inlineStr">
        <is>
          <t>fire</t>
        </is>
      </c>
      <c r="F75" s="8" t="n">
        <v>3</v>
      </c>
      <c r="G75" s="8" t="inlineStr">
        <is>
          <t>功法成长层</t>
        </is>
      </c>
      <c r="H75" s="8" t="n">
        <v>2</v>
      </c>
      <c r="I75" s="9" t="inlineStr">
        <is>
          <t>修为≥15400</t>
        </is>
      </c>
      <c r="J75" s="8" t="n">
        <v>15400</v>
      </c>
      <c r="K75" s="8" t="n">
        <v>365</v>
      </c>
      <c r="L75" s="8" t="n">
        <v>60</v>
      </c>
      <c r="M75" s="8" t="inlineStr">
        <is>
          <t>被动效果</t>
        </is>
      </c>
      <c r="N75" s="8" t="inlineStr">
        <is>
          <t>passive</t>
        </is>
      </c>
      <c r="O75" s="9" t="inlineStr">
        <is>
          <t>炎热层数上限 +12</t>
        </is>
      </c>
      <c r="P75" s="9" t="inlineStr"/>
      <c r="Q75" s="9" t="inlineStr">
        <is>
          <t>buffStackCapBonus</t>
        </is>
      </c>
      <c r="R75" s="9" t="inlineStr">
        <is>
          <t>{"kind":"passive","label":"炎热层数上限 +12","passiveEffect":{"type":"buffStackCapBonus","buffId":"heat","value":12,"label":"炎热层数上限 +12"}}</t>
        </is>
      </c>
    </row>
    <row r="76" ht="32" customHeight="1">
      <c r="A76" s="8" t="n">
        <v>100015</v>
      </c>
      <c r="B76" s="8" t="inlineStr">
        <is>
          <t>焰纹秘卷</t>
        </is>
      </c>
      <c r="C76" s="8" t="inlineStr">
        <is>
          <t>功法</t>
        </is>
      </c>
      <c r="D76" s="8" t="inlineStr">
        <is>
          <t>spirit</t>
        </is>
      </c>
      <c r="E76" s="8" t="inlineStr">
        <is>
          <t>fire</t>
        </is>
      </c>
      <c r="F76" s="8" t="n">
        <v>3</v>
      </c>
      <c r="G76" s="8" t="inlineStr">
        <is>
          <t>功法成长层</t>
        </is>
      </c>
      <c r="H76" s="8" t="n">
        <v>3</v>
      </c>
      <c r="I76" s="9" t="inlineStr">
        <is>
          <t>修为≥44700</t>
        </is>
      </c>
      <c r="J76" s="8" t="n">
        <v>44700</v>
      </c>
      <c r="K76" s="8" t="n">
        <v>395</v>
      </c>
      <c r="L76" s="8" t="n">
        <v>90</v>
      </c>
      <c r="M76" s="8" t="inlineStr">
        <is>
          <t>条件触发</t>
        </is>
      </c>
      <c r="N76" s="8" t="inlineStr">
        <is>
          <t>triggered</t>
        </is>
      </c>
      <c r="O76" s="9" t="inlineStr">
        <is>
          <t>将每 1 层炎热转化为 12 点修为</t>
        </is>
      </c>
      <c r="P76" s="9" t="inlineStr">
        <is>
          <t>onBuffConsumed</t>
        </is>
      </c>
      <c r="Q76" s="9" t="inlineStr">
        <is>
          <t>gainCultivation</t>
        </is>
      </c>
      <c r="R76" s="9" t="inlineStr">
        <is>
          <t>{"kind":"triggered","label":"&lt;cultivation&gt;将每 1 层炎热转化为 12 点修为&lt;/cultivation&gt;","triggeredEffect":{"trigger":"onBuffConsumed","eventBuffId":"heat","type":"gainCultivation","amount":0,"amountPerEventBuffStack":12}}</t>
        </is>
      </c>
    </row>
    <row r="77" ht="32" customHeight="1">
      <c r="A77" s="8" t="n">
        <v>100015</v>
      </c>
      <c r="B77" s="8" t="inlineStr">
        <is>
          <t>焰纹秘卷</t>
        </is>
      </c>
      <c r="C77" s="8" t="inlineStr">
        <is>
          <t>功法</t>
        </is>
      </c>
      <c r="D77" s="8" t="inlineStr">
        <is>
          <t>spirit</t>
        </is>
      </c>
      <c r="E77" s="8" t="inlineStr">
        <is>
          <t>fire</t>
        </is>
      </c>
      <c r="F77" s="8" t="n">
        <v>3</v>
      </c>
      <c r="G77" s="8" t="inlineStr">
        <is>
          <t>功法成长层</t>
        </is>
      </c>
      <c r="H77" s="8" t="n">
        <v>3</v>
      </c>
      <c r="I77" s="9" t="inlineStr">
        <is>
          <t>修为≥44700</t>
        </is>
      </c>
      <c r="J77" s="8" t="n">
        <v>44700</v>
      </c>
      <c r="K77" s="8" t="n">
        <v>395</v>
      </c>
      <c r="L77" s="8" t="n">
        <v>90</v>
      </c>
      <c r="M77" s="8" t="inlineStr">
        <is>
          <t>被动效果</t>
        </is>
      </c>
      <c r="N77" s="8" t="inlineStr">
        <is>
          <t>passive</t>
        </is>
      </c>
      <c r="O77" s="9" t="inlineStr">
        <is>
          <t>炎热层数上限 +18</t>
        </is>
      </c>
      <c r="P77" s="9" t="inlineStr"/>
      <c r="Q77" s="9" t="inlineStr">
        <is>
          <t>buffStackCapBonus</t>
        </is>
      </c>
      <c r="R77" s="9" t="inlineStr">
        <is>
          <t>{"kind":"passive","label":"炎热层数上限 +18","passiveEffect":{"type":"buffStackCapBonus","buffId":"heat","value":18,"label":"炎热层数上限 +18"}}</t>
        </is>
      </c>
    </row>
    <row r="78" ht="32" customHeight="1">
      <c r="A78" s="8" t="n">
        <v>100015</v>
      </c>
      <c r="B78" s="8" t="inlineStr">
        <is>
          <t>焰纹秘卷</t>
        </is>
      </c>
      <c r="C78" s="8" t="inlineStr">
        <is>
          <t>功法</t>
        </is>
      </c>
      <c r="D78" s="8" t="inlineStr">
        <is>
          <t>spirit</t>
        </is>
      </c>
      <c r="E78" s="8" t="inlineStr">
        <is>
          <t>fire</t>
        </is>
      </c>
      <c r="F78" s="8" t="n">
        <v>3</v>
      </c>
      <c r="G78" s="8" t="inlineStr">
        <is>
          <t>功法成长层</t>
        </is>
      </c>
      <c r="H78" s="8" t="n">
        <v>4</v>
      </c>
      <c r="I78" s="9" t="inlineStr">
        <is>
          <t>修为≥52500</t>
        </is>
      </c>
      <c r="J78" s="8" t="n">
        <v>52500</v>
      </c>
      <c r="K78" s="8" t="n">
        <v>375</v>
      </c>
      <c r="L78" s="8" t="n">
        <v>180</v>
      </c>
      <c r="M78" s="8" t="inlineStr">
        <is>
          <t>条件触发</t>
        </is>
      </c>
      <c r="N78" s="8" t="inlineStr">
        <is>
          <t>triggered</t>
        </is>
      </c>
      <c r="O78" s="9" t="inlineStr">
        <is>
          <t>将每 1 层炎热转化为 16 点修为</t>
        </is>
      </c>
      <c r="P78" s="9" t="inlineStr">
        <is>
          <t>onBuffConsumed</t>
        </is>
      </c>
      <c r="Q78" s="9" t="inlineStr">
        <is>
          <t>gainCultivation</t>
        </is>
      </c>
      <c r="R78" s="9" t="inlineStr">
        <is>
          <t>{"kind":"triggered","label":"&lt;cultivation&gt;将每 1 层炎热转化为 16 点修为&lt;/cultivation&gt;","triggeredEffect":{"trigger":"onBuffConsumed","eventBuffId":"heat","type":"gainCultivation","amount":0,"amountPerEventBuffStack":16}}</t>
        </is>
      </c>
    </row>
    <row r="79" ht="32" customHeight="1">
      <c r="A79" s="8" t="n">
        <v>100015</v>
      </c>
      <c r="B79" s="8" t="inlineStr">
        <is>
          <t>焰纹秘卷</t>
        </is>
      </c>
      <c r="C79" s="8" t="inlineStr">
        <is>
          <t>功法</t>
        </is>
      </c>
      <c r="D79" s="8" t="inlineStr">
        <is>
          <t>spirit</t>
        </is>
      </c>
      <c r="E79" s="8" t="inlineStr">
        <is>
          <t>fire</t>
        </is>
      </c>
      <c r="F79" s="8" t="n">
        <v>3</v>
      </c>
      <c r="G79" s="8" t="inlineStr">
        <is>
          <t>功法成长层</t>
        </is>
      </c>
      <c r="H79" s="8" t="n">
        <v>4</v>
      </c>
      <c r="I79" s="9" t="inlineStr">
        <is>
          <t>修为≥52500</t>
        </is>
      </c>
      <c r="J79" s="8" t="n">
        <v>52500</v>
      </c>
      <c r="K79" s="8" t="n">
        <v>375</v>
      </c>
      <c r="L79" s="8" t="n">
        <v>180</v>
      </c>
      <c r="M79" s="8" t="inlineStr">
        <is>
          <t>被动效果</t>
        </is>
      </c>
      <c r="N79" s="8" t="inlineStr">
        <is>
          <t>passive</t>
        </is>
      </c>
      <c r="O79" s="9" t="inlineStr">
        <is>
          <t>炎热层数上限 +24</t>
        </is>
      </c>
      <c r="P79" s="9" t="inlineStr"/>
      <c r="Q79" s="9" t="inlineStr">
        <is>
          <t>buffStackCapBonus</t>
        </is>
      </c>
      <c r="R79" s="9" t="inlineStr">
        <is>
          <t>{"kind":"passive","label":"炎热层数上限 +24","passiveEffect":{"type":"buffStackCapBonus","buffId":"heat","value":24,"label":"炎热层数上限 +24"}}</t>
        </is>
      </c>
    </row>
    <row r="80" ht="32" customHeight="1">
      <c r="A80" s="8" t="n">
        <v>100016</v>
      </c>
      <c r="B80" s="8" t="inlineStr">
        <is>
          <t>青木引灵简</t>
        </is>
      </c>
      <c r="C80" s="8" t="inlineStr">
        <is>
          <t>功法</t>
        </is>
      </c>
      <c r="D80" s="8" t="inlineStr">
        <is>
          <t>common</t>
        </is>
      </c>
      <c r="E80" s="8" t="inlineStr">
        <is>
          <t>wood</t>
        </is>
      </c>
      <c r="F80" s="8" t="n">
        <v>1</v>
      </c>
      <c r="G80" s="8" t="inlineStr">
        <is>
          <t>基础/顶层</t>
        </is>
      </c>
      <c r="H80" s="8" t="inlineStr"/>
      <c r="I80" s="9" t="inlineStr"/>
      <c r="J80" s="8" t="inlineStr"/>
      <c r="K80" s="8" t="inlineStr"/>
      <c r="L80" s="8" t="inlineStr"/>
      <c r="M80" s="8" t="inlineStr">
        <is>
          <t>条件触发</t>
        </is>
      </c>
      <c r="N80" s="8" t="inlineStr">
        <is>
          <t>triggered</t>
        </is>
      </c>
      <c r="O80" s="9" t="inlineStr">
        <is>
          <t>每当获得 1 层再生时，获得 2 点修为</t>
        </is>
      </c>
      <c r="P80" s="9" t="inlineStr">
        <is>
          <t>onBuffGain</t>
        </is>
      </c>
      <c r="Q80" s="9" t="inlineStr">
        <is>
          <t>gainCultivation</t>
        </is>
      </c>
      <c r="R80" s="9" t="inlineStr">
        <is>
          <t>{"kind":"triggered","label":"每当获得 1 层再生时，获得 2 点修为","triggeredEffect":{"trigger":"onBuffGain","type":"gainCultivation","amount":0,"amountPerEventBuffStack":2,"eventBuffId":"regeneration","label":"每当获得 1 层再生时，获得 2 点修为"}}</t>
        </is>
      </c>
    </row>
    <row r="81" ht="32" customHeight="1">
      <c r="A81" s="8" t="n">
        <v>100016</v>
      </c>
      <c r="B81" s="8" t="inlineStr">
        <is>
          <t>青木引灵简</t>
        </is>
      </c>
      <c r="C81" s="8" t="inlineStr">
        <is>
          <t>功法</t>
        </is>
      </c>
      <c r="D81" s="8" t="inlineStr">
        <is>
          <t>common</t>
        </is>
      </c>
      <c r="E81" s="8" t="inlineStr">
        <is>
          <t>wood</t>
        </is>
      </c>
      <c r="F81" s="8" t="n">
        <v>2</v>
      </c>
      <c r="G81" s="8" t="inlineStr">
        <is>
          <t>基础/顶层</t>
        </is>
      </c>
      <c r="H81" s="8" t="inlineStr"/>
      <c r="I81" s="9" t="inlineStr"/>
      <c r="J81" s="8" t="inlineStr"/>
      <c r="K81" s="8" t="inlineStr"/>
      <c r="L81" s="8" t="inlineStr"/>
      <c r="M81" s="8" t="inlineStr">
        <is>
          <t>被动效果</t>
        </is>
      </c>
      <c r="N81" s="8" t="inlineStr">
        <is>
          <t>passive</t>
        </is>
      </c>
      <c r="O81" s="9" t="inlineStr">
        <is>
          <t>再生层数上限 +3</t>
        </is>
      </c>
      <c r="P81" s="9" t="inlineStr"/>
      <c r="Q81" s="9" t="inlineStr">
        <is>
          <t>buffStackCapBonus</t>
        </is>
      </c>
      <c r="R81" s="9" t="inlineStr">
        <is>
          <t>{"kind":"passive","label":"再生层数上限 +3","passiveEffect":{"type":"buffStackCapBonus","buffId":"regeneration","value":3,"label":"再生层数上限 +3"}}</t>
        </is>
      </c>
    </row>
    <row r="82" ht="32" customHeight="1">
      <c r="A82" s="8" t="n">
        <v>100016</v>
      </c>
      <c r="B82" s="8" t="inlineStr">
        <is>
          <t>青木引灵简</t>
        </is>
      </c>
      <c r="C82" s="8" t="inlineStr">
        <is>
          <t>功法</t>
        </is>
      </c>
      <c r="D82" s="8" t="inlineStr">
        <is>
          <t>common</t>
        </is>
      </c>
      <c r="E82" s="8" t="inlineStr">
        <is>
          <t>wood</t>
        </is>
      </c>
      <c r="F82" s="8" t="n">
        <v>3</v>
      </c>
      <c r="G82" s="8" t="inlineStr">
        <is>
          <t>功法成长层</t>
        </is>
      </c>
      <c r="H82" s="8" t="n">
        <v>1</v>
      </c>
      <c r="I82" s="9" t="inlineStr">
        <is>
          <t>无</t>
        </is>
      </c>
      <c r="J82" s="8" t="inlineStr"/>
      <c r="K82" s="8" t="inlineStr"/>
      <c r="L82" s="8" t="n">
        <v>15</v>
      </c>
      <c r="M82" s="8" t="inlineStr">
        <is>
          <t>条件触发</t>
        </is>
      </c>
      <c r="N82" s="8" t="inlineStr">
        <is>
          <t>triggered</t>
        </is>
      </c>
      <c r="O82" s="9" t="inlineStr">
        <is>
          <t>每当获得 1 层再生时，获得 2 点修为</t>
        </is>
      </c>
      <c r="P82" s="9" t="inlineStr">
        <is>
          <t>onBuffGain</t>
        </is>
      </c>
      <c r="Q82" s="9" t="inlineStr">
        <is>
          <t>gainCultivation</t>
        </is>
      </c>
      <c r="R82" s="9" t="inlineStr">
        <is>
          <t>{"kind":"triggered","label":"每当获得 1 层再生时，获得 2 点修为","triggeredEffect":{"trigger":"onBuffGain","type":"gainCultivation","amount":0,"amountPerEventBuffStack":2,"eventBuffId":"regeneration","label":"每当获得 1 层再生时，获得 2 点修为"}}</t>
        </is>
      </c>
    </row>
    <row r="83" ht="32" customHeight="1">
      <c r="A83" s="8" t="n">
        <v>100016</v>
      </c>
      <c r="B83" s="8" t="inlineStr">
        <is>
          <t>青木引灵简</t>
        </is>
      </c>
      <c r="C83" s="8" t="inlineStr">
        <is>
          <t>功法</t>
        </is>
      </c>
      <c r="D83" s="8" t="inlineStr">
        <is>
          <t>common</t>
        </is>
      </c>
      <c r="E83" s="8" t="inlineStr">
        <is>
          <t>wood</t>
        </is>
      </c>
      <c r="F83" s="8" t="n">
        <v>3</v>
      </c>
      <c r="G83" s="8" t="inlineStr">
        <is>
          <t>功法成长层</t>
        </is>
      </c>
      <c r="H83" s="8" t="n">
        <v>1</v>
      </c>
      <c r="I83" s="9" t="inlineStr">
        <is>
          <t>无</t>
        </is>
      </c>
      <c r="J83" s="8" t="inlineStr"/>
      <c r="K83" s="8" t="inlineStr"/>
      <c r="L83" s="8" t="n">
        <v>15</v>
      </c>
      <c r="M83" s="8" t="inlineStr">
        <is>
          <t>被动效果</t>
        </is>
      </c>
      <c r="N83" s="8" t="inlineStr">
        <is>
          <t>passive</t>
        </is>
      </c>
      <c r="O83" s="9" t="inlineStr">
        <is>
          <t>再生层数上限 +3</t>
        </is>
      </c>
      <c r="P83" s="9" t="inlineStr"/>
      <c r="Q83" s="9" t="inlineStr">
        <is>
          <t>buffStackCapBonus</t>
        </is>
      </c>
      <c r="R83" s="9" t="inlineStr">
        <is>
          <t>{"kind":"passive","label":"再生层数上限 +3","passiveEffect":{"type":"buffStackCapBonus","buffId":"regeneration","value":3,"label":"再生层数上限 +3"}}</t>
        </is>
      </c>
    </row>
    <row r="84" ht="32" customHeight="1">
      <c r="A84" s="8" t="n">
        <v>100016</v>
      </c>
      <c r="B84" s="8" t="inlineStr">
        <is>
          <t>青木引灵简</t>
        </is>
      </c>
      <c r="C84" s="8" t="inlineStr">
        <is>
          <t>功法</t>
        </is>
      </c>
      <c r="D84" s="8" t="inlineStr">
        <is>
          <t>common</t>
        </is>
      </c>
      <c r="E84" s="8" t="inlineStr">
        <is>
          <t>wood</t>
        </is>
      </c>
      <c r="F84" s="8" t="n">
        <v>3</v>
      </c>
      <c r="G84" s="8" t="inlineStr">
        <is>
          <t>功法成长层</t>
        </is>
      </c>
      <c r="H84" s="8" t="n">
        <v>2</v>
      </c>
      <c r="I84" s="9" t="inlineStr">
        <is>
          <t>修为≥95</t>
        </is>
      </c>
      <c r="J84" s="8" t="n">
        <v>95</v>
      </c>
      <c r="K84" s="8" t="n">
        <v>170</v>
      </c>
      <c r="L84" s="8" t="n">
        <v>60</v>
      </c>
      <c r="M84" s="8" t="inlineStr">
        <is>
          <t>条件触发</t>
        </is>
      </c>
      <c r="N84" s="8" t="inlineStr">
        <is>
          <t>triggered</t>
        </is>
      </c>
      <c r="O84" s="9" t="inlineStr">
        <is>
          <t>每当获得 1 层再生时，获得 4 点修为</t>
        </is>
      </c>
      <c r="P84" s="9" t="inlineStr">
        <is>
          <t>onBuffGain</t>
        </is>
      </c>
      <c r="Q84" s="9" t="inlineStr">
        <is>
          <t>gainCultivation</t>
        </is>
      </c>
      <c r="R84" s="9" t="inlineStr">
        <is>
          <t>{"kind":"triggered","label":"每当获得 1 层再生时，获得 4 点修为","triggeredEffect":{"trigger":"onBuffGain","type":"gainCultivation","amount":0,"amountPerEventBuffStack":4,"eventBuffId":"regeneration","label":"每当获得 1 层再生时，获得 4 点修为"}}</t>
        </is>
      </c>
    </row>
    <row r="85" ht="32" customHeight="1">
      <c r="A85" s="8" t="n">
        <v>100016</v>
      </c>
      <c r="B85" s="8" t="inlineStr">
        <is>
          <t>青木引灵简</t>
        </is>
      </c>
      <c r="C85" s="8" t="inlineStr">
        <is>
          <t>功法</t>
        </is>
      </c>
      <c r="D85" s="8" t="inlineStr">
        <is>
          <t>common</t>
        </is>
      </c>
      <c r="E85" s="8" t="inlineStr">
        <is>
          <t>wood</t>
        </is>
      </c>
      <c r="F85" s="8" t="n">
        <v>3</v>
      </c>
      <c r="G85" s="8" t="inlineStr">
        <is>
          <t>功法成长层</t>
        </is>
      </c>
      <c r="H85" s="8" t="n">
        <v>2</v>
      </c>
      <c r="I85" s="9" t="inlineStr">
        <is>
          <t>修为≥95</t>
        </is>
      </c>
      <c r="J85" s="8" t="n">
        <v>95</v>
      </c>
      <c r="K85" s="8" t="n">
        <v>170</v>
      </c>
      <c r="L85" s="8" t="n">
        <v>60</v>
      </c>
      <c r="M85" s="8" t="inlineStr">
        <is>
          <t>被动效果</t>
        </is>
      </c>
      <c r="N85" s="8" t="inlineStr">
        <is>
          <t>passive</t>
        </is>
      </c>
      <c r="O85" s="9" t="inlineStr">
        <is>
          <t>再生层数上限 +6</t>
        </is>
      </c>
      <c r="P85" s="9" t="inlineStr"/>
      <c r="Q85" s="9" t="inlineStr">
        <is>
          <t>buffStackCapBonus</t>
        </is>
      </c>
      <c r="R85" s="9" t="inlineStr">
        <is>
          <t>{"kind":"passive","label":"再生层数上限 +6","passiveEffect":{"type":"buffStackCapBonus","buffId":"regeneration","value":6,"label":"再生层数上限 +6"}}</t>
        </is>
      </c>
    </row>
    <row r="86" ht="32" customHeight="1">
      <c r="A86" s="8" t="n">
        <v>100016</v>
      </c>
      <c r="B86" s="8" t="inlineStr">
        <is>
          <t>青木引灵简</t>
        </is>
      </c>
      <c r="C86" s="8" t="inlineStr">
        <is>
          <t>功法</t>
        </is>
      </c>
      <c r="D86" s="8" t="inlineStr">
        <is>
          <t>common</t>
        </is>
      </c>
      <c r="E86" s="8" t="inlineStr">
        <is>
          <t>wood</t>
        </is>
      </c>
      <c r="F86" s="8" t="n">
        <v>3</v>
      </c>
      <c r="G86" s="8" t="inlineStr">
        <is>
          <t>功法成长层</t>
        </is>
      </c>
      <c r="H86" s="8" t="n">
        <v>3</v>
      </c>
      <c r="I86" s="9" t="inlineStr">
        <is>
          <t>修为≥920</t>
        </is>
      </c>
      <c r="J86" s="8" t="n">
        <v>920</v>
      </c>
      <c r="K86" s="8" t="n">
        <v>295</v>
      </c>
      <c r="L86" s="8" t="n">
        <v>90</v>
      </c>
      <c r="M86" s="8" t="inlineStr">
        <is>
          <t>条件触发</t>
        </is>
      </c>
      <c r="N86" s="8" t="inlineStr">
        <is>
          <t>triggered</t>
        </is>
      </c>
      <c r="O86" s="9" t="inlineStr">
        <is>
          <t>每当获得 1 层再生时，获得 6 点修为</t>
        </is>
      </c>
      <c r="P86" s="9" t="inlineStr">
        <is>
          <t>onBuffGain</t>
        </is>
      </c>
      <c r="Q86" s="9" t="inlineStr">
        <is>
          <t>gainCultivation</t>
        </is>
      </c>
      <c r="R86" s="9" t="inlineStr">
        <is>
          <t>{"kind":"triggered","label":"每当获得 1 层再生时，获得 6 点修为","triggeredEffect":{"trigger":"onBuffGain","type":"gainCultivation","amount":0,"amountPerEventBuffStack":6,"eventBuffId":"regeneration","label":"每当获得 1 层再生时，获得 6 点修为"}}</t>
        </is>
      </c>
    </row>
    <row r="87" ht="32" customHeight="1">
      <c r="A87" s="8" t="n">
        <v>100016</v>
      </c>
      <c r="B87" s="8" t="inlineStr">
        <is>
          <t>青木引灵简</t>
        </is>
      </c>
      <c r="C87" s="8" t="inlineStr">
        <is>
          <t>功法</t>
        </is>
      </c>
      <c r="D87" s="8" t="inlineStr">
        <is>
          <t>common</t>
        </is>
      </c>
      <c r="E87" s="8" t="inlineStr">
        <is>
          <t>wood</t>
        </is>
      </c>
      <c r="F87" s="8" t="n">
        <v>3</v>
      </c>
      <c r="G87" s="8" t="inlineStr">
        <is>
          <t>功法成长层</t>
        </is>
      </c>
      <c r="H87" s="8" t="n">
        <v>3</v>
      </c>
      <c r="I87" s="9" t="inlineStr">
        <is>
          <t>修为≥920</t>
        </is>
      </c>
      <c r="J87" s="8" t="n">
        <v>920</v>
      </c>
      <c r="K87" s="8" t="n">
        <v>295</v>
      </c>
      <c r="L87" s="8" t="n">
        <v>90</v>
      </c>
      <c r="M87" s="8" t="inlineStr">
        <is>
          <t>被动效果</t>
        </is>
      </c>
      <c r="N87" s="8" t="inlineStr">
        <is>
          <t>passive</t>
        </is>
      </c>
      <c r="O87" s="9" t="inlineStr">
        <is>
          <t>再生层数上限 +9</t>
        </is>
      </c>
      <c r="P87" s="9" t="inlineStr"/>
      <c r="Q87" s="9" t="inlineStr">
        <is>
          <t>buffStackCapBonus</t>
        </is>
      </c>
      <c r="R87" s="9" t="inlineStr">
        <is>
          <t>{"kind":"passive","label":"再生层数上限 +9","passiveEffect":{"type":"buffStackCapBonus","buffId":"regeneration","value":9,"label":"再生层数上限 +9"}}</t>
        </is>
      </c>
    </row>
    <row r="88" ht="32" customHeight="1">
      <c r="A88" s="8" t="n">
        <v>100016</v>
      </c>
      <c r="B88" s="8" t="inlineStr">
        <is>
          <t>青木引灵简</t>
        </is>
      </c>
      <c r="C88" s="8" t="inlineStr">
        <is>
          <t>功法</t>
        </is>
      </c>
      <c r="D88" s="8" t="inlineStr">
        <is>
          <t>common</t>
        </is>
      </c>
      <c r="E88" s="8" t="inlineStr">
        <is>
          <t>wood</t>
        </is>
      </c>
      <c r="F88" s="8" t="n">
        <v>3</v>
      </c>
      <c r="G88" s="8" t="inlineStr">
        <is>
          <t>功法成长层</t>
        </is>
      </c>
      <c r="H88" s="8" t="n">
        <v>4</v>
      </c>
      <c r="I88" s="9" t="inlineStr">
        <is>
          <t>修为≥2300</t>
        </is>
      </c>
      <c r="J88" s="8" t="n">
        <v>2300</v>
      </c>
      <c r="K88" s="8" t="n">
        <v>210</v>
      </c>
      <c r="L88" s="8" t="n">
        <v>180</v>
      </c>
      <c r="M88" s="8" t="inlineStr">
        <is>
          <t>条件触发</t>
        </is>
      </c>
      <c r="N88" s="8" t="inlineStr">
        <is>
          <t>triggered</t>
        </is>
      </c>
      <c r="O88" s="9" t="inlineStr">
        <is>
          <t>每当获得 1 层再生时，获得 8 点修为</t>
        </is>
      </c>
      <c r="P88" s="9" t="inlineStr">
        <is>
          <t>onBuffGain</t>
        </is>
      </c>
      <c r="Q88" s="9" t="inlineStr">
        <is>
          <t>gainCultivation</t>
        </is>
      </c>
      <c r="R88" s="9" t="inlineStr">
        <is>
          <t>{"kind":"triggered","label":"每当获得 1 层再生时，获得 8 点修为","triggeredEffect":{"trigger":"onBuffGain","type":"gainCultivation","amount":0,"amountPerEventBuffStack":8,"eventBuffId":"regeneration","label":"每当获得 1 层再生时，获得 8 点修为"}}</t>
        </is>
      </c>
    </row>
    <row r="89" ht="32" customHeight="1">
      <c r="A89" s="8" t="n">
        <v>100016</v>
      </c>
      <c r="B89" s="8" t="inlineStr">
        <is>
          <t>青木引灵简</t>
        </is>
      </c>
      <c r="C89" s="8" t="inlineStr">
        <is>
          <t>功法</t>
        </is>
      </c>
      <c r="D89" s="8" t="inlineStr">
        <is>
          <t>common</t>
        </is>
      </c>
      <c r="E89" s="8" t="inlineStr">
        <is>
          <t>wood</t>
        </is>
      </c>
      <c r="F89" s="8" t="n">
        <v>3</v>
      </c>
      <c r="G89" s="8" t="inlineStr">
        <is>
          <t>功法成长层</t>
        </is>
      </c>
      <c r="H89" s="8" t="n">
        <v>4</v>
      </c>
      <c r="I89" s="9" t="inlineStr">
        <is>
          <t>修为≥2300</t>
        </is>
      </c>
      <c r="J89" s="8" t="n">
        <v>2300</v>
      </c>
      <c r="K89" s="8" t="n">
        <v>210</v>
      </c>
      <c r="L89" s="8" t="n">
        <v>180</v>
      </c>
      <c r="M89" s="8" t="inlineStr">
        <is>
          <t>被动效果</t>
        </is>
      </c>
      <c r="N89" s="8" t="inlineStr">
        <is>
          <t>passive</t>
        </is>
      </c>
      <c r="O89" s="9" t="inlineStr">
        <is>
          <t>再生层数上限 +12</t>
        </is>
      </c>
      <c r="P89" s="9" t="inlineStr"/>
      <c r="Q89" s="9" t="inlineStr">
        <is>
          <t>buffStackCapBonus</t>
        </is>
      </c>
      <c r="R89" s="9" t="inlineStr">
        <is>
          <t>{"kind":"passive","label":"再生层数上限 +12","passiveEffect":{"type":"buffStackCapBonus","buffId":"regeneration","value":12,"label":"再生层数上限 +12"}}</t>
        </is>
      </c>
    </row>
    <row r="90" ht="32" customHeight="1">
      <c r="A90" s="8" t="n">
        <v>100017</v>
      </c>
      <c r="B90" s="8" t="inlineStr">
        <is>
          <t>寒波调息诀</t>
        </is>
      </c>
      <c r="C90" s="8" t="inlineStr">
        <is>
          <t>功法</t>
        </is>
      </c>
      <c r="D90" s="8" t="inlineStr">
        <is>
          <t>common</t>
        </is>
      </c>
      <c r="E90" s="8" t="inlineStr">
        <is>
          <t>water</t>
        </is>
      </c>
      <c r="F90" s="8" t="n">
        <v>1</v>
      </c>
      <c r="G90" s="8" t="inlineStr">
        <is>
          <t>基础/顶层</t>
        </is>
      </c>
      <c r="H90" s="8" t="inlineStr"/>
      <c r="I90" s="9" t="inlineStr"/>
      <c r="J90" s="8" t="inlineStr"/>
      <c r="K90" s="8" t="inlineStr"/>
      <c r="L90" s="8" t="inlineStr"/>
      <c r="M90" s="8" t="inlineStr">
        <is>
          <t>说明/执行器</t>
        </is>
      </c>
      <c r="N90" s="8" t="inlineStr">
        <is>
          <t>effectNote</t>
        </is>
      </c>
      <c r="O90" s="9" t="inlineStr">
        <is>
          <t>每获得 1 层寒冷或露水，获得 2 点修为</t>
        </is>
      </c>
      <c r="P90" s="9" t="inlineStr">
        <is>
          <t>onBuffGain</t>
        </is>
      </c>
      <c r="Q90" s="9" t="inlineStr">
        <is>
          <t>gainCultivation</t>
        </is>
      </c>
      <c r="R90" s="9" t="inlineStr">
        <is>
          <t>{"kind":"effectNote","label":"每获得 1 层寒冷或露水，&lt;cultivation&gt;获得 2 点修为&lt;/cultivation&gt;","executors":[{"trigger":"onBuffGain","eventBuffId":"cold","type":"gainCultivation","amount":0,"amountPerEventBuffStack":2,"label":"每获得 1 层寒冷或露水，&lt;cultivation&gt;获得 2 点修为&lt;/cultivation&gt;"},{"trigger":"onBuffGain","eventBuffId":"dew","type":"gainCultivation","amount":0,"amountPerEventBuffStack":2,"label":"每获得 1 层寒冷或露水，&lt;cultivation&gt;获得 2 点修为&lt;/cultivation&gt;"}]}</t>
        </is>
      </c>
    </row>
    <row r="91" ht="32" customHeight="1">
      <c r="A91" s="8" t="n">
        <v>100017</v>
      </c>
      <c r="B91" s="8" t="inlineStr">
        <is>
          <t>寒波调息诀</t>
        </is>
      </c>
      <c r="C91" s="8" t="inlineStr">
        <is>
          <t>功法</t>
        </is>
      </c>
      <c r="D91" s="8" t="inlineStr">
        <is>
          <t>common</t>
        </is>
      </c>
      <c r="E91" s="8" t="inlineStr">
        <is>
          <t>water</t>
        </is>
      </c>
      <c r="F91" s="8" t="n">
        <v>2</v>
      </c>
      <c r="G91" s="8" t="inlineStr">
        <is>
          <t>基础/顶层</t>
        </is>
      </c>
      <c r="H91" s="8" t="inlineStr"/>
      <c r="I91" s="9" t="inlineStr"/>
      <c r="J91" s="8" t="inlineStr"/>
      <c r="K91" s="8" t="inlineStr"/>
      <c r="L91" s="8" t="inlineStr"/>
      <c r="M91" s="8" t="inlineStr">
        <is>
          <t>被动效果</t>
        </is>
      </c>
      <c r="N91" s="8" t="inlineStr">
        <is>
          <t>passive</t>
        </is>
      </c>
      <c r="O91" s="9" t="inlineStr">
        <is>
          <t>寒冷层数上限 +5</t>
        </is>
      </c>
      <c r="P91" s="9" t="inlineStr"/>
      <c r="Q91" s="9" t="inlineStr">
        <is>
          <t>buffStackCapBonus</t>
        </is>
      </c>
      <c r="R91" s="9" t="inlineStr">
        <is>
          <t>{"kind":"passive","label":"寒冷层数上限 +5","passiveEffect":{"type":"buffStackCapBonus","buffId":"cold","value":5,"label":"寒冷层数上限 +5"}}</t>
        </is>
      </c>
    </row>
    <row r="92" ht="32" customHeight="1">
      <c r="A92" s="8" t="n">
        <v>100017</v>
      </c>
      <c r="B92" s="8" t="inlineStr">
        <is>
          <t>寒波调息诀</t>
        </is>
      </c>
      <c r="C92" s="8" t="inlineStr">
        <is>
          <t>功法</t>
        </is>
      </c>
      <c r="D92" s="8" t="inlineStr">
        <is>
          <t>common</t>
        </is>
      </c>
      <c r="E92" s="8" t="inlineStr">
        <is>
          <t>water</t>
        </is>
      </c>
      <c r="F92" s="8" t="n">
        <v>3</v>
      </c>
      <c r="G92" s="8" t="inlineStr">
        <is>
          <t>基础/顶层</t>
        </is>
      </c>
      <c r="H92" s="8" t="inlineStr"/>
      <c r="I92" s="9" t="inlineStr"/>
      <c r="J92" s="8" t="inlineStr"/>
      <c r="K92" s="8" t="inlineStr"/>
      <c r="L92" s="8" t="inlineStr"/>
      <c r="M92" s="8" t="inlineStr">
        <is>
          <t>被动效果</t>
        </is>
      </c>
      <c r="N92" s="8" t="inlineStr">
        <is>
          <t>passive</t>
        </is>
      </c>
      <c r="O92" s="9" t="inlineStr">
        <is>
          <t>露水层数上限 +5</t>
        </is>
      </c>
      <c r="P92" s="9" t="inlineStr"/>
      <c r="Q92" s="9" t="inlineStr">
        <is>
          <t>buffStackCapBonus</t>
        </is>
      </c>
      <c r="R92" s="9" t="inlineStr">
        <is>
          <t>{"kind":"passive","label":"露水层数上限 +5","passiveEffect":{"type":"buffStackCapBonus","buffId":"dew","value":5,"label":"露水层数上限 +5"}}</t>
        </is>
      </c>
    </row>
    <row r="93" ht="32" customHeight="1">
      <c r="A93" s="8" t="n">
        <v>100017</v>
      </c>
      <c r="B93" s="8" t="inlineStr">
        <is>
          <t>寒波调息诀</t>
        </is>
      </c>
      <c r="C93" s="8" t="inlineStr">
        <is>
          <t>功法</t>
        </is>
      </c>
      <c r="D93" s="8" t="inlineStr">
        <is>
          <t>common</t>
        </is>
      </c>
      <c r="E93" s="8" t="inlineStr">
        <is>
          <t>water</t>
        </is>
      </c>
      <c r="F93" s="8" t="n">
        <v>4</v>
      </c>
      <c r="G93" s="8" t="inlineStr">
        <is>
          <t>功法成长层</t>
        </is>
      </c>
      <c r="H93" s="8" t="n">
        <v>1</v>
      </c>
      <c r="I93" s="9" t="inlineStr">
        <is>
          <t>无</t>
        </is>
      </c>
      <c r="J93" s="8" t="inlineStr"/>
      <c r="K93" s="8" t="inlineStr"/>
      <c r="L93" s="8" t="n">
        <v>15</v>
      </c>
      <c r="M93" s="8" t="inlineStr">
        <is>
          <t>说明/执行器</t>
        </is>
      </c>
      <c r="N93" s="8" t="inlineStr">
        <is>
          <t>effectNote</t>
        </is>
      </c>
      <c r="O93" s="9" t="inlineStr">
        <is>
          <t>每获得 1 层寒冷或露水，获得 2 点修为</t>
        </is>
      </c>
      <c r="P93" s="9" t="inlineStr">
        <is>
          <t>onBuffGain</t>
        </is>
      </c>
      <c r="Q93" s="9" t="inlineStr">
        <is>
          <t>gainCultivation</t>
        </is>
      </c>
      <c r="R93" s="9" t="inlineStr">
        <is>
          <t>{"kind":"effectNote","label":"每获得 1 层寒冷或露水，&lt;cultivation&gt;获得 2 点修为&lt;/cultivation&gt;","executors":[{"trigger":"onBuffGain","eventBuffId":"cold","type":"gainCultivation","amount":0,"amountPerEventBuffStack":2,"label":"每获得 1 层寒冷或露水，&lt;cultivation&gt;获得 2 点修为&lt;/cultivation&gt;"},{"trigger":"onBuffGain","eventBuffId":"dew","type":"gainCultivation","amount":0,"amountPerEventBuffStack":2,"label":"每获得 1 层寒冷或露水，&lt;cultivation&gt;获得 2 点修为&lt;/cultivation&gt;"}]}</t>
        </is>
      </c>
    </row>
    <row r="94" ht="32" customHeight="1">
      <c r="A94" s="8" t="n">
        <v>100017</v>
      </c>
      <c r="B94" s="8" t="inlineStr">
        <is>
          <t>寒波调息诀</t>
        </is>
      </c>
      <c r="C94" s="8" t="inlineStr">
        <is>
          <t>功法</t>
        </is>
      </c>
      <c r="D94" s="8" t="inlineStr">
        <is>
          <t>common</t>
        </is>
      </c>
      <c r="E94" s="8" t="inlineStr">
        <is>
          <t>water</t>
        </is>
      </c>
      <c r="F94" s="8" t="n">
        <v>4</v>
      </c>
      <c r="G94" s="8" t="inlineStr">
        <is>
          <t>功法成长层</t>
        </is>
      </c>
      <c r="H94" s="8" t="n">
        <v>1</v>
      </c>
      <c r="I94" s="9" t="inlineStr">
        <is>
          <t>无</t>
        </is>
      </c>
      <c r="J94" s="8" t="inlineStr"/>
      <c r="K94" s="8" t="inlineStr"/>
      <c r="L94" s="8" t="n">
        <v>15</v>
      </c>
      <c r="M94" s="8" t="inlineStr">
        <is>
          <t>被动效果</t>
        </is>
      </c>
      <c r="N94" s="8" t="inlineStr">
        <is>
          <t>passive</t>
        </is>
      </c>
      <c r="O94" s="9" t="inlineStr">
        <is>
          <t>寒冷层数上限 +5</t>
        </is>
      </c>
      <c r="P94" s="9" t="inlineStr"/>
      <c r="Q94" s="9" t="inlineStr">
        <is>
          <t>buffStackCapBonus</t>
        </is>
      </c>
      <c r="R94" s="9" t="inlineStr">
        <is>
          <t>{"kind":"passive","label":"寒冷层数上限 +5","passiveEffect":{"type":"buffStackCapBonus","buffId":"cold","value":5,"label":"寒冷层数上限 +5"}}</t>
        </is>
      </c>
    </row>
    <row r="95" ht="32" customHeight="1">
      <c r="A95" s="8" t="n">
        <v>100017</v>
      </c>
      <c r="B95" s="8" t="inlineStr">
        <is>
          <t>寒波调息诀</t>
        </is>
      </c>
      <c r="C95" s="8" t="inlineStr">
        <is>
          <t>功法</t>
        </is>
      </c>
      <c r="D95" s="8" t="inlineStr">
        <is>
          <t>common</t>
        </is>
      </c>
      <c r="E95" s="8" t="inlineStr">
        <is>
          <t>water</t>
        </is>
      </c>
      <c r="F95" s="8" t="n">
        <v>4</v>
      </c>
      <c r="G95" s="8" t="inlineStr">
        <is>
          <t>功法成长层</t>
        </is>
      </c>
      <c r="H95" s="8" t="n">
        <v>1</v>
      </c>
      <c r="I95" s="9" t="inlineStr">
        <is>
          <t>无</t>
        </is>
      </c>
      <c r="J95" s="8" t="inlineStr"/>
      <c r="K95" s="8" t="inlineStr"/>
      <c r="L95" s="8" t="n">
        <v>15</v>
      </c>
      <c r="M95" s="8" t="inlineStr">
        <is>
          <t>被动效果</t>
        </is>
      </c>
      <c r="N95" s="8" t="inlineStr">
        <is>
          <t>passive</t>
        </is>
      </c>
      <c r="O95" s="9" t="inlineStr">
        <is>
          <t>露水层数上限 +5</t>
        </is>
      </c>
      <c r="P95" s="9" t="inlineStr"/>
      <c r="Q95" s="9" t="inlineStr">
        <is>
          <t>buffStackCapBonus</t>
        </is>
      </c>
      <c r="R95" s="9" t="inlineStr">
        <is>
          <t>{"kind":"passive","label":"露水层数上限 +5","passiveEffect":{"type":"buffStackCapBonus","buffId":"dew","value":5,"label":"露水层数上限 +5"}}</t>
        </is>
      </c>
    </row>
    <row r="96" ht="32" customHeight="1">
      <c r="A96" s="8" t="n">
        <v>100017</v>
      </c>
      <c r="B96" s="8" t="inlineStr">
        <is>
          <t>寒波调息诀</t>
        </is>
      </c>
      <c r="C96" s="8" t="inlineStr">
        <is>
          <t>功法</t>
        </is>
      </c>
      <c r="D96" s="8" t="inlineStr">
        <is>
          <t>common</t>
        </is>
      </c>
      <c r="E96" s="8" t="inlineStr">
        <is>
          <t>water</t>
        </is>
      </c>
      <c r="F96" s="8" t="n">
        <v>4</v>
      </c>
      <c r="G96" s="8" t="inlineStr">
        <is>
          <t>功法成长层</t>
        </is>
      </c>
      <c r="H96" s="8" t="n">
        <v>2</v>
      </c>
      <c r="I96" s="9" t="inlineStr">
        <is>
          <t>修为≥180</t>
        </is>
      </c>
      <c r="J96" s="8" t="n">
        <v>180</v>
      </c>
      <c r="K96" s="8" t="n">
        <v>255</v>
      </c>
      <c r="L96" s="8" t="n">
        <v>60</v>
      </c>
      <c r="M96" s="8" t="inlineStr">
        <is>
          <t>说明/执行器</t>
        </is>
      </c>
      <c r="N96" s="8" t="inlineStr">
        <is>
          <t>effectNote</t>
        </is>
      </c>
      <c r="O96" s="9" t="inlineStr">
        <is>
          <t>每获得 1 层寒冷或露水，获得 4 点修为</t>
        </is>
      </c>
      <c r="P96" s="9" t="inlineStr">
        <is>
          <t>onBuffGain</t>
        </is>
      </c>
      <c r="Q96" s="9" t="inlineStr">
        <is>
          <t>gainCultivation</t>
        </is>
      </c>
      <c r="R96" s="9" t="inlineStr">
        <is>
          <t>{"kind":"effectNote","label":"每获得 1 层寒冷或露水，&lt;cultivation&gt;获得 4 点修为&lt;/cultivation&gt;","executors":[{"trigger":"onBuffGain","eventBuffId":"cold","type":"gainCultivation","amount":0,"amountPerEventBuffStack":4,"label":"每获得 1 层寒冷或露水，&lt;cultivation&gt;获得 4 点修为&lt;/cultivation&gt;"},{"trigger":"onBuffGain","eventBuffId":"dew","type":"gainCultivation","amount":0,"amountPerEventBuffStack":4,"label":"每获得 1 层寒冷或露水，&lt;cultivation&gt;获得 4 点修为&lt;/cultivation&gt;"}]}</t>
        </is>
      </c>
    </row>
    <row r="97" ht="32" customHeight="1">
      <c r="A97" s="8" t="n">
        <v>100017</v>
      </c>
      <c r="B97" s="8" t="inlineStr">
        <is>
          <t>寒波调息诀</t>
        </is>
      </c>
      <c r="C97" s="8" t="inlineStr">
        <is>
          <t>功法</t>
        </is>
      </c>
      <c r="D97" s="8" t="inlineStr">
        <is>
          <t>common</t>
        </is>
      </c>
      <c r="E97" s="8" t="inlineStr">
        <is>
          <t>water</t>
        </is>
      </c>
      <c r="F97" s="8" t="n">
        <v>4</v>
      </c>
      <c r="G97" s="8" t="inlineStr">
        <is>
          <t>功法成长层</t>
        </is>
      </c>
      <c r="H97" s="8" t="n">
        <v>2</v>
      </c>
      <c r="I97" s="9" t="inlineStr">
        <is>
          <t>修为≥180</t>
        </is>
      </c>
      <c r="J97" s="8" t="n">
        <v>180</v>
      </c>
      <c r="K97" s="8" t="n">
        <v>255</v>
      </c>
      <c r="L97" s="8" t="n">
        <v>60</v>
      </c>
      <c r="M97" s="8" t="inlineStr">
        <is>
          <t>被动效果</t>
        </is>
      </c>
      <c r="N97" s="8" t="inlineStr">
        <is>
          <t>passive</t>
        </is>
      </c>
      <c r="O97" s="9" t="inlineStr">
        <is>
          <t>寒冷层数上限 +10</t>
        </is>
      </c>
      <c r="P97" s="9" t="inlineStr"/>
      <c r="Q97" s="9" t="inlineStr">
        <is>
          <t>buffStackCapBonus</t>
        </is>
      </c>
      <c r="R97" s="9" t="inlineStr">
        <is>
          <t>{"kind":"passive","label":"寒冷层数上限 +10","passiveEffect":{"type":"buffStackCapBonus","buffId":"cold","value":10,"label":"寒冷层数上限 +10"}}</t>
        </is>
      </c>
    </row>
    <row r="98" ht="32" customHeight="1">
      <c r="A98" s="8" t="n">
        <v>100017</v>
      </c>
      <c r="B98" s="8" t="inlineStr">
        <is>
          <t>寒波调息诀</t>
        </is>
      </c>
      <c r="C98" s="8" t="inlineStr">
        <is>
          <t>功法</t>
        </is>
      </c>
      <c r="D98" s="8" t="inlineStr">
        <is>
          <t>common</t>
        </is>
      </c>
      <c r="E98" s="8" t="inlineStr">
        <is>
          <t>water</t>
        </is>
      </c>
      <c r="F98" s="8" t="n">
        <v>4</v>
      </c>
      <c r="G98" s="8" t="inlineStr">
        <is>
          <t>功法成长层</t>
        </is>
      </c>
      <c r="H98" s="8" t="n">
        <v>2</v>
      </c>
      <c r="I98" s="9" t="inlineStr">
        <is>
          <t>修为≥180</t>
        </is>
      </c>
      <c r="J98" s="8" t="n">
        <v>180</v>
      </c>
      <c r="K98" s="8" t="n">
        <v>255</v>
      </c>
      <c r="L98" s="8" t="n">
        <v>60</v>
      </c>
      <c r="M98" s="8" t="inlineStr">
        <is>
          <t>被动效果</t>
        </is>
      </c>
      <c r="N98" s="8" t="inlineStr">
        <is>
          <t>passive</t>
        </is>
      </c>
      <c r="O98" s="9" t="inlineStr">
        <is>
          <t>露水层数上限 +10</t>
        </is>
      </c>
      <c r="P98" s="9" t="inlineStr"/>
      <c r="Q98" s="9" t="inlineStr">
        <is>
          <t>buffStackCapBonus</t>
        </is>
      </c>
      <c r="R98" s="9" t="inlineStr">
        <is>
          <t>{"kind":"passive","label":"露水层数上限 +10","passiveEffect":{"type":"buffStackCapBonus","buffId":"dew","value":10,"label":"露水层数上限 +10"}}</t>
        </is>
      </c>
    </row>
    <row r="99" ht="32" customHeight="1">
      <c r="A99" s="8" t="n">
        <v>100017</v>
      </c>
      <c r="B99" s="8" t="inlineStr">
        <is>
          <t>寒波调息诀</t>
        </is>
      </c>
      <c r="C99" s="8" t="inlineStr">
        <is>
          <t>功法</t>
        </is>
      </c>
      <c r="D99" s="8" t="inlineStr">
        <is>
          <t>common</t>
        </is>
      </c>
      <c r="E99" s="8" t="inlineStr">
        <is>
          <t>water</t>
        </is>
      </c>
      <c r="F99" s="8" t="n">
        <v>4</v>
      </c>
      <c r="G99" s="8" t="inlineStr">
        <is>
          <t>功法成长层</t>
        </is>
      </c>
      <c r="H99" s="8" t="n">
        <v>3</v>
      </c>
      <c r="I99" s="9" t="inlineStr">
        <is>
          <t>修为≥840</t>
        </is>
      </c>
      <c r="J99" s="8" t="n">
        <v>840</v>
      </c>
      <c r="K99" s="8" t="n">
        <v>250</v>
      </c>
      <c r="L99" s="8" t="n">
        <v>90</v>
      </c>
      <c r="M99" s="8" t="inlineStr">
        <is>
          <t>说明/执行器</t>
        </is>
      </c>
      <c r="N99" s="8" t="inlineStr">
        <is>
          <t>effectNote</t>
        </is>
      </c>
      <c r="O99" s="9" t="inlineStr">
        <is>
          <t>每获得 1 层寒冷或露水，获得 6 点修为</t>
        </is>
      </c>
      <c r="P99" s="9" t="inlineStr">
        <is>
          <t>onBuffGain</t>
        </is>
      </c>
      <c r="Q99" s="9" t="inlineStr">
        <is>
          <t>gainCultivation</t>
        </is>
      </c>
      <c r="R99" s="9" t="inlineStr">
        <is>
          <t>{"kind":"effectNote","label":"每获得 1 层寒冷或露水，&lt;cultivation&gt;获得 6 点修为&lt;/cultivation&gt;","executors":[{"trigger":"onBuffGain","eventBuffId":"cold","type":"gainCultivation","amount":0,"amountPerEventBuffStack":6,"label":"每获得 1 层寒冷或露水，&lt;cultivation&gt;获得 6 点修为&lt;/cultivation&gt;"},{"trigger":"onBuffGain","eventBuffId":"dew","type":"gainCultivation","amount":0,"amountPerEventBuffStack":6,"label":"每获得 1 层寒冷或露水，&lt;cultivation&gt;获得 6 点修为&lt;/cultivation&gt;"}]}</t>
        </is>
      </c>
    </row>
    <row r="100" ht="32" customHeight="1">
      <c r="A100" s="8" t="n">
        <v>100017</v>
      </c>
      <c r="B100" s="8" t="inlineStr">
        <is>
          <t>寒波调息诀</t>
        </is>
      </c>
      <c r="C100" s="8" t="inlineStr">
        <is>
          <t>功法</t>
        </is>
      </c>
      <c r="D100" s="8" t="inlineStr">
        <is>
          <t>common</t>
        </is>
      </c>
      <c r="E100" s="8" t="inlineStr">
        <is>
          <t>water</t>
        </is>
      </c>
      <c r="F100" s="8" t="n">
        <v>4</v>
      </c>
      <c r="G100" s="8" t="inlineStr">
        <is>
          <t>功法成长层</t>
        </is>
      </c>
      <c r="H100" s="8" t="n">
        <v>3</v>
      </c>
      <c r="I100" s="9" t="inlineStr">
        <is>
          <t>修为≥840</t>
        </is>
      </c>
      <c r="J100" s="8" t="n">
        <v>840</v>
      </c>
      <c r="K100" s="8" t="n">
        <v>250</v>
      </c>
      <c r="L100" s="8" t="n">
        <v>90</v>
      </c>
      <c r="M100" s="8" t="inlineStr">
        <is>
          <t>被动效果</t>
        </is>
      </c>
      <c r="N100" s="8" t="inlineStr">
        <is>
          <t>passive</t>
        </is>
      </c>
      <c r="O100" s="9" t="inlineStr">
        <is>
          <t>寒冷层数上限 +15</t>
        </is>
      </c>
      <c r="P100" s="9" t="inlineStr"/>
      <c r="Q100" s="9" t="inlineStr">
        <is>
          <t>buffStackCapBonus</t>
        </is>
      </c>
      <c r="R100" s="9" t="inlineStr">
        <is>
          <t>{"kind":"passive","label":"寒冷层数上限 +15","passiveEffect":{"type":"buffStackCapBonus","buffId":"cold","value":15,"label":"寒冷层数上限 +15"}}</t>
        </is>
      </c>
    </row>
    <row r="101" ht="32" customHeight="1">
      <c r="A101" s="8" t="n">
        <v>100017</v>
      </c>
      <c r="B101" s="8" t="inlineStr">
        <is>
          <t>寒波调息诀</t>
        </is>
      </c>
      <c r="C101" s="8" t="inlineStr">
        <is>
          <t>功法</t>
        </is>
      </c>
      <c r="D101" s="8" t="inlineStr">
        <is>
          <t>common</t>
        </is>
      </c>
      <c r="E101" s="8" t="inlineStr">
        <is>
          <t>water</t>
        </is>
      </c>
      <c r="F101" s="8" t="n">
        <v>4</v>
      </c>
      <c r="G101" s="8" t="inlineStr">
        <is>
          <t>功法成长层</t>
        </is>
      </c>
      <c r="H101" s="8" t="n">
        <v>3</v>
      </c>
      <c r="I101" s="9" t="inlineStr">
        <is>
          <t>修为≥840</t>
        </is>
      </c>
      <c r="J101" s="8" t="n">
        <v>840</v>
      </c>
      <c r="K101" s="8" t="n">
        <v>250</v>
      </c>
      <c r="L101" s="8" t="n">
        <v>90</v>
      </c>
      <c r="M101" s="8" t="inlineStr">
        <is>
          <t>被动效果</t>
        </is>
      </c>
      <c r="N101" s="8" t="inlineStr">
        <is>
          <t>passive</t>
        </is>
      </c>
      <c r="O101" s="9" t="inlineStr">
        <is>
          <t>露水层数上限 +15</t>
        </is>
      </c>
      <c r="P101" s="9" t="inlineStr"/>
      <c r="Q101" s="9" t="inlineStr">
        <is>
          <t>buffStackCapBonus</t>
        </is>
      </c>
      <c r="R101" s="9" t="inlineStr">
        <is>
          <t>{"kind":"passive","label":"露水层数上限 +15","passiveEffect":{"type":"buffStackCapBonus","buffId":"dew","value":15,"label":"露水层数上限 +15"}}</t>
        </is>
      </c>
    </row>
    <row r="102" ht="32" customHeight="1">
      <c r="A102" s="8" t="n">
        <v>100017</v>
      </c>
      <c r="B102" s="8" t="inlineStr">
        <is>
          <t>寒波调息诀</t>
        </is>
      </c>
      <c r="C102" s="8" t="inlineStr">
        <is>
          <t>功法</t>
        </is>
      </c>
      <c r="D102" s="8" t="inlineStr">
        <is>
          <t>common</t>
        </is>
      </c>
      <c r="E102" s="8" t="inlineStr">
        <is>
          <t>water</t>
        </is>
      </c>
      <c r="F102" s="8" t="n">
        <v>4</v>
      </c>
      <c r="G102" s="8" t="inlineStr">
        <is>
          <t>功法成长层</t>
        </is>
      </c>
      <c r="H102" s="8" t="n">
        <v>4</v>
      </c>
      <c r="I102" s="9" t="inlineStr">
        <is>
          <t>修为≥2350</t>
        </is>
      </c>
      <c r="J102" s="8" t="n">
        <v>2350</v>
      </c>
      <c r="K102" s="8" t="n">
        <v>250</v>
      </c>
      <c r="L102" s="8" t="n">
        <v>180</v>
      </c>
      <c r="M102" s="8" t="inlineStr">
        <is>
          <t>说明/执行器</t>
        </is>
      </c>
      <c r="N102" s="8" t="inlineStr">
        <is>
          <t>effectNote</t>
        </is>
      </c>
      <c r="O102" s="9" t="inlineStr">
        <is>
          <t>每获得 1 层寒冷或露水，获得 8 点修为</t>
        </is>
      </c>
      <c r="P102" s="9" t="inlineStr">
        <is>
          <t>onBuffGain</t>
        </is>
      </c>
      <c r="Q102" s="9" t="inlineStr">
        <is>
          <t>gainCultivation</t>
        </is>
      </c>
      <c r="R102" s="9" t="inlineStr">
        <is>
          <t>{"kind":"effectNote","label":"每获得 1 层寒冷或露水，&lt;cultivation&gt;获得 8 点修为&lt;/cultivation&gt;","executors":[{"trigger":"onBuffGain","eventBuffId":"cold","type":"gainCultivation","amount":0,"amountPerEventBuffStack":8,"label":"每获得 1 层寒冷或露水，&lt;cultivation&gt;获得 8 点修为&lt;/cultivation&gt;"},{"trigger":"onBuffGain","eventBuffId":"dew","type":"gainCultivation","amount":0,"amountPerEventBuffStack":8,"label":"每获得 1 层寒冷或露水，&lt;cultivation&gt;获得 8 点修为&lt;/cultivation&gt;"}]}</t>
        </is>
      </c>
    </row>
    <row r="103" ht="32" customHeight="1">
      <c r="A103" s="8" t="n">
        <v>100017</v>
      </c>
      <c r="B103" s="8" t="inlineStr">
        <is>
          <t>寒波调息诀</t>
        </is>
      </c>
      <c r="C103" s="8" t="inlineStr">
        <is>
          <t>功法</t>
        </is>
      </c>
      <c r="D103" s="8" t="inlineStr">
        <is>
          <t>common</t>
        </is>
      </c>
      <c r="E103" s="8" t="inlineStr">
        <is>
          <t>water</t>
        </is>
      </c>
      <c r="F103" s="8" t="n">
        <v>4</v>
      </c>
      <c r="G103" s="8" t="inlineStr">
        <is>
          <t>功法成长层</t>
        </is>
      </c>
      <c r="H103" s="8" t="n">
        <v>4</v>
      </c>
      <c r="I103" s="9" t="inlineStr">
        <is>
          <t>修为≥2350</t>
        </is>
      </c>
      <c r="J103" s="8" t="n">
        <v>2350</v>
      </c>
      <c r="K103" s="8" t="n">
        <v>250</v>
      </c>
      <c r="L103" s="8" t="n">
        <v>180</v>
      </c>
      <c r="M103" s="8" t="inlineStr">
        <is>
          <t>被动效果</t>
        </is>
      </c>
      <c r="N103" s="8" t="inlineStr">
        <is>
          <t>passive</t>
        </is>
      </c>
      <c r="O103" s="9" t="inlineStr">
        <is>
          <t>寒冷层数上限 +20</t>
        </is>
      </c>
      <c r="P103" s="9" t="inlineStr"/>
      <c r="Q103" s="9" t="inlineStr">
        <is>
          <t>buffStackCapBonus</t>
        </is>
      </c>
      <c r="R103" s="9" t="inlineStr">
        <is>
          <t>{"kind":"passive","label":"寒冷层数上限 +20","passiveEffect":{"type":"buffStackCapBonus","buffId":"cold","value":20,"label":"寒冷层数上限 +20"}}</t>
        </is>
      </c>
    </row>
    <row r="104" ht="32" customHeight="1">
      <c r="A104" s="8" t="n">
        <v>100017</v>
      </c>
      <c r="B104" s="8" t="inlineStr">
        <is>
          <t>寒波调息诀</t>
        </is>
      </c>
      <c r="C104" s="8" t="inlineStr">
        <is>
          <t>功法</t>
        </is>
      </c>
      <c r="D104" s="8" t="inlineStr">
        <is>
          <t>common</t>
        </is>
      </c>
      <c r="E104" s="8" t="inlineStr">
        <is>
          <t>water</t>
        </is>
      </c>
      <c r="F104" s="8" t="n">
        <v>4</v>
      </c>
      <c r="G104" s="8" t="inlineStr">
        <is>
          <t>功法成长层</t>
        </is>
      </c>
      <c r="H104" s="8" t="n">
        <v>4</v>
      </c>
      <c r="I104" s="9" t="inlineStr">
        <is>
          <t>修为≥2350</t>
        </is>
      </c>
      <c r="J104" s="8" t="n">
        <v>2350</v>
      </c>
      <c r="K104" s="8" t="n">
        <v>250</v>
      </c>
      <c r="L104" s="8" t="n">
        <v>180</v>
      </c>
      <c r="M104" s="8" t="inlineStr">
        <is>
          <t>被动效果</t>
        </is>
      </c>
      <c r="N104" s="8" t="inlineStr">
        <is>
          <t>passive</t>
        </is>
      </c>
      <c r="O104" s="9" t="inlineStr">
        <is>
          <t>露水层数上限 +20</t>
        </is>
      </c>
      <c r="P104" s="9" t="inlineStr"/>
      <c r="Q104" s="9" t="inlineStr">
        <is>
          <t>buffStackCapBonus</t>
        </is>
      </c>
      <c r="R104" s="9" t="inlineStr">
        <is>
          <t>{"kind":"passive","label":"露水层数上限 +20","passiveEffect":{"type":"buffStackCapBonus","buffId":"dew","value":20,"label":"露水层数上限 +20"}}</t>
        </is>
      </c>
    </row>
    <row r="105" ht="32" customHeight="1">
      <c r="A105" s="8" t="n">
        <v>100018</v>
      </c>
      <c r="B105" s="8" t="inlineStr">
        <is>
          <t>凝金阵诀</t>
        </is>
      </c>
      <c r="C105" s="8" t="inlineStr">
        <is>
          <t>功法</t>
        </is>
      </c>
      <c r="D105" s="8" t="inlineStr">
        <is>
          <t>common</t>
        </is>
      </c>
      <c r="E105" s="8" t="inlineStr">
        <is>
          <t>metal</t>
        </is>
      </c>
      <c r="F105" s="8" t="n">
        <v>1</v>
      </c>
      <c r="G105" s="8" t="inlineStr">
        <is>
          <t>基础/顶层</t>
        </is>
      </c>
      <c r="H105" s="8" t="inlineStr"/>
      <c r="I105" s="9" t="inlineStr"/>
      <c r="J105" s="8" t="inlineStr"/>
      <c r="K105" s="8" t="inlineStr"/>
      <c r="L105" s="8" t="inlineStr"/>
      <c r="M105" s="8" t="inlineStr">
        <is>
          <t>条件触发</t>
        </is>
      </c>
      <c r="N105" s="8" t="inlineStr">
        <is>
          <t>triggered</t>
        </is>
      </c>
      <c r="O105" s="9" t="inlineStr">
        <is>
          <t>每获得 1 层凝金，获得 2 点修为</t>
        </is>
      </c>
      <c r="P105" s="9" t="inlineStr">
        <is>
          <t>onBuffGain</t>
        </is>
      </c>
      <c r="Q105" s="9" t="inlineStr">
        <is>
          <t>gainCultivation</t>
        </is>
      </c>
      <c r="R105" s="9" t="inlineStr">
        <is>
          <t>{"kind":"triggered","label":"每获得 1 层凝金，获得 2 点修为","triggeredEffect":{"trigger":"onBuffGain","eventBuffId":"condensedMetal","type":"gainCultivation","amount":0,"amountPerEventBuffStack":2,"label":"每获得 1 层凝金，获得 2 点修为"}}</t>
        </is>
      </c>
    </row>
    <row r="106" ht="32" customHeight="1">
      <c r="A106" s="8" t="n">
        <v>100018</v>
      </c>
      <c r="B106" s="8" t="inlineStr">
        <is>
          <t>凝金阵诀</t>
        </is>
      </c>
      <c r="C106" s="8" t="inlineStr">
        <is>
          <t>功法</t>
        </is>
      </c>
      <c r="D106" s="8" t="inlineStr">
        <is>
          <t>common</t>
        </is>
      </c>
      <c r="E106" s="8" t="inlineStr">
        <is>
          <t>metal</t>
        </is>
      </c>
      <c r="F106" s="8" t="n">
        <v>2</v>
      </c>
      <c r="G106" s="8" t="inlineStr">
        <is>
          <t>基础/顶层</t>
        </is>
      </c>
      <c r="H106" s="8" t="inlineStr"/>
      <c r="I106" s="9" t="inlineStr"/>
      <c r="J106" s="8" t="inlineStr"/>
      <c r="K106" s="8" t="inlineStr"/>
      <c r="L106" s="8" t="inlineStr"/>
      <c r="M106" s="8" t="inlineStr">
        <is>
          <t>被动效果</t>
        </is>
      </c>
      <c r="N106" s="8" t="inlineStr">
        <is>
          <t>passive</t>
        </is>
      </c>
      <c r="O106" s="9" t="inlineStr">
        <is>
          <t>凝金层数上限 +3</t>
        </is>
      </c>
      <c r="P106" s="9" t="inlineStr"/>
      <c r="Q106" s="9" t="inlineStr">
        <is>
          <t>buffStackCapBonus</t>
        </is>
      </c>
      <c r="R106" s="9" t="inlineStr">
        <is>
          <t>{"kind":"passive","label":"凝金层数上限 +3","passiveEffect":{"type":"buffStackCapBonus","buffId":"condensedMetal","value":3,"label":"凝金层数上限 +3"}}</t>
        </is>
      </c>
    </row>
    <row r="107" ht="32" customHeight="1">
      <c r="A107" s="8" t="n">
        <v>100018</v>
      </c>
      <c r="B107" s="8" t="inlineStr">
        <is>
          <t>凝金阵诀</t>
        </is>
      </c>
      <c r="C107" s="8" t="inlineStr">
        <is>
          <t>功法</t>
        </is>
      </c>
      <c r="D107" s="8" t="inlineStr">
        <is>
          <t>common</t>
        </is>
      </c>
      <c r="E107" s="8" t="inlineStr">
        <is>
          <t>metal</t>
        </is>
      </c>
      <c r="F107" s="8" t="n">
        <v>3</v>
      </c>
      <c r="G107" s="8" t="inlineStr">
        <is>
          <t>功法成长层</t>
        </is>
      </c>
      <c r="H107" s="8" t="n">
        <v>1</v>
      </c>
      <c r="I107" s="9" t="inlineStr">
        <is>
          <t>无</t>
        </is>
      </c>
      <c r="J107" s="8" t="inlineStr"/>
      <c r="K107" s="8" t="inlineStr"/>
      <c r="L107" s="8" t="n">
        <v>15</v>
      </c>
      <c r="M107" s="8" t="inlineStr">
        <is>
          <t>条件触发</t>
        </is>
      </c>
      <c r="N107" s="8" t="inlineStr">
        <is>
          <t>triggered</t>
        </is>
      </c>
      <c r="O107" s="9" t="inlineStr">
        <is>
          <t>每获得 1 层凝金，获得 2 点修为</t>
        </is>
      </c>
      <c r="P107" s="9" t="inlineStr">
        <is>
          <t>onBuffGain</t>
        </is>
      </c>
      <c r="Q107" s="9" t="inlineStr">
        <is>
          <t>gainCultivation</t>
        </is>
      </c>
      <c r="R107" s="9" t="inlineStr">
        <is>
          <t>{"kind":"triggered","label":"每获得 1 层凝金，获得 2 点修为","triggeredEffect":{"trigger":"onBuffGain","eventBuffId":"condensedMetal","type":"gainCultivation","amount":0,"amountPerEventBuffStack":2,"label":"每获得 1 层凝金，获得 2 点修为"}}</t>
        </is>
      </c>
    </row>
    <row r="108" ht="32" customHeight="1">
      <c r="A108" s="8" t="n">
        <v>100018</v>
      </c>
      <c r="B108" s="8" t="inlineStr">
        <is>
          <t>凝金阵诀</t>
        </is>
      </c>
      <c r="C108" s="8" t="inlineStr">
        <is>
          <t>功法</t>
        </is>
      </c>
      <c r="D108" s="8" t="inlineStr">
        <is>
          <t>common</t>
        </is>
      </c>
      <c r="E108" s="8" t="inlineStr">
        <is>
          <t>metal</t>
        </is>
      </c>
      <c r="F108" s="8" t="n">
        <v>3</v>
      </c>
      <c r="G108" s="8" t="inlineStr">
        <is>
          <t>功法成长层</t>
        </is>
      </c>
      <c r="H108" s="8" t="n">
        <v>1</v>
      </c>
      <c r="I108" s="9" t="inlineStr">
        <is>
          <t>无</t>
        </is>
      </c>
      <c r="J108" s="8" t="inlineStr"/>
      <c r="K108" s="8" t="inlineStr"/>
      <c r="L108" s="8" t="n">
        <v>15</v>
      </c>
      <c r="M108" s="8" t="inlineStr">
        <is>
          <t>被动效果</t>
        </is>
      </c>
      <c r="N108" s="8" t="inlineStr">
        <is>
          <t>passive</t>
        </is>
      </c>
      <c r="O108" s="9" t="inlineStr">
        <is>
          <t>凝金层数上限 +3</t>
        </is>
      </c>
      <c r="P108" s="9" t="inlineStr"/>
      <c r="Q108" s="9" t="inlineStr">
        <is>
          <t>buffStackCapBonus</t>
        </is>
      </c>
      <c r="R108" s="9" t="inlineStr">
        <is>
          <t>{"kind":"passive","label":"凝金层数上限 +3","passiveEffect":{"type":"buffStackCapBonus","buffId":"condensedMetal","value":3,"label":"凝金层数上限 +3"}}</t>
        </is>
      </c>
    </row>
    <row r="109" ht="32" customHeight="1">
      <c r="A109" s="8" t="n">
        <v>100018</v>
      </c>
      <c r="B109" s="8" t="inlineStr">
        <is>
          <t>凝金阵诀</t>
        </is>
      </c>
      <c r="C109" s="8" t="inlineStr">
        <is>
          <t>功法</t>
        </is>
      </c>
      <c r="D109" s="8" t="inlineStr">
        <is>
          <t>common</t>
        </is>
      </c>
      <c r="E109" s="8" t="inlineStr">
        <is>
          <t>metal</t>
        </is>
      </c>
      <c r="F109" s="8" t="n">
        <v>3</v>
      </c>
      <c r="G109" s="8" t="inlineStr">
        <is>
          <t>功法成长层</t>
        </is>
      </c>
      <c r="H109" s="8" t="n">
        <v>2</v>
      </c>
      <c r="I109" s="9" t="inlineStr">
        <is>
          <t>修为≥160</t>
        </is>
      </c>
      <c r="J109" s="8" t="n">
        <v>160</v>
      </c>
      <c r="K109" s="8" t="n">
        <v>240</v>
      </c>
      <c r="L109" s="8" t="n">
        <v>60</v>
      </c>
      <c r="M109" s="8" t="inlineStr">
        <is>
          <t>条件触发</t>
        </is>
      </c>
      <c r="N109" s="8" t="inlineStr">
        <is>
          <t>triggered</t>
        </is>
      </c>
      <c r="O109" s="9" t="inlineStr">
        <is>
          <t>每获得 1 层凝金，获得 4 点修为</t>
        </is>
      </c>
      <c r="P109" s="9" t="inlineStr">
        <is>
          <t>onBuffGain</t>
        </is>
      </c>
      <c r="Q109" s="9" t="inlineStr">
        <is>
          <t>gainCultivation</t>
        </is>
      </c>
      <c r="R109" s="9" t="inlineStr">
        <is>
          <t>{"kind":"triggered","label":"每获得 1 层凝金，获得 4 点修为","triggeredEffect":{"trigger":"onBuffGain","eventBuffId":"condensedMetal","type":"gainCultivation","amount":0,"amountPerEventBuffStack":4,"label":"每获得 1 层凝金，获得 4 点修为"}}</t>
        </is>
      </c>
    </row>
    <row r="110" ht="32" customHeight="1">
      <c r="A110" s="8" t="n">
        <v>100018</v>
      </c>
      <c r="B110" s="8" t="inlineStr">
        <is>
          <t>凝金阵诀</t>
        </is>
      </c>
      <c r="C110" s="8" t="inlineStr">
        <is>
          <t>功法</t>
        </is>
      </c>
      <c r="D110" s="8" t="inlineStr">
        <is>
          <t>common</t>
        </is>
      </c>
      <c r="E110" s="8" t="inlineStr">
        <is>
          <t>metal</t>
        </is>
      </c>
      <c r="F110" s="8" t="n">
        <v>3</v>
      </c>
      <c r="G110" s="8" t="inlineStr">
        <is>
          <t>功法成长层</t>
        </is>
      </c>
      <c r="H110" s="8" t="n">
        <v>2</v>
      </c>
      <c r="I110" s="9" t="inlineStr">
        <is>
          <t>修为≥160</t>
        </is>
      </c>
      <c r="J110" s="8" t="n">
        <v>160</v>
      </c>
      <c r="K110" s="8" t="n">
        <v>240</v>
      </c>
      <c r="L110" s="8" t="n">
        <v>60</v>
      </c>
      <c r="M110" s="8" t="inlineStr">
        <is>
          <t>被动效果</t>
        </is>
      </c>
      <c r="N110" s="8" t="inlineStr">
        <is>
          <t>passive</t>
        </is>
      </c>
      <c r="O110" s="9" t="inlineStr">
        <is>
          <t>凝金层数上限 +6</t>
        </is>
      </c>
      <c r="P110" s="9" t="inlineStr"/>
      <c r="Q110" s="9" t="inlineStr">
        <is>
          <t>buffStackCapBonus</t>
        </is>
      </c>
      <c r="R110" s="9" t="inlineStr">
        <is>
          <t>{"kind":"passive","label":"凝金层数上限 +6","passiveEffect":{"type":"buffStackCapBonus","buffId":"condensedMetal","value":6,"label":"凝金层数上限 +6"}}</t>
        </is>
      </c>
    </row>
    <row r="111" ht="32" customHeight="1">
      <c r="A111" s="8" t="n">
        <v>100018</v>
      </c>
      <c r="B111" s="8" t="inlineStr">
        <is>
          <t>凝金阵诀</t>
        </is>
      </c>
      <c r="C111" s="8" t="inlineStr">
        <is>
          <t>功法</t>
        </is>
      </c>
      <c r="D111" s="8" t="inlineStr">
        <is>
          <t>common</t>
        </is>
      </c>
      <c r="E111" s="8" t="inlineStr">
        <is>
          <t>metal</t>
        </is>
      </c>
      <c r="F111" s="8" t="n">
        <v>3</v>
      </c>
      <c r="G111" s="8" t="inlineStr">
        <is>
          <t>功法成长层</t>
        </is>
      </c>
      <c r="H111" s="8" t="n">
        <v>3</v>
      </c>
      <c r="I111" s="9" t="inlineStr">
        <is>
          <t>修为≥960</t>
        </is>
      </c>
      <c r="J111" s="8" t="n">
        <v>960</v>
      </c>
      <c r="K111" s="8" t="n">
        <v>305</v>
      </c>
      <c r="L111" s="8" t="n">
        <v>90</v>
      </c>
      <c r="M111" s="8" t="inlineStr">
        <is>
          <t>条件触发</t>
        </is>
      </c>
      <c r="N111" s="8" t="inlineStr">
        <is>
          <t>triggered</t>
        </is>
      </c>
      <c r="O111" s="9" t="inlineStr">
        <is>
          <t>每获得 1 层凝金，获得 6 点修为</t>
        </is>
      </c>
      <c r="P111" s="9" t="inlineStr">
        <is>
          <t>onBuffGain</t>
        </is>
      </c>
      <c r="Q111" s="9" t="inlineStr">
        <is>
          <t>gainCultivation</t>
        </is>
      </c>
      <c r="R111" s="9" t="inlineStr">
        <is>
          <t>{"kind":"triggered","label":"每获得 1 层凝金，获得 6 点修为","triggeredEffect":{"trigger":"onBuffGain","eventBuffId":"condensedMetal","type":"gainCultivation","amount":0,"amountPerEventBuffStack":6,"label":"每获得 1 层凝金，获得 6 点修为"}}</t>
        </is>
      </c>
    </row>
    <row r="112" ht="32" customHeight="1">
      <c r="A112" s="8" t="n">
        <v>100018</v>
      </c>
      <c r="B112" s="8" t="inlineStr">
        <is>
          <t>凝金阵诀</t>
        </is>
      </c>
      <c r="C112" s="8" t="inlineStr">
        <is>
          <t>功法</t>
        </is>
      </c>
      <c r="D112" s="8" t="inlineStr">
        <is>
          <t>common</t>
        </is>
      </c>
      <c r="E112" s="8" t="inlineStr">
        <is>
          <t>metal</t>
        </is>
      </c>
      <c r="F112" s="8" t="n">
        <v>3</v>
      </c>
      <c r="G112" s="8" t="inlineStr">
        <is>
          <t>功法成长层</t>
        </is>
      </c>
      <c r="H112" s="8" t="n">
        <v>3</v>
      </c>
      <c r="I112" s="9" t="inlineStr">
        <is>
          <t>修为≥960</t>
        </is>
      </c>
      <c r="J112" s="8" t="n">
        <v>960</v>
      </c>
      <c r="K112" s="8" t="n">
        <v>305</v>
      </c>
      <c r="L112" s="8" t="n">
        <v>90</v>
      </c>
      <c r="M112" s="8" t="inlineStr">
        <is>
          <t>被动效果</t>
        </is>
      </c>
      <c r="N112" s="8" t="inlineStr">
        <is>
          <t>passive</t>
        </is>
      </c>
      <c r="O112" s="9" t="inlineStr">
        <is>
          <t>凝金层数上限 +9</t>
        </is>
      </c>
      <c r="P112" s="9" t="inlineStr"/>
      <c r="Q112" s="9" t="inlineStr">
        <is>
          <t>buffStackCapBonus</t>
        </is>
      </c>
      <c r="R112" s="9" t="inlineStr">
        <is>
          <t>{"kind":"passive","label":"凝金层数上限 +9","passiveEffect":{"type":"buffStackCapBonus","buffId":"condensedMetal","value":9,"label":"凝金层数上限 +9"}}</t>
        </is>
      </c>
    </row>
    <row r="113" ht="32" customHeight="1">
      <c r="A113" s="8" t="n">
        <v>100018</v>
      </c>
      <c r="B113" s="8" t="inlineStr">
        <is>
          <t>凝金阵诀</t>
        </is>
      </c>
      <c r="C113" s="8" t="inlineStr">
        <is>
          <t>功法</t>
        </is>
      </c>
      <c r="D113" s="8" t="inlineStr">
        <is>
          <t>common</t>
        </is>
      </c>
      <c r="E113" s="8" t="inlineStr">
        <is>
          <t>metal</t>
        </is>
      </c>
      <c r="F113" s="8" t="n">
        <v>3</v>
      </c>
      <c r="G113" s="8" t="inlineStr">
        <is>
          <t>功法成长层</t>
        </is>
      </c>
      <c r="H113" s="8" t="n">
        <v>4</v>
      </c>
      <c r="I113" s="9" t="inlineStr">
        <is>
          <t>修为≥3500</t>
        </is>
      </c>
      <c r="J113" s="8" t="n">
        <v>3500</v>
      </c>
      <c r="K113" s="8" t="n">
        <v>320</v>
      </c>
      <c r="L113" s="8" t="n">
        <v>180</v>
      </c>
      <c r="M113" s="8" t="inlineStr">
        <is>
          <t>条件触发</t>
        </is>
      </c>
      <c r="N113" s="8" t="inlineStr">
        <is>
          <t>triggered</t>
        </is>
      </c>
      <c r="O113" s="9" t="inlineStr">
        <is>
          <t>每获得 1 层凝金，获得 8 点修为</t>
        </is>
      </c>
      <c r="P113" s="9" t="inlineStr">
        <is>
          <t>onBuffGain</t>
        </is>
      </c>
      <c r="Q113" s="9" t="inlineStr">
        <is>
          <t>gainCultivation</t>
        </is>
      </c>
      <c r="R113" s="9" t="inlineStr">
        <is>
          <t>{"kind":"triggered","label":"每获得 1 层凝金，获得 8 点修为","triggeredEffect":{"trigger":"onBuffGain","eventBuffId":"condensedMetal","type":"gainCultivation","amount":0,"amountPerEventBuffStack":8,"label":"每获得 1 层凝金，获得 8 点修为"}}</t>
        </is>
      </c>
    </row>
    <row r="114" ht="32" customHeight="1">
      <c r="A114" s="8" t="n">
        <v>100018</v>
      </c>
      <c r="B114" s="8" t="inlineStr">
        <is>
          <t>凝金阵诀</t>
        </is>
      </c>
      <c r="C114" s="8" t="inlineStr">
        <is>
          <t>功法</t>
        </is>
      </c>
      <c r="D114" s="8" t="inlineStr">
        <is>
          <t>common</t>
        </is>
      </c>
      <c r="E114" s="8" t="inlineStr">
        <is>
          <t>metal</t>
        </is>
      </c>
      <c r="F114" s="8" t="n">
        <v>3</v>
      </c>
      <c r="G114" s="8" t="inlineStr">
        <is>
          <t>功法成长层</t>
        </is>
      </c>
      <c r="H114" s="8" t="n">
        <v>4</v>
      </c>
      <c r="I114" s="9" t="inlineStr">
        <is>
          <t>修为≥3500</t>
        </is>
      </c>
      <c r="J114" s="8" t="n">
        <v>3500</v>
      </c>
      <c r="K114" s="8" t="n">
        <v>320</v>
      </c>
      <c r="L114" s="8" t="n">
        <v>180</v>
      </c>
      <c r="M114" s="8" t="inlineStr">
        <is>
          <t>被动效果</t>
        </is>
      </c>
      <c r="N114" s="8" t="inlineStr">
        <is>
          <t>passive</t>
        </is>
      </c>
      <c r="O114" s="9" t="inlineStr">
        <is>
          <t>凝金层数上限 +12</t>
        </is>
      </c>
      <c r="P114" s="9" t="inlineStr"/>
      <c r="Q114" s="9" t="inlineStr">
        <is>
          <t>buffStackCapBonus</t>
        </is>
      </c>
      <c r="R114" s="9" t="inlineStr">
        <is>
          <t>{"kind":"passive","label":"凝金层数上限 +12","passiveEffect":{"type":"buffStackCapBonus","buffId":"condensedMetal","value":12,"label":"凝金层数上限 +12"}}</t>
        </is>
      </c>
    </row>
    <row r="115" ht="32" customHeight="1">
      <c r="A115" s="8" t="n">
        <v>100020</v>
      </c>
      <c r="B115" s="8" t="inlineStr">
        <is>
          <t>沉息归元诀</t>
        </is>
      </c>
      <c r="C115" s="8" t="inlineStr">
        <is>
          <t>功法</t>
        </is>
      </c>
      <c r="D115" s="8" t="inlineStr">
        <is>
          <t>common</t>
        </is>
      </c>
      <c r="E115" s="8" t="inlineStr">
        <is>
          <t>earth</t>
        </is>
      </c>
      <c r="F115" s="8" t="n">
        <v>1</v>
      </c>
      <c r="G115" s="8" t="inlineStr">
        <is>
          <t>基础/顶层</t>
        </is>
      </c>
      <c r="H115" s="8" t="inlineStr"/>
      <c r="I115" s="9" t="inlineStr"/>
      <c r="J115" s="8" t="inlineStr"/>
      <c r="K115" s="8" t="inlineStr"/>
      <c r="L115" s="8" t="inlineStr"/>
      <c r="M115" s="8" t="inlineStr">
        <is>
          <t>条件触发</t>
        </is>
      </c>
      <c r="N115" s="8" t="inlineStr">
        <is>
          <t>triggered</t>
        </is>
      </c>
      <c r="O115" s="9" t="inlineStr">
        <is>
          <t>每获得 1 层蓄势，获得 2 点修为</t>
        </is>
      </c>
      <c r="P115" s="9" t="inlineStr">
        <is>
          <t>onBuffGain</t>
        </is>
      </c>
      <c r="Q115" s="9" t="inlineStr">
        <is>
          <t>gainCultivation</t>
        </is>
      </c>
      <c r="R115" s="9" t="inlineStr">
        <is>
          <t>{"kind":"triggered","label":"每获得 1 层蓄势，获得 2 点修为","triggeredEffect":{"trigger":"onBuffGain","eventBuffId":"heavy","type":"gainCultivation","amount":0,"amountPerEventBuffStack":2}}</t>
        </is>
      </c>
    </row>
    <row r="116" ht="32" customHeight="1">
      <c r="A116" s="8" t="n">
        <v>100020</v>
      </c>
      <c r="B116" s="8" t="inlineStr">
        <is>
          <t>沉息归元诀</t>
        </is>
      </c>
      <c r="C116" s="8" t="inlineStr">
        <is>
          <t>功法</t>
        </is>
      </c>
      <c r="D116" s="8" t="inlineStr">
        <is>
          <t>common</t>
        </is>
      </c>
      <c r="E116" s="8" t="inlineStr">
        <is>
          <t>earth</t>
        </is>
      </c>
      <c r="F116" s="8" t="n">
        <v>2</v>
      </c>
      <c r="G116" s="8" t="inlineStr">
        <is>
          <t>基础/顶层</t>
        </is>
      </c>
      <c r="H116" s="8" t="inlineStr"/>
      <c r="I116" s="9" t="inlineStr"/>
      <c r="J116" s="8" t="inlineStr"/>
      <c r="K116" s="8" t="inlineStr"/>
      <c r="L116" s="8" t="inlineStr"/>
      <c r="M116" s="8" t="inlineStr">
        <is>
          <t>被动效果</t>
        </is>
      </c>
      <c r="N116" s="8" t="inlineStr">
        <is>
          <t>passive</t>
        </is>
      </c>
      <c r="O116" s="9" t="inlineStr">
        <is>
          <t>蓄势层数上限 +3</t>
        </is>
      </c>
      <c r="P116" s="9" t="inlineStr"/>
      <c r="Q116" s="9" t="inlineStr">
        <is>
          <t>buffStackCapBonus</t>
        </is>
      </c>
      <c r="R116" s="9" t="inlineStr">
        <is>
          <t>{"kind":"passive","label":"蓄势层数上限 +3","passiveEffect":{"type":"buffStackCapBonus","buffId":"heavy","value":3,"label":"蓄势层数上限 +3"}}</t>
        </is>
      </c>
    </row>
    <row r="117" ht="32" customHeight="1">
      <c r="A117" s="8" t="n">
        <v>100020</v>
      </c>
      <c r="B117" s="8" t="inlineStr">
        <is>
          <t>沉息归元诀</t>
        </is>
      </c>
      <c r="C117" s="8" t="inlineStr">
        <is>
          <t>功法</t>
        </is>
      </c>
      <c r="D117" s="8" t="inlineStr">
        <is>
          <t>common</t>
        </is>
      </c>
      <c r="E117" s="8" t="inlineStr">
        <is>
          <t>earth</t>
        </is>
      </c>
      <c r="F117" s="8" t="n">
        <v>3</v>
      </c>
      <c r="G117" s="8" t="inlineStr">
        <is>
          <t>功法成长层</t>
        </is>
      </c>
      <c r="H117" s="8" t="n">
        <v>1</v>
      </c>
      <c r="I117" s="9" t="inlineStr">
        <is>
          <t>无</t>
        </is>
      </c>
      <c r="J117" s="8" t="inlineStr"/>
      <c r="K117" s="8" t="inlineStr"/>
      <c r="L117" s="8" t="n">
        <v>15</v>
      </c>
      <c r="M117" s="8" t="inlineStr">
        <is>
          <t>条件触发</t>
        </is>
      </c>
      <c r="N117" s="8" t="inlineStr">
        <is>
          <t>triggered</t>
        </is>
      </c>
      <c r="O117" s="9" t="inlineStr">
        <is>
          <t>每获得 1 层蓄势，获得 2 点修为</t>
        </is>
      </c>
      <c r="P117" s="9" t="inlineStr">
        <is>
          <t>onBuffGain</t>
        </is>
      </c>
      <c r="Q117" s="9" t="inlineStr">
        <is>
          <t>gainCultivation</t>
        </is>
      </c>
      <c r="R117" s="9" t="inlineStr">
        <is>
          <t>{"kind":"triggered","label":"每获得 1 层蓄势，获得 2 点修为","triggeredEffect":{"trigger":"onBuffGain","eventBuffId":"heavy","type":"gainCultivation","amount":0,"amountPerEventBuffStack":2}}</t>
        </is>
      </c>
    </row>
    <row r="118" ht="32" customHeight="1">
      <c r="A118" s="8" t="n">
        <v>100020</v>
      </c>
      <c r="B118" s="8" t="inlineStr">
        <is>
          <t>沉息归元诀</t>
        </is>
      </c>
      <c r="C118" s="8" t="inlineStr">
        <is>
          <t>功法</t>
        </is>
      </c>
      <c r="D118" s="8" t="inlineStr">
        <is>
          <t>common</t>
        </is>
      </c>
      <c r="E118" s="8" t="inlineStr">
        <is>
          <t>earth</t>
        </is>
      </c>
      <c r="F118" s="8" t="n">
        <v>3</v>
      </c>
      <c r="G118" s="8" t="inlineStr">
        <is>
          <t>功法成长层</t>
        </is>
      </c>
      <c r="H118" s="8" t="n">
        <v>1</v>
      </c>
      <c r="I118" s="9" t="inlineStr">
        <is>
          <t>无</t>
        </is>
      </c>
      <c r="J118" s="8" t="inlineStr"/>
      <c r="K118" s="8" t="inlineStr"/>
      <c r="L118" s="8" t="n">
        <v>15</v>
      </c>
      <c r="M118" s="8" t="inlineStr">
        <is>
          <t>被动效果</t>
        </is>
      </c>
      <c r="N118" s="8" t="inlineStr">
        <is>
          <t>passive</t>
        </is>
      </c>
      <c r="O118" s="9" t="inlineStr">
        <is>
          <t>蓄势层数上限 +3</t>
        </is>
      </c>
      <c r="P118" s="9" t="inlineStr"/>
      <c r="Q118" s="9" t="inlineStr">
        <is>
          <t>buffStackCapBonus</t>
        </is>
      </c>
      <c r="R118" s="9" t="inlineStr">
        <is>
          <t>{"kind":"passive","label":"蓄势层数上限 +3","passiveEffect":{"type":"buffStackCapBonus","buffId":"heavy","value":3,"label":"蓄势层数上限 +3"}}</t>
        </is>
      </c>
    </row>
    <row r="119" ht="32" customHeight="1">
      <c r="A119" s="8" t="n">
        <v>100020</v>
      </c>
      <c r="B119" s="8" t="inlineStr">
        <is>
          <t>沉息归元诀</t>
        </is>
      </c>
      <c r="C119" s="8" t="inlineStr">
        <is>
          <t>功法</t>
        </is>
      </c>
      <c r="D119" s="8" t="inlineStr">
        <is>
          <t>common</t>
        </is>
      </c>
      <c r="E119" s="8" t="inlineStr">
        <is>
          <t>earth</t>
        </is>
      </c>
      <c r="F119" s="8" t="n">
        <v>3</v>
      </c>
      <c r="G119" s="8" t="inlineStr">
        <is>
          <t>功法成长层</t>
        </is>
      </c>
      <c r="H119" s="8" t="n">
        <v>2</v>
      </c>
      <c r="I119" s="9" t="inlineStr">
        <is>
          <t>修为≥130</t>
        </is>
      </c>
      <c r="J119" s="8" t="n">
        <v>130</v>
      </c>
      <c r="K119" s="8" t="n">
        <v>200</v>
      </c>
      <c r="L119" s="8" t="n">
        <v>60</v>
      </c>
      <c r="M119" s="8" t="inlineStr">
        <is>
          <t>条件触发</t>
        </is>
      </c>
      <c r="N119" s="8" t="inlineStr">
        <is>
          <t>triggered</t>
        </is>
      </c>
      <c r="O119" s="9" t="inlineStr">
        <is>
          <t>每获得 1 层蓄势，获得 4 点修为</t>
        </is>
      </c>
      <c r="P119" s="9" t="inlineStr">
        <is>
          <t>onBuffGain</t>
        </is>
      </c>
      <c r="Q119" s="9" t="inlineStr">
        <is>
          <t>gainCultivation</t>
        </is>
      </c>
      <c r="R119" s="9" t="inlineStr">
        <is>
          <t>{"kind":"triggered","label":"每获得 1 层蓄势，获得 4 点修为","triggeredEffect":{"trigger":"onBuffGain","eventBuffId":"heavy","type":"gainCultivation","amount":0,"amountPerEventBuffStack":4}}</t>
        </is>
      </c>
    </row>
    <row r="120" ht="32" customHeight="1">
      <c r="A120" s="8" t="n">
        <v>100020</v>
      </c>
      <c r="B120" s="8" t="inlineStr">
        <is>
          <t>沉息归元诀</t>
        </is>
      </c>
      <c r="C120" s="8" t="inlineStr">
        <is>
          <t>功法</t>
        </is>
      </c>
      <c r="D120" s="8" t="inlineStr">
        <is>
          <t>common</t>
        </is>
      </c>
      <c r="E120" s="8" t="inlineStr">
        <is>
          <t>earth</t>
        </is>
      </c>
      <c r="F120" s="8" t="n">
        <v>3</v>
      </c>
      <c r="G120" s="8" t="inlineStr">
        <is>
          <t>功法成长层</t>
        </is>
      </c>
      <c r="H120" s="8" t="n">
        <v>2</v>
      </c>
      <c r="I120" s="9" t="inlineStr">
        <is>
          <t>修为≥130</t>
        </is>
      </c>
      <c r="J120" s="8" t="n">
        <v>130</v>
      </c>
      <c r="K120" s="8" t="n">
        <v>200</v>
      </c>
      <c r="L120" s="8" t="n">
        <v>60</v>
      </c>
      <c r="M120" s="8" t="inlineStr">
        <is>
          <t>被动效果</t>
        </is>
      </c>
      <c r="N120" s="8" t="inlineStr">
        <is>
          <t>passive</t>
        </is>
      </c>
      <c r="O120" s="9" t="inlineStr">
        <is>
          <t>蓄势层数上限 +6</t>
        </is>
      </c>
      <c r="P120" s="9" t="inlineStr"/>
      <c r="Q120" s="9" t="inlineStr">
        <is>
          <t>buffStackCapBonus</t>
        </is>
      </c>
      <c r="R120" s="9" t="inlineStr">
        <is>
          <t>{"kind":"passive","label":"蓄势层数上限 +6","passiveEffect":{"type":"buffStackCapBonus","buffId":"heavy","value":6,"label":"蓄势层数上限 +6"}}</t>
        </is>
      </c>
    </row>
    <row r="121" ht="32" customHeight="1">
      <c r="A121" s="8" t="n">
        <v>100020</v>
      </c>
      <c r="B121" s="8" t="inlineStr">
        <is>
          <t>沉息归元诀</t>
        </is>
      </c>
      <c r="C121" s="8" t="inlineStr">
        <is>
          <t>功法</t>
        </is>
      </c>
      <c r="D121" s="8" t="inlineStr">
        <is>
          <t>common</t>
        </is>
      </c>
      <c r="E121" s="8" t="inlineStr">
        <is>
          <t>earth</t>
        </is>
      </c>
      <c r="F121" s="8" t="n">
        <v>3</v>
      </c>
      <c r="G121" s="8" t="inlineStr">
        <is>
          <t>功法成长层</t>
        </is>
      </c>
      <c r="H121" s="8" t="n">
        <v>3</v>
      </c>
      <c r="I121" s="9" t="inlineStr">
        <is>
          <t>修为≥1120</t>
        </is>
      </c>
      <c r="J121" s="8" t="n">
        <v>1120</v>
      </c>
      <c r="K121" s="8" t="n">
        <v>325</v>
      </c>
      <c r="L121" s="8" t="n">
        <v>90</v>
      </c>
      <c r="M121" s="8" t="inlineStr">
        <is>
          <t>条件触发</t>
        </is>
      </c>
      <c r="N121" s="8" t="inlineStr">
        <is>
          <t>triggered</t>
        </is>
      </c>
      <c r="O121" s="9" t="inlineStr">
        <is>
          <t>每获得 1 层蓄势，获得 6 点修为</t>
        </is>
      </c>
      <c r="P121" s="9" t="inlineStr">
        <is>
          <t>onBuffGain</t>
        </is>
      </c>
      <c r="Q121" s="9" t="inlineStr">
        <is>
          <t>gainCultivation</t>
        </is>
      </c>
      <c r="R121" s="9" t="inlineStr">
        <is>
          <t>{"kind":"triggered","label":"每获得 1 层蓄势，获得 6 点修为","triggeredEffect":{"trigger":"onBuffGain","eventBuffId":"heavy","type":"gainCultivation","amount":0,"amountPerEventBuffStack":6}}</t>
        </is>
      </c>
    </row>
    <row r="122" ht="32" customHeight="1">
      <c r="A122" s="8" t="n">
        <v>100020</v>
      </c>
      <c r="B122" s="8" t="inlineStr">
        <is>
          <t>沉息归元诀</t>
        </is>
      </c>
      <c r="C122" s="8" t="inlineStr">
        <is>
          <t>功法</t>
        </is>
      </c>
      <c r="D122" s="8" t="inlineStr">
        <is>
          <t>common</t>
        </is>
      </c>
      <c r="E122" s="8" t="inlineStr">
        <is>
          <t>earth</t>
        </is>
      </c>
      <c r="F122" s="8" t="n">
        <v>3</v>
      </c>
      <c r="G122" s="8" t="inlineStr">
        <is>
          <t>功法成长层</t>
        </is>
      </c>
      <c r="H122" s="8" t="n">
        <v>3</v>
      </c>
      <c r="I122" s="9" t="inlineStr">
        <is>
          <t>修为≥1120</t>
        </is>
      </c>
      <c r="J122" s="8" t="n">
        <v>1120</v>
      </c>
      <c r="K122" s="8" t="n">
        <v>325</v>
      </c>
      <c r="L122" s="8" t="n">
        <v>90</v>
      </c>
      <c r="M122" s="8" t="inlineStr">
        <is>
          <t>被动效果</t>
        </is>
      </c>
      <c r="N122" s="8" t="inlineStr">
        <is>
          <t>passive</t>
        </is>
      </c>
      <c r="O122" s="9" t="inlineStr">
        <is>
          <t>蓄势层数上限 +9</t>
        </is>
      </c>
      <c r="P122" s="9" t="inlineStr"/>
      <c r="Q122" s="9" t="inlineStr">
        <is>
          <t>buffStackCapBonus</t>
        </is>
      </c>
      <c r="R122" s="9" t="inlineStr">
        <is>
          <t>{"kind":"passive","label":"蓄势层数上限 +9","passiveEffect":{"type":"buffStackCapBonus","buffId":"heavy","value":9,"label":"蓄势层数上限 +9"}}</t>
        </is>
      </c>
    </row>
    <row r="123" ht="32" customHeight="1">
      <c r="A123" s="8" t="n">
        <v>100020</v>
      </c>
      <c r="B123" s="8" t="inlineStr">
        <is>
          <t>沉息归元诀</t>
        </is>
      </c>
      <c r="C123" s="8" t="inlineStr">
        <is>
          <t>功法</t>
        </is>
      </c>
      <c r="D123" s="8" t="inlineStr">
        <is>
          <t>common</t>
        </is>
      </c>
      <c r="E123" s="8" t="inlineStr">
        <is>
          <t>earth</t>
        </is>
      </c>
      <c r="F123" s="8" t="n">
        <v>3</v>
      </c>
      <c r="G123" s="8" t="inlineStr">
        <is>
          <t>功法成长层</t>
        </is>
      </c>
      <c r="H123" s="8" t="n">
        <v>4</v>
      </c>
      <c r="I123" s="9" t="inlineStr">
        <is>
          <t>修为≥1900</t>
        </is>
      </c>
      <c r="J123" s="8" t="n">
        <v>1900</v>
      </c>
      <c r="K123" s="8" t="n">
        <v>220</v>
      </c>
      <c r="L123" s="8" t="n">
        <v>180</v>
      </c>
      <c r="M123" s="8" t="inlineStr">
        <is>
          <t>条件触发</t>
        </is>
      </c>
      <c r="N123" s="8" t="inlineStr">
        <is>
          <t>triggered</t>
        </is>
      </c>
      <c r="O123" s="9" t="inlineStr">
        <is>
          <t>每获得 1 层蓄势，获得 8 点修为</t>
        </is>
      </c>
      <c r="P123" s="9" t="inlineStr">
        <is>
          <t>onBuffGain</t>
        </is>
      </c>
      <c r="Q123" s="9" t="inlineStr">
        <is>
          <t>gainCultivation</t>
        </is>
      </c>
      <c r="R123" s="9" t="inlineStr">
        <is>
          <t>{"kind":"triggered","label":"每获得 1 层蓄势，获得 8 点修为","triggeredEffect":{"trigger":"onBuffGain","eventBuffId":"heavy","type":"gainCultivation","amount":0,"amountPerEventBuffStack":8}}</t>
        </is>
      </c>
    </row>
    <row r="124" ht="32" customHeight="1">
      <c r="A124" s="8" t="n">
        <v>100020</v>
      </c>
      <c r="B124" s="8" t="inlineStr">
        <is>
          <t>沉息归元诀</t>
        </is>
      </c>
      <c r="C124" s="8" t="inlineStr">
        <is>
          <t>功法</t>
        </is>
      </c>
      <c r="D124" s="8" t="inlineStr">
        <is>
          <t>common</t>
        </is>
      </c>
      <c r="E124" s="8" t="inlineStr">
        <is>
          <t>earth</t>
        </is>
      </c>
      <c r="F124" s="8" t="n">
        <v>3</v>
      </c>
      <c r="G124" s="8" t="inlineStr">
        <is>
          <t>功法成长层</t>
        </is>
      </c>
      <c r="H124" s="8" t="n">
        <v>4</v>
      </c>
      <c r="I124" s="9" t="inlineStr">
        <is>
          <t>修为≥1900</t>
        </is>
      </c>
      <c r="J124" s="8" t="n">
        <v>1900</v>
      </c>
      <c r="K124" s="8" t="n">
        <v>220</v>
      </c>
      <c r="L124" s="8" t="n">
        <v>180</v>
      </c>
      <c r="M124" s="8" t="inlineStr">
        <is>
          <t>被动效果</t>
        </is>
      </c>
      <c r="N124" s="8" t="inlineStr">
        <is>
          <t>passive</t>
        </is>
      </c>
      <c r="O124" s="9" t="inlineStr">
        <is>
          <t>蓄势层数上限 +12</t>
        </is>
      </c>
      <c r="P124" s="9" t="inlineStr"/>
      <c r="Q124" s="9" t="inlineStr">
        <is>
          <t>buffStackCapBonus</t>
        </is>
      </c>
      <c r="R124" s="9" t="inlineStr">
        <is>
          <t>{"kind":"passive","label":"蓄势层数上限 +12","passiveEffect":{"type":"buffStackCapBonus","buffId":"heavy","value":12,"label":"蓄势层数上限 +12"}}</t>
        </is>
      </c>
    </row>
    <row r="125" ht="32" customHeight="1">
      <c r="A125" s="8" t="n">
        <v>100022</v>
      </c>
      <c r="B125" s="8" t="inlineStr">
        <is>
          <t>搬山运气诀</t>
        </is>
      </c>
      <c r="C125" s="8" t="inlineStr">
        <is>
          <t>功法</t>
        </is>
      </c>
      <c r="D125" s="8" t="inlineStr">
        <is>
          <t>common</t>
        </is>
      </c>
      <c r="E125" s="8" t="inlineStr">
        <is>
          <t>earth</t>
        </is>
      </c>
      <c r="F125" s="8" t="n">
        <v>1</v>
      </c>
      <c r="G125" s="8" t="inlineStr">
        <is>
          <t>基础/顶层</t>
        </is>
      </c>
      <c r="H125" s="8" t="inlineStr"/>
      <c r="I125" s="9" t="inlineStr"/>
      <c r="J125" s="8" t="inlineStr"/>
      <c r="K125" s="8" t="inlineStr"/>
      <c r="L125" s="8" t="inlineStr"/>
      <c r="M125" s="8" t="inlineStr">
        <is>
          <t>条件触发</t>
        </is>
      </c>
      <c r="N125" s="8" t="inlineStr">
        <is>
          <t>triggered</t>
        </is>
      </c>
      <c r="O125" s="9" t="inlineStr">
        <is>
          <t>每获得 1 点体力，获得 1 点修为</t>
        </is>
      </c>
      <c r="P125" s="9" t="inlineStr">
        <is>
          <t>onPrimaryStatGain</t>
        </is>
      </c>
      <c r="Q125" s="9" t="inlineStr">
        <is>
          <t>gainCultivation</t>
        </is>
      </c>
      <c r="R125" s="9" t="inlineStr">
        <is>
          <t>{"kind":"triggered","label":"&lt;cultivation&gt;每获得 1 点体力，获得 1 点修为&lt;/cultivation&gt;","triggeredEffect":{"trigger":"onPrimaryStatGain","type":"gainCultivation","amount":0,"amountPerEventPrimaryStatGain":1,"eventPrimaryStatGainFilter":["stamina"]}}</t>
        </is>
      </c>
    </row>
    <row r="126" ht="32" customHeight="1">
      <c r="A126" s="8" t="n">
        <v>100022</v>
      </c>
      <c r="B126" s="8" t="inlineStr">
        <is>
          <t>搬山运气诀</t>
        </is>
      </c>
      <c r="C126" s="8" t="inlineStr">
        <is>
          <t>功法</t>
        </is>
      </c>
      <c r="D126" s="8" t="inlineStr">
        <is>
          <t>common</t>
        </is>
      </c>
      <c r="E126" s="8" t="inlineStr">
        <is>
          <t>earth</t>
        </is>
      </c>
      <c r="F126" s="8" t="n">
        <v>2</v>
      </c>
      <c r="G126" s="8" t="inlineStr">
        <is>
          <t>基础/顶层</t>
        </is>
      </c>
      <c r="H126" s="8" t="inlineStr"/>
      <c r="I126" s="9" t="inlineStr"/>
      <c r="J126" s="8" t="inlineStr"/>
      <c r="K126" s="8" t="inlineStr"/>
      <c r="L126" s="8" t="inlineStr"/>
      <c r="M126" s="8" t="inlineStr">
        <is>
          <t>被动效果</t>
        </is>
      </c>
      <c r="N126" s="8" t="inlineStr">
        <is>
          <t>passive</t>
        </is>
      </c>
      <c r="O126" s="9" t="inlineStr">
        <is>
          <t>蓄势层数上限 +3</t>
        </is>
      </c>
      <c r="P126" s="9" t="inlineStr"/>
      <c r="Q126" s="9" t="inlineStr">
        <is>
          <t>buffStackCapBonus</t>
        </is>
      </c>
      <c r="R126" s="9" t="inlineStr">
        <is>
          <t>{"kind":"passive","label":"蓄势层数上限 +3","passiveEffect":{"type":"buffStackCapBonus","buffId":"heavy","value":3,"label":"蓄势层数上限 +3"}}</t>
        </is>
      </c>
    </row>
    <row r="127" ht="32" customHeight="1">
      <c r="A127" s="8" t="n">
        <v>100022</v>
      </c>
      <c r="B127" s="8" t="inlineStr">
        <is>
          <t>搬山运气诀</t>
        </is>
      </c>
      <c r="C127" s="8" t="inlineStr">
        <is>
          <t>功法</t>
        </is>
      </c>
      <c r="D127" s="8" t="inlineStr">
        <is>
          <t>common</t>
        </is>
      </c>
      <c r="E127" s="8" t="inlineStr">
        <is>
          <t>earth</t>
        </is>
      </c>
      <c r="F127" s="8" t="n">
        <v>3</v>
      </c>
      <c r="G127" s="8" t="inlineStr">
        <is>
          <t>基础/顶层</t>
        </is>
      </c>
      <c r="H127" s="8" t="inlineStr"/>
      <c r="I127" s="9" t="inlineStr"/>
      <c r="J127" s="8" t="inlineStr"/>
      <c r="K127" s="8" t="inlineStr"/>
      <c r="L127" s="8" t="inlineStr"/>
      <c r="M127" s="8" t="inlineStr">
        <is>
          <t>被动效果</t>
        </is>
      </c>
      <c r="N127" s="8" t="inlineStr">
        <is>
          <t>passive</t>
        </is>
      </c>
      <c r="O127" s="9" t="inlineStr">
        <is>
          <t>体力上限 +10</t>
        </is>
      </c>
      <c r="P127" s="9" t="inlineStr"/>
      <c r="Q127" s="9" t="inlineStr">
        <is>
          <t>primaryStatMaxFlatBonus</t>
        </is>
      </c>
      <c r="R127" s="9" t="inlineStr">
        <is>
          <t>{"kind":"passive","label":"体力上限 +10","passiveEffect":{"type":"primaryStatMaxFlatBonus","stat":"stamina","value":10,"label":"体力上限 +10"}}</t>
        </is>
      </c>
    </row>
    <row r="128" ht="32" customHeight="1">
      <c r="A128" s="8" t="n">
        <v>100022</v>
      </c>
      <c r="B128" s="8" t="inlineStr">
        <is>
          <t>搬山运气诀</t>
        </is>
      </c>
      <c r="C128" s="8" t="inlineStr">
        <is>
          <t>功法</t>
        </is>
      </c>
      <c r="D128" s="8" t="inlineStr">
        <is>
          <t>common</t>
        </is>
      </c>
      <c r="E128" s="8" t="inlineStr">
        <is>
          <t>earth</t>
        </is>
      </c>
      <c r="F128" s="8" t="n">
        <v>4</v>
      </c>
      <c r="G128" s="8" t="inlineStr">
        <is>
          <t>功法成长层</t>
        </is>
      </c>
      <c r="H128" s="8" t="n">
        <v>1</v>
      </c>
      <c r="I128" s="9" t="inlineStr">
        <is>
          <t>无</t>
        </is>
      </c>
      <c r="J128" s="8" t="inlineStr"/>
      <c r="K128" s="8" t="inlineStr"/>
      <c r="L128" s="8" t="n">
        <v>15</v>
      </c>
      <c r="M128" s="8" t="inlineStr">
        <is>
          <t>条件触发</t>
        </is>
      </c>
      <c r="N128" s="8" t="inlineStr">
        <is>
          <t>triggered</t>
        </is>
      </c>
      <c r="O128" s="9" t="inlineStr">
        <is>
          <t>每获得 1 点体力，获得 1 点修为</t>
        </is>
      </c>
      <c r="P128" s="9" t="inlineStr">
        <is>
          <t>onPrimaryStatGain</t>
        </is>
      </c>
      <c r="Q128" s="9" t="inlineStr">
        <is>
          <t>gainCultivation</t>
        </is>
      </c>
      <c r="R128" s="9" t="inlineStr">
        <is>
          <t>{"kind":"triggered","label":"&lt;cultivation&gt;每获得 1 点体力，获得 1 点修为&lt;/cultivation&gt;","triggeredEffect":{"trigger":"onPrimaryStatGain","type":"gainCultivation","amount":0,"amountPerEventPrimaryStatGain":1,"eventPrimaryStatGainFilter":["stamina"]}}</t>
        </is>
      </c>
    </row>
    <row r="129" ht="32" customHeight="1">
      <c r="A129" s="8" t="n">
        <v>100022</v>
      </c>
      <c r="B129" s="8" t="inlineStr">
        <is>
          <t>搬山运气诀</t>
        </is>
      </c>
      <c r="C129" s="8" t="inlineStr">
        <is>
          <t>功法</t>
        </is>
      </c>
      <c r="D129" s="8" t="inlineStr">
        <is>
          <t>common</t>
        </is>
      </c>
      <c r="E129" s="8" t="inlineStr">
        <is>
          <t>earth</t>
        </is>
      </c>
      <c r="F129" s="8" t="n">
        <v>4</v>
      </c>
      <c r="G129" s="8" t="inlineStr">
        <is>
          <t>功法成长层</t>
        </is>
      </c>
      <c r="H129" s="8" t="n">
        <v>1</v>
      </c>
      <c r="I129" s="9" t="inlineStr">
        <is>
          <t>无</t>
        </is>
      </c>
      <c r="J129" s="8" t="inlineStr"/>
      <c r="K129" s="8" t="inlineStr"/>
      <c r="L129" s="8" t="n">
        <v>15</v>
      </c>
      <c r="M129" s="8" t="inlineStr">
        <is>
          <t>被动效果</t>
        </is>
      </c>
      <c r="N129" s="8" t="inlineStr">
        <is>
          <t>passive</t>
        </is>
      </c>
      <c r="O129" s="9" t="inlineStr">
        <is>
          <t>蓄势层数上限 +3</t>
        </is>
      </c>
      <c r="P129" s="9" t="inlineStr"/>
      <c r="Q129" s="9" t="inlineStr">
        <is>
          <t>buffStackCapBonus</t>
        </is>
      </c>
      <c r="R129" s="9" t="inlineStr">
        <is>
          <t>{"kind":"passive","label":"蓄势层数上限 +3","passiveEffect":{"type":"buffStackCapBonus","buffId":"heavy","value":3,"label":"蓄势层数上限 +3"}}</t>
        </is>
      </c>
    </row>
    <row r="130" ht="32" customHeight="1">
      <c r="A130" s="8" t="n">
        <v>100022</v>
      </c>
      <c r="B130" s="8" t="inlineStr">
        <is>
          <t>搬山运气诀</t>
        </is>
      </c>
      <c r="C130" s="8" t="inlineStr">
        <is>
          <t>功法</t>
        </is>
      </c>
      <c r="D130" s="8" t="inlineStr">
        <is>
          <t>common</t>
        </is>
      </c>
      <c r="E130" s="8" t="inlineStr">
        <is>
          <t>earth</t>
        </is>
      </c>
      <c r="F130" s="8" t="n">
        <v>4</v>
      </c>
      <c r="G130" s="8" t="inlineStr">
        <is>
          <t>功法成长层</t>
        </is>
      </c>
      <c r="H130" s="8" t="n">
        <v>1</v>
      </c>
      <c r="I130" s="9" t="inlineStr">
        <is>
          <t>无</t>
        </is>
      </c>
      <c r="J130" s="8" t="inlineStr"/>
      <c r="K130" s="8" t="inlineStr"/>
      <c r="L130" s="8" t="n">
        <v>15</v>
      </c>
      <c r="M130" s="8" t="inlineStr">
        <is>
          <t>被动效果</t>
        </is>
      </c>
      <c r="N130" s="8" t="inlineStr">
        <is>
          <t>passive</t>
        </is>
      </c>
      <c r="O130" s="9" t="inlineStr">
        <is>
          <t>体力上限 +10</t>
        </is>
      </c>
      <c r="P130" s="9" t="inlineStr"/>
      <c r="Q130" s="9" t="inlineStr">
        <is>
          <t>primaryStatMaxFlatBonus</t>
        </is>
      </c>
      <c r="R130" s="9" t="inlineStr">
        <is>
          <t>{"kind":"passive","label":"体力上限 +10","passiveEffect":{"type":"primaryStatMaxFlatBonus","stat":"stamina","value":10,"label":"体力上限 +10"}}</t>
        </is>
      </c>
    </row>
    <row r="131" ht="32" customHeight="1">
      <c r="A131" s="8" t="n">
        <v>100022</v>
      </c>
      <c r="B131" s="8" t="inlineStr">
        <is>
          <t>搬山运气诀</t>
        </is>
      </c>
      <c r="C131" s="8" t="inlineStr">
        <is>
          <t>功法</t>
        </is>
      </c>
      <c r="D131" s="8" t="inlineStr">
        <is>
          <t>common</t>
        </is>
      </c>
      <c r="E131" s="8" t="inlineStr">
        <is>
          <t>earth</t>
        </is>
      </c>
      <c r="F131" s="8" t="n">
        <v>4</v>
      </c>
      <c r="G131" s="8" t="inlineStr">
        <is>
          <t>功法成长层</t>
        </is>
      </c>
      <c r="H131" s="8" t="n">
        <v>2</v>
      </c>
      <c r="I131" s="9" t="inlineStr">
        <is>
          <t>修为≥190</t>
        </is>
      </c>
      <c r="J131" s="8" t="n">
        <v>190</v>
      </c>
      <c r="K131" s="8" t="n">
        <v>250</v>
      </c>
      <c r="L131" s="8" t="n">
        <v>60</v>
      </c>
      <c r="M131" s="8" t="inlineStr">
        <is>
          <t>条件触发</t>
        </is>
      </c>
      <c r="N131" s="8" t="inlineStr">
        <is>
          <t>triggered</t>
        </is>
      </c>
      <c r="O131" s="9" t="inlineStr">
        <is>
          <t>每获得 1 点体力，获得 2 点修为</t>
        </is>
      </c>
      <c r="P131" s="9" t="inlineStr">
        <is>
          <t>onPrimaryStatGain</t>
        </is>
      </c>
      <c r="Q131" s="9" t="inlineStr">
        <is>
          <t>gainCultivation</t>
        </is>
      </c>
      <c r="R131" s="9" t="inlineStr">
        <is>
          <t>{"kind":"triggered","label":"&lt;cultivation&gt;每获得 1 点体力，获得 2 点修为&lt;/cultivation&gt;","triggeredEffect":{"trigger":"onPrimaryStatGain","type":"gainCultivation","amount":0,"amountPerEventPrimaryStatGain":2,"eventPrimaryStatGainFilter":["stamina"]}}</t>
        </is>
      </c>
    </row>
    <row r="132" ht="32" customHeight="1">
      <c r="A132" s="8" t="n">
        <v>100022</v>
      </c>
      <c r="B132" s="8" t="inlineStr">
        <is>
          <t>搬山运气诀</t>
        </is>
      </c>
      <c r="C132" s="8" t="inlineStr">
        <is>
          <t>功法</t>
        </is>
      </c>
      <c r="D132" s="8" t="inlineStr">
        <is>
          <t>common</t>
        </is>
      </c>
      <c r="E132" s="8" t="inlineStr">
        <is>
          <t>earth</t>
        </is>
      </c>
      <c r="F132" s="8" t="n">
        <v>4</v>
      </c>
      <c r="G132" s="8" t="inlineStr">
        <is>
          <t>功法成长层</t>
        </is>
      </c>
      <c r="H132" s="8" t="n">
        <v>2</v>
      </c>
      <c r="I132" s="9" t="inlineStr">
        <is>
          <t>修为≥190</t>
        </is>
      </c>
      <c r="J132" s="8" t="n">
        <v>190</v>
      </c>
      <c r="K132" s="8" t="n">
        <v>250</v>
      </c>
      <c r="L132" s="8" t="n">
        <v>60</v>
      </c>
      <c r="M132" s="8" t="inlineStr">
        <is>
          <t>被动效果</t>
        </is>
      </c>
      <c r="N132" s="8" t="inlineStr">
        <is>
          <t>passive</t>
        </is>
      </c>
      <c r="O132" s="9" t="inlineStr">
        <is>
          <t>蓄势层数上限 +6</t>
        </is>
      </c>
      <c r="P132" s="9" t="inlineStr"/>
      <c r="Q132" s="9" t="inlineStr">
        <is>
          <t>buffStackCapBonus</t>
        </is>
      </c>
      <c r="R132" s="9" t="inlineStr">
        <is>
          <t>{"kind":"passive","label":"蓄势层数上限 +6","passiveEffect":{"type":"buffStackCapBonus","buffId":"heavy","value":6,"label":"蓄势层数上限 +6"}}</t>
        </is>
      </c>
    </row>
    <row r="133" ht="32" customHeight="1">
      <c r="A133" s="8" t="n">
        <v>100022</v>
      </c>
      <c r="B133" s="8" t="inlineStr">
        <is>
          <t>搬山运气诀</t>
        </is>
      </c>
      <c r="C133" s="8" t="inlineStr">
        <is>
          <t>功法</t>
        </is>
      </c>
      <c r="D133" s="8" t="inlineStr">
        <is>
          <t>common</t>
        </is>
      </c>
      <c r="E133" s="8" t="inlineStr">
        <is>
          <t>earth</t>
        </is>
      </c>
      <c r="F133" s="8" t="n">
        <v>4</v>
      </c>
      <c r="G133" s="8" t="inlineStr">
        <is>
          <t>功法成长层</t>
        </is>
      </c>
      <c r="H133" s="8" t="n">
        <v>2</v>
      </c>
      <c r="I133" s="9" t="inlineStr">
        <is>
          <t>修为≥190</t>
        </is>
      </c>
      <c r="J133" s="8" t="n">
        <v>190</v>
      </c>
      <c r="K133" s="8" t="n">
        <v>250</v>
      </c>
      <c r="L133" s="8" t="n">
        <v>60</v>
      </c>
      <c r="M133" s="8" t="inlineStr">
        <is>
          <t>被动效果</t>
        </is>
      </c>
      <c r="N133" s="8" t="inlineStr">
        <is>
          <t>passive</t>
        </is>
      </c>
      <c r="O133" s="9" t="inlineStr">
        <is>
          <t>体力上限 +20</t>
        </is>
      </c>
      <c r="P133" s="9" t="inlineStr"/>
      <c r="Q133" s="9" t="inlineStr">
        <is>
          <t>primaryStatMaxFlatBonus</t>
        </is>
      </c>
      <c r="R133" s="9" t="inlineStr">
        <is>
          <t>{"kind":"passive","label":"体力上限 +20","passiveEffect":{"type":"primaryStatMaxFlatBonus","stat":"stamina","value":20,"label":"体力上限 +20"}}</t>
        </is>
      </c>
    </row>
    <row r="134" ht="32" customHeight="1">
      <c r="A134" s="8" t="n">
        <v>100022</v>
      </c>
      <c r="B134" s="8" t="inlineStr">
        <is>
          <t>搬山运气诀</t>
        </is>
      </c>
      <c r="C134" s="8" t="inlineStr">
        <is>
          <t>功法</t>
        </is>
      </c>
      <c r="D134" s="8" t="inlineStr">
        <is>
          <t>common</t>
        </is>
      </c>
      <c r="E134" s="8" t="inlineStr">
        <is>
          <t>earth</t>
        </is>
      </c>
      <c r="F134" s="8" t="n">
        <v>4</v>
      </c>
      <c r="G134" s="8" t="inlineStr">
        <is>
          <t>功法成长层</t>
        </is>
      </c>
      <c r="H134" s="8" t="n">
        <v>3</v>
      </c>
      <c r="I134" s="9" t="inlineStr">
        <is>
          <t>修为≥860</t>
        </is>
      </c>
      <c r="J134" s="8" t="n">
        <v>860</v>
      </c>
      <c r="K134" s="8" t="n">
        <v>280</v>
      </c>
      <c r="L134" s="8" t="n">
        <v>90</v>
      </c>
      <c r="M134" s="8" t="inlineStr">
        <is>
          <t>条件触发</t>
        </is>
      </c>
      <c r="N134" s="8" t="inlineStr">
        <is>
          <t>triggered</t>
        </is>
      </c>
      <c r="O134" s="9" t="inlineStr">
        <is>
          <t>每获得 1 点体力，获得 3 点修为</t>
        </is>
      </c>
      <c r="P134" s="9" t="inlineStr">
        <is>
          <t>onPrimaryStatGain</t>
        </is>
      </c>
      <c r="Q134" s="9" t="inlineStr">
        <is>
          <t>gainCultivation</t>
        </is>
      </c>
      <c r="R134" s="9" t="inlineStr">
        <is>
          <t>{"kind":"triggered","label":"&lt;cultivation&gt;每获得 1 点体力，获得 3 点修为&lt;/cultivation&gt;","triggeredEffect":{"trigger":"onPrimaryStatGain","type":"gainCultivation","amount":0,"amountPerEventPrimaryStatGain":3,"eventPrimaryStatGainFilter":["stamina"]}}</t>
        </is>
      </c>
    </row>
    <row r="135" ht="32" customHeight="1">
      <c r="A135" s="8" t="n">
        <v>100022</v>
      </c>
      <c r="B135" s="8" t="inlineStr">
        <is>
          <t>搬山运气诀</t>
        </is>
      </c>
      <c r="C135" s="8" t="inlineStr">
        <is>
          <t>功法</t>
        </is>
      </c>
      <c r="D135" s="8" t="inlineStr">
        <is>
          <t>common</t>
        </is>
      </c>
      <c r="E135" s="8" t="inlineStr">
        <is>
          <t>earth</t>
        </is>
      </c>
      <c r="F135" s="8" t="n">
        <v>4</v>
      </c>
      <c r="G135" s="8" t="inlineStr">
        <is>
          <t>功法成长层</t>
        </is>
      </c>
      <c r="H135" s="8" t="n">
        <v>3</v>
      </c>
      <c r="I135" s="9" t="inlineStr">
        <is>
          <t>修为≥860</t>
        </is>
      </c>
      <c r="J135" s="8" t="n">
        <v>860</v>
      </c>
      <c r="K135" s="8" t="n">
        <v>280</v>
      </c>
      <c r="L135" s="8" t="n">
        <v>90</v>
      </c>
      <c r="M135" s="8" t="inlineStr">
        <is>
          <t>被动效果</t>
        </is>
      </c>
      <c r="N135" s="8" t="inlineStr">
        <is>
          <t>passive</t>
        </is>
      </c>
      <c r="O135" s="9" t="inlineStr">
        <is>
          <t>蓄势层数上限 +9</t>
        </is>
      </c>
      <c r="P135" s="9" t="inlineStr"/>
      <c r="Q135" s="9" t="inlineStr">
        <is>
          <t>buffStackCapBonus</t>
        </is>
      </c>
      <c r="R135" s="9" t="inlineStr">
        <is>
          <t>{"kind":"passive","label":"蓄势层数上限 +9","passiveEffect":{"type":"buffStackCapBonus","buffId":"heavy","value":9,"label":"蓄势层数上限 +9"}}</t>
        </is>
      </c>
    </row>
    <row r="136" ht="32" customHeight="1">
      <c r="A136" s="8" t="n">
        <v>100022</v>
      </c>
      <c r="B136" s="8" t="inlineStr">
        <is>
          <t>搬山运气诀</t>
        </is>
      </c>
      <c r="C136" s="8" t="inlineStr">
        <is>
          <t>功法</t>
        </is>
      </c>
      <c r="D136" s="8" t="inlineStr">
        <is>
          <t>common</t>
        </is>
      </c>
      <c r="E136" s="8" t="inlineStr">
        <is>
          <t>earth</t>
        </is>
      </c>
      <c r="F136" s="8" t="n">
        <v>4</v>
      </c>
      <c r="G136" s="8" t="inlineStr">
        <is>
          <t>功法成长层</t>
        </is>
      </c>
      <c r="H136" s="8" t="n">
        <v>3</v>
      </c>
      <c r="I136" s="9" t="inlineStr">
        <is>
          <t>修为≥860</t>
        </is>
      </c>
      <c r="J136" s="8" t="n">
        <v>860</v>
      </c>
      <c r="K136" s="8" t="n">
        <v>280</v>
      </c>
      <c r="L136" s="8" t="n">
        <v>90</v>
      </c>
      <c r="M136" s="8" t="inlineStr">
        <is>
          <t>被动效果</t>
        </is>
      </c>
      <c r="N136" s="8" t="inlineStr">
        <is>
          <t>passive</t>
        </is>
      </c>
      <c r="O136" s="9" t="inlineStr">
        <is>
          <t>体力上限 +30</t>
        </is>
      </c>
      <c r="P136" s="9" t="inlineStr"/>
      <c r="Q136" s="9" t="inlineStr">
        <is>
          <t>primaryStatMaxFlatBonus</t>
        </is>
      </c>
      <c r="R136" s="9" t="inlineStr">
        <is>
          <t>{"kind":"passive","label":"体力上限 +30","passiveEffect":{"type":"primaryStatMaxFlatBonus","stat":"stamina","value":30,"label":"体力上限 +30"}}</t>
        </is>
      </c>
    </row>
    <row r="137" ht="32" customHeight="1">
      <c r="A137" s="8" t="n">
        <v>100022</v>
      </c>
      <c r="B137" s="8" t="inlineStr">
        <is>
          <t>搬山运气诀</t>
        </is>
      </c>
      <c r="C137" s="8" t="inlineStr">
        <is>
          <t>功法</t>
        </is>
      </c>
      <c r="D137" s="8" t="inlineStr">
        <is>
          <t>common</t>
        </is>
      </c>
      <c r="E137" s="8" t="inlineStr">
        <is>
          <t>earth</t>
        </is>
      </c>
      <c r="F137" s="8" t="n">
        <v>4</v>
      </c>
      <c r="G137" s="8" t="inlineStr">
        <is>
          <t>功法成长层</t>
        </is>
      </c>
      <c r="H137" s="8" t="n">
        <v>4</v>
      </c>
      <c r="I137" s="9" t="inlineStr">
        <is>
          <t>修为≥1940</t>
        </is>
      </c>
      <c r="J137" s="8" t="n">
        <v>1940</v>
      </c>
      <c r="K137" s="8" t="n">
        <v>210</v>
      </c>
      <c r="L137" s="8" t="n">
        <v>180</v>
      </c>
      <c r="M137" s="8" t="inlineStr">
        <is>
          <t>条件触发</t>
        </is>
      </c>
      <c r="N137" s="8" t="inlineStr">
        <is>
          <t>triggered</t>
        </is>
      </c>
      <c r="O137" s="9" t="inlineStr">
        <is>
          <t>每获得 1 点体力，获得 4 点修为</t>
        </is>
      </c>
      <c r="P137" s="9" t="inlineStr">
        <is>
          <t>onPrimaryStatGain</t>
        </is>
      </c>
      <c r="Q137" s="9" t="inlineStr">
        <is>
          <t>gainCultivation</t>
        </is>
      </c>
      <c r="R137" s="9" t="inlineStr">
        <is>
          <t>{"kind":"triggered","label":"&lt;cultivation&gt;每获得 1 点体力，获得 4 点修为&lt;/cultivation&gt;","triggeredEffect":{"trigger":"onPrimaryStatGain","type":"gainCultivation","amount":0,"amountPerEventPrimaryStatGain":4,"eventPrimaryStatGainFilter":["stamina"]}}</t>
        </is>
      </c>
    </row>
    <row r="138" ht="32" customHeight="1">
      <c r="A138" s="8" t="n">
        <v>100022</v>
      </c>
      <c r="B138" s="8" t="inlineStr">
        <is>
          <t>搬山运气诀</t>
        </is>
      </c>
      <c r="C138" s="8" t="inlineStr">
        <is>
          <t>功法</t>
        </is>
      </c>
      <c r="D138" s="8" t="inlineStr">
        <is>
          <t>common</t>
        </is>
      </c>
      <c r="E138" s="8" t="inlineStr">
        <is>
          <t>earth</t>
        </is>
      </c>
      <c r="F138" s="8" t="n">
        <v>4</v>
      </c>
      <c r="G138" s="8" t="inlineStr">
        <is>
          <t>功法成长层</t>
        </is>
      </c>
      <c r="H138" s="8" t="n">
        <v>4</v>
      </c>
      <c r="I138" s="9" t="inlineStr">
        <is>
          <t>修为≥1940</t>
        </is>
      </c>
      <c r="J138" s="8" t="n">
        <v>1940</v>
      </c>
      <c r="K138" s="8" t="n">
        <v>210</v>
      </c>
      <c r="L138" s="8" t="n">
        <v>180</v>
      </c>
      <c r="M138" s="8" t="inlineStr">
        <is>
          <t>被动效果</t>
        </is>
      </c>
      <c r="N138" s="8" t="inlineStr">
        <is>
          <t>passive</t>
        </is>
      </c>
      <c r="O138" s="9" t="inlineStr">
        <is>
          <t>蓄势层数上限 +12</t>
        </is>
      </c>
      <c r="P138" s="9" t="inlineStr"/>
      <c r="Q138" s="9" t="inlineStr">
        <is>
          <t>buffStackCapBonus</t>
        </is>
      </c>
      <c r="R138" s="9" t="inlineStr">
        <is>
          <t>{"kind":"passive","label":"蓄势层数上限 +12","passiveEffect":{"type":"buffStackCapBonus","buffId":"heavy","value":12,"label":"蓄势层数上限 +12"}}</t>
        </is>
      </c>
    </row>
    <row r="139" ht="32" customHeight="1">
      <c r="A139" s="8" t="n">
        <v>100022</v>
      </c>
      <c r="B139" s="8" t="inlineStr">
        <is>
          <t>搬山运气诀</t>
        </is>
      </c>
      <c r="C139" s="8" t="inlineStr">
        <is>
          <t>功法</t>
        </is>
      </c>
      <c r="D139" s="8" t="inlineStr">
        <is>
          <t>common</t>
        </is>
      </c>
      <c r="E139" s="8" t="inlineStr">
        <is>
          <t>earth</t>
        </is>
      </c>
      <c r="F139" s="8" t="n">
        <v>4</v>
      </c>
      <c r="G139" s="8" t="inlineStr">
        <is>
          <t>功法成长层</t>
        </is>
      </c>
      <c r="H139" s="8" t="n">
        <v>4</v>
      </c>
      <c r="I139" s="9" t="inlineStr">
        <is>
          <t>修为≥1940</t>
        </is>
      </c>
      <c r="J139" s="8" t="n">
        <v>1940</v>
      </c>
      <c r="K139" s="8" t="n">
        <v>210</v>
      </c>
      <c r="L139" s="8" t="n">
        <v>180</v>
      </c>
      <c r="M139" s="8" t="inlineStr">
        <is>
          <t>被动效果</t>
        </is>
      </c>
      <c r="N139" s="8" t="inlineStr">
        <is>
          <t>passive</t>
        </is>
      </c>
      <c r="O139" s="9" t="inlineStr">
        <is>
          <t>体力上限 +40</t>
        </is>
      </c>
      <c r="P139" s="9" t="inlineStr"/>
      <c r="Q139" s="9" t="inlineStr">
        <is>
          <t>primaryStatMaxFlatBonus</t>
        </is>
      </c>
      <c r="R139" s="9" t="inlineStr">
        <is>
          <t>{"kind":"passive","label":"体力上限 +40","passiveEffect":{"type":"primaryStatMaxFlatBonus","stat":"stamina","value":40,"label":"体力上限 +40"}}</t>
        </is>
      </c>
    </row>
    <row r="140" ht="32" customHeight="1">
      <c r="A140" s="8" t="n">
        <v>100023</v>
      </c>
      <c r="B140" s="8" t="inlineStr">
        <is>
          <t>丹霞养火诀</t>
        </is>
      </c>
      <c r="C140" s="8" t="inlineStr">
        <is>
          <t>功法</t>
        </is>
      </c>
      <c r="D140" s="8" t="inlineStr">
        <is>
          <t>common</t>
        </is>
      </c>
      <c r="E140" s="8" t="inlineStr">
        <is>
          <t>fire</t>
        </is>
      </c>
      <c r="F140" s="8" t="n">
        <v>1</v>
      </c>
      <c r="G140" s="8" t="inlineStr">
        <is>
          <t>基础/顶层</t>
        </is>
      </c>
      <c r="H140" s="8" t="inlineStr"/>
      <c r="I140" s="9" t="inlineStr"/>
      <c r="J140" s="8" t="inlineStr"/>
      <c r="K140" s="8" t="inlineStr"/>
      <c r="L140" s="8" t="inlineStr"/>
      <c r="M140" s="8" t="inlineStr">
        <is>
          <t>说明/执行器</t>
        </is>
      </c>
      <c r="N140" s="8" t="inlineStr">
        <is>
          <t>effectNote</t>
        </is>
      </c>
      <c r="O140" s="9" t="inlineStr">
        <is>
          <t>每成功炼制 1 颗丹药，获得 200 点修为</t>
        </is>
      </c>
      <c r="P140" s="9" t="inlineStr">
        <is>
          <t>onAlchemySucceeded</t>
        </is>
      </c>
      <c r="Q140" s="9" t="inlineStr">
        <is>
          <t>gainCultivation</t>
        </is>
      </c>
      <c r="R140" s="9" t="inlineStr">
        <is>
          <t>{"kind":"effectNote","label":"每成功炼制 1 颗丹药，获得 200 点修为","executors":[{"trigger":"onAlchemySucceeded","type":"gainCultivation","amount":200,"support":"cultivationOnly"}]}</t>
        </is>
      </c>
    </row>
    <row r="141" ht="32" customHeight="1">
      <c r="A141" s="8" t="n">
        <v>100023</v>
      </c>
      <c r="B141" s="8" t="inlineStr">
        <is>
          <t>丹霞养火诀</t>
        </is>
      </c>
      <c r="C141" s="8" t="inlineStr">
        <is>
          <t>功法</t>
        </is>
      </c>
      <c r="D141" s="8" t="inlineStr">
        <is>
          <t>common</t>
        </is>
      </c>
      <c r="E141" s="8" t="inlineStr">
        <is>
          <t>fire</t>
        </is>
      </c>
      <c r="F141" s="8" t="n">
        <v>2</v>
      </c>
      <c r="G141" s="8" t="inlineStr">
        <is>
          <t>基础/顶层</t>
        </is>
      </c>
      <c r="H141" s="8" t="inlineStr"/>
      <c r="I141" s="9" t="inlineStr"/>
      <c r="J141" s="8" t="inlineStr"/>
      <c r="K141" s="8" t="inlineStr"/>
      <c r="L141" s="8" t="inlineStr"/>
      <c r="M141" s="8" t="inlineStr">
        <is>
          <t>被动效果</t>
        </is>
      </c>
      <c r="N141" s="8" t="inlineStr">
        <is>
          <t>passive</t>
        </is>
      </c>
      <c r="O141" s="9" t="inlineStr">
        <is>
          <t>炼丹成功率 +5%</t>
        </is>
      </c>
      <c r="P141" s="9" t="inlineStr"/>
      <c r="Q141" s="9" t="inlineStr">
        <is>
          <t>alchemySuccessRateBonus</t>
        </is>
      </c>
      <c r="R141" s="9" t="inlineStr">
        <is>
          <t>{"kind":"passive","label":"炼丹成功率 +5%","passiveEffect":{"type":"alchemySuccessRateBonus","value":0.05,"label":"炼丹成功率 +5%"}}</t>
        </is>
      </c>
    </row>
    <row r="142" ht="32" customHeight="1">
      <c r="A142" s="8" t="n">
        <v>100023</v>
      </c>
      <c r="B142" s="8" t="inlineStr">
        <is>
          <t>丹霞养火诀</t>
        </is>
      </c>
      <c r="C142" s="8" t="inlineStr">
        <is>
          <t>功法</t>
        </is>
      </c>
      <c r="D142" s="8" t="inlineStr">
        <is>
          <t>common</t>
        </is>
      </c>
      <c r="E142" s="8" t="inlineStr">
        <is>
          <t>fire</t>
        </is>
      </c>
      <c r="F142" s="8" t="n">
        <v>3</v>
      </c>
      <c r="G142" s="8" t="inlineStr">
        <is>
          <t>功法成长层</t>
        </is>
      </c>
      <c r="H142" s="8" t="n">
        <v>1</v>
      </c>
      <c r="I142" s="9" t="inlineStr">
        <is>
          <t>无</t>
        </is>
      </c>
      <c r="J142" s="8" t="inlineStr"/>
      <c r="K142" s="8" t="inlineStr"/>
      <c r="L142" s="8" t="n">
        <v>180</v>
      </c>
      <c r="M142" s="8" t="inlineStr">
        <is>
          <t>说明/执行器</t>
        </is>
      </c>
      <c r="N142" s="8" t="inlineStr">
        <is>
          <t>effectNote</t>
        </is>
      </c>
      <c r="O142" s="9" t="inlineStr">
        <is>
          <t>每成功炼制 1 颗丹药，获得 200 点修为</t>
        </is>
      </c>
      <c r="P142" s="9" t="inlineStr">
        <is>
          <t>onAlchemySucceeded</t>
        </is>
      </c>
      <c r="Q142" s="9" t="inlineStr">
        <is>
          <t>gainCultivation</t>
        </is>
      </c>
      <c r="R142" s="9" t="inlineStr">
        <is>
          <t>{"kind":"effectNote","label":"每成功炼制 1 颗丹药，获得 200 点修为","executors":[{"trigger":"onAlchemySucceeded","type":"gainCultivation","amount":200,"support":"cultivationOnly"}]}</t>
        </is>
      </c>
    </row>
    <row r="143" ht="32" customHeight="1">
      <c r="A143" s="8" t="n">
        <v>100023</v>
      </c>
      <c r="B143" s="8" t="inlineStr">
        <is>
          <t>丹霞养火诀</t>
        </is>
      </c>
      <c r="C143" s="8" t="inlineStr">
        <is>
          <t>功法</t>
        </is>
      </c>
      <c r="D143" s="8" t="inlineStr">
        <is>
          <t>common</t>
        </is>
      </c>
      <c r="E143" s="8" t="inlineStr">
        <is>
          <t>fire</t>
        </is>
      </c>
      <c r="F143" s="8" t="n">
        <v>3</v>
      </c>
      <c r="G143" s="8" t="inlineStr">
        <is>
          <t>功法成长层</t>
        </is>
      </c>
      <c r="H143" s="8" t="n">
        <v>1</v>
      </c>
      <c r="I143" s="9" t="inlineStr">
        <is>
          <t>无</t>
        </is>
      </c>
      <c r="J143" s="8" t="inlineStr"/>
      <c r="K143" s="8" t="inlineStr"/>
      <c r="L143" s="8" t="n">
        <v>180</v>
      </c>
      <c r="M143" s="8" t="inlineStr">
        <is>
          <t>被动效果</t>
        </is>
      </c>
      <c r="N143" s="8" t="inlineStr">
        <is>
          <t>passive</t>
        </is>
      </c>
      <c r="O143" s="9" t="inlineStr">
        <is>
          <t>炼丹成功率 +5%</t>
        </is>
      </c>
      <c r="P143" s="9" t="inlineStr"/>
      <c r="Q143" s="9" t="inlineStr">
        <is>
          <t>alchemySuccessRateBonus</t>
        </is>
      </c>
      <c r="R143" s="9" t="inlineStr">
        <is>
          <t>{"kind":"passive","label":"炼丹成功率 +5%","passiveEffect":{"type":"alchemySuccessRateBonus","value":0.05,"label":"炼丹成功率 +5%"}}</t>
        </is>
      </c>
    </row>
    <row r="144" ht="32" customHeight="1">
      <c r="A144" s="8" t="n">
        <v>100023</v>
      </c>
      <c r="B144" s="8" t="inlineStr">
        <is>
          <t>丹霞养火诀</t>
        </is>
      </c>
      <c r="C144" s="8" t="inlineStr">
        <is>
          <t>功法</t>
        </is>
      </c>
      <c r="D144" s="8" t="inlineStr">
        <is>
          <t>common</t>
        </is>
      </c>
      <c r="E144" s="8" t="inlineStr">
        <is>
          <t>fire</t>
        </is>
      </c>
      <c r="F144" s="8" t="n">
        <v>3</v>
      </c>
      <c r="G144" s="8" t="inlineStr">
        <is>
          <t>功法成长层</t>
        </is>
      </c>
      <c r="H144" s="8" t="n">
        <v>2</v>
      </c>
      <c r="I144" s="9" t="inlineStr">
        <is>
          <t>修为≥2150</t>
        </is>
      </c>
      <c r="J144" s="8" t="n">
        <v>2150</v>
      </c>
      <c r="K144" s="8" t="n">
        <v>310</v>
      </c>
      <c r="L144" s="8" t="n">
        <v>60</v>
      </c>
      <c r="M144" s="8" t="inlineStr">
        <is>
          <t>说明/执行器</t>
        </is>
      </c>
      <c r="N144" s="8" t="inlineStr">
        <is>
          <t>effectNote</t>
        </is>
      </c>
      <c r="O144" s="9" t="inlineStr">
        <is>
          <t>每成功炼制 1 颗丹药，获得 300 点修为</t>
        </is>
      </c>
      <c r="P144" s="9" t="inlineStr">
        <is>
          <t>onAlchemySucceeded</t>
        </is>
      </c>
      <c r="Q144" s="9" t="inlineStr">
        <is>
          <t>gainCultivation</t>
        </is>
      </c>
      <c r="R144" s="9" t="inlineStr">
        <is>
          <t>{"kind":"effectNote","label":"每成功炼制 1 颗丹药，获得 300 点修为","executors":[{"trigger":"onAlchemySucceeded","type":"gainCultivation","amount":300,"support":"cultivationOnly"}]}</t>
        </is>
      </c>
    </row>
    <row r="145" ht="32" customHeight="1">
      <c r="A145" s="8" t="n">
        <v>100023</v>
      </c>
      <c r="B145" s="8" t="inlineStr">
        <is>
          <t>丹霞养火诀</t>
        </is>
      </c>
      <c r="C145" s="8" t="inlineStr">
        <is>
          <t>功法</t>
        </is>
      </c>
      <c r="D145" s="8" t="inlineStr">
        <is>
          <t>common</t>
        </is>
      </c>
      <c r="E145" s="8" t="inlineStr">
        <is>
          <t>fire</t>
        </is>
      </c>
      <c r="F145" s="8" t="n">
        <v>3</v>
      </c>
      <c r="G145" s="8" t="inlineStr">
        <is>
          <t>功法成长层</t>
        </is>
      </c>
      <c r="H145" s="8" t="n">
        <v>2</v>
      </c>
      <c r="I145" s="9" t="inlineStr">
        <is>
          <t>修为≥2150</t>
        </is>
      </c>
      <c r="J145" s="8" t="n">
        <v>2150</v>
      </c>
      <c r="K145" s="8" t="n">
        <v>310</v>
      </c>
      <c r="L145" s="8" t="n">
        <v>60</v>
      </c>
      <c r="M145" s="8" t="inlineStr">
        <is>
          <t>被动效果</t>
        </is>
      </c>
      <c r="N145" s="8" t="inlineStr">
        <is>
          <t>passive</t>
        </is>
      </c>
      <c r="O145" s="9" t="inlineStr">
        <is>
          <t>炼丹成功率 +10%</t>
        </is>
      </c>
      <c r="P145" s="9" t="inlineStr"/>
      <c r="Q145" s="9" t="inlineStr">
        <is>
          <t>alchemySuccessRateBonus</t>
        </is>
      </c>
      <c r="R145" s="9" t="inlineStr">
        <is>
          <t>{"kind":"passive","label":"炼丹成功率 +10%","passiveEffect":{"type":"alchemySuccessRateBonus","value":0.1,"label":"炼丹成功率 +10%"}}</t>
        </is>
      </c>
    </row>
    <row r="146" ht="32" customHeight="1">
      <c r="A146" s="8" t="n">
        <v>100023</v>
      </c>
      <c r="B146" s="8" t="inlineStr">
        <is>
          <t>丹霞养火诀</t>
        </is>
      </c>
      <c r="C146" s="8" t="inlineStr">
        <is>
          <t>功法</t>
        </is>
      </c>
      <c r="D146" s="8" t="inlineStr">
        <is>
          <t>common</t>
        </is>
      </c>
      <c r="E146" s="8" t="inlineStr">
        <is>
          <t>fire</t>
        </is>
      </c>
      <c r="F146" s="8" t="n">
        <v>3</v>
      </c>
      <c r="G146" s="8" t="inlineStr">
        <is>
          <t>功法成长层</t>
        </is>
      </c>
      <c r="H146" s="8" t="n">
        <v>3</v>
      </c>
      <c r="I146" s="9" t="inlineStr">
        <is>
          <t>修为≥5100</t>
        </is>
      </c>
      <c r="J146" s="8" t="n">
        <v>5100</v>
      </c>
      <c r="K146" s="8" t="n">
        <v>270</v>
      </c>
      <c r="L146" s="8" t="n">
        <v>90</v>
      </c>
      <c r="M146" s="8" t="inlineStr">
        <is>
          <t>说明/执行器</t>
        </is>
      </c>
      <c r="N146" s="8" t="inlineStr">
        <is>
          <t>effectNote</t>
        </is>
      </c>
      <c r="O146" s="9" t="inlineStr">
        <is>
          <t>每成功炼制 1 颗丹药，获得 400 点修为</t>
        </is>
      </c>
      <c r="P146" s="9" t="inlineStr">
        <is>
          <t>onAlchemySucceeded</t>
        </is>
      </c>
      <c r="Q146" s="9" t="inlineStr">
        <is>
          <t>gainCultivation</t>
        </is>
      </c>
      <c r="R146" s="9" t="inlineStr">
        <is>
          <t>{"kind":"effectNote","label":"每成功炼制 1 颗丹药，获得 400 点修为","executors":[{"trigger":"onAlchemySucceeded","type":"gainCultivation","amount":400,"support":"cultivationOnly"}]}</t>
        </is>
      </c>
    </row>
    <row r="147" ht="32" customHeight="1">
      <c r="A147" s="8" t="n">
        <v>100023</v>
      </c>
      <c r="B147" s="8" t="inlineStr">
        <is>
          <t>丹霞养火诀</t>
        </is>
      </c>
      <c r="C147" s="8" t="inlineStr">
        <is>
          <t>功法</t>
        </is>
      </c>
      <c r="D147" s="8" t="inlineStr">
        <is>
          <t>common</t>
        </is>
      </c>
      <c r="E147" s="8" t="inlineStr">
        <is>
          <t>fire</t>
        </is>
      </c>
      <c r="F147" s="8" t="n">
        <v>3</v>
      </c>
      <c r="G147" s="8" t="inlineStr">
        <is>
          <t>功法成长层</t>
        </is>
      </c>
      <c r="H147" s="8" t="n">
        <v>3</v>
      </c>
      <c r="I147" s="9" t="inlineStr">
        <is>
          <t>修为≥5100</t>
        </is>
      </c>
      <c r="J147" s="8" t="n">
        <v>5100</v>
      </c>
      <c r="K147" s="8" t="n">
        <v>270</v>
      </c>
      <c r="L147" s="8" t="n">
        <v>90</v>
      </c>
      <c r="M147" s="8" t="inlineStr">
        <is>
          <t>被动效果</t>
        </is>
      </c>
      <c r="N147" s="8" t="inlineStr">
        <is>
          <t>passive</t>
        </is>
      </c>
      <c r="O147" s="9" t="inlineStr">
        <is>
          <t>炼丹成功率 +15%</t>
        </is>
      </c>
      <c r="P147" s="9" t="inlineStr"/>
      <c r="Q147" s="9" t="inlineStr">
        <is>
          <t>alchemySuccessRateBonus</t>
        </is>
      </c>
      <c r="R147" s="9" t="inlineStr">
        <is>
          <t>{"kind":"passive","label":"炼丹成功率 +15%","passiveEffect":{"type":"alchemySuccessRateBonus","value":0.15,"label":"炼丹成功率 +15%"}}</t>
        </is>
      </c>
    </row>
    <row r="148" ht="32" customHeight="1">
      <c r="A148" s="8" t="n">
        <v>100023</v>
      </c>
      <c r="B148" s="8" t="inlineStr">
        <is>
          <t>丹霞养火诀</t>
        </is>
      </c>
      <c r="C148" s="8" t="inlineStr">
        <is>
          <t>功法</t>
        </is>
      </c>
      <c r="D148" s="8" t="inlineStr">
        <is>
          <t>common</t>
        </is>
      </c>
      <c r="E148" s="8" t="inlineStr">
        <is>
          <t>fire</t>
        </is>
      </c>
      <c r="F148" s="8" t="n">
        <v>3</v>
      </c>
      <c r="G148" s="8" t="inlineStr">
        <is>
          <t>功法成长层</t>
        </is>
      </c>
      <c r="H148" s="8" t="n">
        <v>4</v>
      </c>
      <c r="I148" s="9" t="inlineStr">
        <is>
          <t>修为≥19100</t>
        </is>
      </c>
      <c r="J148" s="8" t="n">
        <v>19100</v>
      </c>
      <c r="K148" s="8" t="n">
        <v>315</v>
      </c>
      <c r="L148" s="8" t="n">
        <v>180</v>
      </c>
      <c r="M148" s="8" t="inlineStr">
        <is>
          <t>说明/执行器</t>
        </is>
      </c>
      <c r="N148" s="8" t="inlineStr">
        <is>
          <t>effectNote</t>
        </is>
      </c>
      <c r="O148" s="9" t="inlineStr">
        <is>
          <t>每成功炼制 1 颗丹药，获得 500 点修为</t>
        </is>
      </c>
      <c r="P148" s="9" t="inlineStr">
        <is>
          <t>onAlchemySucceeded</t>
        </is>
      </c>
      <c r="Q148" s="9" t="inlineStr">
        <is>
          <t>gainCultivation</t>
        </is>
      </c>
      <c r="R148" s="9" t="inlineStr">
        <is>
          <t>{"kind":"effectNote","label":"每成功炼制 1 颗丹药，获得 500 点修为","executors":[{"trigger":"onAlchemySucceeded","type":"gainCultivation","amount":500,"support":"cultivationOnly"}]}</t>
        </is>
      </c>
    </row>
    <row r="149" ht="32" customHeight="1">
      <c r="A149" s="8" t="n">
        <v>100023</v>
      </c>
      <c r="B149" s="8" t="inlineStr">
        <is>
          <t>丹霞养火诀</t>
        </is>
      </c>
      <c r="C149" s="8" t="inlineStr">
        <is>
          <t>功法</t>
        </is>
      </c>
      <c r="D149" s="8" t="inlineStr">
        <is>
          <t>common</t>
        </is>
      </c>
      <c r="E149" s="8" t="inlineStr">
        <is>
          <t>fire</t>
        </is>
      </c>
      <c r="F149" s="8" t="n">
        <v>3</v>
      </c>
      <c r="G149" s="8" t="inlineStr">
        <is>
          <t>功法成长层</t>
        </is>
      </c>
      <c r="H149" s="8" t="n">
        <v>4</v>
      </c>
      <c r="I149" s="9" t="inlineStr">
        <is>
          <t>修为≥19100</t>
        </is>
      </c>
      <c r="J149" s="8" t="n">
        <v>19100</v>
      </c>
      <c r="K149" s="8" t="n">
        <v>315</v>
      </c>
      <c r="L149" s="8" t="n">
        <v>180</v>
      </c>
      <c r="M149" s="8" t="inlineStr">
        <is>
          <t>被动效果</t>
        </is>
      </c>
      <c r="N149" s="8" t="inlineStr">
        <is>
          <t>passive</t>
        </is>
      </c>
      <c r="O149" s="9" t="inlineStr">
        <is>
          <t>炼丹成功率 +20%</t>
        </is>
      </c>
      <c r="P149" s="9" t="inlineStr"/>
      <c r="Q149" s="9" t="inlineStr">
        <is>
          <t>alchemySuccessRateBonus</t>
        </is>
      </c>
      <c r="R149" s="9" t="inlineStr">
        <is>
          <t>{"kind":"passive","label":"炼丹成功率 +20%","passiveEffect":{"type":"alchemySuccessRateBonus","value":0.2,"label":"炼丹成功率 +20%"}}</t>
        </is>
      </c>
    </row>
    <row r="150" ht="32" customHeight="1">
      <c r="A150" s="8" t="n">
        <v>100024</v>
      </c>
      <c r="B150" s="8" t="inlineStr">
        <is>
          <t>青阙符旗诀</t>
        </is>
      </c>
      <c r="C150" s="8" t="inlineStr">
        <is>
          <t>功法</t>
        </is>
      </c>
      <c r="D150" s="8" t="inlineStr">
        <is>
          <t>common</t>
        </is>
      </c>
      <c r="E150" s="8" t="inlineStr">
        <is>
          <t>earth</t>
        </is>
      </c>
      <c r="F150" s="8" t="n">
        <v>1</v>
      </c>
      <c r="G150" s="8" t="inlineStr">
        <is>
          <t>基础/顶层</t>
        </is>
      </c>
      <c r="H150" s="8" t="inlineStr"/>
      <c r="I150" s="9" t="inlineStr"/>
      <c r="J150" s="8" t="inlineStr"/>
      <c r="K150" s="8" t="inlineStr"/>
      <c r="L150" s="8" t="inlineStr"/>
      <c r="M150" s="8" t="inlineStr">
        <is>
          <t>条件触发</t>
        </is>
      </c>
      <c r="N150" s="8" t="inlineStr">
        <is>
          <t>triggered</t>
        </is>
      </c>
      <c r="O150" s="9" t="inlineStr">
        <is>
          <t>每消耗 1 层蓄势时，获得 4 点修为</t>
        </is>
      </c>
      <c r="P150" s="9" t="inlineStr">
        <is>
          <t>onBuffConsumed</t>
        </is>
      </c>
      <c r="Q150" s="9" t="inlineStr">
        <is>
          <t>gainCultivation</t>
        </is>
      </c>
      <c r="R150" s="9" t="inlineStr">
        <is>
          <t>{"kind":"triggered","label":"&lt;cultivation&gt;每消耗 1 层蓄势时，获得 4 点修为&lt;/cultivation&gt;","triggeredEffect":{"trigger":"onBuffConsumed","eventBuffId":"heavy","type":"gainCultivation","amount":0,"amountPerEventBuffStack":4,"label":"&lt;cultivation&gt;每消耗 1 层蓄势时，获得 4 点修为&lt;/cultivation&gt;"}}</t>
        </is>
      </c>
    </row>
    <row r="151" ht="32" customHeight="1">
      <c r="A151" s="8" t="n">
        <v>100024</v>
      </c>
      <c r="B151" s="8" t="inlineStr">
        <is>
          <t>青阙符旗诀</t>
        </is>
      </c>
      <c r="C151" s="8" t="inlineStr">
        <is>
          <t>功法</t>
        </is>
      </c>
      <c r="D151" s="8" t="inlineStr">
        <is>
          <t>common</t>
        </is>
      </c>
      <c r="E151" s="8" t="inlineStr">
        <is>
          <t>earth</t>
        </is>
      </c>
      <c r="F151" s="8" t="n">
        <v>2</v>
      </c>
      <c r="G151" s="8" t="inlineStr">
        <is>
          <t>基础/顶层</t>
        </is>
      </c>
      <c r="H151" s="8" t="inlineStr"/>
      <c r="I151" s="9" t="inlineStr"/>
      <c r="J151" s="8" t="inlineStr"/>
      <c r="K151" s="8" t="inlineStr"/>
      <c r="L151" s="8" t="inlineStr"/>
      <c r="M151" s="8" t="inlineStr">
        <is>
          <t>被动效果</t>
        </is>
      </c>
      <c r="N151" s="8" t="inlineStr">
        <is>
          <t>passive</t>
        </is>
      </c>
      <c r="O151" s="9" t="inlineStr">
        <is>
          <t>蓄势层数上限 +15</t>
        </is>
      </c>
      <c r="P151" s="9" t="inlineStr"/>
      <c r="Q151" s="9" t="inlineStr">
        <is>
          <t>buffStackCapBonus</t>
        </is>
      </c>
      <c r="R151" s="9" t="inlineStr">
        <is>
          <t>{"kind":"passive","label":"蓄势层数上限 +15","passiveEffect":{"type":"buffStackCapBonus","buffId":"heavy","value":15,"label":"蓄势层数上限 +15"}}</t>
        </is>
      </c>
    </row>
    <row r="152" ht="32" customHeight="1">
      <c r="A152" s="8" t="n">
        <v>100024</v>
      </c>
      <c r="B152" s="8" t="inlineStr">
        <is>
          <t>青阙符旗诀</t>
        </is>
      </c>
      <c r="C152" s="8" t="inlineStr">
        <is>
          <t>功法</t>
        </is>
      </c>
      <c r="D152" s="8" t="inlineStr">
        <is>
          <t>common</t>
        </is>
      </c>
      <c r="E152" s="8" t="inlineStr">
        <is>
          <t>earth</t>
        </is>
      </c>
      <c r="F152" s="8" t="n">
        <v>3</v>
      </c>
      <c r="G152" s="8" t="inlineStr">
        <is>
          <t>功法成长层</t>
        </is>
      </c>
      <c r="H152" s="8" t="n">
        <v>1</v>
      </c>
      <c r="I152" s="9" t="inlineStr">
        <is>
          <t>无</t>
        </is>
      </c>
      <c r="J152" s="8" t="inlineStr"/>
      <c r="K152" s="8" t="inlineStr"/>
      <c r="L152" s="8" t="n">
        <v>15</v>
      </c>
      <c r="M152" s="8" t="inlineStr">
        <is>
          <t>条件触发</t>
        </is>
      </c>
      <c r="N152" s="8" t="inlineStr">
        <is>
          <t>triggered</t>
        </is>
      </c>
      <c r="O152" s="9" t="inlineStr">
        <is>
          <t>每消耗 1 层蓄势时，获得 4 点修为</t>
        </is>
      </c>
      <c r="P152" s="9" t="inlineStr">
        <is>
          <t>onBuffConsumed</t>
        </is>
      </c>
      <c r="Q152" s="9" t="inlineStr">
        <is>
          <t>gainCultivation</t>
        </is>
      </c>
      <c r="R152" s="9" t="inlineStr">
        <is>
          <t>{"kind":"triggered","label":"&lt;cultivation&gt;每消耗 1 层蓄势时，获得 4 点修为&lt;/cultivation&gt;","triggeredEffect":{"trigger":"onBuffConsumed","eventBuffId":"heavy","type":"gainCultivation","amount":0,"amountPerEventBuffStack":4,"label":"&lt;cultivation&gt;每消耗 1 层蓄势时，获得 4 点修为&lt;/cultivation&gt;"}}</t>
        </is>
      </c>
    </row>
    <row r="153" ht="32" customHeight="1">
      <c r="A153" s="8" t="n">
        <v>100024</v>
      </c>
      <c r="B153" s="8" t="inlineStr">
        <is>
          <t>青阙符旗诀</t>
        </is>
      </c>
      <c r="C153" s="8" t="inlineStr">
        <is>
          <t>功法</t>
        </is>
      </c>
      <c r="D153" s="8" t="inlineStr">
        <is>
          <t>common</t>
        </is>
      </c>
      <c r="E153" s="8" t="inlineStr">
        <is>
          <t>earth</t>
        </is>
      </c>
      <c r="F153" s="8" t="n">
        <v>3</v>
      </c>
      <c r="G153" s="8" t="inlineStr">
        <is>
          <t>功法成长层</t>
        </is>
      </c>
      <c r="H153" s="8" t="n">
        <v>1</v>
      </c>
      <c r="I153" s="9" t="inlineStr">
        <is>
          <t>无</t>
        </is>
      </c>
      <c r="J153" s="8" t="inlineStr"/>
      <c r="K153" s="8" t="inlineStr"/>
      <c r="L153" s="8" t="n">
        <v>15</v>
      </c>
      <c r="M153" s="8" t="inlineStr">
        <is>
          <t>被动效果</t>
        </is>
      </c>
      <c r="N153" s="8" t="inlineStr">
        <is>
          <t>passive</t>
        </is>
      </c>
      <c r="O153" s="9" t="inlineStr">
        <is>
          <t>蓄势层数上限 +15</t>
        </is>
      </c>
      <c r="P153" s="9" t="inlineStr"/>
      <c r="Q153" s="9" t="inlineStr">
        <is>
          <t>buffStackCapBonus</t>
        </is>
      </c>
      <c r="R153" s="9" t="inlineStr">
        <is>
          <t>{"kind":"passive","label":"蓄势层数上限 +15","passiveEffect":{"type":"buffStackCapBonus","buffId":"heavy","value":15,"label":"蓄势层数上限 +15"}}</t>
        </is>
      </c>
    </row>
    <row r="154" ht="32" customHeight="1">
      <c r="A154" s="8" t="n">
        <v>100024</v>
      </c>
      <c r="B154" s="8" t="inlineStr">
        <is>
          <t>青阙符旗诀</t>
        </is>
      </c>
      <c r="C154" s="8" t="inlineStr">
        <is>
          <t>功法</t>
        </is>
      </c>
      <c r="D154" s="8" t="inlineStr">
        <is>
          <t>common</t>
        </is>
      </c>
      <c r="E154" s="8" t="inlineStr">
        <is>
          <t>earth</t>
        </is>
      </c>
      <c r="F154" s="8" t="n">
        <v>3</v>
      </c>
      <c r="G154" s="8" t="inlineStr">
        <is>
          <t>功法成长层</t>
        </is>
      </c>
      <c r="H154" s="8" t="n">
        <v>2</v>
      </c>
      <c r="I154" s="9" t="inlineStr">
        <is>
          <t>修为≥1640</t>
        </is>
      </c>
      <c r="J154" s="8" t="n">
        <v>1640</v>
      </c>
      <c r="K154" s="8" t="n">
        <v>240</v>
      </c>
      <c r="L154" s="8" t="n">
        <v>60</v>
      </c>
      <c r="M154" s="8" t="inlineStr">
        <is>
          <t>条件触发</t>
        </is>
      </c>
      <c r="N154" s="8" t="inlineStr">
        <is>
          <t>triggered</t>
        </is>
      </c>
      <c r="O154" s="9" t="inlineStr">
        <is>
          <t>每消耗 1 层蓄势时，获得 8 点修为</t>
        </is>
      </c>
      <c r="P154" s="9" t="inlineStr">
        <is>
          <t>onBuffConsumed</t>
        </is>
      </c>
      <c r="Q154" s="9" t="inlineStr">
        <is>
          <t>gainCultivation</t>
        </is>
      </c>
      <c r="R154" s="9" t="inlineStr">
        <is>
          <t>{"kind":"triggered","label":"&lt;cultivation&gt;每消耗 1 层蓄势时，获得 8 点修为&lt;/cultivation&gt;","triggeredEffect":{"trigger":"onBuffConsumed","eventBuffId":"heavy","type":"gainCultivation","amount":0,"amountPerEventBuffStack":8,"label":"&lt;cultivation&gt;每消耗 1 层蓄势时，获得 8 点修为&lt;/cultivation&gt;"}}</t>
        </is>
      </c>
    </row>
    <row r="155" ht="32" customHeight="1">
      <c r="A155" s="8" t="n">
        <v>100024</v>
      </c>
      <c r="B155" s="8" t="inlineStr">
        <is>
          <t>青阙符旗诀</t>
        </is>
      </c>
      <c r="C155" s="8" t="inlineStr">
        <is>
          <t>功法</t>
        </is>
      </c>
      <c r="D155" s="8" t="inlineStr">
        <is>
          <t>common</t>
        </is>
      </c>
      <c r="E155" s="8" t="inlineStr">
        <is>
          <t>earth</t>
        </is>
      </c>
      <c r="F155" s="8" t="n">
        <v>3</v>
      </c>
      <c r="G155" s="8" t="inlineStr">
        <is>
          <t>功法成长层</t>
        </is>
      </c>
      <c r="H155" s="8" t="n">
        <v>2</v>
      </c>
      <c r="I155" s="9" t="inlineStr">
        <is>
          <t>修为≥1640</t>
        </is>
      </c>
      <c r="J155" s="8" t="n">
        <v>1640</v>
      </c>
      <c r="K155" s="8" t="n">
        <v>240</v>
      </c>
      <c r="L155" s="8" t="n">
        <v>60</v>
      </c>
      <c r="M155" s="8" t="inlineStr">
        <is>
          <t>被动效果</t>
        </is>
      </c>
      <c r="N155" s="8" t="inlineStr">
        <is>
          <t>passive</t>
        </is>
      </c>
      <c r="O155" s="9" t="inlineStr">
        <is>
          <t>蓄势层数上限 +20</t>
        </is>
      </c>
      <c r="P155" s="9" t="inlineStr"/>
      <c r="Q155" s="9" t="inlineStr">
        <is>
          <t>buffStackCapBonus</t>
        </is>
      </c>
      <c r="R155" s="9" t="inlineStr">
        <is>
          <t>{"kind":"passive","label":"蓄势层数上限 +20","passiveEffect":{"type":"buffStackCapBonus","buffId":"heavy","value":20,"label":"蓄势层数上限 +20"}}</t>
        </is>
      </c>
    </row>
    <row r="156" ht="32" customHeight="1">
      <c r="A156" s="8" t="n">
        <v>100024</v>
      </c>
      <c r="B156" s="8" t="inlineStr">
        <is>
          <t>青阙符旗诀</t>
        </is>
      </c>
      <c r="C156" s="8" t="inlineStr">
        <is>
          <t>功法</t>
        </is>
      </c>
      <c r="D156" s="8" t="inlineStr">
        <is>
          <t>common</t>
        </is>
      </c>
      <c r="E156" s="8" t="inlineStr">
        <is>
          <t>earth</t>
        </is>
      </c>
      <c r="F156" s="8" t="n">
        <v>3</v>
      </c>
      <c r="G156" s="8" t="inlineStr">
        <is>
          <t>功法成长层</t>
        </is>
      </c>
      <c r="H156" s="8" t="n">
        <v>3</v>
      </c>
      <c r="I156" s="9" t="inlineStr">
        <is>
          <t>修为≥6200</t>
        </is>
      </c>
      <c r="J156" s="8" t="n">
        <v>6200</v>
      </c>
      <c r="K156" s="8" t="n">
        <v>270</v>
      </c>
      <c r="L156" s="8" t="n">
        <v>90</v>
      </c>
      <c r="M156" s="8" t="inlineStr">
        <is>
          <t>条件触发</t>
        </is>
      </c>
      <c r="N156" s="8" t="inlineStr">
        <is>
          <t>triggered</t>
        </is>
      </c>
      <c r="O156" s="9" t="inlineStr">
        <is>
          <t>每消耗 1 层蓄势时，获得 12 点修为</t>
        </is>
      </c>
      <c r="P156" s="9" t="inlineStr">
        <is>
          <t>onBuffConsumed</t>
        </is>
      </c>
      <c r="Q156" s="9" t="inlineStr">
        <is>
          <t>gainCultivation</t>
        </is>
      </c>
      <c r="R156" s="9" t="inlineStr">
        <is>
          <t>{"kind":"triggered","label":"&lt;cultivation&gt;每消耗 1 层蓄势时，获得 12 点修为&lt;/cultivation&gt;","triggeredEffect":{"trigger":"onBuffConsumed","eventBuffId":"heavy","type":"gainCultivation","amount":0,"amountPerEventBuffStack":12,"label":"&lt;cultivation&gt;每消耗 1 层蓄势时，获得 12 点修为&lt;/cultivation&gt;"}}</t>
        </is>
      </c>
    </row>
    <row r="157" ht="32" customHeight="1">
      <c r="A157" s="8" t="n">
        <v>100024</v>
      </c>
      <c r="B157" s="8" t="inlineStr">
        <is>
          <t>青阙符旗诀</t>
        </is>
      </c>
      <c r="C157" s="8" t="inlineStr">
        <is>
          <t>功法</t>
        </is>
      </c>
      <c r="D157" s="8" t="inlineStr">
        <is>
          <t>common</t>
        </is>
      </c>
      <c r="E157" s="8" t="inlineStr">
        <is>
          <t>earth</t>
        </is>
      </c>
      <c r="F157" s="8" t="n">
        <v>3</v>
      </c>
      <c r="G157" s="8" t="inlineStr">
        <is>
          <t>功法成长层</t>
        </is>
      </c>
      <c r="H157" s="8" t="n">
        <v>3</v>
      </c>
      <c r="I157" s="9" t="inlineStr">
        <is>
          <t>修为≥6200</t>
        </is>
      </c>
      <c r="J157" s="8" t="n">
        <v>6200</v>
      </c>
      <c r="K157" s="8" t="n">
        <v>270</v>
      </c>
      <c r="L157" s="8" t="n">
        <v>90</v>
      </c>
      <c r="M157" s="8" t="inlineStr">
        <is>
          <t>被动效果</t>
        </is>
      </c>
      <c r="N157" s="8" t="inlineStr">
        <is>
          <t>passive</t>
        </is>
      </c>
      <c r="O157" s="9" t="inlineStr">
        <is>
          <t>蓄势层数上限 +25</t>
        </is>
      </c>
      <c r="P157" s="9" t="inlineStr"/>
      <c r="Q157" s="9" t="inlineStr">
        <is>
          <t>buffStackCapBonus</t>
        </is>
      </c>
      <c r="R157" s="9" t="inlineStr">
        <is>
          <t>{"kind":"passive","label":"蓄势层数上限 +25","passiveEffect":{"type":"buffStackCapBonus","buffId":"heavy","value":25,"label":"蓄势层数上限 +25"}}</t>
        </is>
      </c>
    </row>
    <row r="158" ht="32" customHeight="1">
      <c r="A158" s="8" t="n">
        <v>100024</v>
      </c>
      <c r="B158" s="8" t="inlineStr">
        <is>
          <t>青阙符旗诀</t>
        </is>
      </c>
      <c r="C158" s="8" t="inlineStr">
        <is>
          <t>功法</t>
        </is>
      </c>
      <c r="D158" s="8" t="inlineStr">
        <is>
          <t>common</t>
        </is>
      </c>
      <c r="E158" s="8" t="inlineStr">
        <is>
          <t>earth</t>
        </is>
      </c>
      <c r="F158" s="8" t="n">
        <v>3</v>
      </c>
      <c r="G158" s="8" t="inlineStr">
        <is>
          <t>功法成长层</t>
        </is>
      </c>
      <c r="H158" s="8" t="n">
        <v>4</v>
      </c>
      <c r="I158" s="9" t="inlineStr">
        <is>
          <t>修为≥17500</t>
        </is>
      </c>
      <c r="J158" s="8" t="n">
        <v>17500</v>
      </c>
      <c r="K158" s="8" t="n">
        <v>295</v>
      </c>
      <c r="L158" s="8" t="n">
        <v>180</v>
      </c>
      <c r="M158" s="8" t="inlineStr">
        <is>
          <t>条件触发</t>
        </is>
      </c>
      <c r="N158" s="8" t="inlineStr">
        <is>
          <t>triggered</t>
        </is>
      </c>
      <c r="O158" s="9" t="inlineStr">
        <is>
          <t>每消耗 1 层蓄势时，获得 16 点修为</t>
        </is>
      </c>
      <c r="P158" s="9" t="inlineStr">
        <is>
          <t>onBuffConsumed</t>
        </is>
      </c>
      <c r="Q158" s="9" t="inlineStr">
        <is>
          <t>gainCultivation</t>
        </is>
      </c>
      <c r="R158" s="9" t="inlineStr">
        <is>
          <t>{"kind":"triggered","label":"&lt;cultivation&gt;每消耗 1 层蓄势时，获得 16 点修为&lt;/cultivation&gt;","triggeredEffect":{"trigger":"onBuffConsumed","eventBuffId":"heavy","type":"gainCultivation","amount":0,"amountPerEventBuffStack":16,"label":"&lt;cultivation&gt;每消耗 1 层蓄势时，获得 16 点修为&lt;/cultivation&gt;"}}</t>
        </is>
      </c>
    </row>
    <row r="159" ht="32" customHeight="1">
      <c r="A159" s="8" t="n">
        <v>100024</v>
      </c>
      <c r="B159" s="8" t="inlineStr">
        <is>
          <t>青阙符旗诀</t>
        </is>
      </c>
      <c r="C159" s="8" t="inlineStr">
        <is>
          <t>功法</t>
        </is>
      </c>
      <c r="D159" s="8" t="inlineStr">
        <is>
          <t>common</t>
        </is>
      </c>
      <c r="E159" s="8" t="inlineStr">
        <is>
          <t>earth</t>
        </is>
      </c>
      <c r="F159" s="8" t="n">
        <v>3</v>
      </c>
      <c r="G159" s="8" t="inlineStr">
        <is>
          <t>功法成长层</t>
        </is>
      </c>
      <c r="H159" s="8" t="n">
        <v>4</v>
      </c>
      <c r="I159" s="9" t="inlineStr">
        <is>
          <t>修为≥17500</t>
        </is>
      </c>
      <c r="J159" s="8" t="n">
        <v>17500</v>
      </c>
      <c r="K159" s="8" t="n">
        <v>295</v>
      </c>
      <c r="L159" s="8" t="n">
        <v>180</v>
      </c>
      <c r="M159" s="8" t="inlineStr">
        <is>
          <t>被动效果</t>
        </is>
      </c>
      <c r="N159" s="8" t="inlineStr">
        <is>
          <t>passive</t>
        </is>
      </c>
      <c r="O159" s="9" t="inlineStr">
        <is>
          <t>蓄势层数上限 +30</t>
        </is>
      </c>
      <c r="P159" s="9" t="inlineStr"/>
      <c r="Q159" s="9" t="inlineStr">
        <is>
          <t>buffStackCapBonus</t>
        </is>
      </c>
      <c r="R159" s="9" t="inlineStr">
        <is>
          <t>{"kind":"passive","label":"蓄势层数上限 +30","passiveEffect":{"type":"buffStackCapBonus","buffId":"heavy","value":30,"label":"蓄势层数上限 +30"}}</t>
        </is>
      </c>
    </row>
    <row r="160" ht="32" customHeight="1">
      <c r="A160" s="8" t="n">
        <v>100025</v>
      </c>
      <c r="B160" s="8" t="inlineStr">
        <is>
          <t>水月调息篇</t>
        </is>
      </c>
      <c r="C160" s="8" t="inlineStr">
        <is>
          <t>功法</t>
        </is>
      </c>
      <c r="D160" s="8" t="inlineStr">
        <is>
          <t>common</t>
        </is>
      </c>
      <c r="E160" s="8" t="inlineStr">
        <is>
          <t>water</t>
        </is>
      </c>
      <c r="F160" s="8" t="n">
        <v>1</v>
      </c>
      <c r="G160" s="8" t="inlineStr">
        <is>
          <t>基础/顶层</t>
        </is>
      </c>
      <c r="H160" s="8" t="inlineStr"/>
      <c r="I160" s="9" t="inlineStr"/>
      <c r="J160" s="8" t="inlineStr"/>
      <c r="K160" s="8" t="inlineStr"/>
      <c r="L160" s="8" t="inlineStr"/>
      <c r="M160" s="8" t="inlineStr">
        <is>
          <t>条件触发</t>
        </is>
      </c>
      <c r="N160" s="8" t="inlineStr">
        <is>
          <t>triggered</t>
        </is>
      </c>
      <c r="O160" s="9" t="inlineStr">
        <is>
          <t>每层露水恢复气血时，获得 4 点修为</t>
        </is>
      </c>
      <c r="P160" s="9" t="inlineStr">
        <is>
          <t>onBuffConsumed</t>
        </is>
      </c>
      <c r="Q160" s="9" t="inlineStr">
        <is>
          <t>gainCultivation</t>
        </is>
      </c>
      <c r="R160" s="9" t="inlineStr">
        <is>
          <t>{"kind":"triggered","label":"&lt;cultivation&gt;每层露水恢复气血时，获得 4 点修为&lt;/cultivation&gt;","triggeredEffect":{"trigger":"onBuffConsumed","eventBuffId":"dew","type":"gainCultivation","amount":0,"amountPerEventBuffStack":4,"label":"&lt;cultivation&gt;每层露水恢复气血时，获得 4 点修为&lt;/cultivation&gt;"}}</t>
        </is>
      </c>
    </row>
    <row r="161" ht="32" customHeight="1">
      <c r="A161" s="8" t="n">
        <v>100025</v>
      </c>
      <c r="B161" s="8" t="inlineStr">
        <is>
          <t>水月调息篇</t>
        </is>
      </c>
      <c r="C161" s="8" t="inlineStr">
        <is>
          <t>功法</t>
        </is>
      </c>
      <c r="D161" s="8" t="inlineStr">
        <is>
          <t>common</t>
        </is>
      </c>
      <c r="E161" s="8" t="inlineStr">
        <is>
          <t>water</t>
        </is>
      </c>
      <c r="F161" s="8" t="n">
        <v>2</v>
      </c>
      <c r="G161" s="8" t="inlineStr">
        <is>
          <t>基础/顶层</t>
        </is>
      </c>
      <c r="H161" s="8" t="inlineStr"/>
      <c r="I161" s="9" t="inlineStr"/>
      <c r="J161" s="8" t="inlineStr"/>
      <c r="K161" s="8" t="inlineStr"/>
      <c r="L161" s="8" t="inlineStr"/>
      <c r="M161" s="8" t="inlineStr">
        <is>
          <t>被动效果</t>
        </is>
      </c>
      <c r="N161" s="8" t="inlineStr">
        <is>
          <t>passive</t>
        </is>
      </c>
      <c r="O161" s="9" t="inlineStr">
        <is>
          <t>露水层数上限 +10</t>
        </is>
      </c>
      <c r="P161" s="9" t="inlineStr"/>
      <c r="Q161" s="9" t="inlineStr">
        <is>
          <t>buffStackCapBonus</t>
        </is>
      </c>
      <c r="R161" s="9" t="inlineStr">
        <is>
          <t>{"kind":"passive","label":"露水层数上限 +10","passiveEffect":{"type":"buffStackCapBonus","buffId":"dew","value":10,"label":"露水层数上限 +10"}}</t>
        </is>
      </c>
    </row>
    <row r="162" ht="32" customHeight="1">
      <c r="A162" s="8" t="n">
        <v>100025</v>
      </c>
      <c r="B162" s="8" t="inlineStr">
        <is>
          <t>水月调息篇</t>
        </is>
      </c>
      <c r="C162" s="8" t="inlineStr">
        <is>
          <t>功法</t>
        </is>
      </c>
      <c r="D162" s="8" t="inlineStr">
        <is>
          <t>common</t>
        </is>
      </c>
      <c r="E162" s="8" t="inlineStr">
        <is>
          <t>water</t>
        </is>
      </c>
      <c r="F162" s="8" t="n">
        <v>3</v>
      </c>
      <c r="G162" s="8" t="inlineStr">
        <is>
          <t>功法成长层</t>
        </is>
      </c>
      <c r="H162" s="8" t="n">
        <v>1</v>
      </c>
      <c r="I162" s="9" t="inlineStr">
        <is>
          <t>无</t>
        </is>
      </c>
      <c r="J162" s="8" t="inlineStr"/>
      <c r="K162" s="8" t="inlineStr"/>
      <c r="L162" s="8" t="n">
        <v>180</v>
      </c>
      <c r="M162" s="8" t="inlineStr">
        <is>
          <t>条件触发</t>
        </is>
      </c>
      <c r="N162" s="8" t="inlineStr">
        <is>
          <t>triggered</t>
        </is>
      </c>
      <c r="O162" s="9" t="inlineStr">
        <is>
          <t>每层露水恢复气血时，获得 4 点修为</t>
        </is>
      </c>
      <c r="P162" s="9" t="inlineStr">
        <is>
          <t>onBuffConsumed</t>
        </is>
      </c>
      <c r="Q162" s="9" t="inlineStr">
        <is>
          <t>gainCultivation</t>
        </is>
      </c>
      <c r="R162" s="9" t="inlineStr">
        <is>
          <t>{"kind":"triggered","label":"&lt;cultivation&gt;每层露水恢复气血时，获得 4 点修为&lt;/cultivation&gt;","triggeredEffect":{"trigger":"onBuffConsumed","eventBuffId":"dew","type":"gainCultivation","amount":0,"amountPerEventBuffStack":4,"label":"&lt;cultivation&gt;每层露水恢复气血时，获得 4 点修为&lt;/cultivation&gt;"}}</t>
        </is>
      </c>
    </row>
    <row r="163" ht="32" customHeight="1">
      <c r="A163" s="8" t="n">
        <v>100025</v>
      </c>
      <c r="B163" s="8" t="inlineStr">
        <is>
          <t>水月调息篇</t>
        </is>
      </c>
      <c r="C163" s="8" t="inlineStr">
        <is>
          <t>功法</t>
        </is>
      </c>
      <c r="D163" s="8" t="inlineStr">
        <is>
          <t>common</t>
        </is>
      </c>
      <c r="E163" s="8" t="inlineStr">
        <is>
          <t>water</t>
        </is>
      </c>
      <c r="F163" s="8" t="n">
        <v>3</v>
      </c>
      <c r="G163" s="8" t="inlineStr">
        <is>
          <t>功法成长层</t>
        </is>
      </c>
      <c r="H163" s="8" t="n">
        <v>1</v>
      </c>
      <c r="I163" s="9" t="inlineStr">
        <is>
          <t>无</t>
        </is>
      </c>
      <c r="J163" s="8" t="inlineStr"/>
      <c r="K163" s="8" t="inlineStr"/>
      <c r="L163" s="8" t="n">
        <v>180</v>
      </c>
      <c r="M163" s="8" t="inlineStr">
        <is>
          <t>被动效果</t>
        </is>
      </c>
      <c r="N163" s="8" t="inlineStr">
        <is>
          <t>passive</t>
        </is>
      </c>
      <c r="O163" s="9" t="inlineStr">
        <is>
          <t>露水层数上限 +10</t>
        </is>
      </c>
      <c r="P163" s="9" t="inlineStr"/>
      <c r="Q163" s="9" t="inlineStr">
        <is>
          <t>buffStackCapBonus</t>
        </is>
      </c>
      <c r="R163" s="9" t="inlineStr">
        <is>
          <t>{"kind":"passive","label":"露水层数上限 +10","passiveEffect":{"type":"buffStackCapBonus","buffId":"dew","value":10,"label":"露水层数上限 +10"}}</t>
        </is>
      </c>
    </row>
    <row r="164" ht="32" customHeight="1">
      <c r="A164" s="8" t="n">
        <v>100025</v>
      </c>
      <c r="B164" s="8" t="inlineStr">
        <is>
          <t>水月调息篇</t>
        </is>
      </c>
      <c r="C164" s="8" t="inlineStr">
        <is>
          <t>功法</t>
        </is>
      </c>
      <c r="D164" s="8" t="inlineStr">
        <is>
          <t>common</t>
        </is>
      </c>
      <c r="E164" s="8" t="inlineStr">
        <is>
          <t>water</t>
        </is>
      </c>
      <c r="F164" s="8" t="n">
        <v>3</v>
      </c>
      <c r="G164" s="8" t="inlineStr">
        <is>
          <t>功法成长层</t>
        </is>
      </c>
      <c r="H164" s="8" t="n">
        <v>2</v>
      </c>
      <c r="I164" s="9" t="inlineStr">
        <is>
          <t>修为≥1840</t>
        </is>
      </c>
      <c r="J164" s="8" t="n">
        <v>1840</v>
      </c>
      <c r="K164" s="8" t="n">
        <v>270</v>
      </c>
      <c r="L164" s="8" t="n">
        <v>60</v>
      </c>
      <c r="M164" s="8" t="inlineStr">
        <is>
          <t>条件触发</t>
        </is>
      </c>
      <c r="N164" s="8" t="inlineStr">
        <is>
          <t>triggered</t>
        </is>
      </c>
      <c r="O164" s="9" t="inlineStr">
        <is>
          <t>每层露水恢复气血时，获得 8 点修为</t>
        </is>
      </c>
      <c r="P164" s="9" t="inlineStr">
        <is>
          <t>onBuffConsumed</t>
        </is>
      </c>
      <c r="Q164" s="9" t="inlineStr">
        <is>
          <t>gainCultivation</t>
        </is>
      </c>
      <c r="R164" s="9" t="inlineStr">
        <is>
          <t>{"kind":"triggered","label":"&lt;cultivation&gt;每层露水恢复气血时，获得 8 点修为&lt;/cultivation&gt;","triggeredEffect":{"trigger":"onBuffConsumed","eventBuffId":"dew","type":"gainCultivation","amount":0,"amountPerEventBuffStack":8,"label":"&lt;cultivation&gt;每层露水恢复气血时，获得 8 点修为&lt;/cultivation&gt;"}}</t>
        </is>
      </c>
    </row>
    <row r="165" ht="32" customHeight="1">
      <c r="A165" s="8" t="n">
        <v>100025</v>
      </c>
      <c r="B165" s="8" t="inlineStr">
        <is>
          <t>水月调息篇</t>
        </is>
      </c>
      <c r="C165" s="8" t="inlineStr">
        <is>
          <t>功法</t>
        </is>
      </c>
      <c r="D165" s="8" t="inlineStr">
        <is>
          <t>common</t>
        </is>
      </c>
      <c r="E165" s="8" t="inlineStr">
        <is>
          <t>water</t>
        </is>
      </c>
      <c r="F165" s="8" t="n">
        <v>3</v>
      </c>
      <c r="G165" s="8" t="inlineStr">
        <is>
          <t>功法成长层</t>
        </is>
      </c>
      <c r="H165" s="8" t="n">
        <v>2</v>
      </c>
      <c r="I165" s="9" t="inlineStr">
        <is>
          <t>修为≥1840</t>
        </is>
      </c>
      <c r="J165" s="8" t="n">
        <v>1840</v>
      </c>
      <c r="K165" s="8" t="n">
        <v>270</v>
      </c>
      <c r="L165" s="8" t="n">
        <v>60</v>
      </c>
      <c r="M165" s="8" t="inlineStr">
        <is>
          <t>被动效果</t>
        </is>
      </c>
      <c r="N165" s="8" t="inlineStr">
        <is>
          <t>passive</t>
        </is>
      </c>
      <c r="O165" s="9" t="inlineStr">
        <is>
          <t>露水层数上限 +20</t>
        </is>
      </c>
      <c r="P165" s="9" t="inlineStr"/>
      <c r="Q165" s="9" t="inlineStr">
        <is>
          <t>buffStackCapBonus</t>
        </is>
      </c>
      <c r="R165" s="9" t="inlineStr">
        <is>
          <t>{"kind":"passive","label":"露水层数上限 +20","passiveEffect":{"type":"buffStackCapBonus","buffId":"dew","value":20,"label":"露水层数上限 +20"}}</t>
        </is>
      </c>
    </row>
    <row r="166" ht="32" customHeight="1">
      <c r="A166" s="8" t="n">
        <v>100025</v>
      </c>
      <c r="B166" s="8" t="inlineStr">
        <is>
          <t>水月调息篇</t>
        </is>
      </c>
      <c r="C166" s="8" t="inlineStr">
        <is>
          <t>功法</t>
        </is>
      </c>
      <c r="D166" s="8" t="inlineStr">
        <is>
          <t>common</t>
        </is>
      </c>
      <c r="E166" s="8" t="inlineStr">
        <is>
          <t>water</t>
        </is>
      </c>
      <c r="F166" s="8" t="n">
        <v>3</v>
      </c>
      <c r="G166" s="8" t="inlineStr">
        <is>
          <t>功法成长层</t>
        </is>
      </c>
      <c r="H166" s="8" t="n">
        <v>3</v>
      </c>
      <c r="I166" s="9" t="inlineStr">
        <is>
          <t>修为≥4600</t>
        </is>
      </c>
      <c r="J166" s="8" t="n">
        <v>4600</v>
      </c>
      <c r="K166" s="8" t="n">
        <v>245</v>
      </c>
      <c r="L166" s="8" t="n">
        <v>90</v>
      </c>
      <c r="M166" s="8" t="inlineStr">
        <is>
          <t>条件触发</t>
        </is>
      </c>
      <c r="N166" s="8" t="inlineStr">
        <is>
          <t>triggered</t>
        </is>
      </c>
      <c r="O166" s="9" t="inlineStr">
        <is>
          <t>每层露水恢复气血时，获得 12 点修为</t>
        </is>
      </c>
      <c r="P166" s="9" t="inlineStr">
        <is>
          <t>onBuffConsumed</t>
        </is>
      </c>
      <c r="Q166" s="9" t="inlineStr">
        <is>
          <t>gainCultivation</t>
        </is>
      </c>
      <c r="R166" s="9" t="inlineStr">
        <is>
          <t>{"kind":"triggered","label":"&lt;cultivation&gt;每层露水恢复气血时，获得 12 点修为&lt;/cultivation&gt;","triggeredEffect":{"trigger":"onBuffConsumed","eventBuffId":"dew","type":"gainCultivation","amount":0,"amountPerEventBuffStack":12,"label":"&lt;cultivation&gt;每层露水恢复气血时，获得 12 点修为&lt;/cultivation&gt;"}}</t>
        </is>
      </c>
    </row>
    <row r="167" ht="32" customHeight="1">
      <c r="A167" s="8" t="n">
        <v>100025</v>
      </c>
      <c r="B167" s="8" t="inlineStr">
        <is>
          <t>水月调息篇</t>
        </is>
      </c>
      <c r="C167" s="8" t="inlineStr">
        <is>
          <t>功法</t>
        </is>
      </c>
      <c r="D167" s="8" t="inlineStr">
        <is>
          <t>common</t>
        </is>
      </c>
      <c r="E167" s="8" t="inlineStr">
        <is>
          <t>water</t>
        </is>
      </c>
      <c r="F167" s="8" t="n">
        <v>3</v>
      </c>
      <c r="G167" s="8" t="inlineStr">
        <is>
          <t>功法成长层</t>
        </is>
      </c>
      <c r="H167" s="8" t="n">
        <v>3</v>
      </c>
      <c r="I167" s="9" t="inlineStr">
        <is>
          <t>修为≥4600</t>
        </is>
      </c>
      <c r="J167" s="8" t="n">
        <v>4600</v>
      </c>
      <c r="K167" s="8" t="n">
        <v>245</v>
      </c>
      <c r="L167" s="8" t="n">
        <v>90</v>
      </c>
      <c r="M167" s="8" t="inlineStr">
        <is>
          <t>被动效果</t>
        </is>
      </c>
      <c r="N167" s="8" t="inlineStr">
        <is>
          <t>passive</t>
        </is>
      </c>
      <c r="O167" s="9" t="inlineStr">
        <is>
          <t>露水层数上限 +30</t>
        </is>
      </c>
      <c r="P167" s="9" t="inlineStr"/>
      <c r="Q167" s="9" t="inlineStr">
        <is>
          <t>buffStackCapBonus</t>
        </is>
      </c>
      <c r="R167" s="9" t="inlineStr">
        <is>
          <t>{"kind":"passive","label":"露水层数上限 +30","passiveEffect":{"type":"buffStackCapBonus","buffId":"dew","value":30,"label":"露水层数上限 +30"}}</t>
        </is>
      </c>
    </row>
    <row r="168" ht="32" customHeight="1">
      <c r="A168" s="8" t="n">
        <v>100025</v>
      </c>
      <c r="B168" s="8" t="inlineStr">
        <is>
          <t>水月调息篇</t>
        </is>
      </c>
      <c r="C168" s="8" t="inlineStr">
        <is>
          <t>功法</t>
        </is>
      </c>
      <c r="D168" s="8" t="inlineStr">
        <is>
          <t>common</t>
        </is>
      </c>
      <c r="E168" s="8" t="inlineStr">
        <is>
          <t>water</t>
        </is>
      </c>
      <c r="F168" s="8" t="n">
        <v>3</v>
      </c>
      <c r="G168" s="8" t="inlineStr">
        <is>
          <t>功法成长层</t>
        </is>
      </c>
      <c r="H168" s="8" t="n">
        <v>4</v>
      </c>
      <c r="I168" s="9" t="inlineStr">
        <is>
          <t>修为≥19800</t>
        </is>
      </c>
      <c r="J168" s="8" t="n">
        <v>19800</v>
      </c>
      <c r="K168" s="8" t="n">
        <v>305</v>
      </c>
      <c r="L168" s="8" t="n">
        <v>180</v>
      </c>
      <c r="M168" s="8" t="inlineStr">
        <is>
          <t>条件触发</t>
        </is>
      </c>
      <c r="N168" s="8" t="inlineStr">
        <is>
          <t>triggered</t>
        </is>
      </c>
      <c r="O168" s="9" t="inlineStr">
        <is>
          <t>每层露水恢复气血时，获得 16 点修为</t>
        </is>
      </c>
      <c r="P168" s="9" t="inlineStr">
        <is>
          <t>onBuffConsumed</t>
        </is>
      </c>
      <c r="Q168" s="9" t="inlineStr">
        <is>
          <t>gainCultivation</t>
        </is>
      </c>
      <c r="R168" s="9" t="inlineStr">
        <is>
          <t>{"kind":"triggered","label":"&lt;cultivation&gt;每层露水恢复气血时，获得 16 点修为&lt;/cultivation&gt;","triggeredEffect":{"trigger":"onBuffConsumed","eventBuffId":"dew","type":"gainCultivation","amount":0,"amountPerEventBuffStack":16,"label":"&lt;cultivation&gt;每层露水恢复气血时，获得 16 点修为&lt;/cultivation&gt;"}}</t>
        </is>
      </c>
    </row>
    <row r="169" ht="32" customHeight="1">
      <c r="A169" s="8" t="n">
        <v>100025</v>
      </c>
      <c r="B169" s="8" t="inlineStr">
        <is>
          <t>水月调息篇</t>
        </is>
      </c>
      <c r="C169" s="8" t="inlineStr">
        <is>
          <t>功法</t>
        </is>
      </c>
      <c r="D169" s="8" t="inlineStr">
        <is>
          <t>common</t>
        </is>
      </c>
      <c r="E169" s="8" t="inlineStr">
        <is>
          <t>water</t>
        </is>
      </c>
      <c r="F169" s="8" t="n">
        <v>3</v>
      </c>
      <c r="G169" s="8" t="inlineStr">
        <is>
          <t>功法成长层</t>
        </is>
      </c>
      <c r="H169" s="8" t="n">
        <v>4</v>
      </c>
      <c r="I169" s="9" t="inlineStr">
        <is>
          <t>修为≥19800</t>
        </is>
      </c>
      <c r="J169" s="8" t="n">
        <v>19800</v>
      </c>
      <c r="K169" s="8" t="n">
        <v>305</v>
      </c>
      <c r="L169" s="8" t="n">
        <v>180</v>
      </c>
      <c r="M169" s="8" t="inlineStr">
        <is>
          <t>被动效果</t>
        </is>
      </c>
      <c r="N169" s="8" t="inlineStr">
        <is>
          <t>passive</t>
        </is>
      </c>
      <c r="O169" s="9" t="inlineStr">
        <is>
          <t>露水层数上限 +40</t>
        </is>
      </c>
      <c r="P169" s="9" t="inlineStr"/>
      <c r="Q169" s="9" t="inlineStr">
        <is>
          <t>buffStackCapBonus</t>
        </is>
      </c>
      <c r="R169" s="9" t="inlineStr">
        <is>
          <t>{"kind":"passive","label":"露水层数上限 +40","passiveEffect":{"type":"buffStackCapBonus","buffId":"dew","value":40,"label":"露水层数上限 +40"}}</t>
        </is>
      </c>
    </row>
    <row r="170" ht="32" customHeight="1">
      <c r="A170" s="8" t="n">
        <v>100027</v>
      </c>
      <c r="B170" s="8" t="inlineStr">
        <is>
          <t>金刃诀</t>
        </is>
      </c>
      <c r="C170" s="8" t="inlineStr">
        <is>
          <t>功法</t>
        </is>
      </c>
      <c r="D170" s="8" t="inlineStr">
        <is>
          <t>common</t>
        </is>
      </c>
      <c r="E170" s="8" t="inlineStr">
        <is>
          <t>metal</t>
        </is>
      </c>
      <c r="F170" s="8" t="n">
        <v>1</v>
      </c>
      <c r="G170" s="8" t="inlineStr">
        <is>
          <t>基础/顶层</t>
        </is>
      </c>
      <c r="H170" s="8" t="inlineStr"/>
      <c r="I170" s="9" t="inlineStr"/>
      <c r="J170" s="8" t="inlineStr"/>
      <c r="K170" s="8" t="inlineStr"/>
      <c r="L170" s="8" t="inlineStr"/>
      <c r="M170" s="8" t="inlineStr">
        <is>
          <t>条件触发</t>
        </is>
      </c>
      <c r="N170" s="8" t="inlineStr">
        <is>
          <t>triggered</t>
        </is>
      </c>
      <c r="O170" s="9" t="inlineStr">
        <is>
          <t>每消耗 1 层凝金时，获得 2 点修为</t>
        </is>
      </c>
      <c r="P170" s="9" t="inlineStr">
        <is>
          <t>onBuffConsumed</t>
        </is>
      </c>
      <c r="Q170" s="9" t="inlineStr">
        <is>
          <t>gainCultivation</t>
        </is>
      </c>
      <c r="R170" s="9" t="inlineStr">
        <is>
          <t>{"kind":"triggered","label":"&lt;cultivation&gt;每消耗 1 层凝金时，获得 2 点修为&lt;/cultivation&gt;","triggeredEffect":{"trigger":"onBuffConsumed","eventBuffId":"condensedMetal","type":"gainCultivation","amount":0,"amountPerEventBuffStack":2}}</t>
        </is>
      </c>
    </row>
    <row r="171" ht="32" customHeight="1">
      <c r="A171" s="8" t="n">
        <v>100027</v>
      </c>
      <c r="B171" s="8" t="inlineStr">
        <is>
          <t>金刃诀</t>
        </is>
      </c>
      <c r="C171" s="8" t="inlineStr">
        <is>
          <t>功法</t>
        </is>
      </c>
      <c r="D171" s="8" t="inlineStr">
        <is>
          <t>common</t>
        </is>
      </c>
      <c r="E171" s="8" t="inlineStr">
        <is>
          <t>metal</t>
        </is>
      </c>
      <c r="F171" s="8" t="n">
        <v>2</v>
      </c>
      <c r="G171" s="8" t="inlineStr">
        <is>
          <t>基础/顶层</t>
        </is>
      </c>
      <c r="H171" s="8" t="inlineStr"/>
      <c r="I171" s="9" t="inlineStr"/>
      <c r="J171" s="8" t="inlineStr"/>
      <c r="K171" s="8" t="inlineStr"/>
      <c r="L171" s="8" t="inlineStr"/>
      <c r="M171" s="8" t="inlineStr">
        <is>
          <t>被动效果</t>
        </is>
      </c>
      <c r="N171" s="8" t="inlineStr">
        <is>
          <t>passive</t>
        </is>
      </c>
      <c r="O171" s="9" t="inlineStr">
        <is>
          <t>凝金层数上限 +3</t>
        </is>
      </c>
      <c r="P171" s="9" t="inlineStr"/>
      <c r="Q171" s="9" t="inlineStr">
        <is>
          <t>buffStackCapBonus</t>
        </is>
      </c>
      <c r="R171" s="9" t="inlineStr">
        <is>
          <t>{"kind":"passive","label":"凝金层数上限 +3","passiveEffect":{"type":"buffStackCapBonus","buffId":"condensedMetal","value":3,"label":"凝金层数上限 +3"}}</t>
        </is>
      </c>
    </row>
    <row r="172" ht="32" customHeight="1">
      <c r="A172" s="8" t="n">
        <v>100027</v>
      </c>
      <c r="B172" s="8" t="inlineStr">
        <is>
          <t>金刃诀</t>
        </is>
      </c>
      <c r="C172" s="8" t="inlineStr">
        <is>
          <t>功法</t>
        </is>
      </c>
      <c r="D172" s="8" t="inlineStr">
        <is>
          <t>common</t>
        </is>
      </c>
      <c r="E172" s="8" t="inlineStr">
        <is>
          <t>metal</t>
        </is>
      </c>
      <c r="F172" s="8" t="n">
        <v>3</v>
      </c>
      <c r="G172" s="8" t="inlineStr">
        <is>
          <t>功法成长层</t>
        </is>
      </c>
      <c r="H172" s="8" t="n">
        <v>1</v>
      </c>
      <c r="I172" s="9" t="inlineStr">
        <is>
          <t>无</t>
        </is>
      </c>
      <c r="J172" s="8" t="inlineStr"/>
      <c r="K172" s="8" t="inlineStr"/>
      <c r="L172" s="8" t="n">
        <v>15</v>
      </c>
      <c r="M172" s="8" t="inlineStr">
        <is>
          <t>条件触发</t>
        </is>
      </c>
      <c r="N172" s="8" t="inlineStr">
        <is>
          <t>triggered</t>
        </is>
      </c>
      <c r="O172" s="9" t="inlineStr">
        <is>
          <t>每消耗 1 层凝金时，获得 2 点修为</t>
        </is>
      </c>
      <c r="P172" s="9" t="inlineStr">
        <is>
          <t>onBuffConsumed</t>
        </is>
      </c>
      <c r="Q172" s="9" t="inlineStr">
        <is>
          <t>gainCultivation</t>
        </is>
      </c>
      <c r="R172" s="9" t="inlineStr">
        <is>
          <t>{"kind":"triggered","label":"&lt;cultivation&gt;每消耗 1 层凝金时，获得 2 点修为&lt;/cultivation&gt;","triggeredEffect":{"trigger":"onBuffConsumed","eventBuffId":"condensedMetal","type":"gainCultivation","amount":0,"amountPerEventBuffStack":2}}</t>
        </is>
      </c>
    </row>
    <row r="173" ht="32" customHeight="1">
      <c r="A173" s="8" t="n">
        <v>100027</v>
      </c>
      <c r="B173" s="8" t="inlineStr">
        <is>
          <t>金刃诀</t>
        </is>
      </c>
      <c r="C173" s="8" t="inlineStr">
        <is>
          <t>功法</t>
        </is>
      </c>
      <c r="D173" s="8" t="inlineStr">
        <is>
          <t>common</t>
        </is>
      </c>
      <c r="E173" s="8" t="inlineStr">
        <is>
          <t>metal</t>
        </is>
      </c>
      <c r="F173" s="8" t="n">
        <v>3</v>
      </c>
      <c r="G173" s="8" t="inlineStr">
        <is>
          <t>功法成长层</t>
        </is>
      </c>
      <c r="H173" s="8" t="n">
        <v>1</v>
      </c>
      <c r="I173" s="9" t="inlineStr">
        <is>
          <t>无</t>
        </is>
      </c>
      <c r="J173" s="8" t="inlineStr"/>
      <c r="K173" s="8" t="inlineStr"/>
      <c r="L173" s="8" t="n">
        <v>15</v>
      </c>
      <c r="M173" s="8" t="inlineStr">
        <is>
          <t>被动效果</t>
        </is>
      </c>
      <c r="N173" s="8" t="inlineStr">
        <is>
          <t>passive</t>
        </is>
      </c>
      <c r="O173" s="9" t="inlineStr">
        <is>
          <t>凝金层数上限 +3</t>
        </is>
      </c>
      <c r="P173" s="9" t="inlineStr"/>
      <c r="Q173" s="9" t="inlineStr">
        <is>
          <t>buffStackCapBonus</t>
        </is>
      </c>
      <c r="R173" s="9" t="inlineStr">
        <is>
          <t>{"kind":"passive","label":"凝金层数上限 +3","passiveEffect":{"type":"buffStackCapBonus","buffId":"condensedMetal","value":3,"label":"凝金层数上限 +3"}}</t>
        </is>
      </c>
    </row>
    <row r="174" ht="32" customHeight="1">
      <c r="A174" s="8" t="n">
        <v>100027</v>
      </c>
      <c r="B174" s="8" t="inlineStr">
        <is>
          <t>金刃诀</t>
        </is>
      </c>
      <c r="C174" s="8" t="inlineStr">
        <is>
          <t>功法</t>
        </is>
      </c>
      <c r="D174" s="8" t="inlineStr">
        <is>
          <t>common</t>
        </is>
      </c>
      <c r="E174" s="8" t="inlineStr">
        <is>
          <t>metal</t>
        </is>
      </c>
      <c r="F174" s="8" t="n">
        <v>3</v>
      </c>
      <c r="G174" s="8" t="inlineStr">
        <is>
          <t>功法成长层</t>
        </is>
      </c>
      <c r="H174" s="8" t="n">
        <v>2</v>
      </c>
      <c r="I174" s="9" t="inlineStr">
        <is>
          <t>修为≥110</t>
        </is>
      </c>
      <c r="J174" s="8" t="n">
        <v>110</v>
      </c>
      <c r="K174" s="8" t="n">
        <v>190</v>
      </c>
      <c r="L174" s="8" t="n">
        <v>60</v>
      </c>
      <c r="M174" s="8" t="inlineStr">
        <is>
          <t>条件触发</t>
        </is>
      </c>
      <c r="N174" s="8" t="inlineStr">
        <is>
          <t>triggered</t>
        </is>
      </c>
      <c r="O174" s="9" t="inlineStr">
        <is>
          <t>每消耗 1 层凝金时，获得 4 点修为</t>
        </is>
      </c>
      <c r="P174" s="9" t="inlineStr">
        <is>
          <t>onBuffConsumed</t>
        </is>
      </c>
      <c r="Q174" s="9" t="inlineStr">
        <is>
          <t>gainCultivation</t>
        </is>
      </c>
      <c r="R174" s="9" t="inlineStr">
        <is>
          <t>{"kind":"triggered","label":"&lt;cultivation&gt;每消耗 1 层凝金时，获得 4 点修为&lt;/cultivation&gt;","triggeredEffect":{"trigger":"onBuffConsumed","eventBuffId":"condensedMetal","type":"gainCultivation","amount":0,"amountPerEventBuffStack":4}}</t>
        </is>
      </c>
    </row>
    <row r="175" ht="32" customHeight="1">
      <c r="A175" s="8" t="n">
        <v>100027</v>
      </c>
      <c r="B175" s="8" t="inlineStr">
        <is>
          <t>金刃诀</t>
        </is>
      </c>
      <c r="C175" s="8" t="inlineStr">
        <is>
          <t>功法</t>
        </is>
      </c>
      <c r="D175" s="8" t="inlineStr">
        <is>
          <t>common</t>
        </is>
      </c>
      <c r="E175" s="8" t="inlineStr">
        <is>
          <t>metal</t>
        </is>
      </c>
      <c r="F175" s="8" t="n">
        <v>3</v>
      </c>
      <c r="G175" s="8" t="inlineStr">
        <is>
          <t>功法成长层</t>
        </is>
      </c>
      <c r="H175" s="8" t="n">
        <v>2</v>
      </c>
      <c r="I175" s="9" t="inlineStr">
        <is>
          <t>修为≥110</t>
        </is>
      </c>
      <c r="J175" s="8" t="n">
        <v>110</v>
      </c>
      <c r="K175" s="8" t="n">
        <v>190</v>
      </c>
      <c r="L175" s="8" t="n">
        <v>60</v>
      </c>
      <c r="M175" s="8" t="inlineStr">
        <is>
          <t>被动效果</t>
        </is>
      </c>
      <c r="N175" s="8" t="inlineStr">
        <is>
          <t>passive</t>
        </is>
      </c>
      <c r="O175" s="9" t="inlineStr">
        <is>
          <t>凝金层数上限 +6</t>
        </is>
      </c>
      <c r="P175" s="9" t="inlineStr"/>
      <c r="Q175" s="9" t="inlineStr">
        <is>
          <t>buffStackCapBonus</t>
        </is>
      </c>
      <c r="R175" s="9" t="inlineStr">
        <is>
          <t>{"kind":"passive","label":"凝金层数上限 +6","passiveEffect":{"type":"buffStackCapBonus","buffId":"condensedMetal","value":6,"label":"凝金层数上限 +6"}}</t>
        </is>
      </c>
    </row>
    <row r="176" ht="32" customHeight="1">
      <c r="A176" s="8" t="n">
        <v>100027</v>
      </c>
      <c r="B176" s="8" t="inlineStr">
        <is>
          <t>金刃诀</t>
        </is>
      </c>
      <c r="C176" s="8" t="inlineStr">
        <is>
          <t>功法</t>
        </is>
      </c>
      <c r="D176" s="8" t="inlineStr">
        <is>
          <t>common</t>
        </is>
      </c>
      <c r="E176" s="8" t="inlineStr">
        <is>
          <t>metal</t>
        </is>
      </c>
      <c r="F176" s="8" t="n">
        <v>3</v>
      </c>
      <c r="G176" s="8" t="inlineStr">
        <is>
          <t>功法成长层</t>
        </is>
      </c>
      <c r="H176" s="8" t="n">
        <v>3</v>
      </c>
      <c r="I176" s="9" t="inlineStr">
        <is>
          <t>修为≥900</t>
        </is>
      </c>
      <c r="J176" s="8" t="n">
        <v>900</v>
      </c>
      <c r="K176" s="8" t="n">
        <v>265</v>
      </c>
      <c r="L176" s="8" t="n">
        <v>90</v>
      </c>
      <c r="M176" s="8" t="inlineStr">
        <is>
          <t>条件触发</t>
        </is>
      </c>
      <c r="N176" s="8" t="inlineStr">
        <is>
          <t>triggered</t>
        </is>
      </c>
      <c r="O176" s="9" t="inlineStr">
        <is>
          <t>每消耗 1 层凝金时，获得 6 点修为</t>
        </is>
      </c>
      <c r="P176" s="9" t="inlineStr">
        <is>
          <t>onBuffConsumed</t>
        </is>
      </c>
      <c r="Q176" s="9" t="inlineStr">
        <is>
          <t>gainCultivation</t>
        </is>
      </c>
      <c r="R176" s="9" t="inlineStr">
        <is>
          <t>{"kind":"triggered","label":"&lt;cultivation&gt;每消耗 1 层凝金时，获得 6 点修为&lt;/cultivation&gt;","triggeredEffect":{"trigger":"onBuffConsumed","eventBuffId":"condensedMetal","type":"gainCultivation","amount":0,"amountPerEventBuffStack":6}}</t>
        </is>
      </c>
    </row>
    <row r="177" ht="32" customHeight="1">
      <c r="A177" s="8" t="n">
        <v>100027</v>
      </c>
      <c r="B177" s="8" t="inlineStr">
        <is>
          <t>金刃诀</t>
        </is>
      </c>
      <c r="C177" s="8" t="inlineStr">
        <is>
          <t>功法</t>
        </is>
      </c>
      <c r="D177" s="8" t="inlineStr">
        <is>
          <t>common</t>
        </is>
      </c>
      <c r="E177" s="8" t="inlineStr">
        <is>
          <t>metal</t>
        </is>
      </c>
      <c r="F177" s="8" t="n">
        <v>3</v>
      </c>
      <c r="G177" s="8" t="inlineStr">
        <is>
          <t>功法成长层</t>
        </is>
      </c>
      <c r="H177" s="8" t="n">
        <v>3</v>
      </c>
      <c r="I177" s="9" t="inlineStr">
        <is>
          <t>修为≥900</t>
        </is>
      </c>
      <c r="J177" s="8" t="n">
        <v>900</v>
      </c>
      <c r="K177" s="8" t="n">
        <v>265</v>
      </c>
      <c r="L177" s="8" t="n">
        <v>90</v>
      </c>
      <c r="M177" s="8" t="inlineStr">
        <is>
          <t>被动效果</t>
        </is>
      </c>
      <c r="N177" s="8" t="inlineStr">
        <is>
          <t>passive</t>
        </is>
      </c>
      <c r="O177" s="9" t="inlineStr">
        <is>
          <t>凝金层数上限 +9</t>
        </is>
      </c>
      <c r="P177" s="9" t="inlineStr"/>
      <c r="Q177" s="9" t="inlineStr">
        <is>
          <t>buffStackCapBonus</t>
        </is>
      </c>
      <c r="R177" s="9" t="inlineStr">
        <is>
          <t>{"kind":"passive","label":"凝金层数上限 +9","passiveEffect":{"type":"buffStackCapBonus","buffId":"condensedMetal","value":9,"label":"凝金层数上限 +9"}}</t>
        </is>
      </c>
    </row>
    <row r="178" ht="32" customHeight="1">
      <c r="A178" s="8" t="n">
        <v>100027</v>
      </c>
      <c r="B178" s="8" t="inlineStr">
        <is>
          <t>金刃诀</t>
        </is>
      </c>
      <c r="C178" s="8" t="inlineStr">
        <is>
          <t>功法</t>
        </is>
      </c>
      <c r="D178" s="8" t="inlineStr">
        <is>
          <t>common</t>
        </is>
      </c>
      <c r="E178" s="8" t="inlineStr">
        <is>
          <t>metal</t>
        </is>
      </c>
      <c r="F178" s="8" t="n">
        <v>3</v>
      </c>
      <c r="G178" s="8" t="inlineStr">
        <is>
          <t>功法成长层</t>
        </is>
      </c>
      <c r="H178" s="8" t="n">
        <v>4</v>
      </c>
      <c r="I178" s="9" t="inlineStr">
        <is>
          <t>修为≥2450</t>
        </is>
      </c>
      <c r="J178" s="8" t="n">
        <v>2450</v>
      </c>
      <c r="K178" s="8" t="n">
        <v>225</v>
      </c>
      <c r="L178" s="8" t="n">
        <v>180</v>
      </c>
      <c r="M178" s="8" t="inlineStr">
        <is>
          <t>条件触发</t>
        </is>
      </c>
      <c r="N178" s="8" t="inlineStr">
        <is>
          <t>triggered</t>
        </is>
      </c>
      <c r="O178" s="9" t="inlineStr">
        <is>
          <t>每消耗 1 层凝金时，获得 8 点修为</t>
        </is>
      </c>
      <c r="P178" s="9" t="inlineStr">
        <is>
          <t>onBuffConsumed</t>
        </is>
      </c>
      <c r="Q178" s="9" t="inlineStr">
        <is>
          <t>gainCultivation</t>
        </is>
      </c>
      <c r="R178" s="9" t="inlineStr">
        <is>
          <t>{"kind":"triggered","label":"&lt;cultivation&gt;每消耗 1 层凝金时，获得 8 点修为&lt;/cultivation&gt;","triggeredEffect":{"trigger":"onBuffConsumed","eventBuffId":"condensedMetal","type":"gainCultivation","amount":0,"amountPerEventBuffStack":8}}</t>
        </is>
      </c>
    </row>
    <row r="179" ht="32" customHeight="1">
      <c r="A179" s="8" t="n">
        <v>100027</v>
      </c>
      <c r="B179" s="8" t="inlineStr">
        <is>
          <t>金刃诀</t>
        </is>
      </c>
      <c r="C179" s="8" t="inlineStr">
        <is>
          <t>功法</t>
        </is>
      </c>
      <c r="D179" s="8" t="inlineStr">
        <is>
          <t>common</t>
        </is>
      </c>
      <c r="E179" s="8" t="inlineStr">
        <is>
          <t>metal</t>
        </is>
      </c>
      <c r="F179" s="8" t="n">
        <v>3</v>
      </c>
      <c r="G179" s="8" t="inlineStr">
        <is>
          <t>功法成长层</t>
        </is>
      </c>
      <c r="H179" s="8" t="n">
        <v>4</v>
      </c>
      <c r="I179" s="9" t="inlineStr">
        <is>
          <t>修为≥2450</t>
        </is>
      </c>
      <c r="J179" s="8" t="n">
        <v>2450</v>
      </c>
      <c r="K179" s="8" t="n">
        <v>225</v>
      </c>
      <c r="L179" s="8" t="n">
        <v>180</v>
      </c>
      <c r="M179" s="8" t="inlineStr">
        <is>
          <t>被动效果</t>
        </is>
      </c>
      <c r="N179" s="8" t="inlineStr">
        <is>
          <t>passive</t>
        </is>
      </c>
      <c r="O179" s="9" t="inlineStr">
        <is>
          <t>凝金层数上限 +12</t>
        </is>
      </c>
      <c r="P179" s="9" t="inlineStr"/>
      <c r="Q179" s="9" t="inlineStr">
        <is>
          <t>buffStackCapBonus</t>
        </is>
      </c>
      <c r="R179" s="9" t="inlineStr">
        <is>
          <t>{"kind":"passive","label":"凝金层数上限 +12","passiveEffect":{"type":"buffStackCapBonus","buffId":"condensedMetal","value":12,"label":"凝金层数上限 +12"}}</t>
        </is>
      </c>
    </row>
    <row r="180" ht="32" customHeight="1">
      <c r="A180" s="8" t="n">
        <v>100028</v>
      </c>
      <c r="B180" s="8" t="inlineStr">
        <is>
          <t>铁甲诀</t>
        </is>
      </c>
      <c r="C180" s="8" t="inlineStr">
        <is>
          <t>功法</t>
        </is>
      </c>
      <c r="D180" s="8" t="inlineStr">
        <is>
          <t>common</t>
        </is>
      </c>
      <c r="E180" s="8" t="inlineStr">
        <is>
          <t>none</t>
        </is>
      </c>
      <c r="F180" s="8" t="n">
        <v>1</v>
      </c>
      <c r="G180" s="8" t="inlineStr">
        <is>
          <t>基础/顶层</t>
        </is>
      </c>
      <c r="H180" s="8" t="inlineStr"/>
      <c r="I180" s="9" t="inlineStr"/>
      <c r="J180" s="8" t="inlineStr"/>
      <c r="K180" s="8" t="inlineStr"/>
      <c r="L180" s="8" t="inlineStr"/>
      <c r="M180" s="8" t="inlineStr">
        <is>
          <t>周期触发</t>
        </is>
      </c>
      <c r="N180" s="8" t="inlineStr">
        <is>
          <t>periodicPulse</t>
        </is>
      </c>
      <c r="O180" s="9" t="inlineStr">
        <is>
          <t>消耗所有护甲，每消耗 1 层护甲，获得 1 点修为；每层护甲消耗时，获得 1 点修为</t>
        </is>
      </c>
      <c r="P180" s="9" t="inlineStr">
        <is>
          <t>onPeriodicPulse</t>
        </is>
      </c>
      <c r="Q180" s="9" t="inlineStr">
        <is>
          <t>consumeBuffStacks</t>
        </is>
      </c>
      <c r="R180" s="9" t="inlineStr">
        <is>
          <t>{"kind":"periodicPulse","label":"&lt;cultivation&gt;消耗所有护甲，每消耗 1 层护甲，获得 1 点修为&lt;/cultivation&gt;","periodicPulse":{"intervalSec":30,"label":"&lt;cultivation&gt;消耗所有护甲，每消耗 1 层护甲，获得 1 点修为&lt;/cultivation&gt;"},"executors":[{"trigger":"onPeriodicPulse","type":"consumeBuffStacks","sourceBuffId":"armor","consumeRatio":1,"cultivationGainPerStack":1,"label":"&lt;cultivation&gt;每层护甲消耗时，获得 1 点修为&lt;/cultivation&gt;"}]}</t>
        </is>
      </c>
    </row>
    <row r="181" ht="32" customHeight="1">
      <c r="A181" s="8" t="n">
        <v>100028</v>
      </c>
      <c r="B181" s="8" t="inlineStr">
        <is>
          <t>铁甲诀</t>
        </is>
      </c>
      <c r="C181" s="8" t="inlineStr">
        <is>
          <t>功法</t>
        </is>
      </c>
      <c r="D181" s="8" t="inlineStr">
        <is>
          <t>common</t>
        </is>
      </c>
      <c r="E181" s="8" t="inlineStr">
        <is>
          <t>none</t>
        </is>
      </c>
      <c r="F181" s="8" t="n">
        <v>2</v>
      </c>
      <c r="G181" s="8" t="inlineStr">
        <is>
          <t>基础/顶层</t>
        </is>
      </c>
      <c r="H181" s="8" t="inlineStr"/>
      <c r="I181" s="9" t="inlineStr"/>
      <c r="J181" s="8" t="inlineStr"/>
      <c r="K181" s="8" t="inlineStr"/>
      <c r="L181" s="8" t="inlineStr"/>
      <c r="M181" s="8" t="inlineStr">
        <is>
          <t>被动效果</t>
        </is>
      </c>
      <c r="N181" s="8" t="inlineStr">
        <is>
          <t>passive</t>
        </is>
      </c>
      <c r="O181" s="9" t="inlineStr">
        <is>
          <t>护甲层数上限 +5</t>
        </is>
      </c>
      <c r="P181" s="9" t="inlineStr"/>
      <c r="Q181" s="9" t="inlineStr">
        <is>
          <t>buffStackCapBonus</t>
        </is>
      </c>
      <c r="R181" s="9" t="inlineStr">
        <is>
          <t>{"kind":"passive","label":"护甲层数上限 +5","passiveEffect":{"type":"buffStackCapBonus","buffId":"armor","value":5,"label":"护甲层数上限 +5"}}</t>
        </is>
      </c>
    </row>
    <row r="182" ht="32" customHeight="1">
      <c r="A182" s="8" t="n">
        <v>100028</v>
      </c>
      <c r="B182" s="8" t="inlineStr">
        <is>
          <t>铁甲诀</t>
        </is>
      </c>
      <c r="C182" s="8" t="inlineStr">
        <is>
          <t>功法</t>
        </is>
      </c>
      <c r="D182" s="8" t="inlineStr">
        <is>
          <t>common</t>
        </is>
      </c>
      <c r="E182" s="8" t="inlineStr">
        <is>
          <t>none</t>
        </is>
      </c>
      <c r="F182" s="8" t="n">
        <v>3</v>
      </c>
      <c r="G182" s="8" t="inlineStr">
        <is>
          <t>功法成长层</t>
        </is>
      </c>
      <c r="H182" s="8" t="n">
        <v>1</v>
      </c>
      <c r="I182" s="9" t="inlineStr">
        <is>
          <t>无</t>
        </is>
      </c>
      <c r="J182" s="8" t="inlineStr"/>
      <c r="K182" s="8" t="inlineStr"/>
      <c r="L182" s="8" t="n">
        <v>15</v>
      </c>
      <c r="M182" s="8" t="inlineStr">
        <is>
          <t>周期触发</t>
        </is>
      </c>
      <c r="N182" s="8" t="inlineStr">
        <is>
          <t>periodicPulse</t>
        </is>
      </c>
      <c r="O182" s="9" t="inlineStr">
        <is>
          <t>消耗所有护甲，每消耗 1 层护甲，获得 1 点修为；每层护甲消耗时，获得 1 点修为</t>
        </is>
      </c>
      <c r="P182" s="9" t="inlineStr">
        <is>
          <t>onPeriodicPulse</t>
        </is>
      </c>
      <c r="Q182" s="9" t="inlineStr">
        <is>
          <t>consumeBuffStacks</t>
        </is>
      </c>
      <c r="R182" s="9" t="inlineStr">
        <is>
          <t>{"kind":"periodicPulse","label":"&lt;cultivation&gt;消耗所有护甲，每消耗 1 层护甲，获得 1 点修为&lt;/cultivation&gt;","periodicPulse":{"intervalSec":30,"label":"&lt;cultivation&gt;消耗所有护甲，每消耗 1 层护甲，获得 1 点修为&lt;/cultivation&gt;"},"executors":[{"trigger":"onPeriodicPulse","type":"consumeBuffStacks","sourceBuffId":"armor","consumeRatio":1,"cultivationGainPerStack":1,"label":"&lt;cultivation&gt;每层护甲消耗时，获得 1 点修为&lt;/cultivation&gt;"}]}</t>
        </is>
      </c>
    </row>
    <row r="183" ht="32" customHeight="1">
      <c r="A183" s="8" t="n">
        <v>100028</v>
      </c>
      <c r="B183" s="8" t="inlineStr">
        <is>
          <t>铁甲诀</t>
        </is>
      </c>
      <c r="C183" s="8" t="inlineStr">
        <is>
          <t>功法</t>
        </is>
      </c>
      <c r="D183" s="8" t="inlineStr">
        <is>
          <t>common</t>
        </is>
      </c>
      <c r="E183" s="8" t="inlineStr">
        <is>
          <t>none</t>
        </is>
      </c>
      <c r="F183" s="8" t="n">
        <v>3</v>
      </c>
      <c r="G183" s="8" t="inlineStr">
        <is>
          <t>功法成长层</t>
        </is>
      </c>
      <c r="H183" s="8" t="n">
        <v>1</v>
      </c>
      <c r="I183" s="9" t="inlineStr">
        <is>
          <t>无</t>
        </is>
      </c>
      <c r="J183" s="8" t="inlineStr"/>
      <c r="K183" s="8" t="inlineStr"/>
      <c r="L183" s="8" t="n">
        <v>15</v>
      </c>
      <c r="M183" s="8" t="inlineStr">
        <is>
          <t>被动效果</t>
        </is>
      </c>
      <c r="N183" s="8" t="inlineStr">
        <is>
          <t>passive</t>
        </is>
      </c>
      <c r="O183" s="9" t="inlineStr">
        <is>
          <t>护甲层数上限 +5</t>
        </is>
      </c>
      <c r="P183" s="9" t="inlineStr"/>
      <c r="Q183" s="9" t="inlineStr">
        <is>
          <t>buffStackCapBonus</t>
        </is>
      </c>
      <c r="R183" s="9" t="inlineStr">
        <is>
          <t>{"kind":"passive","label":"护甲层数上限 +5","passiveEffect":{"type":"buffStackCapBonus","buffId":"armor","value":5,"label":"护甲层数上限 +5"}}</t>
        </is>
      </c>
    </row>
    <row r="184" ht="32" customHeight="1">
      <c r="A184" s="8" t="n">
        <v>100028</v>
      </c>
      <c r="B184" s="8" t="inlineStr">
        <is>
          <t>铁甲诀</t>
        </is>
      </c>
      <c r="C184" s="8" t="inlineStr">
        <is>
          <t>功法</t>
        </is>
      </c>
      <c r="D184" s="8" t="inlineStr">
        <is>
          <t>common</t>
        </is>
      </c>
      <c r="E184" s="8" t="inlineStr">
        <is>
          <t>none</t>
        </is>
      </c>
      <c r="F184" s="8" t="n">
        <v>3</v>
      </c>
      <c r="G184" s="8" t="inlineStr">
        <is>
          <t>功法成长层</t>
        </is>
      </c>
      <c r="H184" s="8" t="n">
        <v>2</v>
      </c>
      <c r="I184" s="9" t="inlineStr">
        <is>
          <t>修为≥150</t>
        </is>
      </c>
      <c r="J184" s="8" t="n">
        <v>150</v>
      </c>
      <c r="K184" s="8" t="n">
        <v>250</v>
      </c>
      <c r="L184" s="8" t="n">
        <v>15</v>
      </c>
      <c r="M184" s="8" t="inlineStr">
        <is>
          <t>周期触发</t>
        </is>
      </c>
      <c r="N184" s="8" t="inlineStr">
        <is>
          <t>periodicPulse</t>
        </is>
      </c>
      <c r="O184" s="9" t="inlineStr">
        <is>
          <t>消耗所有护甲，每消耗 1 层护甲，获得 2 点修为；每层护甲消耗时，获得 2 点修为</t>
        </is>
      </c>
      <c r="P184" s="9" t="inlineStr">
        <is>
          <t>onPeriodicPulse</t>
        </is>
      </c>
      <c r="Q184" s="9" t="inlineStr">
        <is>
          <t>consumeBuffStacks</t>
        </is>
      </c>
      <c r="R184" s="9" t="inlineStr">
        <is>
          <t>{"kind":"periodicPulse","label":"&lt;cultivation&gt;消耗所有护甲，每消耗 1 层护甲，获得 2 点修为&lt;/cultivation&gt;","periodicPulse":{"intervalSec":30,"label":"&lt;cultivation&gt;消耗所有护甲，每消耗 1 层护甲，获得 2 点修为&lt;/cultivation&gt;"},"executors":[{"trigger":"onPeriodicPulse","type":"consumeBuffStacks","sourceBuffId":"armor","consumeRatio":1,"cultivationGainPerStack":2,"label":"&lt;cultivation&gt;每层护甲消耗时，获得 2 点修为&lt;/cultivation&gt;"}]}</t>
        </is>
      </c>
    </row>
    <row r="185" ht="32" customHeight="1">
      <c r="A185" s="8" t="n">
        <v>100028</v>
      </c>
      <c r="B185" s="8" t="inlineStr">
        <is>
          <t>铁甲诀</t>
        </is>
      </c>
      <c r="C185" s="8" t="inlineStr">
        <is>
          <t>功法</t>
        </is>
      </c>
      <c r="D185" s="8" t="inlineStr">
        <is>
          <t>common</t>
        </is>
      </c>
      <c r="E185" s="8" t="inlineStr">
        <is>
          <t>none</t>
        </is>
      </c>
      <c r="F185" s="8" t="n">
        <v>3</v>
      </c>
      <c r="G185" s="8" t="inlineStr">
        <is>
          <t>功法成长层</t>
        </is>
      </c>
      <c r="H185" s="8" t="n">
        <v>2</v>
      </c>
      <c r="I185" s="9" t="inlineStr">
        <is>
          <t>修为≥150</t>
        </is>
      </c>
      <c r="J185" s="8" t="n">
        <v>150</v>
      </c>
      <c r="K185" s="8" t="n">
        <v>250</v>
      </c>
      <c r="L185" s="8" t="n">
        <v>15</v>
      </c>
      <c r="M185" s="8" t="inlineStr">
        <is>
          <t>被动效果</t>
        </is>
      </c>
      <c r="N185" s="8" t="inlineStr">
        <is>
          <t>passive</t>
        </is>
      </c>
      <c r="O185" s="9" t="inlineStr">
        <is>
          <t>护甲层数上限 +10</t>
        </is>
      </c>
      <c r="P185" s="9" t="inlineStr"/>
      <c r="Q185" s="9" t="inlineStr">
        <is>
          <t>buffStackCapBonus</t>
        </is>
      </c>
      <c r="R185" s="9" t="inlineStr">
        <is>
          <t>{"kind":"passive","label":"护甲层数上限 +10","passiveEffect":{"type":"buffStackCapBonus","buffId":"armor","value":10,"label":"护甲层数上限 +10"}}</t>
        </is>
      </c>
    </row>
    <row r="186" ht="32" customHeight="1">
      <c r="A186" s="8" t="n">
        <v>100028</v>
      </c>
      <c r="B186" s="8" t="inlineStr">
        <is>
          <t>铁甲诀</t>
        </is>
      </c>
      <c r="C186" s="8" t="inlineStr">
        <is>
          <t>功法</t>
        </is>
      </c>
      <c r="D186" s="8" t="inlineStr">
        <is>
          <t>common</t>
        </is>
      </c>
      <c r="E186" s="8" t="inlineStr">
        <is>
          <t>none</t>
        </is>
      </c>
      <c r="F186" s="8" t="n">
        <v>3</v>
      </c>
      <c r="G186" s="8" t="inlineStr">
        <is>
          <t>功法成长层</t>
        </is>
      </c>
      <c r="H186" s="8" t="n">
        <v>3</v>
      </c>
      <c r="I186" s="9" t="inlineStr">
        <is>
          <t>修为≥470；境界≥炼气4层</t>
        </is>
      </c>
      <c r="J186" s="8" t="n">
        <v>470</v>
      </c>
      <c r="K186" s="8" t="n">
        <v>180</v>
      </c>
      <c r="L186" s="8" t="n">
        <v>60</v>
      </c>
      <c r="M186" s="8" t="inlineStr">
        <is>
          <t>周期触发</t>
        </is>
      </c>
      <c r="N186" s="8" t="inlineStr">
        <is>
          <t>periodicPulse</t>
        </is>
      </c>
      <c r="O186" s="9" t="inlineStr">
        <is>
          <t>消耗所有护甲，每消耗 1 层护甲，获得 3 点修为；每层护甲消耗时，获得 3 点修为</t>
        </is>
      </c>
      <c r="P186" s="9" t="inlineStr">
        <is>
          <t>onPeriodicPulse</t>
        </is>
      </c>
      <c r="Q186" s="9" t="inlineStr">
        <is>
          <t>consumeBuffStacks</t>
        </is>
      </c>
      <c r="R186" s="9" t="inlineStr">
        <is>
          <t>{"kind":"periodicPulse","label":"&lt;cultivation&gt;消耗所有护甲，每消耗 1 层护甲，获得 3 点修为&lt;/cultivation&gt;","periodicPulse":{"intervalSec":30,"label":"&lt;cultivation&gt;消耗所有护甲，每消耗 1 层护甲，获得 3 点修为&lt;/cultivation&gt;"},"executors":[{"trigger":"onPeriodicPulse","type":"consumeBuffStacks","sourceBuffId":"armor","consumeRatio":1,"cultivationGainPerStack":3,"label":"&lt;cultivation&gt;每层护甲消耗时，获得 3 点修为&lt;/cultivation&gt;"}]}</t>
        </is>
      </c>
    </row>
    <row r="187" ht="32" customHeight="1">
      <c r="A187" s="8" t="n">
        <v>100028</v>
      </c>
      <c r="B187" s="8" t="inlineStr">
        <is>
          <t>铁甲诀</t>
        </is>
      </c>
      <c r="C187" s="8" t="inlineStr">
        <is>
          <t>功法</t>
        </is>
      </c>
      <c r="D187" s="8" t="inlineStr">
        <is>
          <t>common</t>
        </is>
      </c>
      <c r="E187" s="8" t="inlineStr">
        <is>
          <t>none</t>
        </is>
      </c>
      <c r="F187" s="8" t="n">
        <v>3</v>
      </c>
      <c r="G187" s="8" t="inlineStr">
        <is>
          <t>功法成长层</t>
        </is>
      </c>
      <c r="H187" s="8" t="n">
        <v>3</v>
      </c>
      <c r="I187" s="9" t="inlineStr">
        <is>
          <t>修为≥470；境界≥炼气4层</t>
        </is>
      </c>
      <c r="J187" s="8" t="n">
        <v>470</v>
      </c>
      <c r="K187" s="8" t="n">
        <v>180</v>
      </c>
      <c r="L187" s="8" t="n">
        <v>60</v>
      </c>
      <c r="M187" s="8" t="inlineStr">
        <is>
          <t>被动效果</t>
        </is>
      </c>
      <c r="N187" s="8" t="inlineStr">
        <is>
          <t>passive</t>
        </is>
      </c>
      <c r="O187" s="9" t="inlineStr">
        <is>
          <t>护甲层数上限 +15</t>
        </is>
      </c>
      <c r="P187" s="9" t="inlineStr"/>
      <c r="Q187" s="9" t="inlineStr">
        <is>
          <t>buffStackCapBonus</t>
        </is>
      </c>
      <c r="R187" s="9" t="inlineStr">
        <is>
          <t>{"kind":"passive","label":"护甲层数上限 +15","passiveEffect":{"type":"buffStackCapBonus","buffId":"armor","value":15,"label":"护甲层数上限 +15"}}</t>
        </is>
      </c>
    </row>
    <row r="188" ht="32" customHeight="1">
      <c r="A188" s="8" t="n">
        <v>100028</v>
      </c>
      <c r="B188" s="8" t="inlineStr">
        <is>
          <t>铁甲诀</t>
        </is>
      </c>
      <c r="C188" s="8" t="inlineStr">
        <is>
          <t>功法</t>
        </is>
      </c>
      <c r="D188" s="8" t="inlineStr">
        <is>
          <t>common</t>
        </is>
      </c>
      <c r="E188" s="8" t="inlineStr">
        <is>
          <t>none</t>
        </is>
      </c>
      <c r="F188" s="8" t="n">
        <v>3</v>
      </c>
      <c r="G188" s="8" t="inlineStr">
        <is>
          <t>功法成长层</t>
        </is>
      </c>
      <c r="H188" s="8" t="n">
        <v>4</v>
      </c>
      <c r="I188" s="9" t="inlineStr">
        <is>
          <t>修为≥3150；境界≥炼气4层</t>
        </is>
      </c>
      <c r="J188" s="8" t="n">
        <v>3150</v>
      </c>
      <c r="K188" s="8" t="n">
        <v>245</v>
      </c>
      <c r="L188" s="8" t="n">
        <v>120</v>
      </c>
      <c r="M188" s="8" t="inlineStr">
        <is>
          <t>周期触发</t>
        </is>
      </c>
      <c r="N188" s="8" t="inlineStr">
        <is>
          <t>periodicPulse</t>
        </is>
      </c>
      <c r="O188" s="9" t="inlineStr">
        <is>
          <t>消耗所有护甲，每消耗 1 层护甲，获得 4 点修为；每层护甲消耗时，获得 4 点修为</t>
        </is>
      </c>
      <c r="P188" s="9" t="inlineStr">
        <is>
          <t>onPeriodicPulse</t>
        </is>
      </c>
      <c r="Q188" s="9" t="inlineStr">
        <is>
          <t>consumeBuffStacks</t>
        </is>
      </c>
      <c r="R188" s="9" t="inlineStr">
        <is>
          <t>{"kind":"periodicPulse","label":"&lt;cultivation&gt;消耗所有护甲，每消耗 1 层护甲，获得 4 点修为&lt;/cultivation&gt;","periodicPulse":{"intervalSec":30,"label":"&lt;cultivation&gt;消耗所有护甲，每消耗 1 层护甲，获得 4 点修为&lt;/cultivation&gt;"},"executors":[{"trigger":"onPeriodicPulse","type":"consumeBuffStacks","sourceBuffId":"armor","consumeRatio":1,"cultivationGainPerStack":4,"label":"&lt;cultivation&gt;每层护甲消耗时，获得 4 点修为&lt;/cultivation&gt;"}]}</t>
        </is>
      </c>
    </row>
    <row r="189" ht="32" customHeight="1">
      <c r="A189" s="8" t="n">
        <v>100028</v>
      </c>
      <c r="B189" s="8" t="inlineStr">
        <is>
          <t>铁甲诀</t>
        </is>
      </c>
      <c r="C189" s="8" t="inlineStr">
        <is>
          <t>功法</t>
        </is>
      </c>
      <c r="D189" s="8" t="inlineStr">
        <is>
          <t>common</t>
        </is>
      </c>
      <c r="E189" s="8" t="inlineStr">
        <is>
          <t>none</t>
        </is>
      </c>
      <c r="F189" s="8" t="n">
        <v>3</v>
      </c>
      <c r="G189" s="8" t="inlineStr">
        <is>
          <t>功法成长层</t>
        </is>
      </c>
      <c r="H189" s="8" t="n">
        <v>4</v>
      </c>
      <c r="I189" s="9" t="inlineStr">
        <is>
          <t>修为≥3150；境界≥炼气4层</t>
        </is>
      </c>
      <c r="J189" s="8" t="n">
        <v>3150</v>
      </c>
      <c r="K189" s="8" t="n">
        <v>245</v>
      </c>
      <c r="L189" s="8" t="n">
        <v>120</v>
      </c>
      <c r="M189" s="8" t="inlineStr">
        <is>
          <t>被动效果</t>
        </is>
      </c>
      <c r="N189" s="8" t="inlineStr">
        <is>
          <t>passive</t>
        </is>
      </c>
      <c r="O189" s="9" t="inlineStr">
        <is>
          <t>护甲层数上限 +20</t>
        </is>
      </c>
      <c r="P189" s="9" t="inlineStr"/>
      <c r="Q189" s="9" t="inlineStr">
        <is>
          <t>buffStackCapBonus</t>
        </is>
      </c>
      <c r="R189" s="9" t="inlineStr">
        <is>
          <t>{"kind":"passive","label":"护甲层数上限 +20","passiveEffect":{"type":"buffStackCapBonus","buffId":"armor","value":20,"label":"护甲层数上限 +20"}}</t>
        </is>
      </c>
    </row>
    <row r="190" ht="32" customHeight="1">
      <c r="A190" s="8" t="n">
        <v>100029</v>
      </c>
      <c r="B190" s="8" t="inlineStr">
        <is>
          <t>青河听潮篇</t>
        </is>
      </c>
      <c r="C190" s="8" t="inlineStr">
        <is>
          <t>功法</t>
        </is>
      </c>
      <c r="D190" s="8" t="inlineStr">
        <is>
          <t>common</t>
        </is>
      </c>
      <c r="E190" s="8" t="inlineStr">
        <is>
          <t>water</t>
        </is>
      </c>
      <c r="F190" s="8" t="n">
        <v>1</v>
      </c>
      <c r="G190" s="8" t="inlineStr">
        <is>
          <t>基础/顶层</t>
        </is>
      </c>
      <c r="H190" s="8" t="inlineStr"/>
      <c r="I190" s="9" t="inlineStr"/>
      <c r="J190" s="8" t="inlineStr"/>
      <c r="K190" s="8" t="inlineStr"/>
      <c r="L190" s="8" t="inlineStr"/>
      <c r="M190" s="8" t="inlineStr">
        <is>
          <t>条件触发</t>
        </is>
      </c>
      <c r="N190" s="8" t="inlineStr">
        <is>
          <t>triggered</t>
        </is>
      </c>
      <c r="O190" s="9" t="inlineStr">
        <is>
          <t>每消耗 1 层露水时，获得 2 点修为</t>
        </is>
      </c>
      <c r="P190" s="9" t="inlineStr">
        <is>
          <t>onBuffConsumed</t>
        </is>
      </c>
      <c r="Q190" s="9" t="inlineStr">
        <is>
          <t>gainCultivation</t>
        </is>
      </c>
      <c r="R190" s="9" t="inlineStr">
        <is>
          <t>{"kind":"triggered","label":"&lt;cultivation&gt;每消耗 1 层露水时，获得 2 点修为&lt;/cultivation&gt;","triggeredEffect":{"trigger":"onBuffConsumed","eventBuffId":"dew","type":"gainCultivation","amount":0,"amountPerEventBuffStack":2}}</t>
        </is>
      </c>
    </row>
    <row r="191" ht="32" customHeight="1">
      <c r="A191" s="8" t="n">
        <v>100029</v>
      </c>
      <c r="B191" s="8" t="inlineStr">
        <is>
          <t>青河听潮篇</t>
        </is>
      </c>
      <c r="C191" s="8" t="inlineStr">
        <is>
          <t>功法</t>
        </is>
      </c>
      <c r="D191" s="8" t="inlineStr">
        <is>
          <t>common</t>
        </is>
      </c>
      <c r="E191" s="8" t="inlineStr">
        <is>
          <t>water</t>
        </is>
      </c>
      <c r="F191" s="8" t="n">
        <v>2</v>
      </c>
      <c r="G191" s="8" t="inlineStr">
        <is>
          <t>基础/顶层</t>
        </is>
      </c>
      <c r="H191" s="8" t="inlineStr"/>
      <c r="I191" s="9" t="inlineStr"/>
      <c r="J191" s="8" t="inlineStr"/>
      <c r="K191" s="8" t="inlineStr"/>
      <c r="L191" s="8" t="inlineStr"/>
      <c r="M191" s="8" t="inlineStr">
        <is>
          <t>被动效果</t>
        </is>
      </c>
      <c r="N191" s="8" t="inlineStr">
        <is>
          <t>passive</t>
        </is>
      </c>
      <c r="O191" s="9" t="inlineStr">
        <is>
          <t>露水层数上限 +3</t>
        </is>
      </c>
      <c r="P191" s="9" t="inlineStr"/>
      <c r="Q191" s="9" t="inlineStr">
        <is>
          <t>buffStackCapBonus</t>
        </is>
      </c>
      <c r="R191" s="9" t="inlineStr">
        <is>
          <t>{"kind":"passive","label":"露水层数上限 +3","passiveEffect":{"type":"buffStackCapBonus","buffId":"dew","value":3,"label":"露水层数上限 +3"}}</t>
        </is>
      </c>
    </row>
    <row r="192" ht="32" customHeight="1">
      <c r="A192" s="8" t="n">
        <v>100029</v>
      </c>
      <c r="B192" s="8" t="inlineStr">
        <is>
          <t>青河听潮篇</t>
        </is>
      </c>
      <c r="C192" s="8" t="inlineStr">
        <is>
          <t>功法</t>
        </is>
      </c>
      <c r="D192" s="8" t="inlineStr">
        <is>
          <t>common</t>
        </is>
      </c>
      <c r="E192" s="8" t="inlineStr">
        <is>
          <t>water</t>
        </is>
      </c>
      <c r="F192" s="8" t="n">
        <v>3</v>
      </c>
      <c r="G192" s="8" t="inlineStr">
        <is>
          <t>功法成长层</t>
        </is>
      </c>
      <c r="H192" s="8" t="n">
        <v>1</v>
      </c>
      <c r="I192" s="9" t="inlineStr">
        <is>
          <t>无</t>
        </is>
      </c>
      <c r="J192" s="8" t="inlineStr"/>
      <c r="K192" s="8" t="inlineStr"/>
      <c r="L192" s="8" t="n">
        <v>20</v>
      </c>
      <c r="M192" s="8" t="inlineStr">
        <is>
          <t>条件触发</t>
        </is>
      </c>
      <c r="N192" s="8" t="inlineStr">
        <is>
          <t>triggered</t>
        </is>
      </c>
      <c r="O192" s="9" t="inlineStr">
        <is>
          <t>每消耗 1 层露水时，获得 2 点修为</t>
        </is>
      </c>
      <c r="P192" s="9" t="inlineStr">
        <is>
          <t>onBuffConsumed</t>
        </is>
      </c>
      <c r="Q192" s="9" t="inlineStr">
        <is>
          <t>gainCultivation</t>
        </is>
      </c>
      <c r="R192" s="9" t="inlineStr">
        <is>
          <t>{"kind":"triggered","label":"&lt;cultivation&gt;每消耗 1 层露水时，获得 2 点修为&lt;/cultivation&gt;","triggeredEffect":{"trigger":"onBuffConsumed","eventBuffId":"dew","type":"gainCultivation","amount":0,"amountPerEventBuffStack":2}}</t>
        </is>
      </c>
    </row>
    <row r="193" ht="32" customHeight="1">
      <c r="A193" s="8" t="n">
        <v>100029</v>
      </c>
      <c r="B193" s="8" t="inlineStr">
        <is>
          <t>青河听潮篇</t>
        </is>
      </c>
      <c r="C193" s="8" t="inlineStr">
        <is>
          <t>功法</t>
        </is>
      </c>
      <c r="D193" s="8" t="inlineStr">
        <is>
          <t>common</t>
        </is>
      </c>
      <c r="E193" s="8" t="inlineStr">
        <is>
          <t>water</t>
        </is>
      </c>
      <c r="F193" s="8" t="n">
        <v>3</v>
      </c>
      <c r="G193" s="8" t="inlineStr">
        <is>
          <t>功法成长层</t>
        </is>
      </c>
      <c r="H193" s="8" t="n">
        <v>1</v>
      </c>
      <c r="I193" s="9" t="inlineStr">
        <is>
          <t>无</t>
        </is>
      </c>
      <c r="J193" s="8" t="inlineStr"/>
      <c r="K193" s="8" t="inlineStr"/>
      <c r="L193" s="8" t="n">
        <v>20</v>
      </c>
      <c r="M193" s="8" t="inlineStr">
        <is>
          <t>被动效果</t>
        </is>
      </c>
      <c r="N193" s="8" t="inlineStr">
        <is>
          <t>passive</t>
        </is>
      </c>
      <c r="O193" s="9" t="inlineStr">
        <is>
          <t>露水层数上限 +3</t>
        </is>
      </c>
      <c r="P193" s="9" t="inlineStr"/>
      <c r="Q193" s="9" t="inlineStr">
        <is>
          <t>buffStackCapBonus</t>
        </is>
      </c>
      <c r="R193" s="9" t="inlineStr">
        <is>
          <t>{"kind":"passive","label":"露水层数上限 +3","passiveEffect":{"type":"buffStackCapBonus","buffId":"dew","value":3,"label":"露水层数上限 +3"}}</t>
        </is>
      </c>
    </row>
    <row r="194" ht="32" customHeight="1">
      <c r="A194" s="8" t="n">
        <v>100029</v>
      </c>
      <c r="B194" s="8" t="inlineStr">
        <is>
          <t>青河听潮篇</t>
        </is>
      </c>
      <c r="C194" s="8" t="inlineStr">
        <is>
          <t>功法</t>
        </is>
      </c>
      <c r="D194" s="8" t="inlineStr">
        <is>
          <t>common</t>
        </is>
      </c>
      <c r="E194" s="8" t="inlineStr">
        <is>
          <t>water</t>
        </is>
      </c>
      <c r="F194" s="8" t="n">
        <v>3</v>
      </c>
      <c r="G194" s="8" t="inlineStr">
        <is>
          <t>功法成长层</t>
        </is>
      </c>
      <c r="H194" s="8" t="n">
        <v>2</v>
      </c>
      <c r="I194" s="9" t="inlineStr">
        <is>
          <t>修为≥120；境界≥炼气层</t>
        </is>
      </c>
      <c r="J194" s="8" t="n">
        <v>120</v>
      </c>
      <c r="K194" s="8" t="n">
        <v>185</v>
      </c>
      <c r="L194" s="8" t="n">
        <v>85</v>
      </c>
      <c r="M194" s="8" t="inlineStr">
        <is>
          <t>条件触发</t>
        </is>
      </c>
      <c r="N194" s="8" t="inlineStr">
        <is>
          <t>triggered</t>
        </is>
      </c>
      <c r="O194" s="9" t="inlineStr">
        <is>
          <t>每消耗 1 层露水时，获得 4 点修为</t>
        </is>
      </c>
      <c r="P194" s="9" t="inlineStr">
        <is>
          <t>onBuffConsumed</t>
        </is>
      </c>
      <c r="Q194" s="9" t="inlineStr">
        <is>
          <t>gainCultivation</t>
        </is>
      </c>
      <c r="R194" s="9" t="inlineStr">
        <is>
          <t>{"kind":"triggered","label":"&lt;cultivation&gt;每消耗 1 层露水时，获得 4 点修为&lt;/cultivation&gt;","triggeredEffect":{"trigger":"onBuffConsumed","eventBuffId":"dew","type":"gainCultivation","amount":0,"amountPerEventBuffStack":4}}</t>
        </is>
      </c>
    </row>
    <row r="195" ht="32" customHeight="1">
      <c r="A195" s="8" t="n">
        <v>100029</v>
      </c>
      <c r="B195" s="8" t="inlineStr">
        <is>
          <t>青河听潮篇</t>
        </is>
      </c>
      <c r="C195" s="8" t="inlineStr">
        <is>
          <t>功法</t>
        </is>
      </c>
      <c r="D195" s="8" t="inlineStr">
        <is>
          <t>common</t>
        </is>
      </c>
      <c r="E195" s="8" t="inlineStr">
        <is>
          <t>water</t>
        </is>
      </c>
      <c r="F195" s="8" t="n">
        <v>3</v>
      </c>
      <c r="G195" s="8" t="inlineStr">
        <is>
          <t>功法成长层</t>
        </is>
      </c>
      <c r="H195" s="8" t="n">
        <v>2</v>
      </c>
      <c r="I195" s="9" t="inlineStr">
        <is>
          <t>修为≥120；境界≥炼气层</t>
        </is>
      </c>
      <c r="J195" s="8" t="n">
        <v>120</v>
      </c>
      <c r="K195" s="8" t="n">
        <v>185</v>
      </c>
      <c r="L195" s="8" t="n">
        <v>85</v>
      </c>
      <c r="M195" s="8" t="inlineStr">
        <is>
          <t>被动效果</t>
        </is>
      </c>
      <c r="N195" s="8" t="inlineStr">
        <is>
          <t>passive</t>
        </is>
      </c>
      <c r="O195" s="9" t="inlineStr">
        <is>
          <t>露水层数上限 +6</t>
        </is>
      </c>
      <c r="P195" s="9" t="inlineStr"/>
      <c r="Q195" s="9" t="inlineStr">
        <is>
          <t>buffStackCapBonus</t>
        </is>
      </c>
      <c r="R195" s="9" t="inlineStr">
        <is>
          <t>{"kind":"passive","label":"露水层数上限 +6","passiveEffect":{"type":"buffStackCapBonus","buffId":"dew","value":6,"label":"露水层数上限 +6"}}</t>
        </is>
      </c>
    </row>
    <row r="196" ht="32" customHeight="1">
      <c r="A196" s="8" t="n">
        <v>100029</v>
      </c>
      <c r="B196" s="8" t="inlineStr">
        <is>
          <t>青河听潮篇</t>
        </is>
      </c>
      <c r="C196" s="8" t="inlineStr">
        <is>
          <t>功法</t>
        </is>
      </c>
      <c r="D196" s="8" t="inlineStr">
        <is>
          <t>common</t>
        </is>
      </c>
      <c r="E196" s="8" t="inlineStr">
        <is>
          <t>water</t>
        </is>
      </c>
      <c r="F196" s="8" t="n">
        <v>3</v>
      </c>
      <c r="G196" s="8" t="inlineStr">
        <is>
          <t>功法成长层</t>
        </is>
      </c>
      <c r="H196" s="8" t="n">
        <v>3</v>
      </c>
      <c r="I196" s="9" t="inlineStr">
        <is>
          <t>修为≥760；境界≥炼气层</t>
        </is>
      </c>
      <c r="J196" s="8" t="n">
        <v>760</v>
      </c>
      <c r="K196" s="8" t="n">
        <v>220</v>
      </c>
      <c r="L196" s="8" t="n">
        <v>120</v>
      </c>
      <c r="M196" s="8" t="inlineStr">
        <is>
          <t>条件触发</t>
        </is>
      </c>
      <c r="N196" s="8" t="inlineStr">
        <is>
          <t>triggered</t>
        </is>
      </c>
      <c r="O196" s="9" t="inlineStr">
        <is>
          <t>每消耗 1 层露水时，获得 6 点修为</t>
        </is>
      </c>
      <c r="P196" s="9" t="inlineStr">
        <is>
          <t>onBuffConsumed</t>
        </is>
      </c>
      <c r="Q196" s="9" t="inlineStr">
        <is>
          <t>gainCultivation</t>
        </is>
      </c>
      <c r="R196" s="9" t="inlineStr">
        <is>
          <t>{"kind":"triggered","label":"&lt;cultivation&gt;每消耗 1 层露水时，获得 6 点修为&lt;/cultivation&gt;","triggeredEffect":{"trigger":"onBuffConsumed","eventBuffId":"dew","type":"gainCultivation","amount":0,"amountPerEventBuffStack":6}}</t>
        </is>
      </c>
    </row>
    <row r="197" ht="32" customHeight="1">
      <c r="A197" s="8" t="n">
        <v>100029</v>
      </c>
      <c r="B197" s="8" t="inlineStr">
        <is>
          <t>青河听潮篇</t>
        </is>
      </c>
      <c r="C197" s="8" t="inlineStr">
        <is>
          <t>功法</t>
        </is>
      </c>
      <c r="D197" s="8" t="inlineStr">
        <is>
          <t>common</t>
        </is>
      </c>
      <c r="E197" s="8" t="inlineStr">
        <is>
          <t>water</t>
        </is>
      </c>
      <c r="F197" s="8" t="n">
        <v>3</v>
      </c>
      <c r="G197" s="8" t="inlineStr">
        <is>
          <t>功法成长层</t>
        </is>
      </c>
      <c r="H197" s="8" t="n">
        <v>3</v>
      </c>
      <c r="I197" s="9" t="inlineStr">
        <is>
          <t>修为≥760；境界≥炼气层</t>
        </is>
      </c>
      <c r="J197" s="8" t="n">
        <v>760</v>
      </c>
      <c r="K197" s="8" t="n">
        <v>220</v>
      </c>
      <c r="L197" s="8" t="n">
        <v>120</v>
      </c>
      <c r="M197" s="8" t="inlineStr">
        <is>
          <t>被动效果</t>
        </is>
      </c>
      <c r="N197" s="8" t="inlineStr">
        <is>
          <t>passive</t>
        </is>
      </c>
      <c r="O197" s="9" t="inlineStr">
        <is>
          <t>露水层数上限 +9</t>
        </is>
      </c>
      <c r="P197" s="9" t="inlineStr"/>
      <c r="Q197" s="9" t="inlineStr">
        <is>
          <t>buffStackCapBonus</t>
        </is>
      </c>
      <c r="R197" s="9" t="inlineStr">
        <is>
          <t>{"kind":"passive","label":"露水层数上限 +9","passiveEffect":{"type":"buffStackCapBonus","buffId":"dew","value":9,"label":"露水层数上限 +9"}}</t>
        </is>
      </c>
    </row>
    <row r="198" ht="32" customHeight="1">
      <c r="A198" s="8" t="n">
        <v>100029</v>
      </c>
      <c r="B198" s="8" t="inlineStr">
        <is>
          <t>青河听潮篇</t>
        </is>
      </c>
      <c r="C198" s="8" t="inlineStr">
        <is>
          <t>功法</t>
        </is>
      </c>
      <c r="D198" s="8" t="inlineStr">
        <is>
          <t>common</t>
        </is>
      </c>
      <c r="E198" s="8" t="inlineStr">
        <is>
          <t>water</t>
        </is>
      </c>
      <c r="F198" s="8" t="n">
        <v>3</v>
      </c>
      <c r="G198" s="8" t="inlineStr">
        <is>
          <t>功法成长层</t>
        </is>
      </c>
      <c r="H198" s="8" t="n">
        <v>4</v>
      </c>
      <c r="I198" s="9" t="inlineStr">
        <is>
          <t>修为≥3950；境界≥炼气层</t>
        </is>
      </c>
      <c r="J198" s="8" t="n">
        <v>3950</v>
      </c>
      <c r="K198" s="8" t="n">
        <v>290</v>
      </c>
      <c r="L198" s="8" t="n">
        <v>155</v>
      </c>
      <c r="M198" s="8" t="inlineStr">
        <is>
          <t>条件触发</t>
        </is>
      </c>
      <c r="N198" s="8" t="inlineStr">
        <is>
          <t>triggered</t>
        </is>
      </c>
      <c r="O198" s="9" t="inlineStr">
        <is>
          <t>每消耗 1 层露水时，获得 8 点修为</t>
        </is>
      </c>
      <c r="P198" s="9" t="inlineStr">
        <is>
          <t>onBuffConsumed</t>
        </is>
      </c>
      <c r="Q198" s="9" t="inlineStr">
        <is>
          <t>gainCultivation</t>
        </is>
      </c>
      <c r="R198" s="9" t="inlineStr">
        <is>
          <t>{"kind":"triggered","label":"&lt;cultivation&gt;每消耗 1 层露水时，获得 8 点修为&lt;/cultivation&gt;","triggeredEffect":{"trigger":"onBuffConsumed","eventBuffId":"dew","type":"gainCultivation","amount":0,"amountPerEventBuffStack":8}}</t>
        </is>
      </c>
    </row>
    <row r="199" ht="32" customHeight="1">
      <c r="A199" s="8" t="n">
        <v>100029</v>
      </c>
      <c r="B199" s="8" t="inlineStr">
        <is>
          <t>青河听潮篇</t>
        </is>
      </c>
      <c r="C199" s="8" t="inlineStr">
        <is>
          <t>功法</t>
        </is>
      </c>
      <c r="D199" s="8" t="inlineStr">
        <is>
          <t>common</t>
        </is>
      </c>
      <c r="E199" s="8" t="inlineStr">
        <is>
          <t>water</t>
        </is>
      </c>
      <c r="F199" s="8" t="n">
        <v>3</v>
      </c>
      <c r="G199" s="8" t="inlineStr">
        <is>
          <t>功法成长层</t>
        </is>
      </c>
      <c r="H199" s="8" t="n">
        <v>4</v>
      </c>
      <c r="I199" s="9" t="inlineStr">
        <is>
          <t>修为≥3950；境界≥炼气层</t>
        </is>
      </c>
      <c r="J199" s="8" t="n">
        <v>3950</v>
      </c>
      <c r="K199" s="8" t="n">
        <v>290</v>
      </c>
      <c r="L199" s="8" t="n">
        <v>155</v>
      </c>
      <c r="M199" s="8" t="inlineStr">
        <is>
          <t>被动效果</t>
        </is>
      </c>
      <c r="N199" s="8" t="inlineStr">
        <is>
          <t>passive</t>
        </is>
      </c>
      <c r="O199" s="9" t="inlineStr">
        <is>
          <t>露水层数上限 +12</t>
        </is>
      </c>
      <c r="P199" s="9" t="inlineStr"/>
      <c r="Q199" s="9" t="inlineStr">
        <is>
          <t>buffStackCapBonus</t>
        </is>
      </c>
      <c r="R199" s="9" t="inlineStr">
        <is>
          <t>{"kind":"passive","label":"露水层数上限 +12","passiveEffect":{"type":"buffStackCapBonus","buffId":"dew","value":12,"label":"露水层数上限 +12"}}</t>
        </is>
      </c>
    </row>
    <row r="200" ht="32" customHeight="1">
      <c r="A200" s="8" t="n">
        <v>100030</v>
      </c>
      <c r="B200" s="8" t="inlineStr">
        <is>
          <t>伏流追息诀</t>
        </is>
      </c>
      <c r="C200" s="8" t="inlineStr">
        <is>
          <t>功法</t>
        </is>
      </c>
      <c r="D200" s="8" t="inlineStr">
        <is>
          <t>common</t>
        </is>
      </c>
      <c r="E200" s="8" t="inlineStr">
        <is>
          <t>wind</t>
        </is>
      </c>
      <c r="F200" s="8" t="n">
        <v>1</v>
      </c>
      <c r="G200" s="8" t="inlineStr">
        <is>
          <t>基础/顶层</t>
        </is>
      </c>
      <c r="H200" s="8" t="inlineStr"/>
      <c r="I200" s="9" t="inlineStr"/>
      <c r="J200" s="8" t="inlineStr"/>
      <c r="K200" s="8" t="inlineStr"/>
      <c r="L200" s="8" t="inlineStr"/>
      <c r="M200" s="8" t="inlineStr">
        <is>
          <t>条件触发</t>
        </is>
      </c>
      <c r="N200" s="8" t="inlineStr">
        <is>
          <t>triggered</t>
        </is>
      </c>
      <c r="O200" s="9" t="inlineStr">
        <is>
          <t>每获得 1 层敏捷或闪避时，获得 3 点修为</t>
        </is>
      </c>
      <c r="P200" s="9" t="inlineStr">
        <is>
          <t>onBuffGain</t>
        </is>
      </c>
      <c r="Q200" s="9" t="inlineStr">
        <is>
          <t>gainCultivation</t>
        </is>
      </c>
      <c r="R200" s="9" t="inlineStr">
        <is>
          <t>{"kind":"triggered","label":"&lt;cultivation&gt;每获得 1 层敏捷或闪避时，获得 3 点修为&lt;/cultivation&gt;","triggeredEffect":{"trigger":"onBuffGain","eventBuffId":"agile","type":"gainCultivation","amount":0,"amountPerEventBuffStack":3,"label":"&lt;cultivation&gt;每获得 1 层敏捷或闪避时，获得 3 点修为&lt;/cultivation&gt;"}}</t>
        </is>
      </c>
    </row>
    <row r="201" ht="32" customHeight="1">
      <c r="A201" s="8" t="n">
        <v>100030</v>
      </c>
      <c r="B201" s="8" t="inlineStr">
        <is>
          <t>伏流追息诀</t>
        </is>
      </c>
      <c r="C201" s="8" t="inlineStr">
        <is>
          <t>功法</t>
        </is>
      </c>
      <c r="D201" s="8" t="inlineStr">
        <is>
          <t>common</t>
        </is>
      </c>
      <c r="E201" s="8" t="inlineStr">
        <is>
          <t>wind</t>
        </is>
      </c>
      <c r="F201" s="8" t="n">
        <v>2</v>
      </c>
      <c r="G201" s="8" t="inlineStr">
        <is>
          <t>基础/顶层</t>
        </is>
      </c>
      <c r="H201" s="8" t="inlineStr"/>
      <c r="I201" s="9" t="inlineStr"/>
      <c r="J201" s="8" t="inlineStr"/>
      <c r="K201" s="8" t="inlineStr"/>
      <c r="L201" s="8" t="inlineStr"/>
      <c r="M201" s="8" t="inlineStr">
        <is>
          <t>条件触发</t>
        </is>
      </c>
      <c r="N201" s="8" t="inlineStr">
        <is>
          <t>triggered</t>
        </is>
      </c>
      <c r="O201" s="9" t="inlineStr">
        <is>
          <t>每获得 1 层敏捷或闪避时，获得 3 点修为</t>
        </is>
      </c>
      <c r="P201" s="9" t="inlineStr">
        <is>
          <t>onBuffGain</t>
        </is>
      </c>
      <c r="Q201" s="9" t="inlineStr">
        <is>
          <t>gainCultivation</t>
        </is>
      </c>
      <c r="R201" s="9" t="inlineStr">
        <is>
          <t>{"kind":"triggered","label":"&lt;cultivation&gt;每获得 1 层敏捷或闪避时，获得 3 点修为&lt;/cultivation&gt;","triggeredEffect":{"trigger":"onBuffGain","eventBuffId":"dodge","type":"gainCultivation","amount":0,"amountPerEventBuffStack":3,"label":"&lt;cultivation&gt;每获得 1 层敏捷或闪避时，获得 3 点修为&lt;/cultivation&gt;"}}</t>
        </is>
      </c>
    </row>
    <row r="202" ht="32" customHeight="1">
      <c r="A202" s="8" t="n">
        <v>100030</v>
      </c>
      <c r="B202" s="8" t="inlineStr">
        <is>
          <t>伏流追息诀</t>
        </is>
      </c>
      <c r="C202" s="8" t="inlineStr">
        <is>
          <t>功法</t>
        </is>
      </c>
      <c r="D202" s="8" t="inlineStr">
        <is>
          <t>common</t>
        </is>
      </c>
      <c r="E202" s="8" t="inlineStr">
        <is>
          <t>wind</t>
        </is>
      </c>
      <c r="F202" s="8" t="n">
        <v>3</v>
      </c>
      <c r="G202" s="8" t="inlineStr">
        <is>
          <t>基础/顶层</t>
        </is>
      </c>
      <c r="H202" s="8" t="inlineStr"/>
      <c r="I202" s="9" t="inlineStr"/>
      <c r="J202" s="8" t="inlineStr"/>
      <c r="K202" s="8" t="inlineStr"/>
      <c r="L202" s="8" t="inlineStr"/>
      <c r="M202" s="8" t="inlineStr">
        <is>
          <t>被动效果</t>
        </is>
      </c>
      <c r="N202" s="8" t="inlineStr">
        <is>
          <t>passive</t>
        </is>
      </c>
      <c r="O202" s="9" t="inlineStr">
        <is>
          <t>敏捷层数上限 +3</t>
        </is>
      </c>
      <c r="P202" s="9" t="inlineStr"/>
      <c r="Q202" s="9" t="inlineStr">
        <is>
          <t>buffStackCapBonus</t>
        </is>
      </c>
      <c r="R202" s="9" t="inlineStr">
        <is>
          <t>{"kind":"passive","label":"敏捷层数上限 +3","passiveEffect":{"type":"buffStackCapBonus","buffId":"agile","value":3,"label":"敏捷层数上限 +3"}}</t>
        </is>
      </c>
    </row>
    <row r="203" ht="32" customHeight="1">
      <c r="A203" s="8" t="n">
        <v>100030</v>
      </c>
      <c r="B203" s="8" t="inlineStr">
        <is>
          <t>伏流追息诀</t>
        </is>
      </c>
      <c r="C203" s="8" t="inlineStr">
        <is>
          <t>功法</t>
        </is>
      </c>
      <c r="D203" s="8" t="inlineStr">
        <is>
          <t>common</t>
        </is>
      </c>
      <c r="E203" s="8" t="inlineStr">
        <is>
          <t>wind</t>
        </is>
      </c>
      <c r="F203" s="8" t="n">
        <v>4</v>
      </c>
      <c r="G203" s="8" t="inlineStr">
        <is>
          <t>功法成长层</t>
        </is>
      </c>
      <c r="H203" s="8" t="n">
        <v>1</v>
      </c>
      <c r="I203" s="9" t="inlineStr">
        <is>
          <t>无</t>
        </is>
      </c>
      <c r="J203" s="8" t="inlineStr"/>
      <c r="K203" s="8" t="inlineStr"/>
      <c r="L203" s="8" t="n">
        <v>20</v>
      </c>
      <c r="M203" s="8" t="inlineStr">
        <is>
          <t>条件触发</t>
        </is>
      </c>
      <c r="N203" s="8" t="inlineStr">
        <is>
          <t>triggered</t>
        </is>
      </c>
      <c r="O203" s="9" t="inlineStr">
        <is>
          <t>每获得 1 层敏捷或闪避时，获得 3 点修为</t>
        </is>
      </c>
      <c r="P203" s="9" t="inlineStr">
        <is>
          <t>onBuffGain</t>
        </is>
      </c>
      <c r="Q203" s="9" t="inlineStr">
        <is>
          <t>gainCultivation</t>
        </is>
      </c>
      <c r="R203" s="9" t="inlineStr">
        <is>
          <t>{"kind":"triggered","label":"&lt;cultivation&gt;每获得 1 层敏捷或闪避时，获得 3 点修为&lt;/cultivation&gt;","triggeredEffect":{"trigger":"onBuffGain","eventBuffId":"agile","type":"gainCultivation","amount":0,"amountPerEventBuffStack":3,"label":"&lt;cultivation&gt;每获得 1 层敏捷或闪避时，获得 3 点修为&lt;/cultivation&gt;"}}</t>
        </is>
      </c>
    </row>
    <row r="204" ht="32" customHeight="1">
      <c r="A204" s="8" t="n">
        <v>100030</v>
      </c>
      <c r="B204" s="8" t="inlineStr">
        <is>
          <t>伏流追息诀</t>
        </is>
      </c>
      <c r="C204" s="8" t="inlineStr">
        <is>
          <t>功法</t>
        </is>
      </c>
      <c r="D204" s="8" t="inlineStr">
        <is>
          <t>common</t>
        </is>
      </c>
      <c r="E204" s="8" t="inlineStr">
        <is>
          <t>wind</t>
        </is>
      </c>
      <c r="F204" s="8" t="n">
        <v>4</v>
      </c>
      <c r="G204" s="8" t="inlineStr">
        <is>
          <t>功法成长层</t>
        </is>
      </c>
      <c r="H204" s="8" t="n">
        <v>1</v>
      </c>
      <c r="I204" s="9" t="inlineStr">
        <is>
          <t>无</t>
        </is>
      </c>
      <c r="J204" s="8" t="inlineStr"/>
      <c r="K204" s="8" t="inlineStr"/>
      <c r="L204" s="8" t="n">
        <v>20</v>
      </c>
      <c r="M204" s="8" t="inlineStr">
        <is>
          <t>条件触发</t>
        </is>
      </c>
      <c r="N204" s="8" t="inlineStr">
        <is>
          <t>triggered</t>
        </is>
      </c>
      <c r="O204" s="9" t="inlineStr">
        <is>
          <t>每获得 1 层敏捷或闪避时，获得 3 点修为</t>
        </is>
      </c>
      <c r="P204" s="9" t="inlineStr">
        <is>
          <t>onBuffGain</t>
        </is>
      </c>
      <c r="Q204" s="9" t="inlineStr">
        <is>
          <t>gainCultivation</t>
        </is>
      </c>
      <c r="R204" s="9" t="inlineStr">
        <is>
          <t>{"kind":"triggered","label":"&lt;cultivation&gt;每获得 1 层敏捷或闪避时，获得 3 点修为&lt;/cultivation&gt;","triggeredEffect":{"trigger":"onBuffGain","eventBuffId":"dodge","type":"gainCultivation","amount":0,"amountPerEventBuffStack":3,"label":"&lt;cultivation&gt;每获得 1 层敏捷或闪避时，获得 3 点修为&lt;/cultivation&gt;"}}</t>
        </is>
      </c>
    </row>
    <row r="205" ht="32" customHeight="1">
      <c r="A205" s="8" t="n">
        <v>100030</v>
      </c>
      <c r="B205" s="8" t="inlineStr">
        <is>
          <t>伏流追息诀</t>
        </is>
      </c>
      <c r="C205" s="8" t="inlineStr">
        <is>
          <t>功法</t>
        </is>
      </c>
      <c r="D205" s="8" t="inlineStr">
        <is>
          <t>common</t>
        </is>
      </c>
      <c r="E205" s="8" t="inlineStr">
        <is>
          <t>wind</t>
        </is>
      </c>
      <c r="F205" s="8" t="n">
        <v>4</v>
      </c>
      <c r="G205" s="8" t="inlineStr">
        <is>
          <t>功法成长层</t>
        </is>
      </c>
      <c r="H205" s="8" t="n">
        <v>1</v>
      </c>
      <c r="I205" s="9" t="inlineStr">
        <is>
          <t>无</t>
        </is>
      </c>
      <c r="J205" s="8" t="inlineStr"/>
      <c r="K205" s="8" t="inlineStr"/>
      <c r="L205" s="8" t="n">
        <v>20</v>
      </c>
      <c r="M205" s="8" t="inlineStr">
        <is>
          <t>被动效果</t>
        </is>
      </c>
      <c r="N205" s="8" t="inlineStr">
        <is>
          <t>passive</t>
        </is>
      </c>
      <c r="O205" s="9" t="inlineStr">
        <is>
          <t>敏捷层数上限 +3</t>
        </is>
      </c>
      <c r="P205" s="9" t="inlineStr"/>
      <c r="Q205" s="9" t="inlineStr">
        <is>
          <t>buffStackCapBonus</t>
        </is>
      </c>
      <c r="R205" s="9" t="inlineStr">
        <is>
          <t>{"kind":"passive","label":"敏捷层数上限 +3","passiveEffect":{"type":"buffStackCapBonus","buffId":"agile","value":3,"label":"敏捷层数上限 +3"}}</t>
        </is>
      </c>
    </row>
    <row r="206" ht="32" customHeight="1">
      <c r="A206" s="8" t="n">
        <v>100030</v>
      </c>
      <c r="B206" s="8" t="inlineStr">
        <is>
          <t>伏流追息诀</t>
        </is>
      </c>
      <c r="C206" s="8" t="inlineStr">
        <is>
          <t>功法</t>
        </is>
      </c>
      <c r="D206" s="8" t="inlineStr">
        <is>
          <t>common</t>
        </is>
      </c>
      <c r="E206" s="8" t="inlineStr">
        <is>
          <t>wind</t>
        </is>
      </c>
      <c r="F206" s="8" t="n">
        <v>4</v>
      </c>
      <c r="G206" s="8" t="inlineStr">
        <is>
          <t>功法成长层</t>
        </is>
      </c>
      <c r="H206" s="8" t="n">
        <v>2</v>
      </c>
      <c r="I206" s="9" t="inlineStr">
        <is>
          <t>修为≥210；境界≥炼气层</t>
        </is>
      </c>
      <c r="J206" s="8" t="n">
        <v>210</v>
      </c>
      <c r="K206" s="8" t="n">
        <v>300</v>
      </c>
      <c r="L206" s="8" t="n">
        <v>90</v>
      </c>
      <c r="M206" s="8" t="inlineStr">
        <is>
          <t>条件触发</t>
        </is>
      </c>
      <c r="N206" s="8" t="inlineStr">
        <is>
          <t>triggered</t>
        </is>
      </c>
      <c r="O206" s="9" t="inlineStr">
        <is>
          <t>每获得 1 层敏捷或闪避时，获得 6 点修为</t>
        </is>
      </c>
      <c r="P206" s="9" t="inlineStr">
        <is>
          <t>onBuffGain</t>
        </is>
      </c>
      <c r="Q206" s="9" t="inlineStr">
        <is>
          <t>gainCultivation</t>
        </is>
      </c>
      <c r="R206" s="9" t="inlineStr">
        <is>
          <t>{"kind":"triggered","label":"&lt;cultivation&gt;每获得 1 层敏捷或闪避时，获得 6 点修为&lt;/cultivation&gt;","triggeredEffect":{"trigger":"onBuffGain","eventBuffId":"agile","type":"gainCultivation","amount":0,"amountPerEventBuffStack":6,"label":"&lt;cultivation&gt;每获得 1 层敏捷或闪避时，获得 6 点修为&lt;/cultivation&gt;"}}</t>
        </is>
      </c>
    </row>
    <row r="207" ht="32" customHeight="1">
      <c r="A207" s="8" t="n">
        <v>100030</v>
      </c>
      <c r="B207" s="8" t="inlineStr">
        <is>
          <t>伏流追息诀</t>
        </is>
      </c>
      <c r="C207" s="8" t="inlineStr">
        <is>
          <t>功法</t>
        </is>
      </c>
      <c r="D207" s="8" t="inlineStr">
        <is>
          <t>common</t>
        </is>
      </c>
      <c r="E207" s="8" t="inlineStr">
        <is>
          <t>wind</t>
        </is>
      </c>
      <c r="F207" s="8" t="n">
        <v>4</v>
      </c>
      <c r="G207" s="8" t="inlineStr">
        <is>
          <t>功法成长层</t>
        </is>
      </c>
      <c r="H207" s="8" t="n">
        <v>2</v>
      </c>
      <c r="I207" s="9" t="inlineStr">
        <is>
          <t>修为≥210；境界≥炼气层</t>
        </is>
      </c>
      <c r="J207" s="8" t="n">
        <v>210</v>
      </c>
      <c r="K207" s="8" t="n">
        <v>300</v>
      </c>
      <c r="L207" s="8" t="n">
        <v>90</v>
      </c>
      <c r="M207" s="8" t="inlineStr">
        <is>
          <t>条件触发</t>
        </is>
      </c>
      <c r="N207" s="8" t="inlineStr">
        <is>
          <t>triggered</t>
        </is>
      </c>
      <c r="O207" s="9" t="inlineStr">
        <is>
          <t>每获得 1 层敏捷或闪避时，获得 6 点修为</t>
        </is>
      </c>
      <c r="P207" s="9" t="inlineStr">
        <is>
          <t>onBuffGain</t>
        </is>
      </c>
      <c r="Q207" s="9" t="inlineStr">
        <is>
          <t>gainCultivation</t>
        </is>
      </c>
      <c r="R207" s="9" t="inlineStr">
        <is>
          <t>{"kind":"triggered","label":"&lt;cultivation&gt;每获得 1 层敏捷或闪避时，获得 6 点修为&lt;/cultivation&gt;","triggeredEffect":{"trigger":"onBuffGain","eventBuffId":"dodge","type":"gainCultivation","amount":0,"amountPerEventBuffStack":6,"label":"&lt;cultivation&gt;每获得 1 层敏捷或闪避时，获得 6 点修为&lt;/cultivation&gt;"}}</t>
        </is>
      </c>
    </row>
    <row r="208" ht="32" customHeight="1">
      <c r="A208" s="8" t="n">
        <v>100030</v>
      </c>
      <c r="B208" s="8" t="inlineStr">
        <is>
          <t>伏流追息诀</t>
        </is>
      </c>
      <c r="C208" s="8" t="inlineStr">
        <is>
          <t>功法</t>
        </is>
      </c>
      <c r="D208" s="8" t="inlineStr">
        <is>
          <t>common</t>
        </is>
      </c>
      <c r="E208" s="8" t="inlineStr">
        <is>
          <t>wind</t>
        </is>
      </c>
      <c r="F208" s="8" t="n">
        <v>4</v>
      </c>
      <c r="G208" s="8" t="inlineStr">
        <is>
          <t>功法成长层</t>
        </is>
      </c>
      <c r="H208" s="8" t="n">
        <v>2</v>
      </c>
      <c r="I208" s="9" t="inlineStr">
        <is>
          <t>修为≥210；境界≥炼气层</t>
        </is>
      </c>
      <c r="J208" s="8" t="n">
        <v>210</v>
      </c>
      <c r="K208" s="8" t="n">
        <v>300</v>
      </c>
      <c r="L208" s="8" t="n">
        <v>90</v>
      </c>
      <c r="M208" s="8" t="inlineStr">
        <is>
          <t>被动效果</t>
        </is>
      </c>
      <c r="N208" s="8" t="inlineStr">
        <is>
          <t>passive</t>
        </is>
      </c>
      <c r="O208" s="9" t="inlineStr">
        <is>
          <t>敏捷层数上限 +6</t>
        </is>
      </c>
      <c r="P208" s="9" t="inlineStr"/>
      <c r="Q208" s="9" t="inlineStr">
        <is>
          <t>buffStackCapBonus</t>
        </is>
      </c>
      <c r="R208" s="9" t="inlineStr">
        <is>
          <t>{"kind":"passive","label":"敏捷层数上限 +6","passiveEffect":{"type":"buffStackCapBonus","buffId":"agile","value":6,"label":"敏捷层数上限 +6"}}</t>
        </is>
      </c>
    </row>
    <row r="209" ht="32" customHeight="1">
      <c r="A209" s="8" t="n">
        <v>100030</v>
      </c>
      <c r="B209" s="8" t="inlineStr">
        <is>
          <t>伏流追息诀</t>
        </is>
      </c>
      <c r="C209" s="8" t="inlineStr">
        <is>
          <t>功法</t>
        </is>
      </c>
      <c r="D209" s="8" t="inlineStr">
        <is>
          <t>common</t>
        </is>
      </c>
      <c r="E209" s="8" t="inlineStr">
        <is>
          <t>wind</t>
        </is>
      </c>
      <c r="F209" s="8" t="n">
        <v>4</v>
      </c>
      <c r="G209" s="8" t="inlineStr">
        <is>
          <t>功法成长层</t>
        </is>
      </c>
      <c r="H209" s="8" t="n">
        <v>3</v>
      </c>
      <c r="I209" s="9" t="inlineStr">
        <is>
          <t>修为≥640；境界≥炼气层</t>
        </is>
      </c>
      <c r="J209" s="8" t="n">
        <v>640</v>
      </c>
      <c r="K209" s="8" t="n">
        <v>205</v>
      </c>
      <c r="L209" s="8" t="n">
        <v>125</v>
      </c>
      <c r="M209" s="8" t="inlineStr">
        <is>
          <t>条件触发</t>
        </is>
      </c>
      <c r="N209" s="8" t="inlineStr">
        <is>
          <t>triggered</t>
        </is>
      </c>
      <c r="O209" s="9" t="inlineStr">
        <is>
          <t>每获得 1 层敏捷或闪避时，获得 9 点修为</t>
        </is>
      </c>
      <c r="P209" s="9" t="inlineStr">
        <is>
          <t>onBuffGain</t>
        </is>
      </c>
      <c r="Q209" s="9" t="inlineStr">
        <is>
          <t>gainCultivation</t>
        </is>
      </c>
      <c r="R209" s="9" t="inlineStr">
        <is>
          <t>{"kind":"triggered","label":"&lt;cultivation&gt;每获得 1 层敏捷或闪避时，获得 9 点修为&lt;/cultivation&gt;","triggeredEffect":{"trigger":"onBuffGain","eventBuffId":"agile","type":"gainCultivation","amount":0,"amountPerEventBuffStack":9,"label":"&lt;cultivation&gt;每获得 1 层敏捷或闪避时，获得 9 点修为&lt;/cultivation&gt;"}}</t>
        </is>
      </c>
    </row>
    <row r="210" ht="32" customHeight="1">
      <c r="A210" s="8" t="n">
        <v>100030</v>
      </c>
      <c r="B210" s="8" t="inlineStr">
        <is>
          <t>伏流追息诀</t>
        </is>
      </c>
      <c r="C210" s="8" t="inlineStr">
        <is>
          <t>功法</t>
        </is>
      </c>
      <c r="D210" s="8" t="inlineStr">
        <is>
          <t>common</t>
        </is>
      </c>
      <c r="E210" s="8" t="inlineStr">
        <is>
          <t>wind</t>
        </is>
      </c>
      <c r="F210" s="8" t="n">
        <v>4</v>
      </c>
      <c r="G210" s="8" t="inlineStr">
        <is>
          <t>功法成长层</t>
        </is>
      </c>
      <c r="H210" s="8" t="n">
        <v>3</v>
      </c>
      <c r="I210" s="9" t="inlineStr">
        <is>
          <t>修为≥640；境界≥炼气层</t>
        </is>
      </c>
      <c r="J210" s="8" t="n">
        <v>640</v>
      </c>
      <c r="K210" s="8" t="n">
        <v>205</v>
      </c>
      <c r="L210" s="8" t="n">
        <v>125</v>
      </c>
      <c r="M210" s="8" t="inlineStr">
        <is>
          <t>条件触发</t>
        </is>
      </c>
      <c r="N210" s="8" t="inlineStr">
        <is>
          <t>triggered</t>
        </is>
      </c>
      <c r="O210" s="9" t="inlineStr">
        <is>
          <t>每获得 1 层敏捷或闪避时，获得 9 点修为</t>
        </is>
      </c>
      <c r="P210" s="9" t="inlineStr">
        <is>
          <t>onBuffGain</t>
        </is>
      </c>
      <c r="Q210" s="9" t="inlineStr">
        <is>
          <t>gainCultivation</t>
        </is>
      </c>
      <c r="R210" s="9" t="inlineStr">
        <is>
          <t>{"kind":"triggered","label":"&lt;cultivation&gt;每获得 1 层敏捷或闪避时，获得 9 点修为&lt;/cultivation&gt;","triggeredEffect":{"trigger":"onBuffGain","eventBuffId":"dodge","type":"gainCultivation","amount":0,"amountPerEventBuffStack":9,"label":"&lt;cultivation&gt;每获得 1 层敏捷或闪避时，获得 9 点修为&lt;/cultivation&gt;"}}</t>
        </is>
      </c>
    </row>
    <row r="211" ht="32" customHeight="1">
      <c r="A211" s="8" t="n">
        <v>100030</v>
      </c>
      <c r="B211" s="8" t="inlineStr">
        <is>
          <t>伏流追息诀</t>
        </is>
      </c>
      <c r="C211" s="8" t="inlineStr">
        <is>
          <t>功法</t>
        </is>
      </c>
      <c r="D211" s="8" t="inlineStr">
        <is>
          <t>common</t>
        </is>
      </c>
      <c r="E211" s="8" t="inlineStr">
        <is>
          <t>wind</t>
        </is>
      </c>
      <c r="F211" s="8" t="n">
        <v>4</v>
      </c>
      <c r="G211" s="8" t="inlineStr">
        <is>
          <t>功法成长层</t>
        </is>
      </c>
      <c r="H211" s="8" t="n">
        <v>3</v>
      </c>
      <c r="I211" s="9" t="inlineStr">
        <is>
          <t>修为≥640；境界≥炼气层</t>
        </is>
      </c>
      <c r="J211" s="8" t="n">
        <v>640</v>
      </c>
      <c r="K211" s="8" t="n">
        <v>205</v>
      </c>
      <c r="L211" s="8" t="n">
        <v>125</v>
      </c>
      <c r="M211" s="8" t="inlineStr">
        <is>
          <t>被动效果</t>
        </is>
      </c>
      <c r="N211" s="8" t="inlineStr">
        <is>
          <t>passive</t>
        </is>
      </c>
      <c r="O211" s="9" t="inlineStr">
        <is>
          <t>敏捷层数上限 +9</t>
        </is>
      </c>
      <c r="P211" s="9" t="inlineStr"/>
      <c r="Q211" s="9" t="inlineStr">
        <is>
          <t>buffStackCapBonus</t>
        </is>
      </c>
      <c r="R211" s="9" t="inlineStr">
        <is>
          <t>{"kind":"passive","label":"敏捷层数上限 +9","passiveEffect":{"type":"buffStackCapBonus","buffId":"agile","value":9,"label":"敏捷层数上限 +9"}}</t>
        </is>
      </c>
    </row>
    <row r="212" ht="32" customHeight="1">
      <c r="A212" s="8" t="n">
        <v>100030</v>
      </c>
      <c r="B212" s="8" t="inlineStr">
        <is>
          <t>伏流追息诀</t>
        </is>
      </c>
      <c r="C212" s="8" t="inlineStr">
        <is>
          <t>功法</t>
        </is>
      </c>
      <c r="D212" s="8" t="inlineStr">
        <is>
          <t>common</t>
        </is>
      </c>
      <c r="E212" s="8" t="inlineStr">
        <is>
          <t>wind</t>
        </is>
      </c>
      <c r="F212" s="8" t="n">
        <v>4</v>
      </c>
      <c r="G212" s="8" t="inlineStr">
        <is>
          <t>功法成长层</t>
        </is>
      </c>
      <c r="H212" s="8" t="n">
        <v>4</v>
      </c>
      <c r="I212" s="9" t="inlineStr">
        <is>
          <t>修为≥3200；境界≥炼气层</t>
        </is>
      </c>
      <c r="J212" s="8" t="n">
        <v>3200</v>
      </c>
      <c r="K212" s="8" t="n">
        <v>255</v>
      </c>
      <c r="L212" s="8" t="n">
        <v>160</v>
      </c>
      <c r="M212" s="8" t="inlineStr">
        <is>
          <t>条件触发</t>
        </is>
      </c>
      <c r="N212" s="8" t="inlineStr">
        <is>
          <t>triggered</t>
        </is>
      </c>
      <c r="O212" s="9" t="inlineStr">
        <is>
          <t>每获得 1 层敏捷或闪避时，获得 12 点修为</t>
        </is>
      </c>
      <c r="P212" s="9" t="inlineStr">
        <is>
          <t>onBuffGain</t>
        </is>
      </c>
      <c r="Q212" s="9" t="inlineStr">
        <is>
          <t>gainCultivation</t>
        </is>
      </c>
      <c r="R212" s="9" t="inlineStr">
        <is>
          <t>{"kind":"triggered","label":"&lt;cultivation&gt;每获得 1 层敏捷或闪避时，获得 12 点修为&lt;/cultivation&gt;","triggeredEffect":{"trigger":"onBuffGain","eventBuffId":"agile","type":"gainCultivation","amount":0,"amountPerEventBuffStack":12,"label":"&lt;cultivation&gt;每获得 1 层敏捷或闪避时，获得 12 点修为&lt;/cultivation&gt;"}}</t>
        </is>
      </c>
    </row>
    <row r="213" ht="32" customHeight="1">
      <c r="A213" s="8" t="n">
        <v>100030</v>
      </c>
      <c r="B213" s="8" t="inlineStr">
        <is>
          <t>伏流追息诀</t>
        </is>
      </c>
      <c r="C213" s="8" t="inlineStr">
        <is>
          <t>功法</t>
        </is>
      </c>
      <c r="D213" s="8" t="inlineStr">
        <is>
          <t>common</t>
        </is>
      </c>
      <c r="E213" s="8" t="inlineStr">
        <is>
          <t>wind</t>
        </is>
      </c>
      <c r="F213" s="8" t="n">
        <v>4</v>
      </c>
      <c r="G213" s="8" t="inlineStr">
        <is>
          <t>功法成长层</t>
        </is>
      </c>
      <c r="H213" s="8" t="n">
        <v>4</v>
      </c>
      <c r="I213" s="9" t="inlineStr">
        <is>
          <t>修为≥3200；境界≥炼气层</t>
        </is>
      </c>
      <c r="J213" s="8" t="n">
        <v>3200</v>
      </c>
      <c r="K213" s="8" t="n">
        <v>255</v>
      </c>
      <c r="L213" s="8" t="n">
        <v>160</v>
      </c>
      <c r="M213" s="8" t="inlineStr">
        <is>
          <t>条件触发</t>
        </is>
      </c>
      <c r="N213" s="8" t="inlineStr">
        <is>
          <t>triggered</t>
        </is>
      </c>
      <c r="O213" s="9" t="inlineStr">
        <is>
          <t>每获得 1 层敏捷或闪避时，获得 12 点修为</t>
        </is>
      </c>
      <c r="P213" s="9" t="inlineStr">
        <is>
          <t>onBuffGain</t>
        </is>
      </c>
      <c r="Q213" s="9" t="inlineStr">
        <is>
          <t>gainCultivation</t>
        </is>
      </c>
      <c r="R213" s="9" t="inlineStr">
        <is>
          <t>{"kind":"triggered","label":"&lt;cultivation&gt;每获得 1 层敏捷或闪避时，获得 12 点修为&lt;/cultivation&gt;","triggeredEffect":{"trigger":"onBuffGain","eventBuffId":"dodge","type":"gainCultivation","amount":0,"amountPerEventBuffStack":12,"label":"&lt;cultivation&gt;每获得 1 层敏捷或闪避时，获得 12 点修为&lt;/cultivation&gt;"}}</t>
        </is>
      </c>
    </row>
    <row r="214" ht="32" customHeight="1">
      <c r="A214" s="8" t="n">
        <v>100030</v>
      </c>
      <c r="B214" s="8" t="inlineStr">
        <is>
          <t>伏流追息诀</t>
        </is>
      </c>
      <c r="C214" s="8" t="inlineStr">
        <is>
          <t>功法</t>
        </is>
      </c>
      <c r="D214" s="8" t="inlineStr">
        <is>
          <t>common</t>
        </is>
      </c>
      <c r="E214" s="8" t="inlineStr">
        <is>
          <t>wind</t>
        </is>
      </c>
      <c r="F214" s="8" t="n">
        <v>4</v>
      </c>
      <c r="G214" s="8" t="inlineStr">
        <is>
          <t>功法成长层</t>
        </is>
      </c>
      <c r="H214" s="8" t="n">
        <v>4</v>
      </c>
      <c r="I214" s="9" t="inlineStr">
        <is>
          <t>修为≥3200；境界≥炼气层</t>
        </is>
      </c>
      <c r="J214" s="8" t="n">
        <v>3200</v>
      </c>
      <c r="K214" s="8" t="n">
        <v>255</v>
      </c>
      <c r="L214" s="8" t="n">
        <v>160</v>
      </c>
      <c r="M214" s="8" t="inlineStr">
        <is>
          <t>被动效果</t>
        </is>
      </c>
      <c r="N214" s="8" t="inlineStr">
        <is>
          <t>passive</t>
        </is>
      </c>
      <c r="O214" s="9" t="inlineStr">
        <is>
          <t>敏捷层数上限 +12</t>
        </is>
      </c>
      <c r="P214" s="9" t="inlineStr"/>
      <c r="Q214" s="9" t="inlineStr">
        <is>
          <t>buffStackCapBonus</t>
        </is>
      </c>
      <c r="R214" s="9" t="inlineStr">
        <is>
          <t>{"kind":"passive","label":"敏捷层数上限 +12","passiveEffect":{"type":"buffStackCapBonus","buffId":"agile","value":12,"label":"敏捷层数上限 +12"}}</t>
        </is>
      </c>
    </row>
    <row r="215" ht="32" customHeight="1">
      <c r="A215" s="8" t="n">
        <v>100031</v>
      </c>
      <c r="B215" s="8" t="inlineStr">
        <is>
          <t>回澜牵机诀</t>
        </is>
      </c>
      <c r="C215" s="8" t="inlineStr">
        <is>
          <t>功法</t>
        </is>
      </c>
      <c r="D215" s="8" t="inlineStr">
        <is>
          <t>common</t>
        </is>
      </c>
      <c r="E215" s="8" t="inlineStr">
        <is>
          <t>water</t>
        </is>
      </c>
      <c r="F215" s="8" t="n">
        <v>1</v>
      </c>
      <c r="G215" s="8" t="inlineStr">
        <is>
          <t>基础/顶层</t>
        </is>
      </c>
      <c r="H215" s="8" t="inlineStr"/>
      <c r="I215" s="9" t="inlineStr"/>
      <c r="J215" s="8" t="inlineStr"/>
      <c r="K215" s="8" t="inlineStr"/>
      <c r="L215" s="8" t="inlineStr"/>
      <c r="M215" s="8" t="inlineStr">
        <is>
          <t>条件触发</t>
        </is>
      </c>
      <c r="N215" s="8" t="inlineStr">
        <is>
          <t>triggered</t>
        </is>
      </c>
      <c r="O215" s="9" t="inlineStr">
        <is>
          <t>每层露水恢复体力时，获得 1 点修为</t>
        </is>
      </c>
      <c r="P215" s="9" t="inlineStr">
        <is>
          <t>onBuffConsumed</t>
        </is>
      </c>
      <c r="Q215" s="9" t="inlineStr">
        <is>
          <t>gainCultivation</t>
        </is>
      </c>
      <c r="R215" s="9" t="inlineStr">
        <is>
          <t>{"kind":"triggered","label":"&lt;cultivation&gt;每层露水恢复体力时，获得 1 点修为&lt;/cultivation&gt;","triggeredEffect":{"trigger":"onBuffConsumed","eventBuffId":"dew","type":"gainCultivation","amount":0,"amountPerEventBuffStack":1}}</t>
        </is>
      </c>
    </row>
    <row r="216" ht="32" customHeight="1">
      <c r="A216" s="8" t="n">
        <v>100031</v>
      </c>
      <c r="B216" s="8" t="inlineStr">
        <is>
          <t>回澜牵机诀</t>
        </is>
      </c>
      <c r="C216" s="8" t="inlineStr">
        <is>
          <t>功法</t>
        </is>
      </c>
      <c r="D216" s="8" t="inlineStr">
        <is>
          <t>common</t>
        </is>
      </c>
      <c r="E216" s="8" t="inlineStr">
        <is>
          <t>water</t>
        </is>
      </c>
      <c r="F216" s="8" t="n">
        <v>2</v>
      </c>
      <c r="G216" s="8" t="inlineStr">
        <is>
          <t>基础/顶层</t>
        </is>
      </c>
      <c r="H216" s="8" t="inlineStr"/>
      <c r="I216" s="9" t="inlineStr"/>
      <c r="J216" s="8" t="inlineStr"/>
      <c r="K216" s="8" t="inlineStr"/>
      <c r="L216" s="8" t="inlineStr"/>
      <c r="M216" s="8" t="inlineStr">
        <is>
          <t>被动效果</t>
        </is>
      </c>
      <c r="N216" s="8" t="inlineStr">
        <is>
          <t>passive</t>
        </is>
      </c>
      <c r="O216" s="9" t="inlineStr">
        <is>
          <t>露水层数上限 +3</t>
        </is>
      </c>
      <c r="P216" s="9" t="inlineStr"/>
      <c r="Q216" s="9" t="inlineStr">
        <is>
          <t>buffStackCapBonus</t>
        </is>
      </c>
      <c r="R216" s="9" t="inlineStr">
        <is>
          <t>{"kind":"passive","label":"露水层数上限 +3","passiveEffect":{"type":"buffStackCapBonus","buffId":"dew","value":3,"label":"露水层数上限 +3"}}</t>
        </is>
      </c>
    </row>
    <row r="217" ht="32" customHeight="1">
      <c r="A217" s="8" t="n">
        <v>100031</v>
      </c>
      <c r="B217" s="8" t="inlineStr">
        <is>
          <t>回澜牵机诀</t>
        </is>
      </c>
      <c r="C217" s="8" t="inlineStr">
        <is>
          <t>功法</t>
        </is>
      </c>
      <c r="D217" s="8" t="inlineStr">
        <is>
          <t>common</t>
        </is>
      </c>
      <c r="E217" s="8" t="inlineStr">
        <is>
          <t>water</t>
        </is>
      </c>
      <c r="F217" s="8" t="n">
        <v>3</v>
      </c>
      <c r="G217" s="8" t="inlineStr">
        <is>
          <t>基础/顶层</t>
        </is>
      </c>
      <c r="H217" s="8" t="inlineStr"/>
      <c r="I217" s="9" t="inlineStr"/>
      <c r="J217" s="8" t="inlineStr"/>
      <c r="K217" s="8" t="inlineStr"/>
      <c r="L217" s="8" t="inlineStr"/>
      <c r="M217" s="8" t="inlineStr">
        <is>
          <t>被动效果</t>
        </is>
      </c>
      <c r="N217" s="8" t="inlineStr">
        <is>
          <t>passive</t>
        </is>
      </c>
      <c r="O217" s="9" t="inlineStr">
        <is>
          <t>体力上限 +10</t>
        </is>
      </c>
      <c r="P217" s="9" t="inlineStr"/>
      <c r="Q217" s="9" t="inlineStr">
        <is>
          <t>primaryStatMaxFlatBonus</t>
        </is>
      </c>
      <c r="R217" s="9" t="inlineStr">
        <is>
          <t>{"kind":"passive","label":"体力上限 +10","passiveEffect":{"type":"primaryStatMaxFlatBonus","stat":"stamina","value":10,"label":"体力上限 +10"}}</t>
        </is>
      </c>
    </row>
    <row r="218" ht="32" customHeight="1">
      <c r="A218" s="8" t="n">
        <v>100031</v>
      </c>
      <c r="B218" s="8" t="inlineStr">
        <is>
          <t>回澜牵机诀</t>
        </is>
      </c>
      <c r="C218" s="8" t="inlineStr">
        <is>
          <t>功法</t>
        </is>
      </c>
      <c r="D218" s="8" t="inlineStr">
        <is>
          <t>common</t>
        </is>
      </c>
      <c r="E218" s="8" t="inlineStr">
        <is>
          <t>water</t>
        </is>
      </c>
      <c r="F218" s="8" t="n">
        <v>4</v>
      </c>
      <c r="G218" s="8" t="inlineStr">
        <is>
          <t>功法成长层</t>
        </is>
      </c>
      <c r="H218" s="8" t="n">
        <v>1</v>
      </c>
      <c r="I218" s="9" t="inlineStr">
        <is>
          <t>无</t>
        </is>
      </c>
      <c r="J218" s="8" t="inlineStr"/>
      <c r="K218" s="8" t="inlineStr"/>
      <c r="L218" s="8" t="n">
        <v>20</v>
      </c>
      <c r="M218" s="8" t="inlineStr">
        <is>
          <t>条件触发</t>
        </is>
      </c>
      <c r="N218" s="8" t="inlineStr">
        <is>
          <t>triggered</t>
        </is>
      </c>
      <c r="O218" s="9" t="inlineStr">
        <is>
          <t>每层露水恢复体力时，获得 1 点修为</t>
        </is>
      </c>
      <c r="P218" s="9" t="inlineStr">
        <is>
          <t>onBuffConsumed</t>
        </is>
      </c>
      <c r="Q218" s="9" t="inlineStr">
        <is>
          <t>gainCultivation</t>
        </is>
      </c>
      <c r="R218" s="9" t="inlineStr">
        <is>
          <t>{"kind":"triggered","label":"&lt;cultivation&gt;每层露水恢复体力时，获得 1 点修为&lt;/cultivation&gt;","triggeredEffect":{"trigger":"onBuffConsumed","eventBuffId":"dew","type":"gainCultivation","amount":0,"amountPerEventBuffStack":1}}</t>
        </is>
      </c>
    </row>
    <row r="219" ht="32" customHeight="1">
      <c r="A219" s="8" t="n">
        <v>100031</v>
      </c>
      <c r="B219" s="8" t="inlineStr">
        <is>
          <t>回澜牵机诀</t>
        </is>
      </c>
      <c r="C219" s="8" t="inlineStr">
        <is>
          <t>功法</t>
        </is>
      </c>
      <c r="D219" s="8" t="inlineStr">
        <is>
          <t>common</t>
        </is>
      </c>
      <c r="E219" s="8" t="inlineStr">
        <is>
          <t>water</t>
        </is>
      </c>
      <c r="F219" s="8" t="n">
        <v>4</v>
      </c>
      <c r="G219" s="8" t="inlineStr">
        <is>
          <t>功法成长层</t>
        </is>
      </c>
      <c r="H219" s="8" t="n">
        <v>1</v>
      </c>
      <c r="I219" s="9" t="inlineStr">
        <is>
          <t>无</t>
        </is>
      </c>
      <c r="J219" s="8" t="inlineStr"/>
      <c r="K219" s="8" t="inlineStr"/>
      <c r="L219" s="8" t="n">
        <v>20</v>
      </c>
      <c r="M219" s="8" t="inlineStr">
        <is>
          <t>被动效果</t>
        </is>
      </c>
      <c r="N219" s="8" t="inlineStr">
        <is>
          <t>passive</t>
        </is>
      </c>
      <c r="O219" s="9" t="inlineStr">
        <is>
          <t>露水层数上限 +3</t>
        </is>
      </c>
      <c r="P219" s="9" t="inlineStr"/>
      <c r="Q219" s="9" t="inlineStr">
        <is>
          <t>buffStackCapBonus</t>
        </is>
      </c>
      <c r="R219" s="9" t="inlineStr">
        <is>
          <t>{"kind":"passive","label":"露水层数上限 +3","passiveEffect":{"type":"buffStackCapBonus","buffId":"dew","value":3,"label":"露水层数上限 +3"}}</t>
        </is>
      </c>
    </row>
    <row r="220" ht="32" customHeight="1">
      <c r="A220" s="8" t="n">
        <v>100031</v>
      </c>
      <c r="B220" s="8" t="inlineStr">
        <is>
          <t>回澜牵机诀</t>
        </is>
      </c>
      <c r="C220" s="8" t="inlineStr">
        <is>
          <t>功法</t>
        </is>
      </c>
      <c r="D220" s="8" t="inlineStr">
        <is>
          <t>common</t>
        </is>
      </c>
      <c r="E220" s="8" t="inlineStr">
        <is>
          <t>water</t>
        </is>
      </c>
      <c r="F220" s="8" t="n">
        <v>4</v>
      </c>
      <c r="G220" s="8" t="inlineStr">
        <is>
          <t>功法成长层</t>
        </is>
      </c>
      <c r="H220" s="8" t="n">
        <v>1</v>
      </c>
      <c r="I220" s="9" t="inlineStr">
        <is>
          <t>无</t>
        </is>
      </c>
      <c r="J220" s="8" t="inlineStr"/>
      <c r="K220" s="8" t="inlineStr"/>
      <c r="L220" s="8" t="n">
        <v>20</v>
      </c>
      <c r="M220" s="8" t="inlineStr">
        <is>
          <t>被动效果</t>
        </is>
      </c>
      <c r="N220" s="8" t="inlineStr">
        <is>
          <t>passive</t>
        </is>
      </c>
      <c r="O220" s="9" t="inlineStr">
        <is>
          <t>体力上限 +10</t>
        </is>
      </c>
      <c r="P220" s="9" t="inlineStr"/>
      <c r="Q220" s="9" t="inlineStr">
        <is>
          <t>primaryStatMaxFlatBonus</t>
        </is>
      </c>
      <c r="R220" s="9" t="inlineStr">
        <is>
          <t>{"kind":"passive","label":"体力上限 +10","passiveEffect":{"type":"primaryStatMaxFlatBonus","stat":"stamina","value":10,"label":"体力上限 +10"}}</t>
        </is>
      </c>
    </row>
    <row r="221" ht="32" customHeight="1">
      <c r="A221" s="8" t="n">
        <v>100031</v>
      </c>
      <c r="B221" s="8" t="inlineStr">
        <is>
          <t>回澜牵机诀</t>
        </is>
      </c>
      <c r="C221" s="8" t="inlineStr">
        <is>
          <t>功法</t>
        </is>
      </c>
      <c r="D221" s="8" t="inlineStr">
        <is>
          <t>common</t>
        </is>
      </c>
      <c r="E221" s="8" t="inlineStr">
        <is>
          <t>water</t>
        </is>
      </c>
      <c r="F221" s="8" t="n">
        <v>4</v>
      </c>
      <c r="G221" s="8" t="inlineStr">
        <is>
          <t>功法成长层</t>
        </is>
      </c>
      <c r="H221" s="8" t="n">
        <v>2</v>
      </c>
      <c r="I221" s="9" t="inlineStr">
        <is>
          <t>修为≥210；境界≥炼气层</t>
        </is>
      </c>
      <c r="J221" s="8" t="n">
        <v>210</v>
      </c>
      <c r="K221" s="8" t="n">
        <v>310</v>
      </c>
      <c r="L221" s="8" t="n">
        <v>95</v>
      </c>
      <c r="M221" s="8" t="inlineStr">
        <is>
          <t>条件触发</t>
        </is>
      </c>
      <c r="N221" s="8" t="inlineStr">
        <is>
          <t>triggered</t>
        </is>
      </c>
      <c r="O221" s="9" t="inlineStr">
        <is>
          <t>每层露水恢复体力时，获得 2 点修为</t>
        </is>
      </c>
      <c r="P221" s="9" t="inlineStr">
        <is>
          <t>onBuffConsumed</t>
        </is>
      </c>
      <c r="Q221" s="9" t="inlineStr">
        <is>
          <t>gainCultivation</t>
        </is>
      </c>
      <c r="R221" s="9" t="inlineStr">
        <is>
          <t>{"kind":"triggered","label":"&lt;cultivation&gt;每层露水恢复体力时，获得 2 点修为&lt;/cultivation&gt;","triggeredEffect":{"trigger":"onBuffConsumed","eventBuffId":"dew","type":"gainCultivation","amount":0,"amountPerEventBuffStack":2}}</t>
        </is>
      </c>
    </row>
    <row r="222" ht="32" customHeight="1">
      <c r="A222" s="8" t="n">
        <v>100031</v>
      </c>
      <c r="B222" s="8" t="inlineStr">
        <is>
          <t>回澜牵机诀</t>
        </is>
      </c>
      <c r="C222" s="8" t="inlineStr">
        <is>
          <t>功法</t>
        </is>
      </c>
      <c r="D222" s="8" t="inlineStr">
        <is>
          <t>common</t>
        </is>
      </c>
      <c r="E222" s="8" t="inlineStr">
        <is>
          <t>water</t>
        </is>
      </c>
      <c r="F222" s="8" t="n">
        <v>4</v>
      </c>
      <c r="G222" s="8" t="inlineStr">
        <is>
          <t>功法成长层</t>
        </is>
      </c>
      <c r="H222" s="8" t="n">
        <v>2</v>
      </c>
      <c r="I222" s="9" t="inlineStr">
        <is>
          <t>修为≥210；境界≥炼气层</t>
        </is>
      </c>
      <c r="J222" s="8" t="n">
        <v>210</v>
      </c>
      <c r="K222" s="8" t="n">
        <v>310</v>
      </c>
      <c r="L222" s="8" t="n">
        <v>95</v>
      </c>
      <c r="M222" s="8" t="inlineStr">
        <is>
          <t>被动效果</t>
        </is>
      </c>
      <c r="N222" s="8" t="inlineStr">
        <is>
          <t>passive</t>
        </is>
      </c>
      <c r="O222" s="9" t="inlineStr">
        <is>
          <t>露水层数上限 +6</t>
        </is>
      </c>
      <c r="P222" s="9" t="inlineStr"/>
      <c r="Q222" s="9" t="inlineStr">
        <is>
          <t>buffStackCapBonus</t>
        </is>
      </c>
      <c r="R222" s="9" t="inlineStr">
        <is>
          <t>{"kind":"passive","label":"露水层数上限 +6","passiveEffect":{"type":"buffStackCapBonus","buffId":"dew","value":6,"label":"露水层数上限 +6"}}</t>
        </is>
      </c>
    </row>
    <row r="223" ht="32" customHeight="1">
      <c r="A223" s="8" t="n">
        <v>100031</v>
      </c>
      <c r="B223" s="8" t="inlineStr">
        <is>
          <t>回澜牵机诀</t>
        </is>
      </c>
      <c r="C223" s="8" t="inlineStr">
        <is>
          <t>功法</t>
        </is>
      </c>
      <c r="D223" s="8" t="inlineStr">
        <is>
          <t>common</t>
        </is>
      </c>
      <c r="E223" s="8" t="inlineStr">
        <is>
          <t>water</t>
        </is>
      </c>
      <c r="F223" s="8" t="n">
        <v>4</v>
      </c>
      <c r="G223" s="8" t="inlineStr">
        <is>
          <t>功法成长层</t>
        </is>
      </c>
      <c r="H223" s="8" t="n">
        <v>2</v>
      </c>
      <c r="I223" s="9" t="inlineStr">
        <is>
          <t>修为≥210；境界≥炼气层</t>
        </is>
      </c>
      <c r="J223" s="8" t="n">
        <v>210</v>
      </c>
      <c r="K223" s="8" t="n">
        <v>310</v>
      </c>
      <c r="L223" s="8" t="n">
        <v>95</v>
      </c>
      <c r="M223" s="8" t="inlineStr">
        <is>
          <t>被动效果</t>
        </is>
      </c>
      <c r="N223" s="8" t="inlineStr">
        <is>
          <t>passive</t>
        </is>
      </c>
      <c r="O223" s="9" t="inlineStr">
        <is>
          <t>体力上限 +20</t>
        </is>
      </c>
      <c r="P223" s="9" t="inlineStr"/>
      <c r="Q223" s="9" t="inlineStr">
        <is>
          <t>primaryStatMaxFlatBonus</t>
        </is>
      </c>
      <c r="R223" s="9" t="inlineStr">
        <is>
          <t>{"kind":"passive","label":"体力上限 +20","passiveEffect":{"type":"primaryStatMaxFlatBonus","stat":"stamina","value":20,"label":"体力上限 +20"}}</t>
        </is>
      </c>
    </row>
    <row r="224" ht="32" customHeight="1">
      <c r="A224" s="8" t="n">
        <v>100031</v>
      </c>
      <c r="B224" s="8" t="inlineStr">
        <is>
          <t>回澜牵机诀</t>
        </is>
      </c>
      <c r="C224" s="8" t="inlineStr">
        <is>
          <t>功法</t>
        </is>
      </c>
      <c r="D224" s="8" t="inlineStr">
        <is>
          <t>common</t>
        </is>
      </c>
      <c r="E224" s="8" t="inlineStr">
        <is>
          <t>water</t>
        </is>
      </c>
      <c r="F224" s="8" t="n">
        <v>4</v>
      </c>
      <c r="G224" s="8" t="inlineStr">
        <is>
          <t>功法成长层</t>
        </is>
      </c>
      <c r="H224" s="8" t="n">
        <v>3</v>
      </c>
      <c r="I224" s="9" t="inlineStr">
        <is>
          <t>修为≥680；境界≥炼气层</t>
        </is>
      </c>
      <c r="J224" s="8" t="n">
        <v>680</v>
      </c>
      <c r="K224" s="8" t="n">
        <v>225</v>
      </c>
      <c r="L224" s="8" t="n">
        <v>130</v>
      </c>
      <c r="M224" s="8" t="inlineStr">
        <is>
          <t>条件触发</t>
        </is>
      </c>
      <c r="N224" s="8" t="inlineStr">
        <is>
          <t>triggered</t>
        </is>
      </c>
      <c r="O224" s="9" t="inlineStr">
        <is>
          <t>每层露水恢复体力时，获得 3 点修为</t>
        </is>
      </c>
      <c r="P224" s="9" t="inlineStr">
        <is>
          <t>onBuffConsumed</t>
        </is>
      </c>
      <c r="Q224" s="9" t="inlineStr">
        <is>
          <t>gainCultivation</t>
        </is>
      </c>
      <c r="R224" s="9" t="inlineStr">
        <is>
          <t>{"kind":"triggered","label":"&lt;cultivation&gt;每层露水恢复体力时，获得 3 点修为&lt;/cultivation&gt;","triggeredEffect":{"trigger":"onBuffConsumed","eventBuffId":"dew","type":"gainCultivation","amount":0,"amountPerEventBuffStack":3}}</t>
        </is>
      </c>
    </row>
    <row r="225" ht="32" customHeight="1">
      <c r="A225" s="8" t="n">
        <v>100031</v>
      </c>
      <c r="B225" s="8" t="inlineStr">
        <is>
          <t>回澜牵机诀</t>
        </is>
      </c>
      <c r="C225" s="8" t="inlineStr">
        <is>
          <t>功法</t>
        </is>
      </c>
      <c r="D225" s="8" t="inlineStr">
        <is>
          <t>common</t>
        </is>
      </c>
      <c r="E225" s="8" t="inlineStr">
        <is>
          <t>water</t>
        </is>
      </c>
      <c r="F225" s="8" t="n">
        <v>4</v>
      </c>
      <c r="G225" s="8" t="inlineStr">
        <is>
          <t>功法成长层</t>
        </is>
      </c>
      <c r="H225" s="8" t="n">
        <v>3</v>
      </c>
      <c r="I225" s="9" t="inlineStr">
        <is>
          <t>修为≥680；境界≥炼气层</t>
        </is>
      </c>
      <c r="J225" s="8" t="n">
        <v>680</v>
      </c>
      <c r="K225" s="8" t="n">
        <v>225</v>
      </c>
      <c r="L225" s="8" t="n">
        <v>130</v>
      </c>
      <c r="M225" s="8" t="inlineStr">
        <is>
          <t>被动效果</t>
        </is>
      </c>
      <c r="N225" s="8" t="inlineStr">
        <is>
          <t>passive</t>
        </is>
      </c>
      <c r="O225" s="9" t="inlineStr">
        <is>
          <t>露水层数上限 +9</t>
        </is>
      </c>
      <c r="P225" s="9" t="inlineStr"/>
      <c r="Q225" s="9" t="inlineStr">
        <is>
          <t>buffStackCapBonus</t>
        </is>
      </c>
      <c r="R225" s="9" t="inlineStr">
        <is>
          <t>{"kind":"passive","label":"露水层数上限 +9","passiveEffect":{"type":"buffStackCapBonus","buffId":"dew","value":9,"label":"露水层数上限 +9"}}</t>
        </is>
      </c>
    </row>
    <row r="226" ht="32" customHeight="1">
      <c r="A226" s="8" t="n">
        <v>100031</v>
      </c>
      <c r="B226" s="8" t="inlineStr">
        <is>
          <t>回澜牵机诀</t>
        </is>
      </c>
      <c r="C226" s="8" t="inlineStr">
        <is>
          <t>功法</t>
        </is>
      </c>
      <c r="D226" s="8" t="inlineStr">
        <is>
          <t>common</t>
        </is>
      </c>
      <c r="E226" s="8" t="inlineStr">
        <is>
          <t>water</t>
        </is>
      </c>
      <c r="F226" s="8" t="n">
        <v>4</v>
      </c>
      <c r="G226" s="8" t="inlineStr">
        <is>
          <t>功法成长层</t>
        </is>
      </c>
      <c r="H226" s="8" t="n">
        <v>3</v>
      </c>
      <c r="I226" s="9" t="inlineStr">
        <is>
          <t>修为≥680；境界≥炼气层</t>
        </is>
      </c>
      <c r="J226" s="8" t="n">
        <v>680</v>
      </c>
      <c r="K226" s="8" t="n">
        <v>225</v>
      </c>
      <c r="L226" s="8" t="n">
        <v>130</v>
      </c>
      <c r="M226" s="8" t="inlineStr">
        <is>
          <t>被动效果</t>
        </is>
      </c>
      <c r="N226" s="8" t="inlineStr">
        <is>
          <t>passive</t>
        </is>
      </c>
      <c r="O226" s="9" t="inlineStr">
        <is>
          <t>体力上限 +30</t>
        </is>
      </c>
      <c r="P226" s="9" t="inlineStr"/>
      <c r="Q226" s="9" t="inlineStr">
        <is>
          <t>primaryStatMaxFlatBonus</t>
        </is>
      </c>
      <c r="R226" s="9" t="inlineStr">
        <is>
          <t>{"kind":"passive","label":"体力上限 +30","passiveEffect":{"type":"primaryStatMaxFlatBonus","stat":"stamina","value":30,"label":"体力上限 +30"}}</t>
        </is>
      </c>
    </row>
    <row r="227" ht="32" customHeight="1">
      <c r="A227" s="8" t="n">
        <v>100031</v>
      </c>
      <c r="B227" s="8" t="inlineStr">
        <is>
          <t>回澜牵机诀</t>
        </is>
      </c>
      <c r="C227" s="8" t="inlineStr">
        <is>
          <t>功法</t>
        </is>
      </c>
      <c r="D227" s="8" t="inlineStr">
        <is>
          <t>common</t>
        </is>
      </c>
      <c r="E227" s="8" t="inlineStr">
        <is>
          <t>water</t>
        </is>
      </c>
      <c r="F227" s="8" t="n">
        <v>4</v>
      </c>
      <c r="G227" s="8" t="inlineStr">
        <is>
          <t>功法成长层</t>
        </is>
      </c>
      <c r="H227" s="8" t="n">
        <v>4</v>
      </c>
      <c r="I227" s="9" t="inlineStr">
        <is>
          <t>修为≥4300；境界≥炼气层</t>
        </is>
      </c>
      <c r="J227" s="8" t="n">
        <v>4300</v>
      </c>
      <c r="K227" s="8" t="n">
        <v>355</v>
      </c>
      <c r="L227" s="8" t="n">
        <v>165</v>
      </c>
      <c r="M227" s="8" t="inlineStr">
        <is>
          <t>条件触发</t>
        </is>
      </c>
      <c r="N227" s="8" t="inlineStr">
        <is>
          <t>triggered</t>
        </is>
      </c>
      <c r="O227" s="9" t="inlineStr">
        <is>
          <t>每层露水恢复体力时，获得 4 点修为</t>
        </is>
      </c>
      <c r="P227" s="9" t="inlineStr">
        <is>
          <t>onBuffConsumed</t>
        </is>
      </c>
      <c r="Q227" s="9" t="inlineStr">
        <is>
          <t>gainCultivation</t>
        </is>
      </c>
      <c r="R227" s="9" t="inlineStr">
        <is>
          <t>{"kind":"triggered","label":"&lt;cultivation&gt;每层露水恢复体力时，获得 4 点修为&lt;/cultivation&gt;","triggeredEffect":{"trigger":"onBuffConsumed","eventBuffId":"dew","type":"gainCultivation","amount":0,"amountPerEventBuffStack":4}}</t>
        </is>
      </c>
    </row>
    <row r="228" ht="32" customHeight="1">
      <c r="A228" s="8" t="n">
        <v>100031</v>
      </c>
      <c r="B228" s="8" t="inlineStr">
        <is>
          <t>回澜牵机诀</t>
        </is>
      </c>
      <c r="C228" s="8" t="inlineStr">
        <is>
          <t>功法</t>
        </is>
      </c>
      <c r="D228" s="8" t="inlineStr">
        <is>
          <t>common</t>
        </is>
      </c>
      <c r="E228" s="8" t="inlineStr">
        <is>
          <t>water</t>
        </is>
      </c>
      <c r="F228" s="8" t="n">
        <v>4</v>
      </c>
      <c r="G228" s="8" t="inlineStr">
        <is>
          <t>功法成长层</t>
        </is>
      </c>
      <c r="H228" s="8" t="n">
        <v>4</v>
      </c>
      <c r="I228" s="9" t="inlineStr">
        <is>
          <t>修为≥4300；境界≥炼气层</t>
        </is>
      </c>
      <c r="J228" s="8" t="n">
        <v>4300</v>
      </c>
      <c r="K228" s="8" t="n">
        <v>355</v>
      </c>
      <c r="L228" s="8" t="n">
        <v>165</v>
      </c>
      <c r="M228" s="8" t="inlineStr">
        <is>
          <t>被动效果</t>
        </is>
      </c>
      <c r="N228" s="8" t="inlineStr">
        <is>
          <t>passive</t>
        </is>
      </c>
      <c r="O228" s="9" t="inlineStr">
        <is>
          <t>露水层数上限 +12</t>
        </is>
      </c>
      <c r="P228" s="9" t="inlineStr"/>
      <c r="Q228" s="9" t="inlineStr">
        <is>
          <t>buffStackCapBonus</t>
        </is>
      </c>
      <c r="R228" s="9" t="inlineStr">
        <is>
          <t>{"kind":"passive","label":"露水层数上限 +12","passiveEffect":{"type":"buffStackCapBonus","buffId":"dew","value":12,"label":"露水层数上限 +12"}}</t>
        </is>
      </c>
    </row>
    <row r="229" ht="32" customHeight="1">
      <c r="A229" s="8" t="n">
        <v>100031</v>
      </c>
      <c r="B229" s="8" t="inlineStr">
        <is>
          <t>回澜牵机诀</t>
        </is>
      </c>
      <c r="C229" s="8" t="inlineStr">
        <is>
          <t>功法</t>
        </is>
      </c>
      <c r="D229" s="8" t="inlineStr">
        <is>
          <t>common</t>
        </is>
      </c>
      <c r="E229" s="8" t="inlineStr">
        <is>
          <t>water</t>
        </is>
      </c>
      <c r="F229" s="8" t="n">
        <v>4</v>
      </c>
      <c r="G229" s="8" t="inlineStr">
        <is>
          <t>功法成长层</t>
        </is>
      </c>
      <c r="H229" s="8" t="n">
        <v>4</v>
      </c>
      <c r="I229" s="9" t="inlineStr">
        <is>
          <t>修为≥4300；境界≥炼气层</t>
        </is>
      </c>
      <c r="J229" s="8" t="n">
        <v>4300</v>
      </c>
      <c r="K229" s="8" t="n">
        <v>355</v>
      </c>
      <c r="L229" s="8" t="n">
        <v>165</v>
      </c>
      <c r="M229" s="8" t="inlineStr">
        <is>
          <t>被动效果</t>
        </is>
      </c>
      <c r="N229" s="8" t="inlineStr">
        <is>
          <t>passive</t>
        </is>
      </c>
      <c r="O229" s="9" t="inlineStr">
        <is>
          <t>体力上限 +40</t>
        </is>
      </c>
      <c r="P229" s="9" t="inlineStr"/>
      <c r="Q229" s="9" t="inlineStr">
        <is>
          <t>primaryStatMaxFlatBonus</t>
        </is>
      </c>
      <c r="R229" s="9" t="inlineStr">
        <is>
          <t>{"kind":"passive","label":"体力上限 +40","passiveEffect":{"type":"primaryStatMaxFlatBonus","stat":"stamina","value":40,"label":"体力上限 +40"}}</t>
        </is>
      </c>
    </row>
    <row r="230" ht="32" customHeight="1">
      <c r="A230" s="8" t="n">
        <v>100042</v>
      </c>
      <c r="B230" s="8" t="inlineStr">
        <is>
          <t>九川归海经</t>
        </is>
      </c>
      <c r="C230" s="8" t="inlineStr">
        <is>
          <t>功法</t>
        </is>
      </c>
      <c r="D230" s="8" t="inlineStr">
        <is>
          <t>common</t>
        </is>
      </c>
      <c r="E230" s="8" t="inlineStr">
        <is>
          <t>water</t>
        </is>
      </c>
      <c r="F230" s="8" t="n">
        <v>1</v>
      </c>
      <c r="G230" s="8" t="inlineStr">
        <is>
          <t>基础/顶层</t>
        </is>
      </c>
      <c r="H230" s="8" t="inlineStr"/>
      <c r="I230" s="9" t="inlineStr"/>
      <c r="J230" s="8" t="inlineStr"/>
      <c r="K230" s="8" t="inlineStr"/>
      <c r="L230" s="8" t="inlineStr"/>
      <c r="M230" s="8" t="inlineStr">
        <is>
          <t>周期触发</t>
        </is>
      </c>
      <c r="N230" s="8" t="inlineStr">
        <is>
          <t>periodicPulse</t>
        </is>
      </c>
      <c r="O230" s="9" t="inlineStr">
        <is>
          <t>消耗所有露水，每消耗 1 层获得 1 点修为</t>
        </is>
      </c>
      <c r="P230" s="9" t="inlineStr">
        <is>
          <t>onPeriodicPulse</t>
        </is>
      </c>
      <c r="Q230" s="9" t="inlineStr">
        <is>
          <t>consumeBuffStacks</t>
        </is>
      </c>
      <c r="R230" s="9" t="inlineStr">
        <is>
          <t>{"kind":"periodicPulse","label":"&lt;cultivation&gt;消耗所有露水，每消耗 1 层获得 1 点修为&lt;/cultivation&gt;","periodicPulse":{"intervalSec":15,"label":"&lt;cultivation&gt;消耗所有露水，每消耗 1 层获得 1 点修为&lt;/cultivation&gt;"},"executors":[{"trigger":"onPeriodicPulse","type":"consumeBuffStacks","sourceBuffId":"dew","consumeRatio":1,"cultivationGainPerStack":1}]}</t>
        </is>
      </c>
    </row>
    <row r="231" ht="32" customHeight="1">
      <c r="A231" s="8" t="n">
        <v>100042</v>
      </c>
      <c r="B231" s="8" t="inlineStr">
        <is>
          <t>九川归海经</t>
        </is>
      </c>
      <c r="C231" s="8" t="inlineStr">
        <is>
          <t>功法</t>
        </is>
      </c>
      <c r="D231" s="8" t="inlineStr">
        <is>
          <t>common</t>
        </is>
      </c>
      <c r="E231" s="8" t="inlineStr">
        <is>
          <t>water</t>
        </is>
      </c>
      <c r="F231" s="8" t="n">
        <v>2</v>
      </c>
      <c r="G231" s="8" t="inlineStr">
        <is>
          <t>基础/顶层</t>
        </is>
      </c>
      <c r="H231" s="8" t="inlineStr"/>
      <c r="I231" s="9" t="inlineStr"/>
      <c r="J231" s="8" t="inlineStr"/>
      <c r="K231" s="8" t="inlineStr"/>
      <c r="L231" s="8" t="inlineStr"/>
      <c r="M231" s="8" t="inlineStr">
        <is>
          <t>被动效果</t>
        </is>
      </c>
      <c r="N231" s="8" t="inlineStr">
        <is>
          <t>passive</t>
        </is>
      </c>
      <c r="O231" s="9" t="inlineStr">
        <is>
          <t>露水层数上限 +10</t>
        </is>
      </c>
      <c r="P231" s="9" t="inlineStr"/>
      <c r="Q231" s="9" t="inlineStr">
        <is>
          <t>buffStackCapBonus</t>
        </is>
      </c>
      <c r="R231" s="9" t="inlineStr">
        <is>
          <t>{"kind":"passive","label":"露水层数上限 +10","passiveEffect":{"type":"buffStackCapBonus","buffId":"dew","value":10,"label":"露水层数上限 +10"}}</t>
        </is>
      </c>
    </row>
    <row r="232" ht="32" customHeight="1">
      <c r="A232" s="8" t="n">
        <v>100042</v>
      </c>
      <c r="B232" s="8" t="inlineStr">
        <is>
          <t>九川归海经</t>
        </is>
      </c>
      <c r="C232" s="8" t="inlineStr">
        <is>
          <t>功法</t>
        </is>
      </c>
      <c r="D232" s="8" t="inlineStr">
        <is>
          <t>common</t>
        </is>
      </c>
      <c r="E232" s="8" t="inlineStr">
        <is>
          <t>water</t>
        </is>
      </c>
      <c r="F232" s="8" t="n">
        <v>3</v>
      </c>
      <c r="G232" s="8" t="inlineStr">
        <is>
          <t>功法成长层</t>
        </is>
      </c>
      <c r="H232" s="8" t="n">
        <v>1</v>
      </c>
      <c r="I232" s="9" t="inlineStr">
        <is>
          <t>无</t>
        </is>
      </c>
      <c r="J232" s="8" t="inlineStr"/>
      <c r="K232" s="8" t="inlineStr"/>
      <c r="L232" s="8" t="n">
        <v>20</v>
      </c>
      <c r="M232" s="8" t="inlineStr">
        <is>
          <t>周期触发</t>
        </is>
      </c>
      <c r="N232" s="8" t="inlineStr">
        <is>
          <t>periodicPulse</t>
        </is>
      </c>
      <c r="O232" s="9" t="inlineStr">
        <is>
          <t>消耗所有露水，每消耗 1 层获得 1 点修为</t>
        </is>
      </c>
      <c r="P232" s="9" t="inlineStr">
        <is>
          <t>onPeriodicPulse</t>
        </is>
      </c>
      <c r="Q232" s="9" t="inlineStr">
        <is>
          <t>consumeBuffStacks</t>
        </is>
      </c>
      <c r="R232" s="9" t="inlineStr">
        <is>
          <t>{"kind":"periodicPulse","label":"&lt;cultivation&gt;消耗所有露水，每消耗 1 层获得 1 点修为&lt;/cultivation&gt;","periodicPulse":{"intervalSec":15,"label":"&lt;cultivation&gt;消耗所有露水，每消耗 1 层获得 1 点修为&lt;/cultivation&gt;"},"executors":[{"trigger":"onPeriodicPulse","type":"consumeBuffStacks","sourceBuffId":"dew","consumeRatio":1,"cultivationGainPerStack":1}]}</t>
        </is>
      </c>
    </row>
    <row r="233" ht="32" customHeight="1">
      <c r="A233" s="8" t="n">
        <v>100042</v>
      </c>
      <c r="B233" s="8" t="inlineStr">
        <is>
          <t>九川归海经</t>
        </is>
      </c>
      <c r="C233" s="8" t="inlineStr">
        <is>
          <t>功法</t>
        </is>
      </c>
      <c r="D233" s="8" t="inlineStr">
        <is>
          <t>common</t>
        </is>
      </c>
      <c r="E233" s="8" t="inlineStr">
        <is>
          <t>water</t>
        </is>
      </c>
      <c r="F233" s="8" t="n">
        <v>3</v>
      </c>
      <c r="G233" s="8" t="inlineStr">
        <is>
          <t>功法成长层</t>
        </is>
      </c>
      <c r="H233" s="8" t="n">
        <v>1</v>
      </c>
      <c r="I233" s="9" t="inlineStr">
        <is>
          <t>无</t>
        </is>
      </c>
      <c r="J233" s="8" t="inlineStr"/>
      <c r="K233" s="8" t="inlineStr"/>
      <c r="L233" s="8" t="n">
        <v>20</v>
      </c>
      <c r="M233" s="8" t="inlineStr">
        <is>
          <t>被动效果</t>
        </is>
      </c>
      <c r="N233" s="8" t="inlineStr">
        <is>
          <t>passive</t>
        </is>
      </c>
      <c r="O233" s="9" t="inlineStr">
        <is>
          <t>露水层数上限 +10</t>
        </is>
      </c>
      <c r="P233" s="9" t="inlineStr"/>
      <c r="Q233" s="9" t="inlineStr">
        <is>
          <t>buffStackCapBonus</t>
        </is>
      </c>
      <c r="R233" s="9" t="inlineStr">
        <is>
          <t>{"kind":"passive","label":"露水层数上限 +10","passiveEffect":{"type":"buffStackCapBonus","buffId":"dew","value":10,"label":"露水层数上限 +10"}}</t>
        </is>
      </c>
    </row>
    <row r="234" ht="32" customHeight="1">
      <c r="A234" s="8" t="n">
        <v>100042</v>
      </c>
      <c r="B234" s="8" t="inlineStr">
        <is>
          <t>九川归海经</t>
        </is>
      </c>
      <c r="C234" s="8" t="inlineStr">
        <is>
          <t>功法</t>
        </is>
      </c>
      <c r="D234" s="8" t="inlineStr">
        <is>
          <t>common</t>
        </is>
      </c>
      <c r="E234" s="8" t="inlineStr">
        <is>
          <t>water</t>
        </is>
      </c>
      <c r="F234" s="8" t="n">
        <v>3</v>
      </c>
      <c r="G234" s="8" t="inlineStr">
        <is>
          <t>功法成长层</t>
        </is>
      </c>
      <c r="H234" s="8" t="n">
        <v>2</v>
      </c>
      <c r="I234" s="9" t="inlineStr">
        <is>
          <t>修为≥160；境界≥炼气4层</t>
        </is>
      </c>
      <c r="J234" s="8" t="n">
        <v>160</v>
      </c>
      <c r="K234" s="8" t="n">
        <v>220</v>
      </c>
      <c r="L234" s="8" t="n">
        <v>90</v>
      </c>
      <c r="M234" s="8" t="inlineStr">
        <is>
          <t>周期触发</t>
        </is>
      </c>
      <c r="N234" s="8" t="inlineStr">
        <is>
          <t>periodicPulse</t>
        </is>
      </c>
      <c r="O234" s="9" t="inlineStr">
        <is>
          <t>消耗所有露水，每消耗 1 层获得 2 点修为</t>
        </is>
      </c>
      <c r="P234" s="9" t="inlineStr">
        <is>
          <t>onPeriodicPulse</t>
        </is>
      </c>
      <c r="Q234" s="9" t="inlineStr">
        <is>
          <t>consumeBuffStacks</t>
        </is>
      </c>
      <c r="R234" s="9" t="inlineStr">
        <is>
          <t>{"kind":"periodicPulse","label":"&lt;cultivation&gt;消耗所有露水，每消耗 1 层获得 2 点修为&lt;/cultivation&gt;","periodicPulse":{"intervalSec":15,"label":"&lt;cultivation&gt;消耗所有露水，每消耗 1 层获得 2 点修为&lt;/cultivation&gt;"},"executors":[{"trigger":"onPeriodicPulse","type":"consumeBuffStacks","sourceBuffId":"dew","consumeRatio":1,"cultivationGainPerStack":2}]}</t>
        </is>
      </c>
    </row>
    <row r="235" ht="32" customHeight="1">
      <c r="A235" s="8" t="n">
        <v>100042</v>
      </c>
      <c r="B235" s="8" t="inlineStr">
        <is>
          <t>九川归海经</t>
        </is>
      </c>
      <c r="C235" s="8" t="inlineStr">
        <is>
          <t>功法</t>
        </is>
      </c>
      <c r="D235" s="8" t="inlineStr">
        <is>
          <t>common</t>
        </is>
      </c>
      <c r="E235" s="8" t="inlineStr">
        <is>
          <t>water</t>
        </is>
      </c>
      <c r="F235" s="8" t="n">
        <v>3</v>
      </c>
      <c r="G235" s="8" t="inlineStr">
        <is>
          <t>功法成长层</t>
        </is>
      </c>
      <c r="H235" s="8" t="n">
        <v>2</v>
      </c>
      <c r="I235" s="9" t="inlineStr">
        <is>
          <t>修为≥160；境界≥炼气4层</t>
        </is>
      </c>
      <c r="J235" s="8" t="n">
        <v>160</v>
      </c>
      <c r="K235" s="8" t="n">
        <v>220</v>
      </c>
      <c r="L235" s="8" t="n">
        <v>90</v>
      </c>
      <c r="M235" s="8" t="inlineStr">
        <is>
          <t>被动效果</t>
        </is>
      </c>
      <c r="N235" s="8" t="inlineStr">
        <is>
          <t>passive</t>
        </is>
      </c>
      <c r="O235" s="9" t="inlineStr">
        <is>
          <t>露水层数上限 +15</t>
        </is>
      </c>
      <c r="P235" s="9" t="inlineStr"/>
      <c r="Q235" s="9" t="inlineStr">
        <is>
          <t>buffStackCapBonus</t>
        </is>
      </c>
      <c r="R235" s="9" t="inlineStr">
        <is>
          <t>{"kind":"passive","label":"露水层数上限 +15","passiveEffect":{"type":"buffStackCapBonus","buffId":"dew","value":15,"label":"露水层数上限 +15"}}</t>
        </is>
      </c>
    </row>
    <row r="236" ht="32" customHeight="1">
      <c r="A236" s="8" t="n">
        <v>100042</v>
      </c>
      <c r="B236" s="8" t="inlineStr">
        <is>
          <t>九川归海经</t>
        </is>
      </c>
      <c r="C236" s="8" t="inlineStr">
        <is>
          <t>功法</t>
        </is>
      </c>
      <c r="D236" s="8" t="inlineStr">
        <is>
          <t>common</t>
        </is>
      </c>
      <c r="E236" s="8" t="inlineStr">
        <is>
          <t>water</t>
        </is>
      </c>
      <c r="F236" s="8" t="n">
        <v>3</v>
      </c>
      <c r="G236" s="8" t="inlineStr">
        <is>
          <t>功法成长层</t>
        </is>
      </c>
      <c r="H236" s="8" t="n">
        <v>3</v>
      </c>
      <c r="I236" s="9" t="inlineStr">
        <is>
          <t>修为≥840；境界≥炼气6层</t>
        </is>
      </c>
      <c r="J236" s="8" t="n">
        <v>840</v>
      </c>
      <c r="K236" s="8" t="n">
        <v>260</v>
      </c>
      <c r="L236" s="8" t="n">
        <v>120</v>
      </c>
      <c r="M236" s="8" t="inlineStr">
        <is>
          <t>周期触发</t>
        </is>
      </c>
      <c r="N236" s="8" t="inlineStr">
        <is>
          <t>periodicPulse</t>
        </is>
      </c>
      <c r="O236" s="9" t="inlineStr">
        <is>
          <t>消耗所有露水，每消耗 1 层获得 3 点修为</t>
        </is>
      </c>
      <c r="P236" s="9" t="inlineStr">
        <is>
          <t>onPeriodicPulse</t>
        </is>
      </c>
      <c r="Q236" s="9" t="inlineStr">
        <is>
          <t>consumeBuffStacks</t>
        </is>
      </c>
      <c r="R236" s="9" t="inlineStr">
        <is>
          <t>{"kind":"periodicPulse","label":"&lt;cultivation&gt;消耗所有露水，每消耗 1 层获得 3 点修为&lt;/cultivation&gt;","periodicPulse":{"intervalSec":15,"label":"&lt;cultivation&gt;消耗所有露水，每消耗 1 层获得 3 点修为&lt;/cultivation&gt;"},"executors":[{"trigger":"onPeriodicPulse","type":"consumeBuffStacks","sourceBuffId":"dew","consumeRatio":1,"cultivationGainPerStack":3}]}</t>
        </is>
      </c>
    </row>
    <row r="237" ht="32" customHeight="1">
      <c r="A237" s="8" t="n">
        <v>100042</v>
      </c>
      <c r="B237" s="8" t="inlineStr">
        <is>
          <t>九川归海经</t>
        </is>
      </c>
      <c r="C237" s="8" t="inlineStr">
        <is>
          <t>功法</t>
        </is>
      </c>
      <c r="D237" s="8" t="inlineStr">
        <is>
          <t>common</t>
        </is>
      </c>
      <c r="E237" s="8" t="inlineStr">
        <is>
          <t>water</t>
        </is>
      </c>
      <c r="F237" s="8" t="n">
        <v>3</v>
      </c>
      <c r="G237" s="8" t="inlineStr">
        <is>
          <t>功法成长层</t>
        </is>
      </c>
      <c r="H237" s="8" t="n">
        <v>3</v>
      </c>
      <c r="I237" s="9" t="inlineStr">
        <is>
          <t>修为≥840；境界≥炼气6层</t>
        </is>
      </c>
      <c r="J237" s="8" t="n">
        <v>840</v>
      </c>
      <c r="K237" s="8" t="n">
        <v>260</v>
      </c>
      <c r="L237" s="8" t="n">
        <v>120</v>
      </c>
      <c r="M237" s="8" t="inlineStr">
        <is>
          <t>被动效果</t>
        </is>
      </c>
      <c r="N237" s="8" t="inlineStr">
        <is>
          <t>passive</t>
        </is>
      </c>
      <c r="O237" s="9" t="inlineStr">
        <is>
          <t>露水层数上限 +20</t>
        </is>
      </c>
      <c r="P237" s="9" t="inlineStr"/>
      <c r="Q237" s="9" t="inlineStr">
        <is>
          <t>buffStackCapBonus</t>
        </is>
      </c>
      <c r="R237" s="9" t="inlineStr">
        <is>
          <t>{"kind":"passive","label":"露水层数上限 +20","passiveEffect":{"type":"buffStackCapBonus","buffId":"dew","value":20,"label":"露水层数上限 +20"}}</t>
        </is>
      </c>
    </row>
    <row r="238" ht="32" customHeight="1">
      <c r="A238" s="8" t="n">
        <v>100042</v>
      </c>
      <c r="B238" s="8" t="inlineStr">
        <is>
          <t>九川归海经</t>
        </is>
      </c>
      <c r="C238" s="8" t="inlineStr">
        <is>
          <t>功法</t>
        </is>
      </c>
      <c r="D238" s="8" t="inlineStr">
        <is>
          <t>common</t>
        </is>
      </c>
      <c r="E238" s="8" t="inlineStr">
        <is>
          <t>water</t>
        </is>
      </c>
      <c r="F238" s="8" t="n">
        <v>3</v>
      </c>
      <c r="G238" s="8" t="inlineStr">
        <is>
          <t>功法成长层</t>
        </is>
      </c>
      <c r="H238" s="8" t="n">
        <v>4</v>
      </c>
      <c r="I238" s="9" t="inlineStr">
        <is>
          <t>修为≥2250；境界≥筑基1层</t>
        </is>
      </c>
      <c r="J238" s="8" t="n">
        <v>2250</v>
      </c>
      <c r="K238" s="8" t="n">
        <v>240</v>
      </c>
      <c r="L238" s="8" t="n">
        <v>160</v>
      </c>
      <c r="M238" s="8" t="inlineStr">
        <is>
          <t>周期触发</t>
        </is>
      </c>
      <c r="N238" s="8" t="inlineStr">
        <is>
          <t>periodicPulse</t>
        </is>
      </c>
      <c r="O238" s="9" t="inlineStr">
        <is>
          <t>消耗所有露水，每消耗 1 层获得 4 点修为</t>
        </is>
      </c>
      <c r="P238" s="9" t="inlineStr">
        <is>
          <t>onPeriodicPulse</t>
        </is>
      </c>
      <c r="Q238" s="9" t="inlineStr">
        <is>
          <t>consumeBuffStacks</t>
        </is>
      </c>
      <c r="R238" s="9" t="inlineStr">
        <is>
          <t>{"kind":"periodicPulse","label":"&lt;cultivation&gt;消耗所有露水，每消耗 1 层获得 4 点修为&lt;/cultivation&gt;","periodicPulse":{"intervalSec":15,"label":"&lt;cultivation&gt;消耗所有露水，每消耗 1 层获得 4 点修为&lt;/cultivation&gt;"},"executors":[{"trigger":"onPeriodicPulse","type":"consumeBuffStacks","sourceBuffId":"dew","consumeRatio":1,"cultivationGainPerStack":4}]}</t>
        </is>
      </c>
    </row>
    <row r="239" ht="32" customHeight="1">
      <c r="A239" s="8" t="n">
        <v>100042</v>
      </c>
      <c r="B239" s="8" t="inlineStr">
        <is>
          <t>九川归海经</t>
        </is>
      </c>
      <c r="C239" s="8" t="inlineStr">
        <is>
          <t>功法</t>
        </is>
      </c>
      <c r="D239" s="8" t="inlineStr">
        <is>
          <t>common</t>
        </is>
      </c>
      <c r="E239" s="8" t="inlineStr">
        <is>
          <t>water</t>
        </is>
      </c>
      <c r="F239" s="8" t="n">
        <v>3</v>
      </c>
      <c r="G239" s="8" t="inlineStr">
        <is>
          <t>功法成长层</t>
        </is>
      </c>
      <c r="H239" s="8" t="n">
        <v>4</v>
      </c>
      <c r="I239" s="9" t="inlineStr">
        <is>
          <t>修为≥2250；境界≥筑基1层</t>
        </is>
      </c>
      <c r="J239" s="8" t="n">
        <v>2250</v>
      </c>
      <c r="K239" s="8" t="n">
        <v>240</v>
      </c>
      <c r="L239" s="8" t="n">
        <v>160</v>
      </c>
      <c r="M239" s="8" t="inlineStr">
        <is>
          <t>被动效果</t>
        </is>
      </c>
      <c r="N239" s="8" t="inlineStr">
        <is>
          <t>passive</t>
        </is>
      </c>
      <c r="O239" s="9" t="inlineStr">
        <is>
          <t>露水层数上限 +25</t>
        </is>
      </c>
      <c r="P239" s="9" t="inlineStr"/>
      <c r="Q239" s="9" t="inlineStr">
        <is>
          <t>buffStackCapBonus</t>
        </is>
      </c>
      <c r="R239" s="9" t="inlineStr">
        <is>
          <t>{"kind":"passive","label":"露水层数上限 +25","passiveEffect":{"type":"buffStackCapBonus","buffId":"dew","value":25,"label":"露水层数上限 +25"}}</t>
        </is>
      </c>
    </row>
    <row r="240" ht="32" customHeight="1">
      <c r="A240" s="8" t="n">
        <v>100042</v>
      </c>
      <c r="B240" s="8" t="inlineStr">
        <is>
          <t>九川归海经</t>
        </is>
      </c>
      <c r="C240" s="8" t="inlineStr">
        <is>
          <t>功法</t>
        </is>
      </c>
      <c r="D240" s="8" t="inlineStr">
        <is>
          <t>common</t>
        </is>
      </c>
      <c r="E240" s="8" t="inlineStr">
        <is>
          <t>water</t>
        </is>
      </c>
      <c r="F240" s="8" t="n">
        <v>3</v>
      </c>
      <c r="G240" s="8" t="inlineStr">
        <is>
          <t>功法成长层</t>
        </is>
      </c>
      <c r="H240" s="8" t="n">
        <v>5</v>
      </c>
      <c r="I240" s="9" t="inlineStr">
        <is>
          <t>修为≥10600；境界≥筑基2层</t>
        </is>
      </c>
      <c r="J240" s="8" t="n">
        <v>10600</v>
      </c>
      <c r="K240" s="8" t="n">
        <v>300</v>
      </c>
      <c r="L240" s="8" t="n">
        <v>210</v>
      </c>
      <c r="M240" s="8" t="inlineStr">
        <is>
          <t>周期触发</t>
        </is>
      </c>
      <c r="N240" s="8" t="inlineStr">
        <is>
          <t>periodicPulse</t>
        </is>
      </c>
      <c r="O240" s="9" t="inlineStr">
        <is>
          <t>消耗所有露水，每消耗 1 层获得 5 点修为</t>
        </is>
      </c>
      <c r="P240" s="9" t="inlineStr">
        <is>
          <t>onPeriodicPulse</t>
        </is>
      </c>
      <c r="Q240" s="9" t="inlineStr">
        <is>
          <t>consumeBuffStacks</t>
        </is>
      </c>
      <c r="R240" s="9" t="inlineStr">
        <is>
          <t>{"kind":"periodicPulse","label":"&lt;cultivation&gt;消耗所有露水，每消耗 1 层获得 5 点修为&lt;/cultivation&gt;","periodicPulse":{"intervalSec":15,"label":"&lt;cultivation&gt;消耗所有露水，每消耗 1 层获得 5 点修为&lt;/cultivation&gt;"},"executors":[{"trigger":"onPeriodicPulse","type":"consumeBuffStacks","sourceBuffId":"dew","consumeRatio":1,"cultivationGainPerStack":5}]}</t>
        </is>
      </c>
    </row>
    <row r="241" ht="32" customHeight="1">
      <c r="A241" s="8" t="n">
        <v>100042</v>
      </c>
      <c r="B241" s="8" t="inlineStr">
        <is>
          <t>九川归海经</t>
        </is>
      </c>
      <c r="C241" s="8" t="inlineStr">
        <is>
          <t>功法</t>
        </is>
      </c>
      <c r="D241" s="8" t="inlineStr">
        <is>
          <t>common</t>
        </is>
      </c>
      <c r="E241" s="8" t="inlineStr">
        <is>
          <t>water</t>
        </is>
      </c>
      <c r="F241" s="8" t="n">
        <v>3</v>
      </c>
      <c r="G241" s="8" t="inlineStr">
        <is>
          <t>功法成长层</t>
        </is>
      </c>
      <c r="H241" s="8" t="n">
        <v>5</v>
      </c>
      <c r="I241" s="9" t="inlineStr">
        <is>
          <t>修为≥10600；境界≥筑基2层</t>
        </is>
      </c>
      <c r="J241" s="8" t="n">
        <v>10600</v>
      </c>
      <c r="K241" s="8" t="n">
        <v>300</v>
      </c>
      <c r="L241" s="8" t="n">
        <v>210</v>
      </c>
      <c r="M241" s="8" t="inlineStr">
        <is>
          <t>被动效果</t>
        </is>
      </c>
      <c r="N241" s="8" t="inlineStr">
        <is>
          <t>passive</t>
        </is>
      </c>
      <c r="O241" s="9" t="inlineStr">
        <is>
          <t>露水层数上限 +30</t>
        </is>
      </c>
      <c r="P241" s="9" t="inlineStr"/>
      <c r="Q241" s="9" t="inlineStr">
        <is>
          <t>buffStackCapBonus</t>
        </is>
      </c>
      <c r="R241" s="9" t="inlineStr">
        <is>
          <t>{"kind":"passive","label":"露水层数上限 +30","passiveEffect":{"type":"buffStackCapBonus","buffId":"dew","value":30,"label":"露水层数上限 +30"}}</t>
        </is>
      </c>
    </row>
    <row r="242" ht="32" customHeight="1">
      <c r="A242" s="8" t="n">
        <v>100042</v>
      </c>
      <c r="B242" s="8" t="inlineStr">
        <is>
          <t>九川归海经</t>
        </is>
      </c>
      <c r="C242" s="8" t="inlineStr">
        <is>
          <t>功法</t>
        </is>
      </c>
      <c r="D242" s="8" t="inlineStr">
        <is>
          <t>common</t>
        </is>
      </c>
      <c r="E242" s="8" t="inlineStr">
        <is>
          <t>water</t>
        </is>
      </c>
      <c r="F242" s="8" t="n">
        <v>3</v>
      </c>
      <c r="G242" s="8" t="inlineStr">
        <is>
          <t>功法成长层</t>
        </is>
      </c>
      <c r="H242" s="8" t="n">
        <v>6</v>
      </c>
      <c r="I242" s="9" t="inlineStr">
        <is>
          <t>修为≥36700；境界≥筑基3层</t>
        </is>
      </c>
      <c r="J242" s="8" t="n">
        <v>36700</v>
      </c>
      <c r="K242" s="8" t="n">
        <v>420</v>
      </c>
      <c r="L242" s="8" t="n">
        <v>270</v>
      </c>
      <c r="M242" s="8" t="inlineStr">
        <is>
          <t>周期触发</t>
        </is>
      </c>
      <c r="N242" s="8" t="inlineStr">
        <is>
          <t>periodicPulse</t>
        </is>
      </c>
      <c r="O242" s="9" t="inlineStr">
        <is>
          <t>消耗所有露水，每消耗 1 层获得 6 点修为</t>
        </is>
      </c>
      <c r="P242" s="9" t="inlineStr">
        <is>
          <t>onPeriodicPulse</t>
        </is>
      </c>
      <c r="Q242" s="9" t="inlineStr">
        <is>
          <t>consumeBuffStacks</t>
        </is>
      </c>
      <c r="R242" s="9" t="inlineStr">
        <is>
          <t>{"kind":"periodicPulse","label":"&lt;cultivation&gt;消耗所有露水，每消耗 1 层获得 6 点修为&lt;/cultivation&gt;","periodicPulse":{"intervalSec":15,"label":"&lt;cultivation&gt;消耗所有露水，每消耗 1 层获得 6 点修为&lt;/cultivation&gt;"},"executors":[{"trigger":"onPeriodicPulse","type":"consumeBuffStacks","sourceBuffId":"dew","consumeRatio":1,"cultivationGainPerStack":6}]}</t>
        </is>
      </c>
    </row>
    <row r="243" ht="32" customHeight="1">
      <c r="A243" s="8" t="n">
        <v>100042</v>
      </c>
      <c r="B243" s="8" t="inlineStr">
        <is>
          <t>九川归海经</t>
        </is>
      </c>
      <c r="C243" s="8" t="inlineStr">
        <is>
          <t>功法</t>
        </is>
      </c>
      <c r="D243" s="8" t="inlineStr">
        <is>
          <t>common</t>
        </is>
      </c>
      <c r="E243" s="8" t="inlineStr">
        <is>
          <t>water</t>
        </is>
      </c>
      <c r="F243" s="8" t="n">
        <v>3</v>
      </c>
      <c r="G243" s="8" t="inlineStr">
        <is>
          <t>功法成长层</t>
        </is>
      </c>
      <c r="H243" s="8" t="n">
        <v>6</v>
      </c>
      <c r="I243" s="9" t="inlineStr">
        <is>
          <t>修为≥36700；境界≥筑基3层</t>
        </is>
      </c>
      <c r="J243" s="8" t="n">
        <v>36700</v>
      </c>
      <c r="K243" s="8" t="n">
        <v>420</v>
      </c>
      <c r="L243" s="8" t="n">
        <v>270</v>
      </c>
      <c r="M243" s="8" t="inlineStr">
        <is>
          <t>被动效果</t>
        </is>
      </c>
      <c r="N243" s="8" t="inlineStr">
        <is>
          <t>passive</t>
        </is>
      </c>
      <c r="O243" s="9" t="inlineStr">
        <is>
          <t>露水层数上限 +35</t>
        </is>
      </c>
      <c r="P243" s="9" t="inlineStr"/>
      <c r="Q243" s="9" t="inlineStr">
        <is>
          <t>buffStackCapBonus</t>
        </is>
      </c>
      <c r="R243" s="9" t="inlineStr">
        <is>
          <t>{"kind":"passive","label":"露水层数上限 +35","passiveEffect":{"type":"buffStackCapBonus","buffId":"dew","value":35,"label":"露水层数上限 +35"}}</t>
        </is>
      </c>
    </row>
    <row r="244" ht="32" customHeight="1">
      <c r="A244" s="8" t="n">
        <v>100043</v>
      </c>
      <c r="B244" s="8" t="inlineStr">
        <is>
          <t>青木引风诀</t>
        </is>
      </c>
      <c r="C244" s="8" t="inlineStr">
        <is>
          <t>功法</t>
        </is>
      </c>
      <c r="D244" s="8" t="inlineStr">
        <is>
          <t>common</t>
        </is>
      </c>
      <c r="E244" s="8" t="inlineStr">
        <is>
          <t>wood</t>
        </is>
      </c>
      <c r="F244" s="8" t="n">
        <v>1</v>
      </c>
      <c r="G244" s="8" t="inlineStr">
        <is>
          <t>基础/顶层</t>
        </is>
      </c>
      <c r="H244" s="8" t="inlineStr"/>
      <c r="I244" s="9" t="inlineStr"/>
      <c r="J244" s="8" t="inlineStr"/>
      <c r="K244" s="8" t="inlineStr"/>
      <c r="L244" s="8" t="inlineStr"/>
      <c r="M244" s="8" t="inlineStr">
        <is>
          <t>周期触发</t>
        </is>
      </c>
      <c r="N244" s="8" t="inlineStr">
        <is>
          <t>periodicPulse</t>
        </is>
      </c>
      <c r="O244" s="9" t="inlineStr">
        <is>
          <t>消耗所有再生，每消耗 1 层获得 2 点修为</t>
        </is>
      </c>
      <c r="P244" s="9" t="inlineStr">
        <is>
          <t>onPeriodicPulse</t>
        </is>
      </c>
      <c r="Q244" s="9" t="inlineStr">
        <is>
          <t>consumeBuffStacks</t>
        </is>
      </c>
      <c r="R244" s="9" t="inlineStr">
        <is>
          <t>{"kind":"periodicPulse","label":"&lt;cultivation&gt;消耗所有再生，每消耗 1 层获得 2 点修为&lt;/cultivation&gt;","periodicPulse":{"intervalSec":15,"label":"&lt;cultivation&gt;消耗所有再生，每消耗 1 层获得 2 点修为&lt;/cultivation&gt;"},"executors":[{"trigger":"onPeriodicPulse","type":"consumeBuffStacks","sourceBuffId":"regeneration","consumeRatio":1,"cultivationGainPerStack":2}]}</t>
        </is>
      </c>
    </row>
    <row r="245" ht="32" customHeight="1">
      <c r="A245" s="8" t="n">
        <v>100043</v>
      </c>
      <c r="B245" s="8" t="inlineStr">
        <is>
          <t>青木引风诀</t>
        </is>
      </c>
      <c r="C245" s="8" t="inlineStr">
        <is>
          <t>功法</t>
        </is>
      </c>
      <c r="D245" s="8" t="inlineStr">
        <is>
          <t>common</t>
        </is>
      </c>
      <c r="E245" s="8" t="inlineStr">
        <is>
          <t>wood</t>
        </is>
      </c>
      <c r="F245" s="8" t="n">
        <v>2</v>
      </c>
      <c r="G245" s="8" t="inlineStr">
        <is>
          <t>基础/顶层</t>
        </is>
      </c>
      <c r="H245" s="8" t="inlineStr"/>
      <c r="I245" s="9" t="inlineStr"/>
      <c r="J245" s="8" t="inlineStr"/>
      <c r="K245" s="8" t="inlineStr"/>
      <c r="L245" s="8" t="inlineStr"/>
      <c r="M245" s="8" t="inlineStr">
        <is>
          <t>条件触发</t>
        </is>
      </c>
      <c r="N245" s="8" t="inlineStr">
        <is>
          <t>triggered</t>
        </is>
      </c>
      <c r="O245" s="9" t="inlineStr">
        <is>
          <t>每当消耗 1 层敏捷时，获得 2 点修为</t>
        </is>
      </c>
      <c r="P245" s="9" t="inlineStr">
        <is>
          <t>onBuffConsumed</t>
        </is>
      </c>
      <c r="Q245" s="9" t="inlineStr">
        <is>
          <t>gainCultivation</t>
        </is>
      </c>
      <c r="R245" s="9" t="inlineStr">
        <is>
          <t>{"kind":"triggered","label":"&lt;cultivation&gt;每当消耗 1 层敏捷时，获得 2 点修为&lt;/cultivation&gt;","triggeredEffect":{"trigger":"onBuffConsumed","eventBuffId":"agile","type":"gainCultivation","amount":0,"amountPerEventBuffStack":2,"label":"&lt;cultivation&gt;每当消耗 1 层敏捷时，获得 2 点修为&lt;/cultivation&gt;"}}</t>
        </is>
      </c>
    </row>
    <row r="246" ht="32" customHeight="1">
      <c r="A246" s="8" t="n">
        <v>100043</v>
      </c>
      <c r="B246" s="8" t="inlineStr">
        <is>
          <t>青木引风诀</t>
        </is>
      </c>
      <c r="C246" s="8" t="inlineStr">
        <is>
          <t>功法</t>
        </is>
      </c>
      <c r="D246" s="8" t="inlineStr">
        <is>
          <t>common</t>
        </is>
      </c>
      <c r="E246" s="8" t="inlineStr">
        <is>
          <t>wood</t>
        </is>
      </c>
      <c r="F246" s="8" t="n">
        <v>3</v>
      </c>
      <c r="G246" s="8" t="inlineStr">
        <is>
          <t>基础/顶层</t>
        </is>
      </c>
      <c r="H246" s="8" t="inlineStr"/>
      <c r="I246" s="9" t="inlineStr"/>
      <c r="J246" s="8" t="inlineStr"/>
      <c r="K246" s="8" t="inlineStr"/>
      <c r="L246" s="8" t="inlineStr"/>
      <c r="M246" s="8" t="inlineStr">
        <is>
          <t>被动效果</t>
        </is>
      </c>
      <c r="N246" s="8" t="inlineStr">
        <is>
          <t>passive</t>
        </is>
      </c>
      <c r="O246" s="9" t="inlineStr">
        <is>
          <t>再生层数上限 +2</t>
        </is>
      </c>
      <c r="P246" s="9" t="inlineStr"/>
      <c r="Q246" s="9" t="inlineStr">
        <is>
          <t>buffStackCapBonus</t>
        </is>
      </c>
      <c r="R246" s="9" t="inlineStr">
        <is>
          <t>{"kind":"passive","label":"再生层数上限 +2","passiveEffect":{"type":"buffStackCapBonus","buffId":"regeneration","value":2,"label":"再生层数上限 +2"}}</t>
        </is>
      </c>
    </row>
    <row r="247" ht="32" customHeight="1">
      <c r="A247" s="8" t="n">
        <v>100043</v>
      </c>
      <c r="B247" s="8" t="inlineStr">
        <is>
          <t>青木引风诀</t>
        </is>
      </c>
      <c r="C247" s="8" t="inlineStr">
        <is>
          <t>功法</t>
        </is>
      </c>
      <c r="D247" s="8" t="inlineStr">
        <is>
          <t>common</t>
        </is>
      </c>
      <c r="E247" s="8" t="inlineStr">
        <is>
          <t>wood</t>
        </is>
      </c>
      <c r="F247" s="8" t="n">
        <v>4</v>
      </c>
      <c r="G247" s="8" t="inlineStr">
        <is>
          <t>基础/顶层</t>
        </is>
      </c>
      <c r="H247" s="8" t="inlineStr"/>
      <c r="I247" s="9" t="inlineStr"/>
      <c r="J247" s="8" t="inlineStr"/>
      <c r="K247" s="8" t="inlineStr"/>
      <c r="L247" s="8" t="inlineStr"/>
      <c r="M247" s="8" t="inlineStr">
        <is>
          <t>被动效果</t>
        </is>
      </c>
      <c r="N247" s="8" t="inlineStr">
        <is>
          <t>passive</t>
        </is>
      </c>
      <c r="O247" s="9" t="inlineStr">
        <is>
          <t>敏捷层数上限 +2</t>
        </is>
      </c>
      <c r="P247" s="9" t="inlineStr"/>
      <c r="Q247" s="9" t="inlineStr">
        <is>
          <t>buffStackCapBonus</t>
        </is>
      </c>
      <c r="R247" s="9" t="inlineStr">
        <is>
          <t>{"kind":"passive","label":"敏捷层数上限 +2","passiveEffect":{"type":"buffStackCapBonus","buffId":"agile","value":2,"label":"敏捷层数上限 +2"}}</t>
        </is>
      </c>
    </row>
    <row r="248" ht="32" customHeight="1">
      <c r="A248" s="8" t="n">
        <v>100043</v>
      </c>
      <c r="B248" s="8" t="inlineStr">
        <is>
          <t>青木引风诀</t>
        </is>
      </c>
      <c r="C248" s="8" t="inlineStr">
        <is>
          <t>功法</t>
        </is>
      </c>
      <c r="D248" s="8" t="inlineStr">
        <is>
          <t>common</t>
        </is>
      </c>
      <c r="E248" s="8" t="inlineStr">
        <is>
          <t>wood</t>
        </is>
      </c>
      <c r="F248" s="8" t="n">
        <v>5</v>
      </c>
      <c r="G248" s="8" t="inlineStr">
        <is>
          <t>功法成长层</t>
        </is>
      </c>
      <c r="H248" s="8" t="n">
        <v>1</v>
      </c>
      <c r="I248" s="9" t="inlineStr">
        <is>
          <t>无</t>
        </is>
      </c>
      <c r="J248" s="8" t="inlineStr"/>
      <c r="K248" s="8" t="inlineStr"/>
      <c r="L248" s="8" t="n">
        <v>20</v>
      </c>
      <c r="M248" s="8" t="inlineStr">
        <is>
          <t>周期触发</t>
        </is>
      </c>
      <c r="N248" s="8" t="inlineStr">
        <is>
          <t>periodicPulse</t>
        </is>
      </c>
      <c r="O248" s="9" t="inlineStr">
        <is>
          <t>消耗所有再生，每消耗 1 层获得 2 点修为</t>
        </is>
      </c>
      <c r="P248" s="9" t="inlineStr">
        <is>
          <t>onPeriodicPulse</t>
        </is>
      </c>
      <c r="Q248" s="9" t="inlineStr">
        <is>
          <t>consumeBuffStacks</t>
        </is>
      </c>
      <c r="R248" s="9" t="inlineStr">
        <is>
          <t>{"kind":"periodicPulse","label":"&lt;cultivation&gt;消耗所有再生，每消耗 1 层获得 2 点修为&lt;/cultivation&gt;","periodicPulse":{"intervalSec":15,"label":"&lt;cultivation&gt;消耗所有再生，每消耗 1 层获得 2 点修为&lt;/cultivation&gt;"},"executors":[{"trigger":"onPeriodicPulse","type":"consumeBuffStacks","sourceBuffId":"regeneration","consumeRatio":1,"cultivationGainPerStack":2}]}</t>
        </is>
      </c>
    </row>
    <row r="249" ht="32" customHeight="1">
      <c r="A249" s="8" t="n">
        <v>100043</v>
      </c>
      <c r="B249" s="8" t="inlineStr">
        <is>
          <t>青木引风诀</t>
        </is>
      </c>
      <c r="C249" s="8" t="inlineStr">
        <is>
          <t>功法</t>
        </is>
      </c>
      <c r="D249" s="8" t="inlineStr">
        <is>
          <t>common</t>
        </is>
      </c>
      <c r="E249" s="8" t="inlineStr">
        <is>
          <t>wood</t>
        </is>
      </c>
      <c r="F249" s="8" t="n">
        <v>5</v>
      </c>
      <c r="G249" s="8" t="inlineStr">
        <is>
          <t>功法成长层</t>
        </is>
      </c>
      <c r="H249" s="8" t="n">
        <v>1</v>
      </c>
      <c r="I249" s="9" t="inlineStr">
        <is>
          <t>无</t>
        </is>
      </c>
      <c r="J249" s="8" t="inlineStr"/>
      <c r="K249" s="8" t="inlineStr"/>
      <c r="L249" s="8" t="n">
        <v>20</v>
      </c>
      <c r="M249" s="8" t="inlineStr">
        <is>
          <t>条件触发</t>
        </is>
      </c>
      <c r="N249" s="8" t="inlineStr">
        <is>
          <t>triggered</t>
        </is>
      </c>
      <c r="O249" s="9" t="inlineStr">
        <is>
          <t>每当消耗 1 层敏捷时，获得 2 点修为</t>
        </is>
      </c>
      <c r="P249" s="9" t="inlineStr">
        <is>
          <t>onBuffConsumed</t>
        </is>
      </c>
      <c r="Q249" s="9" t="inlineStr">
        <is>
          <t>gainCultivation</t>
        </is>
      </c>
      <c r="R249" s="9" t="inlineStr">
        <is>
          <t>{"kind":"triggered","label":"&lt;cultivation&gt;每当消耗 1 层敏捷时，获得 2 点修为&lt;/cultivation&gt;","triggeredEffect":{"trigger":"onBuffConsumed","eventBuffId":"agile","type":"gainCultivation","amount":0,"amountPerEventBuffStack":2,"label":"&lt;cultivation&gt;每当消耗 1 层敏捷时，获得 2 点修为&lt;/cultivation&gt;"}}</t>
        </is>
      </c>
    </row>
    <row r="250" ht="32" customHeight="1">
      <c r="A250" s="8" t="n">
        <v>100043</v>
      </c>
      <c r="B250" s="8" t="inlineStr">
        <is>
          <t>青木引风诀</t>
        </is>
      </c>
      <c r="C250" s="8" t="inlineStr">
        <is>
          <t>功法</t>
        </is>
      </c>
      <c r="D250" s="8" t="inlineStr">
        <is>
          <t>common</t>
        </is>
      </c>
      <c r="E250" s="8" t="inlineStr">
        <is>
          <t>wood</t>
        </is>
      </c>
      <c r="F250" s="8" t="n">
        <v>5</v>
      </c>
      <c r="G250" s="8" t="inlineStr">
        <is>
          <t>功法成长层</t>
        </is>
      </c>
      <c r="H250" s="8" t="n">
        <v>1</v>
      </c>
      <c r="I250" s="9" t="inlineStr">
        <is>
          <t>无</t>
        </is>
      </c>
      <c r="J250" s="8" t="inlineStr"/>
      <c r="K250" s="8" t="inlineStr"/>
      <c r="L250" s="8" t="n">
        <v>20</v>
      </c>
      <c r="M250" s="8" t="inlineStr">
        <is>
          <t>被动效果</t>
        </is>
      </c>
      <c r="N250" s="8" t="inlineStr">
        <is>
          <t>passive</t>
        </is>
      </c>
      <c r="O250" s="9" t="inlineStr">
        <is>
          <t>再生层数上限 +2</t>
        </is>
      </c>
      <c r="P250" s="9" t="inlineStr"/>
      <c r="Q250" s="9" t="inlineStr">
        <is>
          <t>buffStackCapBonus</t>
        </is>
      </c>
      <c r="R250" s="9" t="inlineStr">
        <is>
          <t>{"kind":"passive","label":"再生层数上限 +2","passiveEffect":{"type":"buffStackCapBonus","buffId":"regeneration","value":2,"label":"再生层数上限 +2"}}</t>
        </is>
      </c>
    </row>
    <row r="251" ht="32" customHeight="1">
      <c r="A251" s="8" t="n">
        <v>100043</v>
      </c>
      <c r="B251" s="8" t="inlineStr">
        <is>
          <t>青木引风诀</t>
        </is>
      </c>
      <c r="C251" s="8" t="inlineStr">
        <is>
          <t>功法</t>
        </is>
      </c>
      <c r="D251" s="8" t="inlineStr">
        <is>
          <t>common</t>
        </is>
      </c>
      <c r="E251" s="8" t="inlineStr">
        <is>
          <t>wood</t>
        </is>
      </c>
      <c r="F251" s="8" t="n">
        <v>5</v>
      </c>
      <c r="G251" s="8" t="inlineStr">
        <is>
          <t>功法成长层</t>
        </is>
      </c>
      <c r="H251" s="8" t="n">
        <v>1</v>
      </c>
      <c r="I251" s="9" t="inlineStr">
        <is>
          <t>无</t>
        </is>
      </c>
      <c r="J251" s="8" t="inlineStr"/>
      <c r="K251" s="8" t="inlineStr"/>
      <c r="L251" s="8" t="n">
        <v>20</v>
      </c>
      <c r="M251" s="8" t="inlineStr">
        <is>
          <t>被动效果</t>
        </is>
      </c>
      <c r="N251" s="8" t="inlineStr">
        <is>
          <t>passive</t>
        </is>
      </c>
      <c r="O251" s="9" t="inlineStr">
        <is>
          <t>敏捷层数上限 +2</t>
        </is>
      </c>
      <c r="P251" s="9" t="inlineStr"/>
      <c r="Q251" s="9" t="inlineStr">
        <is>
          <t>buffStackCapBonus</t>
        </is>
      </c>
      <c r="R251" s="9" t="inlineStr">
        <is>
          <t>{"kind":"passive","label":"敏捷层数上限 +2","passiveEffect":{"type":"buffStackCapBonus","buffId":"agile","value":2,"label":"敏捷层数上限 +2"}}</t>
        </is>
      </c>
    </row>
    <row r="252" ht="32" customHeight="1">
      <c r="A252" s="8" t="n">
        <v>100043</v>
      </c>
      <c r="B252" s="8" t="inlineStr">
        <is>
          <t>青木引风诀</t>
        </is>
      </c>
      <c r="C252" s="8" t="inlineStr">
        <is>
          <t>功法</t>
        </is>
      </c>
      <c r="D252" s="8" t="inlineStr">
        <is>
          <t>common</t>
        </is>
      </c>
      <c r="E252" s="8" t="inlineStr">
        <is>
          <t>wood</t>
        </is>
      </c>
      <c r="F252" s="8" t="n">
        <v>5</v>
      </c>
      <c r="G252" s="8" t="inlineStr">
        <is>
          <t>功法成长层</t>
        </is>
      </c>
      <c r="H252" s="8" t="n">
        <v>2</v>
      </c>
      <c r="I252" s="9" t="inlineStr">
        <is>
          <t>修为≥170；境界≥炼气4层</t>
        </is>
      </c>
      <c r="J252" s="8" t="n">
        <v>170</v>
      </c>
      <c r="K252" s="8" t="n">
        <v>235</v>
      </c>
      <c r="L252" s="8" t="n">
        <v>90</v>
      </c>
      <c r="M252" s="8" t="inlineStr">
        <is>
          <t>周期触发</t>
        </is>
      </c>
      <c r="N252" s="8" t="inlineStr">
        <is>
          <t>periodicPulse</t>
        </is>
      </c>
      <c r="O252" s="9" t="inlineStr">
        <is>
          <t>消耗所有再生，每消耗 1 层获得 4 点修为</t>
        </is>
      </c>
      <c r="P252" s="9" t="inlineStr">
        <is>
          <t>onPeriodicPulse</t>
        </is>
      </c>
      <c r="Q252" s="9" t="inlineStr">
        <is>
          <t>consumeBuffStacks</t>
        </is>
      </c>
      <c r="R252" s="9" t="inlineStr">
        <is>
          <t>{"kind":"periodicPulse","label":"&lt;cultivation&gt;消耗所有再生，每消耗 1 层获得 4 点修为&lt;/cultivation&gt;","periodicPulse":{"intervalSec":15,"label":"&lt;cultivation&gt;消耗所有再生，每消耗 1 层获得 4 点修为&lt;/cultivation&gt;"},"executors":[{"trigger":"onPeriodicPulse","type":"consumeBuffStacks","sourceBuffId":"regeneration","consumeRatio":1,"cultivationGainPerStack":4}]}</t>
        </is>
      </c>
    </row>
    <row r="253" ht="32" customHeight="1">
      <c r="A253" s="8" t="n">
        <v>100043</v>
      </c>
      <c r="B253" s="8" t="inlineStr">
        <is>
          <t>青木引风诀</t>
        </is>
      </c>
      <c r="C253" s="8" t="inlineStr">
        <is>
          <t>功法</t>
        </is>
      </c>
      <c r="D253" s="8" t="inlineStr">
        <is>
          <t>common</t>
        </is>
      </c>
      <c r="E253" s="8" t="inlineStr">
        <is>
          <t>wood</t>
        </is>
      </c>
      <c r="F253" s="8" t="n">
        <v>5</v>
      </c>
      <c r="G253" s="8" t="inlineStr">
        <is>
          <t>功法成长层</t>
        </is>
      </c>
      <c r="H253" s="8" t="n">
        <v>2</v>
      </c>
      <c r="I253" s="9" t="inlineStr">
        <is>
          <t>修为≥170；境界≥炼气4层</t>
        </is>
      </c>
      <c r="J253" s="8" t="n">
        <v>170</v>
      </c>
      <c r="K253" s="8" t="n">
        <v>235</v>
      </c>
      <c r="L253" s="8" t="n">
        <v>90</v>
      </c>
      <c r="M253" s="8" t="inlineStr">
        <is>
          <t>条件触发</t>
        </is>
      </c>
      <c r="N253" s="8" t="inlineStr">
        <is>
          <t>triggered</t>
        </is>
      </c>
      <c r="O253" s="9" t="inlineStr">
        <is>
          <t>每当消耗 1 层敏捷时，获得 4 点修为</t>
        </is>
      </c>
      <c r="P253" s="9" t="inlineStr">
        <is>
          <t>onBuffConsumed</t>
        </is>
      </c>
      <c r="Q253" s="9" t="inlineStr">
        <is>
          <t>gainCultivation</t>
        </is>
      </c>
      <c r="R253" s="9" t="inlineStr">
        <is>
          <t>{"kind":"triggered","label":"&lt;cultivation&gt;每当消耗 1 层敏捷时，获得 4 点修为&lt;/cultivation&gt;","triggeredEffect":{"trigger":"onBuffConsumed","eventBuffId":"agile","type":"gainCultivation","amount":0,"amountPerEventBuffStack":4,"label":"&lt;cultivation&gt;每当消耗 1 层敏捷时，获得 4 点修为&lt;/cultivation&gt;"}}</t>
        </is>
      </c>
    </row>
    <row r="254" ht="32" customHeight="1">
      <c r="A254" s="8" t="n">
        <v>100043</v>
      </c>
      <c r="B254" s="8" t="inlineStr">
        <is>
          <t>青木引风诀</t>
        </is>
      </c>
      <c r="C254" s="8" t="inlineStr">
        <is>
          <t>功法</t>
        </is>
      </c>
      <c r="D254" s="8" t="inlineStr">
        <is>
          <t>common</t>
        </is>
      </c>
      <c r="E254" s="8" t="inlineStr">
        <is>
          <t>wood</t>
        </is>
      </c>
      <c r="F254" s="8" t="n">
        <v>5</v>
      </c>
      <c r="G254" s="8" t="inlineStr">
        <is>
          <t>功法成长层</t>
        </is>
      </c>
      <c r="H254" s="8" t="n">
        <v>2</v>
      </c>
      <c r="I254" s="9" t="inlineStr">
        <is>
          <t>修为≥170；境界≥炼气4层</t>
        </is>
      </c>
      <c r="J254" s="8" t="n">
        <v>170</v>
      </c>
      <c r="K254" s="8" t="n">
        <v>235</v>
      </c>
      <c r="L254" s="8" t="n">
        <v>90</v>
      </c>
      <c r="M254" s="8" t="inlineStr">
        <is>
          <t>被动效果</t>
        </is>
      </c>
      <c r="N254" s="8" t="inlineStr">
        <is>
          <t>passive</t>
        </is>
      </c>
      <c r="O254" s="9" t="inlineStr">
        <is>
          <t>再生层数上限 +4</t>
        </is>
      </c>
      <c r="P254" s="9" t="inlineStr"/>
      <c r="Q254" s="9" t="inlineStr">
        <is>
          <t>buffStackCapBonus</t>
        </is>
      </c>
      <c r="R254" s="9" t="inlineStr">
        <is>
          <t>{"kind":"passive","label":"再生层数上限 +4","passiveEffect":{"type":"buffStackCapBonus","buffId":"regeneration","value":4,"label":"再生层数上限 +4"}}</t>
        </is>
      </c>
    </row>
    <row r="255" ht="32" customHeight="1">
      <c r="A255" s="8" t="n">
        <v>100043</v>
      </c>
      <c r="B255" s="8" t="inlineStr">
        <is>
          <t>青木引风诀</t>
        </is>
      </c>
      <c r="C255" s="8" t="inlineStr">
        <is>
          <t>功法</t>
        </is>
      </c>
      <c r="D255" s="8" t="inlineStr">
        <is>
          <t>common</t>
        </is>
      </c>
      <c r="E255" s="8" t="inlineStr">
        <is>
          <t>wood</t>
        </is>
      </c>
      <c r="F255" s="8" t="n">
        <v>5</v>
      </c>
      <c r="G255" s="8" t="inlineStr">
        <is>
          <t>功法成长层</t>
        </is>
      </c>
      <c r="H255" s="8" t="n">
        <v>2</v>
      </c>
      <c r="I255" s="9" t="inlineStr">
        <is>
          <t>修为≥170；境界≥炼气4层</t>
        </is>
      </c>
      <c r="J255" s="8" t="n">
        <v>170</v>
      </c>
      <c r="K255" s="8" t="n">
        <v>235</v>
      </c>
      <c r="L255" s="8" t="n">
        <v>90</v>
      </c>
      <c r="M255" s="8" t="inlineStr">
        <is>
          <t>被动效果</t>
        </is>
      </c>
      <c r="N255" s="8" t="inlineStr">
        <is>
          <t>passive</t>
        </is>
      </c>
      <c r="O255" s="9" t="inlineStr">
        <is>
          <t>敏捷层数上限 +4</t>
        </is>
      </c>
      <c r="P255" s="9" t="inlineStr"/>
      <c r="Q255" s="9" t="inlineStr">
        <is>
          <t>buffStackCapBonus</t>
        </is>
      </c>
      <c r="R255" s="9" t="inlineStr">
        <is>
          <t>{"kind":"passive","label":"敏捷层数上限 +4","passiveEffect":{"type":"buffStackCapBonus","buffId":"agile","value":4,"label":"敏捷层数上限 +4"}}</t>
        </is>
      </c>
    </row>
    <row r="256" ht="32" customHeight="1">
      <c r="A256" s="8" t="n">
        <v>100043</v>
      </c>
      <c r="B256" s="8" t="inlineStr">
        <is>
          <t>青木引风诀</t>
        </is>
      </c>
      <c r="C256" s="8" t="inlineStr">
        <is>
          <t>功法</t>
        </is>
      </c>
      <c r="D256" s="8" t="inlineStr">
        <is>
          <t>common</t>
        </is>
      </c>
      <c r="E256" s="8" t="inlineStr">
        <is>
          <t>wood</t>
        </is>
      </c>
      <c r="F256" s="8" t="n">
        <v>5</v>
      </c>
      <c r="G256" s="8" t="inlineStr">
        <is>
          <t>功法成长层</t>
        </is>
      </c>
      <c r="H256" s="8" t="n">
        <v>3</v>
      </c>
      <c r="I256" s="9" t="inlineStr">
        <is>
          <t>修为≥800；境界≥炼气6层</t>
        </is>
      </c>
      <c r="J256" s="8" t="n">
        <v>800</v>
      </c>
      <c r="K256" s="8" t="n">
        <v>270</v>
      </c>
      <c r="L256" s="8" t="n">
        <v>120</v>
      </c>
      <c r="M256" s="8" t="inlineStr">
        <is>
          <t>周期触发</t>
        </is>
      </c>
      <c r="N256" s="8" t="inlineStr">
        <is>
          <t>periodicPulse</t>
        </is>
      </c>
      <c r="O256" s="9" t="inlineStr">
        <is>
          <t>消耗所有再生，每消耗 1 层获得 6 点修为</t>
        </is>
      </c>
      <c r="P256" s="9" t="inlineStr">
        <is>
          <t>onPeriodicPulse</t>
        </is>
      </c>
      <c r="Q256" s="9" t="inlineStr">
        <is>
          <t>consumeBuffStacks</t>
        </is>
      </c>
      <c r="R256" s="9" t="inlineStr">
        <is>
          <t>{"kind":"periodicPulse","label":"&lt;cultivation&gt;消耗所有再生，每消耗 1 层获得 6 点修为&lt;/cultivation&gt;","periodicPulse":{"intervalSec":15,"label":"&lt;cultivation&gt;消耗所有再生，每消耗 1 层获得 6 点修为&lt;/cultivation&gt;"},"executors":[{"trigger":"onPeriodicPulse","type":"consumeBuffStacks","sourceBuffId":"regeneration","consumeRatio":1,"cultivationGainPerStack":6}]}</t>
        </is>
      </c>
    </row>
    <row r="257" ht="32" customHeight="1">
      <c r="A257" s="8" t="n">
        <v>100043</v>
      </c>
      <c r="B257" s="8" t="inlineStr">
        <is>
          <t>青木引风诀</t>
        </is>
      </c>
      <c r="C257" s="8" t="inlineStr">
        <is>
          <t>功法</t>
        </is>
      </c>
      <c r="D257" s="8" t="inlineStr">
        <is>
          <t>common</t>
        </is>
      </c>
      <c r="E257" s="8" t="inlineStr">
        <is>
          <t>wood</t>
        </is>
      </c>
      <c r="F257" s="8" t="n">
        <v>5</v>
      </c>
      <c r="G257" s="8" t="inlineStr">
        <is>
          <t>功法成长层</t>
        </is>
      </c>
      <c r="H257" s="8" t="n">
        <v>3</v>
      </c>
      <c r="I257" s="9" t="inlineStr">
        <is>
          <t>修为≥800；境界≥炼气6层</t>
        </is>
      </c>
      <c r="J257" s="8" t="n">
        <v>800</v>
      </c>
      <c r="K257" s="8" t="n">
        <v>270</v>
      </c>
      <c r="L257" s="8" t="n">
        <v>120</v>
      </c>
      <c r="M257" s="8" t="inlineStr">
        <is>
          <t>条件触发</t>
        </is>
      </c>
      <c r="N257" s="8" t="inlineStr">
        <is>
          <t>triggered</t>
        </is>
      </c>
      <c r="O257" s="9" t="inlineStr">
        <is>
          <t>每当消耗 1 层敏捷时，获得 6 点修为</t>
        </is>
      </c>
      <c r="P257" s="9" t="inlineStr">
        <is>
          <t>onBuffConsumed</t>
        </is>
      </c>
      <c r="Q257" s="9" t="inlineStr">
        <is>
          <t>gainCultivation</t>
        </is>
      </c>
      <c r="R257" s="9" t="inlineStr">
        <is>
          <t>{"kind":"triggered","label":"&lt;cultivation&gt;每当消耗 1 层敏捷时，获得 6 点修为&lt;/cultivation&gt;","triggeredEffect":{"trigger":"onBuffConsumed","eventBuffId":"agile","type":"gainCultivation","amount":0,"amountPerEventBuffStack":6,"label":"&lt;cultivation&gt;每当消耗 1 层敏捷时，获得 6 点修为&lt;/cultivation&gt;"}}</t>
        </is>
      </c>
    </row>
    <row r="258" ht="32" customHeight="1">
      <c r="A258" s="8" t="n">
        <v>100043</v>
      </c>
      <c r="B258" s="8" t="inlineStr">
        <is>
          <t>青木引风诀</t>
        </is>
      </c>
      <c r="C258" s="8" t="inlineStr">
        <is>
          <t>功法</t>
        </is>
      </c>
      <c r="D258" s="8" t="inlineStr">
        <is>
          <t>common</t>
        </is>
      </c>
      <c r="E258" s="8" t="inlineStr">
        <is>
          <t>wood</t>
        </is>
      </c>
      <c r="F258" s="8" t="n">
        <v>5</v>
      </c>
      <c r="G258" s="8" t="inlineStr">
        <is>
          <t>功法成长层</t>
        </is>
      </c>
      <c r="H258" s="8" t="n">
        <v>3</v>
      </c>
      <c r="I258" s="9" t="inlineStr">
        <is>
          <t>修为≥800；境界≥炼气6层</t>
        </is>
      </c>
      <c r="J258" s="8" t="n">
        <v>800</v>
      </c>
      <c r="K258" s="8" t="n">
        <v>270</v>
      </c>
      <c r="L258" s="8" t="n">
        <v>120</v>
      </c>
      <c r="M258" s="8" t="inlineStr">
        <is>
          <t>被动效果</t>
        </is>
      </c>
      <c r="N258" s="8" t="inlineStr">
        <is>
          <t>passive</t>
        </is>
      </c>
      <c r="O258" s="9" t="inlineStr">
        <is>
          <t>再生层数上限 +6</t>
        </is>
      </c>
      <c r="P258" s="9" t="inlineStr"/>
      <c r="Q258" s="9" t="inlineStr">
        <is>
          <t>buffStackCapBonus</t>
        </is>
      </c>
      <c r="R258" s="9" t="inlineStr">
        <is>
          <t>{"kind":"passive","label":"再生层数上限 +6","passiveEffect":{"type":"buffStackCapBonus","buffId":"regeneration","value":6,"label":"再生层数上限 +6"}}</t>
        </is>
      </c>
    </row>
    <row r="259" ht="32" customHeight="1">
      <c r="A259" s="8" t="n">
        <v>100043</v>
      </c>
      <c r="B259" s="8" t="inlineStr">
        <is>
          <t>青木引风诀</t>
        </is>
      </c>
      <c r="C259" s="8" t="inlineStr">
        <is>
          <t>功法</t>
        </is>
      </c>
      <c r="D259" s="8" t="inlineStr">
        <is>
          <t>common</t>
        </is>
      </c>
      <c r="E259" s="8" t="inlineStr">
        <is>
          <t>wood</t>
        </is>
      </c>
      <c r="F259" s="8" t="n">
        <v>5</v>
      </c>
      <c r="G259" s="8" t="inlineStr">
        <is>
          <t>功法成长层</t>
        </is>
      </c>
      <c r="H259" s="8" t="n">
        <v>3</v>
      </c>
      <c r="I259" s="9" t="inlineStr">
        <is>
          <t>修为≥800；境界≥炼气6层</t>
        </is>
      </c>
      <c r="J259" s="8" t="n">
        <v>800</v>
      </c>
      <c r="K259" s="8" t="n">
        <v>270</v>
      </c>
      <c r="L259" s="8" t="n">
        <v>120</v>
      </c>
      <c r="M259" s="8" t="inlineStr">
        <is>
          <t>被动效果</t>
        </is>
      </c>
      <c r="N259" s="8" t="inlineStr">
        <is>
          <t>passive</t>
        </is>
      </c>
      <c r="O259" s="9" t="inlineStr">
        <is>
          <t>敏捷层数上限 +6</t>
        </is>
      </c>
      <c r="P259" s="9" t="inlineStr"/>
      <c r="Q259" s="9" t="inlineStr">
        <is>
          <t>buffStackCapBonus</t>
        </is>
      </c>
      <c r="R259" s="9" t="inlineStr">
        <is>
          <t>{"kind":"passive","label":"敏捷层数上限 +6","passiveEffect":{"type":"buffStackCapBonus","buffId":"agile","value":6,"label":"敏捷层数上限 +6"}}</t>
        </is>
      </c>
    </row>
    <row r="260" ht="32" customHeight="1">
      <c r="A260" s="8" t="n">
        <v>100043</v>
      </c>
      <c r="B260" s="8" t="inlineStr">
        <is>
          <t>青木引风诀</t>
        </is>
      </c>
      <c r="C260" s="8" t="inlineStr">
        <is>
          <t>功法</t>
        </is>
      </c>
      <c r="D260" s="8" t="inlineStr">
        <is>
          <t>common</t>
        </is>
      </c>
      <c r="E260" s="8" t="inlineStr">
        <is>
          <t>wood</t>
        </is>
      </c>
      <c r="F260" s="8" t="n">
        <v>5</v>
      </c>
      <c r="G260" s="8" t="inlineStr">
        <is>
          <t>功法成长层</t>
        </is>
      </c>
      <c r="H260" s="8" t="n">
        <v>4</v>
      </c>
      <c r="I260" s="9" t="inlineStr">
        <is>
          <t>修为≥2550；境界≥炼气10层</t>
        </is>
      </c>
      <c r="J260" s="8" t="n">
        <v>2550</v>
      </c>
      <c r="K260" s="8" t="n">
        <v>265</v>
      </c>
      <c r="L260" s="8" t="n">
        <v>160</v>
      </c>
      <c r="M260" s="8" t="inlineStr">
        <is>
          <t>周期触发</t>
        </is>
      </c>
      <c r="N260" s="8" t="inlineStr">
        <is>
          <t>periodicPulse</t>
        </is>
      </c>
      <c r="O260" s="9" t="inlineStr">
        <is>
          <t>消耗所有再生，每消耗 1 层获得 8 点修为</t>
        </is>
      </c>
      <c r="P260" s="9" t="inlineStr">
        <is>
          <t>onPeriodicPulse</t>
        </is>
      </c>
      <c r="Q260" s="9" t="inlineStr">
        <is>
          <t>consumeBuffStacks</t>
        </is>
      </c>
      <c r="R260" s="9" t="inlineStr">
        <is>
          <t>{"kind":"periodicPulse","label":"&lt;cultivation&gt;消耗所有再生，每消耗 1 层获得 8 点修为&lt;/cultivation&gt;","periodicPulse":{"intervalSec":15,"label":"&lt;cultivation&gt;消耗所有再生，每消耗 1 层获得 8 点修为&lt;/cultivation&gt;"},"executors":[{"trigger":"onPeriodicPulse","type":"consumeBuffStacks","sourceBuffId":"regeneration","consumeRatio":1,"cultivationGainPerStack":8}]}</t>
        </is>
      </c>
    </row>
    <row r="261" ht="32" customHeight="1">
      <c r="A261" s="8" t="n">
        <v>100043</v>
      </c>
      <c r="B261" s="8" t="inlineStr">
        <is>
          <t>青木引风诀</t>
        </is>
      </c>
      <c r="C261" s="8" t="inlineStr">
        <is>
          <t>功法</t>
        </is>
      </c>
      <c r="D261" s="8" t="inlineStr">
        <is>
          <t>common</t>
        </is>
      </c>
      <c r="E261" s="8" t="inlineStr">
        <is>
          <t>wood</t>
        </is>
      </c>
      <c r="F261" s="8" t="n">
        <v>5</v>
      </c>
      <c r="G261" s="8" t="inlineStr">
        <is>
          <t>功法成长层</t>
        </is>
      </c>
      <c r="H261" s="8" t="n">
        <v>4</v>
      </c>
      <c r="I261" s="9" t="inlineStr">
        <is>
          <t>修为≥2550；境界≥炼气10层</t>
        </is>
      </c>
      <c r="J261" s="8" t="n">
        <v>2550</v>
      </c>
      <c r="K261" s="8" t="n">
        <v>265</v>
      </c>
      <c r="L261" s="8" t="n">
        <v>160</v>
      </c>
      <c r="M261" s="8" t="inlineStr">
        <is>
          <t>条件触发</t>
        </is>
      </c>
      <c r="N261" s="8" t="inlineStr">
        <is>
          <t>triggered</t>
        </is>
      </c>
      <c r="O261" s="9" t="inlineStr">
        <is>
          <t>每当消耗 1 层敏捷时，获得 8 点修为</t>
        </is>
      </c>
      <c r="P261" s="9" t="inlineStr">
        <is>
          <t>onBuffConsumed</t>
        </is>
      </c>
      <c r="Q261" s="9" t="inlineStr">
        <is>
          <t>gainCultivation</t>
        </is>
      </c>
      <c r="R261" s="9" t="inlineStr">
        <is>
          <t>{"kind":"triggered","label":"&lt;cultivation&gt;每当消耗 1 层敏捷时，获得 8 点修为&lt;/cultivation&gt;","triggeredEffect":{"trigger":"onBuffConsumed","eventBuffId":"agile","type":"gainCultivation","amount":0,"amountPerEventBuffStack":8,"label":"&lt;cultivation&gt;每当消耗 1 层敏捷时，获得 8 点修为&lt;/cultivation&gt;"}}</t>
        </is>
      </c>
    </row>
    <row r="262" ht="32" customHeight="1">
      <c r="A262" s="8" t="n">
        <v>100043</v>
      </c>
      <c r="B262" s="8" t="inlineStr">
        <is>
          <t>青木引风诀</t>
        </is>
      </c>
      <c r="C262" s="8" t="inlineStr">
        <is>
          <t>功法</t>
        </is>
      </c>
      <c r="D262" s="8" t="inlineStr">
        <is>
          <t>common</t>
        </is>
      </c>
      <c r="E262" s="8" t="inlineStr">
        <is>
          <t>wood</t>
        </is>
      </c>
      <c r="F262" s="8" t="n">
        <v>5</v>
      </c>
      <c r="G262" s="8" t="inlineStr">
        <is>
          <t>功法成长层</t>
        </is>
      </c>
      <c r="H262" s="8" t="n">
        <v>4</v>
      </c>
      <c r="I262" s="9" t="inlineStr">
        <is>
          <t>修为≥2550；境界≥炼气10层</t>
        </is>
      </c>
      <c r="J262" s="8" t="n">
        <v>2550</v>
      </c>
      <c r="K262" s="8" t="n">
        <v>265</v>
      </c>
      <c r="L262" s="8" t="n">
        <v>160</v>
      </c>
      <c r="M262" s="8" t="inlineStr">
        <is>
          <t>被动效果</t>
        </is>
      </c>
      <c r="N262" s="8" t="inlineStr">
        <is>
          <t>passive</t>
        </is>
      </c>
      <c r="O262" s="9" t="inlineStr">
        <is>
          <t>再生层数上限 +8</t>
        </is>
      </c>
      <c r="P262" s="9" t="inlineStr"/>
      <c r="Q262" s="9" t="inlineStr">
        <is>
          <t>buffStackCapBonus</t>
        </is>
      </c>
      <c r="R262" s="9" t="inlineStr">
        <is>
          <t>{"kind":"passive","label":"再生层数上限 +8","passiveEffect":{"type":"buffStackCapBonus","buffId":"regeneration","value":8,"label":"再生层数上限 +8"}}</t>
        </is>
      </c>
    </row>
    <row r="263" ht="32" customHeight="1">
      <c r="A263" s="8" t="n">
        <v>100043</v>
      </c>
      <c r="B263" s="8" t="inlineStr">
        <is>
          <t>青木引风诀</t>
        </is>
      </c>
      <c r="C263" s="8" t="inlineStr">
        <is>
          <t>功法</t>
        </is>
      </c>
      <c r="D263" s="8" t="inlineStr">
        <is>
          <t>common</t>
        </is>
      </c>
      <c r="E263" s="8" t="inlineStr">
        <is>
          <t>wood</t>
        </is>
      </c>
      <c r="F263" s="8" t="n">
        <v>5</v>
      </c>
      <c r="G263" s="8" t="inlineStr">
        <is>
          <t>功法成长层</t>
        </is>
      </c>
      <c r="H263" s="8" t="n">
        <v>4</v>
      </c>
      <c r="I263" s="9" t="inlineStr">
        <is>
          <t>修为≥2550；境界≥炼气10层</t>
        </is>
      </c>
      <c r="J263" s="8" t="n">
        <v>2550</v>
      </c>
      <c r="K263" s="8" t="n">
        <v>265</v>
      </c>
      <c r="L263" s="8" t="n">
        <v>160</v>
      </c>
      <c r="M263" s="8" t="inlineStr">
        <is>
          <t>被动效果</t>
        </is>
      </c>
      <c r="N263" s="8" t="inlineStr">
        <is>
          <t>passive</t>
        </is>
      </c>
      <c r="O263" s="9" t="inlineStr">
        <is>
          <t>敏捷层数上限 +8</t>
        </is>
      </c>
      <c r="P263" s="9" t="inlineStr"/>
      <c r="Q263" s="9" t="inlineStr">
        <is>
          <t>buffStackCapBonus</t>
        </is>
      </c>
      <c r="R263" s="9" t="inlineStr">
        <is>
          <t>{"kind":"passive","label":"敏捷层数上限 +8","passiveEffect":{"type":"buffStackCapBonus","buffId":"agile","value":8,"label":"敏捷层数上限 +8"}}</t>
        </is>
      </c>
    </row>
    <row r="264" ht="32" customHeight="1">
      <c r="A264" s="8" t="n">
        <v>100043</v>
      </c>
      <c r="B264" s="8" t="inlineStr">
        <is>
          <t>青木引风诀</t>
        </is>
      </c>
      <c r="C264" s="8" t="inlineStr">
        <is>
          <t>功法</t>
        </is>
      </c>
      <c r="D264" s="8" t="inlineStr">
        <is>
          <t>common</t>
        </is>
      </c>
      <c r="E264" s="8" t="inlineStr">
        <is>
          <t>wood</t>
        </is>
      </c>
      <c r="F264" s="8" t="n">
        <v>5</v>
      </c>
      <c r="G264" s="8" t="inlineStr">
        <is>
          <t>功法成长层</t>
        </is>
      </c>
      <c r="H264" s="8" t="n">
        <v>5</v>
      </c>
      <c r="I264" s="9" t="inlineStr">
        <is>
          <t>修为≥10800；境界≥筑基2层</t>
        </is>
      </c>
      <c r="J264" s="8" t="n">
        <v>10800</v>
      </c>
      <c r="K264" s="8" t="n">
        <v>325</v>
      </c>
      <c r="L264" s="8" t="n">
        <v>210</v>
      </c>
      <c r="M264" s="8" t="inlineStr">
        <is>
          <t>周期触发</t>
        </is>
      </c>
      <c r="N264" s="8" t="inlineStr">
        <is>
          <t>periodicPulse</t>
        </is>
      </c>
      <c r="O264" s="9" t="inlineStr">
        <is>
          <t>消耗所有再生，每消耗 1 层获得 10 点修为</t>
        </is>
      </c>
      <c r="P264" s="9" t="inlineStr">
        <is>
          <t>onPeriodicPulse</t>
        </is>
      </c>
      <c r="Q264" s="9" t="inlineStr">
        <is>
          <t>consumeBuffStacks</t>
        </is>
      </c>
      <c r="R264" s="9" t="inlineStr">
        <is>
          <t>{"kind":"periodicPulse","label":"&lt;cultivation&gt;消耗所有再生，每消耗 1 层获得 10 点修为&lt;/cultivation&gt;","periodicPulse":{"intervalSec":15,"label":"&lt;cultivation&gt;消耗所有再生，每消耗 1 层获得 10 点修为&lt;/cultivation&gt;"},"executors":[{"trigger":"onPeriodicPulse","type":"consumeBuffStacks","sourceBuffId":"regeneration","consumeRatio":1,"cultivationGainPerStack":10}]}</t>
        </is>
      </c>
    </row>
    <row r="265" ht="32" customHeight="1">
      <c r="A265" s="8" t="n">
        <v>100043</v>
      </c>
      <c r="B265" s="8" t="inlineStr">
        <is>
          <t>青木引风诀</t>
        </is>
      </c>
      <c r="C265" s="8" t="inlineStr">
        <is>
          <t>功法</t>
        </is>
      </c>
      <c r="D265" s="8" t="inlineStr">
        <is>
          <t>common</t>
        </is>
      </c>
      <c r="E265" s="8" t="inlineStr">
        <is>
          <t>wood</t>
        </is>
      </c>
      <c r="F265" s="8" t="n">
        <v>5</v>
      </c>
      <c r="G265" s="8" t="inlineStr">
        <is>
          <t>功法成长层</t>
        </is>
      </c>
      <c r="H265" s="8" t="n">
        <v>5</v>
      </c>
      <c r="I265" s="9" t="inlineStr">
        <is>
          <t>修为≥10800；境界≥筑基2层</t>
        </is>
      </c>
      <c r="J265" s="8" t="n">
        <v>10800</v>
      </c>
      <c r="K265" s="8" t="n">
        <v>325</v>
      </c>
      <c r="L265" s="8" t="n">
        <v>210</v>
      </c>
      <c r="M265" s="8" t="inlineStr">
        <is>
          <t>条件触发</t>
        </is>
      </c>
      <c r="N265" s="8" t="inlineStr">
        <is>
          <t>triggered</t>
        </is>
      </c>
      <c r="O265" s="9" t="inlineStr">
        <is>
          <t>每当消耗 1 层敏捷时，获得 10 点修为</t>
        </is>
      </c>
      <c r="P265" s="9" t="inlineStr">
        <is>
          <t>onBuffConsumed</t>
        </is>
      </c>
      <c r="Q265" s="9" t="inlineStr">
        <is>
          <t>gainCultivation</t>
        </is>
      </c>
      <c r="R265" s="9" t="inlineStr">
        <is>
          <t>{"kind":"triggered","label":"&lt;cultivation&gt;每当消耗 1 层敏捷时，获得 10 点修为&lt;/cultivation&gt;","triggeredEffect":{"trigger":"onBuffConsumed","eventBuffId":"agile","type":"gainCultivation","amount":0,"amountPerEventBuffStack":10,"label":"&lt;cultivation&gt;每当消耗 1 层敏捷时，获得 10 点修为&lt;/cultivation&gt;"}}</t>
        </is>
      </c>
    </row>
    <row r="266" ht="32" customHeight="1">
      <c r="A266" s="8" t="n">
        <v>100043</v>
      </c>
      <c r="B266" s="8" t="inlineStr">
        <is>
          <t>青木引风诀</t>
        </is>
      </c>
      <c r="C266" s="8" t="inlineStr">
        <is>
          <t>功法</t>
        </is>
      </c>
      <c r="D266" s="8" t="inlineStr">
        <is>
          <t>common</t>
        </is>
      </c>
      <c r="E266" s="8" t="inlineStr">
        <is>
          <t>wood</t>
        </is>
      </c>
      <c r="F266" s="8" t="n">
        <v>5</v>
      </c>
      <c r="G266" s="8" t="inlineStr">
        <is>
          <t>功法成长层</t>
        </is>
      </c>
      <c r="H266" s="8" t="n">
        <v>5</v>
      </c>
      <c r="I266" s="9" t="inlineStr">
        <is>
          <t>修为≥10800；境界≥筑基2层</t>
        </is>
      </c>
      <c r="J266" s="8" t="n">
        <v>10800</v>
      </c>
      <c r="K266" s="8" t="n">
        <v>325</v>
      </c>
      <c r="L266" s="8" t="n">
        <v>210</v>
      </c>
      <c r="M266" s="8" t="inlineStr">
        <is>
          <t>被动效果</t>
        </is>
      </c>
      <c r="N266" s="8" t="inlineStr">
        <is>
          <t>passive</t>
        </is>
      </c>
      <c r="O266" s="9" t="inlineStr">
        <is>
          <t>再生层数上限 +10</t>
        </is>
      </c>
      <c r="P266" s="9" t="inlineStr"/>
      <c r="Q266" s="9" t="inlineStr">
        <is>
          <t>buffStackCapBonus</t>
        </is>
      </c>
      <c r="R266" s="9" t="inlineStr">
        <is>
          <t>{"kind":"passive","label":"再生层数上限 +10","passiveEffect":{"type":"buffStackCapBonus","buffId":"regeneration","value":10,"label":"再生层数上限 +10"}}</t>
        </is>
      </c>
    </row>
    <row r="267" ht="32" customHeight="1">
      <c r="A267" s="8" t="n">
        <v>100043</v>
      </c>
      <c r="B267" s="8" t="inlineStr">
        <is>
          <t>青木引风诀</t>
        </is>
      </c>
      <c r="C267" s="8" t="inlineStr">
        <is>
          <t>功法</t>
        </is>
      </c>
      <c r="D267" s="8" t="inlineStr">
        <is>
          <t>common</t>
        </is>
      </c>
      <c r="E267" s="8" t="inlineStr">
        <is>
          <t>wood</t>
        </is>
      </c>
      <c r="F267" s="8" t="n">
        <v>5</v>
      </c>
      <c r="G267" s="8" t="inlineStr">
        <is>
          <t>功法成长层</t>
        </is>
      </c>
      <c r="H267" s="8" t="n">
        <v>5</v>
      </c>
      <c r="I267" s="9" t="inlineStr">
        <is>
          <t>修为≥10800；境界≥筑基2层</t>
        </is>
      </c>
      <c r="J267" s="8" t="n">
        <v>10800</v>
      </c>
      <c r="K267" s="8" t="n">
        <v>325</v>
      </c>
      <c r="L267" s="8" t="n">
        <v>210</v>
      </c>
      <c r="M267" s="8" t="inlineStr">
        <is>
          <t>被动效果</t>
        </is>
      </c>
      <c r="N267" s="8" t="inlineStr">
        <is>
          <t>passive</t>
        </is>
      </c>
      <c r="O267" s="9" t="inlineStr">
        <is>
          <t>敏捷层数上限 +10</t>
        </is>
      </c>
      <c r="P267" s="9" t="inlineStr"/>
      <c r="Q267" s="9" t="inlineStr">
        <is>
          <t>buffStackCapBonus</t>
        </is>
      </c>
      <c r="R267" s="9" t="inlineStr">
        <is>
          <t>{"kind":"passive","label":"敏捷层数上限 +10","passiveEffect":{"type":"buffStackCapBonus","buffId":"agile","value":10,"label":"敏捷层数上限 +10"}}</t>
        </is>
      </c>
    </row>
    <row r="268" ht="32" customHeight="1">
      <c r="A268" s="8" t="n">
        <v>100043</v>
      </c>
      <c r="B268" s="8" t="inlineStr">
        <is>
          <t>青木引风诀</t>
        </is>
      </c>
      <c r="C268" s="8" t="inlineStr">
        <is>
          <t>功法</t>
        </is>
      </c>
      <c r="D268" s="8" t="inlineStr">
        <is>
          <t>common</t>
        </is>
      </c>
      <c r="E268" s="8" t="inlineStr">
        <is>
          <t>wood</t>
        </is>
      </c>
      <c r="F268" s="8" t="n">
        <v>5</v>
      </c>
      <c r="G268" s="8" t="inlineStr">
        <is>
          <t>功法成长层</t>
        </is>
      </c>
      <c r="H268" s="8" t="n">
        <v>6</v>
      </c>
      <c r="I268" s="9" t="inlineStr">
        <is>
          <t>修为≥32100；境界≥筑基3层</t>
        </is>
      </c>
      <c r="J268" s="8" t="n">
        <v>32100</v>
      </c>
      <c r="K268" s="8" t="n">
        <v>370</v>
      </c>
      <c r="L268" s="8" t="n">
        <v>270</v>
      </c>
      <c r="M268" s="8" t="inlineStr">
        <is>
          <t>周期触发</t>
        </is>
      </c>
      <c r="N268" s="8" t="inlineStr">
        <is>
          <t>periodicPulse</t>
        </is>
      </c>
      <c r="O268" s="9" t="inlineStr">
        <is>
          <t>消耗所有再生，每消耗 1 层获得 12 点修为</t>
        </is>
      </c>
      <c r="P268" s="9" t="inlineStr">
        <is>
          <t>onPeriodicPulse</t>
        </is>
      </c>
      <c r="Q268" s="9" t="inlineStr">
        <is>
          <t>consumeBuffStacks</t>
        </is>
      </c>
      <c r="R268" s="9" t="inlineStr">
        <is>
          <t>{"kind":"periodicPulse","label":"&lt;cultivation&gt;消耗所有再生，每消耗 1 层获得 12 点修为&lt;/cultivation&gt;","periodicPulse":{"intervalSec":15,"label":"&lt;cultivation&gt;消耗所有再生，每消耗 1 层获得 12 点修为&lt;/cultivation&gt;"},"executors":[{"trigger":"onPeriodicPulse","type":"consumeBuffStacks","sourceBuffId":"regeneration","consumeRatio":1,"cultivationGainPerStack":12}]}</t>
        </is>
      </c>
    </row>
    <row r="269" ht="32" customHeight="1">
      <c r="A269" s="8" t="n">
        <v>100043</v>
      </c>
      <c r="B269" s="8" t="inlineStr">
        <is>
          <t>青木引风诀</t>
        </is>
      </c>
      <c r="C269" s="8" t="inlineStr">
        <is>
          <t>功法</t>
        </is>
      </c>
      <c r="D269" s="8" t="inlineStr">
        <is>
          <t>common</t>
        </is>
      </c>
      <c r="E269" s="8" t="inlineStr">
        <is>
          <t>wood</t>
        </is>
      </c>
      <c r="F269" s="8" t="n">
        <v>5</v>
      </c>
      <c r="G269" s="8" t="inlineStr">
        <is>
          <t>功法成长层</t>
        </is>
      </c>
      <c r="H269" s="8" t="n">
        <v>6</v>
      </c>
      <c r="I269" s="9" t="inlineStr">
        <is>
          <t>修为≥32100；境界≥筑基3层</t>
        </is>
      </c>
      <c r="J269" s="8" t="n">
        <v>32100</v>
      </c>
      <c r="K269" s="8" t="n">
        <v>370</v>
      </c>
      <c r="L269" s="8" t="n">
        <v>270</v>
      </c>
      <c r="M269" s="8" t="inlineStr">
        <is>
          <t>条件触发</t>
        </is>
      </c>
      <c r="N269" s="8" t="inlineStr">
        <is>
          <t>triggered</t>
        </is>
      </c>
      <c r="O269" s="9" t="inlineStr">
        <is>
          <t>每当消耗 1 层敏捷时，获得 12 点修为</t>
        </is>
      </c>
      <c r="P269" s="9" t="inlineStr">
        <is>
          <t>onBuffConsumed</t>
        </is>
      </c>
      <c r="Q269" s="9" t="inlineStr">
        <is>
          <t>gainCultivation</t>
        </is>
      </c>
      <c r="R269" s="9" t="inlineStr">
        <is>
          <t>{"kind":"triggered","label":"&lt;cultivation&gt;每当消耗 1 层敏捷时，获得 12 点修为&lt;/cultivation&gt;","triggeredEffect":{"trigger":"onBuffConsumed","eventBuffId":"agile","type":"gainCultivation","amount":0,"amountPerEventBuffStack":12,"label":"&lt;cultivation&gt;每当消耗 1 层敏捷时，获得 12 点修为&lt;/cultivation&gt;"}}</t>
        </is>
      </c>
    </row>
    <row r="270" ht="32" customHeight="1">
      <c r="A270" s="8" t="n">
        <v>100043</v>
      </c>
      <c r="B270" s="8" t="inlineStr">
        <is>
          <t>青木引风诀</t>
        </is>
      </c>
      <c r="C270" s="8" t="inlineStr">
        <is>
          <t>功法</t>
        </is>
      </c>
      <c r="D270" s="8" t="inlineStr">
        <is>
          <t>common</t>
        </is>
      </c>
      <c r="E270" s="8" t="inlineStr">
        <is>
          <t>wood</t>
        </is>
      </c>
      <c r="F270" s="8" t="n">
        <v>5</v>
      </c>
      <c r="G270" s="8" t="inlineStr">
        <is>
          <t>功法成长层</t>
        </is>
      </c>
      <c r="H270" s="8" t="n">
        <v>6</v>
      </c>
      <c r="I270" s="9" t="inlineStr">
        <is>
          <t>修为≥32100；境界≥筑基3层</t>
        </is>
      </c>
      <c r="J270" s="8" t="n">
        <v>32100</v>
      </c>
      <c r="K270" s="8" t="n">
        <v>370</v>
      </c>
      <c r="L270" s="8" t="n">
        <v>270</v>
      </c>
      <c r="M270" s="8" t="inlineStr">
        <is>
          <t>被动效果</t>
        </is>
      </c>
      <c r="N270" s="8" t="inlineStr">
        <is>
          <t>passive</t>
        </is>
      </c>
      <c r="O270" s="9" t="inlineStr">
        <is>
          <t>再生层数上限 +12</t>
        </is>
      </c>
      <c r="P270" s="9" t="inlineStr"/>
      <c r="Q270" s="9" t="inlineStr">
        <is>
          <t>buffStackCapBonus</t>
        </is>
      </c>
      <c r="R270" s="9" t="inlineStr">
        <is>
          <t>{"kind":"passive","label":"再生层数上限 +12","passiveEffect":{"type":"buffStackCapBonus","buffId":"regeneration","value":12,"label":"再生层数上限 +12"}}</t>
        </is>
      </c>
    </row>
    <row r="271" ht="32" customHeight="1">
      <c r="A271" s="8" t="n">
        <v>100043</v>
      </c>
      <c r="B271" s="8" t="inlineStr">
        <is>
          <t>青木引风诀</t>
        </is>
      </c>
      <c r="C271" s="8" t="inlineStr">
        <is>
          <t>功法</t>
        </is>
      </c>
      <c r="D271" s="8" t="inlineStr">
        <is>
          <t>common</t>
        </is>
      </c>
      <c r="E271" s="8" t="inlineStr">
        <is>
          <t>wood</t>
        </is>
      </c>
      <c r="F271" s="8" t="n">
        <v>5</v>
      </c>
      <c r="G271" s="8" t="inlineStr">
        <is>
          <t>功法成长层</t>
        </is>
      </c>
      <c r="H271" s="8" t="n">
        <v>6</v>
      </c>
      <c r="I271" s="9" t="inlineStr">
        <is>
          <t>修为≥32100；境界≥筑基3层</t>
        </is>
      </c>
      <c r="J271" s="8" t="n">
        <v>32100</v>
      </c>
      <c r="K271" s="8" t="n">
        <v>370</v>
      </c>
      <c r="L271" s="8" t="n">
        <v>270</v>
      </c>
      <c r="M271" s="8" t="inlineStr">
        <is>
          <t>被动效果</t>
        </is>
      </c>
      <c r="N271" s="8" t="inlineStr">
        <is>
          <t>passive</t>
        </is>
      </c>
      <c r="O271" s="9" t="inlineStr">
        <is>
          <t>敏捷层数上限 +12</t>
        </is>
      </c>
      <c r="P271" s="9" t="inlineStr"/>
      <c r="Q271" s="9" t="inlineStr">
        <is>
          <t>buffStackCapBonus</t>
        </is>
      </c>
      <c r="R271" s="9" t="inlineStr">
        <is>
          <t>{"kind":"passive","label":"敏捷层数上限 +12","passiveEffect":{"type":"buffStackCapBonus","buffId":"agile","value":12,"label":"敏捷层数上限 +12"}}</t>
        </is>
      </c>
    </row>
    <row r="272" ht="32" customHeight="1">
      <c r="A272" s="8" t="n">
        <v>100044</v>
      </c>
      <c r="B272" s="8" t="inlineStr">
        <is>
          <t>金契封河十二章</t>
        </is>
      </c>
      <c r="C272" s="8" t="inlineStr">
        <is>
          <t>功法</t>
        </is>
      </c>
      <c r="D272" s="8" t="inlineStr">
        <is>
          <t>common</t>
        </is>
      </c>
      <c r="E272" s="8" t="inlineStr">
        <is>
          <t>metal</t>
        </is>
      </c>
      <c r="F272" s="8" t="n">
        <v>1</v>
      </c>
      <c r="G272" s="8" t="inlineStr">
        <is>
          <t>基础/顶层</t>
        </is>
      </c>
      <c r="H272" s="8" t="inlineStr"/>
      <c r="I272" s="9" t="inlineStr"/>
      <c r="J272" s="8" t="inlineStr"/>
      <c r="K272" s="8" t="inlineStr"/>
      <c r="L272" s="8" t="inlineStr"/>
      <c r="M272" s="8" t="inlineStr">
        <is>
          <t>周期触发</t>
        </is>
      </c>
      <c r="N272" s="8" t="inlineStr">
        <is>
          <t>periodicPulse</t>
        </is>
      </c>
      <c r="O272" s="9" t="inlineStr">
        <is>
          <t>消耗所有凝金，每消耗 1 层凝金，获得 4 点修为</t>
        </is>
      </c>
      <c r="P272" s="9" t="inlineStr">
        <is>
          <t>onPeriodicPulse</t>
        </is>
      </c>
      <c r="Q272" s="9" t="inlineStr">
        <is>
          <t>consumeBuffStacks</t>
        </is>
      </c>
      <c r="R272" s="9" t="inlineStr">
        <is>
          <t>{"kind":"periodicPulse","periodicPulse":{"intervalSec":30,"label":"&lt;cultivation&gt;消耗所有凝金，每消耗 1 层凝金，获得 4 点修为&lt;/cultivation&gt;"},"executors":[{"trigger":"onPeriodicPulse","type":"consumeBuffStacks","sourceBuffId":"condensedMetal","consumeRatio":1,"cultivationGainPerStack":4}]}</t>
        </is>
      </c>
    </row>
    <row r="273" ht="32" customHeight="1">
      <c r="A273" s="8" t="n">
        <v>100044</v>
      </c>
      <c r="B273" s="8" t="inlineStr">
        <is>
          <t>金契封河十二章</t>
        </is>
      </c>
      <c r="C273" s="8" t="inlineStr">
        <is>
          <t>功法</t>
        </is>
      </c>
      <c r="D273" s="8" t="inlineStr">
        <is>
          <t>common</t>
        </is>
      </c>
      <c r="E273" s="8" t="inlineStr">
        <is>
          <t>metal</t>
        </is>
      </c>
      <c r="F273" s="8" t="n">
        <v>2</v>
      </c>
      <c r="G273" s="8" t="inlineStr">
        <is>
          <t>功法成长层</t>
        </is>
      </c>
      <c r="H273" s="8" t="n">
        <v>1</v>
      </c>
      <c r="I273" s="9" t="inlineStr">
        <is>
          <t>无</t>
        </is>
      </c>
      <c r="J273" s="8" t="inlineStr"/>
      <c r="K273" s="8" t="inlineStr"/>
      <c r="L273" s="8" t="n">
        <v>20</v>
      </c>
      <c r="M273" s="8" t="inlineStr">
        <is>
          <t>周期触发</t>
        </is>
      </c>
      <c r="N273" s="8" t="inlineStr">
        <is>
          <t>periodicPulse</t>
        </is>
      </c>
      <c r="O273" s="9" t="inlineStr">
        <is>
          <t>消耗所有凝金，每消耗 1 层凝金，获得 4 点修为</t>
        </is>
      </c>
      <c r="P273" s="9" t="inlineStr">
        <is>
          <t>onPeriodicPulse</t>
        </is>
      </c>
      <c r="Q273" s="9" t="inlineStr">
        <is>
          <t>consumeBuffStacks</t>
        </is>
      </c>
      <c r="R273" s="9" t="inlineStr">
        <is>
          <t>{"kind":"periodicPulse","periodicPulse":{"intervalSec":30,"label":"&lt;cultivation&gt;消耗所有凝金，每消耗 1 层凝金，获得 4 点修为&lt;/cultivation&gt;"},"executors":[{"trigger":"onPeriodicPulse","type":"consumeBuffStacks","sourceBuffId":"condensedMetal","consumeRatio":1,"cultivationGainPerStack":4}]}</t>
        </is>
      </c>
    </row>
    <row r="274" ht="32" customHeight="1">
      <c r="A274" s="8" t="n">
        <v>100044</v>
      </c>
      <c r="B274" s="8" t="inlineStr">
        <is>
          <t>金契封河十二章</t>
        </is>
      </c>
      <c r="C274" s="8" t="inlineStr">
        <is>
          <t>功法</t>
        </is>
      </c>
      <c r="D274" s="8" t="inlineStr">
        <is>
          <t>common</t>
        </is>
      </c>
      <c r="E274" s="8" t="inlineStr">
        <is>
          <t>metal</t>
        </is>
      </c>
      <c r="F274" s="8" t="n">
        <v>2</v>
      </c>
      <c r="G274" s="8" t="inlineStr">
        <is>
          <t>功法成长层</t>
        </is>
      </c>
      <c r="H274" s="8" t="n">
        <v>2</v>
      </c>
      <c r="I274" s="9" t="inlineStr">
        <is>
          <t>修为≥210；境界≥炼气4层</t>
        </is>
      </c>
      <c r="J274" s="8" t="n">
        <v>210</v>
      </c>
      <c r="K274" s="8" t="n">
        <v>325</v>
      </c>
      <c r="L274" s="8" t="n">
        <v>90</v>
      </c>
      <c r="M274" s="8" t="inlineStr">
        <is>
          <t>周期触发</t>
        </is>
      </c>
      <c r="N274" s="8" t="inlineStr">
        <is>
          <t>periodicPulse</t>
        </is>
      </c>
      <c r="O274" s="9" t="inlineStr">
        <is>
          <t>消耗所有凝金，每消耗 1 层凝金，获得 8 点修为</t>
        </is>
      </c>
      <c r="P274" s="9" t="inlineStr">
        <is>
          <t>onPeriodicPulse</t>
        </is>
      </c>
      <c r="Q274" s="9" t="inlineStr">
        <is>
          <t>consumeBuffStacks</t>
        </is>
      </c>
      <c r="R274" s="9" t="inlineStr">
        <is>
          <t>{"kind":"periodicPulse","periodicPulse":{"intervalSec":30,"label":"&lt;cultivation&gt;消耗所有凝金，每消耗 1 层凝金，获得 8 点修为&lt;/cultivation&gt;"},"executors":[{"trigger":"onPeriodicPulse","type":"consumeBuffStacks","sourceBuffId":"condensedMetal","consumeRatio":1,"cultivationGainPerStack":8}]}</t>
        </is>
      </c>
    </row>
    <row r="275" ht="32" customHeight="1">
      <c r="A275" s="8" t="n">
        <v>100044</v>
      </c>
      <c r="B275" s="8" t="inlineStr">
        <is>
          <t>金契封河十二章</t>
        </is>
      </c>
      <c r="C275" s="8" t="inlineStr">
        <is>
          <t>功法</t>
        </is>
      </c>
      <c r="D275" s="8" t="inlineStr">
        <is>
          <t>common</t>
        </is>
      </c>
      <c r="E275" s="8" t="inlineStr">
        <is>
          <t>metal</t>
        </is>
      </c>
      <c r="F275" s="8" t="n">
        <v>2</v>
      </c>
      <c r="G275" s="8" t="inlineStr">
        <is>
          <t>功法成长层</t>
        </is>
      </c>
      <c r="H275" s="8" t="n">
        <v>3</v>
      </c>
      <c r="I275" s="9" t="inlineStr">
        <is>
          <t>修为≥620；境界≥炼气6层</t>
        </is>
      </c>
      <c r="J275" s="8" t="n">
        <v>620</v>
      </c>
      <c r="K275" s="8" t="n">
        <v>185</v>
      </c>
      <c r="L275" s="8" t="n">
        <v>120</v>
      </c>
      <c r="M275" s="8" t="inlineStr">
        <is>
          <t>周期触发</t>
        </is>
      </c>
      <c r="N275" s="8" t="inlineStr">
        <is>
          <t>periodicPulse</t>
        </is>
      </c>
      <c r="O275" s="9" t="inlineStr">
        <is>
          <t>消耗所有凝金，每消耗 1 层凝金，获得 12 点修为</t>
        </is>
      </c>
      <c r="P275" s="9" t="inlineStr">
        <is>
          <t>onPeriodicPulse</t>
        </is>
      </c>
      <c r="Q275" s="9" t="inlineStr">
        <is>
          <t>consumeBuffStacks</t>
        </is>
      </c>
      <c r="R275" s="9" t="inlineStr">
        <is>
          <t>{"kind":"periodicPulse","periodicPulse":{"intervalSec":30,"label":"&lt;cultivation&gt;消耗所有凝金，每消耗 1 层凝金，获得 12 点修为&lt;/cultivation&gt;"},"executors":[{"trigger":"onPeriodicPulse","type":"consumeBuffStacks","sourceBuffId":"condensedMetal","consumeRatio":1,"cultivationGainPerStack":12}]}</t>
        </is>
      </c>
    </row>
    <row r="276" ht="32" customHeight="1">
      <c r="A276" s="8" t="n">
        <v>100044</v>
      </c>
      <c r="B276" s="8" t="inlineStr">
        <is>
          <t>金契封河十二章</t>
        </is>
      </c>
      <c r="C276" s="8" t="inlineStr">
        <is>
          <t>功法</t>
        </is>
      </c>
      <c r="D276" s="8" t="inlineStr">
        <is>
          <t>common</t>
        </is>
      </c>
      <c r="E276" s="8" t="inlineStr">
        <is>
          <t>metal</t>
        </is>
      </c>
      <c r="F276" s="8" t="n">
        <v>2</v>
      </c>
      <c r="G276" s="8" t="inlineStr">
        <is>
          <t>功法成长层</t>
        </is>
      </c>
      <c r="H276" s="8" t="n">
        <v>4</v>
      </c>
      <c r="I276" s="9" t="inlineStr">
        <is>
          <t>修为≥2900；境界≥筑基1层</t>
        </is>
      </c>
      <c r="J276" s="8" t="n">
        <v>2900</v>
      </c>
      <c r="K276" s="8" t="n">
        <v>280</v>
      </c>
      <c r="L276" s="8" t="n">
        <v>160</v>
      </c>
      <c r="M276" s="8" t="inlineStr">
        <is>
          <t>周期触发</t>
        </is>
      </c>
      <c r="N276" s="8" t="inlineStr">
        <is>
          <t>periodicPulse</t>
        </is>
      </c>
      <c r="O276" s="9" t="inlineStr">
        <is>
          <t>消耗所有凝金，每消耗 1 层凝金，获得 16 点修为</t>
        </is>
      </c>
      <c r="P276" s="9" t="inlineStr">
        <is>
          <t>onPeriodicPulse</t>
        </is>
      </c>
      <c r="Q276" s="9" t="inlineStr">
        <is>
          <t>consumeBuffStacks</t>
        </is>
      </c>
      <c r="R276" s="9" t="inlineStr">
        <is>
          <t>{"kind":"periodicPulse","periodicPulse":{"intervalSec":30,"label":"&lt;cultivation&gt;消耗所有凝金，每消耗 1 层凝金，获得 16 点修为&lt;/cultivation&gt;"},"executors":[{"trigger":"onPeriodicPulse","type":"consumeBuffStacks","sourceBuffId":"condensedMetal","consumeRatio":1,"cultivationGainPerStack":16}]}</t>
        </is>
      </c>
    </row>
    <row r="277" ht="32" customHeight="1">
      <c r="A277" s="8" t="n">
        <v>100044</v>
      </c>
      <c r="B277" s="8" t="inlineStr">
        <is>
          <t>金契封河十二章</t>
        </is>
      </c>
      <c r="C277" s="8" t="inlineStr">
        <is>
          <t>功法</t>
        </is>
      </c>
      <c r="D277" s="8" t="inlineStr">
        <is>
          <t>common</t>
        </is>
      </c>
      <c r="E277" s="8" t="inlineStr">
        <is>
          <t>metal</t>
        </is>
      </c>
      <c r="F277" s="8" t="n">
        <v>2</v>
      </c>
      <c r="G277" s="8" t="inlineStr">
        <is>
          <t>功法成长层</t>
        </is>
      </c>
      <c r="H277" s="8" t="n">
        <v>5</v>
      </c>
      <c r="I277" s="9" t="inlineStr">
        <is>
          <t>修为≥12100；境界≥筑基2层</t>
        </is>
      </c>
      <c r="J277" s="8" t="n">
        <v>12100</v>
      </c>
      <c r="K277" s="8" t="n">
        <v>345</v>
      </c>
      <c r="L277" s="8" t="n">
        <v>210</v>
      </c>
      <c r="M277" s="8" t="inlineStr">
        <is>
          <t>周期触发</t>
        </is>
      </c>
      <c r="N277" s="8" t="inlineStr">
        <is>
          <t>periodicPulse</t>
        </is>
      </c>
      <c r="O277" s="9" t="inlineStr">
        <is>
          <t>消耗所有凝金，每消耗 1 层凝金，获得 20 点修为</t>
        </is>
      </c>
      <c r="P277" s="9" t="inlineStr">
        <is>
          <t>onPeriodicPulse</t>
        </is>
      </c>
      <c r="Q277" s="9" t="inlineStr">
        <is>
          <t>consumeBuffStacks</t>
        </is>
      </c>
      <c r="R277" s="9" t="inlineStr">
        <is>
          <t>{"kind":"periodicPulse","periodicPulse":{"intervalSec":30,"label":"&lt;cultivation&gt;消耗所有凝金，每消耗 1 层凝金，获得 20 点修为&lt;/cultivation&gt;"},"executors":[{"trigger":"onPeriodicPulse","type":"consumeBuffStacks","sourceBuffId":"condensedMetal","consumeRatio":1,"cultivationGainPerStack":20}]}</t>
        </is>
      </c>
    </row>
    <row r="278" ht="32" customHeight="1">
      <c r="A278" s="8" t="n">
        <v>100044</v>
      </c>
      <c r="B278" s="8" t="inlineStr">
        <is>
          <t>金契封河十二章</t>
        </is>
      </c>
      <c r="C278" s="8" t="inlineStr">
        <is>
          <t>功法</t>
        </is>
      </c>
      <c r="D278" s="8" t="inlineStr">
        <is>
          <t>common</t>
        </is>
      </c>
      <c r="E278" s="8" t="inlineStr">
        <is>
          <t>metal</t>
        </is>
      </c>
      <c r="F278" s="8" t="n">
        <v>2</v>
      </c>
      <c r="G278" s="8" t="inlineStr">
        <is>
          <t>功法成长层</t>
        </is>
      </c>
      <c r="H278" s="8" t="n">
        <v>6</v>
      </c>
      <c r="I278" s="9" t="inlineStr">
        <is>
          <t>修为≥40500；境界≥筑基3层</t>
        </is>
      </c>
      <c r="J278" s="8" t="n">
        <v>40500</v>
      </c>
      <c r="K278" s="8" t="n">
        <v>440</v>
      </c>
      <c r="L278" s="8" t="n">
        <v>270</v>
      </c>
      <c r="M278" s="8" t="inlineStr">
        <is>
          <t>周期触发</t>
        </is>
      </c>
      <c r="N278" s="8" t="inlineStr">
        <is>
          <t>periodicPulse</t>
        </is>
      </c>
      <c r="O278" s="9" t="inlineStr">
        <is>
          <t>消耗所有凝金，每消耗 1 层凝金，获得 24 点修为</t>
        </is>
      </c>
      <c r="P278" s="9" t="inlineStr">
        <is>
          <t>onPeriodicPulse</t>
        </is>
      </c>
      <c r="Q278" s="9" t="inlineStr">
        <is>
          <t>consumeBuffStacks</t>
        </is>
      </c>
      <c r="R278" s="9" t="inlineStr">
        <is>
          <t>{"kind":"periodicPulse","periodicPulse":{"intervalSec":30,"label":"&lt;cultivation&gt;消耗所有凝金，每消耗 1 层凝金，获得 24 点修为&lt;/cultivation&gt;"},"executors":[{"trigger":"onPeriodicPulse","type":"consumeBuffStacks","sourceBuffId":"condensedMetal","consumeRatio":1,"cultivationGainPerStack":24}]}</t>
        </is>
      </c>
    </row>
    <row r="279" ht="32" customHeight="1">
      <c r="A279" s="8" t="n">
        <v>100045</v>
      </c>
      <c r="B279" s="8" t="inlineStr">
        <is>
          <t>炉火照寒潭</t>
        </is>
      </c>
      <c r="C279" s="8" t="inlineStr">
        <is>
          <t>功法</t>
        </is>
      </c>
      <c r="D279" s="8" t="inlineStr">
        <is>
          <t>common</t>
        </is>
      </c>
      <c r="E279" s="8" t="inlineStr">
        <is>
          <t>fire</t>
        </is>
      </c>
      <c r="F279" s="8" t="n">
        <v>1</v>
      </c>
      <c r="G279" s="8" t="inlineStr">
        <is>
          <t>基础/顶层</t>
        </is>
      </c>
      <c r="H279" s="8" t="inlineStr"/>
      <c r="I279" s="9" t="inlineStr"/>
      <c r="J279" s="8" t="inlineStr"/>
      <c r="K279" s="8" t="inlineStr"/>
      <c r="L279" s="8" t="inlineStr"/>
      <c r="M279" s="8" t="inlineStr">
        <is>
          <t>周期触发</t>
        </is>
      </c>
      <c r="N279" s="8" t="inlineStr">
        <is>
          <t>periodicPulse</t>
        </is>
      </c>
      <c r="O279" s="9" t="inlineStr">
        <is>
          <t>消耗所有炎热，每消耗 1 层炎热，获得 4 点修为</t>
        </is>
      </c>
      <c r="P279" s="9" t="inlineStr">
        <is>
          <t>onPeriodicPulse</t>
        </is>
      </c>
      <c r="Q279" s="9" t="inlineStr">
        <is>
          <t>consumeBuffStacks</t>
        </is>
      </c>
      <c r="R279" s="9" t="inlineStr">
        <is>
          <t>{"kind":"periodicPulse","periodicPulse":{"intervalSec":30,"label":"&lt;cultivation&gt;消耗所有炎热，每消耗 1 层炎热，获得 4 点修为&lt;/cultivation&gt;"},"executors":[{"trigger":"onPeriodicPulse","type":"consumeBuffStacks","sourceBuffId":"heat","consumeRatio":1,"cultivationGainPerStack":4,"label":"&lt;cultivation&gt;消耗所有炎热，每消耗 1 层炎热，获得 4 点修为&lt;/cultivation&gt;"}]}</t>
        </is>
      </c>
    </row>
    <row r="280" ht="32" customHeight="1">
      <c r="A280" s="8" t="n">
        <v>100045</v>
      </c>
      <c r="B280" s="8" t="inlineStr">
        <is>
          <t>炉火照寒潭</t>
        </is>
      </c>
      <c r="C280" s="8" t="inlineStr">
        <is>
          <t>功法</t>
        </is>
      </c>
      <c r="D280" s="8" t="inlineStr">
        <is>
          <t>common</t>
        </is>
      </c>
      <c r="E280" s="8" t="inlineStr">
        <is>
          <t>fire</t>
        </is>
      </c>
      <c r="F280" s="8" t="n">
        <v>2</v>
      </c>
      <c r="G280" s="8" t="inlineStr">
        <is>
          <t>基础/顶层</t>
        </is>
      </c>
      <c r="H280" s="8" t="inlineStr"/>
      <c r="I280" s="9" t="inlineStr"/>
      <c r="J280" s="8" t="inlineStr"/>
      <c r="K280" s="8" t="inlineStr"/>
      <c r="L280" s="8" t="inlineStr"/>
      <c r="M280" s="8" t="inlineStr">
        <is>
          <t>被动效果</t>
        </is>
      </c>
      <c r="N280" s="8" t="inlineStr">
        <is>
          <t>passive</t>
        </is>
      </c>
      <c r="O280" s="9" t="inlineStr">
        <is>
          <t>炎热层数上限 +3</t>
        </is>
      </c>
      <c r="P280" s="9" t="inlineStr"/>
      <c r="Q280" s="9" t="inlineStr">
        <is>
          <t>buffStackCapBonus</t>
        </is>
      </c>
      <c r="R280" s="9" t="inlineStr">
        <is>
          <t>{"kind":"passive","label":"炎热层数上限 +3","passiveEffect":{"type":"buffStackCapBonus","buffId":"heat","value":3,"label":"炎热层数上限 +3"}}</t>
        </is>
      </c>
    </row>
    <row r="281" ht="32" customHeight="1">
      <c r="A281" s="8" t="n">
        <v>100045</v>
      </c>
      <c r="B281" s="8" t="inlineStr">
        <is>
          <t>炉火照寒潭</t>
        </is>
      </c>
      <c r="C281" s="8" t="inlineStr">
        <is>
          <t>功法</t>
        </is>
      </c>
      <c r="D281" s="8" t="inlineStr">
        <is>
          <t>common</t>
        </is>
      </c>
      <c r="E281" s="8" t="inlineStr">
        <is>
          <t>fire</t>
        </is>
      </c>
      <c r="F281" s="8" t="n">
        <v>3</v>
      </c>
      <c r="G281" s="8" t="inlineStr">
        <is>
          <t>功法成长层</t>
        </is>
      </c>
      <c r="H281" s="8" t="n">
        <v>1</v>
      </c>
      <c r="I281" s="9" t="inlineStr">
        <is>
          <t>无</t>
        </is>
      </c>
      <c r="J281" s="8" t="inlineStr"/>
      <c r="K281" s="8" t="inlineStr"/>
      <c r="L281" s="8" t="n">
        <v>20</v>
      </c>
      <c r="M281" s="8" t="inlineStr">
        <is>
          <t>周期触发</t>
        </is>
      </c>
      <c r="N281" s="8" t="inlineStr">
        <is>
          <t>periodicPulse</t>
        </is>
      </c>
      <c r="O281" s="9" t="inlineStr">
        <is>
          <t>消耗所有炎热，每消耗 1 层炎热，获得 4 点修为；消耗所有炎热，每消耗 1 层炎热，获得 8 点修为</t>
        </is>
      </c>
      <c r="P281" s="9" t="inlineStr">
        <is>
          <t>onPeriodicPulse</t>
        </is>
      </c>
      <c r="Q281" s="9" t="inlineStr">
        <is>
          <t>consumeBuffStacks</t>
        </is>
      </c>
      <c r="R281" s="9" t="inlineStr">
        <is>
          <t>{"kind":"periodicPulse","periodicPulse":{"intervalSec":30,"label":"&lt;cultivation&gt;消耗所有炎热，每消耗 1 层炎热，获得 4 点修为&lt;/cultivation&gt;"},"executors":[{"trigger":"onPeriodicPulse","type":"consumeBuffStacks","sourceBuffId":"heat","consumeRatio":1,"cultivationGainPerStack":8,"label":"&lt;cultivation&gt;消耗所有炎热，每消耗 1 层炎热，获得 8 点修为&lt;/cultivation&gt;"}]}</t>
        </is>
      </c>
    </row>
    <row r="282" ht="32" customHeight="1">
      <c r="A282" s="8" t="n">
        <v>100045</v>
      </c>
      <c r="B282" s="8" t="inlineStr">
        <is>
          <t>炉火照寒潭</t>
        </is>
      </c>
      <c r="C282" s="8" t="inlineStr">
        <is>
          <t>功法</t>
        </is>
      </c>
      <c r="D282" s="8" t="inlineStr">
        <is>
          <t>common</t>
        </is>
      </c>
      <c r="E282" s="8" t="inlineStr">
        <is>
          <t>fire</t>
        </is>
      </c>
      <c r="F282" s="8" t="n">
        <v>3</v>
      </c>
      <c r="G282" s="8" t="inlineStr">
        <is>
          <t>功法成长层</t>
        </is>
      </c>
      <c r="H282" s="8" t="n">
        <v>1</v>
      </c>
      <c r="I282" s="9" t="inlineStr">
        <is>
          <t>无</t>
        </is>
      </c>
      <c r="J282" s="8" t="inlineStr"/>
      <c r="K282" s="8" t="inlineStr"/>
      <c r="L282" s="8" t="n">
        <v>20</v>
      </c>
      <c r="M282" s="8" t="inlineStr">
        <is>
          <t>被动效果</t>
        </is>
      </c>
      <c r="N282" s="8" t="inlineStr">
        <is>
          <t>passive</t>
        </is>
      </c>
      <c r="O282" s="9" t="inlineStr">
        <is>
          <t>炎热层数上限 +3</t>
        </is>
      </c>
      <c r="P282" s="9" t="inlineStr"/>
      <c r="Q282" s="9" t="inlineStr">
        <is>
          <t>buffStackCapBonus</t>
        </is>
      </c>
      <c r="R282" s="9" t="inlineStr">
        <is>
          <t>{"kind":"passive","label":"炎热层数上限 +3","passiveEffect":{"type":"buffStackCapBonus","buffId":"heat","value":3,"label":"炎热层数上限 +3"}}</t>
        </is>
      </c>
    </row>
    <row r="283" ht="32" customHeight="1">
      <c r="A283" s="8" t="n">
        <v>100045</v>
      </c>
      <c r="B283" s="8" t="inlineStr">
        <is>
          <t>炉火照寒潭</t>
        </is>
      </c>
      <c r="C283" s="8" t="inlineStr">
        <is>
          <t>功法</t>
        </is>
      </c>
      <c r="D283" s="8" t="inlineStr">
        <is>
          <t>common</t>
        </is>
      </c>
      <c r="E283" s="8" t="inlineStr">
        <is>
          <t>fire</t>
        </is>
      </c>
      <c r="F283" s="8" t="n">
        <v>3</v>
      </c>
      <c r="G283" s="8" t="inlineStr">
        <is>
          <t>功法成长层</t>
        </is>
      </c>
      <c r="H283" s="8" t="n">
        <v>2</v>
      </c>
      <c r="I283" s="9" t="inlineStr">
        <is>
          <t>修为≥140；境界≥炼气4层</t>
        </is>
      </c>
      <c r="J283" s="8" t="n">
        <v>140</v>
      </c>
      <c r="K283" s="8" t="n">
        <v>180</v>
      </c>
      <c r="L283" s="8" t="n">
        <v>90</v>
      </c>
      <c r="M283" s="8" t="inlineStr">
        <is>
          <t>周期触发</t>
        </is>
      </c>
      <c r="N283" s="8" t="inlineStr">
        <is>
          <t>periodicPulse</t>
        </is>
      </c>
      <c r="O283" s="9" t="inlineStr">
        <is>
          <t>消耗所有炎热，每消耗 1 层炎热，获得 8 点修为；消耗所有炎热，每消耗 1 层炎热，获得 12 点修为</t>
        </is>
      </c>
      <c r="P283" s="9" t="inlineStr">
        <is>
          <t>onPeriodicPulse</t>
        </is>
      </c>
      <c r="Q283" s="9" t="inlineStr">
        <is>
          <t>consumeBuffStacks</t>
        </is>
      </c>
      <c r="R283" s="9" t="inlineStr">
        <is>
          <t>{"kind":"periodicPulse","periodicPulse":{"intervalSec":30,"label":"&lt;cultivation&gt;消耗所有炎热，每消耗 1 层炎热，获得 8 点修为&lt;/cultivation&gt;"},"executors":[{"trigger":"onPeriodicPulse","type":"consumeBuffStacks","sourceBuffId":"heat","consumeRatio":1,"cultivationGainPerStack":12,"label":"&lt;cultivation&gt;消耗所有炎热，每消耗 1 层炎热，获得 12 点修为&lt;/cultivation&gt;"}]}</t>
        </is>
      </c>
    </row>
    <row r="284" ht="32" customHeight="1">
      <c r="A284" s="8" t="n">
        <v>100045</v>
      </c>
      <c r="B284" s="8" t="inlineStr">
        <is>
          <t>炉火照寒潭</t>
        </is>
      </c>
      <c r="C284" s="8" t="inlineStr">
        <is>
          <t>功法</t>
        </is>
      </c>
      <c r="D284" s="8" t="inlineStr">
        <is>
          <t>common</t>
        </is>
      </c>
      <c r="E284" s="8" t="inlineStr">
        <is>
          <t>fire</t>
        </is>
      </c>
      <c r="F284" s="8" t="n">
        <v>3</v>
      </c>
      <c r="G284" s="8" t="inlineStr">
        <is>
          <t>功法成长层</t>
        </is>
      </c>
      <c r="H284" s="8" t="n">
        <v>2</v>
      </c>
      <c r="I284" s="9" t="inlineStr">
        <is>
          <t>修为≥140；境界≥炼气4层</t>
        </is>
      </c>
      <c r="J284" s="8" t="n">
        <v>140</v>
      </c>
      <c r="K284" s="8" t="n">
        <v>180</v>
      </c>
      <c r="L284" s="8" t="n">
        <v>90</v>
      </c>
      <c r="M284" s="8" t="inlineStr">
        <is>
          <t>被动效果</t>
        </is>
      </c>
      <c r="N284" s="8" t="inlineStr">
        <is>
          <t>passive</t>
        </is>
      </c>
      <c r="O284" s="9" t="inlineStr">
        <is>
          <t>炎热层数上限 +6</t>
        </is>
      </c>
      <c r="P284" s="9" t="inlineStr"/>
      <c r="Q284" s="9" t="inlineStr">
        <is>
          <t>buffStackCapBonus</t>
        </is>
      </c>
      <c r="R284" s="9" t="inlineStr">
        <is>
          <t>{"kind":"passive","label":"炎热层数上限 +6","passiveEffect":{"type":"buffStackCapBonus","buffId":"heat","value":6,"label":"炎热层数上限 +6"}}</t>
        </is>
      </c>
    </row>
    <row r="285" ht="32" customHeight="1">
      <c r="A285" s="8" t="n">
        <v>100045</v>
      </c>
      <c r="B285" s="8" t="inlineStr">
        <is>
          <t>炉火照寒潭</t>
        </is>
      </c>
      <c r="C285" s="8" t="inlineStr">
        <is>
          <t>功法</t>
        </is>
      </c>
      <c r="D285" s="8" t="inlineStr">
        <is>
          <t>common</t>
        </is>
      </c>
      <c r="E285" s="8" t="inlineStr">
        <is>
          <t>fire</t>
        </is>
      </c>
      <c r="F285" s="8" t="n">
        <v>3</v>
      </c>
      <c r="G285" s="8" t="inlineStr">
        <is>
          <t>功法成长层</t>
        </is>
      </c>
      <c r="H285" s="8" t="n">
        <v>3</v>
      </c>
      <c r="I285" s="9" t="inlineStr">
        <is>
          <t>修为≥640；境界≥炼气6层</t>
        </is>
      </c>
      <c r="J285" s="8" t="n">
        <v>640</v>
      </c>
      <c r="K285" s="8" t="n">
        <v>200</v>
      </c>
      <c r="L285" s="8" t="n">
        <v>120</v>
      </c>
      <c r="M285" s="8" t="inlineStr">
        <is>
          <t>周期触发</t>
        </is>
      </c>
      <c r="N285" s="8" t="inlineStr">
        <is>
          <t>periodicPulse</t>
        </is>
      </c>
      <c r="O285" s="9" t="inlineStr">
        <is>
          <t>消耗所有炎热，每消耗 1 层炎热，获得 12 点修为；消耗所有炎热，每消耗 1 层炎热，获得 16 点修为</t>
        </is>
      </c>
      <c r="P285" s="9" t="inlineStr">
        <is>
          <t>onPeriodicPulse</t>
        </is>
      </c>
      <c r="Q285" s="9" t="inlineStr">
        <is>
          <t>consumeBuffStacks</t>
        </is>
      </c>
      <c r="R285" s="9" t="inlineStr">
        <is>
          <t>{"kind":"periodicPulse","periodicPulse":{"intervalSec":30,"label":"&lt;cultivation&gt;消耗所有炎热，每消耗 1 层炎热，获得 12 点修为&lt;/cultivation&gt;"},"executors":[{"trigger":"onPeriodicPulse","type":"consumeBuffStacks","sourceBuffId":"heat","consumeRatio":1,"cultivationGainPerStack":16,"label":"&lt;cultivation&gt;消耗所有炎热，每消耗 1 层炎热，获得 16 点修为&lt;/cultivation&gt;"}]}</t>
        </is>
      </c>
    </row>
    <row r="286" ht="32" customHeight="1">
      <c r="A286" s="8" t="n">
        <v>100045</v>
      </c>
      <c r="B286" s="8" t="inlineStr">
        <is>
          <t>炉火照寒潭</t>
        </is>
      </c>
      <c r="C286" s="8" t="inlineStr">
        <is>
          <t>功法</t>
        </is>
      </c>
      <c r="D286" s="8" t="inlineStr">
        <is>
          <t>common</t>
        </is>
      </c>
      <c r="E286" s="8" t="inlineStr">
        <is>
          <t>fire</t>
        </is>
      </c>
      <c r="F286" s="8" t="n">
        <v>3</v>
      </c>
      <c r="G286" s="8" t="inlineStr">
        <is>
          <t>功法成长层</t>
        </is>
      </c>
      <c r="H286" s="8" t="n">
        <v>3</v>
      </c>
      <c r="I286" s="9" t="inlineStr">
        <is>
          <t>修为≥640；境界≥炼气6层</t>
        </is>
      </c>
      <c r="J286" s="8" t="n">
        <v>640</v>
      </c>
      <c r="K286" s="8" t="n">
        <v>200</v>
      </c>
      <c r="L286" s="8" t="n">
        <v>120</v>
      </c>
      <c r="M286" s="8" t="inlineStr">
        <is>
          <t>被动效果</t>
        </is>
      </c>
      <c r="N286" s="8" t="inlineStr">
        <is>
          <t>passive</t>
        </is>
      </c>
      <c r="O286" s="9" t="inlineStr">
        <is>
          <t>炎热层数上限 +9</t>
        </is>
      </c>
      <c r="P286" s="9" t="inlineStr"/>
      <c r="Q286" s="9" t="inlineStr">
        <is>
          <t>buffStackCapBonus</t>
        </is>
      </c>
      <c r="R286" s="9" t="inlineStr">
        <is>
          <t>{"kind":"passive","label":"炎热层数上限 +9","passiveEffect":{"type":"buffStackCapBonus","buffId":"heat","value":9,"label":"炎热层数上限 +9"}}</t>
        </is>
      </c>
    </row>
    <row r="287" ht="32" customHeight="1">
      <c r="A287" s="8" t="n">
        <v>100045</v>
      </c>
      <c r="B287" s="8" t="inlineStr">
        <is>
          <t>炉火照寒潭</t>
        </is>
      </c>
      <c r="C287" s="8" t="inlineStr">
        <is>
          <t>功法</t>
        </is>
      </c>
      <c r="D287" s="8" t="inlineStr">
        <is>
          <t>common</t>
        </is>
      </c>
      <c r="E287" s="8" t="inlineStr">
        <is>
          <t>fire</t>
        </is>
      </c>
      <c r="F287" s="8" t="n">
        <v>3</v>
      </c>
      <c r="G287" s="8" t="inlineStr">
        <is>
          <t>功法成长层</t>
        </is>
      </c>
      <c r="H287" s="8" t="n">
        <v>4</v>
      </c>
      <c r="I287" s="9" t="inlineStr">
        <is>
          <t>修为≥2750；境界≥筑基1层</t>
        </is>
      </c>
      <c r="J287" s="8" t="n">
        <v>2750</v>
      </c>
      <c r="K287" s="8" t="n">
        <v>295</v>
      </c>
      <c r="L287" s="8" t="n">
        <v>160</v>
      </c>
      <c r="M287" s="8" t="inlineStr">
        <is>
          <t>周期触发</t>
        </is>
      </c>
      <c r="N287" s="8" t="inlineStr">
        <is>
          <t>periodicPulse</t>
        </is>
      </c>
      <c r="O287" s="9" t="inlineStr">
        <is>
          <t>消耗所有炎热，每消耗 1 层炎热，获得 16 点修为</t>
        </is>
      </c>
      <c r="P287" s="9" t="inlineStr">
        <is>
          <t>onPeriodicPulse</t>
        </is>
      </c>
      <c r="Q287" s="9" t="inlineStr">
        <is>
          <t>consumeBuffStacks</t>
        </is>
      </c>
      <c r="R287" s="9" t="inlineStr">
        <is>
          <t>{"kind":"periodicPulse","periodicPulse":{"intervalSec":30,"label":"&lt;cultivation&gt;消耗所有炎热，每消耗 1 层炎热，获得 16 点修为&lt;/cultivation&gt;"},"executors":[{"trigger":"onPeriodicPulse","type":"consumeBuffStacks","sourceBuffId":"heat","consumeRatio":1,"cultivationGainPerStack":16,"label":"&lt;cultivation&gt;消耗所有炎热，每消耗 1 层炎热，获得 16 点修为&lt;/cultivation&gt;"}]}</t>
        </is>
      </c>
    </row>
    <row r="288" ht="32" customHeight="1">
      <c r="A288" s="8" t="n">
        <v>100045</v>
      </c>
      <c r="B288" s="8" t="inlineStr">
        <is>
          <t>炉火照寒潭</t>
        </is>
      </c>
      <c r="C288" s="8" t="inlineStr">
        <is>
          <t>功法</t>
        </is>
      </c>
      <c r="D288" s="8" t="inlineStr">
        <is>
          <t>common</t>
        </is>
      </c>
      <c r="E288" s="8" t="inlineStr">
        <is>
          <t>fire</t>
        </is>
      </c>
      <c r="F288" s="8" t="n">
        <v>3</v>
      </c>
      <c r="G288" s="8" t="inlineStr">
        <is>
          <t>功法成长层</t>
        </is>
      </c>
      <c r="H288" s="8" t="n">
        <v>4</v>
      </c>
      <c r="I288" s="9" t="inlineStr">
        <is>
          <t>修为≥2750；境界≥筑基1层</t>
        </is>
      </c>
      <c r="J288" s="8" t="n">
        <v>2750</v>
      </c>
      <c r="K288" s="8" t="n">
        <v>295</v>
      </c>
      <c r="L288" s="8" t="n">
        <v>160</v>
      </c>
      <c r="M288" s="8" t="inlineStr">
        <is>
          <t>被动效果</t>
        </is>
      </c>
      <c r="N288" s="8" t="inlineStr">
        <is>
          <t>passive</t>
        </is>
      </c>
      <c r="O288" s="9" t="inlineStr">
        <is>
          <t>炎热层数上限 +12</t>
        </is>
      </c>
      <c r="P288" s="9" t="inlineStr"/>
      <c r="Q288" s="9" t="inlineStr">
        <is>
          <t>buffStackCapBonus</t>
        </is>
      </c>
      <c r="R288" s="9" t="inlineStr">
        <is>
          <t>{"kind":"passive","label":"炎热层数上限 +12","passiveEffect":{"type":"buffStackCapBonus","buffId":"heat","value":12,"label":"炎热层数上限 +12"}}</t>
        </is>
      </c>
    </row>
    <row r="289" ht="32" customHeight="1">
      <c r="A289" s="8" t="n">
        <v>100045</v>
      </c>
      <c r="B289" s="8" t="inlineStr">
        <is>
          <t>炉火照寒潭</t>
        </is>
      </c>
      <c r="C289" s="8" t="inlineStr">
        <is>
          <t>功法</t>
        </is>
      </c>
      <c r="D289" s="8" t="inlineStr">
        <is>
          <t>common</t>
        </is>
      </c>
      <c r="E289" s="8" t="inlineStr">
        <is>
          <t>fire</t>
        </is>
      </c>
      <c r="F289" s="8" t="n">
        <v>3</v>
      </c>
      <c r="G289" s="8" t="inlineStr">
        <is>
          <t>功法成长层</t>
        </is>
      </c>
      <c r="H289" s="8" t="n">
        <v>5</v>
      </c>
      <c r="I289" s="9" t="inlineStr">
        <is>
          <t>修为≥10900；境界≥筑基2层</t>
        </is>
      </c>
      <c r="J289" s="8" t="n">
        <v>10900</v>
      </c>
      <c r="K289" s="8" t="n">
        <v>315</v>
      </c>
      <c r="L289" s="8" t="n">
        <v>210</v>
      </c>
      <c r="M289" s="8" t="inlineStr">
        <is>
          <t>周期触发</t>
        </is>
      </c>
      <c r="N289" s="8" t="inlineStr">
        <is>
          <t>periodicPulse</t>
        </is>
      </c>
      <c r="O289" s="9" t="inlineStr">
        <is>
          <t>消耗所有炎热，每消耗 1 层炎热，获得 20 点修为</t>
        </is>
      </c>
      <c r="P289" s="9" t="inlineStr">
        <is>
          <t>onPeriodicPulse</t>
        </is>
      </c>
      <c r="Q289" s="9" t="inlineStr">
        <is>
          <t>consumeBuffStacks</t>
        </is>
      </c>
      <c r="R289" s="9" t="inlineStr">
        <is>
          <t>{"kind":"periodicPulse","periodicPulse":{"intervalSec":30,"label":"&lt;cultivation&gt;消耗所有炎热，每消耗 1 层炎热，获得 20 点修为&lt;/cultivation&gt;"},"executors":[{"trigger":"onPeriodicPulse","type":"consumeBuffStacks","sourceBuffId":"heat","consumeRatio":1,"cultivationGainPerStack":20,"label":"&lt;cultivation&gt;消耗所有炎热，每消耗 1 层炎热，获得 20 点修为&lt;/cultivation&gt;"}]}</t>
        </is>
      </c>
    </row>
    <row r="290" ht="32" customHeight="1">
      <c r="A290" s="8" t="n">
        <v>100045</v>
      </c>
      <c r="B290" s="8" t="inlineStr">
        <is>
          <t>炉火照寒潭</t>
        </is>
      </c>
      <c r="C290" s="8" t="inlineStr">
        <is>
          <t>功法</t>
        </is>
      </c>
      <c r="D290" s="8" t="inlineStr">
        <is>
          <t>common</t>
        </is>
      </c>
      <c r="E290" s="8" t="inlineStr">
        <is>
          <t>fire</t>
        </is>
      </c>
      <c r="F290" s="8" t="n">
        <v>3</v>
      </c>
      <c r="G290" s="8" t="inlineStr">
        <is>
          <t>功法成长层</t>
        </is>
      </c>
      <c r="H290" s="8" t="n">
        <v>5</v>
      </c>
      <c r="I290" s="9" t="inlineStr">
        <is>
          <t>修为≥10900；境界≥筑基2层</t>
        </is>
      </c>
      <c r="J290" s="8" t="n">
        <v>10900</v>
      </c>
      <c r="K290" s="8" t="n">
        <v>315</v>
      </c>
      <c r="L290" s="8" t="n">
        <v>210</v>
      </c>
      <c r="M290" s="8" t="inlineStr">
        <is>
          <t>被动效果</t>
        </is>
      </c>
      <c r="N290" s="8" t="inlineStr">
        <is>
          <t>passive</t>
        </is>
      </c>
      <c r="O290" s="9" t="inlineStr">
        <is>
          <t>炎热层数上限 +15</t>
        </is>
      </c>
      <c r="P290" s="9" t="inlineStr"/>
      <c r="Q290" s="9" t="inlineStr">
        <is>
          <t>buffStackCapBonus</t>
        </is>
      </c>
      <c r="R290" s="9" t="inlineStr">
        <is>
          <t>{"kind":"passive","label":"炎热层数上限 +15","passiveEffect":{"type":"buffStackCapBonus","buffId":"heat","value":15,"label":"炎热层数上限 +15"}}</t>
        </is>
      </c>
    </row>
    <row r="291" ht="32" customHeight="1">
      <c r="A291" s="8" t="n">
        <v>100045</v>
      </c>
      <c r="B291" s="8" t="inlineStr">
        <is>
          <t>炉火照寒潭</t>
        </is>
      </c>
      <c r="C291" s="8" t="inlineStr">
        <is>
          <t>功法</t>
        </is>
      </c>
      <c r="D291" s="8" t="inlineStr">
        <is>
          <t>common</t>
        </is>
      </c>
      <c r="E291" s="8" t="inlineStr">
        <is>
          <t>fire</t>
        </is>
      </c>
      <c r="F291" s="8" t="n">
        <v>3</v>
      </c>
      <c r="G291" s="8" t="inlineStr">
        <is>
          <t>功法成长层</t>
        </is>
      </c>
      <c r="H291" s="8" t="n">
        <v>6</v>
      </c>
      <c r="I291" s="9" t="inlineStr">
        <is>
          <t>修为≥27500；境界≥筑基3层</t>
        </is>
      </c>
      <c r="J291" s="8" t="n">
        <v>27500</v>
      </c>
      <c r="K291" s="8" t="n">
        <v>320</v>
      </c>
      <c r="L291" s="8" t="n">
        <v>270</v>
      </c>
      <c r="M291" s="8" t="inlineStr">
        <is>
          <t>周期触发</t>
        </is>
      </c>
      <c r="N291" s="8" t="inlineStr">
        <is>
          <t>periodicPulse</t>
        </is>
      </c>
      <c r="O291" s="9" t="inlineStr">
        <is>
          <t>消耗所有炎热，每消耗 1 层炎热，获得 24 点修为</t>
        </is>
      </c>
      <c r="P291" s="9" t="inlineStr">
        <is>
          <t>onPeriodicPulse</t>
        </is>
      </c>
      <c r="Q291" s="9" t="inlineStr">
        <is>
          <t>consumeBuffStacks</t>
        </is>
      </c>
      <c r="R291" s="9" t="inlineStr">
        <is>
          <t>{"kind":"periodicPulse","periodicPulse":{"intervalSec":30,"label":"&lt;cultivation&gt;消耗所有炎热，每消耗 1 层炎热，获得 24 点修为&lt;/cultivation&gt;"},"executors":[{"trigger":"onPeriodicPulse","type":"consumeBuffStacks","sourceBuffId":"heat","consumeRatio":1,"cultivationGainPerStack":24,"label":"&lt;cultivation&gt;消耗所有炎热，每消耗 1 层炎热，获得 24 点修为&lt;/cultivation&gt;"}]}</t>
        </is>
      </c>
    </row>
    <row r="292" ht="32" customHeight="1">
      <c r="A292" s="8" t="n">
        <v>100045</v>
      </c>
      <c r="B292" s="8" t="inlineStr">
        <is>
          <t>炉火照寒潭</t>
        </is>
      </c>
      <c r="C292" s="8" t="inlineStr">
        <is>
          <t>功法</t>
        </is>
      </c>
      <c r="D292" s="8" t="inlineStr">
        <is>
          <t>common</t>
        </is>
      </c>
      <c r="E292" s="8" t="inlineStr">
        <is>
          <t>fire</t>
        </is>
      </c>
      <c r="F292" s="8" t="n">
        <v>3</v>
      </c>
      <c r="G292" s="8" t="inlineStr">
        <is>
          <t>功法成长层</t>
        </is>
      </c>
      <c r="H292" s="8" t="n">
        <v>6</v>
      </c>
      <c r="I292" s="9" t="inlineStr">
        <is>
          <t>修为≥27500；境界≥筑基3层</t>
        </is>
      </c>
      <c r="J292" s="8" t="n">
        <v>27500</v>
      </c>
      <c r="K292" s="8" t="n">
        <v>320</v>
      </c>
      <c r="L292" s="8" t="n">
        <v>270</v>
      </c>
      <c r="M292" s="8" t="inlineStr">
        <is>
          <t>被动效果</t>
        </is>
      </c>
      <c r="N292" s="8" t="inlineStr">
        <is>
          <t>passive</t>
        </is>
      </c>
      <c r="O292" s="9" t="inlineStr">
        <is>
          <t>炎热层数上限 +18</t>
        </is>
      </c>
      <c r="P292" s="9" t="inlineStr"/>
      <c r="Q292" s="9" t="inlineStr">
        <is>
          <t>buffStackCapBonus</t>
        </is>
      </c>
      <c r="R292" s="9" t="inlineStr">
        <is>
          <t>{"kind":"passive","label":"炎热层数上限 +18","passiveEffect":{"type":"buffStackCapBonus","buffId":"heat","value":18,"label":"炎热层数上限 +18"}}</t>
        </is>
      </c>
    </row>
    <row r="293" ht="32" customHeight="1">
      <c r="A293" s="8" t="n">
        <v>100046</v>
      </c>
      <c r="B293" s="8" t="inlineStr">
        <is>
          <t>镇澜功</t>
        </is>
      </c>
      <c r="C293" s="8" t="inlineStr">
        <is>
          <t>功法</t>
        </is>
      </c>
      <c r="D293" s="8" t="inlineStr">
        <is>
          <t>common</t>
        </is>
      </c>
      <c r="E293" s="8" t="inlineStr">
        <is>
          <t>earth</t>
        </is>
      </c>
      <c r="F293" s="8" t="n">
        <v>1</v>
      </c>
      <c r="G293" s="8" t="inlineStr">
        <is>
          <t>基础/顶层</t>
        </is>
      </c>
      <c r="H293" s="8" t="inlineStr"/>
      <c r="I293" s="9" t="inlineStr"/>
      <c r="J293" s="8" t="inlineStr"/>
      <c r="K293" s="8" t="inlineStr"/>
      <c r="L293" s="8" t="inlineStr"/>
      <c r="M293" s="8" t="inlineStr">
        <is>
          <t>周期触发</t>
        </is>
      </c>
      <c r="N293" s="8" t="inlineStr">
        <is>
          <t>periodicPulse</t>
        </is>
      </c>
      <c r="O293" s="9" t="inlineStr">
        <is>
          <t>消耗所有蓄势，每消耗 1 层蓄势，获得 3 点修为</t>
        </is>
      </c>
      <c r="P293" s="9" t="inlineStr">
        <is>
          <t>onPeriodicPulse</t>
        </is>
      </c>
      <c r="Q293" s="9" t="inlineStr">
        <is>
          <t>consumeBuffStacks</t>
        </is>
      </c>
      <c r="R293" s="9" t="inlineStr">
        <is>
          <t>{"kind":"periodicPulse","periodicPulse":{"intervalSec":30,"label":"消耗所有蓄势，每消耗 1 层蓄势，获得 3 点修为"},"executors":[{"trigger":"onPeriodicPulse","type":"consumeBuffStacks","sourceBuffId":"heavy","consumeRatio":1,"cultivationGainPerStack":3}]}</t>
        </is>
      </c>
    </row>
    <row r="294" ht="32" customHeight="1">
      <c r="A294" s="8" t="n">
        <v>100046</v>
      </c>
      <c r="B294" s="8" t="inlineStr">
        <is>
          <t>镇澜功</t>
        </is>
      </c>
      <c r="C294" s="8" t="inlineStr">
        <is>
          <t>功法</t>
        </is>
      </c>
      <c r="D294" s="8" t="inlineStr">
        <is>
          <t>common</t>
        </is>
      </c>
      <c r="E294" s="8" t="inlineStr">
        <is>
          <t>earth</t>
        </is>
      </c>
      <c r="F294" s="8" t="n">
        <v>2</v>
      </c>
      <c r="G294" s="8" t="inlineStr">
        <is>
          <t>基础/顶层</t>
        </is>
      </c>
      <c r="H294" s="8" t="inlineStr"/>
      <c r="I294" s="9" t="inlineStr"/>
      <c r="J294" s="8" t="inlineStr"/>
      <c r="K294" s="8" t="inlineStr"/>
      <c r="L294" s="8" t="inlineStr"/>
      <c r="M294" s="8" t="inlineStr">
        <is>
          <t>被动效果</t>
        </is>
      </c>
      <c r="N294" s="8" t="inlineStr">
        <is>
          <t>passive</t>
        </is>
      </c>
      <c r="O294" s="9" t="inlineStr">
        <is>
          <t>护甲层数上限 +3</t>
        </is>
      </c>
      <c r="P294" s="9" t="inlineStr"/>
      <c r="Q294" s="9" t="inlineStr">
        <is>
          <t>buffStackCapBonus</t>
        </is>
      </c>
      <c r="R294" s="9" t="inlineStr">
        <is>
          <t>{"kind":"passive","label":"护甲层数上限 +3","passiveEffect":{"type":"buffStackCapBonus","buffId":"armor","value":3,"label":"护甲层数上限 +3"}}</t>
        </is>
      </c>
    </row>
    <row r="295" ht="32" customHeight="1">
      <c r="A295" s="8" t="n">
        <v>100046</v>
      </c>
      <c r="B295" s="8" t="inlineStr">
        <is>
          <t>镇澜功</t>
        </is>
      </c>
      <c r="C295" s="8" t="inlineStr">
        <is>
          <t>功法</t>
        </is>
      </c>
      <c r="D295" s="8" t="inlineStr">
        <is>
          <t>common</t>
        </is>
      </c>
      <c r="E295" s="8" t="inlineStr">
        <is>
          <t>earth</t>
        </is>
      </c>
      <c r="F295" s="8" t="n">
        <v>3</v>
      </c>
      <c r="G295" s="8" t="inlineStr">
        <is>
          <t>基础/顶层</t>
        </is>
      </c>
      <c r="H295" s="8" t="inlineStr"/>
      <c r="I295" s="9" t="inlineStr"/>
      <c r="J295" s="8" t="inlineStr"/>
      <c r="K295" s="8" t="inlineStr"/>
      <c r="L295" s="8" t="inlineStr"/>
      <c r="M295" s="8" t="inlineStr">
        <is>
          <t>被动效果</t>
        </is>
      </c>
      <c r="N295" s="8" t="inlineStr">
        <is>
          <t>passive</t>
        </is>
      </c>
      <c r="O295" s="9" t="inlineStr">
        <is>
          <t>蓄势层数上限 +2</t>
        </is>
      </c>
      <c r="P295" s="9" t="inlineStr"/>
      <c r="Q295" s="9" t="inlineStr">
        <is>
          <t>buffStackCapBonus</t>
        </is>
      </c>
      <c r="R295" s="9" t="inlineStr">
        <is>
          <t>{"kind":"passive","label":"蓄势层数上限 +2","passiveEffect":{"type":"buffStackCapBonus","buffId":"heavy","value":2,"label":"蓄势层数上限 +2"}}</t>
        </is>
      </c>
    </row>
    <row r="296" ht="32" customHeight="1">
      <c r="A296" s="8" t="n">
        <v>100046</v>
      </c>
      <c r="B296" s="8" t="inlineStr">
        <is>
          <t>镇澜功</t>
        </is>
      </c>
      <c r="C296" s="8" t="inlineStr">
        <is>
          <t>功法</t>
        </is>
      </c>
      <c r="D296" s="8" t="inlineStr">
        <is>
          <t>common</t>
        </is>
      </c>
      <c r="E296" s="8" t="inlineStr">
        <is>
          <t>earth</t>
        </is>
      </c>
      <c r="F296" s="8" t="n">
        <v>4</v>
      </c>
      <c r="G296" s="8" t="inlineStr">
        <is>
          <t>功法成长层</t>
        </is>
      </c>
      <c r="H296" s="8" t="n">
        <v>1</v>
      </c>
      <c r="I296" s="9" t="inlineStr">
        <is>
          <t>无</t>
        </is>
      </c>
      <c r="J296" s="8" t="inlineStr"/>
      <c r="K296" s="8" t="inlineStr"/>
      <c r="L296" s="8" t="n">
        <v>20</v>
      </c>
      <c r="M296" s="8" t="inlineStr">
        <is>
          <t>周期触发</t>
        </is>
      </c>
      <c r="N296" s="8" t="inlineStr">
        <is>
          <t>periodicPulse</t>
        </is>
      </c>
      <c r="O296" s="9" t="inlineStr">
        <is>
          <t>消耗所有蓄势，每消耗 1 层蓄势，获得 3 点修为</t>
        </is>
      </c>
      <c r="P296" s="9" t="inlineStr">
        <is>
          <t>onPeriodicPulse</t>
        </is>
      </c>
      <c r="Q296" s="9" t="inlineStr">
        <is>
          <t>consumeBuffStacks</t>
        </is>
      </c>
      <c r="R296" s="9" t="inlineStr">
        <is>
          <t>{"kind":"periodicPulse","periodicPulse":{"intervalSec":30,"label":"消耗所有蓄势，每消耗 1 层蓄势，获得 3 点修为"},"executors":[{"trigger":"onPeriodicPulse","type":"consumeBuffStacks","sourceBuffId":"heavy","consumeRatio":1,"cultivationGainPerStack":3}]}</t>
        </is>
      </c>
    </row>
    <row r="297" ht="32" customHeight="1">
      <c r="A297" s="8" t="n">
        <v>100046</v>
      </c>
      <c r="B297" s="8" t="inlineStr">
        <is>
          <t>镇澜功</t>
        </is>
      </c>
      <c r="C297" s="8" t="inlineStr">
        <is>
          <t>功法</t>
        </is>
      </c>
      <c r="D297" s="8" t="inlineStr">
        <is>
          <t>common</t>
        </is>
      </c>
      <c r="E297" s="8" t="inlineStr">
        <is>
          <t>earth</t>
        </is>
      </c>
      <c r="F297" s="8" t="n">
        <v>4</v>
      </c>
      <c r="G297" s="8" t="inlineStr">
        <is>
          <t>功法成长层</t>
        </is>
      </c>
      <c r="H297" s="8" t="n">
        <v>1</v>
      </c>
      <c r="I297" s="9" t="inlineStr">
        <is>
          <t>无</t>
        </is>
      </c>
      <c r="J297" s="8" t="inlineStr"/>
      <c r="K297" s="8" t="inlineStr"/>
      <c r="L297" s="8" t="n">
        <v>20</v>
      </c>
      <c r="M297" s="8" t="inlineStr">
        <is>
          <t>被动效果</t>
        </is>
      </c>
      <c r="N297" s="8" t="inlineStr">
        <is>
          <t>passive</t>
        </is>
      </c>
      <c r="O297" s="9" t="inlineStr">
        <is>
          <t>护甲层数上限 +3</t>
        </is>
      </c>
      <c r="P297" s="9" t="inlineStr"/>
      <c r="Q297" s="9" t="inlineStr">
        <is>
          <t>buffStackCapBonus</t>
        </is>
      </c>
      <c r="R297" s="9" t="inlineStr">
        <is>
          <t>{"kind":"passive","label":"护甲层数上限 +3","passiveEffect":{"type":"buffStackCapBonus","buffId":"armor","value":3,"label":"护甲层数上限 +3"}}</t>
        </is>
      </c>
    </row>
    <row r="298" ht="32" customHeight="1">
      <c r="A298" s="8" t="n">
        <v>100046</v>
      </c>
      <c r="B298" s="8" t="inlineStr">
        <is>
          <t>镇澜功</t>
        </is>
      </c>
      <c r="C298" s="8" t="inlineStr">
        <is>
          <t>功法</t>
        </is>
      </c>
      <c r="D298" s="8" t="inlineStr">
        <is>
          <t>common</t>
        </is>
      </c>
      <c r="E298" s="8" t="inlineStr">
        <is>
          <t>earth</t>
        </is>
      </c>
      <c r="F298" s="8" t="n">
        <v>4</v>
      </c>
      <c r="G298" s="8" t="inlineStr">
        <is>
          <t>功法成长层</t>
        </is>
      </c>
      <c r="H298" s="8" t="n">
        <v>1</v>
      </c>
      <c r="I298" s="9" t="inlineStr">
        <is>
          <t>无</t>
        </is>
      </c>
      <c r="J298" s="8" t="inlineStr"/>
      <c r="K298" s="8" t="inlineStr"/>
      <c r="L298" s="8" t="n">
        <v>20</v>
      </c>
      <c r="M298" s="8" t="inlineStr">
        <is>
          <t>被动效果</t>
        </is>
      </c>
      <c r="N298" s="8" t="inlineStr">
        <is>
          <t>passive</t>
        </is>
      </c>
      <c r="O298" s="9" t="inlineStr">
        <is>
          <t>蓄势层数上限 +2</t>
        </is>
      </c>
      <c r="P298" s="9" t="inlineStr"/>
      <c r="Q298" s="9" t="inlineStr">
        <is>
          <t>buffStackCapBonus</t>
        </is>
      </c>
      <c r="R298" s="9" t="inlineStr">
        <is>
          <t>{"kind":"passive","label":"蓄势层数上限 +2","passiveEffect":{"type":"buffStackCapBonus","buffId":"heavy","value":2,"label":"蓄势层数上限 +2"}}</t>
        </is>
      </c>
    </row>
    <row r="299" ht="32" customHeight="1">
      <c r="A299" s="8" t="n">
        <v>100046</v>
      </c>
      <c r="B299" s="8" t="inlineStr">
        <is>
          <t>镇澜功</t>
        </is>
      </c>
      <c r="C299" s="8" t="inlineStr">
        <is>
          <t>功法</t>
        </is>
      </c>
      <c r="D299" s="8" t="inlineStr">
        <is>
          <t>common</t>
        </is>
      </c>
      <c r="E299" s="8" t="inlineStr">
        <is>
          <t>earth</t>
        </is>
      </c>
      <c r="F299" s="8" t="n">
        <v>4</v>
      </c>
      <c r="G299" s="8" t="inlineStr">
        <is>
          <t>功法成长层</t>
        </is>
      </c>
      <c r="H299" s="8" t="n">
        <v>2</v>
      </c>
      <c r="I299" s="9" t="inlineStr">
        <is>
          <t>修为≥140；境界≥炼气4层</t>
        </is>
      </c>
      <c r="J299" s="8" t="n">
        <v>140</v>
      </c>
      <c r="K299" s="8" t="n">
        <v>210</v>
      </c>
      <c r="L299" s="8" t="n">
        <v>90</v>
      </c>
      <c r="M299" s="8" t="inlineStr">
        <is>
          <t>周期触发</t>
        </is>
      </c>
      <c r="N299" s="8" t="inlineStr">
        <is>
          <t>periodicPulse</t>
        </is>
      </c>
      <c r="O299" s="9" t="inlineStr">
        <is>
          <t>消耗所有蓄势，每消耗 1 层蓄势，获得 6 点修为</t>
        </is>
      </c>
      <c r="P299" s="9" t="inlineStr">
        <is>
          <t>onPeriodicPulse</t>
        </is>
      </c>
      <c r="Q299" s="9" t="inlineStr">
        <is>
          <t>consumeBuffStacks</t>
        </is>
      </c>
      <c r="R299" s="9" t="inlineStr">
        <is>
          <t>{"kind":"periodicPulse","periodicPulse":{"intervalSec":28,"label":"消耗所有蓄势，每消耗 1 层蓄势，获得 6 点修为"},"executors":[{"trigger":"onPeriodicPulse","type":"consumeBuffStacks","sourceBuffId":"heavy","consumeRatio":1,"cultivationGainPerStack":6}]}</t>
        </is>
      </c>
    </row>
    <row r="300" ht="32" customHeight="1">
      <c r="A300" s="8" t="n">
        <v>100046</v>
      </c>
      <c r="B300" s="8" t="inlineStr">
        <is>
          <t>镇澜功</t>
        </is>
      </c>
      <c r="C300" s="8" t="inlineStr">
        <is>
          <t>功法</t>
        </is>
      </c>
      <c r="D300" s="8" t="inlineStr">
        <is>
          <t>common</t>
        </is>
      </c>
      <c r="E300" s="8" t="inlineStr">
        <is>
          <t>earth</t>
        </is>
      </c>
      <c r="F300" s="8" t="n">
        <v>4</v>
      </c>
      <c r="G300" s="8" t="inlineStr">
        <is>
          <t>功法成长层</t>
        </is>
      </c>
      <c r="H300" s="8" t="n">
        <v>2</v>
      </c>
      <c r="I300" s="9" t="inlineStr">
        <is>
          <t>修为≥140；境界≥炼气4层</t>
        </is>
      </c>
      <c r="J300" s="8" t="n">
        <v>140</v>
      </c>
      <c r="K300" s="8" t="n">
        <v>210</v>
      </c>
      <c r="L300" s="8" t="n">
        <v>90</v>
      </c>
      <c r="M300" s="8" t="inlineStr">
        <is>
          <t>被动效果</t>
        </is>
      </c>
      <c r="N300" s="8" t="inlineStr">
        <is>
          <t>passive</t>
        </is>
      </c>
      <c r="O300" s="9" t="inlineStr">
        <is>
          <t>护甲层数上限 +6</t>
        </is>
      </c>
      <c r="P300" s="9" t="inlineStr"/>
      <c r="Q300" s="9" t="inlineStr">
        <is>
          <t>buffStackCapBonus</t>
        </is>
      </c>
      <c r="R300" s="9" t="inlineStr">
        <is>
          <t>{"kind":"passive","label":"护甲层数上限 +6","passiveEffect":{"type":"buffStackCapBonus","buffId":"armor","value":6,"label":"护甲层数上限 +6"}}</t>
        </is>
      </c>
    </row>
    <row r="301" ht="32" customHeight="1">
      <c r="A301" s="8" t="n">
        <v>100046</v>
      </c>
      <c r="B301" s="8" t="inlineStr">
        <is>
          <t>镇澜功</t>
        </is>
      </c>
      <c r="C301" s="8" t="inlineStr">
        <is>
          <t>功法</t>
        </is>
      </c>
      <c r="D301" s="8" t="inlineStr">
        <is>
          <t>common</t>
        </is>
      </c>
      <c r="E301" s="8" t="inlineStr">
        <is>
          <t>earth</t>
        </is>
      </c>
      <c r="F301" s="8" t="n">
        <v>4</v>
      </c>
      <c r="G301" s="8" t="inlineStr">
        <is>
          <t>功法成长层</t>
        </is>
      </c>
      <c r="H301" s="8" t="n">
        <v>2</v>
      </c>
      <c r="I301" s="9" t="inlineStr">
        <is>
          <t>修为≥140；境界≥炼气4层</t>
        </is>
      </c>
      <c r="J301" s="8" t="n">
        <v>140</v>
      </c>
      <c r="K301" s="8" t="n">
        <v>210</v>
      </c>
      <c r="L301" s="8" t="n">
        <v>90</v>
      </c>
      <c r="M301" s="8" t="inlineStr">
        <is>
          <t>被动效果</t>
        </is>
      </c>
      <c r="N301" s="8" t="inlineStr">
        <is>
          <t>passive</t>
        </is>
      </c>
      <c r="O301" s="9" t="inlineStr">
        <is>
          <t>蓄势层数上限 +4</t>
        </is>
      </c>
      <c r="P301" s="9" t="inlineStr"/>
      <c r="Q301" s="9" t="inlineStr">
        <is>
          <t>buffStackCapBonus</t>
        </is>
      </c>
      <c r="R301" s="9" t="inlineStr">
        <is>
          <t>{"kind":"passive","label":"蓄势层数上限 +4","passiveEffect":{"type":"buffStackCapBonus","buffId":"heavy","value":4,"label":"蓄势层数上限 +4"}}</t>
        </is>
      </c>
    </row>
    <row r="302" ht="32" customHeight="1">
      <c r="A302" s="8" t="n">
        <v>100046</v>
      </c>
      <c r="B302" s="8" t="inlineStr">
        <is>
          <t>镇澜功</t>
        </is>
      </c>
      <c r="C302" s="8" t="inlineStr">
        <is>
          <t>功法</t>
        </is>
      </c>
      <c r="D302" s="8" t="inlineStr">
        <is>
          <t>common</t>
        </is>
      </c>
      <c r="E302" s="8" t="inlineStr">
        <is>
          <t>earth</t>
        </is>
      </c>
      <c r="F302" s="8" t="n">
        <v>4</v>
      </c>
      <c r="G302" s="8" t="inlineStr">
        <is>
          <t>功法成长层</t>
        </is>
      </c>
      <c r="H302" s="8" t="n">
        <v>3</v>
      </c>
      <c r="I302" s="9" t="inlineStr">
        <is>
          <t>修为≥740；境界≥炼气6层</t>
        </is>
      </c>
      <c r="J302" s="8" t="n">
        <v>740</v>
      </c>
      <c r="K302" s="8" t="n">
        <v>250</v>
      </c>
      <c r="L302" s="8" t="n">
        <v>120</v>
      </c>
      <c r="M302" s="8" t="inlineStr">
        <is>
          <t>周期触发</t>
        </is>
      </c>
      <c r="N302" s="8" t="inlineStr">
        <is>
          <t>periodicPulse</t>
        </is>
      </c>
      <c r="O302" s="9" t="inlineStr">
        <is>
          <t>消耗所有蓄势，每消耗 1 层蓄势，获得 9 点修为</t>
        </is>
      </c>
      <c r="P302" s="9" t="inlineStr">
        <is>
          <t>onPeriodicPulse</t>
        </is>
      </c>
      <c r="Q302" s="9" t="inlineStr">
        <is>
          <t>consumeBuffStacks</t>
        </is>
      </c>
      <c r="R302" s="9" t="inlineStr">
        <is>
          <t>{"kind":"periodicPulse","periodicPulse":{"intervalSec":26,"label":"消耗所有蓄势，每消耗 1 层蓄势，获得 9 点修为"},"executors":[{"trigger":"onPeriodicPulse","type":"consumeBuffStacks","sourceBuffId":"heavy","consumeRatio":1,"cultivationGainPerStack":9}]}</t>
        </is>
      </c>
    </row>
    <row r="303" ht="32" customHeight="1">
      <c r="A303" s="8" t="n">
        <v>100046</v>
      </c>
      <c r="B303" s="8" t="inlineStr">
        <is>
          <t>镇澜功</t>
        </is>
      </c>
      <c r="C303" s="8" t="inlineStr">
        <is>
          <t>功法</t>
        </is>
      </c>
      <c r="D303" s="8" t="inlineStr">
        <is>
          <t>common</t>
        </is>
      </c>
      <c r="E303" s="8" t="inlineStr">
        <is>
          <t>earth</t>
        </is>
      </c>
      <c r="F303" s="8" t="n">
        <v>4</v>
      </c>
      <c r="G303" s="8" t="inlineStr">
        <is>
          <t>功法成长层</t>
        </is>
      </c>
      <c r="H303" s="8" t="n">
        <v>3</v>
      </c>
      <c r="I303" s="9" t="inlineStr">
        <is>
          <t>修为≥740；境界≥炼气6层</t>
        </is>
      </c>
      <c r="J303" s="8" t="n">
        <v>740</v>
      </c>
      <c r="K303" s="8" t="n">
        <v>250</v>
      </c>
      <c r="L303" s="8" t="n">
        <v>120</v>
      </c>
      <c r="M303" s="8" t="inlineStr">
        <is>
          <t>被动效果</t>
        </is>
      </c>
      <c r="N303" s="8" t="inlineStr">
        <is>
          <t>passive</t>
        </is>
      </c>
      <c r="O303" s="9" t="inlineStr">
        <is>
          <t>护甲层数上限 +9</t>
        </is>
      </c>
      <c r="P303" s="9" t="inlineStr"/>
      <c r="Q303" s="9" t="inlineStr">
        <is>
          <t>buffStackCapBonus</t>
        </is>
      </c>
      <c r="R303" s="9" t="inlineStr">
        <is>
          <t>{"kind":"passive","label":"护甲层数上限 +9","passiveEffect":{"type":"buffStackCapBonus","buffId":"armor","value":9,"label":"护甲层数上限 +9"}}</t>
        </is>
      </c>
    </row>
    <row r="304" ht="32" customHeight="1">
      <c r="A304" s="8" t="n">
        <v>100046</v>
      </c>
      <c r="B304" s="8" t="inlineStr">
        <is>
          <t>镇澜功</t>
        </is>
      </c>
      <c r="C304" s="8" t="inlineStr">
        <is>
          <t>功法</t>
        </is>
      </c>
      <c r="D304" s="8" t="inlineStr">
        <is>
          <t>common</t>
        </is>
      </c>
      <c r="E304" s="8" t="inlineStr">
        <is>
          <t>earth</t>
        </is>
      </c>
      <c r="F304" s="8" t="n">
        <v>4</v>
      </c>
      <c r="G304" s="8" t="inlineStr">
        <is>
          <t>功法成长层</t>
        </is>
      </c>
      <c r="H304" s="8" t="n">
        <v>3</v>
      </c>
      <c r="I304" s="9" t="inlineStr">
        <is>
          <t>修为≥740；境界≥炼气6层</t>
        </is>
      </c>
      <c r="J304" s="8" t="n">
        <v>740</v>
      </c>
      <c r="K304" s="8" t="n">
        <v>250</v>
      </c>
      <c r="L304" s="8" t="n">
        <v>120</v>
      </c>
      <c r="M304" s="8" t="inlineStr">
        <is>
          <t>被动效果</t>
        </is>
      </c>
      <c r="N304" s="8" t="inlineStr">
        <is>
          <t>passive</t>
        </is>
      </c>
      <c r="O304" s="9" t="inlineStr">
        <is>
          <t>蓄势层数上限 +6</t>
        </is>
      </c>
      <c r="P304" s="9" t="inlineStr"/>
      <c r="Q304" s="9" t="inlineStr">
        <is>
          <t>buffStackCapBonus</t>
        </is>
      </c>
      <c r="R304" s="9" t="inlineStr">
        <is>
          <t>{"kind":"passive","label":"蓄势层数上限 +6","passiveEffect":{"type":"buffStackCapBonus","buffId":"heavy","value":6,"label":"蓄势层数上限 +6"}}</t>
        </is>
      </c>
    </row>
    <row r="305" ht="32" customHeight="1">
      <c r="A305" s="8" t="n">
        <v>100046</v>
      </c>
      <c r="B305" s="8" t="inlineStr">
        <is>
          <t>镇澜功</t>
        </is>
      </c>
      <c r="C305" s="8" t="inlineStr">
        <is>
          <t>功法</t>
        </is>
      </c>
      <c r="D305" s="8" t="inlineStr">
        <is>
          <t>common</t>
        </is>
      </c>
      <c r="E305" s="8" t="inlineStr">
        <is>
          <t>earth</t>
        </is>
      </c>
      <c r="F305" s="8" t="n">
        <v>4</v>
      </c>
      <c r="G305" s="8" t="inlineStr">
        <is>
          <t>功法成长层</t>
        </is>
      </c>
      <c r="H305" s="8" t="n">
        <v>4</v>
      </c>
      <c r="I305" s="9" t="inlineStr">
        <is>
          <t>修为≥2900；境界≥筑基1层</t>
        </is>
      </c>
      <c r="J305" s="8" t="n">
        <v>2900</v>
      </c>
      <c r="K305" s="8" t="n">
        <v>310</v>
      </c>
      <c r="L305" s="8" t="n">
        <v>160</v>
      </c>
      <c r="M305" s="8" t="inlineStr">
        <is>
          <t>周期触发</t>
        </is>
      </c>
      <c r="N305" s="8" t="inlineStr">
        <is>
          <t>periodicPulse</t>
        </is>
      </c>
      <c r="O305" s="9" t="inlineStr">
        <is>
          <t>消耗所有蓄势，每消耗 1 层蓄势，获得 12 点修为</t>
        </is>
      </c>
      <c r="P305" s="9" t="inlineStr">
        <is>
          <t>onPeriodicPulse</t>
        </is>
      </c>
      <c r="Q305" s="9" t="inlineStr">
        <is>
          <t>consumeBuffStacks</t>
        </is>
      </c>
      <c r="R305" s="9" t="inlineStr">
        <is>
          <t>{"kind":"periodicPulse","periodicPulse":{"intervalSec":24,"label":"消耗所有蓄势，每消耗 1 层蓄势，获得 12 点修为"},"executors":[{"trigger":"onPeriodicPulse","type":"consumeBuffStacks","sourceBuffId":"heavy","consumeRatio":1,"cultivationGainPerStack":12}]}</t>
        </is>
      </c>
    </row>
    <row r="306" ht="32" customHeight="1">
      <c r="A306" s="8" t="n">
        <v>100046</v>
      </c>
      <c r="B306" s="8" t="inlineStr">
        <is>
          <t>镇澜功</t>
        </is>
      </c>
      <c r="C306" s="8" t="inlineStr">
        <is>
          <t>功法</t>
        </is>
      </c>
      <c r="D306" s="8" t="inlineStr">
        <is>
          <t>common</t>
        </is>
      </c>
      <c r="E306" s="8" t="inlineStr">
        <is>
          <t>earth</t>
        </is>
      </c>
      <c r="F306" s="8" t="n">
        <v>4</v>
      </c>
      <c r="G306" s="8" t="inlineStr">
        <is>
          <t>功法成长层</t>
        </is>
      </c>
      <c r="H306" s="8" t="n">
        <v>4</v>
      </c>
      <c r="I306" s="9" t="inlineStr">
        <is>
          <t>修为≥2900；境界≥筑基1层</t>
        </is>
      </c>
      <c r="J306" s="8" t="n">
        <v>2900</v>
      </c>
      <c r="K306" s="8" t="n">
        <v>310</v>
      </c>
      <c r="L306" s="8" t="n">
        <v>160</v>
      </c>
      <c r="M306" s="8" t="inlineStr">
        <is>
          <t>被动效果</t>
        </is>
      </c>
      <c r="N306" s="8" t="inlineStr">
        <is>
          <t>passive</t>
        </is>
      </c>
      <c r="O306" s="9" t="inlineStr">
        <is>
          <t>护甲层数上限 +12</t>
        </is>
      </c>
      <c r="P306" s="9" t="inlineStr"/>
      <c r="Q306" s="9" t="inlineStr">
        <is>
          <t>buffStackCapBonus</t>
        </is>
      </c>
      <c r="R306" s="9" t="inlineStr">
        <is>
          <t>{"kind":"passive","label":"护甲层数上限 +12","passiveEffect":{"type":"buffStackCapBonus","buffId":"armor","value":12,"label":"护甲层数上限 +12"}}</t>
        </is>
      </c>
    </row>
    <row r="307" ht="32" customHeight="1">
      <c r="A307" s="8" t="n">
        <v>100046</v>
      </c>
      <c r="B307" s="8" t="inlineStr">
        <is>
          <t>镇澜功</t>
        </is>
      </c>
      <c r="C307" s="8" t="inlineStr">
        <is>
          <t>功法</t>
        </is>
      </c>
      <c r="D307" s="8" t="inlineStr">
        <is>
          <t>common</t>
        </is>
      </c>
      <c r="E307" s="8" t="inlineStr">
        <is>
          <t>earth</t>
        </is>
      </c>
      <c r="F307" s="8" t="n">
        <v>4</v>
      </c>
      <c r="G307" s="8" t="inlineStr">
        <is>
          <t>功法成长层</t>
        </is>
      </c>
      <c r="H307" s="8" t="n">
        <v>4</v>
      </c>
      <c r="I307" s="9" t="inlineStr">
        <is>
          <t>修为≥2900；境界≥筑基1层</t>
        </is>
      </c>
      <c r="J307" s="8" t="n">
        <v>2900</v>
      </c>
      <c r="K307" s="8" t="n">
        <v>310</v>
      </c>
      <c r="L307" s="8" t="n">
        <v>160</v>
      </c>
      <c r="M307" s="8" t="inlineStr">
        <is>
          <t>被动效果</t>
        </is>
      </c>
      <c r="N307" s="8" t="inlineStr">
        <is>
          <t>passive</t>
        </is>
      </c>
      <c r="O307" s="9" t="inlineStr">
        <is>
          <t>蓄势层数上限 +8</t>
        </is>
      </c>
      <c r="P307" s="9" t="inlineStr"/>
      <c r="Q307" s="9" t="inlineStr">
        <is>
          <t>buffStackCapBonus</t>
        </is>
      </c>
      <c r="R307" s="9" t="inlineStr">
        <is>
          <t>{"kind":"passive","label":"蓄势层数上限 +8","passiveEffect":{"type":"buffStackCapBonus","buffId":"heavy","value":8,"label":"蓄势层数上限 +8"}}</t>
        </is>
      </c>
    </row>
    <row r="308" ht="32" customHeight="1">
      <c r="A308" s="8" t="n">
        <v>100046</v>
      </c>
      <c r="B308" s="8" t="inlineStr">
        <is>
          <t>镇澜功</t>
        </is>
      </c>
      <c r="C308" s="8" t="inlineStr">
        <is>
          <t>功法</t>
        </is>
      </c>
      <c r="D308" s="8" t="inlineStr">
        <is>
          <t>common</t>
        </is>
      </c>
      <c r="E308" s="8" t="inlineStr">
        <is>
          <t>earth</t>
        </is>
      </c>
      <c r="F308" s="8" t="n">
        <v>4</v>
      </c>
      <c r="G308" s="8" t="inlineStr">
        <is>
          <t>功法成长层</t>
        </is>
      </c>
      <c r="H308" s="8" t="n">
        <v>5</v>
      </c>
      <c r="I308" s="9" t="inlineStr">
        <is>
          <t>修为≥11100；境界≥筑基2层</t>
        </is>
      </c>
      <c r="J308" s="8" t="n">
        <v>11100</v>
      </c>
      <c r="K308" s="8" t="n">
        <v>360</v>
      </c>
      <c r="L308" s="8" t="n">
        <v>210</v>
      </c>
      <c r="M308" s="8" t="inlineStr">
        <is>
          <t>周期触发</t>
        </is>
      </c>
      <c r="N308" s="8" t="inlineStr">
        <is>
          <t>periodicPulse</t>
        </is>
      </c>
      <c r="O308" s="9" t="inlineStr">
        <is>
          <t>消耗所有蓄势，每消耗 1 层蓄势，获得 15 点修为</t>
        </is>
      </c>
      <c r="P308" s="9" t="inlineStr">
        <is>
          <t>onPeriodicPulse</t>
        </is>
      </c>
      <c r="Q308" s="9" t="inlineStr">
        <is>
          <t>consumeBuffStacks</t>
        </is>
      </c>
      <c r="R308" s="9" t="inlineStr">
        <is>
          <t>{"kind":"periodicPulse","periodicPulse":{"intervalSec":22,"label":"消耗所有蓄势，每消耗 1 层蓄势，获得 15 点修为"},"executors":[{"trigger":"onPeriodicPulse","type":"consumeBuffStacks","sourceBuffId":"heavy","consumeRatio":1,"cultivationGainPerStack":15}]}</t>
        </is>
      </c>
    </row>
    <row r="309" ht="32" customHeight="1">
      <c r="A309" s="8" t="n">
        <v>100046</v>
      </c>
      <c r="B309" s="8" t="inlineStr">
        <is>
          <t>镇澜功</t>
        </is>
      </c>
      <c r="C309" s="8" t="inlineStr">
        <is>
          <t>功法</t>
        </is>
      </c>
      <c r="D309" s="8" t="inlineStr">
        <is>
          <t>common</t>
        </is>
      </c>
      <c r="E309" s="8" t="inlineStr">
        <is>
          <t>earth</t>
        </is>
      </c>
      <c r="F309" s="8" t="n">
        <v>4</v>
      </c>
      <c r="G309" s="8" t="inlineStr">
        <is>
          <t>功法成长层</t>
        </is>
      </c>
      <c r="H309" s="8" t="n">
        <v>5</v>
      </c>
      <c r="I309" s="9" t="inlineStr">
        <is>
          <t>修为≥11100；境界≥筑基2层</t>
        </is>
      </c>
      <c r="J309" s="8" t="n">
        <v>11100</v>
      </c>
      <c r="K309" s="8" t="n">
        <v>360</v>
      </c>
      <c r="L309" s="8" t="n">
        <v>210</v>
      </c>
      <c r="M309" s="8" t="inlineStr">
        <is>
          <t>被动效果</t>
        </is>
      </c>
      <c r="N309" s="8" t="inlineStr">
        <is>
          <t>passive</t>
        </is>
      </c>
      <c r="O309" s="9" t="inlineStr">
        <is>
          <t>护甲层数上限 +15</t>
        </is>
      </c>
      <c r="P309" s="9" t="inlineStr"/>
      <c r="Q309" s="9" t="inlineStr">
        <is>
          <t>buffStackCapBonus</t>
        </is>
      </c>
      <c r="R309" s="9" t="inlineStr">
        <is>
          <t>{"kind":"passive","label":"护甲层数上限 +15","passiveEffect":{"type":"buffStackCapBonus","buffId":"armor","value":15,"label":"护甲层数上限 +15"}}</t>
        </is>
      </c>
    </row>
    <row r="310" ht="32" customHeight="1">
      <c r="A310" s="8" t="n">
        <v>100046</v>
      </c>
      <c r="B310" s="8" t="inlineStr">
        <is>
          <t>镇澜功</t>
        </is>
      </c>
      <c r="C310" s="8" t="inlineStr">
        <is>
          <t>功法</t>
        </is>
      </c>
      <c r="D310" s="8" t="inlineStr">
        <is>
          <t>common</t>
        </is>
      </c>
      <c r="E310" s="8" t="inlineStr">
        <is>
          <t>earth</t>
        </is>
      </c>
      <c r="F310" s="8" t="n">
        <v>4</v>
      </c>
      <c r="G310" s="8" t="inlineStr">
        <is>
          <t>功法成长层</t>
        </is>
      </c>
      <c r="H310" s="8" t="n">
        <v>5</v>
      </c>
      <c r="I310" s="9" t="inlineStr">
        <is>
          <t>修为≥11100；境界≥筑基2层</t>
        </is>
      </c>
      <c r="J310" s="8" t="n">
        <v>11100</v>
      </c>
      <c r="K310" s="8" t="n">
        <v>360</v>
      </c>
      <c r="L310" s="8" t="n">
        <v>210</v>
      </c>
      <c r="M310" s="8" t="inlineStr">
        <is>
          <t>被动效果</t>
        </is>
      </c>
      <c r="N310" s="8" t="inlineStr">
        <is>
          <t>passive</t>
        </is>
      </c>
      <c r="O310" s="9" t="inlineStr">
        <is>
          <t>蓄势层数上限 +10</t>
        </is>
      </c>
      <c r="P310" s="9" t="inlineStr"/>
      <c r="Q310" s="9" t="inlineStr">
        <is>
          <t>buffStackCapBonus</t>
        </is>
      </c>
      <c r="R310" s="9" t="inlineStr">
        <is>
          <t>{"kind":"passive","label":"蓄势层数上限 +10","passiveEffect":{"type":"buffStackCapBonus","buffId":"heavy","value":10,"label":"蓄势层数上限 +10"}}</t>
        </is>
      </c>
    </row>
    <row r="311" ht="32" customHeight="1">
      <c r="A311" s="8" t="n">
        <v>100046</v>
      </c>
      <c r="B311" s="8" t="inlineStr">
        <is>
          <t>镇澜功</t>
        </is>
      </c>
      <c r="C311" s="8" t="inlineStr">
        <is>
          <t>功法</t>
        </is>
      </c>
      <c r="D311" s="8" t="inlineStr">
        <is>
          <t>common</t>
        </is>
      </c>
      <c r="E311" s="8" t="inlineStr">
        <is>
          <t>earth</t>
        </is>
      </c>
      <c r="F311" s="8" t="n">
        <v>4</v>
      </c>
      <c r="G311" s="8" t="inlineStr">
        <is>
          <t>功法成长层</t>
        </is>
      </c>
      <c r="H311" s="8" t="n">
        <v>6</v>
      </c>
      <c r="I311" s="9" t="inlineStr">
        <is>
          <t>修为≥35900；境界≥筑基3层</t>
        </is>
      </c>
      <c r="J311" s="8" t="n">
        <v>35900</v>
      </c>
      <c r="K311" s="8" t="n">
        <v>390</v>
      </c>
      <c r="L311" s="8" t="n">
        <v>270</v>
      </c>
      <c r="M311" s="8" t="inlineStr">
        <is>
          <t>周期触发</t>
        </is>
      </c>
      <c r="N311" s="8" t="inlineStr">
        <is>
          <t>periodicPulse</t>
        </is>
      </c>
      <c r="O311" s="9" t="inlineStr">
        <is>
          <t>消耗所有蓄势，每消耗 1 层蓄势，获得 18 点修为</t>
        </is>
      </c>
      <c r="P311" s="9" t="inlineStr">
        <is>
          <t>onPeriodicPulse</t>
        </is>
      </c>
      <c r="Q311" s="9" t="inlineStr">
        <is>
          <t>consumeBuffStacks</t>
        </is>
      </c>
      <c r="R311" s="9" t="inlineStr">
        <is>
          <t>{"kind":"periodicPulse","periodicPulse":{"intervalSec":20,"label":"消耗所有蓄势，每消耗 1 层蓄势，获得 18 点修为"},"executors":[{"trigger":"onPeriodicPulse","type":"consumeBuffStacks","sourceBuffId":"heavy","consumeRatio":1,"cultivationGainPerStack":18}]}</t>
        </is>
      </c>
    </row>
    <row r="312" ht="32" customHeight="1">
      <c r="A312" s="8" t="n">
        <v>100046</v>
      </c>
      <c r="B312" s="8" t="inlineStr">
        <is>
          <t>镇澜功</t>
        </is>
      </c>
      <c r="C312" s="8" t="inlineStr">
        <is>
          <t>功法</t>
        </is>
      </c>
      <c r="D312" s="8" t="inlineStr">
        <is>
          <t>common</t>
        </is>
      </c>
      <c r="E312" s="8" t="inlineStr">
        <is>
          <t>earth</t>
        </is>
      </c>
      <c r="F312" s="8" t="n">
        <v>4</v>
      </c>
      <c r="G312" s="8" t="inlineStr">
        <is>
          <t>功法成长层</t>
        </is>
      </c>
      <c r="H312" s="8" t="n">
        <v>6</v>
      </c>
      <c r="I312" s="9" t="inlineStr">
        <is>
          <t>修为≥35900；境界≥筑基3层</t>
        </is>
      </c>
      <c r="J312" s="8" t="n">
        <v>35900</v>
      </c>
      <c r="K312" s="8" t="n">
        <v>390</v>
      </c>
      <c r="L312" s="8" t="n">
        <v>270</v>
      </c>
      <c r="M312" s="8" t="inlineStr">
        <is>
          <t>被动效果</t>
        </is>
      </c>
      <c r="N312" s="8" t="inlineStr">
        <is>
          <t>passive</t>
        </is>
      </c>
      <c r="O312" s="9" t="inlineStr">
        <is>
          <t>护甲层数上限 +18</t>
        </is>
      </c>
      <c r="P312" s="9" t="inlineStr"/>
      <c r="Q312" s="9" t="inlineStr">
        <is>
          <t>buffStackCapBonus</t>
        </is>
      </c>
      <c r="R312" s="9" t="inlineStr">
        <is>
          <t>{"kind":"passive","label":"护甲层数上限 +18","passiveEffect":{"type":"buffStackCapBonus","buffId":"armor","value":18,"label":"护甲层数上限 +18"}}</t>
        </is>
      </c>
    </row>
    <row r="313" ht="32" customHeight="1">
      <c r="A313" s="8" t="n">
        <v>100046</v>
      </c>
      <c r="B313" s="8" t="inlineStr">
        <is>
          <t>镇澜功</t>
        </is>
      </c>
      <c r="C313" s="8" t="inlineStr">
        <is>
          <t>功法</t>
        </is>
      </c>
      <c r="D313" s="8" t="inlineStr">
        <is>
          <t>common</t>
        </is>
      </c>
      <c r="E313" s="8" t="inlineStr">
        <is>
          <t>earth</t>
        </is>
      </c>
      <c r="F313" s="8" t="n">
        <v>4</v>
      </c>
      <c r="G313" s="8" t="inlineStr">
        <is>
          <t>功法成长层</t>
        </is>
      </c>
      <c r="H313" s="8" t="n">
        <v>6</v>
      </c>
      <c r="I313" s="9" t="inlineStr">
        <is>
          <t>修为≥35900；境界≥筑基3层</t>
        </is>
      </c>
      <c r="J313" s="8" t="n">
        <v>35900</v>
      </c>
      <c r="K313" s="8" t="n">
        <v>390</v>
      </c>
      <c r="L313" s="8" t="n">
        <v>270</v>
      </c>
      <c r="M313" s="8" t="inlineStr">
        <is>
          <t>被动效果</t>
        </is>
      </c>
      <c r="N313" s="8" t="inlineStr">
        <is>
          <t>passive</t>
        </is>
      </c>
      <c r="O313" s="9" t="inlineStr">
        <is>
          <t>蓄势层数上限 +12</t>
        </is>
      </c>
      <c r="P313" s="9" t="inlineStr"/>
      <c r="Q313" s="9" t="inlineStr">
        <is>
          <t>buffStackCapBonus</t>
        </is>
      </c>
      <c r="R313" s="9" t="inlineStr">
        <is>
          <t>{"kind":"passive","label":"蓄势层数上限 +12","passiveEffect":{"type":"buffStackCapBonus","buffId":"heavy","value":12,"label":"蓄势层数上限 +12"}}</t>
        </is>
      </c>
    </row>
    <row r="314" ht="32" customHeight="1">
      <c r="A314" s="8" t="n">
        <v>100047</v>
      </c>
      <c r="B314" s="8" t="inlineStr">
        <is>
          <t>太阴玄霜诀</t>
        </is>
      </c>
      <c r="C314" s="8" t="inlineStr">
        <is>
          <t>功法</t>
        </is>
      </c>
      <c r="D314" s="8" t="inlineStr">
        <is>
          <t>common</t>
        </is>
      </c>
      <c r="E314" s="8" t="inlineStr">
        <is>
          <t>ice</t>
        </is>
      </c>
      <c r="F314" s="8" t="n">
        <v>1</v>
      </c>
      <c r="G314" s="8" t="inlineStr">
        <is>
          <t>基础/顶层</t>
        </is>
      </c>
      <c r="H314" s="8" t="inlineStr"/>
      <c r="I314" s="9" t="inlineStr"/>
      <c r="J314" s="8" t="inlineStr"/>
      <c r="K314" s="8" t="inlineStr"/>
      <c r="L314" s="8" t="inlineStr"/>
      <c r="M314" s="8" t="inlineStr">
        <is>
          <t>条件触发</t>
        </is>
      </c>
      <c r="N314" s="8" t="inlineStr">
        <is>
          <t>triggered</t>
        </is>
      </c>
      <c r="O314" s="9" t="inlineStr">
        <is>
          <t>每消耗 1 层寒冷，获得 2 点修为</t>
        </is>
      </c>
      <c r="P314" s="9" t="inlineStr">
        <is>
          <t>onBuffConsumed</t>
        </is>
      </c>
      <c r="Q314" s="9" t="inlineStr">
        <is>
          <t>gainCultivation</t>
        </is>
      </c>
      <c r="R314" s="9" t="inlineStr">
        <is>
          <t>{"kind":"triggered","label":"&lt;cultivation&gt;每消耗 1 层寒冷，获得 2 点修为&lt;/cultivation&gt;","triggeredEffect":{"trigger":"onBuffConsumed","eventBuffId":"cold","type":"gainCultivation","amount":0,"amountPerEventBuffStack":2,"support":"cultivationOnly"}}</t>
        </is>
      </c>
    </row>
    <row r="315" ht="32" customHeight="1">
      <c r="A315" s="8" t="n">
        <v>100047</v>
      </c>
      <c r="B315" s="8" t="inlineStr">
        <is>
          <t>太阴玄霜诀</t>
        </is>
      </c>
      <c r="C315" s="8" t="inlineStr">
        <is>
          <t>功法</t>
        </is>
      </c>
      <c r="D315" s="8" t="inlineStr">
        <is>
          <t>common</t>
        </is>
      </c>
      <c r="E315" s="8" t="inlineStr">
        <is>
          <t>ice</t>
        </is>
      </c>
      <c r="F315" s="8" t="n">
        <v>2</v>
      </c>
      <c r="G315" s="8" t="inlineStr">
        <is>
          <t>基础/顶层</t>
        </is>
      </c>
      <c r="H315" s="8" t="inlineStr"/>
      <c r="I315" s="9" t="inlineStr"/>
      <c r="J315" s="8" t="inlineStr"/>
      <c r="K315" s="8" t="inlineStr"/>
      <c r="L315" s="8" t="inlineStr"/>
      <c r="M315" s="8" t="inlineStr">
        <is>
          <t>被动效果</t>
        </is>
      </c>
      <c r="N315" s="8" t="inlineStr">
        <is>
          <t>passive</t>
        </is>
      </c>
      <c r="O315" s="9" t="inlineStr">
        <is>
          <t>寒冷层数上限 +5</t>
        </is>
      </c>
      <c r="P315" s="9" t="inlineStr"/>
      <c r="Q315" s="9" t="inlineStr">
        <is>
          <t>buffStackCapBonus</t>
        </is>
      </c>
      <c r="R315" s="9" t="inlineStr">
        <is>
          <t>{"kind":"passive","label":"寒冷层数上限 +5","passiveEffect":{"type":"buffStackCapBonus","buffId":"cold","value":5,"label":"寒冷层数上限 +5"}}</t>
        </is>
      </c>
    </row>
    <row r="316" ht="32" customHeight="1">
      <c r="A316" s="8" t="n">
        <v>100047</v>
      </c>
      <c r="B316" s="8" t="inlineStr">
        <is>
          <t>太阴玄霜诀</t>
        </is>
      </c>
      <c r="C316" s="8" t="inlineStr">
        <is>
          <t>功法</t>
        </is>
      </c>
      <c r="D316" s="8" t="inlineStr">
        <is>
          <t>common</t>
        </is>
      </c>
      <c r="E316" s="8" t="inlineStr">
        <is>
          <t>ice</t>
        </is>
      </c>
      <c r="F316" s="8" t="n">
        <v>3</v>
      </c>
      <c r="G316" s="8" t="inlineStr">
        <is>
          <t>功法成长层</t>
        </is>
      </c>
      <c r="H316" s="8" t="n">
        <v>1</v>
      </c>
      <c r="I316" s="9" t="inlineStr">
        <is>
          <t>无</t>
        </is>
      </c>
      <c r="J316" s="8" t="inlineStr"/>
      <c r="K316" s="8" t="inlineStr"/>
      <c r="L316" s="8" t="n">
        <v>20</v>
      </c>
      <c r="M316" s="8" t="inlineStr">
        <is>
          <t>条件触发</t>
        </is>
      </c>
      <c r="N316" s="8" t="inlineStr">
        <is>
          <t>triggered</t>
        </is>
      </c>
      <c r="O316" s="9" t="inlineStr">
        <is>
          <t>每消耗 1 层寒冷，获得 2 点修为</t>
        </is>
      </c>
      <c r="P316" s="9" t="inlineStr">
        <is>
          <t>onBuffConsumed</t>
        </is>
      </c>
      <c r="Q316" s="9" t="inlineStr">
        <is>
          <t>gainCultivation</t>
        </is>
      </c>
      <c r="R316" s="9" t="inlineStr">
        <is>
          <t>{"kind":"triggered","label":"&lt;cultivation&gt;每消耗 1 层寒冷，获得 2 点修为&lt;/cultivation&gt;","triggeredEffect":{"trigger":"onBuffConsumed","eventBuffId":"cold","type":"gainCultivation","amount":0,"amountPerEventBuffStack":2,"support":"cultivationOnly"}}</t>
        </is>
      </c>
    </row>
    <row r="317" ht="32" customHeight="1">
      <c r="A317" s="8" t="n">
        <v>100047</v>
      </c>
      <c r="B317" s="8" t="inlineStr">
        <is>
          <t>太阴玄霜诀</t>
        </is>
      </c>
      <c r="C317" s="8" t="inlineStr">
        <is>
          <t>功法</t>
        </is>
      </c>
      <c r="D317" s="8" t="inlineStr">
        <is>
          <t>common</t>
        </is>
      </c>
      <c r="E317" s="8" t="inlineStr">
        <is>
          <t>ice</t>
        </is>
      </c>
      <c r="F317" s="8" t="n">
        <v>3</v>
      </c>
      <c r="G317" s="8" t="inlineStr">
        <is>
          <t>功法成长层</t>
        </is>
      </c>
      <c r="H317" s="8" t="n">
        <v>1</v>
      </c>
      <c r="I317" s="9" t="inlineStr">
        <is>
          <t>无</t>
        </is>
      </c>
      <c r="J317" s="8" t="inlineStr"/>
      <c r="K317" s="8" t="inlineStr"/>
      <c r="L317" s="8" t="n">
        <v>20</v>
      </c>
      <c r="M317" s="8" t="inlineStr">
        <is>
          <t>被动效果</t>
        </is>
      </c>
      <c r="N317" s="8" t="inlineStr">
        <is>
          <t>passive</t>
        </is>
      </c>
      <c r="O317" s="9" t="inlineStr">
        <is>
          <t>寒冷层数上限 +5</t>
        </is>
      </c>
      <c r="P317" s="9" t="inlineStr"/>
      <c r="Q317" s="9" t="inlineStr">
        <is>
          <t>buffStackCapBonus</t>
        </is>
      </c>
      <c r="R317" s="9" t="inlineStr">
        <is>
          <t>{"kind":"passive","label":"寒冷层数上限 +5","passiveEffect":{"type":"buffStackCapBonus","buffId":"cold","value":5,"label":"寒冷层数上限 +5"}}</t>
        </is>
      </c>
    </row>
    <row r="318" ht="32" customHeight="1">
      <c r="A318" s="8" t="n">
        <v>100047</v>
      </c>
      <c r="B318" s="8" t="inlineStr">
        <is>
          <t>太阴玄霜诀</t>
        </is>
      </c>
      <c r="C318" s="8" t="inlineStr">
        <is>
          <t>功法</t>
        </is>
      </c>
      <c r="D318" s="8" t="inlineStr">
        <is>
          <t>common</t>
        </is>
      </c>
      <c r="E318" s="8" t="inlineStr">
        <is>
          <t>ice</t>
        </is>
      </c>
      <c r="F318" s="8" t="n">
        <v>3</v>
      </c>
      <c r="G318" s="8" t="inlineStr">
        <is>
          <t>功法成长层</t>
        </is>
      </c>
      <c r="H318" s="8" t="n">
        <v>2</v>
      </c>
      <c r="I318" s="9" t="inlineStr">
        <is>
          <t>修为≥120；境界≥炼气层</t>
        </is>
      </c>
      <c r="J318" s="8" t="n">
        <v>120</v>
      </c>
      <c r="K318" s="8" t="n">
        <v>200</v>
      </c>
      <c r="L318" s="8" t="n">
        <v>85</v>
      </c>
      <c r="M318" s="8" t="inlineStr">
        <is>
          <t>条件触发</t>
        </is>
      </c>
      <c r="N318" s="8" t="inlineStr">
        <is>
          <t>triggered</t>
        </is>
      </c>
      <c r="O318" s="9" t="inlineStr">
        <is>
          <t>每消耗 1 层寒冷，获得 4 点修为</t>
        </is>
      </c>
      <c r="P318" s="9" t="inlineStr">
        <is>
          <t>onBuffConsumed</t>
        </is>
      </c>
      <c r="Q318" s="9" t="inlineStr">
        <is>
          <t>gainCultivation</t>
        </is>
      </c>
      <c r="R318" s="9" t="inlineStr">
        <is>
          <t>{"kind":"triggered","label":"&lt;cultivation&gt;每消耗 1 层寒冷，获得 4 点修为&lt;/cultivation&gt;","triggeredEffect":{"trigger":"onBuffConsumed","eventBuffId":"cold","type":"gainCultivation","amount":0,"amountPerEventBuffStack":4,"support":"cultivationOnly"}}</t>
        </is>
      </c>
    </row>
    <row r="319" ht="32" customHeight="1">
      <c r="A319" s="8" t="n">
        <v>100047</v>
      </c>
      <c r="B319" s="8" t="inlineStr">
        <is>
          <t>太阴玄霜诀</t>
        </is>
      </c>
      <c r="C319" s="8" t="inlineStr">
        <is>
          <t>功法</t>
        </is>
      </c>
      <c r="D319" s="8" t="inlineStr">
        <is>
          <t>common</t>
        </is>
      </c>
      <c r="E319" s="8" t="inlineStr">
        <is>
          <t>ice</t>
        </is>
      </c>
      <c r="F319" s="8" t="n">
        <v>3</v>
      </c>
      <c r="G319" s="8" t="inlineStr">
        <is>
          <t>功法成长层</t>
        </is>
      </c>
      <c r="H319" s="8" t="n">
        <v>2</v>
      </c>
      <c r="I319" s="9" t="inlineStr">
        <is>
          <t>修为≥120；境界≥炼气层</t>
        </is>
      </c>
      <c r="J319" s="8" t="n">
        <v>120</v>
      </c>
      <c r="K319" s="8" t="n">
        <v>200</v>
      </c>
      <c r="L319" s="8" t="n">
        <v>85</v>
      </c>
      <c r="M319" s="8" t="inlineStr">
        <is>
          <t>被动效果</t>
        </is>
      </c>
      <c r="N319" s="8" t="inlineStr">
        <is>
          <t>passive</t>
        </is>
      </c>
      <c r="O319" s="9" t="inlineStr">
        <is>
          <t>寒冷层数上限 +10</t>
        </is>
      </c>
      <c r="P319" s="9" t="inlineStr"/>
      <c r="Q319" s="9" t="inlineStr">
        <is>
          <t>buffStackCapBonus</t>
        </is>
      </c>
      <c r="R319" s="9" t="inlineStr">
        <is>
          <t>{"kind":"passive","label":"寒冷层数上限 +10","passiveEffect":{"type":"buffStackCapBonus","buffId":"cold","value":10,"label":"寒冷层数上限 +10"}}</t>
        </is>
      </c>
    </row>
    <row r="320" ht="32" customHeight="1">
      <c r="A320" s="8" t="n">
        <v>100047</v>
      </c>
      <c r="B320" s="8" t="inlineStr">
        <is>
          <t>太阴玄霜诀</t>
        </is>
      </c>
      <c r="C320" s="8" t="inlineStr">
        <is>
          <t>功法</t>
        </is>
      </c>
      <c r="D320" s="8" t="inlineStr">
        <is>
          <t>common</t>
        </is>
      </c>
      <c r="E320" s="8" t="inlineStr">
        <is>
          <t>ice</t>
        </is>
      </c>
      <c r="F320" s="8" t="n">
        <v>3</v>
      </c>
      <c r="G320" s="8" t="inlineStr">
        <is>
          <t>功法成长层</t>
        </is>
      </c>
      <c r="H320" s="8" t="n">
        <v>3</v>
      </c>
      <c r="I320" s="9" t="inlineStr">
        <is>
          <t>修为≥740；境界≥炼气层</t>
        </is>
      </c>
      <c r="J320" s="8" t="n">
        <v>740</v>
      </c>
      <c r="K320" s="8" t="n">
        <v>220</v>
      </c>
      <c r="L320" s="8" t="n">
        <v>120</v>
      </c>
      <c r="M320" s="8" t="inlineStr">
        <is>
          <t>条件触发</t>
        </is>
      </c>
      <c r="N320" s="8" t="inlineStr">
        <is>
          <t>triggered</t>
        </is>
      </c>
      <c r="O320" s="9" t="inlineStr">
        <is>
          <t>每消耗 1 层寒冷，获得 6 点修为</t>
        </is>
      </c>
      <c r="P320" s="9" t="inlineStr">
        <is>
          <t>onBuffConsumed</t>
        </is>
      </c>
      <c r="Q320" s="9" t="inlineStr">
        <is>
          <t>gainCultivation</t>
        </is>
      </c>
      <c r="R320" s="9" t="inlineStr">
        <is>
          <t>{"kind":"triggered","label":"&lt;cultivation&gt;每消耗 1 层寒冷，获得 6 点修为&lt;/cultivation&gt;","triggeredEffect":{"trigger":"onBuffConsumed","eventBuffId":"cold","type":"gainCultivation","amount":0,"amountPerEventBuffStack":6,"support":"cultivationOnly"}}</t>
        </is>
      </c>
    </row>
    <row r="321" ht="32" customHeight="1">
      <c r="A321" s="8" t="n">
        <v>100047</v>
      </c>
      <c r="B321" s="8" t="inlineStr">
        <is>
          <t>太阴玄霜诀</t>
        </is>
      </c>
      <c r="C321" s="8" t="inlineStr">
        <is>
          <t>功法</t>
        </is>
      </c>
      <c r="D321" s="8" t="inlineStr">
        <is>
          <t>common</t>
        </is>
      </c>
      <c r="E321" s="8" t="inlineStr">
        <is>
          <t>ice</t>
        </is>
      </c>
      <c r="F321" s="8" t="n">
        <v>3</v>
      </c>
      <c r="G321" s="8" t="inlineStr">
        <is>
          <t>功法成长层</t>
        </is>
      </c>
      <c r="H321" s="8" t="n">
        <v>3</v>
      </c>
      <c r="I321" s="9" t="inlineStr">
        <is>
          <t>修为≥740；境界≥炼气层</t>
        </is>
      </c>
      <c r="J321" s="8" t="n">
        <v>740</v>
      </c>
      <c r="K321" s="8" t="n">
        <v>220</v>
      </c>
      <c r="L321" s="8" t="n">
        <v>120</v>
      </c>
      <c r="M321" s="8" t="inlineStr">
        <is>
          <t>被动效果</t>
        </is>
      </c>
      <c r="N321" s="8" t="inlineStr">
        <is>
          <t>passive</t>
        </is>
      </c>
      <c r="O321" s="9" t="inlineStr">
        <is>
          <t>寒冷层数上限 +15</t>
        </is>
      </c>
      <c r="P321" s="9" t="inlineStr"/>
      <c r="Q321" s="9" t="inlineStr">
        <is>
          <t>buffStackCapBonus</t>
        </is>
      </c>
      <c r="R321" s="9" t="inlineStr">
        <is>
          <t>{"kind":"passive","label":"寒冷层数上限 +15","passiveEffect":{"type":"buffStackCapBonus","buffId":"cold","value":15,"label":"寒冷层数上限 +15"}}</t>
        </is>
      </c>
    </row>
    <row r="322" ht="32" customHeight="1">
      <c r="A322" s="8" t="n">
        <v>100047</v>
      </c>
      <c r="B322" s="8" t="inlineStr">
        <is>
          <t>太阴玄霜诀</t>
        </is>
      </c>
      <c r="C322" s="8" t="inlineStr">
        <is>
          <t>功法</t>
        </is>
      </c>
      <c r="D322" s="8" t="inlineStr">
        <is>
          <t>common</t>
        </is>
      </c>
      <c r="E322" s="8" t="inlineStr">
        <is>
          <t>ice</t>
        </is>
      </c>
      <c r="F322" s="8" t="n">
        <v>3</v>
      </c>
      <c r="G322" s="8" t="inlineStr">
        <is>
          <t>功法成长层</t>
        </is>
      </c>
      <c r="H322" s="8" t="n">
        <v>4</v>
      </c>
      <c r="I322" s="9" t="inlineStr">
        <is>
          <t>修为≥3550；境界≥炼气层</t>
        </is>
      </c>
      <c r="J322" s="8" t="n">
        <v>3550</v>
      </c>
      <c r="K322" s="8" t="n">
        <v>285</v>
      </c>
      <c r="L322" s="8" t="n">
        <v>155</v>
      </c>
      <c r="M322" s="8" t="inlineStr">
        <is>
          <t>条件触发</t>
        </is>
      </c>
      <c r="N322" s="8" t="inlineStr">
        <is>
          <t>triggered</t>
        </is>
      </c>
      <c r="O322" s="9" t="inlineStr">
        <is>
          <t>每消耗 1 层寒冷，获得 8 点修为</t>
        </is>
      </c>
      <c r="P322" s="9" t="inlineStr">
        <is>
          <t>onBuffConsumed</t>
        </is>
      </c>
      <c r="Q322" s="9" t="inlineStr">
        <is>
          <t>gainCultivation</t>
        </is>
      </c>
      <c r="R322" s="9" t="inlineStr">
        <is>
          <t>{"kind":"triggered","label":"&lt;cultivation&gt;每消耗 1 层寒冷，获得 8 点修为&lt;/cultivation&gt;","triggeredEffect":{"trigger":"onBuffConsumed","eventBuffId":"cold","type":"gainCultivation","amount":0,"amountPerEventBuffStack":8,"support":"cultivationOnly"}}</t>
        </is>
      </c>
    </row>
    <row r="323" ht="32" customHeight="1">
      <c r="A323" s="8" t="n">
        <v>100047</v>
      </c>
      <c r="B323" s="8" t="inlineStr">
        <is>
          <t>太阴玄霜诀</t>
        </is>
      </c>
      <c r="C323" s="8" t="inlineStr">
        <is>
          <t>功法</t>
        </is>
      </c>
      <c r="D323" s="8" t="inlineStr">
        <is>
          <t>common</t>
        </is>
      </c>
      <c r="E323" s="8" t="inlineStr">
        <is>
          <t>ice</t>
        </is>
      </c>
      <c r="F323" s="8" t="n">
        <v>3</v>
      </c>
      <c r="G323" s="8" t="inlineStr">
        <is>
          <t>功法成长层</t>
        </is>
      </c>
      <c r="H323" s="8" t="n">
        <v>4</v>
      </c>
      <c r="I323" s="9" t="inlineStr">
        <is>
          <t>修为≥3550；境界≥炼气层</t>
        </is>
      </c>
      <c r="J323" s="8" t="n">
        <v>3550</v>
      </c>
      <c r="K323" s="8" t="n">
        <v>285</v>
      </c>
      <c r="L323" s="8" t="n">
        <v>155</v>
      </c>
      <c r="M323" s="8" t="inlineStr">
        <is>
          <t>被动效果</t>
        </is>
      </c>
      <c r="N323" s="8" t="inlineStr">
        <is>
          <t>passive</t>
        </is>
      </c>
      <c r="O323" s="9" t="inlineStr">
        <is>
          <t>寒冷层数上限 +20</t>
        </is>
      </c>
      <c r="P323" s="9" t="inlineStr"/>
      <c r="Q323" s="9" t="inlineStr">
        <is>
          <t>buffStackCapBonus</t>
        </is>
      </c>
      <c r="R323" s="9" t="inlineStr">
        <is>
          <t>{"kind":"passive","label":"寒冷层数上限 +20","passiveEffect":{"type":"buffStackCapBonus","buffId":"cold","value":20,"label":"寒冷层数上限 +20"}}</t>
        </is>
      </c>
    </row>
    <row r="324" ht="32" customHeight="1">
      <c r="A324" s="8" t="n">
        <v>300001</v>
      </c>
      <c r="B324" s="8" t="inlineStr">
        <is>
          <t>硬气丹</t>
        </is>
      </c>
      <c r="C324" s="8" t="inlineStr">
        <is>
          <t>丹药</t>
        </is>
      </c>
      <c r="D324" s="8" t="inlineStr">
        <is>
          <t>common</t>
        </is>
      </c>
      <c r="E324" s="8" t="inlineStr">
        <is>
          <t>earth</t>
        </is>
      </c>
      <c r="F324" s="8" t="n">
        <v>1</v>
      </c>
      <c r="G324" s="8" t="inlineStr">
        <is>
          <t>基础/顶层</t>
        </is>
      </c>
      <c r="H324" s="8" t="inlineStr"/>
      <c r="I324" s="9" t="inlineStr"/>
      <c r="J324" s="8" t="inlineStr"/>
      <c r="K324" s="8" t="inlineStr"/>
      <c r="L324" s="8" t="inlineStr"/>
      <c r="M324" s="8" t="inlineStr">
        <is>
          <t>消耗品效果</t>
        </is>
      </c>
      <c r="N324" s="8" t="inlineStr">
        <is>
          <t>consumable</t>
        </is>
      </c>
      <c r="O324" s="9" t="inlineStr">
        <is>
          <t>坚硬上限永久 +1</t>
        </is>
      </c>
      <c r="P324" s="9" t="inlineStr">
        <is>
          <t>onConsumableExhausted</t>
        </is>
      </c>
      <c r="Q324" s="9" t="inlineStr">
        <is>
          <t>increaseBuffStackCap</t>
        </is>
      </c>
      <c r="R324" s="9" t="inlineStr">
        <is>
          <t>{"kind":"consumable","consumable":{"immediate":true,"resistance":{"maxEffectiveUses":10},"label":"坚硬上限永久 +1"},"executors":[{"trigger":"onConsumableExhausted","type":"increaseBuffStackCap","buffId":"sturdy","delta":1,"label":"坚硬上限永久 +1"}],"label":"坚硬上限永久 +1"}</t>
        </is>
      </c>
    </row>
    <row r="325" ht="32" customHeight="1">
      <c r="A325" s="8" t="n">
        <v>300002</v>
      </c>
      <c r="B325" s="8" t="inlineStr">
        <is>
          <t>温炉丹</t>
        </is>
      </c>
      <c r="C325" s="8" t="inlineStr">
        <is>
          <t>丹药</t>
        </is>
      </c>
      <c r="D325" s="8" t="inlineStr">
        <is>
          <t>common</t>
        </is>
      </c>
      <c r="E325" s="8" t="inlineStr">
        <is>
          <t>fire</t>
        </is>
      </c>
      <c r="F325" s="8" t="n">
        <v>1</v>
      </c>
      <c r="G325" s="8" t="inlineStr">
        <is>
          <t>基础/顶层</t>
        </is>
      </c>
      <c r="H325" s="8" t="inlineStr"/>
      <c r="I325" s="9" t="inlineStr"/>
      <c r="J325" s="8" t="inlineStr"/>
      <c r="K325" s="8" t="inlineStr"/>
      <c r="L325" s="8" t="inlineStr"/>
      <c r="M325" s="8" t="inlineStr">
        <is>
          <t>消耗品效果</t>
        </is>
      </c>
      <c r="N325" s="8" t="inlineStr">
        <is>
          <t>consumable</t>
        </is>
      </c>
      <c r="O325" s="9" t="inlineStr">
        <is>
          <t>炎热上限永久 +1</t>
        </is>
      </c>
      <c r="P325" s="9" t="inlineStr">
        <is>
          <t>onConsumableExhausted</t>
        </is>
      </c>
      <c r="Q325" s="9" t="inlineStr">
        <is>
          <t>increaseBuffStackCap</t>
        </is>
      </c>
      <c r="R325" s="9" t="inlineStr">
        <is>
          <t>{"kind":"consumable","consumable":{"immediate":true,"resistance":{"maxEffectiveUses":10},"label":"炎热上限永久 +1"},"executors":[{"trigger":"onConsumableExhausted","type":"increaseBuffStackCap","buffId":"heat","delta":1,"label":"炎热上限永久 +1"}],"label":"炎热上限永久 +1"}</t>
        </is>
      </c>
    </row>
    <row r="326" ht="32" customHeight="1">
      <c r="A326" s="8" t="n">
        <v>300003</v>
      </c>
      <c r="B326" s="8" t="inlineStr">
        <is>
          <t>温脉露丸</t>
        </is>
      </c>
      <c r="C326" s="8" t="inlineStr">
        <is>
          <t>丹药</t>
        </is>
      </c>
      <c r="D326" s="8" t="inlineStr">
        <is>
          <t>common</t>
        </is>
      </c>
      <c r="E326" s="8" t="inlineStr">
        <is>
          <t>none</t>
        </is>
      </c>
      <c r="F326" s="8" t="n">
        <v>1</v>
      </c>
      <c r="G326" s="8" t="inlineStr">
        <is>
          <t>基础/顶层</t>
        </is>
      </c>
      <c r="H326" s="8" t="inlineStr"/>
      <c r="I326" s="9" t="inlineStr"/>
      <c r="J326" s="8" t="inlineStr"/>
      <c r="K326" s="8" t="inlineStr"/>
      <c r="L326" s="8" t="inlineStr"/>
      <c r="M326" s="8" t="inlineStr">
        <is>
          <t>消耗品效果</t>
        </is>
      </c>
      <c r="N326" s="8" t="inlineStr">
        <is>
          <t>consumable</t>
        </is>
      </c>
      <c r="O326" s="9" t="inlineStr">
        <is>
          <t>气血上限永久 +3</t>
        </is>
      </c>
      <c r="P326" s="9" t="inlineStr">
        <is>
          <t>onConsumableExhausted</t>
        </is>
      </c>
      <c r="Q326" s="9" t="inlineStr">
        <is>
          <t>increasePrimaryStatMax</t>
        </is>
      </c>
      <c r="R326" s="9" t="inlineStr">
        <is>
          <t>{"kind":"consumable","consumable":{"immediate":true,"resistance":{"maxEffectiveUses":10},"label":"气血上限永久 +3"},"executors":[{"trigger":"onConsumableExhausted","type":"increasePrimaryStatMax","stat":"health","delta":3,"label":"气血上限永久 +3"}],"label":"气血上限永久 +3"}</t>
        </is>
      </c>
    </row>
    <row r="327" ht="32" customHeight="1">
      <c r="A327" s="8" t="n">
        <v>300004</v>
      </c>
      <c r="B327" s="8" t="inlineStr">
        <is>
          <t>固元丸</t>
        </is>
      </c>
      <c r="C327" s="8" t="inlineStr">
        <is>
          <t>丹药</t>
        </is>
      </c>
      <c r="D327" s="8" t="inlineStr">
        <is>
          <t>common</t>
        </is>
      </c>
      <c r="E327" s="8" t="inlineStr">
        <is>
          <t>none</t>
        </is>
      </c>
      <c r="F327" s="8" t="n">
        <v>1</v>
      </c>
      <c r="G327" s="8" t="inlineStr">
        <is>
          <t>基础/顶层</t>
        </is>
      </c>
      <c r="H327" s="8" t="inlineStr"/>
      <c r="I327" s="9" t="inlineStr"/>
      <c r="J327" s="8" t="inlineStr"/>
      <c r="K327" s="8" t="inlineStr"/>
      <c r="L327" s="8" t="inlineStr"/>
      <c r="M327" s="8" t="inlineStr">
        <is>
          <t>消耗品效果</t>
        </is>
      </c>
      <c r="N327" s="8" t="inlineStr">
        <is>
          <t>consumable</t>
        </is>
      </c>
      <c r="O327" s="9" t="inlineStr">
        <is>
          <t>体力上限永久 +3</t>
        </is>
      </c>
      <c r="P327" s="9" t="inlineStr">
        <is>
          <t>onConsumableExhausted</t>
        </is>
      </c>
      <c r="Q327" s="9" t="inlineStr">
        <is>
          <t>increasePrimaryStatMax</t>
        </is>
      </c>
      <c r="R327" s="9" t="inlineStr">
        <is>
          <t>{"kind":"consumable","consumable":{"immediate":true,"resistance":{"maxEffectiveUses":10},"label":"体力上限永久 +3"},"executors":[{"trigger":"onConsumableExhausted","type":"increasePrimaryStatMax","stat":"stamina","delta":3,"label":"体力上限永久 +3"}],"label":"体力上限永久 +3"}</t>
        </is>
      </c>
    </row>
    <row r="328" ht="32" customHeight="1">
      <c r="A328" s="8" t="n">
        <v>300005</v>
      </c>
      <c r="B328" s="8" t="inlineStr">
        <is>
          <t>聚气丹</t>
        </is>
      </c>
      <c r="C328" s="8" t="inlineStr">
        <is>
          <t>丹药</t>
        </is>
      </c>
      <c r="D328" s="8" t="inlineStr">
        <is>
          <t>common</t>
        </is>
      </c>
      <c r="E328" s="8" t="inlineStr">
        <is>
          <t>none</t>
        </is>
      </c>
      <c r="F328" s="8" t="n">
        <v>1</v>
      </c>
      <c r="G328" s="8" t="inlineStr">
        <is>
          <t>基础/顶层</t>
        </is>
      </c>
      <c r="H328" s="8" t="inlineStr"/>
      <c r="I328" s="9" t="inlineStr"/>
      <c r="J328" s="8" t="inlineStr"/>
      <c r="K328" s="8" t="inlineStr"/>
      <c r="L328" s="8" t="inlineStr"/>
      <c r="M328" s="8" t="inlineStr">
        <is>
          <t>消耗品效果</t>
        </is>
      </c>
      <c r="N328" s="8" t="inlineStr">
        <is>
          <t>consumable</t>
        </is>
      </c>
      <c r="O328" s="9" t="inlineStr">
        <is>
          <t>法力上限永久 +3</t>
        </is>
      </c>
      <c r="P328" s="9" t="inlineStr">
        <is>
          <t>onConsumableExhausted</t>
        </is>
      </c>
      <c r="Q328" s="9" t="inlineStr">
        <is>
          <t>increasePrimaryStatMax</t>
        </is>
      </c>
      <c r="R328" s="9" t="inlineStr">
        <is>
          <t>{"kind":"consumable","consumable":{"immediate":true,"resistance":{"maxEffectiveUses":10},"label":"法力上限永久 +3"},"executors":[{"trigger":"onConsumableExhausted","type":"increasePrimaryStatMax","stat":"mana","delta":3,"label":"法力上限永久 +3"}],"label":"法力上限永久 +3"}</t>
        </is>
      </c>
    </row>
    <row r="329" ht="32" customHeight="1">
      <c r="A329" s="8" t="n">
        <v>300011</v>
      </c>
      <c r="B329" s="8" t="inlineStr">
        <is>
          <t>云纹聚气丹</t>
        </is>
      </c>
      <c r="C329" s="8" t="inlineStr">
        <is>
          <t>丹药</t>
        </is>
      </c>
      <c r="D329" s="8" t="inlineStr">
        <is>
          <t>spirit</t>
        </is>
      </c>
      <c r="E329" s="8" t="inlineStr">
        <is>
          <t>none</t>
        </is>
      </c>
      <c r="F329" s="8" t="n">
        <v>1</v>
      </c>
      <c r="G329" s="8" t="inlineStr">
        <is>
          <t>基础/顶层</t>
        </is>
      </c>
      <c r="H329" s="8" t="inlineStr"/>
      <c r="I329" s="9" t="inlineStr"/>
      <c r="J329" s="8" t="inlineStr"/>
      <c r="K329" s="8" t="inlineStr"/>
      <c r="L329" s="8" t="inlineStr"/>
      <c r="M329" s="8" t="inlineStr">
        <is>
          <t>消耗品效果</t>
        </is>
      </c>
      <c r="N329" s="8" t="inlineStr">
        <is>
          <t>consumable</t>
        </is>
      </c>
      <c r="O329" s="9" t="inlineStr">
        <is>
          <t>法力上限永久 +30；法力上限 +30</t>
        </is>
      </c>
      <c r="P329" s="9" t="inlineStr">
        <is>
          <t>onConsumableExhausted</t>
        </is>
      </c>
      <c r="Q329" s="9" t="inlineStr">
        <is>
          <t>increasePrimaryStatMax</t>
        </is>
      </c>
      <c r="R329" s="9" t="inlineStr">
        <is>
          <t>{"kind":"consumable","consumable":{"immediate":true,"resistance":{"maxEffectiveUses":10},"label":"法力上限永久 +30"},"executors":[{"trigger":"onConsumableExhausted","type":"increasePrimaryStatMax","stat":"mana","delta":30,"label":"法力上限 +30"}],"label":"法力上限永久 +30"}</t>
        </is>
      </c>
    </row>
    <row r="330" ht="32" customHeight="1">
      <c r="A330" s="8" t="n">
        <v>300012</v>
      </c>
      <c r="B330" s="8" t="inlineStr">
        <is>
          <t>固元壮体丹</t>
        </is>
      </c>
      <c r="C330" s="8" t="inlineStr">
        <is>
          <t>丹药</t>
        </is>
      </c>
      <c r="D330" s="8" t="inlineStr">
        <is>
          <t>spirit</t>
        </is>
      </c>
      <c r="E330" s="8" t="inlineStr">
        <is>
          <t>none</t>
        </is>
      </c>
      <c r="F330" s="8" t="n">
        <v>1</v>
      </c>
      <c r="G330" s="8" t="inlineStr">
        <is>
          <t>基础/顶层</t>
        </is>
      </c>
      <c r="H330" s="8" t="inlineStr"/>
      <c r="I330" s="9" t="inlineStr"/>
      <c r="J330" s="8" t="inlineStr"/>
      <c r="K330" s="8" t="inlineStr"/>
      <c r="L330" s="8" t="inlineStr"/>
      <c r="M330" s="8" t="inlineStr">
        <is>
          <t>消耗品效果</t>
        </is>
      </c>
      <c r="N330" s="8" t="inlineStr">
        <is>
          <t>consumable</t>
        </is>
      </c>
      <c r="O330" s="9" t="inlineStr">
        <is>
          <t>体力上限永久 +30；体力上限 +30</t>
        </is>
      </c>
      <c r="P330" s="9" t="inlineStr">
        <is>
          <t>onConsumableExhausted</t>
        </is>
      </c>
      <c r="Q330" s="9" t="inlineStr">
        <is>
          <t>increasePrimaryStatMax</t>
        </is>
      </c>
      <c r="R330" s="9" t="inlineStr">
        <is>
          <t>{"kind":"consumable","consumable":{"immediate":true,"resistance":{"maxEffectiveUses":10},"label":"体力上限永久 +30"},"executors":[{"trigger":"onConsumableExhausted","type":"increasePrimaryStatMax","stat":"stamina","delta":30,"label":"体力上限 +30"}],"label":"体力上限永久 +30"}</t>
        </is>
      </c>
    </row>
    <row r="331" ht="32" customHeight="1">
      <c r="A331" s="8" t="n">
        <v>300013</v>
      </c>
      <c r="B331" s="8" t="inlineStr">
        <is>
          <t>凝血丹</t>
        </is>
      </c>
      <c r="C331" s="8" t="inlineStr">
        <is>
          <t>丹药</t>
        </is>
      </c>
      <c r="D331" s="8" t="inlineStr">
        <is>
          <t>spirit</t>
        </is>
      </c>
      <c r="E331" s="8" t="inlineStr">
        <is>
          <t>none</t>
        </is>
      </c>
      <c r="F331" s="8" t="n">
        <v>1</v>
      </c>
      <c r="G331" s="8" t="inlineStr">
        <is>
          <t>基础/顶层</t>
        </is>
      </c>
      <c r="H331" s="8" t="inlineStr"/>
      <c r="I331" s="9" t="inlineStr"/>
      <c r="J331" s="8" t="inlineStr"/>
      <c r="K331" s="8" t="inlineStr"/>
      <c r="L331" s="8" t="inlineStr"/>
      <c r="M331" s="8" t="inlineStr">
        <is>
          <t>消耗品效果</t>
        </is>
      </c>
      <c r="N331" s="8" t="inlineStr">
        <is>
          <t>consumable</t>
        </is>
      </c>
      <c r="O331" s="9" t="inlineStr">
        <is>
          <t>精血上限永久 +6；精血上限 +6</t>
        </is>
      </c>
      <c r="P331" s="9" t="inlineStr">
        <is>
          <t>onConsumableExhausted</t>
        </is>
      </c>
      <c r="Q331" s="9" t="inlineStr">
        <is>
          <t>increasePrimaryStatMax</t>
        </is>
      </c>
      <c r="R331" s="9" t="inlineStr">
        <is>
          <t>{"kind":"consumable","consumable":{"immediate":true,"resistance":{"maxEffectiveUses":5},"label":"精血上限永久 +6"},"executors":[{"trigger":"onConsumableExhausted","type":"increasePrimaryStatMax","stat":"bloodEssence","delta":6,"label":"精血上限 +6"}],"label":"精血上限永久 +6"}</t>
        </is>
      </c>
    </row>
    <row r="332" ht="32" customHeight="1">
      <c r="A332" s="8" t="n">
        <v>300015</v>
      </c>
      <c r="B332" s="8" t="inlineStr">
        <is>
          <t>紫极蕴神丹</t>
        </is>
      </c>
      <c r="C332" s="8" t="inlineStr">
        <is>
          <t>丹药</t>
        </is>
      </c>
      <c r="D332" s="8" t="inlineStr">
        <is>
          <t>spirit</t>
        </is>
      </c>
      <c r="E332" s="8" t="inlineStr">
        <is>
          <t>none</t>
        </is>
      </c>
      <c r="F332" s="8" t="n">
        <v>1</v>
      </c>
      <c r="G332" s="8" t="inlineStr">
        <is>
          <t>基础/顶层</t>
        </is>
      </c>
      <c r="H332" s="8" t="inlineStr"/>
      <c r="I332" s="9" t="inlineStr"/>
      <c r="J332" s="8" t="inlineStr"/>
      <c r="K332" s="8" t="inlineStr"/>
      <c r="L332" s="8" t="inlineStr"/>
      <c r="M332" s="8" t="inlineStr">
        <is>
          <t>消耗品效果</t>
        </is>
      </c>
      <c r="N332" s="8" t="inlineStr">
        <is>
          <t>consumable</t>
        </is>
      </c>
      <c r="O332" s="9" t="inlineStr">
        <is>
          <t>神识上限永久 +6；神识上限 +6</t>
        </is>
      </c>
      <c r="P332" s="9" t="inlineStr">
        <is>
          <t>onConsumableExhausted</t>
        </is>
      </c>
      <c r="Q332" s="9" t="inlineStr">
        <is>
          <t>increasePrimaryStatMax</t>
        </is>
      </c>
      <c r="R332" s="9" t="inlineStr">
        <is>
          <t>{"kind":"consumable","consumable":{"immediate":true,"resistance":{"maxEffectiveUses":5},"label":"神识上限永久 +6","maxUses":1},"executors":[{"trigger":"onConsumableExhausted","type":"increasePrimaryStatMax","stat":"spiritSense","delta":6,"label":"神识上限 +6"}],"label":"神识上限永久 +6"}</t>
        </is>
      </c>
    </row>
    <row r="333" ht="32" customHeight="1">
      <c r="A333" s="8" t="n">
        <v>300016</v>
      </c>
      <c r="B333" s="8" t="inlineStr">
        <is>
          <t>通玄丹</t>
        </is>
      </c>
      <c r="C333" s="8" t="inlineStr">
        <is>
          <t>丹药</t>
        </is>
      </c>
      <c r="D333" s="8" t="inlineStr">
        <is>
          <t>spirit</t>
        </is>
      </c>
      <c r="E333" s="8" t="inlineStr">
        <is>
          <t>none</t>
        </is>
      </c>
      <c r="F333" s="8" t="n">
        <v>1</v>
      </c>
      <c r="G333" s="8" t="inlineStr">
        <is>
          <t>基础/顶层</t>
        </is>
      </c>
      <c r="H333" s="8" t="inlineStr"/>
      <c r="I333" s="9" t="inlineStr"/>
      <c r="J333" s="8" t="inlineStr"/>
      <c r="K333" s="8" t="inlineStr"/>
      <c r="L333" s="8" t="inlineStr"/>
      <c r="M333" s="8" t="inlineStr">
        <is>
          <t>消耗品效果</t>
        </is>
      </c>
      <c r="N333" s="8" t="inlineStr">
        <is>
          <t>consumable</t>
        </is>
      </c>
      <c r="O333" s="9" t="inlineStr">
        <is>
          <t>精血上限永久 +6；精血上限 +6</t>
        </is>
      </c>
      <c r="P333" s="9" t="inlineStr">
        <is>
          <t>onConsumableExhausted</t>
        </is>
      </c>
      <c r="Q333" s="9" t="inlineStr">
        <is>
          <t>increasePrimaryStatMax</t>
        </is>
      </c>
      <c r="R333" s="9" t="inlineStr">
        <is>
          <t>{"kind":"consumable","consumable":{"immediate":true,"resistance":{"maxEffectiveUses":5},"label":"精血上限永久 +6","maxUses":1},"executors":[{"trigger":"onConsumableExhausted","type":"increasePrimaryStatMax","stat":"bloodEssence","delta":6,"label":"精血上限 +6"}],"label":"精血上限永久 +6"}</t>
        </is>
      </c>
    </row>
    <row r="334" ht="32" customHeight="1">
      <c r="A334" s="8" t="n">
        <v>300017</v>
      </c>
      <c r="B334" s="8" t="inlineStr">
        <is>
          <t>续力丸</t>
        </is>
      </c>
      <c r="C334" s="8" t="inlineStr">
        <is>
          <t>丹药</t>
        </is>
      </c>
      <c r="D334" s="8" t="inlineStr">
        <is>
          <t>common</t>
        </is>
      </c>
      <c r="E334" s="8" t="inlineStr">
        <is>
          <t>none</t>
        </is>
      </c>
      <c r="F334" s="8" t="n">
        <v>1</v>
      </c>
      <c r="G334" s="8" t="inlineStr">
        <is>
          <t>基础/顶层</t>
        </is>
      </c>
      <c r="H334" s="8" t="inlineStr"/>
      <c r="I334" s="9" t="inlineStr"/>
      <c r="J334" s="8" t="inlineStr"/>
      <c r="K334" s="8" t="inlineStr"/>
      <c r="L334" s="8" t="inlineStr"/>
      <c r="M334" s="8" t="inlineStr">
        <is>
          <t>消耗品效果</t>
        </is>
      </c>
      <c r="N334" s="8" t="inlineStr">
        <is>
          <t>consumable</t>
        </is>
      </c>
      <c r="O334" s="9" t="inlineStr">
        <is>
          <t>恢复 20 点体力</t>
        </is>
      </c>
      <c r="P334" s="9" t="inlineStr">
        <is>
          <t>onConsumableExhausted</t>
        </is>
      </c>
      <c r="Q334" s="9" t="inlineStr">
        <is>
          <t>modifyPlayerPrimaryStat</t>
        </is>
      </c>
      <c r="R334" s="9" t="inlineStr">
        <is>
          <t>{"kind":"consumable","consumable":{"durationSec":2,"maxUses":1,"label":"恢复 20 点体力"},"executors":[{"trigger":"onConsumableExhausted","type":"modifyPlayerPrimaryStat","stat":"stamina","delta":20,"label":"恢复 20 点体力"}],"label":"恢复 20 点体力"}</t>
        </is>
      </c>
    </row>
    <row r="335" ht="32" customHeight="1">
      <c r="A335" s="8" t="n">
        <v>300018</v>
      </c>
      <c r="B335" s="8" t="inlineStr">
        <is>
          <t>回法丹</t>
        </is>
      </c>
      <c r="C335" s="8" t="inlineStr">
        <is>
          <t>丹药</t>
        </is>
      </c>
      <c r="D335" s="8" t="inlineStr">
        <is>
          <t>common</t>
        </is>
      </c>
      <c r="E335" s="8" t="inlineStr">
        <is>
          <t>none</t>
        </is>
      </c>
      <c r="F335" s="8" t="n">
        <v>1</v>
      </c>
      <c r="G335" s="8" t="inlineStr">
        <is>
          <t>基础/顶层</t>
        </is>
      </c>
      <c r="H335" s="8" t="inlineStr"/>
      <c r="I335" s="9" t="inlineStr"/>
      <c r="J335" s="8" t="inlineStr"/>
      <c r="K335" s="8" t="inlineStr"/>
      <c r="L335" s="8" t="inlineStr"/>
      <c r="M335" s="8" t="inlineStr">
        <is>
          <t>消耗品效果</t>
        </is>
      </c>
      <c r="N335" s="8" t="inlineStr">
        <is>
          <t>consumable</t>
        </is>
      </c>
      <c r="O335" s="9" t="inlineStr">
        <is>
          <t>恢复 10 点法力</t>
        </is>
      </c>
      <c r="P335" s="9" t="inlineStr">
        <is>
          <t>onConsumableExhausted</t>
        </is>
      </c>
      <c r="Q335" s="9" t="inlineStr">
        <is>
          <t>modifyPlayerPrimaryStat</t>
        </is>
      </c>
      <c r="R335" s="9" t="inlineStr">
        <is>
          <t>{"kind":"consumable","consumable":{"durationSec":2,"maxUses":1,"label":"恢复 10 点法力"},"executors":[{"trigger":"onConsumableExhausted","type":"modifyPlayerPrimaryStat","stat":"mana","delta":10,"label":"恢复 10 点法力"}],"label":"恢复 10 点法力"}</t>
        </is>
      </c>
    </row>
    <row r="336" ht="32" customHeight="1">
      <c r="A336" s="8" t="n">
        <v>300019</v>
      </c>
      <c r="B336" s="8" t="inlineStr">
        <is>
          <t>青息回法丸</t>
        </is>
      </c>
      <c r="C336" s="8" t="inlineStr">
        <is>
          <t>丹药</t>
        </is>
      </c>
      <c r="D336" s="8" t="inlineStr">
        <is>
          <t>common</t>
        </is>
      </c>
      <c r="E336" s="8" t="inlineStr">
        <is>
          <t>none</t>
        </is>
      </c>
      <c r="F336" s="8" t="n">
        <v>1</v>
      </c>
      <c r="G336" s="8" t="inlineStr">
        <is>
          <t>基础/顶层</t>
        </is>
      </c>
      <c r="H336" s="8" t="inlineStr"/>
      <c r="I336" s="9" t="inlineStr"/>
      <c r="J336" s="8" t="inlineStr"/>
      <c r="K336" s="8" t="inlineStr"/>
      <c r="L336" s="8" t="inlineStr"/>
      <c r="M336" s="8" t="inlineStr">
        <is>
          <t>消耗品效果</t>
        </is>
      </c>
      <c r="N336" s="8" t="inlineStr">
        <is>
          <t>consumable</t>
        </is>
      </c>
      <c r="O336" s="9" t="inlineStr">
        <is>
          <t>轮转时，恢复 4 点法力</t>
        </is>
      </c>
      <c r="P336" s="9" t="inlineStr"/>
      <c r="Q336" s="9" t="inlineStr"/>
      <c r="R336" s="9" t="inlineStr">
        <is>
          <t>{"kind":"consumable","consumable":{"durationSec":36,"maxUses":1,"label":"轮转时，恢复 4 点法力","effects":[{"kind":"periodicPulse","periodicPulse":{"intervalSec":4,"primaryStatGains":[{"stat":"mana","amount":4}]}}]},"label":"轮转时，恢复 4 点法力"}</t>
        </is>
      </c>
    </row>
    <row r="337" ht="32" customHeight="1">
      <c r="A337" s="8" t="n">
        <v>300020</v>
      </c>
      <c r="B337" s="8" t="inlineStr">
        <is>
          <t>小还元丹</t>
        </is>
      </c>
      <c r="C337" s="8" t="inlineStr">
        <is>
          <t>丹药</t>
        </is>
      </c>
      <c r="D337" s="8" t="inlineStr">
        <is>
          <t>common</t>
        </is>
      </c>
      <c r="E337" s="8" t="inlineStr">
        <is>
          <t>none</t>
        </is>
      </c>
      <c r="F337" s="8" t="n">
        <v>1</v>
      </c>
      <c r="G337" s="8" t="inlineStr">
        <is>
          <t>基础/顶层</t>
        </is>
      </c>
      <c r="H337" s="8" t="inlineStr"/>
      <c r="I337" s="9" t="inlineStr"/>
      <c r="J337" s="8" t="inlineStr"/>
      <c r="K337" s="8" t="inlineStr"/>
      <c r="L337" s="8" t="inlineStr"/>
      <c r="M337" s="8" t="inlineStr">
        <is>
          <t>消耗品效果</t>
        </is>
      </c>
      <c r="N337" s="8" t="inlineStr">
        <is>
          <t>consumable</t>
        </is>
      </c>
      <c r="O337" s="9" t="inlineStr">
        <is>
          <t>轮转时，恢复 5 点气血</t>
        </is>
      </c>
      <c r="P337" s="9" t="inlineStr"/>
      <c r="Q337" s="9" t="inlineStr"/>
      <c r="R337" s="9" t="inlineStr">
        <is>
          <t>{"kind":"consumable","consumable":{"durationSec":30,"maxUses":1,"label":"轮转时，恢复 5 点气血","effects":[{"kind":"periodicPulse","periodicPulse":{"intervalSec":5,"primaryStatGains":[{"stat":"health","amount":5}]}}]},"label":"轮转时，恢复 5 点气血"}</t>
        </is>
      </c>
    </row>
    <row r="338" ht="32" customHeight="1">
      <c r="A338" s="8" t="n">
        <v>300021</v>
      </c>
      <c r="B338" s="8" t="inlineStr">
        <is>
          <t>行脉露</t>
        </is>
      </c>
      <c r="C338" s="8" t="inlineStr">
        <is>
          <t>丹药</t>
        </is>
      </c>
      <c r="D338" s="8" t="inlineStr">
        <is>
          <t>common</t>
        </is>
      </c>
      <c r="E338" s="8" t="inlineStr">
        <is>
          <t>none</t>
        </is>
      </c>
      <c r="F338" s="8" t="n">
        <v>1</v>
      </c>
      <c r="G338" s="8" t="inlineStr">
        <is>
          <t>基础/顶层</t>
        </is>
      </c>
      <c r="H338" s="8" t="inlineStr"/>
      <c r="I338" s="9" t="inlineStr"/>
      <c r="J338" s="8" t="inlineStr"/>
      <c r="K338" s="8" t="inlineStr"/>
      <c r="L338" s="8" t="inlineStr"/>
      <c r="M338" s="8" t="inlineStr">
        <is>
          <t>消耗品效果</t>
        </is>
      </c>
      <c r="N338" s="8" t="inlineStr">
        <is>
          <t>consumable</t>
        </is>
      </c>
      <c r="O338" s="9" t="inlineStr">
        <is>
          <t>恢复 30 点气血</t>
        </is>
      </c>
      <c r="P338" s="9" t="inlineStr">
        <is>
          <t>onConsumableExhausted</t>
        </is>
      </c>
      <c r="Q338" s="9" t="inlineStr">
        <is>
          <t>modifyPlayerPrimaryStat</t>
        </is>
      </c>
      <c r="R338" s="9" t="inlineStr">
        <is>
          <t>{"kind":"consumable","consumable":{"durationSec":5,"maxUses":1,"label":"恢复 30 点气血"},"executors":[{"trigger":"onConsumableExhausted","type":"modifyPlayerPrimaryStat","stat":"health","delta":30,"label":"恢复 30 点气血"}],"label":"恢复 30 点气血"}</t>
        </is>
      </c>
    </row>
    <row r="339" ht="32" customHeight="1">
      <c r="A339" s="8" t="n">
        <v>300022</v>
      </c>
      <c r="B339" s="8" t="inlineStr">
        <is>
          <t>纳气丸</t>
        </is>
      </c>
      <c r="C339" s="8" t="inlineStr">
        <is>
          <t>丹药</t>
        </is>
      </c>
      <c r="D339" s="8" t="inlineStr">
        <is>
          <t>common</t>
        </is>
      </c>
      <c r="E339" s="8" t="inlineStr">
        <is>
          <t>none</t>
        </is>
      </c>
      <c r="F339" s="8" t="n">
        <v>1</v>
      </c>
      <c r="G339" s="8" t="inlineStr">
        <is>
          <t>基础/顶层</t>
        </is>
      </c>
      <c r="H339" s="8" t="inlineStr"/>
      <c r="I339" s="9" t="inlineStr"/>
      <c r="J339" s="8" t="inlineStr"/>
      <c r="K339" s="8" t="inlineStr"/>
      <c r="L339" s="8" t="inlineStr"/>
      <c r="M339" s="8" t="inlineStr">
        <is>
          <t>消耗品效果</t>
        </is>
      </c>
      <c r="N339" s="8" t="inlineStr">
        <is>
          <t>consumable</t>
        </is>
      </c>
      <c r="O339" s="9" t="inlineStr">
        <is>
          <t>恢复 25 点法力</t>
        </is>
      </c>
      <c r="P339" s="9" t="inlineStr">
        <is>
          <t>onConsumableExhausted</t>
        </is>
      </c>
      <c r="Q339" s="9" t="inlineStr">
        <is>
          <t>modifyPlayerPrimaryStat</t>
        </is>
      </c>
      <c r="R339" s="9" t="inlineStr">
        <is>
          <t>{"kind":"consumable","consumable":{"durationSec":10,"maxUses":1,"label":"恢复 25 点法力"},"executors":[{"trigger":"onConsumableExhausted","type":"modifyPlayerPrimaryStat","stat":"mana","delta":25,"label":"恢复 25 点法力"}],"label":"恢复 25 点法力"}</t>
        </is>
      </c>
    </row>
    <row r="340" ht="32" customHeight="1">
      <c r="A340" s="8" t="n">
        <v>300023</v>
      </c>
      <c r="B340" s="8" t="inlineStr">
        <is>
          <t>温血丸</t>
        </is>
      </c>
      <c r="C340" s="8" t="inlineStr">
        <is>
          <t>丹药</t>
        </is>
      </c>
      <c r="D340" s="8" t="inlineStr">
        <is>
          <t>common</t>
        </is>
      </c>
      <c r="E340" s="8" t="inlineStr">
        <is>
          <t>none</t>
        </is>
      </c>
      <c r="F340" s="8" t="n">
        <v>1</v>
      </c>
      <c r="G340" s="8" t="inlineStr">
        <is>
          <t>基础/顶层</t>
        </is>
      </c>
      <c r="H340" s="8" t="inlineStr"/>
      <c r="I340" s="9" t="inlineStr"/>
      <c r="J340" s="8" t="inlineStr"/>
      <c r="K340" s="8" t="inlineStr"/>
      <c r="L340" s="8" t="inlineStr"/>
      <c r="M340" s="8" t="inlineStr">
        <is>
          <t>消耗品效果</t>
        </is>
      </c>
      <c r="N340" s="8" t="inlineStr">
        <is>
          <t>consumable</t>
        </is>
      </c>
      <c r="O340" s="9" t="inlineStr">
        <is>
          <t>轮转时，恢复 5 点体力</t>
        </is>
      </c>
      <c r="P340" s="9" t="inlineStr"/>
      <c r="Q340" s="9" t="inlineStr"/>
      <c r="R340" s="9" t="inlineStr">
        <is>
          <t>{"kind":"consumable","consumable":{"durationSec":30,"maxUses":1,"label":"轮转时，恢复 5 点体力","effects":[{"kind":"periodicPulse","periodicPulse":{"intervalSec":5,"primaryStatGains":[{"stat":"stamina","amount":5}]}}]},"label":"轮转时，恢复 5 点体力"}</t>
        </is>
      </c>
    </row>
    <row r="341" ht="32" customHeight="1">
      <c r="A341" s="8" t="n">
        <v>300024</v>
      </c>
      <c r="B341" s="8" t="inlineStr">
        <is>
          <t>守脉膏</t>
        </is>
      </c>
      <c r="C341" s="8" t="inlineStr">
        <is>
          <t>丹药</t>
        </is>
      </c>
      <c r="D341" s="8" t="inlineStr">
        <is>
          <t>common</t>
        </is>
      </c>
      <c r="E341" s="8" t="inlineStr">
        <is>
          <t>none</t>
        </is>
      </c>
      <c r="F341" s="8" t="n">
        <v>1</v>
      </c>
      <c r="G341" s="8" t="inlineStr">
        <is>
          <t>基础/顶层</t>
        </is>
      </c>
      <c r="H341" s="8" t="inlineStr"/>
      <c r="I341" s="9" t="inlineStr"/>
      <c r="J341" s="8" t="inlineStr"/>
      <c r="K341" s="8" t="inlineStr"/>
      <c r="L341" s="8" t="inlineStr"/>
      <c r="M341" s="8" t="inlineStr">
        <is>
          <t>消耗品效果</t>
        </is>
      </c>
      <c r="N341" s="8" t="inlineStr">
        <is>
          <t>consumable</t>
        </is>
      </c>
      <c r="O341" s="9" t="inlineStr">
        <is>
          <t>获得 5 层坚硬</t>
        </is>
      </c>
      <c r="P341" s="9" t="inlineStr">
        <is>
          <t>onConsumableActivated</t>
        </is>
      </c>
      <c r="Q341" s="9" t="inlineStr">
        <is>
          <t>applyBuff</t>
        </is>
      </c>
      <c r="R341" s="9" t="inlineStr">
        <is>
          <t>{"kind":"consumable","consumable":{"durationSec":3,"maxUses":1,"label":"获得 5 层坚硬"},"executors":[{"trigger":"onConsumableActivated","type":"applyBuff","buffId":"sturdy","count":5,"label":"获得 5 层坚硬"}],"label":"获得 5 层坚硬"}</t>
        </is>
      </c>
    </row>
    <row r="342" ht="32" customHeight="1">
      <c r="A342" s="8" t="n">
        <v>300025</v>
      </c>
      <c r="B342" s="8" t="inlineStr">
        <is>
          <t>清浊丸</t>
        </is>
      </c>
      <c r="C342" s="8" t="inlineStr">
        <is>
          <t>丹药</t>
        </is>
      </c>
      <c r="D342" s="8" t="inlineStr">
        <is>
          <t>common</t>
        </is>
      </c>
      <c r="E342" s="8" t="inlineStr">
        <is>
          <t>none</t>
        </is>
      </c>
      <c r="F342" s="8" t="n">
        <v>1</v>
      </c>
      <c r="G342" s="8" t="inlineStr">
        <is>
          <t>基础/顶层</t>
        </is>
      </c>
      <c r="H342" s="8" t="inlineStr"/>
      <c r="I342" s="9" t="inlineStr"/>
      <c r="J342" s="8" t="inlineStr"/>
      <c r="K342" s="8" t="inlineStr"/>
      <c r="L342" s="8" t="inlineStr"/>
      <c r="M342" s="8" t="inlineStr">
        <is>
          <t>消耗品效果</t>
        </is>
      </c>
      <c r="N342" s="8" t="inlineStr">
        <is>
          <t>consumable</t>
        </is>
      </c>
      <c r="O342" s="9" t="inlineStr">
        <is>
          <t>随机移除 5 层负面效果</t>
        </is>
      </c>
      <c r="P342" s="9" t="inlineStr">
        <is>
          <t>onConsumableExhausted</t>
        </is>
      </c>
      <c r="Q342" s="9" t="inlineStr">
        <is>
          <t>removeRandomNegativeBuffStacks</t>
        </is>
      </c>
      <c r="R342" s="9" t="inlineStr">
        <is>
          <t>{"kind":"consumable","consumable":{"durationSec":3,"maxUses":1,"label":"随机移除 5 层负面效果"},"executors":[{"trigger":"onConsumableExhausted","type":"removeRandomNegativeBuffStacks","count":5,"label":"随机移除 5 层负面效果"}],"label":"随机移除 5 层负面效果"}</t>
        </is>
      </c>
    </row>
    <row r="343" ht="32" customHeight="1">
      <c r="A343" s="8" t="n">
        <v>300026</v>
      </c>
      <c r="B343" s="8" t="inlineStr">
        <is>
          <t>玉露瓶</t>
        </is>
      </c>
      <c r="C343" s="8" t="inlineStr">
        <is>
          <t>丹药</t>
        </is>
      </c>
      <c r="D343" s="8" t="inlineStr">
        <is>
          <t>common</t>
        </is>
      </c>
      <c r="E343" s="8" t="inlineStr">
        <is>
          <t>water</t>
        </is>
      </c>
      <c r="F343" s="8" t="n">
        <v>1</v>
      </c>
      <c r="G343" s="8" t="inlineStr">
        <is>
          <t>基础/顶层</t>
        </is>
      </c>
      <c r="H343" s="8" t="inlineStr"/>
      <c r="I343" s="9" t="inlineStr"/>
      <c r="J343" s="8" t="inlineStr"/>
      <c r="K343" s="8" t="inlineStr"/>
      <c r="L343" s="8" t="inlineStr"/>
      <c r="M343" s="8" t="inlineStr">
        <is>
          <t>消耗品效果</t>
        </is>
      </c>
      <c r="N343" s="8" t="inlineStr">
        <is>
          <t>consumable</t>
        </is>
      </c>
      <c r="O343" s="9" t="inlineStr">
        <is>
          <t>获得 10 层露水</t>
        </is>
      </c>
      <c r="P343" s="9" t="inlineStr"/>
      <c r="Q343" s="9" t="inlineStr"/>
      <c r="R343" s="9" t="inlineStr">
        <is>
          <t>{"kind":"consumable","consumable":{"durationSec":30,"maxUses":1,"label":"获得 10 层露水","effects":[{"kind":"periodicPulse","periodicPulse":{"intervalSec":5,"buffGains":[{"buffId":"dew","count":10}]}}]}}</t>
        </is>
      </c>
    </row>
    <row r="344" ht="32" customHeight="1">
      <c r="A344" s="8" t="n">
        <v>300027</v>
      </c>
      <c r="B344" s="8" t="inlineStr">
        <is>
          <t>固息丹</t>
        </is>
      </c>
      <c r="C344" s="8" t="inlineStr">
        <is>
          <t>丹药</t>
        </is>
      </c>
      <c r="D344" s="8" t="inlineStr">
        <is>
          <t>common</t>
        </is>
      </c>
      <c r="E344" s="8" t="inlineStr">
        <is>
          <t>none</t>
        </is>
      </c>
      <c r="F344" s="8" t="n">
        <v>1</v>
      </c>
      <c r="G344" s="8" t="inlineStr">
        <is>
          <t>基础/顶层</t>
        </is>
      </c>
      <c r="H344" s="8" t="inlineStr"/>
      <c r="I344" s="9" t="inlineStr"/>
      <c r="J344" s="8" t="inlineStr"/>
      <c r="K344" s="8" t="inlineStr"/>
      <c r="L344" s="8" t="inlineStr"/>
      <c r="M344" s="8" t="inlineStr">
        <is>
          <t>消耗品效果</t>
        </is>
      </c>
      <c r="N344" s="8" t="inlineStr">
        <is>
          <t>consumable</t>
        </is>
      </c>
      <c r="O344" s="9" t="inlineStr">
        <is>
          <t>本局内体力上限 +20</t>
        </is>
      </c>
      <c r="P344" s="9" t="inlineStr">
        <is>
          <t>onUsePill</t>
        </is>
      </c>
      <c r="Q344" s="9" t="inlineStr">
        <is>
          <t>increaseSingleGamePrimaryStatMax</t>
        </is>
      </c>
      <c r="R344" s="9" t="inlineStr">
        <is>
          <t>{"kind":"consumable","consumable":{"durationSec":3,"maxUses":1,"label":"本局内体力上限 +20"},"executors":[{"trigger":"onUsePill","type":"increaseSingleGamePrimaryStatMax","stat":"stamina","delta":20,"label":"本局内体力上限 +20"}]}</t>
        </is>
      </c>
    </row>
    <row r="345" ht="32" customHeight="1">
      <c r="A345" s="8" t="n">
        <v>300028</v>
      </c>
      <c r="B345" s="8" t="inlineStr">
        <is>
          <t>暖髓丸</t>
        </is>
      </c>
      <c r="C345" s="8" t="inlineStr">
        <is>
          <t>丹药</t>
        </is>
      </c>
      <c r="D345" s="8" t="inlineStr">
        <is>
          <t>common</t>
        </is>
      </c>
      <c r="E345" s="8" t="inlineStr">
        <is>
          <t>none</t>
        </is>
      </c>
      <c r="F345" s="8" t="n">
        <v>1</v>
      </c>
      <c r="G345" s="8" t="inlineStr">
        <is>
          <t>基础/顶层</t>
        </is>
      </c>
      <c r="H345" s="8" t="inlineStr"/>
      <c r="I345" s="9" t="inlineStr"/>
      <c r="J345" s="8" t="inlineStr"/>
      <c r="K345" s="8" t="inlineStr"/>
      <c r="L345" s="8" t="inlineStr"/>
      <c r="M345" s="8" t="inlineStr">
        <is>
          <t>消耗品效果</t>
        </is>
      </c>
      <c r="N345" s="8" t="inlineStr">
        <is>
          <t>consumable</t>
        </is>
      </c>
      <c r="O345" s="9" t="inlineStr">
        <is>
          <t>本局内法力上限 +20</t>
        </is>
      </c>
      <c r="P345" s="9" t="inlineStr">
        <is>
          <t>onUsePill</t>
        </is>
      </c>
      <c r="Q345" s="9" t="inlineStr">
        <is>
          <t>increaseSingleGamePrimaryStatMax</t>
        </is>
      </c>
      <c r="R345" s="9" t="inlineStr">
        <is>
          <t>{"kind":"consumable","consumable":{"durationSec":3,"maxUses":1,"label":"本局内法力上限 +20"},"executors":[{"trigger":"onUsePill","type":"increaseSingleGamePrimaryStatMax","stat":"mana","delta":20,"label":"本局内法力上限 +20"}],"label":"本局内法力上限 +20"}</t>
        </is>
      </c>
    </row>
    <row r="346" ht="32" customHeight="1">
      <c r="A346" s="8" t="n">
        <v>300029</v>
      </c>
      <c r="B346" s="8" t="inlineStr">
        <is>
          <t>青鳞寿果</t>
        </is>
      </c>
      <c r="C346" s="8" t="inlineStr">
        <is>
          <t>丹药</t>
        </is>
      </c>
      <c r="D346" s="8" t="inlineStr">
        <is>
          <t>common</t>
        </is>
      </c>
      <c r="E346" s="8" t="inlineStr">
        <is>
          <t>none</t>
        </is>
      </c>
      <c r="F346" s="8" t="n">
        <v>1</v>
      </c>
      <c r="G346" s="8" t="inlineStr">
        <is>
          <t>基础/顶层</t>
        </is>
      </c>
      <c r="H346" s="8" t="inlineStr"/>
      <c r="I346" s="9" t="inlineStr"/>
      <c r="J346" s="8" t="inlineStr"/>
      <c r="K346" s="8" t="inlineStr"/>
      <c r="L346" s="8" t="inlineStr"/>
      <c r="M346" s="8" t="inlineStr">
        <is>
          <t>消耗品效果</t>
        </is>
      </c>
      <c r="N346" s="8" t="inlineStr">
        <is>
          <t>consumable</t>
        </is>
      </c>
      <c r="O346" s="9" t="inlineStr">
        <is>
          <t>寿元增加 1~2 年</t>
        </is>
      </c>
      <c r="P346" s="9" t="inlineStr"/>
      <c r="Q346" s="9" t="inlineStr"/>
      <c r="R346" s="9" t="inlineStr">
        <is>
          <t>{"kind":"consumable","consumable":{"immediate":true,"maxUses":1,"resistance":{"maxEffectiveUses":10},"lifespanGain":{"min":1,"max":2},"label":"寿元增加 1~2 年"},"label":"寿元增加 1~2 年"}</t>
        </is>
      </c>
    </row>
    <row r="347" ht="32" customHeight="1">
      <c r="A347" s="8" t="n">
        <v>300030</v>
      </c>
      <c r="B347" s="8" t="inlineStr">
        <is>
          <t>秋赤寿果</t>
        </is>
      </c>
      <c r="C347" s="8" t="inlineStr">
        <is>
          <t>丹药</t>
        </is>
      </c>
      <c r="D347" s="8" t="inlineStr">
        <is>
          <t>common</t>
        </is>
      </c>
      <c r="E347" s="8" t="inlineStr">
        <is>
          <t>none</t>
        </is>
      </c>
      <c r="F347" s="8" t="n">
        <v>1</v>
      </c>
      <c r="G347" s="8" t="inlineStr">
        <is>
          <t>基础/顶层</t>
        </is>
      </c>
      <c r="H347" s="8" t="inlineStr"/>
      <c r="I347" s="9" t="inlineStr"/>
      <c r="J347" s="8" t="inlineStr"/>
      <c r="K347" s="8" t="inlineStr"/>
      <c r="L347" s="8" t="inlineStr"/>
      <c r="M347" s="8" t="inlineStr">
        <is>
          <t>消耗品效果</t>
        </is>
      </c>
      <c r="N347" s="8" t="inlineStr">
        <is>
          <t>consumable</t>
        </is>
      </c>
      <c r="O347" s="9" t="inlineStr">
        <is>
          <t>寿元增加 1~3 年</t>
        </is>
      </c>
      <c r="P347" s="9" t="inlineStr"/>
      <c r="Q347" s="9" t="inlineStr"/>
      <c r="R347" s="9" t="inlineStr">
        <is>
          <t>{"kind":"consumable","consumable":{"immediate":true,"maxUses":1,"resistance":{"maxEffectiveUses":10},"lifespanGain":{"min":1,"max":3},"label":"寿元增加 1~3 年"},"label":"寿元增加 1~3 年"}</t>
        </is>
      </c>
    </row>
    <row r="348" ht="32" customHeight="1">
      <c r="A348" s="8" t="n">
        <v>300031</v>
      </c>
      <c r="B348" s="8" t="inlineStr">
        <is>
          <t>回纹寿果</t>
        </is>
      </c>
      <c r="C348" s="8" t="inlineStr">
        <is>
          <t>丹药</t>
        </is>
      </c>
      <c r="D348" s="8" t="inlineStr">
        <is>
          <t>common</t>
        </is>
      </c>
      <c r="E348" s="8" t="inlineStr">
        <is>
          <t>none</t>
        </is>
      </c>
      <c r="F348" s="8" t="n">
        <v>1</v>
      </c>
      <c r="G348" s="8" t="inlineStr">
        <is>
          <t>基础/顶层</t>
        </is>
      </c>
      <c r="H348" s="8" t="inlineStr"/>
      <c r="I348" s="9" t="inlineStr"/>
      <c r="J348" s="8" t="inlineStr"/>
      <c r="K348" s="8" t="inlineStr"/>
      <c r="L348" s="8" t="inlineStr"/>
      <c r="M348" s="8" t="inlineStr">
        <is>
          <t>消耗品效果</t>
        </is>
      </c>
      <c r="N348" s="8" t="inlineStr">
        <is>
          <t>consumable</t>
        </is>
      </c>
      <c r="O348" s="9" t="inlineStr">
        <is>
          <t>寿元增加 2~4 年</t>
        </is>
      </c>
      <c r="P348" s="9" t="inlineStr"/>
      <c r="Q348" s="9" t="inlineStr"/>
      <c r="R348" s="9" t="inlineStr">
        <is>
          <t>{"kind":"consumable","consumable":{"immediate":true,"maxUses":1,"resistance":{"maxEffectiveUses":10},"lifespanGain":{"min":2,"max":4},"label":"寿元增加 2~4 年"},"label":"寿元增加 2~4 年"}</t>
        </is>
      </c>
    </row>
    <row r="349" ht="32" customHeight="1">
      <c r="A349" s="8" t="n">
        <v>300032</v>
      </c>
      <c r="B349" s="8" t="inlineStr">
        <is>
          <t>赤阳寿果</t>
        </is>
      </c>
      <c r="C349" s="8" t="inlineStr">
        <is>
          <t>丹药</t>
        </is>
      </c>
      <c r="D349" s="8" t="inlineStr">
        <is>
          <t>spirit</t>
        </is>
      </c>
      <c r="E349" s="8" t="inlineStr">
        <is>
          <t>none</t>
        </is>
      </c>
      <c r="F349" s="8" t="n">
        <v>1</v>
      </c>
      <c r="G349" s="8" t="inlineStr">
        <is>
          <t>基础/顶层</t>
        </is>
      </c>
      <c r="H349" s="8" t="inlineStr"/>
      <c r="I349" s="9" t="inlineStr"/>
      <c r="J349" s="8" t="inlineStr"/>
      <c r="K349" s="8" t="inlineStr"/>
      <c r="L349" s="8" t="inlineStr"/>
      <c r="M349" s="8" t="inlineStr">
        <is>
          <t>消耗品效果</t>
        </is>
      </c>
      <c r="N349" s="8" t="inlineStr">
        <is>
          <t>consumable</t>
        </is>
      </c>
      <c r="O349" s="9" t="inlineStr">
        <is>
          <t>寿元增加 18~34 年</t>
        </is>
      </c>
      <c r="P349" s="9" t="inlineStr"/>
      <c r="Q349" s="9" t="inlineStr"/>
      <c r="R349" s="9" t="inlineStr">
        <is>
          <t>{"kind":"consumable","consumable":{"immediate":true,"maxUses":1,"resistance":{"maxEffectiveUses":10},"lifespanGain":{"min":18,"max":34},"label":"寿元增加 18~34 年"},"label":"寿元增加 18~34 年"}</t>
        </is>
      </c>
    </row>
    <row r="350" ht="32" customHeight="1">
      <c r="A350" s="8" t="n">
        <v>300037</v>
      </c>
      <c r="B350" s="8" t="inlineStr">
        <is>
          <t>庚金养根丹</t>
        </is>
      </c>
      <c r="C350" s="8" t="inlineStr">
        <is>
          <t>丹药</t>
        </is>
      </c>
      <c r="D350" s="8" t="inlineStr">
        <is>
          <t>common</t>
        </is>
      </c>
      <c r="E350" s="8" t="inlineStr">
        <is>
          <t>metal</t>
        </is>
      </c>
      <c r="F350" s="8" t="n">
        <v>1</v>
      </c>
      <c r="G350" s="8" t="inlineStr">
        <is>
          <t>基础/顶层</t>
        </is>
      </c>
      <c r="H350" s="8" t="inlineStr"/>
      <c r="I350" s="9" t="inlineStr"/>
      <c r="J350" s="8" t="inlineStr"/>
      <c r="K350" s="8" t="inlineStr"/>
      <c r="L350" s="8" t="inlineStr"/>
      <c r="M350" s="8" t="inlineStr">
        <is>
          <t>消耗品效果</t>
        </is>
      </c>
      <c r="N350" s="8" t="inlineStr">
        <is>
          <t>consumable</t>
        </is>
      </c>
      <c r="O350" s="9" t="inlineStr">
        <is>
          <t>拥有金灵根时，金灵根永久 +1；金灵根永久 +1</t>
        </is>
      </c>
      <c r="P350" s="9" t="inlineStr">
        <is>
          <t>onUsePill</t>
        </is>
      </c>
      <c r="Q350" s="9" t="inlineStr">
        <is>
          <t>increaseSpiritRoot</t>
        </is>
      </c>
      <c r="R350" s="9" t="inlineStr">
        <is>
          <t>{"kind":"consumable","consumable":{"immediate":true,"resistance":{"maxEffectiveUses":10},"label":"拥有金灵根时，金灵根永久 +1"},"executors":[{"trigger":"onUsePill","type":"increaseSpiritRoot","element":"metal","amount":1,"label":"金灵根永久 +1"}],"label":"拥有金灵根时，金灵根永久 +1"}</t>
        </is>
      </c>
    </row>
    <row r="351" ht="32" customHeight="1">
      <c r="A351" s="8" t="n">
        <v>300038</v>
      </c>
      <c r="B351" s="8" t="inlineStr">
        <is>
          <t>乙木养根丹</t>
        </is>
      </c>
      <c r="C351" s="8" t="inlineStr">
        <is>
          <t>丹药</t>
        </is>
      </c>
      <c r="D351" s="8" t="inlineStr">
        <is>
          <t>common</t>
        </is>
      </c>
      <c r="E351" s="8" t="inlineStr">
        <is>
          <t>wood</t>
        </is>
      </c>
      <c r="F351" s="8" t="n">
        <v>1</v>
      </c>
      <c r="G351" s="8" t="inlineStr">
        <is>
          <t>基础/顶层</t>
        </is>
      </c>
      <c r="H351" s="8" t="inlineStr"/>
      <c r="I351" s="9" t="inlineStr"/>
      <c r="J351" s="8" t="inlineStr"/>
      <c r="K351" s="8" t="inlineStr"/>
      <c r="L351" s="8" t="inlineStr"/>
      <c r="M351" s="8" t="inlineStr">
        <is>
          <t>消耗品效果</t>
        </is>
      </c>
      <c r="N351" s="8" t="inlineStr">
        <is>
          <t>consumable</t>
        </is>
      </c>
      <c r="O351" s="9" t="inlineStr">
        <is>
          <t>拥有木灵根时，木灵根永久 +1；木灵根永久 +1</t>
        </is>
      </c>
      <c r="P351" s="9" t="inlineStr">
        <is>
          <t>onUsePill</t>
        </is>
      </c>
      <c r="Q351" s="9" t="inlineStr">
        <is>
          <t>increaseSpiritRoot</t>
        </is>
      </c>
      <c r="R351" s="9" t="inlineStr">
        <is>
          <t>{"kind":"consumable","consumable":{"immediate":true,"resistance":{"maxEffectiveUses":10},"label":"拥有木灵根时，木灵根永久 +1"},"executors":[{"trigger":"onUsePill","type":"increaseSpiritRoot","element":"wood","amount":1,"label":"木灵根永久 +1"}],"label":"拥有木灵根时，木灵根永久 +1"}</t>
        </is>
      </c>
    </row>
    <row r="352" ht="32" customHeight="1">
      <c r="A352" s="8" t="n">
        <v>300039</v>
      </c>
      <c r="B352" s="8" t="inlineStr">
        <is>
          <t>癸水养根丹</t>
        </is>
      </c>
      <c r="C352" s="8" t="inlineStr">
        <is>
          <t>丹药</t>
        </is>
      </c>
      <c r="D352" s="8" t="inlineStr">
        <is>
          <t>common</t>
        </is>
      </c>
      <c r="E352" s="8" t="inlineStr">
        <is>
          <t>water</t>
        </is>
      </c>
      <c r="F352" s="8" t="n">
        <v>1</v>
      </c>
      <c r="G352" s="8" t="inlineStr">
        <is>
          <t>基础/顶层</t>
        </is>
      </c>
      <c r="H352" s="8" t="inlineStr"/>
      <c r="I352" s="9" t="inlineStr"/>
      <c r="J352" s="8" t="inlineStr"/>
      <c r="K352" s="8" t="inlineStr"/>
      <c r="L352" s="8" t="inlineStr"/>
      <c r="M352" s="8" t="inlineStr">
        <is>
          <t>消耗品效果</t>
        </is>
      </c>
      <c r="N352" s="8" t="inlineStr">
        <is>
          <t>consumable</t>
        </is>
      </c>
      <c r="O352" s="9" t="inlineStr">
        <is>
          <t>拥有水灵根时，水灵根永久 +1；水灵根永久 +1</t>
        </is>
      </c>
      <c r="P352" s="9" t="inlineStr">
        <is>
          <t>onUsePill</t>
        </is>
      </c>
      <c r="Q352" s="9" t="inlineStr">
        <is>
          <t>increaseSpiritRoot</t>
        </is>
      </c>
      <c r="R352" s="9" t="inlineStr">
        <is>
          <t>{"kind":"consumable","consumable":{"immediate":true,"resistance":{"maxEffectiveUses":10},"label":"拥有水灵根时，水灵根永久 +1"},"executors":[{"trigger":"onUsePill","type":"increaseSpiritRoot","element":"water","amount":1,"label":"水灵根永久 +1"}],"label":"拥有水灵根时，水灵根永久 +1"}</t>
        </is>
      </c>
    </row>
    <row r="353" ht="32" customHeight="1">
      <c r="A353" s="8" t="n">
        <v>300040</v>
      </c>
      <c r="B353" s="8" t="inlineStr">
        <is>
          <t>丙火养根丹</t>
        </is>
      </c>
      <c r="C353" s="8" t="inlineStr">
        <is>
          <t>丹药</t>
        </is>
      </c>
      <c r="D353" s="8" t="inlineStr">
        <is>
          <t>common</t>
        </is>
      </c>
      <c r="E353" s="8" t="inlineStr">
        <is>
          <t>fire</t>
        </is>
      </c>
      <c r="F353" s="8" t="n">
        <v>1</v>
      </c>
      <c r="G353" s="8" t="inlineStr">
        <is>
          <t>基础/顶层</t>
        </is>
      </c>
      <c r="H353" s="8" t="inlineStr"/>
      <c r="I353" s="9" t="inlineStr"/>
      <c r="J353" s="8" t="inlineStr"/>
      <c r="K353" s="8" t="inlineStr"/>
      <c r="L353" s="8" t="inlineStr"/>
      <c r="M353" s="8" t="inlineStr">
        <is>
          <t>消耗品效果</t>
        </is>
      </c>
      <c r="N353" s="8" t="inlineStr">
        <is>
          <t>consumable</t>
        </is>
      </c>
      <c r="O353" s="9" t="inlineStr">
        <is>
          <t>拥有火灵根时，火灵根永久 +1；火灵根永久 +1</t>
        </is>
      </c>
      <c r="P353" s="9" t="inlineStr">
        <is>
          <t>onUsePill</t>
        </is>
      </c>
      <c r="Q353" s="9" t="inlineStr">
        <is>
          <t>increaseSpiritRoot</t>
        </is>
      </c>
      <c r="R353" s="9" t="inlineStr">
        <is>
          <t>{"kind":"consumable","consumable":{"immediate":true,"resistance":{"maxEffectiveUses":10},"label":"拥有火灵根时，火灵根永久 +1"},"executors":[{"trigger":"onUsePill","type":"increaseSpiritRoot","element":"fire","amount":1,"label":"火灵根永久 +1"}],"label":"拥有火灵根时，火灵根永久 +1"}</t>
        </is>
      </c>
    </row>
    <row r="354" ht="32" customHeight="1">
      <c r="A354" s="8" t="n">
        <v>300041</v>
      </c>
      <c r="B354" s="8" t="inlineStr">
        <is>
          <t>戊土养根丹</t>
        </is>
      </c>
      <c r="C354" s="8" t="inlineStr">
        <is>
          <t>丹药</t>
        </is>
      </c>
      <c r="D354" s="8" t="inlineStr">
        <is>
          <t>common</t>
        </is>
      </c>
      <c r="E354" s="8" t="inlineStr">
        <is>
          <t>earth</t>
        </is>
      </c>
      <c r="F354" s="8" t="n">
        <v>1</v>
      </c>
      <c r="G354" s="8" t="inlineStr">
        <is>
          <t>基础/顶层</t>
        </is>
      </c>
      <c r="H354" s="8" t="inlineStr"/>
      <c r="I354" s="9" t="inlineStr"/>
      <c r="J354" s="8" t="inlineStr"/>
      <c r="K354" s="8" t="inlineStr"/>
      <c r="L354" s="8" t="inlineStr"/>
      <c r="M354" s="8" t="inlineStr">
        <is>
          <t>消耗品效果</t>
        </is>
      </c>
      <c r="N354" s="8" t="inlineStr">
        <is>
          <t>consumable</t>
        </is>
      </c>
      <c r="O354" s="9" t="inlineStr">
        <is>
          <t>拥有土灵根时，土灵根永久 +1；土灵根永久 +1</t>
        </is>
      </c>
      <c r="P354" s="9" t="inlineStr">
        <is>
          <t>onUsePill</t>
        </is>
      </c>
      <c r="Q354" s="9" t="inlineStr">
        <is>
          <t>increaseSpiritRoot</t>
        </is>
      </c>
      <c r="R354" s="9" t="inlineStr">
        <is>
          <t>{"kind":"consumable","consumable":{"immediate":true,"resistance":{"maxEffectiveUses":10},"label":"拥有土灵根时，土灵根永久 +1"},"executors":[{"trigger":"onUsePill","type":"increaseSpiritRoot","element":"earth","amount":1,"label":"土灵根永久 +1"}],"label":"拥有土灵根时，土灵根永久 +1"}</t>
        </is>
      </c>
    </row>
    <row r="355" ht="32" customHeight="1">
      <c r="A355" s="8" t="n">
        <v>300042</v>
      </c>
      <c r="B355" s="8" t="inlineStr">
        <is>
          <t>太白凝根丹</t>
        </is>
      </c>
      <c r="C355" s="8" t="inlineStr">
        <is>
          <t>丹药</t>
        </is>
      </c>
      <c r="D355" s="8" t="inlineStr">
        <is>
          <t>spirit</t>
        </is>
      </c>
      <c r="E355" s="8" t="inlineStr">
        <is>
          <t>metal</t>
        </is>
      </c>
      <c r="F355" s="8" t="n">
        <v>1</v>
      </c>
      <c r="G355" s="8" t="inlineStr">
        <is>
          <t>基础/顶层</t>
        </is>
      </c>
      <c r="H355" s="8" t="inlineStr"/>
      <c r="I355" s="9" t="inlineStr"/>
      <c r="J355" s="8" t="inlineStr"/>
      <c r="K355" s="8" t="inlineStr"/>
      <c r="L355" s="8" t="inlineStr"/>
      <c r="M355" s="8" t="inlineStr">
        <is>
          <t>消耗品效果</t>
        </is>
      </c>
      <c r="N355" s="8" t="inlineStr">
        <is>
          <t>consumable</t>
        </is>
      </c>
      <c r="O355" s="9" t="inlineStr">
        <is>
          <t>拥有金灵根时，金灵根永久 +4；金灵根永久 +4</t>
        </is>
      </c>
      <c r="P355" s="9" t="inlineStr">
        <is>
          <t>onUsePill</t>
        </is>
      </c>
      <c r="Q355" s="9" t="inlineStr">
        <is>
          <t>increaseSpiritRoot</t>
        </is>
      </c>
      <c r="R355" s="9" t="inlineStr">
        <is>
          <t>{"kind":"consumable","consumable":{"immediate":true,"resistance":{"maxEffectiveUses":7},"label":"拥有金灵根时，金灵根永久 +4"},"executors":[{"trigger":"onUsePill","type":"increaseSpiritRoot","element":"metal","amount":4,"label":"金灵根永久 +4"}],"label":"拥有金灵根时，金灵根永久 +4"}</t>
        </is>
      </c>
    </row>
    <row r="356" ht="32" customHeight="1">
      <c r="A356" s="8" t="n">
        <v>300043</v>
      </c>
      <c r="B356" s="8" t="inlineStr">
        <is>
          <t>青华凝根丹</t>
        </is>
      </c>
      <c r="C356" s="8" t="inlineStr">
        <is>
          <t>丹药</t>
        </is>
      </c>
      <c r="D356" s="8" t="inlineStr">
        <is>
          <t>spirit</t>
        </is>
      </c>
      <c r="E356" s="8" t="inlineStr">
        <is>
          <t>wood</t>
        </is>
      </c>
      <c r="F356" s="8" t="n">
        <v>1</v>
      </c>
      <c r="G356" s="8" t="inlineStr">
        <is>
          <t>基础/顶层</t>
        </is>
      </c>
      <c r="H356" s="8" t="inlineStr"/>
      <c r="I356" s="9" t="inlineStr"/>
      <c r="J356" s="8" t="inlineStr"/>
      <c r="K356" s="8" t="inlineStr"/>
      <c r="L356" s="8" t="inlineStr"/>
      <c r="M356" s="8" t="inlineStr">
        <is>
          <t>消耗品效果</t>
        </is>
      </c>
      <c r="N356" s="8" t="inlineStr">
        <is>
          <t>consumable</t>
        </is>
      </c>
      <c r="O356" s="9" t="inlineStr">
        <is>
          <t>拥有木灵根时，木灵根永久 +4；木灵根永久 +4</t>
        </is>
      </c>
      <c r="P356" s="9" t="inlineStr">
        <is>
          <t>onUsePill</t>
        </is>
      </c>
      <c r="Q356" s="9" t="inlineStr">
        <is>
          <t>increaseSpiritRoot</t>
        </is>
      </c>
      <c r="R356" s="9" t="inlineStr">
        <is>
          <t>{"kind":"consumable","consumable":{"immediate":true,"resistance":{"maxEffectiveUses":7},"label":"拥有木灵根时，木灵根永久 +4"},"executors":[{"trigger":"onUsePill","type":"increaseSpiritRoot","element":"wood","amount":4,"label":"木灵根永久 +4"}],"label":"拥有木灵根时，木灵根永久 +4"}</t>
        </is>
      </c>
    </row>
    <row r="357" ht="32" customHeight="1">
      <c r="A357" s="8" t="n">
        <v>300044</v>
      </c>
      <c r="B357" s="8" t="inlineStr">
        <is>
          <t>沧溟凝根丹</t>
        </is>
      </c>
      <c r="C357" s="8" t="inlineStr">
        <is>
          <t>丹药</t>
        </is>
      </c>
      <c r="D357" s="8" t="inlineStr">
        <is>
          <t>spirit</t>
        </is>
      </c>
      <c r="E357" s="8" t="inlineStr">
        <is>
          <t>water</t>
        </is>
      </c>
      <c r="F357" s="8" t="n">
        <v>1</v>
      </c>
      <c r="G357" s="8" t="inlineStr">
        <is>
          <t>基础/顶层</t>
        </is>
      </c>
      <c r="H357" s="8" t="inlineStr"/>
      <c r="I357" s="9" t="inlineStr"/>
      <c r="J357" s="8" t="inlineStr"/>
      <c r="K357" s="8" t="inlineStr"/>
      <c r="L357" s="8" t="inlineStr"/>
      <c r="M357" s="8" t="inlineStr">
        <is>
          <t>消耗品效果</t>
        </is>
      </c>
      <c r="N357" s="8" t="inlineStr">
        <is>
          <t>consumable</t>
        </is>
      </c>
      <c r="O357" s="9" t="inlineStr">
        <is>
          <t>拥有水灵根时，水灵根永久 +4；水灵根永久 +4</t>
        </is>
      </c>
      <c r="P357" s="9" t="inlineStr">
        <is>
          <t>onUsePill</t>
        </is>
      </c>
      <c r="Q357" s="9" t="inlineStr">
        <is>
          <t>increaseSpiritRoot</t>
        </is>
      </c>
      <c r="R357" s="9" t="inlineStr">
        <is>
          <t>{"kind":"consumable","consumable":{"immediate":true,"resistance":{"maxEffectiveUses":7},"label":"拥有水灵根时，水灵根永久 +4"},"executors":[{"trigger":"onUsePill","type":"increaseSpiritRoot","element":"water","amount":4,"label":"水灵根永久 +4"}],"label":"拥有水灵根时，水灵根永久 +4"}</t>
        </is>
      </c>
    </row>
    <row r="358" ht="32" customHeight="1">
      <c r="A358" s="8" t="n">
        <v>300045</v>
      </c>
      <c r="B358" s="8" t="inlineStr">
        <is>
          <t>朱明凝根丹</t>
        </is>
      </c>
      <c r="C358" s="8" t="inlineStr">
        <is>
          <t>丹药</t>
        </is>
      </c>
      <c r="D358" s="8" t="inlineStr">
        <is>
          <t>spirit</t>
        </is>
      </c>
      <c r="E358" s="8" t="inlineStr">
        <is>
          <t>fire</t>
        </is>
      </c>
      <c r="F358" s="8" t="n">
        <v>1</v>
      </c>
      <c r="G358" s="8" t="inlineStr">
        <is>
          <t>基础/顶层</t>
        </is>
      </c>
      <c r="H358" s="8" t="inlineStr"/>
      <c r="I358" s="9" t="inlineStr"/>
      <c r="J358" s="8" t="inlineStr"/>
      <c r="K358" s="8" t="inlineStr"/>
      <c r="L358" s="8" t="inlineStr"/>
      <c r="M358" s="8" t="inlineStr">
        <is>
          <t>消耗品效果</t>
        </is>
      </c>
      <c r="N358" s="8" t="inlineStr">
        <is>
          <t>consumable</t>
        </is>
      </c>
      <c r="O358" s="9" t="inlineStr">
        <is>
          <t>拥有火灵根时，火灵根永久 +4；火灵根永久 +4</t>
        </is>
      </c>
      <c r="P358" s="9" t="inlineStr">
        <is>
          <t>onUsePill</t>
        </is>
      </c>
      <c r="Q358" s="9" t="inlineStr">
        <is>
          <t>increaseSpiritRoot</t>
        </is>
      </c>
      <c r="R358" s="9" t="inlineStr">
        <is>
          <t>{"kind":"consumable","consumable":{"immediate":true,"resistance":{"maxEffectiveUses":7},"label":"拥有火灵根时，火灵根永久 +4"},"executors":[{"trigger":"onUsePill","type":"increaseSpiritRoot","element":"fire","amount":4,"label":"火灵根永久 +4"}],"label":"拥有火灵根时，火灵根永久 +4"}</t>
        </is>
      </c>
    </row>
    <row r="359" ht="32" customHeight="1">
      <c r="A359" s="8" t="n">
        <v>300046</v>
      </c>
      <c r="B359" s="8" t="inlineStr">
        <is>
          <t>坤元凝根丹</t>
        </is>
      </c>
      <c r="C359" s="8" t="inlineStr">
        <is>
          <t>丹药</t>
        </is>
      </c>
      <c r="D359" s="8" t="inlineStr">
        <is>
          <t>spirit</t>
        </is>
      </c>
      <c r="E359" s="8" t="inlineStr">
        <is>
          <t>earth</t>
        </is>
      </c>
      <c r="F359" s="8" t="n">
        <v>1</v>
      </c>
      <c r="G359" s="8" t="inlineStr">
        <is>
          <t>基础/顶层</t>
        </is>
      </c>
      <c r="H359" s="8" t="inlineStr"/>
      <c r="I359" s="9" t="inlineStr"/>
      <c r="J359" s="8" t="inlineStr"/>
      <c r="K359" s="8" t="inlineStr"/>
      <c r="L359" s="8" t="inlineStr"/>
      <c r="M359" s="8" t="inlineStr">
        <is>
          <t>消耗品效果</t>
        </is>
      </c>
      <c r="N359" s="8" t="inlineStr">
        <is>
          <t>consumable</t>
        </is>
      </c>
      <c r="O359" s="9" t="inlineStr">
        <is>
          <t>拥有土灵根时，土灵根永久 +4；土灵根永久 +4</t>
        </is>
      </c>
      <c r="P359" s="9" t="inlineStr">
        <is>
          <t>onUsePill</t>
        </is>
      </c>
      <c r="Q359" s="9" t="inlineStr">
        <is>
          <t>increaseSpiritRoot</t>
        </is>
      </c>
      <c r="R359" s="9" t="inlineStr">
        <is>
          <t>{"kind":"consumable","consumable":{"immediate":true,"resistance":{"maxEffectiveUses":7},"label":"拥有土灵根时，土灵根永久 +4"},"executors":[{"trigger":"onUsePill","type":"increaseSpiritRoot","element":"earth","amount":4,"label":"土灵根永久 +4"}],"label":"拥有土灵根时，土灵根永久 +4"}</t>
        </is>
      </c>
    </row>
    <row r="360" ht="32" customHeight="1">
      <c r="A360" s="8" t="n">
        <v>300047</v>
      </c>
      <c r="B360" s="8" t="inlineStr">
        <is>
          <t>白虎洗根丹</t>
        </is>
      </c>
      <c r="C360" s="8" t="inlineStr">
        <is>
          <t>丹药</t>
        </is>
      </c>
      <c r="D360" s="8" t="inlineStr">
        <is>
          <t>mystic</t>
        </is>
      </c>
      <c r="E360" s="8" t="inlineStr">
        <is>
          <t>metal</t>
        </is>
      </c>
      <c r="F360" s="8" t="n">
        <v>1</v>
      </c>
      <c r="G360" s="8" t="inlineStr">
        <is>
          <t>基础/顶层</t>
        </is>
      </c>
      <c r="H360" s="8" t="inlineStr"/>
      <c r="I360" s="9" t="inlineStr"/>
      <c r="J360" s="8" t="inlineStr"/>
      <c r="K360" s="8" t="inlineStr"/>
      <c r="L360" s="8" t="inlineStr"/>
      <c r="M360" s="8" t="inlineStr">
        <is>
          <t>消耗品效果</t>
        </is>
      </c>
      <c r="N360" s="8" t="inlineStr">
        <is>
          <t>consumable</t>
        </is>
      </c>
      <c r="O360" s="9" t="inlineStr">
        <is>
          <t>拥有金灵根时，金灵根永久 +12；金灵根永久 +12</t>
        </is>
      </c>
      <c r="P360" s="9" t="inlineStr">
        <is>
          <t>onUsePill</t>
        </is>
      </c>
      <c r="Q360" s="9" t="inlineStr">
        <is>
          <t>increaseSpiritRoot</t>
        </is>
      </c>
      <c r="R360" s="9" t="inlineStr">
        <is>
          <t>{"kind":"consumable","consumable":{"immediate":true,"resistance":{"maxEffectiveUses":5},"label":"拥有金灵根时，金灵根永久 +12"},"executors":[{"trigger":"onUsePill","type":"increaseSpiritRoot","element":"metal","amount":12,"label":"金灵根永久 +12"}],"label":"拥有金灵根时，金灵根永久 +12"}</t>
        </is>
      </c>
    </row>
    <row r="361" ht="32" customHeight="1">
      <c r="A361" s="8" t="n">
        <v>300048</v>
      </c>
      <c r="B361" s="8" t="inlineStr">
        <is>
          <t>青龙洗根丹</t>
        </is>
      </c>
      <c r="C361" s="8" t="inlineStr">
        <is>
          <t>丹药</t>
        </is>
      </c>
      <c r="D361" s="8" t="inlineStr">
        <is>
          <t>mystic</t>
        </is>
      </c>
      <c r="E361" s="8" t="inlineStr">
        <is>
          <t>wood</t>
        </is>
      </c>
      <c r="F361" s="8" t="n">
        <v>1</v>
      </c>
      <c r="G361" s="8" t="inlineStr">
        <is>
          <t>基础/顶层</t>
        </is>
      </c>
      <c r="H361" s="8" t="inlineStr"/>
      <c r="I361" s="9" t="inlineStr"/>
      <c r="J361" s="8" t="inlineStr"/>
      <c r="K361" s="8" t="inlineStr"/>
      <c r="L361" s="8" t="inlineStr"/>
      <c r="M361" s="8" t="inlineStr">
        <is>
          <t>消耗品效果</t>
        </is>
      </c>
      <c r="N361" s="8" t="inlineStr">
        <is>
          <t>consumable</t>
        </is>
      </c>
      <c r="O361" s="9" t="inlineStr">
        <is>
          <t>拥有木灵根时，木灵根永久 +12；木灵根永久 +12</t>
        </is>
      </c>
      <c r="P361" s="9" t="inlineStr">
        <is>
          <t>onUsePill</t>
        </is>
      </c>
      <c r="Q361" s="9" t="inlineStr">
        <is>
          <t>increaseSpiritRoot</t>
        </is>
      </c>
      <c r="R361" s="9" t="inlineStr">
        <is>
          <t>{"kind":"consumable","consumable":{"immediate":true,"resistance":{"maxEffectiveUses":5},"label":"拥有木灵根时，木灵根永久 +12"},"executors":[{"trigger":"onUsePill","type":"increaseSpiritRoot","element":"wood","amount":12,"label":"木灵根永久 +12"}],"label":"拥有木灵根时，木灵根永久 +12"}</t>
        </is>
      </c>
    </row>
    <row r="362" ht="32" customHeight="1">
      <c r="A362" s="8" t="n">
        <v>300049</v>
      </c>
      <c r="B362" s="8" t="inlineStr">
        <is>
          <t>玄武洗根丹</t>
        </is>
      </c>
      <c r="C362" s="8" t="inlineStr">
        <is>
          <t>丹药</t>
        </is>
      </c>
      <c r="D362" s="8" t="inlineStr">
        <is>
          <t>mystic</t>
        </is>
      </c>
      <c r="E362" s="8" t="inlineStr">
        <is>
          <t>water</t>
        </is>
      </c>
      <c r="F362" s="8" t="n">
        <v>1</v>
      </c>
      <c r="G362" s="8" t="inlineStr">
        <is>
          <t>基础/顶层</t>
        </is>
      </c>
      <c r="H362" s="8" t="inlineStr"/>
      <c r="I362" s="9" t="inlineStr"/>
      <c r="J362" s="8" t="inlineStr"/>
      <c r="K362" s="8" t="inlineStr"/>
      <c r="L362" s="8" t="inlineStr"/>
      <c r="M362" s="8" t="inlineStr">
        <is>
          <t>消耗品效果</t>
        </is>
      </c>
      <c r="N362" s="8" t="inlineStr">
        <is>
          <t>consumable</t>
        </is>
      </c>
      <c r="O362" s="9" t="inlineStr">
        <is>
          <t>拥有水灵根时，水灵根永久 +12；水灵根永久 +12</t>
        </is>
      </c>
      <c r="P362" s="9" t="inlineStr">
        <is>
          <t>onUsePill</t>
        </is>
      </c>
      <c r="Q362" s="9" t="inlineStr">
        <is>
          <t>increaseSpiritRoot</t>
        </is>
      </c>
      <c r="R362" s="9" t="inlineStr">
        <is>
          <t>{"kind":"consumable","consumable":{"immediate":true,"resistance":{"maxEffectiveUses":5},"label":"拥有水灵根时，水灵根永久 +12"},"executors":[{"trigger":"onUsePill","type":"increaseSpiritRoot","element":"water","amount":12,"label":"水灵根永久 +12"}],"label":"拥有水灵根时，水灵根永久 +12"}</t>
        </is>
      </c>
    </row>
    <row r="363" ht="32" customHeight="1">
      <c r="A363" s="8" t="n">
        <v>300050</v>
      </c>
      <c r="B363" s="8" t="inlineStr">
        <is>
          <t>朱雀洗根丹</t>
        </is>
      </c>
      <c r="C363" s="8" t="inlineStr">
        <is>
          <t>丹药</t>
        </is>
      </c>
      <c r="D363" s="8" t="inlineStr">
        <is>
          <t>mystic</t>
        </is>
      </c>
      <c r="E363" s="8" t="inlineStr">
        <is>
          <t>fire</t>
        </is>
      </c>
      <c r="F363" s="8" t="n">
        <v>1</v>
      </c>
      <c r="G363" s="8" t="inlineStr">
        <is>
          <t>基础/顶层</t>
        </is>
      </c>
      <c r="H363" s="8" t="inlineStr"/>
      <c r="I363" s="9" t="inlineStr"/>
      <c r="J363" s="8" t="inlineStr"/>
      <c r="K363" s="8" t="inlineStr"/>
      <c r="L363" s="8" t="inlineStr"/>
      <c r="M363" s="8" t="inlineStr">
        <is>
          <t>消耗品效果</t>
        </is>
      </c>
      <c r="N363" s="8" t="inlineStr">
        <is>
          <t>consumable</t>
        </is>
      </c>
      <c r="O363" s="9" t="inlineStr">
        <is>
          <t>拥有火灵根时，火灵根永久 +12；火灵根永久 +12</t>
        </is>
      </c>
      <c r="P363" s="9" t="inlineStr">
        <is>
          <t>onUsePill</t>
        </is>
      </c>
      <c r="Q363" s="9" t="inlineStr">
        <is>
          <t>increaseSpiritRoot</t>
        </is>
      </c>
      <c r="R363" s="9" t="inlineStr">
        <is>
          <t>{"kind":"consumable","consumable":{"immediate":true,"resistance":{"maxEffectiveUses":5},"label":"拥有火灵根时，火灵根永久 +12"},"executors":[{"trigger":"onUsePill","type":"increaseSpiritRoot","element":"fire","amount":12,"label":"火灵根永久 +12"}],"label":"拥有火灵根时，火灵根永久 +12"}</t>
        </is>
      </c>
    </row>
    <row r="364" ht="32" customHeight="1">
      <c r="A364" s="8" t="n">
        <v>300051</v>
      </c>
      <c r="B364" s="8" t="inlineStr">
        <is>
          <t>麒麟洗根丹</t>
        </is>
      </c>
      <c r="C364" s="8" t="inlineStr">
        <is>
          <t>丹药</t>
        </is>
      </c>
      <c r="D364" s="8" t="inlineStr">
        <is>
          <t>mystic</t>
        </is>
      </c>
      <c r="E364" s="8" t="inlineStr">
        <is>
          <t>earth</t>
        </is>
      </c>
      <c r="F364" s="8" t="n">
        <v>1</v>
      </c>
      <c r="G364" s="8" t="inlineStr">
        <is>
          <t>基础/顶层</t>
        </is>
      </c>
      <c r="H364" s="8" t="inlineStr"/>
      <c r="I364" s="9" t="inlineStr"/>
      <c r="J364" s="8" t="inlineStr"/>
      <c r="K364" s="8" t="inlineStr"/>
      <c r="L364" s="8" t="inlineStr"/>
      <c r="M364" s="8" t="inlineStr">
        <is>
          <t>消耗品效果</t>
        </is>
      </c>
      <c r="N364" s="8" t="inlineStr">
        <is>
          <t>consumable</t>
        </is>
      </c>
      <c r="O364" s="9" t="inlineStr">
        <is>
          <t>拥有土灵根时，土灵根永久 +12；土灵根永久 +12</t>
        </is>
      </c>
      <c r="P364" s="9" t="inlineStr">
        <is>
          <t>onUsePill</t>
        </is>
      </c>
      <c r="Q364" s="9" t="inlineStr">
        <is>
          <t>increaseSpiritRoot</t>
        </is>
      </c>
      <c r="R364" s="9" t="inlineStr">
        <is>
          <t>{"kind":"consumable","consumable":{"immediate":true,"resistance":{"maxEffectiveUses":5},"label":"拥有土灵根时，土灵根永久 +12"},"executors":[{"trigger":"onUsePill","type":"increaseSpiritRoot","element":"earth","amount":12,"label":"土灵根永久 +12"}],"label":"拥有土灵根时，土灵根永久 +12"}</t>
        </is>
      </c>
    </row>
    <row r="365" ht="32" customHeight="1">
      <c r="A365" s="8" t="n">
        <v>300052</v>
      </c>
      <c r="B365" s="8" t="inlineStr">
        <is>
          <t>白帝铸根丹</t>
        </is>
      </c>
      <c r="C365" s="8" t="inlineStr">
        <is>
          <t>丹药</t>
        </is>
      </c>
      <c r="D365" s="8" t="inlineStr">
        <is>
          <t>earth</t>
        </is>
      </c>
      <c r="E365" s="8" t="inlineStr">
        <is>
          <t>metal</t>
        </is>
      </c>
      <c r="F365" s="8" t="n">
        <v>1</v>
      </c>
      <c r="G365" s="8" t="inlineStr">
        <is>
          <t>基础/顶层</t>
        </is>
      </c>
      <c r="H365" s="8" t="inlineStr"/>
      <c r="I365" s="9" t="inlineStr"/>
      <c r="J365" s="8" t="inlineStr"/>
      <c r="K365" s="8" t="inlineStr"/>
      <c r="L365" s="8" t="inlineStr"/>
      <c r="M365" s="8" t="inlineStr">
        <is>
          <t>消耗品效果</t>
        </is>
      </c>
      <c r="N365" s="8" t="inlineStr">
        <is>
          <t>consumable</t>
        </is>
      </c>
      <c r="O365" s="9" t="inlineStr">
        <is>
          <t>拥有金灵根时，金灵根永久 +30；金灵根永久 +30</t>
        </is>
      </c>
      <c r="P365" s="9" t="inlineStr">
        <is>
          <t>onUsePill</t>
        </is>
      </c>
      <c r="Q365" s="9" t="inlineStr">
        <is>
          <t>increaseSpiritRoot</t>
        </is>
      </c>
      <c r="R365" s="9" t="inlineStr">
        <is>
          <t>{"kind":"consumable","consumable":{"immediate":true,"resistance":{"maxEffectiveUses":3},"label":"拥有金灵根时，金灵根永久 +30"},"executors":[{"trigger":"onUsePill","type":"increaseSpiritRoot","element":"metal","amount":30,"label":"金灵根永久 +30"}],"label":"拥有金灵根时，金灵根永久 +30"}</t>
        </is>
      </c>
    </row>
    <row r="366" ht="32" customHeight="1">
      <c r="A366" s="8" t="n">
        <v>300053</v>
      </c>
      <c r="B366" s="8" t="inlineStr">
        <is>
          <t>青帝铸根丹</t>
        </is>
      </c>
      <c r="C366" s="8" t="inlineStr">
        <is>
          <t>丹药</t>
        </is>
      </c>
      <c r="D366" s="8" t="inlineStr">
        <is>
          <t>earth</t>
        </is>
      </c>
      <c r="E366" s="8" t="inlineStr">
        <is>
          <t>wood</t>
        </is>
      </c>
      <c r="F366" s="8" t="n">
        <v>1</v>
      </c>
      <c r="G366" s="8" t="inlineStr">
        <is>
          <t>基础/顶层</t>
        </is>
      </c>
      <c r="H366" s="8" t="inlineStr"/>
      <c r="I366" s="9" t="inlineStr"/>
      <c r="J366" s="8" t="inlineStr"/>
      <c r="K366" s="8" t="inlineStr"/>
      <c r="L366" s="8" t="inlineStr"/>
      <c r="M366" s="8" t="inlineStr">
        <is>
          <t>消耗品效果</t>
        </is>
      </c>
      <c r="N366" s="8" t="inlineStr">
        <is>
          <t>consumable</t>
        </is>
      </c>
      <c r="O366" s="9" t="inlineStr">
        <is>
          <t>拥有木灵根时，木灵根永久 +30；木灵根永久 +30</t>
        </is>
      </c>
      <c r="P366" s="9" t="inlineStr">
        <is>
          <t>onUsePill</t>
        </is>
      </c>
      <c r="Q366" s="9" t="inlineStr">
        <is>
          <t>increaseSpiritRoot</t>
        </is>
      </c>
      <c r="R366" s="9" t="inlineStr">
        <is>
          <t>{"kind":"consumable","consumable":{"immediate":true,"resistance":{"maxEffectiveUses":3},"label":"拥有木灵根时，木灵根永久 +30"},"executors":[{"trigger":"onUsePill","type":"increaseSpiritRoot","element":"wood","amount":30,"label":"木灵根永久 +30"}],"label":"拥有木灵根时，木灵根永久 +30"}</t>
        </is>
      </c>
    </row>
    <row r="367" ht="32" customHeight="1">
      <c r="A367" s="8" t="n">
        <v>300054</v>
      </c>
      <c r="B367" s="8" t="inlineStr">
        <is>
          <t>黑帝铸根丹</t>
        </is>
      </c>
      <c r="C367" s="8" t="inlineStr">
        <is>
          <t>丹药</t>
        </is>
      </c>
      <c r="D367" s="8" t="inlineStr">
        <is>
          <t>earth</t>
        </is>
      </c>
      <c r="E367" s="8" t="inlineStr">
        <is>
          <t>water</t>
        </is>
      </c>
      <c r="F367" s="8" t="n">
        <v>1</v>
      </c>
      <c r="G367" s="8" t="inlineStr">
        <is>
          <t>基础/顶层</t>
        </is>
      </c>
      <c r="H367" s="8" t="inlineStr"/>
      <c r="I367" s="9" t="inlineStr"/>
      <c r="J367" s="8" t="inlineStr"/>
      <c r="K367" s="8" t="inlineStr"/>
      <c r="L367" s="8" t="inlineStr"/>
      <c r="M367" s="8" t="inlineStr">
        <is>
          <t>消耗品效果</t>
        </is>
      </c>
      <c r="N367" s="8" t="inlineStr">
        <is>
          <t>consumable</t>
        </is>
      </c>
      <c r="O367" s="9" t="inlineStr">
        <is>
          <t>拥有水灵根时，水灵根永久 +30；水灵根永久 +30</t>
        </is>
      </c>
      <c r="P367" s="9" t="inlineStr">
        <is>
          <t>onUsePill</t>
        </is>
      </c>
      <c r="Q367" s="9" t="inlineStr">
        <is>
          <t>increaseSpiritRoot</t>
        </is>
      </c>
      <c r="R367" s="9" t="inlineStr">
        <is>
          <t>{"kind":"consumable","consumable":{"immediate":true,"resistance":{"maxEffectiveUses":3},"label":"拥有水灵根时，水灵根永久 +30"},"executors":[{"trigger":"onUsePill","type":"increaseSpiritRoot","element":"water","amount":30,"label":"水灵根永久 +30"}],"label":"拥有水灵根时，水灵根永久 +30"}</t>
        </is>
      </c>
    </row>
    <row r="368" ht="32" customHeight="1">
      <c r="A368" s="8" t="n">
        <v>300055</v>
      </c>
      <c r="B368" s="8" t="inlineStr">
        <is>
          <t>赤帝铸根丹</t>
        </is>
      </c>
      <c r="C368" s="8" t="inlineStr">
        <is>
          <t>丹药</t>
        </is>
      </c>
      <c r="D368" s="8" t="inlineStr">
        <is>
          <t>earth</t>
        </is>
      </c>
      <c r="E368" s="8" t="inlineStr">
        <is>
          <t>fire</t>
        </is>
      </c>
      <c r="F368" s="8" t="n">
        <v>1</v>
      </c>
      <c r="G368" s="8" t="inlineStr">
        <is>
          <t>基础/顶层</t>
        </is>
      </c>
      <c r="H368" s="8" t="inlineStr"/>
      <c r="I368" s="9" t="inlineStr"/>
      <c r="J368" s="8" t="inlineStr"/>
      <c r="K368" s="8" t="inlineStr"/>
      <c r="L368" s="8" t="inlineStr"/>
      <c r="M368" s="8" t="inlineStr">
        <is>
          <t>消耗品效果</t>
        </is>
      </c>
      <c r="N368" s="8" t="inlineStr">
        <is>
          <t>consumable</t>
        </is>
      </c>
      <c r="O368" s="9" t="inlineStr">
        <is>
          <t>拥有火灵根时，火灵根永久 +30；火灵根永久 +30</t>
        </is>
      </c>
      <c r="P368" s="9" t="inlineStr">
        <is>
          <t>onUsePill</t>
        </is>
      </c>
      <c r="Q368" s="9" t="inlineStr">
        <is>
          <t>increaseSpiritRoot</t>
        </is>
      </c>
      <c r="R368" s="9" t="inlineStr">
        <is>
          <t>{"kind":"consumable","consumable":{"immediate":true,"resistance":{"maxEffectiveUses":3},"label":"拥有火灵根时，火灵根永久 +30"},"executors":[{"trigger":"onUsePill","type":"increaseSpiritRoot","element":"fire","amount":30,"label":"火灵根永久 +30"}],"label":"拥有火灵根时，火灵根永久 +30"}</t>
        </is>
      </c>
    </row>
    <row r="369" ht="32" customHeight="1">
      <c r="A369" s="8" t="n">
        <v>300056</v>
      </c>
      <c r="B369" s="8" t="inlineStr">
        <is>
          <t>黄帝铸根丹</t>
        </is>
      </c>
      <c r="C369" s="8" t="inlineStr">
        <is>
          <t>丹药</t>
        </is>
      </c>
      <c r="D369" s="8" t="inlineStr">
        <is>
          <t>earth</t>
        </is>
      </c>
      <c r="E369" s="8" t="inlineStr">
        <is>
          <t>earth</t>
        </is>
      </c>
      <c r="F369" s="8" t="n">
        <v>1</v>
      </c>
      <c r="G369" s="8" t="inlineStr">
        <is>
          <t>基础/顶层</t>
        </is>
      </c>
      <c r="H369" s="8" t="inlineStr"/>
      <c r="I369" s="9" t="inlineStr"/>
      <c r="J369" s="8" t="inlineStr"/>
      <c r="K369" s="8" t="inlineStr"/>
      <c r="L369" s="8" t="inlineStr"/>
      <c r="M369" s="8" t="inlineStr">
        <is>
          <t>消耗品效果</t>
        </is>
      </c>
      <c r="N369" s="8" t="inlineStr">
        <is>
          <t>consumable</t>
        </is>
      </c>
      <c r="O369" s="9" t="inlineStr">
        <is>
          <t>拥有土灵根时，土灵根永久 +30；土灵根永久 +30</t>
        </is>
      </c>
      <c r="P369" s="9" t="inlineStr">
        <is>
          <t>onUsePill</t>
        </is>
      </c>
      <c r="Q369" s="9" t="inlineStr">
        <is>
          <t>increaseSpiritRoot</t>
        </is>
      </c>
      <c r="R369" s="9" t="inlineStr">
        <is>
          <t>{"kind":"consumable","consumable":{"immediate":true,"resistance":{"maxEffectiveUses":3},"label":"拥有土灵根时，土灵根永久 +30"},"executors":[{"trigger":"onUsePill","type":"increaseSpiritRoot","element":"earth","amount":30,"label":"土灵根永久 +30"}],"label":"拥有土灵根时，土灵根永久 +30"}</t>
        </is>
      </c>
    </row>
    <row r="370" ht="32" customHeight="1">
      <c r="A370" s="8" t="n">
        <v>300057</v>
      </c>
      <c r="B370" s="8" t="inlineStr">
        <is>
          <t>金髓丹</t>
        </is>
      </c>
      <c r="C370" s="8" t="inlineStr">
        <is>
          <t>丹药</t>
        </is>
      </c>
      <c r="D370" s="8" t="inlineStr">
        <is>
          <t>spirit</t>
        </is>
      </c>
      <c r="E370" s="8" t="inlineStr">
        <is>
          <t>fire</t>
        </is>
      </c>
      <c r="F370" s="8" t="n">
        <v>1</v>
      </c>
      <c r="G370" s="8" t="inlineStr">
        <is>
          <t>基础/顶层</t>
        </is>
      </c>
      <c r="H370" s="8" t="inlineStr"/>
      <c r="I370" s="9" t="inlineStr"/>
      <c r="J370" s="8" t="inlineStr"/>
      <c r="K370" s="8" t="inlineStr"/>
      <c r="L370" s="8" t="inlineStr"/>
      <c r="M370" s="8" t="inlineStr">
        <is>
          <t>消耗品效果</t>
        </is>
      </c>
      <c r="N370" s="8" t="inlineStr">
        <is>
          <t>consumable</t>
        </is>
      </c>
      <c r="O370" s="9" t="inlineStr">
        <is>
          <t>恢复 100 点气血、100 点体力和 100 点法力</t>
        </is>
      </c>
      <c r="P370" s="9" t="inlineStr">
        <is>
          <t>onConsumableExhausted</t>
        </is>
      </c>
      <c r="Q370" s="9" t="inlineStr">
        <is>
          <t>grantResources；primaryStat</t>
        </is>
      </c>
      <c r="R370" s="9" t="inlineStr">
        <is>
          <t>{"kind":"consumable","consumable":{"durationSec":5,"maxUses":1,"label":"恢复 100 点气血、100 点体力和 100 点法力"},"executors":[{"trigger":"onConsumableExhausted","type":"grantResources","grants":[{"type":"primaryStat","stat":"health","delta":100},{"type":"primaryStat","stat":"stamina","delta":100},{"type":"primaryStat","stat":"mana","delta":100}],"label":"恢复 100 点气血、100 点体力和 100 点法力"}]}</t>
        </is>
      </c>
    </row>
    <row r="371" ht="32" customHeight="1">
      <c r="A371" s="8" t="n">
        <v>300058</v>
      </c>
      <c r="B371" s="8" t="inlineStr">
        <is>
          <t>养元丹</t>
        </is>
      </c>
      <c r="C371" s="8" t="inlineStr">
        <is>
          <t>丹药</t>
        </is>
      </c>
      <c r="D371" s="8" t="inlineStr">
        <is>
          <t>spirit</t>
        </is>
      </c>
      <c r="E371" s="8" t="inlineStr">
        <is>
          <t>wood</t>
        </is>
      </c>
      <c r="F371" s="8" t="n">
        <v>1</v>
      </c>
      <c r="G371" s="8" t="inlineStr">
        <is>
          <t>基础/顶层</t>
        </is>
      </c>
      <c r="H371" s="8" t="inlineStr"/>
      <c r="I371" s="9" t="inlineStr"/>
      <c r="J371" s="8" t="inlineStr"/>
      <c r="K371" s="8" t="inlineStr"/>
      <c r="L371" s="8" t="inlineStr"/>
      <c r="M371" s="8" t="inlineStr">
        <is>
          <t>消耗品效果</t>
        </is>
      </c>
      <c r="N371" s="8" t="inlineStr">
        <is>
          <t>consumable</t>
        </is>
      </c>
      <c r="O371" s="9" t="inlineStr">
        <is>
          <t>获得 50 层再生</t>
        </is>
      </c>
      <c r="P371" s="9" t="inlineStr">
        <is>
          <t>onConsumableExhausted</t>
        </is>
      </c>
      <c r="Q371" s="9" t="inlineStr">
        <is>
          <t>applyBuff</t>
        </is>
      </c>
      <c r="R371" s="9" t="inlineStr">
        <is>
          <t>{"kind":"consumable","consumable":{"durationSec":5,"maxUses":1,"label":"获得 50 层再生"},"executors":[{"trigger":"onConsumableExhausted","type":"applyBuff","buffId":"regeneration","count":50,"label":"获得 50 层再生"}]}</t>
        </is>
      </c>
    </row>
    <row r="372" ht="32" customHeight="1">
      <c r="A372" s="8" t="n">
        <v>300059</v>
      </c>
      <c r="B372" s="8" t="inlineStr">
        <is>
          <t>回灵丹</t>
        </is>
      </c>
      <c r="C372" s="8" t="inlineStr">
        <is>
          <t>丹药</t>
        </is>
      </c>
      <c r="D372" s="8" t="inlineStr">
        <is>
          <t>spirit</t>
        </is>
      </c>
      <c r="E372" s="8" t="inlineStr">
        <is>
          <t>water</t>
        </is>
      </c>
      <c r="F372" s="8" t="n">
        <v>1</v>
      </c>
      <c r="G372" s="8" t="inlineStr">
        <is>
          <t>基础/顶层</t>
        </is>
      </c>
      <c r="H372" s="8" t="inlineStr"/>
      <c r="I372" s="9" t="inlineStr"/>
      <c r="J372" s="8" t="inlineStr"/>
      <c r="K372" s="8" t="inlineStr"/>
      <c r="L372" s="8" t="inlineStr"/>
      <c r="M372" s="8" t="inlineStr">
        <is>
          <t>消耗品效果</t>
        </is>
      </c>
      <c r="N372" s="8" t="inlineStr">
        <is>
          <t>consumable</t>
        </is>
      </c>
      <c r="O372" s="9" t="inlineStr">
        <is>
          <t>恢复 300 点法力</t>
        </is>
      </c>
      <c r="P372" s="9" t="inlineStr">
        <is>
          <t>onConsumableExhausted</t>
        </is>
      </c>
      <c r="Q372" s="9" t="inlineStr">
        <is>
          <t>modifyPlayerPrimaryStat</t>
        </is>
      </c>
      <c r="R372" s="9" t="inlineStr">
        <is>
          <t>{"kind":"consumable","consumable":{"durationSec":5,"maxUses":1,"label":"恢复 300 点法力"},"executors":[{"trigger":"onConsumableExhausted","type":"modifyPlayerPrimaryStat","stat":"mana","delta":300,"label":"恢复 300 点法力"}]}</t>
        </is>
      </c>
    </row>
    <row r="373" ht="32" customHeight="1">
      <c r="A373" s="8" t="n">
        <v>300060</v>
      </c>
      <c r="B373" s="8" t="inlineStr">
        <is>
          <t>凡品残丹</t>
        </is>
      </c>
      <c r="C373" s="8" t="inlineStr">
        <is>
          <t>丹药</t>
        </is>
      </c>
      <c r="D373" s="8" t="inlineStr">
        <is>
          <t>common</t>
        </is>
      </c>
      <c r="E373" s="8" t="inlineStr">
        <is>
          <t>none</t>
        </is>
      </c>
      <c r="F373" s="8" t="n">
        <v>1</v>
      </c>
      <c r="G373" s="8" t="inlineStr">
        <is>
          <t>基础/顶层</t>
        </is>
      </c>
      <c r="H373" s="8" t="inlineStr"/>
      <c r="I373" s="9" t="inlineStr"/>
      <c r="J373" s="8" t="inlineStr"/>
      <c r="K373" s="8" t="inlineStr"/>
      <c r="L373" s="8" t="inlineStr"/>
      <c r="M373" s="8" t="inlineStr">
        <is>
          <t>消耗品效果</t>
        </is>
      </c>
      <c r="N373" s="8" t="inlineStr">
        <is>
          <t>consumable</t>
        </is>
      </c>
      <c r="O373" s="9" t="inlineStr">
        <is>
          <t>恢复 3 点法力</t>
        </is>
      </c>
      <c r="P373" s="9" t="inlineStr">
        <is>
          <t>onConsumableExhausted</t>
        </is>
      </c>
      <c r="Q373" s="9" t="inlineStr">
        <is>
          <t>modifyPlayerPrimaryStat</t>
        </is>
      </c>
      <c r="R373" s="9" t="inlineStr">
        <is>
          <t>{"kind":"consumable","consumable":{"durationSec":2,"maxUses":1,"label":"恢复 3 点法力"},"executors":[{"trigger":"onConsumableExhausted","type":"modifyPlayerPrimaryStat","stat":"mana","delta":3,"label":"恢复 3 点法力"}],"label":"恢复 3 点法力"}</t>
        </is>
      </c>
    </row>
    <row r="374" ht="32" customHeight="1">
      <c r="A374" s="8" t="n">
        <v>300061</v>
      </c>
      <c r="B374" s="8" t="inlineStr">
        <is>
          <t>灵品残丹</t>
        </is>
      </c>
      <c r="C374" s="8" t="inlineStr">
        <is>
          <t>丹药</t>
        </is>
      </c>
      <c r="D374" s="8" t="inlineStr">
        <is>
          <t>spirit</t>
        </is>
      </c>
      <c r="E374" s="8" t="inlineStr">
        <is>
          <t>none</t>
        </is>
      </c>
      <c r="F374" s="8" t="n">
        <v>1</v>
      </c>
      <c r="G374" s="8" t="inlineStr">
        <is>
          <t>基础/顶层</t>
        </is>
      </c>
      <c r="H374" s="8" t="inlineStr"/>
      <c r="I374" s="9" t="inlineStr"/>
      <c r="J374" s="8" t="inlineStr"/>
      <c r="K374" s="8" t="inlineStr"/>
      <c r="L374" s="8" t="inlineStr"/>
      <c r="M374" s="8" t="inlineStr">
        <is>
          <t>消耗品效果</t>
        </is>
      </c>
      <c r="N374" s="8" t="inlineStr">
        <is>
          <t>consumable</t>
        </is>
      </c>
      <c r="O374" s="9" t="inlineStr">
        <is>
          <t>恢复 30 点法力</t>
        </is>
      </c>
      <c r="P374" s="9" t="inlineStr">
        <is>
          <t>onConsumableExhausted</t>
        </is>
      </c>
      <c r="Q374" s="9" t="inlineStr">
        <is>
          <t>modifyPlayerPrimaryStat</t>
        </is>
      </c>
      <c r="R374" s="9" t="inlineStr">
        <is>
          <t>{"kind":"consumable","consumable":{"durationSec":2,"maxUses":1,"label":"恢复 30 点法力"},"executors":[{"trigger":"onConsumableExhausted","type":"modifyPlayerPrimaryStat","stat":"mana","delta":30,"label":"恢复 30 点法力"}],"label":"恢复 30 点法力"}</t>
        </is>
      </c>
    </row>
    <row r="375" ht="32" customHeight="1">
      <c r="A375" s="8" t="n">
        <v>300062</v>
      </c>
      <c r="B375" s="8" t="inlineStr">
        <is>
          <t>筑基丹</t>
        </is>
      </c>
      <c r="C375" s="8" t="inlineStr">
        <is>
          <t>丹药</t>
        </is>
      </c>
      <c r="D375" s="8" t="inlineStr">
        <is>
          <t>common</t>
        </is>
      </c>
      <c r="E375" s="8" t="inlineStr">
        <is>
          <t>none</t>
        </is>
      </c>
      <c r="F375" s="8" t="n">
        <v>1</v>
      </c>
      <c r="G375" s="8" t="inlineStr">
        <is>
          <t>基础/顶层</t>
        </is>
      </c>
      <c r="H375" s="8" t="inlineStr"/>
      <c r="I375" s="9" t="inlineStr"/>
      <c r="J375" s="8" t="inlineStr"/>
      <c r="K375" s="8" t="inlineStr"/>
      <c r="L375" s="8" t="inlineStr"/>
      <c r="M375" s="8" t="inlineStr">
        <is>
          <t>消耗品效果</t>
        </is>
      </c>
      <c r="N375" s="8" t="inlineStr">
        <is>
          <t>consumable</t>
        </is>
      </c>
      <c r="O375" s="9" t="inlineStr">
        <is>
          <t>服下此丹，助力筑基破境</t>
        </is>
      </c>
      <c r="P375" s="9" t="inlineStr"/>
      <c r="Q375" s="9" t="inlineStr"/>
      <c r="R375" s="9" t="inlineStr">
        <is>
          <t>{"kind":"consumable","consumable":{"immediate":true,"maxUses":1,"label":"服下此丹，助力筑基破境"},"label":"服下此丹，助力筑基破境"}</t>
        </is>
      </c>
    </row>
    <row r="376" ht="32" customHeight="1">
      <c r="A376" s="8" t="n">
        <v>300063</v>
      </c>
      <c r="B376" s="8" t="inlineStr">
        <is>
          <t>凝寒丹</t>
        </is>
      </c>
      <c r="C376" s="8" t="inlineStr">
        <is>
          <t>丹药</t>
        </is>
      </c>
      <c r="D376" s="8" t="inlineStr">
        <is>
          <t>common</t>
        </is>
      </c>
      <c r="E376" s="8" t="inlineStr">
        <is>
          <t>water</t>
        </is>
      </c>
      <c r="F376" s="8" t="n">
        <v>1</v>
      </c>
      <c r="G376" s="8" t="inlineStr">
        <is>
          <t>基础/顶层</t>
        </is>
      </c>
      <c r="H376" s="8" t="inlineStr"/>
      <c r="I376" s="9" t="inlineStr"/>
      <c r="J376" s="8" t="inlineStr"/>
      <c r="K376" s="8" t="inlineStr"/>
      <c r="L376" s="8" t="inlineStr"/>
      <c r="M376" s="8" t="inlineStr">
        <is>
          <t>消耗品效果</t>
        </is>
      </c>
      <c r="N376" s="8" t="inlineStr">
        <is>
          <t>consumable</t>
        </is>
      </c>
      <c r="O376" s="9" t="inlineStr">
        <is>
          <t>寒冷上限永久 +1</t>
        </is>
      </c>
      <c r="P376" s="9" t="inlineStr">
        <is>
          <t>onConsumableExhausted</t>
        </is>
      </c>
      <c r="Q376" s="9" t="inlineStr">
        <is>
          <t>increaseBuffStackCap</t>
        </is>
      </c>
      <c r="R376" s="9" t="inlineStr">
        <is>
          <t>{"kind":"consumable","consumable":{"immediate":true,"resistance":{"maxEffectiveUses":10},"label":"寒冷上限永久 +1"},"executors":[{"trigger":"onConsumableExhausted","type":"increaseBuffStackCap","buffId":"cold","delta":1,"label":"寒冷上限永久 +1"}],"label":"寒冷上限永久 +1"}</t>
        </is>
      </c>
    </row>
    <row r="377" ht="32" customHeight="1">
      <c r="A377" s="8" t="n">
        <v>300064</v>
      </c>
      <c r="B377" s="8" t="inlineStr">
        <is>
          <t>负岳丹</t>
        </is>
      </c>
      <c r="C377" s="8" t="inlineStr">
        <is>
          <t>丹药</t>
        </is>
      </c>
      <c r="D377" s="8" t="inlineStr">
        <is>
          <t>common</t>
        </is>
      </c>
      <c r="E377" s="8" t="inlineStr">
        <is>
          <t>earth</t>
        </is>
      </c>
      <c r="F377" s="8" t="n">
        <v>1</v>
      </c>
      <c r="G377" s="8" t="inlineStr">
        <is>
          <t>基础/顶层</t>
        </is>
      </c>
      <c r="H377" s="8" t="inlineStr"/>
      <c r="I377" s="9" t="inlineStr"/>
      <c r="J377" s="8" t="inlineStr"/>
      <c r="K377" s="8" t="inlineStr"/>
      <c r="L377" s="8" t="inlineStr"/>
      <c r="M377" s="8" t="inlineStr">
        <is>
          <t>消耗品效果</t>
        </is>
      </c>
      <c r="N377" s="8" t="inlineStr">
        <is>
          <t>consumable</t>
        </is>
      </c>
      <c r="O377" s="9" t="inlineStr">
        <is>
          <t>蓄势上限永久 +1</t>
        </is>
      </c>
      <c r="P377" s="9" t="inlineStr">
        <is>
          <t>onConsumableExhausted</t>
        </is>
      </c>
      <c r="Q377" s="9" t="inlineStr">
        <is>
          <t>increaseBuffStackCap</t>
        </is>
      </c>
      <c r="R377" s="9" t="inlineStr">
        <is>
          <t>{"kind":"consumable","consumable":{"immediate":true,"resistance":{"maxEffectiveUses":10},"label":"蓄势上限永久 +1"},"executors":[{"trigger":"onConsumableExhausted","type":"increaseBuffStackCap","buffId":"heavy","delta":1,"label":"蓄势上限永久 +1"}],"label":"蓄势上限永久 +1"}</t>
        </is>
      </c>
    </row>
    <row r="378" ht="32" customHeight="1">
      <c r="A378" s="8" t="n">
        <v>300065</v>
      </c>
      <c r="B378" s="8" t="inlineStr">
        <is>
          <t>轻身丹</t>
        </is>
      </c>
      <c r="C378" s="8" t="inlineStr">
        <is>
          <t>丹药</t>
        </is>
      </c>
      <c r="D378" s="8" t="inlineStr">
        <is>
          <t>common</t>
        </is>
      </c>
      <c r="E378" s="8" t="inlineStr">
        <is>
          <t>wind</t>
        </is>
      </c>
      <c r="F378" s="8" t="n">
        <v>1</v>
      </c>
      <c r="G378" s="8" t="inlineStr">
        <is>
          <t>基础/顶层</t>
        </is>
      </c>
      <c r="H378" s="8" t="inlineStr"/>
      <c r="I378" s="9" t="inlineStr"/>
      <c r="J378" s="8" t="inlineStr"/>
      <c r="K378" s="8" t="inlineStr"/>
      <c r="L378" s="8" t="inlineStr"/>
      <c r="M378" s="8" t="inlineStr">
        <is>
          <t>消耗品效果</t>
        </is>
      </c>
      <c r="N378" s="8" t="inlineStr">
        <is>
          <t>consumable</t>
        </is>
      </c>
      <c r="O378" s="9" t="inlineStr">
        <is>
          <t>敏捷上限永久 +1</t>
        </is>
      </c>
      <c r="P378" s="9" t="inlineStr">
        <is>
          <t>onConsumableExhausted</t>
        </is>
      </c>
      <c r="Q378" s="9" t="inlineStr">
        <is>
          <t>increaseBuffStackCap</t>
        </is>
      </c>
      <c r="R378" s="9" t="inlineStr">
        <is>
          <t>{"kind":"consumable","consumable":{"immediate":true,"resistance":{"maxEffectiveUses":10},"label":"敏捷上限永久 +1"},"executors":[{"trigger":"onConsumableExhausted","type":"increaseBuffStackCap","buffId":"agile","delta":1,"label":"敏捷上限永久 +1"}],"label":"敏捷上限永久 +1"}</t>
        </is>
      </c>
    </row>
    <row r="379" ht="32" customHeight="1">
      <c r="A379" s="8" t="n">
        <v>300066</v>
      </c>
      <c r="B379" s="8" t="inlineStr">
        <is>
          <t>露华丹</t>
        </is>
      </c>
      <c r="C379" s="8" t="inlineStr">
        <is>
          <t>丹药</t>
        </is>
      </c>
      <c r="D379" s="8" t="inlineStr">
        <is>
          <t>common</t>
        </is>
      </c>
      <c r="E379" s="8" t="inlineStr">
        <is>
          <t>water</t>
        </is>
      </c>
      <c r="F379" s="8" t="n">
        <v>1</v>
      </c>
      <c r="G379" s="8" t="inlineStr">
        <is>
          <t>基础/顶层</t>
        </is>
      </c>
      <c r="H379" s="8" t="inlineStr"/>
      <c r="I379" s="9" t="inlineStr"/>
      <c r="J379" s="8" t="inlineStr"/>
      <c r="K379" s="8" t="inlineStr"/>
      <c r="L379" s="8" t="inlineStr"/>
      <c r="M379" s="8" t="inlineStr">
        <is>
          <t>消耗品效果</t>
        </is>
      </c>
      <c r="N379" s="8" t="inlineStr">
        <is>
          <t>consumable</t>
        </is>
      </c>
      <c r="O379" s="9" t="inlineStr">
        <is>
          <t>露水上限永久 +1</t>
        </is>
      </c>
      <c r="P379" s="9" t="inlineStr">
        <is>
          <t>onConsumableExhausted</t>
        </is>
      </c>
      <c r="Q379" s="9" t="inlineStr">
        <is>
          <t>increaseBuffStackCap</t>
        </is>
      </c>
      <c r="R379" s="9" t="inlineStr">
        <is>
          <t>{"kind":"consumable","consumable":{"immediate":true,"resistance":{"maxEffectiveUses":10},"label":"露水上限永久 +1"},"executors":[{"trigger":"onConsumableExhausted","type":"increaseBuffStackCap","buffId":"dew","delta":1,"label":"露水上限永久 +1"}],"label":"露水上限永久 +1"}</t>
        </is>
      </c>
    </row>
    <row r="380" ht="32" customHeight="1">
      <c r="A380" s="8" t="n">
        <v>300067</v>
      </c>
      <c r="B380" s="8" t="inlineStr">
        <is>
          <t>凝金丹</t>
        </is>
      </c>
      <c r="C380" s="8" t="inlineStr">
        <is>
          <t>丹药</t>
        </is>
      </c>
      <c r="D380" s="8" t="inlineStr">
        <is>
          <t>common</t>
        </is>
      </c>
      <c r="E380" s="8" t="inlineStr">
        <is>
          <t>metal</t>
        </is>
      </c>
      <c r="F380" s="8" t="n">
        <v>1</v>
      </c>
      <c r="G380" s="8" t="inlineStr">
        <is>
          <t>基础/顶层</t>
        </is>
      </c>
      <c r="H380" s="8" t="inlineStr"/>
      <c r="I380" s="9" t="inlineStr"/>
      <c r="J380" s="8" t="inlineStr"/>
      <c r="K380" s="8" t="inlineStr"/>
      <c r="L380" s="8" t="inlineStr"/>
      <c r="M380" s="8" t="inlineStr">
        <is>
          <t>消耗品效果</t>
        </is>
      </c>
      <c r="N380" s="8" t="inlineStr">
        <is>
          <t>consumable</t>
        </is>
      </c>
      <c r="O380" s="9" t="inlineStr">
        <is>
          <t>凝金上限永久 +1</t>
        </is>
      </c>
      <c r="P380" s="9" t="inlineStr">
        <is>
          <t>onConsumableExhausted</t>
        </is>
      </c>
      <c r="Q380" s="9" t="inlineStr">
        <is>
          <t>increaseBuffStackCap</t>
        </is>
      </c>
      <c r="R380" s="9" t="inlineStr">
        <is>
          <t>{"kind":"consumable","consumable":{"immediate":true,"resistance":{"maxEffectiveUses":10},"label":"凝金上限永久 +1"},"executors":[{"trigger":"onConsumableExhausted","type":"increaseBuffStackCap","buffId":"condensedMetal","delta":1,"label":"凝金上限永久 +1"}],"label":"凝金上限永久 +1"}</t>
        </is>
      </c>
    </row>
    <row r="381" ht="32" customHeight="1">
      <c r="A381" s="8" t="n">
        <v>300068</v>
      </c>
      <c r="B381" s="8" t="inlineStr">
        <is>
          <t>护甲丹</t>
        </is>
      </c>
      <c r="C381" s="8" t="inlineStr">
        <is>
          <t>丹药</t>
        </is>
      </c>
      <c r="D381" s="8" t="inlineStr">
        <is>
          <t>common</t>
        </is>
      </c>
      <c r="E381" s="8" t="inlineStr">
        <is>
          <t>none</t>
        </is>
      </c>
      <c r="F381" s="8" t="n">
        <v>1</v>
      </c>
      <c r="G381" s="8" t="inlineStr">
        <is>
          <t>基础/顶层</t>
        </is>
      </c>
      <c r="H381" s="8" t="inlineStr"/>
      <c r="I381" s="9" t="inlineStr"/>
      <c r="J381" s="8" t="inlineStr"/>
      <c r="K381" s="8" t="inlineStr"/>
      <c r="L381" s="8" t="inlineStr"/>
      <c r="M381" s="8" t="inlineStr">
        <is>
          <t>消耗品效果</t>
        </is>
      </c>
      <c r="N381" s="8" t="inlineStr">
        <is>
          <t>consumable</t>
        </is>
      </c>
      <c r="O381" s="9" t="inlineStr">
        <is>
          <t>护甲上限永久 +2</t>
        </is>
      </c>
      <c r="P381" s="9" t="inlineStr">
        <is>
          <t>onConsumableExhausted</t>
        </is>
      </c>
      <c r="Q381" s="9" t="inlineStr">
        <is>
          <t>increaseBuffStackCap</t>
        </is>
      </c>
      <c r="R381" s="9" t="inlineStr">
        <is>
          <t>{"kind":"consumable","consumable":{"immediate":true,"resistance":{"maxEffectiveUses":10},"label":"护甲上限永久 +2"},"executors":[{"trigger":"onConsumableExhausted","type":"increaseBuffStackCap","buffId":"armor","delta":2,"label":"护甲上限永久 +2"}],"label":"护甲上限永久 +2"}</t>
        </is>
      </c>
    </row>
    <row r="382" ht="32" customHeight="1">
      <c r="A382" s="8" t="n">
        <v>300069</v>
      </c>
      <c r="B382" s="8" t="inlineStr">
        <is>
          <t>逐影丹</t>
        </is>
      </c>
      <c r="C382" s="8" t="inlineStr">
        <is>
          <t>丹药</t>
        </is>
      </c>
      <c r="D382" s="8" t="inlineStr">
        <is>
          <t>common</t>
        </is>
      </c>
      <c r="E382" s="8" t="inlineStr">
        <is>
          <t>none</t>
        </is>
      </c>
      <c r="F382" s="8" t="n">
        <v>1</v>
      </c>
      <c r="G382" s="8" t="inlineStr">
        <is>
          <t>基础/顶层</t>
        </is>
      </c>
      <c r="H382" s="8" t="inlineStr"/>
      <c r="I382" s="9" t="inlineStr"/>
      <c r="J382" s="8" t="inlineStr"/>
      <c r="K382" s="8" t="inlineStr"/>
      <c r="L382" s="8" t="inlineStr"/>
      <c r="M382" s="8" t="inlineStr">
        <is>
          <t>消耗品效果</t>
        </is>
      </c>
      <c r="N382" s="8" t="inlineStr">
        <is>
          <t>consumable</t>
        </is>
      </c>
      <c r="O382" s="9" t="inlineStr">
        <is>
          <t>闪避上限永久 +1</t>
        </is>
      </c>
      <c r="P382" s="9" t="inlineStr">
        <is>
          <t>onConsumableExhausted</t>
        </is>
      </c>
      <c r="Q382" s="9" t="inlineStr">
        <is>
          <t>increaseBuffStackCap</t>
        </is>
      </c>
      <c r="R382" s="9" t="inlineStr">
        <is>
          <t>{"kind":"consumable","consumable":{"immediate":true,"resistance":{"maxEffectiveUses":10},"label":"闪避上限永久 +1"},"executors":[{"trigger":"onConsumableExhausted","type":"increaseBuffStackCap","buffId":"dodge","delta":1,"label":"闪避上限永久 +1"}],"label":"闪避上限永久 +1"}</t>
        </is>
      </c>
    </row>
    <row r="383" ht="32" customHeight="1">
      <c r="A383" s="8" t="n">
        <v>300070</v>
      </c>
      <c r="B383" s="8" t="inlineStr">
        <is>
          <t>青木回春丹</t>
        </is>
      </c>
      <c r="C383" s="8" t="inlineStr">
        <is>
          <t>丹药</t>
        </is>
      </c>
      <c r="D383" s="8" t="inlineStr">
        <is>
          <t>common</t>
        </is>
      </c>
      <c r="E383" s="8" t="inlineStr">
        <is>
          <t>wood</t>
        </is>
      </c>
      <c r="F383" s="8" t="n">
        <v>1</v>
      </c>
      <c r="G383" s="8" t="inlineStr">
        <is>
          <t>基础/顶层</t>
        </is>
      </c>
      <c r="H383" s="8" t="inlineStr"/>
      <c r="I383" s="9" t="inlineStr"/>
      <c r="J383" s="8" t="inlineStr"/>
      <c r="K383" s="8" t="inlineStr"/>
      <c r="L383" s="8" t="inlineStr"/>
      <c r="M383" s="8" t="inlineStr">
        <is>
          <t>消耗品效果</t>
        </is>
      </c>
      <c r="N383" s="8" t="inlineStr">
        <is>
          <t>consumable</t>
        </is>
      </c>
      <c r="O383" s="9" t="inlineStr">
        <is>
          <t>再生上限永久 +1</t>
        </is>
      </c>
      <c r="P383" s="9" t="inlineStr">
        <is>
          <t>onConsumableExhausted</t>
        </is>
      </c>
      <c r="Q383" s="9" t="inlineStr">
        <is>
          <t>increaseBuffStackCap</t>
        </is>
      </c>
      <c r="R383" s="9" t="inlineStr">
        <is>
          <t>{"kind":"consumable","consumable":{"immediate":true,"resistance":{"maxEffectiveUses":10},"label":"再生上限永久 +1"},"executors":[{"trigger":"onConsumableExhausted","type":"increaseBuffStackCap","buffId":"regeneration","delta":1,"label":"再生上限永久 +1"}],"label":"再生上限永久 +1"}</t>
        </is>
      </c>
    </row>
    <row r="384" ht="32" customHeight="1">
      <c r="A384" s="8" t="n">
        <v>300071</v>
      </c>
      <c r="B384" s="8" t="inlineStr">
        <is>
          <t>坚元丹</t>
        </is>
      </c>
      <c r="C384" s="8" t="inlineStr">
        <is>
          <t>丹药</t>
        </is>
      </c>
      <c r="D384" s="8" t="inlineStr">
        <is>
          <t>common</t>
        </is>
      </c>
      <c r="E384" s="8" t="inlineStr">
        <is>
          <t>earth</t>
        </is>
      </c>
      <c r="F384" s="8" t="n">
        <v>1</v>
      </c>
      <c r="G384" s="8" t="inlineStr">
        <is>
          <t>基础/顶层</t>
        </is>
      </c>
      <c r="H384" s="8" t="inlineStr"/>
      <c r="I384" s="9" t="inlineStr"/>
      <c r="J384" s="8" t="inlineStr"/>
      <c r="K384" s="8" t="inlineStr"/>
      <c r="L384" s="8" t="inlineStr"/>
      <c r="M384" s="8" t="inlineStr">
        <is>
          <t>消耗品效果</t>
        </is>
      </c>
      <c r="N384" s="8" t="inlineStr">
        <is>
          <t>consumable</t>
        </is>
      </c>
      <c r="O384" s="9" t="inlineStr">
        <is>
          <t>获得 3 层坚硬</t>
        </is>
      </c>
      <c r="P384" s="9" t="inlineStr">
        <is>
          <t>onConsumableExhausted</t>
        </is>
      </c>
      <c r="Q384" s="9" t="inlineStr">
        <is>
          <t>applyBuff</t>
        </is>
      </c>
      <c r="R384" s="9" t="inlineStr">
        <is>
          <t>{"kind":"consumable","consumable":{"durationSec":5,"maxUses":1,"label":"获得 3 层坚硬"},"executors":[{"trigger":"onConsumableExhausted","type":"applyBuff","buffId":"sturdy","count":3,"label":"获得 3 层坚硬"}],"label":"获得 3 层坚硬"}</t>
        </is>
      </c>
    </row>
    <row r="385" ht="32" customHeight="1">
      <c r="A385" s="8" t="n">
        <v>300072</v>
      </c>
      <c r="B385" s="8" t="inlineStr">
        <is>
          <t>炎息丹</t>
        </is>
      </c>
      <c r="C385" s="8" t="inlineStr">
        <is>
          <t>丹药</t>
        </is>
      </c>
      <c r="D385" s="8" t="inlineStr">
        <is>
          <t>common</t>
        </is>
      </c>
      <c r="E385" s="8" t="inlineStr">
        <is>
          <t>fire</t>
        </is>
      </c>
      <c r="F385" s="8" t="n">
        <v>1</v>
      </c>
      <c r="G385" s="8" t="inlineStr">
        <is>
          <t>基础/顶层</t>
        </is>
      </c>
      <c r="H385" s="8" t="inlineStr"/>
      <c r="I385" s="9" t="inlineStr"/>
      <c r="J385" s="8" t="inlineStr"/>
      <c r="K385" s="8" t="inlineStr"/>
      <c r="L385" s="8" t="inlineStr"/>
      <c r="M385" s="8" t="inlineStr">
        <is>
          <t>消耗品效果</t>
        </is>
      </c>
      <c r="N385" s="8" t="inlineStr">
        <is>
          <t>consumable</t>
        </is>
      </c>
      <c r="O385" s="9" t="inlineStr">
        <is>
          <t>获得 10 层炎热</t>
        </is>
      </c>
      <c r="P385" s="9" t="inlineStr">
        <is>
          <t>onConsumableExhausted</t>
        </is>
      </c>
      <c r="Q385" s="9" t="inlineStr">
        <is>
          <t>applyBuff</t>
        </is>
      </c>
      <c r="R385" s="9" t="inlineStr">
        <is>
          <t>{"kind":"consumable","consumable":{"durationSec":5,"maxUses":1,"label":"获得 10 层炎热"},"executors":[{"trigger":"onConsumableExhausted","type":"applyBuff","buffId":"heat","count":10,"label":"获得 10 层炎热"}],"label":"获得 10 层炎热"}</t>
        </is>
      </c>
    </row>
    <row r="386" ht="32" customHeight="1">
      <c r="A386" s="8" t="n">
        <v>300073</v>
      </c>
      <c r="B386" s="8" t="inlineStr">
        <is>
          <t>寒息丹</t>
        </is>
      </c>
      <c r="C386" s="8" t="inlineStr">
        <is>
          <t>丹药</t>
        </is>
      </c>
      <c r="D386" s="8" t="inlineStr">
        <is>
          <t>common</t>
        </is>
      </c>
      <c r="E386" s="8" t="inlineStr">
        <is>
          <t>water</t>
        </is>
      </c>
      <c r="F386" s="8" t="n">
        <v>1</v>
      </c>
      <c r="G386" s="8" t="inlineStr">
        <is>
          <t>基础/顶层</t>
        </is>
      </c>
      <c r="H386" s="8" t="inlineStr"/>
      <c r="I386" s="9" t="inlineStr"/>
      <c r="J386" s="8" t="inlineStr"/>
      <c r="K386" s="8" t="inlineStr"/>
      <c r="L386" s="8" t="inlineStr"/>
      <c r="M386" s="8" t="inlineStr">
        <is>
          <t>消耗品效果</t>
        </is>
      </c>
      <c r="N386" s="8" t="inlineStr">
        <is>
          <t>consumable</t>
        </is>
      </c>
      <c r="O386" s="9" t="inlineStr">
        <is>
          <t>获得 10 层寒冷</t>
        </is>
      </c>
      <c r="P386" s="9" t="inlineStr">
        <is>
          <t>onConsumableExhausted</t>
        </is>
      </c>
      <c r="Q386" s="9" t="inlineStr">
        <is>
          <t>applyBuff</t>
        </is>
      </c>
      <c r="R386" s="9" t="inlineStr">
        <is>
          <t>{"kind":"consumable","consumable":{"durationSec":5,"maxUses":1,"label":"获得 10 层寒冷"},"executors":[{"trigger":"onConsumableExhausted","type":"applyBuff","buffId":"cold","count":10,"label":"获得 10 层寒冷"}],"label":"获得 10 层寒冷"}</t>
        </is>
      </c>
    </row>
    <row r="387" ht="32" customHeight="1">
      <c r="A387" s="8" t="n">
        <v>300074</v>
      </c>
      <c r="B387" s="8" t="inlineStr">
        <is>
          <t>负岳丸</t>
        </is>
      </c>
      <c r="C387" s="8" t="inlineStr">
        <is>
          <t>丹药</t>
        </is>
      </c>
      <c r="D387" s="8" t="inlineStr">
        <is>
          <t>common</t>
        </is>
      </c>
      <c r="E387" s="8" t="inlineStr">
        <is>
          <t>earth</t>
        </is>
      </c>
      <c r="F387" s="8" t="n">
        <v>1</v>
      </c>
      <c r="G387" s="8" t="inlineStr">
        <is>
          <t>基础/顶层</t>
        </is>
      </c>
      <c r="H387" s="8" t="inlineStr"/>
      <c r="I387" s="9" t="inlineStr"/>
      <c r="J387" s="8" t="inlineStr"/>
      <c r="K387" s="8" t="inlineStr"/>
      <c r="L387" s="8" t="inlineStr"/>
      <c r="M387" s="8" t="inlineStr">
        <is>
          <t>消耗品效果</t>
        </is>
      </c>
      <c r="N387" s="8" t="inlineStr">
        <is>
          <t>consumable</t>
        </is>
      </c>
      <c r="O387" s="9" t="inlineStr">
        <is>
          <t>获得 3 层蓄势</t>
        </is>
      </c>
      <c r="P387" s="9" t="inlineStr">
        <is>
          <t>onConsumableExhausted</t>
        </is>
      </c>
      <c r="Q387" s="9" t="inlineStr">
        <is>
          <t>applyBuff</t>
        </is>
      </c>
      <c r="R387" s="9" t="inlineStr">
        <is>
          <t>{"kind":"consumable","consumable":{"durationSec":5,"maxUses":1,"label":"获得 3 层蓄势"},"executors":[{"trigger":"onConsumableExhausted","type":"applyBuff","buffId":"heavy","count":3,"label":"获得 3 层蓄势"}],"label":"获得 3 层蓄势"}</t>
        </is>
      </c>
    </row>
    <row r="388" ht="32" customHeight="1">
      <c r="A388" s="8" t="n">
        <v>300075</v>
      </c>
      <c r="B388" s="8" t="inlineStr">
        <is>
          <t>轻身丸</t>
        </is>
      </c>
      <c r="C388" s="8" t="inlineStr">
        <is>
          <t>丹药</t>
        </is>
      </c>
      <c r="D388" s="8" t="inlineStr">
        <is>
          <t>common</t>
        </is>
      </c>
      <c r="E388" s="8" t="inlineStr">
        <is>
          <t>wind</t>
        </is>
      </c>
      <c r="F388" s="8" t="n">
        <v>1</v>
      </c>
      <c r="G388" s="8" t="inlineStr">
        <is>
          <t>基础/顶层</t>
        </is>
      </c>
      <c r="H388" s="8" t="inlineStr"/>
      <c r="I388" s="9" t="inlineStr"/>
      <c r="J388" s="8" t="inlineStr"/>
      <c r="K388" s="8" t="inlineStr"/>
      <c r="L388" s="8" t="inlineStr"/>
      <c r="M388" s="8" t="inlineStr">
        <is>
          <t>消耗品效果</t>
        </is>
      </c>
      <c r="N388" s="8" t="inlineStr">
        <is>
          <t>consumable</t>
        </is>
      </c>
      <c r="O388" s="9" t="inlineStr">
        <is>
          <t>获得 3 层敏捷</t>
        </is>
      </c>
      <c r="P388" s="9" t="inlineStr">
        <is>
          <t>onConsumableExhausted</t>
        </is>
      </c>
      <c r="Q388" s="9" t="inlineStr">
        <is>
          <t>applyBuff</t>
        </is>
      </c>
      <c r="R388" s="9" t="inlineStr">
        <is>
          <t>{"kind":"consumable","consumable":{"durationSec":5,"maxUses":1,"label":"获得 3 层敏捷"},"executors":[{"trigger":"onConsumableExhausted","type":"applyBuff","buffId":"agile","count":3,"label":"获得 3 层敏捷"}],"label":"获得 3 层敏捷"}</t>
        </is>
      </c>
    </row>
    <row r="389" ht="32" customHeight="1">
      <c r="A389" s="8" t="n">
        <v>300076</v>
      </c>
      <c r="B389" s="8" t="inlineStr">
        <is>
          <t>露华丸</t>
        </is>
      </c>
      <c r="C389" s="8" t="inlineStr">
        <is>
          <t>丹药</t>
        </is>
      </c>
      <c r="D389" s="8" t="inlineStr">
        <is>
          <t>common</t>
        </is>
      </c>
      <c r="E389" s="8" t="inlineStr">
        <is>
          <t>water</t>
        </is>
      </c>
      <c r="F389" s="8" t="n">
        <v>1</v>
      </c>
      <c r="G389" s="8" t="inlineStr">
        <is>
          <t>基础/顶层</t>
        </is>
      </c>
      <c r="H389" s="8" t="inlineStr"/>
      <c r="I389" s="9" t="inlineStr"/>
      <c r="J389" s="8" t="inlineStr"/>
      <c r="K389" s="8" t="inlineStr"/>
      <c r="L389" s="8" t="inlineStr"/>
      <c r="M389" s="8" t="inlineStr">
        <is>
          <t>消耗品效果</t>
        </is>
      </c>
      <c r="N389" s="8" t="inlineStr">
        <is>
          <t>consumable</t>
        </is>
      </c>
      <c r="O389" s="9" t="inlineStr">
        <is>
          <t>获得 10 层露水</t>
        </is>
      </c>
      <c r="P389" s="9" t="inlineStr">
        <is>
          <t>onConsumableExhausted</t>
        </is>
      </c>
      <c r="Q389" s="9" t="inlineStr">
        <is>
          <t>applyBuff</t>
        </is>
      </c>
      <c r="R389" s="9" t="inlineStr">
        <is>
          <t>{"kind":"consumable","consumable":{"durationSec":5,"maxUses":1,"label":"获得 10 层露水"},"executors":[{"trigger":"onConsumableExhausted","type":"applyBuff","buffId":"dew","count":10,"label":"获得 10 层露水"}],"label":"获得 10 层露水"}</t>
        </is>
      </c>
    </row>
    <row r="390" ht="32" customHeight="1">
      <c r="A390" s="8" t="n">
        <v>300077</v>
      </c>
      <c r="B390" s="8" t="inlineStr">
        <is>
          <t>凝金丸</t>
        </is>
      </c>
      <c r="C390" s="8" t="inlineStr">
        <is>
          <t>丹药</t>
        </is>
      </c>
      <c r="D390" s="8" t="inlineStr">
        <is>
          <t>common</t>
        </is>
      </c>
      <c r="E390" s="8" t="inlineStr">
        <is>
          <t>metal</t>
        </is>
      </c>
      <c r="F390" s="8" t="n">
        <v>1</v>
      </c>
      <c r="G390" s="8" t="inlineStr">
        <is>
          <t>基础/顶层</t>
        </is>
      </c>
      <c r="H390" s="8" t="inlineStr"/>
      <c r="I390" s="9" t="inlineStr"/>
      <c r="J390" s="8" t="inlineStr"/>
      <c r="K390" s="8" t="inlineStr"/>
      <c r="L390" s="8" t="inlineStr"/>
      <c r="M390" s="8" t="inlineStr">
        <is>
          <t>消耗品效果</t>
        </is>
      </c>
      <c r="N390" s="8" t="inlineStr">
        <is>
          <t>consumable</t>
        </is>
      </c>
      <c r="O390" s="9" t="inlineStr">
        <is>
          <t>获得 10 层凝金</t>
        </is>
      </c>
      <c r="P390" s="9" t="inlineStr">
        <is>
          <t>onConsumableExhausted</t>
        </is>
      </c>
      <c r="Q390" s="9" t="inlineStr">
        <is>
          <t>applyBuff</t>
        </is>
      </c>
      <c r="R390" s="9" t="inlineStr">
        <is>
          <t>{"kind":"consumable","consumable":{"durationSec":5,"maxUses":1,"label":"获得 10 层凝金"},"executors":[{"trigger":"onConsumableExhausted","type":"applyBuff","buffId":"condensedMetal","count":10,"label":"获得 10 层凝金"}],"label":"获得 10 层凝金"}</t>
        </is>
      </c>
    </row>
    <row r="391" ht="32" customHeight="1">
      <c r="A391" s="8" t="n">
        <v>300078</v>
      </c>
      <c r="B391" s="8" t="inlineStr">
        <is>
          <t>护甲散</t>
        </is>
      </c>
      <c r="C391" s="8" t="inlineStr">
        <is>
          <t>丹药</t>
        </is>
      </c>
      <c r="D391" s="8" t="inlineStr">
        <is>
          <t>common</t>
        </is>
      </c>
      <c r="E391" s="8" t="inlineStr">
        <is>
          <t>none</t>
        </is>
      </c>
      <c r="F391" s="8" t="n">
        <v>1</v>
      </c>
      <c r="G391" s="8" t="inlineStr">
        <is>
          <t>基础/顶层</t>
        </is>
      </c>
      <c r="H391" s="8" t="inlineStr"/>
      <c r="I391" s="9" t="inlineStr"/>
      <c r="J391" s="8" t="inlineStr"/>
      <c r="K391" s="8" t="inlineStr"/>
      <c r="L391" s="8" t="inlineStr"/>
      <c r="M391" s="8" t="inlineStr">
        <is>
          <t>消耗品效果</t>
        </is>
      </c>
      <c r="N391" s="8" t="inlineStr">
        <is>
          <t>consumable</t>
        </is>
      </c>
      <c r="O391" s="9" t="inlineStr">
        <is>
          <t>获得 15 层护甲</t>
        </is>
      </c>
      <c r="P391" s="9" t="inlineStr">
        <is>
          <t>onConsumableExhausted</t>
        </is>
      </c>
      <c r="Q391" s="9" t="inlineStr">
        <is>
          <t>applyBuff</t>
        </is>
      </c>
      <c r="R391" s="9" t="inlineStr">
        <is>
          <t>{"kind":"consumable","consumable":{"durationSec":5,"maxUses":1,"label":"获得 15 层护甲"},"executors":[{"trigger":"onConsumableExhausted","type":"applyBuff","buffId":"armor","count":15,"label":"获得 15 层护甲"}],"label":"获得 15 层护甲"}</t>
        </is>
      </c>
    </row>
    <row r="392" ht="32" customHeight="1">
      <c r="A392" s="8" t="n">
        <v>300079</v>
      </c>
      <c r="B392" s="8" t="inlineStr">
        <is>
          <t>流影散</t>
        </is>
      </c>
      <c r="C392" s="8" t="inlineStr">
        <is>
          <t>丹药</t>
        </is>
      </c>
      <c r="D392" s="8" t="inlineStr">
        <is>
          <t>common</t>
        </is>
      </c>
      <c r="E392" s="8" t="inlineStr">
        <is>
          <t>none</t>
        </is>
      </c>
      <c r="F392" s="8" t="n">
        <v>1</v>
      </c>
      <c r="G392" s="8" t="inlineStr">
        <is>
          <t>基础/顶层</t>
        </is>
      </c>
      <c r="H392" s="8" t="inlineStr"/>
      <c r="I392" s="9" t="inlineStr"/>
      <c r="J392" s="8" t="inlineStr"/>
      <c r="K392" s="8" t="inlineStr"/>
      <c r="L392" s="8" t="inlineStr"/>
      <c r="M392" s="8" t="inlineStr">
        <is>
          <t>消耗品效果</t>
        </is>
      </c>
      <c r="N392" s="8" t="inlineStr">
        <is>
          <t>consumable</t>
        </is>
      </c>
      <c r="O392" s="9" t="inlineStr">
        <is>
          <t>获得 5 层闪避</t>
        </is>
      </c>
      <c r="P392" s="9" t="inlineStr">
        <is>
          <t>onConsumableExhausted</t>
        </is>
      </c>
      <c r="Q392" s="9" t="inlineStr">
        <is>
          <t>applyBuff</t>
        </is>
      </c>
      <c r="R392" s="9" t="inlineStr">
        <is>
          <t>{"kind":"consumable","consumable":{"durationSec":5,"maxUses":1,"label":"获得 5 层闪避"},"executors":[{"trigger":"onConsumableExhausted","type":"applyBuff","buffId":"dodge","count":5,"label":"获得 5 层闪避"}],"label":"获得 5 层闪避"}</t>
        </is>
      </c>
    </row>
    <row r="393" ht="32" customHeight="1">
      <c r="A393" s="8" t="n">
        <v>300080</v>
      </c>
      <c r="B393" s="8" t="inlineStr">
        <is>
          <t>回春散</t>
        </is>
      </c>
      <c r="C393" s="8" t="inlineStr">
        <is>
          <t>丹药</t>
        </is>
      </c>
      <c r="D393" s="8" t="inlineStr">
        <is>
          <t>common</t>
        </is>
      </c>
      <c r="E393" s="8" t="inlineStr">
        <is>
          <t>wood</t>
        </is>
      </c>
      <c r="F393" s="8" t="n">
        <v>1</v>
      </c>
      <c r="G393" s="8" t="inlineStr">
        <is>
          <t>基础/顶层</t>
        </is>
      </c>
      <c r="H393" s="8" t="inlineStr"/>
      <c r="I393" s="9" t="inlineStr"/>
      <c r="J393" s="8" t="inlineStr"/>
      <c r="K393" s="8" t="inlineStr"/>
      <c r="L393" s="8" t="inlineStr"/>
      <c r="M393" s="8" t="inlineStr">
        <is>
          <t>消耗品效果</t>
        </is>
      </c>
      <c r="N393" s="8" t="inlineStr">
        <is>
          <t>consumable</t>
        </is>
      </c>
      <c r="O393" s="9" t="inlineStr">
        <is>
          <t>获得 5 层再生</t>
        </is>
      </c>
      <c r="P393" s="9" t="inlineStr">
        <is>
          <t>onConsumableExhausted</t>
        </is>
      </c>
      <c r="Q393" s="9" t="inlineStr">
        <is>
          <t>applyBuff</t>
        </is>
      </c>
      <c r="R393" s="9" t="inlineStr">
        <is>
          <t>{"kind":"consumable","consumable":{"durationSec":5,"maxUses":1,"label":"获得 5 层再生"},"executors":[{"trigger":"onConsumableExhausted","type":"applyBuff","buffId":"regeneration","count":5,"label":"获得 5 层再生"}],"label":"获得 5 层再生"}</t>
        </is>
      </c>
    </row>
    <row r="394" ht="32" customHeight="1">
      <c r="A394" s="8" t="n">
        <v>300081</v>
      </c>
      <c r="B394" s="8" t="inlineStr">
        <is>
          <t>血魄养元丹</t>
        </is>
      </c>
      <c r="C394" s="8" t="inlineStr">
        <is>
          <t>丹药</t>
        </is>
      </c>
      <c r="D394" s="8" t="inlineStr">
        <is>
          <t>spirit</t>
        </is>
      </c>
      <c r="E394" s="8" t="inlineStr">
        <is>
          <t>none</t>
        </is>
      </c>
      <c r="F394" s="8" t="n">
        <v>1</v>
      </c>
      <c r="G394" s="8" t="inlineStr">
        <is>
          <t>基础/顶层</t>
        </is>
      </c>
      <c r="H394" s="8" t="inlineStr"/>
      <c r="I394" s="9" t="inlineStr"/>
      <c r="J394" s="8" t="inlineStr"/>
      <c r="K394" s="8" t="inlineStr"/>
      <c r="L394" s="8" t="inlineStr"/>
      <c r="M394" s="8" t="inlineStr">
        <is>
          <t>消耗品效果</t>
        </is>
      </c>
      <c r="N394" s="8" t="inlineStr">
        <is>
          <t>consumable</t>
        </is>
      </c>
      <c r="O394" s="9" t="inlineStr">
        <is>
          <t>气血上限永久 +30</t>
        </is>
      </c>
      <c r="P394" s="9" t="inlineStr">
        <is>
          <t>onConsumableExhausted</t>
        </is>
      </c>
      <c r="Q394" s="9" t="inlineStr">
        <is>
          <t>increasePrimaryStatMax</t>
        </is>
      </c>
      <c r="R394" s="9" t="inlineStr">
        <is>
          <t>{"kind":"consumable","consumable":{"immediate":true,"resistance":{"maxEffectiveUses":10},"label":"气血上限永久 +30"},"executors":[{"trigger":"onConsumableExhausted","type":"increasePrimaryStatMax","stat":"health","delta":30,"label":"气血上限永久 +30"}],"label":"气血上限永久 +30"}</t>
        </is>
      </c>
    </row>
    <row r="395" ht="32" customHeight="1">
      <c r="A395" s="8" t="n">
        <v>300082</v>
      </c>
      <c r="B395" s="8" t="inlineStr">
        <is>
          <t>回元护脉丹</t>
        </is>
      </c>
      <c r="C395" s="8" t="inlineStr">
        <is>
          <t>丹药</t>
        </is>
      </c>
      <c r="D395" s="8" t="inlineStr">
        <is>
          <t>common</t>
        </is>
      </c>
      <c r="E395" s="8" t="inlineStr">
        <is>
          <t>none</t>
        </is>
      </c>
      <c r="F395" s="8" t="n">
        <v>1</v>
      </c>
      <c r="G395" s="8" t="inlineStr">
        <is>
          <t>基础/顶层</t>
        </is>
      </c>
      <c r="H395" s="8" t="inlineStr"/>
      <c r="I395" s="9" t="inlineStr"/>
      <c r="J395" s="8" t="inlineStr"/>
      <c r="K395" s="8" t="inlineStr"/>
      <c r="L395" s="8" t="inlineStr"/>
      <c r="M395" s="8" t="inlineStr">
        <is>
          <t>消耗品效果</t>
        </is>
      </c>
      <c r="N395" s="8" t="inlineStr">
        <is>
          <t>consumable</t>
        </is>
      </c>
      <c r="O395" s="9" t="inlineStr">
        <is>
          <t>本局内气血上限 +30</t>
        </is>
      </c>
      <c r="P395" s="9" t="inlineStr">
        <is>
          <t>onUsePill</t>
        </is>
      </c>
      <c r="Q395" s="9" t="inlineStr">
        <is>
          <t>increaseSingleGamePrimaryStatMax</t>
        </is>
      </c>
      <c r="R395" s="9" t="inlineStr">
        <is>
          <t>{"kind":"consumable","consumable":{"durationSec":3,"maxUses":1,"label":"本局内气血上限 +30"},"executors":[{"trigger":"onUsePill","type":"increaseSingleGamePrimaryStatMax","stat":"health","delta":30,"label":"本局内气血上限 +30"}]}</t>
        </is>
      </c>
    </row>
    <row r="396" ht="32" customHeight="1">
      <c r="A396" s="8" t="n">
        <v>300083</v>
      </c>
      <c r="B396" s="8" t="inlineStr">
        <is>
          <t>磐石铸骨丹</t>
        </is>
      </c>
      <c r="C396" s="8" t="inlineStr">
        <is>
          <t>丹药</t>
        </is>
      </c>
      <c r="D396" s="8" t="inlineStr">
        <is>
          <t>spirit</t>
        </is>
      </c>
      <c r="E396" s="8" t="inlineStr">
        <is>
          <t>earth</t>
        </is>
      </c>
      <c r="F396" s="8" t="n">
        <v>1</v>
      </c>
      <c r="G396" s="8" t="inlineStr">
        <is>
          <t>基础/顶层</t>
        </is>
      </c>
      <c r="H396" s="8" t="inlineStr"/>
      <c r="I396" s="9" t="inlineStr"/>
      <c r="J396" s="8" t="inlineStr"/>
      <c r="K396" s="8" t="inlineStr"/>
      <c r="L396" s="8" t="inlineStr"/>
      <c r="M396" s="8" t="inlineStr">
        <is>
          <t>消耗品效果</t>
        </is>
      </c>
      <c r="N396" s="8" t="inlineStr">
        <is>
          <t>consumable</t>
        </is>
      </c>
      <c r="O396" s="9" t="inlineStr">
        <is>
          <t>坚硬上限永久 +4</t>
        </is>
      </c>
      <c r="P396" s="9" t="inlineStr">
        <is>
          <t>onConsumableExhausted</t>
        </is>
      </c>
      <c r="Q396" s="9" t="inlineStr">
        <is>
          <t>increaseBuffStackCap</t>
        </is>
      </c>
      <c r="R396" s="9" t="inlineStr">
        <is>
          <t>{"kind":"consumable","consumable":{"immediate":true,"resistance":{"maxEffectiveUses":10},"label":"坚硬上限永久 +4"},"executors":[{"trigger":"onConsumableExhausted","type":"increaseBuffStackCap","buffId":"sturdy","delta":4,"label":"坚硬上限永久 +4"}],"label":"坚硬上限永久 +4"}</t>
        </is>
      </c>
    </row>
    <row r="397" ht="32" customHeight="1">
      <c r="A397" s="8" t="n">
        <v>300084</v>
      </c>
      <c r="B397" s="8" t="inlineStr">
        <is>
          <t>赤炉蕴火丹</t>
        </is>
      </c>
      <c r="C397" s="8" t="inlineStr">
        <is>
          <t>丹药</t>
        </is>
      </c>
      <c r="D397" s="8" t="inlineStr">
        <is>
          <t>spirit</t>
        </is>
      </c>
      <c r="E397" s="8" t="inlineStr">
        <is>
          <t>fire</t>
        </is>
      </c>
      <c r="F397" s="8" t="n">
        <v>1</v>
      </c>
      <c r="G397" s="8" t="inlineStr">
        <is>
          <t>基础/顶层</t>
        </is>
      </c>
      <c r="H397" s="8" t="inlineStr"/>
      <c r="I397" s="9" t="inlineStr"/>
      <c r="J397" s="8" t="inlineStr"/>
      <c r="K397" s="8" t="inlineStr"/>
      <c r="L397" s="8" t="inlineStr"/>
      <c r="M397" s="8" t="inlineStr">
        <is>
          <t>消耗品效果</t>
        </is>
      </c>
      <c r="N397" s="8" t="inlineStr">
        <is>
          <t>consumable</t>
        </is>
      </c>
      <c r="O397" s="9" t="inlineStr">
        <is>
          <t>炎热上限永久 +5</t>
        </is>
      </c>
      <c r="P397" s="9" t="inlineStr">
        <is>
          <t>onConsumableExhausted</t>
        </is>
      </c>
      <c r="Q397" s="9" t="inlineStr">
        <is>
          <t>increaseBuffStackCap</t>
        </is>
      </c>
      <c r="R397" s="9" t="inlineStr">
        <is>
          <t>{"kind":"consumable","consumable":{"immediate":true,"resistance":{"maxEffectiveUses":10},"label":"炎热上限永久 +5"},"executors":[{"trigger":"onConsumableExhausted","type":"increaseBuffStackCap","buffId":"heat","delta":5,"label":"炎热上限永久 +5"}],"label":"炎热上限永久 +5"}</t>
        </is>
      </c>
    </row>
    <row r="398" ht="32" customHeight="1">
      <c r="A398" s="8" t="n">
        <v>300085</v>
      </c>
      <c r="B398" s="8" t="inlineStr">
        <is>
          <t>玄霜镇脉丹</t>
        </is>
      </c>
      <c r="C398" s="8" t="inlineStr">
        <is>
          <t>丹药</t>
        </is>
      </c>
      <c r="D398" s="8" t="inlineStr">
        <is>
          <t>spirit</t>
        </is>
      </c>
      <c r="E398" s="8" t="inlineStr">
        <is>
          <t>water</t>
        </is>
      </c>
      <c r="F398" s="8" t="n">
        <v>1</v>
      </c>
      <c r="G398" s="8" t="inlineStr">
        <is>
          <t>基础/顶层</t>
        </is>
      </c>
      <c r="H398" s="8" t="inlineStr"/>
      <c r="I398" s="9" t="inlineStr"/>
      <c r="J398" s="8" t="inlineStr"/>
      <c r="K398" s="8" t="inlineStr"/>
      <c r="L398" s="8" t="inlineStr"/>
      <c r="M398" s="8" t="inlineStr">
        <is>
          <t>消耗品效果</t>
        </is>
      </c>
      <c r="N398" s="8" t="inlineStr">
        <is>
          <t>consumable</t>
        </is>
      </c>
      <c r="O398" s="9" t="inlineStr">
        <is>
          <t>寒冷上限永久 +5</t>
        </is>
      </c>
      <c r="P398" s="9" t="inlineStr">
        <is>
          <t>onConsumableExhausted</t>
        </is>
      </c>
      <c r="Q398" s="9" t="inlineStr">
        <is>
          <t>increaseBuffStackCap</t>
        </is>
      </c>
      <c r="R398" s="9" t="inlineStr">
        <is>
          <t>{"kind":"consumable","consumable":{"immediate":true,"resistance":{"maxEffectiveUses":10},"label":"寒冷上限永久 +5"},"executors":[{"trigger":"onConsumableExhausted","type":"increaseBuffStackCap","buffId":"cold","delta":5,"label":"寒冷上限永久 +5"}],"label":"寒冷上限永久 +5"}</t>
        </is>
      </c>
    </row>
    <row r="399" ht="32" customHeight="1">
      <c r="A399" s="8" t="n">
        <v>300086</v>
      </c>
      <c r="B399" s="8" t="inlineStr">
        <is>
          <t>镇岳沉元丹</t>
        </is>
      </c>
      <c r="C399" s="8" t="inlineStr">
        <is>
          <t>丹药</t>
        </is>
      </c>
      <c r="D399" s="8" t="inlineStr">
        <is>
          <t>spirit</t>
        </is>
      </c>
      <c r="E399" s="8" t="inlineStr">
        <is>
          <t>earth</t>
        </is>
      </c>
      <c r="F399" s="8" t="n">
        <v>1</v>
      </c>
      <c r="G399" s="8" t="inlineStr">
        <is>
          <t>基础/顶层</t>
        </is>
      </c>
      <c r="H399" s="8" t="inlineStr"/>
      <c r="I399" s="9" t="inlineStr"/>
      <c r="J399" s="8" t="inlineStr"/>
      <c r="K399" s="8" t="inlineStr"/>
      <c r="L399" s="8" t="inlineStr"/>
      <c r="M399" s="8" t="inlineStr">
        <is>
          <t>消耗品效果</t>
        </is>
      </c>
      <c r="N399" s="8" t="inlineStr">
        <is>
          <t>consumable</t>
        </is>
      </c>
      <c r="O399" s="9" t="inlineStr">
        <is>
          <t>蓄势上限永久 +5</t>
        </is>
      </c>
      <c r="P399" s="9" t="inlineStr">
        <is>
          <t>onConsumableExhausted</t>
        </is>
      </c>
      <c r="Q399" s="9" t="inlineStr">
        <is>
          <t>increaseBuffStackCap</t>
        </is>
      </c>
      <c r="R399" s="9" t="inlineStr">
        <is>
          <t>{"kind":"consumable","consumable":{"immediate":true,"resistance":{"maxEffectiveUses":10},"label":"蓄势上限永久 +5"},"executors":[{"trigger":"onConsumableExhausted","type":"increaseBuffStackCap","buffId":"heavy","delta":5,"label":"蓄势上限永久 +5"}],"label":"蓄势上限永久 +5"}</t>
        </is>
      </c>
    </row>
    <row r="400" ht="32" customHeight="1">
      <c r="A400" s="8" t="n">
        <v>300087</v>
      </c>
      <c r="B400" s="8" t="inlineStr">
        <is>
          <t>流风轻灵丹</t>
        </is>
      </c>
      <c r="C400" s="8" t="inlineStr">
        <is>
          <t>丹药</t>
        </is>
      </c>
      <c r="D400" s="8" t="inlineStr">
        <is>
          <t>spirit</t>
        </is>
      </c>
      <c r="E400" s="8" t="inlineStr">
        <is>
          <t>wind</t>
        </is>
      </c>
      <c r="F400" s="8" t="n">
        <v>1</v>
      </c>
      <c r="G400" s="8" t="inlineStr">
        <is>
          <t>基础/顶层</t>
        </is>
      </c>
      <c r="H400" s="8" t="inlineStr"/>
      <c r="I400" s="9" t="inlineStr"/>
      <c r="J400" s="8" t="inlineStr"/>
      <c r="K400" s="8" t="inlineStr"/>
      <c r="L400" s="8" t="inlineStr"/>
      <c r="M400" s="8" t="inlineStr">
        <is>
          <t>消耗品效果</t>
        </is>
      </c>
      <c r="N400" s="8" t="inlineStr">
        <is>
          <t>consumable</t>
        </is>
      </c>
      <c r="O400" s="9" t="inlineStr">
        <is>
          <t>敏捷上限永久 +4</t>
        </is>
      </c>
      <c r="P400" s="9" t="inlineStr">
        <is>
          <t>onConsumableExhausted</t>
        </is>
      </c>
      <c r="Q400" s="9" t="inlineStr">
        <is>
          <t>increaseBuffStackCap</t>
        </is>
      </c>
      <c r="R400" s="9" t="inlineStr">
        <is>
          <t>{"kind":"consumable","consumable":{"immediate":true,"resistance":{"maxEffectiveUses":10},"label":"敏捷上限永久 +4"},"executors":[{"trigger":"onConsumableExhausted","type":"increaseBuffStackCap","buffId":"agile","delta":4,"label":"敏捷上限永久 +4"}],"label":"敏捷上限永久 +4"}</t>
        </is>
      </c>
    </row>
    <row r="401" ht="32" customHeight="1">
      <c r="A401" s="8" t="n">
        <v>300088</v>
      </c>
      <c r="B401" s="8" t="inlineStr">
        <is>
          <t>碧露凝华丹</t>
        </is>
      </c>
      <c r="C401" s="8" t="inlineStr">
        <is>
          <t>丹药</t>
        </is>
      </c>
      <c r="D401" s="8" t="inlineStr">
        <is>
          <t>spirit</t>
        </is>
      </c>
      <c r="E401" s="8" t="inlineStr">
        <is>
          <t>water</t>
        </is>
      </c>
      <c r="F401" s="8" t="n">
        <v>1</v>
      </c>
      <c r="G401" s="8" t="inlineStr">
        <is>
          <t>基础/顶层</t>
        </is>
      </c>
      <c r="H401" s="8" t="inlineStr"/>
      <c r="I401" s="9" t="inlineStr"/>
      <c r="J401" s="8" t="inlineStr"/>
      <c r="K401" s="8" t="inlineStr"/>
      <c r="L401" s="8" t="inlineStr"/>
      <c r="M401" s="8" t="inlineStr">
        <is>
          <t>消耗品效果</t>
        </is>
      </c>
      <c r="N401" s="8" t="inlineStr">
        <is>
          <t>consumable</t>
        </is>
      </c>
      <c r="O401" s="9" t="inlineStr">
        <is>
          <t>露水上限永久 +5</t>
        </is>
      </c>
      <c r="P401" s="9" t="inlineStr">
        <is>
          <t>onConsumableExhausted</t>
        </is>
      </c>
      <c r="Q401" s="9" t="inlineStr">
        <is>
          <t>increaseBuffStackCap</t>
        </is>
      </c>
      <c r="R401" s="9" t="inlineStr">
        <is>
          <t>{"kind":"consumable","consumable":{"immediate":true,"resistance":{"maxEffectiveUses":10},"label":"露水上限永久 +5"},"executors":[{"trigger":"onConsumableExhausted","type":"increaseBuffStackCap","buffId":"dew","delta":5,"label":"露水上限永久 +5"}],"label":"露水上限永久 +5"}</t>
        </is>
      </c>
    </row>
    <row r="402" ht="32" customHeight="1">
      <c r="A402" s="8" t="n">
        <v>300089</v>
      </c>
      <c r="B402" s="8" t="inlineStr">
        <is>
          <t>太白敛锋丹</t>
        </is>
      </c>
      <c r="C402" s="8" t="inlineStr">
        <is>
          <t>丹药</t>
        </is>
      </c>
      <c r="D402" s="8" t="inlineStr">
        <is>
          <t>spirit</t>
        </is>
      </c>
      <c r="E402" s="8" t="inlineStr">
        <is>
          <t>metal</t>
        </is>
      </c>
      <c r="F402" s="8" t="n">
        <v>1</v>
      </c>
      <c r="G402" s="8" t="inlineStr">
        <is>
          <t>基础/顶层</t>
        </is>
      </c>
      <c r="H402" s="8" t="inlineStr"/>
      <c r="I402" s="9" t="inlineStr"/>
      <c r="J402" s="8" t="inlineStr"/>
      <c r="K402" s="8" t="inlineStr"/>
      <c r="L402" s="8" t="inlineStr"/>
      <c r="M402" s="8" t="inlineStr">
        <is>
          <t>消耗品效果</t>
        </is>
      </c>
      <c r="N402" s="8" t="inlineStr">
        <is>
          <t>consumable</t>
        </is>
      </c>
      <c r="O402" s="9" t="inlineStr">
        <is>
          <t>凝金上限永久 +5</t>
        </is>
      </c>
      <c r="P402" s="9" t="inlineStr">
        <is>
          <t>onConsumableExhausted</t>
        </is>
      </c>
      <c r="Q402" s="9" t="inlineStr">
        <is>
          <t>increaseBuffStackCap</t>
        </is>
      </c>
      <c r="R402" s="9" t="inlineStr">
        <is>
          <t>{"kind":"consumable","consumable":{"immediate":true,"resistance":{"maxEffectiveUses":10},"label":"凝金上限永久 +5"},"executors":[{"trigger":"onConsumableExhausted","type":"increaseBuffStackCap","buffId":"condensedMetal","delta":5,"label":"凝金上限永久 +5"}],"label":"凝金上限永久 +5"}</t>
        </is>
      </c>
    </row>
    <row r="403" ht="32" customHeight="1">
      <c r="A403" s="8" t="n">
        <v>300090</v>
      </c>
      <c r="B403" s="8" t="inlineStr">
        <is>
          <t>玄甲固元丹</t>
        </is>
      </c>
      <c r="C403" s="8" t="inlineStr">
        <is>
          <t>丹药</t>
        </is>
      </c>
      <c r="D403" s="8" t="inlineStr">
        <is>
          <t>spirit</t>
        </is>
      </c>
      <c r="E403" s="8" t="inlineStr">
        <is>
          <t>none</t>
        </is>
      </c>
      <c r="F403" s="8" t="n">
        <v>1</v>
      </c>
      <c r="G403" s="8" t="inlineStr">
        <is>
          <t>基础/顶层</t>
        </is>
      </c>
      <c r="H403" s="8" t="inlineStr"/>
      <c r="I403" s="9" t="inlineStr"/>
      <c r="J403" s="8" t="inlineStr"/>
      <c r="K403" s="8" t="inlineStr"/>
      <c r="L403" s="8" t="inlineStr"/>
      <c r="M403" s="8" t="inlineStr">
        <is>
          <t>消耗品效果</t>
        </is>
      </c>
      <c r="N403" s="8" t="inlineStr">
        <is>
          <t>consumable</t>
        </is>
      </c>
      <c r="O403" s="9" t="inlineStr">
        <is>
          <t>护甲上限永久 +10</t>
        </is>
      </c>
      <c r="P403" s="9" t="inlineStr">
        <is>
          <t>onConsumableExhausted</t>
        </is>
      </c>
      <c r="Q403" s="9" t="inlineStr">
        <is>
          <t>increaseBuffStackCap</t>
        </is>
      </c>
      <c r="R403" s="9" t="inlineStr">
        <is>
          <t>{"kind":"consumable","consumable":{"immediate":true,"resistance":{"maxEffectiveUses":10},"label":"护甲上限永久 +10"},"executors":[{"trigger":"onConsumableExhausted","type":"increaseBuffStackCap","buffId":"armor","delta":10,"label":"护甲上限永久 +10"}],"label":"护甲上限永久 +10"}</t>
        </is>
      </c>
    </row>
    <row r="404" ht="32" customHeight="1">
      <c r="A404" s="8" t="n">
        <v>300091</v>
      </c>
      <c r="B404" s="8" t="inlineStr">
        <is>
          <t>幻影无痕丹</t>
        </is>
      </c>
      <c r="C404" s="8" t="inlineStr">
        <is>
          <t>丹药</t>
        </is>
      </c>
      <c r="D404" s="8" t="inlineStr">
        <is>
          <t>spirit</t>
        </is>
      </c>
      <c r="E404" s="8" t="inlineStr">
        <is>
          <t>none</t>
        </is>
      </c>
      <c r="F404" s="8" t="n">
        <v>1</v>
      </c>
      <c r="G404" s="8" t="inlineStr">
        <is>
          <t>基础/顶层</t>
        </is>
      </c>
      <c r="H404" s="8" t="inlineStr"/>
      <c r="I404" s="9" t="inlineStr"/>
      <c r="J404" s="8" t="inlineStr"/>
      <c r="K404" s="8" t="inlineStr"/>
      <c r="L404" s="8" t="inlineStr"/>
      <c r="M404" s="8" t="inlineStr">
        <is>
          <t>消耗品效果</t>
        </is>
      </c>
      <c r="N404" s="8" t="inlineStr">
        <is>
          <t>consumable</t>
        </is>
      </c>
      <c r="O404" s="9" t="inlineStr">
        <is>
          <t>闪避上限永久 +5</t>
        </is>
      </c>
      <c r="P404" s="9" t="inlineStr">
        <is>
          <t>onConsumableExhausted</t>
        </is>
      </c>
      <c r="Q404" s="9" t="inlineStr">
        <is>
          <t>increaseBuffStackCap</t>
        </is>
      </c>
      <c r="R404" s="9" t="inlineStr">
        <is>
          <t>{"kind":"consumable","consumable":{"immediate":true,"resistance":{"maxEffectiveUses":10},"label":"闪避上限永久 +5"},"executors":[{"trigger":"onConsumableExhausted","type":"increaseBuffStackCap","buffId":"dodge","delta":5,"label":"闪避上限永久 +5"}],"label":"闪避上限永久 +5"}</t>
        </is>
      </c>
    </row>
    <row r="405" ht="32" customHeight="1">
      <c r="A405" s="8" t="n">
        <v>300092</v>
      </c>
      <c r="B405" s="8" t="inlineStr">
        <is>
          <t>青木续生丹</t>
        </is>
      </c>
      <c r="C405" s="8" t="inlineStr">
        <is>
          <t>丹药</t>
        </is>
      </c>
      <c r="D405" s="8" t="inlineStr">
        <is>
          <t>spirit</t>
        </is>
      </c>
      <c r="E405" s="8" t="inlineStr">
        <is>
          <t>wood</t>
        </is>
      </c>
      <c r="F405" s="8" t="n">
        <v>1</v>
      </c>
      <c r="G405" s="8" t="inlineStr">
        <is>
          <t>基础/顶层</t>
        </is>
      </c>
      <c r="H405" s="8" t="inlineStr"/>
      <c r="I405" s="9" t="inlineStr"/>
      <c r="J405" s="8" t="inlineStr"/>
      <c r="K405" s="8" t="inlineStr"/>
      <c r="L405" s="8" t="inlineStr"/>
      <c r="M405" s="8" t="inlineStr">
        <is>
          <t>消耗品效果</t>
        </is>
      </c>
      <c r="N405" s="8" t="inlineStr">
        <is>
          <t>consumable</t>
        </is>
      </c>
      <c r="O405" s="9" t="inlineStr">
        <is>
          <t>再生上限永久 +5</t>
        </is>
      </c>
      <c r="P405" s="9" t="inlineStr">
        <is>
          <t>onConsumableExhausted</t>
        </is>
      </c>
      <c r="Q405" s="9" t="inlineStr">
        <is>
          <t>increaseBuffStackCap</t>
        </is>
      </c>
      <c r="R405" s="9" t="inlineStr">
        <is>
          <t>{"kind":"consumable","consumable":{"immediate":true,"resistance":{"maxEffectiveUses":10},"label":"再生上限永久 +5"},"executors":[{"trigger":"onConsumableExhausted","type":"increaseBuffStackCap","buffId":"regeneration","delta":5,"label":"再生上限永久 +5"}],"label":"再生上限永久 +5"}</t>
        </is>
      </c>
    </row>
    <row r="406" ht="32" customHeight="1">
      <c r="A406" s="8" t="n">
        <v>300093</v>
      </c>
      <c r="B406" s="8" t="inlineStr">
        <is>
          <t>玉髓护骨膏</t>
        </is>
      </c>
      <c r="C406" s="8" t="inlineStr">
        <is>
          <t>丹药</t>
        </is>
      </c>
      <c r="D406" s="8" t="inlineStr">
        <is>
          <t>spirit</t>
        </is>
      </c>
      <c r="E406" s="8" t="inlineStr">
        <is>
          <t>none</t>
        </is>
      </c>
      <c r="F406" s="8" t="n">
        <v>1</v>
      </c>
      <c r="G406" s="8" t="inlineStr">
        <is>
          <t>基础/顶层</t>
        </is>
      </c>
      <c r="H406" s="8" t="inlineStr"/>
      <c r="I406" s="9" t="inlineStr"/>
      <c r="J406" s="8" t="inlineStr"/>
      <c r="K406" s="8" t="inlineStr"/>
      <c r="L406" s="8" t="inlineStr"/>
      <c r="M406" s="8" t="inlineStr">
        <is>
          <t>消耗品效果</t>
        </is>
      </c>
      <c r="N406" s="8" t="inlineStr">
        <is>
          <t>consumable</t>
        </is>
      </c>
      <c r="O406" s="9" t="inlineStr">
        <is>
          <t>获得 40 层坚硬</t>
        </is>
      </c>
      <c r="P406" s="9" t="inlineStr">
        <is>
          <t>onConsumableActivated</t>
        </is>
      </c>
      <c r="Q406" s="9" t="inlineStr">
        <is>
          <t>applyBuff</t>
        </is>
      </c>
      <c r="R406" s="9" t="inlineStr">
        <is>
          <t>{"kind":"consumable","consumable":{"durationSec":3,"maxUses":1,"label":"获得 40 层坚硬"},"executors":[{"trigger":"onConsumableActivated","type":"applyBuff","buffId":"sturdy","count":40,"label":"获得 40 层坚硬"}],"label":"获得 40 层坚硬"}</t>
        </is>
      </c>
    </row>
    <row r="407" ht="32" customHeight="1">
      <c r="A407" s="8" t="n">
        <v>300094</v>
      </c>
      <c r="B407" s="8" t="inlineStr">
        <is>
          <t>瑶池凝露瓶</t>
        </is>
      </c>
      <c r="C407" s="8" t="inlineStr">
        <is>
          <t>丹药</t>
        </is>
      </c>
      <c r="D407" s="8" t="inlineStr">
        <is>
          <t>spirit</t>
        </is>
      </c>
      <c r="E407" s="8" t="inlineStr">
        <is>
          <t>water</t>
        </is>
      </c>
      <c r="F407" s="8" t="n">
        <v>1</v>
      </c>
      <c r="G407" s="8" t="inlineStr">
        <is>
          <t>基础/顶层</t>
        </is>
      </c>
      <c r="H407" s="8" t="inlineStr"/>
      <c r="I407" s="9" t="inlineStr"/>
      <c r="J407" s="8" t="inlineStr"/>
      <c r="K407" s="8" t="inlineStr"/>
      <c r="L407" s="8" t="inlineStr"/>
      <c r="M407" s="8" t="inlineStr">
        <is>
          <t>消耗品效果</t>
        </is>
      </c>
      <c r="N407" s="8" t="inlineStr">
        <is>
          <t>consumable</t>
        </is>
      </c>
      <c r="O407" s="9" t="inlineStr">
        <is>
          <t>轮转时，获得 100 层露水</t>
        </is>
      </c>
      <c r="P407" s="9" t="inlineStr"/>
      <c r="Q407" s="9" t="inlineStr"/>
      <c r="R407" s="9" t="inlineStr">
        <is>
          <t>{"kind":"consumable","consumable":{"durationSec":30,"maxUses":1,"label":"轮转时，获得 100 层露水","effects":[{"kind":"periodicPulse","periodicPulse":{"intervalSec":5,"buffGains":[{"buffId":"dew","count":100}]}}]}}</t>
        </is>
      </c>
    </row>
    <row r="408" ht="32" customHeight="1">
      <c r="A408" s="8" t="n">
        <v>300095</v>
      </c>
      <c r="B408" s="8" t="inlineStr">
        <is>
          <t>山河镇骨丹</t>
        </is>
      </c>
      <c r="C408" s="8" t="inlineStr">
        <is>
          <t>丹药</t>
        </is>
      </c>
      <c r="D408" s="8" t="inlineStr">
        <is>
          <t>spirit</t>
        </is>
      </c>
      <c r="E408" s="8" t="inlineStr">
        <is>
          <t>earth</t>
        </is>
      </c>
      <c r="F408" s="8" t="n">
        <v>1</v>
      </c>
      <c r="G408" s="8" t="inlineStr">
        <is>
          <t>基础/顶层</t>
        </is>
      </c>
      <c r="H408" s="8" t="inlineStr"/>
      <c r="I408" s="9" t="inlineStr"/>
      <c r="J408" s="8" t="inlineStr"/>
      <c r="K408" s="8" t="inlineStr"/>
      <c r="L408" s="8" t="inlineStr"/>
      <c r="M408" s="8" t="inlineStr">
        <is>
          <t>消耗品效果</t>
        </is>
      </c>
      <c r="N408" s="8" t="inlineStr">
        <is>
          <t>consumable</t>
        </is>
      </c>
      <c r="O408" s="9" t="inlineStr">
        <is>
          <t>获得 24 层坚硬</t>
        </is>
      </c>
      <c r="P408" s="9" t="inlineStr">
        <is>
          <t>onConsumableExhausted</t>
        </is>
      </c>
      <c r="Q408" s="9" t="inlineStr">
        <is>
          <t>applyBuff</t>
        </is>
      </c>
      <c r="R408" s="9" t="inlineStr">
        <is>
          <t>{"kind":"consumable","consumable":{"durationSec":5,"maxUses":1,"label":"获得 24 层坚硬"},"executors":[{"trigger":"onConsumableExhausted","type":"applyBuff","buffId":"sturdy","count":24,"label":"获得 24 层坚硬"}],"label":"获得 24 层坚硬"}</t>
        </is>
      </c>
    </row>
    <row r="409" ht="32" customHeight="1">
      <c r="A409" s="8" t="n">
        <v>300096</v>
      </c>
      <c r="B409" s="8" t="inlineStr">
        <is>
          <t>离火温元丹</t>
        </is>
      </c>
      <c r="C409" s="8" t="inlineStr">
        <is>
          <t>丹药</t>
        </is>
      </c>
      <c r="D409" s="8" t="inlineStr">
        <is>
          <t>spirit</t>
        </is>
      </c>
      <c r="E409" s="8" t="inlineStr">
        <is>
          <t>fire</t>
        </is>
      </c>
      <c r="F409" s="8" t="n">
        <v>1</v>
      </c>
      <c r="G409" s="8" t="inlineStr">
        <is>
          <t>基础/顶层</t>
        </is>
      </c>
      <c r="H409" s="8" t="inlineStr"/>
      <c r="I409" s="9" t="inlineStr"/>
      <c r="J409" s="8" t="inlineStr"/>
      <c r="K409" s="8" t="inlineStr"/>
      <c r="L409" s="8" t="inlineStr"/>
      <c r="M409" s="8" t="inlineStr">
        <is>
          <t>消耗品效果</t>
        </is>
      </c>
      <c r="N409" s="8" t="inlineStr">
        <is>
          <t>consumable</t>
        </is>
      </c>
      <c r="O409" s="9" t="inlineStr">
        <is>
          <t>获得 100 层炎热</t>
        </is>
      </c>
      <c r="P409" s="9" t="inlineStr">
        <is>
          <t>onConsumableExhausted</t>
        </is>
      </c>
      <c r="Q409" s="9" t="inlineStr">
        <is>
          <t>applyBuff</t>
        </is>
      </c>
      <c r="R409" s="9" t="inlineStr">
        <is>
          <t>{"kind":"consumable","consumable":{"durationSec":5,"maxUses":1,"label":"获得 100 层炎热"},"executors":[{"trigger":"onConsumableExhausted","type":"applyBuff","buffId":"heat","count":100,"label":"获得 100 层炎热"}],"label":"获得 100 层炎热"}</t>
        </is>
      </c>
    </row>
    <row r="410" ht="32" customHeight="1">
      <c r="A410" s="8" t="n">
        <v>300097</v>
      </c>
      <c r="B410" s="8" t="inlineStr">
        <is>
          <t>冰魄凝息丹</t>
        </is>
      </c>
      <c r="C410" s="8" t="inlineStr">
        <is>
          <t>丹药</t>
        </is>
      </c>
      <c r="D410" s="8" t="inlineStr">
        <is>
          <t>spirit</t>
        </is>
      </c>
      <c r="E410" s="8" t="inlineStr">
        <is>
          <t>water</t>
        </is>
      </c>
      <c r="F410" s="8" t="n">
        <v>1</v>
      </c>
      <c r="G410" s="8" t="inlineStr">
        <is>
          <t>基础/顶层</t>
        </is>
      </c>
      <c r="H410" s="8" t="inlineStr"/>
      <c r="I410" s="9" t="inlineStr"/>
      <c r="J410" s="8" t="inlineStr"/>
      <c r="K410" s="8" t="inlineStr"/>
      <c r="L410" s="8" t="inlineStr"/>
      <c r="M410" s="8" t="inlineStr">
        <is>
          <t>消耗品效果</t>
        </is>
      </c>
      <c r="N410" s="8" t="inlineStr">
        <is>
          <t>consumable</t>
        </is>
      </c>
      <c r="O410" s="9" t="inlineStr">
        <is>
          <t>获得 100 层寒冷</t>
        </is>
      </c>
      <c r="P410" s="9" t="inlineStr">
        <is>
          <t>onConsumableExhausted</t>
        </is>
      </c>
      <c r="Q410" s="9" t="inlineStr">
        <is>
          <t>applyBuff</t>
        </is>
      </c>
      <c r="R410" s="9" t="inlineStr">
        <is>
          <t>{"kind":"consumable","consumable":{"durationSec":5,"maxUses":1,"label":"获得 100 层寒冷"},"executors":[{"trigger":"onConsumableExhausted","type":"applyBuff","buffId":"cold","count":100,"label":"获得 100 层寒冷"}],"label":"获得 100 层寒冷"}</t>
        </is>
      </c>
    </row>
    <row r="411" ht="32" customHeight="1">
      <c r="A411" s="8" t="n">
        <v>300098</v>
      </c>
      <c r="B411" s="8" t="inlineStr">
        <is>
          <t>负岳沉身丸</t>
        </is>
      </c>
      <c r="C411" s="8" t="inlineStr">
        <is>
          <t>丹药</t>
        </is>
      </c>
      <c r="D411" s="8" t="inlineStr">
        <is>
          <t>spirit</t>
        </is>
      </c>
      <c r="E411" s="8" t="inlineStr">
        <is>
          <t>earth</t>
        </is>
      </c>
      <c r="F411" s="8" t="n">
        <v>1</v>
      </c>
      <c r="G411" s="8" t="inlineStr">
        <is>
          <t>基础/顶层</t>
        </is>
      </c>
      <c r="H411" s="8" t="inlineStr"/>
      <c r="I411" s="9" t="inlineStr"/>
      <c r="J411" s="8" t="inlineStr"/>
      <c r="K411" s="8" t="inlineStr"/>
      <c r="L411" s="8" t="inlineStr"/>
      <c r="M411" s="8" t="inlineStr">
        <is>
          <t>消耗品效果</t>
        </is>
      </c>
      <c r="N411" s="8" t="inlineStr">
        <is>
          <t>consumable</t>
        </is>
      </c>
      <c r="O411" s="9" t="inlineStr">
        <is>
          <t>获得 30 层蓄势</t>
        </is>
      </c>
      <c r="P411" s="9" t="inlineStr">
        <is>
          <t>onConsumableExhausted</t>
        </is>
      </c>
      <c r="Q411" s="9" t="inlineStr">
        <is>
          <t>applyBuff</t>
        </is>
      </c>
      <c r="R411" s="9" t="inlineStr">
        <is>
          <t>{"kind":"consumable","consumable":{"durationSec":5,"maxUses":1,"label":"获得 30 层蓄势"},"executors":[{"trigger":"onConsumableExhausted","type":"applyBuff","buffId":"heavy","count":30,"label":"获得 30 层蓄势"}],"label":"获得 30 层蓄势"}</t>
        </is>
      </c>
    </row>
    <row r="412" ht="32" customHeight="1">
      <c r="A412" s="8" t="n">
        <v>300099</v>
      </c>
      <c r="B412" s="8" t="inlineStr">
        <is>
          <t>青羽逐风丸</t>
        </is>
      </c>
      <c r="C412" s="8" t="inlineStr">
        <is>
          <t>丹药</t>
        </is>
      </c>
      <c r="D412" s="8" t="inlineStr">
        <is>
          <t>spirit</t>
        </is>
      </c>
      <c r="E412" s="8" t="inlineStr">
        <is>
          <t>wind</t>
        </is>
      </c>
      <c r="F412" s="8" t="n">
        <v>1</v>
      </c>
      <c r="G412" s="8" t="inlineStr">
        <is>
          <t>基础/顶层</t>
        </is>
      </c>
      <c r="H412" s="8" t="inlineStr"/>
      <c r="I412" s="9" t="inlineStr"/>
      <c r="J412" s="8" t="inlineStr"/>
      <c r="K412" s="8" t="inlineStr"/>
      <c r="L412" s="8" t="inlineStr"/>
      <c r="M412" s="8" t="inlineStr">
        <is>
          <t>消耗品效果</t>
        </is>
      </c>
      <c r="N412" s="8" t="inlineStr">
        <is>
          <t>consumable</t>
        </is>
      </c>
      <c r="O412" s="9" t="inlineStr">
        <is>
          <t>获得 24 层敏捷</t>
        </is>
      </c>
      <c r="P412" s="9" t="inlineStr">
        <is>
          <t>onConsumableExhausted</t>
        </is>
      </c>
      <c r="Q412" s="9" t="inlineStr">
        <is>
          <t>applyBuff</t>
        </is>
      </c>
      <c r="R412" s="9" t="inlineStr">
        <is>
          <t>{"kind":"consumable","consumable":{"durationSec":5,"maxUses":1,"label":"获得 24 层敏捷"},"executors":[{"trigger":"onConsumableExhausted","type":"applyBuff","buffId":"agile","count":24,"label":"获得 24 层敏捷"}],"label":"获得 24 层敏捷"}</t>
        </is>
      </c>
    </row>
    <row r="413" ht="32" customHeight="1">
      <c r="A413" s="8" t="n">
        <v>300100</v>
      </c>
      <c r="B413" s="8" t="inlineStr">
        <is>
          <t>双华润泽丹</t>
        </is>
      </c>
      <c r="C413" s="8" t="inlineStr">
        <is>
          <t>丹药</t>
        </is>
      </c>
      <c r="D413" s="8" t="inlineStr">
        <is>
          <t>spirit</t>
        </is>
      </c>
      <c r="E413" s="8" t="inlineStr">
        <is>
          <t>water</t>
        </is>
      </c>
      <c r="F413" s="8" t="n">
        <v>1</v>
      </c>
      <c r="G413" s="8" t="inlineStr">
        <is>
          <t>基础/顶层</t>
        </is>
      </c>
      <c r="H413" s="8" t="inlineStr"/>
      <c r="I413" s="9" t="inlineStr"/>
      <c r="J413" s="8" t="inlineStr"/>
      <c r="K413" s="8" t="inlineStr"/>
      <c r="L413" s="8" t="inlineStr"/>
      <c r="M413" s="8" t="inlineStr">
        <is>
          <t>消耗品效果</t>
        </is>
      </c>
      <c r="N413" s="8" t="inlineStr">
        <is>
          <t>consumable</t>
        </is>
      </c>
      <c r="O413" s="9" t="inlineStr">
        <is>
          <t>获得 100 层露水</t>
        </is>
      </c>
      <c r="P413" s="9" t="inlineStr">
        <is>
          <t>onConsumableExhausted</t>
        </is>
      </c>
      <c r="Q413" s="9" t="inlineStr">
        <is>
          <t>applyBuff</t>
        </is>
      </c>
      <c r="R413" s="9" t="inlineStr">
        <is>
          <t>{"kind":"consumable","consumable":{"durationSec":5,"maxUses":1,"label":"获得 100 层露水"},"executors":[{"trigger":"onConsumableExhausted","type":"applyBuff","buffId":"dew","count":100,"label":"获得 100 层露水"}],"label":"获得 100 层露水"}</t>
        </is>
      </c>
    </row>
    <row r="414" ht="32" customHeight="1">
      <c r="A414" s="8" t="n">
        <v>300101</v>
      </c>
      <c r="B414" s="8" t="inlineStr">
        <is>
          <t>金篆凝锋丸</t>
        </is>
      </c>
      <c r="C414" s="8" t="inlineStr">
        <is>
          <t>丹药</t>
        </is>
      </c>
      <c r="D414" s="8" t="inlineStr">
        <is>
          <t>spirit</t>
        </is>
      </c>
      <c r="E414" s="8" t="inlineStr">
        <is>
          <t>metal</t>
        </is>
      </c>
      <c r="F414" s="8" t="n">
        <v>1</v>
      </c>
      <c r="G414" s="8" t="inlineStr">
        <is>
          <t>基础/顶层</t>
        </is>
      </c>
      <c r="H414" s="8" t="inlineStr"/>
      <c r="I414" s="9" t="inlineStr"/>
      <c r="J414" s="8" t="inlineStr"/>
      <c r="K414" s="8" t="inlineStr"/>
      <c r="L414" s="8" t="inlineStr"/>
      <c r="M414" s="8" t="inlineStr">
        <is>
          <t>消耗品效果</t>
        </is>
      </c>
      <c r="N414" s="8" t="inlineStr">
        <is>
          <t>consumable</t>
        </is>
      </c>
      <c r="O414" s="9" t="inlineStr">
        <is>
          <t>获得 100 层凝金</t>
        </is>
      </c>
      <c r="P414" s="9" t="inlineStr">
        <is>
          <t>onConsumableExhausted</t>
        </is>
      </c>
      <c r="Q414" s="9" t="inlineStr">
        <is>
          <t>applyBuff</t>
        </is>
      </c>
      <c r="R414" s="9" t="inlineStr">
        <is>
          <t>{"kind":"consumable","consumable":{"durationSec":5,"maxUses":1,"label":"获得 100 层凝金"},"executors":[{"trigger":"onConsumableExhausted","type":"applyBuff","buffId":"condensedMetal","count":100,"label":"获得 100 层凝金"}],"label":"获得 100 层凝金"}</t>
        </is>
      </c>
    </row>
    <row r="415" ht="32" customHeight="1">
      <c r="A415" s="8" t="n">
        <v>300102</v>
      </c>
      <c r="B415" s="8" t="inlineStr">
        <is>
          <t>碧垒护身散</t>
        </is>
      </c>
      <c r="C415" s="8" t="inlineStr">
        <is>
          <t>丹药</t>
        </is>
      </c>
      <c r="D415" s="8" t="inlineStr">
        <is>
          <t>spirit</t>
        </is>
      </c>
      <c r="E415" s="8" t="inlineStr">
        <is>
          <t>none</t>
        </is>
      </c>
      <c r="F415" s="8" t="n">
        <v>1</v>
      </c>
      <c r="G415" s="8" t="inlineStr">
        <is>
          <t>基础/顶层</t>
        </is>
      </c>
      <c r="H415" s="8" t="inlineStr"/>
      <c r="I415" s="9" t="inlineStr"/>
      <c r="J415" s="8" t="inlineStr"/>
      <c r="K415" s="8" t="inlineStr"/>
      <c r="L415" s="8" t="inlineStr"/>
      <c r="M415" s="8" t="inlineStr">
        <is>
          <t>消耗品效果</t>
        </is>
      </c>
      <c r="N415" s="8" t="inlineStr">
        <is>
          <t>consumable</t>
        </is>
      </c>
      <c r="O415" s="9" t="inlineStr">
        <is>
          <t>获得 150 层护甲</t>
        </is>
      </c>
      <c r="P415" s="9" t="inlineStr">
        <is>
          <t>onConsumableExhausted</t>
        </is>
      </c>
      <c r="Q415" s="9" t="inlineStr">
        <is>
          <t>applyBuff</t>
        </is>
      </c>
      <c r="R415" s="9" t="inlineStr">
        <is>
          <t>{"kind":"consumable","consumable":{"durationSec":5,"maxUses":1,"label":"获得 150 层护甲"},"executors":[{"trigger":"onConsumableExhausted","type":"applyBuff","buffId":"armor","count":150,"label":"获得 150 层护甲"}],"label":"获得 150 层护甲"}</t>
        </is>
      </c>
    </row>
    <row r="416" ht="32" customHeight="1">
      <c r="A416" s="8" t="n">
        <v>300103</v>
      </c>
      <c r="B416" s="8" t="inlineStr">
        <is>
          <t>月隐遁形散</t>
        </is>
      </c>
      <c r="C416" s="8" t="inlineStr">
        <is>
          <t>丹药</t>
        </is>
      </c>
      <c r="D416" s="8" t="inlineStr">
        <is>
          <t>spirit</t>
        </is>
      </c>
      <c r="E416" s="8" t="inlineStr">
        <is>
          <t>none</t>
        </is>
      </c>
      <c r="F416" s="8" t="n">
        <v>1</v>
      </c>
      <c r="G416" s="8" t="inlineStr">
        <is>
          <t>基础/顶层</t>
        </is>
      </c>
      <c r="H416" s="8" t="inlineStr"/>
      <c r="I416" s="9" t="inlineStr"/>
      <c r="J416" s="8" t="inlineStr"/>
      <c r="K416" s="8" t="inlineStr"/>
      <c r="L416" s="8" t="inlineStr"/>
      <c r="M416" s="8" t="inlineStr">
        <is>
          <t>消耗品效果</t>
        </is>
      </c>
      <c r="N416" s="8" t="inlineStr">
        <is>
          <t>consumable</t>
        </is>
      </c>
      <c r="O416" s="9" t="inlineStr">
        <is>
          <t>获得 50 层闪避</t>
        </is>
      </c>
      <c r="P416" s="9" t="inlineStr">
        <is>
          <t>onConsumableExhausted</t>
        </is>
      </c>
      <c r="Q416" s="9" t="inlineStr">
        <is>
          <t>applyBuff</t>
        </is>
      </c>
      <c r="R416" s="9" t="inlineStr">
        <is>
          <t>{"kind":"consumable","consumable":{"durationSec":5,"maxUses":1,"label":"获得 50 层闪避"},"executors":[{"trigger":"onConsumableExhausted","type":"applyBuff","buffId":"dodge","count":50,"label":"获得 50 层闪避"}],"label":"获得 50 层闪避"}</t>
        </is>
      </c>
    </row>
    <row r="417" ht="32" customHeight="1">
      <c r="A417" s="8" t="n">
        <v>300104</v>
      </c>
      <c r="B417" s="8" t="inlineStr">
        <is>
          <t>长青回元散</t>
        </is>
      </c>
      <c r="C417" s="8" t="inlineStr">
        <is>
          <t>丹药</t>
        </is>
      </c>
      <c r="D417" s="8" t="inlineStr">
        <is>
          <t>spirit</t>
        </is>
      </c>
      <c r="E417" s="8" t="inlineStr">
        <is>
          <t>wood</t>
        </is>
      </c>
      <c r="F417" s="8" t="n">
        <v>1</v>
      </c>
      <c r="G417" s="8" t="inlineStr">
        <is>
          <t>基础/顶层</t>
        </is>
      </c>
      <c r="H417" s="8" t="inlineStr"/>
      <c r="I417" s="9" t="inlineStr"/>
      <c r="J417" s="8" t="inlineStr"/>
      <c r="K417" s="8" t="inlineStr"/>
      <c r="L417" s="8" t="inlineStr"/>
      <c r="M417" s="8" t="inlineStr">
        <is>
          <t>消耗品效果</t>
        </is>
      </c>
      <c r="N417" s="8" t="inlineStr">
        <is>
          <t>consumable</t>
        </is>
      </c>
      <c r="O417" s="9" t="inlineStr">
        <is>
          <t>获得 50 层再生</t>
        </is>
      </c>
      <c r="P417" s="9" t="inlineStr">
        <is>
          <t>onConsumableExhausted</t>
        </is>
      </c>
      <c r="Q417" s="9" t="inlineStr">
        <is>
          <t>applyBuff</t>
        </is>
      </c>
      <c r="R417" s="9" t="inlineStr">
        <is>
          <t>{"kind":"consumable","consumable":{"durationSec":5,"maxUses":1,"label":"获得 50 层再生"},"executors":[{"trigger":"onConsumableExhausted","type":"applyBuff","buffId":"regeneration","count":50,"label":"获得 50 层再生"}],"label":"获得 50 层再生"}</t>
        </is>
      </c>
    </row>
    <row r="418" ht="32" customHeight="1">
      <c r="A418" s="8" t="n">
        <v>300105</v>
      </c>
      <c r="B418" s="8" t="inlineStr">
        <is>
          <t>厚土续力丸</t>
        </is>
      </c>
      <c r="C418" s="8" t="inlineStr">
        <is>
          <t>丹药</t>
        </is>
      </c>
      <c r="D418" s="8" t="inlineStr">
        <is>
          <t>spirit</t>
        </is>
      </c>
      <c r="E418" s="8" t="inlineStr">
        <is>
          <t>none</t>
        </is>
      </c>
      <c r="F418" s="8" t="n">
        <v>1</v>
      </c>
      <c r="G418" s="8" t="inlineStr">
        <is>
          <t>基础/顶层</t>
        </is>
      </c>
      <c r="H418" s="8" t="inlineStr"/>
      <c r="I418" s="9" t="inlineStr"/>
      <c r="J418" s="8" t="inlineStr"/>
      <c r="K418" s="8" t="inlineStr"/>
      <c r="L418" s="8" t="inlineStr"/>
      <c r="M418" s="8" t="inlineStr">
        <is>
          <t>消耗品效果</t>
        </is>
      </c>
      <c r="N418" s="8" t="inlineStr">
        <is>
          <t>consumable</t>
        </is>
      </c>
      <c r="O418" s="9" t="inlineStr">
        <is>
          <t>恢复 200 点体力</t>
        </is>
      </c>
      <c r="P418" s="9" t="inlineStr">
        <is>
          <t>onConsumableExhausted</t>
        </is>
      </c>
      <c r="Q418" s="9" t="inlineStr">
        <is>
          <t>modifyPlayerPrimaryStat</t>
        </is>
      </c>
      <c r="R418" s="9" t="inlineStr">
        <is>
          <t>{"kind":"consumable","consumable":{"durationSec":2,"maxUses":1,"label":"恢复 200 点体力"},"executors":[{"trigger":"onConsumableExhausted","type":"modifyPlayerPrimaryStat","stat":"stamina","delta":200,"label":"恢复 200 点体力"}],"label":"恢复 200 点体力"}</t>
        </is>
      </c>
    </row>
    <row r="419" ht="32" customHeight="1">
      <c r="A419" s="8" t="n">
        <v>300106</v>
      </c>
      <c r="B419" s="8" t="inlineStr">
        <is>
          <t>青冥回法丹</t>
        </is>
      </c>
      <c r="C419" s="8" t="inlineStr">
        <is>
          <t>丹药</t>
        </is>
      </c>
      <c r="D419" s="8" t="inlineStr">
        <is>
          <t>spirit</t>
        </is>
      </c>
      <c r="E419" s="8" t="inlineStr">
        <is>
          <t>none</t>
        </is>
      </c>
      <c r="F419" s="8" t="n">
        <v>1</v>
      </c>
      <c r="G419" s="8" t="inlineStr">
        <is>
          <t>基础/顶层</t>
        </is>
      </c>
      <c r="H419" s="8" t="inlineStr"/>
      <c r="I419" s="9" t="inlineStr"/>
      <c r="J419" s="8" t="inlineStr"/>
      <c r="K419" s="8" t="inlineStr"/>
      <c r="L419" s="8" t="inlineStr"/>
      <c r="M419" s="8" t="inlineStr">
        <is>
          <t>消耗品效果</t>
        </is>
      </c>
      <c r="N419" s="8" t="inlineStr">
        <is>
          <t>consumable</t>
        </is>
      </c>
      <c r="O419" s="9" t="inlineStr">
        <is>
          <t>恢复 100 点法力</t>
        </is>
      </c>
      <c r="P419" s="9" t="inlineStr">
        <is>
          <t>onConsumableExhausted</t>
        </is>
      </c>
      <c r="Q419" s="9" t="inlineStr">
        <is>
          <t>modifyPlayerPrimaryStat</t>
        </is>
      </c>
      <c r="R419" s="9" t="inlineStr">
        <is>
          <t>{"kind":"consumable","consumable":{"durationSec":10,"maxUses":1,"label":"恢复 100 点法力"},"executors":[{"trigger":"onConsumableExhausted","type":"modifyPlayerPrimaryStat","stat":"mana","delta":100,"label":"恢复 100 点法力"}],"label":"恢复 100 点法力"}</t>
        </is>
      </c>
    </row>
    <row r="420" ht="32" customHeight="1">
      <c r="A420" s="8" t="n">
        <v>300107</v>
      </c>
      <c r="B420" s="8" t="inlineStr">
        <is>
          <t>引潮纳元瓶</t>
        </is>
      </c>
      <c r="C420" s="8" t="inlineStr">
        <is>
          <t>丹药</t>
        </is>
      </c>
      <c r="D420" s="8" t="inlineStr">
        <is>
          <t>spirit</t>
        </is>
      </c>
      <c r="E420" s="8" t="inlineStr">
        <is>
          <t>none</t>
        </is>
      </c>
      <c r="F420" s="8" t="n">
        <v>1</v>
      </c>
      <c r="G420" s="8" t="inlineStr">
        <is>
          <t>基础/顶层</t>
        </is>
      </c>
      <c r="H420" s="8" t="inlineStr"/>
      <c r="I420" s="9" t="inlineStr"/>
      <c r="J420" s="8" t="inlineStr"/>
      <c r="K420" s="8" t="inlineStr"/>
      <c r="L420" s="8" t="inlineStr"/>
      <c r="M420" s="8" t="inlineStr">
        <is>
          <t>消耗品效果</t>
        </is>
      </c>
      <c r="N420" s="8" t="inlineStr">
        <is>
          <t>consumable</t>
        </is>
      </c>
      <c r="O420" s="9" t="inlineStr">
        <is>
          <t>轮转时，恢复 40 点法力</t>
        </is>
      </c>
      <c r="P420" s="9" t="inlineStr"/>
      <c r="Q420" s="9" t="inlineStr"/>
      <c r="R420" s="9" t="inlineStr">
        <is>
          <t>{"kind":"consumable","consumable":{"durationSec":36,"maxUses":1,"label":"轮转时，恢复 40 点法力","effects":[{"kind":"periodicPulse","periodicPulse":{"intervalSec":4,"primaryStatGains":[{"stat":"mana","amount":40}]}}]}}</t>
        </is>
      </c>
    </row>
    <row r="421" ht="32" customHeight="1">
      <c r="A421" s="8" t="n">
        <v>300108</v>
      </c>
      <c r="B421" s="8" t="inlineStr">
        <is>
          <t>青叶养血丸</t>
        </is>
      </c>
      <c r="C421" s="8" t="inlineStr">
        <is>
          <t>丹药</t>
        </is>
      </c>
      <c r="D421" s="8" t="inlineStr">
        <is>
          <t>spirit</t>
        </is>
      </c>
      <c r="E421" s="8" t="inlineStr">
        <is>
          <t>none</t>
        </is>
      </c>
      <c r="F421" s="8" t="n">
        <v>1</v>
      </c>
      <c r="G421" s="8" t="inlineStr">
        <is>
          <t>基础/顶层</t>
        </is>
      </c>
      <c r="H421" s="8" t="inlineStr"/>
      <c r="I421" s="9" t="inlineStr"/>
      <c r="J421" s="8" t="inlineStr"/>
      <c r="K421" s="8" t="inlineStr"/>
      <c r="L421" s="8" t="inlineStr"/>
      <c r="M421" s="8" t="inlineStr">
        <is>
          <t>消耗品效果</t>
        </is>
      </c>
      <c r="N421" s="8" t="inlineStr">
        <is>
          <t>consumable</t>
        </is>
      </c>
      <c r="O421" s="9" t="inlineStr">
        <is>
          <t>轮转时，恢复 50 点气血</t>
        </is>
      </c>
      <c r="P421" s="9" t="inlineStr"/>
      <c r="Q421" s="9" t="inlineStr"/>
      <c r="R421" s="9" t="inlineStr">
        <is>
          <t>{"kind":"consumable","consumable":{"durationSec":30,"maxUses":1,"label":"轮转时，恢复 50 点气血","effects":[{"kind":"periodicPulse","periodicPulse":{"intervalSec":5,"primaryStatGains":[{"stat":"health","amount":50}]}}]}}</t>
        </is>
      </c>
    </row>
    <row r="422" ht="32" customHeight="1">
      <c r="A422" s="8" t="n">
        <v>300109</v>
      </c>
      <c r="B422" s="8" t="inlineStr">
        <is>
          <t>云岚回脉露</t>
        </is>
      </c>
      <c r="C422" s="8" t="inlineStr">
        <is>
          <t>丹药</t>
        </is>
      </c>
      <c r="D422" s="8" t="inlineStr">
        <is>
          <t>spirit</t>
        </is>
      </c>
      <c r="E422" s="8" t="inlineStr">
        <is>
          <t>none</t>
        </is>
      </c>
      <c r="F422" s="8" t="n">
        <v>1</v>
      </c>
      <c r="G422" s="8" t="inlineStr">
        <is>
          <t>基础/顶层</t>
        </is>
      </c>
      <c r="H422" s="8" t="inlineStr"/>
      <c r="I422" s="9" t="inlineStr"/>
      <c r="J422" s="8" t="inlineStr"/>
      <c r="K422" s="8" t="inlineStr"/>
      <c r="L422" s="8" t="inlineStr"/>
      <c r="M422" s="8" t="inlineStr">
        <is>
          <t>消耗品效果</t>
        </is>
      </c>
      <c r="N422" s="8" t="inlineStr">
        <is>
          <t>consumable</t>
        </is>
      </c>
      <c r="O422" s="9" t="inlineStr">
        <is>
          <t>恢复 300 点气血</t>
        </is>
      </c>
      <c r="P422" s="9" t="inlineStr">
        <is>
          <t>onConsumableExhausted</t>
        </is>
      </c>
      <c r="Q422" s="9" t="inlineStr">
        <is>
          <t>modifyPlayerPrimaryStat</t>
        </is>
      </c>
      <c r="R422" s="9" t="inlineStr">
        <is>
          <t>{"kind":"consumable","consumable":{"durationSec":5,"maxUses":1,"label":"恢复 300 点气血"},"executors":[{"trigger":"onConsumableExhausted","type":"modifyPlayerPrimaryStat","stat":"health","delta":300,"label":"恢复 300 点气血"}],"label":"恢复 300 点气血"}</t>
        </is>
      </c>
    </row>
    <row r="423" ht="32" customHeight="1">
      <c r="A423" s="8" t="n">
        <v>300110</v>
      </c>
      <c r="B423" s="8" t="inlineStr">
        <is>
          <t>太虚纳灵丹</t>
        </is>
      </c>
      <c r="C423" s="8" t="inlineStr">
        <is>
          <t>丹药</t>
        </is>
      </c>
      <c r="D423" s="8" t="inlineStr">
        <is>
          <t>spirit</t>
        </is>
      </c>
      <c r="E423" s="8" t="inlineStr">
        <is>
          <t>none</t>
        </is>
      </c>
      <c r="F423" s="8" t="n">
        <v>1</v>
      </c>
      <c r="G423" s="8" t="inlineStr">
        <is>
          <t>基础/顶层</t>
        </is>
      </c>
      <c r="H423" s="8" t="inlineStr"/>
      <c r="I423" s="9" t="inlineStr"/>
      <c r="J423" s="8" t="inlineStr"/>
      <c r="K423" s="8" t="inlineStr"/>
      <c r="L423" s="8" t="inlineStr"/>
      <c r="M423" s="8" t="inlineStr">
        <is>
          <t>消耗品效果</t>
        </is>
      </c>
      <c r="N423" s="8" t="inlineStr">
        <is>
          <t>consumable</t>
        </is>
      </c>
      <c r="O423" s="9" t="inlineStr">
        <is>
          <t>恢复 250 点法力</t>
        </is>
      </c>
      <c r="P423" s="9" t="inlineStr">
        <is>
          <t>onConsumableExhausted</t>
        </is>
      </c>
      <c r="Q423" s="9" t="inlineStr">
        <is>
          <t>modifyPlayerPrimaryStat</t>
        </is>
      </c>
      <c r="R423" s="9" t="inlineStr">
        <is>
          <t>{"kind":"consumable","consumable":{"durationSec":10,"maxUses":1,"label":"恢复 250 点法力"},"executors":[{"trigger":"onConsumableExhausted","type":"modifyPlayerPrimaryStat","stat":"mana","delta":250,"label":"恢复 250 点法力"}],"label":"恢复 250 点法力"}</t>
        </is>
      </c>
    </row>
    <row r="424" ht="32" customHeight="1">
      <c r="A424" s="8" t="n">
        <v>300111</v>
      </c>
      <c r="B424" s="8" t="inlineStr">
        <is>
          <t>紫府温元丸</t>
        </is>
      </c>
      <c r="C424" s="8" t="inlineStr">
        <is>
          <t>丹药</t>
        </is>
      </c>
      <c r="D424" s="8" t="inlineStr">
        <is>
          <t>spirit</t>
        </is>
      </c>
      <c r="E424" s="8" t="inlineStr">
        <is>
          <t>none</t>
        </is>
      </c>
      <c r="F424" s="8" t="n">
        <v>1</v>
      </c>
      <c r="G424" s="8" t="inlineStr">
        <is>
          <t>基础/顶层</t>
        </is>
      </c>
      <c r="H424" s="8" t="inlineStr"/>
      <c r="I424" s="9" t="inlineStr"/>
      <c r="J424" s="8" t="inlineStr"/>
      <c r="K424" s="8" t="inlineStr"/>
      <c r="L424" s="8" t="inlineStr"/>
      <c r="M424" s="8" t="inlineStr">
        <is>
          <t>消耗品效果</t>
        </is>
      </c>
      <c r="N424" s="8" t="inlineStr">
        <is>
          <t>consumable</t>
        </is>
      </c>
      <c r="O424" s="9" t="inlineStr">
        <is>
          <t>轮转时，恢复 50 点体力</t>
        </is>
      </c>
      <c r="P424" s="9" t="inlineStr"/>
      <c r="Q424" s="9" t="inlineStr"/>
      <c r="R424" s="9" t="inlineStr">
        <is>
          <t>{"kind":"consumable","consumable":{"durationSec":30,"maxUses":1,"label":"轮转时，恢复 50 点体力","effects":[{"kind":"periodicPulse","periodicPulse":{"intervalSec":5,"primaryStatGains":[{"stat":"stamina","amount":50}]}}]}}</t>
        </is>
      </c>
    </row>
    <row r="425" ht="32" customHeight="1">
      <c r="A425" s="8" t="n">
        <v>300112</v>
      </c>
      <c r="B425" s="8" t="inlineStr">
        <is>
          <t>金阙壮体丹</t>
        </is>
      </c>
      <c r="C425" s="8" t="inlineStr">
        <is>
          <t>丹药</t>
        </is>
      </c>
      <c r="D425" s="8" t="inlineStr">
        <is>
          <t>spirit</t>
        </is>
      </c>
      <c r="E425" s="8" t="inlineStr">
        <is>
          <t>none</t>
        </is>
      </c>
      <c r="F425" s="8" t="n">
        <v>1</v>
      </c>
      <c r="G425" s="8" t="inlineStr">
        <is>
          <t>基础/顶层</t>
        </is>
      </c>
      <c r="H425" s="8" t="inlineStr"/>
      <c r="I425" s="9" t="inlineStr"/>
      <c r="J425" s="8" t="inlineStr"/>
      <c r="K425" s="8" t="inlineStr"/>
      <c r="L425" s="8" t="inlineStr"/>
      <c r="M425" s="8" t="inlineStr">
        <is>
          <t>消耗品效果</t>
        </is>
      </c>
      <c r="N425" s="8" t="inlineStr">
        <is>
          <t>consumable</t>
        </is>
      </c>
      <c r="O425" s="9" t="inlineStr">
        <is>
          <t>本局内体力上限 +200</t>
        </is>
      </c>
      <c r="P425" s="9" t="inlineStr">
        <is>
          <t>onUsePill</t>
        </is>
      </c>
      <c r="Q425" s="9" t="inlineStr">
        <is>
          <t>increaseSingleGamePrimaryStatMax</t>
        </is>
      </c>
      <c r="R425" s="9" t="inlineStr">
        <is>
          <t>{"kind":"consumable","consumable":{"durationSec":3,"maxUses":1,"label":"本局内体力上限 +200"},"executors":[{"trigger":"onUsePill","type":"increaseSingleGamePrimaryStatMax","stat":"stamina","delta":200,"label":"本局内体力上限 +200"}]}</t>
        </is>
      </c>
    </row>
    <row r="426" ht="32" customHeight="1">
      <c r="A426" s="8" t="n">
        <v>300113</v>
      </c>
      <c r="B426" s="8" t="inlineStr">
        <is>
          <t>紫府开玄丸</t>
        </is>
      </c>
      <c r="C426" s="8" t="inlineStr">
        <is>
          <t>丹药</t>
        </is>
      </c>
      <c r="D426" s="8" t="inlineStr">
        <is>
          <t>spirit</t>
        </is>
      </c>
      <c r="E426" s="8" t="inlineStr">
        <is>
          <t>none</t>
        </is>
      </c>
      <c r="F426" s="8" t="n">
        <v>1</v>
      </c>
      <c r="G426" s="8" t="inlineStr">
        <is>
          <t>基础/顶层</t>
        </is>
      </c>
      <c r="H426" s="8" t="inlineStr"/>
      <c r="I426" s="9" t="inlineStr"/>
      <c r="J426" s="8" t="inlineStr"/>
      <c r="K426" s="8" t="inlineStr"/>
      <c r="L426" s="8" t="inlineStr"/>
      <c r="M426" s="8" t="inlineStr">
        <is>
          <t>消耗品效果</t>
        </is>
      </c>
      <c r="N426" s="8" t="inlineStr">
        <is>
          <t>consumable</t>
        </is>
      </c>
      <c r="O426" s="9" t="inlineStr">
        <is>
          <t>本局内法力上限 +200</t>
        </is>
      </c>
      <c r="P426" s="9" t="inlineStr">
        <is>
          <t>onUsePill</t>
        </is>
      </c>
      <c r="Q426" s="9" t="inlineStr">
        <is>
          <t>increaseSingleGamePrimaryStatMax</t>
        </is>
      </c>
      <c r="R426" s="9" t="inlineStr">
        <is>
          <t>{"kind":"consumable","consumable":{"durationSec":3,"maxUses":1,"label":"本局内法力上限 +200"},"executors":[{"trigger":"onUsePill","type":"increaseSingleGamePrimaryStatMax","stat":"mana","delta":200,"label":"本局内法力上限 +200"}]}</t>
        </is>
      </c>
    </row>
    <row r="427" ht="32" customHeight="1">
      <c r="A427" s="8" t="n">
        <v>300114</v>
      </c>
      <c r="B427" s="8" t="inlineStr">
        <is>
          <t>双生护脉丹</t>
        </is>
      </c>
      <c r="C427" s="8" t="inlineStr">
        <is>
          <t>丹药</t>
        </is>
      </c>
      <c r="D427" s="8" t="inlineStr">
        <is>
          <t>spirit</t>
        </is>
      </c>
      <c r="E427" s="8" t="inlineStr">
        <is>
          <t>none</t>
        </is>
      </c>
      <c r="F427" s="8" t="n">
        <v>1</v>
      </c>
      <c r="G427" s="8" t="inlineStr">
        <is>
          <t>基础/顶层</t>
        </is>
      </c>
      <c r="H427" s="8" t="inlineStr"/>
      <c r="I427" s="9" t="inlineStr"/>
      <c r="J427" s="8" t="inlineStr"/>
      <c r="K427" s="8" t="inlineStr"/>
      <c r="L427" s="8" t="inlineStr"/>
      <c r="M427" s="8" t="inlineStr">
        <is>
          <t>消耗品效果</t>
        </is>
      </c>
      <c r="N427" s="8" t="inlineStr">
        <is>
          <t>consumable</t>
        </is>
      </c>
      <c r="O427" s="9" t="inlineStr">
        <is>
          <t>本局内气血上限 +300</t>
        </is>
      </c>
      <c r="P427" s="9" t="inlineStr">
        <is>
          <t>onUsePill</t>
        </is>
      </c>
      <c r="Q427" s="9" t="inlineStr">
        <is>
          <t>increaseSingleGamePrimaryStatMax</t>
        </is>
      </c>
      <c r="R427" s="9" t="inlineStr">
        <is>
          <t>{"kind":"consumable","consumable":{"durationSec":3,"maxUses":1,"label":"本局内气血上限 +300"},"executors":[{"trigger":"onUsePill","type":"increaseSingleGamePrimaryStatMax","stat":"health","delta":300,"label":"本局内气血上限 +300"}]}</t>
        </is>
      </c>
    </row>
    <row r="428" ht="32" customHeight="1">
      <c r="A428" s="8" t="n">
        <v>300115</v>
      </c>
      <c r="B428" s="8" t="inlineStr">
        <is>
          <t>化龙丹</t>
        </is>
      </c>
      <c r="C428" s="8" t="inlineStr">
        <is>
          <t>丹药</t>
        </is>
      </c>
      <c r="D428" s="8" t="inlineStr">
        <is>
          <t>spirit</t>
        </is>
      </c>
      <c r="E428" s="8" t="inlineStr">
        <is>
          <t>fire</t>
        </is>
      </c>
      <c r="F428" s="8" t="n">
        <v>1</v>
      </c>
      <c r="G428" s="8" t="inlineStr">
        <is>
          <t>基础/顶层</t>
        </is>
      </c>
      <c r="H428" s="8" t="inlineStr"/>
      <c r="I428" s="9" t="inlineStr"/>
      <c r="J428" s="8" t="inlineStr"/>
      <c r="K428" s="8" t="inlineStr"/>
      <c r="L428" s="8" t="inlineStr"/>
      <c r="M428" s="8" t="inlineStr">
        <is>
          <t>消耗品效果</t>
        </is>
      </c>
      <c r="N428" s="8" t="inlineStr">
        <is>
          <t>consumable</t>
        </is>
      </c>
      <c r="O428" s="9" t="inlineStr">
        <is>
          <t>服下此丹，助力结丹破境</t>
        </is>
      </c>
      <c r="P428" s="9" t="inlineStr"/>
      <c r="Q428" s="9" t="inlineStr"/>
      <c r="R428" s="9" t="inlineStr">
        <is>
          <t>{"kind":"consumable","consumable":{"immediate":true,"maxUses":1,"label":"服下此丹，助力结丹破境"},"label":"服下此丹，助力结丹破境"}</t>
        </is>
      </c>
    </row>
    <row r="429" ht="32" customHeight="1">
      <c r="A429" s="8" t="n">
        <v>300116</v>
      </c>
      <c r="B429" s="8" t="inlineStr">
        <is>
          <t>伏虎丹</t>
        </is>
      </c>
      <c r="C429" s="8" t="inlineStr">
        <is>
          <t>丹药</t>
        </is>
      </c>
      <c r="D429" s="8" t="inlineStr">
        <is>
          <t>spirit</t>
        </is>
      </c>
      <c r="E429" s="8" t="inlineStr">
        <is>
          <t>water</t>
        </is>
      </c>
      <c r="F429" s="8" t="n">
        <v>1</v>
      </c>
      <c r="G429" s="8" t="inlineStr">
        <is>
          <t>基础/顶层</t>
        </is>
      </c>
      <c r="H429" s="8" t="inlineStr"/>
      <c r="I429" s="9" t="inlineStr"/>
      <c r="J429" s="8" t="inlineStr"/>
      <c r="K429" s="8" t="inlineStr"/>
      <c r="L429" s="8" t="inlineStr"/>
      <c r="M429" s="8" t="inlineStr">
        <is>
          <t>消耗品效果</t>
        </is>
      </c>
      <c r="N429" s="8" t="inlineStr">
        <is>
          <t>consumable</t>
        </is>
      </c>
      <c r="O429" s="9" t="inlineStr">
        <is>
          <t>服下此丹，助力结丹破境</t>
        </is>
      </c>
      <c r="P429" s="9" t="inlineStr"/>
      <c r="Q429" s="9" t="inlineStr"/>
      <c r="R429" s="9" t="inlineStr">
        <is>
          <t>{"kind":"consumable","consumable":{"immediate":true,"maxUses":1,"label":"服下此丹，助力结丹破境"},"label":"服下此丹，助力结丹破境"}</t>
        </is>
      </c>
    </row>
    <row r="430" ht="32" customHeight="1">
      <c r="A430" s="8" t="n">
        <v>300117</v>
      </c>
      <c r="B430" s="8" t="inlineStr">
        <is>
          <t>抱一丹</t>
        </is>
      </c>
      <c r="C430" s="8" t="inlineStr">
        <is>
          <t>丹药</t>
        </is>
      </c>
      <c r="D430" s="8" t="inlineStr">
        <is>
          <t>spirit</t>
        </is>
      </c>
      <c r="E430" s="8" t="inlineStr">
        <is>
          <t>earth</t>
        </is>
      </c>
      <c r="F430" s="8" t="n">
        <v>1</v>
      </c>
      <c r="G430" s="8" t="inlineStr">
        <is>
          <t>基础/顶层</t>
        </is>
      </c>
      <c r="H430" s="8" t="inlineStr"/>
      <c r="I430" s="9" t="inlineStr"/>
      <c r="J430" s="8" t="inlineStr"/>
      <c r="K430" s="8" t="inlineStr"/>
      <c r="L430" s="8" t="inlineStr"/>
      <c r="M430" s="8" t="inlineStr">
        <is>
          <t>消耗品效果</t>
        </is>
      </c>
      <c r="N430" s="8" t="inlineStr">
        <is>
          <t>consumable</t>
        </is>
      </c>
      <c r="O430" s="9" t="inlineStr">
        <is>
          <t>服下此丹，助力结丹破境</t>
        </is>
      </c>
      <c r="P430" s="9" t="inlineStr"/>
      <c r="Q430" s="9" t="inlineStr"/>
      <c r="R430" s="9" t="inlineStr">
        <is>
          <t>{"kind":"consumable","consumable":{"immediate":true,"maxUses":1,"label":"服下此丹，助力结丹破境"},"label":"服下此丹，助力结丹破境"}</t>
        </is>
      </c>
    </row>
    <row r="431" ht="32" customHeight="1">
      <c r="A431" s="8" t="n">
        <v>400001</v>
      </c>
      <c r="B431" s="8" t="inlineStr">
        <is>
          <t>活血石</t>
        </is>
      </c>
      <c r="C431" s="8" t="inlineStr">
        <is>
          <t>法器</t>
        </is>
      </c>
      <c r="D431" s="8" t="inlineStr">
        <is>
          <t>common</t>
        </is>
      </c>
      <c r="E431" s="8" t="inlineStr">
        <is>
          <t>none</t>
        </is>
      </c>
      <c r="F431" s="8" t="n">
        <v>1</v>
      </c>
      <c r="G431" s="8" t="inlineStr">
        <is>
          <t>基础/顶层</t>
        </is>
      </c>
      <c r="H431" s="8" t="inlineStr"/>
      <c r="I431" s="9" t="inlineStr"/>
      <c r="J431" s="8" t="inlineStr"/>
      <c r="K431" s="8" t="inlineStr"/>
      <c r="L431" s="8" t="inlineStr"/>
      <c r="M431" s="8" t="inlineStr">
        <is>
          <t>周期触发</t>
        </is>
      </c>
      <c r="N431" s="8" t="inlineStr">
        <is>
          <t>periodicPulse</t>
        </is>
      </c>
      <c r="O431" s="9" t="inlineStr">
        <is>
          <t>体力低于 50% 时，恢复 1 点体力；体力低于 50% 时，恢复 2 点体力；体力低于 50% 时，恢复 3 点体力；体力低于 50% 时，恢复 4 点体力</t>
        </is>
      </c>
      <c r="P431" s="9" t="inlineStr"/>
      <c r="Q431" s="9" t="inlineStr"/>
      <c r="R431" s="9" t="inlineStr">
        <is>
          <t>{"kind":"periodicPulse","label":"体力低于 50% 时，恢复 1 点体力","activationRequirements":{"staminaThreshold":{"comparator":"lessThan","ratio":0.5}},"periodicPulse":{"intervalSec":5,"label":"体力低于 50% 时，恢复 1 点体力","primaryStatGains":[{"stat":"stamina","amount":1}]},"starOverrides":{"1":{"label":"体力低于 50% 时，恢复 2 点体力","activationRequirements":{"staminaThreshold":{"ratio":0.5}},"periodicPulse":{"primaryStatGains":[{"stat":"stamina","amount":2}]}},"2":{"label":"体力低于 50% 时，恢复 3 点体力","activationRequirements":{"staminaThreshold":{"ratio":0.5}},"periodicPulse":{"primaryStatGains":[{"stat":"stamina","amount":3}]}},"3":{"label":"体力低于 50% 时，恢复 4 点体力","activationRequirements":{"staminaThreshold":{"ratio":0.5}},"periodicPulse":{"primaryStatGains":[{"stat":"stamina","amount":4}]}}}}</t>
        </is>
      </c>
    </row>
    <row r="432" ht="32" customHeight="1">
      <c r="A432" s="8" t="n">
        <v>400002</v>
      </c>
      <c r="B432" s="8" t="inlineStr">
        <is>
          <t>沉重石锤</t>
        </is>
      </c>
      <c r="C432" s="8" t="inlineStr">
        <is>
          <t>法器</t>
        </is>
      </c>
      <c r="D432" s="8" t="inlineStr">
        <is>
          <t>common</t>
        </is>
      </c>
      <c r="E432" s="8" t="inlineStr">
        <is>
          <t>none</t>
        </is>
      </c>
      <c r="F432" s="8" t="n">
        <v>1</v>
      </c>
      <c r="G432" s="8" t="inlineStr">
        <is>
          <t>基础/顶层</t>
        </is>
      </c>
      <c r="H432" s="8" t="inlineStr"/>
      <c r="I432" s="9" t="inlineStr"/>
      <c r="J432" s="8" t="inlineStr"/>
      <c r="K432" s="8" t="inlineStr"/>
      <c r="L432" s="8" t="inlineStr"/>
      <c r="M432" s="8" t="inlineStr">
        <is>
          <t>周期触发</t>
        </is>
      </c>
      <c r="N432" s="8" t="inlineStr">
        <is>
          <t>periodicPulse</t>
        </is>
      </c>
      <c r="O432" s="9" t="inlineStr">
        <is>
          <t>消耗 1 点体力，对敌人造成 1 点伤害；消耗 2 点体力，对敌人造成 2 点伤害；消耗 3 点体力，对敌人造成 3 点伤害；消耗 4 点体力，对敌人造成 4 点伤害</t>
        </is>
      </c>
      <c r="P432" s="9" t="inlineStr"/>
      <c r="Q432" s="9" t="inlineStr"/>
      <c r="R432" s="9" t="inlineStr">
        <is>
          <t>{"kind":"periodicPulse","label":"消耗 1 点体力，&lt;battle&gt;对敌人造成 1 点伤害&lt;/battle&gt;","periodicPulse":{"intervalSec":3,"label":"消耗 1 点体力，&lt;battle&gt;对敌人造成 1 点伤害&lt;/battle&gt;","primaryStatCosts":[{"stat":"stamina","amount":1}],"damageHealth":{"target":"enemy","amount":1}},"starOverrides":{"1":{"label":"消耗 2 点体力，&lt;battle&gt;对敌人造成 2 点伤害&lt;/battle&gt;","periodicPulse":{"primaryStatCosts":[{"amount":2}],"damageHealth":{"amount":2}}},"2":{"label":"消耗 3 点体力，&lt;battle&gt;对敌人造成 3 点伤害&lt;/battle&gt;","periodicPulse":{"primaryStatCosts":[{"amount":3}],"damageHealth":{"amount":3}}},"3":{"label":"消耗 4 点体力，&lt;battle&gt;对敌人造成 4 点伤害&lt;/battle&gt;","periodicPulse":{"primaryStatCosts":[{"amount":4}],"damageHealth":{"amount":4}}}}}</t>
        </is>
      </c>
    </row>
    <row r="433" ht="32" customHeight="1">
      <c r="A433" s="8" t="n">
        <v>400003</v>
      </c>
      <c r="B433" s="8" t="inlineStr">
        <is>
          <t>转灵佩</t>
        </is>
      </c>
      <c r="C433" s="8" t="inlineStr">
        <is>
          <t>法器</t>
        </is>
      </c>
      <c r="D433" s="8" t="inlineStr">
        <is>
          <t>common</t>
        </is>
      </c>
      <c r="E433" s="8" t="inlineStr">
        <is>
          <t>none</t>
        </is>
      </c>
      <c r="F433" s="8" t="n">
        <v>1</v>
      </c>
      <c r="G433" s="8" t="inlineStr">
        <is>
          <t>基础/顶层</t>
        </is>
      </c>
      <c r="H433" s="8" t="inlineStr"/>
      <c r="I433" s="9" t="inlineStr"/>
      <c r="J433" s="8" t="inlineStr"/>
      <c r="K433" s="8" t="inlineStr"/>
      <c r="L433" s="8" t="inlineStr"/>
      <c r="M433" s="8" t="inlineStr">
        <is>
          <t>周期触发</t>
        </is>
      </c>
      <c r="N433" s="8" t="inlineStr">
        <is>
          <t>periodicPulse</t>
        </is>
      </c>
      <c r="O433" s="9" t="inlineStr">
        <is>
          <t>体力未满时，将 1 块灵石转化为 8 点体力；体力未满时，将 1 块灵石转化为 16 点体力；体力未满时，将 1 块灵石转化为 24 点体力；体力未满时，将 1 块灵石转化为 32 点体力</t>
        </is>
      </c>
      <c r="P433" s="9" t="inlineStr"/>
      <c r="Q433" s="9" t="inlineStr"/>
      <c r="R433" s="9" t="inlineStr">
        <is>
          <t>{"kind":"periodicPulse","periodicPulse":{"intervalSec":10,"spiritStoneCost":1,"primaryStatGains":[{"stat":"stamina","amount":8}],"label":"体力未满时，将 1 块灵石转化为 8 点体力"},"starOverrides":{"1":{"label":"体力未满时，将 1 块灵石转化为 16 点体力","periodicPulse":{"primaryStatGains":[{"amount":16}]}},"2":{"label":"体力未满时，将 1 块灵石转化为 24 点体力","periodicPulse":{"primaryStatGains":[{"amount":24}]}},"3":{"label":"体力未满时，将 1 块灵石转化为 32 点体力","periodicPulse":{"primaryStatGains":[{"amount":32}]}}},"label":"体力未满时，将 1 块灵石转化为 8 点体力"}</t>
        </is>
      </c>
    </row>
    <row r="434" ht="32" customHeight="1">
      <c r="A434" s="8" t="n">
        <v>400004</v>
      </c>
      <c r="B434" s="8" t="inlineStr">
        <is>
          <t>铁砂绑腿</t>
        </is>
      </c>
      <c r="C434" s="8" t="inlineStr">
        <is>
          <t>法器</t>
        </is>
      </c>
      <c r="D434" s="8" t="inlineStr">
        <is>
          <t>common</t>
        </is>
      </c>
      <c r="E434" s="8" t="inlineStr">
        <is>
          <t>none</t>
        </is>
      </c>
      <c r="F434" s="8" t="n">
        <v>1</v>
      </c>
      <c r="G434" s="8" t="inlineStr">
        <is>
          <t>基础/顶层</t>
        </is>
      </c>
      <c r="H434" s="8" t="inlineStr"/>
      <c r="I434" s="9" t="inlineStr"/>
      <c r="J434" s="8" t="inlineStr"/>
      <c r="K434" s="8" t="inlineStr"/>
      <c r="L434" s="8" t="inlineStr"/>
      <c r="M434" s="8" t="inlineStr">
        <is>
          <t>被动效果</t>
        </is>
      </c>
      <c r="N434" s="8" t="inlineStr">
        <is>
          <t>passive</t>
        </is>
      </c>
      <c r="O434" s="9" t="inlineStr">
        <is>
          <t>位于储物袋底部时，体力上限 +2；位于储物袋底部时，体力上限 +4；位于储物袋底部时，体力上限 +6；位于储物袋底部时，体力上限 +8</t>
        </is>
      </c>
      <c r="P434" s="9" t="inlineStr"/>
      <c r="Q434" s="9" t="inlineStr">
        <is>
          <t>primaryStatMaxFlatBonus</t>
        </is>
      </c>
      <c r="R434" s="9" t="inlineStr">
        <is>
          <t>{"kind":"passive","passiveEffect":{"type":"primaryStatMaxFlatBonus","stat":"stamina","value":2,"label":"位于储物袋底部时，体力上限 +2","activationRequirements":{"sourceEdges":["bottom"]}},"starOverrides":{"1":{"label":"位于储物袋底部时，体力上限 +4","passiveEffect":{"value":4}},"2":{"label":"位于储物袋底部时，体力上限 +6","passiveEffect":{"value":6}},"3":{"label":"位于储物袋底部时，体力上限 +8","passiveEffect":{"value":8}}}}</t>
        </is>
      </c>
    </row>
    <row r="435" ht="32" customHeight="1">
      <c r="A435" s="8" t="n">
        <v>400005</v>
      </c>
      <c r="B435" s="8" t="inlineStr">
        <is>
          <t>铜皮腰带</t>
        </is>
      </c>
      <c r="C435" s="8" t="inlineStr">
        <is>
          <t>法器</t>
        </is>
      </c>
      <c r="D435" s="8" t="inlineStr">
        <is>
          <t>common</t>
        </is>
      </c>
      <c r="E435" s="8" t="inlineStr">
        <is>
          <t>none</t>
        </is>
      </c>
      <c r="F435" s="8" t="n">
        <v>1</v>
      </c>
      <c r="G435" s="8" t="inlineStr">
        <is>
          <t>基础/顶层</t>
        </is>
      </c>
      <c r="H435" s="8" t="inlineStr"/>
      <c r="I435" s="9" t="inlineStr"/>
      <c r="J435" s="8" t="inlineStr"/>
      <c r="K435" s="8" t="inlineStr"/>
      <c r="L435" s="8" t="inlineStr"/>
      <c r="M435" s="8" t="inlineStr">
        <is>
          <t>被动效果</t>
        </is>
      </c>
      <c r="N435" s="8" t="inlineStr">
        <is>
          <t>passive</t>
        </is>
      </c>
      <c r="O435" s="9" t="inlineStr">
        <is>
          <t>未贴住储物袋边缘时，体力上限 +3；未贴住储物袋边缘时，体力上限 +6；未贴住储物袋边缘时，体力上限 +9；未贴住储物袋边缘时，体力上限 +12</t>
        </is>
      </c>
      <c r="P435" s="9" t="inlineStr"/>
      <c r="Q435" s="9" t="inlineStr">
        <is>
          <t>primaryStatMaxFlatBonus</t>
        </is>
      </c>
      <c r="R435" s="9" t="inlineStr">
        <is>
          <t>{"kind":"passive","passiveEffect":{"type":"primaryStatMaxFlatBonus","stat":"stamina","value":3,"label":"未贴住储物袋边缘时，体力上限 +3","activationRequirements":{"forbiddenEdges":["top","bottom","left","right"]}},"starOverrides":{"1":{"label":"未贴住储物袋边缘时，体力上限 +6","passiveEffect":{"value":6}},"2":{"label":"未贴住储物袋边缘时，体力上限 +9","passiveEffect":{"value":9}},"3":{"label":"未贴住储物袋边缘时，体力上限 +12","passiveEffect":{"value":12}}}}</t>
        </is>
      </c>
    </row>
    <row r="436" ht="32" customHeight="1">
      <c r="A436" s="8" t="n">
        <v>400006</v>
      </c>
      <c r="B436" s="8" t="inlineStr">
        <is>
          <t>引火匣</t>
        </is>
      </c>
      <c r="C436" s="8" t="inlineStr">
        <is>
          <t>法器</t>
        </is>
      </c>
      <c r="D436" s="8" t="inlineStr">
        <is>
          <t>common</t>
        </is>
      </c>
      <c r="E436" s="8" t="inlineStr">
        <is>
          <t>fire</t>
        </is>
      </c>
      <c r="F436" s="8" t="n">
        <v>1</v>
      </c>
      <c r="G436" s="8" t="inlineStr">
        <is>
          <t>基础/顶层</t>
        </is>
      </c>
      <c r="H436" s="8" t="inlineStr"/>
      <c r="I436" s="9" t="inlineStr"/>
      <c r="J436" s="8" t="inlineStr"/>
      <c r="K436" s="8" t="inlineStr"/>
      <c r="L436" s="8" t="inlineStr"/>
      <c r="M436" s="8" t="inlineStr">
        <is>
          <t>条件触发</t>
        </is>
      </c>
      <c r="N436" s="8" t="inlineStr">
        <is>
          <t>triggered</t>
        </is>
      </c>
      <c r="O436" s="9" t="inlineStr">
        <is>
          <t>右侧相邻火属性道具获得炎热时，额外获得 3 层炎热；右侧相邻火属性道具获得炎热时，额外获得 5 层炎热；右侧相邻火属性道具获得炎热时，额外获得 7 层炎热；右侧相邻火属性道具获得炎热时，额外获得 9 层炎热</t>
        </is>
      </c>
      <c r="P436" s="9" t="inlineStr">
        <is>
          <t>onBuffGain</t>
        </is>
      </c>
      <c r="Q436" s="9" t="inlineStr">
        <is>
          <t>applyBuff；directional-adjacent</t>
        </is>
      </c>
      <c r="R436" s="9" t="inlineStr">
        <is>
          <t>{"kind":"triggered","triggeredEffect":{"trigger":"onBuffGain","eventBuffId":"heat","type":"applyBuff","buffId":"heat","countPerEventBuffStack":3,"eventSource":{"target":{"type":"directional-adjacent","direction":"right"},"filter":{"elements":["fire"]}}},"label":"右侧相邻火属性道具获得炎热时，额外获得 3 层炎热","starOverrides":{"1":{"label":"右侧相邻火属性道具获得炎热时，额外获得 5 层炎热","triggeredEffect":{"countPerEventBuffStack":5}},"2":{"label":"右侧相邻火属性道具获得炎热时，额外获得 7 层炎热","triggeredEffect":{"countPerEventBuffStack":7}},"3":{"label":"右侧相邻火属性道具获得炎热时，额外获得 9 层炎热","triggeredEffect":{"countPerEventBuffStack":9}}}}</t>
        </is>
      </c>
    </row>
    <row r="437" ht="32" customHeight="1">
      <c r="A437" s="8" t="n">
        <v>400007</v>
      </c>
      <c r="B437" s="8" t="inlineStr">
        <is>
          <t>回元壶</t>
        </is>
      </c>
      <c r="C437" s="8" t="inlineStr">
        <is>
          <t>法器</t>
        </is>
      </c>
      <c r="D437" s="8" t="inlineStr">
        <is>
          <t>common</t>
        </is>
      </c>
      <c r="E437" s="8" t="inlineStr">
        <is>
          <t>none</t>
        </is>
      </c>
      <c r="F437" s="8" t="n">
        <v>1</v>
      </c>
      <c r="G437" s="8" t="inlineStr">
        <is>
          <t>基础/顶层</t>
        </is>
      </c>
      <c r="H437" s="8" t="inlineStr"/>
      <c r="I437" s="9" t="inlineStr"/>
      <c r="J437" s="8" t="inlineStr"/>
      <c r="K437" s="8" t="inlineStr"/>
      <c r="L437" s="8" t="inlineStr"/>
      <c r="M437" s="8" t="inlineStr">
        <is>
          <t>周期触发</t>
        </is>
      </c>
      <c r="N437" s="8" t="inlineStr">
        <is>
          <t>periodicPulse</t>
        </is>
      </c>
      <c r="O437" s="9" t="inlineStr">
        <is>
          <t>将 1 点法力转化为 2 点体力；将 2 点法力转化为 4 点体力；将 3 点法力转化为 6 点体力；将 4 点法力转化为 8 点体力</t>
        </is>
      </c>
      <c r="P437" s="9" t="inlineStr"/>
      <c r="Q437" s="9" t="inlineStr"/>
      <c r="R437" s="9" t="inlineStr">
        <is>
          <t>{"kind":"periodicPulse","periodicPulse":{"intervalSec":10,"label":"将 1 点法力转化为 2 点体力","primaryStatCosts":[{"stat":"mana","amount":1}],"primaryStatGains":[{"stat":"stamina","amount":2}]},"label":"将 1 点法力转化为 2 点体力","starOverrides":{"1":{"label":"将 2 点法力转化为 4 点体力","periodicPulse":{"primaryStatCosts":[{"amount":2}],"primaryStatGains":[{"amount":4}]}},"2":{"label":"将 3 点法力转化为 6 点体力","periodicPulse":{"primaryStatCosts":[{"amount":3}],"primaryStatGains":[{"amount":6}]}},"3":{"label":"将 4 点法力转化为 8 点体力","periodicPulse":{"primaryStatCosts":[{"amount":4}],"primaryStatGains":[{"amount":8}]}}}}</t>
        </is>
      </c>
    </row>
    <row r="438" ht="32" customHeight="1">
      <c r="A438" s="8" t="n">
        <v>400009</v>
      </c>
      <c r="B438" s="8" t="inlineStr">
        <is>
          <t>养魄筹</t>
        </is>
      </c>
      <c r="C438" s="8" t="inlineStr">
        <is>
          <t>法器</t>
        </is>
      </c>
      <c r="D438" s="8" t="inlineStr">
        <is>
          <t>common</t>
        </is>
      </c>
      <c r="E438" s="8" t="inlineStr">
        <is>
          <t>none</t>
        </is>
      </c>
      <c r="F438" s="8" t="n">
        <v>1</v>
      </c>
      <c r="G438" s="8" t="inlineStr">
        <is>
          <t>基础/顶层</t>
        </is>
      </c>
      <c r="H438" s="8" t="inlineStr"/>
      <c r="I438" s="9" t="inlineStr"/>
      <c r="J438" s="8" t="inlineStr"/>
      <c r="K438" s="8" t="inlineStr"/>
      <c r="L438" s="8" t="inlineStr"/>
      <c r="M438" s="8" t="inlineStr">
        <is>
          <t>周期触发</t>
        </is>
      </c>
      <c r="N438" s="8" t="inlineStr">
        <is>
          <t>periodicPulse</t>
        </is>
      </c>
      <c r="O438" s="9" t="inlineStr">
        <is>
          <t>和功法相邻时，恢复 4 点体力；和功法相邻时，恢复 5 点体力；和功法相邻时，恢复 6 点体力；和功法相邻时，恢复 7 点体力</t>
        </is>
      </c>
      <c r="P438" s="9" t="inlineStr"/>
      <c r="Q438" s="9" t="inlineStr"/>
      <c r="R438" s="9" t="inlineStr">
        <is>
          <t>{"kind":"periodicPulse","periodicPulse":{"intervalSec":12,"label":"和功法相邻时，恢复 4 点体力","primaryStatGains":[{"stat":"stamina","amount":4}],"activationRequirements":{"neighborCounts":[{"minCount":1,"categories":["scripture"]}]}},"label":"和功法相邻时，恢复 4 点体力","starOverrides":{"1":{"label":"和功法相邻时，恢复 5 点体力","periodicPulse":{"primaryStatGains":[{"stat":"stamina","amount":5}],"intervalSec":11}},"2":{"label":"和功法相邻时，恢复 6 点体力","periodicPulse":{"primaryStatGains":[{"stat":"stamina","amount":6}],"intervalSec":10}},"3":{"label":"和功法相邻时，恢复 7 点体力","periodicPulse":{"primaryStatGains":[{"stat":"stamina","amount":7}],"intervalSec":9}}}}</t>
        </is>
      </c>
    </row>
    <row r="439" ht="32" customHeight="1">
      <c r="A439" s="8" t="n">
        <v>400010</v>
      </c>
      <c r="B439" s="8" t="inlineStr">
        <is>
          <t>回响小铃</t>
        </is>
      </c>
      <c r="C439" s="8" t="inlineStr">
        <is>
          <t>法器</t>
        </is>
      </c>
      <c r="D439" s="8" t="inlineStr">
        <is>
          <t>common</t>
        </is>
      </c>
      <c r="E439" s="8" t="inlineStr">
        <is>
          <t>none</t>
        </is>
      </c>
      <c r="F439" s="8" t="n">
        <v>1</v>
      </c>
      <c r="G439" s="8" t="inlineStr">
        <is>
          <t>基础/顶层</t>
        </is>
      </c>
      <c r="H439" s="8" t="inlineStr"/>
      <c r="I439" s="9" t="inlineStr"/>
      <c r="J439" s="8" t="inlineStr"/>
      <c r="K439" s="8" t="inlineStr"/>
      <c r="L439" s="8" t="inlineStr"/>
      <c r="M439" s="8" t="inlineStr">
        <is>
          <t>条件触发</t>
        </is>
      </c>
      <c r="N439" s="8" t="inlineStr">
        <is>
          <t>triggered</t>
        </is>
      </c>
      <c r="O439" s="9" t="inlineStr">
        <is>
          <t>主动释放招式时，恢复 3 点法力；主动释放招式时，恢复 4 点法力；主动释放招式时，恢复 5 点法力；主动释放招式时，恢复 6 点法力</t>
        </is>
      </c>
      <c r="P439" s="9" t="inlineStr">
        <is>
          <t>onItemUse</t>
        </is>
      </c>
      <c r="Q439" s="9" t="inlineStr">
        <is>
          <t>modifyPlayerPrimaryStat；other</t>
        </is>
      </c>
      <c r="R439" s="9" t="inlineStr">
        <is>
          <t>{"kind":"triggered","triggeredEffect":{"trigger":"onItemUse","type":"modifyPlayerPrimaryStat","stat":"mana","delta":3,"eventSource":{"target":{"type":"other"},"filter":{"categories":["spell"]}}},"label":"主动释放招式时，恢复 3 点法力","starOverrides":{"1":{"label":"主动释放招式时，恢复 4 点法力","triggeredEffect":{"delta":4}},"2":{"label":"主动释放招式时，恢复 5 点法力","triggeredEffect":{"delta":5}},"3":{"label":"主动释放招式时，恢复 6 点法力","triggeredEffect":{"delta":6}}}}</t>
        </is>
      </c>
    </row>
    <row r="440" ht="32" customHeight="1">
      <c r="A440" s="8" t="n">
        <v>400011</v>
      </c>
      <c r="B440" s="8" t="inlineStr">
        <is>
          <t>护心小镜</t>
        </is>
      </c>
      <c r="C440" s="8" t="inlineStr">
        <is>
          <t>法器</t>
        </is>
      </c>
      <c r="D440" s="8" t="inlineStr">
        <is>
          <t>common</t>
        </is>
      </c>
      <c r="E440" s="8" t="inlineStr">
        <is>
          <t>none</t>
        </is>
      </c>
      <c r="F440" s="8" t="n">
        <v>1</v>
      </c>
      <c r="G440" s="8" t="inlineStr">
        <is>
          <t>基础/顶层</t>
        </is>
      </c>
      <c r="H440" s="8" t="inlineStr"/>
      <c r="I440" s="9" t="inlineStr"/>
      <c r="J440" s="8" t="inlineStr"/>
      <c r="K440" s="8" t="inlineStr"/>
      <c r="L440" s="8" t="inlineStr"/>
      <c r="M440" s="8" t="inlineStr">
        <is>
          <t>周期触发</t>
        </is>
      </c>
      <c r="N440" s="8" t="inlineStr">
        <is>
          <t>periodicPulse</t>
        </is>
      </c>
      <c r="O440" s="9" t="inlineStr">
        <is>
          <t>开局：如果上方相邻装备，获得 4 层护甲；开局：如果上方相邻装备，获得 8 层护甲；开局：如果上方相邻装备，获得 12 层护甲；开局：如果上方相邻装备，获得 16 层护甲</t>
        </is>
      </c>
      <c r="P440" s="9" t="inlineStr"/>
      <c r="Q440" s="9" t="inlineStr"/>
      <c r="R440" s="9" t="inlineStr">
        <is>
          <t>{"kind":"periodicPulse","periodicPulse":{"startOnly":true,"buffGains":[{"buffId":"armor","count":4}],"label":"开局：如果上方相邻装备，获得 4 层护甲","activationRequirements":{"directionalNeighbors":[{"direction":"up","features":["equipment"]}]}},"label":"开局：如果上方相邻装备，获得 4 层护甲","starOverrides":{"1":{"label":"开局：如果上方相邻装备，获得 8 层护甲","periodicPulse":{"buffGains":[{"count":8}]}},"2":{"label":"开局：如果上方相邻装备，获得 12 层护甲","periodicPulse":{"buffGains":[{"count":12}]}},"3":{"label":"开局：如果上方相邻装备，获得 16 层护甲","periodicPulse":{"buffGains":[{"count":16}]}}}}</t>
        </is>
      </c>
    </row>
    <row r="441" ht="32" customHeight="1">
      <c r="A441" s="8" t="n">
        <v>400012</v>
      </c>
      <c r="B441" s="8" t="inlineStr">
        <is>
          <t>青壶露瓶</t>
        </is>
      </c>
      <c r="C441" s="8" t="inlineStr">
        <is>
          <t>法器</t>
        </is>
      </c>
      <c r="D441" s="8" t="inlineStr">
        <is>
          <t>common</t>
        </is>
      </c>
      <c r="E441" s="8" t="inlineStr">
        <is>
          <t>none</t>
        </is>
      </c>
      <c r="F441" s="8" t="n">
        <v>1</v>
      </c>
      <c r="G441" s="8" t="inlineStr">
        <is>
          <t>基础/顶层</t>
        </is>
      </c>
      <c r="H441" s="8" t="inlineStr"/>
      <c r="I441" s="9" t="inlineStr"/>
      <c r="J441" s="8" t="inlineStr"/>
      <c r="K441" s="8" t="inlineStr"/>
      <c r="L441" s="8" t="inlineStr"/>
      <c r="M441" s="8" t="inlineStr">
        <is>
          <t>条件触发</t>
        </is>
      </c>
      <c r="N441" s="8" t="inlineStr">
        <is>
          <t>triggered</t>
        </is>
      </c>
      <c r="O441" s="9" t="inlineStr">
        <is>
          <t>相邻 2x2 道具使用时，恢复 1 点法力；相邻 2x2 道具使用时，恢复 2 点法力；相邻 2x2 道具使用时，恢复 3 点法力；相邻 2x2 道具使用时，恢复 4 点法力</t>
        </is>
      </c>
      <c r="P441" s="9" t="inlineStr">
        <is>
          <t>onItemUse</t>
        </is>
      </c>
      <c r="Q441" s="9" t="inlineStr">
        <is>
          <t>modifyPlayerPrimaryStat；adjacent</t>
        </is>
      </c>
      <c r="R441" s="9" t="inlineStr">
        <is>
          <t>{"kind":"triggered","label":"相邻 2x2 道具使用时，恢复 1 点法力","triggeredEffect":{"trigger":"onItemUse","type":"modifyPlayerPrimaryStat","stat":"mana","delta":1,"eventSource":{"target":{"type":"adjacent"},"filter":{"shapeSizes":["2x2"]}}},"starOverrides":{"1":{"label":"相邻 2x2 道具使用时，恢复 2 点法力","triggeredEffect":{"delta":2}},"2":{"label":"相邻 2x2 道具使用时，恢复 3 点法力","triggeredEffect":{"delta":3}},"3":{"label":"相邻 2x2 道具使用时，恢复 4 点法力","triggeredEffect":{"delta":4}}}}</t>
        </is>
      </c>
    </row>
    <row r="442" ht="32" customHeight="1">
      <c r="A442" s="8" t="n">
        <v>400013</v>
      </c>
      <c r="B442" s="8" t="inlineStr">
        <is>
          <t>小丹匣</t>
        </is>
      </c>
      <c r="C442" s="8" t="inlineStr">
        <is>
          <t>宝箱</t>
        </is>
      </c>
      <c r="D442" s="8" t="inlineStr">
        <is>
          <t>common</t>
        </is>
      </c>
      <c r="E442" s="8" t="inlineStr">
        <is>
          <t>none</t>
        </is>
      </c>
      <c r="F442" s="8" t="n">
        <v>1</v>
      </c>
      <c r="G442" s="8" t="inlineStr">
        <is>
          <t>基础/顶层</t>
        </is>
      </c>
      <c r="H442" s="8" t="inlineStr"/>
      <c r="I442" s="9" t="inlineStr"/>
      <c r="J442" s="8" t="inlineStr"/>
      <c r="K442" s="8" t="inlineStr"/>
      <c r="L442" s="8" t="inlineStr"/>
      <c r="M442" s="8" t="inlineStr">
        <is>
          <t>消耗品效果</t>
        </is>
      </c>
      <c r="N442" s="8" t="inlineStr">
        <is>
          <t>consumable</t>
        </is>
      </c>
      <c r="O442" s="9" t="inlineStr">
        <is>
          <t>获得 5 个聚气丹</t>
        </is>
      </c>
      <c r="P442" s="9" t="inlineStr">
        <is>
          <t>onConsumableExhausted</t>
        </is>
      </c>
      <c r="Q442" s="9" t="inlineStr">
        <is>
          <t>grantItems</t>
        </is>
      </c>
      <c r="R442" s="9" t="inlineStr">
        <is>
          <t>{"kind":"consumable","consumable":{"durationSec":5,"label":"获得 5 个聚气丹"},"executors":[{"trigger":"onConsumableExhausted","type":"grantItems","items":[{"templateNumericId":300005,"count":5}],"label":"获得 5 个聚气丹"}],"label":"获得 5 个聚气丹"}</t>
        </is>
      </c>
    </row>
    <row r="443" ht="32" customHeight="1">
      <c r="A443" s="8" t="n">
        <v>400014</v>
      </c>
      <c r="B443" s="8" t="inlineStr">
        <is>
          <t>初阶丹炉</t>
        </is>
      </c>
      <c r="C443" s="8" t="inlineStr">
        <is>
          <t>法器</t>
        </is>
      </c>
      <c r="D443" s="8" t="inlineStr">
        <is>
          <t>common</t>
        </is>
      </c>
      <c r="E443" s="8" t="inlineStr">
        <is>
          <t>none</t>
        </is>
      </c>
      <c r="F443" s="8" t="n">
        <v>1</v>
      </c>
      <c r="G443" s="8" t="inlineStr">
        <is>
          <t>基础/顶层</t>
        </is>
      </c>
      <c r="H443" s="8" t="inlineStr"/>
      <c r="I443" s="9" t="inlineStr"/>
      <c r="J443" s="8" t="inlineStr"/>
      <c r="K443" s="8" t="inlineStr"/>
      <c r="L443" s="8" t="inlineStr"/>
      <c r="M443" s="8" t="inlineStr">
        <is>
          <t>周期触发</t>
        </is>
      </c>
      <c r="N443" s="8" t="inlineStr">
        <is>
          <t>periodicPulse</t>
        </is>
      </c>
      <c r="O443" s="9" t="inlineStr">
        <is>
          <t>适用于凡品丹方，成功率 +25%，大成功率 +5%</t>
        </is>
      </c>
      <c r="P443" s="9" t="inlineStr"/>
      <c r="Q443" s="9" t="inlineStr"/>
      <c r="R443" s="9" t="inlineStr">
        <is>
          <t>{"kind":"periodicPulse","label":"适用于凡品丹方，成功率 +25%，大成功率 +5%","periodicPulse":{"intervalSec":30,"label":"适用于凡品丹方，成功率 +25%，大成功率 +5%","alchemySuccessRate":{"successRate":0.25,"greatSuccessRate":0.05}}}</t>
        </is>
      </c>
    </row>
    <row r="444" ht="32" customHeight="1">
      <c r="A444" s="8" t="n">
        <v>400015</v>
      </c>
      <c r="B444" s="8" t="inlineStr">
        <is>
          <t>聚气石盆</t>
        </is>
      </c>
      <c r="C444" s="8" t="inlineStr">
        <is>
          <t>法器</t>
        </is>
      </c>
      <c r="D444" s="8" t="inlineStr">
        <is>
          <t>common</t>
        </is>
      </c>
      <c r="E444" s="8" t="inlineStr">
        <is>
          <t>water</t>
        </is>
      </c>
      <c r="F444" s="8" t="n">
        <v>1</v>
      </c>
      <c r="G444" s="8" t="inlineStr">
        <is>
          <t>基础/顶层</t>
        </is>
      </c>
      <c r="H444" s="8" t="inlineStr"/>
      <c r="I444" s="9" t="inlineStr"/>
      <c r="J444" s="8" t="inlineStr"/>
      <c r="K444" s="8" t="inlineStr"/>
      <c r="L444" s="8" t="inlineStr"/>
      <c r="M444" s="8" t="inlineStr">
        <is>
          <t>条件触发</t>
        </is>
      </c>
      <c r="N444" s="8" t="inlineStr">
        <is>
          <t>triggered</t>
        </is>
      </c>
      <c r="O444" s="9" t="inlineStr">
        <is>
          <t>累计生成 30 层露水后，恢复 20 点法力；累计生成 30 层露水后，恢复 30 点法力；累计生成 30 层露水后，恢复 40 点法力；累计生成 30 层露水后，恢复 50 点法力</t>
        </is>
      </c>
      <c r="P444" s="9" t="inlineStr">
        <is>
          <t>onBuffGain</t>
        </is>
      </c>
      <c r="Q444" s="9" t="inlineStr">
        <is>
          <t>modifyPlayerPrimaryStat</t>
        </is>
      </c>
      <c r="R444" s="9" t="inlineStr">
        <is>
          <t>{"kind":"triggered","label":"累计生成 30 层露水后，恢复 20 点法力","triggeredEffect":{"trigger":"onBuffGain","eventBuffId":"dew","type":"modifyPlayerPrimaryStat","stat":"mana","delta":20,"charge":{"threshold":30,"source":{"trigger":"onBuffGain","buffIds":["dew"]}}},"starOverrides":{"1":{"label":"累计生成 30 层露水后，恢复 30 点法力","triggeredEffect":{"delta":30}},"2":{"label":"累计生成 30 层露水后，恢复 40 点法力","triggeredEffect":{"delta":40}},"3":{"label":"累计生成 30 层露水后，恢复 50 点法力","triggeredEffect":{"delta":50}}}}</t>
        </is>
      </c>
    </row>
    <row r="445" ht="32" customHeight="1">
      <c r="A445" s="8" t="n">
        <v>400016</v>
      </c>
      <c r="B445" s="8" t="inlineStr">
        <is>
          <t>青铜丹炉</t>
        </is>
      </c>
      <c r="C445" s="8" t="inlineStr">
        <is>
          <t>法器</t>
        </is>
      </c>
      <c r="D445" s="8" t="inlineStr">
        <is>
          <t>common</t>
        </is>
      </c>
      <c r="E445" s="8" t="inlineStr">
        <is>
          <t>none</t>
        </is>
      </c>
      <c r="F445" s="8" t="n">
        <v>1</v>
      </c>
      <c r="G445" s="8" t="inlineStr">
        <is>
          <t>基础/顶层</t>
        </is>
      </c>
      <c r="H445" s="8" t="inlineStr"/>
      <c r="I445" s="9" t="inlineStr"/>
      <c r="J445" s="8" t="inlineStr"/>
      <c r="K445" s="8" t="inlineStr"/>
      <c r="L445" s="8" t="inlineStr"/>
      <c r="M445" s="8" t="inlineStr">
        <is>
          <t>周期触发</t>
        </is>
      </c>
      <c r="N445" s="8" t="inlineStr">
        <is>
          <t>periodicPulse</t>
        </is>
      </c>
      <c r="O445" s="9" t="inlineStr">
        <is>
          <t>适用于凡品丹方，成功率 +45%，大成功率 +5%</t>
        </is>
      </c>
      <c r="P445" s="9" t="inlineStr"/>
      <c r="Q445" s="9" t="inlineStr"/>
      <c r="R445" s="9" t="inlineStr">
        <is>
          <t>{"kind":"periodicPulse","label":"适用于凡品丹方，成功率 +45%，大成功率 +5%","periodicPulse":{"intervalSec":39,"label":"适用于凡品丹方，成功率 +45%，大成功率 +5%","alchemySuccessRate":{"successRate":0.45,"greatSuccessRate":0.05}}}</t>
        </is>
      </c>
    </row>
    <row r="446" ht="32" customHeight="1">
      <c r="A446" s="8" t="n">
        <v>400017</v>
      </c>
      <c r="B446" s="8" t="inlineStr">
        <is>
          <t>养火丹炉</t>
        </is>
      </c>
      <c r="C446" s="8" t="inlineStr">
        <is>
          <t>法器</t>
        </is>
      </c>
      <c r="D446" s="8" t="inlineStr">
        <is>
          <t>common</t>
        </is>
      </c>
      <c r="E446" s="8" t="inlineStr">
        <is>
          <t>fire</t>
        </is>
      </c>
      <c r="F446" s="8" t="n">
        <v>1</v>
      </c>
      <c r="G446" s="8" t="inlineStr">
        <is>
          <t>基础/顶层</t>
        </is>
      </c>
      <c r="H446" s="8" t="inlineStr"/>
      <c r="I446" s="9" t="inlineStr"/>
      <c r="J446" s="8" t="inlineStr"/>
      <c r="K446" s="8" t="inlineStr"/>
      <c r="L446" s="8" t="inlineStr"/>
      <c r="M446" s="8" t="inlineStr">
        <is>
          <t>周期触发</t>
        </is>
      </c>
      <c r="N446" s="8" t="inlineStr">
        <is>
          <t>periodicPulse</t>
        </is>
      </c>
      <c r="O446" s="9" t="inlineStr">
        <is>
          <t>适用于凡品丹方，成功率 +25%，大成功率 +5%</t>
        </is>
      </c>
      <c r="P446" s="9" t="inlineStr"/>
      <c r="Q446" s="9" t="inlineStr"/>
      <c r="R446" s="9" t="inlineStr">
        <is>
          <t>{"kind":"periodicPulse","label":"适用于凡品丹方，成功率 +25%，大成功率 +5%","periodicPulse":{"intervalSec":21,"label":"适用于凡品丹方，成功率 +25%，大成功率 +5%","alchemySuccessRate":{"successRate":0.25,"greatSuccessRate":0.05}}}</t>
        </is>
      </c>
    </row>
    <row r="447" ht="32" customHeight="1">
      <c r="A447" s="8" t="n">
        <v>400018</v>
      </c>
      <c r="B447" s="8" t="inlineStr">
        <is>
          <t>宽腹丹炉</t>
        </is>
      </c>
      <c r="C447" s="8" t="inlineStr">
        <is>
          <t>法器</t>
        </is>
      </c>
      <c r="D447" s="8" t="inlineStr">
        <is>
          <t>spirit</t>
        </is>
      </c>
      <c r="E447" s="8" t="inlineStr">
        <is>
          <t>none</t>
        </is>
      </c>
      <c r="F447" s="8" t="n">
        <v>1</v>
      </c>
      <c r="G447" s="8" t="inlineStr">
        <is>
          <t>基础/顶层</t>
        </is>
      </c>
      <c r="H447" s="8" t="inlineStr"/>
      <c r="I447" s="9" t="inlineStr"/>
      <c r="J447" s="8" t="inlineStr"/>
      <c r="K447" s="8" t="inlineStr"/>
      <c r="L447" s="8" t="inlineStr"/>
      <c r="M447" s="8" t="inlineStr">
        <is>
          <t>周期触发</t>
        </is>
      </c>
      <c r="N447" s="8" t="inlineStr">
        <is>
          <t>periodicPulse</t>
        </is>
      </c>
      <c r="O447" s="9" t="inlineStr">
        <is>
          <t>成功率 +63%，大成功率 +10%（适用于灵品以下丹方）</t>
        </is>
      </c>
      <c r="P447" s="9" t="inlineStr"/>
      <c r="Q447" s="9" t="inlineStr"/>
      <c r="R447" s="9" t="inlineStr">
        <is>
          <t>{"kind":"periodicPulse","label":"成功率 +63%，大成功率 +10%（适用于灵品以下丹方）","periodicPulse":{"intervalSec":36,"label":"成功率 +63%，大成功率 +10%（适用于灵品以下丹方）","alchemySuccessRate":{"successRate":0.63,"greatSuccessRate":0.1}}}</t>
        </is>
      </c>
    </row>
    <row r="448" ht="32" customHeight="1">
      <c r="A448" s="8" t="n">
        <v>400019</v>
      </c>
      <c r="B448" s="8" t="inlineStr">
        <is>
          <t>玄铜定灵炉</t>
        </is>
      </c>
      <c r="C448" s="8" t="inlineStr">
        <is>
          <t>法器</t>
        </is>
      </c>
      <c r="D448" s="8" t="inlineStr">
        <is>
          <t>spirit</t>
        </is>
      </c>
      <c r="E448" s="8" t="inlineStr">
        <is>
          <t>none</t>
        </is>
      </c>
      <c r="F448" s="8" t="n">
        <v>1</v>
      </c>
      <c r="G448" s="8" t="inlineStr">
        <is>
          <t>基础/顶层</t>
        </is>
      </c>
      <c r="H448" s="8" t="inlineStr"/>
      <c r="I448" s="9" t="inlineStr"/>
      <c r="J448" s="8" t="inlineStr"/>
      <c r="K448" s="8" t="inlineStr"/>
      <c r="L448" s="8" t="inlineStr"/>
      <c r="M448" s="8" t="inlineStr">
        <is>
          <t>周期触发</t>
        </is>
      </c>
      <c r="N448" s="8" t="inlineStr">
        <is>
          <t>periodicPulse</t>
        </is>
      </c>
      <c r="O448" s="9" t="inlineStr">
        <is>
          <t>成功率 +50%，大成功率 +17%（适用于灵品以下丹方）</t>
        </is>
      </c>
      <c r="P448" s="9" t="inlineStr"/>
      <c r="Q448" s="9" t="inlineStr"/>
      <c r="R448" s="9" t="inlineStr">
        <is>
          <t>{"kind":"periodicPulse","label":"成功率 +50%，大成功率 +17%（适用于灵品以下丹方）","periodicPulse":{"intervalSec":47,"label":"成功率 +50%，大成功率 +17%（适用于灵品以下丹方）","alchemySuccessRate":{"successRate":0.5,"greatSuccessRate":0.17}}}</t>
        </is>
      </c>
    </row>
    <row r="449" ht="32" customHeight="1">
      <c r="A449" s="8" t="n">
        <v>400020</v>
      </c>
      <c r="B449" s="8" t="inlineStr">
        <is>
          <t>流焰丹炉</t>
        </is>
      </c>
      <c r="C449" s="8" t="inlineStr">
        <is>
          <t>法器</t>
        </is>
      </c>
      <c r="D449" s="8" t="inlineStr">
        <is>
          <t>spirit</t>
        </is>
      </c>
      <c r="E449" s="8" t="inlineStr">
        <is>
          <t>fire</t>
        </is>
      </c>
      <c r="F449" s="8" t="n">
        <v>1</v>
      </c>
      <c r="G449" s="8" t="inlineStr">
        <is>
          <t>基础/顶层</t>
        </is>
      </c>
      <c r="H449" s="8" t="inlineStr"/>
      <c r="I449" s="9" t="inlineStr"/>
      <c r="J449" s="8" t="inlineStr"/>
      <c r="K449" s="8" t="inlineStr"/>
      <c r="L449" s="8" t="inlineStr"/>
      <c r="M449" s="8" t="inlineStr">
        <is>
          <t>周期触发</t>
        </is>
      </c>
      <c r="N449" s="8" t="inlineStr">
        <is>
          <t>periodicPulse</t>
        </is>
      </c>
      <c r="O449" s="9" t="inlineStr">
        <is>
          <t>成功率 +30%，大成功率 +30%（适用于灵品以下丹方）</t>
        </is>
      </c>
      <c r="P449" s="9" t="inlineStr"/>
      <c r="Q449" s="9" t="inlineStr"/>
      <c r="R449" s="9" t="inlineStr">
        <is>
          <t>{"kind":"periodicPulse","label":"成功率 +30%，大成功率 +30%（适用于灵品以下丹方）","periodicPulse":{"intervalSec":25,"label":"成功率 +30%，大成功率 +30%（适用于灵品以下丹方）","alchemySuccessRate":{"successRate":0.3,"greatSuccessRate":0.3}}}</t>
        </is>
      </c>
    </row>
    <row r="450" ht="32" customHeight="1">
      <c r="A450" s="8" t="n">
        <v>400021</v>
      </c>
      <c r="B450" s="8" t="inlineStr">
        <is>
          <t>龙首焰戒</t>
        </is>
      </c>
      <c r="C450" s="8" t="inlineStr">
        <is>
          <t>法器</t>
        </is>
      </c>
      <c r="D450" s="8" t="inlineStr">
        <is>
          <t>common</t>
        </is>
      </c>
      <c r="E450" s="8" t="inlineStr">
        <is>
          <t>fire</t>
        </is>
      </c>
      <c r="F450" s="8" t="n">
        <v>1</v>
      </c>
      <c r="G450" s="8" t="inlineStr">
        <is>
          <t>基础/顶层</t>
        </is>
      </c>
      <c r="H450" s="8" t="inlineStr"/>
      <c r="I450" s="9" t="inlineStr"/>
      <c r="J450" s="8" t="inlineStr"/>
      <c r="K450" s="8" t="inlineStr"/>
      <c r="L450" s="8" t="inlineStr"/>
      <c r="M450" s="8" t="inlineStr">
        <is>
          <t>周期触发</t>
        </is>
      </c>
      <c r="N450" s="8" t="inlineStr">
        <is>
          <t>periodicPulse</t>
        </is>
      </c>
      <c r="O450" s="9" t="inlineStr">
        <is>
          <t>每相邻 1 件火属性饰品，获得 3 层炎热；每相邻 1 件火属性饰品，获得 6 层炎热；每相邻 1 件火属性饰品，获得 9 层炎热；每相邻 1 件火属性饰品，获得 12 层炎热</t>
        </is>
      </c>
      <c r="P450" s="9" t="inlineStr"/>
      <c r="Q450" s="9" t="inlineStr"/>
      <c r="R450" s="9" t="inlineStr">
        <is>
          <t>{"kind":"periodicPulse","periodicPulse":{"intervalSec":10,"label":"每相邻 1 件火属性饰品，获得 3 层炎热","buffGains":[{"buffId":"heat","count":3}],"scaling":{"mode":"count","source":"adjacentItems","elements":["fire"],"features":["accessory"]}},"starOverrides":{"1":{"label":"每相邻 1 件火属性饰品，获得 6 层炎热","periodicPulse":{"buffGains":[{"count":6}]}},"2":{"label":"每相邻 1 件火属性饰品，获得 9 层炎热","periodicPulse":{"buffGains":[{"count":9}]}},"3":{"label":"每相邻 1 件火属性饰品，获得 12 层炎热","periodicPulse":{"buffGains":[{"count":12}]}}}}</t>
        </is>
      </c>
    </row>
    <row r="451" ht="32" customHeight="1">
      <c r="A451" s="8" t="n">
        <v>400022</v>
      </c>
      <c r="B451" s="8" t="inlineStr">
        <is>
          <t>玄纹束带</t>
        </is>
      </c>
      <c r="C451" s="8" t="inlineStr">
        <is>
          <t>法器</t>
        </is>
      </c>
      <c r="D451" s="8" t="inlineStr">
        <is>
          <t>common</t>
        </is>
      </c>
      <c r="E451" s="8" t="inlineStr">
        <is>
          <t>none</t>
        </is>
      </c>
      <c r="F451" s="8" t="n">
        <v>1</v>
      </c>
      <c r="G451" s="8" t="inlineStr">
        <is>
          <t>基础/顶层</t>
        </is>
      </c>
      <c r="H451" s="8" t="inlineStr"/>
      <c r="I451" s="9" t="inlineStr"/>
      <c r="J451" s="8" t="inlineStr"/>
      <c r="K451" s="8" t="inlineStr"/>
      <c r="L451" s="8" t="inlineStr"/>
      <c r="M451" s="8" t="inlineStr">
        <is>
          <t>周期触发</t>
        </is>
      </c>
      <c r="N451" s="8" t="inlineStr">
        <is>
          <t>periodicPulse</t>
        </is>
      </c>
      <c r="O451" s="9" t="inlineStr">
        <is>
          <t>每有 1 层炎热，使上方相邻装备获得 0.1 秒加速（最多计算 50 层）；每有 1 层炎热，使上方相邻装备获得 0.2 秒加速（最多计算 50 层）；每有 1 层炎热，使上方相邻装备获得 0.3 秒加速（最多计算 50 层）；每有 1 层炎热，使上方相邻装备获得 0.4 秒加速（最多计算 50 层）</t>
        </is>
      </c>
      <c r="P451" s="9" t="inlineStr"/>
      <c r="Q451" s="9" t="inlineStr"/>
      <c r="R451" s="9" t="inlineStr">
        <is>
          <t>{"kind":"periodicPulse","periodicPulse":{"intervalSec":15,"label":"每有 1 层炎热，使上方相邻装备获得 0.1 秒加速（最多计算 50 层）","itemRuntimeStatusEffects":[{"itemRuntimeStatus":"haste","durationSec":0,"durationPerSourceBuffStack":{"buffId":"heat","valuePerStack":0.1,"maxStacks":50},"targetScope":"adjacent","direction":"up","targetFilter":{"features":["equipment"]}}]},"label":"每有 1 层炎热，使上方相邻装备获得 0.1 秒加速（最多计算 50 层）","starOverrides":{"1":{"periodicPulse":{"itemRuntimeStatusEffects":[{"durationPerSourceBuffStack":{"valuePerStack":0.2}}],"label":"每有 1 层炎热，使上方相邻装备获得 0.2 秒加速（最多计算 50 层）"},"label":"每有 1 层炎热，使上方相邻装备获得 0.2 秒加速（最多计算 50 层）"},"2":{"periodicPulse":{"itemRuntimeStatusEffects":[{"durationPerSourceBuffStack":{"valuePerStack":0.3}}],"label":"每有 1 层炎热，使上方相邻装备获得 0.3 秒加速（最多计算 50 层）"},"label":"每有 1 层炎热，使上方相邻装备获得 0.3 秒加速（最多计算 50 层）"},"3":{"periodicPulse":{"itemRuntimeStatusEffects":[{"durationPerSourceBuffStack":{"valuePerStack":0.4}}],"label":"每有 1 层炎热，使上方相邻装备获得 0.4 秒加速（最多计算 50 层）"},"label":"每有 1 层炎热，使上方相邻装备获得 0.4 秒加速（最多计算 50 层）"}}}</t>
        </is>
      </c>
    </row>
    <row r="452" ht="32" customHeight="1">
      <c r="A452" s="8" t="n">
        <v>400023</v>
      </c>
      <c r="B452" s="8" t="inlineStr">
        <is>
          <t>沉岳锤</t>
        </is>
      </c>
      <c r="C452" s="8" t="inlineStr">
        <is>
          <t>法器</t>
        </is>
      </c>
      <c r="D452" s="8" t="inlineStr">
        <is>
          <t>common</t>
        </is>
      </c>
      <c r="E452" s="8" t="inlineStr">
        <is>
          <t>earth</t>
        </is>
      </c>
      <c r="F452" s="8" t="n">
        <v>1</v>
      </c>
      <c r="G452" s="8" t="inlineStr">
        <is>
          <t>基础/顶层</t>
        </is>
      </c>
      <c r="H452" s="8" t="inlineStr"/>
      <c r="I452" s="9" t="inlineStr"/>
      <c r="J452" s="8" t="inlineStr"/>
      <c r="K452" s="8" t="inlineStr"/>
      <c r="L452" s="8" t="inlineStr"/>
      <c r="M452" s="8" t="inlineStr">
        <is>
          <t>周期触发</t>
        </is>
      </c>
      <c r="N452" s="8" t="inlineStr">
        <is>
          <t>periodicPulse</t>
        </is>
      </c>
      <c r="O452" s="9" t="inlineStr">
        <is>
          <t>消耗 10 点体力，对敌人造成 10 点伤害；消耗 15 点体力，对敌人造成 15 点伤害；消耗 20 点体力，对敌人造成 20 点伤害；消耗 25 点体力，对敌人造成 25 点伤害</t>
        </is>
      </c>
      <c r="P452" s="9" t="inlineStr"/>
      <c r="Q452" s="9" t="inlineStr"/>
      <c r="R452" s="9" t="inlineStr">
        <is>
          <t>{"kind":"periodicPulse","periodicPulse":{"intervalSec":8,"label":"消耗 10 点体力，&lt;battle&gt;对敌人造成 10 点伤害&lt;/battle&gt;","primaryStatCosts":[{"stat":"stamina","amount":10}],"damageHealth":{"target":"enemy","amount":10}},"starOverrides":{"1":{"label":"消耗 15 点体力，&lt;battle&gt;对敌人造成 15 点伤害&lt;/battle&gt;","periodicPulse":{"primaryStatCosts":[{"amount":15}],"damageHealth":{"amount":15}}},"2":{"label":"消耗 20 点体力，&lt;battle&gt;对敌人造成 20 点伤害&lt;/battle&gt;","periodicPulse":{"primaryStatCosts":[{"amount":20}],"damageHealth":{"amount":20}}},"3":{"label":"消耗 25 点体力，&lt;battle&gt;对敌人造成 25 点伤害&lt;/battle&gt;","periodicPulse":{"primaryStatCosts":[{"amount":25}],"damageHealth":{"amount":25}}}}}</t>
        </is>
      </c>
    </row>
    <row r="453" ht="32" customHeight="1">
      <c r="A453" s="8" t="n">
        <v>400024</v>
      </c>
      <c r="B453" s="8" t="inlineStr">
        <is>
          <t>回元佩</t>
        </is>
      </c>
      <c r="C453" s="8" t="inlineStr">
        <is>
          <t>法器</t>
        </is>
      </c>
      <c r="D453" s="8" t="inlineStr">
        <is>
          <t>common</t>
        </is>
      </c>
      <c r="E453" s="8" t="inlineStr">
        <is>
          <t>wood</t>
        </is>
      </c>
      <c r="F453" s="8" t="n">
        <v>1</v>
      </c>
      <c r="G453" s="8" t="inlineStr">
        <is>
          <t>基础/顶层</t>
        </is>
      </c>
      <c r="H453" s="8" t="inlineStr"/>
      <c r="I453" s="9" t="inlineStr"/>
      <c r="J453" s="8" t="inlineStr"/>
      <c r="K453" s="8" t="inlineStr"/>
      <c r="L453" s="8" t="inlineStr"/>
      <c r="M453" s="8" t="inlineStr">
        <is>
          <t>周期触发</t>
        </is>
      </c>
      <c r="N453" s="8" t="inlineStr">
        <is>
          <t>periodicPulse</t>
        </is>
      </c>
      <c r="O453" s="9" t="inlineStr">
        <is>
          <t>恢复 5 法力；恢复 6 法力；恢复 7 法力；恢复 8 法力</t>
        </is>
      </c>
      <c r="P453" s="9" t="inlineStr"/>
      <c r="Q453" s="9" t="inlineStr"/>
      <c r="R453" s="9" t="inlineStr">
        <is>
          <t>{"kind":"periodicPulse","periodicPulse":{"intervalSec":10,"label":"恢复 5 法力","primaryStatGains":[{"stat":"mana","amount":5}]},"label":"恢复 5 法力","starOverrides":{"1":{"label":"恢复 6 法力","periodicPulse":{"intervalSec":10,"primaryStatGains":[{"amount":6}]}},"2":{"label":"恢复 7 法力","periodicPulse":{"intervalSec":10,"primaryStatGains":[{"amount":7}]}},"3":{"label":"恢复 8 法力","periodicPulse":{"intervalSec":10,"primaryStatGains":[{"amount":8}]}}}}</t>
        </is>
      </c>
    </row>
    <row r="454" ht="32" customHeight="1">
      <c r="A454" s="8" t="n">
        <v>400026</v>
      </c>
      <c r="B454" s="8" t="inlineStr">
        <is>
          <t>羽纹护臂</t>
        </is>
      </c>
      <c r="C454" s="8" t="inlineStr">
        <is>
          <t>法器</t>
        </is>
      </c>
      <c r="D454" s="8" t="inlineStr">
        <is>
          <t>common</t>
        </is>
      </c>
      <c r="E454" s="8" t="inlineStr">
        <is>
          <t>none</t>
        </is>
      </c>
      <c r="F454" s="8" t="n">
        <v>1</v>
      </c>
      <c r="G454" s="8" t="inlineStr">
        <is>
          <t>基础/顶层</t>
        </is>
      </c>
      <c r="H454" s="8" t="inlineStr"/>
      <c r="I454" s="9" t="inlineStr"/>
      <c r="J454" s="8" t="inlineStr"/>
      <c r="K454" s="8" t="inlineStr"/>
      <c r="L454" s="8" t="inlineStr"/>
      <c r="M454" s="8" t="inlineStr">
        <is>
          <t>周期触发</t>
        </is>
      </c>
      <c r="N454" s="8" t="inlineStr">
        <is>
          <t>periodicPulse</t>
        </is>
      </c>
      <c r="O454" s="9" t="inlineStr">
        <is>
          <t>获得 2 层护甲；获得 3 层护甲；获得 4 层护甲；获得 5 层护甲</t>
        </is>
      </c>
      <c r="P454" s="9" t="inlineStr"/>
      <c r="Q454" s="9" t="inlineStr"/>
      <c r="R454" s="9" t="inlineStr">
        <is>
          <t>{"kind":"periodicPulse","periodicPulse":{"intervalSec":7,"buffGains":[{"buffId":"armor","count":2}],"label":"获得 2 层护甲"},"label":"获得 2 层护甲","starOverrides":{"1":{"label":"获得 3 层护甲","periodicPulse":{"buffGains":[{"count":3}]}},"2":{"label":"获得 4 层护甲","periodicPulse":{"buffGains":[{"count":4}]}},"3":{"label":"获得 5 层护甲","periodicPulse":{"buffGains":[{"count":5}]}}}}</t>
        </is>
      </c>
    </row>
    <row r="455" ht="32" customHeight="1">
      <c r="A455" s="8" t="n">
        <v>400027</v>
      </c>
      <c r="B455" s="8" t="inlineStr">
        <is>
          <t>焰纹法袍</t>
        </is>
      </c>
      <c r="C455" s="8" t="inlineStr">
        <is>
          <t>法器</t>
        </is>
      </c>
      <c r="D455" s="8" t="inlineStr">
        <is>
          <t>common</t>
        </is>
      </c>
      <c r="E455" s="8" t="inlineStr">
        <is>
          <t>fire</t>
        </is>
      </c>
      <c r="F455" s="8" t="n">
        <v>1</v>
      </c>
      <c r="G455" s="8" t="inlineStr">
        <is>
          <t>基础/顶层</t>
        </is>
      </c>
      <c r="H455" s="8" t="inlineStr"/>
      <c r="I455" s="9" t="inlineStr"/>
      <c r="J455" s="8" t="inlineStr"/>
      <c r="K455" s="8" t="inlineStr"/>
      <c r="L455" s="8" t="inlineStr"/>
      <c r="M455" s="8" t="inlineStr">
        <is>
          <t>周期触发</t>
        </is>
      </c>
      <c r="N455" s="8" t="inlineStr">
        <is>
          <t>periodicPulse</t>
        </is>
      </c>
      <c r="O455" s="9" t="inlineStr">
        <is>
          <t>获得 8 层炎热；获得 16 层炎热；获得 24 层炎热；获得 32 层炎热</t>
        </is>
      </c>
      <c r="P455" s="9" t="inlineStr"/>
      <c r="Q455" s="9" t="inlineStr"/>
      <c r="R455" s="9" t="inlineStr">
        <is>
          <t>{"kind":"periodicPulse","periodicPulse":{"intervalSec":6,"label":"获得 8 层炎热","buffGains":[{"buffId":"heat","count":8}]},"label":"获得 8 层炎热","starOverrides":{"1":{"label":"获得 16 层炎热","periodicPulse":{"buffGains":[{"count":16}],"label":"获得 16 层炎热"}},"2":{"label":"获得 24 层炎热","periodicPulse":{"buffGains":[{"count":24}],"label":"获得 24 层炎热"}},"3":{"label":"获得 32 层炎热","periodicPulse":{"buffGains":[{"count":32}],"label":"获得 32 层炎热"}}}}</t>
        </is>
      </c>
    </row>
    <row r="456" ht="32" customHeight="1">
      <c r="A456" s="8" t="n">
        <v>400028</v>
      </c>
      <c r="B456" s="8" t="inlineStr">
        <is>
          <t>负山护符</t>
        </is>
      </c>
      <c r="C456" s="8" t="inlineStr">
        <is>
          <t>法器</t>
        </is>
      </c>
      <c r="D456" s="8" t="inlineStr">
        <is>
          <t>common</t>
        </is>
      </c>
      <c r="E456" s="8" t="inlineStr">
        <is>
          <t>earth</t>
        </is>
      </c>
      <c r="F456" s="8" t="n">
        <v>1</v>
      </c>
      <c r="G456" s="8" t="inlineStr">
        <is>
          <t>基础/顶层</t>
        </is>
      </c>
      <c r="H456" s="8" t="inlineStr"/>
      <c r="I456" s="9" t="inlineStr"/>
      <c r="J456" s="8" t="inlineStr"/>
      <c r="K456" s="8" t="inlineStr"/>
      <c r="L456" s="8" t="inlineStr"/>
      <c r="M456" s="8" t="inlineStr">
        <is>
          <t>周期触发</t>
        </is>
      </c>
      <c r="N456" s="8" t="inlineStr">
        <is>
          <t>periodicPulse</t>
        </is>
      </c>
      <c r="O456" s="9" t="inlineStr">
        <is>
          <t>位于角落时，获得 1 层蓄势；位于角落时，获得 2 层蓄势；位于角落时，获得 3 层蓄势；位于角落时，获得 4 层蓄势</t>
        </is>
      </c>
      <c r="P456" s="9" t="inlineStr"/>
      <c r="Q456" s="9" t="inlineStr"/>
      <c r="R456" s="9" t="inlineStr">
        <is>
          <t>{"kind":"periodicPulse","periodicPulse":{"intervalSec":10,"label":"位于角落时，获得 1 层蓄势","buffGains":[{"buffId":"heavy","count":1}],"activationRequirements":{"requireCorner":true}},"label":"位于角落时，获得 1 层蓄势","starOverrides":{"1":{"label":"位于角落时，获得 2 层蓄势","periodicPulse":{"buffGains":[{"count":2}],"intervalSec":10}},"2":{"label":"位于角落时，获得 3 层蓄势","periodicPulse":{"buffGains":[{"count":3}],"intervalSec":10}},"3":{"label":"位于角落时，获得 4 层蓄势","periodicPulse":{"buffGains":[{"count":4}],"intervalSec":10}}}}</t>
        </is>
      </c>
    </row>
    <row r="457" ht="32" customHeight="1">
      <c r="A457" s="8" t="n">
        <v>400029</v>
      </c>
      <c r="B457" s="8" t="inlineStr">
        <is>
          <t>嵌玉负岳甲</t>
        </is>
      </c>
      <c r="C457" s="8" t="inlineStr">
        <is>
          <t>法器</t>
        </is>
      </c>
      <c r="D457" s="8" t="inlineStr">
        <is>
          <t>common</t>
        </is>
      </c>
      <c r="E457" s="8" t="inlineStr">
        <is>
          <t>earth</t>
        </is>
      </c>
      <c r="F457" s="8" t="n">
        <v>1</v>
      </c>
      <c r="G457" s="8" t="inlineStr">
        <is>
          <t>基础/顶层</t>
        </is>
      </c>
      <c r="H457" s="8" t="inlineStr"/>
      <c r="I457" s="9" t="inlineStr"/>
      <c r="J457" s="8" t="inlineStr"/>
      <c r="K457" s="8" t="inlineStr"/>
      <c r="L457" s="8" t="inlineStr"/>
      <c r="M457" s="8" t="inlineStr">
        <is>
          <t>周期触发</t>
        </is>
      </c>
      <c r="N457" s="8" t="inlineStr">
        <is>
          <t>periodicPulse</t>
        </is>
      </c>
      <c r="O457" s="9" t="inlineStr">
        <is>
          <t>位于储物袋顶部时，获得 6 层蓄势；位于储物袋顶部时，获得 12 层蓄势；位于储物袋顶部时，获得 18 层蓄势；位于储物袋顶部时，获得 24 层蓄势</t>
        </is>
      </c>
      <c r="P457" s="9" t="inlineStr"/>
      <c r="Q457" s="9" t="inlineStr"/>
      <c r="R457" s="9" t="inlineStr">
        <is>
          <t>{"kind":"periodicPulse","periodicPulse":{"intervalSec":8,"label":"位于储物袋顶部时，获得 6 层蓄势","buffGains":[{"buffId":"heavy","count":6}],"activationRequirements":{"sourceEdges":["top"]}},"label":"位于储物袋顶部时，获得 6 层蓄势","starOverrides":{"1":{"label":"位于储物袋顶部时，获得 12 层蓄势","periodicPulse":{"buffGains":[{"count":12}],"label":"位于储物袋顶部时，获得 12 层蓄势"}},"2":{"label":"位于储物袋顶部时，获得 18 层蓄势","periodicPulse":{"buffGains":[{"count":18}],"label":"位于储物袋顶部时，获得 18 层蓄势"}},"3":{"label":"位于储物袋顶部时，获得 24 层蓄势","periodicPulse":{"buffGains":[{"count":24}],"label":"位于储物袋顶部时，获得 24 层蓄势"}}}}</t>
        </is>
      </c>
    </row>
    <row r="458" ht="32" customHeight="1">
      <c r="A458" s="8" t="n">
        <v>400030</v>
      </c>
      <c r="B458" s="8" t="inlineStr">
        <is>
          <t>逆息铜铃</t>
        </is>
      </c>
      <c r="C458" s="8" t="inlineStr">
        <is>
          <t>法器</t>
        </is>
      </c>
      <c r="D458" s="8" t="inlineStr">
        <is>
          <t>common</t>
        </is>
      </c>
      <c r="E458" s="8" t="inlineStr">
        <is>
          <t>none</t>
        </is>
      </c>
      <c r="F458" s="8" t="n">
        <v>1</v>
      </c>
      <c r="G458" s="8" t="inlineStr">
        <is>
          <t>基础/顶层</t>
        </is>
      </c>
      <c r="H458" s="8" t="inlineStr"/>
      <c r="I458" s="9" t="inlineStr"/>
      <c r="J458" s="8" t="inlineStr"/>
      <c r="K458" s="8" t="inlineStr"/>
      <c r="L458" s="8" t="inlineStr"/>
      <c r="M458" s="8" t="inlineStr">
        <is>
          <t>条件触发</t>
        </is>
      </c>
      <c r="N458" s="8" t="inlineStr">
        <is>
          <t>triggered</t>
        </is>
      </c>
      <c r="O458" s="9" t="inlineStr">
        <is>
          <t>使用相邻装备时，将 1 点气血转化为 1 点体力；使用相邻装备时，将 2 点气血转化为 2 点体力；使用相邻装备时，将 3 点气血转化为 3 点体力；使用相邻装备时，将 4 点气血转化为 4 点体力</t>
        </is>
      </c>
      <c r="P458" s="9" t="inlineStr">
        <is>
          <t>onItemUse</t>
        </is>
      </c>
      <c r="Q458" s="9" t="inlineStr">
        <is>
          <t>grantResources；primaryStat；adjacent</t>
        </is>
      </c>
      <c r="R458" s="9" t="inlineStr">
        <is>
          <t>{"kind":"triggered","label":"使用相邻装备时，将 1 点气血转化为 1 点体力","triggeredEffect":{"trigger":"onItemUse","type":"grantResources","grants":[{"type":"primaryStat","stat":"health","delta":-1},{"type":"primaryStat","stat":"stamina","delta":1}],"eventSource":{"target":{"type":"adjacent"},"filter":{"features":["equipment"]}}},"starOverrides":{"1":{"label":"使用相邻装备时，将 2 点气血转化为 2 点体力","triggeredEffect":{"trigger":"onItemUse","type":"grantResources","grants":[{"type":"primaryStat","stat":"health","delta":-2},{"type":"primaryStat","stat":"stamina","delta":2}]}},"2":{"label":"使用相邻装备时，将 3 点气血转化为 3 点体力","triggeredEffect":{"trigger":"onItemUse","type":"grantResources","grants":[{"type":"primaryStat","stat":"health","delta":-3},{"type":"primaryStat","stat":"stamina","delta":3}]}},"3":{"label":"使用相邻装备时，将 4 点气血转化为 4 点体力","triggeredEffect":{"trigger":"onItemUse","type":"grantResources","grants":[{"type":"primaryStat","stat":"health","delta":-4},{"type":"primaryStat","stat":"stamina","delta":4}]}}}}</t>
        </is>
      </c>
    </row>
    <row r="459" ht="32" customHeight="1">
      <c r="A459" s="8" t="n">
        <v>400031</v>
      </c>
      <c r="B459" s="8" t="inlineStr">
        <is>
          <t>磨骨针囊</t>
        </is>
      </c>
      <c r="C459" s="8" t="inlineStr">
        <is>
          <t>法器</t>
        </is>
      </c>
      <c r="D459" s="8" t="inlineStr">
        <is>
          <t>common</t>
        </is>
      </c>
      <c r="E459" s="8" t="inlineStr">
        <is>
          <t>none</t>
        </is>
      </c>
      <c r="F459" s="8" t="n">
        <v>1</v>
      </c>
      <c r="G459" s="8" t="inlineStr">
        <is>
          <t>基础/顶层</t>
        </is>
      </c>
      <c r="H459" s="8" t="inlineStr"/>
      <c r="I459" s="9" t="inlineStr"/>
      <c r="J459" s="8" t="inlineStr"/>
      <c r="K459" s="8" t="inlineStr"/>
      <c r="L459" s="8" t="inlineStr"/>
      <c r="M459" s="8" t="inlineStr">
        <is>
          <t>被动效果</t>
        </is>
      </c>
      <c r="N459" s="8" t="inlineStr">
        <is>
          <t>passive</t>
        </is>
      </c>
      <c r="O459" s="9" t="inlineStr">
        <is>
          <t>每当一次性消耗至少 4 点体力时，恢复 2 点体力；每当一次性消耗至少 6 点体力时，恢复 3 点体力；每当一次性消耗至少 8 点体力时，恢复 4 点体力；每当一次性消耗至少 10 点体力时，恢复 5 点体力</t>
        </is>
      </c>
      <c r="P459" s="9" t="inlineStr"/>
      <c r="Q459" s="9" t="inlineStr">
        <is>
          <t>staminaConsumedPrimaryStatGain</t>
        </is>
      </c>
      <c r="R459" s="9" t="inlineStr">
        <is>
          <t>{"kind":"passive","passiveEffect":{"type":"staminaConsumedPrimaryStatGain","label":"每当一次性消耗至少 4 点体力时，恢复 2 点体力","minStaminaCost":4,"stat":"stamina","value":2},"label":"每当一次性消耗至少 4 点体力时，恢复 2 点体力","starOverrides":{"1":{"label":"每当一次性消耗至少 6 点体力时，恢复 3 点体力","passiveEffect":{"minStaminaCost":6,"value":3}},"2":{"label":"每当一次性消耗至少 8 点体力时，恢复 4 点体力","passiveEffect":{"minStaminaCost":8,"value":4}},"3":{"label":"每当一次性消耗至少 10 点体力时，恢复 5 点体力","passiveEffect":{"minStaminaCost":10,"value":5}}}}</t>
        </is>
      </c>
    </row>
    <row r="460" ht="32" customHeight="1">
      <c r="A460" s="8" t="n">
        <v>400032</v>
      </c>
      <c r="B460" s="8" t="inlineStr">
        <is>
          <t>冷月砚</t>
        </is>
      </c>
      <c r="C460" s="8" t="inlineStr">
        <is>
          <t>法器</t>
        </is>
      </c>
      <c r="D460" s="8" t="inlineStr">
        <is>
          <t>common</t>
        </is>
      </c>
      <c r="E460" s="8" t="inlineStr">
        <is>
          <t>ice</t>
        </is>
      </c>
      <c r="F460" s="8" t="n">
        <v>1</v>
      </c>
      <c r="G460" s="8" t="inlineStr">
        <is>
          <t>基础/顶层</t>
        </is>
      </c>
      <c r="H460" s="8" t="inlineStr"/>
      <c r="I460" s="9" t="inlineStr"/>
      <c r="J460" s="8" t="inlineStr"/>
      <c r="K460" s="8" t="inlineStr"/>
      <c r="L460" s="8" t="inlineStr"/>
      <c r="M460" s="8" t="inlineStr">
        <is>
          <t>被动效果</t>
        </is>
      </c>
      <c r="N460" s="8" t="inlineStr">
        <is>
          <t>passive</t>
        </is>
      </c>
      <c r="O460" s="9" t="inlineStr">
        <is>
          <t>寒冷超过 10 层时，所有道具伤害 +1；寒冷超过 15 层时，所有道具伤害 +2；寒冷超过 20 层时，所有道具伤害 +3；寒冷超过 25 层时，所有道具伤害 +4</t>
        </is>
      </c>
      <c r="P460" s="9" t="inlineStr"/>
      <c r="Q460" s="9" t="inlineStr">
        <is>
          <t>battleItemDamageFlatModifier</t>
        </is>
      </c>
      <c r="R460" s="9" t="inlineStr">
        <is>
          <t>{"kind":"passive","passiveEffect":{"type":"battleItemDamageFlatModifier","value":1,"activationRequirements":{"buffStackThresholds":[{"buffId":"cold","comparator":"atLeast","count":11}]},"label":"寒冷超过 10 层时，所有道具伤害 +1"},"label":"寒冷超过 10 层时，所有道具伤害 +1","starOverrides":{"1":{"label":"寒冷超过 15 层时，所有道具伤害 +2","passiveEffect":{"value":2,"activationRequirements":{"buffStackThresholds":[{"buffId":"cold","comparator":"atLeast","count":16}]}}},"2":{"label":"寒冷超过 20 层时，所有道具伤害 +3","passiveEffect":{"value":3,"activationRequirements":{"buffStackThresholds":[{"buffId":"cold","comparator":"atLeast","count":21}]}}},"3":{"label":"寒冷超过 25 层时，所有道具伤害 +4","passiveEffect":{"value":4,"activationRequirements":{"buffStackThresholds":[{"buffId":"cold","comparator":"atLeast","count":26}]}}}}}</t>
        </is>
      </c>
    </row>
    <row r="461" ht="32" customHeight="1">
      <c r="A461" s="8" t="n">
        <v>400033</v>
      </c>
      <c r="B461" s="8" t="inlineStr">
        <is>
          <t>听潮贝</t>
        </is>
      </c>
      <c r="C461" s="8" t="inlineStr">
        <is>
          <t>法器</t>
        </is>
      </c>
      <c r="D461" s="8" t="inlineStr">
        <is>
          <t>common</t>
        </is>
      </c>
      <c r="E461" s="8" t="inlineStr">
        <is>
          <t>ice</t>
        </is>
      </c>
      <c r="F461" s="8" t="n">
        <v>1</v>
      </c>
      <c r="G461" s="8" t="inlineStr">
        <is>
          <t>基础/顶层</t>
        </is>
      </c>
      <c r="H461" s="8" t="inlineStr"/>
      <c r="I461" s="9" t="inlineStr"/>
      <c r="J461" s="8" t="inlineStr"/>
      <c r="K461" s="8" t="inlineStr"/>
      <c r="L461" s="8" t="inlineStr"/>
      <c r="M461" s="8" t="inlineStr">
        <is>
          <t>被动效果</t>
        </is>
      </c>
      <c r="N461" s="8" t="inlineStr">
        <is>
          <t>passive</t>
        </is>
      </c>
      <c r="O461" s="9" t="inlineStr">
        <is>
          <t>寒冷状态持续时间 +5 秒；寒冷状态持续时间 +6 秒；寒冷状态持续时间 +7 秒；寒冷状态持续时间 +8 秒</t>
        </is>
      </c>
      <c r="P461" s="9" t="inlineStr"/>
      <c r="Q461" s="9" t="inlineStr">
        <is>
          <t>buffDurationModifier</t>
        </is>
      </c>
      <c r="R461" s="9" t="inlineStr">
        <is>
          <t>{"kind":"passive","passiveEffect":{"type":"buffDurationModifier","buffId":"cold","flatBonusSec":5,"label":"寒冷状态持续时间 +5 秒","singletonByTemplate":true},"label":"&lt;singleton&gt;寒冷状态持续时间 +5 秒&lt;/singleton&gt;","starOverrides":{"1":{"label":"&lt;singleton&gt;寒冷状态持续时间 +6 秒&lt;/singleton&gt;","passiveEffect":{"flatBonusSec":6,"singletonByTemplate":true}},"2":{"label":"&lt;singleton&gt;寒冷状态持续时间 +7 秒&lt;/singleton&gt;","passiveEffect":{"flatBonusSec":7,"singletonByTemplate":true}},"3":{"label":"&lt;singleton&gt;寒冷状态持续时间 +8 秒&lt;/singleton&gt;","passiveEffect":{"flatBonusSec":8,"singletonByTemplate":true}}}}</t>
        </is>
      </c>
    </row>
    <row r="462" ht="32" customHeight="1">
      <c r="A462" s="8" t="n">
        <v>400034</v>
      </c>
      <c r="B462" s="8" t="inlineStr">
        <is>
          <t>听火铜铃</t>
        </is>
      </c>
      <c r="C462" s="8" t="inlineStr">
        <is>
          <t>法器</t>
        </is>
      </c>
      <c r="D462" s="8" t="inlineStr">
        <is>
          <t>common</t>
        </is>
      </c>
      <c r="E462" s="8" t="inlineStr">
        <is>
          <t>fire</t>
        </is>
      </c>
      <c r="F462" s="8" t="n">
        <v>1</v>
      </c>
      <c r="G462" s="8" t="inlineStr">
        <is>
          <t>基础/顶层</t>
        </is>
      </c>
      <c r="H462" s="8" t="inlineStr"/>
      <c r="I462" s="9" t="inlineStr"/>
      <c r="J462" s="8" t="inlineStr"/>
      <c r="K462" s="8" t="inlineStr"/>
      <c r="L462" s="8" t="inlineStr"/>
      <c r="M462" s="8" t="inlineStr">
        <is>
          <t>条件触发</t>
        </is>
      </c>
      <c r="N462" s="8" t="inlineStr">
        <is>
          <t>triggered</t>
        </is>
      </c>
      <c r="O462" s="9" t="inlineStr">
        <is>
          <t>相邻法器轮转时，获得 1 层炎热；相邻法器轮转时，获得 2 层炎热；相邻法器轮转时，获得 3 层炎热；相邻法器轮转时，获得 4 层炎热</t>
        </is>
      </c>
      <c r="P462" s="9" t="inlineStr">
        <is>
          <t>onPeriodicPulse</t>
        </is>
      </c>
      <c r="Q462" s="9" t="inlineStr">
        <is>
          <t>applyBuff；adjacent</t>
        </is>
      </c>
      <c r="R462" s="9" t="inlineStr">
        <is>
          <t>{"kind":"triggered","triggeredEffect":{"trigger":"onPeriodicPulse","type":"applyBuff","buffId":"heat","count":1,"eventSource":{"target":{"type":"adjacent"},"filter":{"categories":["implement"]}}},"label":"相邻法器轮转时，获得 1 层炎热","starOverrides":{"1":{"label":"相邻法器轮转时，获得 2 层炎热","triggeredEffect":{"count":2}},"2":{"label":"相邻法器轮转时，获得 3 层炎热","triggeredEffect":{"count":3}},"3":{"label":"相邻法器轮转时，获得 4 层炎热","triggeredEffect":{"count":4}}}}</t>
        </is>
      </c>
    </row>
    <row r="463" ht="32" customHeight="1">
      <c r="A463" s="8" t="n">
        <v>400035</v>
      </c>
      <c r="B463" s="8" t="inlineStr">
        <is>
          <t>封焰金珠</t>
        </is>
      </c>
      <c r="C463" s="8" t="inlineStr">
        <is>
          <t>法器</t>
        </is>
      </c>
      <c r="D463" s="8" t="inlineStr">
        <is>
          <t>common</t>
        </is>
      </c>
      <c r="E463" s="8" t="inlineStr">
        <is>
          <t>fire</t>
        </is>
      </c>
      <c r="F463" s="8" t="n">
        <v>1</v>
      </c>
      <c r="G463" s="8" t="inlineStr">
        <is>
          <t>基础/顶层</t>
        </is>
      </c>
      <c r="H463" s="8" t="inlineStr"/>
      <c r="I463" s="9" t="inlineStr"/>
      <c r="J463" s="8" t="inlineStr"/>
      <c r="K463" s="8" t="inlineStr"/>
      <c r="L463" s="8" t="inlineStr"/>
      <c r="M463" s="8" t="inlineStr">
        <is>
          <t>被动效果</t>
        </is>
      </c>
      <c r="N463" s="8" t="inlineStr">
        <is>
          <t>passive</t>
        </is>
      </c>
      <c r="O463" s="9" t="inlineStr">
        <is>
          <t>左侧相邻道具每次获得炎热时，额外获得 1 层炎热；左侧相邻道具每次获得炎热时，额外获得 2 层炎热；左侧相邻道具每次获得炎热时，额外获得 3 层炎热；左侧相邻道具每次获得炎热时，额外获得 4 层炎热</t>
        </is>
      </c>
      <c r="P463" s="9" t="inlineStr"/>
      <c r="Q463" s="9" t="inlineStr">
        <is>
          <t>buffGainMirror；directional-adjacent</t>
        </is>
      </c>
      <c r="R463" s="9" t="inlineStr">
        <is>
          <t>{"kind":"passive","passiveEffect":{"type":"buffGainMirror","sourceBuffId":"heat","targetBuffId":"heat","countPerGain":1,"sourceTarget":{"type":"directional-adjacent","direction":"left"},"label":"左侧相邻道具每次获得炎热时，额外获得 1 层炎热"},"label":"左侧相邻道具每次获得炎热时，额外获得 1 层炎热","starOverrides":{"1":{"label":"左侧相邻道具每次获得炎热时，额外获得 2 层炎热","passiveEffect":{"countPerGain":2}},"2":{"label":"左侧相邻道具每次获得炎热时，额外获得 3 层炎热","passiveEffect":{"countPerGain":3}},"3":{"label":"左侧相邻道具每次获得炎热时，额外获得 4 层炎热","passiveEffect":{"countPerGain":4}}}}</t>
        </is>
      </c>
    </row>
    <row r="464" ht="32" customHeight="1">
      <c r="A464" s="8" t="n">
        <v>400036</v>
      </c>
      <c r="B464" s="8" t="inlineStr">
        <is>
          <t>同焰阵幡</t>
        </is>
      </c>
      <c r="C464" s="8" t="inlineStr">
        <is>
          <t>法器</t>
        </is>
      </c>
      <c r="D464" s="8" t="inlineStr">
        <is>
          <t>common</t>
        </is>
      </c>
      <c r="E464" s="8" t="inlineStr">
        <is>
          <t>fire</t>
        </is>
      </c>
      <c r="F464" s="8" t="n">
        <v>1</v>
      </c>
      <c r="G464" s="8" t="inlineStr">
        <is>
          <t>基础/顶层</t>
        </is>
      </c>
      <c r="H464" s="8" t="inlineStr"/>
      <c r="I464" s="9" t="inlineStr"/>
      <c r="J464" s="8" t="inlineStr"/>
      <c r="K464" s="8" t="inlineStr"/>
      <c r="L464" s="8" t="inlineStr"/>
      <c r="M464" s="8" t="inlineStr">
        <is>
          <t>条件触发</t>
        </is>
      </c>
      <c r="N464" s="8" t="inlineStr">
        <is>
          <t>triggered</t>
        </is>
      </c>
      <c r="O464" s="9" t="inlineStr">
        <is>
          <t>火属性道具累计使用 12 次后，对敌方施加 6 层灼烧；火属性道具累计使用 12 次后，对敌方施加 9 层灼烧；火属性道具累计使用 12 次后，对敌方施加 12 层灼烧；火属性道具累计使用 12 次后，对敌方施加 15 层灼烧</t>
        </is>
      </c>
      <c r="P464" s="9" t="inlineStr">
        <is>
          <t>onItemUse</t>
        </is>
      </c>
      <c r="Q464" s="9" t="inlineStr">
        <is>
          <t>applyBuff；any</t>
        </is>
      </c>
      <c r="R464" s="9" t="inlineStr">
        <is>
          <t>{"kind":"triggered","label":"&lt;battle&gt;火属性道具累计使用 12 次后，对敌方施加 6 层灼烧&lt;/battle&gt;","triggeredEffect":{"trigger":"onItemUse","type":"applyBuff","buffId":"burning","count":6,"targetActor":"enemy","eventSource":{"target":{"type":"any"},"filter":{"elements":["fire"]}},"charge":{"threshold":12,"countPerEvent":1}},"starOverrides":{"1":{"label":"&lt;battle&gt;火属性道具累计使用 12 次后，对敌方施加 9 层灼烧&lt;/battle&gt;","triggeredEffect":{"count":9}},"2":{"label":"&lt;battle&gt;火属性道具累计使用 12 次后，对敌方施加 12 层灼烧&lt;/battle&gt;","triggeredEffect":{"count":12}},"3":{"label":"&lt;battle&gt;火属性道具累计使用 12 次后，对敌方施加 15 层灼烧&lt;/battle&gt;","triggeredEffect":{"count":15}}}}</t>
        </is>
      </c>
    </row>
    <row r="465" ht="32" customHeight="1">
      <c r="A465" s="8" t="n">
        <v>400038</v>
      </c>
      <c r="B465" s="8" t="inlineStr">
        <is>
          <t>问运签束</t>
        </is>
      </c>
      <c r="C465" s="8" t="inlineStr">
        <is>
          <t>法器</t>
        </is>
      </c>
      <c r="D465" s="8" t="inlineStr">
        <is>
          <t>common</t>
        </is>
      </c>
      <c r="E465" s="8" t="inlineStr">
        <is>
          <t>none</t>
        </is>
      </c>
      <c r="F465" s="8" t="n">
        <v>1</v>
      </c>
      <c r="G465" s="8" t="inlineStr">
        <is>
          <t>基础/顶层</t>
        </is>
      </c>
      <c r="H465" s="8" t="inlineStr"/>
      <c r="I465" s="9" t="inlineStr"/>
      <c r="J465" s="8" t="inlineStr"/>
      <c r="K465" s="8" t="inlineStr"/>
      <c r="L465" s="8" t="inlineStr"/>
      <c r="M465" s="8" t="inlineStr">
        <is>
          <t>周期触发</t>
        </is>
      </c>
      <c r="N465" s="8" t="inlineStr">
        <is>
          <t>periodicPulse</t>
        </is>
      </c>
      <c r="O465" s="9" t="inlineStr">
        <is>
          <t>开局时有 30% 概率恢复 10 点气血；开局时有 40% 概率恢复 15 点气血；开局时有 50% 概率恢复 20 点气血；开局时有 60% 概率恢复 25 点气血</t>
        </is>
      </c>
      <c r="P465" s="9" t="inlineStr"/>
      <c r="Q465" s="9" t="inlineStr"/>
      <c r="R465" s="9" t="inlineStr">
        <is>
          <t>{"kind":"periodicPulse","periodicPulse":{"startOnly":true,"label":"开局时有 30% 概率恢复 10 点气血","primaryStatGains":[{"stat":"health","amount":10}],"chance":0.3},"label":"开局时有 30% 概率恢复 10 点气血","starOverrides":{"1":{"label":"开局时有 40% 概率恢复 15 点气血","periodicPulse":{"chance":0.4,"primaryStatGains":[{"amount":15}],"label":"开局时有 40% 概率恢复 15 点气血"}},"2":{"label":"开局时有 50% 概率恢复 20 点气血","periodicPulse":{"chance":0.5,"primaryStatGains":[{"amount":20}],"label":"开局时有 50% 概率恢复 20 点气血"}},"3":{"label":"开局时有 60% 概率恢复 25 点气血","periodicPulse":{"chance":0.6,"primaryStatGains":[{"amount":25}],"label":"开局时有 60% 概率恢复 25 点气血"}}}}</t>
        </is>
      </c>
    </row>
    <row r="466" ht="32" customHeight="1">
      <c r="A466" s="8" t="n">
        <v>400039</v>
      </c>
      <c r="B466" s="8" t="inlineStr">
        <is>
          <t>碧云灵珠</t>
        </is>
      </c>
      <c r="C466" s="8" t="inlineStr">
        <is>
          <t>法器</t>
        </is>
      </c>
      <c r="D466" s="8" t="inlineStr">
        <is>
          <t>common</t>
        </is>
      </c>
      <c r="E466" s="8" t="inlineStr">
        <is>
          <t>wood</t>
        </is>
      </c>
      <c r="F466" s="8" t="n">
        <v>1</v>
      </c>
      <c r="G466" s="8" t="inlineStr">
        <is>
          <t>基础/顶层</t>
        </is>
      </c>
      <c r="H466" s="8" t="inlineStr"/>
      <c r="I466" s="9" t="inlineStr"/>
      <c r="J466" s="8" t="inlineStr"/>
      <c r="K466" s="8" t="inlineStr"/>
      <c r="L466" s="8" t="inlineStr"/>
      <c r="M466" s="8" t="inlineStr">
        <is>
          <t>条件触发</t>
        </is>
      </c>
      <c r="N466" s="8" t="inlineStr">
        <is>
          <t>triggered</t>
        </is>
      </c>
      <c r="O466" s="9" t="inlineStr">
        <is>
          <t>每当有道具耗尽时，恢复 4 点法力；每当有道具耗尽时，恢复 6 点法力；每当有道具耗尽时，恢复 8 点法力；每当有道具耗尽时，恢复 10 点法力</t>
        </is>
      </c>
      <c r="P466" s="9" t="inlineStr">
        <is>
          <t>onConsumableExhausted</t>
        </is>
      </c>
      <c r="Q466" s="9" t="inlineStr">
        <is>
          <t>modifyPlayerPrimaryStat；any</t>
        </is>
      </c>
      <c r="R466" s="9" t="inlineStr">
        <is>
          <t>{"kind":"triggered","triggeredEffect":{"trigger":"onConsumableExhausted","type":"modifyPlayerPrimaryStat","stat":"mana","delta":4,"eventSource":{"target":{"type":"any"}}},"label":"每当有道具耗尽时，恢复 4 点法力","starOverrides":{"1":{"label":"每当有道具耗尽时，恢复 6 点法力","triggeredEffect":{"delta":6}},"2":{"label":"每当有道具耗尽时，恢复 8 点法力","triggeredEffect":{"delta":8}},"3":{"label":"每当有道具耗尽时，恢复 10 点法力","triggeredEffect":{"delta":10}}}}</t>
        </is>
      </c>
    </row>
    <row r="467" ht="32" customHeight="1">
      <c r="A467" s="8" t="n">
        <v>400040</v>
      </c>
      <c r="B467" s="8" t="inlineStr">
        <is>
          <t>琥珀法印</t>
        </is>
      </c>
      <c r="C467" s="8" t="inlineStr">
        <is>
          <t>法器</t>
        </is>
      </c>
      <c r="D467" s="8" t="inlineStr">
        <is>
          <t>common</t>
        </is>
      </c>
      <c r="E467" s="8" t="inlineStr">
        <is>
          <t>earth</t>
        </is>
      </c>
      <c r="F467" s="8" t="n">
        <v>1</v>
      </c>
      <c r="G467" s="8" t="inlineStr">
        <is>
          <t>基础/顶层</t>
        </is>
      </c>
      <c r="H467" s="8" t="inlineStr"/>
      <c r="I467" s="9" t="inlineStr"/>
      <c r="J467" s="8" t="inlineStr"/>
      <c r="K467" s="8" t="inlineStr"/>
      <c r="L467" s="8" t="inlineStr"/>
      <c r="M467" s="8" t="inlineStr">
        <is>
          <t>条件触发</t>
        </is>
      </c>
      <c r="N467" s="8" t="inlineStr">
        <is>
          <t>triggered</t>
        </is>
      </c>
      <c r="O467" s="9" t="inlineStr">
        <is>
          <t>每当有道具耗尽时，恢复 10 点体力；每当有道具耗尽时，恢复 15 点体力；每当有道具耗尽时，恢复 20 点体力；每当有道具耗尽时，恢复 25 点体力</t>
        </is>
      </c>
      <c r="P467" s="9" t="inlineStr">
        <is>
          <t>onConsumableExhausted</t>
        </is>
      </c>
      <c r="Q467" s="9" t="inlineStr">
        <is>
          <t>grantResources；primaryStat；any</t>
        </is>
      </c>
      <c r="R467" s="9" t="inlineStr">
        <is>
          <t>{"kind":"triggered","triggeredEffect":{"trigger":"onConsumableExhausted","type":"grantResources","grants":[{"type":"primaryStat","stat":"stamina","delta":10}],"eventSource":{"target":{"type":"any"}}},"label":"每当有道具耗尽时，恢复 10 点体力","starOverrides":{"1":{"label":"每当有道具耗尽时，恢复 15 点体力","triggeredEffect":{"trigger":"onConsumableExhausted","type":"grantResources","grants":[{"type":"primaryStat","stat":"stamina","delta":15}]}},"2":{"label":"每当有道具耗尽时，恢复 20 点体力","triggeredEffect":{"trigger":"onConsumableExhausted","type":"grantResources","grants":[{"type":"primaryStat","stat":"stamina","delta":20}]}},"3":{"label":"每当有道具耗尽时，恢复 25 点体力","triggeredEffect":{"trigger":"onConsumableExhausted","type":"grantResources","grants":[{"type":"primaryStat","stat":"stamina","delta":25}]}}}}</t>
        </is>
      </c>
    </row>
    <row r="468" ht="32" customHeight="1">
      <c r="A468" s="8" t="n">
        <v>400041</v>
      </c>
      <c r="B468" s="8" t="inlineStr">
        <is>
          <t>寒渊冰涡盘</t>
        </is>
      </c>
      <c r="C468" s="8" t="inlineStr">
        <is>
          <t>法器</t>
        </is>
      </c>
      <c r="D468" s="8" t="inlineStr">
        <is>
          <t>common</t>
        </is>
      </c>
      <c r="E468" s="8" t="inlineStr">
        <is>
          <t>water</t>
        </is>
      </c>
      <c r="F468" s="8" t="n">
        <v>1</v>
      </c>
      <c r="G468" s="8" t="inlineStr">
        <is>
          <t>基础/顶层</t>
        </is>
      </c>
      <c r="H468" s="8" t="inlineStr"/>
      <c r="I468" s="9" t="inlineStr"/>
      <c r="J468" s="8" t="inlineStr"/>
      <c r="K468" s="8" t="inlineStr"/>
      <c r="L468" s="8" t="inlineStr"/>
      <c r="M468" s="8" t="inlineStr">
        <is>
          <t>条件触发</t>
        </is>
      </c>
      <c r="N468" s="8" t="inlineStr">
        <is>
          <t>triggered</t>
        </is>
      </c>
      <c r="O468" s="9" t="inlineStr">
        <is>
          <t>相邻道具恢复法力时，额外恢复 1 点法力；相邻道具恢复法力时，额外恢复 2 点法力；相邻道具恢复法力时，额外恢复 3 点法力；相邻道具恢复法力时，额外恢复 4 点法力</t>
        </is>
      </c>
      <c r="P468" s="9" t="inlineStr">
        <is>
          <t>onPrimaryStatGain</t>
        </is>
      </c>
      <c r="Q468" s="9" t="inlineStr">
        <is>
          <t>grantResources；primaryStat；adjacent</t>
        </is>
      </c>
      <c r="R468" s="9" t="inlineStr">
        <is>
          <t>{"kind":"triggered","triggeredEffect":{"trigger":"onPrimaryStatGain","type":"grantResources","grants":[{"type":"primaryStat","stat":"mana","delta":1}],"eventPrimaryStatGainFilter":["mana"],"eventSource":{"target":{"type":"adjacent"}}},"label":"相邻道具恢复法力时，额外恢复 1 点法力","starOverrides":{"1":{"label":"相邻道具恢复法力时，额外恢复 2 点法力","triggeredEffect":{"trigger":"onPrimaryStatGain","type":"grantResources","grants":[{"type":"primaryStat","stat":"mana","delta":2}],"eventPrimaryStatGainFilter":["mana"]}},"2":{"label":"相邻道具恢复法力时，额外恢复 3 点法力","triggeredEffect":{"trigger":"onPrimaryStatGain","type":"grantResources","grants":[{"type":"primaryStat","stat":"mana","delta":3}],"eventPrimaryStatGainFilter":["mana"]}},"3":{"label":"相邻道具恢复法力时，额外恢复 4 点法力","triggeredEffect":{"trigger":"onPrimaryStatGain","type":"grantResources","grants":[{"type":"primaryStat","stat":"mana","delta":4}],"eventPrimaryStatGainFilter":["mana"]}}}}</t>
        </is>
      </c>
    </row>
    <row r="469" ht="32" customHeight="1">
      <c r="A469" s="8" t="n">
        <v>400042</v>
      </c>
      <c r="B469" s="8" t="inlineStr">
        <is>
          <t>烈焰下裳</t>
        </is>
      </c>
      <c r="C469" s="8" t="inlineStr">
        <is>
          <t>法器</t>
        </is>
      </c>
      <c r="D469" s="8" t="inlineStr">
        <is>
          <t>common</t>
        </is>
      </c>
      <c r="E469" s="8" t="inlineStr">
        <is>
          <t>fire</t>
        </is>
      </c>
      <c r="F469" s="8" t="n">
        <v>1</v>
      </c>
      <c r="G469" s="8" t="inlineStr">
        <is>
          <t>基础/顶层</t>
        </is>
      </c>
      <c r="H469" s="8" t="inlineStr"/>
      <c r="I469" s="9" t="inlineStr"/>
      <c r="J469" s="8" t="inlineStr"/>
      <c r="K469" s="8" t="inlineStr"/>
      <c r="L469" s="8" t="inlineStr"/>
      <c r="M469" s="8" t="inlineStr">
        <is>
          <t>条件触发</t>
        </is>
      </c>
      <c r="N469" s="8" t="inlineStr">
        <is>
          <t>triggered</t>
        </is>
      </c>
      <c r="O469" s="9" t="inlineStr">
        <is>
          <t>上方相邻道具获得炎热时，恢复 3 点法力并额外获得 1 层炎热；上方相邻道具获得炎热时，恢复 6 点法力并额外获得 2 层炎热；上方相邻道具获得炎热时，恢复 9 点法力并额外获得 3 层炎热；上方相邻道具获得炎热时，恢复 12 点法力并额外获得 4 层炎热</t>
        </is>
      </c>
      <c r="P469" s="9" t="inlineStr">
        <is>
          <t>onBuffGain</t>
        </is>
      </c>
      <c r="Q469" s="9" t="inlineStr">
        <is>
          <t>grantResources；primaryStat；buff；directional-adjacent</t>
        </is>
      </c>
      <c r="R469" s="9" t="inlineStr">
        <is>
          <t>{"label":"上方相邻道具获得炎热时，恢复 3 点法力并额外获得 1 层炎热","triggeredEffect":{"trigger":"onBuffGain","eventBuffId":"heat","type":"grantResources","grants":[{"type":"primaryStat","stat":"mana","delta":3},{"type":"buff","buffId":"heat","count":1}],"eventSource":{"target":{"type":"directional-adjacent","direction":"up"}}},"kind":"triggered","starOverrides":{"1":{"label":"上方相邻道具获得炎热时，恢复 6 点法力并额外获得 2 层炎热","triggeredEffect":{"trigger":"onBuffGain","eventBuffId":"heat","type":"grantResources","grants":[{"type":"primaryStat","stat":"mana","delta":6},{"type":"buff","buffId":"heat","count":2}],"eventSource":{"target":{"type":"directional-adjacent","direction":"up"}}}},"2":{"label":"上方相邻道具获得炎热时，恢复 9 点法力并额外获得 3 层炎热","triggeredEffect":{"trigger":"onBuffGain","eventBuffId":"heat","type":"grantResources","grants":[{"type":"primaryStat","stat":"mana","delta":9},{"type":"buff","buffId":"heat","count":3}],"eventSource":{"target":{"type":"directional-adjacent","direction":"up"}}}},"3":{"label":"上方相邻道具获得炎热时，恢复 12 点法力并额外获得 4 层炎热","triggeredEffect":{"trigger":"onBuffGain","eventBuffId":"heat","type":"grantResources","grants":[{"type":"primaryStat","stat":"mana","delta":12},{"type":"buff","buffId":"heat","count":4}],"eventSource":{"target":{"type":"directional-adjacent","direction":"up"}}}}}}</t>
        </is>
      </c>
    </row>
    <row r="470" ht="32" customHeight="1">
      <c r="A470" s="8" t="n">
        <v>400043</v>
      </c>
      <c r="B470" s="8" t="inlineStr">
        <is>
          <t>银锋双铭剑</t>
        </is>
      </c>
      <c r="C470" s="8" t="inlineStr">
        <is>
          <t>法器</t>
        </is>
      </c>
      <c r="D470" s="8" t="inlineStr">
        <is>
          <t>common</t>
        </is>
      </c>
      <c r="E470" s="8" t="inlineStr">
        <is>
          <t>metal</t>
        </is>
      </c>
      <c r="F470" s="8" t="n">
        <v>1</v>
      </c>
      <c r="G470" s="8" t="inlineStr">
        <is>
          <t>基础/顶层</t>
        </is>
      </c>
      <c r="H470" s="8" t="inlineStr"/>
      <c r="I470" s="9" t="inlineStr"/>
      <c r="J470" s="8" t="inlineStr"/>
      <c r="K470" s="8" t="inlineStr"/>
      <c r="L470" s="8" t="inlineStr"/>
      <c r="M470" s="8" t="inlineStr">
        <is>
          <t>周期触发</t>
        </is>
      </c>
      <c r="N470" s="8" t="inlineStr">
        <is>
          <t>periodicPulse</t>
        </is>
      </c>
      <c r="O470" s="9" t="inlineStr">
        <is>
          <t>对敌方造成 6 点伤害，使用 2 次；对敌方造成 9 点伤害，使用 2 次；对敌方造成 12 点伤害，使用 2 次；对敌方造成 15 点伤害，使用 2 次</t>
        </is>
      </c>
      <c r="P470" s="9" t="inlineStr"/>
      <c r="Q470" s="9" t="inlineStr"/>
      <c r="R470" s="9" t="inlineStr">
        <is>
          <t>{"kind":"periodicPulse","periodicPulse":{"intervalSec":12,"damageHealth":{"target":"enemy","amount":6,"repeatCount":2},"label":"&lt;battle&gt;对敌方造成 6 点伤害，使用 2 次&lt;/battle&gt;"},"label":"&lt;battle&gt;对敌方造成 6 点伤害，使用 2 次&lt;/battle&gt;","starOverrides":{"1":{"label":"&lt;battle&gt;对敌方造成 9 点伤害，使用 2 次&lt;/battle&gt;","periodicPulse":{"damageHealth":{"amount":9},"intervalSec":12}},"2":{"label":"&lt;battle&gt;对敌方造成 12 点伤害，使用 2 次&lt;/battle&gt;","periodicPulse":{"damageHealth":{"amount":12},"intervalSec":12}},"3":{"label":"&lt;battle&gt;对敌方造成 15 点伤害，使用 2 次&lt;/battle&gt;","periodicPulse":{"damageHealth":{"amount":15},"intervalSec":12}}}}</t>
        </is>
      </c>
    </row>
    <row r="471" ht="32" customHeight="1">
      <c r="A471" s="8" t="n">
        <v>400044</v>
      </c>
      <c r="B471" s="8" t="inlineStr">
        <is>
          <t>木索胸甲</t>
        </is>
      </c>
      <c r="C471" s="8" t="inlineStr">
        <is>
          <t>法器</t>
        </is>
      </c>
      <c r="D471" s="8" t="inlineStr">
        <is>
          <t>common</t>
        </is>
      </c>
      <c r="E471" s="8" t="inlineStr">
        <is>
          <t>wood</t>
        </is>
      </c>
      <c r="F471" s="8" t="n">
        <v>1</v>
      </c>
      <c r="G471" s="8" t="inlineStr">
        <is>
          <t>基础/顶层</t>
        </is>
      </c>
      <c r="H471" s="8" t="inlineStr"/>
      <c r="I471" s="9" t="inlineStr"/>
      <c r="J471" s="8" t="inlineStr"/>
      <c r="K471" s="8" t="inlineStr"/>
      <c r="L471" s="8" t="inlineStr"/>
      <c r="M471" s="8" t="inlineStr">
        <is>
          <t>被动效果</t>
        </is>
      </c>
      <c r="N471" s="8" t="inlineStr">
        <is>
          <t>passive</t>
        </is>
      </c>
      <c r="O471" s="9" t="inlineStr">
        <is>
          <t>每有 1 个相邻法器，法力上限 +5；每有 1 个相邻法器，法力上限 +10；每有 1 个相邻法器，法力上限 +15；每有 1 个相邻法器，法力上限 +20</t>
        </is>
      </c>
      <c r="P471" s="9" t="inlineStr"/>
      <c r="Q471" s="9" t="inlineStr">
        <is>
          <t>primaryStatMaxFlatBonus</t>
        </is>
      </c>
      <c r="R471" s="9" t="inlineStr">
        <is>
          <t>{"kind":"passive","passiveEffect":{"type":"primaryStatMaxFlatBonus","stat":"mana","value":5,"label":"每有 1 个相邻法器，法力上限 +5","scaling":{"mode":"count","source":"adjacentItems","categories":["implement"]}},"label":"每有 1 个相邻法器，法力上限 +5","starOverrides":{"1":{"label":"每有 1 个相邻法器，法力上限 +10","passiveEffect":{"value":10}},"2":{"label":"每有 1 个相邻法器，法力上限 +15","passiveEffect":{"value":15}},"3":{"label":"每有 1 个相邻法器，法力上限 +20","passiveEffect":{"value":20}}}}</t>
        </is>
      </c>
    </row>
    <row r="472" ht="32" customHeight="1">
      <c r="A472" s="8" t="n">
        <v>400045</v>
      </c>
      <c r="B472" s="8" t="inlineStr">
        <is>
          <t>青竹灵剑</t>
        </is>
      </c>
      <c r="C472" s="8" t="inlineStr">
        <is>
          <t>法器</t>
        </is>
      </c>
      <c r="D472" s="8" t="inlineStr">
        <is>
          <t>common</t>
        </is>
      </c>
      <c r="E472" s="8" t="inlineStr">
        <is>
          <t>wood</t>
        </is>
      </c>
      <c r="F472" s="8" t="n">
        <v>1</v>
      </c>
      <c r="G472" s="8" t="inlineStr">
        <is>
          <t>基础/顶层</t>
        </is>
      </c>
      <c r="H472" s="8" t="inlineStr"/>
      <c r="I472" s="9" t="inlineStr"/>
      <c r="J472" s="8" t="inlineStr"/>
      <c r="K472" s="8" t="inlineStr"/>
      <c r="L472" s="8" t="inlineStr"/>
      <c r="M472" s="8" t="inlineStr">
        <is>
          <t>周期触发</t>
        </is>
      </c>
      <c r="N472" s="8" t="inlineStr">
        <is>
          <t>periodicPulse</t>
        </is>
      </c>
      <c r="O472" s="9" t="inlineStr">
        <is>
          <t>每有 1 个相邻招式，对敌方造成 3 点伤害；每有 1 个相邻招式，对敌方造成 4 点伤害；每有 1 个相邻招式，对敌方造成 5 点伤害；每有 1 个相邻招式，对敌方造成 6 点伤害</t>
        </is>
      </c>
      <c r="P472" s="9" t="inlineStr"/>
      <c r="Q472" s="9" t="inlineStr"/>
      <c r="R472" s="9" t="inlineStr">
        <is>
          <t>{"kind":"periodicPulse","periodicPulse":{"intervalSec":12,"damageHealth":{"target":"enemy","amount":3,"repeatCountScaling":{"mode":"count","source":"adjacentItems","categories":["spell"]}},"label":"每有 1 个相邻招式，&lt;battle&gt;对敌方造成 3 点伤害&lt;/battle&gt;"},"label":"每有 1 个相邻招式，&lt;battle&gt;对敌方造成 3 点伤害&lt;/battle&gt;","starOverrides":{"1":{"label":"每有 1 个相邻招式，&lt;battle&gt;对敌方造成 4 点伤害&lt;/battle&gt;","periodicPulse":{"damageHealth":{"amount":4}}},"2":{"label":"每有 1 个相邻招式，&lt;battle&gt;对敌方造成 5 点伤害&lt;/battle&gt;","periodicPulse":{"damageHealth":{"amount":5}}},"3":{"label":"每有 1 个相邻招式，&lt;battle&gt;对敌方造成 6 点伤害&lt;/battle&gt;","periodicPulse":{"damageHealth":{"amount":6}}}}}</t>
        </is>
      </c>
    </row>
    <row r="473" ht="32" customHeight="1">
      <c r="A473" s="8" t="n">
        <v>400046</v>
      </c>
      <c r="B473" s="8" t="inlineStr">
        <is>
          <t>蓝灵护心佩</t>
        </is>
      </c>
      <c r="C473" s="8" t="inlineStr">
        <is>
          <t>法器</t>
        </is>
      </c>
      <c r="D473" s="8" t="inlineStr">
        <is>
          <t>common</t>
        </is>
      </c>
      <c r="E473" s="8" t="inlineStr">
        <is>
          <t>water</t>
        </is>
      </c>
      <c r="F473" s="8" t="n">
        <v>1</v>
      </c>
      <c r="G473" s="8" t="inlineStr">
        <is>
          <t>基础/顶层</t>
        </is>
      </c>
      <c r="H473" s="8" t="inlineStr"/>
      <c r="I473" s="9" t="inlineStr"/>
      <c r="J473" s="8" t="inlineStr"/>
      <c r="K473" s="8" t="inlineStr"/>
      <c r="L473" s="8" t="inlineStr"/>
      <c r="M473" s="8" t="inlineStr">
        <is>
          <t>被动效果</t>
        </is>
      </c>
      <c r="N473" s="8" t="inlineStr">
        <is>
          <t>passive</t>
        </is>
      </c>
      <c r="O473" s="9" t="inlineStr">
        <is>
          <t>每有 1 个相邻防具，护甲上限 +2；每有 1 个相邻防具，护甲上限 +4；每有 1 个相邻防具，护甲上限 +6；每有 1 个相邻防具，护甲上限 +8</t>
        </is>
      </c>
      <c r="P473" s="9" t="inlineStr"/>
      <c r="Q473" s="9" t="inlineStr">
        <is>
          <t>buffStackCapBonus</t>
        </is>
      </c>
      <c r="R473" s="9" t="inlineStr">
        <is>
          <t>{"kind":"passive","passiveEffect":{"type":"buffStackCapBonus","buffId":"armor","value":2,"label":"每有 1 个相邻防具，护甲上限 +2","scaling":{"mode":"count","source":"adjacentItems","features":["armor"]}},"label":"每有 1 个相邻防具，护甲上限 +2","starOverrides":{"1":{"label":"每有 1 个相邻防具，护甲上限 +4","passiveEffect":{"value":4}},"2":{"label":"每有 1 个相邻防具，护甲上限 +6","passiveEffect":{"value":6}},"3":{"label":"每有 1 个相邻防具，护甲上限 +8","passiveEffect":{"value":8}}}}</t>
        </is>
      </c>
    </row>
    <row r="474" ht="32" customHeight="1">
      <c r="A474" s="8" t="n">
        <v>400047</v>
      </c>
      <c r="B474" s="8" t="inlineStr">
        <is>
          <t>清水陶珠</t>
        </is>
      </c>
      <c r="C474" s="8" t="inlineStr">
        <is>
          <t>法器</t>
        </is>
      </c>
      <c r="D474" s="8" t="inlineStr">
        <is>
          <t>common</t>
        </is>
      </c>
      <c r="E474" s="8" t="inlineStr">
        <is>
          <t>water</t>
        </is>
      </c>
      <c r="F474" s="8" t="n">
        <v>1</v>
      </c>
      <c r="G474" s="8" t="inlineStr">
        <is>
          <t>基础/顶层</t>
        </is>
      </c>
      <c r="H474" s="8" t="inlineStr"/>
      <c r="I474" s="9" t="inlineStr"/>
      <c r="J474" s="8" t="inlineStr"/>
      <c r="K474" s="8" t="inlineStr"/>
      <c r="L474" s="8" t="inlineStr"/>
      <c r="M474" s="8" t="inlineStr">
        <is>
          <t>周期触发</t>
        </is>
      </c>
      <c r="N474" s="8" t="inlineStr">
        <is>
          <t>periodicPulse</t>
        </is>
      </c>
      <c r="O474" s="9" t="inlineStr">
        <is>
          <t>获得 1 层露水；获得 2 层露水；获得 3 层露水；获得 4 层露水</t>
        </is>
      </c>
      <c r="P474" s="9" t="inlineStr"/>
      <c r="Q474" s="9" t="inlineStr"/>
      <c r="R474" s="9" t="inlineStr">
        <is>
          <t>{"kind":"periodicPulse","periodicPulse":{"intervalSec":4,"label":"获得 1 层露水","buffGains":[{"buffId":"dew","count":1}]},"starOverrides":{"1":{"label":"获得 2 层露水","periodicPulse":{"intervalSec":4,"buffGains":[{"count":2}]}},"2":{"label":"获得 3 层露水","periodicPulse":{"intervalSec":4,"buffGains":[{"count":3}]}},"3":{"label":"获得 4 层露水","periodicPulse":{"intervalSec":4,"buffGains":[{"count":4}]}}}}</t>
        </is>
      </c>
    </row>
    <row r="475" ht="32" customHeight="1">
      <c r="A475" s="8" t="n">
        <v>400048</v>
      </c>
      <c r="B475" s="8" t="inlineStr">
        <is>
          <t>黄铜聚气铃</t>
        </is>
      </c>
      <c r="C475" s="8" t="inlineStr">
        <is>
          <t>法器</t>
        </is>
      </c>
      <c r="D475" s="8" t="inlineStr">
        <is>
          <t>common</t>
        </is>
      </c>
      <c r="E475" s="8" t="inlineStr">
        <is>
          <t>metal</t>
        </is>
      </c>
      <c r="F475" s="8" t="n">
        <v>1</v>
      </c>
      <c r="G475" s="8" t="inlineStr">
        <is>
          <t>基础/顶层</t>
        </is>
      </c>
      <c r="H475" s="8" t="inlineStr"/>
      <c r="I475" s="9" t="inlineStr"/>
      <c r="J475" s="8" t="inlineStr"/>
      <c r="K475" s="8" t="inlineStr"/>
      <c r="L475" s="8" t="inlineStr"/>
      <c r="M475" s="8" t="inlineStr">
        <is>
          <t>周期触发</t>
        </is>
      </c>
      <c r="N475" s="8" t="inlineStr">
        <is>
          <t>periodicPulse</t>
        </is>
      </c>
      <c r="O475" s="9" t="inlineStr">
        <is>
          <t>获得 1 层凝金；获得 2 层凝金；获得 3 层凝金；获得 4 层凝金</t>
        </is>
      </c>
      <c r="P475" s="9" t="inlineStr"/>
      <c r="Q475" s="9" t="inlineStr"/>
      <c r="R475" s="9" t="inlineStr">
        <is>
          <t>{"kind":"periodicPulse","periodicPulse":{"intervalSec":4,"label":"获得 1 层凝金","buffGains":[{"buffId":"condensedMetal","count":1}]},"starOverrides":{"1":{"label":"获得 2 层凝金","periodicPulse":{"intervalSec":4,"buffGains":[{"count":2}]}},"2":{"label":"获得 3 层凝金","periodicPulse":{"intervalSec":4,"buffGains":[{"count":3}]}},"3":{"label":"获得 4 层凝金","periodicPulse":{"intervalSec":4,"buffGains":[{"count":4}]}}}}</t>
        </is>
      </c>
    </row>
    <row r="476" ht="32" customHeight="1">
      <c r="A476" s="8" t="n">
        <v>400049</v>
      </c>
      <c r="B476" s="8" t="inlineStr">
        <is>
          <t>云篆封灵石印</t>
        </is>
      </c>
      <c r="C476" s="8" t="inlineStr">
        <is>
          <t>法器</t>
        </is>
      </c>
      <c r="D476" s="8" t="inlineStr">
        <is>
          <t>spirit</t>
        </is>
      </c>
      <c r="E476" s="8" t="inlineStr">
        <is>
          <t>earth</t>
        </is>
      </c>
      <c r="F476" s="8" t="n">
        <v>1</v>
      </c>
      <c r="G476" s="8" t="inlineStr">
        <is>
          <t>基础/顶层</t>
        </is>
      </c>
      <c r="H476" s="8" t="inlineStr"/>
      <c r="I476" s="9" t="inlineStr"/>
      <c r="J476" s="8" t="inlineStr"/>
      <c r="K476" s="8" t="inlineStr"/>
      <c r="L476" s="8" t="inlineStr"/>
      <c r="M476" s="8" t="inlineStr">
        <is>
          <t>条件触发</t>
        </is>
      </c>
      <c r="N476" s="8" t="inlineStr">
        <is>
          <t>triggered</t>
        </is>
      </c>
      <c r="O476" s="9" t="inlineStr">
        <is>
          <t>相邻道具使用时，获得 20 点修为；相邻道具使用时，获得 40 点修为；相邻道具使用时，获得 60 点修为；相邻道具使用时，获得 80 点修为</t>
        </is>
      </c>
      <c r="P476" s="9" t="inlineStr">
        <is>
          <t>onItemUse</t>
        </is>
      </c>
      <c r="Q476" s="9" t="inlineStr">
        <is>
          <t>gainCultivation；adjacent</t>
        </is>
      </c>
      <c r="R476" s="9" t="inlineStr">
        <is>
          <t>{"kind":"triggered","label":"&lt;cultivation&gt;相邻道具使用时，获得 20 点修为&lt;/cultivation&gt;","triggeredEffect":{"trigger":"onItemUse","type":"gainCultivation","amount":20,"singletonByTemplate":true,"eventSource":{"target":{"type":"adjacent"}}},"starOverrides":{"1":{"label":"&lt;cultivation&gt;相邻道具使用时，获得 40 点修为&lt;/cultivation&gt;","triggeredEffect":{"amount":40}},"2":{"label":"&lt;cultivation&gt;相邻道具使用时，获得 60 点修为&lt;/cultivation&gt;","triggeredEffect":{"amount":60}},"3":{"label":"&lt;cultivation&gt;相邻道具使用时，获得 80 点修为&lt;/cultivation&gt;","triggeredEffect":{"amount":80}}}}</t>
        </is>
      </c>
    </row>
    <row r="477" ht="32" customHeight="1">
      <c r="A477" s="8" t="n">
        <v>400050</v>
      </c>
      <c r="B477" s="8" t="inlineStr">
        <is>
          <t>年轮木符</t>
        </is>
      </c>
      <c r="C477" s="8" t="inlineStr">
        <is>
          <t>法器</t>
        </is>
      </c>
      <c r="D477" s="8" t="inlineStr">
        <is>
          <t>spirit</t>
        </is>
      </c>
      <c r="E477" s="8" t="inlineStr">
        <is>
          <t>wood</t>
        </is>
      </c>
      <c r="F477" s="8" t="n">
        <v>1</v>
      </c>
      <c r="G477" s="8" t="inlineStr">
        <is>
          <t>基础/顶层</t>
        </is>
      </c>
      <c r="H477" s="8" t="inlineStr"/>
      <c r="I477" s="9" t="inlineStr"/>
      <c r="J477" s="8" t="inlineStr"/>
      <c r="K477" s="8" t="inlineStr"/>
      <c r="L477" s="8" t="inlineStr"/>
      <c r="M477" s="8" t="inlineStr">
        <is>
          <t>条件触发</t>
        </is>
      </c>
      <c r="N477" s="8" t="inlineStr">
        <is>
          <t>triggered</t>
        </is>
      </c>
      <c r="O477" s="9" t="inlineStr">
        <is>
          <t>每当相邻道具使用时，随机恢复总共 20 点气血、体力或法力；每当相邻道具使用时，随机恢复总共 40 点气血、体力或法力；每当相邻道具使用时，随机恢复总共 60 点气血、体力或法力；每当相邻道具使用时，随机恢复总共 80 点气血、体力或法力</t>
        </is>
      </c>
      <c r="P477" s="9" t="inlineStr">
        <is>
          <t>onItemUse</t>
        </is>
      </c>
      <c r="Q477" s="9" t="inlineStr">
        <is>
          <t>modifyRandomPrimaryStat；adjacent</t>
        </is>
      </c>
      <c r="R477" s="9" t="inlineStr">
        <is>
          <t>{"kind":"triggered","triggeredEffect":{"trigger":"onItemUse","type":"modifyRandomPrimaryStat","delta":20,"eventSource":{"target":{"type":"adjacent"}},"primaryStats":["health","stamina","mana"]},"label":"每当相邻道具使用时，随机恢复总共 20 点气血、体力或法力","starOverrides":{"1":{"label":"每当相邻道具使用时，随机恢复总共 40 点气血、体力或法力","triggeredEffect":{"delta":40,"primaryStats":["health","stamina","mana"]}},"2":{"label":"每当相邻道具使用时，随机恢复总共 60 点气血、体力或法力","triggeredEffect":{"delta":60,"primaryStats":["health","stamina","mana"]}},"3":{"label":"每当相邻道具使用时，随机恢复总共 80 点气血、体力或法力","triggeredEffect":{"delta":80,"primaryStats":["health","stamina","mana"]}}}}</t>
        </is>
      </c>
    </row>
    <row r="478" ht="32" customHeight="1">
      <c r="A478" s="8" t="n">
        <v>400051</v>
      </c>
      <c r="B478" s="8" t="inlineStr">
        <is>
          <t>碧纱护面</t>
        </is>
      </c>
      <c r="C478" s="8" t="inlineStr">
        <is>
          <t>法器</t>
        </is>
      </c>
      <c r="D478" s="8" t="inlineStr">
        <is>
          <t>common</t>
        </is>
      </c>
      <c r="E478" s="8" t="inlineStr">
        <is>
          <t>earth</t>
        </is>
      </c>
      <c r="F478" s="8" t="n">
        <v>1</v>
      </c>
      <c r="G478" s="8" t="inlineStr">
        <is>
          <t>基础/顶层</t>
        </is>
      </c>
      <c r="H478" s="8" t="inlineStr"/>
      <c r="I478" s="9" t="inlineStr"/>
      <c r="J478" s="8" t="inlineStr"/>
      <c r="K478" s="8" t="inlineStr"/>
      <c r="L478" s="8" t="inlineStr"/>
      <c r="M478" s="8" t="inlineStr">
        <is>
          <t>周期触发</t>
        </is>
      </c>
      <c r="N478" s="8" t="inlineStr">
        <is>
          <t>periodicPulse</t>
        </is>
      </c>
      <c r="O478" s="9" t="inlineStr">
        <is>
          <t>将 3 层蓄势转化为 9 点护甲；将 4 层蓄势转化为 12 点护甲；将 5 层蓄势转化为 15 点护甲；将 6 层蓄势转化为 18 点护甲</t>
        </is>
      </c>
      <c r="P478" s="9" t="inlineStr">
        <is>
          <t>onPeriodicPulse</t>
        </is>
      </c>
      <c r="Q478" s="9" t="inlineStr">
        <is>
          <t>convertBuffStacks；self</t>
        </is>
      </c>
      <c r="R478" s="9" t="inlineStr">
        <is>
          <t>{"kind":"periodicPulse","periodicPulse":{"intervalSec":10,"label":"将 3 层蓄势转化为 9 点护甲"},"executors":[{"trigger":"onPeriodicPulse","type":"convertBuffStacks","sourceBuffId":"heavy","targetBuffId":"armor","maxStacks":3,"consumeRatio":3,"eventSource":{"target":{"type":"self"},"keywordIds":["rotation"]},"label":"将 3 层蓄势转化为 9 点护甲","requiredStacks":3}],"label":"将 3 层蓄势转化为 9 点护甲","starOverrides":{"1":{"label":"将 4 层蓄势转化为 12 点护甲","executors":[{"maxStacks":4,"requiredStacks":4,"label":"将 4 层蓄势转化为 12 点护甲"}]},"2":{"label":"将 5 层蓄势转化为 15 点护甲","executors":[{"maxStacks":5,"requiredStacks":5,"label":"将 5 层蓄势转化为 15 点护甲"}]},"3":{"label":"将 6 层蓄势转化为 18 点护甲","executors":[{"maxStacks":6,"requiredStacks":6,"label":"将 6 层蓄势转化为 18 点护甲"}]}}}</t>
        </is>
      </c>
    </row>
    <row r="479" ht="32" customHeight="1">
      <c r="A479" s="8" t="n">
        <v>400052</v>
      </c>
      <c r="B479" s="8" t="inlineStr">
        <is>
          <t>青纹玉佩</t>
        </is>
      </c>
      <c r="C479" s="8" t="inlineStr">
        <is>
          <t>法器</t>
        </is>
      </c>
      <c r="D479" s="8" t="inlineStr">
        <is>
          <t>common</t>
        </is>
      </c>
      <c r="E479" s="8" t="inlineStr">
        <is>
          <t>wood</t>
        </is>
      </c>
      <c r="F479" s="8" t="n">
        <v>1</v>
      </c>
      <c r="G479" s="8" t="inlineStr">
        <is>
          <t>基础/顶层</t>
        </is>
      </c>
      <c r="H479" s="8" t="inlineStr"/>
      <c r="I479" s="9" t="inlineStr"/>
      <c r="J479" s="8" t="inlineStr"/>
      <c r="K479" s="8" t="inlineStr"/>
      <c r="L479" s="8" t="inlineStr"/>
      <c r="M479" s="8" t="inlineStr">
        <is>
          <t>条件触发</t>
        </is>
      </c>
      <c r="N479" s="8" t="inlineStr">
        <is>
          <t>triggered</t>
        </is>
      </c>
      <c r="O479" s="9" t="inlineStr">
        <is>
          <t>上方相邻木属性招式使用时，恢复 10 点法力；上方相邻木属性招式使用时，恢复 12 点法力；上方相邻木属性招式使用时，恢复 14 点法力；上方相邻木属性招式使用时，恢复 16 点法力</t>
        </is>
      </c>
      <c r="P479" s="9" t="inlineStr">
        <is>
          <t>onItemUse</t>
        </is>
      </c>
      <c r="Q479" s="9" t="inlineStr">
        <is>
          <t>modifyPlayerPrimaryStat；directional-adjacent</t>
        </is>
      </c>
      <c r="R479" s="9" t="inlineStr">
        <is>
          <t>{"kind":"triggered","triggeredEffect":{"trigger":"onItemUse","type":"modifyPlayerPrimaryStat","stat":"mana","delta":10,"eventSource":{"target":{"type":"directional-adjacent","direction":"up"},"filter":{"categories":["spell"],"elements":["wood"]}}},"label":"上方相邻木属性招式使用时，恢复 10 点法力","starOverrides":{"1":{"label":"上方相邻木属性招式使用时，恢复 12 点法力","triggeredEffect":{"trigger":"onItemUse","type":"modifyPlayerPrimaryStat","stat":"mana","delta":12}},"2":{"label":"上方相邻木属性招式使用时，恢复 14 点法力","triggeredEffect":{"trigger":"onItemUse","type":"modifyPlayerPrimaryStat","stat":"mana","delta":14}},"3":{"label":"上方相邻木属性招式使用时，恢复 16 点法力","triggeredEffect":{"trigger":"onItemUse","type":"modifyPlayerPrimaryStat","stat":"mana","delta":16}}}}</t>
        </is>
      </c>
    </row>
    <row r="480" ht="32" customHeight="1">
      <c r="A480" s="8" t="n">
        <v>400053</v>
      </c>
      <c r="B480" s="8" t="inlineStr">
        <is>
          <t>木叶灵环</t>
        </is>
      </c>
      <c r="C480" s="8" t="inlineStr">
        <is>
          <t>法器</t>
        </is>
      </c>
      <c r="D480" s="8" t="inlineStr">
        <is>
          <t>common</t>
        </is>
      </c>
      <c r="E480" s="8" t="inlineStr">
        <is>
          <t>none</t>
        </is>
      </c>
      <c r="F480" s="8" t="n">
        <v>1</v>
      </c>
      <c r="G480" s="8" t="inlineStr">
        <is>
          <t>基础/顶层</t>
        </is>
      </c>
      <c r="H480" s="8" t="inlineStr"/>
      <c r="I480" s="9" t="inlineStr"/>
      <c r="J480" s="8" t="inlineStr"/>
      <c r="K480" s="8" t="inlineStr"/>
      <c r="L480" s="8" t="inlineStr"/>
      <c r="M480" s="8" t="inlineStr">
        <is>
          <t>条件触发</t>
        </is>
      </c>
      <c r="N480" s="8" t="inlineStr">
        <is>
          <t>triggered</t>
        </is>
      </c>
      <c r="O480" s="9" t="inlineStr">
        <is>
          <t>累计使用 6 次木属性道具后，获得 3 层再生；累计使用 6 次木属性道具后，获得 6 层再生；累计使用 6 次木属性道具后，获得 9 层再生；累计使用 6 次木属性道具后，获得 12 层再生</t>
        </is>
      </c>
      <c r="P480" s="9" t="inlineStr">
        <is>
          <t>onItemUse</t>
        </is>
      </c>
      <c r="Q480" s="9" t="inlineStr">
        <is>
          <t>applyBuff；any</t>
        </is>
      </c>
      <c r="R480" s="9" t="inlineStr">
        <is>
          <t>{"kind":"triggered","label":"累计使用 6 次木属性道具后，获得 3 层再生","triggeredEffect":{"trigger":"onItemUse","type":"applyBuff","buffId":"regeneration","count":3,"eventSource":{"target":{"type":"any"},"filter":{"elements":["wood"]}},"charge":{"threshold":6,"countPerEvent":1}},"starOverrides":{"1":{"label":"累计使用 6 次木属性道具后，获得 6 层再生","triggeredEffect":{"count":6}},"2":{"label":"累计使用 6 次木属性道具后，获得 9 层再生","triggeredEffect":{"count":9}},"3":{"label":"累计使用 6 次木属性道具后，获得 12 层再生","triggeredEffect":{"count":12}}}}</t>
        </is>
      </c>
    </row>
    <row r="481" ht="32" customHeight="1">
      <c r="A481" s="8" t="n">
        <v>400054</v>
      </c>
      <c r="B481" s="8" t="inlineStr">
        <is>
          <t>锈锋镇轮剑</t>
        </is>
      </c>
      <c r="C481" s="8" t="inlineStr">
        <is>
          <t>法器</t>
        </is>
      </c>
      <c r="D481" s="8" t="inlineStr">
        <is>
          <t>spirit</t>
        </is>
      </c>
      <c r="E481" s="8" t="inlineStr">
        <is>
          <t>metal</t>
        </is>
      </c>
      <c r="F481" s="8" t="n">
        <v>1</v>
      </c>
      <c r="G481" s="8" t="inlineStr">
        <is>
          <t>基础/顶层</t>
        </is>
      </c>
      <c r="H481" s="8" t="inlineStr"/>
      <c r="I481" s="9" t="inlineStr"/>
      <c r="J481" s="8" t="inlineStr"/>
      <c r="K481" s="8" t="inlineStr"/>
      <c r="L481" s="8" t="inlineStr"/>
      <c r="M481" s="8" t="inlineStr">
        <is>
          <t>周期触发</t>
        </is>
      </c>
      <c r="N481" s="8" t="inlineStr">
        <is>
          <t>periodicPulse</t>
        </is>
      </c>
      <c r="O481" s="9" t="inlineStr">
        <is>
          <t>使下方相邻道具加速 4 秒，获得 12 层敏捷；使下方相邻道具加速 5 秒，获得 12 层敏捷；使下方相邻道具加速 6 秒，获得 12 层敏捷；使下方相邻道具加速 7 秒，获得 12 层敏捷</t>
        </is>
      </c>
      <c r="P481" s="9" t="inlineStr"/>
      <c r="Q481" s="9" t="inlineStr"/>
      <c r="R481" s="9" t="inlineStr">
        <is>
          <t>{"kind":"periodicPulse","periodicPulse":{"intervalSec":15,"label":"使下方相邻道具加速 4 秒，获得 12 层敏捷","buffGains":[{"buffId":"agile","count":12}],"itemRuntimeStatusEffects":[{"itemRuntimeStatus":"haste","durationSec":4,"targetScope":"adjacent","direction":"down"}]},"label":"使下方相邻道具加速 4 秒，获得 12 层敏捷","starOverrides":{"1":{"label":"使下方相邻道具加速 5 秒，获得 12 层敏捷","periodicPulse":{"intervalSec":15,"label":"使下方相邻道具加速 5 秒，获得 12 层敏捷","buffGains":[{"buffId":"agile","count":12}],"itemRuntimeStatusEffects":[{"itemRuntimeStatus":"haste","durationSec":5,"targetScope":"adjacent","direction":"down"}]}},"2":{"label":"使下方相邻道具加速 6 秒，获得 12 层敏捷","periodicPulse":{"intervalSec":15,"label":"使下方相邻道具加速 6 秒，获得 12 层敏捷","buffGains":[{"buffId":"agile","count":12}],"itemRuntimeStatusEffects":[{"itemRuntimeStatus":"haste","durationSec":6,"targetScope":"adjacent","direction":"down"}]}},"3":{"label":"使下方相邻道具加速 7 秒，获得 12 层敏捷","periodicPulse":{"intervalSec":15,"label":"使下方相邻道具加速 7 秒，获得 12 层敏捷","buffGains":[{"buffId":"agile","count":12}],"itemRuntimeStatusEffects":[{"itemRuntimeStatus":"haste","durationSec":7,"targetScope":"adjacent","direction":"down"}]}}}}</t>
        </is>
      </c>
    </row>
    <row r="482" ht="32" customHeight="1">
      <c r="A482" s="8" t="n">
        <v>400055</v>
      </c>
      <c r="B482" s="8" t="inlineStr">
        <is>
          <t>炎纹聚法佩</t>
        </is>
      </c>
      <c r="C482" s="8" t="inlineStr">
        <is>
          <t>法器</t>
        </is>
      </c>
      <c r="D482" s="8" t="inlineStr">
        <is>
          <t>common</t>
        </is>
      </c>
      <c r="E482" s="8" t="inlineStr">
        <is>
          <t>fire</t>
        </is>
      </c>
      <c r="F482" s="8" t="n">
        <v>1</v>
      </c>
      <c r="G482" s="8" t="inlineStr">
        <is>
          <t>基础/顶层</t>
        </is>
      </c>
      <c r="H482" s="8" t="inlineStr"/>
      <c r="I482" s="9" t="inlineStr"/>
      <c r="J482" s="8" t="inlineStr"/>
      <c r="K482" s="8" t="inlineStr"/>
      <c r="L482" s="8" t="inlineStr"/>
      <c r="M482" s="8" t="inlineStr">
        <is>
          <t>周期触发</t>
        </is>
      </c>
      <c r="N482" s="8" t="inlineStr">
        <is>
          <t>periodicPulse</t>
        </is>
      </c>
      <c r="O482" s="9" t="inlineStr">
        <is>
          <t>将 5 层炎热转化为 10 点法力；将 10 层炎热转化为 20 点法力；将 15 层炎热转化为 30 点法力；将 20 层炎热转化为 40 点法力</t>
        </is>
      </c>
      <c r="P482" s="9" t="inlineStr">
        <is>
          <t>onPeriodicPulse</t>
        </is>
      </c>
      <c r="Q482" s="9" t="inlineStr">
        <is>
          <t>consumeBuffStacks</t>
        </is>
      </c>
      <c r="R482" s="9" t="inlineStr">
        <is>
          <t>{"kind":"periodicPulse","periodicPulse":{"intervalSec":10,"label":"将 5 层炎热转化为 10 点法力"},"executors":[{"trigger":"onPeriodicPulse","type":"consumeBuffStacks","sourceBuffId":"heat","maxStacks":5,"primaryStatGainPerStack":{"stat":"mana","amount":2},"activationRequirements":{"buffStackThresholds":[{"buffId":"heat","comparator":"atLeast","count":5}]},"label":"将 5 层炎热转化为 10 点法力","requiredStacks":5}],"starOverrides":{"1":{"label":"将 10 层炎热转化为 20 点法力","executors":[{"maxStacks":10,"requiredStacks":10,"activationRequirements":{"buffStackThresholds":[{"count":10}]},"label":"将 10 层炎热转化为 20 点法力"}]},"2":{"label":"将 15 层炎热转化为 30 点法力","executors":[{"maxStacks":15,"requiredStacks":15,"activationRequirements":{"buffStackThresholds":[{"count":15}]},"label":"将 15 层炎热转化为 30 点法力"}]},"3":{"label":"将 20 层炎热转化为 40 点法力","executors":[{"maxStacks":20,"requiredStacks":20,"activationRequirements":{"buffStackThresholds":[{"count":20}]},"label":"将 20 层炎热转化为 40 点法力"}]}}}</t>
        </is>
      </c>
    </row>
    <row r="483" ht="32" customHeight="1">
      <c r="A483" s="8" t="n">
        <v>400060</v>
      </c>
      <c r="B483" s="8" t="inlineStr">
        <is>
          <t>炎息护甲</t>
        </is>
      </c>
      <c r="C483" s="8" t="inlineStr">
        <is>
          <t>法器</t>
        </is>
      </c>
      <c r="D483" s="8" t="inlineStr">
        <is>
          <t>common</t>
        </is>
      </c>
      <c r="E483" s="8" t="inlineStr">
        <is>
          <t>fire</t>
        </is>
      </c>
      <c r="F483" s="8" t="n">
        <v>1</v>
      </c>
      <c r="G483" s="8" t="inlineStr">
        <is>
          <t>基础/顶层</t>
        </is>
      </c>
      <c r="H483" s="8" t="inlineStr"/>
      <c r="I483" s="9" t="inlineStr"/>
      <c r="J483" s="8" t="inlineStr"/>
      <c r="K483" s="8" t="inlineStr"/>
      <c r="L483" s="8" t="inlineStr"/>
      <c r="M483" s="8" t="inlineStr">
        <is>
          <t>周期触发</t>
        </is>
      </c>
      <c r="N483" s="8" t="inlineStr">
        <is>
          <t>periodicPulse</t>
        </is>
      </c>
      <c r="O483" s="9" t="inlineStr">
        <is>
          <t>将 4 点体力转化为 4 层炎热；将 6 点体力转化为 6 层炎热；将 8 点体力转化为 8 层炎热；将 10 点体力转化为 10 层炎热</t>
        </is>
      </c>
      <c r="P483" s="9" t="inlineStr"/>
      <c r="Q483" s="9" t="inlineStr"/>
      <c r="R483" s="9" t="inlineStr">
        <is>
          <t>{"kind":"periodicPulse","periodicPulse":{"intervalSec":12,"primaryStatCosts":[{"stat":"stamina","amount":4}],"buffGains":[{"buffId":"heat","count":4}],"label":"将 4 点体力转化为 4 层炎热"},"label":"将 4 点体力转化为 4 层炎热","starOverrides":{"1":{"label":"将 6 点体力转化为 6 层炎热","periodicPulse":{"primaryStatCosts":[{"amount":6}],"buffGains":[{"count":6}]}},"2":{"label":"将 8 点体力转化为 8 层炎热","periodicPulse":{"primaryStatCosts":[{"amount":8}],"buffGains":[{"count":8}]}},"3":{"label":"将 10 点体力转化为 10 层炎热","periodicPulse":{"primaryStatCosts":[{"amount":10}],"buffGains":[{"count":10}]}}}}</t>
        </is>
      </c>
    </row>
    <row r="484" ht="32" customHeight="1">
      <c r="A484" s="8" t="n">
        <v>400061</v>
      </c>
      <c r="B484" s="8" t="inlineStr">
        <is>
          <t>澄法珠</t>
        </is>
      </c>
      <c r="C484" s="8" t="inlineStr">
        <is>
          <t>法器</t>
        </is>
      </c>
      <c r="D484" s="8" t="inlineStr">
        <is>
          <t>common</t>
        </is>
      </c>
      <c r="E484" s="8" t="inlineStr">
        <is>
          <t>water</t>
        </is>
      </c>
      <c r="F484" s="8" t="n">
        <v>1</v>
      </c>
      <c r="G484" s="8" t="inlineStr">
        <is>
          <t>基础/顶层</t>
        </is>
      </c>
      <c r="H484" s="8" t="inlineStr"/>
      <c r="I484" s="9" t="inlineStr"/>
      <c r="J484" s="8" t="inlineStr"/>
      <c r="K484" s="8" t="inlineStr"/>
      <c r="L484" s="8" t="inlineStr"/>
      <c r="M484" s="8" t="inlineStr">
        <is>
          <t>周期触发</t>
        </is>
      </c>
      <c r="N484" s="8" t="inlineStr">
        <is>
          <t>periodicPulse</t>
        </is>
      </c>
      <c r="O484" s="9" t="inlineStr">
        <is>
          <t>拥有不少于 6 层露水时，恢复 2 点法力；拥有不少于 6 层露水时，恢复 4 点法力；拥有不少于 6 层露水时，恢复 6 点法力；拥有不少于 6 层露水时，恢复 8 点法力</t>
        </is>
      </c>
      <c r="P484" s="9" t="inlineStr"/>
      <c r="Q484" s="9" t="inlineStr"/>
      <c r="R484" s="9" t="inlineStr">
        <is>
          <t>{"kind":"periodicPulse","periodicPulse":{"intervalSec":6,"primaryStatGains":[{"stat":"mana","amount":2}],"activationRequirements":{"buffStackThresholds":[{"buffId":"dew","comparator":"atLeast","count":6}]},"label":"拥有不少于 6 层露水时，恢复 2 点法力"},"starOverrides":{"1":{"label":"拥有不少于 6 层露水时，恢复 4 点法力","periodicPulse":{"primaryStatGains":[{"amount":4}],"activationRequirements":{"buffStackThresholds":[{"count":6}]}}},"2":{"label":"拥有不少于 6 层露水时，恢复 6 点法力","periodicPulse":{"primaryStatGains":[{"amount":6}],"activationRequirements":{"buffStackThresholds":[{"count":6}]}}},"3":{"label":"拥有不少于 6 层露水时，恢复 8 点法力","periodicPulse":{"primaryStatGains":[{"amount":8}],"activationRequirements":{"buffStackThresholds":[{"count":6}]}}}}}</t>
        </is>
      </c>
    </row>
    <row r="485" ht="32" customHeight="1">
      <c r="A485" s="8" t="n">
        <v>400062</v>
      </c>
      <c r="B485" s="8" t="inlineStr">
        <is>
          <t>壮息护腕</t>
        </is>
      </c>
      <c r="C485" s="8" t="inlineStr">
        <is>
          <t>法器</t>
        </is>
      </c>
      <c r="D485" s="8" t="inlineStr">
        <is>
          <t>common</t>
        </is>
      </c>
      <c r="E485" s="8" t="inlineStr">
        <is>
          <t>earth</t>
        </is>
      </c>
      <c r="F485" s="8" t="n">
        <v>1</v>
      </c>
      <c r="G485" s="8" t="inlineStr">
        <is>
          <t>基础/顶层</t>
        </is>
      </c>
      <c r="H485" s="8" t="inlineStr"/>
      <c r="I485" s="9" t="inlineStr"/>
      <c r="J485" s="8" t="inlineStr"/>
      <c r="K485" s="8" t="inlineStr"/>
      <c r="L485" s="8" t="inlineStr"/>
      <c r="M485" s="8" t="inlineStr">
        <is>
          <t>周期触发</t>
        </is>
      </c>
      <c r="N485" s="8" t="inlineStr">
        <is>
          <t>periodicPulse</t>
        </is>
      </c>
      <c r="O485" s="9" t="inlineStr">
        <is>
          <t>体力不低于 50% 时，恢复 3 点体力；体力不低于 50% 时，恢复 6 点体力；体力不低于 50% 时，恢复 9 点体力；体力不低于 50% 时，恢复 12 点体力</t>
        </is>
      </c>
      <c r="P485" s="9" t="inlineStr"/>
      <c r="Q485" s="9" t="inlineStr"/>
      <c r="R485" s="9" t="inlineStr">
        <is>
          <t>{"kind":"periodicPulse","periodicPulse":{"intervalSec":8,"primaryStatGains":[{"stat":"stamina","amount":3}],"activationRequirements":{"staminaThreshold":{"comparator":"atLeast","ratio":0.5}},"label":"体力不低于 50% 时，恢复 3 点体力"},"label":"体力不低于 50% 时，恢复 3 点体力","starOverrides":{"1":{"label":"体力不低于 50% 时，恢复 6 点体力","periodicPulse":{"primaryStatGains":[{"amount":6}]}},"2":{"label":"体力不低于 50% 时，恢复 9 点体力","periodicPulse":{"primaryStatGains":[{"amount":9}]}},"3":{"label":"体力不低于 50% 时，恢复 12 点体力","periodicPulse":{"primaryStatGains":[{"amount":12}]}}}}</t>
        </is>
      </c>
    </row>
    <row r="486" ht="32" customHeight="1">
      <c r="A486" s="8" t="n">
        <v>400063</v>
      </c>
      <c r="B486" s="8" t="inlineStr">
        <is>
          <t>寒火转轮</t>
        </is>
      </c>
      <c r="C486" s="8" t="inlineStr">
        <is>
          <t>法器</t>
        </is>
      </c>
      <c r="D486" s="8" t="inlineStr">
        <is>
          <t>common</t>
        </is>
      </c>
      <c r="E486" s="8" t="inlineStr">
        <is>
          <t>fire</t>
        </is>
      </c>
      <c r="F486" s="8" t="n">
        <v>1</v>
      </c>
      <c r="G486" s="8" t="inlineStr">
        <is>
          <t>基础/顶层</t>
        </is>
      </c>
      <c r="H486" s="8" t="inlineStr"/>
      <c r="I486" s="9" t="inlineStr"/>
      <c r="J486" s="8" t="inlineStr"/>
      <c r="K486" s="8" t="inlineStr"/>
      <c r="L486" s="8" t="inlineStr"/>
      <c r="M486" s="8" t="inlineStr">
        <is>
          <t>周期触发</t>
        </is>
      </c>
      <c r="N486" s="8" t="inlineStr">
        <is>
          <t>periodicPulse</t>
        </is>
      </c>
      <c r="O486" s="9" t="inlineStr">
        <is>
          <t>将所有寒冷转化为相同层数的炎热，寒冷层数为 0 时，将所有炎热转化为相同层数的寒冷</t>
        </is>
      </c>
      <c r="P486" s="9" t="inlineStr">
        <is>
          <t>onPeriodicPulse</t>
        </is>
      </c>
      <c r="Q486" s="9" t="inlineStr">
        <is>
          <t>convertBuffStacks</t>
        </is>
      </c>
      <c r="R486" s="9" t="inlineStr">
        <is>
          <t>{"kind":"periodicPulse","label":"&lt;singleton&gt;将所有寒冷转化为相同层数的炎热，寒冷层数为 0 时，将所有炎热转化为相同层数的寒冷&lt;/singleton&gt;","periodicPulse":{"intervalSec":24,"label":"&lt;singleton&gt;将所有寒冷转化为相同层数的炎热，寒冷层数为 0 时，将所有炎热转化为相同层数的寒冷&lt;/singleton&gt;"},"executors":[{"trigger":"onPeriodicPulse","type":"convertBuffStacks","sourceBuffId":"cold","targetBuffId":"heat","consumeRatio":1,"consumeRounding":"floor","fallbackSourceBuffId":"heat","fallbackTargetBuffId":"cold","singletonByTemplate":true,"label":"&lt;singleton&gt;将所有寒冷转化为相同层数的炎热，寒冷层数为 0 时，将所有炎热转化为相同层数的寒冷&lt;/singleton&gt;"}]}</t>
        </is>
      </c>
    </row>
    <row r="487" ht="32" customHeight="1">
      <c r="A487" s="8" t="n">
        <v>400064</v>
      </c>
      <c r="B487" s="8" t="inlineStr">
        <is>
          <t>重寒转轮</t>
        </is>
      </c>
      <c r="C487" s="8" t="inlineStr">
        <is>
          <t>法器</t>
        </is>
      </c>
      <c r="D487" s="8" t="inlineStr">
        <is>
          <t>common</t>
        </is>
      </c>
      <c r="E487" s="8" t="inlineStr">
        <is>
          <t>water</t>
        </is>
      </c>
      <c r="F487" s="8" t="n">
        <v>1</v>
      </c>
      <c r="G487" s="8" t="inlineStr">
        <is>
          <t>基础/顶层</t>
        </is>
      </c>
      <c r="H487" s="8" t="inlineStr"/>
      <c r="I487" s="9" t="inlineStr"/>
      <c r="J487" s="8" t="inlineStr"/>
      <c r="K487" s="8" t="inlineStr"/>
      <c r="L487" s="8" t="inlineStr"/>
      <c r="M487" s="8" t="inlineStr">
        <is>
          <t>周期触发</t>
        </is>
      </c>
      <c r="N487" s="8" t="inlineStr">
        <is>
          <t>periodicPulse</t>
        </is>
      </c>
      <c r="O487" s="9" t="inlineStr">
        <is>
          <t>最多将 10 层蓄势转化为等量寒冷</t>
        </is>
      </c>
      <c r="P487" s="9" t="inlineStr">
        <is>
          <t>onPeriodicPulse</t>
        </is>
      </c>
      <c r="Q487" s="9" t="inlineStr">
        <is>
          <t>convertBuffStacks</t>
        </is>
      </c>
      <c r="R487" s="9" t="inlineStr">
        <is>
          <t>{"kind":"periodicPulse","periodicPulse":{"intervalSec":12,"label":"最多将 10 层蓄势转化为等量寒冷"},"executors":[{"trigger":"onPeriodicPulse","type":"convertBuffStacks","sourceBuffId":"heavy","targetBuffId":"cold","maxStacks":10,"consumeRatio":1,"consumeRounding":"floor","label":"最多将 10 层蓄势转化为等量寒冷"}],"starOverrides":{"1":{"periodicPulse":{"intervalSec":11},"executors":[{"consumeRatio":1,"label":"最多将 10 层蓄势转化为等量寒冷","maxStacks":10}],"label":"最多将 10 层蓄势转化为等量寒冷"},"2":{"periodicPulse":{"intervalSec":10},"executors":[{"consumeRatio":1,"label":"最多将 10 层蓄势转化为等量寒冷","maxStacks":10}],"label":"最多将 10 层蓄势转化为等量寒冷"},"3":{"periodicPulse":{"intervalSec":9},"executors":[{"consumeRatio":1,"label":"最多将 10 层蓄势转化为等量寒冷","maxStacks":10}],"label":"最多将 10 层蓄势转化为等量寒冷"}},"label":"最多将 10 层蓄势转化为等量寒冷"}</t>
        </is>
      </c>
    </row>
    <row r="488" ht="32" customHeight="1">
      <c r="A488" s="8" t="n">
        <v>400065</v>
      </c>
      <c r="B488" s="8" t="inlineStr">
        <is>
          <t>沉甲纹带</t>
        </is>
      </c>
      <c r="C488" s="8" t="inlineStr">
        <is>
          <t>法器</t>
        </is>
      </c>
      <c r="D488" s="8" t="inlineStr">
        <is>
          <t>common</t>
        </is>
      </c>
      <c r="E488" s="8" t="inlineStr">
        <is>
          <t>earth</t>
        </is>
      </c>
      <c r="F488" s="8" t="n">
        <v>1</v>
      </c>
      <c r="G488" s="8" t="inlineStr">
        <is>
          <t>基础/顶层</t>
        </is>
      </c>
      <c r="H488" s="8" t="inlineStr"/>
      <c r="I488" s="9" t="inlineStr"/>
      <c r="J488" s="8" t="inlineStr"/>
      <c r="K488" s="8" t="inlineStr"/>
      <c r="L488" s="8" t="inlineStr"/>
      <c r="M488" s="8" t="inlineStr">
        <is>
          <t>周期触发</t>
        </is>
      </c>
      <c r="N488" s="8" t="inlineStr">
        <is>
          <t>periodicPulse</t>
        </is>
      </c>
      <c r="O488" s="9" t="inlineStr">
        <is>
          <t>每有 3 层蓄势，使上方相邻装备获得 0.1 秒加速（最多计算 30 层）；每有 3 层蓄势，使上方相邻装备获得 0.2 秒加速（最多计算 30 层）；每有 3 层蓄势，使上方相邻装备获得 0.3 秒加速（最多计算 30 层）；每有 3 层蓄势，使上方相邻装备获得 0.4 秒加速（最多计算 30 层）</t>
        </is>
      </c>
      <c r="P488" s="9" t="inlineStr"/>
      <c r="Q488" s="9" t="inlineStr"/>
      <c r="R488" s="9" t="inlineStr">
        <is>
          <t>{"kind":"periodicPulse","periodicPulse":{"intervalSec":10,"label":"每有 3 层蓄势，使上方相邻装备获得 0.1 秒加速（最多计算 30 层）","itemRuntimeStatusEffects":[{"itemRuntimeStatus":"haste","durationSec":0,"durationPerSourceBuffStack":{"buffId":"heavy","valuePerStack":0.1,"maxStacks":30,"stacksPerDuration":3},"targetScope":"adjacent","targetFilter":{"features":["equipment"]},"direction":"up"}]},"starOverrides":{"1":{"label":"每有 3 层蓄势，使上方相邻装备获得 0.2 秒加速（最多计算 30 层）","periodicPulse":{"itemRuntimeStatusEffects":[{"durationPerSourceBuffStack":{"buffId":"heavy","valuePerStack":0.2,"maxStacks":30,"stacksPerDuration":3},"targetScope":"adjacent","targetFilter":{"features":["equipment"]},"direction":"up"}],"label":"每有 3 层蓄势，使上方相邻装备获得 0.2 秒加速（最多计算 30 层）"}},"2":{"label":"每有 3 层蓄势，使上方相邻装备获得 0.3 秒加速（最多计算 30 层）","periodicPulse":{"itemRuntimeStatusEffects":[{"durationPerSourceBuffStack":{"buffId":"heavy","valuePerStack":0.3,"maxStacks":30,"stacksPerDuration":3},"targetScope":"adjacent","targetFilter":{"features":["equipment"]},"direction":"up"}],"label":"每有 3 层蓄势，使上方相邻装备获得 0.3 秒加速（最多计算 30 层）"}},"3":{"label":"每有 3 层蓄势，使上方相邻装备获得 0.4 秒加速（最多计算 30 层）","periodicPulse":{"itemRuntimeStatusEffects":[{"durationPerSourceBuffStack":{"buffId":"heavy","valuePerStack":0.4,"maxStacks":30,"stacksPerDuration":3},"targetScope":"adjacent","targetFilter":{"features":["equipment"]},"direction":"up"}],"label":"每有 3 层蓄势，使上方相邻装备获得 0.4 秒加速（最多计算 30 层）"}}},"label":"每有 3 层蓄势，使上方相邻装备获得 0.1 秒加速（最多计算 30 层）"}</t>
        </is>
      </c>
    </row>
    <row r="489" ht="32" customHeight="1">
      <c r="A489" s="8" t="n">
        <v>400066</v>
      </c>
      <c r="B489" s="8" t="inlineStr">
        <is>
          <t>延运玉圭</t>
        </is>
      </c>
      <c r="C489" s="8" t="inlineStr">
        <is>
          <t>法器</t>
        </is>
      </c>
      <c r="D489" s="8" t="inlineStr">
        <is>
          <t>common</t>
        </is>
      </c>
      <c r="E489" s="8" t="inlineStr">
        <is>
          <t>none</t>
        </is>
      </c>
      <c r="F489" s="8" t="n">
        <v>1</v>
      </c>
      <c r="G489" s="8" t="inlineStr">
        <is>
          <t>基础/顶层</t>
        </is>
      </c>
      <c r="H489" s="8" t="inlineStr"/>
      <c r="I489" s="9" t="inlineStr"/>
      <c r="J489" s="8" t="inlineStr"/>
      <c r="K489" s="8" t="inlineStr"/>
      <c r="L489" s="8" t="inlineStr"/>
      <c r="M489" s="8" t="inlineStr">
        <is>
          <t>条件触发</t>
        </is>
      </c>
      <c r="N489" s="8" t="inlineStr">
        <is>
          <t>triggered</t>
        </is>
      </c>
      <c r="O489" s="9" t="inlineStr">
        <is>
          <t>战斗结束时，每有 1 种属性满值，获得 6 点机缘；战斗结束时，每有 1 种属性满值，获得 8 点机缘；战斗结束时，每有 1 种属性满值，获得 11 点机缘；战斗结束时，每有 1 种属性满值，获得 13 点机缘</t>
        </is>
      </c>
      <c r="P489" s="9" t="inlineStr">
        <is>
          <t>onBattleEnded</t>
        </is>
      </c>
      <c r="Q489" s="9" t="inlineStr">
        <is>
          <t>grantResources；lucky</t>
        </is>
      </c>
      <c r="R489" s="9" t="inlineStr">
        <is>
          <t>{"kind":"triggered","triggeredEffect":{"trigger":"onBattleEnded","type":"grantResources","support":"battleOnly","amountPerFullPrimaryStat":6,"grants":[{"type":"lucky","amount":0}]},"label":"&lt;battle&gt;战斗结束时，每有 1 种属性满值，获得 6 点机缘&lt;/battle&gt;","starOverrides":{"1":{"triggeredEffect":{"amountPerFullPrimaryStat":8},"label":"&lt;battle&gt;战斗结束时，每有 1 种属性满值，获得 8 点机缘&lt;/battle&gt;"},"2":{"triggeredEffect":{"amountPerFullPrimaryStat":11},"label":"&lt;battle&gt;战斗结束时，每有 1 种属性满值，获得 11 点机缘&lt;/battle&gt;"},"3":{"triggeredEffect":{"amountPerFullPrimaryStat":13},"label":"&lt;battle&gt;战斗结束时，每有 1 种属性满值，获得 13 点机缘&lt;/battle&gt;"}}}</t>
        </is>
      </c>
    </row>
    <row r="490" ht="32" customHeight="1">
      <c r="A490" s="8" t="n">
        <v>400067</v>
      </c>
      <c r="B490" s="8" t="inlineStr">
        <is>
          <t>青运木刃</t>
        </is>
      </c>
      <c r="C490" s="8" t="inlineStr">
        <is>
          <t>法器</t>
        </is>
      </c>
      <c r="D490" s="8" t="inlineStr">
        <is>
          <t>common</t>
        </is>
      </c>
      <c r="E490" s="8" t="inlineStr">
        <is>
          <t>wood</t>
        </is>
      </c>
      <c r="F490" s="8" t="n">
        <v>1</v>
      </c>
      <c r="G490" s="8" t="inlineStr">
        <is>
          <t>基础/顶层</t>
        </is>
      </c>
      <c r="H490" s="8" t="inlineStr"/>
      <c r="I490" s="9" t="inlineStr"/>
      <c r="J490" s="8" t="inlineStr"/>
      <c r="K490" s="8" t="inlineStr"/>
      <c r="L490" s="8" t="inlineStr"/>
      <c r="M490" s="8" t="inlineStr">
        <is>
          <t>周期触发</t>
        </is>
      </c>
      <c r="N490" s="8" t="inlineStr">
        <is>
          <t>periodicPulse</t>
        </is>
      </c>
      <c r="O490" s="9" t="inlineStr">
        <is>
          <t>对敌方造成 3 点伤害，且有 50% 几率获得 3 层再生；对敌方造成 6 点伤害，且有 60% 几率获得 4 层再生；对敌方造成 9 点伤害，且有 70% 几率获得 5 层再生；对敌方造成 12 点伤害，且有 80% 几率获得 6 层再生</t>
        </is>
      </c>
      <c r="P490" s="9" t="inlineStr"/>
      <c r="Q490" s="9" t="inlineStr"/>
      <c r="R490" s="9" t="inlineStr">
        <is>
          <t>{"kind":"periodicPulse","periodicPulse":{"intervalSec":6,"damageHealth":{"target":"enemy","amount":3},"buffGains":[{"buffId":"regeneration","count":3,"chance":0.5}],"label":"&lt;battle&gt;对敌方造成 3 点伤害&lt;/battle&gt;，且有 50% 几率获得 3 层再生"},"starOverrides":{"1":{"label":"&lt;battle&gt;对敌方造成 6 点伤害&lt;/battle&gt;，且有 60% 几率获得 4 层再生","periodicPulse":{"damageHealth":{"amount":6},"buffGains":[{"count":4,"chance":0.6}]}},"2":{"label":"&lt;battle&gt;对敌方造成 9 点伤害&lt;/battle&gt;，且有 70% 几率获得 5 层再生","periodicPulse":{"damageHealth":{"amount":9},"buffGains":[{"count":5,"chance":0.7}]}},"3":{"label":"&lt;battle&gt;对敌方造成 12 点伤害&lt;/battle&gt;，且有 80% 几率获得 6 层再生","periodicPulse":{"damageHealth":{"amount":12},"buffGains":[{"count":6,"chance":0.8}]}}}}</t>
        </is>
      </c>
    </row>
    <row r="491" ht="32" customHeight="1">
      <c r="A491" s="8" t="n">
        <v>400068</v>
      </c>
      <c r="B491" s="8" t="inlineStr">
        <is>
          <t>凝金算筹佩</t>
        </is>
      </c>
      <c r="C491" s="8" t="inlineStr">
        <is>
          <t>法器</t>
        </is>
      </c>
      <c r="D491" s="8" t="inlineStr">
        <is>
          <t>common</t>
        </is>
      </c>
      <c r="E491" s="8" t="inlineStr">
        <is>
          <t>metal</t>
        </is>
      </c>
      <c r="F491" s="8" t="n">
        <v>1</v>
      </c>
      <c r="G491" s="8" t="inlineStr">
        <is>
          <t>基础/顶层</t>
        </is>
      </c>
      <c r="H491" s="8" t="inlineStr"/>
      <c r="I491" s="9" t="inlineStr"/>
      <c r="J491" s="8" t="inlineStr"/>
      <c r="K491" s="8" t="inlineStr"/>
      <c r="L491" s="8" t="inlineStr"/>
      <c r="M491" s="8" t="inlineStr">
        <is>
          <t>周期触发</t>
        </is>
      </c>
      <c r="N491" s="8" t="inlineStr">
        <is>
          <t>periodicPulse</t>
        </is>
      </c>
      <c r="O491" s="9" t="inlineStr">
        <is>
          <t>每有 1 层凝金，对敌人造成 1 点伤害</t>
        </is>
      </c>
      <c r="P491" s="9" t="inlineStr"/>
      <c r="Q491" s="9" t="inlineStr"/>
      <c r="R491" s="9" t="inlineStr">
        <is>
          <t>{"kind":"periodicPulse","periodicPulse":{"intervalSec":20,"damageHealth":{"target":"enemy","amount":0,"amountPerSourceBuffStack":{"buffId":"condensedMetal","valuePerStack":1}},"label":"每有 1 层凝金，&lt;battle&gt;对敌人造成 1 点伤害&lt;/battle&gt;"},"starOverrides":{"1":{"label":"每有 1 层凝金，&lt;battle&gt;对敌人造成 1 点伤害&lt;/battle&gt;","periodicPulse":{"intervalSec":18}},"2":{"label":"每有 1 层凝金，&lt;battle&gt;对敌人造成 1 点伤害&lt;/battle&gt;","periodicPulse":{"intervalSec":16}},"3":{"label":"每有 1 层凝金，&lt;battle&gt;对敌人造成 1 点伤害&lt;/battle&gt;","periodicPulse":{"intervalSec":14}}}}</t>
        </is>
      </c>
    </row>
    <row r="492" ht="32" customHeight="1">
      <c r="A492" s="8" t="n">
        <v>400071</v>
      </c>
      <c r="B492" s="8" t="inlineStr">
        <is>
          <t>金魄照心镜</t>
        </is>
      </c>
      <c r="C492" s="8" t="inlineStr">
        <is>
          <t>法器</t>
        </is>
      </c>
      <c r="D492" s="8" t="inlineStr">
        <is>
          <t>common</t>
        </is>
      </c>
      <c r="E492" s="8" t="inlineStr">
        <is>
          <t>metal</t>
        </is>
      </c>
      <c r="F492" s="8" t="n">
        <v>1</v>
      </c>
      <c r="G492" s="8" t="inlineStr">
        <is>
          <t>基础/顶层</t>
        </is>
      </c>
      <c r="H492" s="8" t="inlineStr"/>
      <c r="I492" s="9" t="inlineStr"/>
      <c r="J492" s="8" t="inlineStr"/>
      <c r="K492" s="8" t="inlineStr"/>
      <c r="L492" s="8" t="inlineStr"/>
      <c r="M492" s="8" t="inlineStr">
        <is>
          <t>周期触发</t>
        </is>
      </c>
      <c r="N492" s="8" t="inlineStr">
        <is>
          <t>periodicPulse</t>
        </is>
      </c>
      <c r="O492" s="9" t="inlineStr">
        <is>
          <t>最多将 6 层凝金转化为等量法力；最多将 12 层凝金转化为等量法力；最多将 18 层凝金转化为等量法力；最多将 24 层凝金转化为等量法力</t>
        </is>
      </c>
      <c r="P492" s="9" t="inlineStr">
        <is>
          <t>onPeriodicPulse</t>
        </is>
      </c>
      <c r="Q492" s="9" t="inlineStr">
        <is>
          <t>consumeBuffStacks</t>
        </is>
      </c>
      <c r="R492" s="9" t="inlineStr">
        <is>
          <t>{"kind":"periodicPulse","periodicPulse":{"intervalSec":10,"label":"最多将 6 层凝金转化为等量法力"},"executors":[{"trigger":"onPeriodicPulse","type":"consumeBuffStacks","sourceBuffId":"condensedMetal","maxStacks":6,"primaryStatGainPerStack":{"stat":"mana","amount":1,"stacksPerGain":1},"activationRequirements":{"buffStackThresholds":[{"buffId":"condensedMetal","comparator":"atLeast","count":1}]},"label":"最多将 6 层凝金转化为等量法力"}],"starOverrides":{"1":{"label":"最多将 12 层凝金转化为等量法力","executors":[{"maxStacks":12,"label":"最多将 12 层凝金转化为等量法力","primaryStatGainPerStack":{"stacksPerGain":1}}]},"2":{"label":"最多将 18 层凝金转化为等量法力","executors":[{"maxStacks":18,"label":"最多将 18 层凝金转化为等量法力","primaryStatGainPerStack":{"stacksPerGain":1}}]},"3":{"label":"最多将 24 层凝金转化为等量法力","executors":[{"maxStacks":24,"label":"最多将 24 层凝金转化为等量法力","primaryStatGainPerStack":{"stacksPerGain":1}}]}}}</t>
        </is>
      </c>
    </row>
    <row r="493" ht="32" customHeight="1">
      <c r="A493" s="8" t="n">
        <v>400072</v>
      </c>
      <c r="B493" s="8" t="inlineStr">
        <is>
          <t>大活血石</t>
        </is>
      </c>
      <c r="C493" s="8" t="inlineStr">
        <is>
          <t>法器</t>
        </is>
      </c>
      <c r="D493" s="8" t="inlineStr">
        <is>
          <t>common</t>
        </is>
      </c>
      <c r="E493" s="8" t="inlineStr">
        <is>
          <t>none</t>
        </is>
      </c>
      <c r="F493" s="8" t="n">
        <v>1</v>
      </c>
      <c r="G493" s="8" t="inlineStr">
        <is>
          <t>基础/顶层</t>
        </is>
      </c>
      <c r="H493" s="8" t="inlineStr"/>
      <c r="I493" s="9" t="inlineStr"/>
      <c r="J493" s="8" t="inlineStr"/>
      <c r="K493" s="8" t="inlineStr"/>
      <c r="L493" s="8" t="inlineStr"/>
      <c r="M493" s="8" t="inlineStr">
        <is>
          <t>周期触发</t>
        </is>
      </c>
      <c r="N493" s="8" t="inlineStr">
        <is>
          <t>periodicPulse</t>
        </is>
      </c>
      <c r="O493" s="9" t="inlineStr">
        <is>
          <t>体力低于 40% 时，恢复 2 点体力；体力低于 40% 时，恢复 3 点体力；体力低于 40% 时，恢复 4 点体力；体力低于 40% 时，恢复 5 点体力</t>
        </is>
      </c>
      <c r="P493" s="9" t="inlineStr"/>
      <c r="Q493" s="9" t="inlineStr"/>
      <c r="R493" s="9" t="inlineStr">
        <is>
          <t>{"kind":"periodicPulse","periodicPulse":{"intervalSec":8,"label":"体力低于 40% 时，恢复 2 点体力","primaryStatGains":[{"stat":"stamina","amount":2}],"activationRequirements":{"primaryStatThreshold":{"stat":"stamina","comparator":"lessThan","ratio":0.4}}},"starOverrides":{"1":{"label":"体力低于 40% 时，恢复 3 点体力","periodicPulse":{"primaryStatGains":[{"amount":3}]}},"2":{"label":"体力低于 40% 时，恢复 4 点体力","periodicPulse":{"primaryStatGains":[{"amount":4}]}},"3":{"label":"体力低于 40% 时，恢复 5 点体力","periodicPulse":{"primaryStatGains":[{"amount":5}]}}}}</t>
        </is>
      </c>
    </row>
    <row r="494" ht="32" customHeight="1">
      <c r="A494" s="8" t="n">
        <v>400073</v>
      </c>
      <c r="B494" s="8" t="inlineStr">
        <is>
          <t>折缘钱母</t>
        </is>
      </c>
      <c r="C494" s="8" t="inlineStr">
        <is>
          <t>法器</t>
        </is>
      </c>
      <c r="D494" s="8" t="inlineStr">
        <is>
          <t>common</t>
        </is>
      </c>
      <c r="E494" s="8" t="inlineStr">
        <is>
          <t>metal</t>
        </is>
      </c>
      <c r="F494" s="8" t="n">
        <v>1</v>
      </c>
      <c r="G494" s="8" t="inlineStr">
        <is>
          <t>基础/顶层</t>
        </is>
      </c>
      <c r="H494" s="8" t="inlineStr"/>
      <c r="I494" s="9" t="inlineStr"/>
      <c r="J494" s="8" t="inlineStr"/>
      <c r="K494" s="8" t="inlineStr"/>
      <c r="L494" s="8" t="inlineStr"/>
      <c r="M494" s="8" t="inlineStr">
        <is>
          <t>周期触发</t>
        </is>
      </c>
      <c r="N494" s="8" t="inlineStr">
        <is>
          <t>periodicPulse</t>
        </is>
      </c>
      <c r="O494" s="9" t="inlineStr">
        <is>
          <t>将 1 点机缘转化为 2 点修为；将 2 点机缘转化为 4 点修为；将 3 点机缘转化为 6 点修为；将 4 点机缘转化为 8 点修为</t>
        </is>
      </c>
      <c r="P494" s="9" t="inlineStr"/>
      <c r="Q494" s="9" t="inlineStr"/>
      <c r="R494" s="9" t="inlineStr">
        <is>
          <t>{"kind":"periodicPulse","periodicPulse":{"intervalSec":8,"luckyCost":1,"cultivationGain":2,"label":"将 1 点机缘转化为 2 点修为"},"starOverrides":{"1":{"label":"将 2 点机缘转化为 4 点修为","periodicPulse":{"luckyCost":2,"cultivationGain":4}},"2":{"label":"将 3 点机缘转化为 6 点修为","periodicPulse":{"luckyCost":3,"cultivationGain":6}},"3":{"label":"将 4 点机缘转化为 8 点修为","periodicPulse":{"luckyCost":4,"cultivationGain":8}}}}</t>
        </is>
      </c>
    </row>
    <row r="495" ht="32" customHeight="1">
      <c r="A495" s="8" t="n">
        <v>400074</v>
      </c>
      <c r="B495" s="8" t="inlineStr">
        <is>
          <t>问路铜钱</t>
        </is>
      </c>
      <c r="C495" s="8" t="inlineStr">
        <is>
          <t>法器</t>
        </is>
      </c>
      <c r="D495" s="8" t="inlineStr">
        <is>
          <t>common</t>
        </is>
      </c>
      <c r="E495" s="8" t="inlineStr">
        <is>
          <t>earth</t>
        </is>
      </c>
      <c r="F495" s="8" t="n">
        <v>1</v>
      </c>
      <c r="G495" s="8" t="inlineStr">
        <is>
          <t>基础/顶层</t>
        </is>
      </c>
      <c r="H495" s="8" t="inlineStr"/>
      <c r="I495" s="9" t="inlineStr"/>
      <c r="J495" s="8" t="inlineStr"/>
      <c r="K495" s="8" t="inlineStr"/>
      <c r="L495" s="8" t="inlineStr"/>
      <c r="M495" s="8" t="inlineStr">
        <is>
          <t>周期触发</t>
        </is>
      </c>
      <c r="N495" s="8" t="inlineStr">
        <is>
          <t>periodicPulse</t>
        </is>
      </c>
      <c r="O495" s="9" t="inlineStr">
        <is>
          <t>将 2 块灵石转化为 10 点修为；将 4 块灵石转化为 20 点修为；将 6 块灵石转化为 30 点修为；将 8 块灵石转化为 40 点修为</t>
        </is>
      </c>
      <c r="P495" s="9" t="inlineStr"/>
      <c r="Q495" s="9" t="inlineStr"/>
      <c r="R495" s="9" t="inlineStr">
        <is>
          <t>{"kind":"periodicPulse","periodicPulse":{"intervalSec":20,"spiritStoneCost":2,"cultivationGain":10,"label":"将 2 块灵石转化为 10 点修为"},"starOverrides":{"1":{"label":"将 4 块灵石转化为 20 点修为","periodicPulse":{"spiritStoneCost":4,"cultivationGain":20}},"2":{"label":"将 6 块灵石转化为 30 点修为","periodicPulse":{"spiritStoneCost":6,"cultivationGain":30}},"3":{"label":"将 8 块灵石转化为 40 点修为","periodicPulse":{"spiritStoneCost":8,"cultivationGain":40}}}}</t>
        </is>
      </c>
    </row>
    <row r="496" ht="32" customHeight="1">
      <c r="A496" s="8" t="n">
        <v>400075</v>
      </c>
      <c r="B496" s="8" t="inlineStr">
        <is>
          <t>燃石法炉</t>
        </is>
      </c>
      <c r="C496" s="8" t="inlineStr">
        <is>
          <t>法器</t>
        </is>
      </c>
      <c r="D496" s="8" t="inlineStr">
        <is>
          <t>common</t>
        </is>
      </c>
      <c r="E496" s="8" t="inlineStr">
        <is>
          <t>fire</t>
        </is>
      </c>
      <c r="F496" s="8" t="n">
        <v>1</v>
      </c>
      <c r="G496" s="8" t="inlineStr">
        <is>
          <t>基础/顶层</t>
        </is>
      </c>
      <c r="H496" s="8" t="inlineStr"/>
      <c r="I496" s="9" t="inlineStr"/>
      <c r="J496" s="8" t="inlineStr"/>
      <c r="K496" s="8" t="inlineStr"/>
      <c r="L496" s="8" t="inlineStr"/>
      <c r="M496" s="8" t="inlineStr">
        <is>
          <t>周期触发</t>
        </is>
      </c>
      <c r="N496" s="8" t="inlineStr">
        <is>
          <t>periodicPulse</t>
        </is>
      </c>
      <c r="O496" s="9" t="inlineStr">
        <is>
          <t>将 4 块灵石转化为 30 点法力；将 8 块灵石转化为 60 点法力；将 12 块灵石转化为 90 点法力；将 16 块灵石转化为 120 点法力</t>
        </is>
      </c>
      <c r="P496" s="9" t="inlineStr"/>
      <c r="Q496" s="9" t="inlineStr"/>
      <c r="R496" s="9" t="inlineStr">
        <is>
          <t>{"kind":"periodicPulse","periodicPulse":{"intervalSec":12,"spiritStoneCost":4,"primaryStatGains":[{"stat":"mana","amount":30}],"label":"将 4 块灵石转化为 30 点法力"},"starOverrides":{"1":{"label":"将 8 块灵石转化为 60 点法力","periodicPulse":{"spiritStoneCost":8,"primaryStatGains":[{"amount":60}]}},"2":{"label":"将 12 块灵石转化为 90 点法力","periodicPulse":{"spiritStoneCost":12,"primaryStatGains":[{"amount":90}]}},"3":{"label":"将 16 块灵石转化为 120 点法力","periodicPulse":{"spiritStoneCost":16,"primaryStatGains":[{"amount":120}]}}}}</t>
        </is>
      </c>
    </row>
    <row r="497" ht="32" customHeight="1">
      <c r="A497" s="8" t="n">
        <v>400076</v>
      </c>
      <c r="B497" s="8" t="inlineStr">
        <is>
          <t>借运签筒</t>
        </is>
      </c>
      <c r="C497" s="8" t="inlineStr">
        <is>
          <t>法器</t>
        </is>
      </c>
      <c r="D497" s="8" t="inlineStr">
        <is>
          <t>common</t>
        </is>
      </c>
      <c r="E497" s="8" t="inlineStr">
        <is>
          <t>wood</t>
        </is>
      </c>
      <c r="F497" s="8" t="n">
        <v>1</v>
      </c>
      <c r="G497" s="8" t="inlineStr">
        <is>
          <t>基础/顶层</t>
        </is>
      </c>
      <c r="H497" s="8" t="inlineStr"/>
      <c r="I497" s="9" t="inlineStr"/>
      <c r="J497" s="8" t="inlineStr"/>
      <c r="K497" s="8" t="inlineStr"/>
      <c r="L497" s="8" t="inlineStr"/>
      <c r="M497" s="8" t="inlineStr">
        <is>
          <t>周期触发</t>
        </is>
      </c>
      <c r="N497" s="8" t="inlineStr">
        <is>
          <t>periodicPulse</t>
        </is>
      </c>
      <c r="O497" s="9" t="inlineStr">
        <is>
          <t>开局：有 25% 的概率为所有己方道具施加加速效果，持续 3 秒；开局：有 30% 的概率为所有己方道具施加加速效果，持续 3 秒；开局：有 35% 的概率为所有己方道具施加加速效果，持续 3 秒；开局：有 40% 的概率为所有己方道具施加加速效果，持续 3 秒</t>
        </is>
      </c>
      <c r="P497" s="9" t="inlineStr"/>
      <c r="Q497" s="9" t="inlineStr"/>
      <c r="R497" s="9" t="inlineStr">
        <is>
          <t>{"kind":"periodicPulse","periodicPulse":{"startOnly":true,"chance":0.25,"label":"开局：有 25% 的概率为所有己方道具施加加速效果，持续 3 秒","itemRuntimeStatusEffects":[{"itemRuntimeStatus":"haste","durationSec":3,"targetScope":"selfAll"}]},"label":"开局：有 25% 的概率为所有己方道具施加加速效果，持续 3 秒","starOverrides":{"1":{"periodicPulse":{"chance":0.3,"label":"开局：有 30% 的概率为所有己方道具施加加速效果，持续 3 秒"},"label":"开局：有 30% 的概率为所有己方道具施加加速效果，持续 3 秒"},"2":{"periodicPulse":{"chance":0.35,"label":"开局：有 35% 的概率为所有己方道具施加加速效果，持续 3 秒"},"label":"开局：有 35% 的概率为所有己方道具施加加速效果，持续 3 秒"},"3":{"periodicPulse":{"chance":0.4,"label":"开局：有 40% 的概率为所有己方道具施加加速效果，持续 3 秒"},"label":"开局：有 40% 的概率为所有己方道具施加加速效果，持续 3 秒"}}}</t>
        </is>
      </c>
    </row>
    <row r="498" ht="32" customHeight="1">
      <c r="A498" s="8" t="n">
        <v>400077</v>
      </c>
      <c r="B498" s="8" t="inlineStr">
        <is>
          <t>照念回灵珠</t>
        </is>
      </c>
      <c r="C498" s="8" t="inlineStr">
        <is>
          <t>法器</t>
        </is>
      </c>
      <c r="D498" s="8" t="inlineStr">
        <is>
          <t>common</t>
        </is>
      </c>
      <c r="E498" s="8" t="inlineStr">
        <is>
          <t>water</t>
        </is>
      </c>
      <c r="F498" s="8" t="n">
        <v>1</v>
      </c>
      <c r="G498" s="8" t="inlineStr">
        <is>
          <t>基础/顶层</t>
        </is>
      </c>
      <c r="H498" s="8" t="inlineStr"/>
      <c r="I498" s="9" t="inlineStr"/>
      <c r="J498" s="8" t="inlineStr"/>
      <c r="K498" s="8" t="inlineStr"/>
      <c r="L498" s="8" t="inlineStr"/>
      <c r="M498" s="8" t="inlineStr">
        <is>
          <t>周期触发</t>
        </is>
      </c>
      <c r="N498" s="8" t="inlineStr">
        <is>
          <t>periodicPulse</t>
        </is>
      </c>
      <c r="O498" s="9" t="inlineStr">
        <is>
          <t>开局：获得 2 层露水、2 层闪避、2 层再生；开局：获得 3 层露水、3 层闪避、3 层再生；开局：获得 4 层露水、4 层闪避、4 层再生；开局：获得 5 层露水、5 层闪避、5 层再生</t>
        </is>
      </c>
      <c r="P498" s="9" t="inlineStr"/>
      <c r="Q498" s="9" t="inlineStr"/>
      <c r="R498" s="9" t="inlineStr">
        <is>
          <t>{"kind":"periodicPulse","periodicPulse":{"startOnly":true,"buffGains":[{"buffId":"dew","count":2},{"buffId":"dodge","count":2},{"buffId":"regeneration","count":2}],"label":"开局：获得 2 层露水、2 层闪避、2 层再生"},"label":"开局：获得 2 层露水、2 层闪避、2 层再生","starOverrides":{"1":{"periodicPulse":{"buffGains":[{"buffId":"dew","count":3},{"buffId":"dodge","count":3},{"buffId":"regeneration","count":3}],"label":"开局：获得 3 层露水、3 层闪避、3 层再生"},"label":"开局：获得 3 层露水、3 层闪避、3 层再生"},"2":{"periodicPulse":{"buffGains":[{"buffId":"dew","count":4},{"buffId":"dodge","count":4},{"buffId":"regeneration","count":4}],"label":"开局：获得 4 层露水、4 层闪避、4 层再生"},"label":"开局：获得 4 层露水、4 层闪避、4 层再生"},"3":{"periodicPulse":{"buffGains":[{"buffId":"dew","count":5},{"buffId":"dodge","count":5},{"buffId":"regeneration","count":5}],"label":"开局：获得 5 层露水、5 层闪避、5 层再生"},"label":"开局：获得 5 层露水、5 层闪避、5 层再生"}}}</t>
        </is>
      </c>
    </row>
    <row r="499" ht="32" customHeight="1">
      <c r="A499" s="8" t="n">
        <v>400078</v>
      </c>
      <c r="B499" s="8" t="inlineStr">
        <is>
          <t>窥缘灵目镜</t>
        </is>
      </c>
      <c r="C499" s="8" t="inlineStr">
        <is>
          <t>法器</t>
        </is>
      </c>
      <c r="D499" s="8" t="inlineStr">
        <is>
          <t>common</t>
        </is>
      </c>
      <c r="E499" s="8" t="inlineStr">
        <is>
          <t>metal</t>
        </is>
      </c>
      <c r="F499" s="8" t="n">
        <v>1</v>
      </c>
      <c r="G499" s="8" t="inlineStr">
        <is>
          <t>基础/顶层</t>
        </is>
      </c>
      <c r="H499" s="8" t="inlineStr"/>
      <c r="I499" s="9" t="inlineStr"/>
      <c r="J499" s="8" t="inlineStr"/>
      <c r="K499" s="8" t="inlineStr"/>
      <c r="L499" s="8" t="inlineStr"/>
      <c r="M499" s="8" t="inlineStr">
        <is>
          <t>周期触发</t>
        </is>
      </c>
      <c r="N499" s="8" t="inlineStr">
        <is>
          <t>periodicPulse</t>
        </is>
      </c>
      <c r="O499" s="9" t="inlineStr">
        <is>
          <t>开局：使敌方一件最大道具冻结 1 秒；开局：使敌方一件最大道具冻结 2 秒；开局：使敌方一件最大道具冻结 3 秒；开局：使敌方一件最大道具冻结 4 秒</t>
        </is>
      </c>
      <c r="P499" s="9" t="inlineStr"/>
      <c r="Q499" s="9" t="inlineStr"/>
      <c r="R499" s="9" t="inlineStr">
        <is>
          <t>{"kind":"periodicPulse","periodicPulse":{"startOnly":true,"label":"开局：&lt;battle&gt;&lt;singleton&gt;使敌方一件最大道具冻结 1 秒&lt;/singleton&gt;&lt;/battle&gt;","itemRuntimeStatusEffects":[{"itemRuntimeStatus":"freeze","durationSec":1,"targetScope":"enemyLargest","singletonByTemplate":true}]},"label":"开局：&lt;battle&gt;&lt;singleton&gt;使敌方一件最大道具冻结 1 秒&lt;/singleton&gt;&lt;/battle&gt;","starOverrides":{"1":{"periodicPulse":{"label":"开局：&lt;battle&gt;&lt;singleton&gt;使敌方一件最大道具冻结 2 秒&lt;/singleton&gt;&lt;/battle&gt;","itemRuntimeStatusEffects":[{"itemRuntimeStatus":"freeze","durationSec":2,"targetScope":"enemyLargest","singletonByTemplate":true}]},"label":"开局：&lt;battle&gt;&lt;singleton&gt;使敌方一件最大道具冻结 2 秒&lt;/singleton&gt;&lt;/battle&gt;"},"2":{"periodicPulse":{"label":"开局：&lt;battle&gt;&lt;singleton&gt;使敌方一件最大道具冻结 3 秒&lt;/singleton&gt;&lt;/battle&gt;","itemRuntimeStatusEffects":[{"itemRuntimeStatus":"freeze","durationSec":3,"targetScope":"enemyLargest","singletonByTemplate":true}]},"label":"开局：&lt;battle&gt;&lt;singleton&gt;使敌方一件最大道具冻结 3 秒&lt;/singleton&gt;&lt;/battle&gt;"},"3":{"periodicPulse":{"label":"开局：&lt;battle&gt;&lt;singleton&gt;使敌方一件最大道具冻结 4 秒&lt;/singleton&gt;&lt;/battle&gt;","itemRuntimeStatusEffects":[{"itemRuntimeStatus":"freeze","durationSec":4,"targetScope":"enemyLargest","singletonByTemplate":true}]},"label":"开局：&lt;battle&gt;&lt;singleton&gt;使敌方一件最大道具冻结 4 秒&lt;/singleton&gt;&lt;/battle&gt;"}}}</t>
        </is>
      </c>
    </row>
    <row r="500" ht="32" customHeight="1">
      <c r="A500" s="8" t="n">
        <v>400079</v>
      </c>
      <c r="B500" s="8" t="inlineStr">
        <is>
          <t>断脉残碑</t>
        </is>
      </c>
      <c r="C500" s="8" t="inlineStr">
        <is>
          <t>法器</t>
        </is>
      </c>
      <c r="D500" s="8" t="inlineStr">
        <is>
          <t>common</t>
        </is>
      </c>
      <c r="E500" s="8" t="inlineStr">
        <is>
          <t>earth</t>
        </is>
      </c>
      <c r="F500" s="8" t="n">
        <v>1</v>
      </c>
      <c r="G500" s="8" t="inlineStr">
        <is>
          <t>基础/顶层</t>
        </is>
      </c>
      <c r="H500" s="8" t="inlineStr"/>
      <c r="I500" s="9" t="inlineStr"/>
      <c r="J500" s="8" t="inlineStr"/>
      <c r="K500" s="8" t="inlineStr"/>
      <c r="L500" s="8" t="inlineStr"/>
      <c r="M500" s="8" t="inlineStr">
        <is>
          <t>条件触发</t>
        </is>
      </c>
      <c r="N500" s="8" t="inlineStr">
        <is>
          <t>triggered</t>
        </is>
      </c>
      <c r="O500" s="9" t="inlineStr">
        <is>
          <t>当敌方气血首次低于 50% 时，对其造成 10 点伤害；当敌方气血首次低于 60% 时，对其造成 15 点伤害；当敌方气血首次低于 70% 时，对其造成 20 点伤害；当敌方气血首次低于 80% 时，对其造成 25 点伤害</t>
        </is>
      </c>
      <c r="P500" s="9" t="inlineStr">
        <is>
          <t>onEnemyHealthRatioFirstBelow</t>
        </is>
      </c>
      <c r="Q500" s="9" t="inlineStr">
        <is>
          <t>battleDamageHealth</t>
        </is>
      </c>
      <c r="R500" s="9" t="inlineStr">
        <is>
          <t>{"kind":"triggered","label":"&lt;battle&gt;当敌方气血首次低于 50% 时，对其造成 10 点伤害&lt;/battle&gt;","triggeredEffect":{"trigger":"onEnemyHealthRatioFirstBelow","type":"battleDamageHealth","amount":10,"enemyHealthRatioThreshold":0.5,"support":"battleOnly"},"starOverrides":{"1":{"label":"&lt;battle&gt;当敌方气血首次低于 60% 时，对其造成 15 点伤害&lt;/battle&gt;","triggeredEffect":{"amount":15,"enemyHealthRatioThreshold":0.6}},"2":{"label":"&lt;battle&gt;当敌方气血首次低于 70% 时，对其造成 20 点伤害&lt;/battle&gt;","triggeredEffect":{"amount":20,"enemyHealthRatioThreshold":0.7}},"3":{"label":"&lt;battle&gt;当敌方气血首次低于 80% 时，对其造成 25 点伤害&lt;/battle&gt;","triggeredEffect":{"amount":25,"enemyHealthRatioThreshold":0.8}}}}</t>
        </is>
      </c>
    </row>
    <row r="501" ht="32" customHeight="1">
      <c r="A501" s="8" t="n">
        <v>400080</v>
      </c>
      <c r="B501" s="8" t="inlineStr">
        <is>
          <t>祭运金钱</t>
        </is>
      </c>
      <c r="C501" s="8" t="inlineStr">
        <is>
          <t>法器</t>
        </is>
      </c>
      <c r="D501" s="8" t="inlineStr">
        <is>
          <t>common</t>
        </is>
      </c>
      <c r="E501" s="8" t="inlineStr">
        <is>
          <t>metal</t>
        </is>
      </c>
      <c r="F501" s="8" t="n">
        <v>1</v>
      </c>
      <c r="G501" s="8" t="inlineStr">
        <is>
          <t>基础/顶层</t>
        </is>
      </c>
      <c r="H501" s="8" t="inlineStr"/>
      <c r="I501" s="9" t="inlineStr"/>
      <c r="J501" s="8" t="inlineStr"/>
      <c r="K501" s="8" t="inlineStr"/>
      <c r="L501" s="8" t="inlineStr"/>
      <c r="M501" s="8" t="inlineStr">
        <is>
          <t>周期触发</t>
        </is>
      </c>
      <c r="N501" s="8" t="inlineStr">
        <is>
          <t>periodicPulse</t>
        </is>
      </c>
      <c r="O501" s="9" t="inlineStr">
        <is>
          <t>将 1 块灵石转化为 2 点机缘；将 2 块灵石转化为 4 点机缘；将 3 块灵石转化为 6 点机缘；将 4 块灵石转化为 8 点机缘</t>
        </is>
      </c>
      <c r="P501" s="9" t="inlineStr"/>
      <c r="Q501" s="9" t="inlineStr"/>
      <c r="R501" s="9" t="inlineStr">
        <is>
          <t>{"kind":"periodicPulse","periodicPulse":{"intervalSec":15,"spiritStoneCost":1,"luckyGain":2,"label":"&lt;cultivation&gt;将 1 块灵石转化为 2 点机缘&lt;/cultivation&gt;"},"starOverrides":{"1":{"label":"&lt;cultivation&gt;将 2 块灵石转化为 4 点机缘&lt;/cultivation&gt;","periodicPulse":{"spiritStoneCost":2,"luckyGain":4}},"2":{"label":"&lt;cultivation&gt;将 3 块灵石转化为 6 点机缘&lt;/cultivation&gt;","periodicPulse":{"spiritStoneCost":3,"luckyGain":6}},"3":{"label":"&lt;cultivation&gt;将 4 块灵石转化为 8 点机缘&lt;/cultivation&gt;","periodicPulse":{"spiritStoneCost":4,"luckyGain":8}}}}</t>
        </is>
      </c>
    </row>
    <row r="502" ht="32" customHeight="1">
      <c r="A502" s="8" t="n">
        <v>400082</v>
      </c>
      <c r="B502" s="8" t="inlineStr">
        <is>
          <t>清悟滴露盏</t>
        </is>
      </c>
      <c r="C502" s="8" t="inlineStr">
        <is>
          <t>法器</t>
        </is>
      </c>
      <c r="D502" s="8" t="inlineStr">
        <is>
          <t>common</t>
        </is>
      </c>
      <c r="E502" s="8" t="inlineStr">
        <is>
          <t>water</t>
        </is>
      </c>
      <c r="F502" s="8" t="n">
        <v>1</v>
      </c>
      <c r="G502" s="8" t="inlineStr">
        <is>
          <t>基础/顶层</t>
        </is>
      </c>
      <c r="H502" s="8" t="inlineStr"/>
      <c r="I502" s="9" t="inlineStr"/>
      <c r="J502" s="8" t="inlineStr"/>
      <c r="K502" s="8" t="inlineStr"/>
      <c r="L502" s="8" t="inlineStr"/>
      <c r="M502" s="8" t="inlineStr">
        <is>
          <t>周期触发</t>
        </is>
      </c>
      <c r="N502" s="8" t="inlineStr">
        <is>
          <t>periodicPulse</t>
        </is>
      </c>
      <c r="O502" s="9" t="inlineStr">
        <is>
          <t>开局：每有 1 个其他开局道具，获得 1 层露水；开局：每有 1 个其他开局道具，获得 2 层露水；开局：每有 1 个其他开局道具，获得 3 层露水；开局：每有 1 个其他开局道具，获得 4 层露水</t>
        </is>
      </c>
      <c r="P502" s="9" t="inlineStr"/>
      <c r="Q502" s="9" t="inlineStr"/>
      <c r="R502" s="9" t="inlineStr">
        <is>
          <t>{"kind":"periodicPulse","periodicPulse":{"startOnly":true,"buffGains":[{"buffId":"dew","count":1}],"scaling":{"mode":"count","source":"bagItems","excludeSelf":true,"hasStartOnlyRootEffect":true},"label":"开局：每有 1 个其他开局道具，获得 1 层露水"},"label":"开局：每有 1 个其他开局道具，获得 1 层露水","starOverrides":{"1":{"periodicPulse":{"buffGains":[{"buffId":"dew","count":2}],"label":"开局：每有 1 个其他开局道具，获得 2 层露水"},"label":"开局：每有 1 个其他开局道具，获得 2 层露水"},"2":{"periodicPulse":{"buffGains":[{"buffId":"dew","count":3}],"label":"开局：每有 1 个其他开局道具，获得 3 层露水"},"label":"开局：每有 1 个其他开局道具，获得 3 层露水"},"3":{"periodicPulse":{"buffGains":[{"buffId":"dew","count":4}],"label":"开局：每有 1 个其他开局道具，获得 4 层露水"},"label":"开局：每有 1 个其他开局道具，获得 4 层露水"}}}</t>
        </is>
      </c>
    </row>
    <row r="503" ht="32" customHeight="1">
      <c r="A503" s="8" t="n">
        <v>400083</v>
      </c>
      <c r="B503" s="8" t="inlineStr">
        <is>
          <t>煅火凝石匣</t>
        </is>
      </c>
      <c r="C503" s="8" t="inlineStr">
        <is>
          <t>法器</t>
        </is>
      </c>
      <c r="D503" s="8" t="inlineStr">
        <is>
          <t>common</t>
        </is>
      </c>
      <c r="E503" s="8" t="inlineStr">
        <is>
          <t>fire</t>
        </is>
      </c>
      <c r="F503" s="8" t="n">
        <v>1</v>
      </c>
      <c r="G503" s="8" t="inlineStr">
        <is>
          <t>基础/顶层</t>
        </is>
      </c>
      <c r="H503" s="8" t="inlineStr"/>
      <c r="I503" s="9" t="inlineStr"/>
      <c r="J503" s="8" t="inlineStr"/>
      <c r="K503" s="8" t="inlineStr"/>
      <c r="L503" s="8" t="inlineStr"/>
      <c r="M503" s="8" t="inlineStr">
        <is>
          <t>周期触发</t>
        </is>
      </c>
      <c r="N503" s="8" t="inlineStr">
        <is>
          <t>periodicPulse</t>
        </is>
      </c>
      <c r="O503" s="9" t="inlineStr">
        <is>
          <t>开局：每有 1 个投掷物，获得 1 层炎热；开局：每有 1 个投掷物，获得 2 层炎热；开局：每有 1 个投掷物，获得 3 层炎热；开局：每有 1 个投掷物，获得 4 层炎热</t>
        </is>
      </c>
      <c r="P503" s="9" t="inlineStr"/>
      <c r="Q503" s="9" t="inlineStr"/>
      <c r="R503" s="9" t="inlineStr">
        <is>
          <t>{"kind":"periodicPulse","periodicPulse":{"startOnly":true,"label":"开局：每有 1 个投掷物，获得 1 层炎热","buffGains":[{"buffId":"heat","count":1}],"scaling":{"mode":"count","source":"bagItems","categories":["throwable"]}},"starOverrides":{"1":{"label":"开局：每有 1 个投掷物，获得 2 层炎热","periodicPulse":{"buffGains":[{"count":2}]}},"2":{"label":"开局：每有 1 个投掷物，获得 3 层炎热","periodicPulse":{"buffGains":[{"count":3}]}},"3":{"label":"开局：每有 1 个投掷物，获得 4 层炎热","periodicPulse":{"buffGains":[{"count":4}]}}}}</t>
        </is>
      </c>
    </row>
    <row r="504" ht="32" customHeight="1">
      <c r="A504" s="8" t="n">
        <v>400084</v>
      </c>
      <c r="B504" s="8" t="inlineStr">
        <is>
          <t>金纹聚法佩</t>
        </is>
      </c>
      <c r="C504" s="8" t="inlineStr">
        <is>
          <t>法器</t>
        </is>
      </c>
      <c r="D504" s="8" t="inlineStr">
        <is>
          <t>common</t>
        </is>
      </c>
      <c r="E504" s="8" t="inlineStr">
        <is>
          <t>metal</t>
        </is>
      </c>
      <c r="F504" s="8" t="n">
        <v>1</v>
      </c>
      <c r="G504" s="8" t="inlineStr">
        <is>
          <t>基础/顶层</t>
        </is>
      </c>
      <c r="H504" s="8" t="inlineStr"/>
      <c r="I504" s="9" t="inlineStr"/>
      <c r="J504" s="8" t="inlineStr"/>
      <c r="K504" s="8" t="inlineStr"/>
      <c r="L504" s="8" t="inlineStr"/>
      <c r="M504" s="8" t="inlineStr">
        <is>
          <t>被动效果</t>
        </is>
      </c>
      <c r="N504" s="8" t="inlineStr">
        <is>
          <t>passive</t>
        </is>
      </c>
      <c r="O504" s="9" t="inlineStr">
        <is>
          <t>每有 1 个金属性道具，法力上限本局临时 +2；每有 1 个金属性道具，法力上限本局临时 +4；每有 1 个金属性道具，法力上限本局临时 +6；每有 1 个金属性道具，法力上限本局临时 +8</t>
        </is>
      </c>
      <c r="P504" s="9" t="inlineStr"/>
      <c r="Q504" s="9" t="inlineStr">
        <is>
          <t>primaryStatTemporaryMaxFlatBonus</t>
        </is>
      </c>
      <c r="R504" s="9" t="inlineStr">
        <is>
          <t>{"kind":"passive","passiveEffect":{"type":"primaryStatTemporaryMaxFlatBonus","stat":"mana","value":2,"scaling":{"mode":"count","source":"bagItems","elements":["metal"]},"label":"每有 1 个金属性道具，法力上限本局临时 +2"},"starOverrides":{"1":{"label":"每有 1 个金属性道具，法力上限本局临时 +4","passiveEffect":{"value":4}},"2":{"label":"每有 1 个金属性道具，法力上限本局临时 +6","passiveEffect":{"value":6}},"3":{"label":"每有 1 个金属性道具，法力上限本局临时 +8","passiveEffect":{"value":8}}}}</t>
        </is>
      </c>
    </row>
    <row r="505" ht="32" customHeight="1">
      <c r="A505" s="8" t="n">
        <v>400085</v>
      </c>
      <c r="B505" s="8" t="inlineStr">
        <is>
          <t>锦绣行囊</t>
        </is>
      </c>
      <c r="C505" s="8" t="inlineStr">
        <is>
          <t>法器</t>
        </is>
      </c>
      <c r="D505" s="8" t="inlineStr">
        <is>
          <t>common</t>
        </is>
      </c>
      <c r="E505" s="8" t="inlineStr">
        <is>
          <t>none</t>
        </is>
      </c>
      <c r="F505" s="8" t="n">
        <v>1</v>
      </c>
      <c r="G505" s="8" t="inlineStr">
        <is>
          <t>基础/顶层</t>
        </is>
      </c>
      <c r="H505" s="8" t="inlineStr"/>
      <c r="I505" s="9" t="inlineStr"/>
      <c r="J505" s="8" t="inlineStr"/>
      <c r="K505" s="8" t="inlineStr"/>
      <c r="L505" s="8" t="inlineStr"/>
      <c r="M505" s="8" t="inlineStr">
        <is>
          <t>条件触发</t>
        </is>
      </c>
      <c r="N505" s="8" t="inlineStr">
        <is>
          <t>triggered</t>
        </is>
      </c>
      <c r="O505" s="9" t="inlineStr">
        <is>
          <t>战斗结束时，获得 3 点机缘；战斗结束时，获得 4 点机缘；战斗结束时，获得 5 点机缘；战斗结束时，获得 6 点机缘</t>
        </is>
      </c>
      <c r="P505" s="9" t="inlineStr">
        <is>
          <t>onBattleEnded</t>
        </is>
      </c>
      <c r="Q505" s="9" t="inlineStr">
        <is>
          <t>grantResources；lucky</t>
        </is>
      </c>
      <c r="R505" s="9" t="inlineStr">
        <is>
          <t>{"kind":"triggered","label":"&lt;battle&gt;战斗结束时，获得 3 点机缘&lt;/battle&gt;","triggeredEffect":{"trigger":"onBattleEnded","type":"grantResources","support":"battleOnly","grants":[{"type":"lucky","amount":3}]},"starOverrides":{"1":{"label":"&lt;battle&gt;战斗结束时，获得 4 点机缘&lt;/battle&gt;","triggeredEffect":{"grants":[{"type":"lucky","amount":4}]}},"2":{"label":"&lt;battle&gt;战斗结束时，获得 5 点机缘&lt;/battle&gt;","triggeredEffect":{"grants":[{"type":"lucky","amount":5}]}},"3":{"label":"&lt;battle&gt;战斗结束时，获得 6 点机缘&lt;/battle&gt;","triggeredEffect":{"grants":[{"type":"lucky","amount":6}]}}}}</t>
        </is>
      </c>
    </row>
    <row r="506" ht="32" customHeight="1">
      <c r="A506" s="8" t="n">
        <v>400086</v>
      </c>
      <c r="B506" s="8" t="inlineStr">
        <is>
          <t>赤橙焰盘</t>
        </is>
      </c>
      <c r="C506" s="8" t="inlineStr">
        <is>
          <t>法器</t>
        </is>
      </c>
      <c r="D506" s="8" t="inlineStr">
        <is>
          <t>common</t>
        </is>
      </c>
      <c r="E506" s="8" t="inlineStr">
        <is>
          <t>fire</t>
        </is>
      </c>
      <c r="F506" s="8" t="n">
        <v>1</v>
      </c>
      <c r="G506" s="8" t="inlineStr">
        <is>
          <t>基础/顶层</t>
        </is>
      </c>
      <c r="H506" s="8" t="inlineStr"/>
      <c r="I506" s="9" t="inlineStr"/>
      <c r="J506" s="8" t="inlineStr"/>
      <c r="K506" s="8" t="inlineStr"/>
      <c r="L506" s="8" t="inlineStr"/>
      <c r="M506" s="8" t="inlineStr">
        <is>
          <t>条件触发</t>
        </is>
      </c>
      <c r="N506" s="8" t="inlineStr">
        <is>
          <t>triggered</t>
        </is>
      </c>
      <c r="O506" s="9" t="inlineStr">
        <is>
          <t>受到伤害时，获得 1 层炎热；受到伤害时，获得 2 层炎热；受到伤害时，获得 3 层炎热；受到伤害时，获得 4 层炎热</t>
        </is>
      </c>
      <c r="P506" s="9" t="inlineStr">
        <is>
          <t>onIncomingHealthDamage</t>
        </is>
      </c>
      <c r="Q506" s="9" t="inlineStr">
        <is>
          <t>applyBuff</t>
        </is>
      </c>
      <c r="R506" s="9" t="inlineStr">
        <is>
          <t>{"kind":"triggered","label":"&lt;battle&gt;受到伤害时，获得 1 层炎热&lt;/battle&gt;","triggeredEffect":{"trigger":"onIncomingHealthDamage","type":"applyBuff","buffId":"heat","count":1,"support":"battleOnly"},"starOverrides":{"1":{"label":"&lt;battle&gt;受到伤害时，获得 2 层炎热&lt;/battle&gt;","triggeredEffect":{"count":2}},"2":{"label":"&lt;battle&gt;受到伤害时，获得 3 层炎热&lt;/battle&gt;","triggeredEffect":{"count":3}},"3":{"label":"&lt;battle&gt;受到伤害时，获得 4 层炎热&lt;/battle&gt;","triggeredEffect":{"count":4}}}}</t>
        </is>
      </c>
    </row>
    <row r="507" ht="32" customHeight="1">
      <c r="A507" s="8" t="n">
        <v>400087</v>
      </c>
      <c r="B507" s="8" t="inlineStr">
        <is>
          <t>活血晶石</t>
        </is>
      </c>
      <c r="C507" s="8" t="inlineStr">
        <is>
          <t>法器</t>
        </is>
      </c>
      <c r="D507" s="8" t="inlineStr">
        <is>
          <t>common</t>
        </is>
      </c>
      <c r="E507" s="8" t="inlineStr">
        <is>
          <t>none</t>
        </is>
      </c>
      <c r="F507" s="8" t="n">
        <v>1</v>
      </c>
      <c r="G507" s="8" t="inlineStr">
        <is>
          <t>基础/顶层</t>
        </is>
      </c>
      <c r="H507" s="8" t="inlineStr"/>
      <c r="I507" s="9" t="inlineStr"/>
      <c r="J507" s="8" t="inlineStr"/>
      <c r="K507" s="8" t="inlineStr"/>
      <c r="L507" s="8" t="inlineStr"/>
      <c r="M507" s="8" t="inlineStr">
        <is>
          <t>周期触发</t>
        </is>
      </c>
      <c r="N507" s="8" t="inlineStr">
        <is>
          <t>periodicPulse</t>
        </is>
      </c>
      <c r="O507" s="9" t="inlineStr">
        <is>
          <t>体力低于 20% 时，恢复 6 点体力；体力低于 20% 时，恢复 7 点体力；体力低于 20% 时，恢复 8 点体力；体力低于 20% 时，恢复 9 点体力</t>
        </is>
      </c>
      <c r="P507" s="9" t="inlineStr"/>
      <c r="Q507" s="9" t="inlineStr"/>
      <c r="R507" s="9" t="inlineStr">
        <is>
          <t>{"kind":"periodicPulse","periodicPulse":{"intervalSec":12,"primaryStatGains":[{"stat":"stamina","amount":6}],"label":"体力低于 20% 时，恢复 6 点体力"},"activationRequirements":{"staminaThreshold":{"comparator":"lessThan","ratio":0.2}},"starOverrides":{"1":{"label":"体力低于 20% 时，恢复 7 点体力","periodicPulse":{"primaryStatGains":[{"amount":7}]}},"2":{"label":"体力低于 20% 时，恢复 8 点体力","periodicPulse":{"primaryStatGains":[{"amount":8}]}},"3":{"label":"体力低于 20% 时，恢复 9 点体力","periodicPulse":{"primaryStatGains":[{"amount":9}]}}}}</t>
        </is>
      </c>
    </row>
    <row r="508" ht="32" customHeight="1">
      <c r="A508" s="8" t="n">
        <v>400088</v>
      </c>
      <c r="B508" s="8" t="inlineStr">
        <is>
          <t>采脉飞爪</t>
        </is>
      </c>
      <c r="C508" s="8" t="inlineStr">
        <is>
          <t>法器</t>
        </is>
      </c>
      <c r="D508" s="8" t="inlineStr">
        <is>
          <t>common</t>
        </is>
      </c>
      <c r="E508" s="8" t="inlineStr">
        <is>
          <t>metal</t>
        </is>
      </c>
      <c r="F508" s="8" t="n">
        <v>1</v>
      </c>
      <c r="G508" s="8" t="inlineStr">
        <is>
          <t>基础/顶层</t>
        </is>
      </c>
      <c r="H508" s="8" t="inlineStr"/>
      <c r="I508" s="9" t="inlineStr"/>
      <c r="J508" s="8" t="inlineStr"/>
      <c r="K508" s="8" t="inlineStr"/>
      <c r="L508" s="8" t="inlineStr"/>
      <c r="M508" s="8" t="inlineStr">
        <is>
          <t>周期触发</t>
        </is>
      </c>
      <c r="N508" s="8" t="inlineStr">
        <is>
          <t>periodicPulse</t>
        </is>
      </c>
      <c r="O508" s="9" t="inlineStr">
        <is>
          <t>将 5 点体力转化为 1 点修为；将 5 点体力转化为 2 点修为；将 5 点体力转化为 3 点修为；将 5 点体力转化为 4 点修为</t>
        </is>
      </c>
      <c r="P508" s="9" t="inlineStr"/>
      <c r="Q508" s="9" t="inlineStr"/>
      <c r="R508" s="9" t="inlineStr">
        <is>
          <t>{"kind":"periodicPulse","periodicPulse":{"intervalSec":10,"primaryStatCosts":[{"stat":"stamina","amount":5}],"cultivationGain":1,"label":"将 5 点体力转化为 1 点修为"},"label":"将 5 点体力转化为 1 点修为","starOverrides":{"1":{"label":"将 5 点体力转化为 2 点修为","periodicPulse":{"cultivationGain":2}},"2":{"label":"将 5 点体力转化为 3 点修为","periodicPulse":{"cultivationGain":3}},"3":{"label":"将 5 点体力转化为 4 点修为","periodicPulse":{"cultivationGain":4}}}}</t>
        </is>
      </c>
    </row>
    <row r="509" ht="32" customHeight="1">
      <c r="A509" s="8" t="n">
        <v>400089</v>
      </c>
      <c r="B509" s="8" t="inlineStr">
        <is>
          <t>雪髓回澜瓶</t>
        </is>
      </c>
      <c r="C509" s="8" t="inlineStr">
        <is>
          <t>法器</t>
        </is>
      </c>
      <c r="D509" s="8" t="inlineStr">
        <is>
          <t>common</t>
        </is>
      </c>
      <c r="E509" s="8" t="inlineStr">
        <is>
          <t>water</t>
        </is>
      </c>
      <c r="F509" s="8" t="n">
        <v>1</v>
      </c>
      <c r="G509" s="8" t="inlineStr">
        <is>
          <t>基础/顶层</t>
        </is>
      </c>
      <c r="H509" s="8" t="inlineStr"/>
      <c r="I509" s="9" t="inlineStr"/>
      <c r="J509" s="8" t="inlineStr"/>
      <c r="K509" s="8" t="inlineStr"/>
      <c r="L509" s="8" t="inlineStr"/>
      <c r="M509" s="8" t="inlineStr">
        <is>
          <t>周期触发</t>
        </is>
      </c>
      <c r="N509" s="8" t="inlineStr">
        <is>
          <t>periodicPulse</t>
        </is>
      </c>
      <c r="O509" s="9" t="inlineStr">
        <is>
          <t>开局：获得 2 层露水；开局：获得 4 层露水；开局：获得 6 层露水；开局：获得 8 层露水</t>
        </is>
      </c>
      <c r="P509" s="9" t="inlineStr"/>
      <c r="Q509" s="9" t="inlineStr"/>
      <c r="R509" s="9" t="inlineStr">
        <is>
          <t>{"kind":"periodicPulse","periodicPulse":{"startOnly":true,"buffGains":[{"buffId":"dew","count":2}],"label":"开局：获得 2 层露水"},"label":"开局：获得 2 层露水","starOverrides":{"1":{"periodicPulse":{"buffGains":[{"buffId":"dew","count":4}],"label":"开局：获得 4 层露水"},"label":"开局：获得 4 层露水"},"2":{"periodicPulse":{"buffGains":[{"buffId":"dew","count":6}],"label":"开局：获得 6 层露水"},"label":"开局：获得 6 层露水"},"3":{"periodicPulse":{"buffGains":[{"buffId":"dew","count":8}],"label":"开局：获得 8 层露水"},"label":"开局：获得 8 层露水"}}}</t>
        </is>
      </c>
    </row>
    <row r="510" ht="32" customHeight="1">
      <c r="A510" s="8" t="n">
        <v>400089</v>
      </c>
      <c r="B510" s="8" t="inlineStr">
        <is>
          <t>雪髓回澜瓶</t>
        </is>
      </c>
      <c r="C510" s="8" t="inlineStr">
        <is>
          <t>法器</t>
        </is>
      </c>
      <c r="D510" s="8" t="inlineStr">
        <is>
          <t>common</t>
        </is>
      </c>
      <c r="E510" s="8" t="inlineStr">
        <is>
          <t>water</t>
        </is>
      </c>
      <c r="F510" s="8" t="n">
        <v>2</v>
      </c>
      <c r="G510" s="8" t="inlineStr">
        <is>
          <t>基础/顶层</t>
        </is>
      </c>
      <c r="H510" s="8" t="inlineStr"/>
      <c r="I510" s="9" t="inlineStr"/>
      <c r="J510" s="8" t="inlineStr"/>
      <c r="K510" s="8" t="inlineStr"/>
      <c r="L510" s="8" t="inlineStr"/>
      <c r="M510" s="8" t="inlineStr">
        <is>
          <t>被动效果</t>
        </is>
      </c>
      <c r="N510" s="8" t="inlineStr">
        <is>
          <t>passive</t>
        </is>
      </c>
      <c r="O510" s="9" t="inlineStr">
        <is>
          <t>露水层数上限 +5；露水层数上限 +7；露水层数上限 +9；露水层数上限 +11</t>
        </is>
      </c>
      <c r="P510" s="9" t="inlineStr"/>
      <c r="Q510" s="9" t="inlineStr">
        <is>
          <t>buffStackCapBonus</t>
        </is>
      </c>
      <c r="R510" s="9" t="inlineStr">
        <is>
          <t>{"kind":"passive","passiveEffect":{"type":"buffStackCapBonus","buffId":"dew","value":5,"label":"露水层数上限 +5"},"label":"露水层数上限 +5","starOverrides":{"1":{"passiveEffect":{"value":7,"label":"露水层数上限 +7"},"label":"露水层数上限 +7"},"2":{"passiveEffect":{"value":9,"label":"露水层数上限 +9"},"label":"露水层数上限 +9"},"3":{"passiveEffect":{"value":11,"label":"露水层数上限 +11"},"label":"露水层数上限 +11"}}}</t>
        </is>
      </c>
    </row>
    <row r="511" ht="32" customHeight="1">
      <c r="A511" s="8" t="n">
        <v>400090</v>
      </c>
      <c r="B511" s="8" t="inlineStr">
        <is>
          <t>承露问缘盏</t>
        </is>
      </c>
      <c r="C511" s="8" t="inlineStr">
        <is>
          <t>法器</t>
        </is>
      </c>
      <c r="D511" s="8" t="inlineStr">
        <is>
          <t>common</t>
        </is>
      </c>
      <c r="E511" s="8" t="inlineStr">
        <is>
          <t>water</t>
        </is>
      </c>
      <c r="F511" s="8" t="n">
        <v>1</v>
      </c>
      <c r="G511" s="8" t="inlineStr">
        <is>
          <t>基础/顶层</t>
        </is>
      </c>
      <c r="H511" s="8" t="inlineStr"/>
      <c r="I511" s="9" t="inlineStr"/>
      <c r="J511" s="8" t="inlineStr"/>
      <c r="K511" s="8" t="inlineStr"/>
      <c r="L511" s="8" t="inlineStr"/>
      <c r="M511" s="8" t="inlineStr">
        <is>
          <t>条件触发</t>
        </is>
      </c>
      <c r="N511" s="8" t="inlineStr">
        <is>
          <t>triggered</t>
        </is>
      </c>
      <c r="O511" s="9" t="inlineStr">
        <is>
          <t>服用丹药时，获得 3 层露水；服用丹药时，获得 4 层露水；服用丹药时，获得 5 层露水；服用丹药时，获得 6 层露水</t>
        </is>
      </c>
      <c r="P511" s="9" t="inlineStr">
        <is>
          <t>onConsumableActivated</t>
        </is>
      </c>
      <c r="Q511" s="9" t="inlineStr">
        <is>
          <t>applyBuff；any</t>
        </is>
      </c>
      <c r="R511" s="9" t="inlineStr">
        <is>
          <t>{"kind":"triggered","label":"服用丹药时，获得 3 层露水","triggeredEffect":{"trigger":"onConsumableActivated","type":"applyBuff","buffId":"dew","count":3,"eventSource":{"target":{"type":"any"},"filter":{"categories":["pill"]}}},"starOverrides":{"1":{"label":"服用丹药时，获得 4 层露水","triggeredEffect":{"count":4}},"2":{"label":"服用丹药时，获得 5 层露水","triggeredEffect":{"count":5}},"3":{"label":"服用丹药时，获得 6 层露水","triggeredEffect":{"count":6}}}}</t>
        </is>
      </c>
    </row>
    <row r="512" ht="32" customHeight="1">
      <c r="A512" s="8" t="n">
        <v>400092</v>
      </c>
      <c r="B512" s="8" t="inlineStr">
        <is>
          <t>参悟玉简</t>
        </is>
      </c>
      <c r="C512" s="8" t="inlineStr">
        <is>
          <t>法器</t>
        </is>
      </c>
      <c r="D512" s="8" t="inlineStr">
        <is>
          <t>common</t>
        </is>
      </c>
      <c r="E512" s="8" t="inlineStr">
        <is>
          <t>wood</t>
        </is>
      </c>
      <c r="F512" s="8" t="n">
        <v>1</v>
      </c>
      <c r="G512" s="8" t="inlineStr">
        <is>
          <t>基础/顶层</t>
        </is>
      </c>
      <c r="H512" s="8" t="inlineStr"/>
      <c r="I512" s="9" t="inlineStr"/>
      <c r="J512" s="8" t="inlineStr"/>
      <c r="K512" s="8" t="inlineStr"/>
      <c r="L512" s="8" t="inlineStr"/>
      <c r="M512" s="8" t="inlineStr">
        <is>
          <t>周期触发</t>
        </is>
      </c>
      <c r="N512" s="8" t="inlineStr">
        <is>
          <t>periodicPulse</t>
        </is>
      </c>
      <c r="O512" s="9" t="inlineStr">
        <is>
          <t>每相邻 1 个功法，获得 5 点修为；每相邻 1 个功法，获得 10 点修为；每相邻 1 个功法，获得 15 点修为；每相邻 1 个功法，获得 20 点修为</t>
        </is>
      </c>
      <c r="P512" s="9" t="inlineStr"/>
      <c r="Q512" s="9" t="inlineStr"/>
      <c r="R512" s="9" t="inlineStr">
        <is>
          <t>{"kind":"periodicPulse","periodicPulse":{"intervalSec":20,"cultivationGain":5,"scaling":{"mode":"count","source":"adjacentItems","categories":["scripture"]},"label":"&lt;cultivation&gt;每相邻 1 个功法，获得 5 点修为&lt;/cultivation&gt;"},"starOverrides":{"1":{"label":"&lt;cultivation&gt;每相邻 1 个功法，获得 10 点修为&lt;/cultivation&gt;","periodicPulse":{"cultivationGain":10}},"2":{"label":"&lt;cultivation&gt;每相邻 1 个功法，获得 15 点修为&lt;/cultivation&gt;","periodicPulse":{"cultivationGain":15}},"3":{"label":"&lt;cultivation&gt;每相邻 1 个功法，获得 20 点修为&lt;/cultivation&gt;","periodicPulse":{"cultivationGain":20}}}}</t>
        </is>
      </c>
    </row>
    <row r="513" ht="32" customHeight="1">
      <c r="A513" s="8" t="n">
        <v>400093</v>
      </c>
      <c r="B513" s="8" t="inlineStr">
        <is>
          <t>炼魄金砂匣</t>
        </is>
      </c>
      <c r="C513" s="8" t="inlineStr">
        <is>
          <t>法器</t>
        </is>
      </c>
      <c r="D513" s="8" t="inlineStr">
        <is>
          <t>common</t>
        </is>
      </c>
      <c r="E513" s="8" t="inlineStr">
        <is>
          <t>metal</t>
        </is>
      </c>
      <c r="F513" s="8" t="n">
        <v>1</v>
      </c>
      <c r="G513" s="8" t="inlineStr">
        <is>
          <t>基础/顶层</t>
        </is>
      </c>
      <c r="H513" s="8" t="inlineStr"/>
      <c r="I513" s="9" t="inlineStr"/>
      <c r="J513" s="8" t="inlineStr"/>
      <c r="K513" s="8" t="inlineStr"/>
      <c r="L513" s="8" t="inlineStr"/>
      <c r="M513" s="8" t="inlineStr">
        <is>
          <t>被动效果</t>
        </is>
      </c>
      <c r="N513" s="8" t="inlineStr">
        <is>
          <t>passive</t>
        </is>
      </c>
      <c r="O513" s="9" t="inlineStr">
        <is>
          <t>气血上限 +0，每击杀一只妖兽后效果升级。；气血上限</t>
        </is>
      </c>
      <c r="P513" s="9" t="inlineStr">
        <is>
          <t>onEnemyDefeated</t>
        </is>
      </c>
      <c r="Q513" s="9" t="inlineStr">
        <is>
          <t>primaryStatMaxFlatBonus</t>
        </is>
      </c>
      <c r="R513" s="9" t="inlineStr">
        <is>
          <t>{"kind":"passive","label":"气血上限 +0，&lt;battle&gt;每击杀一只妖兽后效果升级&lt;/battle&gt;。","passiveEffect":{"type":"primaryStatMaxFlatBonus","stat":"health","value":0,"label":"气血上限 +0，&lt;battle&gt;每击杀一只妖兽后效果升级&lt;/battle&gt;。"},"growth":{"lifecycle":"permanent","trigger":"onEnemyDefeated","bindings":[{"path":"passiveEffect.value","delta":1,"maxValue":50,"label":"气血上限","textOccurrence":0}],"support":"battleOnly"},"starOverrides":{"1":{"growth":{"bindings":[{"delta":2}]}},"2":{"growth":{"bindings":[{"delta":3}]}},"3":{"growth":{"bindings":[{"delta":4}]}}}}</t>
        </is>
      </c>
    </row>
    <row r="514" ht="32" customHeight="1">
      <c r="A514" s="8" t="n">
        <v>400094</v>
      </c>
      <c r="B514" s="8" t="inlineStr">
        <is>
          <t>重息归元甲</t>
        </is>
      </c>
      <c r="C514" s="8" t="inlineStr">
        <is>
          <t>法器</t>
        </is>
      </c>
      <c r="D514" s="8" t="inlineStr">
        <is>
          <t>common</t>
        </is>
      </c>
      <c r="E514" s="8" t="inlineStr">
        <is>
          <t>earth</t>
        </is>
      </c>
      <c r="F514" s="8" t="n">
        <v>1</v>
      </c>
      <c r="G514" s="8" t="inlineStr">
        <is>
          <t>基础/顶层</t>
        </is>
      </c>
      <c r="H514" s="8" t="inlineStr"/>
      <c r="I514" s="9" t="inlineStr"/>
      <c r="J514" s="8" t="inlineStr"/>
      <c r="K514" s="8" t="inlineStr"/>
      <c r="L514" s="8" t="inlineStr"/>
      <c r="M514" s="8" t="inlineStr">
        <is>
          <t>周期触发</t>
        </is>
      </c>
      <c r="N514" s="8" t="inlineStr">
        <is>
          <t>periodicPulse</t>
        </is>
      </c>
      <c r="O514" s="9" t="inlineStr">
        <is>
          <t>将 4 层蓄势转化为 20 点体力；将 6 层蓄势转化为 30 点体力；将 8 层蓄势转化为 40 点体力；将 10 层蓄势转化为 50 点体力</t>
        </is>
      </c>
      <c r="P514" s="9" t="inlineStr">
        <is>
          <t>onPeriodicPulse</t>
        </is>
      </c>
      <c r="Q514" s="9" t="inlineStr">
        <is>
          <t>consumeBuffStacks</t>
        </is>
      </c>
      <c r="R514" s="9" t="inlineStr">
        <is>
          <t>{"kind":"periodicPulse","periodicPulse":{"intervalSec":24,"label":"将 4 层蓄势转化为 20 点体力"},"executors":[{"trigger":"onPeriodicPulse","type":"consumeBuffStacks","sourceBuffId":"heavy","maxStacks":4,"primaryStatGainPerStack":{"stat":"stamina","amount":20,"stacksPerGain":4},"activationRequirements":{"buffStackThresholds":[{"buffId":"heavy","comparator":"atLeast","count":4}]},"label":"将 4 层蓄势转化为 20 点体力","requiredStacks":4}],"label":"将 4 层蓄势转化为 20 点体力","starOverrides":{"1":{"label":"将 6 层蓄势转化为 30 点体力","executors":[{"maxStacks":6,"requiredStacks":6,"label":"将 6 层蓄势转化为 30 点体力","activationRequirements":{"buffStackThresholds":[{"count":6}]},"primaryStatGainPerStack":{"amount":30,"stacksPerGain":6}}]},"2":{"label":"将 8 层蓄势转化为 40 点体力","executors":[{"maxStacks":8,"requiredStacks":8,"label":"将 8 层蓄势转化为 40 点体力","activationRequirements":{"buffStackThresholds":[{"count":8}]},"primaryStatGainPerStack":{"amount":40,"stacksPerGain":8}}]},"3":{"label":"将 10 层蓄势转化为 50 点体力","executors":[{"maxStacks":10,"requiredStacks":10,"label":"将 10 层蓄势转化为 50 点体力","activationRequirements":{"buffStackThresholds":[{"count":10}]},"primaryStatGainPerStack":{"amount":50,"stacksPerGain":10}}]}}}</t>
        </is>
      </c>
    </row>
    <row r="515" ht="32" customHeight="1">
      <c r="A515" s="8" t="n">
        <v>400095</v>
      </c>
      <c r="B515" s="8" t="inlineStr">
        <is>
          <t>薪莲灵珠</t>
        </is>
      </c>
      <c r="C515" s="8" t="inlineStr">
        <is>
          <t>法器</t>
        </is>
      </c>
      <c r="D515" s="8" t="inlineStr">
        <is>
          <t>common</t>
        </is>
      </c>
      <c r="E515" s="8" t="inlineStr">
        <is>
          <t>fire</t>
        </is>
      </c>
      <c r="F515" s="8" t="n">
        <v>1</v>
      </c>
      <c r="G515" s="8" t="inlineStr">
        <is>
          <t>基础/顶层</t>
        </is>
      </c>
      <c r="H515" s="8" t="inlineStr"/>
      <c r="I515" s="9" t="inlineStr"/>
      <c r="J515" s="8" t="inlineStr"/>
      <c r="K515" s="8" t="inlineStr"/>
      <c r="L515" s="8" t="inlineStr"/>
      <c r="M515" s="8" t="inlineStr">
        <is>
          <t>周期触发</t>
        </is>
      </c>
      <c r="N515" s="8" t="inlineStr">
        <is>
          <t>periodicPulse</t>
        </is>
      </c>
      <c r="O515" s="9" t="inlineStr">
        <is>
          <t>获得 1 层炎热和 2 层再生</t>
        </is>
      </c>
      <c r="P515" s="9" t="inlineStr"/>
      <c r="Q515" s="9" t="inlineStr"/>
      <c r="R515" s="9" t="inlineStr">
        <is>
          <t>{"kind":"periodicPulse","periodicPulse":{"intervalSec":14,"label":"获得 1 层炎热和 2 层再生","buffGains":[{"buffId":"heat","count":1},{"buffId":"regeneration","count":2}]},"starOverrides":{"1":{"label":"获得 1 层炎热和 2 层再生","periodicPulse":{"intervalSec":12}},"2":{"label":"获得 1 层炎热和 2 层再生","periodicPulse":{"intervalSec":10}},"3":{"label":"获得 1 层炎热和 2 层再生","periodicPulse":{"intervalSec":8}}}}</t>
        </is>
      </c>
    </row>
    <row r="516" ht="32" customHeight="1">
      <c r="A516" s="8" t="n">
        <v>400096</v>
      </c>
      <c r="B516" s="8" t="inlineStr">
        <is>
          <t>熔金火钳</t>
        </is>
      </c>
      <c r="C516" s="8" t="inlineStr">
        <is>
          <t>法器</t>
        </is>
      </c>
      <c r="D516" s="8" t="inlineStr">
        <is>
          <t>common</t>
        </is>
      </c>
      <c r="E516" s="8" t="inlineStr">
        <is>
          <t>fire</t>
        </is>
      </c>
      <c r="F516" s="8" t="n">
        <v>1</v>
      </c>
      <c r="G516" s="8" t="inlineStr">
        <is>
          <t>基础/顶层</t>
        </is>
      </c>
      <c r="H516" s="8" t="inlineStr"/>
      <c r="I516" s="9" t="inlineStr"/>
      <c r="J516" s="8" t="inlineStr"/>
      <c r="K516" s="8" t="inlineStr"/>
      <c r="L516" s="8" t="inlineStr"/>
      <c r="M516" s="8" t="inlineStr">
        <is>
          <t>条件触发</t>
        </is>
      </c>
      <c r="N516" s="8" t="inlineStr">
        <is>
          <t>triggered</t>
        </is>
      </c>
      <c r="O516" s="9" t="inlineStr">
        <is>
          <t>相邻金属性招式释放时，获得 5 层炎热；相邻金属性招式释放时，获得 10 层炎热；相邻金属性招式释放时，获得 15 层炎热；相邻金属性招式释放时，获得 20 层炎热</t>
        </is>
      </c>
      <c r="P516" s="9" t="inlineStr">
        <is>
          <t>onItemUse</t>
        </is>
      </c>
      <c r="Q516" s="9" t="inlineStr">
        <is>
          <t>applyBuff；adjacent</t>
        </is>
      </c>
      <c r="R516" s="9" t="inlineStr">
        <is>
          <t>{"kind":"triggered","triggeredEffect":{"trigger":"onItemUse","type":"applyBuff","buffId":"heat","count":5,"eventSource":{"target":{"type":"adjacent"},"filter":{"categories":["spell"],"elements":["metal"]}}},"label":"相邻金属性招式释放时，获得 5 层炎热","starOverrides":{"1":{"label":"相邻金属性招式释放时，获得 10 层炎热","triggeredEffect":{"trigger":"onItemUse","type":"applyBuff","buffId":"heat","count":10}},"2":{"label":"相邻金属性招式释放时，获得 15 层炎热","triggeredEffect":{"trigger":"onItemUse","type":"applyBuff","buffId":"heat","count":15}},"3":{"label":"相邻金属性招式释放时，获得 20 层炎热","triggeredEffect":{"trigger":"onItemUse","type":"applyBuff","buffId":"heat","count":20}}}}</t>
        </is>
      </c>
    </row>
    <row r="517" ht="32" customHeight="1">
      <c r="A517" s="8" t="n">
        <v>400097</v>
      </c>
      <c r="B517" s="8" t="inlineStr">
        <is>
          <t>蒸云铜鼎</t>
        </is>
      </c>
      <c r="C517" s="8" t="inlineStr">
        <is>
          <t>法器</t>
        </is>
      </c>
      <c r="D517" s="8" t="inlineStr">
        <is>
          <t>common</t>
        </is>
      </c>
      <c r="E517" s="8" t="inlineStr">
        <is>
          <t>fire</t>
        </is>
      </c>
      <c r="F517" s="8" t="n">
        <v>1</v>
      </c>
      <c r="G517" s="8" t="inlineStr">
        <is>
          <t>基础/顶层</t>
        </is>
      </c>
      <c r="H517" s="8" t="inlineStr"/>
      <c r="I517" s="9" t="inlineStr"/>
      <c r="J517" s="8" t="inlineStr"/>
      <c r="K517" s="8" t="inlineStr"/>
      <c r="L517" s="8" t="inlineStr"/>
      <c r="M517" s="8" t="inlineStr">
        <is>
          <t>条件触发</t>
        </is>
      </c>
      <c r="N517" s="8" t="inlineStr">
        <is>
          <t>triggered</t>
        </is>
      </c>
      <c r="O517" s="9" t="inlineStr">
        <is>
          <t>上方相邻水属性道具使用时，获得 6 层炎热；上方相邻水属性道具使用时，获得 12 层炎热；上方相邻水属性道具使用时，获得 18 层炎热；上方相邻水属性道具使用时，获得 24 层炎热</t>
        </is>
      </c>
      <c r="P517" s="9" t="inlineStr">
        <is>
          <t>onItemUse</t>
        </is>
      </c>
      <c r="Q517" s="9" t="inlineStr">
        <is>
          <t>applyBuff；directional-adjacent</t>
        </is>
      </c>
      <c r="R517" s="9" t="inlineStr">
        <is>
          <t>{"kind":"triggered","triggeredEffect":{"trigger":"onItemUse","type":"applyBuff","buffId":"heat","count":6,"eventSource":{"target":{"type":"directional-adjacent","direction":"up"},"filter":{"elements":["water"]}}},"label":"上方相邻水属性道具使用时，获得 6 层炎热","starOverrides":{"1":{"label":"上方相邻水属性道具使用时，获得 12 层炎热","triggeredEffect":{"trigger":"onItemUse","type":"applyBuff","buffId":"heat","count":12}},"2":{"label":"上方相邻水属性道具使用时，获得 18 层炎热","triggeredEffect":{"trigger":"onItemUse","type":"applyBuff","buffId":"heat","count":18}},"3":{"label":"上方相邻水属性道具使用时，获得 24 层炎热","triggeredEffect":{"trigger":"onItemUse","type":"applyBuff","buffId":"heat","count":24}}}}</t>
        </is>
      </c>
    </row>
    <row r="518" ht="32" customHeight="1">
      <c r="A518" s="8" t="n">
        <v>400098</v>
      </c>
      <c r="B518" s="8" t="inlineStr">
        <is>
          <t>地炉铜铃</t>
        </is>
      </c>
      <c r="C518" s="8" t="inlineStr">
        <is>
          <t>法器</t>
        </is>
      </c>
      <c r="D518" s="8" t="inlineStr">
        <is>
          <t>common</t>
        </is>
      </c>
      <c r="E518" s="8" t="inlineStr">
        <is>
          <t>fire</t>
        </is>
      </c>
      <c r="F518" s="8" t="n">
        <v>1</v>
      </c>
      <c r="G518" s="8" t="inlineStr">
        <is>
          <t>基础/顶层</t>
        </is>
      </c>
      <c r="H518" s="8" t="inlineStr"/>
      <c r="I518" s="9" t="inlineStr"/>
      <c r="J518" s="8" t="inlineStr"/>
      <c r="K518" s="8" t="inlineStr"/>
      <c r="L518" s="8" t="inlineStr"/>
      <c r="M518" s="8" t="inlineStr">
        <is>
          <t>周期触发</t>
        </is>
      </c>
      <c r="N518" s="8" t="inlineStr">
        <is>
          <t>periodicPulse</t>
        </is>
      </c>
      <c r="O518" s="9" t="inlineStr">
        <is>
          <t>位于储物袋底部且上方相邻土属性装备时，获得 8 层炎热；位于储物袋底部且上方相邻土属性装备时，获得 12 层炎热；位于储物袋底部且上方相邻土属性装备时，获得 16 层炎热；位于储物袋底部且上方相邻土属性装备时，获得 20 层炎热</t>
        </is>
      </c>
      <c r="P518" s="9" t="inlineStr"/>
      <c r="Q518" s="9" t="inlineStr"/>
      <c r="R518" s="9" t="inlineStr">
        <is>
          <t>{"kind":"periodicPulse","periodicPulse":{"intervalSec":18,"label":"位于储物袋底部且上方相邻土属性装备时，获得 8 层炎热","buffGains":[{"buffId":"heat","count":8}],"activationRequirements":{"sourceEdges":["bottom"],"directionalNeighbors":[{"direction":"up","categories":["implement"],"features":["equipment"],"elements":["earth"]}]}},"starOverrides":{"1":{"label":"位于储物袋底部且上方相邻土属性装备时，获得 12 层炎热","periodicPulse":{"intervalSec":16,"buffGains":[{"count":12}]}},"2":{"label":"位于储物袋底部且上方相邻土属性装备时，获得 16 层炎热","periodicPulse":{"intervalSec":14,"buffGains":[{"count":16}]}},"3":{"label":"位于储物袋底部且上方相邻土属性装备时，获得 20 层炎热","periodicPulse":{"intervalSec":12,"buffGains":[{"count":20}]}}}}</t>
        </is>
      </c>
    </row>
    <row r="519" ht="32" customHeight="1">
      <c r="A519" s="8" t="n">
        <v>400099</v>
      </c>
      <c r="B519" s="8" t="inlineStr">
        <is>
          <t>赤凤素印</t>
        </is>
      </c>
      <c r="C519" s="8" t="inlineStr">
        <is>
          <t>法器</t>
        </is>
      </c>
      <c r="D519" s="8" t="inlineStr">
        <is>
          <t>common</t>
        </is>
      </c>
      <c r="E519" s="8" t="inlineStr">
        <is>
          <t>fire</t>
        </is>
      </c>
      <c r="F519" s="8" t="n">
        <v>1</v>
      </c>
      <c r="G519" s="8" t="inlineStr">
        <is>
          <t>基础/顶层</t>
        </is>
      </c>
      <c r="H519" s="8" t="inlineStr"/>
      <c r="I519" s="9" t="inlineStr"/>
      <c r="J519" s="8" t="inlineStr"/>
      <c r="K519" s="8" t="inlineStr"/>
      <c r="L519" s="8" t="inlineStr"/>
      <c r="M519" s="8" t="inlineStr">
        <is>
          <t>说明/执行器</t>
        </is>
      </c>
      <c r="N519" s="8" t="inlineStr">
        <is>
          <t>effectNote</t>
        </is>
      </c>
      <c r="O519" s="9" t="inlineStr">
        <is>
          <t>相邻火属性招式释放时，获得 5 层炎热；有 5 件火属性道具时，效果翻倍；相邻火属性招式释放时，获得 10 层炎热；有 5 件火属性道具时，效果翻倍；相邻火属性招式释放时，获得 15 层炎热；有 5 件火属性道具时，效果翻倍；相邻火属性招式释放时，获得 20 层炎热；有 5 件火属性道具时，效果翻倍</t>
        </is>
      </c>
      <c r="P519" s="9" t="inlineStr">
        <is>
          <t>onItemUse</t>
        </is>
      </c>
      <c r="Q519" s="9" t="inlineStr">
        <is>
          <t>applyBuff；adjacent</t>
        </is>
      </c>
      <c r="R519" s="9" t="inlineStr">
        <is>
          <t>{"kind":"effectNote","label":"相邻火属性招式释放时，获得 5 层炎热；有 5 件火属性道具时，效果翻倍","executors":[{"trigger":"onItemUse","type":"applyBuff","buffId":"heat","count":5,"eventSource":{"target":{"type":"adjacent"},"filter":{"categories":["spell"],"elements":["fire"]}}},{"trigger":"onItemUse","type":"applyBuff","buffId":"heat","count":5,"eventSource":{"target":{"type":"adjacent"},"filter":{"categories":["spell"],"elements":["fire"]}},"activationRequirements":{"bagCounts":[{"minCount":5,"elements":["fire"]}]}}],"starOverrides":{"1":{"label":"相邻火属性招式释放时，获得 10 层炎热；有 5 件火属性道具时，效果翻倍","executors":[{"count":10},{"count":10}]},"2":{"label":"相邻火属性招式释放时，获得 15 层炎热；有 5 件火属性道具时，效果翻倍","executors":[{"count":15},{"count":15}]},"3":{"label":"相邻火属性招式释放时，获得 20 层炎热；有 5 件火属性道具时，效果翻倍","executors":[{"count":20},{"count":20}]}}}</t>
        </is>
      </c>
    </row>
    <row r="520" ht="32" customHeight="1">
      <c r="A520" s="8" t="n">
        <v>400100</v>
      </c>
      <c r="B520" s="8" t="inlineStr">
        <is>
          <t>金纹盘香炉</t>
        </is>
      </c>
      <c r="C520" s="8" t="inlineStr">
        <is>
          <t>法器</t>
        </is>
      </c>
      <c r="D520" s="8" t="inlineStr">
        <is>
          <t>common</t>
        </is>
      </c>
      <c r="E520" s="8" t="inlineStr">
        <is>
          <t>fire</t>
        </is>
      </c>
      <c r="F520" s="8" t="n">
        <v>1</v>
      </c>
      <c r="G520" s="8" t="inlineStr">
        <is>
          <t>基础/顶层</t>
        </is>
      </c>
      <c r="H520" s="8" t="inlineStr"/>
      <c r="I520" s="9" t="inlineStr"/>
      <c r="J520" s="8" t="inlineStr"/>
      <c r="K520" s="8" t="inlineStr"/>
      <c r="L520" s="8" t="inlineStr"/>
      <c r="M520" s="8" t="inlineStr">
        <is>
          <t>条件触发</t>
        </is>
      </c>
      <c r="N520" s="8" t="inlineStr">
        <is>
          <t>triggered</t>
        </is>
      </c>
      <c r="O520" s="9" t="inlineStr">
        <is>
          <t>上方相邻火属性法器使用时，获得 1 层炎热；上方相邻火属性法器使用时，获得 2 层炎热；上方相邻火属性法器使用时，获得 3 层炎热；上方相邻火属性法器使用时，获得 4 层炎热</t>
        </is>
      </c>
      <c r="P520" s="9" t="inlineStr">
        <is>
          <t>onItemUse</t>
        </is>
      </c>
      <c r="Q520" s="9" t="inlineStr">
        <is>
          <t>applyBuff；directional-adjacent</t>
        </is>
      </c>
      <c r="R520" s="9" t="inlineStr">
        <is>
          <t>{"kind":"triggered","triggeredEffect":{"trigger":"onItemUse","type":"applyBuff","buffId":"heat","count":1,"eventSource":{"target":{"type":"directional-adjacent","direction":"up"},"filter":{"categories":["implement"],"elements":["fire"]}}},"label":"上方相邻火属性法器使用时，获得 1 层炎热","starOverrides":{"1":{"label":"上方相邻火属性法器使用时，获得 2 层炎热","triggeredEffect":{"trigger":"onItemUse","type":"applyBuff","buffId":"heat","count":2}},"2":{"label":"上方相邻火属性法器使用时，获得 3 层炎热","triggeredEffect":{"trigger":"onItemUse","type":"applyBuff","buffId":"heat","count":3}},"3":{"label":"上方相邻火属性法器使用时，获得 4 层炎热","triggeredEffect":{"trigger":"onItemUse","type":"applyBuff","buffId":"heat","count":4}}}}</t>
        </is>
      </c>
    </row>
    <row r="521" ht="32" customHeight="1">
      <c r="A521" s="8" t="n">
        <v>400101</v>
      </c>
      <c r="B521" s="8" t="inlineStr">
        <is>
          <t>焚丹残灰盏</t>
        </is>
      </c>
      <c r="C521" s="8" t="inlineStr">
        <is>
          <t>法器</t>
        </is>
      </c>
      <c r="D521" s="8" t="inlineStr">
        <is>
          <t>common</t>
        </is>
      </c>
      <c r="E521" s="8" t="inlineStr">
        <is>
          <t>fire</t>
        </is>
      </c>
      <c r="F521" s="8" t="n">
        <v>1</v>
      </c>
      <c r="G521" s="8" t="inlineStr">
        <is>
          <t>基础/顶层</t>
        </is>
      </c>
      <c r="H521" s="8" t="inlineStr"/>
      <c r="I521" s="9" t="inlineStr"/>
      <c r="J521" s="8" t="inlineStr"/>
      <c r="K521" s="8" t="inlineStr"/>
      <c r="L521" s="8" t="inlineStr"/>
      <c r="M521" s="8" t="inlineStr">
        <is>
          <t>条件触发</t>
        </is>
      </c>
      <c r="N521" s="8" t="inlineStr">
        <is>
          <t>triggered</t>
        </is>
      </c>
      <c r="O521" s="9" t="inlineStr">
        <is>
          <t>相邻丹药耗尽时，获得 2 层炎热；相邻丹药耗尽时，获得 4 层炎热；相邻丹药耗尽时，获得 6 层炎热；相邻丹药耗尽时，获得 8 层炎热</t>
        </is>
      </c>
      <c r="P521" s="9" t="inlineStr">
        <is>
          <t>onConsumableExhausted</t>
        </is>
      </c>
      <c r="Q521" s="9" t="inlineStr">
        <is>
          <t>applyBuff；adjacent</t>
        </is>
      </c>
      <c r="R521" s="9" t="inlineStr">
        <is>
          <t>{"kind":"triggered","label":"相邻丹药耗尽时，获得 2 层炎热","triggeredEffect":{"trigger":"onConsumableExhausted","type":"applyBuff","buffId":"heat","count":2,"eventSource":{"target":{"type":"adjacent"},"filter":{"categories":["pill"]},"keywordIds":["exhaust"]}},"starOverrides":{"1":{"label":"相邻丹药耗尽时，获得 4 层炎热","triggeredEffect":{"count":4}},"2":{"label":"相邻丹药耗尽时，获得 6 层炎热","triggeredEffect":{"count":6}},"3":{"label":"相邻丹药耗尽时，获得 8 层炎热","triggeredEffect":{"count":8}}}}</t>
        </is>
      </c>
    </row>
    <row r="522" ht="32" customHeight="1">
      <c r="A522" s="8" t="n">
        <v>400102</v>
      </c>
      <c r="B522" s="8" t="inlineStr">
        <is>
          <t>朱砂引焰匣</t>
        </is>
      </c>
      <c r="C522" s="8" t="inlineStr">
        <is>
          <t>法器</t>
        </is>
      </c>
      <c r="D522" s="8" t="inlineStr">
        <is>
          <t>common</t>
        </is>
      </c>
      <c r="E522" s="8" t="inlineStr">
        <is>
          <t>fire</t>
        </is>
      </c>
      <c r="F522" s="8" t="n">
        <v>1</v>
      </c>
      <c r="G522" s="8" t="inlineStr">
        <is>
          <t>基础/顶层</t>
        </is>
      </c>
      <c r="H522" s="8" t="inlineStr"/>
      <c r="I522" s="9" t="inlineStr"/>
      <c r="J522" s="8" t="inlineStr"/>
      <c r="K522" s="8" t="inlineStr"/>
      <c r="L522" s="8" t="inlineStr"/>
      <c r="M522" s="8" t="inlineStr">
        <is>
          <t>条件触发</t>
        </is>
      </c>
      <c r="N522" s="8" t="inlineStr">
        <is>
          <t>triggered</t>
        </is>
      </c>
      <c r="O522" s="9" t="inlineStr">
        <is>
          <t>相邻符箓耗尽时，获得 10 层炎热；相邻符箓耗尽时，获得 15 层炎热；相邻符箓耗尽时，获得 20 层炎热；相邻符箓耗尽时，获得 25 层炎热</t>
        </is>
      </c>
      <c r="P522" s="9" t="inlineStr">
        <is>
          <t>onConsumableExhausted</t>
        </is>
      </c>
      <c r="Q522" s="9" t="inlineStr">
        <is>
          <t>applyBuff；adjacent</t>
        </is>
      </c>
      <c r="R522" s="9" t="inlineStr">
        <is>
          <t>{"kind":"triggered","label":"相邻符箓耗尽时，获得 10 层炎热","triggeredEffect":{"trigger":"onConsumableExhausted","type":"applyBuff","buffId":"heat","count":10,"eventSource":{"target":{"type":"adjacent"},"filter":{"categories":["talisman"]},"keywordIds":["exhaust"]}},"starOverrides":{"1":{"label":"相邻符箓耗尽时，获得 15 层炎热","triggeredEffect":{"count":15}},"2":{"label":"相邻符箓耗尽时，获得 20 层炎热","triggeredEffect":{"count":20}},"3":{"label":"相邻符箓耗尽时，获得 25 层炎热","triggeredEffect":{"count":25}}}}</t>
        </is>
      </c>
    </row>
    <row r="523" ht="32" customHeight="1">
      <c r="A523" s="8" t="n">
        <v>400103</v>
      </c>
      <c r="B523" s="8" t="inlineStr">
        <is>
          <t>凝晨荷盏</t>
        </is>
      </c>
      <c r="C523" s="8" t="inlineStr">
        <is>
          <t>法器</t>
        </is>
      </c>
      <c r="D523" s="8" t="inlineStr">
        <is>
          <t>common</t>
        </is>
      </c>
      <c r="E523" s="8" t="inlineStr">
        <is>
          <t>water</t>
        </is>
      </c>
      <c r="F523" s="8" t="n">
        <v>1</v>
      </c>
      <c r="G523" s="8" t="inlineStr">
        <is>
          <t>基础/顶层</t>
        </is>
      </c>
      <c r="H523" s="8" t="inlineStr"/>
      <c r="I523" s="9" t="inlineStr"/>
      <c r="J523" s="8" t="inlineStr"/>
      <c r="K523" s="8" t="inlineStr"/>
      <c r="L523" s="8" t="inlineStr"/>
      <c r="M523" s="8" t="inlineStr">
        <is>
          <t>条件触发</t>
        </is>
      </c>
      <c r="N523" s="8" t="inlineStr">
        <is>
          <t>triggered</t>
        </is>
      </c>
      <c r="O523" s="9" t="inlineStr">
        <is>
          <t>上方相邻水属性法器使用时，获得 2 层露水；上方相邻水属性法器使用时，获得 4 层露水；上方相邻水属性法器使用时，获得 6 层露水；上方相邻水属性法器使用时，获得 8 层露水</t>
        </is>
      </c>
      <c r="P523" s="9" t="inlineStr">
        <is>
          <t>onItemUse</t>
        </is>
      </c>
      <c r="Q523" s="9" t="inlineStr">
        <is>
          <t>applyBuff；directional-adjacent</t>
        </is>
      </c>
      <c r="R523" s="9" t="inlineStr">
        <is>
          <t>{"kind":"triggered","triggeredEffect":{"trigger":"onItemUse","type":"applyBuff","buffId":"dew","count":2,"eventSource":{"target":{"type":"directional-adjacent","direction":"up"},"filter":{"categories":["implement"],"elements":["water"]}}},"label":"上方相邻水属性法器使用时，获得 2 层露水","starOverrides":{"1":{"label":"上方相邻水属性法器使用时，获得 4 层露水","triggeredEffect":{"trigger":"onItemUse","type":"applyBuff","buffId":"dew","count":4}},"2":{"label":"上方相邻水属性法器使用时，获得 6 层露水","triggeredEffect":{"trigger":"onItemUse","type":"applyBuff","buffId":"dew","count":6}},"3":{"label":"上方相邻水属性法器使用时，获得 8 层露水","triggeredEffect":{"trigger":"onItemUse","type":"applyBuff","buffId":"dew","count":8}}}}</t>
        </is>
      </c>
    </row>
    <row r="524" ht="32" customHeight="1">
      <c r="A524" s="8" t="n">
        <v>400104</v>
      </c>
      <c r="B524" s="8" t="inlineStr">
        <is>
          <t>栖露藤环</t>
        </is>
      </c>
      <c r="C524" s="8" t="inlineStr">
        <is>
          <t>法器</t>
        </is>
      </c>
      <c r="D524" s="8" t="inlineStr">
        <is>
          <t>common</t>
        </is>
      </c>
      <c r="E524" s="8" t="inlineStr">
        <is>
          <t>wood</t>
        </is>
      </c>
      <c r="F524" s="8" t="n">
        <v>1</v>
      </c>
      <c r="G524" s="8" t="inlineStr">
        <is>
          <t>基础/顶层</t>
        </is>
      </c>
      <c r="H524" s="8" t="inlineStr"/>
      <c r="I524" s="9" t="inlineStr"/>
      <c r="J524" s="8" t="inlineStr"/>
      <c r="K524" s="8" t="inlineStr"/>
      <c r="L524" s="8" t="inlineStr"/>
      <c r="M524" s="8" t="inlineStr">
        <is>
          <t>周期触发</t>
        </is>
      </c>
      <c r="N524" s="8" t="inlineStr">
        <is>
          <t>periodicPulse</t>
        </is>
      </c>
      <c r="O524" s="9" t="inlineStr">
        <is>
          <t>每有 1 件相邻木属性道具，获得 2 层再生；每有 1 件相邻木属性道具，获得 4 层再生；每有 1 件相邻木属性道具，获得 6 层再生；每有 1 件相邻木属性道具，获得 8 层再生</t>
        </is>
      </c>
      <c r="P524" s="9" t="inlineStr"/>
      <c r="Q524" s="9" t="inlineStr"/>
      <c r="R524" s="9" t="inlineStr">
        <is>
          <t>{"kind":"periodicPulse","periodicPulse":{"intervalSec":12,"label":"每有 1 件相邻木属性道具，获得 2 层再生","buffGains":[{"buffId":"regeneration","count":2}],"scaling":{"mode":"count","source":"adjacentItems","elements":["wood"]}},"starOverrides":{"1":{"label":"每有 1 件相邻木属性道具，获得 4 层再生","periodicPulse":{"buffGains":[{"count":4}]}},"2":{"label":"每有 1 件相邻木属性道具，获得 6 层再生","periodicPulse":{"buffGains":[{"count":6}]}},"3":{"label":"每有 1 件相邻木属性道具，获得 8 层再生","periodicPulse":{"buffGains":[{"count":8}]}}}}</t>
        </is>
      </c>
    </row>
    <row r="525" ht="32" customHeight="1">
      <c r="A525" s="8" t="n">
        <v>400105</v>
      </c>
      <c r="B525" s="8" t="inlineStr">
        <is>
          <t>听雨竹简</t>
        </is>
      </c>
      <c r="C525" s="8" t="inlineStr">
        <is>
          <t>法器</t>
        </is>
      </c>
      <c r="D525" s="8" t="inlineStr">
        <is>
          <t>common</t>
        </is>
      </c>
      <c r="E525" s="8" t="inlineStr">
        <is>
          <t>wood</t>
        </is>
      </c>
      <c r="F525" s="8" t="n">
        <v>1</v>
      </c>
      <c r="G525" s="8" t="inlineStr">
        <is>
          <t>基础/顶层</t>
        </is>
      </c>
      <c r="H525" s="8" t="inlineStr"/>
      <c r="I525" s="9" t="inlineStr"/>
      <c r="J525" s="8" t="inlineStr"/>
      <c r="K525" s="8" t="inlineStr"/>
      <c r="L525" s="8" t="inlineStr"/>
      <c r="M525" s="8" t="inlineStr">
        <is>
          <t>周期触发</t>
        </is>
      </c>
      <c r="N525" s="8" t="inlineStr">
        <is>
          <t>periodicPulse</t>
        </is>
      </c>
      <c r="O525" s="9" t="inlineStr">
        <is>
          <t>最多将 2 层露水转化为修为，每 1 层转化为 3 点修为；最多将 4 层露水转化为修为，每 1 层转化为 3 点修为；最多将 6 层露水转化为修为，每 1 层转化为 3 点修为；最多将 8 层露水转化为修为，每 1 层转化为 3 点修为</t>
        </is>
      </c>
      <c r="P525" s="9" t="inlineStr">
        <is>
          <t>onPeriodicPulse</t>
        </is>
      </c>
      <c r="Q525" s="9" t="inlineStr">
        <is>
          <t>consumeBuffStacks</t>
        </is>
      </c>
      <c r="R525" s="9" t="inlineStr">
        <is>
          <t>{"kind":"periodicPulse","periodicPulse":{"intervalSec":6,"label":"最多将 2 层露水转化为修为，每 1 层转化为 3 点修为"},"executors":[{"trigger":"onPeriodicPulse","type":"consumeBuffStacks","sourceBuffId":"dew","maxStacks":2,"cultivationGainPerStack":3,"activationRequirements":{"buffStackThresholds":[{"buffId":"dew","comparator":"atLeast","count":1}]},"label":"最多将 2 层露水转化为修为，每 1 层转化为 3 点修为"}],"starOverrides":{"1":{"label":"最多将 4 层露水转化为修为，每 1 层转化为 3 点修为","executors":[{"maxStacks":4,"label":"最多将 4 层露水转化为修为，每 1 层转化为 3 点修为","activationRequirements":{"buffStackThresholds":[{"count":1}]}}]},"2":{"label":"最多将 6 层露水转化为修为，每 1 层转化为 3 点修为","executors":[{"maxStacks":6,"label":"最多将 6 层露水转化为修为，每 1 层转化为 3 点修为","activationRequirements":{"buffStackThresholds":[{"count":1}]}}]},"3":{"label":"最多将 8 层露水转化为修为，每 1 层转化为 3 点修为","executors":[{"maxStacks":8,"label":"最多将 8 层露水转化为修为，每 1 层转化为 3 点修为","activationRequirements":{"buffStackThresholds":[{"count":1}]}}]}}}</t>
        </is>
      </c>
    </row>
    <row r="526" ht="32" customHeight="1">
      <c r="A526" s="8" t="n">
        <v>400106</v>
      </c>
      <c r="B526" s="8" t="inlineStr">
        <is>
          <t>润神玉铃</t>
        </is>
      </c>
      <c r="C526" s="8" t="inlineStr">
        <is>
          <t>法器</t>
        </is>
      </c>
      <c r="D526" s="8" t="inlineStr">
        <is>
          <t>common</t>
        </is>
      </c>
      <c r="E526" s="8" t="inlineStr">
        <is>
          <t>water</t>
        </is>
      </c>
      <c r="F526" s="8" t="n">
        <v>1</v>
      </c>
      <c r="G526" s="8" t="inlineStr">
        <is>
          <t>基础/顶层</t>
        </is>
      </c>
      <c r="H526" s="8" t="inlineStr"/>
      <c r="I526" s="9" t="inlineStr"/>
      <c r="J526" s="8" t="inlineStr"/>
      <c r="K526" s="8" t="inlineStr"/>
      <c r="L526" s="8" t="inlineStr"/>
      <c r="M526" s="8" t="inlineStr">
        <is>
          <t>周期触发</t>
        </is>
      </c>
      <c r="N526" s="8" t="inlineStr">
        <is>
          <t>periodicPulse</t>
        </is>
      </c>
      <c r="O526" s="9" t="inlineStr">
        <is>
          <t>将 2 层露水转化为 2 层敏捷；将 4 层露水转化为 4 层敏捷；将 8 层露水转化为 8 层敏捷；将 16 层露水转化为 16 层敏捷</t>
        </is>
      </c>
      <c r="P526" s="9" t="inlineStr">
        <is>
          <t>onPeriodicPulse</t>
        </is>
      </c>
      <c r="Q526" s="9" t="inlineStr">
        <is>
          <t>convertBuffStacks</t>
        </is>
      </c>
      <c r="R526" s="9" t="inlineStr">
        <is>
          <t>{"kind":"periodicPulse","periodicPulse":{"intervalSec":6,"label":"将 2 层露水转化为 2 层敏捷"},"executors":[{"trigger":"onPeriodicPulse","type":"convertBuffStacks","sourceBuffId":"dew","targetBuffId":"agile","maxStacks":2,"activationRequirements":{"buffStackThresholds":[{"buffId":"dew","comparator":"atLeast","count":2}]},"label":"将 2 层露水转化为 2 层敏捷","requiredStacks":2}],"starOverrides":{"1":{"label":"将 4 层露水转化为 4 层敏捷","executors":[{"maxStacks":4,"requiredStacks":4,"label":"将 4 层露水转化为 4 层敏捷","activationRequirements":{"buffStackThresholds":[{"count":4}]}}]},"2":{"label":"将 8 层露水转化为 8 层敏捷","executors":[{"maxStacks":8,"requiredStacks":8,"label":"将 8 层露水转化为 8 层敏捷","activationRequirements":{"buffStackThresholds":[{"count":8}]}}]},"3":{"label":"将 16 层露水转化为 16 层敏捷","executors":[{"maxStacks":16,"requiredStacks":16,"label":"将 16 层露水转化为 16 层敏捷","activationRequirements":{"buffStackThresholds":[{"count":16}]}}]}}}</t>
        </is>
      </c>
    </row>
    <row r="527" ht="32" customHeight="1">
      <c r="A527" s="8" t="n">
        <v>400107</v>
      </c>
      <c r="B527" s="8" t="inlineStr">
        <is>
          <t>甘霖石匣</t>
        </is>
      </c>
      <c r="C527" s="8" t="inlineStr">
        <is>
          <t>法器</t>
        </is>
      </c>
      <c r="D527" s="8" t="inlineStr">
        <is>
          <t>common</t>
        </is>
      </c>
      <c r="E527" s="8" t="inlineStr">
        <is>
          <t>water</t>
        </is>
      </c>
      <c r="F527" s="8" t="n">
        <v>1</v>
      </c>
      <c r="G527" s="8" t="inlineStr">
        <is>
          <t>基础/顶层</t>
        </is>
      </c>
      <c r="H527" s="8" t="inlineStr"/>
      <c r="I527" s="9" t="inlineStr"/>
      <c r="J527" s="8" t="inlineStr"/>
      <c r="K527" s="8" t="inlineStr"/>
      <c r="L527" s="8" t="inlineStr"/>
      <c r="M527" s="8" t="inlineStr">
        <is>
          <t>周期触发</t>
        </is>
      </c>
      <c r="N527" s="8" t="inlineStr">
        <is>
          <t>periodicPulse</t>
        </is>
      </c>
      <c r="O527" s="9" t="inlineStr">
        <is>
          <t>最多将 8 层露水转化为等量修为；最多将 10 层露水转化为等量修为；最多将 12 层露水转化为等量修为；最多将 14 层露水转化为等量修为</t>
        </is>
      </c>
      <c r="P527" s="9" t="inlineStr">
        <is>
          <t>onPeriodicPulse</t>
        </is>
      </c>
      <c r="Q527" s="9" t="inlineStr">
        <is>
          <t>consumeBuffStacks</t>
        </is>
      </c>
      <c r="R527" s="9" t="inlineStr">
        <is>
          <t>{"kind":"periodicPulse","periodicPulse":{"intervalSec":12,"label":"最多将 8 层露水转化为等量修为"},"executors":[{"trigger":"onPeriodicPulse","type":"consumeBuffStacks","sourceBuffId":"dew","maxStacks":8,"cultivationGainPerStack":1,"activationRequirements":{"buffStackThresholds":[{"buffId":"dew","comparator":"atLeast","count":1}]},"label":"最多将 8 层露水转化为等量修为"}],"starOverrides":{"1":{"label":"最多将 10 层露水转化为等量修为","executors":[{"maxStacks":10,"label":"最多将 10 层露水转化为等量修为","activationRequirements":{"buffStackThresholds":[{"count":1}]}}]},"2":{"label":"最多将 12 层露水转化为等量修为","executors":[{"maxStacks":12,"label":"最多将 12 层露水转化为等量修为","activationRequirements":{"buffStackThresholds":[{"count":1}]}}]},"3":{"label":"最多将 14 层露水转化为等量修为","executors":[{"maxStacks":14,"label":"最多将 14 层露水转化为等量修为","activationRequirements":{"buffStackThresholds":[{"count":1}]}}]}}}</t>
        </is>
      </c>
    </row>
    <row r="528" ht="32" customHeight="1">
      <c r="A528" s="8" t="n">
        <v>400108</v>
      </c>
      <c r="B528" s="8" t="inlineStr">
        <is>
          <t>寒露回潮瓶</t>
        </is>
      </c>
      <c r="C528" s="8" t="inlineStr">
        <is>
          <t>法器</t>
        </is>
      </c>
      <c r="D528" s="8" t="inlineStr">
        <is>
          <t>common</t>
        </is>
      </c>
      <c r="E528" s="8" t="inlineStr">
        <is>
          <t>water</t>
        </is>
      </c>
      <c r="F528" s="8" t="n">
        <v>1</v>
      </c>
      <c r="G528" s="8" t="inlineStr">
        <is>
          <t>基础/顶层</t>
        </is>
      </c>
      <c r="H528" s="8" t="inlineStr"/>
      <c r="I528" s="9" t="inlineStr"/>
      <c r="J528" s="8" t="inlineStr"/>
      <c r="K528" s="8" t="inlineStr"/>
      <c r="L528" s="8" t="inlineStr"/>
      <c r="M528" s="8" t="inlineStr">
        <is>
          <t>周期触发</t>
        </is>
      </c>
      <c r="N528" s="8" t="inlineStr">
        <is>
          <t>periodicPulse</t>
        </is>
      </c>
      <c r="O528" s="9" t="inlineStr">
        <is>
          <t>最多将 2 层寒冷转化为露水；最多将 4 层寒冷转化为露水；最多将 6 层寒冷转化为露水；最多将 8 层寒冷转化为露水</t>
        </is>
      </c>
      <c r="P528" s="9" t="inlineStr">
        <is>
          <t>onPeriodicPulse</t>
        </is>
      </c>
      <c r="Q528" s="9" t="inlineStr">
        <is>
          <t>convertBuffStacks</t>
        </is>
      </c>
      <c r="R528" s="9" t="inlineStr">
        <is>
          <t>{"kind":"periodicPulse","periodicPulse":{"intervalSec":6,"label":"最多将 2 层寒冷转化为露水"},"executors":[{"trigger":"onPeriodicPulse","type":"convertBuffStacks","sourceBuffId":"cold","targetBuffId":"dew","maxStacks":2,"activationRequirements":{"buffStackThresholds":[{"buffId":"cold","comparator":"atLeast","count":1}]},"label":"最多将 2 层寒冷转化为露水"}],"starOverrides":{"1":{"label":"最多将 4 层寒冷转化为露水","executors":[{"maxStacks":4,"label":"最多将 4 层寒冷转化为露水"}]},"2":{"label":"最多将 6 层寒冷转化为露水","executors":[{"maxStacks":6,"label":"最多将 6 层寒冷转化为露水"}]},"3":{"label":"最多将 8 层寒冷转化为露水","executors":[{"maxStacks":8,"label":"最多将 8 层寒冷转化为露水"}]}}}</t>
        </is>
      </c>
    </row>
    <row r="529" ht="32" customHeight="1">
      <c r="A529" s="8" t="n">
        <v>400109</v>
      </c>
      <c r="B529" s="8" t="inlineStr">
        <is>
          <t>春泥引露盘</t>
        </is>
      </c>
      <c r="C529" s="8" t="inlineStr">
        <is>
          <t>法器</t>
        </is>
      </c>
      <c r="D529" s="8" t="inlineStr">
        <is>
          <t>common</t>
        </is>
      </c>
      <c r="E529" s="8" t="inlineStr">
        <is>
          <t>water</t>
        </is>
      </c>
      <c r="F529" s="8" t="n">
        <v>1</v>
      </c>
      <c r="G529" s="8" t="inlineStr">
        <is>
          <t>基础/顶层</t>
        </is>
      </c>
      <c r="H529" s="8" t="inlineStr"/>
      <c r="I529" s="9" t="inlineStr"/>
      <c r="J529" s="8" t="inlineStr"/>
      <c r="K529" s="8" t="inlineStr"/>
      <c r="L529" s="8" t="inlineStr"/>
      <c r="M529" s="8" t="inlineStr">
        <is>
          <t>周期触发</t>
        </is>
      </c>
      <c r="N529" s="8" t="inlineStr">
        <is>
          <t>periodicPulse</t>
        </is>
      </c>
      <c r="O529" s="9" t="inlineStr">
        <is>
          <t>位于储物袋底部且上方相邻土属性道具时，获得 3 层露水；位于储物袋底部且上方相邻土属性道具时，获得 6 层露水；位于储物袋底部且上方相邻土属性道具时，获得 9 层露水；位于储物袋底部且上方相邻土属性道具时，获得 12 层露水</t>
        </is>
      </c>
      <c r="P529" s="9" t="inlineStr"/>
      <c r="Q529" s="9" t="inlineStr"/>
      <c r="R529" s="9" t="inlineStr">
        <is>
          <t>{"kind":"periodicPulse","periodicPulse":{"intervalSec":8,"label":"位于储物袋底部且上方相邻土属性道具时，获得 3 层露水","buffGains":[{"buffId":"dew","count":3}],"activationRequirements":{"sourceEdges":["bottom"],"directionalNeighbors":[{"direction":"up","elements":["earth"]}]}},"starOverrides":{"1":{"label":"位于储物袋底部且上方相邻土属性道具时，获得 6 层露水","periodicPulse":{"buffGains":[{"count":6}]}},"2":{"label":"位于储物袋底部且上方相邻土属性道具时，获得 9 层露水","periodicPulse":{"buffGains":[{"count":9}]}},"3":{"label":"位于储物袋底部且上方相邻土属性道具时，获得 12 层露水","periodicPulse":{"buffGains":[{"count":12}]}}}}</t>
        </is>
      </c>
    </row>
    <row r="530" ht="32" customHeight="1">
      <c r="A530" s="8" t="n">
        <v>400110</v>
      </c>
      <c r="B530" s="8" t="inlineStr">
        <is>
          <t>药圃针盘</t>
        </is>
      </c>
      <c r="C530" s="8" t="inlineStr">
        <is>
          <t>法器</t>
        </is>
      </c>
      <c r="D530" s="8" t="inlineStr">
        <is>
          <t>common</t>
        </is>
      </c>
      <c r="E530" s="8" t="inlineStr">
        <is>
          <t>wood</t>
        </is>
      </c>
      <c r="F530" s="8" t="n">
        <v>1</v>
      </c>
      <c r="G530" s="8" t="inlineStr">
        <is>
          <t>基础/顶层</t>
        </is>
      </c>
      <c r="H530" s="8" t="inlineStr"/>
      <c r="I530" s="9" t="inlineStr"/>
      <c r="J530" s="8" t="inlineStr"/>
      <c r="K530" s="8" t="inlineStr"/>
      <c r="L530" s="8" t="inlineStr"/>
      <c r="M530" s="8" t="inlineStr">
        <is>
          <t>条件触发</t>
        </is>
      </c>
      <c r="N530" s="8" t="inlineStr">
        <is>
          <t>triggered</t>
        </is>
      </c>
      <c r="O530" s="9" t="inlineStr">
        <is>
          <t>相邻丹药耗尽时，获得 4 层再生；相邻丹药耗尽时，获得 8 层再生；相邻丹药耗尽时，获得 12 层再生；相邻丹药耗尽时，获得 16 层再生</t>
        </is>
      </c>
      <c r="P530" s="9" t="inlineStr">
        <is>
          <t>onConsumableExhausted</t>
        </is>
      </c>
      <c r="Q530" s="9" t="inlineStr">
        <is>
          <t>applyBuff；adjacent</t>
        </is>
      </c>
      <c r="R530" s="9" t="inlineStr">
        <is>
          <t>{"kind":"triggered","label":"相邻丹药耗尽时，获得 4 层再生","triggeredEffect":{"trigger":"onConsumableExhausted","type":"applyBuff","buffId":"regeneration","count":4,"eventSource":{"target":{"type":"adjacent"},"filter":{"categories":["pill"]},"keywordIds":["exhaust"]}},"starOverrides":{"1":{"label":"相邻丹药耗尽时，获得 8 层再生","triggeredEffect":{"count":8}},"2":{"label":"相邻丹药耗尽时，获得 12 层再生","triggeredEffect":{"count":12}},"3":{"label":"相邻丹药耗尽时，获得 16 层再生","triggeredEffect":{"count":16}}}}</t>
        </is>
      </c>
    </row>
    <row r="531" ht="32" customHeight="1">
      <c r="A531" s="8" t="n">
        <v>400111</v>
      </c>
      <c r="B531" s="8" t="inlineStr">
        <is>
          <t>符缘檀匣</t>
        </is>
      </c>
      <c r="C531" s="8" t="inlineStr">
        <is>
          <t>法器</t>
        </is>
      </c>
      <c r="D531" s="8" t="inlineStr">
        <is>
          <t>common</t>
        </is>
      </c>
      <c r="E531" s="8" t="inlineStr">
        <is>
          <t>wood</t>
        </is>
      </c>
      <c r="F531" s="8" t="n">
        <v>1</v>
      </c>
      <c r="G531" s="8" t="inlineStr">
        <is>
          <t>基础/顶层</t>
        </is>
      </c>
      <c r="H531" s="8" t="inlineStr"/>
      <c r="I531" s="9" t="inlineStr"/>
      <c r="J531" s="8" t="inlineStr"/>
      <c r="K531" s="8" t="inlineStr"/>
      <c r="L531" s="8" t="inlineStr"/>
      <c r="M531" s="8" t="inlineStr">
        <is>
          <t>条件触发</t>
        </is>
      </c>
      <c r="N531" s="8" t="inlineStr">
        <is>
          <t>triggered</t>
        </is>
      </c>
      <c r="O531" s="9" t="inlineStr">
        <is>
          <t>相邻符箓耗尽时，获得 4 层再生；相邻符箓耗尽时，获得 8 层再生；相邻符箓耗尽时，获得 12 层再生；相邻符箓耗尽时，获得 16 层再生</t>
        </is>
      </c>
      <c r="P531" s="9" t="inlineStr">
        <is>
          <t>onConsumableExhausted</t>
        </is>
      </c>
      <c r="Q531" s="9" t="inlineStr">
        <is>
          <t>applyBuff；adjacent</t>
        </is>
      </c>
      <c r="R531" s="9" t="inlineStr">
        <is>
          <t>{"kind":"triggered","label":"相邻符箓耗尽时，获得 4 层再生","triggeredEffect":{"trigger":"onConsumableExhausted","type":"applyBuff","buffId":"regeneration","count":4,"eventSource":{"target":{"type":"adjacent"},"filter":{"categories":["talisman"]},"keywordIds":["exhaust"]}},"starOverrides":{"1":{"label":"相邻符箓耗尽时，获得 8 层再生","triggeredEffect":{"count":8}},"2":{"label":"相邻符箓耗尽时，获得 12 层再生","triggeredEffect":{"count":12}},"3":{"label":"相邻符箓耗尽时，获得 16 层再生","triggeredEffect":{"count":16}}}}</t>
        </is>
      </c>
    </row>
    <row r="532" ht="32" customHeight="1">
      <c r="A532" s="8" t="n">
        <v>400112</v>
      </c>
      <c r="B532" s="8" t="inlineStr">
        <is>
          <t>返青玉璧</t>
        </is>
      </c>
      <c r="C532" s="8" t="inlineStr">
        <is>
          <t>法器</t>
        </is>
      </c>
      <c r="D532" s="8" t="inlineStr">
        <is>
          <t>common</t>
        </is>
      </c>
      <c r="E532" s="8" t="inlineStr">
        <is>
          <t>wood</t>
        </is>
      </c>
      <c r="F532" s="8" t="n">
        <v>1</v>
      </c>
      <c r="G532" s="8" t="inlineStr">
        <is>
          <t>基础/顶层</t>
        </is>
      </c>
      <c r="H532" s="8" t="inlineStr"/>
      <c r="I532" s="9" t="inlineStr"/>
      <c r="J532" s="8" t="inlineStr"/>
      <c r="K532" s="8" t="inlineStr"/>
      <c r="L532" s="8" t="inlineStr"/>
      <c r="M532" s="8" t="inlineStr">
        <is>
          <t>周期触发</t>
        </is>
      </c>
      <c r="N532" s="8" t="inlineStr">
        <is>
          <t>periodicPulse</t>
        </is>
      </c>
      <c r="O532" s="9" t="inlineStr">
        <is>
          <t>露水超过 10 层时，恢复 6 点法力；露水超过 10 层时，恢复 9 点法力；露水超过 10 层时，恢复 12 点法力；露水超过 10 层时，恢复 15 点法力</t>
        </is>
      </c>
      <c r="P532" s="9" t="inlineStr">
        <is>
          <t>onPeriodicPulse</t>
        </is>
      </c>
      <c r="Q532" s="9" t="inlineStr">
        <is>
          <t>modifyPlayerPrimaryStat</t>
        </is>
      </c>
      <c r="R532" s="9" t="inlineStr">
        <is>
          <t>{"kind":"periodicPulse","periodicPulse":{"intervalSec":10,"label":"露水超过 10 层时，恢复 6 点法力"},"executors":[{"trigger":"onPeriodicPulse","type":"modifyPlayerPrimaryStat","stat":"mana","delta":6,"activationRequirements":{"buffStackThresholds":[{"buffId":"dew","comparator":"atLeast","count":11}]},"label":"露水超过 10 层时，恢复 6 点法力"}],"starOverrides":{"1":{"label":"露水超过 10 层时，恢复 9 点法力","periodicPulse":{"intervalSec":12},"executors":[{"delta":9,"label":"露水超过 10 层时，恢复 9 点法力"}]},"2":{"label":"露水超过 10 层时，恢复 12 点法力","periodicPulse":{"intervalSec":14},"executors":[{"delta":12,"label":"露水超过 10 层时，恢复 12 点法力"}]},"3":{"label":"露水超过 10 层时，恢复 15 点法力","periodicPulse":{"intervalSec":16},"executors":[{"delta":15,"label":"露水超过 10 层时，恢复 15 点法力"}]}}}</t>
        </is>
      </c>
    </row>
    <row r="533" ht="32" customHeight="1">
      <c r="A533" s="8" t="n">
        <v>400113</v>
      </c>
      <c r="B533" s="8" t="inlineStr">
        <is>
          <t>坠岳木筹</t>
        </is>
      </c>
      <c r="C533" s="8" t="inlineStr">
        <is>
          <t>法器</t>
        </is>
      </c>
      <c r="D533" s="8" t="inlineStr">
        <is>
          <t>common</t>
        </is>
      </c>
      <c r="E533" s="8" t="inlineStr">
        <is>
          <t>earth</t>
        </is>
      </c>
      <c r="F533" s="8" t="n">
        <v>1</v>
      </c>
      <c r="G533" s="8" t="inlineStr">
        <is>
          <t>基础/顶层</t>
        </is>
      </c>
      <c r="H533" s="8" t="inlineStr"/>
      <c r="I533" s="9" t="inlineStr"/>
      <c r="J533" s="8" t="inlineStr"/>
      <c r="K533" s="8" t="inlineStr"/>
      <c r="L533" s="8" t="inlineStr"/>
      <c r="M533" s="8" t="inlineStr">
        <is>
          <t>周期触发</t>
        </is>
      </c>
      <c r="N533" s="8" t="inlineStr">
        <is>
          <t>periodicPulse</t>
        </is>
      </c>
      <c r="O533" s="9" t="inlineStr">
        <is>
          <t>位于储物袋角落时，消耗 5 点体力；位于储物袋角落时，消耗 8 点体力；位于储物袋角落时，消耗 11 点体力；位于储物袋角落时，消耗 14 点体力</t>
        </is>
      </c>
      <c r="P533" s="9" t="inlineStr"/>
      <c r="Q533" s="9" t="inlineStr"/>
      <c r="R533" s="9" t="inlineStr">
        <is>
          <t>{"kind":"periodicPulse","periodicPulse":{"intervalSec":10,"label":"位于储物袋角落时，消耗 5 点体力","activationRequirements":{"requireCorner":true},"primaryStatCosts":[{"stat":"stamina","amount":5}]},"starOverrides":{"1":{"label":"位于储物袋角落时，消耗 8 点体力","periodicPulse":{"primaryStatCosts":[{"stat":"stamina","amount":8}]}},"2":{"label":"位于储物袋角落时，消耗 11 点体力","periodicPulse":{"primaryStatCosts":[{"stat":"stamina","amount":11}]}},"3":{"label":"位于储物袋角落时，消耗 14 点体力","periodicPulse":{"primaryStatCosts":[{"stat":"stamina","amount":14}]}}}}</t>
        </is>
      </c>
    </row>
    <row r="534" ht="32" customHeight="1">
      <c r="A534" s="8" t="n">
        <v>400114</v>
      </c>
      <c r="B534" s="8" t="inlineStr">
        <is>
          <t>钢制匕首</t>
        </is>
      </c>
      <c r="C534" s="8" t="inlineStr">
        <is>
          <t>法器</t>
        </is>
      </c>
      <c r="D534" s="8" t="inlineStr">
        <is>
          <t>common</t>
        </is>
      </c>
      <c r="E534" s="8" t="inlineStr">
        <is>
          <t>none</t>
        </is>
      </c>
      <c r="F534" s="8" t="n">
        <v>1</v>
      </c>
      <c r="G534" s="8" t="inlineStr">
        <is>
          <t>基础/顶层</t>
        </is>
      </c>
      <c r="H534" s="8" t="inlineStr"/>
      <c r="I534" s="9" t="inlineStr"/>
      <c r="J534" s="8" t="inlineStr"/>
      <c r="K534" s="8" t="inlineStr"/>
      <c r="L534" s="8" t="inlineStr"/>
      <c r="M534" s="8" t="inlineStr">
        <is>
          <t>周期触发</t>
        </is>
      </c>
      <c r="N534" s="8" t="inlineStr">
        <is>
          <t>periodicPulse</t>
        </is>
      </c>
      <c r="O534" s="9" t="inlineStr">
        <is>
          <t>对敌人造成 1 点伤害；对敌人造成 2 点伤害；对敌人造成 3 点伤害；对敌人造成 4 点伤害</t>
        </is>
      </c>
      <c r="P534" s="9" t="inlineStr"/>
      <c r="Q534" s="9" t="inlineStr"/>
      <c r="R534" s="9" t="inlineStr">
        <is>
          <t>{"kind":"periodicPulse","periodicPulse":{"intervalSec":6,"label":"&lt;battle&gt;对敌人造成 1 点伤害&lt;/battle&gt;","damageHealth":{"target":"enemy","amount":1}},"starOverrides":{"1":{"label":"&lt;battle&gt;对敌人造成 2 点伤害&lt;/battle&gt;","periodicPulse":{"damageHealth":{"amount":2}}},"2":{"label":"&lt;battle&gt;对敌人造成 3 点伤害&lt;/battle&gt;","periodicPulse":{"damageHealth":{"amount":3}}},"3":{"label":"&lt;battle&gt;对敌人造成 4 点伤害&lt;/battle&gt;","periodicPulse":{"damageHealth":{"amount":4}}}}}</t>
        </is>
      </c>
    </row>
    <row r="535" ht="32" customHeight="1">
      <c r="A535" s="8" t="n">
        <v>400115</v>
      </c>
      <c r="B535" s="8" t="inlineStr">
        <is>
          <t>三影飞针</t>
        </is>
      </c>
      <c r="C535" s="8" t="inlineStr">
        <is>
          <t>法器</t>
        </is>
      </c>
      <c r="D535" s="8" t="inlineStr">
        <is>
          <t>common</t>
        </is>
      </c>
      <c r="E535" s="8" t="inlineStr">
        <is>
          <t>none</t>
        </is>
      </c>
      <c r="F535" s="8" t="n">
        <v>1</v>
      </c>
      <c r="G535" s="8" t="inlineStr">
        <is>
          <t>基础/顶层</t>
        </is>
      </c>
      <c r="H535" s="8" t="inlineStr"/>
      <c r="I535" s="9" t="inlineStr"/>
      <c r="J535" s="8" t="inlineStr"/>
      <c r="K535" s="8" t="inlineStr"/>
      <c r="L535" s="8" t="inlineStr"/>
      <c r="M535" s="8" t="inlineStr">
        <is>
          <t>周期触发</t>
        </is>
      </c>
      <c r="N535" s="8" t="inlineStr">
        <is>
          <t>periodicPulse</t>
        </is>
      </c>
      <c r="O535" s="9" t="inlineStr">
        <is>
          <t>开局时，消耗 1 点法力，对敌人造成 1 点伤害，使用 3 次；开局时，消耗 2 点法力，对敌人造成 2 点伤害，使用 3 次；开局时，消耗 3 点法力，对敌人造成 3 点伤害，使用 3 次；开局时，消耗 4 点法力，对敌人造成 4 点伤害，使用 3 次</t>
        </is>
      </c>
      <c r="P535" s="9" t="inlineStr"/>
      <c r="Q535" s="9" t="inlineStr"/>
      <c r="R535" s="9" t="inlineStr">
        <is>
          <t>{"kind":"periodicPulse","periodicPulse":{"label":"开局时，消耗 1 点法力，&lt;battle&gt;对敌人造成 1 点伤害，使用 3 次&lt;/battle&gt;","startOnly":true,"primaryStatCosts":[{"stat":"mana","amount":1}],"damageHealth":{"target":"enemy","amount":1,"repeatCount":3}},"label":"开局时，消耗 1 点法力，&lt;battle&gt;对敌人造成 1 点伤害，使用 3 次&lt;/battle&gt;","starOverrides":{"1":{"label":"开局时，消耗 2 点法力，&lt;battle&gt;对敌人造成 2 点伤害，使用 3 次&lt;/battle&gt;","periodicPulse":{"primaryStatCosts":[{"amount":2}],"damageHealth":{"amount":2,"repeatCount":3}}},"2":{"label":"开局时，消耗 3 点法力，&lt;battle&gt;对敌人造成 3 点伤害，使用 3 次&lt;/battle&gt;","periodicPulse":{"primaryStatCosts":[{"amount":3}],"damageHealth":{"amount":3,"repeatCount":3}}},"3":{"label":"开局时，消耗 4 点法力，&lt;battle&gt;对敌人造成 4 点伤害，使用 3 次&lt;/battle&gt;","periodicPulse":{"primaryStatCosts":[{"amount":4}],"damageHealth":{"amount":4,"repeatCount":3}}}}}</t>
        </is>
      </c>
    </row>
    <row r="536" ht="32" customHeight="1">
      <c r="A536" s="8" t="n">
        <v>400116</v>
      </c>
      <c r="B536" s="8" t="inlineStr">
        <is>
          <t>破甲爪腕</t>
        </is>
      </c>
      <c r="C536" s="8" t="inlineStr">
        <is>
          <t>法器</t>
        </is>
      </c>
      <c r="D536" s="8" t="inlineStr">
        <is>
          <t>common</t>
        </is>
      </c>
      <c r="E536" s="8" t="inlineStr">
        <is>
          <t>none</t>
        </is>
      </c>
      <c r="F536" s="8" t="n">
        <v>1</v>
      </c>
      <c r="G536" s="8" t="inlineStr">
        <is>
          <t>基础/顶层</t>
        </is>
      </c>
      <c r="H536" s="8" t="inlineStr"/>
      <c r="I536" s="9" t="inlineStr"/>
      <c r="J536" s="8" t="inlineStr"/>
      <c r="K536" s="8" t="inlineStr"/>
      <c r="L536" s="8" t="inlineStr"/>
      <c r="M536" s="8" t="inlineStr">
        <is>
          <t>周期触发</t>
        </is>
      </c>
      <c r="N536" s="8" t="inlineStr">
        <is>
          <t>periodicPulse</t>
        </is>
      </c>
      <c r="O536" s="9" t="inlineStr">
        <is>
          <t>移除敌人 6 层护甲，对敌人造成 2 点伤害；移除敌人 12 层护甲，对敌人造成 4 点伤害；移除敌人 18 层护甲，对敌人造成 6 点伤害；移除敌人 24 层护甲，对敌人造成 8 点伤害</t>
        </is>
      </c>
      <c r="P536" s="9" t="inlineStr"/>
      <c r="Q536" s="9" t="inlineStr"/>
      <c r="R536" s="9" t="inlineStr">
        <is>
          <t>{"kind":"periodicPulse","periodicPulse":{"intervalSec":10,"label":"&lt;battle&gt;移除敌人 6 层护甲，对敌人造成 2 点伤害&lt;/battle&gt;","removeBuffStacks":[{"target":"enemy","buffId":"armor","count":6}],"damageHealth":{"target":"enemy","amount":2}},"starOverrides":{"1":{"label":"&lt;battle&gt;移除敌人 12 层护甲，对敌人造成 4 点伤害&lt;/battle&gt;","periodicPulse":{"removeBuffStacks":[{"count":12}],"damageHealth":{"amount":4}}},"2":{"label":"&lt;battle&gt;移除敌人 18 层护甲，对敌人造成 6 点伤害&lt;/battle&gt;","periodicPulse":{"removeBuffStacks":[{"count":18}],"damageHealth":{"amount":6}}},"3":{"label":"&lt;battle&gt;移除敌人 24 层护甲，对敌人造成 8 点伤害&lt;/battle&gt;","periodicPulse":{"removeBuffStacks":[{"buffId":"armor","count":24}],"damageHealth":{"amount":8}}}}}</t>
        </is>
      </c>
    </row>
    <row r="537" ht="32" customHeight="1">
      <c r="A537" s="8" t="n">
        <v>400117</v>
      </c>
      <c r="B537" s="8" t="inlineStr">
        <is>
          <t>引灵短剑</t>
        </is>
      </c>
      <c r="C537" s="8" t="inlineStr">
        <is>
          <t>法器</t>
        </is>
      </c>
      <c r="D537" s="8" t="inlineStr">
        <is>
          <t>common</t>
        </is>
      </c>
      <c r="E537" s="8" t="inlineStr">
        <is>
          <t>none</t>
        </is>
      </c>
      <c r="F537" s="8" t="n">
        <v>1</v>
      </c>
      <c r="G537" s="8" t="inlineStr">
        <is>
          <t>基础/顶层</t>
        </is>
      </c>
      <c r="H537" s="8" t="inlineStr"/>
      <c r="I537" s="9" t="inlineStr"/>
      <c r="J537" s="8" t="inlineStr"/>
      <c r="K537" s="8" t="inlineStr"/>
      <c r="L537" s="8" t="inlineStr"/>
      <c r="M537" s="8" t="inlineStr">
        <is>
          <t>周期触发</t>
        </is>
      </c>
      <c r="N537" s="8" t="inlineStr">
        <is>
          <t>periodicPulse</t>
        </is>
      </c>
      <c r="O537" s="9" t="inlineStr">
        <is>
          <t>消耗 1 点法力，对敌人造成 4 点伤害；消耗 2 点法力，对敌人造成 8 点伤害；消耗 3 点法力，对敌人造成 12 点伤害；消耗 4 点法力，对敌人造成 16 点伤害</t>
        </is>
      </c>
      <c r="P537" s="9" t="inlineStr"/>
      <c r="Q537" s="9" t="inlineStr"/>
      <c r="R537" s="9" t="inlineStr">
        <is>
          <t>{"kind":"periodicPulse","periodicPulse":{"intervalSec":8,"label":"消耗 1 点法力，&lt;battle&gt;对敌人造成 4 点伤害&lt;/battle&gt;","primaryStatCosts":[{"stat":"mana","amount":1}],"damageHealth":{"target":"enemy","amount":4}},"starOverrides":{"1":{"label":"消耗 2 点法力，&lt;battle&gt;对敌人造成 8 点伤害&lt;/battle&gt;","periodicPulse":{"primaryStatCosts":[{"amount":2}],"damageHealth":{"amount":8}}},"2":{"label":"消耗 3 点法力，&lt;battle&gt;对敌人造成 12 点伤害&lt;/battle&gt;","periodicPulse":{"primaryStatCosts":[{"amount":3}],"damageHealth":{"amount":12}}},"3":{"label":"消耗 4 点法力，&lt;battle&gt;对敌人造成 16 点伤害&lt;/battle&gt;","periodicPulse":{"primaryStatCosts":[{"amount":4}],"damageHealth":{"amount":16}}}}}</t>
        </is>
      </c>
    </row>
    <row r="538" ht="32" customHeight="1">
      <c r="A538" s="8" t="n">
        <v>400118</v>
      </c>
      <c r="B538" s="8" t="inlineStr">
        <is>
          <t>银鳞臂甲</t>
        </is>
      </c>
      <c r="C538" s="8" t="inlineStr">
        <is>
          <t>法器</t>
        </is>
      </c>
      <c r="D538" s="8" t="inlineStr">
        <is>
          <t>common</t>
        </is>
      </c>
      <c r="E538" s="8" t="inlineStr">
        <is>
          <t>none</t>
        </is>
      </c>
      <c r="F538" s="8" t="n">
        <v>1</v>
      </c>
      <c r="G538" s="8" t="inlineStr">
        <is>
          <t>基础/顶层</t>
        </is>
      </c>
      <c r="H538" s="8" t="inlineStr"/>
      <c r="I538" s="9" t="inlineStr"/>
      <c r="J538" s="8" t="inlineStr"/>
      <c r="K538" s="8" t="inlineStr"/>
      <c r="L538" s="8" t="inlineStr"/>
      <c r="M538" s="8" t="inlineStr">
        <is>
          <t>周期触发</t>
        </is>
      </c>
      <c r="N538" s="8" t="inlineStr">
        <is>
          <t>periodicPulse</t>
        </is>
      </c>
      <c r="O538" s="9" t="inlineStr">
        <is>
          <t>开局时，获得 6 层护甲；开局时，获得 8 层护甲；开局时，获得 10 层护甲；开局时，获得 12 层护甲</t>
        </is>
      </c>
      <c r="P538" s="9" t="inlineStr"/>
      <c r="Q538" s="9" t="inlineStr"/>
      <c r="R538" s="9" t="inlineStr">
        <is>
          <t>{"kind":"periodicPulse","periodicPulse":{"label":"开局时，获得 6 层护甲","startOnly":true,"buffGains":[{"buffId":"armor","count":6}]},"label":"开局时，获得 6 层护甲","starOverrides":{"1":{"label":"开局时，获得 8 层护甲","periodicPulse":{"buffGains":[{"count":8}]}},"2":{"label":"开局时，获得 10 层护甲","periodicPulse":{"buffGains":[{"count":10}]}},"3":{"label":"开局时，获得 12 层护甲","periodicPulse":{"buffGains":[{"count":12}]}}}}</t>
        </is>
      </c>
    </row>
    <row r="539" ht="32" customHeight="1">
      <c r="A539" s="8" t="n">
        <v>400119</v>
      </c>
      <c r="B539" s="8" t="inlineStr">
        <is>
          <t>金纹护胸甲</t>
        </is>
      </c>
      <c r="C539" s="8" t="inlineStr">
        <is>
          <t>法器</t>
        </is>
      </c>
      <c r="D539" s="8" t="inlineStr">
        <is>
          <t>common</t>
        </is>
      </c>
      <c r="E539" s="8" t="inlineStr">
        <is>
          <t>none</t>
        </is>
      </c>
      <c r="F539" s="8" t="n">
        <v>1</v>
      </c>
      <c r="G539" s="8" t="inlineStr">
        <is>
          <t>基础/顶层</t>
        </is>
      </c>
      <c r="H539" s="8" t="inlineStr"/>
      <c r="I539" s="9" t="inlineStr"/>
      <c r="J539" s="8" t="inlineStr"/>
      <c r="K539" s="8" t="inlineStr"/>
      <c r="L539" s="8" t="inlineStr"/>
      <c r="M539" s="8" t="inlineStr">
        <is>
          <t>周期触发</t>
        </is>
      </c>
      <c r="N539" s="8" t="inlineStr">
        <is>
          <t>periodicPulse</t>
        </is>
      </c>
      <c r="O539" s="9" t="inlineStr">
        <is>
          <t>恢复 4 点体力；恢复 6 点体力；恢复 8 点体力；恢复 10 点体力</t>
        </is>
      </c>
      <c r="P539" s="9" t="inlineStr"/>
      <c r="Q539" s="9" t="inlineStr"/>
      <c r="R539" s="9" t="inlineStr">
        <is>
          <t>{"kind":"periodicPulse","periodicPulse":{"intervalSec":6,"label":"恢复 4 点体力","primaryStatGains":[{"stat":"stamina","amount":4}]},"starOverrides":{"1":{"label":"恢复 6 点体力","periodicPulse":{"primaryStatGains":[{"amount":6}]}},"2":{"label":"恢复 8 点体力","periodicPulse":{"primaryStatGains":[{"amount":8}]}},"3":{"label":"恢复 10 点体力","periodicPulse":{"primaryStatGains":[{"amount":10}]}}}}</t>
        </is>
      </c>
    </row>
    <row r="540" ht="32" customHeight="1">
      <c r="A540" s="8" t="n">
        <v>400120</v>
      </c>
      <c r="B540" s="8" t="inlineStr">
        <is>
          <t>迅捷短匕</t>
        </is>
      </c>
      <c r="C540" s="8" t="inlineStr">
        <is>
          <t>法器</t>
        </is>
      </c>
      <c r="D540" s="8" t="inlineStr">
        <is>
          <t>common</t>
        </is>
      </c>
      <c r="E540" s="8" t="inlineStr">
        <is>
          <t>none</t>
        </is>
      </c>
      <c r="F540" s="8" t="n">
        <v>1</v>
      </c>
      <c r="G540" s="8" t="inlineStr">
        <is>
          <t>基础/顶层</t>
        </is>
      </c>
      <c r="H540" s="8" t="inlineStr"/>
      <c r="I540" s="9" t="inlineStr"/>
      <c r="J540" s="8" t="inlineStr"/>
      <c r="K540" s="8" t="inlineStr"/>
      <c r="L540" s="8" t="inlineStr"/>
      <c r="M540" s="8" t="inlineStr">
        <is>
          <t>周期触发</t>
        </is>
      </c>
      <c r="N540" s="8" t="inlineStr">
        <is>
          <t>periodicPulse</t>
        </is>
      </c>
      <c r="O540" s="9" t="inlineStr">
        <is>
          <t>消耗 1 点法力，对敌人造成 1 点伤害；消耗 1 点法力，对敌人造成 2 点伤害；消耗 1 点法力，对敌人造成 3 点伤害；消耗 1 点法力，对敌人造成 4 点伤害</t>
        </is>
      </c>
      <c r="P540" s="9" t="inlineStr"/>
      <c r="Q540" s="9" t="inlineStr"/>
      <c r="R540" s="9" t="inlineStr">
        <is>
          <t>{"kind":"periodicPulse","periodicPulse":{"intervalSec":4,"label":"消耗 1 点法力，&lt;battle&gt;对敌人造成 1 点伤害&lt;/battle&gt;","primaryStatCosts":[{"stat":"mana","amount":1}],"damageHealth":{"target":"enemy","amount":1}},"starOverrides":{"1":{"label":"消耗 1 点法力，&lt;battle&gt;对敌人造成 2 点伤害&lt;/battle&gt;","periodicPulse":{"primaryStatCosts":[{"amount":1}],"damageHealth":{"amount":2}}},"2":{"label":"消耗 1 点法力，&lt;battle&gt;对敌人造成 3 点伤害&lt;/battle&gt;","periodicPulse":{"primaryStatCosts":[{"amount":1}],"damageHealth":{"amount":3}}},"3":{"label":"消耗 1 点法力，&lt;battle&gt;对敌人造成 4 点伤害&lt;/battle&gt;","periodicPulse":{"primaryStatCosts":[{"amount":1}],"damageHealth":{"amount":4}}}}}</t>
        </is>
      </c>
    </row>
    <row r="541" ht="32" customHeight="1">
      <c r="A541" s="8" t="n">
        <v>400121</v>
      </c>
      <c r="B541" s="8" t="inlineStr">
        <is>
          <t>对扣护臂</t>
        </is>
      </c>
      <c r="C541" s="8" t="inlineStr">
        <is>
          <t>法器</t>
        </is>
      </c>
      <c r="D541" s="8" t="inlineStr">
        <is>
          <t>common</t>
        </is>
      </c>
      <c r="E541" s="8" t="inlineStr">
        <is>
          <t>none</t>
        </is>
      </c>
      <c r="F541" s="8" t="n">
        <v>1</v>
      </c>
      <c r="G541" s="8" t="inlineStr">
        <is>
          <t>基础/顶层</t>
        </is>
      </c>
      <c r="H541" s="8" t="inlineStr"/>
      <c r="I541" s="9" t="inlineStr"/>
      <c r="J541" s="8" t="inlineStr"/>
      <c r="K541" s="8" t="inlineStr"/>
      <c r="L541" s="8" t="inlineStr"/>
      <c r="M541" s="8" t="inlineStr">
        <is>
          <t>条件触发</t>
        </is>
      </c>
      <c r="N541" s="8" t="inlineStr">
        <is>
          <t>triggered</t>
        </is>
      </c>
      <c r="O541" s="9" t="inlineStr">
        <is>
          <t>使用两侧相邻武器时，对敌人造成 1 点伤害；使用两侧相邻武器时，对敌人造成 2 点伤害；使用两侧相邻武器时，对敌人造成 3 点伤害；使用两侧相邻武器时，对敌人造成 4 点伤害</t>
        </is>
      </c>
      <c r="P541" s="9" t="inlineStr">
        <is>
          <t>onItemUse</t>
        </is>
      </c>
      <c r="Q541" s="9" t="inlineStr">
        <is>
          <t>battleDamageHealth；directional-adjacent</t>
        </is>
      </c>
      <c r="R541" s="9" t="inlineStr">
        <is>
          <t>{"kind":"triggered","triggeredEffect":{"trigger":"onItemUse","type":"battleDamageHealth","amount":1,"eventSource":{"target":{"type":"directional-adjacent","direction":"both-horizontal"},"filter":{"features":["weapon"]}}},"label":"&lt;battle&gt;使用两侧相邻武器时，对敌人造成 1 点伤害&lt;/battle&gt;","starOverrides":{"1":{"label":"&lt;battle&gt;使用两侧相邻武器时，对敌人造成 2 点伤害&lt;/battle&gt;","triggeredEffect":{"amount":2}},"2":{"label":"&lt;battle&gt;使用两侧相邻武器时，对敌人造成 3 点伤害&lt;/battle&gt;","triggeredEffect":{"amount":3}},"3":{"label":"&lt;battle&gt;使用两侧相邻武器时，对敌人造成 4 点伤害&lt;/battle&gt;","triggeredEffect":{"amount":4}}}}</t>
        </is>
      </c>
    </row>
    <row r="542" ht="32" customHeight="1">
      <c r="A542" s="8" t="n">
        <v>400122</v>
      </c>
      <c r="B542" s="8" t="inlineStr">
        <is>
          <t>龟纹刃盾</t>
        </is>
      </c>
      <c r="C542" s="8" t="inlineStr">
        <is>
          <t>法器</t>
        </is>
      </c>
      <c r="D542" s="8" t="inlineStr">
        <is>
          <t>common</t>
        </is>
      </c>
      <c r="E542" s="8" t="inlineStr">
        <is>
          <t>none</t>
        </is>
      </c>
      <c r="F542" s="8" t="n">
        <v>1</v>
      </c>
      <c r="G542" s="8" t="inlineStr">
        <is>
          <t>基础/顶层</t>
        </is>
      </c>
      <c r="H542" s="8" t="inlineStr"/>
      <c r="I542" s="9" t="inlineStr"/>
      <c r="J542" s="8" t="inlineStr"/>
      <c r="K542" s="8" t="inlineStr"/>
      <c r="L542" s="8" t="inlineStr"/>
      <c r="M542" s="8" t="inlineStr">
        <is>
          <t>周期触发</t>
        </is>
      </c>
      <c r="N542" s="8" t="inlineStr">
        <is>
          <t>periodicPulse</t>
        </is>
      </c>
      <c r="O542" s="9" t="inlineStr">
        <is>
          <t>获得 3 层护甲；获得 6 层护甲；获得 9 层护甲；获得 12 层护甲</t>
        </is>
      </c>
      <c r="P542" s="9" t="inlineStr"/>
      <c r="Q542" s="9" t="inlineStr"/>
      <c r="R542" s="9" t="inlineStr">
        <is>
          <t>{"kind":"periodicPulse","periodicPulse":{"intervalSec":8,"label":"获得 3 层护甲","buffGains":[{"buffId":"armor","count":3}]},"starOverrides":{"1":{"label":"获得 6 层护甲","periodicPulse":{"buffGains":[{"count":6}]}},"2":{"label":"获得 9 层护甲","periodicPulse":{"buffGains":[{"count":9}]}},"3":{"label":"获得 12 层护甲","periodicPulse":{"buffGains":[{"count":12}]}}}}</t>
        </is>
      </c>
    </row>
    <row r="543" ht="32" customHeight="1">
      <c r="A543" s="8" t="n">
        <v>400123</v>
      </c>
      <c r="B543" s="8" t="inlineStr">
        <is>
          <t>山纹方锤</t>
        </is>
      </c>
      <c r="C543" s="8" t="inlineStr">
        <is>
          <t>法器</t>
        </is>
      </c>
      <c r="D543" s="8" t="inlineStr">
        <is>
          <t>common</t>
        </is>
      </c>
      <c r="E543" s="8" t="inlineStr">
        <is>
          <t>none</t>
        </is>
      </c>
      <c r="F543" s="8" t="n">
        <v>1</v>
      </c>
      <c r="G543" s="8" t="inlineStr">
        <is>
          <t>基础/顶层</t>
        </is>
      </c>
      <c r="H543" s="8" t="inlineStr"/>
      <c r="I543" s="9" t="inlineStr"/>
      <c r="J543" s="8" t="inlineStr"/>
      <c r="K543" s="8" t="inlineStr"/>
      <c r="L543" s="8" t="inlineStr"/>
      <c r="M543" s="8" t="inlineStr">
        <is>
          <t>周期触发</t>
        </is>
      </c>
      <c r="N543" s="8" t="inlineStr">
        <is>
          <t>periodicPulse</t>
        </is>
      </c>
      <c r="O543" s="9" t="inlineStr">
        <is>
          <t>消耗 3 点体力，对敌人造成 12 点伤害；消耗 6 点体力，对敌人造成 24 点伤害；消耗 9 点体力，对敌人造成 36 点伤害；消耗 12 点体力，对敌人造成 48 点伤害</t>
        </is>
      </c>
      <c r="P543" s="9" t="inlineStr"/>
      <c r="Q543" s="9" t="inlineStr"/>
      <c r="R543" s="9" t="inlineStr">
        <is>
          <t>{"kind":"periodicPulse","periodicPulse":{"intervalSec":16,"label":"消耗 3 点体力，&lt;battle&gt;对敌人造成 12 点伤害&lt;/battle&gt;","primaryStatCosts":[{"stat":"stamina","amount":3}],"damageHealth":{"target":"enemy","amount":12}},"starOverrides":{"1":{"label":"消耗 6 点体力，&lt;battle&gt;对敌人造成 24 点伤害&lt;/battle&gt;","periodicPulse":{"primaryStatCosts":[{"amount":6}],"damageHealth":{"amount":24}}},"2":{"label":"消耗 9 点体力，&lt;battle&gt;对敌人造成 36 点伤害&lt;/battle&gt;","periodicPulse":{"primaryStatCosts":[{"amount":9}],"damageHealth":{"amount":36}}},"3":{"label":"消耗 12 点体力，&lt;battle&gt;对敌人造成 48 点伤害&lt;/battle&gt;","periodicPulse":{"primaryStatCosts":[{"amount":12}],"damageHealth":{"amount":48}}}}}</t>
        </is>
      </c>
    </row>
    <row r="544" ht="32" customHeight="1">
      <c r="A544" s="8" t="n">
        <v>400124</v>
      </c>
      <c r="B544" s="8" t="inlineStr">
        <is>
          <t>剜心轮刃</t>
        </is>
      </c>
      <c r="C544" s="8" t="inlineStr">
        <is>
          <t>法器</t>
        </is>
      </c>
      <c r="D544" s="8" t="inlineStr">
        <is>
          <t>common</t>
        </is>
      </c>
      <c r="E544" s="8" t="inlineStr">
        <is>
          <t>none</t>
        </is>
      </c>
      <c r="F544" s="8" t="n">
        <v>1</v>
      </c>
      <c r="G544" s="8" t="inlineStr">
        <is>
          <t>基础/顶层</t>
        </is>
      </c>
      <c r="H544" s="8" t="inlineStr"/>
      <c r="I544" s="9" t="inlineStr"/>
      <c r="J544" s="8" t="inlineStr"/>
      <c r="K544" s="8" t="inlineStr"/>
      <c r="L544" s="8" t="inlineStr"/>
      <c r="M544" s="8" t="inlineStr">
        <is>
          <t>周期触发</t>
        </is>
      </c>
      <c r="N544" s="8" t="inlineStr">
        <is>
          <t>periodicPulse</t>
        </is>
      </c>
      <c r="O544" s="9" t="inlineStr">
        <is>
          <t>消耗 1 点气血，对敌人造成 2 点伤害；消耗 2 点气血，对敌人造成 4 点伤害；消耗 3 点气血，对敌人造成 6 点伤害；消耗 4 点气血，对敌人造成 8 点伤害</t>
        </is>
      </c>
      <c r="P544" s="9" t="inlineStr"/>
      <c r="Q544" s="9" t="inlineStr"/>
      <c r="R544" s="9" t="inlineStr">
        <is>
          <t>{"kind":"periodicPulse","periodicPulse":{"intervalSec":6,"label":"消耗 1 点气血，&lt;battle&gt;对敌人造成 2 点伤害&lt;/battle&gt;","primaryStatCosts":[{"stat":"health","amount":1}],"damageHealth":{"target":"enemy","amount":2}},"starOverrides":{"1":{"label":"消耗 2 点气血，&lt;battle&gt;对敌人造成 4 点伤害&lt;/battle&gt;","periodicPulse":{"primaryStatCosts":[{"amount":2}],"damageHealth":{"amount":4}}},"2":{"label":"消耗 3 点气血，&lt;battle&gt;对敌人造成 6 点伤害&lt;/battle&gt;","periodicPulse":{"primaryStatCosts":[{"amount":3}],"damageHealth":{"amount":6}}},"3":{"label":"消耗 4 点气血，&lt;battle&gt;对敌人造成 8 点伤害&lt;/battle&gt;","periodicPulse":{"primaryStatCosts":[{"amount":4}],"damageHealth":{"amount":8}}}}}</t>
        </is>
      </c>
    </row>
    <row r="545" ht="32" customHeight="1">
      <c r="A545" s="8" t="n">
        <v>400125</v>
      </c>
      <c r="B545" s="8" t="inlineStr">
        <is>
          <t>血纹短矛</t>
        </is>
      </c>
      <c r="C545" s="8" t="inlineStr">
        <is>
          <t>法器</t>
        </is>
      </c>
      <c r="D545" s="8" t="inlineStr">
        <is>
          <t>common</t>
        </is>
      </c>
      <c r="E545" s="8" t="inlineStr">
        <is>
          <t>none</t>
        </is>
      </c>
      <c r="F545" s="8" t="n">
        <v>1</v>
      </c>
      <c r="G545" s="8" t="inlineStr">
        <is>
          <t>基础/顶层</t>
        </is>
      </c>
      <c r="H545" s="8" t="inlineStr"/>
      <c r="I545" s="9" t="inlineStr"/>
      <c r="J545" s="8" t="inlineStr"/>
      <c r="K545" s="8" t="inlineStr"/>
      <c r="L545" s="8" t="inlineStr"/>
      <c r="M545" s="8" t="inlineStr">
        <is>
          <t>周期触发</t>
        </is>
      </c>
      <c r="N545" s="8" t="inlineStr">
        <is>
          <t>periodicPulse</t>
        </is>
      </c>
      <c r="O545" s="9" t="inlineStr">
        <is>
          <t>消耗 4 点体力，对敌人造成 8 点伤害；消耗 8 点体力，对敌人造成 16 点伤害；消耗 12 点体力，对敌人造成 24 点伤害；消耗 16 点体力，对敌人造成 32 点伤害</t>
        </is>
      </c>
      <c r="P545" s="9" t="inlineStr"/>
      <c r="Q545" s="9" t="inlineStr"/>
      <c r="R545" s="9" t="inlineStr">
        <is>
          <t>{"kind":"periodicPulse","periodicPulse":{"intervalSec":9,"label":"消耗 4 点体力，&lt;battle&gt;对敌人造成 8 点伤害&lt;/battle&gt;","primaryStatCosts":[{"stat":"stamina","amount":4}],"damageHealth":{"target":"enemy","amount":8}},"starOverrides":{"1":{"label":"消耗 8 点体力，&lt;battle&gt;对敌人造成 16 点伤害&lt;/battle&gt;","periodicPulse":{"primaryStatCosts":[{"amount":8}],"damageHealth":{"amount":16}}},"2":{"label":"消耗 12 点体力，&lt;battle&gt;对敌人造成 24 点伤害&lt;/battle&gt;","periodicPulse":{"primaryStatCosts":[{"amount":12}],"damageHealth":{"amount":24}}},"3":{"label":"消耗 16 点体力，&lt;battle&gt;对敌人造成 32 点伤害&lt;/battle&gt;","periodicPulse":{"primaryStatCosts":[{"amount":16}],"damageHealth":{"amount":32}}}}}</t>
        </is>
      </c>
    </row>
    <row r="546" ht="32" customHeight="1">
      <c r="A546" s="8" t="n">
        <v>400126</v>
      </c>
      <c r="B546" s="8" t="inlineStr">
        <is>
          <t>裂心照影镜</t>
        </is>
      </c>
      <c r="C546" s="8" t="inlineStr">
        <is>
          <t>法器</t>
        </is>
      </c>
      <c r="D546" s="8" t="inlineStr">
        <is>
          <t>mystic</t>
        </is>
      </c>
      <c r="E546" s="8" t="inlineStr">
        <is>
          <t>metal</t>
        </is>
      </c>
      <c r="F546" s="8" t="n">
        <v>1</v>
      </c>
      <c r="G546" s="8" t="inlineStr">
        <is>
          <t>基础/顶层</t>
        </is>
      </c>
      <c r="H546" s="8" t="inlineStr"/>
      <c r="I546" s="9" t="inlineStr"/>
      <c r="J546" s="8" t="inlineStr"/>
      <c r="K546" s="8" t="inlineStr"/>
      <c r="L546" s="8" t="inlineStr"/>
      <c r="M546" s="8" t="inlineStr">
        <is>
          <t>周期触发</t>
        </is>
      </c>
      <c r="N546" s="8" t="inlineStr">
        <is>
          <t>periodicPulse</t>
        </is>
      </c>
      <c r="O546" s="9" t="inlineStr">
        <is>
          <t>使敌方随机 2 件道具减速 5 秒</t>
        </is>
      </c>
      <c r="P546" s="9" t="inlineStr"/>
      <c r="Q546" s="9" t="inlineStr"/>
      <c r="R546" s="9" t="inlineStr">
        <is>
          <t>{"kind":"periodicPulse","periodicPulse":{"intervalSec":15,"itemRuntimeStatusEffects":[{"itemRuntimeStatus":"slow","durationSec":5,"targetScope":"enemyRandom","amount":2}],"label":"&lt;battle&gt;使敌方随机 2 件道具减速 5 秒&lt;/battle&gt;"}}</t>
        </is>
      </c>
    </row>
    <row r="547" ht="32" customHeight="1">
      <c r="A547" s="8" t="n">
        <v>400126</v>
      </c>
      <c r="B547" s="8" t="inlineStr">
        <is>
          <t>裂心照影镜</t>
        </is>
      </c>
      <c r="C547" s="8" t="inlineStr">
        <is>
          <t>法器</t>
        </is>
      </c>
      <c r="D547" s="8" t="inlineStr">
        <is>
          <t>mystic</t>
        </is>
      </c>
      <c r="E547" s="8" t="inlineStr">
        <is>
          <t>metal</t>
        </is>
      </c>
      <c r="F547" s="8" t="n">
        <v>2</v>
      </c>
      <c r="G547" s="8" t="inlineStr">
        <is>
          <t>基础/顶层</t>
        </is>
      </c>
      <c r="H547" s="8" t="inlineStr"/>
      <c r="I547" s="9" t="inlineStr"/>
      <c r="J547" s="8" t="inlineStr"/>
      <c r="K547" s="8" t="inlineStr"/>
      <c r="L547" s="8" t="inlineStr"/>
      <c r="M547" s="8" t="inlineStr">
        <is>
          <t>条件触发</t>
        </is>
      </c>
      <c r="N547" s="8" t="inlineStr">
        <is>
          <t>triggered</t>
        </is>
      </c>
      <c r="O547" s="9" t="inlineStr">
        <is>
          <t>上方相邻道具轮转时，该道具获得 5 秒加速</t>
        </is>
      </c>
      <c r="P547" s="9" t="inlineStr">
        <is>
          <t>onPeriodicPulse</t>
        </is>
      </c>
      <c r="Q547" s="9" t="inlineStr">
        <is>
          <t>itemRuntimeStatus；directional-adjacent</t>
        </is>
      </c>
      <c r="R547" s="9" t="inlineStr">
        <is>
          <t>{"kind":"triggered","label":"上方相邻道具轮转时，该道具获得 5 秒加速","triggeredEffect":{"trigger":"onPeriodicPulse","type":"itemRuntimeStatus","itemRuntimeStatus":"haste","durationSec":5,"targetActor":"self","targetScope":"self","eventSource":{"target":{"type":"directional-adjacent","direction":"up"}}}}</t>
        </is>
      </c>
    </row>
    <row r="548" ht="32" customHeight="1">
      <c r="A548" s="8" t="n">
        <v>400127</v>
      </c>
      <c r="B548" s="8" t="inlineStr">
        <is>
          <t>血锚臂甲</t>
        </is>
      </c>
      <c r="C548" s="8" t="inlineStr">
        <is>
          <t>法器</t>
        </is>
      </c>
      <c r="D548" s="8" t="inlineStr">
        <is>
          <t>common</t>
        </is>
      </c>
      <c r="E548" s="8" t="inlineStr">
        <is>
          <t>none</t>
        </is>
      </c>
      <c r="F548" s="8" t="n">
        <v>1</v>
      </c>
      <c r="G548" s="8" t="inlineStr">
        <is>
          <t>基础/顶层</t>
        </is>
      </c>
      <c r="H548" s="8" t="inlineStr"/>
      <c r="I548" s="9" t="inlineStr"/>
      <c r="J548" s="8" t="inlineStr"/>
      <c r="K548" s="8" t="inlineStr"/>
      <c r="L548" s="8" t="inlineStr"/>
      <c r="M548" s="8" t="inlineStr">
        <is>
          <t>周期触发</t>
        </is>
      </c>
      <c r="N548" s="8" t="inlineStr">
        <is>
          <t>periodicPulse</t>
        </is>
      </c>
      <c r="O548" s="9" t="inlineStr">
        <is>
          <t>消耗 3 点气血，获得 6 层护甲；消耗 6 点气血，获得 12 层护甲；消耗 9 点气血，获得 18 层护甲；消耗 12 点气血，获得 24 层护甲</t>
        </is>
      </c>
      <c r="P548" s="9" t="inlineStr"/>
      <c r="Q548" s="9" t="inlineStr"/>
      <c r="R548" s="9" t="inlineStr">
        <is>
          <t>{"kind":"periodicPulse","periodicPulse":{"intervalSec":8,"label":"消耗 3 点气血，获得 6 层护甲","primaryStatCosts":[{"stat":"health","amount":3}],"buffGains":[{"buffId":"armor","count":6}]},"starOverrides":{"1":{"label":"消耗 6 点气血，获得 12 层护甲","periodicPulse":{"primaryStatCosts":[{"amount":6}],"buffGains":[{"count":12}]}},"2":{"label":"消耗 9 点气血，获得 18 层护甲","periodicPulse":{"primaryStatCosts":[{"amount":9}],"buffGains":[{"count":18}]}},"3":{"label":"消耗 12 点气血，获得 24 层护甲","periodicPulse":{"primaryStatCosts":[{"amount":12}],"buffGains":[{"count":24}]}}}}</t>
        </is>
      </c>
    </row>
    <row r="549" ht="32" customHeight="1">
      <c r="A549" s="8" t="n">
        <v>400128</v>
      </c>
      <c r="B549" s="8" t="inlineStr">
        <is>
          <t>回灵玉牌</t>
        </is>
      </c>
      <c r="C549" s="8" t="inlineStr">
        <is>
          <t>法器</t>
        </is>
      </c>
      <c r="D549" s="8" t="inlineStr">
        <is>
          <t>common</t>
        </is>
      </c>
      <c r="E549" s="8" t="inlineStr">
        <is>
          <t>none</t>
        </is>
      </c>
      <c r="F549" s="8" t="n">
        <v>1</v>
      </c>
      <c r="G549" s="8" t="inlineStr">
        <is>
          <t>基础/顶层</t>
        </is>
      </c>
      <c r="H549" s="8" t="inlineStr"/>
      <c r="I549" s="9" t="inlineStr"/>
      <c r="J549" s="8" t="inlineStr"/>
      <c r="K549" s="8" t="inlineStr"/>
      <c r="L549" s="8" t="inlineStr"/>
      <c r="M549" s="8" t="inlineStr">
        <is>
          <t>周期触发</t>
        </is>
      </c>
      <c r="N549" s="8" t="inlineStr">
        <is>
          <t>periodicPulse</t>
        </is>
      </c>
      <c r="O549" s="9" t="inlineStr">
        <is>
          <t>恢复 2 点法力；恢复 4 点法力；恢复 6 点法力；恢复 8 点法力</t>
        </is>
      </c>
      <c r="P549" s="9" t="inlineStr"/>
      <c r="Q549" s="9" t="inlineStr"/>
      <c r="R549" s="9" t="inlineStr">
        <is>
          <t>{"kind":"periodicPulse","periodicPulse":{"intervalSec":12,"label":"恢复 2 点法力","primaryStatGains":[{"stat":"mana","amount":2}]},"starOverrides":{"1":{"label":"恢复 4 点法力","periodicPulse":{"primaryStatGains":[{"amount":4}]}},"2":{"label":"恢复 6 点法力","periodicPulse":{"primaryStatGains":[{"amount":6}]}},"3":{"label":"恢复 8 点法力","periodicPulse":{"primaryStatGains":[{"amount":8}]}}}}</t>
        </is>
      </c>
    </row>
    <row r="550" ht="32" customHeight="1">
      <c r="A550" s="8" t="n">
        <v>400129</v>
      </c>
      <c r="B550" s="8" t="inlineStr">
        <is>
          <t>汲法银针</t>
        </is>
      </c>
      <c r="C550" s="8" t="inlineStr">
        <is>
          <t>法器</t>
        </is>
      </c>
      <c r="D550" s="8" t="inlineStr">
        <is>
          <t>common</t>
        </is>
      </c>
      <c r="E550" s="8" t="inlineStr">
        <is>
          <t>none</t>
        </is>
      </c>
      <c r="F550" s="8" t="n">
        <v>1</v>
      </c>
      <c r="G550" s="8" t="inlineStr">
        <is>
          <t>基础/顶层</t>
        </is>
      </c>
      <c r="H550" s="8" t="inlineStr"/>
      <c r="I550" s="9" t="inlineStr"/>
      <c r="J550" s="8" t="inlineStr"/>
      <c r="K550" s="8" t="inlineStr"/>
      <c r="L550" s="8" t="inlineStr"/>
      <c r="M550" s="8" t="inlineStr">
        <is>
          <t>周期触发</t>
        </is>
      </c>
      <c r="N550" s="8" t="inlineStr">
        <is>
          <t>periodicPulse</t>
        </is>
      </c>
      <c r="O550" s="9" t="inlineStr">
        <is>
          <t>吸取敌人 4 点法力；吸取敌人 8 点法力；吸取敌人 12 点法力；吸取敌人 16 点法力</t>
        </is>
      </c>
      <c r="P550" s="9" t="inlineStr"/>
      <c r="Q550" s="9" t="inlineStr"/>
      <c r="R550" s="9" t="inlineStr">
        <is>
          <t>{"kind":"periodicPulse","periodicPulse":{"intervalSec":12,"label":"&lt;battle&gt;吸取敌人 4 点法力&lt;/battle&gt;","drainPrimaryStat":{"target":"enemy","stat":"mana","amount":4,"gainAmount":4}},"label":"&lt;battle&gt;吸取敌人 4 点法力&lt;/battle&gt;","starOverrides":{"1":{"label":"&lt;battle&gt;吸取敌人 8 点法力&lt;/battle&gt;","periodicPulse":{"drainPrimaryStat":{"amount":8,"gainAmount":8}}},"2":{"label":"&lt;battle&gt;吸取敌人 12 点法力&lt;/battle&gt;","periodicPulse":{"drainPrimaryStat":{"amount":12,"gainAmount":12}}},"3":{"label":"&lt;battle&gt;吸取敌人 16 点法力&lt;/battle&gt;","periodicPulse":{"drainPrimaryStat":{"amount":16,"gainAmount":16}}}}}</t>
        </is>
      </c>
    </row>
    <row r="551" ht="32" customHeight="1">
      <c r="A551" s="8" t="n">
        <v>400130</v>
      </c>
      <c r="B551" s="8" t="inlineStr">
        <is>
          <t>锁灵潮镜</t>
        </is>
      </c>
      <c r="C551" s="8" t="inlineStr">
        <is>
          <t>法器</t>
        </is>
      </c>
      <c r="D551" s="8" t="inlineStr">
        <is>
          <t>common</t>
        </is>
      </c>
      <c r="E551" s="8" t="inlineStr">
        <is>
          <t>water</t>
        </is>
      </c>
      <c r="F551" s="8" t="n">
        <v>1</v>
      </c>
      <c r="G551" s="8" t="inlineStr">
        <is>
          <t>基础/顶层</t>
        </is>
      </c>
      <c r="H551" s="8" t="inlineStr"/>
      <c r="I551" s="9" t="inlineStr"/>
      <c r="J551" s="8" t="inlineStr"/>
      <c r="K551" s="8" t="inlineStr"/>
      <c r="L551" s="8" t="inlineStr"/>
      <c r="M551" s="8" t="inlineStr">
        <is>
          <t>周期触发</t>
        </is>
      </c>
      <c r="N551" s="8" t="inlineStr">
        <is>
          <t>periodicPulse</t>
        </is>
      </c>
      <c r="O551" s="9" t="inlineStr">
        <is>
          <t>消耗全部露水，吸取敌人 10 点法力；消耗全部露水；消耗全部露水，吸取敌人 15 点法力；消耗全部露水，吸取敌人 20 点法力；消耗全部露水，吸取敌人 25 点法力</t>
        </is>
      </c>
      <c r="P551" s="9" t="inlineStr">
        <is>
          <t>onPeriodicPulse</t>
        </is>
      </c>
      <c r="Q551" s="9" t="inlineStr">
        <is>
          <t>consumeBuffStacks</t>
        </is>
      </c>
      <c r="R551" s="9" t="inlineStr">
        <is>
          <t>{"kind":"periodicPulse","periodicPulse":{"intervalSec":15,"label":"消耗全部露水，&lt;battle&gt;吸取敌人 10 点法力&lt;/battle&gt;","drainPrimaryStat":{"target":"enemy","stat":"mana","amount":10,"gainAmount":10}},"executors":[{"trigger":"onPeriodicPulse","type":"consumeBuffStacks","sourceBuffId":"dew","label":"消耗全部露水"}],"label":"消耗全部露水，&lt;battle&gt;吸取敌人 10 点法力&lt;/battle&gt;","starOverrides":{"1":{"label":"消耗全部露水，&lt;battle&gt;吸取敌人 15 点法力&lt;/battle&gt;","periodicPulse":{"drainPrimaryStat":{"amount":15,"gainAmount":15}}},"2":{"label":"消耗全部露水，&lt;battle&gt;吸取敌人 20 点法力&lt;/battle&gt;","periodicPulse":{"drainPrimaryStat":{"amount":20,"gainAmount":20}}},"3":{"label":"消耗全部露水，&lt;battle&gt;吸取敌人 25 点法力&lt;/battle&gt;","periodicPulse":{"drainPrimaryStat":{"amount":25,"gainAmount":25}}}}}</t>
        </is>
      </c>
    </row>
    <row r="552" ht="32" customHeight="1">
      <c r="A552" s="8" t="n">
        <v>400131</v>
      </c>
      <c r="B552" s="8" t="inlineStr">
        <is>
          <t>夺法月铃</t>
        </is>
      </c>
      <c r="C552" s="8" t="inlineStr">
        <is>
          <t>法器</t>
        </is>
      </c>
      <c r="D552" s="8" t="inlineStr">
        <is>
          <t>common</t>
        </is>
      </c>
      <c r="E552" s="8" t="inlineStr">
        <is>
          <t>metal</t>
        </is>
      </c>
      <c r="F552" s="8" t="n">
        <v>1</v>
      </c>
      <c r="G552" s="8" t="inlineStr">
        <is>
          <t>基础/顶层</t>
        </is>
      </c>
      <c r="H552" s="8" t="inlineStr"/>
      <c r="I552" s="9" t="inlineStr"/>
      <c r="J552" s="8" t="inlineStr"/>
      <c r="K552" s="8" t="inlineStr"/>
      <c r="L552" s="8" t="inlineStr"/>
      <c r="M552" s="8" t="inlineStr">
        <is>
          <t>周期触发</t>
        </is>
      </c>
      <c r="N552" s="8" t="inlineStr">
        <is>
          <t>periodicPulse</t>
        </is>
      </c>
      <c r="O552" s="9" t="inlineStr">
        <is>
          <t>吸取敌人 1 点法力；吸取敌人 2 点法力；吸取敌人 3 点法力；吸取敌人 4 点法力</t>
        </is>
      </c>
      <c r="P552" s="9" t="inlineStr"/>
      <c r="Q552" s="9" t="inlineStr"/>
      <c r="R552" s="9" t="inlineStr">
        <is>
          <t>{"kind":"periodicPulse","periodicPulse":{"intervalSec":6,"label":"&lt;battle&gt;吸取敌人 1 点法力&lt;/battle&gt;","drainPrimaryStat":{"target":"enemy","stat":"mana","amount":1,"gainAmount":1}},"label":"&lt;battle&gt;吸取敌人 1 点法力&lt;/battle&gt;","starOverrides":{"1":{"label":"&lt;battle&gt;吸取敌人 2 点法力&lt;/battle&gt;","periodicPulse":{"drainPrimaryStat":{"amount":2,"gainAmount":2}}},"2":{"label":"&lt;battle&gt;吸取敌人 3 点法力&lt;/battle&gt;","periodicPulse":{"drainPrimaryStat":{"amount":3,"gainAmount":3}}},"3":{"label":"&lt;battle&gt;吸取敌人 4 点法力&lt;/battle&gt;","periodicPulse":{"drainPrimaryStat":{"amount":4,"gainAmount":4}}}}}</t>
        </is>
      </c>
    </row>
    <row r="553" ht="32" customHeight="1">
      <c r="A553" s="8" t="n">
        <v>400132</v>
      </c>
      <c r="B553" s="8" t="inlineStr">
        <is>
          <t>护命玉扣</t>
        </is>
      </c>
      <c r="C553" s="8" t="inlineStr">
        <is>
          <t>法器</t>
        </is>
      </c>
      <c r="D553" s="8" t="inlineStr">
        <is>
          <t>common</t>
        </is>
      </c>
      <c r="E553" s="8" t="inlineStr">
        <is>
          <t>none</t>
        </is>
      </c>
      <c r="F553" s="8" t="n">
        <v>1</v>
      </c>
      <c r="G553" s="8" t="inlineStr">
        <is>
          <t>基础/顶层</t>
        </is>
      </c>
      <c r="H553" s="8" t="inlineStr"/>
      <c r="I553" s="9" t="inlineStr"/>
      <c r="J553" s="8" t="inlineStr"/>
      <c r="K553" s="8" t="inlineStr"/>
      <c r="L553" s="8" t="inlineStr"/>
      <c r="M553" s="8" t="inlineStr">
        <is>
          <t>周期触发</t>
        </is>
      </c>
      <c r="N553" s="8" t="inlineStr">
        <is>
          <t>periodicPulse</t>
        </is>
      </c>
      <c r="O553" s="9" t="inlineStr">
        <is>
          <t>每有 1 件相邻装备，恢复 1 点气血；每有 1 件相邻装备，恢复 2 点气血；每有 1 件相邻装备，恢复 3 点气血；每有 1 件相邻装备，恢复 4 点气血</t>
        </is>
      </c>
      <c r="P553" s="9" t="inlineStr"/>
      <c r="Q553" s="9" t="inlineStr"/>
      <c r="R553" s="9" t="inlineStr">
        <is>
          <t>{"kind":"periodicPulse","periodicPulse":{"intervalSec":12,"label":"每有 1 件相邻装备，恢复 1 点气血","primaryStatGains":[{"stat":"health","amount":1}],"scaling":{"mode":"count","source":"adjacentItems","features":["equipment"]}},"starOverrides":{"1":{"label":"每有 1 件相邻装备，恢复 2 点气血","periodicPulse":{"primaryStatGains":[{"amount":2}]}},"2":{"label":"每有 1 件相邻装备，恢复 3 点气血","periodicPulse":{"primaryStatGains":[{"amount":3}]}},"3":{"label":"每有 1 件相邻装备，恢复 4 点气血","periodicPulse":{"primaryStatGains":[{"amount":4}]}}}}</t>
        </is>
      </c>
    </row>
    <row r="554" ht="32" customHeight="1">
      <c r="A554" s="8" t="n">
        <v>400133</v>
      </c>
      <c r="B554" s="8" t="inlineStr">
        <is>
          <t>碧螳破阵臂</t>
        </is>
      </c>
      <c r="C554" s="8" t="inlineStr">
        <is>
          <t>法器</t>
        </is>
      </c>
      <c r="D554" s="8" t="inlineStr">
        <is>
          <t>common</t>
        </is>
      </c>
      <c r="E554" s="8" t="inlineStr">
        <is>
          <t>none</t>
        </is>
      </c>
      <c r="F554" s="8" t="n">
        <v>1</v>
      </c>
      <c r="G554" s="8" t="inlineStr">
        <is>
          <t>基础/顶层</t>
        </is>
      </c>
      <c r="H554" s="8" t="inlineStr"/>
      <c r="I554" s="9" t="inlineStr"/>
      <c r="J554" s="8" t="inlineStr"/>
      <c r="K554" s="8" t="inlineStr"/>
      <c r="L554" s="8" t="inlineStr"/>
      <c r="M554" s="8" t="inlineStr">
        <is>
          <t>条件触发</t>
        </is>
      </c>
      <c r="N554" s="8" t="inlineStr">
        <is>
          <t>triggered</t>
        </is>
      </c>
      <c r="O554" s="9" t="inlineStr">
        <is>
          <t>使用左侧相邻武器时，对敌人造成 1 点伤害；使用左侧相邻武器时，对敌人造成 2 点伤害；使用左侧相邻武器时，对敌人造成 3 点伤害；使用左侧相邻武器时，对敌人造成 4 点伤害</t>
        </is>
      </c>
      <c r="P554" s="9" t="inlineStr">
        <is>
          <t>onItemUse</t>
        </is>
      </c>
      <c r="Q554" s="9" t="inlineStr">
        <is>
          <t>battleDamageHealth；directional-adjacent</t>
        </is>
      </c>
      <c r="R554" s="9" t="inlineStr">
        <is>
          <t>{"kind":"triggered","triggeredEffect":{"trigger":"onItemUse","type":"battleDamageHealth","amount":1,"eventSource":{"target":{"type":"directional-adjacent","direction":"left"},"filter":{"features":["weapon"]}}},"label":"&lt;battle&gt;使用左侧相邻武器时，对敌人造成 1 点伤害&lt;/battle&gt;","starOverrides":{"1":{"label":"&lt;battle&gt;使用左侧相邻武器时，对敌人造成 2 点伤害&lt;/battle&gt;","triggeredEffect":{"amount":2}},"2":{"label":"&lt;battle&gt;使用左侧相邻武器时，对敌人造成 3 点伤害&lt;/battle&gt;","triggeredEffect":{"amount":3}},"3":{"label":"&lt;battle&gt;使用左侧相邻武器时，对敌人造成 4 点伤害&lt;/battle&gt;","triggeredEffect":{"amount":4}}}}</t>
        </is>
      </c>
    </row>
    <row r="555" ht="32" customHeight="1">
      <c r="A555" s="8" t="n">
        <v>400134</v>
      </c>
      <c r="B555" s="8" t="inlineStr">
        <is>
          <t>饮血铜匕</t>
        </is>
      </c>
      <c r="C555" s="8" t="inlineStr">
        <is>
          <t>法器</t>
        </is>
      </c>
      <c r="D555" s="8" t="inlineStr">
        <is>
          <t>common</t>
        </is>
      </c>
      <c r="E555" s="8" t="inlineStr">
        <is>
          <t>none</t>
        </is>
      </c>
      <c r="F555" s="8" t="n">
        <v>1</v>
      </c>
      <c r="G555" s="8" t="inlineStr">
        <is>
          <t>基础/顶层</t>
        </is>
      </c>
      <c r="H555" s="8" t="inlineStr"/>
      <c r="I555" s="9" t="inlineStr"/>
      <c r="J555" s="8" t="inlineStr"/>
      <c r="K555" s="8" t="inlineStr"/>
      <c r="L555" s="8" t="inlineStr"/>
      <c r="M555" s="8" t="inlineStr">
        <is>
          <t>周期触发</t>
        </is>
      </c>
      <c r="N555" s="8" t="inlineStr">
        <is>
          <t>periodicPulse</t>
        </is>
      </c>
      <c r="O555" s="9" t="inlineStr">
        <is>
          <t>消耗 1 点体力，吸取敌人 2 点气血；消耗 2 点体力，吸取敌人 4 点气血；消耗 3 点体力，吸取敌人 6 点气血；消耗 4 点体力，吸取敌人 8 点气血</t>
        </is>
      </c>
      <c r="P555" s="9" t="inlineStr"/>
      <c r="Q555" s="9" t="inlineStr"/>
      <c r="R555" s="9" t="inlineStr">
        <is>
          <t>{"kind":"periodicPulse","periodicPulse":{"intervalSec":5,"label":"消耗 1 点体力，&lt;battle&gt;吸取敌人 2 点气血&lt;/battle&gt;","primaryStatCosts":[{"stat":"stamina","amount":1}],"drainPrimaryStat":{"target":"enemy","stat":"health","amount":2,"gainAmount":2}},"label":"消耗 1 点体力，&lt;battle&gt;吸取敌人 2 点气血&lt;/battle&gt;","starOverrides":{"1":{"label":"消耗 2 点体力，&lt;battle&gt;吸取敌人 4 点气血&lt;/battle&gt;","periodicPulse":{"primaryStatCosts":[{"stat":"stamina","amount":2}],"drainPrimaryStat":{"amount":4,"gainAmount":4}}},"2":{"label":"消耗 3 点体力，&lt;battle&gt;吸取敌人 6 点气血&lt;/battle&gt;","periodicPulse":{"primaryStatCosts":[{"stat":"stamina","amount":3}],"drainPrimaryStat":{"amount":6,"gainAmount":6}}},"3":{"label":"消耗 4 点体力，&lt;battle&gt;吸取敌人 8 点气血&lt;/battle&gt;","periodicPulse":{"primaryStatCosts":[{"stat":"stamina","amount":4}],"drainPrimaryStat":{"amount":8,"gainAmount":8}}}}}</t>
        </is>
      </c>
    </row>
    <row r="556" ht="32" customHeight="1">
      <c r="A556" s="8" t="n">
        <v>400135</v>
      </c>
      <c r="B556" s="8" t="inlineStr">
        <is>
          <t>血月刃轮</t>
        </is>
      </c>
      <c r="C556" s="8" t="inlineStr">
        <is>
          <t>法器</t>
        </is>
      </c>
      <c r="D556" s="8" t="inlineStr">
        <is>
          <t>common</t>
        </is>
      </c>
      <c r="E556" s="8" t="inlineStr">
        <is>
          <t>none</t>
        </is>
      </c>
      <c r="F556" s="8" t="n">
        <v>1</v>
      </c>
      <c r="G556" s="8" t="inlineStr">
        <is>
          <t>基础/顶层</t>
        </is>
      </c>
      <c r="H556" s="8" t="inlineStr"/>
      <c r="I556" s="9" t="inlineStr"/>
      <c r="J556" s="8" t="inlineStr"/>
      <c r="K556" s="8" t="inlineStr"/>
      <c r="L556" s="8" t="inlineStr"/>
      <c r="M556" s="8" t="inlineStr">
        <is>
          <t>周期触发</t>
        </is>
      </c>
      <c r="N556" s="8" t="inlineStr">
        <is>
          <t>periodicPulse</t>
        </is>
      </c>
      <c r="O556" s="9" t="inlineStr">
        <is>
          <t>对敌人造成 1 点伤害，使用 3 次；对敌人造成 2 点伤害，使用 3 次；对敌人造成 3 点伤害，使用 3 次；对敌人造成 4 点伤害，使用 3 次</t>
        </is>
      </c>
      <c r="P556" s="9" t="inlineStr"/>
      <c r="Q556" s="9" t="inlineStr"/>
      <c r="R556" s="9" t="inlineStr">
        <is>
          <t>{"kind":"periodicPulse","periodicPulse":{"intervalSec":10,"label":"&lt;battle&gt;对敌人造成 1 点伤害，使用 3 次&lt;/battle&gt;","damageHealth":{"target":"enemy","amount":1,"repeatCount":3}},"label":"&lt;battle&gt;对敌人造成 1 点伤害，使用 3 次&lt;/battle&gt;","starOverrides":{"1":{"label":"&lt;battle&gt;对敌人造成 2 点伤害，使用 3 次&lt;/battle&gt;","periodicPulse":{"damageHealth":{"amount":2,"repeatCount":3}}},"2":{"label":"&lt;battle&gt;对敌人造成 3 点伤害，使用 3 次&lt;/battle&gt;","periodicPulse":{"damageHealth":{"amount":3,"repeatCount":3}}},"3":{"label":"&lt;battle&gt;对敌人造成 4 点伤害，使用 3 次&lt;/battle&gt;","periodicPulse":{"damageHealth":{"amount":4,"repeatCount":3}}}}}</t>
        </is>
      </c>
    </row>
    <row r="557" ht="32" customHeight="1">
      <c r="A557" s="8" t="n">
        <v>400136</v>
      </c>
      <c r="B557" s="8" t="inlineStr">
        <is>
          <t>云纹护心甲</t>
        </is>
      </c>
      <c r="C557" s="8" t="inlineStr">
        <is>
          <t>法器</t>
        </is>
      </c>
      <c r="D557" s="8" t="inlineStr">
        <is>
          <t>common</t>
        </is>
      </c>
      <c r="E557" s="8" t="inlineStr">
        <is>
          <t>none</t>
        </is>
      </c>
      <c r="F557" s="8" t="n">
        <v>1</v>
      </c>
      <c r="G557" s="8" t="inlineStr">
        <is>
          <t>基础/顶层</t>
        </is>
      </c>
      <c r="H557" s="8" t="inlineStr"/>
      <c r="I557" s="9" t="inlineStr"/>
      <c r="J557" s="8" t="inlineStr"/>
      <c r="K557" s="8" t="inlineStr"/>
      <c r="L557" s="8" t="inlineStr"/>
      <c r="M557" s="8" t="inlineStr">
        <is>
          <t>条件触发</t>
        </is>
      </c>
      <c r="N557" s="8" t="inlineStr">
        <is>
          <t>triggered</t>
        </is>
      </c>
      <c r="O557" s="9" t="inlineStr">
        <is>
          <t>使用相邻道具时，恢复 1 点气血；使用相邻道具时，恢复 2 点气血；使用相邻道具时，恢复 3 点气血；使用相邻道具时，恢复 4 点气血</t>
        </is>
      </c>
      <c r="P557" s="9" t="inlineStr">
        <is>
          <t>onItemUse</t>
        </is>
      </c>
      <c r="Q557" s="9" t="inlineStr">
        <is>
          <t>modifyPlayerPrimaryStat；adjacent</t>
        </is>
      </c>
      <c r="R557" s="9" t="inlineStr">
        <is>
          <t>{"kind":"triggered","triggeredEffect":{"trigger":"onItemUse","type":"modifyPlayerPrimaryStat","stat":"health","delta":1,"eventSource":{"target":{"type":"adjacent"}}},"label":"使用相邻道具时，恢复 1 点气血","starOverrides":{"1":{"label":"使用相邻道具时，恢复 2 点气血","triggeredEffect":{"delta":2}},"2":{"label":"使用相邻道具时，恢复 3 点气血","triggeredEffect":{"delta":3}},"3":{"label":"使用相邻道具时，恢复 4 点气血","triggeredEffect":{"delta":4}}}}</t>
        </is>
      </c>
    </row>
    <row r="558" ht="32" customHeight="1">
      <c r="A558" s="8" t="n">
        <v>400137</v>
      </c>
      <c r="B558" s="8" t="inlineStr">
        <is>
          <t>镇符石牌</t>
        </is>
      </c>
      <c r="C558" s="8" t="inlineStr">
        <is>
          <t>法器</t>
        </is>
      </c>
      <c r="D558" s="8" t="inlineStr">
        <is>
          <t>common</t>
        </is>
      </c>
      <c r="E558" s="8" t="inlineStr">
        <is>
          <t>earth</t>
        </is>
      </c>
      <c r="F558" s="8" t="n">
        <v>1</v>
      </c>
      <c r="G558" s="8" t="inlineStr">
        <is>
          <t>基础/顶层</t>
        </is>
      </c>
      <c r="H558" s="8" t="inlineStr"/>
      <c r="I558" s="9" t="inlineStr"/>
      <c r="J558" s="8" t="inlineStr"/>
      <c r="K558" s="8" t="inlineStr"/>
      <c r="L558" s="8" t="inlineStr"/>
      <c r="M558" s="8" t="inlineStr">
        <is>
          <t>周期触发</t>
        </is>
      </c>
      <c r="N558" s="8" t="inlineStr">
        <is>
          <t>periodicPulse</t>
        </is>
      </c>
      <c r="O558" s="9" t="inlineStr">
        <is>
          <t>相邻至少 3 个功法时，恢复 10 点法力；相邻至少 3 个功法时，恢复 20 点法力；相邻至少 3 个功法时，恢复 30 点法力；相邻至少 3 个功法时，恢复 40 点法力</t>
        </is>
      </c>
      <c r="P558" s="9" t="inlineStr"/>
      <c r="Q558" s="9" t="inlineStr"/>
      <c r="R558" s="9" t="inlineStr">
        <is>
          <t>{"kind":"periodicPulse","periodicPulse":{"intervalSec":10,"label":"相邻至少 3 个功法时，恢复 10 点法力","primaryStatGains":[{"stat":"mana","amount":10}],"activationRequirements":{"neighborCounts":[{"minCount":3,"categories":["scripture"]}]}},"starOverrides":{"1":{"label":"相邻至少 3 个功法时，恢复 20 点法力","periodicPulse":{"primaryStatGains":[{"amount":20}]}},"2":{"label":"相邻至少 3 个功法时，恢复 30 点法力","periodicPulse":{"primaryStatGains":[{"amount":30}]}},"3":{"label":"相邻至少 3 个功法时，恢复 40 点法力","periodicPulse":{"primaryStatGains":[{"amount":40}]}}}}</t>
        </is>
      </c>
    </row>
    <row r="559" ht="32" customHeight="1">
      <c r="A559" s="8" t="n">
        <v>400139</v>
      </c>
      <c r="B559" s="8" t="inlineStr">
        <is>
          <t>温炉丹匣</t>
        </is>
      </c>
      <c r="C559" s="8" t="inlineStr">
        <is>
          <t>法器</t>
        </is>
      </c>
      <c r="D559" s="8" t="inlineStr">
        <is>
          <t>common</t>
        </is>
      </c>
      <c r="E559" s="8" t="inlineStr">
        <is>
          <t>fire</t>
        </is>
      </c>
      <c r="F559" s="8" t="n">
        <v>1</v>
      </c>
      <c r="G559" s="8" t="inlineStr">
        <is>
          <t>基础/顶层</t>
        </is>
      </c>
      <c r="H559" s="8" t="inlineStr"/>
      <c r="I559" s="9" t="inlineStr"/>
      <c r="J559" s="8" t="inlineStr"/>
      <c r="K559" s="8" t="inlineStr"/>
      <c r="L559" s="8" t="inlineStr"/>
      <c r="M559" s="8" t="inlineStr">
        <is>
          <t>周期触发</t>
        </is>
      </c>
      <c r="N559" s="8" t="inlineStr">
        <is>
          <t>periodicPulse</t>
        </is>
      </c>
      <c r="O559" s="9" t="inlineStr">
        <is>
          <t>相邻至少 3 个丹药时，恢复 10 点体力；相邻至少 3 个丹药时，恢复 20 点体力；相邻至少 3 个丹药时，恢复 30 点体力；相邻至少 3 个丹药时，恢复 40 点体力</t>
        </is>
      </c>
      <c r="P559" s="9" t="inlineStr"/>
      <c r="Q559" s="9" t="inlineStr"/>
      <c r="R559" s="9" t="inlineStr">
        <is>
          <t>{"kind":"periodicPulse","periodicPulse":{"intervalSec":12,"label":"相邻至少 3 个丹药时，恢复 10 点体力","primaryStatGains":[{"stat":"stamina","amount":10}],"activationRequirements":{"neighborCounts":[{"minCount":3,"categories":["pill"]}]}},"starOverrides":{"1":{"label":"相邻至少 3 个丹药时，恢复 20 点体力","periodicPulse":{"primaryStatGains":[{"amount":20}]}},"2":{"label":"相邻至少 3 个丹药时，恢复 30 点体力","periodicPulse":{"primaryStatGains":[{"amount":30}]}},"3":{"label":"相邻至少 3 个丹药时，恢复 40 点体力","periodicPulse":{"primaryStatGains":[{"amount":40}]}}}}</t>
        </is>
      </c>
    </row>
    <row r="560" ht="32" customHeight="1">
      <c r="A560" s="8" t="n">
        <v>400140</v>
      </c>
      <c r="B560" s="8" t="inlineStr">
        <is>
          <t>炙魂铜针</t>
        </is>
      </c>
      <c r="C560" s="8" t="inlineStr">
        <is>
          <t>法器</t>
        </is>
      </c>
      <c r="D560" s="8" t="inlineStr">
        <is>
          <t>common</t>
        </is>
      </c>
      <c r="E560" s="8" t="inlineStr">
        <is>
          <t>fire</t>
        </is>
      </c>
      <c r="F560" s="8" t="n">
        <v>1</v>
      </c>
      <c r="G560" s="8" t="inlineStr">
        <is>
          <t>基础/顶层</t>
        </is>
      </c>
      <c r="H560" s="8" t="inlineStr"/>
      <c r="I560" s="9" t="inlineStr"/>
      <c r="J560" s="8" t="inlineStr"/>
      <c r="K560" s="8" t="inlineStr"/>
      <c r="L560" s="8" t="inlineStr"/>
      <c r="M560" s="8" t="inlineStr">
        <is>
          <t>周期触发</t>
        </is>
      </c>
      <c r="N560" s="8" t="inlineStr">
        <is>
          <t>periodicPulse</t>
        </is>
      </c>
      <c r="O560" s="9" t="inlineStr">
        <is>
          <t>消耗 6 点体力，最多触发 2 次；每次消耗敌方 3 层灼烧，并对其造成 20 点伤害；消耗 8 点体力，最多触发 3 次；每次消耗敌方 3 层灼烧，并对其造成 20 点伤害；消耗 10 点体力，最多触发 4 次；每次消耗敌方 3 层灼烧，并对其造成 20 点伤害；消耗 12 点体力，最多触发 5 次；每次消耗敌方 3 层灼烧，并对其造成 20 点伤害</t>
        </is>
      </c>
      <c r="P560" s="9" t="inlineStr"/>
      <c r="Q560" s="9" t="inlineStr"/>
      <c r="R560" s="9" t="inlineStr">
        <is>
          <t>{"kind":"periodicPulse","periodicPulse":{"intervalSec":10,"label":"消耗 6 点体力，&lt;battle&gt;最多触发 2 次；每次消耗敌方 3 层灼烧，并对其造成 20 点伤害&lt;/battle&gt;","primaryStatCosts":[{"stat":"stamina","amount":6}],"damageHealth":{"target":"enemy","amount":20,"repeatCount":2,"removeTargetBuffStacksAfterDamage":{"buffId":"burning","count":3}}},"starOverrides":{"1":{"label":"消耗 8 点体力，&lt;battle&gt;最多触发 3 次；每次消耗敌方 3 层灼烧，并对其造成 20 点伤害&lt;/battle&gt;","periodicPulse":{"primaryStatCosts":[{"amount":8}],"damageHealth":{"repeatCount":3}}},"2":{"label":"消耗 10 点体力，&lt;battle&gt;最多触发 4 次；每次消耗敌方 3 层灼烧，并对其造成 20 点伤害&lt;/battle&gt;","periodicPulse":{"primaryStatCosts":[{"amount":10}],"damageHealth":{"repeatCount":4}}},"3":{"label":"消耗 12 点体力，&lt;battle&gt;最多触发 5 次；每次消耗敌方 3 层灼烧，并对其造成 20 点伤害&lt;/battle&gt;","periodicPulse":{"primaryStatCosts":[{"amount":12}],"damageHealth":{"repeatCount":5}}}}}</t>
        </is>
      </c>
    </row>
    <row r="561" ht="32" customHeight="1">
      <c r="A561" s="8" t="n">
        <v>400141</v>
      </c>
      <c r="B561" s="8" t="inlineStr">
        <is>
          <t>两仪焚心镜</t>
        </is>
      </c>
      <c r="C561" s="8" t="inlineStr">
        <is>
          <t>法器</t>
        </is>
      </c>
      <c r="D561" s="8" t="inlineStr">
        <is>
          <t>common</t>
        </is>
      </c>
      <c r="E561" s="8" t="inlineStr">
        <is>
          <t>fire</t>
        </is>
      </c>
      <c r="F561" s="8" t="n">
        <v>1</v>
      </c>
      <c r="G561" s="8" t="inlineStr">
        <is>
          <t>基础/顶层</t>
        </is>
      </c>
      <c r="H561" s="8" t="inlineStr"/>
      <c r="I561" s="9" t="inlineStr"/>
      <c r="J561" s="8" t="inlineStr"/>
      <c r="K561" s="8" t="inlineStr"/>
      <c r="L561" s="8" t="inlineStr"/>
      <c r="M561" s="8" t="inlineStr">
        <is>
          <t>周期触发</t>
        </is>
      </c>
      <c r="N561" s="8" t="inlineStr">
        <is>
          <t>periodicPulse</t>
        </is>
      </c>
      <c r="O561" s="9" t="inlineStr">
        <is>
          <t>最多触发 3 次；每次消耗自身 3 层炎热和敌方 3 层灼烧，并对敌方造成 20 点伤害；最多触发 4 次；每次消耗自身 4 层炎热和敌方 4 层灼烧，并对敌方造成 20 点伤害；最多触发 5 次；每次消耗自身 5 层炎热和敌方 5 层灼烧，并对敌方造成 20 点伤害；最多触发 6 次；每次消耗自身 6 层炎热和敌方 6 层灼烧，并对敌方造成 20 点伤害</t>
        </is>
      </c>
      <c r="P561" s="9" t="inlineStr"/>
      <c r="Q561" s="9" t="inlineStr"/>
      <c r="R561" s="9" t="inlineStr">
        <is>
          <t>{"kind":"periodicPulse","periodicPulse":{"intervalSec":15,"label":"&lt;battle&gt;最多触发 3 次；每次消耗自身 3 层炎热和敌方 3 层灼烧，并对敌方造成 20 点伤害&lt;/battle&gt;","damageHealth":{"target":"enemy","amount":20,"repeatCount":3,"removeSourceBuffStacksAfterDamage":{"buffId":"heat","count":3},"removeTargetBuffStacksAfterDamage":{"buffId":"burning","count":3}}},"label":"&lt;battle&gt;最多触发 3 次；每次消耗自身 3 层炎热和敌方 3 层灼烧，并对敌方造成 20 点伤害&lt;/battle&gt;","starOverrides":{"1":{"periodicPulse":{"intervalSec":14,"label":"&lt;battle&gt;最多触发 4 次；每次消耗自身 4 层炎热和敌方 4 层灼烧，并对敌方造成 20 点伤害&lt;/battle&gt;","damageHealth":{"repeatCount":4,"removeSourceBuffStacksAfterDamage":{"count":4},"removeTargetBuffStacksAfterDamage":{"count":4}}},"label":"&lt;battle&gt;最多触发 4 次；每次消耗自身 4 层炎热和敌方 4 层灼烧，并对敌方造成 20 点伤害&lt;/battle&gt;"},"2":{"periodicPulse":{"intervalSec":13,"label":"&lt;battle&gt;最多触发 5 次；每次消耗自身 5 层炎热和敌方 5 层灼烧，并对敌方造成 20 点伤害&lt;/battle&gt;","damageHealth":{"repeatCount":5,"removeSourceBuffStacksAfterDamage":{"count":5},"removeTargetBuffStacksAfterDamage":{"count":5}}},"label":"&lt;battle&gt;最多触发 5 次；每次消耗自身 5 层炎热和敌方 5 层灼烧，并对敌方造成 20 点伤害&lt;/battle&gt;"},"3":{"periodicPulse":{"intervalSec":12,"label":"&lt;battle&gt;最多触发 6 次；每次消耗自身 6 层炎热和敌方 6 层灼烧，并对敌方造成 20 点伤害&lt;/battle&gt;","damageHealth":{"repeatCount":6,"removeSourceBuffStacksAfterDamage":{"count":6},"removeTargetBuffStacksAfterDamage":{"count":6}}},"label":"&lt;battle&gt;最多触发 6 次；每次消耗自身 6 层炎热和敌方 6 层灼烧，并对敌方造成 20 点伤害&lt;/battle&gt;"}}}</t>
        </is>
      </c>
    </row>
    <row r="562" ht="32" customHeight="1">
      <c r="A562" s="8" t="n">
        <v>400142</v>
      </c>
      <c r="B562" s="8" t="inlineStr">
        <is>
          <t>追火飞剑匣</t>
        </is>
      </c>
      <c r="C562" s="8" t="inlineStr">
        <is>
          <t>法器</t>
        </is>
      </c>
      <c r="D562" s="8" t="inlineStr">
        <is>
          <t>common</t>
        </is>
      </c>
      <c r="E562" s="8" t="inlineStr">
        <is>
          <t>fire</t>
        </is>
      </c>
      <c r="F562" s="8" t="n">
        <v>1</v>
      </c>
      <c r="G562" s="8" t="inlineStr">
        <is>
          <t>基础/顶层</t>
        </is>
      </c>
      <c r="H562" s="8" t="inlineStr"/>
      <c r="I562" s="9" t="inlineStr"/>
      <c r="J562" s="8" t="inlineStr"/>
      <c r="K562" s="8" t="inlineStr"/>
      <c r="L562" s="8" t="inlineStr"/>
      <c r="M562" s="8" t="inlineStr">
        <is>
          <t>条件触发</t>
        </is>
      </c>
      <c r="N562" s="8" t="inlineStr">
        <is>
          <t>triggered</t>
        </is>
      </c>
      <c r="O562" s="9" t="inlineStr">
        <is>
          <t>右侧相邻道具对敌方造成伤害时，消耗敌方 3 层灼烧并追加 21 点伤害；右侧相邻道具对敌方造成伤害时，消耗敌方 6 层灼烧并追加 42 点伤害；右侧相邻道具对敌方造成伤害时，消耗敌方 9 层灼烧并追加 63 点伤害；右侧相邻道具对敌方造成伤害时，消耗敌方 12 层灼烧并追加 84 点伤害</t>
        </is>
      </c>
      <c r="P562" s="9" t="inlineStr">
        <is>
          <t>onBattleHealthDamageDealt</t>
        </is>
      </c>
      <c r="Q562" s="9" t="inlineStr">
        <is>
          <t>consumeBuffStacks；directional-adjacent</t>
        </is>
      </c>
      <c r="R562" s="9" t="inlineStr">
        <is>
          <t>{"kind":"triggered","label":"&lt;battle&gt;右侧相邻道具对敌方造成伤害时，消耗敌方 3 层灼烧并追加 21 点伤害&lt;/battle&gt;","triggeredEffect":{"trigger":"onBattleHealthDamageDealt","type":"consumeBuffStacks","sourceBuffId":"burning","consumeTargetActor":"enemy","requiredStacks":3,"maxStacks":3,"battleDamageHealthPerStack":7,"eventSource":{"target":{"type":"directional-adjacent","direction":"right"}}},"starOverrides":{"1":{"label":"&lt;battle&gt;右侧相邻道具对敌方造成伤害时，消耗敌方 6 层灼烧并追加 42 点伤害&lt;/battle&gt;","triggeredEffect":{"requiredStacks":6,"maxStacks":6}},"2":{"label":"&lt;battle&gt;右侧相邻道具对敌方造成伤害时，消耗敌方 9 层灼烧并追加 63 点伤害&lt;/battle&gt;","triggeredEffect":{"requiredStacks":9,"maxStacks":9}},"3":{"label":"&lt;battle&gt;右侧相邻道具对敌方造成伤害时，消耗敌方 12 层灼烧并追加 84 点伤害&lt;/battle&gt;","triggeredEffect":{"requiredStacks":12,"maxStacks":12}}}}</t>
        </is>
      </c>
    </row>
    <row r="563" ht="32" customHeight="1">
      <c r="A563" s="8" t="n">
        <v>400143</v>
      </c>
      <c r="B563" s="8" t="inlineStr">
        <is>
          <t>返照焰甲</t>
        </is>
      </c>
      <c r="C563" s="8" t="inlineStr">
        <is>
          <t>法器</t>
        </is>
      </c>
      <c r="D563" s="8" t="inlineStr">
        <is>
          <t>common</t>
        </is>
      </c>
      <c r="E563" s="8" t="inlineStr">
        <is>
          <t>fire</t>
        </is>
      </c>
      <c r="F563" s="8" t="n">
        <v>1</v>
      </c>
      <c r="G563" s="8" t="inlineStr">
        <is>
          <t>基础/顶层</t>
        </is>
      </c>
      <c r="H563" s="8" t="inlineStr"/>
      <c r="I563" s="9" t="inlineStr"/>
      <c r="J563" s="8" t="inlineStr"/>
      <c r="K563" s="8" t="inlineStr"/>
      <c r="L563" s="8" t="inlineStr"/>
      <c r="M563" s="8" t="inlineStr">
        <is>
          <t>条件触发</t>
        </is>
      </c>
      <c r="N563" s="8" t="inlineStr">
        <is>
          <t>triggered</t>
        </is>
      </c>
      <c r="O563" s="9" t="inlineStr">
        <is>
          <t>受到伤害时，最多消耗 3 层炎热，每消耗 1 层，对敌方造成 3 点伤害；受到伤害时，最多消耗 4 层炎热，每消耗 1 层，对敌方造成 6 点伤害；受到伤害时，最多消耗 5 层炎热，每消耗 1 层，对敌方造成 9 点伤害；受到伤害时，最多消耗 6 层炎热，每消耗 1 层，对敌方造成 12 点伤害</t>
        </is>
      </c>
      <c r="P563" s="9" t="inlineStr">
        <is>
          <t>onIncomingHealthDamage</t>
        </is>
      </c>
      <c r="Q563" s="9" t="inlineStr">
        <is>
          <t>consumeBuffStacks</t>
        </is>
      </c>
      <c r="R563" s="9" t="inlineStr">
        <is>
          <t>{"kind":"triggered","label":"&lt;battle&gt;受到伤害时，最多消耗 3 层炎热，每消耗 1 层，对敌方造成 3 点伤害&lt;/battle&gt;","triggeredEffect":{"trigger":"onIncomingHealthDamage","type":"consumeBuffStacks","sourceBuffId":"heat","maxStacks":3,"battleDamageHealthPerStack":3},"starOverrides":{"1":{"label":"&lt;battle&gt;受到伤害时，最多消耗 4 层炎热，每消耗 1 层，对敌方造成 6 点伤害&lt;/battle&gt;","triggeredEffect":{"maxStacks":4,"battleDamageHealthPerStack":6}},"2":{"label":"&lt;battle&gt;受到伤害时，最多消耗 5 层炎热，每消耗 1 层，对敌方造成 9 点伤害&lt;/battle&gt;","triggeredEffect":{"maxStacks":5,"battleDamageHealthPerStack":9}},"3":{"label":"&lt;battle&gt;受到伤害时，最多消耗 6 层炎热，每消耗 1 层，对敌方造成 12 点伤害&lt;/battle&gt;","triggeredEffect":{"maxStacks":6,"battleDamageHealthPerStack":12}}}}</t>
        </is>
      </c>
    </row>
    <row r="564" ht="32" customHeight="1">
      <c r="A564" s="8" t="n">
        <v>400144</v>
      </c>
      <c r="B564" s="8" t="inlineStr">
        <is>
          <t>巡焰镇脉幡</t>
        </is>
      </c>
      <c r="C564" s="8" t="inlineStr">
        <is>
          <t>法器</t>
        </is>
      </c>
      <c r="D564" s="8" t="inlineStr">
        <is>
          <t>common</t>
        </is>
      </c>
      <c r="E564" s="8" t="inlineStr">
        <is>
          <t>fire</t>
        </is>
      </c>
      <c r="F564" s="8" t="n">
        <v>1</v>
      </c>
      <c r="G564" s="8" t="inlineStr">
        <is>
          <t>基础/顶层</t>
        </is>
      </c>
      <c r="H564" s="8" t="inlineStr"/>
      <c r="I564" s="9" t="inlineStr"/>
      <c r="J564" s="8" t="inlineStr"/>
      <c r="K564" s="8" t="inlineStr"/>
      <c r="L564" s="8" t="inlineStr"/>
      <c r="M564" s="8" t="inlineStr">
        <is>
          <t>周期触发</t>
        </is>
      </c>
      <c r="N564" s="8" t="inlineStr">
        <is>
          <t>periodicPulse</t>
        </is>
      </c>
      <c r="O564" s="9" t="inlineStr">
        <is>
          <t>对敌方造成 3 点伤害并施加 3 层灼烧；对敌方造成 6 点伤害并施加 6 层灼烧；对敌方造成 9 点伤害并施加 9 层灼烧；对敌方造成 12 点伤害并施加 12 层灼烧</t>
        </is>
      </c>
      <c r="P564" s="9" t="inlineStr"/>
      <c r="Q564" s="9" t="inlineStr"/>
      <c r="R564" s="9" t="inlineStr">
        <is>
          <t>{"kind":"periodicPulse","periodicPulse":{"intervalSec":10,"label":"&lt;battle&gt;对敌方造成 3 点伤害并施加 3 层灼烧&lt;/battle&gt;","damageHealth":{"target":"enemy","amount":3},"buffGains":[{"buffId":"burning","count":3,"target":"enemy"}]},"starOverrides":{"1":{"label":"&lt;battle&gt;对敌方造成 6 点伤害并施加 6 层灼烧&lt;/battle&gt;","periodicPulse":{"damageHealth":{"amount":6},"buffGains":[{"count":6}]}},"2":{"label":"&lt;battle&gt;对敌方造成 9 点伤害并施加 9 层灼烧&lt;/battle&gt;","periodicPulse":{"damageHealth":{"amount":9},"buffGains":[{"count":9}]}},"3":{"label":"&lt;battle&gt;对敌方造成 12 点伤害并施加 12 层灼烧&lt;/battle&gt;","periodicPulse":{"damageHealth":{"amount":12},"buffGains":[{"count":12}]}}}}</t>
        </is>
      </c>
    </row>
    <row r="565" ht="32" customHeight="1">
      <c r="A565" s="8" t="n">
        <v>400145</v>
      </c>
      <c r="B565" s="8" t="inlineStr">
        <is>
          <t>合炉收焰令</t>
        </is>
      </c>
      <c r="C565" s="8" t="inlineStr">
        <is>
          <t>法器</t>
        </is>
      </c>
      <c r="D565" s="8" t="inlineStr">
        <is>
          <t>common</t>
        </is>
      </c>
      <c r="E565" s="8" t="inlineStr">
        <is>
          <t>fire</t>
        </is>
      </c>
      <c r="F565" s="8" t="n">
        <v>1</v>
      </c>
      <c r="G565" s="8" t="inlineStr">
        <is>
          <t>基础/顶层</t>
        </is>
      </c>
      <c r="H565" s="8" t="inlineStr"/>
      <c r="I565" s="9" t="inlineStr"/>
      <c r="J565" s="8" t="inlineStr"/>
      <c r="K565" s="8" t="inlineStr"/>
      <c r="L565" s="8" t="inlineStr"/>
      <c r="M565" s="8" t="inlineStr">
        <is>
          <t>周期触发</t>
        </is>
      </c>
      <c r="N565" s="8" t="inlineStr">
        <is>
          <t>periodicPulse</t>
        </is>
      </c>
      <c r="O565" s="9" t="inlineStr">
        <is>
          <t>敌方有不少于 6 层灼烧时，消耗敌方 6 层灼烧，对敌方造成 42 点伤害；敌方有不少于 8 层灼烧时，消耗敌方 8 层灼烧，对敌方造成 56 点伤害；敌方有不少于 10 层灼烧时，消耗敌方 10 层灼烧，对敌方造成 70 点伤害；敌方有不少于 12 层灼烧时，消耗敌方 12 层灼烧，对敌方造成 84 点伤害</t>
        </is>
      </c>
      <c r="P565" s="9" t="inlineStr">
        <is>
          <t>onPeriodicPulse</t>
        </is>
      </c>
      <c r="Q565" s="9" t="inlineStr">
        <is>
          <t>consumeBuffStacks</t>
        </is>
      </c>
      <c r="R565" s="9" t="inlineStr">
        <is>
          <t>{"kind":"periodicPulse","label":"&lt;battle&gt;敌方有不少于 6 层灼烧时，消耗敌方 6 层灼烧，对敌方造成 42 点伤害&lt;/battle&gt;","periodicPulse":{"intervalSec":20,"label":"&lt;battle&gt;敌方有不少于 6 层灼烧时，消耗敌方 6 层灼烧，对敌方造成 42 点伤害&lt;/battle&gt;"},"executors":[{"trigger":"onPeriodicPulse","type":"consumeBuffStacks","sourceBuffId":"burning","consumeTargetActor":"enemy","requiredStacks":6,"maxStacks":6,"battleDamageHealthPerStack":7,"support":"battleOnly","label":"&lt;battle&gt;敌方有不少于 6 层灼烧时，消耗敌方 6 层灼烧，对敌方造成 42 点伤害&lt;/battle&gt;"}],"starOverrides":{"1":{"label":"&lt;battle&gt;敌方有不少于 8 层灼烧时，消耗敌方 8 层灼烧，对敌方造成 56 点伤害&lt;/battle&gt;","periodicPulse":{"intervalSec":18,"label":"&lt;battle&gt;敌方有不少于 8 层灼烧时，消耗敌方 8 层灼烧，对敌方造成 56 点伤害&lt;/battle&gt;"},"executors":[{"requiredStacks":8,"maxStacks":8,"label":"&lt;battle&gt;敌方有不少于 8 层灼烧时，消耗敌方 8 层灼烧，对敌方造成 56 点伤害&lt;/battle&gt;"}]},"2":{"label":"&lt;battle&gt;敌方有不少于 10 层灼烧时，消耗敌方 10 层灼烧，对敌方造成 70 点伤害&lt;/battle&gt;","periodicPulse":{"intervalSec":16,"label":"&lt;battle&gt;敌方有不少于 10 层灼烧时，消耗敌方 10 层灼烧，对敌方造成 70 点伤害&lt;/battle&gt;"},"executors":[{"requiredStacks":10,"maxStacks":10,"label":"&lt;battle&gt;敌方有不少于 10 层灼烧时，消耗敌方 10 层灼烧，对敌方造成 70 点伤害&lt;/battle&gt;"}]},"3":{"label":"&lt;battle&gt;敌方有不少于 12 层灼烧时，消耗敌方 12 层灼烧，对敌方造成 84 点伤害&lt;/battle&gt;","periodicPulse":{"intervalSec":14,"label":"&lt;battle&gt;敌方有不少于 12 层灼烧时，消耗敌方 12 层灼烧，对敌方造成 84 点伤害&lt;/battle&gt;"},"executors":[{"requiredStacks":12,"maxStacks":12,"label":"&lt;battle&gt;敌方有不少于 12 层灼烧时，消耗敌方 12 层灼烧，对敌方造成 84 点伤害&lt;/battle&gt;"}]}}}</t>
        </is>
      </c>
    </row>
    <row r="566" ht="32" customHeight="1">
      <c r="A566" s="8" t="n">
        <v>400210</v>
      </c>
      <c r="B566" s="8" t="inlineStr">
        <is>
          <t>丹霞外院弟子令</t>
        </is>
      </c>
      <c r="C566" s="8" t="inlineStr">
        <is>
          <t>法器</t>
        </is>
      </c>
      <c r="D566" s="8" t="inlineStr">
        <is>
          <t>common</t>
        </is>
      </c>
      <c r="E566" s="8" t="inlineStr">
        <is>
          <t>fire</t>
        </is>
      </c>
      <c r="F566" s="8" t="n">
        <v>1</v>
      </c>
      <c r="G566" s="8" t="inlineStr">
        <is>
          <t>基础/顶层</t>
        </is>
      </c>
      <c r="H566" s="8" t="inlineStr"/>
      <c r="I566" s="9" t="inlineStr"/>
      <c r="J566" s="8" t="inlineStr"/>
      <c r="K566" s="8" t="inlineStr"/>
      <c r="L566" s="8" t="inlineStr"/>
      <c r="M566" s="8" t="inlineStr">
        <is>
          <t>被动效果</t>
        </is>
      </c>
      <c r="N566" s="8" t="inlineStr">
        <is>
          <t>passive</t>
        </is>
      </c>
      <c r="O566" s="9" t="inlineStr">
        <is>
          <t>炎热层数上限 +10</t>
        </is>
      </c>
      <c r="P566" s="9" t="inlineStr"/>
      <c r="Q566" s="9" t="inlineStr">
        <is>
          <t>buffStackCapBonus</t>
        </is>
      </c>
      <c r="R566" s="9" t="inlineStr">
        <is>
          <t>{"kind":"passive","passiveEffect":{"type":"buffStackCapBonus","buffId":"heat","value":10,"label":"炎热层数上限 +10"}}</t>
        </is>
      </c>
    </row>
    <row r="567" ht="32" customHeight="1">
      <c r="A567" s="8" t="n">
        <v>400213</v>
      </c>
      <c r="B567" s="8" t="inlineStr">
        <is>
          <t>青阙门弟子令</t>
        </is>
      </c>
      <c r="C567" s="8" t="inlineStr">
        <is>
          <t>法器</t>
        </is>
      </c>
      <c r="D567" s="8" t="inlineStr">
        <is>
          <t>common</t>
        </is>
      </c>
      <c r="E567" s="8" t="inlineStr">
        <is>
          <t>earth</t>
        </is>
      </c>
      <c r="F567" s="8" t="n">
        <v>1</v>
      </c>
      <c r="G567" s="8" t="inlineStr">
        <is>
          <t>基础/顶层</t>
        </is>
      </c>
      <c r="H567" s="8" t="inlineStr"/>
      <c r="I567" s="9" t="inlineStr"/>
      <c r="J567" s="8" t="inlineStr"/>
      <c r="K567" s="8" t="inlineStr"/>
      <c r="L567" s="8" t="inlineStr"/>
      <c r="M567" s="8" t="inlineStr">
        <is>
          <t>被动效果</t>
        </is>
      </c>
      <c r="N567" s="8" t="inlineStr">
        <is>
          <t>passive</t>
        </is>
      </c>
      <c r="O567" s="9" t="inlineStr">
        <is>
          <t>气血上限 +10，体力上限 +10，法力上限 +10</t>
        </is>
      </c>
      <c r="P567" s="9" t="inlineStr"/>
      <c r="Q567" s="9" t="inlineStr">
        <is>
          <t>primaryStatMaxFlatBonuses</t>
        </is>
      </c>
      <c r="R567" s="9" t="inlineStr">
        <is>
          <t>{"kind":"passive","passiveEffect":{"type":"primaryStatMaxFlatBonuses","bonuses":[{"stat":"health","value":10},{"stat":"stamina","value":10},{"stat":"mana","value":10}],"label":"气血上限 +10，体力上限 +10，法力上限 +10"}}</t>
        </is>
      </c>
    </row>
    <row r="568" ht="32" customHeight="1">
      <c r="A568" s="8" t="n">
        <v>400216</v>
      </c>
      <c r="B568" s="8" t="inlineStr">
        <is>
          <t>水月别院弟子令</t>
        </is>
      </c>
      <c r="C568" s="8" t="inlineStr">
        <is>
          <t>法器</t>
        </is>
      </c>
      <c r="D568" s="8" t="inlineStr">
        <is>
          <t>common</t>
        </is>
      </c>
      <c r="E568" s="8" t="inlineStr">
        <is>
          <t>none</t>
        </is>
      </c>
      <c r="F568" s="8" t="n">
        <v>1</v>
      </c>
      <c r="G568" s="8" t="inlineStr">
        <is>
          <t>基础/顶层</t>
        </is>
      </c>
      <c r="H568" s="8" t="inlineStr"/>
      <c r="I568" s="9" t="inlineStr"/>
      <c r="J568" s="8" t="inlineStr"/>
      <c r="K568" s="8" t="inlineStr"/>
      <c r="L568" s="8" t="inlineStr"/>
      <c r="M568" s="8" t="inlineStr">
        <is>
          <t>被动效果</t>
        </is>
      </c>
      <c r="N568" s="8" t="inlineStr">
        <is>
          <t>passive</t>
        </is>
      </c>
      <c r="O568" s="9" t="inlineStr">
        <is>
          <t>露水层数上限 +10</t>
        </is>
      </c>
      <c r="P568" s="9" t="inlineStr"/>
      <c r="Q568" s="9" t="inlineStr">
        <is>
          <t>buffStackCapBonus</t>
        </is>
      </c>
      <c r="R568" s="9" t="inlineStr">
        <is>
          <t>{"kind":"passive","passiveEffect":{"type":"buffStackCapBonus","buffId":"dew","value":10,"label":"露水层数上限 +10"}}</t>
        </is>
      </c>
    </row>
    <row r="569" ht="32" customHeight="1">
      <c r="A569" s="8" t="n">
        <v>400217</v>
      </c>
      <c r="B569" s="8" t="inlineStr">
        <is>
          <t>微光机缘匣</t>
        </is>
      </c>
      <c r="C569" s="8" t="inlineStr">
        <is>
          <t>宝箱</t>
        </is>
      </c>
      <c r="D569" s="8" t="inlineStr">
        <is>
          <t>common</t>
        </is>
      </c>
      <c r="E569" s="8" t="inlineStr">
        <is>
          <t>none</t>
        </is>
      </c>
      <c r="F569" s="8" t="n">
        <v>1</v>
      </c>
      <c r="G569" s="8" t="inlineStr">
        <is>
          <t>基础/顶层</t>
        </is>
      </c>
      <c r="H569" s="8" t="inlineStr"/>
      <c r="I569" s="9" t="inlineStr"/>
      <c r="J569" s="8" t="inlineStr"/>
      <c r="K569" s="8" t="inlineStr"/>
      <c r="L569" s="8" t="inlineStr"/>
      <c r="M569" s="8" t="inlineStr">
        <is>
          <t>消耗品效果</t>
        </is>
      </c>
      <c r="N569" s="8" t="inlineStr">
        <is>
          <t>consumable</t>
        </is>
      </c>
      <c r="O569" s="9" t="inlineStr">
        <is>
          <t>获得 4 点机缘</t>
        </is>
      </c>
      <c r="P569" s="9" t="inlineStr"/>
      <c r="Q569" s="9" t="inlineStr"/>
      <c r="R569" s="9" t="inlineStr">
        <is>
          <t>{"kind":"consumable","consumable":{"durationSec":2,"luckyGain":4,"label":"获得 4 点机缘"}}</t>
        </is>
      </c>
    </row>
    <row r="570" ht="32" customHeight="1">
      <c r="A570" s="8" t="n">
        <v>400218</v>
      </c>
      <c r="B570" s="8" t="inlineStr">
        <is>
          <t>流金机缘匣</t>
        </is>
      </c>
      <c r="C570" s="8" t="inlineStr">
        <is>
          <t>宝箱</t>
        </is>
      </c>
      <c r="D570" s="8" t="inlineStr">
        <is>
          <t>common</t>
        </is>
      </c>
      <c r="E570" s="8" t="inlineStr">
        <is>
          <t>none</t>
        </is>
      </c>
      <c r="F570" s="8" t="n">
        <v>1</v>
      </c>
      <c r="G570" s="8" t="inlineStr">
        <is>
          <t>基础/顶层</t>
        </is>
      </c>
      <c r="H570" s="8" t="inlineStr"/>
      <c r="I570" s="9" t="inlineStr"/>
      <c r="J570" s="8" t="inlineStr"/>
      <c r="K570" s="8" t="inlineStr"/>
      <c r="L570" s="8" t="inlineStr"/>
      <c r="M570" s="8" t="inlineStr">
        <is>
          <t>消耗品效果</t>
        </is>
      </c>
      <c r="N570" s="8" t="inlineStr">
        <is>
          <t>consumable</t>
        </is>
      </c>
      <c r="O570" s="9" t="inlineStr">
        <is>
          <t>获得 10 点机缘</t>
        </is>
      </c>
      <c r="P570" s="9" t="inlineStr"/>
      <c r="Q570" s="9" t="inlineStr"/>
      <c r="R570" s="9" t="inlineStr">
        <is>
          <t>{"kind":"consumable","consumable":{"durationSec":5,"luckyGain":10,"label":"获得 10 点机缘"}}</t>
        </is>
      </c>
    </row>
    <row r="571" ht="32" customHeight="1">
      <c r="A571" s="8" t="n">
        <v>400219</v>
      </c>
      <c r="B571" s="8" t="inlineStr">
        <is>
          <t>立纹机缘柜</t>
        </is>
      </c>
      <c r="C571" s="8" t="inlineStr">
        <is>
          <t>宝箱</t>
        </is>
      </c>
      <c r="D571" s="8" t="inlineStr">
        <is>
          <t>common</t>
        </is>
      </c>
      <c r="E571" s="8" t="inlineStr">
        <is>
          <t>none</t>
        </is>
      </c>
      <c r="F571" s="8" t="n">
        <v>1</v>
      </c>
      <c r="G571" s="8" t="inlineStr">
        <is>
          <t>基础/顶层</t>
        </is>
      </c>
      <c r="H571" s="8" t="inlineStr"/>
      <c r="I571" s="9" t="inlineStr"/>
      <c r="J571" s="8" t="inlineStr"/>
      <c r="K571" s="8" t="inlineStr"/>
      <c r="L571" s="8" t="inlineStr"/>
      <c r="M571" s="8" t="inlineStr">
        <is>
          <t>消耗品效果</t>
        </is>
      </c>
      <c r="N571" s="8" t="inlineStr">
        <is>
          <t>consumable</t>
        </is>
      </c>
      <c r="O571" s="9" t="inlineStr">
        <is>
          <t>获得 15 点机缘</t>
        </is>
      </c>
      <c r="P571" s="9" t="inlineStr"/>
      <c r="Q571" s="9" t="inlineStr"/>
      <c r="R571" s="9" t="inlineStr">
        <is>
          <t>{"kind":"consumable","consumable":{"durationSec":6,"luckyGain":15,"label":"获得 15 点机缘"}}</t>
        </is>
      </c>
    </row>
    <row r="572" ht="32" customHeight="1">
      <c r="A572" s="8" t="n">
        <v>400220</v>
      </c>
      <c r="B572" s="8" t="inlineStr">
        <is>
          <t>聚缘宝箱</t>
        </is>
      </c>
      <c r="C572" s="8" t="inlineStr">
        <is>
          <t>宝箱</t>
        </is>
      </c>
      <c r="D572" s="8" t="inlineStr">
        <is>
          <t>common</t>
        </is>
      </c>
      <c r="E572" s="8" t="inlineStr">
        <is>
          <t>none</t>
        </is>
      </c>
      <c r="F572" s="8" t="n">
        <v>1</v>
      </c>
      <c r="G572" s="8" t="inlineStr">
        <is>
          <t>基础/顶层</t>
        </is>
      </c>
      <c r="H572" s="8" t="inlineStr"/>
      <c r="I572" s="9" t="inlineStr"/>
      <c r="J572" s="8" t="inlineStr"/>
      <c r="K572" s="8" t="inlineStr"/>
      <c r="L572" s="8" t="inlineStr"/>
      <c r="M572" s="8" t="inlineStr">
        <is>
          <t>消耗品效果</t>
        </is>
      </c>
      <c r="N572" s="8" t="inlineStr">
        <is>
          <t>consumable</t>
        </is>
      </c>
      <c r="O572" s="9" t="inlineStr">
        <is>
          <t>获得 30 点机缘</t>
        </is>
      </c>
      <c r="P572" s="9" t="inlineStr"/>
      <c r="Q572" s="9" t="inlineStr"/>
      <c r="R572" s="9" t="inlineStr">
        <is>
          <t>{"kind":"consumable","consumable":{"durationSec":7,"luckyGain":30,"label":"获得 30 点机缘"}}</t>
        </is>
      </c>
    </row>
    <row r="573" ht="32" customHeight="1">
      <c r="A573" s="8" t="n">
        <v>400221</v>
      </c>
      <c r="B573" s="8" t="inlineStr">
        <is>
          <t>满蕴机缘巨箱</t>
        </is>
      </c>
      <c r="C573" s="8" t="inlineStr">
        <is>
          <t>宝箱</t>
        </is>
      </c>
      <c r="D573" s="8" t="inlineStr">
        <is>
          <t>common</t>
        </is>
      </c>
      <c r="E573" s="8" t="inlineStr">
        <is>
          <t>none</t>
        </is>
      </c>
      <c r="F573" s="8" t="n">
        <v>1</v>
      </c>
      <c r="G573" s="8" t="inlineStr">
        <is>
          <t>基础/顶层</t>
        </is>
      </c>
      <c r="H573" s="8" t="inlineStr"/>
      <c r="I573" s="9" t="inlineStr"/>
      <c r="J573" s="8" t="inlineStr"/>
      <c r="K573" s="8" t="inlineStr"/>
      <c r="L573" s="8" t="inlineStr"/>
      <c r="M573" s="8" t="inlineStr">
        <is>
          <t>消耗品效果</t>
        </is>
      </c>
      <c r="N573" s="8" t="inlineStr">
        <is>
          <t>consumable</t>
        </is>
      </c>
      <c r="O573" s="9" t="inlineStr">
        <is>
          <t>获得 50 点机缘</t>
        </is>
      </c>
      <c r="P573" s="9" t="inlineStr"/>
      <c r="Q573" s="9" t="inlineStr"/>
      <c r="R573" s="9" t="inlineStr">
        <is>
          <t>{"kind":"consumable","consumable":{"durationSec":8,"luckyGain":50,"label":"获得 50 点机缘"}}</t>
        </is>
      </c>
    </row>
    <row r="574" ht="32" customHeight="1">
      <c r="A574" s="8" t="n">
        <v>400222</v>
      </c>
      <c r="B574" s="8" t="inlineStr">
        <is>
          <t>碎灵石匣</t>
        </is>
      </c>
      <c r="C574" s="8" t="inlineStr">
        <is>
          <t>宝箱</t>
        </is>
      </c>
      <c r="D574" s="8" t="inlineStr">
        <is>
          <t>common</t>
        </is>
      </c>
      <c r="E574" s="8" t="inlineStr">
        <is>
          <t>none</t>
        </is>
      </c>
      <c r="F574" s="8" t="n">
        <v>1</v>
      </c>
      <c r="G574" s="8" t="inlineStr">
        <is>
          <t>基础/顶层</t>
        </is>
      </c>
      <c r="H574" s="8" t="inlineStr"/>
      <c r="I574" s="9" t="inlineStr"/>
      <c r="J574" s="8" t="inlineStr"/>
      <c r="K574" s="8" t="inlineStr"/>
      <c r="L574" s="8" t="inlineStr"/>
      <c r="M574" s="8" t="inlineStr">
        <is>
          <t>消耗品效果</t>
        </is>
      </c>
      <c r="N574" s="8" t="inlineStr">
        <is>
          <t>consumable</t>
        </is>
      </c>
      <c r="O574" s="9" t="inlineStr">
        <is>
          <t>获得 1 枚灵石</t>
        </is>
      </c>
      <c r="P574" s="9" t="inlineStr"/>
      <c r="Q574" s="9" t="inlineStr"/>
      <c r="R574" s="9" t="inlineStr">
        <is>
          <t>{"kind":"consumable","consumable":{"durationSec":2,"spiritStoneGain":1,"label":"获得 1 枚灵石"}}</t>
        </is>
      </c>
    </row>
    <row r="575" ht="32" customHeight="1">
      <c r="A575" s="8" t="n">
        <v>400223</v>
      </c>
      <c r="B575" s="8" t="inlineStr">
        <is>
          <t>藏灵石匣</t>
        </is>
      </c>
      <c r="C575" s="8" t="inlineStr">
        <is>
          <t>宝箱</t>
        </is>
      </c>
      <c r="D575" s="8" t="inlineStr">
        <is>
          <t>common</t>
        </is>
      </c>
      <c r="E575" s="8" t="inlineStr">
        <is>
          <t>none</t>
        </is>
      </c>
      <c r="F575" s="8" t="n">
        <v>1</v>
      </c>
      <c r="G575" s="8" t="inlineStr">
        <is>
          <t>基础/顶层</t>
        </is>
      </c>
      <c r="H575" s="8" t="inlineStr"/>
      <c r="I575" s="9" t="inlineStr"/>
      <c r="J575" s="8" t="inlineStr"/>
      <c r="K575" s="8" t="inlineStr"/>
      <c r="L575" s="8" t="inlineStr"/>
      <c r="M575" s="8" t="inlineStr">
        <is>
          <t>消耗品效果</t>
        </is>
      </c>
      <c r="N575" s="8" t="inlineStr">
        <is>
          <t>consumable</t>
        </is>
      </c>
      <c r="O575" s="9" t="inlineStr">
        <is>
          <t>获得 2 枚灵石</t>
        </is>
      </c>
      <c r="P575" s="9" t="inlineStr"/>
      <c r="Q575" s="9" t="inlineStr"/>
      <c r="R575" s="9" t="inlineStr">
        <is>
          <t>{"kind":"consumable","consumable":{"durationSec":3,"spiritStoneGain":2,"label":"获得 2 枚灵石"}}</t>
        </is>
      </c>
    </row>
    <row r="576" ht="32" customHeight="1">
      <c r="A576" s="8" t="n">
        <v>400224</v>
      </c>
      <c r="B576" s="8" t="inlineStr">
        <is>
          <t>立纹灵石柜</t>
        </is>
      </c>
      <c r="C576" s="8" t="inlineStr">
        <is>
          <t>宝箱</t>
        </is>
      </c>
      <c r="D576" s="8" t="inlineStr">
        <is>
          <t>common</t>
        </is>
      </c>
      <c r="E576" s="8" t="inlineStr">
        <is>
          <t>none</t>
        </is>
      </c>
      <c r="F576" s="8" t="n">
        <v>1</v>
      </c>
      <c r="G576" s="8" t="inlineStr">
        <is>
          <t>基础/顶层</t>
        </is>
      </c>
      <c r="H576" s="8" t="inlineStr"/>
      <c r="I576" s="9" t="inlineStr"/>
      <c r="J576" s="8" t="inlineStr"/>
      <c r="K576" s="8" t="inlineStr"/>
      <c r="L576" s="8" t="inlineStr"/>
      <c r="M576" s="8" t="inlineStr">
        <is>
          <t>消耗品效果</t>
        </is>
      </c>
      <c r="N576" s="8" t="inlineStr">
        <is>
          <t>consumable</t>
        </is>
      </c>
      <c r="O576" s="9" t="inlineStr">
        <is>
          <t>获得 2 枚灵石</t>
        </is>
      </c>
      <c r="P576" s="9" t="inlineStr"/>
      <c r="Q576" s="9" t="inlineStr"/>
      <c r="R576" s="9" t="inlineStr">
        <is>
          <t>{"kind":"consumable","consumable":{"durationSec":3,"spiritStoneGain":2,"label":"获得 2 枚灵石"}}</t>
        </is>
      </c>
    </row>
    <row r="577" ht="32" customHeight="1">
      <c r="A577" s="8" t="n">
        <v>400225</v>
      </c>
      <c r="B577" s="8" t="inlineStr">
        <is>
          <t>聚灵石箱</t>
        </is>
      </c>
      <c r="C577" s="8" t="inlineStr">
        <is>
          <t>宝箱</t>
        </is>
      </c>
      <c r="D577" s="8" t="inlineStr">
        <is>
          <t>common</t>
        </is>
      </c>
      <c r="E577" s="8" t="inlineStr">
        <is>
          <t>none</t>
        </is>
      </c>
      <c r="F577" s="8" t="n">
        <v>1</v>
      </c>
      <c r="G577" s="8" t="inlineStr">
        <is>
          <t>基础/顶层</t>
        </is>
      </c>
      <c r="H577" s="8" t="inlineStr"/>
      <c r="I577" s="9" t="inlineStr"/>
      <c r="J577" s="8" t="inlineStr"/>
      <c r="K577" s="8" t="inlineStr"/>
      <c r="L577" s="8" t="inlineStr"/>
      <c r="M577" s="8" t="inlineStr">
        <is>
          <t>消耗品效果</t>
        </is>
      </c>
      <c r="N577" s="8" t="inlineStr">
        <is>
          <t>consumable</t>
        </is>
      </c>
      <c r="O577" s="9" t="inlineStr">
        <is>
          <t>获得 5 枚灵石</t>
        </is>
      </c>
      <c r="P577" s="9" t="inlineStr"/>
      <c r="Q577" s="9" t="inlineStr"/>
      <c r="R577" s="9" t="inlineStr">
        <is>
          <t>{"kind":"consumable","consumable":{"durationSec":8,"spiritStoneGain":5,"label":"获得 5 枚灵石"}}</t>
        </is>
      </c>
    </row>
    <row r="578" ht="32" customHeight="1">
      <c r="A578" s="8" t="n">
        <v>400226</v>
      </c>
      <c r="B578" s="8" t="inlineStr">
        <is>
          <t>满蕴灵石巨箱</t>
        </is>
      </c>
      <c r="C578" s="8" t="inlineStr">
        <is>
          <t>宝箱</t>
        </is>
      </c>
      <c r="D578" s="8" t="inlineStr">
        <is>
          <t>common</t>
        </is>
      </c>
      <c r="E578" s="8" t="inlineStr">
        <is>
          <t>none</t>
        </is>
      </c>
      <c r="F578" s="8" t="n">
        <v>1</v>
      </c>
      <c r="G578" s="8" t="inlineStr">
        <is>
          <t>基础/顶层</t>
        </is>
      </c>
      <c r="H578" s="8" t="inlineStr"/>
      <c r="I578" s="9" t="inlineStr"/>
      <c r="J578" s="8" t="inlineStr"/>
      <c r="K578" s="8" t="inlineStr"/>
      <c r="L578" s="8" t="inlineStr"/>
      <c r="M578" s="8" t="inlineStr">
        <is>
          <t>消耗品效果</t>
        </is>
      </c>
      <c r="N578" s="8" t="inlineStr">
        <is>
          <t>consumable</t>
        </is>
      </c>
      <c r="O578" s="9" t="inlineStr">
        <is>
          <t>获得 12 枚灵石</t>
        </is>
      </c>
      <c r="P578" s="9" t="inlineStr"/>
      <c r="Q578" s="9" t="inlineStr"/>
      <c r="R578" s="9" t="inlineStr">
        <is>
          <t>{"kind":"consumable","consumable":{"durationSec":8,"spiritStoneGain":12,"label":"获得 12 枚灵石"}}</t>
        </is>
      </c>
    </row>
    <row r="579" ht="32" customHeight="1">
      <c r="A579" s="8" t="n">
        <v>400227</v>
      </c>
      <c r="B579" s="8" t="inlineStr">
        <is>
          <t>裂锋反甲盾</t>
        </is>
      </c>
      <c r="C579" s="8" t="inlineStr">
        <is>
          <t>法器</t>
        </is>
      </c>
      <c r="D579" s="8" t="inlineStr">
        <is>
          <t>common</t>
        </is>
      </c>
      <c r="E579" s="8" t="inlineStr">
        <is>
          <t>metal</t>
        </is>
      </c>
      <c r="F579" s="8" t="n">
        <v>1</v>
      </c>
      <c r="G579" s="8" t="inlineStr">
        <is>
          <t>基础/顶层</t>
        </is>
      </c>
      <c r="H579" s="8" t="inlineStr"/>
      <c r="I579" s="9" t="inlineStr"/>
      <c r="J579" s="8" t="inlineStr"/>
      <c r="K579" s="8" t="inlineStr"/>
      <c r="L579" s="8" t="inlineStr"/>
      <c r="M579" s="8" t="inlineStr">
        <is>
          <t>周期触发</t>
        </is>
      </c>
      <c r="N579" s="8" t="inlineStr">
        <is>
          <t>periodicPulse</t>
        </is>
      </c>
      <c r="O579" s="9" t="inlineStr">
        <is>
          <t>消耗所有护甲，对敌人造成等量伤害</t>
        </is>
      </c>
      <c r="P579" s="9" t="inlineStr">
        <is>
          <t>onPeriodicPulse</t>
        </is>
      </c>
      <c r="Q579" s="9" t="inlineStr">
        <is>
          <t>consumeBuffStacks</t>
        </is>
      </c>
      <c r="R579" s="9" t="inlineStr">
        <is>
          <t>{"kind":"periodicPulse","periodicPulse":{"intervalSec":15,"label":"消耗所有护甲，&lt;battle&gt;对敌人造成等量伤害&lt;/battle&gt;"},"executors":[{"trigger":"onPeriodicPulse","type":"consumeBuffStacks","sourceBuffId":"armor","consumeRatio":1,"battleDamageHealthPerStack":1,"label":"消耗所有护甲，&lt;battle&gt;对敌人造成等量伤害&lt;/battle&gt;"}],"starOverrides":{"1":{"periodicPulse":{"intervalSec":14}},"2":{"periodicPulse":{"intervalSec":13}},"3":{"periodicPulse":{"intervalSec":12}}}}</t>
        </is>
      </c>
    </row>
    <row r="580" ht="32" customHeight="1">
      <c r="A580" s="8" t="n">
        <v>400238</v>
      </c>
      <c r="B580" s="8" t="inlineStr">
        <is>
          <t>点火针匣</t>
        </is>
      </c>
      <c r="C580" s="8" t="inlineStr">
        <is>
          <t>法器</t>
        </is>
      </c>
      <c r="D580" s="8" t="inlineStr">
        <is>
          <t>common</t>
        </is>
      </c>
      <c r="E580" s="8" t="inlineStr">
        <is>
          <t>fire</t>
        </is>
      </c>
      <c r="F580" s="8" t="n">
        <v>1</v>
      </c>
      <c r="G580" s="8" t="inlineStr">
        <is>
          <t>基础/顶层</t>
        </is>
      </c>
      <c r="H580" s="8" t="inlineStr"/>
      <c r="I580" s="9" t="inlineStr"/>
      <c r="J580" s="8" t="inlineStr"/>
      <c r="K580" s="8" t="inlineStr"/>
      <c r="L580" s="8" t="inlineStr"/>
      <c r="M580" s="8" t="inlineStr">
        <is>
          <t>周期触发</t>
        </is>
      </c>
      <c r="N580" s="8" t="inlineStr">
        <is>
          <t>periodicPulse</t>
        </is>
      </c>
      <c r="O580" s="9" t="inlineStr">
        <is>
          <t>开局：将 10 点体力转化为 3 层炎热；开局：将 15 点体力转化为 5 层炎热；开局：将 20 点体力转化为 7 层炎热；开局：将 25 点体力转化为 9 层炎热</t>
        </is>
      </c>
      <c r="P580" s="9" t="inlineStr"/>
      <c r="Q580" s="9" t="inlineStr"/>
      <c r="R580" s="9" t="inlineStr">
        <is>
          <t>{"kind":"periodicPulse","periodicPulse":{"startOnly":true,"primaryStatCosts":[{"stat":"stamina","amount":10}],"buffGains":[{"buffId":"heat","count":3}],"label":"开局：将 10 点体力转化为 3 层炎热"},"starOverrides":{"1":{"label":"开局：将 15 点体力转化为 5 层炎热","periodicPulse":{"primaryStatCosts":[{"amount":15}],"buffGains":[{"count":5}]}},"2":{"label":"开局：将 20 点体力转化为 7 层炎热","periodicPulse":{"primaryStatCosts":[{"amount":20}],"buffGains":[{"count":7}]}},"3":{"label":"开局：将 25 点体力转化为 9 层炎热","periodicPulse":{"primaryStatCosts":[{"amount":25}],"buffGains":[{"count":9}]}}}}</t>
        </is>
      </c>
    </row>
    <row r="581" ht="32" customHeight="1">
      <c r="A581" s="8" t="n">
        <v>400239</v>
      </c>
      <c r="B581" s="8" t="inlineStr">
        <is>
          <t>凝金回音铃</t>
        </is>
      </c>
      <c r="C581" s="8" t="inlineStr">
        <is>
          <t>法器</t>
        </is>
      </c>
      <c r="D581" s="8" t="inlineStr">
        <is>
          <t>common</t>
        </is>
      </c>
      <c r="E581" s="8" t="inlineStr">
        <is>
          <t>metal</t>
        </is>
      </c>
      <c r="F581" s="8" t="n">
        <v>1</v>
      </c>
      <c r="G581" s="8" t="inlineStr">
        <is>
          <t>基础/顶层</t>
        </is>
      </c>
      <c r="H581" s="8" t="inlineStr"/>
      <c r="I581" s="9" t="inlineStr"/>
      <c r="J581" s="8" t="inlineStr"/>
      <c r="K581" s="8" t="inlineStr"/>
      <c r="L581" s="8" t="inlineStr"/>
      <c r="M581" s="8" t="inlineStr">
        <is>
          <t>条件触发</t>
        </is>
      </c>
      <c r="N581" s="8" t="inlineStr">
        <is>
          <t>triggered</t>
        </is>
      </c>
      <c r="O581" s="9" t="inlineStr">
        <is>
          <t>每当消耗法力后，每消耗 1 点法力获得 1 层凝金，单次最多获得 4 层；每当消耗法力后，每消耗 1 点法力获得 2 层凝金，单次最多获得 8 层；每当消耗法力后，每消耗 1 点法力获得 3 层凝金，单次最多获得 12 层；每当消耗法力后，每消耗 1 点法力获得 4 层凝金，单次最多获得 16 层</t>
        </is>
      </c>
      <c r="P581" s="9" t="inlineStr">
        <is>
          <t>onPrimaryStatConsumed</t>
        </is>
      </c>
      <c r="Q581" s="9" t="inlineStr">
        <is>
          <t>applyBuff</t>
        </is>
      </c>
      <c r="R581" s="9" t="inlineStr">
        <is>
          <t>{"kind":"triggered","label":"每当消耗法力后，每消耗 1 点法力获得 1 层凝金，单次最多获得 4 层","triggeredEffect":{"trigger":"onPrimaryStatConsumed","type":"applyBuff","buffId":"condensedMetal","countPerEventPrimaryStatConsumed":{"stat":"mana","costPerStack":1,"countPerStack":1,"maxCount":4}},"starOverrides":{"1":{"label":"每当消耗法力后，每消耗 1 点法力获得 2 层凝金，单次最多获得 8 层","triggeredEffect":{"countPerEventPrimaryStatConsumed":{"countPerStack":2,"maxCount":8}}},"2":{"label":"每当消耗法力后，每消耗 1 点法力获得 3 层凝金，单次最多获得 12 层","triggeredEffect":{"countPerEventPrimaryStatConsumed":{"countPerStack":3,"maxCount":12}}},"3":{"label":"每当消耗法力后，每消耗 1 点法力获得 4 层凝金，单次最多获得 16 层","triggeredEffect":{"countPerEventPrimaryStatConsumed":{"countPerStack":4,"maxCount":16}}}}}</t>
        </is>
      </c>
    </row>
    <row r="582" ht="32" customHeight="1">
      <c r="A582" s="8" t="n">
        <v>400240</v>
      </c>
      <c r="B582" s="8" t="inlineStr">
        <is>
          <t>霜露凝珠盏</t>
        </is>
      </c>
      <c r="C582" s="8" t="inlineStr">
        <is>
          <t>法器</t>
        </is>
      </c>
      <c r="D582" s="8" t="inlineStr">
        <is>
          <t>common</t>
        </is>
      </c>
      <c r="E582" s="8" t="inlineStr">
        <is>
          <t>water</t>
        </is>
      </c>
      <c r="F582" s="8" t="n">
        <v>1</v>
      </c>
      <c r="G582" s="8" t="inlineStr">
        <is>
          <t>基础/顶层</t>
        </is>
      </c>
      <c r="H582" s="8" t="inlineStr"/>
      <c r="I582" s="9" t="inlineStr"/>
      <c r="J582" s="8" t="inlineStr"/>
      <c r="K582" s="8" t="inlineStr"/>
      <c r="L582" s="8" t="inlineStr"/>
      <c r="M582" s="8" t="inlineStr">
        <is>
          <t>周期触发</t>
        </is>
      </c>
      <c r="N582" s="8" t="inlineStr">
        <is>
          <t>periodicPulse</t>
        </is>
      </c>
      <c r="O582" s="9" t="inlineStr">
        <is>
          <t>最多将 4 层露水转化为寒冷；最多将 6 层露水转化为寒冷；最多将 8 层露水转化为寒冷；最多将 10 层露水转化为寒冷</t>
        </is>
      </c>
      <c r="P582" s="9" t="inlineStr">
        <is>
          <t>onPeriodicPulse</t>
        </is>
      </c>
      <c r="Q582" s="9" t="inlineStr">
        <is>
          <t>convertBuffStacks</t>
        </is>
      </c>
      <c r="R582" s="9" t="inlineStr">
        <is>
          <t>{"kind":"periodicPulse","periodicPulse":{"intervalSec":12,"label":"最多将 4 层露水转化为寒冷"},"executors":[{"trigger":"onPeriodicPulse","type":"convertBuffStacks","sourceBuffId":"dew","targetBuffId":"cold","maxStacks":4,"activationRequirements":{"buffStackThresholds":[{"buffId":"dew","comparator":"atLeast","count":1}]},"label":"最多将 4 层露水转化为寒冷"}],"starOverrides":{"1":{"label":"最多将 6 层露水转化为寒冷","executors":[{"maxStacks":6,"label":"最多将 6 层露水转化为寒冷"}]},"2":{"label":"最多将 8 层露水转化为寒冷","executors":[{"maxStacks":8,"label":"最多将 8 层露水转化为寒冷"}]},"3":{"label":"最多将 10 层露水转化为寒冷","executors":[{"maxStacks":10,"label":"最多将 10 层露水转化为寒冷"}]}}}</t>
        </is>
      </c>
    </row>
    <row r="583" ht="32" customHeight="1">
      <c r="A583" s="8" t="n">
        <v>400241</v>
      </c>
      <c r="B583" s="8" t="inlineStr">
        <is>
          <t>覆霜木匣</t>
        </is>
      </c>
      <c r="C583" s="8" t="inlineStr">
        <is>
          <t>法器</t>
        </is>
      </c>
      <c r="D583" s="8" t="inlineStr">
        <is>
          <t>common</t>
        </is>
      </c>
      <c r="E583" s="8" t="inlineStr">
        <is>
          <t>ice</t>
        </is>
      </c>
      <c r="F583" s="8" t="n">
        <v>1</v>
      </c>
      <c r="G583" s="8" t="inlineStr">
        <is>
          <t>基础/顶层</t>
        </is>
      </c>
      <c r="H583" s="8" t="inlineStr"/>
      <c r="I583" s="9" t="inlineStr"/>
      <c r="J583" s="8" t="inlineStr"/>
      <c r="K583" s="8" t="inlineStr"/>
      <c r="L583" s="8" t="inlineStr"/>
      <c r="M583" s="8" t="inlineStr">
        <is>
          <t>被动效果</t>
        </is>
      </c>
      <c r="N583" s="8" t="inlineStr">
        <is>
          <t>passive</t>
        </is>
      </c>
      <c r="O583" s="9" t="inlineStr">
        <is>
          <t>寒冷不少于 10 层时，露水层数上限 +5；寒冷不少于 10 层时，露水层数上限 +6；寒冷不少于 10 层时，露水层数上限 +7；寒冷不少于 10 层时，露水层数上限 +8</t>
        </is>
      </c>
      <c r="P583" s="9" t="inlineStr"/>
      <c r="Q583" s="9" t="inlineStr">
        <is>
          <t>buffStackCapBonus</t>
        </is>
      </c>
      <c r="R583" s="9" t="inlineStr">
        <is>
          <t>{"kind":"passive","passiveEffect":{"type":"buffStackCapBonus","buffId":"dew","value":5,"activationRequirements":{"buffStackThresholds":[{"buffId":"cold","comparator":"atLeast","count":10}]},"label":"寒冷不少于 10 层时，露水层数上限 +5"},"label":"寒冷不少于 10 层时，露水层数上限 +5","starOverrides":{"1":{"label":"寒冷不少于 10 层时，露水层数上限 +6","passiveEffect":{"value":6,"label":"寒冷不少于 10 层时，露水层数上限 +6"}},"2":{"label":"寒冷不少于 10 层时，露水层数上限 +7","passiveEffect":{"value":7,"label":"寒冷不少于 10 层时，露水层数上限 +7"}},"3":{"label":"寒冷不少于 10 层时，露水层数上限 +8","passiveEffect":{"value":8,"label":"寒冷不少于 10 层时，露水层数上限 +8"}}}}</t>
        </is>
      </c>
    </row>
    <row r="584" ht="32" customHeight="1">
      <c r="A584" s="8" t="n">
        <v>400242</v>
      </c>
      <c r="B584" s="8" t="inlineStr">
        <is>
          <t>玄冰行轮</t>
        </is>
      </c>
      <c r="C584" s="8" t="inlineStr">
        <is>
          <t>法器</t>
        </is>
      </c>
      <c r="D584" s="8" t="inlineStr">
        <is>
          <t>common</t>
        </is>
      </c>
      <c r="E584" s="8" t="inlineStr">
        <is>
          <t>water</t>
        </is>
      </c>
      <c r="F584" s="8" t="n">
        <v>1</v>
      </c>
      <c r="G584" s="8" t="inlineStr">
        <is>
          <t>基础/顶层</t>
        </is>
      </c>
      <c r="H584" s="8" t="inlineStr"/>
      <c r="I584" s="9" t="inlineStr"/>
      <c r="J584" s="8" t="inlineStr"/>
      <c r="K584" s="8" t="inlineStr"/>
      <c r="L584" s="8" t="inlineStr"/>
      <c r="M584" s="8" t="inlineStr">
        <is>
          <t>周期触发</t>
        </is>
      </c>
      <c r="N584" s="8" t="inlineStr">
        <is>
          <t>periodicPulse</t>
        </is>
      </c>
      <c r="O584" s="9" t="inlineStr">
        <is>
          <t>寒冷达到 12 层时，使所有冰属性道具获得 4 秒加速；寒冷达到 16 层时，使所有冰属性道具获得 6 秒加速；寒冷达到 20 层时，使所有冰属性道具获得 8 秒加速；寒冷达到 24 层时，使所有冰属性道具获得 10 秒加速</t>
        </is>
      </c>
      <c r="P584" s="9" t="inlineStr"/>
      <c r="Q584" s="9" t="inlineStr"/>
      <c r="R584" s="9" t="inlineStr">
        <is>
          <t>{"kind":"periodicPulse","periodicPulse":{"intervalSec":20,"label":"&lt;singleton&gt;寒冷达到 12 层时，使所有冰属性道具获得 4 秒加速&lt;/singleton&gt;","itemRuntimeStatusEffects":[{"itemRuntimeStatus":"haste","durationSec":4,"targetScope":"selfAll","singletonByTemplate":true,"targetFilter":{"elements":["ice"]}}],"activationRequirements":{"buffStackThresholds":[{"buffId":"cold","comparator":"atLeast","count":12}]}},"label":"&lt;singleton&gt;寒冷达到 12 层时，使所有冰属性道具获得 4 秒加速&lt;/singleton&gt;","starOverrides":{"1":{"label":"&lt;singleton&gt;寒冷达到 16 层时，使所有冰属性道具获得 6 秒加速&lt;/singleton&gt;","periodicPulse":{"itemRuntimeStatusEffects":[{"durationSec":6}],"activationRequirements":{"buffStackThresholds":[{"count":16}]}}},"2":{"label":"&lt;singleton&gt;寒冷达到 20 层时，使所有冰属性道具获得 8 秒加速&lt;/singleton&gt;","periodicPulse":{"itemRuntimeStatusEffects":[{"durationSec":8}],"activationRequirements":{"buffStackThresholds":[{"count":20}]}}},"3":{"label":"&lt;singleton&gt;寒冷达到 24 层时，使所有冰属性道具获得 10 秒加速&lt;/singleton&gt;","periodicPulse":{"itemRuntimeStatusEffects":[{"durationSec":10}],"activationRequirements":{"buffStackThresholds":[{"count":24}]}}}}}</t>
        </is>
      </c>
    </row>
    <row r="585" ht="32" customHeight="1">
      <c r="A585" s="8" t="n">
        <v>400243</v>
      </c>
      <c r="B585" s="8" t="inlineStr">
        <is>
          <t>寒魄护心甲</t>
        </is>
      </c>
      <c r="C585" s="8" t="inlineStr">
        <is>
          <t>法器</t>
        </is>
      </c>
      <c r="D585" s="8" t="inlineStr">
        <is>
          <t>common</t>
        </is>
      </c>
      <c r="E585" s="8" t="inlineStr">
        <is>
          <t>water</t>
        </is>
      </c>
      <c r="F585" s="8" t="n">
        <v>1</v>
      </c>
      <c r="G585" s="8" t="inlineStr">
        <is>
          <t>基础/顶层</t>
        </is>
      </c>
      <c r="H585" s="8" t="inlineStr"/>
      <c r="I585" s="9" t="inlineStr"/>
      <c r="J585" s="8" t="inlineStr"/>
      <c r="K585" s="8" t="inlineStr"/>
      <c r="L585" s="8" t="inlineStr"/>
      <c r="M585" s="8" t="inlineStr">
        <is>
          <t>周期触发</t>
        </is>
      </c>
      <c r="N585" s="8" t="inlineStr">
        <is>
          <t>periodicPulse</t>
        </is>
      </c>
      <c r="O585" s="9" t="inlineStr">
        <is>
          <t>将 4 层寒冷转化为 3 层坚硬；将 6 层寒冷转化为 5 层坚硬；将 8 层寒冷转化为 7 层坚硬；将 10 层寒冷转化为 9 层坚硬</t>
        </is>
      </c>
      <c r="P585" s="9" t="inlineStr">
        <is>
          <t>onPeriodicPulse</t>
        </is>
      </c>
      <c r="Q585" s="9" t="inlineStr">
        <is>
          <t>consumeBuffStacks</t>
        </is>
      </c>
      <c r="R585" s="9" t="inlineStr">
        <is>
          <t>{"kind":"periodicPulse","periodicPulse":{"intervalSec":12,"label":"将 4 层寒冷转化为 3 层坚硬"},"executors":[{"trigger":"onPeriodicPulse","type":"consumeBuffStacks","sourceBuffId":"cold","requiredStacks":4,"maxStacks":4,"targetBuffGainPerStack":{"buffId":"sturdy","countPerStack":0.75},"activationRequirements":{"buffStackThresholds":[{"buffId":"cold","comparator":"atLeast","count":4}]},"label":"将 4 层寒冷转化为 3 层坚硬"}],"starOverrides":{"1":{"label":"将 6 层寒冷转化为 5 层坚硬","executors":[{"requiredStacks":6,"maxStacks":6,"targetBuffGainPerStack":{"countPerStack":0.8333333333},"activationRequirements":{"buffStackThresholds":[{"count":6}]},"label":"将 6 层寒冷转化为 5 层坚硬"}]},"2":{"label":"将 8 层寒冷转化为 7 层坚硬","executors":[{"requiredStacks":8,"maxStacks":8,"targetBuffGainPerStack":{"countPerStack":0.875},"activationRequirements":{"buffStackThresholds":[{"count":8}]},"label":"将 8 层寒冷转化为 7 层坚硬"}]},"3":{"label":"将 10 层寒冷转化为 9 层坚硬","executors":[{"requiredStacks":10,"maxStacks":10,"targetBuffGainPerStack":{"countPerStack":0.9},"activationRequirements":{"buffStackThresholds":[{"count":10}]},"label":"将 10 层寒冷转化为 9 层坚硬"}]}}}</t>
        </is>
      </c>
    </row>
    <row r="586" ht="32" customHeight="1">
      <c r="A586" s="8" t="n">
        <v>400244</v>
      </c>
      <c r="B586" s="8" t="inlineStr">
        <is>
          <t>渡寒水镜</t>
        </is>
      </c>
      <c r="C586" s="8" t="inlineStr">
        <is>
          <t>法器</t>
        </is>
      </c>
      <c r="D586" s="8" t="inlineStr">
        <is>
          <t>common</t>
        </is>
      </c>
      <c r="E586" s="8" t="inlineStr">
        <is>
          <t>water</t>
        </is>
      </c>
      <c r="F586" s="8" t="n">
        <v>1</v>
      </c>
      <c r="G586" s="8" t="inlineStr">
        <is>
          <t>基础/顶层</t>
        </is>
      </c>
      <c r="H586" s="8" t="inlineStr"/>
      <c r="I586" s="9" t="inlineStr"/>
      <c r="J586" s="8" t="inlineStr"/>
      <c r="K586" s="8" t="inlineStr"/>
      <c r="L586" s="8" t="inlineStr"/>
      <c r="M586" s="8" t="inlineStr">
        <is>
          <t>周期触发</t>
        </is>
      </c>
      <c r="N586" s="8" t="inlineStr">
        <is>
          <t>periodicPulse</t>
        </is>
      </c>
      <c r="O586" s="9" t="inlineStr">
        <is>
          <t>消耗自身最多 4 层寒冷，对敌方施加等量冰霜；消耗自身最多 8 层寒冷，对敌方施加等量冰霜；消耗自身最多 12 层寒冷，对敌方施加等量冰霜；消耗自身最多 16 层寒冷，对敌方施加等量冰霜</t>
        </is>
      </c>
      <c r="P586" s="9" t="inlineStr">
        <is>
          <t>onPeriodicPulse</t>
        </is>
      </c>
      <c r="Q586" s="9" t="inlineStr">
        <is>
          <t>consumeBuffStacks</t>
        </is>
      </c>
      <c r="R586" s="9" t="inlineStr">
        <is>
          <t>{"kind":"periodicPulse","periodicPulse":{"intervalSec":12,"label":"消耗自身最多 4 层寒冷，&lt;battle&gt;对敌方施加等量冰霜&lt;/battle&gt;"},"executors":[{"trigger":"onPeriodicPulse","type":"consumeBuffStacks","sourceBuffId":"cold","maxStacks":4,"targetBuffGainPerStack":{"buffId":"frost","countPerStack":1},"support":"battleOnly","activationRequirements":{"buffStackThresholds":[{"buffId":"cold","comparator":"atLeast","count":1}]},"label":"消耗自身最多 4 层寒冷，&lt;battle&gt;对敌方施加等量冰霜&lt;/battle&gt;"}],"label":"消耗自身最多 4 层寒冷，&lt;battle&gt;对敌方施加等量冰霜&lt;/battle&gt;","starOverrides":{"1":{"periodicPulse":{"label":"消耗自身最多 8 层寒冷，&lt;battle&gt;对敌方施加等量冰霜&lt;/battle&gt;"},"executors":[{"trigger":"onPeriodicPulse","type":"consumeBuffStacks","sourceBuffId":"cold","maxStacks":8,"targetBuffGainPerStack":{"buffId":"frost","countPerStack":1},"support":"battleOnly","activationRequirements":{"buffStackThresholds":[{"buffId":"cold","comparator":"atLeast","count":1}]},"label":"消耗自身最多 8 层寒冷，&lt;battle&gt;对敌方施加等量冰霜&lt;/battle&gt;"}],"label":"消耗自身最多 8 层寒冷，&lt;battle&gt;对敌方施加等量冰霜&lt;/battle&gt;"},"2":{"periodicPulse":{"label":"消耗自身最多 12 层寒冷，&lt;battle&gt;对敌方施加等量冰霜&lt;/battle&gt;"},"executors":[{"trigger":"onPeriodicPulse","type":"consumeBuffStacks","sourceBuffId":"cold","maxStacks":12,"targetBuffGainPerStack":{"buffId":"frost","countPerStack":1},"support":"battleOnly","activationRequirements":{"buffStackThresholds":[{"buffId":"cold","comparator":"atLeast","count":1}]},"label":"消耗自身最多 12 层寒冷，&lt;battle&gt;对敌方施加等量冰霜&lt;/battle&gt;"}],"label":"消耗自身最多 12 层寒冷，&lt;battle&gt;对敌方施加等量冰霜&lt;/battle&gt;"},"3":{"periodicPulse":{"label":"消耗自身最多 16 层寒冷，&lt;battle&gt;对敌方施加等量冰霜&lt;/battle&gt;"},"executors":[{"trigger":"onPeriodicPulse","type":"consumeBuffStacks","sourceBuffId":"cold","maxStacks":16,"targetBuffGainPerStack":{"buffId":"frost","countPerStack":1},"support":"battleOnly","activationRequirements":{"buffStackThresholds":[{"buffId":"cold","comparator":"atLeast","count":1}]},"label":"消耗自身最多 16 层寒冷，&lt;battle&gt;对敌方施加等量冰霜&lt;/battle&gt;"}],"label":"消耗自身最多 16 层寒冷，&lt;battle&gt;对敌方施加等量冰霜&lt;/battle&gt;"}}}</t>
        </is>
      </c>
    </row>
    <row r="587" ht="32" customHeight="1">
      <c r="A587" s="8" t="n">
        <v>400245</v>
      </c>
      <c r="B587" s="8" t="inlineStr">
        <is>
          <t>蚀骨霜铃</t>
        </is>
      </c>
      <c r="C587" s="8" t="inlineStr">
        <is>
          <t>法器</t>
        </is>
      </c>
      <c r="D587" s="8" t="inlineStr">
        <is>
          <t>common</t>
        </is>
      </c>
      <c r="E587" s="8" t="inlineStr">
        <is>
          <t>water</t>
        </is>
      </c>
      <c r="F587" s="8" t="n">
        <v>1</v>
      </c>
      <c r="G587" s="8" t="inlineStr">
        <is>
          <t>基础/顶层</t>
        </is>
      </c>
      <c r="H587" s="8" t="inlineStr"/>
      <c r="I587" s="9" t="inlineStr"/>
      <c r="J587" s="8" t="inlineStr"/>
      <c r="K587" s="8" t="inlineStr"/>
      <c r="L587" s="8" t="inlineStr"/>
      <c r="M587" s="8" t="inlineStr">
        <is>
          <t>周期触发</t>
        </is>
      </c>
      <c r="N587" s="8" t="inlineStr">
        <is>
          <t>periodicPulse</t>
        </is>
      </c>
      <c r="O587" s="9" t="inlineStr">
        <is>
          <t>消耗敌方 4 层冰霜，造成 6 点伤害，并使敌方随机 2 件道具减速 3 秒；消耗敌方 8 层冰霜，造成 8 点伤害，并使敌方随机 2 件道具减速 4 秒；消耗敌方 12 层冰霜，造成 10 点伤害，并使敌方随机 2 件道具减速 6 秒；消耗敌方 16 层冰霜，造成 12 点伤害，并使敌方随机 2 件道具减速 8 秒</t>
        </is>
      </c>
      <c r="P587" s="9" t="inlineStr"/>
      <c r="Q587" s="9" t="inlineStr">
        <is>
          <t>targetBuffStacksGreaterThan</t>
        </is>
      </c>
      <c r="R587" s="9" t="inlineStr">
        <is>
          <t>{"kind":"periodicPulse","periodicPulse":{"intervalSec":10,"label":"&lt;battle&gt;消耗敌方 4 层冰霜，造成 6 点伤害，并使敌方随机 2 件道具减速 3 秒&lt;/battle&gt;","battleCondition":{"type":"targetBuffStacksGreaterThan","buffId":"frost","count":3},"removeBuffStacks":[{"target":"enemy","buffId":"frost","count":4}],"damageHealth":{"target":"enemy","amount":6},"itemRuntimeStatusEffects":[{"itemRuntimeStatus":"slow","durationSec":3,"targetScope":"enemyRandom","amount":2}]},"starOverrides":{"1":{"label":"&lt;battle&gt;消耗敌方 8 层冰霜，造成 8 点伤害，并使敌方随机 2 件道具减速 4 秒&lt;/battle&gt;","periodicPulse":{"removeBuffStacks":[{"count":8}],"damageHealth":{"amount":8},"itemRuntimeStatusEffects":[{"durationSec":4}]}},"2":{"label":"&lt;battle&gt;消耗敌方 12 层冰霜，造成 10 点伤害，并使敌方随机 2 件道具减速 6 秒&lt;/battle&gt;","periodicPulse":{"removeBuffStacks":[{"count":12}],"damageHealth":{"amount":10},"itemRuntimeStatusEffects":[{"durationSec":6}]}},"3":{"label":"&lt;battle&gt;消耗敌方 16 层冰霜，造成 12 点伤害，并使敌方随机 2 件道具减速 8 秒&lt;/battle&gt;","periodicPulse":{"removeBuffStacks":[{"count":16}],"damageHealth":{"amount":12},"itemRuntimeStatusEffects":[{"durationSec":8}]}}}}</t>
        </is>
      </c>
    </row>
    <row r="588" ht="32" customHeight="1">
      <c r="A588" s="8" t="n">
        <v>400246</v>
      </c>
      <c r="B588" s="8" t="inlineStr">
        <is>
          <t>岁寒回响碑</t>
        </is>
      </c>
      <c r="C588" s="8" t="inlineStr">
        <is>
          <t>法器</t>
        </is>
      </c>
      <c r="D588" s="8" t="inlineStr">
        <is>
          <t>common</t>
        </is>
      </c>
      <c r="E588" s="8" t="inlineStr">
        <is>
          <t>water</t>
        </is>
      </c>
      <c r="F588" s="8" t="n">
        <v>1</v>
      </c>
      <c r="G588" s="8" t="inlineStr">
        <is>
          <t>基础/顶层</t>
        </is>
      </c>
      <c r="H588" s="8" t="inlineStr"/>
      <c r="I588" s="9" t="inlineStr"/>
      <c r="J588" s="8" t="inlineStr"/>
      <c r="K588" s="8" t="inlineStr"/>
      <c r="L588" s="8" t="inlineStr"/>
      <c r="M588" s="8" t="inlineStr">
        <is>
          <t>周期触发</t>
        </is>
      </c>
      <c r="N588" s="8" t="inlineStr">
        <is>
          <t>periodicPulse</t>
        </is>
      </c>
      <c r="O588" s="9" t="inlineStr">
        <is>
          <t>最多将 4 层寒冷转化为等量修为；最多将 8 层寒冷转化为等量修为；最多将 12 层寒冷转化为等量修为；最多将 16 层寒冷转化为等量修为</t>
        </is>
      </c>
      <c r="P588" s="9" t="inlineStr">
        <is>
          <t>onPeriodicPulse</t>
        </is>
      </c>
      <c r="Q588" s="9" t="inlineStr">
        <is>
          <t>consumeBuffStacks</t>
        </is>
      </c>
      <c r="R588" s="9" t="inlineStr">
        <is>
          <t>{"kind":"periodicPulse","periodicPulse":{"intervalSec":8,"label":"最多将 4 层寒冷转化为等量修为"},"executors":[{"trigger":"onPeriodicPulse","type":"consumeBuffStacks","sourceBuffId":"cold","maxStacks":4,"cultivationGainPerStack":1,"activationRequirements":{"buffStackThresholds":[{"buffId":"cold","comparator":"atLeast","count":1}]},"label":"最多将 4 层寒冷转化为等量修为"}],"starOverrides":{"1":{"label":"最多将 8 层寒冷转化为等量修为","executors":[{"maxStacks":8,"label":"最多将 8 层寒冷转化为等量修为"}]},"2":{"label":"最多将 12 层寒冷转化为等量修为","executors":[{"maxStacks":12,"label":"最多将 12 层寒冷转化为等量修为"}]},"3":{"label":"最多将 16 层寒冷转化为等量修为","executors":[{"maxStacks":16,"label":"最多将 16 层寒冷转化为等量修为"}]}}}</t>
        </is>
      </c>
    </row>
    <row r="589" ht="32" customHeight="1">
      <c r="A589" s="8" t="n">
        <v>400247</v>
      </c>
      <c r="B589" s="8" t="inlineStr">
        <is>
          <t>伏脉金枪</t>
        </is>
      </c>
      <c r="C589" s="8" t="inlineStr">
        <is>
          <t>法器</t>
        </is>
      </c>
      <c r="D589" s="8" t="inlineStr">
        <is>
          <t>common</t>
        </is>
      </c>
      <c r="E589" s="8" t="inlineStr">
        <is>
          <t>metal</t>
        </is>
      </c>
      <c r="F589" s="8" t="n">
        <v>1</v>
      </c>
      <c r="G589" s="8" t="inlineStr">
        <is>
          <t>基础/顶层</t>
        </is>
      </c>
      <c r="H589" s="8" t="inlineStr"/>
      <c r="I589" s="9" t="inlineStr"/>
      <c r="J589" s="8" t="inlineStr"/>
      <c r="K589" s="8" t="inlineStr"/>
      <c r="L589" s="8" t="inlineStr"/>
      <c r="M589" s="8" t="inlineStr">
        <is>
          <t>周期触发</t>
        </is>
      </c>
      <c r="N589" s="8" t="inlineStr">
        <is>
          <t>periodicPulse</t>
        </is>
      </c>
      <c r="O589" s="9" t="inlineStr">
        <is>
          <t>开局时，相邻至少 2 件金属性道具时，获得 8 层凝金；开局时，相邻至少 2 件金属性道具时，获得 10 层凝金；开局时，相邻至少 2 件金属性道具时，获得 12 层凝金；开局时，相邻至少 2 件金属性道具时，获得 14 层凝金</t>
        </is>
      </c>
      <c r="P589" s="9" t="inlineStr"/>
      <c r="Q589" s="9" t="inlineStr"/>
      <c r="R589" s="9" t="inlineStr">
        <is>
          <t>{"kind":"periodicPulse","periodicPulse":{"startOnly":true,"buffGains":[{"buffId":"condensedMetal","count":8}],"activationRequirements":{"neighborCounts":[{"minCount":2,"elements":["metal"]}]},"label":"开局时，相邻至少 2 件金属性道具时，获得 8 层凝金"},"label":"开局时，相邻至少 2 件金属性道具时，获得 8 层凝金","starOverrides":{"1":{"periodicPulse":{"buffGains":[{"buffId":"condensedMetal","count":10}],"label":"开局时，相邻至少 2 件金属性道具时，获得 10 层凝金"},"label":"开局时，相邻至少 2 件金属性道具时，获得 10 层凝金"},"2":{"periodicPulse":{"buffGains":[{"buffId":"condensedMetal","count":12}],"label":"开局时，相邻至少 2 件金属性道具时，获得 12 层凝金"},"label":"开局时，相邻至少 2 件金属性道具时，获得 12 层凝金"},"3":{"periodicPulse":{"buffGains":[{"buffId":"condensedMetal","count":14}],"label":"开局时，相邻至少 2 件金属性道具时，获得 14 层凝金"},"label":"开局时，相邻至少 2 件金属性道具时，获得 14 层凝金"}}}</t>
        </is>
      </c>
    </row>
    <row r="590" ht="32" customHeight="1">
      <c r="A590" s="8" t="n">
        <v>400248</v>
      </c>
      <c r="B590" s="8" t="inlineStr">
        <is>
          <t>镇金玄匣</t>
        </is>
      </c>
      <c r="C590" s="8" t="inlineStr">
        <is>
          <t>法器</t>
        </is>
      </c>
      <c r="D590" s="8" t="inlineStr">
        <is>
          <t>common</t>
        </is>
      </c>
      <c r="E590" s="8" t="inlineStr">
        <is>
          <t>metal</t>
        </is>
      </c>
      <c r="F590" s="8" t="n">
        <v>1</v>
      </c>
      <c r="G590" s="8" t="inlineStr">
        <is>
          <t>基础/顶层</t>
        </is>
      </c>
      <c r="H590" s="8" t="inlineStr"/>
      <c r="I590" s="9" t="inlineStr"/>
      <c r="J590" s="8" t="inlineStr"/>
      <c r="K590" s="8" t="inlineStr"/>
      <c r="L590" s="8" t="inlineStr"/>
      <c r="M590" s="8" t="inlineStr">
        <is>
          <t>周期触发</t>
        </is>
      </c>
      <c r="N590" s="8" t="inlineStr">
        <is>
          <t>periodicPulse</t>
        </is>
      </c>
      <c r="O590" s="9" t="inlineStr">
        <is>
          <t>开局时，获得 4 层凝金和 4 层蓄势，战斗胜利时效果升级；凝金；蓄势；开局时，获得 6 层凝金和 6 层蓄势，战斗胜利时效果升级；开局时，获得 8 层凝金和 8 层蓄势，战斗胜利时效果升级；开局时，获得 10 层凝金和 10 层蓄势，战斗胜利时效果升级</t>
        </is>
      </c>
      <c r="P590" s="9" t="inlineStr">
        <is>
          <t>onEnemyDefeated</t>
        </is>
      </c>
      <c r="Q590" s="9" t="inlineStr"/>
      <c r="R590" s="9" t="inlineStr">
        <is>
          <t>{"kind":"periodicPulse","periodicPulse":{"startOnly":true,"buffGains":[{"buffId":"condensedMetal","count":4},{"buffId":"heavy","count":4}],"label":"开局时，获得 4 层凝金和 4 层蓄势，&lt;battle&gt;战斗胜利时效果升级&lt;/battle&gt;"},"label":"开局时，获得 4 层凝金和 4 层蓄势，&lt;battle&gt;战斗胜利时效果升级&lt;/battle&gt;","growth":{"lifecycle":"permanent","trigger":"onEnemyDefeated","bindings":[{"path":"periodicPulse.buffGains.0.count","delta":1,"maxValue":10,"label":"凝金","textOccurrence":0},{"path":"periodicPulse.buffGains.1.count","delta":1,"maxValue":10,"label":"蓄势","textOccurrence":1}],"support":"battleOnly"},"starOverrides":{"1":{"periodicPulse":{"buffGains":[{"buffId":"condensedMetal","count":6},{"buffId":"heavy","count":6}],"label":"开局时，获得 6 层凝金和 6 层蓄势，&lt;battle&gt;战斗胜利时效果升级&lt;/battle&gt;"},"label":"开局时，获得 6 层凝金和 6 层蓄势，&lt;battle&gt;战斗胜利时效果升级&lt;/battle&gt;"},"2":{"periodicPulse":{"buffGains":[{"buffId":"condensedMetal","count":8},{"buffId":"heavy","count":8}],"label":"开局时，获得 8 层凝金和 8 层蓄势，&lt;battle&gt;战斗胜利时效果升级&lt;/battle&gt;"},"label":"开局时，获得 8 层凝金和 8 层蓄势，&lt;battle&gt;战斗胜利时效果升级&lt;/battle&gt;"},"3":{"periodicPulse":{"buffGains":[{"buffId":"condensedMetal","count":10},{"buffId":"heavy","count":10}],"label":"开局时，获得 10 层凝金和 10 层蓄势，&lt;battle&gt;战斗胜利时效果升级&lt;/battle&gt;"},"label":"开局时，获得 10 层凝金和 10 层蓄势，&lt;battle&gt;战斗胜利时效果升级&lt;/battle&gt;"}}}</t>
        </is>
      </c>
    </row>
    <row r="591" ht="32" customHeight="1">
      <c r="A591" s="8" t="n">
        <v>400249</v>
      </c>
      <c r="B591" s="8" t="inlineStr">
        <is>
          <t>金罡藏心甲</t>
        </is>
      </c>
      <c r="C591" s="8" t="inlineStr">
        <is>
          <t>法器</t>
        </is>
      </c>
      <c r="D591" s="8" t="inlineStr">
        <is>
          <t>common</t>
        </is>
      </c>
      <c r="E591" s="8" t="inlineStr">
        <is>
          <t>earth</t>
        </is>
      </c>
      <c r="F591" s="8" t="n">
        <v>1</v>
      </c>
      <c r="G591" s="8" t="inlineStr">
        <is>
          <t>基础/顶层</t>
        </is>
      </c>
      <c r="H591" s="8" t="inlineStr"/>
      <c r="I591" s="9" t="inlineStr"/>
      <c r="J591" s="8" t="inlineStr"/>
      <c r="K591" s="8" t="inlineStr"/>
      <c r="L591" s="8" t="inlineStr"/>
      <c r="M591" s="8" t="inlineStr">
        <is>
          <t>条件触发</t>
        </is>
      </c>
      <c r="N591" s="8" t="inlineStr">
        <is>
          <t>triggered</t>
        </is>
      </c>
      <c r="O591" s="9" t="inlineStr">
        <is>
          <t>服用丹药时，获得 5 层坚硬；服用丹药时，获得 8 层坚硬；服用丹药时，获得 11 层坚硬；服用丹药时，获得 14 层坚硬</t>
        </is>
      </c>
      <c r="P591" s="9" t="inlineStr">
        <is>
          <t>onConsumableActivated</t>
        </is>
      </c>
      <c r="Q591" s="9" t="inlineStr">
        <is>
          <t>applyBuff；any</t>
        </is>
      </c>
      <c r="R591" s="9" t="inlineStr">
        <is>
          <t>{"kind":"triggered","label":"服用丹药时，获得 5 层坚硬","triggeredEffect":{"trigger":"onConsumableActivated","type":"applyBuff","buffId":"sturdy","count":5,"eventSource":{"target":{"type":"any"},"filter":{"categories":["pill"]}}},"starOverrides":{"1":{"label":"服用丹药时，获得 8 层坚硬","triggeredEffect":{"count":8}},"2":{"label":"服用丹药时，获得 11 层坚硬","triggeredEffect":{"count":11}},"3":{"label":"服用丹药时，获得 14 层坚硬","triggeredEffect":{"count":14}}}}</t>
        </is>
      </c>
    </row>
    <row r="592" ht="32" customHeight="1">
      <c r="A592" s="8" t="n">
        <v>400249</v>
      </c>
      <c r="B592" s="8" t="inlineStr">
        <is>
          <t>金罡藏心甲</t>
        </is>
      </c>
      <c r="C592" s="8" t="inlineStr">
        <is>
          <t>法器</t>
        </is>
      </c>
      <c r="D592" s="8" t="inlineStr">
        <is>
          <t>common</t>
        </is>
      </c>
      <c r="E592" s="8" t="inlineStr">
        <is>
          <t>earth</t>
        </is>
      </c>
      <c r="F592" s="8" t="n">
        <v>2</v>
      </c>
      <c r="G592" s="8" t="inlineStr">
        <is>
          <t>基础/顶层</t>
        </is>
      </c>
      <c r="H592" s="8" t="inlineStr"/>
      <c r="I592" s="9" t="inlineStr"/>
      <c r="J592" s="8" t="inlineStr"/>
      <c r="K592" s="8" t="inlineStr"/>
      <c r="L592" s="8" t="inlineStr"/>
      <c r="M592" s="8" t="inlineStr">
        <is>
          <t>条件触发</t>
        </is>
      </c>
      <c r="N592" s="8" t="inlineStr">
        <is>
          <t>triggered</t>
        </is>
      </c>
      <c r="O592" s="9" t="inlineStr">
        <is>
          <t>凝金层数不少于 15 时，服用丹药额外获得 5 层坚硬；凝金层数不少于 15 时，服用丹药额外获得 8 层坚硬；凝金层数不少于 15 时，服用丹药额外获得 11 层坚硬；凝金层数不少于 15 时，服用丹药额外获得 14 层坚硬</t>
        </is>
      </c>
      <c r="P592" s="9" t="inlineStr">
        <is>
          <t>onConsumableActivated</t>
        </is>
      </c>
      <c r="Q592" s="9" t="inlineStr">
        <is>
          <t>applyBuff；any</t>
        </is>
      </c>
      <c r="R592" s="9" t="inlineStr">
        <is>
          <t>{"kind":"triggered","label":"凝金层数不少于 15 时，服用丹药额外获得 5 层坚硬","triggeredEffect":{"trigger":"onConsumableActivated","type":"applyBuff","buffId":"sturdy","count":5,"activationRequirements":{"buffStackThresholds":[{"buffId":"condensedMetal","comparator":"atLeast","count":15}]},"eventSource":{"target":{"type":"any"},"filter":{"categories":["pill"]}}},"starOverrides":{"1":{"label":"凝金层数不少于 15 时，服用丹药额外获得 8 层坚硬","triggeredEffect":{"count":8}},"2":{"label":"凝金层数不少于 15 时，服用丹药额外获得 11 层坚硬","triggeredEffect":{"count":11}},"3":{"label":"凝金层数不少于 15 时，服用丹药额外获得 14 层坚硬","triggeredEffect":{"count":14}}}}</t>
        </is>
      </c>
    </row>
    <row r="593" ht="32" customHeight="1">
      <c r="A593" s="8" t="n">
        <v>400250</v>
      </c>
      <c r="B593" s="8" t="inlineStr">
        <is>
          <t>石板剑</t>
        </is>
      </c>
      <c r="C593" s="8" t="inlineStr">
        <is>
          <t>法器</t>
        </is>
      </c>
      <c r="D593" s="8" t="inlineStr">
        <is>
          <t>common</t>
        </is>
      </c>
      <c r="E593" s="8" t="inlineStr">
        <is>
          <t>earth</t>
        </is>
      </c>
      <c r="F593" s="8" t="n">
        <v>1</v>
      </c>
      <c r="G593" s="8" t="inlineStr">
        <is>
          <t>基础/顶层</t>
        </is>
      </c>
      <c r="H593" s="8" t="inlineStr"/>
      <c r="I593" s="9" t="inlineStr"/>
      <c r="J593" s="8" t="inlineStr"/>
      <c r="K593" s="8" t="inlineStr"/>
      <c r="L593" s="8" t="inlineStr"/>
      <c r="M593" s="8" t="inlineStr">
        <is>
          <t>周期触发</t>
        </is>
      </c>
      <c r="N593" s="8" t="inlineStr">
        <is>
          <t>periodicPulse</t>
        </is>
      </c>
      <c r="O593" s="9" t="inlineStr">
        <is>
          <t>消耗 4 层护甲；对敌方造成 12 点伤害；消耗 4 层护甲；消耗 6 层护甲；对敌方造成 18 点伤害；消耗 6 层护甲；消耗 8 层护甲；对敌方造成 24 点伤害；消耗 8 层护甲；消耗 10 层护甲；对敌方造成 30 点伤害；消耗 10 层护甲</t>
        </is>
      </c>
      <c r="P593" s="9" t="inlineStr">
        <is>
          <t>onPeriodicPulse</t>
        </is>
      </c>
      <c r="Q593" s="9" t="inlineStr">
        <is>
          <t>consumeBuffStacks</t>
        </is>
      </c>
      <c r="R593" s="9" t="inlineStr">
        <is>
          <t>{"kind":"periodicPulse","periodicPulse":{"intervalSec":8,"label":"消耗 4 层护甲；&lt;battle&gt;对敌方造成 12 点伤害&lt;/battle&gt;","damageHealth":{"amount":12}},"executors":[{"trigger":"onPeriodicPulse","type":"consumeBuffStacks","sourceBuffId":"armor","requiredStacks":4,"maxStacks":4,"support":"common","label":"消耗 4 层护甲"}],"label":"消耗 4 层护甲；&lt;battle&gt;对敌方造成 12 点伤害&lt;/battle&gt;","starOverrides":{"1":{"periodicPulse":{"label":"消耗 6 层护甲；&lt;battle&gt;对敌方造成 18 点伤害&lt;/battle&gt;","damageHealth":{"amount":18}},"executors":[{"trigger":"onPeriodicPulse","type":"consumeBuffStacks","sourceBuffId":"armor","requiredStacks":6,"maxStacks":6,"support":"common","label":"消耗 6 层护甲"}],"label":"消耗 6 层护甲；&lt;battle&gt;对敌方造成 18 点伤害&lt;/battle&gt;"},"2":{"periodicPulse":{"label":"消耗 8 层护甲；&lt;battle&gt;对敌方造成 24 点伤害&lt;/battle&gt;","damageHealth":{"amount":24}},"executors":[{"trigger":"onPeriodicPulse","type":"consumeBuffStacks","sourceBuffId":"armor","requiredStacks":8,"maxStacks":8,"support":"common","label":"消耗 8 层护甲"}],"label":"消耗 8 层护甲；&lt;battle&gt;对敌方造成 24 点伤害&lt;/battle&gt;"},"3":{"periodicPulse":{"label":"消耗 10 层护甲；&lt;battle&gt;对敌方造成 30 点伤害&lt;/battle&gt;","damageHealth":{"amount":30}},"executors":[{"trigger":"onPeriodicPulse","type":"consumeBuffStacks","sourceBuffId":"armor","requiredStacks":10,"maxStacks":10,"support":"common","label":"消耗 10 层护甲"}],"label":"消耗 10 层护甲；&lt;battle&gt;对敌方造成 30 点伤害&lt;/battle&gt;"}}}</t>
        </is>
      </c>
    </row>
    <row r="594" ht="32" customHeight="1">
      <c r="A594" s="8" t="n">
        <v>400251</v>
      </c>
      <c r="B594" s="8" t="inlineStr">
        <is>
          <t>锁脉金勾</t>
        </is>
      </c>
      <c r="C594" s="8" t="inlineStr">
        <is>
          <t>法器</t>
        </is>
      </c>
      <c r="D594" s="8" t="inlineStr">
        <is>
          <t>common</t>
        </is>
      </c>
      <c r="E594" s="8" t="inlineStr">
        <is>
          <t>metal</t>
        </is>
      </c>
      <c r="F594" s="8" t="n">
        <v>1</v>
      </c>
      <c r="G594" s="8" t="inlineStr">
        <is>
          <t>基础/顶层</t>
        </is>
      </c>
      <c r="H594" s="8" t="inlineStr"/>
      <c r="I594" s="9" t="inlineStr"/>
      <c r="J594" s="8" t="inlineStr"/>
      <c r="K594" s="8" t="inlineStr"/>
      <c r="L594" s="8" t="inlineStr"/>
      <c r="M594" s="8" t="inlineStr">
        <is>
          <t>周期触发</t>
        </is>
      </c>
      <c r="N594" s="8" t="inlineStr">
        <is>
          <t>periodicPulse</t>
        </is>
      </c>
      <c r="O594" s="9" t="inlineStr">
        <is>
          <t>消耗 4 层凝金，获得 4 层护甲；消耗 8 层凝金，获得 8 层护甲；消耗 12 层凝金，获得 12 层护甲；消耗 16 层凝金，获得 16 层护甲</t>
        </is>
      </c>
      <c r="P594" s="9" t="inlineStr">
        <is>
          <t>onPeriodicPulse</t>
        </is>
      </c>
      <c r="Q594" s="9" t="inlineStr">
        <is>
          <t>consumeBuffStacks</t>
        </is>
      </c>
      <c r="R594" s="9" t="inlineStr">
        <is>
          <t>{"kind":"periodicPulse","periodicPulse":{"intervalSec":12,"label":"消耗 4 层凝金，获得 4 层护甲"},"executors":[{"trigger":"onPeriodicPulse","type":"consumeBuffStacks","sourceBuffId":"condensedMetal","requiredStacks":4,"maxStacks":4,"selfBuffGainPerStack":{"buffId":"armor","countPerStack":1},"support":"common","label":"消耗 4 层凝金，获得 4 层护甲"}],"label":"消耗 4 层凝金，获得 4 层护甲","starOverrides":{"1":{"periodicPulse":{"label":"消耗 8 层凝金，获得 8 层护甲"},"executors":[{"trigger":"onPeriodicPulse","type":"consumeBuffStacks","sourceBuffId":"condensedMetal","requiredStacks":8,"maxStacks":8,"selfBuffGainPerStack":{"buffId":"armor","countPerStack":1},"support":"common","label":"消耗 8 层凝金，获得 8 层护甲"}],"label":"消耗 8 层凝金，获得 8 层护甲"},"2":{"periodicPulse":{"label":"消耗 12 层凝金，获得 12 层护甲"},"executors":[{"trigger":"onPeriodicPulse","type":"consumeBuffStacks","sourceBuffId":"condensedMetal","requiredStacks":12,"maxStacks":12,"selfBuffGainPerStack":{"buffId":"armor","countPerStack":1},"support":"common","label":"消耗 12 层凝金，获得 12 层护甲"}]},"3":{"periodicPulse":{"label":"消耗 16 层凝金，获得 16 层护甲"},"executors":[{"trigger":"onPeriodicPulse","type":"consumeBuffStacks","sourceBuffId":"condensedMetal","requiredStacks":16,"maxStacks":16,"selfBuffGainPerStack":{"buffId":"armor","countPerStack":1},"support":"common","label":"消耗 16 层凝金，获得 16 层护甲"}],"label":"消耗 16 层凝金，获得 16 层护甲"}}}</t>
        </is>
      </c>
    </row>
    <row r="595" ht="32" customHeight="1">
      <c r="A595" s="8" t="n">
        <v>400252</v>
      </c>
      <c r="B595" s="8" t="inlineStr">
        <is>
          <t>金息化生盏</t>
        </is>
      </c>
      <c r="C595" s="8" t="inlineStr">
        <is>
          <t>法器</t>
        </is>
      </c>
      <c r="D595" s="8" t="inlineStr">
        <is>
          <t>common</t>
        </is>
      </c>
      <c r="E595" s="8" t="inlineStr">
        <is>
          <t>water</t>
        </is>
      </c>
      <c r="F595" s="8" t="n">
        <v>1</v>
      </c>
      <c r="G595" s="8" t="inlineStr">
        <is>
          <t>基础/顶层</t>
        </is>
      </c>
      <c r="H595" s="8" t="inlineStr"/>
      <c r="I595" s="9" t="inlineStr"/>
      <c r="J595" s="8" t="inlineStr"/>
      <c r="K595" s="8" t="inlineStr"/>
      <c r="L595" s="8" t="inlineStr"/>
      <c r="M595" s="8" t="inlineStr">
        <is>
          <t>周期触发</t>
        </is>
      </c>
      <c r="N595" s="8" t="inlineStr">
        <is>
          <t>periodicPulse</t>
        </is>
      </c>
      <c r="O595" s="9" t="inlineStr">
        <is>
          <t>最多将 4 层凝金转化为体力，每 1 层转化为 2 点体力；最多将 8 层凝金转化为体力，每 1 层转化为 2 点体力；最多将 12 层凝金转化为体力，每 1 层转化为 2 点体力；最多将 16 层凝金转化为体力，每 1 层转化为 2 点体力</t>
        </is>
      </c>
      <c r="P595" s="9" t="inlineStr">
        <is>
          <t>onPeriodicPulse</t>
        </is>
      </c>
      <c r="Q595" s="9" t="inlineStr">
        <is>
          <t>consumeBuffStacks</t>
        </is>
      </c>
      <c r="R595" s="9" t="inlineStr">
        <is>
          <t>{"kind":"periodicPulse","periodicPulse":{"intervalSec":12,"label":"最多将 4 层凝金转化为体力，每 1 层转化为 2 点体力"},"executors":[{"trigger":"onPeriodicPulse","type":"consumeBuffStacks","sourceBuffId":"condensedMetal","maxStacks":4,"primaryStatGainPerStack":{"stat":"stamina","amount":2},"label":"最多将 4 层凝金转化为体力，每 1 层转化为 2 点体力"}],"starOverrides":{"1":{"label":"最多将 8 层凝金转化为体力，每 1 层转化为 2 点体力","executors":[{"maxStacks":8,"label":"最多将 8 层凝金转化为体力，每 1 层转化为 2 点体力"}]},"2":{"label":"最多将 12 层凝金转化为体力，每 1 层转化为 2 点体力","executors":[{"maxStacks":12,"label":"最多将 12 层凝金转化为体力，每 1 层转化为 2 点体力"}]},"3":{"label":"最多将 16 层凝金转化为体力，每 1 层转化为 2 点体力","executors":[{"maxStacks":16,"label":"最多将 16 层凝金转化为体力，每 1 层转化为 2 点体力"}]}}}</t>
        </is>
      </c>
    </row>
    <row r="596" ht="32" customHeight="1">
      <c r="A596" s="8" t="n">
        <v>400253</v>
      </c>
      <c r="B596" s="8" t="inlineStr">
        <is>
          <t>裂金分流印</t>
        </is>
      </c>
      <c r="C596" s="8" t="inlineStr">
        <is>
          <t>法器</t>
        </is>
      </c>
      <c r="D596" s="8" t="inlineStr">
        <is>
          <t>common</t>
        </is>
      </c>
      <c r="E596" s="8" t="inlineStr">
        <is>
          <t>metal</t>
        </is>
      </c>
      <c r="F596" s="8" t="n">
        <v>1</v>
      </c>
      <c r="G596" s="8" t="inlineStr">
        <is>
          <t>基础/顶层</t>
        </is>
      </c>
      <c r="H596" s="8" t="inlineStr"/>
      <c r="I596" s="9" t="inlineStr"/>
      <c r="J596" s="8" t="inlineStr"/>
      <c r="K596" s="8" t="inlineStr"/>
      <c r="L596" s="8" t="inlineStr"/>
      <c r="M596" s="8" t="inlineStr">
        <is>
          <t>周期触发</t>
        </is>
      </c>
      <c r="N596" s="8" t="inlineStr">
        <is>
          <t>periodicPulse</t>
        </is>
      </c>
      <c r="O596" s="9" t="inlineStr">
        <is>
          <t>最多将 4 层凝金转化为修为，每 1 层转化为 4 点修为；最多将 8 层凝金转化为修为，每 1 层转化为 4 点修为；最多将 12 层凝金转化为修为，每 1 层转化为 4 点修为；最多将 16 层凝金转化为修为，每 1 层转化为 4 点修为</t>
        </is>
      </c>
      <c r="P596" s="9" t="inlineStr">
        <is>
          <t>onPeriodicPulse</t>
        </is>
      </c>
      <c r="Q596" s="9" t="inlineStr">
        <is>
          <t>consumeBuffStacks</t>
        </is>
      </c>
      <c r="R596" s="9" t="inlineStr">
        <is>
          <t>{"kind":"periodicPulse","periodicPulse":{"intervalSec":12,"label":"最多将 4 层凝金转化为修为，每 1 层转化为 4 点修为"},"executors":[{"trigger":"onPeriodicPulse","type":"consumeBuffStacks","sourceBuffId":"condensedMetal","maxStacks":4,"cultivationGainPerStack":4,"label":"最多将 4 层凝金转化为修为，每 1 层转化为 4 点修为"}],"starOverrides":{"1":{"label":"最多将 8 层凝金转化为修为，每 1 层转化为 4 点修为","executors":[{"maxStacks":8,"label":"最多将 8 层凝金转化为修为，每 1 层转化为 4 点修为"}]},"2":{"label":"最多将 12 层凝金转化为修为，每 1 层转化为 4 点修为","executors":[{"maxStacks":12,"label":"最多将 12 层凝金转化为修为，每 1 层转化为 4 点修为"}]},"3":{"label":"最多将 16 层凝金转化为修为，每 1 层转化为 4 点修为","executors":[{"maxStacks":16,"label":"最多将 16 层凝金转化为修为，每 1 层转化为 4 点修为"}]}}}</t>
        </is>
      </c>
    </row>
    <row r="597" ht="32" customHeight="1">
      <c r="A597" s="8" t="n">
        <v>400254</v>
      </c>
      <c r="B597" s="8" t="inlineStr">
        <is>
          <t>逐风履</t>
        </is>
      </c>
      <c r="C597" s="8" t="inlineStr">
        <is>
          <t>法器</t>
        </is>
      </c>
      <c r="D597" s="8" t="inlineStr">
        <is>
          <t>common</t>
        </is>
      </c>
      <c r="E597" s="8" t="inlineStr">
        <is>
          <t>wind</t>
        </is>
      </c>
      <c r="F597" s="8" t="n">
        <v>1</v>
      </c>
      <c r="G597" s="8" t="inlineStr">
        <is>
          <t>基础/顶层</t>
        </is>
      </c>
      <c r="H597" s="8" t="inlineStr"/>
      <c r="I597" s="9" t="inlineStr"/>
      <c r="J597" s="8" t="inlineStr"/>
      <c r="K597" s="8" t="inlineStr"/>
      <c r="L597" s="8" t="inlineStr"/>
      <c r="M597" s="8" t="inlineStr">
        <is>
          <t>周期触发</t>
        </is>
      </c>
      <c r="N597" s="8" t="inlineStr">
        <is>
          <t>periodicPulse</t>
        </is>
      </c>
      <c r="O597" s="9" t="inlineStr">
        <is>
          <t>位于储物袋底部时，获得 1 层敏捷；位于储物袋底部时，获得 2 层敏捷；位于储物袋底部时，获得 3 层敏捷；位于储物袋底部时，获得 4 层敏捷</t>
        </is>
      </c>
      <c r="P597" s="9" t="inlineStr"/>
      <c r="Q597" s="9" t="inlineStr"/>
      <c r="R597" s="9" t="inlineStr">
        <is>
          <t>{"kind":"periodicPulse","label":"位于储物袋底部时，获得 1 层敏捷","periodicPulse":{"intervalSec":8,"label":"位于储物袋底部时，获得 1 层敏捷","buffGains":[{"buffId":"agile","count":1}],"activationRequirements":{"sourceEdges":["bottom"]}},"starOverrides":{"1":{"label":"位于储物袋底部时，获得 2 层敏捷","periodicPulse":{"label":"位于储物袋底部时，获得 2 层敏捷","buffGains":[{"buffId":"agile","count":2}]}},"2":{"label":"位于储物袋底部时，获得 3 层敏捷","periodicPulse":{"label":"位于储物袋底部时，获得 3 层敏捷","buffGains":[{"buffId":"agile","count":3}]}},"3":{"label":"位于储物袋底部时，获得 4 层敏捷","periodicPulse":{"label":"位于储物袋底部时，获得 4 层敏捷","buffGains":[{"buffId":"agile","count":4}]}}}}</t>
        </is>
      </c>
    </row>
    <row r="598" ht="32" customHeight="1">
      <c r="A598" s="8" t="n">
        <v>400255</v>
      </c>
      <c r="B598" s="8" t="inlineStr">
        <is>
          <t>破滞银针</t>
        </is>
      </c>
      <c r="C598" s="8" t="inlineStr">
        <is>
          <t>法器</t>
        </is>
      </c>
      <c r="D598" s="8" t="inlineStr">
        <is>
          <t>common</t>
        </is>
      </c>
      <c r="E598" s="8" t="inlineStr">
        <is>
          <t>metal</t>
        </is>
      </c>
      <c r="F598" s="8" t="n">
        <v>1</v>
      </c>
      <c r="G598" s="8" t="inlineStr">
        <is>
          <t>基础/顶层</t>
        </is>
      </c>
      <c r="H598" s="8" t="inlineStr"/>
      <c r="I598" s="9" t="inlineStr"/>
      <c r="J598" s="8" t="inlineStr"/>
      <c r="K598" s="8" t="inlineStr"/>
      <c r="L598" s="8" t="inlineStr"/>
      <c r="M598" s="8" t="inlineStr">
        <is>
          <t>周期触发</t>
        </is>
      </c>
      <c r="N598" s="8" t="inlineStr">
        <is>
          <t>periodicPulse</t>
        </is>
      </c>
      <c r="O598" s="9" t="inlineStr">
        <is>
          <t>将 2 层蓄势转化为 1 层敏捷；将 4 层蓄势转化为 2 层敏捷；将 6 层蓄势转化为 3 层敏捷；将 8 层蓄势转化为 4 层敏捷</t>
        </is>
      </c>
      <c r="P598" s="9" t="inlineStr">
        <is>
          <t>onPeriodicPulse</t>
        </is>
      </c>
      <c r="Q598" s="9" t="inlineStr">
        <is>
          <t>convertBuffStacks</t>
        </is>
      </c>
      <c r="R598" s="9" t="inlineStr">
        <is>
          <t>{"kind":"periodicPulse","periodicPulse":{"intervalSec":12,"label":"将 2 层蓄势转化为 1 层敏捷"},"executors":[{"trigger":"onPeriodicPulse","type":"convertBuffStacks","sourceBuffId":"heavy","targetBuffId":"agile","requiredStacks":2,"maxStacks":2,"consumeRatio":0.5,"activationRequirements":{"buffStackThresholds":[{"buffId":"heavy","comparator":"atLeast","count":2}]},"label":"将 2 层蓄势转化为 1 层敏捷"}],"label":"将 2 层蓄势转化为 1 层敏捷","starOverrides":{"1":{"periodicPulse":{"label":"将 4 层蓄势转化为 2 层敏捷"},"executors":[{"trigger":"onPeriodicPulse","type":"convertBuffStacks","sourceBuffId":"heavy","targetBuffId":"agile","requiredStacks":4,"maxStacks":4,"consumeRatio":0.5,"activationRequirements":{"buffStackThresholds":[{"buffId":"heavy","comparator":"atLeast","count":4}]},"label":"将 4 层蓄势转化为 2 层敏捷"}],"label":"将 4 层蓄势转化为 2 层敏捷"},"2":{"periodicPulse":{"label":"将 6 层蓄势转化为 3 层敏捷"},"executors":[{"trigger":"onPeriodicPulse","type":"convertBuffStacks","sourceBuffId":"heavy","targetBuffId":"agile","requiredStacks":6,"maxStacks":6,"consumeRatio":0.5,"activationRequirements":{"buffStackThresholds":[{"buffId":"heavy","comparator":"atLeast","count":6}]},"label":"将 6 层蓄势转化为 3 层敏捷"}],"label":"将 6 层蓄势转化为 3 层敏捷"},"3":{"periodicPulse":{"label":"将 8 层蓄势转化为 4 层敏捷"},"executors":[{"trigger":"onPeriodicPulse","type":"convertBuffStacks","sourceBuffId":"heavy","targetBuffId":"agile","requiredStacks":8,"maxStacks":8,"consumeRatio":0.5,"activationRequirements":{"buffStackThresholds":[{"buffId":"heavy","comparator":"atLeast","count":8}]},"label":"将 8 层蓄势转化为 4 层敏捷"}],"label":"将 8 层蓄势转化为 4 层敏捷"}}}</t>
        </is>
      </c>
    </row>
    <row r="599" ht="32" customHeight="1">
      <c r="A599" s="8" t="n">
        <v>400256</v>
      </c>
      <c r="B599" s="8" t="inlineStr">
        <is>
          <t>游丝护腕</t>
        </is>
      </c>
      <c r="C599" s="8" t="inlineStr">
        <is>
          <t>法器</t>
        </is>
      </c>
      <c r="D599" s="8" t="inlineStr">
        <is>
          <t>common</t>
        </is>
      </c>
      <c r="E599" s="8" t="inlineStr">
        <is>
          <t>wind</t>
        </is>
      </c>
      <c r="F599" s="8" t="n">
        <v>1</v>
      </c>
      <c r="G599" s="8" t="inlineStr">
        <is>
          <t>基础/顶层</t>
        </is>
      </c>
      <c r="H599" s="8" t="inlineStr"/>
      <c r="I599" s="9" t="inlineStr"/>
      <c r="J599" s="8" t="inlineStr"/>
      <c r="K599" s="8" t="inlineStr"/>
      <c r="L599" s="8" t="inlineStr"/>
      <c r="M599" s="8" t="inlineStr">
        <is>
          <t>周期触发</t>
        </is>
      </c>
      <c r="N599" s="8" t="inlineStr">
        <is>
          <t>periodicPulse</t>
        </is>
      </c>
      <c r="O599" s="9" t="inlineStr">
        <is>
          <t>每有 1 层敏捷，使所有招式获得 0.1 秒加速（最多计算 10 层）；每有 1 层敏捷，使所有招式获得 0.2 秒加速（最多计算 10 层）；每有 1 层敏捷，使所有招式获得 0.3 秒加速（最多计算 10 层）；每有 1 层敏捷，使所有招式获得 0.4 秒加速（最多计算 10 层）</t>
        </is>
      </c>
      <c r="P599" s="9" t="inlineStr"/>
      <c r="Q599" s="9" t="inlineStr"/>
      <c r="R599" s="9" t="inlineStr">
        <is>
          <t>{"kind":"periodicPulse","periodicPulse":{"intervalSec":20,"label":"&lt;singleton&gt;每有 1 层敏捷，使所有招式获得 0.1 秒加速（最多计算 10 层）&lt;/singleton&gt;","itemRuntimeStatusEffects":[{"itemRuntimeStatus":"haste","durationSec":0,"durationPerSourceBuffStack":{"buffId":"agile","valuePerStack":0.1,"maxStacks":10},"targetScope":"selfAll","singletonByTemplate":true,"targetFilter":{"categories":["spell"]}}]},"starOverrides":{"1":{"label":"&lt;singleton&gt;每有 1 层敏捷，使所有招式获得 0.2 秒加速（最多计算 10 层）&lt;/singleton&gt;","periodicPulse":{"itemRuntimeStatusEffects":[{"durationPerSourceBuffStack":{"valuePerStack":0.2}}]}},"2":{"label":"&lt;singleton&gt;每有 1 层敏捷，使所有招式获得 0.3 秒加速（最多计算 10 层）&lt;/singleton&gt;","periodicPulse":{"itemRuntimeStatusEffects":[{"durationPerSourceBuffStack":{"valuePerStack":0.3}}]}},"3":{"label":"&lt;singleton&gt;每有 1 层敏捷，使所有招式获得 0.4 秒加速（最多计算 10 层）&lt;/singleton&gt;","periodicPulse":{"itemRuntimeStatusEffects":[{"durationPerSourceBuffStack":{"valuePerStack":0.4}}]}}}}</t>
        </is>
      </c>
    </row>
    <row r="600" ht="32" customHeight="1">
      <c r="A600" s="8" t="n">
        <v>400257</v>
      </c>
      <c r="B600" s="8" t="inlineStr">
        <is>
          <t>翻羽披风</t>
        </is>
      </c>
      <c r="C600" s="8" t="inlineStr">
        <is>
          <t>法器</t>
        </is>
      </c>
      <c r="D600" s="8" t="inlineStr">
        <is>
          <t>common</t>
        </is>
      </c>
      <c r="E600" s="8" t="inlineStr">
        <is>
          <t>wind</t>
        </is>
      </c>
      <c r="F600" s="8" t="n">
        <v>1</v>
      </c>
      <c r="G600" s="8" t="inlineStr">
        <is>
          <t>基础/顶层</t>
        </is>
      </c>
      <c r="H600" s="8" t="inlineStr"/>
      <c r="I600" s="9" t="inlineStr"/>
      <c r="J600" s="8" t="inlineStr"/>
      <c r="K600" s="8" t="inlineStr"/>
      <c r="L600" s="8" t="inlineStr"/>
      <c r="M600" s="8" t="inlineStr">
        <is>
          <t>周期触发</t>
        </is>
      </c>
      <c r="N600" s="8" t="inlineStr">
        <is>
          <t>periodicPulse</t>
        </is>
      </c>
      <c r="O600" s="9" t="inlineStr">
        <is>
          <t>最多将 2 层敏捷转化为相同层数的闪避；最多将 4 层敏捷转化为相同层数的闪避；最多将 6 层敏捷转化为相同层数的闪避；最多将 8 层敏捷转化为相同层数的闪避</t>
        </is>
      </c>
      <c r="P600" s="9" t="inlineStr">
        <is>
          <t>onPeriodicPulse</t>
        </is>
      </c>
      <c r="Q600" s="9" t="inlineStr">
        <is>
          <t>convertBuffStacks</t>
        </is>
      </c>
      <c r="R600" s="9" t="inlineStr">
        <is>
          <t>{"kind":"periodicPulse","periodicPulse":{"intervalSec":10,"label":"最多将 2 层敏捷转化为相同层数的闪避"},"executors":[{"trigger":"onPeriodicPulse","type":"convertBuffStacks","sourceBuffId":"agile","targetBuffId":"dodge","maxStacks":2,"consumeRatio":1,"activationRequirements":{"buffStackThresholds":[{"buffId":"agile","comparator":"atLeast","count":1}]},"label":"最多将 2 层敏捷转化为相同层数的闪避"}],"starOverrides":{"1":{"periodicPulse":{"label":"最多将 4 层敏捷转化为相同层数的闪避","intervalSec":9},"executors":[{"trigger":"onPeriodicPulse","type":"convertBuffStacks","sourceBuffId":"agile","targetBuffId":"dodge","maxStacks":4,"consumeRatio":1,"activationRequirements":{"buffStackThresholds":[{"buffId":"agile","comparator":"atLeast","count":1}]},"label":"最多将 4 层敏捷转化为相同层数的闪避"}]},"2":{"periodicPulse":{"label":"最多将 6 层敏捷转化为相同层数的闪避","intervalSec":8},"executors":[{"trigger":"onPeriodicPulse","type":"convertBuffStacks","sourceBuffId":"agile","targetBuffId":"dodge","maxStacks":6,"consumeRatio":1,"activationRequirements":{"buffStackThresholds":[{"buffId":"agile","comparator":"atLeast","count":1}]},"label":"最多将 6 层敏捷转化为相同层数的闪避"}]},"3":{"periodicPulse":{"label":"最多将 8 层敏捷转化为相同层数的闪避","intervalSec":7},"executors":[{"trigger":"onPeriodicPulse","type":"convertBuffStacks","sourceBuffId":"agile","targetBuffId":"dodge","maxStacks":8,"consumeRatio":1,"activationRequirements":{"buffStackThresholds":[{"buffId":"agile","comparator":"atLeast","count":1}]},"label":"最多将 8 层敏捷转化为相同层数的闪避"}]}}}</t>
        </is>
      </c>
    </row>
    <row r="601" ht="32" customHeight="1">
      <c r="A601" s="8" t="n">
        <v>400258</v>
      </c>
      <c r="B601" s="8" t="inlineStr">
        <is>
          <t>追影飞梭</t>
        </is>
      </c>
      <c r="C601" s="8" t="inlineStr">
        <is>
          <t>法器</t>
        </is>
      </c>
      <c r="D601" s="8" t="inlineStr">
        <is>
          <t>common</t>
        </is>
      </c>
      <c r="E601" s="8" t="inlineStr">
        <is>
          <t>metal</t>
        </is>
      </c>
      <c r="F601" s="8" t="n">
        <v>1</v>
      </c>
      <c r="G601" s="8" t="inlineStr">
        <is>
          <t>基础/顶层</t>
        </is>
      </c>
      <c r="H601" s="8" t="inlineStr"/>
      <c r="I601" s="9" t="inlineStr"/>
      <c r="J601" s="8" t="inlineStr"/>
      <c r="K601" s="8" t="inlineStr"/>
      <c r="L601" s="8" t="inlineStr"/>
      <c r="M601" s="8" t="inlineStr">
        <is>
          <t>周期触发</t>
        </is>
      </c>
      <c r="N601" s="8" t="inlineStr">
        <is>
          <t>periodicPulse</t>
        </is>
      </c>
      <c r="O601" s="9" t="inlineStr">
        <is>
          <t>最多消耗 2 层敏捷；每消耗 1 层，对敌方造成 3 点伤害；最多消耗 2 层敏捷；每消耗 1 层，对敌方造成 6 点伤害；最多消耗 2 层敏捷；每消耗 1 层，对敌方造成 9 点伤害；最多消耗 2 层敏捷；每消耗 1 层，对敌方造成 12 点伤害</t>
        </is>
      </c>
      <c r="P601" s="9" t="inlineStr">
        <is>
          <t>onPeriodicPulse</t>
        </is>
      </c>
      <c r="Q601" s="9" t="inlineStr">
        <is>
          <t>consumeBuffStacks</t>
        </is>
      </c>
      <c r="R601" s="9" t="inlineStr">
        <is>
          <t>{"kind":"periodicPulse","periodicPulse":{"intervalSec":8,"label":"最多消耗 2 层敏捷；&lt;battle&gt;每消耗 1 层，对敌方造成 3 点伤害&lt;/battle&gt;"},"executors":[{"trigger":"onPeriodicPulse","type":"consumeBuffStacks","sourceBuffId":"agile","maxStacks":2,"battleDamageHealthPerStack":3,"activationRequirements":{"buffStackThresholds":[{"buffId":"agile","comparator":"atLeast","count":1}]},"label":"最多消耗 2 层敏捷；&lt;battle&gt;每消耗 1 层，对敌方造成 3 点伤害&lt;/battle&gt;"}],"starOverrides":{"1":{"periodicPulse":{"label":"最多消耗 2 层敏捷；&lt;battle&gt;每消耗 1 层，对敌方造成 6 点伤害&lt;/battle&gt;"},"executors":[{"trigger":"onPeriodicPulse","type":"consumeBuffStacks","sourceBuffId":"agile","maxStacks":2,"battleDamageHealthPerStack":6,"activationRequirements":{"buffStackThresholds":[{"buffId":"agile","comparator":"atLeast","count":1}]},"label":"最多消耗 2 层敏捷；&lt;battle&gt;每消耗 1 层，对敌方造成 6 点伤害&lt;/battle&gt;"}]},"2":{"periodicPulse":{"label":"最多消耗 2 层敏捷；&lt;battle&gt;每消耗 1 层，对敌方造成 9 点伤害&lt;/battle&gt;"},"executors":[{"trigger":"onPeriodicPulse","type":"consumeBuffStacks","sourceBuffId":"agile","maxStacks":2,"battleDamageHealthPerStack":9,"activationRequirements":{"buffStackThresholds":[{"buffId":"agile","comparator":"atLeast","count":1}]},"label":"最多消耗 2 层敏捷；&lt;battle&gt;每消耗 1 层，对敌方造成 9 点伤害&lt;/battle&gt;"}]},"3":{"periodicPulse":{"label":"最多消耗 2 层敏捷；&lt;battle&gt;每消耗 1 层，对敌方造成 12 点伤害&lt;/battle&gt;"},"executors":[{"trigger":"onPeriodicPulse","type":"consumeBuffStacks","sourceBuffId":"agile","maxStacks":2,"battleDamageHealthPerStack":12,"activationRequirements":{"buffStackThresholds":[{"buffId":"agile","comparator":"atLeast","count":1}]},"label":"最多消耗 2 层敏捷；&lt;battle&gt;每消耗 1 层，对敌方造成 12 点伤害&lt;/battle&gt;"}]}}}</t>
        </is>
      </c>
    </row>
    <row r="602" ht="32" customHeight="1">
      <c r="A602" s="8" t="n">
        <v>400259</v>
      </c>
      <c r="B602" s="8" t="inlineStr">
        <is>
          <t>踏云双刃</t>
        </is>
      </c>
      <c r="C602" s="8" t="inlineStr">
        <is>
          <t>法器</t>
        </is>
      </c>
      <c r="D602" s="8" t="inlineStr">
        <is>
          <t>common</t>
        </is>
      </c>
      <c r="E602" s="8" t="inlineStr">
        <is>
          <t>metal</t>
        </is>
      </c>
      <c r="F602" s="8" t="n">
        <v>1</v>
      </c>
      <c r="G602" s="8" t="inlineStr">
        <is>
          <t>基础/顶层</t>
        </is>
      </c>
      <c r="H602" s="8" t="inlineStr"/>
      <c r="I602" s="9" t="inlineStr"/>
      <c r="J602" s="8" t="inlineStr"/>
      <c r="K602" s="8" t="inlineStr"/>
      <c r="L602" s="8" t="inlineStr"/>
      <c r="M602" s="8" t="inlineStr">
        <is>
          <t>周期触发</t>
        </is>
      </c>
      <c r="N602" s="8" t="inlineStr">
        <is>
          <t>periodicPulse</t>
        </is>
      </c>
      <c r="O602" s="9" t="inlineStr">
        <is>
          <t>消耗 2 点体力，对敌方造成 5 点伤害；消耗 4 点体力，对敌方造成 10 点伤害；消耗 6 点体力，对敌方造成 15 点伤害；消耗 8 点体力，对敌方造成 20 点伤害</t>
        </is>
      </c>
      <c r="P602" s="9" t="inlineStr"/>
      <c r="Q602" s="9" t="inlineStr"/>
      <c r="R602" s="9" t="inlineStr">
        <is>
          <t>{"kind":"periodicPulse","label":"消耗 2 点体力，&lt;battle&gt;对敌方造成 5 点伤害&lt;/battle&gt;","periodicPulse":{"intervalSec":6,"label":"消耗 2 点体力，&lt;battle&gt;对敌方造成 5 点伤害&lt;/battle&gt;","primaryStatCosts":[{"stat":"stamina","amount":2}],"damageHealth":{"target":"enemy","amount":5}},"starOverrides":{"1":{"label":"消耗 4 点体力，&lt;battle&gt;对敌方造成 10 点伤害&lt;/battle&gt;","periodicPulse":{"label":"消耗 4 点体力，&lt;battle&gt;对敌方造成 10 点伤害&lt;/battle&gt;","primaryStatCosts":[{"stat":"stamina","amount":4}],"damageHealth":{"amount":10}}},"2":{"label":"消耗 6 点体力，&lt;battle&gt;对敌方造成 15 点伤害&lt;/battle&gt;","periodicPulse":{"label":"消耗 6 点体力，&lt;battle&gt;对敌方造成 15 点伤害&lt;/battle&gt;","primaryStatCosts":[{"stat":"stamina","amount":6}],"damageHealth":{"amount":15}}},"3":{"label":"消耗 8 点体力，&lt;battle&gt;对敌方造成 20 点伤害&lt;/battle&gt;","periodicPulse":{"label":"消耗 8 点体力，&lt;battle&gt;对敌方造成 20 点伤害&lt;/battle&gt;","primaryStatCosts":[{"stat":"stamina","amount":8}],"damageHealth":{"amount":20}}}}}</t>
        </is>
      </c>
    </row>
    <row r="603" ht="32" customHeight="1">
      <c r="A603" s="8" t="n">
        <v>400259</v>
      </c>
      <c r="B603" s="8" t="inlineStr">
        <is>
          <t>踏云双刃</t>
        </is>
      </c>
      <c r="C603" s="8" t="inlineStr">
        <is>
          <t>法器</t>
        </is>
      </c>
      <c r="D603" s="8" t="inlineStr">
        <is>
          <t>common</t>
        </is>
      </c>
      <c r="E603" s="8" t="inlineStr">
        <is>
          <t>metal</t>
        </is>
      </c>
      <c r="F603" s="8" t="n">
        <v>2</v>
      </c>
      <c r="G603" s="8" t="inlineStr">
        <is>
          <t>基础/顶层</t>
        </is>
      </c>
      <c r="H603" s="8" t="inlineStr"/>
      <c r="I603" s="9" t="inlineStr"/>
      <c r="J603" s="8" t="inlineStr"/>
      <c r="K603" s="8" t="inlineStr"/>
      <c r="L603" s="8" t="inlineStr"/>
      <c r="M603" s="8" t="inlineStr">
        <is>
          <t>条件触发</t>
        </is>
      </c>
      <c r="N603" s="8" t="inlineStr">
        <is>
          <t>triggered</t>
        </is>
      </c>
      <c r="O603" s="9" t="inlineStr">
        <is>
          <t>每当敏捷将自身的体力消耗降为 0，额外对敌方造成 5 点伤害；每当敏捷将自身的体力消耗降为 0，额外对敌方造成 10 点伤害；每当敏捷将自身的体力消耗降为 0，额外对敌方造成 15 点伤害；每当敏捷将自身的体力消耗降为 0，额外对敌方造成 20 点伤害</t>
        </is>
      </c>
      <c r="P603" s="9" t="inlineStr">
        <is>
          <t>onStaminaCostFullyNegatedByAgile</t>
        </is>
      </c>
      <c r="Q603" s="9" t="inlineStr">
        <is>
          <t>battleDamageHealth；self</t>
        </is>
      </c>
      <c r="R603" s="9" t="inlineStr">
        <is>
          <t>{"kind":"triggered","label":"&lt;battle&gt;每当敏捷将自身的体力消耗降为 0，额外对敌方造成 5 点伤害&lt;/battle&gt;","triggeredEffect":{"trigger":"onStaminaCostFullyNegatedByAgile","type":"battleDamageHealth","amount":5,"eventSource":{"target":{"type":"self"}}},"starOverrides":{"1":{"label":"&lt;battle&gt;每当敏捷将自身的体力消耗降为 0，额外对敌方造成 10 点伤害&lt;/battle&gt;","triggeredEffect":{"amount":10}},"2":{"label":"&lt;battle&gt;每当敏捷将自身的体力消耗降为 0，额外对敌方造成 15 点伤害&lt;/battle&gt;","triggeredEffect":{"amount":15}},"3":{"label":"&lt;battle&gt;每当敏捷将自身的体力消耗降为 0，额外对敌方造成 20 点伤害&lt;/battle&gt;","triggeredEffect":{"amount":20}}}}</t>
        </is>
      </c>
    </row>
    <row r="604" ht="32" customHeight="1">
      <c r="A604" s="8" t="n">
        <v>400260</v>
      </c>
      <c r="B604" s="8" t="inlineStr">
        <is>
          <t>听风玉扣</t>
        </is>
      </c>
      <c r="C604" s="8" t="inlineStr">
        <is>
          <t>法器</t>
        </is>
      </c>
      <c r="D604" s="8" t="inlineStr">
        <is>
          <t>common</t>
        </is>
      </c>
      <c r="E604" s="8" t="inlineStr">
        <is>
          <t>water</t>
        </is>
      </c>
      <c r="F604" s="8" t="n">
        <v>1</v>
      </c>
      <c r="G604" s="8" t="inlineStr">
        <is>
          <t>基础/顶层</t>
        </is>
      </c>
      <c r="H604" s="8" t="inlineStr"/>
      <c r="I604" s="9" t="inlineStr"/>
      <c r="J604" s="8" t="inlineStr"/>
      <c r="K604" s="8" t="inlineStr"/>
      <c r="L604" s="8" t="inlineStr"/>
      <c r="M604" s="8" t="inlineStr">
        <is>
          <t>条件触发</t>
        </is>
      </c>
      <c r="N604" s="8" t="inlineStr">
        <is>
          <t>triggered</t>
        </is>
      </c>
      <c r="O604" s="9" t="inlineStr">
        <is>
          <t>每当敏捷将一次体力消耗降为 0，对敌方造成 2 点伤害；每当敏捷将一次体力消耗降为 0，对敌方造成 4 点伤害；每当敏捷将一次体力消耗降为 0，对敌方造成 6 点伤害；每当敏捷将一次体力消耗降为 0，对敌方造成 8 点伤害</t>
        </is>
      </c>
      <c r="P604" s="9" t="inlineStr">
        <is>
          <t>onStaminaCostFullyNegatedByAgile</t>
        </is>
      </c>
      <c r="Q604" s="9" t="inlineStr">
        <is>
          <t>battleDamageHealth；any</t>
        </is>
      </c>
      <c r="R604" s="9" t="inlineStr">
        <is>
          <t>{"kind":"triggered","label":"&lt;battle&gt;每当敏捷将一次体力消耗降为 0，对敌方造成 2 点伤害&lt;/battle&gt;","triggeredEffect":{"trigger":"onStaminaCostFullyNegatedByAgile","type":"battleDamageHealth","amount":2,"eventSource":{"target":{"type":"any"}}},"starOverrides":{"1":{"label":"&lt;battle&gt;每当敏捷将一次体力消耗降为 0，对敌方造成 4 点伤害&lt;/battle&gt;","triggeredEffect":{"amount":4}},"2":{"label":"&lt;battle&gt;每当敏捷将一次体力消耗降为 0，对敌方造成 6 点伤害&lt;/battle&gt;","triggeredEffect":{"amount":6}},"3":{"label":"&lt;battle&gt;每当敏捷将一次体力消耗降为 0，对敌方造成 8 点伤害&lt;/battle&gt;","triggeredEffect":{"amount":8}}}}</t>
        </is>
      </c>
    </row>
    <row r="605" ht="32" customHeight="1">
      <c r="A605" s="8" t="n">
        <v>400261</v>
      </c>
      <c r="B605" s="8" t="inlineStr">
        <is>
          <t>青羽踏风靴</t>
        </is>
      </c>
      <c r="C605" s="8" t="inlineStr">
        <is>
          <t>法器</t>
        </is>
      </c>
      <c r="D605" s="8" t="inlineStr">
        <is>
          <t>common</t>
        </is>
      </c>
      <c r="E605" s="8" t="inlineStr">
        <is>
          <t>wind</t>
        </is>
      </c>
      <c r="F605" s="8" t="n">
        <v>1</v>
      </c>
      <c r="G605" s="8" t="inlineStr">
        <is>
          <t>基础/顶层</t>
        </is>
      </c>
      <c r="H605" s="8" t="inlineStr"/>
      <c r="I605" s="9" t="inlineStr"/>
      <c r="J605" s="8" t="inlineStr"/>
      <c r="K605" s="8" t="inlineStr"/>
      <c r="L605" s="8" t="inlineStr"/>
      <c r="M605" s="8" t="inlineStr">
        <is>
          <t>条件触发</t>
        </is>
      </c>
      <c r="N605" s="8" t="inlineStr">
        <is>
          <t>triggered</t>
        </is>
      </c>
      <c r="O605" s="9" t="inlineStr">
        <is>
          <t>每当成功闪避一次，获得 1 层敏捷；每当成功闪避一次，获得 2 层敏捷；每当成功闪避一次，获得 3 层敏捷；每当成功闪避一次，获得 4 层敏捷</t>
        </is>
      </c>
      <c r="P605" s="9" t="inlineStr">
        <is>
          <t>onDodgeSucceeded</t>
        </is>
      </c>
      <c r="Q605" s="9" t="inlineStr">
        <is>
          <t>applyBuff</t>
        </is>
      </c>
      <c r="R605" s="9" t="inlineStr">
        <is>
          <t>{"kind":"triggered","label":"&lt;battle&gt;每当成功闪避一次，获得 1 层敏捷&lt;/battle&gt;","triggeredEffect":{"trigger":"onDodgeSucceeded","type":"applyBuff","buffId":"agile","count":1,"support":"battleOnly"},"starOverrides":{"1":{"label":"&lt;battle&gt;每当成功闪避一次，获得 2 层敏捷&lt;/battle&gt;","triggeredEffect":{"count":2}},"2":{"label":"&lt;battle&gt;每当成功闪避一次，获得 3 层敏捷&lt;/battle&gt;","triggeredEffect":{"count":3}},"3":{"label":"&lt;battle&gt;每当成功闪避一次，获得 4 层敏捷&lt;/battle&gt;","triggeredEffect":{"count":4}}}}</t>
        </is>
      </c>
    </row>
    <row r="606" ht="32" customHeight="1">
      <c r="A606" s="8" t="n">
        <v>400262</v>
      </c>
      <c r="B606" s="8" t="inlineStr">
        <is>
          <t>负岳借步甲</t>
        </is>
      </c>
      <c r="C606" s="8" t="inlineStr">
        <is>
          <t>法器</t>
        </is>
      </c>
      <c r="D606" s="8" t="inlineStr">
        <is>
          <t>common</t>
        </is>
      </c>
      <c r="E606" s="8" t="inlineStr">
        <is>
          <t>earth</t>
        </is>
      </c>
      <c r="F606" s="8" t="n">
        <v>1</v>
      </c>
      <c r="G606" s="8" t="inlineStr">
        <is>
          <t>基础/顶层</t>
        </is>
      </c>
      <c r="H606" s="8" t="inlineStr"/>
      <c r="I606" s="9" t="inlineStr"/>
      <c r="J606" s="8" t="inlineStr"/>
      <c r="K606" s="8" t="inlineStr"/>
      <c r="L606" s="8" t="inlineStr"/>
      <c r="M606" s="8" t="inlineStr">
        <is>
          <t>周期触发</t>
        </is>
      </c>
      <c r="N606" s="8" t="inlineStr">
        <is>
          <t>periodicPulse</t>
        </is>
      </c>
      <c r="O606" s="9" t="inlineStr">
        <is>
          <t>开局时，获得 3 层坚硬和 2 层蓄势；开局时，获得 6 层坚硬和 4 层蓄势；开局时，获得 9 层坚硬和 6 层蓄势；开局时，获得 12 层坚硬和 8 层蓄势</t>
        </is>
      </c>
      <c r="P606" s="9" t="inlineStr"/>
      <c r="Q606" s="9" t="inlineStr"/>
      <c r="R606" s="9" t="inlineStr">
        <is>
          <t>{"kind":"periodicPulse","periodicPulse":{"startOnly":true,"label":"开局时，获得 3 层坚硬和 2 层蓄势","buffGains":[{"buffId":"sturdy","count":3},{"buffId":"heavy","count":2}]},"label":"开局时，获得 3 层坚硬和 2 层蓄势","starOverrides":{"1":{"periodicPulse":{"label":"开局时，获得 6 层坚硬和 4 层蓄势","buffGains":[{"buffId":"sturdy","count":6},{"buffId":"heavy","count":4}]},"label":"开局时，获得 6 层坚硬和 4 层蓄势"},"2":{"periodicPulse":{"label":"开局时，获得 9 层坚硬和 6 层蓄势","buffGains":[{"buffId":"sturdy","count":9},{"buffId":"heavy","count":6}]},"label":"开局时，获得 9 层坚硬和 6 层蓄势"},"3":{"periodicPulse":{"label":"开局时，获得 12 层坚硬和 8 层蓄势","buffGains":[{"buffId":"sturdy","count":12},{"buffId":"heavy","count":8}]},"label":"开局时，获得 12 层坚硬和 8 层蓄势"}}}</t>
        </is>
      </c>
    </row>
    <row r="607" ht="32" customHeight="1">
      <c r="A607" s="8" t="n">
        <v>400263</v>
      </c>
      <c r="B607" s="8" t="inlineStr">
        <is>
          <t>卸山回旋带</t>
        </is>
      </c>
      <c r="C607" s="8" t="inlineStr">
        <is>
          <t>法器</t>
        </is>
      </c>
      <c r="D607" s="8" t="inlineStr">
        <is>
          <t>common</t>
        </is>
      </c>
      <c r="E607" s="8" t="inlineStr">
        <is>
          <t>earth</t>
        </is>
      </c>
      <c r="F607" s="8" t="n">
        <v>1</v>
      </c>
      <c r="G607" s="8" t="inlineStr">
        <is>
          <t>基础/顶层</t>
        </is>
      </c>
      <c r="H607" s="8" t="inlineStr"/>
      <c r="I607" s="9" t="inlineStr"/>
      <c r="J607" s="8" t="inlineStr"/>
      <c r="K607" s="8" t="inlineStr"/>
      <c r="L607" s="8" t="inlineStr"/>
      <c r="M607" s="8" t="inlineStr">
        <is>
          <t>说明/执行器</t>
        </is>
      </c>
      <c r="N607" s="8" t="inlineStr">
        <is>
          <t>effectNote</t>
        </is>
      </c>
      <c r="O607" s="9" t="inlineStr">
        <is>
          <t>每当成功闪避一次，移除 1 层蓄势，获得 1 层敏捷；每当成功闪避一次，移除 2 层蓄势，获得 2 层敏捷；每当成功闪避一次，移除 3 层蓄势，获得 3 层敏捷；每当成功闪避一次，移除 4 层蓄势，获得 4 层敏捷</t>
        </is>
      </c>
      <c r="P607" s="9" t="inlineStr">
        <is>
          <t>onDodgeSucceeded</t>
        </is>
      </c>
      <c r="Q607" s="9" t="inlineStr">
        <is>
          <t>consumeBuffStacks；applyBuff</t>
        </is>
      </c>
      <c r="R607" s="9" t="inlineStr">
        <is>
          <t>{"kind":"effectNote","label":"&lt;battle&gt;每当成功闪避一次，移除 1 层蓄势，获得 1 层敏捷&lt;/battle&gt;","executors":[{"trigger":"onDodgeSucceeded","type":"consumeBuffStacks","sourceBuffId":"heavy","maxStacks":1,"support":"battleOnly","label":"&lt;battle&gt;每当成功闪避一次，移除 1 层蓄势，获得 1 层敏捷&lt;/battle&gt;"},{"trigger":"onDodgeSucceeded","type":"applyBuff","buffId":"agile","count":1,"support":"battleOnly"}],"starOverrides":{"1":{"label":"&lt;battle&gt;每当成功闪避一次，移除 2 层蓄势，获得 2 层敏捷&lt;/battle&gt;","executors":[{"trigger":"onDodgeSucceeded","type":"consumeBuffStacks","sourceBuffId":"heavy","maxStacks":2,"support":"battleOnly","label":"&lt;battle&gt;每当成功闪避一次，移除 2 层蓄势，获得 2 层敏捷&lt;/battle&gt;"},{"trigger":"onDodgeSucceeded","type":"applyBuff","buffId":"agile","count":2,"support":"battleOnly"}]},"2":{"label":"&lt;battle&gt;每当成功闪避一次，移除 3 层蓄势，获得 3 层敏捷&lt;/battle&gt;","executors":[{"trigger":"onDodgeSucceeded","type":"consumeBuffStacks","sourceBuffId":"heavy","maxStacks":3,"support":"battleOnly","label":"&lt;battle&gt;每当成功闪避一次，移除 3 层蓄势，获得 3 层敏捷&lt;/battle&gt;"},{"trigger":"onDodgeSucceeded","type":"applyBuff","buffId":"agile","count":3,"support":"battleOnly"}]},"3":{"label":"&lt;battle&gt;每当成功闪避一次，移除 4 层蓄势，获得 4 层敏捷&lt;/battle&gt;","executors":[{"trigger":"onDodgeSucceeded","type":"consumeBuffStacks","sourceBuffId":"heavy","maxStacks":4,"support":"battleOnly","label":"&lt;battle&gt;每当成功闪避一次，移除 4 层蓄势，获得 4 层敏捷&lt;/battle&gt;"},{"trigger":"onDodgeSucceeded","type":"applyBuff","buffId":"agile","count":4,"support":"battleOnly"}]}}}</t>
        </is>
      </c>
    </row>
    <row r="608" ht="32" customHeight="1">
      <c r="A608" s="8" t="n">
        <v>400264</v>
      </c>
      <c r="B608" s="8" t="inlineStr">
        <is>
          <t>烬影换步轮</t>
        </is>
      </c>
      <c r="C608" s="8" t="inlineStr">
        <is>
          <t>法器</t>
        </is>
      </c>
      <c r="D608" s="8" t="inlineStr">
        <is>
          <t>common</t>
        </is>
      </c>
      <c r="E608" s="8" t="inlineStr">
        <is>
          <t>fire</t>
        </is>
      </c>
      <c r="F608" s="8" t="n">
        <v>1</v>
      </c>
      <c r="G608" s="8" t="inlineStr">
        <is>
          <t>基础/顶层</t>
        </is>
      </c>
      <c r="H608" s="8" t="inlineStr"/>
      <c r="I608" s="9" t="inlineStr"/>
      <c r="J608" s="8" t="inlineStr"/>
      <c r="K608" s="8" t="inlineStr"/>
      <c r="L608" s="8" t="inlineStr"/>
      <c r="M608" s="8" t="inlineStr">
        <is>
          <t>周期触发</t>
        </is>
      </c>
      <c r="N608" s="8" t="inlineStr">
        <is>
          <t>periodicPulse</t>
        </is>
      </c>
      <c r="O608" s="9" t="inlineStr">
        <is>
          <t>和装备相邻时，将 3 层炎热转化为 1 层闪避；和装备相邻时，将 6 层炎热转化为 2 层闪避；和装备相邻时，将 9 层炎热转化为 3 层闪避；和装备相邻时，将 12 层炎热转化为 4 层闪避</t>
        </is>
      </c>
      <c r="P608" s="9" t="inlineStr">
        <is>
          <t>onPeriodicPulse</t>
        </is>
      </c>
      <c r="Q608" s="9" t="inlineStr">
        <is>
          <t>convertBuffStacks</t>
        </is>
      </c>
      <c r="R608" s="9" t="inlineStr">
        <is>
          <t>{"kind":"periodicPulse","label":"和装备相邻时，将 3 层炎热转化为 1 层闪避","activationRequirements":{"neighborCounts":[{"minCount":1,"features":["equipment"]}]},"periodicPulse":{"intervalSec":6,"label":"和装备相邻时，将 3 层炎热转化为 1 层闪避"},"executors":[{"trigger":"onPeriodicPulse","type":"convertBuffStacks","sourceBuffId":"heat","targetBuffId":"dodge","requiredStacks":3,"maxStacks":3,"consumeRatio":0.3333333333333333,"support":"common","label":"和装备相邻时，将 3 层炎热转化为 1 层闪避"}],"starOverrides":{"1":{"label":"和装备相邻时，将 6 层炎热转化为 2 层闪避","periodicPulse":{"label":"和装备相邻时，将 6 层炎热转化为 2 层闪避"},"executors":[{"trigger":"onPeriodicPulse","type":"convertBuffStacks","sourceBuffId":"heat","targetBuffId":"dodge","requiredStacks":6,"maxStacks":6,"consumeRatio":0.3333333333333333,"support":"common","label":"和装备相邻时，将 6 层炎热转化为 2 层闪避"}]},"2":{"label":"和装备相邻时，将 9 层炎热转化为 3 层闪避","periodicPulse":{"label":"和装备相邻时，将 9 层炎热转化为 3 层闪避"},"executors":[{"trigger":"onPeriodicPulse","type":"convertBuffStacks","sourceBuffId":"heat","targetBuffId":"dodge","requiredStacks":9,"maxStacks":9,"consumeRatio":0.3333333333333333,"support":"common","label":"和装备相邻时，将 9 层炎热转化为 3 层闪避"}]},"3":{"label":"和装备相邻时，将 12 层炎热转化为 4 层闪避","periodicPulse":{"label":"和装备相邻时，将 12 层炎热转化为 4 层闪避"},"executors":[{"trigger":"onPeriodicPulse","type":"convertBuffStacks","sourceBuffId":"heat","targetBuffId":"dodge","requiredStacks":12,"maxStacks":12,"consumeRatio":0.3333333333333333,"support":"common","label":"和装备相邻时，将 12 层炎热转化为 4 层闪避"}]}}}</t>
        </is>
      </c>
    </row>
    <row r="609" ht="32" customHeight="1">
      <c r="A609" s="8" t="n">
        <v>400265</v>
      </c>
      <c r="B609" s="8" t="inlineStr">
        <is>
          <t>赤影回锋刃</t>
        </is>
      </c>
      <c r="C609" s="8" t="inlineStr">
        <is>
          <t>法器</t>
        </is>
      </c>
      <c r="D609" s="8" t="inlineStr">
        <is>
          <t>common</t>
        </is>
      </c>
      <c r="E609" s="8" t="inlineStr">
        <is>
          <t>fire</t>
        </is>
      </c>
      <c r="F609" s="8" t="n">
        <v>1</v>
      </c>
      <c r="G609" s="8" t="inlineStr">
        <is>
          <t>基础/顶层</t>
        </is>
      </c>
      <c r="H609" s="8" t="inlineStr"/>
      <c r="I609" s="9" t="inlineStr"/>
      <c r="J609" s="8" t="inlineStr"/>
      <c r="K609" s="8" t="inlineStr"/>
      <c r="L609" s="8" t="inlineStr"/>
      <c r="M609" s="8" t="inlineStr">
        <is>
          <t>说明/执行器</t>
        </is>
      </c>
      <c r="N609" s="8" t="inlineStr">
        <is>
          <t>effectNote</t>
        </is>
      </c>
      <c r="O609" s="9" t="inlineStr">
        <is>
          <t>每当成功闪避一次，对敌方造成 7 点伤害；若敌方拥有灼烧，再移除敌方 1 层灼烧；每当成功闪避一次，对敌方造成 7 点伤害；若敌方拥有灼烧，再移除敌方 1 层灼烧；每当成功闪避一次，对敌方造成 14 点伤害；若敌方拥有灼烧，再移除敌方 2 层灼烧；每当成功闪避一次，对敌方造成 14 点伤害；若敌方拥有灼烧，再移除敌方 2 层灼烧；每当成功闪避一次，对敌方造成 21 点伤害；若敌方拥有灼烧，再移除敌方 3 层灼烧；每当成功闪避一次，对敌方造成 21 点伤害；若敌方拥有灼烧，再移除敌方 3 层灼烧；每当成功闪避一次，对敌方造成 28 点伤害；若敌方拥有灼烧，再移除敌方 4 层灼烧；每当成功闪避一次，对敌方造成 28 点伤害；若敌方拥有灼烧，再移除敌方 4 层灼烧</t>
        </is>
      </c>
      <c r="P609" s="9" t="inlineStr">
        <is>
          <t>onDodgeSucceeded</t>
        </is>
      </c>
      <c r="Q609" s="9" t="inlineStr">
        <is>
          <t>battleDamageHealth；consumeBuffStacks</t>
        </is>
      </c>
      <c r="R609" s="9" t="inlineStr">
        <is>
          <t>{"kind":"effectNote","label":"&lt;battle&gt;每当成功闪避一次，对敌方造成 7 点伤害；若敌方拥有灼烧，再移除敌方 1 层灼烧&lt;/battle&gt;","executors":[{"trigger":"onDodgeSucceeded","type":"battleDamageHealth","amount":7,"support":"battleOnly","label":"&lt;battle&gt;每当成功闪避一次，对敌方造成 7 点伤害&lt;/battle&gt;"},{"trigger":"onDodgeSucceeded","type":"consumeBuffStacks","sourceBuffId":"burning","consumeTargetActor":"enemy","maxStacks":1,"support":"battleOnly","label":"&lt;battle&gt;若敌方拥有灼烧，再移除敌方 1 层灼烧&lt;/battle&gt;"}],"starOverrides":{"1":{"label":"&lt;battle&gt;每当成功闪避一次，对敌方造成 14 点伤害；若敌方拥有灼烧，再移除敌方 2 层灼烧&lt;/battle&gt;","executors":[{"amount":14,"label":"&lt;battle&gt;每当成功闪避一次，对敌方造成 14 点伤害&lt;/battle&gt;"},{"maxStacks":2,"label":"&lt;battle&gt;若敌方拥有灼烧，再移除敌方 2 层灼烧&lt;/battle&gt;"}]},"2":{"label":"&lt;battle&gt;每当成功闪避一次，对敌方造成 21 点伤害；若敌方拥有灼烧，再移除敌方 3 层灼烧&lt;/battle&gt;","executors":[{"amount":21,"label":"&lt;battle&gt;每当成功闪避一次，对敌方造成 21 点伤害&lt;/battle&gt;"},{"maxStacks":3,"label":"&lt;battle&gt;若敌方拥有灼烧，再移除敌方 3 层灼烧&lt;/battle&gt;"}]},"3":{"label":"&lt;battle&gt;每当成功闪避一次，对敌方造成 28 点伤害；若敌方拥有灼烧，再移除敌方 4 层灼烧&lt;/battle&gt;","executors":[{"amount":28,"label":"&lt;battle&gt;每当成功闪避一次，对敌方造成 28 点伤害&lt;/battle&gt;"},{"maxStacks":4,"label":"&lt;battle&gt;若敌方拥有灼烧，再移除敌方 4 层灼烧&lt;/battle&gt;"}]}}}</t>
        </is>
      </c>
    </row>
    <row r="610" ht="32" customHeight="1">
      <c r="A610" s="8" t="n">
        <v>400266</v>
      </c>
      <c r="B610" s="8" t="inlineStr">
        <is>
          <t>碧毒逐影囊</t>
        </is>
      </c>
      <c r="C610" s="8" t="inlineStr">
        <is>
          <t>法器</t>
        </is>
      </c>
      <c r="D610" s="8" t="inlineStr">
        <is>
          <t>common</t>
        </is>
      </c>
      <c r="E610" s="8" t="inlineStr">
        <is>
          <t>wood</t>
        </is>
      </c>
      <c r="F610" s="8" t="n">
        <v>1</v>
      </c>
      <c r="G610" s="8" t="inlineStr">
        <is>
          <t>基础/顶层</t>
        </is>
      </c>
      <c r="H610" s="8" t="inlineStr"/>
      <c r="I610" s="9" t="inlineStr"/>
      <c r="J610" s="8" t="inlineStr"/>
      <c r="K610" s="8" t="inlineStr"/>
      <c r="L610" s="8" t="inlineStr"/>
      <c r="M610" s="8" t="inlineStr">
        <is>
          <t>条件触发</t>
        </is>
      </c>
      <c r="N610" s="8" t="inlineStr">
        <is>
          <t>triggered</t>
        </is>
      </c>
      <c r="O610" s="9" t="inlineStr">
        <is>
          <t>每当成功闪避一次，对敌人施加 1 层中毒；每当成功闪避一次，对敌人施加 2 层中毒；每当成功闪避一次，对敌人施加 3 层中毒；每当成功闪避一次，对敌人施加 4 层中毒</t>
        </is>
      </c>
      <c r="P610" s="9" t="inlineStr">
        <is>
          <t>onDodgeSucceeded</t>
        </is>
      </c>
      <c r="Q610" s="9" t="inlineStr">
        <is>
          <t>applyBuff</t>
        </is>
      </c>
      <c r="R610" s="9" t="inlineStr">
        <is>
          <t>{"kind":"triggered","label":"&lt;battle&gt;每当成功闪避一次，对敌人施加 1 层中毒&lt;/battle&gt;","triggeredEffect":{"trigger":"onDodgeSucceeded","type":"applyBuff","buffId":"poison","count":1,"targetActor":"enemy","support":"battleOnly"},"starOverrides":{"1":{"label":"&lt;battle&gt;每当成功闪避一次，对敌人施加 2 层中毒&lt;/battle&gt;","triggeredEffect":{"count":2}},"2":{"label":"&lt;battle&gt;每当成功闪避一次，对敌人施加 3 层中毒&lt;/battle&gt;","triggeredEffect":{"count":3}},"3":{"label":"&lt;battle&gt;每当成功闪避一次，对敌人施加 4 层中毒&lt;/battle&gt;","triggeredEffect":{"count":4}}}}</t>
        </is>
      </c>
    </row>
    <row r="611" ht="32" customHeight="1">
      <c r="A611" s="8" t="n">
        <v>400267</v>
      </c>
      <c r="B611" s="8" t="inlineStr">
        <is>
          <t>蛇雾寻隙铃</t>
        </is>
      </c>
      <c r="C611" s="8" t="inlineStr">
        <is>
          <t>法器</t>
        </is>
      </c>
      <c r="D611" s="8" t="inlineStr">
        <is>
          <t>common</t>
        </is>
      </c>
      <c r="E611" s="8" t="inlineStr">
        <is>
          <t>wood</t>
        </is>
      </c>
      <c r="F611" s="8" t="n">
        <v>1</v>
      </c>
      <c r="G611" s="8" t="inlineStr">
        <is>
          <t>基础/顶层</t>
        </is>
      </c>
      <c r="H611" s="8" t="inlineStr"/>
      <c r="I611" s="9" t="inlineStr"/>
      <c r="J611" s="8" t="inlineStr"/>
      <c r="K611" s="8" t="inlineStr"/>
      <c r="L611" s="8" t="inlineStr"/>
      <c r="M611" s="8" t="inlineStr">
        <is>
          <t>周期触发</t>
        </is>
      </c>
      <c r="N611" s="8" t="inlineStr">
        <is>
          <t>periodicPulse</t>
        </is>
      </c>
      <c r="O611" s="9" t="inlineStr">
        <is>
          <t>敌人拥有中毒时，获得 1 层闪避；敌人拥有中毒时，获得 2 层闪避；敌人拥有中毒时，获得 3 层闪避；敌人拥有中毒时，获得 4 层闪避</t>
        </is>
      </c>
      <c r="P611" s="9" t="inlineStr"/>
      <c r="Q611" s="9" t="inlineStr">
        <is>
          <t>targetBuffStacksGreaterThan</t>
        </is>
      </c>
      <c r="R611" s="9" t="inlineStr">
        <is>
          <t>{"kind":"periodicPulse","periodicPulse":{"intervalSec":8,"label":"&lt;battle&gt;敌人拥有中毒时，获得 1 层闪避&lt;/battle&gt;","battleCondition":{"type":"targetBuffStacksGreaterThan","buffId":"poison","count":0},"buffGains":[{"buffId":"dodge","count":1}]},"starOverrides":{"1":{"label":"&lt;battle&gt;敌人拥有中毒时，获得 2 层闪避&lt;/battle&gt;","periodicPulse":{"intervalSec":7,"buffGains":[{"count":2}]}},"2":{"label":"&lt;battle&gt;敌人拥有中毒时，获得 3 层闪避&lt;/battle&gt;","periodicPulse":{"intervalSec":6,"buffGains":[{"count":3}]}},"3":{"label":"&lt;battle&gt;敌人拥有中毒时，获得 4 层闪避&lt;/battle&gt;","periodicPulse":{"intervalSec":5,"buffGains":[{"count":4}]}}}}</t>
        </is>
      </c>
    </row>
    <row r="612" ht="32" customHeight="1">
      <c r="A612" s="8" t="n">
        <v>400268</v>
      </c>
      <c r="B612" s="8" t="inlineStr">
        <is>
          <t>狮面护心镜</t>
        </is>
      </c>
      <c r="C612" s="8" t="inlineStr">
        <is>
          <t>法器</t>
        </is>
      </c>
      <c r="D612" s="8" t="inlineStr">
        <is>
          <t>common</t>
        </is>
      </c>
      <c r="E612" s="8" t="inlineStr">
        <is>
          <t>metal</t>
        </is>
      </c>
      <c r="F612" s="8" t="n">
        <v>1</v>
      </c>
      <c r="G612" s="8" t="inlineStr">
        <is>
          <t>基础/顶层</t>
        </is>
      </c>
      <c r="H612" s="8" t="inlineStr"/>
      <c r="I612" s="9" t="inlineStr"/>
      <c r="J612" s="8" t="inlineStr"/>
      <c r="K612" s="8" t="inlineStr"/>
      <c r="L612" s="8" t="inlineStr"/>
      <c r="M612" s="8" t="inlineStr">
        <is>
          <t>条件触发</t>
        </is>
      </c>
      <c r="N612" s="8" t="inlineStr">
        <is>
          <t>triggered</t>
        </is>
      </c>
      <c r="O612" s="9" t="inlineStr">
        <is>
          <t>每当成功闪避一次，获得 4 层护甲；每当成功闪避一次，获得 6 层护甲；每当成功闪避一次，获得 8 层护甲；每当成功闪避一次，获得 10 层护甲</t>
        </is>
      </c>
      <c r="P612" s="9" t="inlineStr">
        <is>
          <t>onDodgeSucceeded</t>
        </is>
      </c>
      <c r="Q612" s="9" t="inlineStr">
        <is>
          <t>applyBuff</t>
        </is>
      </c>
      <c r="R612" s="9" t="inlineStr">
        <is>
          <t>{"kind":"triggered","label":"&lt;battle&gt;每当成功闪避一次，获得 4 层护甲&lt;/battle&gt;","triggeredEffect":{"trigger":"onDodgeSucceeded","type":"applyBuff","buffId":"armor","count":4,"support":"battleOnly"},"starOverrides":{"1":{"label":"&lt;battle&gt;每当成功闪避一次，获得 6 层护甲&lt;/battle&gt;","triggeredEffect":{"count":6}},"2":{"label":"&lt;battle&gt;每当成功闪避一次，获得 8 层护甲&lt;/battle&gt;","triggeredEffect":{"count":8}},"3":{"label":"&lt;battle&gt;每当成功闪避一次，获得 10 层护甲&lt;/battle&gt;","triggeredEffect":{"count":10}}}}</t>
        </is>
      </c>
    </row>
    <row r="613" ht="32" customHeight="1">
      <c r="A613" s="8" t="n">
        <v>400269</v>
      </c>
      <c r="B613" s="8" t="inlineStr">
        <is>
          <t>坚垒藏影匣</t>
        </is>
      </c>
      <c r="C613" s="8" t="inlineStr">
        <is>
          <t>法器</t>
        </is>
      </c>
      <c r="D613" s="8" t="inlineStr">
        <is>
          <t>common</t>
        </is>
      </c>
      <c r="E613" s="8" t="inlineStr">
        <is>
          <t>earth</t>
        </is>
      </c>
      <c r="F613" s="8" t="n">
        <v>1</v>
      </c>
      <c r="G613" s="8" t="inlineStr">
        <is>
          <t>基础/顶层</t>
        </is>
      </c>
      <c r="H613" s="8" t="inlineStr"/>
      <c r="I613" s="9" t="inlineStr"/>
      <c r="J613" s="8" t="inlineStr"/>
      <c r="K613" s="8" t="inlineStr"/>
      <c r="L613" s="8" t="inlineStr"/>
      <c r="M613" s="8" t="inlineStr">
        <is>
          <t>周期触发</t>
        </is>
      </c>
      <c r="N613" s="8" t="inlineStr">
        <is>
          <t>periodicPulse</t>
        </is>
      </c>
      <c r="O613" s="9" t="inlineStr">
        <is>
          <t>将 1 层坚硬转化为 5 层护甲；将 2 层坚硬转化为 10 层护甲；将 3 层坚硬转化为 15 层护甲；将 4 层坚硬转化为 20 层护甲</t>
        </is>
      </c>
      <c r="P613" s="9" t="inlineStr">
        <is>
          <t>onPeriodicPulse</t>
        </is>
      </c>
      <c r="Q613" s="9" t="inlineStr">
        <is>
          <t>convertBuffStacks</t>
        </is>
      </c>
      <c r="R613" s="9" t="inlineStr">
        <is>
          <t>{"kind":"periodicPulse","periodicPulse":{"intervalSec":10,"label":"将 1 层坚硬转化为 5 层护甲"},"executors":[{"trigger":"onPeriodicPulse","type":"convertBuffStacks","sourceBuffId":"sturdy","targetBuffId":"armor","requiredStacks":1,"maxStacks":1,"consumeRatio":5,"support":"common"}],"label":"将 1 层坚硬转化为 5 层护甲","starOverrides":{"1":{"periodicPulse":{"intervalSec":9,"label":"将 2 层坚硬转化为 10 层护甲"},"executors":[{"trigger":"onPeriodicPulse","type":"convertBuffStacks","sourceBuffId":"sturdy","targetBuffId":"armor","requiredStacks":2,"maxStacks":2,"consumeRatio":5,"support":"common"}],"label":"将 2 层坚硬转化为 10 层护甲"},"2":{"periodicPulse":{"intervalSec":8,"label":"将 3 层坚硬转化为 15 层护甲"},"executors":[{"trigger":"onPeriodicPulse","type":"convertBuffStacks","sourceBuffId":"sturdy","targetBuffId":"armor","requiredStacks":3,"maxStacks":3,"consumeRatio":5,"support":"common"}],"label":"将 3 层坚硬转化为 15 层护甲"},"3":{"periodicPulse":{"intervalSec":7,"label":"将 4 层坚硬转化为 20 层护甲"},"executors":[{"trigger":"onPeriodicPulse","type":"convertBuffStacks","sourceBuffId":"sturdy","targetBuffId":"armor","requiredStacks":4,"maxStacks":4,"consumeRatio":5,"support":"common"}],"label":"将 4 层坚硬转化为 20 层护甲"}}}</t>
        </is>
      </c>
    </row>
    <row r="614" ht="32" customHeight="1">
      <c r="A614" s="8" t="n">
        <v>400272</v>
      </c>
      <c r="B614" s="8" t="inlineStr">
        <is>
          <t>衡山木尺</t>
        </is>
      </c>
      <c r="C614" s="8" t="inlineStr">
        <is>
          <t>法器</t>
        </is>
      </c>
      <c r="D614" s="8" t="inlineStr">
        <is>
          <t>common</t>
        </is>
      </c>
      <c r="E614" s="8" t="inlineStr">
        <is>
          <t>none</t>
        </is>
      </c>
      <c r="F614" s="8" t="n">
        <v>1</v>
      </c>
      <c r="G614" s="8" t="inlineStr">
        <is>
          <t>基础/顶层</t>
        </is>
      </c>
      <c r="H614" s="8" t="inlineStr"/>
      <c r="I614" s="9" t="inlineStr"/>
      <c r="J614" s="8" t="inlineStr"/>
      <c r="K614" s="8" t="inlineStr"/>
      <c r="L614" s="8" t="inlineStr"/>
      <c r="M614" s="8" t="inlineStr">
        <is>
          <t>周期触发</t>
        </is>
      </c>
      <c r="N614" s="8" t="inlineStr">
        <is>
          <t>periodicPulse</t>
        </is>
      </c>
      <c r="O614" s="9" t="inlineStr">
        <is>
          <t>使最大道具获得 1 秒加速；使最大道具获得 2 秒加速；使最大道具获得 3 秒加速；使最大道具获得 4 秒加速</t>
        </is>
      </c>
      <c r="P614" s="9" t="inlineStr"/>
      <c r="Q614" s="9" t="inlineStr"/>
      <c r="R614" s="9" t="inlineStr">
        <is>
          <t>{"kind":"periodicPulse","periodicPulse":{"intervalSec":10,"label":"&lt;singleton&gt;使最大道具获得 1 秒加速&lt;/singleton&gt;","itemRuntimeStatusEffects":[{"itemRuntimeStatus":"haste","durationSec":1,"targetScope":"selfLargest","singletonByTemplate":true}]},"starOverrides":{"1":{"label":"&lt;singleton&gt;使最大道具获得 2 秒加速&lt;/singleton&gt;","periodicPulse":{"itemRuntimeStatusEffects":[{"durationSec":2}]}},"2":{"label":"&lt;singleton&gt;使最大道具获得 3 秒加速&lt;/singleton&gt;","periodicPulse":{"itemRuntimeStatusEffects":[{"durationSec":3}]}},"3":{"label":"&lt;singleton&gt;使最大道具获得 4 秒加速&lt;/singleton&gt;","periodicPulse":{"itemRuntimeStatusEffects":[{"durationSec":4}]}}}}</t>
        </is>
      </c>
    </row>
    <row r="615" ht="32" customHeight="1">
      <c r="A615" s="8" t="n">
        <v>400273</v>
      </c>
      <c r="B615" s="8" t="inlineStr">
        <is>
          <t>司重铜轮</t>
        </is>
      </c>
      <c r="C615" s="8" t="inlineStr">
        <is>
          <t>法器</t>
        </is>
      </c>
      <c r="D615" s="8" t="inlineStr">
        <is>
          <t>mystic</t>
        </is>
      </c>
      <c r="E615" s="8" t="inlineStr">
        <is>
          <t>none</t>
        </is>
      </c>
      <c r="F615" s="8" t="n">
        <v>1</v>
      </c>
      <c r="G615" s="8" t="inlineStr">
        <is>
          <t>基础/顶层</t>
        </is>
      </c>
      <c r="H615" s="8" t="inlineStr"/>
      <c r="I615" s="9" t="inlineStr"/>
      <c r="J615" s="8" t="inlineStr"/>
      <c r="K615" s="8" t="inlineStr"/>
      <c r="L615" s="8" t="inlineStr"/>
      <c r="M615" s="8" t="inlineStr">
        <is>
          <t>周期触发</t>
        </is>
      </c>
      <c r="N615" s="8" t="inlineStr">
        <is>
          <t>periodicPulse</t>
        </is>
      </c>
      <c r="O615" s="9" t="inlineStr">
        <is>
          <t>最大道具的轮转快进 1 秒</t>
        </is>
      </c>
      <c r="P615" s="9" t="inlineStr">
        <is>
          <t>onPeriodicPulse</t>
        </is>
      </c>
      <c r="Q615" s="9" t="inlineStr">
        <is>
          <t>advanceRotationProgress；largest</t>
        </is>
      </c>
      <c r="R615" s="9" t="inlineStr">
        <is>
          <t>{"kind":"periodicPulse","periodicPulse":{"intervalSec":10,"label":"最大道具的轮转快进 1 秒"},"executors":[{"trigger":"onPeriodicPulse","type":"advanceRotationProgress","target":{"type":"largest"},"deltaMs":1000,"label":"最大道具的轮转快进 1 秒"}]}</t>
        </is>
      </c>
    </row>
    <row r="616" ht="32" customHeight="1">
      <c r="A616" s="8" t="n">
        <v>400274</v>
      </c>
      <c r="B616" s="8" t="inlineStr">
        <is>
          <t>托岳油壶</t>
        </is>
      </c>
      <c r="C616" s="8" t="inlineStr">
        <is>
          <t>法器</t>
        </is>
      </c>
      <c r="D616" s="8" t="inlineStr">
        <is>
          <t>common</t>
        </is>
      </c>
      <c r="E616" s="8" t="inlineStr">
        <is>
          <t>none</t>
        </is>
      </c>
      <c r="F616" s="8" t="n">
        <v>1</v>
      </c>
      <c r="G616" s="8" t="inlineStr">
        <is>
          <t>基础/顶层</t>
        </is>
      </c>
      <c r="H616" s="8" t="inlineStr"/>
      <c r="I616" s="9" t="inlineStr"/>
      <c r="J616" s="8" t="inlineStr"/>
      <c r="K616" s="8" t="inlineStr"/>
      <c r="L616" s="8" t="inlineStr"/>
      <c r="M616" s="8" t="inlineStr">
        <is>
          <t>周期触发</t>
        </is>
      </c>
      <c r="N616" s="8" t="inlineStr">
        <is>
          <t>periodicPulse</t>
        </is>
      </c>
      <c r="O616" s="9" t="inlineStr">
        <is>
          <t>使所有 1×1 招式获得 2 秒加速；使所有 1×1 招式获得 3 秒加速；使所有 1×1 招式获得 4 秒加速；使所有 1×1 招式获得 5 秒加速</t>
        </is>
      </c>
      <c r="P616" s="9" t="inlineStr"/>
      <c r="Q616" s="9" t="inlineStr"/>
      <c r="R616" s="9" t="inlineStr">
        <is>
          <t>{"kind":"periodicPulse","periodicPulse":{"intervalSec":12,"label":"&lt;singleton&gt;使所有 1×1 招式获得 2 秒加速&lt;/singleton&gt;","itemRuntimeStatusEffects":[{"itemRuntimeStatus":"haste","durationSec":2,"targetScope":"selfAll","singletonByTemplate":true,"targetFilter":{"categories":["spell"],"shapeSizes":["1x1"]}}]},"starOverrides":{"1":{"label":"&lt;singleton&gt;使所有 1×1 招式获得 3 秒加速&lt;/singleton&gt;","periodicPulse":{"itemRuntimeStatusEffects":[{"durationSec":3}]}},"2":{"label":"&lt;singleton&gt;使所有 1×1 招式获得 4 秒加速&lt;/singleton&gt;","periodicPulse":{"itemRuntimeStatusEffects":[{"durationSec":4}]}},"3":{"label":"&lt;singleton&gt;使所有 1×1 招式获得 5 秒加速&lt;/singleton&gt;","periodicPulse":{"itemRuntimeStatusEffects":[{"durationSec":5}]}}}}</t>
        </is>
      </c>
    </row>
    <row r="617" ht="32" customHeight="1">
      <c r="A617" s="8" t="n">
        <v>400275</v>
      </c>
      <c r="B617" s="8" t="inlineStr">
        <is>
          <t>引峰机簧</t>
        </is>
      </c>
      <c r="C617" s="8" t="inlineStr">
        <is>
          <t>法器</t>
        </is>
      </c>
      <c r="D617" s="8" t="inlineStr">
        <is>
          <t>common</t>
        </is>
      </c>
      <c r="E617" s="8" t="inlineStr">
        <is>
          <t>none</t>
        </is>
      </c>
      <c r="F617" s="8" t="n">
        <v>1</v>
      </c>
      <c r="G617" s="8" t="inlineStr">
        <is>
          <t>基础/顶层</t>
        </is>
      </c>
      <c r="H617" s="8" t="inlineStr"/>
      <c r="I617" s="9" t="inlineStr"/>
      <c r="J617" s="8" t="inlineStr"/>
      <c r="K617" s="8" t="inlineStr"/>
      <c r="L617" s="8" t="inlineStr"/>
      <c r="M617" s="8" t="inlineStr">
        <is>
          <t>周期触发</t>
        </is>
      </c>
      <c r="N617" s="8" t="inlineStr">
        <is>
          <t>periodicPulse</t>
        </is>
      </c>
      <c r="O617" s="9" t="inlineStr">
        <is>
          <t>使所有 2×2 招式获得 2 秒加速；使所有 2×2 招式获得 3 秒加速；使所有 2×2 招式获得 4 秒加速；使所有 2×2 招式获得 5 秒加速</t>
        </is>
      </c>
      <c r="P617" s="9" t="inlineStr"/>
      <c r="Q617" s="9" t="inlineStr"/>
      <c r="R617" s="9" t="inlineStr">
        <is>
          <t>{"kind":"periodicPulse","periodicPulse":{"intervalSec":12,"label":"&lt;singleton&gt;使所有 2×2 招式获得 2 秒加速&lt;/singleton&gt;","itemRuntimeStatusEffects":[{"itemRuntimeStatus":"haste","durationSec":2,"targetScope":"selfAll","singletonByTemplate":true,"targetFilter":{"categories":["spell"],"shapeSizes":["2x2"]}}]},"starOverrides":{"1":{"label":"&lt;singleton&gt;使所有 2×2 招式获得 3 秒加速&lt;/singleton&gt;","periodicPulse":{"itemRuntimeStatusEffects":[{"durationSec":3}]}},"2":{"label":"&lt;singleton&gt;使所有 2×2 招式获得 4 秒加速&lt;/singleton&gt;","periodicPulse":{"itemRuntimeStatusEffects":[{"durationSec":4}]}},"3":{"label":"&lt;singleton&gt;使所有 2×2 招式获得 5 秒加速&lt;/singleton&gt;","periodicPulse":{"itemRuntimeStatusEffects":[{"durationSec":5}]}}}}</t>
        </is>
      </c>
    </row>
    <row r="618" ht="32" customHeight="1">
      <c r="A618" s="8" t="n">
        <v>400276</v>
      </c>
      <c r="B618" s="8" t="inlineStr">
        <is>
          <t>压轮砂袋</t>
        </is>
      </c>
      <c r="C618" s="8" t="inlineStr">
        <is>
          <t>法器</t>
        </is>
      </c>
      <c r="D618" s="8" t="inlineStr">
        <is>
          <t>common</t>
        </is>
      </c>
      <c r="E618" s="8" t="inlineStr">
        <is>
          <t>earth</t>
        </is>
      </c>
      <c r="F618" s="8" t="n">
        <v>1</v>
      </c>
      <c r="G618" s="8" t="inlineStr">
        <is>
          <t>基础/顶层</t>
        </is>
      </c>
      <c r="H618" s="8" t="inlineStr"/>
      <c r="I618" s="9" t="inlineStr"/>
      <c r="J618" s="8" t="inlineStr"/>
      <c r="K618" s="8" t="inlineStr"/>
      <c r="L618" s="8" t="inlineStr"/>
      <c r="M618" s="8" t="inlineStr">
        <is>
          <t>周期触发</t>
        </is>
      </c>
      <c r="N618" s="8" t="inlineStr">
        <is>
          <t>periodicPulse</t>
        </is>
      </c>
      <c r="O618" s="9" t="inlineStr">
        <is>
          <t>使最大道具获得 1 秒加速</t>
        </is>
      </c>
      <c r="P618" s="9" t="inlineStr"/>
      <c r="Q618" s="9" t="inlineStr"/>
      <c r="R618" s="9" t="inlineStr">
        <is>
          <t>{"kind":"periodicPulse","periodicPulse":{"intervalSec":8,"label":"&lt;singleton&gt;使最大道具获得 1 秒加速&lt;/singleton&gt;","itemRuntimeStatusEffects":[{"itemRuntimeStatus":"haste","durationSec":1,"targetScope":"selfLargest","singletonByTemplate":true}]},"starOverrides":{"1":{"label":"&lt;singleton&gt;使最大道具获得 1 秒加速&lt;/singleton&gt;","periodicPulse":{"intervalSec":7}},"2":{"label":"&lt;singleton&gt;使最大道具获得 1 秒加速&lt;/singleton&gt;","periodicPulse":{"intervalSec":6}},"3":{"label":"&lt;singleton&gt;使最大道具获得 1 秒加速&lt;/singleton&gt;","periodicPulse":{"intervalSec":5}}}}</t>
        </is>
      </c>
    </row>
    <row r="619" ht="32" customHeight="1">
      <c r="A619" s="8" t="n">
        <v>400277</v>
      </c>
      <c r="B619" s="8" t="inlineStr">
        <is>
          <t>负岳水囊</t>
        </is>
      </c>
      <c r="C619" s="8" t="inlineStr">
        <is>
          <t>法器</t>
        </is>
      </c>
      <c r="D619" s="8" t="inlineStr">
        <is>
          <t>mystic</t>
        </is>
      </c>
      <c r="E619" s="8" t="inlineStr">
        <is>
          <t>none</t>
        </is>
      </c>
      <c r="F619" s="8" t="n">
        <v>1</v>
      </c>
      <c r="G619" s="8" t="inlineStr">
        <is>
          <t>基础/顶层</t>
        </is>
      </c>
      <c r="H619" s="8" t="inlineStr"/>
      <c r="I619" s="9" t="inlineStr"/>
      <c r="J619" s="8" t="inlineStr"/>
      <c r="K619" s="8" t="inlineStr"/>
      <c r="L619" s="8" t="inlineStr"/>
      <c r="M619" s="8" t="inlineStr">
        <is>
          <t>条件触发</t>
        </is>
      </c>
      <c r="N619" s="8" t="inlineStr">
        <is>
          <t>triggered</t>
        </is>
      </c>
      <c r="O619" s="9" t="inlineStr">
        <is>
          <t>最大道具轮转时，其左侧相邻道具的轮转快进 1 秒</t>
        </is>
      </c>
      <c r="P619" s="9" t="inlineStr">
        <is>
          <t>onPeriodicPulse</t>
        </is>
      </c>
      <c r="Q619" s="9" t="inlineStr">
        <is>
          <t>advanceRotationProgress；directional-adjacent；largest</t>
        </is>
      </c>
      <c r="R619" s="9" t="inlineStr">
        <is>
          <t>{"kind":"triggered","label":"最大道具轮转时，其左侧相邻道具的轮转快进 1 秒","triggeredEffect":{"trigger":"onPeriodicPulse","type":"advanceRotationProgress","target":{"type":"directional-adjacent","direction":"left"},"deltaMs":1000,"eventSource":{"target":{"type":"largest"}}}}</t>
        </is>
      </c>
    </row>
    <row r="620" ht="32" customHeight="1">
      <c r="A620" s="8" t="n">
        <v>400278</v>
      </c>
      <c r="B620" s="8" t="inlineStr">
        <is>
          <t>纳息玉盏</t>
        </is>
      </c>
      <c r="C620" s="8" t="inlineStr">
        <is>
          <t>法器</t>
        </is>
      </c>
      <c r="D620" s="8" t="inlineStr">
        <is>
          <t>common</t>
        </is>
      </c>
      <c r="E620" s="8" t="inlineStr">
        <is>
          <t>none</t>
        </is>
      </c>
      <c r="F620" s="8" t="n">
        <v>1</v>
      </c>
      <c r="G620" s="8" t="inlineStr">
        <is>
          <t>基础/顶层</t>
        </is>
      </c>
      <c r="H620" s="8" t="inlineStr"/>
      <c r="I620" s="9" t="inlineStr"/>
      <c r="J620" s="8" t="inlineStr"/>
      <c r="K620" s="8" t="inlineStr"/>
      <c r="L620" s="8" t="inlineStr"/>
      <c r="M620" s="8" t="inlineStr">
        <is>
          <t>条件触发</t>
        </is>
      </c>
      <c r="N620" s="8" t="inlineStr">
        <is>
          <t>triggered</t>
        </is>
      </c>
      <c r="O620" s="9" t="inlineStr">
        <is>
          <t>1×2 道具轮转时，恢复 2 点法力；1×2 道具轮转时，恢复 4 点法力；1×2 道具轮转时，恢复 6 点法力；1×2 道具轮转时，恢复 8 点法力</t>
        </is>
      </c>
      <c r="P620" s="9" t="inlineStr">
        <is>
          <t>onPeriodicPulse</t>
        </is>
      </c>
      <c r="Q620" s="9" t="inlineStr">
        <is>
          <t>modifyPlayerPrimaryStat；any</t>
        </is>
      </c>
      <c r="R620" s="9" t="inlineStr">
        <is>
          <t>{"kind":"triggered","label":"1×2 道具轮转时，恢复 2 点法力","triggeredEffect":{"trigger":"onPeriodicPulse","type":"modifyPlayerPrimaryStat","stat":"mana","delta":2,"eventSource":{"target":{"type":"any"},"filter":{"shapeSizes":["1x2"]}}},"starOverrides":{"1":{"label":"1×2 道具轮转时，恢复 4 点法力","triggeredEffect":{"delta":4}},"2":{"label":"1×2 道具轮转时，恢复 6 点法力","triggeredEffect":{"delta":6}},"3":{"label":"1×2 道具轮转时，恢复 8 点法力","triggeredEffect":{"delta":8}}}}</t>
        </is>
      </c>
    </row>
    <row r="621" ht="32" customHeight="1">
      <c r="A621" s="8" t="n">
        <v>400279</v>
      </c>
      <c r="B621" s="8" t="inlineStr">
        <is>
          <t>养脉温石</t>
        </is>
      </c>
      <c r="C621" s="8" t="inlineStr">
        <is>
          <t>法器</t>
        </is>
      </c>
      <c r="D621" s="8" t="inlineStr">
        <is>
          <t>common</t>
        </is>
      </c>
      <c r="E621" s="8" t="inlineStr">
        <is>
          <t>earth</t>
        </is>
      </c>
      <c r="F621" s="8" t="n">
        <v>1</v>
      </c>
      <c r="G621" s="8" t="inlineStr">
        <is>
          <t>基础/顶层</t>
        </is>
      </c>
      <c r="H621" s="8" t="inlineStr"/>
      <c r="I621" s="9" t="inlineStr"/>
      <c r="J621" s="8" t="inlineStr"/>
      <c r="K621" s="8" t="inlineStr"/>
      <c r="L621" s="8" t="inlineStr"/>
      <c r="M621" s="8" t="inlineStr">
        <is>
          <t>条件触发</t>
        </is>
      </c>
      <c r="N621" s="8" t="inlineStr">
        <is>
          <t>triggered</t>
        </is>
      </c>
      <c r="O621" s="9" t="inlineStr">
        <is>
          <t>最大道具轮转时，恢复 2 点气血；最大道具轮转时，恢复 4 点气血；最大道具轮转时，恢复 6 点气血；最大道具轮转时，恢复 8 点气血</t>
        </is>
      </c>
      <c r="P621" s="9" t="inlineStr">
        <is>
          <t>onPeriodicPulse</t>
        </is>
      </c>
      <c r="Q621" s="9" t="inlineStr">
        <is>
          <t>modifyPlayerPrimaryStat；largest</t>
        </is>
      </c>
      <c r="R621" s="9" t="inlineStr">
        <is>
          <t>{"kind":"triggered","label":"最大道具轮转时，恢复 2 点气血","triggeredEffect":{"trigger":"onPeriodicPulse","type":"modifyPlayerPrimaryStat","stat":"health","delta":2,"eventSource":{"target":{"type":"largest"}}},"starOverrides":{"1":{"label":"最大道具轮转时，恢复 4 点气血","triggeredEffect":{"delta":4}},"2":{"label":"最大道具轮转时，恢复 6 点气血","triggeredEffect":{"delta":6}},"3":{"label":"最大道具轮转时，恢复 8 点气血","triggeredEffect":{"delta":8}}}}</t>
        </is>
      </c>
    </row>
    <row r="622" ht="32" customHeight="1">
      <c r="A622" s="8" t="n">
        <v>400280</v>
      </c>
      <c r="B622" s="8" t="inlineStr">
        <is>
          <t>聚气竹筹</t>
        </is>
      </c>
      <c r="C622" s="8" t="inlineStr">
        <is>
          <t>法器</t>
        </is>
      </c>
      <c r="D622" s="8" t="inlineStr">
        <is>
          <t>common</t>
        </is>
      </c>
      <c r="E622" s="8" t="inlineStr">
        <is>
          <t>wood</t>
        </is>
      </c>
      <c r="F622" s="8" t="n">
        <v>1</v>
      </c>
      <c r="G622" s="8" t="inlineStr">
        <is>
          <t>基础/顶层</t>
        </is>
      </c>
      <c r="H622" s="8" t="inlineStr"/>
      <c r="I622" s="9" t="inlineStr"/>
      <c r="J622" s="8" t="inlineStr"/>
      <c r="K622" s="8" t="inlineStr"/>
      <c r="L622" s="8" t="inlineStr"/>
      <c r="M622" s="8" t="inlineStr">
        <is>
          <t>条件触发</t>
        </is>
      </c>
      <c r="N622" s="8" t="inlineStr">
        <is>
          <t>triggered</t>
        </is>
      </c>
      <c r="O622" s="9" t="inlineStr">
        <is>
          <t>2×3 道具轮转时，获得 6 点修为；2×3 道具轮转时，获得 8 点修为；2×3 道具轮转时，获得 10 点修为；2×3 道具轮转时，获得 12 点修为</t>
        </is>
      </c>
      <c r="P622" s="9" t="inlineStr">
        <is>
          <t>onPeriodicPulse</t>
        </is>
      </c>
      <c r="Q622" s="9" t="inlineStr">
        <is>
          <t>gainCultivation；any</t>
        </is>
      </c>
      <c r="R622" s="9" t="inlineStr">
        <is>
          <t>{"kind":"triggered","label":"2×3 道具轮转时，获得 6 点修为","triggeredEffect":{"trigger":"onPeriodicPulse","type":"gainCultivation","amount":6,"eventSource":{"target":{"type":"any"},"filter":{"shapeSizes":["2x3"]}}},"starOverrides":{"1":{"label":"2×3 道具轮转时，获得 8 点修为","triggeredEffect":{"amount":8}},"2":{"label":"2×3 道具轮转时，获得 10 点修为","triggeredEffect":{"amount":10}},"3":{"label":"2×3 道具轮转时，获得 12 点修为","triggeredEffect":{"amount":12}}}}</t>
        </is>
      </c>
    </row>
    <row r="623" ht="32" customHeight="1">
      <c r="A623" s="8" t="n">
        <v>400281</v>
      </c>
      <c r="B623" s="8" t="inlineStr">
        <is>
          <t>轻岳云纹束带</t>
        </is>
      </c>
      <c r="C623" s="8" t="inlineStr">
        <is>
          <t>法器</t>
        </is>
      </c>
      <c r="D623" s="8" t="inlineStr">
        <is>
          <t>common</t>
        </is>
      </c>
      <c r="E623" s="8" t="inlineStr">
        <is>
          <t>earth</t>
        </is>
      </c>
      <c r="F623" s="8" t="n">
        <v>1</v>
      </c>
      <c r="G623" s="8" t="inlineStr">
        <is>
          <t>基础/顶层</t>
        </is>
      </c>
      <c r="H623" s="8" t="inlineStr"/>
      <c r="I623" s="9" t="inlineStr"/>
      <c r="J623" s="8" t="inlineStr"/>
      <c r="K623" s="8" t="inlineStr"/>
      <c r="L623" s="8" t="inlineStr"/>
      <c r="M623" s="8" t="inlineStr">
        <is>
          <t>条件触发</t>
        </is>
      </c>
      <c r="N623" s="8" t="inlineStr">
        <is>
          <t>triggered</t>
        </is>
      </c>
      <c r="O623" s="9" t="inlineStr">
        <is>
          <t>最大道具轮转时，获得 1 层坚硬；最大道具轮转时，获得 2 层坚硬；最大道具轮转时，获得 3 层坚硬；最大道具轮转时，获得 4 层坚硬</t>
        </is>
      </c>
      <c r="P623" s="9" t="inlineStr">
        <is>
          <t>onPeriodicPulse</t>
        </is>
      </c>
      <c r="Q623" s="9" t="inlineStr">
        <is>
          <t>applyBuff；largest</t>
        </is>
      </c>
      <c r="R623" s="9" t="inlineStr">
        <is>
          <t>{"kind":"triggered","label":"最大道具轮转时，获得 1 层坚硬","triggeredEffect":{"trigger":"onPeriodicPulse","type":"applyBuff","buffId":"sturdy","count":1,"eventSource":{"target":{"type":"largest"}}},"starOverrides":{"1":{"label":"最大道具轮转时，获得 2 层坚硬","triggeredEffect":{"count":2}},"2":{"label":"最大道具轮转时，获得 3 层坚硬","triggeredEffect":{"count":3}},"3":{"label":"最大道具轮转时，获得 4 层坚硬","triggeredEffect":{"count":4}}}}</t>
        </is>
      </c>
    </row>
    <row r="624" ht="32" customHeight="1">
      <c r="A624" s="8" t="n">
        <v>400282</v>
      </c>
      <c r="B624" s="8" t="inlineStr">
        <is>
          <t>听涛瓷片</t>
        </is>
      </c>
      <c r="C624" s="8" t="inlineStr">
        <is>
          <t>法器</t>
        </is>
      </c>
      <c r="D624" s="8" t="inlineStr">
        <is>
          <t>common</t>
        </is>
      </c>
      <c r="E624" s="8" t="inlineStr">
        <is>
          <t>water</t>
        </is>
      </c>
      <c r="F624" s="8" t="n">
        <v>1</v>
      </c>
      <c r="G624" s="8" t="inlineStr">
        <is>
          <t>基础/顶层</t>
        </is>
      </c>
      <c r="H624" s="8" t="inlineStr"/>
      <c r="I624" s="9" t="inlineStr"/>
      <c r="J624" s="8" t="inlineStr"/>
      <c r="K624" s="8" t="inlineStr"/>
      <c r="L624" s="8" t="inlineStr"/>
      <c r="M624" s="8" t="inlineStr">
        <is>
          <t>条件触发</t>
        </is>
      </c>
      <c r="N624" s="8" t="inlineStr">
        <is>
          <t>triggered</t>
        </is>
      </c>
      <c r="O624" s="9" t="inlineStr">
        <is>
          <t>最大道具为水属性时，其轮转时获得 4 层露水；最大道具为水属性时，其轮转时获得 8 层露水；最大道具为水属性时，其轮转时获得 12 层露水；最大道具为水属性时，其轮转时获得 16 层露水</t>
        </is>
      </c>
      <c r="P624" s="9" t="inlineStr">
        <is>
          <t>onPeriodicPulse</t>
        </is>
      </c>
      <c r="Q624" s="9" t="inlineStr">
        <is>
          <t>applyBuff；largest</t>
        </is>
      </c>
      <c r="R624" s="9" t="inlineStr">
        <is>
          <t>{"kind":"triggered","label":"最大道具为水属性时，其轮转时获得 4 层露水","triggeredEffect":{"trigger":"onPeriodicPulse","type":"applyBuff","buffId":"dew","count":4,"eventSource":{"target":{"type":"largest"},"filter":{"elements":["water"]}}},"starOverrides":{"1":{"label":"最大道具为水属性时，其轮转时获得 8 层露水","triggeredEffect":{"count":8}},"2":{"label":"最大道具为水属性时，其轮转时获得 12 层露水","triggeredEffect":{"count":12}},"3":{"label":"最大道具为水属性时，其轮转时获得 16 层露水","triggeredEffect":{"count":16}}}}</t>
        </is>
      </c>
    </row>
    <row r="625" ht="32" customHeight="1">
      <c r="A625" s="8" t="n">
        <v>400283</v>
      </c>
      <c r="B625" s="8" t="inlineStr">
        <is>
          <t>焰纹铜炭盆</t>
        </is>
      </c>
      <c r="C625" s="8" t="inlineStr">
        <is>
          <t>法器</t>
        </is>
      </c>
      <c r="D625" s="8" t="inlineStr">
        <is>
          <t>common</t>
        </is>
      </c>
      <c r="E625" s="8" t="inlineStr">
        <is>
          <t>fire</t>
        </is>
      </c>
      <c r="F625" s="8" t="n">
        <v>1</v>
      </c>
      <c r="G625" s="8" t="inlineStr">
        <is>
          <t>基础/顶层</t>
        </is>
      </c>
      <c r="H625" s="8" t="inlineStr"/>
      <c r="I625" s="9" t="inlineStr"/>
      <c r="J625" s="8" t="inlineStr"/>
      <c r="K625" s="8" t="inlineStr"/>
      <c r="L625" s="8" t="inlineStr"/>
      <c r="M625" s="8" t="inlineStr">
        <is>
          <t>条件触发</t>
        </is>
      </c>
      <c r="N625" s="8" t="inlineStr">
        <is>
          <t>triggered</t>
        </is>
      </c>
      <c r="O625" s="9" t="inlineStr">
        <is>
          <t>若最大道具为火属性，其轮转时获得 2 层炎热；若最大道具为火属性，其轮转时获得 3 层炎热；若最大道具为火属性，其轮转时获得 4 层炎热；若最大道具为火属性，其轮转时获得 5 层炎热</t>
        </is>
      </c>
      <c r="P625" s="9" t="inlineStr">
        <is>
          <t>onPeriodicPulse</t>
        </is>
      </c>
      <c r="Q625" s="9" t="inlineStr">
        <is>
          <t>applyBuff；largest</t>
        </is>
      </c>
      <c r="R625" s="9" t="inlineStr">
        <is>
          <t>{"kind":"triggered","label":"若最大道具为火属性，其轮转时获得 2 层炎热","triggeredEffect":{"trigger":"onPeriodicPulse","type":"applyBuff","buffId":"heat","count":2,"eventSource":{"target":{"type":"largest"},"filter":{"elements":["fire"]}}},"starOverrides":{"1":{"label":"若最大道具为火属性，其轮转时获得 3 层炎热","triggeredEffect":{"count":3}},"2":{"label":"若最大道具为火属性，其轮转时获得 4 层炎热","triggeredEffect":{"count":4}},"3":{"label":"若最大道具为火属性，其轮转时获得 5 层炎热","triggeredEffect":{"count":5}}}}</t>
        </is>
      </c>
    </row>
    <row r="626" ht="32" customHeight="1">
      <c r="A626" s="8" t="n">
        <v>400285</v>
      </c>
      <c r="B626" s="8" t="inlineStr">
        <is>
          <t>群钉转盘</t>
        </is>
      </c>
      <c r="C626" s="8" t="inlineStr">
        <is>
          <t>法器</t>
        </is>
      </c>
      <c r="D626" s="8" t="inlineStr">
        <is>
          <t>mystic</t>
        </is>
      </c>
      <c r="E626" s="8" t="inlineStr">
        <is>
          <t>metal</t>
        </is>
      </c>
      <c r="F626" s="8" t="n">
        <v>1</v>
      </c>
      <c r="G626" s="8" t="inlineStr">
        <is>
          <t>基础/顶层</t>
        </is>
      </c>
      <c r="H626" s="8" t="inlineStr"/>
      <c r="I626" s="9" t="inlineStr"/>
      <c r="J626" s="8" t="inlineStr"/>
      <c r="K626" s="8" t="inlineStr"/>
      <c r="L626" s="8" t="inlineStr"/>
      <c r="M626" s="8" t="inlineStr">
        <is>
          <t>条件触发</t>
        </is>
      </c>
      <c r="N626" s="8" t="inlineStr">
        <is>
          <t>triggered</t>
        </is>
      </c>
      <c r="O626" s="9" t="inlineStr">
        <is>
          <t>使用符箓时，所有 1×1 道具的轮转快进 0.3 秒</t>
        </is>
      </c>
      <c r="P626" s="9" t="inlineStr">
        <is>
          <t>onConsumableActivated</t>
        </is>
      </c>
      <c r="Q626" s="9" t="inlineStr">
        <is>
          <t>advanceRotationProgress；all；any</t>
        </is>
      </c>
      <c r="R626" s="9" t="inlineStr">
        <is>
          <t>{"kind":"triggered","label":"使用符箓时，所有 1×1 道具的轮转快进 0.3 秒","triggeredEffect":{"trigger":"onConsumableActivated","type":"advanceRotationProgress","target":{"type":"all"},"deltaMs":300,"targetFilter":{"shapeSizes":["1x1"]},"eventSource":{"target":{"type":"any"},"filter":{"categories":["talisman"]}}}}</t>
        </is>
      </c>
    </row>
    <row r="627" ht="32" customHeight="1">
      <c r="A627" s="8" t="n">
        <v>400286</v>
      </c>
      <c r="B627" s="8" t="inlineStr">
        <is>
          <t>应诀金针匣</t>
        </is>
      </c>
      <c r="C627" s="8" t="inlineStr">
        <is>
          <t>法器</t>
        </is>
      </c>
      <c r="D627" s="8" t="inlineStr">
        <is>
          <t>mystic</t>
        </is>
      </c>
      <c r="E627" s="8" t="inlineStr">
        <is>
          <t>metal</t>
        </is>
      </c>
      <c r="F627" s="8" t="n">
        <v>1</v>
      </c>
      <c r="G627" s="8" t="inlineStr">
        <is>
          <t>基础/顶层</t>
        </is>
      </c>
      <c r="H627" s="8" t="inlineStr"/>
      <c r="I627" s="9" t="inlineStr"/>
      <c r="J627" s="8" t="inlineStr"/>
      <c r="K627" s="8" t="inlineStr"/>
      <c r="L627" s="8" t="inlineStr"/>
      <c r="M627" s="8" t="inlineStr">
        <is>
          <t>条件触发</t>
        </is>
      </c>
      <c r="N627" s="8" t="inlineStr">
        <is>
          <t>triggered</t>
        </is>
      </c>
      <c r="O627" s="9" t="inlineStr">
        <is>
          <t>招式释放时，所有 2×2 道具的轮转快进 0.5 秒</t>
        </is>
      </c>
      <c r="P627" s="9" t="inlineStr">
        <is>
          <t>onActiveSpellCast</t>
        </is>
      </c>
      <c r="Q627" s="9" t="inlineStr">
        <is>
          <t>advanceRotationProgress；all；any</t>
        </is>
      </c>
      <c r="R627" s="9" t="inlineStr">
        <is>
          <t>{"kind":"triggered","label":"招式释放时，所有 2×2 道具的轮转快进 0.5 秒","triggeredEffect":{"trigger":"onActiveSpellCast","type":"advanceRotationProgress","target":{"type":"all"},"deltaMs":500,"targetFilter":{"shapeSizes":["2x2"]},"eventSource":{"target":{"type":"any"},"filter":{"categories":["spell"]}}}}</t>
        </is>
      </c>
    </row>
    <row r="628" ht="32" customHeight="1">
      <c r="A628" s="8" t="n">
        <v>400287</v>
      </c>
      <c r="B628" s="8" t="inlineStr">
        <is>
          <t>回声木架</t>
        </is>
      </c>
      <c r="C628" s="8" t="inlineStr">
        <is>
          <t>法器</t>
        </is>
      </c>
      <c r="D628" s="8" t="inlineStr">
        <is>
          <t>mystic</t>
        </is>
      </c>
      <c r="E628" s="8" t="inlineStr">
        <is>
          <t>wood</t>
        </is>
      </c>
      <c r="F628" s="8" t="n">
        <v>1</v>
      </c>
      <c r="G628" s="8" t="inlineStr">
        <is>
          <t>基础/顶层</t>
        </is>
      </c>
      <c r="H628" s="8" t="inlineStr"/>
      <c r="I628" s="9" t="inlineStr"/>
      <c r="J628" s="8" t="inlineStr"/>
      <c r="K628" s="8" t="inlineStr"/>
      <c r="L628" s="8" t="inlineStr"/>
      <c r="M628" s="8" t="inlineStr">
        <is>
          <t>条件触发</t>
        </is>
      </c>
      <c r="N628" s="8" t="inlineStr">
        <is>
          <t>triggered</t>
        </is>
      </c>
      <c r="O628" s="9" t="inlineStr">
        <is>
          <t>2×2 招式释放时，所有 1×2 道具轮转快进 0.5 秒</t>
        </is>
      </c>
      <c r="P628" s="9" t="inlineStr">
        <is>
          <t>onActiveSpellCast</t>
        </is>
      </c>
      <c r="Q628" s="9" t="inlineStr">
        <is>
          <t>advanceRotationProgress；all；any</t>
        </is>
      </c>
      <c r="R628" s="9" t="inlineStr">
        <is>
          <t>{"kind":"triggered","label":"2×2 招式释放时，所有 1×2 道具轮转快进 0.5 秒","triggeredEffect":{"trigger":"onActiveSpellCast","type":"advanceRotationProgress","target":{"type":"all"},"deltaMs":500,"targetFilter":{"shapeSizes":["1x2"]},"eventSource":{"target":{"type":"any"},"filter":{"categories":["spell"],"shapeSizes":["2x2"]}}}}</t>
        </is>
      </c>
    </row>
    <row r="629" ht="32" customHeight="1">
      <c r="A629" s="8" t="n">
        <v>400288</v>
      </c>
      <c r="B629" s="8" t="inlineStr">
        <is>
          <t>镇岳鸣弦琴</t>
        </is>
      </c>
      <c r="C629" s="8" t="inlineStr">
        <is>
          <t>法器</t>
        </is>
      </c>
      <c r="D629" s="8" t="inlineStr">
        <is>
          <t>mystic</t>
        </is>
      </c>
      <c r="E629" s="8" t="inlineStr">
        <is>
          <t>none</t>
        </is>
      </c>
      <c r="F629" s="8" t="n">
        <v>1</v>
      </c>
      <c r="G629" s="8" t="inlineStr">
        <is>
          <t>基础/顶层</t>
        </is>
      </c>
      <c r="H629" s="8" t="inlineStr"/>
      <c r="I629" s="9" t="inlineStr"/>
      <c r="J629" s="8" t="inlineStr"/>
      <c r="K629" s="8" t="inlineStr"/>
      <c r="L629" s="8" t="inlineStr"/>
      <c r="M629" s="8" t="inlineStr">
        <is>
          <t>条件触发</t>
        </is>
      </c>
      <c r="N629" s="8" t="inlineStr">
        <is>
          <t>triggered</t>
        </is>
      </c>
      <c r="O629" s="9" t="inlineStr">
        <is>
          <t>最大道具轮转后，其下一轮轮转快进 1 秒</t>
        </is>
      </c>
      <c r="P629" s="9" t="inlineStr">
        <is>
          <t>onPeriodicPulse</t>
        </is>
      </c>
      <c r="Q629" s="9" t="inlineStr">
        <is>
          <t>advanceRotationProgress；largest</t>
        </is>
      </c>
      <c r="R629" s="9" t="inlineStr">
        <is>
          <t>{"kind":"triggered","label":"最大道具轮转后，其下一轮轮转快进 1 秒","triggeredEffect":{"trigger":"onPeriodicPulse","type":"advanceRotationProgress","target":{"type":"largest"},"deltaMs":1000,"eventSource":{"target":{"type":"largest"}}}}</t>
        </is>
      </c>
    </row>
    <row r="630" ht="32" customHeight="1">
      <c r="A630" s="8" t="n">
        <v>400289</v>
      </c>
      <c r="B630" s="8" t="inlineStr">
        <is>
          <t>续轮小鼓</t>
        </is>
      </c>
      <c r="C630" s="8" t="inlineStr">
        <is>
          <t>法器</t>
        </is>
      </c>
      <c r="D630" s="8" t="inlineStr">
        <is>
          <t>mystic</t>
        </is>
      </c>
      <c r="E630" s="8" t="inlineStr">
        <is>
          <t>none</t>
        </is>
      </c>
      <c r="F630" s="8" t="n">
        <v>1</v>
      </c>
      <c r="G630" s="8" t="inlineStr">
        <is>
          <t>基础/顶层</t>
        </is>
      </c>
      <c r="H630" s="8" t="inlineStr"/>
      <c r="I630" s="9" t="inlineStr"/>
      <c r="J630" s="8" t="inlineStr"/>
      <c r="K630" s="8" t="inlineStr"/>
      <c r="L630" s="8" t="inlineStr"/>
      <c r="M630" s="8" t="inlineStr">
        <is>
          <t>周期触发</t>
        </is>
      </c>
      <c r="N630" s="8" t="inlineStr">
        <is>
          <t>periodicPulse</t>
        </is>
      </c>
      <c r="O630" s="9" t="inlineStr">
        <is>
          <t>消耗 8 点法力，使最大道具的轮转快进 1 秒</t>
        </is>
      </c>
      <c r="P630" s="9" t="inlineStr">
        <is>
          <t>onPeriodicPulse</t>
        </is>
      </c>
      <c r="Q630" s="9" t="inlineStr">
        <is>
          <t>advanceRotationProgress；largest；self</t>
        </is>
      </c>
      <c r="R630" s="9" t="inlineStr">
        <is>
          <t>{"kind":"periodicPulse","periodicPulse":{"intervalSec":18,"label":"消耗 8 点法力，使最大道具的轮转快进 1 秒","primaryStatCosts":[{"stat":"mana","amount":8}]},"executors":[{"trigger":"onPeriodicPulse","type":"advanceRotationProgress","target":{"type":"largest"},"deltaMs":1000,"eventSource":{"target":{"type":"self"}},"label":"消耗 8 点法力，使最大道具的轮转快进 1 秒"}]}</t>
        </is>
      </c>
    </row>
    <row r="631" ht="32" customHeight="1">
      <c r="A631" s="8" t="n">
        <v>400290</v>
      </c>
      <c r="B631" s="8" t="inlineStr">
        <is>
          <t>养岳砚</t>
        </is>
      </c>
      <c r="C631" s="8" t="inlineStr">
        <is>
          <t>法器</t>
        </is>
      </c>
      <c r="D631" s="8" t="inlineStr">
        <is>
          <t>common</t>
        </is>
      </c>
      <c r="E631" s="8" t="inlineStr">
        <is>
          <t>earth</t>
        </is>
      </c>
      <c r="F631" s="8" t="n">
        <v>1</v>
      </c>
      <c r="G631" s="8" t="inlineStr">
        <is>
          <t>基础/顶层</t>
        </is>
      </c>
      <c r="H631" s="8" t="inlineStr"/>
      <c r="I631" s="9" t="inlineStr"/>
      <c r="J631" s="8" t="inlineStr"/>
      <c r="K631" s="8" t="inlineStr"/>
      <c r="L631" s="8" t="inlineStr"/>
      <c r="M631" s="8" t="inlineStr">
        <is>
          <t>条件触发</t>
        </is>
      </c>
      <c r="N631" s="8" t="inlineStr">
        <is>
          <t>triggered</t>
        </is>
      </c>
      <c r="O631" s="9" t="inlineStr">
        <is>
          <t>最大道具轮转时，获得 3 点修为；最大道具轮转时，获得 6 点修为；最大道具轮转时，获得 9 点修为；最大道具轮转时，获得 12 点修为</t>
        </is>
      </c>
      <c r="P631" s="9" t="inlineStr">
        <is>
          <t>onPeriodicPulse</t>
        </is>
      </c>
      <c r="Q631" s="9" t="inlineStr">
        <is>
          <t>gainCultivation；largest</t>
        </is>
      </c>
      <c r="R631" s="9" t="inlineStr">
        <is>
          <t>{"kind":"triggered","label":"最大道具轮转时，获得 3 点修为","triggeredEffect":{"trigger":"onPeriodicPulse","type":"gainCultivation","amount":3,"eventSource":{"target":{"type":"largest"}}},"starOverrides":{"1":{"label":"最大道具轮转时，获得 6 点修为","triggeredEffect":{"amount":6}},"2":{"label":"最大道具轮转时，获得 9 点修为","triggeredEffect":{"amount":9}},"3":{"label":"最大道具轮转时，获得 12 点修为","triggeredEffect":{"amount":12}}}}</t>
        </is>
      </c>
    </row>
    <row r="632" ht="32" customHeight="1">
      <c r="A632" s="8" t="n">
        <v>400291</v>
      </c>
      <c r="B632" s="8" t="inlineStr">
        <is>
          <t>聚财镇纸</t>
        </is>
      </c>
      <c r="C632" s="8" t="inlineStr">
        <is>
          <t>法器</t>
        </is>
      </c>
      <c r="D632" s="8" t="inlineStr">
        <is>
          <t>common</t>
        </is>
      </c>
      <c r="E632" s="8" t="inlineStr">
        <is>
          <t>metal</t>
        </is>
      </c>
      <c r="F632" s="8" t="n">
        <v>1</v>
      </c>
      <c r="G632" s="8" t="inlineStr">
        <is>
          <t>基础/顶层</t>
        </is>
      </c>
      <c r="H632" s="8" t="inlineStr"/>
      <c r="I632" s="9" t="inlineStr"/>
      <c r="J632" s="8" t="inlineStr"/>
      <c r="K632" s="8" t="inlineStr"/>
      <c r="L632" s="8" t="inlineStr"/>
      <c r="M632" s="8" t="inlineStr">
        <is>
          <t>条件触发</t>
        </is>
      </c>
      <c r="N632" s="8" t="inlineStr">
        <is>
          <t>triggered</t>
        </is>
      </c>
      <c r="O632" s="9" t="inlineStr">
        <is>
          <t>2×3 道具轮转时，获得 1 点机缘；2×3 道具轮转时，获得 2 点机缘；2×3 道具轮转时，获得 3 点机缘；2×3 道具轮转时，获得 4 点机缘</t>
        </is>
      </c>
      <c r="P632" s="9" t="inlineStr">
        <is>
          <t>onPeriodicPulse</t>
        </is>
      </c>
      <c r="Q632" s="9" t="inlineStr">
        <is>
          <t>grantResources；lucky；any</t>
        </is>
      </c>
      <c r="R632" s="9" t="inlineStr">
        <is>
          <t>{"kind":"triggered","label":"&lt;cultivation&gt;2×3 道具轮转时，获得 1 点机缘&lt;/cultivation&gt;","triggeredEffect":{"trigger":"onPeriodicPulse","type":"grantResources","support":"cultivationOnly","grants":[{"type":"lucky","amount":1}],"eventSource":{"target":{"type":"any"},"filter":{"shapeSizes":["2x3"]}}},"starOverrides":{"1":{"label":"&lt;cultivation&gt;2×3 道具轮转时，获得 2 点机缘&lt;/cultivation&gt;","triggeredEffect":{"grants":[{"type":"lucky","amount":2}]}},"2":{"label":"&lt;cultivation&gt;2×3 道具轮转时，获得 3 点机缘&lt;/cultivation&gt;","triggeredEffect":{"grants":[{"type":"lucky","amount":3}]}},"3":{"label":"&lt;cultivation&gt;2×3 道具轮转时，获得 4 点机缘&lt;/cultivation&gt;","triggeredEffect":{"grants":[{"type":"lucky","amount":4}]}}}}</t>
        </is>
      </c>
    </row>
    <row r="633" ht="32" customHeight="1">
      <c r="A633" s="8" t="n">
        <v>400292</v>
      </c>
      <c r="B633" s="8" t="inlineStr">
        <is>
          <t>纳缘铜斗</t>
        </is>
      </c>
      <c r="C633" s="8" t="inlineStr">
        <is>
          <t>法器</t>
        </is>
      </c>
      <c r="D633" s="8" t="inlineStr">
        <is>
          <t>common</t>
        </is>
      </c>
      <c r="E633" s="8" t="inlineStr">
        <is>
          <t>none</t>
        </is>
      </c>
      <c r="F633" s="8" t="n">
        <v>1</v>
      </c>
      <c r="G633" s="8" t="inlineStr">
        <is>
          <t>基础/顶层</t>
        </is>
      </c>
      <c r="H633" s="8" t="inlineStr"/>
      <c r="I633" s="9" t="inlineStr"/>
      <c r="J633" s="8" t="inlineStr"/>
      <c r="K633" s="8" t="inlineStr"/>
      <c r="L633" s="8" t="inlineStr"/>
      <c r="M633" s="8" t="inlineStr">
        <is>
          <t>周期触发</t>
        </is>
      </c>
      <c r="N633" s="8" t="inlineStr">
        <is>
          <t>periodicPulse</t>
        </is>
      </c>
      <c r="O633" s="9" t="inlineStr">
        <is>
          <t>获得 1 点修为；最大道具轮转时，获得 1 点机缘；获得 1 点修为；最大道具轮转时，获得 2 点机缘；获得 1 点修为；最大道具轮转时，获得 3 点机缘；获得 1 点修为；最大道具轮转时，获得 4 点机缘</t>
        </is>
      </c>
      <c r="P633" s="9" t="inlineStr">
        <is>
          <t>onPeriodicPulse</t>
        </is>
      </c>
      <c r="Q633" s="9" t="inlineStr">
        <is>
          <t>grantResources；lucky；largest</t>
        </is>
      </c>
      <c r="R633" s="9" t="inlineStr">
        <is>
          <t>{"kind":"periodicPulse","periodicPulse":{"intervalSec":30,"cultivationGain":1,"label":"&lt;cultivation&gt;获得 1 点修为；最大道具轮转时，获得 1 点机缘&lt;/cultivation&gt;"},"executors":[{"trigger":"onPeriodicPulse","type":"grantResources","support":"cultivationOnly","grants":[{"type":"lucky","amount":1}],"eventSource":{"target":{"type":"largest"}}}],"label":"&lt;cultivation&gt;获得 1 点修为；最大道具轮转时，获得 1 点机缘&lt;/cultivation&gt;","starOverrides":{"1":{"periodicPulse":{"label":"&lt;cultivation&gt;获得 1 点修为；最大道具轮转时，获得 2 点机缘&lt;/cultivation&gt;"},"executors":[{"trigger":"onPeriodicPulse","type":"grantResources","support":"cultivationOnly","grants":[{"type":"lucky","amount":2}],"eventSource":{"target":{"type":"largest"}}}],"label":"&lt;cultivation&gt;获得 1 点修为；最大道具轮转时，获得 2 点机缘&lt;/cultivation&gt;"},"2":{"periodicPulse":{"label":"&lt;cultivation&gt;获得 1 点修为；最大道具轮转时，获得 3 点机缘&lt;/cultivation&gt;"},"executors":[{"trigger":"onPeriodicPulse","type":"grantResources","support":"cultivationOnly","grants":[{"type":"lucky","amount":3}],"eventSource":{"target":{"type":"largest"}}}],"label":"&lt;cultivation&gt;获得 1 点修为；最大道具轮转时，获得 3 点机缘&lt;/cultivation&gt;"},"3":{"periodicPulse":{"label":"&lt;cultivation&gt;获得 1 点修为；最大道具轮转时，获得 4 点机缘&lt;/cultivation&gt;"},"executors":[{"trigger":"onPeriodicPulse","type":"grantResources","support":"cultivationOnly","grants":[{"type":"lucky","amount":4}],"eventSource":{"target":{"type":"largest"}}}],"label":"&lt;cultivation&gt;获得 1 点修为；最大道具轮转时，获得 4 点机缘&lt;/cultivation&gt;"}}}</t>
        </is>
      </c>
    </row>
    <row r="634" ht="32" customHeight="1">
      <c r="A634" s="8" t="n">
        <v>400294</v>
      </c>
      <c r="B634" s="8" t="inlineStr">
        <is>
          <t>回灵导管</t>
        </is>
      </c>
      <c r="C634" s="8" t="inlineStr">
        <is>
          <t>法器</t>
        </is>
      </c>
      <c r="D634" s="8" t="inlineStr">
        <is>
          <t>common</t>
        </is>
      </c>
      <c r="E634" s="8" t="inlineStr">
        <is>
          <t>water</t>
        </is>
      </c>
      <c r="F634" s="8" t="n">
        <v>1</v>
      </c>
      <c r="G634" s="8" t="inlineStr">
        <is>
          <t>基础/顶层</t>
        </is>
      </c>
      <c r="H634" s="8" t="inlineStr"/>
      <c r="I634" s="9" t="inlineStr"/>
      <c r="J634" s="8" t="inlineStr"/>
      <c r="K634" s="8" t="inlineStr"/>
      <c r="L634" s="8" t="inlineStr"/>
      <c r="M634" s="8" t="inlineStr">
        <is>
          <t>条件触发</t>
        </is>
      </c>
      <c r="N634" s="8" t="inlineStr">
        <is>
          <t>triggered</t>
        </is>
      </c>
      <c r="O634" s="9" t="inlineStr">
        <is>
          <t>最大道具轮转时，恢复 3 点法力；最大道具轮转时，恢复 6 点法力；最大道具轮转时，恢复 9 点法力；最大道具轮转时，恢复 12 点法力</t>
        </is>
      </c>
      <c r="P634" s="9" t="inlineStr">
        <is>
          <t>onPeriodicPulse</t>
        </is>
      </c>
      <c r="Q634" s="9" t="inlineStr">
        <is>
          <t>modifyPlayerPrimaryStat；largest</t>
        </is>
      </c>
      <c r="R634" s="9" t="inlineStr">
        <is>
          <t>{"kind":"triggered","label":"最大道具轮转时，恢复 3 点法力","triggeredEffect":{"trigger":"onPeriodicPulse","type":"modifyPlayerPrimaryStat","stat":"mana","delta":3,"eventSource":{"target":{"type":"largest"}}},"starOverrides":{"1":{"label":"最大道具轮转时，恢复 6 点法力","triggeredEffect":{"delta":6}},"2":{"label":"最大道具轮转时，恢复 9 点法力","triggeredEffect":{"delta":9}},"3":{"label":"最大道具轮转时，恢复 12 点法力","triggeredEffect":{"delta":12}}}}</t>
        </is>
      </c>
    </row>
    <row r="635" ht="32" customHeight="1">
      <c r="A635" s="8" t="n">
        <v>400295</v>
      </c>
      <c r="B635" s="8" t="inlineStr">
        <is>
          <t>护心软甲</t>
        </is>
      </c>
      <c r="C635" s="8" t="inlineStr">
        <is>
          <t>法器</t>
        </is>
      </c>
      <c r="D635" s="8" t="inlineStr">
        <is>
          <t>common</t>
        </is>
      </c>
      <c r="E635" s="8" t="inlineStr">
        <is>
          <t>none</t>
        </is>
      </c>
      <c r="F635" s="8" t="n">
        <v>1</v>
      </c>
      <c r="G635" s="8" t="inlineStr">
        <is>
          <t>基础/顶层</t>
        </is>
      </c>
      <c r="H635" s="8" t="inlineStr"/>
      <c r="I635" s="9" t="inlineStr"/>
      <c r="J635" s="8" t="inlineStr"/>
      <c r="K635" s="8" t="inlineStr"/>
      <c r="L635" s="8" t="inlineStr"/>
      <c r="M635" s="8" t="inlineStr">
        <is>
          <t>条件触发</t>
        </is>
      </c>
      <c r="N635" s="8" t="inlineStr">
        <is>
          <t>triggered</t>
        </is>
      </c>
      <c r="O635" s="9" t="inlineStr">
        <is>
          <t>2×3 道具轮转时，气血、体力、法力各恢复 1 点；2×3 道具轮转时，气血、体力、法力各恢复 2 点；2×3 道具轮转时，气血、体力、法力各恢复 3 点；2×3 道具轮转时，气血、体力、法力各恢复 4 点</t>
        </is>
      </c>
      <c r="P635" s="9" t="inlineStr">
        <is>
          <t>onPeriodicPulse</t>
        </is>
      </c>
      <c r="Q635" s="9" t="inlineStr">
        <is>
          <t>grantResources；primaryStat；any</t>
        </is>
      </c>
      <c r="R635" s="9" t="inlineStr">
        <is>
          <t>{"kind":"triggered","label":"2×3 道具轮转时，气血、体力、法力各恢复 1 点","triggeredEffect":{"trigger":"onPeriodicPulse","type":"grantResources","support":"common","grants":[{"type":"primaryStat","stat":"health","delta":1},{"type":"primaryStat","stat":"stamina","delta":1},{"type":"primaryStat","stat":"mana","delta":1}],"eventSource":{"target":{"type":"any"},"filter":{"shapeSizes":["2x3"]}}},"starOverrides":{"1":{"label":"2×3 道具轮转时，气血、体力、法力各恢复 2 点","triggeredEffect":{"grants":[{"type":"primaryStat","stat":"health","delta":2},{"type":"primaryStat","stat":"stamina","delta":2},{"type":"primaryStat","stat":"mana","delta":2}]}},"2":{"label":"2×3 道具轮转时，气血、体力、法力各恢复 3 点","triggeredEffect":{"grants":[{"type":"primaryStat","stat":"health","delta":3},{"type":"primaryStat","stat":"stamina","delta":3},{"type":"primaryStat","stat":"mana","delta":3}]}},"3":{"label":"2×3 道具轮转时，气血、体力、法力各恢复 4 点","triggeredEffect":{"grants":[{"type":"primaryStat","stat":"health","delta":4},{"type":"primaryStat","stat":"stamina","delta":4},{"type":"primaryStat","stat":"mana","delta":4}]}}}}</t>
        </is>
      </c>
    </row>
    <row r="636" ht="32" customHeight="1">
      <c r="A636" s="8" t="n">
        <v>400295</v>
      </c>
      <c r="B636" s="8" t="inlineStr">
        <is>
          <t>护心软甲</t>
        </is>
      </c>
      <c r="C636" s="8" t="inlineStr">
        <is>
          <t>法器</t>
        </is>
      </c>
      <c r="D636" s="8" t="inlineStr">
        <is>
          <t>common</t>
        </is>
      </c>
      <c r="E636" s="8" t="inlineStr">
        <is>
          <t>none</t>
        </is>
      </c>
      <c r="F636" s="8" t="n">
        <v>2</v>
      </c>
      <c r="G636" s="8" t="inlineStr">
        <is>
          <t>基础/顶层</t>
        </is>
      </c>
      <c r="H636" s="8" t="inlineStr"/>
      <c r="I636" s="9" t="inlineStr"/>
      <c r="J636" s="8" t="inlineStr"/>
      <c r="K636" s="8" t="inlineStr"/>
      <c r="L636" s="8" t="inlineStr"/>
      <c r="M636" s="8" t="inlineStr">
        <is>
          <t>条件触发</t>
        </is>
      </c>
      <c r="N636" s="8" t="inlineStr">
        <is>
          <t>triggered</t>
        </is>
      </c>
      <c r="O636" s="9" t="inlineStr">
        <is>
          <t>2×3 道具轮转时，获得 1 点机缘</t>
        </is>
      </c>
      <c r="P636" s="9" t="inlineStr">
        <is>
          <t>onPeriodicPulse</t>
        </is>
      </c>
      <c r="Q636" s="9" t="inlineStr">
        <is>
          <t>grantResources；lucky；any</t>
        </is>
      </c>
      <c r="R636" s="9" t="inlineStr">
        <is>
          <t>{"kind":"triggered","label":"&lt;cultivation&gt;2×3 道具轮转时，获得 1 点机缘&lt;/cultivation&gt;","triggeredEffect":{"trigger":"onPeriodicPulse","type":"grantResources","support":"cultivationOnly","grants":[{"type":"lucky","amount":1}],"eventSource":{"target":{"type":"any"},"filter":{"shapeSizes":["2x3"]}}}}</t>
        </is>
      </c>
    </row>
    <row r="637" ht="32" customHeight="1">
      <c r="A637" s="8" t="n">
        <v>400296</v>
      </c>
      <c r="B637" s="8" t="inlineStr">
        <is>
          <t>独峰令</t>
        </is>
      </c>
      <c r="C637" s="8" t="inlineStr">
        <is>
          <t>法器</t>
        </is>
      </c>
      <c r="D637" s="8" t="inlineStr">
        <is>
          <t>common</t>
        </is>
      </c>
      <c r="E637" s="8" t="inlineStr">
        <is>
          <t>earth</t>
        </is>
      </c>
      <c r="F637" s="8" t="n">
        <v>1</v>
      </c>
      <c r="G637" s="8" t="inlineStr">
        <is>
          <t>基础/顶层</t>
        </is>
      </c>
      <c r="H637" s="8" t="inlineStr"/>
      <c r="I637" s="9" t="inlineStr"/>
      <c r="J637" s="8" t="inlineStr"/>
      <c r="K637" s="8" t="inlineStr"/>
      <c r="L637" s="8" t="inlineStr"/>
      <c r="M637" s="8" t="inlineStr">
        <is>
          <t>周期触发</t>
        </is>
      </c>
      <c r="N637" s="8" t="inlineStr">
        <is>
          <t>periodicPulse</t>
        </is>
      </c>
      <c r="O637" s="9" t="inlineStr">
        <is>
          <t>仅有一个最大道具时，使其获得 4 秒加速；仅有一个最大道具时，使其获得 6 秒加速；仅有一个最大道具时，使其获得 8 秒加速；仅有一个最大道具时，使其获得 10 秒加速</t>
        </is>
      </c>
      <c r="P637" s="9" t="inlineStr"/>
      <c r="Q637" s="9" t="inlineStr"/>
      <c r="R637" s="9" t="inlineStr">
        <is>
          <t>{"kind":"periodicPulse","periodicPulse":{"intervalSec":20,"label":"&lt;singleton&gt;仅有一个最大道具时，使其获得 4 秒加速&lt;/singleton&gt;","itemRuntimeStatusEffects":[{"itemRuntimeStatus":"haste","durationSec":4,"targetScope":"selfLargest","largestTieMode":"unique","singletonByTemplate":true}]},"starOverrides":{"1":{"label":"&lt;singleton&gt;仅有一个最大道具时，使其获得 6 秒加速&lt;/singleton&gt;","periodicPulse":{"itemRuntimeStatusEffects":[{"durationSec":6}]}},"2":{"label":"&lt;singleton&gt;仅有一个最大道具时，使其获得 8 秒加速&lt;/singleton&gt;","periodicPulse":{"itemRuntimeStatusEffects":[{"durationSec":8}]}},"3":{"label":"&lt;singleton&gt;仅有一个最大道具时，使其获得 10 秒加速&lt;/singleton&gt;","periodicPulse":{"itemRuntimeStatusEffects":[{"durationSec":10}]}}}}</t>
        </is>
      </c>
    </row>
    <row r="638" ht="32" customHeight="1">
      <c r="A638" s="8" t="n">
        <v>400297</v>
      </c>
      <c r="B638" s="8" t="inlineStr">
        <is>
          <t>并岳签</t>
        </is>
      </c>
      <c r="C638" s="8" t="inlineStr">
        <is>
          <t>法器</t>
        </is>
      </c>
      <c r="D638" s="8" t="inlineStr">
        <is>
          <t>common</t>
        </is>
      </c>
      <c r="E638" s="8" t="inlineStr">
        <is>
          <t>earth</t>
        </is>
      </c>
      <c r="F638" s="8" t="n">
        <v>1</v>
      </c>
      <c r="G638" s="8" t="inlineStr">
        <is>
          <t>基础/顶层</t>
        </is>
      </c>
      <c r="H638" s="8" t="inlineStr"/>
      <c r="I638" s="9" t="inlineStr"/>
      <c r="J638" s="8" t="inlineStr"/>
      <c r="K638" s="8" t="inlineStr"/>
      <c r="L638" s="8" t="inlineStr"/>
      <c r="M638" s="8" t="inlineStr">
        <is>
          <t>周期触发</t>
        </is>
      </c>
      <c r="N638" s="8" t="inlineStr">
        <is>
          <t>periodicPulse</t>
        </is>
      </c>
      <c r="O638" s="9" t="inlineStr">
        <is>
          <t>若与最大道具同列，使本行所有道具获得 4 秒加速；若与最大道具同列，使本行所有道具获得 6 秒加速；若与最大道具同列，使本行所有道具获得 8 秒加速；若与最大道具同列，使本行所有道具获得 10 秒加速</t>
        </is>
      </c>
      <c r="P638" s="9" t="inlineStr"/>
      <c r="Q638" s="9" t="inlineStr"/>
      <c r="R638" s="9" t="inlineStr">
        <is>
          <t>{"kind":"periodicPulse","periodicPulse":{"intervalSec":30,"label":"&lt;singleton&gt;若与最大道具同列，使本行所有道具获得 4 秒加速&lt;/singleton&gt;","itemRuntimeStatusEffects":[{"itemRuntimeStatus":"haste","durationSec":4,"targetScope":"sameRow","sourceSharesColumnWithLargest":true,"singletonByTemplate":true}]},"starOverrides":{"1":{"label":"&lt;singleton&gt;若与最大道具同列，使本行所有道具获得 6 秒加速&lt;/singleton&gt;","periodicPulse":{"itemRuntimeStatusEffects":[{"durationSec":6}]}},"2":{"label":"&lt;singleton&gt;若与最大道具同列，使本行所有道具获得 8 秒加速&lt;/singleton&gt;","periodicPulse":{"itemRuntimeStatusEffects":[{"durationSec":8}]}},"3":{"label":"&lt;singleton&gt;若与最大道具同列，使本行所有道具获得 10 秒加速&lt;/singleton&gt;","periodicPulse":{"itemRuntimeStatusEffects":[{"durationSec":10}]}}}}</t>
        </is>
      </c>
    </row>
    <row r="639" ht="32" customHeight="1">
      <c r="A639" s="8" t="n">
        <v>400298</v>
      </c>
      <c r="B639" s="8" t="inlineStr">
        <is>
          <t>四方承台</t>
        </is>
      </c>
      <c r="C639" s="8" t="inlineStr">
        <is>
          <t>法器</t>
        </is>
      </c>
      <c r="D639" s="8" t="inlineStr">
        <is>
          <t>common</t>
        </is>
      </c>
      <c r="E639" s="8" t="inlineStr">
        <is>
          <t>earth</t>
        </is>
      </c>
      <c r="F639" s="8" t="n">
        <v>1</v>
      </c>
      <c r="G639" s="8" t="inlineStr">
        <is>
          <t>基础/顶层</t>
        </is>
      </c>
      <c r="H639" s="8" t="inlineStr"/>
      <c r="I639" s="9" t="inlineStr"/>
      <c r="J639" s="8" t="inlineStr"/>
      <c r="K639" s="8" t="inlineStr"/>
      <c r="L639" s="8" t="inlineStr"/>
      <c r="M639" s="8" t="inlineStr">
        <is>
          <t>条件触发</t>
        </is>
      </c>
      <c r="N639" s="8" t="inlineStr">
        <is>
          <t>triggered</t>
        </is>
      </c>
      <c r="O639" s="9" t="inlineStr">
        <is>
          <t>2×2 道具轮转时，获得 4 层护甲；2×2 道具轮转时，获得 8 层护甲；2×2 道具轮转时，获得 12 层护甲；2×2 道具轮转时，获得 16 层护甲</t>
        </is>
      </c>
      <c r="P639" s="9" t="inlineStr">
        <is>
          <t>onPeriodicPulse</t>
        </is>
      </c>
      <c r="Q639" s="9" t="inlineStr">
        <is>
          <t>applyBuff；any</t>
        </is>
      </c>
      <c r="R639" s="9" t="inlineStr">
        <is>
          <t>{"kind":"triggered","label":"2×2 道具轮转时，获得 4 层护甲","triggeredEffect":{"trigger":"onPeriodicPulse","type":"applyBuff","buffId":"armor","count":4,"eventSource":{"target":{"type":"any"},"filter":{"shapeSizes":["2x2"]}}},"starOverrides":{"1":{"label":"2×2 道具轮转时，获得 8 层护甲","triggeredEffect":{"count":8}},"2":{"label":"2×2 道具轮转时，获得 12 层护甲","triggeredEffect":{"count":12}},"3":{"label":"2×2 道具轮转时，获得 16 层护甲","triggeredEffect":{"count":16}}}}</t>
        </is>
      </c>
    </row>
    <row r="640" ht="32" customHeight="1">
      <c r="A640" s="8" t="n">
        <v>400299</v>
      </c>
      <c r="B640" s="8" t="inlineStr">
        <is>
          <t>甲山扣</t>
        </is>
      </c>
      <c r="C640" s="8" t="inlineStr">
        <is>
          <t>法器</t>
        </is>
      </c>
      <c r="D640" s="8" t="inlineStr">
        <is>
          <t>common</t>
        </is>
      </c>
      <c r="E640" s="8" t="inlineStr">
        <is>
          <t>earth</t>
        </is>
      </c>
      <c r="F640" s="8" t="n">
        <v>1</v>
      </c>
      <c r="G640" s="8" t="inlineStr">
        <is>
          <t>基础/顶层</t>
        </is>
      </c>
      <c r="H640" s="8" t="inlineStr"/>
      <c r="I640" s="9" t="inlineStr"/>
      <c r="J640" s="8" t="inlineStr"/>
      <c r="K640" s="8" t="inlineStr"/>
      <c r="L640" s="8" t="inlineStr"/>
      <c r="M640" s="8" t="inlineStr">
        <is>
          <t>条件触发</t>
        </is>
      </c>
      <c r="N640" s="8" t="inlineStr">
        <is>
          <t>triggered</t>
        </is>
      </c>
      <c r="O640" s="9" t="inlineStr">
        <is>
          <t>2×2 道具轮转时，获得 1 层坚硬；2×2 道具轮转时，获得 2 层坚硬；2×2 道具轮转时，获得 3 层坚硬；2×2 道具轮转时，获得 4 层坚硬</t>
        </is>
      </c>
      <c r="P640" s="9" t="inlineStr">
        <is>
          <t>onPeriodicPulse</t>
        </is>
      </c>
      <c r="Q640" s="9" t="inlineStr">
        <is>
          <t>applyBuff；any</t>
        </is>
      </c>
      <c r="R640" s="9" t="inlineStr">
        <is>
          <t>{"kind":"triggered","label":"2×2 道具轮转时，获得 1 层坚硬","triggeredEffect":{"trigger":"onPeriodicPulse","type":"applyBuff","buffId":"sturdy","count":1,"eventSource":{"target":{"type":"any"},"filter":{"shapeSizes":["2x2"]}}},"starOverrides":{"1":{"label":"2×2 道具轮转时，获得 2 层坚硬","triggeredEffect":{"count":2}},"2":{"label":"2×2 道具轮转时，获得 3 层坚硬","triggeredEffect":{"count":3}},"3":{"label":"2×2 道具轮转时，获得 4 层坚硬","triggeredEffect":{"count":4}}}}</t>
        </is>
      </c>
    </row>
    <row r="641" ht="32" customHeight="1">
      <c r="A641" s="8" t="n">
        <v>400300</v>
      </c>
      <c r="B641" s="8" t="inlineStr">
        <is>
          <t>经岳书镇</t>
        </is>
      </c>
      <c r="C641" s="8" t="inlineStr">
        <is>
          <t>法器</t>
        </is>
      </c>
      <c r="D641" s="8" t="inlineStr">
        <is>
          <t>common</t>
        </is>
      </c>
      <c r="E641" s="8" t="inlineStr">
        <is>
          <t>earth</t>
        </is>
      </c>
      <c r="F641" s="8" t="n">
        <v>1</v>
      </c>
      <c r="G641" s="8" t="inlineStr">
        <is>
          <t>基础/顶层</t>
        </is>
      </c>
      <c r="H641" s="8" t="inlineStr"/>
      <c r="I641" s="9" t="inlineStr"/>
      <c r="J641" s="8" t="inlineStr"/>
      <c r="K641" s="8" t="inlineStr"/>
      <c r="L641" s="8" t="inlineStr"/>
      <c r="M641" s="8" t="inlineStr">
        <is>
          <t>条件触发</t>
        </is>
      </c>
      <c r="N641" s="8" t="inlineStr">
        <is>
          <t>triggered</t>
        </is>
      </c>
      <c r="O641" s="9" t="inlineStr">
        <is>
          <t>1×3 道具轮转时，获得 3 点修为；1×3 道具轮转时，获得 6 点修为；1×3 道具轮转时，获得 9 点修为；1×3 道具轮转时，获得 12 点修为</t>
        </is>
      </c>
      <c r="P641" s="9" t="inlineStr">
        <is>
          <t>onPeriodicPulse</t>
        </is>
      </c>
      <c r="Q641" s="9" t="inlineStr">
        <is>
          <t>gainCultivation；any</t>
        </is>
      </c>
      <c r="R641" s="9" t="inlineStr">
        <is>
          <t>{"kind":"triggered","label":"1×3 道具轮转时，获得 3 点修为","triggeredEffect":{"trigger":"onPeriodicPulse","type":"gainCultivation","amount":3,"eventSource":{"target":{"type":"any"},"filter":{"shapeSizes":["1x3"]}}},"starOverrides":{"1":{"label":"1×3 道具轮转时，获得 6 点修为","triggeredEffect":{"amount":6}},"2":{"label":"1×3 道具轮转时，获得 9 点修为","triggeredEffect":{"amount":9}},"3":{"label":"1×3 道具轮转时，获得 12 点修为","triggeredEffect":{"amount":12}}}}</t>
        </is>
      </c>
    </row>
    <row r="642" ht="32" customHeight="1">
      <c r="A642" s="8" t="n">
        <v>400301</v>
      </c>
      <c r="B642" s="8" t="inlineStr">
        <is>
          <t>器岳鸣环</t>
        </is>
      </c>
      <c r="C642" s="8" t="inlineStr">
        <is>
          <t>法器</t>
        </is>
      </c>
      <c r="D642" s="8" t="inlineStr">
        <is>
          <t>common</t>
        </is>
      </c>
      <c r="E642" s="8" t="inlineStr">
        <is>
          <t>metal</t>
        </is>
      </c>
      <c r="F642" s="8" t="n">
        <v>1</v>
      </c>
      <c r="G642" s="8" t="inlineStr">
        <is>
          <t>基础/顶层</t>
        </is>
      </c>
      <c r="H642" s="8" t="inlineStr"/>
      <c r="I642" s="9" t="inlineStr"/>
      <c r="J642" s="8" t="inlineStr"/>
      <c r="K642" s="8" t="inlineStr"/>
      <c r="L642" s="8" t="inlineStr"/>
      <c r="M642" s="8" t="inlineStr">
        <is>
          <t>条件触发</t>
        </is>
      </c>
      <c r="N642" s="8" t="inlineStr">
        <is>
          <t>triggered</t>
        </is>
      </c>
      <c r="O642" s="9" t="inlineStr">
        <is>
          <t>2×2 道具轮转时，恢复 2 点法力和 2 点体力；2×2 道具轮转时，恢复 4 点法力和 4 点体力；2×2 道具轮转时，恢复 6 点法力和 6 点体力；2×2 道具轮转时，恢复 8 点法力和 8 点体力</t>
        </is>
      </c>
      <c r="P642" s="9" t="inlineStr">
        <is>
          <t>onPeriodicPulse</t>
        </is>
      </c>
      <c r="Q642" s="9" t="inlineStr">
        <is>
          <t>grantResources；any；primaryStat</t>
        </is>
      </c>
      <c r="R642" s="9" t="inlineStr">
        <is>
          <t>{"kind":"triggered","label":"2×2 道具轮转时，恢复 2 点法力和 2 点体力","triggeredEffect":{"trigger":"onPeriodicPulse","type":"grantResources","eventSource":{"target":{"type":"any"},"filter":{"shapeSizes":["2x2"]}},"grants":[{"type":"primaryStat","stat":"mana","delta":2},{"type":"primaryStat","stat":"stamina","delta":2}]},"starOverrides":{"1":{"label":"2×2 道具轮转时，恢复 4 点法力和 4 点体力","triggeredEffect":{"grants":[{"type":"primaryStat","stat":"mana","delta":4},{"type":"primaryStat","stat":"stamina","delta":4}]}},"2":{"label":"2×2 道具轮转时，恢复 6 点法力和 6 点体力","triggeredEffect":{"grants":[{"type":"primaryStat","stat":"mana","delta":6},{"type":"primaryStat","stat":"stamina","delta":6}]}},"3":{"label":"2×2 道具轮转时，恢复 8 点法力和 8 点体力","triggeredEffect":{"grants":[{"type":"primaryStat","stat":"mana","delta":8},{"type":"primaryStat","stat":"stamina","delta":8}]}}}}</t>
        </is>
      </c>
    </row>
    <row r="643" ht="32" customHeight="1">
      <c r="A643" s="8" t="n">
        <v>400322</v>
      </c>
      <c r="B643" s="8" t="inlineStr">
        <is>
          <t>映月蚀骨霜铃</t>
        </is>
      </c>
      <c r="C643" s="8" t="inlineStr">
        <is>
          <t>法器</t>
        </is>
      </c>
      <c r="D643" s="8" t="inlineStr">
        <is>
          <t>common</t>
        </is>
      </c>
      <c r="E643" s="8" t="inlineStr">
        <is>
          <t>water</t>
        </is>
      </c>
      <c r="F643" s="8" t="n">
        <v>1</v>
      </c>
      <c r="G643" s="8" t="inlineStr">
        <is>
          <t>基础/顶层</t>
        </is>
      </c>
      <c r="H643" s="8" t="inlineStr"/>
      <c r="I643" s="9" t="inlineStr"/>
      <c r="J643" s="8" t="inlineStr"/>
      <c r="K643" s="8" t="inlineStr"/>
      <c r="L643" s="8" t="inlineStr"/>
      <c r="M643" s="8" t="inlineStr">
        <is>
          <t>周期触发</t>
        </is>
      </c>
      <c r="N643" s="8" t="inlineStr">
        <is>
          <t>periodicPulse</t>
        </is>
      </c>
      <c r="O643" s="9" t="inlineStr">
        <is>
          <t>消耗敌方 4 层冰霜，造成 18 点伤害，并使敌方随机 2 件道具减速 3 秒；消耗敌方 5 层冰霜，造成 24 点伤害，并使敌方随机 2 件道具减速 4 秒；消耗敌方 6 层冰霜，造成 30 点伤害，并使敌方随机 2 件道具减速 5 秒；消耗敌方 7 层冰霜，造成 36 点伤害，并使敌方随机 2 件道具减速 6 秒</t>
        </is>
      </c>
      <c r="P643" s="9" t="inlineStr"/>
      <c r="Q643" s="9" t="inlineStr">
        <is>
          <t>targetBuffStacksGreaterThan</t>
        </is>
      </c>
      <c r="R643" s="9" t="inlineStr">
        <is>
          <t>{"kind":"periodicPulse","periodicPulse":{"intervalSec":8,"label":"&lt;battle&gt;消耗敌方 4 层冰霜，造成 18 点伤害，并使敌方随机 2 件道具减速 3 秒&lt;/battle&gt;","battleCondition":{"type":"targetBuffStacksGreaterThan","buffId":"frost","count":3},"removeBuffStacks":[{"target":"enemy","buffId":"frost","count":4}],"damageHealth":{"target":"enemy","amount":18},"itemRuntimeStatusEffects":[{"itemRuntimeStatus":"slow","durationSec":3,"targetScope":"enemyRandom","amount":2}]},"label":"&lt;battle&gt;消耗敌方 4 层冰霜，造成 18 点伤害，并使敌方随机 2 件道具减速 3 秒&lt;/battle&gt;","starOverrides":{"1":{"periodicPulse":{"label":"&lt;battle&gt;消耗敌方 5 层冰霜，造成 24 点伤害，并使敌方随机 2 件道具减速 4 秒&lt;/battle&gt;","battleCondition":{"count":4},"removeBuffStacks":[{"target":"enemy","buffId":"frost","count":5}],"damageHealth":{"amount":24},"itemRuntimeStatusEffects":[{"itemRuntimeStatus":"slow","durationSec":4,"targetScope":"enemyRandom","amount":2}]},"label":"&lt;battle&gt;消耗敌方 5 层冰霜，造成 24 点伤害，并使敌方随机 2 件道具减速 4 秒&lt;/battle&gt;"},"2":{"periodicPulse":{"label":"&lt;battle&gt;消耗敌方 6 层冰霜，造成 30 点伤害，并使敌方随机 2 件道具减速 5 秒&lt;/battle&gt;","battleCondition":{"count":5},"removeBuffStacks":[{"target":"enemy","buffId":"frost","count":6}],"damageHealth":{"amount":30},"itemRuntimeStatusEffects":[{"itemRuntimeStatus":"slow","durationSec":5,"targetScope":"enemyRandom","amount":2}]},"label":"&lt;battle&gt;消耗敌方 6 层冰霜，造成 30 点伤害，并使敌方随机 2 件道具减速 5 秒&lt;/battle&gt;"},"3":{"periodicPulse":{"label":"&lt;battle&gt;消耗敌方 7 层冰霜，造成 36 点伤害，并使敌方随机 2 件道具减速 6 秒&lt;/battle&gt;","battleCondition":{"count":6},"removeBuffStacks":[{"target":"enemy","buffId":"frost","count":7}],"damageHealth":{"amount":36},"itemRuntimeStatusEffects":[{"itemRuntimeStatus":"slow","durationSec":6,"targetScope":"enemyRandom","amount":2}]},"label":"&lt;battle&gt;消耗敌方 7 层冰霜，造成 36 点伤害，并使敌方随机 2 件道具减速 6 秒&lt;/battle&gt;"}}}</t>
        </is>
      </c>
    </row>
    <row r="644" ht="32" customHeight="1">
      <c r="A644" s="8" t="n">
        <v>400323</v>
      </c>
      <c r="B644" s="8" t="inlineStr">
        <is>
          <t>映月锁脉镜</t>
        </is>
      </c>
      <c r="C644" s="8" t="inlineStr">
        <is>
          <t>法器</t>
        </is>
      </c>
      <c r="D644" s="8" t="inlineStr">
        <is>
          <t>spirit</t>
        </is>
      </c>
      <c r="E644" s="8" t="inlineStr">
        <is>
          <t>water</t>
        </is>
      </c>
      <c r="F644" s="8" t="n">
        <v>1</v>
      </c>
      <c r="G644" s="8" t="inlineStr">
        <is>
          <t>基础/顶层</t>
        </is>
      </c>
      <c r="H644" s="8" t="inlineStr"/>
      <c r="I644" s="9" t="inlineStr"/>
      <c r="J644" s="8" t="inlineStr"/>
      <c r="K644" s="8" t="inlineStr"/>
      <c r="L644" s="8" t="inlineStr"/>
      <c r="M644" s="8" t="inlineStr">
        <is>
          <t>周期触发</t>
        </is>
      </c>
      <c r="N644" s="8" t="inlineStr">
        <is>
          <t>periodicPulse</t>
        </is>
      </c>
      <c r="O644" s="9" t="inlineStr">
        <is>
          <t>吸取敌方 30 点体力，自身获得 30 层坚硬；吸取敌方 38 点体力，自身获得 38 层坚硬；吸取敌方 46 点体力，自身获得 46 层坚硬；吸取敌方 52 点体力，自身获得 52 层坚硬</t>
        </is>
      </c>
      <c r="P644" s="9" t="inlineStr"/>
      <c r="Q644" s="9" t="inlineStr"/>
      <c r="R644" s="9" t="inlineStr">
        <is>
          <t>{"kind":"periodicPulse","periodicPulse":{"intervalSec":10,"label":"&lt;battle&gt;吸取敌方 30 点体力&lt;/battle&gt;，自身获得 30 层坚硬","drainPrimaryStat":{"target":"enemy","stat":"stamina","amount":30,"gainAmount":30},"buffGains":[{"buffId":"sturdy","count":30}]},"starOverrides":{"1":{"periodicPulse":{"buffGains":[{"buffId":"sturdy","count":38}],"drainPrimaryStat":{"amount":38,"gainAmount":38},"label":"&lt;battle&gt;吸取敌方 38 点体力&lt;/battle&gt;，自身获得 38 层坚硬"}},"2":{"periodicPulse":{"buffGains":[{"buffId":"sturdy","count":46}],"drainPrimaryStat":{"amount":46,"gainAmount":46},"label":"&lt;battle&gt;吸取敌方 46 点体力&lt;/battle&gt;，自身获得 46 层坚硬"}},"3":{"periodicPulse":{"buffGains":[{"buffId":"sturdy","count":52}],"drainPrimaryStat":{"amount":52,"gainAmount":52},"label":"&lt;battle&gt;吸取敌方 52 点体力&lt;/battle&gt;，自身获得 52 层坚硬"}}}}</t>
        </is>
      </c>
    </row>
    <row r="645" ht="32" customHeight="1">
      <c r="A645" s="8" t="n">
        <v>400325</v>
      </c>
      <c r="B645" s="8" t="inlineStr">
        <is>
          <t>缚石布带</t>
        </is>
      </c>
      <c r="C645" s="8" t="inlineStr">
        <is>
          <t>法器</t>
        </is>
      </c>
      <c r="D645" s="8" t="inlineStr">
        <is>
          <t>common</t>
        </is>
      </c>
      <c r="E645" s="8" t="inlineStr">
        <is>
          <t>earth</t>
        </is>
      </c>
      <c r="F645" s="8" t="n">
        <v>1</v>
      </c>
      <c r="G645" s="8" t="inlineStr">
        <is>
          <t>基础/顶层</t>
        </is>
      </c>
      <c r="H645" s="8" t="inlineStr"/>
      <c r="I645" s="9" t="inlineStr"/>
      <c r="J645" s="8" t="inlineStr"/>
      <c r="K645" s="8" t="inlineStr"/>
      <c r="L645" s="8" t="inlineStr"/>
      <c r="M645" s="8" t="inlineStr">
        <is>
          <t>周期触发</t>
        </is>
      </c>
      <c r="N645" s="8" t="inlineStr">
        <is>
          <t>periodicPulse</t>
        </is>
      </c>
      <c r="O645" s="9" t="inlineStr">
        <is>
          <t>获得 1 层蓄势；获得 2 层蓄势；获得 3 层蓄势；获得 4 层蓄势</t>
        </is>
      </c>
      <c r="P645" s="9" t="inlineStr"/>
      <c r="Q645" s="9" t="inlineStr"/>
      <c r="R645" s="9" t="inlineStr">
        <is>
          <t>{"kind":"periodicPulse","periodicPulse":{"intervalSec":12,"label":"获得 1 层蓄势","buffGains":[{"buffId":"heavy","count":1}]},"label":"获得 1 层蓄势","starOverrides":{"1":{"periodicPulse":{"intervalSec":11,"label":"获得 2 层蓄势","buffGains":[{"buffId":"heavy","count":2}]},"label":"获得 2 层蓄势"},"2":{"periodicPulse":{"intervalSec":10,"label":"获得 3 层蓄势","buffGains":[{"buffId":"heavy","count":3}]},"label":"获得 3 层蓄势"},"3":{"periodicPulse":{"intervalSec":9,"label":"获得 4 层蓄势","buffGains":[{"buffId":"heavy","count":4}]},"label":"获得 4 层蓄势"}}}</t>
        </is>
      </c>
    </row>
    <row r="646" ht="32" customHeight="1">
      <c r="A646" s="8" t="n">
        <v>400326</v>
      </c>
      <c r="B646" s="8" t="inlineStr">
        <is>
          <t>粗铁护腕</t>
        </is>
      </c>
      <c r="C646" s="8" t="inlineStr">
        <is>
          <t>法器</t>
        </is>
      </c>
      <c r="D646" s="8" t="inlineStr">
        <is>
          <t>common</t>
        </is>
      </c>
      <c r="E646" s="8" t="inlineStr">
        <is>
          <t>earth</t>
        </is>
      </c>
      <c r="F646" s="8" t="n">
        <v>1</v>
      </c>
      <c r="G646" s="8" t="inlineStr">
        <is>
          <t>基础/顶层</t>
        </is>
      </c>
      <c r="H646" s="8" t="inlineStr"/>
      <c r="I646" s="9" t="inlineStr"/>
      <c r="J646" s="8" t="inlineStr"/>
      <c r="K646" s="8" t="inlineStr"/>
      <c r="L646" s="8" t="inlineStr"/>
      <c r="M646" s="8" t="inlineStr">
        <is>
          <t>周期触发</t>
        </is>
      </c>
      <c r="N646" s="8" t="inlineStr">
        <is>
          <t>periodicPulse</t>
        </is>
      </c>
      <c r="O646" s="9" t="inlineStr">
        <is>
          <t>蓄势不超过 2 层时，获得 1 层蓄势</t>
        </is>
      </c>
      <c r="P646" s="9" t="inlineStr"/>
      <c r="Q646" s="9" t="inlineStr"/>
      <c r="R646" s="9" t="inlineStr">
        <is>
          <t>{"kind":"periodicPulse","periodicPulse":{"intervalSec":12,"label":"蓄势不超过 2 层时，获得 1 层蓄势","buffGains":[{"buffId":"heavy","count":1}],"activationRequirements":{"buffStackThresholds":[{"buffId":"heavy","comparator":"atMost","count":2}]}},"label":"蓄势不超过 2 层时，获得 1 层蓄势","starOverrides":{"1":{"periodicPulse":{"intervalSec":11}},"2":{"periodicPulse":{"intervalSec":10}},"3":{"periodicPulse":{"intervalSec":9}}}}</t>
        </is>
      </c>
    </row>
    <row r="647" ht="32" customHeight="1">
      <c r="A647" s="8" t="n">
        <v>400327</v>
      </c>
      <c r="B647" s="8" t="inlineStr">
        <is>
          <t>背石木架</t>
        </is>
      </c>
      <c r="C647" s="8" t="inlineStr">
        <is>
          <t>法器</t>
        </is>
      </c>
      <c r="D647" s="8" t="inlineStr">
        <is>
          <t>common</t>
        </is>
      </c>
      <c r="E647" s="8" t="inlineStr">
        <is>
          <t>earth</t>
        </is>
      </c>
      <c r="F647" s="8" t="n">
        <v>1</v>
      </c>
      <c r="G647" s="8" t="inlineStr">
        <is>
          <t>基础/顶层</t>
        </is>
      </c>
      <c r="H647" s="8" t="inlineStr"/>
      <c r="I647" s="9" t="inlineStr"/>
      <c r="J647" s="8" t="inlineStr"/>
      <c r="K647" s="8" t="inlineStr"/>
      <c r="L647" s="8" t="inlineStr"/>
      <c r="M647" s="8" t="inlineStr">
        <is>
          <t>周期触发</t>
        </is>
      </c>
      <c r="N647" s="8" t="inlineStr">
        <is>
          <t>periodicPulse</t>
        </is>
      </c>
      <c r="O647" s="9" t="inlineStr">
        <is>
          <t>开局：相邻功法时，获得 7 层蓄势；开局：相邻功法时，获得 9 层蓄势；开局：相邻功法时，获得 11 层蓄势；开局：相邻功法时，获得 13 层蓄势</t>
        </is>
      </c>
      <c r="P647" s="9" t="inlineStr"/>
      <c r="Q647" s="9" t="inlineStr"/>
      <c r="R647" s="9" t="inlineStr">
        <is>
          <t>{"kind":"periodicPulse","periodicPulse":{"startOnly":true,"label":"开局：相邻功法时，获得 7 层蓄势","buffGains":[{"buffId":"heavy","count":7}],"activationRequirements":{"neighborCounts":[{"minCount":1,"categories":["scripture"]}]}},"label":"开局：相邻功法时，获得 7 层蓄势","starOverrides":{"1":{"label":"开局：相邻功法时，获得 9 层蓄势","periodicPulse":{"buffGains":[{"count":9}]}},"2":{"label":"开局：相邻功法时，获得 11 层蓄势","periodicPulse":{"buffGains":[{"count":11}]}},"3":{"label":"开局：相邻功法时，获得 13 层蓄势","periodicPulse":{"buffGains":[{"count":13}]}}}}</t>
        </is>
      </c>
    </row>
    <row r="648" ht="32" customHeight="1">
      <c r="A648" s="8" t="n">
        <v>400328</v>
      </c>
      <c r="B648" s="8" t="inlineStr">
        <is>
          <t>磨肩石板</t>
        </is>
      </c>
      <c r="C648" s="8" t="inlineStr">
        <is>
          <t>法器</t>
        </is>
      </c>
      <c r="D648" s="8" t="inlineStr">
        <is>
          <t>common</t>
        </is>
      </c>
      <c r="E648" s="8" t="inlineStr">
        <is>
          <t>earth</t>
        </is>
      </c>
      <c r="F648" s="8" t="n">
        <v>1</v>
      </c>
      <c r="G648" s="8" t="inlineStr">
        <is>
          <t>基础/顶层</t>
        </is>
      </c>
      <c r="H648" s="8" t="inlineStr"/>
      <c r="I648" s="9" t="inlineStr"/>
      <c r="J648" s="8" t="inlineStr"/>
      <c r="K648" s="8" t="inlineStr"/>
      <c r="L648" s="8" t="inlineStr"/>
      <c r="M648" s="8" t="inlineStr">
        <is>
          <t>周期触发</t>
        </is>
      </c>
      <c r="N648" s="8" t="inlineStr">
        <is>
          <t>periodicPulse</t>
        </is>
      </c>
      <c r="O648" s="9" t="inlineStr">
        <is>
          <t>开局：将 5 点气血转化为 3 层蓄势；开局：将 5 点气血转化为 4 层蓄势；开局：将 5 点气血转化为 5 层蓄势；开局：将 5 点气血转化为 6 层蓄势</t>
        </is>
      </c>
      <c r="P648" s="9" t="inlineStr"/>
      <c r="Q648" s="9" t="inlineStr"/>
      <c r="R648" s="9" t="inlineStr">
        <is>
          <t>{"kind":"periodicPulse","periodicPulse":{"startOnly":true,"label":"开局：将 5 点气血转化为 3 层蓄势","primaryStatCosts":[{"stat":"health","amount":5}],"buffGains":[{"buffId":"heavy","count":3}]},"label":"开局：将 5 点气血转化为 3 层蓄势","starOverrides":{"1":{"label":"开局：将 5 点气血转化为 4 层蓄势","periodicPulse":{"buffGains":[{"count":4}]}},"2":{"label":"开局：将 5 点气血转化为 5 层蓄势","periodicPulse":{"buffGains":[{"count":5}]}},"3":{"label":"开局：将 5 点气血转化为 6 层蓄势","periodicPulse":{"buffGains":[{"count":6}]}}}}</t>
        </is>
      </c>
    </row>
    <row r="649" ht="32" customHeight="1">
      <c r="A649" s="8" t="n">
        <v>400329</v>
      </c>
      <c r="B649" s="8" t="inlineStr">
        <is>
          <t>扁石压肩</t>
        </is>
      </c>
      <c r="C649" s="8" t="inlineStr">
        <is>
          <t>法器</t>
        </is>
      </c>
      <c r="D649" s="8" t="inlineStr">
        <is>
          <t>common</t>
        </is>
      </c>
      <c r="E649" s="8" t="inlineStr">
        <is>
          <t>earth</t>
        </is>
      </c>
      <c r="F649" s="8" t="n">
        <v>1</v>
      </c>
      <c r="G649" s="8" t="inlineStr">
        <is>
          <t>基础/顶层</t>
        </is>
      </c>
      <c r="H649" s="8" t="inlineStr"/>
      <c r="I649" s="9" t="inlineStr"/>
      <c r="J649" s="8" t="inlineStr"/>
      <c r="K649" s="8" t="inlineStr"/>
      <c r="L649" s="8" t="inlineStr"/>
      <c r="M649" s="8" t="inlineStr">
        <is>
          <t>条件触发</t>
        </is>
      </c>
      <c r="N649" s="8" t="inlineStr">
        <is>
          <t>triggered</t>
        </is>
      </c>
      <c r="O649" s="9" t="inlineStr">
        <is>
          <t>左右两侧均紧邻装备时，每当其中一件装备轮转，该装备获得 1 层蓄势；左右两侧均紧邻装备时，每当其中一件装备轮转，该装备获得 2 层蓄势；左右两侧均紧邻装备时，每当其中一件装备轮转，该装备获得 3 层蓄势；左右两侧均紧邻装备时，每当其中一件装备轮转，该装备获得 4 层蓄势</t>
        </is>
      </c>
      <c r="P649" s="9" t="inlineStr">
        <is>
          <t>onPeriodicPulse</t>
        </is>
      </c>
      <c r="Q649" s="9" t="inlineStr">
        <is>
          <t>applyBuff；directional-adjacent</t>
        </is>
      </c>
      <c r="R649" s="9" t="inlineStr">
        <is>
          <t>{"kind":"triggered","label":"左右两侧均紧邻装备时，每当其中一件装备轮转，该装备获得 1 层蓄势","triggeredEffect":{"trigger":"onPeriodicPulse","type":"applyBuff","buffId":"heavy","count":1,"activationRequirements":{"directionalNeighbors":[{"direction":"left","features":["equipment"]},{"direction":"right","features":["equipment"]}]},"eventSource":{"target":{"type":"directional-adjacent","direction":"both-horizontal"},"filter":{"features":["equipment"]}}},"starOverrides":{"1":{"label":"左右两侧均紧邻装备时，每当其中一件装备轮转，该装备获得 2 层蓄势","triggeredEffect":{"count":2}},"2":{"label":"左右两侧均紧邻装备时，每当其中一件装备轮转，该装备获得 3 层蓄势","triggeredEffect":{"count":3}},"3":{"label":"左右两侧均紧邻装备时，每当其中一件装备轮转，该装备获得 4 层蓄势","triggeredEffect":{"count":4}}}}</t>
        </is>
      </c>
    </row>
    <row r="650" ht="32" customHeight="1">
      <c r="A650" s="8" t="n">
        <v>400330</v>
      </c>
      <c r="B650" s="8" t="inlineStr">
        <is>
          <t>粗陶镇纸</t>
        </is>
      </c>
      <c r="C650" s="8" t="inlineStr">
        <is>
          <t>法器</t>
        </is>
      </c>
      <c r="D650" s="8" t="inlineStr">
        <is>
          <t>common</t>
        </is>
      </c>
      <c r="E650" s="8" t="inlineStr">
        <is>
          <t>earth</t>
        </is>
      </c>
      <c r="F650" s="8" t="n">
        <v>1</v>
      </c>
      <c r="G650" s="8" t="inlineStr">
        <is>
          <t>基础/顶层</t>
        </is>
      </c>
      <c r="H650" s="8" t="inlineStr"/>
      <c r="I650" s="9" t="inlineStr"/>
      <c r="J650" s="8" t="inlineStr"/>
      <c r="K650" s="8" t="inlineStr"/>
      <c r="L650" s="8" t="inlineStr"/>
      <c r="M650" s="8" t="inlineStr">
        <is>
          <t>条件触发</t>
        </is>
      </c>
      <c r="N650" s="8" t="inlineStr">
        <is>
          <t>triggered</t>
        </is>
      </c>
      <c r="O650" s="9" t="inlineStr">
        <is>
          <t>右侧相邻招式成功施放后，获得 1 层蓄势；右侧相邻招式成功施放后，获得 2 层蓄势；右侧相邻招式成功施放后，获得 3 层蓄势；右侧相邻招式成功施放后，获得 4 层蓄势</t>
        </is>
      </c>
      <c r="P650" s="9" t="inlineStr">
        <is>
          <t>onActiveSpellCast</t>
        </is>
      </c>
      <c r="Q650" s="9" t="inlineStr">
        <is>
          <t>applyBuff；directional-adjacent</t>
        </is>
      </c>
      <c r="R650" s="9" t="inlineStr">
        <is>
          <t>{"kind":"triggered","label":"右侧相邻招式成功施放后，获得 1 层蓄势","triggeredEffect":{"trigger":"onActiveSpellCast","type":"applyBuff","buffId":"heavy","count":1,"eventSource":{"target":{"type":"directional-adjacent","direction":"right"},"filter":{"categories":["spell"]}}},"starOverrides":{"1":{"label":"右侧相邻招式成功施放后，获得 2 层蓄势","triggeredEffect":{"count":2}},"2":{"label":"右侧相邻招式成功施放后，获得 3 层蓄势","triggeredEffect":{"count":3}},"3":{"label":"右侧相邻招式成功施放后，获得 4 层蓄势","triggeredEffect":{"count":4}}}}</t>
        </is>
      </c>
    </row>
    <row r="651" ht="32" customHeight="1">
      <c r="A651" s="8" t="n">
        <v>400331</v>
      </c>
      <c r="B651" s="8" t="inlineStr">
        <is>
          <t>压纹石片</t>
        </is>
      </c>
      <c r="C651" s="8" t="inlineStr">
        <is>
          <t>法器</t>
        </is>
      </c>
      <c r="D651" s="8" t="inlineStr">
        <is>
          <t>common</t>
        </is>
      </c>
      <c r="E651" s="8" t="inlineStr">
        <is>
          <t>earth</t>
        </is>
      </c>
      <c r="F651" s="8" t="n">
        <v>1</v>
      </c>
      <c r="G651" s="8" t="inlineStr">
        <is>
          <t>基础/顶层</t>
        </is>
      </c>
      <c r="H651" s="8" t="inlineStr"/>
      <c r="I651" s="9" t="inlineStr"/>
      <c r="J651" s="8" t="inlineStr"/>
      <c r="K651" s="8" t="inlineStr"/>
      <c r="L651" s="8" t="inlineStr"/>
      <c r="M651" s="8" t="inlineStr">
        <is>
          <t>周期触发</t>
        </is>
      </c>
      <c r="N651" s="8" t="inlineStr">
        <is>
          <t>periodicPulse</t>
        </is>
      </c>
      <c r="O651" s="9" t="inlineStr">
        <is>
          <t>将 6 层蓄势转化为 1 层坚硬</t>
        </is>
      </c>
      <c r="P651" s="9" t="inlineStr">
        <is>
          <t>onPeriodicPulse</t>
        </is>
      </c>
      <c r="Q651" s="9" t="inlineStr">
        <is>
          <t>convertBuffStacks</t>
        </is>
      </c>
      <c r="R651" s="9" t="inlineStr">
        <is>
          <t>{"kind":"periodicPulse","periodicPulse":{"intervalSec":15,"label":"将 6 层蓄势转化为 1 层坚硬"},"executors":[{"trigger":"onPeriodicPulse","type":"convertBuffStacks","sourceBuffId":"heavy","targetBuffId":"sturdy","requiredStacks":6,"maxStacks":6,"consumeRatio":0.1666666667,"activationRequirements":{"buffStackThresholds":[{"buffId":"heavy","comparator":"atLeast","count":6}]},"label":"将 6 层蓄势转化为 1 层坚硬"}],"label":"将 6 层蓄势转化为 1 层坚硬","starOverrides":{"1":{"periodicPulse":{"intervalSec":14}},"2":{"periodicPulse":{"intervalSec":13}},"3":{"periodicPulse":{"intervalSec":12}}}}</t>
        </is>
      </c>
    </row>
    <row r="652" ht="32" customHeight="1">
      <c r="A652" s="8" t="n">
        <v>400332</v>
      </c>
      <c r="B652" s="8" t="inlineStr">
        <is>
          <t>铁片护心</t>
        </is>
      </c>
      <c r="C652" s="8" t="inlineStr">
        <is>
          <t>法器</t>
        </is>
      </c>
      <c r="D652" s="8" t="inlineStr">
        <is>
          <t>common</t>
        </is>
      </c>
      <c r="E652" s="8" t="inlineStr">
        <is>
          <t>earth</t>
        </is>
      </c>
      <c r="F652" s="8" t="n">
        <v>1</v>
      </c>
      <c r="G652" s="8" t="inlineStr">
        <is>
          <t>基础/顶层</t>
        </is>
      </c>
      <c r="H652" s="8" t="inlineStr"/>
      <c r="I652" s="9" t="inlineStr"/>
      <c r="J652" s="8" t="inlineStr"/>
      <c r="K652" s="8" t="inlineStr"/>
      <c r="L652" s="8" t="inlineStr"/>
      <c r="M652" s="8" t="inlineStr">
        <is>
          <t>周期触发</t>
        </is>
      </c>
      <c r="N652" s="8" t="inlineStr">
        <is>
          <t>periodicPulse</t>
        </is>
      </c>
      <c r="O652" s="9" t="inlineStr">
        <is>
          <t>最多将 2 层蓄势转化为护甲，每层获得 2 层护甲</t>
        </is>
      </c>
      <c r="P652" s="9" t="inlineStr">
        <is>
          <t>onPeriodicPulse</t>
        </is>
      </c>
      <c r="Q652" s="9" t="inlineStr">
        <is>
          <t>convertBuffStacks</t>
        </is>
      </c>
      <c r="R652" s="9" t="inlineStr">
        <is>
          <t>{"kind":"periodicPulse","periodicPulse":{"intervalSec":12,"label":"最多将 2 层蓄势转化为护甲，每层获得 2 层护甲"},"executors":[{"trigger":"onPeriodicPulse","type":"convertBuffStacks","sourceBuffId":"heavy","targetBuffId":"armor","maxStacks":2,"consumeRatio":2,"activationRequirements":{"buffStackThresholds":[{"buffId":"heavy","comparator":"atLeast","count":1}]},"label":"最多将 2 层蓄势转化为护甲，每层获得 2 层护甲"}],"label":"最多将 2 层蓄势转化为护甲，每层获得 2 层护甲","starOverrides":{"1":{"periodicPulse":{"intervalSec":11}},"2":{"periodicPulse":{"intervalSec":10}},"3":{"periodicPulse":{"intervalSec":9}}}}</t>
        </is>
      </c>
    </row>
    <row r="653" ht="32" customHeight="1">
      <c r="A653" s="8" t="n">
        <v>400333</v>
      </c>
      <c r="B653" s="8" t="inlineStr">
        <is>
          <t>厚布护腕</t>
        </is>
      </c>
      <c r="C653" s="8" t="inlineStr">
        <is>
          <t>法器</t>
        </is>
      </c>
      <c r="D653" s="8" t="inlineStr">
        <is>
          <t>common</t>
        </is>
      </c>
      <c r="E653" s="8" t="inlineStr">
        <is>
          <t>earth</t>
        </is>
      </c>
      <c r="F653" s="8" t="n">
        <v>1</v>
      </c>
      <c r="G653" s="8" t="inlineStr">
        <is>
          <t>基础/顶层</t>
        </is>
      </c>
      <c r="H653" s="8" t="inlineStr"/>
      <c r="I653" s="9" t="inlineStr"/>
      <c r="J653" s="8" t="inlineStr"/>
      <c r="K653" s="8" t="inlineStr"/>
      <c r="L653" s="8" t="inlineStr"/>
      <c r="M653" s="8" t="inlineStr">
        <is>
          <t>条件触发</t>
        </is>
      </c>
      <c r="N653" s="8" t="inlineStr">
        <is>
          <t>triggered</t>
        </is>
      </c>
      <c r="O653" s="9" t="inlineStr">
        <is>
          <t>每次实际消耗体力后，最多将 1 层蓄势转化为 3 层护甲；每次实际消耗体力后，最多将 2 层蓄势转化为 6 层护甲；每次实际消耗体力后，最多将 3 层蓄势转化为 9 层护甲；每次实际消耗体力后，最多将 4 层蓄势转化为 12 层护甲</t>
        </is>
      </c>
      <c r="P653" s="9" t="inlineStr">
        <is>
          <t>onPrimaryStatConsumed</t>
        </is>
      </c>
      <c r="Q653" s="9" t="inlineStr">
        <is>
          <t>convertBuffStacks</t>
        </is>
      </c>
      <c r="R653" s="9" t="inlineStr">
        <is>
          <t>{"kind":"triggered","label":"每次实际消耗体力后，最多将 1 层蓄势转化为 3 层护甲","triggeredEffect":{"trigger":"onPrimaryStatConsumed","type":"convertBuffStacks","sourceBuffId":"heavy","targetBuffId":"armor","maxStacks":1,"consumeRatio":3,"eventPrimaryStatConsumedFilter":["stamina"],"activationRequirements":{"buffStackThresholds":[{"buffId":"heavy","comparator":"atLeast","count":1}]}},"starOverrides":{"1":{"label":"每次实际消耗体力后，最多将 2 层蓄势转化为 6 层护甲","triggeredEffect":{"maxStacks":2,"activationRequirements":{"buffStackThresholds":[{"buffId":"heavy","comparator":"atLeast","count":2}]}}},"2":{"label":"每次实际消耗体力后，最多将 3 层蓄势转化为 9 层护甲","triggeredEffect":{"maxStacks":3,"activationRequirements":{"buffStackThresholds":[{"buffId":"heavy","comparator":"atLeast","count":3}]}}},"3":{"label":"每次实际消耗体力后，最多将 4 层蓄势转化为 12 层护甲","triggeredEffect":{"maxStacks":4,"activationRequirements":{"buffStackThresholds":[{"buffId":"heavy","comparator":"atLeast","count":4}]}}}}}</t>
        </is>
      </c>
    </row>
    <row r="654" ht="32" customHeight="1">
      <c r="A654" s="8" t="n">
        <v>400334</v>
      </c>
      <c r="B654" s="8" t="inlineStr">
        <is>
          <t>旧甲扣</t>
        </is>
      </c>
      <c r="C654" s="8" t="inlineStr">
        <is>
          <t>法器</t>
        </is>
      </c>
      <c r="D654" s="8" t="inlineStr">
        <is>
          <t>common</t>
        </is>
      </c>
      <c r="E654" s="8" t="inlineStr">
        <is>
          <t>earth</t>
        </is>
      </c>
      <c r="F654" s="8" t="n">
        <v>1</v>
      </c>
      <c r="G654" s="8" t="inlineStr">
        <is>
          <t>基础/顶层</t>
        </is>
      </c>
      <c r="H654" s="8" t="inlineStr"/>
      <c r="I654" s="9" t="inlineStr"/>
      <c r="J654" s="8" t="inlineStr"/>
      <c r="K654" s="8" t="inlineStr"/>
      <c r="L654" s="8" t="inlineStr"/>
      <c r="M654" s="8" t="inlineStr">
        <is>
          <t>条件触发</t>
        </is>
      </c>
      <c r="N654" s="8" t="inlineStr">
        <is>
          <t>triggered</t>
        </is>
      </c>
      <c r="O654" s="9" t="inlineStr">
        <is>
          <t>每次获得蓄势后，蓄势不少于 3 层时，将 1 层蓄势转化为 2 层护甲；每次获得蓄势后，蓄势不少于 4 层时，将 2 层蓄势转化为 4 层护甲；每次获得蓄势后，蓄势不少于 5 层时，将 3 层蓄势转化为 6 层护甲；每次获得蓄势后，蓄势不少于 6 层时，将 4 层蓄势转化为 8 层护甲</t>
        </is>
      </c>
      <c r="P654" s="9" t="inlineStr">
        <is>
          <t>onBuffGain</t>
        </is>
      </c>
      <c r="Q654" s="9" t="inlineStr">
        <is>
          <t>convertBuffStacks</t>
        </is>
      </c>
      <c r="R654" s="9" t="inlineStr">
        <is>
          <t>{"kind":"triggered","label":"每次获得蓄势后，蓄势不少于 3 层时，将 1 层蓄势转化为 2 层护甲","triggeredEffect":{"trigger":"onBuffGain","type":"convertBuffStacks","sourceBuffId":"heavy","targetBuffId":"armor","requiredStacks":1,"maxStacks":1,"consumeRatio":2,"eventBuffId":"heavy","activationRequirements":{"buffStackThresholds":[{"buffId":"heavy","comparator":"atLeast","count":3}]}},"starOverrides":{"1":{"label":"每次获得蓄势后，蓄势不少于 4 层时，将 2 层蓄势转化为 4 层护甲","triggeredEffect":{"requiredStacks":2,"maxStacks":2,"activationRequirements":{"buffStackThresholds":[{"buffId":"heavy","comparator":"atLeast","count":4}]}}},"2":{"label":"每次获得蓄势后，蓄势不少于 5 层时，将 3 层蓄势转化为 6 层护甲","triggeredEffect":{"requiredStacks":3,"maxStacks":3,"activationRequirements":{"buffStackThresholds":[{"buffId":"heavy","comparator":"atLeast","count":5}]}}},"3":{"label":"每次获得蓄势后，蓄势不少于 6 层时，将 4 层蓄势转化为 8 层护甲","triggeredEffect":{"requiredStacks":4,"maxStacks":4,"activationRequirements":{"buffStackThresholds":[{"buffId":"heavy","comparator":"atLeast","count":6}]}}}}}</t>
        </is>
      </c>
    </row>
    <row r="655" ht="32" customHeight="1">
      <c r="A655" s="8" t="n">
        <v>400335</v>
      </c>
      <c r="B655" s="8" t="inlineStr">
        <is>
          <t>冷水布巾</t>
        </is>
      </c>
      <c r="C655" s="8" t="inlineStr">
        <is>
          <t>法器</t>
        </is>
      </c>
      <c r="D655" s="8" t="inlineStr">
        <is>
          <t>common</t>
        </is>
      </c>
      <c r="E655" s="8" t="inlineStr">
        <is>
          <t>water</t>
        </is>
      </c>
      <c r="F655" s="8" t="n">
        <v>1</v>
      </c>
      <c r="G655" s="8" t="inlineStr">
        <is>
          <t>基础/顶层</t>
        </is>
      </c>
      <c r="H655" s="8" t="inlineStr"/>
      <c r="I655" s="9" t="inlineStr"/>
      <c r="J655" s="8" t="inlineStr"/>
      <c r="K655" s="8" t="inlineStr"/>
      <c r="L655" s="8" t="inlineStr"/>
      <c r="M655" s="8" t="inlineStr">
        <is>
          <t>周期触发</t>
        </is>
      </c>
      <c r="N655" s="8" t="inlineStr">
        <is>
          <t>periodicPulse</t>
        </is>
      </c>
      <c r="O655" s="9" t="inlineStr">
        <is>
          <t>寒冷不超过 2 层时，获得 1 层寒冷；寒冷不超过 4 层时，获得 2 层寒冷；寒冷不超过 6 层时，获得 3 层寒冷；寒冷不超过 8 层时，获得 4 层寒冷</t>
        </is>
      </c>
      <c r="P655" s="9" t="inlineStr"/>
      <c r="Q655" s="9" t="inlineStr"/>
      <c r="R655" s="9" t="inlineStr">
        <is>
          <t>{"kind":"periodicPulse","periodicPulse":{"intervalSec":12,"label":"寒冷不超过 2 层时，获得 1 层寒冷","buffGains":[{"buffId":"cold","count":1}],"activationRequirements":{"buffStackThresholds":[{"buffId":"cold","comparator":"atMost","count":2}]}},"label":"寒冷不超过 2 层时，获得 1 层寒冷","starOverrides":{"1":{"periodicPulse":{"intervalSec":11,"label":"寒冷不超过 4 层时，获得 2 层寒冷","buffGains":[{"buffId":"cold","count":2}],"activationRequirements":{"buffStackThresholds":[{"buffId":"cold","comparator":"atMost","count":4}]}},"label":"寒冷不超过 4 层时，获得 2 层寒冷"},"2":{"periodicPulse":{"intervalSec":10,"label":"寒冷不超过 6 层时，获得 3 层寒冷","buffGains":[{"buffId":"cold","count":3}],"activationRequirements":{"buffStackThresholds":[{"buffId":"cold","comparator":"atMost","count":6}]}},"label":"寒冷不超过 6 层时，获得 3 层寒冷"},"3":{"periodicPulse":{"intervalSec":9,"label":"寒冷不超过 8 层时，获得 4 层寒冷","buffGains":[{"buffId":"cold","count":4}],"activationRequirements":{"buffStackThresholds":[{"buffId":"cold","comparator":"atMost","count":8}]}},"label":"寒冷不超过 8 层时，获得 4 层寒冷"}}}</t>
        </is>
      </c>
    </row>
    <row r="656" ht="32" customHeight="1">
      <c r="A656" s="8" t="n">
        <v>400336</v>
      </c>
      <c r="B656" s="8" t="inlineStr">
        <is>
          <t>素面冰盘</t>
        </is>
      </c>
      <c r="C656" s="8" t="inlineStr">
        <is>
          <t>法器</t>
        </is>
      </c>
      <c r="D656" s="8" t="inlineStr">
        <is>
          <t>common</t>
        </is>
      </c>
      <c r="E656" s="8" t="inlineStr">
        <is>
          <t>ice</t>
        </is>
      </c>
      <c r="F656" s="8" t="n">
        <v>1</v>
      </c>
      <c r="G656" s="8" t="inlineStr">
        <is>
          <t>基础/顶层</t>
        </is>
      </c>
      <c r="H656" s="8" t="inlineStr"/>
      <c r="I656" s="9" t="inlineStr"/>
      <c r="J656" s="8" t="inlineStr"/>
      <c r="K656" s="8" t="inlineStr"/>
      <c r="L656" s="8" t="inlineStr"/>
      <c r="M656" s="8" t="inlineStr">
        <is>
          <t>周期触发</t>
        </is>
      </c>
      <c r="N656" s="8" t="inlineStr">
        <is>
          <t>periodicPulse</t>
        </is>
      </c>
      <c r="O656" s="9" t="inlineStr">
        <is>
          <t>开局：相邻水属性功法时，获得 4 层寒冷；开局：相邻水属性功法时，获得 5 层寒冷；开局：相邻水属性功法时，获得 6 层寒冷；开局：相邻水属性功法时，获得 7 层寒冷</t>
        </is>
      </c>
      <c r="P656" s="9" t="inlineStr"/>
      <c r="Q656" s="9" t="inlineStr"/>
      <c r="R656" s="9" t="inlineStr">
        <is>
          <t>{"kind":"periodicPulse","periodicPulse":{"startOnly":true,"label":"开局：相邻水属性功法时，获得 4 层寒冷","buffGains":[{"buffId":"cold","count":4}],"activationRequirements":{"neighborCounts":[{"minCount":1,"categories":["scripture"],"elements":["water"]}]}},"label":"开局：相邻水属性功法时，获得 4 层寒冷","starOverrides":{"1":{"label":"开局：相邻水属性功法时，获得 5 层寒冷","periodicPulse":{"buffGains":[{"count":5}]}},"2":{"label":"开局：相邻水属性功法时，获得 6 层寒冷","periodicPulse":{"buffGains":[{"count":6}]}},"3":{"label":"开局：相邻水属性功法时，获得 7 层寒冷","periodicPulse":{"buffGains":[{"count":7}]}}}}</t>
        </is>
      </c>
    </row>
    <row r="657" ht="32" customHeight="1">
      <c r="A657" s="8" t="n">
        <v>400337</v>
      </c>
      <c r="B657" s="8" t="inlineStr">
        <is>
          <t>粗布滤露袋</t>
        </is>
      </c>
      <c r="C657" s="8" t="inlineStr">
        <is>
          <t>法器</t>
        </is>
      </c>
      <c r="D657" s="8" t="inlineStr">
        <is>
          <t>common</t>
        </is>
      </c>
      <c r="E657" s="8" t="inlineStr">
        <is>
          <t>water</t>
        </is>
      </c>
      <c r="F657" s="8" t="n">
        <v>1</v>
      </c>
      <c r="G657" s="8" t="inlineStr">
        <is>
          <t>基础/顶层</t>
        </is>
      </c>
      <c r="H657" s="8" t="inlineStr"/>
      <c r="I657" s="9" t="inlineStr"/>
      <c r="J657" s="8" t="inlineStr"/>
      <c r="K657" s="8" t="inlineStr"/>
      <c r="L657" s="8" t="inlineStr"/>
      <c r="M657" s="8" t="inlineStr">
        <is>
          <t>周期触发</t>
        </is>
      </c>
      <c r="N657" s="8" t="inlineStr">
        <is>
          <t>periodicPulse</t>
        </is>
      </c>
      <c r="O657" s="9" t="inlineStr">
        <is>
          <t>开局：将 2 点体力转化为 2 层露水；开局：将 4 点体力转化为 4 层露水；开局：将 6 点体力转化为 6 层露水；开局：将 8 点体力转化为 8 层露水</t>
        </is>
      </c>
      <c r="P657" s="9" t="inlineStr"/>
      <c r="Q657" s="9" t="inlineStr"/>
      <c r="R657" s="9" t="inlineStr">
        <is>
          <t>{"kind":"periodicPulse","periodicPulse":{"startOnly":true,"label":"开局：将 2 点体力转化为 2 层露水","primaryStatCosts":[{"stat":"stamina","amount":2}],"buffGains":[{"buffId":"dew","count":2}]},"label":"开局：将 2 点体力转化为 2 层露水","starOverrides":{"1":{"periodicPulse":{"label":"开局：将 4 点体力转化为 4 层露水","primaryStatCosts":[{"stat":"stamina","amount":4}],"buffGains":[{"buffId":"dew","count":4}]},"label":"开局：将 4 点体力转化为 4 层露水"},"2":{"periodicPulse":{"label":"开局：将 6 点体力转化为 6 层露水","primaryStatCosts":[{"stat":"stamina","amount":6}],"buffGains":[{"buffId":"dew","count":6}]},"label":"开局：将 6 点体力转化为 6 层露水"},"3":{"periodicPulse":{"label":"开局：将 8 点体力转化为 8 层露水","primaryStatCosts":[{"stat":"stamina","amount":8}],"buffGains":[{"buffId":"dew","count":8}]},"label":"开局：将 8 点体力转化为 8 层露水"}}}</t>
        </is>
      </c>
    </row>
    <row r="658" ht="32" customHeight="1">
      <c r="A658" s="8" t="n">
        <v>400338</v>
      </c>
      <c r="B658" s="8" t="inlineStr">
        <is>
          <t>粗铁凝砂盘</t>
        </is>
      </c>
      <c r="C658" s="8" t="inlineStr">
        <is>
          <t>法器</t>
        </is>
      </c>
      <c r="D658" s="8" t="inlineStr">
        <is>
          <t>common</t>
        </is>
      </c>
      <c r="E658" s="8" t="inlineStr">
        <is>
          <t>metal</t>
        </is>
      </c>
      <c r="F658" s="8" t="n">
        <v>1</v>
      </c>
      <c r="G658" s="8" t="inlineStr">
        <is>
          <t>基础/顶层</t>
        </is>
      </c>
      <c r="H658" s="8" t="inlineStr"/>
      <c r="I658" s="9" t="inlineStr"/>
      <c r="J658" s="8" t="inlineStr"/>
      <c r="K658" s="8" t="inlineStr"/>
      <c r="L658" s="8" t="inlineStr"/>
      <c r="M658" s="8" t="inlineStr">
        <is>
          <t>周期触发</t>
        </is>
      </c>
      <c r="N658" s="8" t="inlineStr">
        <is>
          <t>periodicPulse</t>
        </is>
      </c>
      <c r="O658" s="9" t="inlineStr">
        <is>
          <t>开局：将 2 点法力转化为 3 层凝金；开局：将 4 点法力转化为 4 层凝金；开局：将 6 点法力转化为 5 层凝金；开局：将 8 点法力转化为 6 层凝金</t>
        </is>
      </c>
      <c r="P658" s="9" t="inlineStr"/>
      <c r="Q658" s="9" t="inlineStr"/>
      <c r="R658" s="9" t="inlineStr">
        <is>
          <t>{"kind":"periodicPulse","periodicPulse":{"startOnly":true,"label":"开局：将 2 点法力转化为 3 层凝金","primaryStatCosts":[{"stat":"mana","amount":2}],"buffGains":[{"buffId":"condensedMetal","count":3}]},"label":"开局：将 2 点法力转化为 3 层凝金","starOverrides":{"1":{"periodicPulse":{"label":"开局：将 4 点法力转化为 4 层凝金","primaryStatCosts":[{"stat":"mana","amount":4}],"buffGains":[{"buffId":"condensedMetal","count":4}]},"label":"开局：将 4 点法力转化为 4 层凝金"},"2":{"periodicPulse":{"label":"开局：将 6 点法力转化为 5 层凝金","primaryStatCosts":[{"stat":"mana","amount":6}],"buffGains":[{"buffId":"condensedMetal","count":5}]},"label":"开局：将 6 点法力转化为 5 层凝金"},"3":{"periodicPulse":{"label":"开局：将 8 点法力转化为 6 层凝金","primaryStatCosts":[{"stat":"mana","amount":8}],"buffGains":[{"buffId":"condensedMetal","count":6}]},"label":"开局：将 8 点法力转化为 6 层凝金"}}}</t>
        </is>
      </c>
    </row>
    <row r="659" ht="32" customHeight="1">
      <c r="A659" s="8" t="n">
        <v>400339</v>
      </c>
      <c r="B659" s="8" t="inlineStr">
        <is>
          <t>叠铁护片</t>
        </is>
      </c>
      <c r="C659" s="8" t="inlineStr">
        <is>
          <t>法器</t>
        </is>
      </c>
      <c r="D659" s="8" t="inlineStr">
        <is>
          <t>common</t>
        </is>
      </c>
      <c r="E659" s="8" t="inlineStr">
        <is>
          <t>metal</t>
        </is>
      </c>
      <c r="F659" s="8" t="n">
        <v>1</v>
      </c>
      <c r="G659" s="8" t="inlineStr">
        <is>
          <t>基础/顶层</t>
        </is>
      </c>
      <c r="H659" s="8" t="inlineStr"/>
      <c r="I659" s="9" t="inlineStr"/>
      <c r="J659" s="8" t="inlineStr"/>
      <c r="K659" s="8" t="inlineStr"/>
      <c r="L659" s="8" t="inlineStr"/>
      <c r="M659" s="8" t="inlineStr">
        <is>
          <t>周期触发</t>
        </is>
      </c>
      <c r="N659" s="8" t="inlineStr">
        <is>
          <t>periodicPulse</t>
        </is>
      </c>
      <c r="O659" s="9" t="inlineStr">
        <is>
          <t>最多将 3 层凝金转化为护甲，每层获得 2 层护甲</t>
        </is>
      </c>
      <c r="P659" s="9" t="inlineStr">
        <is>
          <t>onPeriodicPulse</t>
        </is>
      </c>
      <c r="Q659" s="9" t="inlineStr">
        <is>
          <t>convertBuffStacks</t>
        </is>
      </c>
      <c r="R659" s="9" t="inlineStr">
        <is>
          <t>{"kind":"periodicPulse","periodicPulse":{"intervalSec":12,"label":"最多将 3 层凝金转化为护甲，每层获得 2 层护甲"},"executors":[{"trigger":"onPeriodicPulse","type":"convertBuffStacks","sourceBuffId":"condensedMetal","targetBuffId":"armor","maxStacks":3,"consumeRatio":2,"activationRequirements":{"buffStackThresholds":[{"buffId":"condensedMetal","comparator":"atLeast","count":1}]},"label":"最多将 3 层凝金转化为护甲，每层获得 2 层护甲"}],"label":"最多将 3 层凝金转化为护甲，每层获得 2 层护甲","starOverrides":{"1":{"periodicPulse":{"intervalSec":11}},"2":{"periodicPulse":{"intervalSec":10}},"3":{"periodicPulse":{"intervalSec":9}}}}</t>
        </is>
      </c>
    </row>
    <row r="660" ht="32" customHeight="1">
      <c r="A660" s="8" t="n">
        <v>400340</v>
      </c>
      <c r="B660" s="8" t="inlineStr">
        <is>
          <t>竹编引露笠</t>
        </is>
      </c>
      <c r="C660" s="8" t="inlineStr">
        <is>
          <t>法器</t>
        </is>
      </c>
      <c r="D660" s="8" t="inlineStr">
        <is>
          <t>common</t>
        </is>
      </c>
      <c r="E660" s="8" t="inlineStr">
        <is>
          <t>wood</t>
        </is>
      </c>
      <c r="F660" s="8" t="n">
        <v>1</v>
      </c>
      <c r="G660" s="8" t="inlineStr">
        <is>
          <t>基础/顶层</t>
        </is>
      </c>
      <c r="H660" s="8" t="inlineStr"/>
      <c r="I660" s="9" t="inlineStr"/>
      <c r="J660" s="8" t="inlineStr"/>
      <c r="K660" s="8" t="inlineStr"/>
      <c r="L660" s="8" t="inlineStr"/>
      <c r="M660" s="8" t="inlineStr">
        <is>
          <t>周期触发</t>
        </is>
      </c>
      <c r="N660" s="8" t="inlineStr">
        <is>
          <t>periodicPulse</t>
        </is>
      </c>
      <c r="O660" s="9" t="inlineStr">
        <is>
          <t>消耗 3 层露水，对敌方造成 9 点伤害；消耗 6 层露水，对敌方造成 18 点伤害；消耗 9 层露水，对敌方造成 27 点伤害；消耗 12 层露水，对敌方造成 36 点伤害</t>
        </is>
      </c>
      <c r="P660" s="9" t="inlineStr">
        <is>
          <t>onPeriodicPulse</t>
        </is>
      </c>
      <c r="Q660" s="9" t="inlineStr">
        <is>
          <t>consumeBuffStacks</t>
        </is>
      </c>
      <c r="R660" s="9" t="inlineStr">
        <is>
          <t>{"kind":"periodicPulse","periodicPulse":{"intervalSec":10,"label":"消耗 3 层露水，&lt;battle&gt;对敌方造成 9 点伤害&lt;/battle&gt;"},"executors":[{"trigger":"onPeriodicPulse","type":"consumeBuffStacks","sourceBuffId":"dew","requiredStacks":3,"maxStacks":3,"battleDamageHealthPerStack":3,"support":"battleOnly","label":"消耗 3 层露水，&lt;battle&gt;对敌方造成 9 点伤害&lt;/battle&gt;"}],"label":"消耗 3 层露水，&lt;battle&gt;对敌方造成 9 点伤害&lt;/battle&gt;","starOverrides":{"1":{"periodicPulse":{"label":"消耗 6 层露水，&lt;battle&gt;对敌方造成 18 点伤害&lt;/battle&gt;"},"executors":[{"trigger":"onPeriodicPulse","type":"consumeBuffStacks","sourceBuffId":"dew","requiredStacks":6,"maxStacks":6,"battleDamageHealthPerStack":3,"support":"battleOnly","label":"消耗 6 层露水，&lt;battle&gt;对敌方造成 18 点伤害&lt;/battle&gt;"}],"label":"消耗 6 层露水，&lt;battle&gt;对敌方造成 18 点伤害&lt;/battle&gt;"},"2":{"periodicPulse":{"label":"消耗 9 层露水，&lt;battle&gt;对敌方造成 27 点伤害&lt;/battle&gt;"},"executors":[{"trigger":"onPeriodicPulse","type":"consumeBuffStacks","sourceBuffId":"dew","requiredStacks":9,"maxStacks":9,"battleDamageHealthPerStack":3,"support":"battleOnly","label":"消耗 9 层露水，&lt;battle&gt;对敌方造成 27 点伤害&lt;/battle&gt;"}],"label":"消耗 9 层露水，&lt;battle&gt;对敌方造成 27 点伤害&lt;/battle&gt;"},"3":{"periodicPulse":{"label":"消耗 12 层露水，&lt;battle&gt;对敌方造成 36 点伤害&lt;/battle&gt;"},"executors":[{"trigger":"onPeriodicPulse","type":"consumeBuffStacks","sourceBuffId":"dew","requiredStacks":12,"maxStacks":12,"battleDamageHealthPerStack":3,"support":"battleOnly","label":"消耗 12 层露水，&lt;battle&gt;对敌方造成 36 点伤害&lt;/battle&gt;"}],"label":"消耗 12 层露水，&lt;battle&gt;对敌方造成 36 点伤害&lt;/battle&gt;"}}}</t>
        </is>
      </c>
    </row>
    <row r="661" ht="32" customHeight="1">
      <c r="A661" s="8" t="n">
        <v>400341</v>
      </c>
      <c r="B661" s="8" t="inlineStr">
        <is>
          <t>瘴息香炉</t>
        </is>
      </c>
      <c r="C661" s="8" t="inlineStr">
        <is>
          <t>法器</t>
        </is>
      </c>
      <c r="D661" s="8" t="inlineStr">
        <is>
          <t>common</t>
        </is>
      </c>
      <c r="E661" s="8" t="inlineStr">
        <is>
          <t>wood</t>
        </is>
      </c>
      <c r="F661" s="8" t="n">
        <v>1</v>
      </c>
      <c r="G661" s="8" t="inlineStr">
        <is>
          <t>基础/顶层</t>
        </is>
      </c>
      <c r="H661" s="8" t="inlineStr"/>
      <c r="I661" s="9" t="inlineStr"/>
      <c r="J661" s="8" t="inlineStr"/>
      <c r="K661" s="8" t="inlineStr"/>
      <c r="L661" s="8" t="inlineStr"/>
      <c r="M661" s="8" t="inlineStr">
        <is>
          <t>周期触发</t>
        </is>
      </c>
      <c r="N661" s="8" t="inlineStr">
        <is>
          <t>periodicPulse</t>
        </is>
      </c>
      <c r="O661" s="9" t="inlineStr">
        <is>
          <t>对敌方施加 1 层中毒；对敌方施加 2 层中毒；对敌方施加 3 层中毒；对敌方施加 4 层中毒</t>
        </is>
      </c>
      <c r="P661" s="9" t="inlineStr"/>
      <c r="Q661" s="9" t="inlineStr"/>
      <c r="R661" s="9" t="inlineStr">
        <is>
          <t>{"kind":"periodicPulse","periodicPulse":{"intervalSec":12,"label":"&lt;battle&gt;对敌方施加 1 层中毒&lt;/battle&gt;","buffGains":[{"buffId":"poison","count":1,"target":"enemy"}]},"starOverrides":{"1":{"label":"&lt;battle&gt;对敌方施加 2 层中毒&lt;/battle&gt;","periodicPulse":{"buffGains":[{"count":2}]}},"2":{"label":"&lt;battle&gt;对敌方施加 3 层中毒&lt;/battle&gt;","periodicPulse":{"buffGains":[{"count":3}]}},"3":{"label":"&lt;battle&gt;对敌方施加 4 层中毒&lt;/battle&gt;","periodicPulse":{"buffGains":[{"count":4}]}}}}</t>
        </is>
      </c>
    </row>
    <row r="662" ht="32" customHeight="1">
      <c r="A662" s="8" t="n">
        <v>400342</v>
      </c>
      <c r="B662" s="8" t="inlineStr">
        <is>
          <t>余烬引火灯</t>
        </is>
      </c>
      <c r="C662" s="8" t="inlineStr">
        <is>
          <t>法器</t>
        </is>
      </c>
      <c r="D662" s="8" t="inlineStr">
        <is>
          <t>common</t>
        </is>
      </c>
      <c r="E662" s="8" t="inlineStr">
        <is>
          <t>fire</t>
        </is>
      </c>
      <c r="F662" s="8" t="n">
        <v>1</v>
      </c>
      <c r="G662" s="8" t="inlineStr">
        <is>
          <t>基础/顶层</t>
        </is>
      </c>
      <c r="H662" s="8" t="inlineStr"/>
      <c r="I662" s="9" t="inlineStr"/>
      <c r="J662" s="8" t="inlineStr"/>
      <c r="K662" s="8" t="inlineStr"/>
      <c r="L662" s="8" t="inlineStr"/>
      <c r="M662" s="8" t="inlineStr">
        <is>
          <t>周期触发</t>
        </is>
      </c>
      <c r="N662" s="8" t="inlineStr">
        <is>
          <t>periodicPulse</t>
        </is>
      </c>
      <c r="O662" s="9" t="inlineStr">
        <is>
          <t>开局：消耗 3 点法力，对敌方施加 3 层灼烧；开局：消耗 4 点法力，对敌方施加 4 层灼烧；开局：消耗 5 点法力，对敌方施加 5 层灼烧；开局：消耗 6 点法力，对敌方施加 6 层灼烧</t>
        </is>
      </c>
      <c r="P662" s="9" t="inlineStr"/>
      <c r="Q662" s="9" t="inlineStr"/>
      <c r="R662" s="9" t="inlineStr">
        <is>
          <t>{"kind":"periodicPulse","label":"开局：消耗 3 点法力，&lt;battle&gt;对敌方施加 3 层灼烧&lt;/battle&gt;","periodicPulse":{"startOnly":true,"primaryStatCosts":[{"stat":"mana","amount":3}],"label":"开局：消耗 3 点法力，&lt;battle&gt;对敌方施加 3 层灼烧&lt;/battle&gt;","buffGains":[{"buffId":"burning","count":3,"target":"enemy"}]},"starOverrides":{"1":{"label":"开局：消耗 4 点法力，&lt;battle&gt;对敌方施加 4 层灼烧&lt;/battle&gt;","periodicPulse":{"primaryStatCosts":[{"amount":4}],"buffGains":[{"count":4}]}},"2":{"label":"开局：消耗 5 点法力，&lt;battle&gt;对敌方施加 5 层灼烧&lt;/battle&gt;","periodicPulse":{"primaryStatCosts":[{"amount":5}],"buffGains":[{"count":5}]}},"3":{"label":"开局：消耗 6 点法力，&lt;battle&gt;对敌方施加 6 层灼烧&lt;/battle&gt;","periodicPulse":{"primaryStatCosts":[{"amount":6}],"buffGains":[{"count":6}]}}}}</t>
        </is>
      </c>
    </row>
    <row r="663" ht="32" customHeight="1">
      <c r="A663" s="8" t="n">
        <v>400343</v>
      </c>
      <c r="B663" s="8" t="inlineStr">
        <is>
          <t>霜砂漏壶</t>
        </is>
      </c>
      <c r="C663" s="8" t="inlineStr">
        <is>
          <t>法器</t>
        </is>
      </c>
      <c r="D663" s="8" t="inlineStr">
        <is>
          <t>common</t>
        </is>
      </c>
      <c r="E663" s="8" t="inlineStr">
        <is>
          <t>water</t>
        </is>
      </c>
      <c r="F663" s="8" t="n">
        <v>1</v>
      </c>
      <c r="G663" s="8" t="inlineStr">
        <is>
          <t>基础/顶层</t>
        </is>
      </c>
      <c r="H663" s="8" t="inlineStr"/>
      <c r="I663" s="9" t="inlineStr"/>
      <c r="J663" s="8" t="inlineStr"/>
      <c r="K663" s="8" t="inlineStr"/>
      <c r="L663" s="8" t="inlineStr"/>
      <c r="M663" s="8" t="inlineStr">
        <is>
          <t>周期触发</t>
        </is>
      </c>
      <c r="N663" s="8" t="inlineStr">
        <is>
          <t>periodicPulse</t>
        </is>
      </c>
      <c r="O663" s="9" t="inlineStr">
        <is>
          <t>对敌方施加 2 层冰霜；对敌方施加 3 层冰霜；对敌方施加 4 层冰霜；对敌方施加 5 层冰霜</t>
        </is>
      </c>
      <c r="P663" s="9" t="inlineStr"/>
      <c r="Q663" s="9" t="inlineStr"/>
      <c r="R663" s="9" t="inlineStr">
        <is>
          <t>{"kind":"periodicPulse","periodicPulse":{"intervalSec":12,"label":"&lt;battle&gt;对敌方施加 2 层冰霜&lt;/battle&gt;","buffGains":[{"buffId":"frost","count":2,"target":"enemy"}]},"starOverrides":{"1":{"label":"&lt;battle&gt;对敌方施加 3 层冰霜&lt;/battle&gt;","periodicPulse":{"buffGains":[{"count":3}]}},"2":{"label":"&lt;battle&gt;对敌方施加 4 层冰霜&lt;/battle&gt;","periodicPulse":{"buffGains":[{"count":4}]}},"3":{"label":"&lt;battle&gt;对敌方施加 5 层冰霜&lt;/battle&gt;","periodicPulse":{"buffGains":[{"count":5}]}}}}</t>
        </is>
      </c>
    </row>
    <row r="664" ht="32" customHeight="1">
      <c r="A664" s="8" t="n">
        <v>400343</v>
      </c>
      <c r="B664" s="8" t="inlineStr">
        <is>
          <t>霜砂漏壶</t>
        </is>
      </c>
      <c r="C664" s="8" t="inlineStr">
        <is>
          <t>法器</t>
        </is>
      </c>
      <c r="D664" s="8" t="inlineStr">
        <is>
          <t>common</t>
        </is>
      </c>
      <c r="E664" s="8" t="inlineStr">
        <is>
          <t>water</t>
        </is>
      </c>
      <c r="F664" s="8" t="n">
        <v>2</v>
      </c>
      <c r="G664" s="8" t="inlineStr">
        <is>
          <t>基础/顶层</t>
        </is>
      </c>
      <c r="H664" s="8" t="inlineStr"/>
      <c r="I664" s="9" t="inlineStr"/>
      <c r="J664" s="8" t="inlineStr"/>
      <c r="K664" s="8" t="inlineStr"/>
      <c r="L664" s="8" t="inlineStr"/>
      <c r="M664" s="8" t="inlineStr">
        <is>
          <t>周期触发</t>
        </is>
      </c>
      <c r="N664" s="8" t="inlineStr">
        <is>
          <t>periodicPulse</t>
        </is>
      </c>
      <c r="O664" s="9" t="inlineStr">
        <is>
          <t>使敌方随机 1 件道具减速 2 秒；使敌方随机 1 件道具减速 3 秒；使敌方随机 1 件道具减速 4 秒；使敌方随机 1 件道具减速 5 秒</t>
        </is>
      </c>
      <c r="P664" s="9" t="inlineStr"/>
      <c r="Q664" s="9" t="inlineStr"/>
      <c r="R664" s="9" t="inlineStr">
        <is>
          <t>{"kind":"periodicPulse","periodicPulse":{"intervalSec":12,"label":"&lt;battle&gt;使敌方随机 1 件道具减速 2 秒&lt;/battle&gt;","itemRuntimeStatusEffects":[{"itemRuntimeStatus":"slow","durationSec":2,"targetScope":"enemyRandom","amount":1}]},"starOverrides":{"1":{"label":"&lt;battle&gt;使敌方随机 1 件道具减速 3 秒&lt;/battle&gt;","periodicPulse":{"itemRuntimeStatusEffects":[{"durationSec":3}]}},"2":{"label":"&lt;battle&gt;使敌方随机 1 件道具减速 4 秒&lt;/battle&gt;","periodicPulse":{"itemRuntimeStatusEffects":[{"durationSec":4}]}},"3":{"label":"&lt;battle&gt;使敌方随机 1 件道具减速 5 秒&lt;/battle&gt;","periodicPulse":{"itemRuntimeStatusEffects":[{"durationSec":5}]}}}}</t>
        </is>
      </c>
    </row>
    <row r="665" ht="32" customHeight="1">
      <c r="A665" s="8" t="n">
        <v>400344</v>
      </c>
      <c r="B665" s="8" t="inlineStr">
        <is>
          <t>惊络铜铃</t>
        </is>
      </c>
      <c r="C665" s="8" t="inlineStr">
        <is>
          <t>法器</t>
        </is>
      </c>
      <c r="D665" s="8" t="inlineStr">
        <is>
          <t>common</t>
        </is>
      </c>
      <c r="E665" s="8" t="inlineStr">
        <is>
          <t>thunder</t>
        </is>
      </c>
      <c r="F665" s="8" t="n">
        <v>1</v>
      </c>
      <c r="G665" s="8" t="inlineStr">
        <is>
          <t>基础/顶层</t>
        </is>
      </c>
      <c r="H665" s="8" t="inlineStr"/>
      <c r="I665" s="9" t="inlineStr"/>
      <c r="J665" s="8" t="inlineStr"/>
      <c r="K665" s="8" t="inlineStr"/>
      <c r="L665" s="8" t="inlineStr"/>
      <c r="M665" s="8" t="inlineStr">
        <is>
          <t>周期触发</t>
        </is>
      </c>
      <c r="N665" s="8" t="inlineStr">
        <is>
          <t>periodicPulse</t>
        </is>
      </c>
      <c r="O665" s="9" t="inlineStr">
        <is>
          <t>对敌方施加 1 层麻痹；对敌方施加 2 层麻痹；对敌方施加 3 层麻痹；对敌方施加 4 层麻痹</t>
        </is>
      </c>
      <c r="P665" s="9" t="inlineStr"/>
      <c r="Q665" s="9" t="inlineStr"/>
      <c r="R665" s="9" t="inlineStr">
        <is>
          <t>{"kind":"periodicPulse","periodicPulse":{"intervalSec":12,"label":"&lt;battle&gt;对敌方施加 1 层麻痹&lt;/battle&gt;","buffGains":[{"buffId":"paralysis","count":1,"target":"enemy"}]},"starOverrides":{"1":{"label":"&lt;battle&gt;对敌方施加 2 层麻痹&lt;/battle&gt;","periodicPulse":{"buffGains":[{"count":2}]}},"2":{"label":"&lt;battle&gt;对敌方施加 3 层麻痹&lt;/battle&gt;","periodicPulse":{"buffGains":[{"count":3}]}},"3":{"label":"&lt;battle&gt;对敌方施加 4 层麻痹&lt;/battle&gt;","periodicPulse":{"buffGains":[{"count":4}]}}}}</t>
        </is>
      </c>
    </row>
    <row r="666" ht="32" customHeight="1">
      <c r="A666" s="8" t="n">
        <v>400345</v>
      </c>
      <c r="B666" s="8" t="inlineStr">
        <is>
          <t>雷砂引针</t>
        </is>
      </c>
      <c r="C666" s="8" t="inlineStr">
        <is>
          <t>法器</t>
        </is>
      </c>
      <c r="D666" s="8" t="inlineStr">
        <is>
          <t>common</t>
        </is>
      </c>
      <c r="E666" s="8" t="inlineStr">
        <is>
          <t>thunder</t>
        </is>
      </c>
      <c r="F666" s="8" t="n">
        <v>1</v>
      </c>
      <c r="G666" s="8" t="inlineStr">
        <is>
          <t>基础/顶层</t>
        </is>
      </c>
      <c r="H666" s="8" t="inlineStr"/>
      <c r="I666" s="9" t="inlineStr"/>
      <c r="J666" s="8" t="inlineStr"/>
      <c r="K666" s="8" t="inlineStr"/>
      <c r="L666" s="8" t="inlineStr"/>
      <c r="M666" s="8" t="inlineStr">
        <is>
          <t>周期触发</t>
        </is>
      </c>
      <c r="N666" s="8" t="inlineStr">
        <is>
          <t>periodicPulse</t>
        </is>
      </c>
      <c r="O666" s="9" t="inlineStr">
        <is>
          <t>获得 1 层引雷；获得 2 层引雷；获得 3 层引雷；获得 4 层引雷</t>
        </is>
      </c>
      <c r="P666" s="9" t="inlineStr"/>
      <c r="Q666" s="9" t="inlineStr"/>
      <c r="R666" s="9" t="inlineStr">
        <is>
          <t>{"kind":"periodicPulse","periodicPulse":{"intervalSec":12,"label":"获得 1 层引雷","buffGains":[{"buffId":"lightningCharge","count":1}]},"starOverrides":{"1":{"label":"获得 2 层引雷","periodicPulse":{"buffGains":[{"count":2}]}},"2":{"label":"获得 3 层引雷","periodicPulse":{"buffGains":[{"count":3}]}},"3":{"label":"获得 4 层引雷","periodicPulse":{"buffGains":[{"count":4}]}}}}</t>
        </is>
      </c>
    </row>
    <row r="667" ht="32" customHeight="1">
      <c r="A667" s="8" t="n">
        <v>400346</v>
      </c>
      <c r="B667" s="8" t="inlineStr">
        <is>
          <t>蓄霆木匣</t>
        </is>
      </c>
      <c r="C667" s="8" t="inlineStr">
        <is>
          <t>法器</t>
        </is>
      </c>
      <c r="D667" s="8" t="inlineStr">
        <is>
          <t>common</t>
        </is>
      </c>
      <c r="E667" s="8" t="inlineStr">
        <is>
          <t>thunder</t>
        </is>
      </c>
      <c r="F667" s="8" t="n">
        <v>1</v>
      </c>
      <c r="G667" s="8" t="inlineStr">
        <is>
          <t>基础/顶层</t>
        </is>
      </c>
      <c r="H667" s="8" t="inlineStr"/>
      <c r="I667" s="9" t="inlineStr"/>
      <c r="J667" s="8" t="inlineStr"/>
      <c r="K667" s="8" t="inlineStr"/>
      <c r="L667" s="8" t="inlineStr"/>
      <c r="M667" s="8" t="inlineStr">
        <is>
          <t>周期触发</t>
        </is>
      </c>
      <c r="N667" s="8" t="inlineStr">
        <is>
          <t>periodicPulse</t>
        </is>
      </c>
      <c r="O667" s="9" t="inlineStr">
        <is>
          <t>开局时，获得 4 层引雷；开局时，获得 5 层引雷；开局时，获得 6 层引雷；开局时，获得 7 层引雷</t>
        </is>
      </c>
      <c r="P667" s="9" t="inlineStr"/>
      <c r="Q667" s="9" t="inlineStr"/>
      <c r="R667" s="9" t="inlineStr">
        <is>
          <t>{"kind":"periodicPulse","label":"开局时，获得 4 层引雷","periodicPulse":{"startOnly":true,"label":"开局时，获得 4 层引雷","buffGains":[{"buffId":"lightningCharge","count":4}]},"starOverrides":{"1":{"label":"开局时，获得 5 层引雷","periodicPulse":{"label":"开局时，获得 5 层引雷","buffGains":[{"count":5}]}},"2":{"label":"开局时，获得 6 层引雷","periodicPulse":{"label":"开局时，获得 6 层引雷","buffGains":[{"count":6}]}},"3":{"label":"开局时，获得 7 层引雷","periodicPulse":{"label":"开局时，获得 7 层引雷","buffGains":[{"count":7}]}}}}</t>
        </is>
      </c>
    </row>
    <row r="668" ht="32" customHeight="1">
      <c r="A668" s="8" t="n">
        <v>400347</v>
      </c>
      <c r="B668" s="8" t="inlineStr">
        <is>
          <t>听脉雷环</t>
        </is>
      </c>
      <c r="C668" s="8" t="inlineStr">
        <is>
          <t>法器</t>
        </is>
      </c>
      <c r="D668" s="8" t="inlineStr">
        <is>
          <t>common</t>
        </is>
      </c>
      <c r="E668" s="8" t="inlineStr">
        <is>
          <t>thunder</t>
        </is>
      </c>
      <c r="F668" s="8" t="n">
        <v>1</v>
      </c>
      <c r="G668" s="8" t="inlineStr">
        <is>
          <t>基础/顶层</t>
        </is>
      </c>
      <c r="H668" s="8" t="inlineStr"/>
      <c r="I668" s="9" t="inlineStr"/>
      <c r="J668" s="8" t="inlineStr"/>
      <c r="K668" s="8" t="inlineStr"/>
      <c r="L668" s="8" t="inlineStr"/>
      <c r="M668" s="8" t="inlineStr">
        <is>
          <t>条件触发</t>
        </is>
      </c>
      <c r="N668" s="8" t="inlineStr">
        <is>
          <t>triggered</t>
        </is>
      </c>
      <c r="O668" s="9" t="inlineStr">
        <is>
          <t>每当消耗法力后，每消耗 3 点法力获得 1 层引雷，单次最多获得 2 层；每当消耗法力后，每消耗 3 点法力获得 1 层引雷，单次最多获得 3 层；每当消耗法力后，每消耗 3 点法力获得 1 层引雷，单次最多获得 4 层；每当消耗法力后，每消耗 3 点法力获得 1 层引雷，单次最多获得 5 层</t>
        </is>
      </c>
      <c r="P668" s="9" t="inlineStr">
        <is>
          <t>onPrimaryStatConsumed</t>
        </is>
      </c>
      <c r="Q668" s="9" t="inlineStr">
        <is>
          <t>applyBuff</t>
        </is>
      </c>
      <c r="R668" s="9" t="inlineStr">
        <is>
          <t>{"kind":"triggered","label":"每当消耗法力后，每消耗 3 点法力获得 1 层引雷，单次最多获得 2 层","triggeredEffect":{"trigger":"onPrimaryStatConsumed","type":"applyBuff","buffId":"lightningCharge","countPerEventPrimaryStatConsumed":{"stat":"mana","costPerStack":3,"maxCount":2},"targetActor":"self"},"starOverrides":{"1":{"label":"每当消耗法力后，每消耗 3 点法力获得 1 层引雷，单次最多获得 3 层","triggeredEffect":{"countPerEventPrimaryStatConsumed":{"maxCount":3}}},"2":{"label":"每当消耗法力后，每消耗 3 点法力获得 1 层引雷，单次最多获得 4 层","triggeredEffect":{"countPerEventPrimaryStatConsumed":{"maxCount":4}}},"3":{"label":"每当消耗法力后，每消耗 3 点法力获得 1 层引雷，单次最多获得 5 层","triggeredEffect":{"countPerEventPrimaryStatConsumed":{"maxCount":5}}}}}</t>
        </is>
      </c>
    </row>
    <row r="669" ht="32" customHeight="1">
      <c r="A669" s="8" t="n">
        <v>400348</v>
      </c>
      <c r="B669" s="8" t="inlineStr">
        <is>
          <t>应雷小鼓</t>
        </is>
      </c>
      <c r="C669" s="8" t="inlineStr">
        <is>
          <t>法器</t>
        </is>
      </c>
      <c r="D669" s="8" t="inlineStr">
        <is>
          <t>common</t>
        </is>
      </c>
      <c r="E669" s="8" t="inlineStr">
        <is>
          <t>thunder</t>
        </is>
      </c>
      <c r="F669" s="8" t="n">
        <v>1</v>
      </c>
      <c r="G669" s="8" t="inlineStr">
        <is>
          <t>基础/顶层</t>
        </is>
      </c>
      <c r="H669" s="8" t="inlineStr"/>
      <c r="I669" s="9" t="inlineStr"/>
      <c r="J669" s="8" t="inlineStr"/>
      <c r="K669" s="8" t="inlineStr"/>
      <c r="L669" s="8" t="inlineStr"/>
      <c r="M669" s="8" t="inlineStr">
        <is>
          <t>条件触发</t>
        </is>
      </c>
      <c r="N669" s="8" t="inlineStr">
        <is>
          <t>triggered</t>
        </is>
      </c>
      <c r="O669" s="9" t="inlineStr">
        <is>
          <t>其他道具的开局效果触发时，获得 1 层引雷；其他道具的开局效果触发时，获得 2 层引雷；其他道具的开局效果触发时，获得 3 层引雷；其他道具的开局效果触发时，获得 4 层引雷</t>
        </is>
      </c>
      <c r="P669" s="9" t="inlineStr">
        <is>
          <t>onOtherItemStartEffect</t>
        </is>
      </c>
      <c r="Q669" s="9" t="inlineStr">
        <is>
          <t>applyBuff；other</t>
        </is>
      </c>
      <c r="R669" s="9" t="inlineStr">
        <is>
          <t>{"kind":"triggered","label":"其他道具的开局效果触发时，获得 1 层引雷","triggeredEffect":{"trigger":"onOtherItemStartEffect","type":"applyBuff","buffId":"lightningCharge","count":1,"targetActor":"self","eventSource":{"target":{"type":"other"}}},"starOverrides":{"1":{"label":"其他道具的开局效果触发时，获得 2 层引雷","triggeredEffect":{"count":2}},"2":{"label":"其他道具的开局效果触发时，获得 3 层引雷","triggeredEffect":{"count":3}},"3":{"label":"其他道具的开局效果触发时，获得 4 层引雷","triggeredEffect":{"count":4}}}}</t>
        </is>
      </c>
    </row>
    <row r="670" ht="32" customHeight="1">
      <c r="A670" s="8" t="n">
        <v>400349</v>
      </c>
      <c r="B670" s="8" t="inlineStr">
        <is>
          <t>露引铜盘</t>
        </is>
      </c>
      <c r="C670" s="8" t="inlineStr">
        <is>
          <t>法器</t>
        </is>
      </c>
      <c r="D670" s="8" t="inlineStr">
        <is>
          <t>common</t>
        </is>
      </c>
      <c r="E670" s="8" t="inlineStr">
        <is>
          <t>thunder</t>
        </is>
      </c>
      <c r="F670" s="8" t="n">
        <v>1</v>
      </c>
      <c r="G670" s="8" t="inlineStr">
        <is>
          <t>基础/顶层</t>
        </is>
      </c>
      <c r="H670" s="8" t="inlineStr"/>
      <c r="I670" s="9" t="inlineStr"/>
      <c r="J670" s="8" t="inlineStr"/>
      <c r="K670" s="8" t="inlineStr"/>
      <c r="L670" s="8" t="inlineStr"/>
      <c r="M670" s="8" t="inlineStr">
        <is>
          <t>条件触发</t>
        </is>
      </c>
      <c r="N670" s="8" t="inlineStr">
        <is>
          <t>triggered</t>
        </is>
      </c>
      <c r="O670" s="9" t="inlineStr">
        <is>
          <t>每当其他道具使我方获得露水时，获得 1 层引雷；每当其他道具使我方获得露水时，获得 2 层引雷；每当其他道具使我方获得露水时，获得 3 层引雷；每当其他道具使我方获得露水时，获得 4 层引雷</t>
        </is>
      </c>
      <c r="P670" s="9" t="inlineStr">
        <is>
          <t>onBuffGain</t>
        </is>
      </c>
      <c r="Q670" s="9" t="inlineStr">
        <is>
          <t>applyBuff；other</t>
        </is>
      </c>
      <c r="R670" s="9" t="inlineStr">
        <is>
          <t>{"kind":"triggered","label":"每当其他道具使我方获得露水时，获得 1 层引雷","triggeredEffect":{"trigger":"onBuffGain","type":"applyBuff","eventBuffId":"dew","buffId":"lightningCharge","count":1,"targetActor":"self","eventSource":{"target":{"type":"other"}}},"starOverrides":{"1":{"label":"每当其他道具使我方获得露水时，获得 2 层引雷","triggeredEffect":{"count":2}},"2":{"label":"每当其他道具使我方获得露水时，获得 3 层引雷","triggeredEffect":{"count":3}},"3":{"label":"每当其他道具使我方获得露水时，获得 4 层引雷","triggeredEffect":{"count":4}}}}</t>
        </is>
      </c>
    </row>
    <row r="671" ht="32" customHeight="1">
      <c r="A671" s="8" t="n">
        <v>400350</v>
      </c>
      <c r="B671" s="8" t="inlineStr">
        <is>
          <t>玄铁蕴锋盏</t>
        </is>
      </c>
      <c r="C671" s="8" t="inlineStr">
        <is>
          <t>法器</t>
        </is>
      </c>
      <c r="D671" s="8" t="inlineStr">
        <is>
          <t>common</t>
        </is>
      </c>
      <c r="E671" s="8" t="inlineStr">
        <is>
          <t>metal</t>
        </is>
      </c>
      <c r="F671" s="8" t="n">
        <v>1</v>
      </c>
      <c r="G671" s="8" t="inlineStr">
        <is>
          <t>基础/顶层</t>
        </is>
      </c>
      <c r="H671" s="8" t="inlineStr"/>
      <c r="I671" s="9" t="inlineStr"/>
      <c r="J671" s="8" t="inlineStr"/>
      <c r="K671" s="8" t="inlineStr"/>
      <c r="L671" s="8" t="inlineStr"/>
      <c r="M671" s="8" t="inlineStr">
        <is>
          <t>周期触发</t>
        </is>
      </c>
      <c r="N671" s="8" t="inlineStr">
        <is>
          <t>periodicPulse</t>
        </is>
      </c>
      <c r="O671" s="9" t="inlineStr">
        <is>
          <t>位于储物袋边缘时，将 10 点法力转化为 4 层凝金；位于储物袋边缘时，将 12 点法力转化为 5 层凝金；位于储物袋边缘时，将 14 点法力转化为 6 层凝金；位于储物袋边缘时，将 16 点法力转化为 7 层凝金</t>
        </is>
      </c>
      <c r="P671" s="9" t="inlineStr"/>
      <c r="Q671" s="9" t="inlineStr"/>
      <c r="R671" s="9" t="inlineStr">
        <is>
          <t>{"kind":"periodicPulse","label":"位于储物袋边缘时，将 10 点法力转化为 4 层凝金","periodicPulse":{"intervalSec":8,"label":"位于储物袋边缘时，将 10 点法力转化为 4 层凝金","activationRequirements":{"sourceEdges":["top","bottom","left","right"]},"primaryStatCosts":[{"stat":"mana","amount":10}],"buffGains":[{"buffId":"condensedMetal","count":4}]},"starOverrides":{"1":{"label":"位于储物袋边缘时，将 12 点法力转化为 5 层凝金","periodicPulse":{"primaryStatCosts":[{"amount":12}],"buffGains":[{"count":5}]}},"2":{"label":"位于储物袋边缘时，将 14 点法力转化为 6 层凝金","periodicPulse":{"primaryStatCosts":[{"amount":14}],"buffGains":[{"count":6}]}},"3":{"label":"位于储物袋边缘时，将 16 点法力转化为 7 层凝金","periodicPulse":{"primaryStatCosts":[{"amount":16}],"buffGains":[{"count":7}]}}}}</t>
        </is>
      </c>
    </row>
    <row r="672" ht="32" customHeight="1">
      <c r="A672" s="8" t="n">
        <v>400351</v>
      </c>
      <c r="B672" s="8" t="inlineStr">
        <is>
          <t>四隅聚金盘</t>
        </is>
      </c>
      <c r="C672" s="8" t="inlineStr">
        <is>
          <t>法器</t>
        </is>
      </c>
      <c r="D672" s="8" t="inlineStr">
        <is>
          <t>common</t>
        </is>
      </c>
      <c r="E672" s="8" t="inlineStr">
        <is>
          <t>metal</t>
        </is>
      </c>
      <c r="F672" s="8" t="n">
        <v>1</v>
      </c>
      <c r="G672" s="8" t="inlineStr">
        <is>
          <t>基础/顶层</t>
        </is>
      </c>
      <c r="H672" s="8" t="inlineStr"/>
      <c r="I672" s="9" t="inlineStr"/>
      <c r="J672" s="8" t="inlineStr"/>
      <c r="K672" s="8" t="inlineStr"/>
      <c r="L672" s="8" t="inlineStr"/>
      <c r="M672" s="8" t="inlineStr">
        <is>
          <t>周期触发</t>
        </is>
      </c>
      <c r="N672" s="8" t="inlineStr">
        <is>
          <t>periodicPulse</t>
        </is>
      </c>
      <c r="O672" s="9" t="inlineStr">
        <is>
          <t>每有 1 件相邻金属性道具，获得 2 层凝金，最多计算 3 件；每有 1 件相邻金属性道具，获得 3 层凝金，最多计算 3 件；每有 1 件相邻金属性道具，获得 4 层凝金，最多计算 3 件；每有 1 件相邻金属性道具，获得 5 层凝金，最多计算 3 件</t>
        </is>
      </c>
      <c r="P672" s="9" t="inlineStr"/>
      <c r="Q672" s="9" t="inlineStr"/>
      <c r="R672" s="9" t="inlineStr">
        <is>
          <t>{"kind":"periodicPulse","label":"每有 1 件相邻金属性道具，获得 2 层凝金，最多计算 3 件","periodicPulse":{"intervalSec":8,"label":"每有 1 件相邻金属性道具，获得 2 层凝金，最多计算 3 件","buffGains":[{"buffId":"condensedMetal","count":2}],"scaling":{"mode":"count","source":"adjacentItems","elements":["metal"],"maxCount":3,"excludeSelf":true}},"starOverrides":{"1":{"label":"每有 1 件相邻金属性道具，获得 3 层凝金，最多计算 3 件","periodicPulse":{"buffGains":[{"count":3}]}},"2":{"label":"每有 1 件相邻金属性道具，获得 4 层凝金，最多计算 3 件","periodicPulse":{"buffGains":[{"count":4}]}},"3":{"label":"每有 1 件相邻金属性道具，获得 5 层凝金，最多计算 3 件","periodicPulse":{"buffGains":[{"count":5}]}}}}</t>
        </is>
      </c>
    </row>
    <row r="673" ht="32" customHeight="1">
      <c r="A673" s="8" t="n">
        <v>400352</v>
      </c>
      <c r="B673" s="8" t="inlineStr">
        <is>
          <t>青芽回生灯</t>
        </is>
      </c>
      <c r="C673" s="8" t="inlineStr">
        <is>
          <t>法器</t>
        </is>
      </c>
      <c r="D673" s="8" t="inlineStr">
        <is>
          <t>common</t>
        </is>
      </c>
      <c r="E673" s="8" t="inlineStr">
        <is>
          <t>wood</t>
        </is>
      </c>
      <c r="F673" s="8" t="n">
        <v>1</v>
      </c>
      <c r="G673" s="8" t="inlineStr">
        <is>
          <t>基础/顶层</t>
        </is>
      </c>
      <c r="H673" s="8" t="inlineStr"/>
      <c r="I673" s="9" t="inlineStr"/>
      <c r="J673" s="8" t="inlineStr"/>
      <c r="K673" s="8" t="inlineStr"/>
      <c r="L673" s="8" t="inlineStr"/>
      <c r="M673" s="8" t="inlineStr">
        <is>
          <t>周期触发</t>
        </is>
      </c>
      <c r="N673" s="8" t="inlineStr">
        <is>
          <t>periodicPulse</t>
        </is>
      </c>
      <c r="O673" s="9" t="inlineStr">
        <is>
          <t>位于储物袋边缘时，将 3 点体力转化为 2 层再生；位于储物袋边缘时，将 6 点体力转化为 4 层再生；位于储物袋边缘时，将 9 点体力转化为 6 层再生；位于储物袋边缘时，将 12 点体力转化为 8 层再生</t>
        </is>
      </c>
      <c r="P673" s="9" t="inlineStr"/>
      <c r="Q673" s="9" t="inlineStr"/>
      <c r="R673" s="9" t="inlineStr">
        <is>
          <t>{"kind":"periodicPulse","label":"位于储物袋边缘时，将 3 点体力转化为 2 层再生","periodicPulse":{"intervalSec":12,"label":"位于储物袋边缘时，将 3 点体力转化为 2 层再生","activationRequirements":{"sourceEdges":["top","bottom","left","right"]},"primaryStatCosts":[{"stat":"stamina","amount":3}],"buffGains":[{"buffId":"regeneration","count":2}]},"starOverrides":{"1":{"label":"位于储物袋边缘时，将 6 点体力转化为 4 层再生","periodicPulse":{"primaryStatCosts":[{"amount":6}],"buffGains":[{"count":4}]}},"2":{"label":"位于储物袋边缘时，将 9 点体力转化为 6 层再生","periodicPulse":{"primaryStatCosts":[{"amount":9}],"buffGains":[{"count":6}]}},"3":{"label":"位于储物袋边缘时，将 12 点体力转化为 8 层再生","periodicPulse":{"primaryStatCosts":[{"amount":12}],"buffGains":[{"count":8}]}}}}</t>
        </is>
      </c>
    </row>
    <row r="674" ht="32" customHeight="1">
      <c r="A674" s="8" t="n">
        <v>400353</v>
      </c>
      <c r="B674" s="8" t="inlineStr">
        <is>
          <t>汲露藤壶</t>
        </is>
      </c>
      <c r="C674" s="8" t="inlineStr">
        <is>
          <t>法器</t>
        </is>
      </c>
      <c r="D674" s="8" t="inlineStr">
        <is>
          <t>common</t>
        </is>
      </c>
      <c r="E674" s="8" t="inlineStr">
        <is>
          <t>wood</t>
        </is>
      </c>
      <c r="F674" s="8" t="n">
        <v>1</v>
      </c>
      <c r="G674" s="8" t="inlineStr">
        <is>
          <t>基础/顶层</t>
        </is>
      </c>
      <c r="H674" s="8" t="inlineStr"/>
      <c r="I674" s="9" t="inlineStr"/>
      <c r="J674" s="8" t="inlineStr"/>
      <c r="K674" s="8" t="inlineStr"/>
      <c r="L674" s="8" t="inlineStr"/>
      <c r="M674" s="8" t="inlineStr">
        <is>
          <t>周期触发</t>
        </is>
      </c>
      <c r="N674" s="8" t="inlineStr">
        <is>
          <t>periodicPulse</t>
        </is>
      </c>
      <c r="O674" s="9" t="inlineStr">
        <is>
          <t>上方相邻水属性道具时，将 5 点法力转化为 2 层再生；上方相邻水属性道具时，将 10 点法力转化为 4 层再生；上方相邻水属性道具时，将 15 点法力转化为 6 层再生；上方相邻水属性道具时，将 20 点法力转化为 8 层再生</t>
        </is>
      </c>
      <c r="P674" s="9" t="inlineStr"/>
      <c r="Q674" s="9" t="inlineStr"/>
      <c r="R674" s="9" t="inlineStr">
        <is>
          <t>{"kind":"periodicPulse","label":"上方相邻水属性道具时，将 5 点法力转化为 2 层再生","periodicPulse":{"intervalSec":12,"label":"上方相邻水属性道具时，将 5 点法力转化为 2 层再生","activationRequirements":{"directionalNeighbors":[{"direction":"up","elements":["water"]}]},"primaryStatCosts":[{"stat":"mana","amount":5}],"buffGains":[{"buffId":"regeneration","count":2}]},"starOverrides":{"1":{"label":"上方相邻水属性道具时，将 10 点法力转化为 4 层再生","periodicPulse":{"primaryStatCosts":[{"amount":10}],"buffGains":[{"count":4}]}},"2":{"label":"上方相邻水属性道具时，将 15 点法力转化为 6 层再生","periodicPulse":{"primaryStatCosts":[{"amount":15}],"buffGains":[{"count":6}]}},"3":{"label":"上方相邻水属性道具时，将 20 点法力转化为 8 层再生","periodicPulse":{"primaryStatCosts":[{"amount":20}],"buffGains":[{"count":8}]}}}}</t>
        </is>
      </c>
    </row>
    <row r="675" ht="32" customHeight="1">
      <c r="A675" s="8" t="n">
        <v>400354</v>
      </c>
      <c r="B675" s="8" t="inlineStr">
        <is>
          <t>锻息铜炉</t>
        </is>
      </c>
      <c r="C675" s="8" t="inlineStr">
        <is>
          <t>法器</t>
        </is>
      </c>
      <c r="D675" s="8" t="inlineStr">
        <is>
          <t>common</t>
        </is>
      </c>
      <c r="E675" s="8" t="inlineStr">
        <is>
          <t>metal</t>
        </is>
      </c>
      <c r="F675" s="8" t="n">
        <v>1</v>
      </c>
      <c r="G675" s="8" t="inlineStr">
        <is>
          <t>基础/顶层</t>
        </is>
      </c>
      <c r="H675" s="8" t="inlineStr"/>
      <c r="I675" s="9" t="inlineStr"/>
      <c r="J675" s="8" t="inlineStr"/>
      <c r="K675" s="8" t="inlineStr"/>
      <c r="L675" s="8" t="inlineStr"/>
      <c r="M675" s="8" t="inlineStr">
        <is>
          <t>周期触发</t>
        </is>
      </c>
      <c r="N675" s="8" t="inlineStr">
        <is>
          <t>periodicPulse</t>
        </is>
      </c>
      <c r="O675" s="9" t="inlineStr">
        <is>
          <t>将 2 点法力转化为 3 层凝金；将 2 点法力转化为 4 层凝金；将 3 点法力转化为 5 层凝金；将 3 点法力转化为 6 层凝金</t>
        </is>
      </c>
      <c r="P675" s="9" t="inlineStr"/>
      <c r="Q675" s="9" t="inlineStr"/>
      <c r="R675" s="9" t="inlineStr">
        <is>
          <t>{"kind":"periodicPulse","label":"将 2 点法力转化为 3 层凝金","periodicPulse":{"intervalSec":8,"label":"将 2 点法力转化为 3 层凝金","primaryStatCosts":[{"stat":"mana","amount":2}],"buffGains":[{"buffId":"condensedMetal","count":3}]},"starOverrides":{"1":{"label":"将 2 点法力转化为 4 层凝金","periodicPulse":{"primaryStatCosts":[{"amount":2}],"buffGains":[{"count":4}]}},"2":{"label":"将 3 点法力转化为 5 层凝金","periodicPulse":{"primaryStatCosts":[{"amount":3}],"buffGains":[{"count":5}]}},"3":{"label":"将 3 点法力转化为 6 层凝金","periodicPulse":{"primaryStatCosts":[{"amount":3}],"buffGains":[{"count":6}]}}}}</t>
        </is>
      </c>
    </row>
    <row r="676" ht="32" customHeight="1">
      <c r="A676" s="8" t="n">
        <v>400355</v>
      </c>
      <c r="B676" s="8" t="inlineStr">
        <is>
          <t>吞锋磁匣</t>
        </is>
      </c>
      <c r="C676" s="8" t="inlineStr">
        <is>
          <t>法器</t>
        </is>
      </c>
      <c r="D676" s="8" t="inlineStr">
        <is>
          <t>common</t>
        </is>
      </c>
      <c r="E676" s="8" t="inlineStr">
        <is>
          <t>metal</t>
        </is>
      </c>
      <c r="F676" s="8" t="n">
        <v>1</v>
      </c>
      <c r="G676" s="8" t="inlineStr">
        <is>
          <t>基础/顶层</t>
        </is>
      </c>
      <c r="H676" s="8" t="inlineStr"/>
      <c r="I676" s="9" t="inlineStr"/>
      <c r="J676" s="8" t="inlineStr"/>
      <c r="K676" s="8" t="inlineStr"/>
      <c r="L676" s="8" t="inlineStr"/>
      <c r="M676" s="8" t="inlineStr">
        <is>
          <t>周期触发</t>
        </is>
      </c>
      <c r="N676" s="8" t="inlineStr">
        <is>
          <t>periodicPulse</t>
        </is>
      </c>
      <c r="O676" s="9" t="inlineStr">
        <is>
          <t>将 8 点体力转化为 4 层凝金；将 12 点体力转化为 6 层凝金；将 16 点体力转化为 8 层凝金；将 20 点体力转化为 10 层凝金</t>
        </is>
      </c>
      <c r="P676" s="9" t="inlineStr"/>
      <c r="Q676" s="9" t="inlineStr"/>
      <c r="R676" s="9" t="inlineStr">
        <is>
          <t>{"kind":"periodicPulse","label":"将 8 点体力转化为 4 层凝金","periodicPulse":{"intervalSec":8,"label":"将 8 点体力转化为 4 层凝金","primaryStatCosts":[{"stat":"stamina","amount":8}],"buffGains":[{"buffId":"condensedMetal","count":4}]},"starOverrides":{"1":{"label":"将 12 点体力转化为 6 层凝金","periodicPulse":{"primaryStatCosts":[{"amount":12}],"buffGains":[{"count":6}]}},"2":{"label":"将 16 点体力转化为 8 层凝金","periodicPulse":{"primaryStatCosts":[{"amount":16}],"buffGains":[{"count":8}]}},"3":{"label":"将 20 点体力转化为 10 层凝金","periodicPulse":{"primaryStatCosts":[{"amount":20}],"buffGains":[{"count":10}]}}}}</t>
        </is>
      </c>
    </row>
    <row r="677" ht="32" customHeight="1">
      <c r="A677" s="8" t="n">
        <v>400356</v>
      </c>
      <c r="B677" s="8" t="inlineStr">
        <is>
          <t>双锋锁气架</t>
        </is>
      </c>
      <c r="C677" s="8" t="inlineStr">
        <is>
          <t>法器</t>
        </is>
      </c>
      <c r="D677" s="8" t="inlineStr">
        <is>
          <t>common</t>
        </is>
      </c>
      <c r="E677" s="8" t="inlineStr">
        <is>
          <t>metal</t>
        </is>
      </c>
      <c r="F677" s="8" t="n">
        <v>1</v>
      </c>
      <c r="G677" s="8" t="inlineStr">
        <is>
          <t>基础/顶层</t>
        </is>
      </c>
      <c r="H677" s="8" t="inlineStr"/>
      <c r="I677" s="9" t="inlineStr"/>
      <c r="J677" s="8" t="inlineStr"/>
      <c r="K677" s="8" t="inlineStr"/>
      <c r="L677" s="8" t="inlineStr"/>
      <c r="M677" s="8" t="inlineStr">
        <is>
          <t>周期触发</t>
        </is>
      </c>
      <c r="N677" s="8" t="inlineStr">
        <is>
          <t>periodicPulse</t>
        </is>
      </c>
      <c r="O677" s="9" t="inlineStr">
        <is>
          <t>左右两侧均相邻金属性道具时，将 8 点法力转化为 4 层凝金；左右两侧均相邻金属性道具时，将 10 点法力转化为 5 层凝金；左右两侧均相邻金属性道具时，将 12 点法力转化为 6 层凝金；左右两侧均相邻金属性道具时，将 14 点法力转化为 7 层凝金</t>
        </is>
      </c>
      <c r="P677" s="9" t="inlineStr"/>
      <c r="Q677" s="9" t="inlineStr"/>
      <c r="R677" s="9" t="inlineStr">
        <is>
          <t>{"kind":"periodicPulse","label":"左右两侧均相邻金属性道具时，将 8 点法力转化为 4 层凝金","periodicPulse":{"intervalSec":8,"label":"左右两侧均相邻金属性道具时，将 8 点法力转化为 4 层凝金","activationRequirements":{"directionalNeighbors":[{"direction":"left","elements":["metal"]},{"direction":"right","elements":["metal"]}]},"primaryStatCosts":[{"stat":"mana","amount":8}],"buffGains":[{"buffId":"condensedMetal","count":4}]},"starOverrides":{"1":{"label":"左右两侧均相邻金属性道具时，将 10 点法力转化为 5 层凝金","periodicPulse":{"primaryStatCosts":[{"amount":10}],"buffGains":[{"count":5}]}},"2":{"label":"左右两侧均相邻金属性道具时，将 12 点法力转化为 6 层凝金","periodicPulse":{"primaryStatCosts":[{"amount":12}],"buffGains":[{"count":6}]}},"3":{"label":"左右两侧均相邻金属性道具时，将 14 点法力转化为 7 层凝金","periodicPulse":{"primaryStatCosts":[{"amount":14}],"buffGains":[{"count":7}]}}}}</t>
        </is>
      </c>
    </row>
    <row r="678" ht="32" customHeight="1">
      <c r="A678" s="8" t="n">
        <v>400357</v>
      </c>
      <c r="B678" s="8" t="inlineStr">
        <is>
          <t>养元木鱼</t>
        </is>
      </c>
      <c r="C678" s="8" t="inlineStr">
        <is>
          <t>法器</t>
        </is>
      </c>
      <c r="D678" s="8" t="inlineStr">
        <is>
          <t>common</t>
        </is>
      </c>
      <c r="E678" s="8" t="inlineStr">
        <is>
          <t>wood</t>
        </is>
      </c>
      <c r="F678" s="8" t="n">
        <v>1</v>
      </c>
      <c r="G678" s="8" t="inlineStr">
        <is>
          <t>基础/顶层</t>
        </is>
      </c>
      <c r="H678" s="8" t="inlineStr"/>
      <c r="I678" s="9" t="inlineStr"/>
      <c r="J678" s="8" t="inlineStr"/>
      <c r="K678" s="8" t="inlineStr"/>
      <c r="L678" s="8" t="inlineStr"/>
      <c r="M678" s="8" t="inlineStr">
        <is>
          <t>周期触发</t>
        </is>
      </c>
      <c r="N678" s="8" t="inlineStr">
        <is>
          <t>periodicPulse</t>
        </is>
      </c>
      <c r="O678" s="9" t="inlineStr">
        <is>
          <t>将 7 点法力转化为 3 层再生；将 9 点法力转化为 4 层再生；将 11 点法力转化为 5 层再生；将 13 点法力转化为 6 层再生</t>
        </is>
      </c>
      <c r="P678" s="9" t="inlineStr"/>
      <c r="Q678" s="9" t="inlineStr"/>
      <c r="R678" s="9" t="inlineStr">
        <is>
          <t>{"kind":"periodicPulse","label":"将 7 点法力转化为 3 层再生","periodicPulse":{"intervalSec":8,"label":"将 7 点法力转化为 3 层再生","primaryStatCosts":[{"stat":"mana","amount":7}],"buffGains":[{"buffId":"regeneration","count":3}]},"starOverrides":{"1":{"label":"将 9 点法力转化为 4 层再生","periodicPulse":{"primaryStatCosts":[{"amount":9}],"buffGains":[{"count":4}]}},"2":{"label":"将 11 点法力转化为 5 层再生","periodicPulse":{"primaryStatCosts":[{"amount":11}],"buffGains":[{"count":5}]}},"3":{"label":"将 13 点法力转化为 6 层再生","periodicPulse":{"primaryStatCosts":[{"amount":13}],"buffGains":[{"count":6}]}}}}</t>
        </is>
      </c>
    </row>
    <row r="679" ht="32" customHeight="1">
      <c r="A679" s="8" t="n">
        <v>400358</v>
      </c>
      <c r="B679" s="8" t="inlineStr">
        <is>
          <t>血芽药钵</t>
        </is>
      </c>
      <c r="C679" s="8" t="inlineStr">
        <is>
          <t>法器</t>
        </is>
      </c>
      <c r="D679" s="8" t="inlineStr">
        <is>
          <t>common</t>
        </is>
      </c>
      <c r="E679" s="8" t="inlineStr">
        <is>
          <t>wood</t>
        </is>
      </c>
      <c r="F679" s="8" t="n">
        <v>1</v>
      </c>
      <c r="G679" s="8" t="inlineStr">
        <is>
          <t>基础/顶层</t>
        </is>
      </c>
      <c r="H679" s="8" t="inlineStr"/>
      <c r="I679" s="9" t="inlineStr"/>
      <c r="J679" s="8" t="inlineStr"/>
      <c r="K679" s="8" t="inlineStr"/>
      <c r="L679" s="8" t="inlineStr"/>
      <c r="M679" s="8" t="inlineStr">
        <is>
          <t>周期触发</t>
        </is>
      </c>
      <c r="N679" s="8" t="inlineStr">
        <is>
          <t>periodicPulse</t>
        </is>
      </c>
      <c r="O679" s="9" t="inlineStr">
        <is>
          <t>将 12 点体力转化为 7 层再生；将 14 点体力转化为 8 层再生；将 16 点体力转化为 9 层再生；将 18 点体力转化为 10 层再生</t>
        </is>
      </c>
      <c r="P679" s="9" t="inlineStr"/>
      <c r="Q679" s="9" t="inlineStr"/>
      <c r="R679" s="9" t="inlineStr">
        <is>
          <t>{"kind":"periodicPulse","label":"将 12 点体力转化为 7 层再生","periodicPulse":{"intervalSec":8,"label":"将 12 点体力转化为 7 层再生","primaryStatCosts":[{"stat":"stamina","amount":12}],"buffGains":[{"buffId":"regeneration","count":7}]},"starOverrides":{"1":{"label":"将 14 点体力转化为 8 层再生","periodicPulse":{"primaryStatCosts":[{"amount":14}],"buffGains":[{"count":8}]}},"2":{"label":"将 16 点体力转化为 9 层再生","periodicPulse":{"primaryStatCosts":[{"amount":16}],"buffGains":[{"count":9}]}},"3":{"label":"将 18 点体力转化为 10 层再生","periodicPulse":{"primaryStatCosts":[{"amount":18}],"buffGains":[{"count":10}]}}}}</t>
        </is>
      </c>
    </row>
    <row r="680" ht="32" customHeight="1">
      <c r="A680" s="8" t="n">
        <v>400359</v>
      </c>
      <c r="B680" s="8" t="inlineStr">
        <is>
          <t>四时栽盘</t>
        </is>
      </c>
      <c r="C680" s="8" t="inlineStr">
        <is>
          <t>法器</t>
        </is>
      </c>
      <c r="D680" s="8" t="inlineStr">
        <is>
          <t>common</t>
        </is>
      </c>
      <c r="E680" s="8" t="inlineStr">
        <is>
          <t>wood</t>
        </is>
      </c>
      <c r="F680" s="8" t="n">
        <v>1</v>
      </c>
      <c r="G680" s="8" t="inlineStr">
        <is>
          <t>基础/顶层</t>
        </is>
      </c>
      <c r="H680" s="8" t="inlineStr"/>
      <c r="I680" s="9" t="inlineStr"/>
      <c r="J680" s="8" t="inlineStr"/>
      <c r="K680" s="8" t="inlineStr"/>
      <c r="L680" s="8" t="inlineStr"/>
      <c r="M680" s="8" t="inlineStr">
        <is>
          <t>周期触发</t>
        </is>
      </c>
      <c r="N680" s="8" t="inlineStr">
        <is>
          <t>periodicPulse</t>
        </is>
      </c>
      <c r="O680" s="9" t="inlineStr">
        <is>
          <t>每有 1 件相邻木属性道具，获得 1 层再生，最多计算 3 件；每有 1 件相邻木属性道具，获得 2 层再生，最多计算 3 件；每有 1 件相邻木属性道具，获得 3 层再生，最多计算 3 件；每有 1 件相邻木属性道具，获得 4 层再生，最多计算 3 件</t>
        </is>
      </c>
      <c r="P680" s="9" t="inlineStr"/>
      <c r="Q680" s="9" t="inlineStr"/>
      <c r="R680" s="9" t="inlineStr">
        <is>
          <t>{"kind":"periodicPulse","label":"每有 1 件相邻木属性道具，获得 1 层再生，最多计算 3 件","periodicPulse":{"intervalSec":12,"label":"每有 1 件相邻木属性道具，获得 1 层再生，最多计算 3 件","buffGains":[{"buffId":"regeneration","count":1}],"scaling":{"mode":"count","source":"adjacentItems","elements":["wood"],"maxCount":3,"excludeSelf":true}},"starOverrides":{"1":{"label":"每有 1 件相邻木属性道具，获得 2 层再生，最多计算 3 件","periodicPulse":{"buffGains":[{"count":2}]}},"2":{"label":"每有 1 件相邻木属性道具，获得 3 层再生，最多计算 3 件","periodicPulse":{"buffGains":[{"count":3}]}},"3":{"label":"每有 1 件相邻木属性道具，获得 4 层再生，最多计算 3 件","periodicPulse":{"buffGains":[{"count":4}]}}}}</t>
        </is>
      </c>
    </row>
    <row r="681" ht="32" customHeight="1">
      <c r="A681" s="8" t="n">
        <v>400360</v>
      </c>
      <c r="B681" s="8" t="inlineStr">
        <is>
          <t>聚露青盏</t>
        </is>
      </c>
      <c r="C681" s="8" t="inlineStr">
        <is>
          <t>法器</t>
        </is>
      </c>
      <c r="D681" s="8" t="inlineStr">
        <is>
          <t>common</t>
        </is>
      </c>
      <c r="E681" s="8" t="inlineStr">
        <is>
          <t>water</t>
        </is>
      </c>
      <c r="F681" s="8" t="n">
        <v>1</v>
      </c>
      <c r="G681" s="8" t="inlineStr">
        <is>
          <t>基础/顶层</t>
        </is>
      </c>
      <c r="H681" s="8" t="inlineStr"/>
      <c r="I681" s="9" t="inlineStr"/>
      <c r="J681" s="8" t="inlineStr"/>
      <c r="K681" s="8" t="inlineStr"/>
      <c r="L681" s="8" t="inlineStr"/>
      <c r="M681" s="8" t="inlineStr">
        <is>
          <t>周期触发</t>
        </is>
      </c>
      <c r="N681" s="8" t="inlineStr">
        <is>
          <t>periodicPulse</t>
        </is>
      </c>
      <c r="O681" s="9" t="inlineStr">
        <is>
          <t>将 2 点法力转化为 3 层露水；将 2 点法力转化为 4 层露水；将 3 点法力转化为 5 层露水；将 3 点法力转化为 6 层露水</t>
        </is>
      </c>
      <c r="P681" s="9" t="inlineStr"/>
      <c r="Q681" s="9" t="inlineStr"/>
      <c r="R681" s="9" t="inlineStr">
        <is>
          <t>{"kind":"periodicPulse","label":"将 2 点法力转化为 3 层露水","periodicPulse":{"intervalSec":8,"label":"将 2 点法力转化为 3 层露水","primaryStatCosts":[{"stat":"mana","amount":2}],"buffGains":[{"buffId":"dew","count":3}]},"starOverrides":{"1":{"label":"将 2 点法力转化为 4 层露水","periodicPulse":{"primaryStatCosts":[{"amount":2}],"buffGains":[{"count":4}]}},"2":{"label":"将 3 点法力转化为 5 层露水","periodicPulse":{"primaryStatCosts":[{"amount":3}],"buffGains":[{"count":5}]}},"3":{"label":"将 3 点法力转化为 6 层露水","periodicPulse":{"primaryStatCosts":[{"amount":3}],"buffGains":[{"count":6}]}}}}</t>
        </is>
      </c>
    </row>
    <row r="682" ht="32" customHeight="1">
      <c r="A682" s="8" t="n">
        <v>400361</v>
      </c>
      <c r="B682" s="8" t="inlineStr">
        <is>
          <t>化息水轮</t>
        </is>
      </c>
      <c r="C682" s="8" t="inlineStr">
        <is>
          <t>法器</t>
        </is>
      </c>
      <c r="D682" s="8" t="inlineStr">
        <is>
          <t>common</t>
        </is>
      </c>
      <c r="E682" s="8" t="inlineStr">
        <is>
          <t>water</t>
        </is>
      </c>
      <c r="F682" s="8" t="n">
        <v>1</v>
      </c>
      <c r="G682" s="8" t="inlineStr">
        <is>
          <t>基础/顶层</t>
        </is>
      </c>
      <c r="H682" s="8" t="inlineStr"/>
      <c r="I682" s="9" t="inlineStr"/>
      <c r="J682" s="8" t="inlineStr"/>
      <c r="K682" s="8" t="inlineStr"/>
      <c r="L682" s="8" t="inlineStr"/>
      <c r="M682" s="8" t="inlineStr">
        <is>
          <t>周期触发</t>
        </is>
      </c>
      <c r="N682" s="8" t="inlineStr">
        <is>
          <t>periodicPulse</t>
        </is>
      </c>
      <c r="O682" s="9" t="inlineStr">
        <is>
          <t>将 4 点体力转化为 7 层露水；将 4 点体力转化为 8 层露水；将 5 点体力转化为 9 层露水；将 5 点体力转化为 10 层露水</t>
        </is>
      </c>
      <c r="P682" s="9" t="inlineStr"/>
      <c r="Q682" s="9" t="inlineStr"/>
      <c r="R682" s="9" t="inlineStr">
        <is>
          <t>{"kind":"periodicPulse","label":"将 4 点体力转化为 7 层露水","periodicPulse":{"intervalSec":8,"label":"将 4 点体力转化为 7 层露水","primaryStatCosts":[{"stat":"stamina","amount":4}],"buffGains":[{"buffId":"dew","count":7}]},"starOverrides":{"1":{"label":"将 4 点体力转化为 8 层露水","periodicPulse":{"primaryStatCosts":[{"amount":4}],"buffGains":[{"count":8}]}},"2":{"label":"将 5 点体力转化为 9 层露水","periodicPulse":{"primaryStatCosts":[{"amount":5}],"buffGains":[{"count":9}]}},"3":{"label":"将 5 点体力转化为 10 层露水","periodicPulse":{"primaryStatCosts":[{"amount":5}],"buffGains":[{"count":10}]}}}}</t>
        </is>
      </c>
    </row>
    <row r="683" ht="32" customHeight="1">
      <c r="A683" s="8" t="n">
        <v>400362</v>
      </c>
      <c r="B683" s="8" t="inlineStr">
        <is>
          <t>四泉砚</t>
        </is>
      </c>
      <c r="C683" s="8" t="inlineStr">
        <is>
          <t>法器</t>
        </is>
      </c>
      <c r="D683" s="8" t="inlineStr">
        <is>
          <t>common</t>
        </is>
      </c>
      <c r="E683" s="8" t="inlineStr">
        <is>
          <t>water</t>
        </is>
      </c>
      <c r="F683" s="8" t="n">
        <v>1</v>
      </c>
      <c r="G683" s="8" t="inlineStr">
        <is>
          <t>基础/顶层</t>
        </is>
      </c>
      <c r="H683" s="8" t="inlineStr"/>
      <c r="I683" s="9" t="inlineStr"/>
      <c r="J683" s="8" t="inlineStr"/>
      <c r="K683" s="8" t="inlineStr"/>
      <c r="L683" s="8" t="inlineStr"/>
      <c r="M683" s="8" t="inlineStr">
        <is>
          <t>周期触发</t>
        </is>
      </c>
      <c r="N683" s="8" t="inlineStr">
        <is>
          <t>periodicPulse</t>
        </is>
      </c>
      <c r="O683" s="9" t="inlineStr">
        <is>
          <t>每有 1 件相邻水属性道具，获得 2 层露水，最多计算 3 件；每有 1 件相邻水属性道具，获得 3 层露水，最多计算 3 件；每有 1 件相邻水属性道具，获得 4 层露水，最多计算 3 件；每有 1 件相邻水属性道具，获得 5 层露水，最多计算 3 件</t>
        </is>
      </c>
      <c r="P683" s="9" t="inlineStr"/>
      <c r="Q683" s="9" t="inlineStr"/>
      <c r="R683" s="9" t="inlineStr">
        <is>
          <t>{"kind":"periodicPulse","label":"每有 1 件相邻水属性道具，获得 2 层露水，最多计算 3 件","periodicPulse":{"intervalSec":8,"label":"每有 1 件相邻水属性道具，获得 2 层露水，最多计算 3 件","buffGains":[{"buffId":"dew","count":2}],"scaling":{"mode":"count","source":"adjacentItems","elements":["water"],"maxCount":3,"excludeSelf":true}},"starOverrides":{"1":{"label":"每有 1 件相邻水属性道具，获得 3 层露水，最多计算 3 件","periodicPulse":{"buffGains":[{"count":3}]}},"2":{"label":"每有 1 件相邻水属性道具，获得 4 层露水，最多计算 3 件","periodicPulse":{"buffGains":[{"count":4}]}},"3":{"label":"每有 1 件相邻水属性道具，获得 5 层露水，最多计算 3 件","periodicPulse":{"buffGains":[{"count":5}]}}}}</t>
        </is>
      </c>
    </row>
    <row r="684" ht="32" customHeight="1">
      <c r="A684" s="8" t="n">
        <v>400363</v>
      </c>
      <c r="B684" s="8" t="inlineStr">
        <is>
          <t>引焰油灯</t>
        </is>
      </c>
      <c r="C684" s="8" t="inlineStr">
        <is>
          <t>法器</t>
        </is>
      </c>
      <c r="D684" s="8" t="inlineStr">
        <is>
          <t>common</t>
        </is>
      </c>
      <c r="E684" s="8" t="inlineStr">
        <is>
          <t>fire</t>
        </is>
      </c>
      <c r="F684" s="8" t="n">
        <v>1</v>
      </c>
      <c r="G684" s="8" t="inlineStr">
        <is>
          <t>基础/顶层</t>
        </is>
      </c>
      <c r="H684" s="8" t="inlineStr"/>
      <c r="I684" s="9" t="inlineStr"/>
      <c r="J684" s="8" t="inlineStr"/>
      <c r="K684" s="8" t="inlineStr"/>
      <c r="L684" s="8" t="inlineStr"/>
      <c r="M684" s="8" t="inlineStr">
        <is>
          <t>周期触发</t>
        </is>
      </c>
      <c r="N684" s="8" t="inlineStr">
        <is>
          <t>periodicPulse</t>
        </is>
      </c>
      <c r="O684" s="9" t="inlineStr">
        <is>
          <t>将 2 点法力转化为 3 层炎热；将 2 点法力转化为 4 层炎热；将 3 点法力转化为 5 层炎热；将 3 点法力转化为 6 层炎热</t>
        </is>
      </c>
      <c r="P684" s="9" t="inlineStr"/>
      <c r="Q684" s="9" t="inlineStr"/>
      <c r="R684" s="9" t="inlineStr">
        <is>
          <t>{"kind":"periodicPulse","label":"将 2 点法力转化为 3 层炎热","periodicPulse":{"intervalSec":8,"label":"将 2 点法力转化为 3 层炎热","primaryStatCosts":[{"stat":"mana","amount":2}],"buffGains":[{"buffId":"heat","count":3}]},"starOverrides":{"1":{"label":"将 2 点法力转化为 4 层炎热","periodicPulse":{"primaryStatCosts":[{"amount":2}],"buffGains":[{"count":4}]}},"2":{"label":"将 3 点法力转化为 5 层炎热","periodicPulse":{"primaryStatCosts":[{"amount":3}],"buffGains":[{"count":5}]}},"3":{"label":"将 3 点法力转化为 6 层炎热","periodicPulse":{"primaryStatCosts":[{"amount":3}],"buffGains":[{"count":6}]}}}}</t>
        </is>
      </c>
    </row>
    <row r="685" ht="32" customHeight="1">
      <c r="A685" s="8" t="n">
        <v>400364</v>
      </c>
      <c r="B685" s="8" t="inlineStr">
        <is>
          <t>燃血赤炉</t>
        </is>
      </c>
      <c r="C685" s="8" t="inlineStr">
        <is>
          <t>法器</t>
        </is>
      </c>
      <c r="D685" s="8" t="inlineStr">
        <is>
          <t>common</t>
        </is>
      </c>
      <c r="E685" s="8" t="inlineStr">
        <is>
          <t>fire</t>
        </is>
      </c>
      <c r="F685" s="8" t="n">
        <v>1</v>
      </c>
      <c r="G685" s="8" t="inlineStr">
        <is>
          <t>基础/顶层</t>
        </is>
      </c>
      <c r="H685" s="8" t="inlineStr"/>
      <c r="I685" s="9" t="inlineStr"/>
      <c r="J685" s="8" t="inlineStr"/>
      <c r="K685" s="8" t="inlineStr"/>
      <c r="L685" s="8" t="inlineStr"/>
      <c r="M685" s="8" t="inlineStr">
        <is>
          <t>周期触发</t>
        </is>
      </c>
      <c r="N685" s="8" t="inlineStr">
        <is>
          <t>periodicPulse</t>
        </is>
      </c>
      <c r="O685" s="9" t="inlineStr">
        <is>
          <t>将 4 点体力转化为 7 层炎热；将 4 点体力转化为 8 层炎热；将 5 点体力转化为 9 层炎热；将 5 点体力转化为 10 层炎热</t>
        </is>
      </c>
      <c r="P685" s="9" t="inlineStr"/>
      <c r="Q685" s="9" t="inlineStr"/>
      <c r="R685" s="9" t="inlineStr">
        <is>
          <t>{"kind":"periodicPulse","label":"将 4 点体力转化为 7 层炎热","periodicPulse":{"intervalSec":8,"label":"将 4 点体力转化为 7 层炎热","primaryStatCosts":[{"stat":"stamina","amount":4}],"buffGains":[{"buffId":"heat","count":7}]},"starOverrides":{"1":{"label":"将 4 点体力转化为 8 层炎热","periodicPulse":{"primaryStatCosts":[{"amount":4}],"buffGains":[{"count":8}]}},"2":{"label":"将 5 点体力转化为 9 层炎热","periodicPulse":{"primaryStatCosts":[{"amount":5}],"buffGains":[{"count":9}]}},"3":{"label":"将 5 点体力转化为 10 层炎热","periodicPulse":{"primaryStatCosts":[{"amount":5}],"buffGains":[{"count":10}]}}}}</t>
        </is>
      </c>
    </row>
    <row r="686" ht="32" customHeight="1">
      <c r="A686" s="8" t="n">
        <v>400365</v>
      </c>
      <c r="B686" s="8" t="inlineStr">
        <is>
          <t>三阳炭盘</t>
        </is>
      </c>
      <c r="C686" s="8" t="inlineStr">
        <is>
          <t>法器</t>
        </is>
      </c>
      <c r="D686" s="8" t="inlineStr">
        <is>
          <t>common</t>
        </is>
      </c>
      <c r="E686" s="8" t="inlineStr">
        <is>
          <t>fire</t>
        </is>
      </c>
      <c r="F686" s="8" t="n">
        <v>1</v>
      </c>
      <c r="G686" s="8" t="inlineStr">
        <is>
          <t>基础/顶层</t>
        </is>
      </c>
      <c r="H686" s="8" t="inlineStr"/>
      <c r="I686" s="9" t="inlineStr"/>
      <c r="J686" s="8" t="inlineStr"/>
      <c r="K686" s="8" t="inlineStr"/>
      <c r="L686" s="8" t="inlineStr"/>
      <c r="M686" s="8" t="inlineStr">
        <is>
          <t>周期触发</t>
        </is>
      </c>
      <c r="N686" s="8" t="inlineStr">
        <is>
          <t>periodicPulse</t>
        </is>
      </c>
      <c r="O686" s="9" t="inlineStr">
        <is>
          <t>每有 1 件相邻火属性道具，获得 2 层炎热，最多计算 3 件；每有 1 件相邻火属性道具，获得 3 层炎热，最多计算 3 件；每有 1 件相邻火属性道具，获得 4 层炎热，最多计算 3 件；每有 1 件相邻火属性道具，获得 5 层炎热，最多计算 3 件</t>
        </is>
      </c>
      <c r="P686" s="9" t="inlineStr"/>
      <c r="Q686" s="9" t="inlineStr"/>
      <c r="R686" s="9" t="inlineStr">
        <is>
          <t>{"kind":"periodicPulse","label":"每有 1 件相邻火属性道具，获得 2 层炎热，最多计算 3 件","periodicPulse":{"intervalSec":8,"label":"每有 1 件相邻火属性道具，获得 2 层炎热，最多计算 3 件","buffGains":[{"buffId":"heat","count":2}],"scaling":{"mode":"count","source":"adjacentItems","elements":["fire"],"maxCount":3,"excludeSelf":true}},"starOverrides":{"1":{"label":"每有 1 件相邻火属性道具，获得 3 层炎热，最多计算 3 件","periodicPulse":{"buffGains":[{"count":3}]}},"2":{"label":"每有 1 件相邻火属性道具，获得 4 层炎热，最多计算 3 件","periodicPulse":{"buffGains":[{"count":4}]}},"3":{"label":"每有 1 件相邻火属性道具，获得 5 层炎热，最多计算 3 件","periodicPulse":{"buffGains":[{"count":5}]}}}}</t>
        </is>
      </c>
    </row>
    <row r="687" ht="32" customHeight="1">
      <c r="A687" s="8" t="n">
        <v>400366</v>
      </c>
      <c r="B687" s="8" t="inlineStr">
        <is>
          <t>压脉石坠</t>
        </is>
      </c>
      <c r="C687" s="8" t="inlineStr">
        <is>
          <t>法器</t>
        </is>
      </c>
      <c r="D687" s="8" t="inlineStr">
        <is>
          <t>common</t>
        </is>
      </c>
      <c r="E687" s="8" t="inlineStr">
        <is>
          <t>earth</t>
        </is>
      </c>
      <c r="F687" s="8" t="n">
        <v>1</v>
      </c>
      <c r="G687" s="8" t="inlineStr">
        <is>
          <t>基础/顶层</t>
        </is>
      </c>
      <c r="H687" s="8" t="inlineStr"/>
      <c r="I687" s="9" t="inlineStr"/>
      <c r="J687" s="8" t="inlineStr"/>
      <c r="K687" s="8" t="inlineStr"/>
      <c r="L687" s="8" t="inlineStr"/>
      <c r="M687" s="8" t="inlineStr">
        <is>
          <t>周期触发</t>
        </is>
      </c>
      <c r="N687" s="8" t="inlineStr">
        <is>
          <t>periodicPulse</t>
        </is>
      </c>
      <c r="O687" s="9" t="inlineStr">
        <is>
          <t>将 2 点体力转化为 3 层蓄势；将 2 点体力转化为 4 层蓄势；将 3 点体力转化为 5 层蓄势；将 3 点体力转化为 6 层蓄势</t>
        </is>
      </c>
      <c r="P687" s="9" t="inlineStr"/>
      <c r="Q687" s="9" t="inlineStr"/>
      <c r="R687" s="9" t="inlineStr">
        <is>
          <t>{"kind":"periodicPulse","label":"将 2 点体力转化为 3 层蓄势","periodicPulse":{"intervalSec":10,"label":"将 2 点体力转化为 3 层蓄势","primaryStatCosts":[{"stat":"stamina","amount":2}],"buffGains":[{"buffId":"heavy","count":3}]},"starOverrides":{"1":{"label":"将 2 点体力转化为 4 层蓄势","periodicPulse":{"primaryStatCosts":[{"amount":2}],"buffGains":[{"count":4}]}},"2":{"label":"将 3 点体力转化为 5 层蓄势","periodicPulse":{"primaryStatCosts":[{"amount":3}],"buffGains":[{"count":5}]}},"3":{"label":"将 3 点体力转化为 6 层蓄势","periodicPulse":{"primaryStatCosts":[{"amount":3}],"buffGains":[{"count":6}]}}}}</t>
        </is>
      </c>
    </row>
    <row r="688" ht="32" customHeight="1">
      <c r="A688" s="8" t="n">
        <v>400367</v>
      </c>
      <c r="B688" s="8" t="inlineStr">
        <is>
          <t>纳灵镇岳鼓</t>
        </is>
      </c>
      <c r="C688" s="8" t="inlineStr">
        <is>
          <t>法器</t>
        </is>
      </c>
      <c r="D688" s="8" t="inlineStr">
        <is>
          <t>common</t>
        </is>
      </c>
      <c r="E688" s="8" t="inlineStr">
        <is>
          <t>earth</t>
        </is>
      </c>
      <c r="F688" s="8" t="n">
        <v>1</v>
      </c>
      <c r="G688" s="8" t="inlineStr">
        <is>
          <t>基础/顶层</t>
        </is>
      </c>
      <c r="H688" s="8" t="inlineStr"/>
      <c r="I688" s="9" t="inlineStr"/>
      <c r="J688" s="8" t="inlineStr"/>
      <c r="K688" s="8" t="inlineStr"/>
      <c r="L688" s="8" t="inlineStr"/>
      <c r="M688" s="8" t="inlineStr">
        <is>
          <t>周期触发</t>
        </is>
      </c>
      <c r="N688" s="8" t="inlineStr">
        <is>
          <t>periodicPulse</t>
        </is>
      </c>
      <c r="O688" s="9" t="inlineStr">
        <is>
          <t>将 5 点法力转化为 6 层蓄势；将 6 点法力转化为 10 层蓄势；将 7 点法力转化为 14 层蓄势；将 8 点法力转化为 18 层蓄势</t>
        </is>
      </c>
      <c r="P688" s="9" t="inlineStr"/>
      <c r="Q688" s="9" t="inlineStr"/>
      <c r="R688" s="9" t="inlineStr">
        <is>
          <t>{"kind":"periodicPulse","label":"将 5 点法力转化为 6 层蓄势","periodicPulse":{"intervalSec":12,"label":"将 5 点法力转化为 6 层蓄势","primaryStatCosts":[{"stat":"mana","amount":5}],"buffGains":[{"buffId":"heavy","count":6}]},"starOverrides":{"1":{"label":"将 6 点法力转化为 10 层蓄势","periodicPulse":{"primaryStatCosts":[{"amount":6}],"buffGains":[{"count":10}]}},"2":{"label":"将 7 点法力转化为 14 层蓄势","periodicPulse":{"primaryStatCosts":[{"amount":7}],"buffGains":[{"count":14}]}},"3":{"label":"将 8 点法力转化为 18 层蓄势","periodicPulse":{"primaryStatCosts":[{"amount":8}],"buffGains":[{"count":18}]}}}}</t>
        </is>
      </c>
    </row>
    <row r="689" ht="32" customHeight="1">
      <c r="A689" s="8" t="n">
        <v>400368</v>
      </c>
      <c r="B689" s="8" t="inlineStr">
        <is>
          <t>四角负山架</t>
        </is>
      </c>
      <c r="C689" s="8" t="inlineStr">
        <is>
          <t>法器</t>
        </is>
      </c>
      <c r="D689" s="8" t="inlineStr">
        <is>
          <t>common</t>
        </is>
      </c>
      <c r="E689" s="8" t="inlineStr">
        <is>
          <t>earth</t>
        </is>
      </c>
      <c r="F689" s="8" t="n">
        <v>1</v>
      </c>
      <c r="G689" s="8" t="inlineStr">
        <is>
          <t>基础/顶层</t>
        </is>
      </c>
      <c r="H689" s="8" t="inlineStr"/>
      <c r="I689" s="9" t="inlineStr"/>
      <c r="J689" s="8" t="inlineStr"/>
      <c r="K689" s="8" t="inlineStr"/>
      <c r="L689" s="8" t="inlineStr"/>
      <c r="M689" s="8" t="inlineStr">
        <is>
          <t>周期触发</t>
        </is>
      </c>
      <c r="N689" s="8" t="inlineStr">
        <is>
          <t>periodicPulse</t>
        </is>
      </c>
      <c r="O689" s="9" t="inlineStr">
        <is>
          <t>每有 1 件相邻土属性道具，获得 1 层蓄势，最多计算 4 件；每有 1 件相邻土属性道具，获得 2 层蓄势，最多计算 4 件；每有 1 件相邻土属性道具，获得 3 层蓄势，最多计算 4 件；每有 1 件相邻土属性道具，获得 4 层蓄势，最多计算 4 件</t>
        </is>
      </c>
      <c r="P689" s="9" t="inlineStr"/>
      <c r="Q689" s="9" t="inlineStr"/>
      <c r="R689" s="9" t="inlineStr">
        <is>
          <t>{"kind":"periodicPulse","label":"每有 1 件相邻土属性道具，获得 1 层蓄势，最多计算 4 件","periodicPulse":{"intervalSec":10,"label":"每有 1 件相邻土属性道具，获得 1 层蓄势，最多计算 4 件","buffGains":[{"buffId":"heavy","count":1}],"scaling":{"mode":"count","source":"adjacentItems","elements":["earth"],"maxCount":4,"excludeSelf":true}},"starOverrides":{"1":{"label":"每有 1 件相邻土属性道具，获得 2 层蓄势，最多计算 4 件","periodicPulse":{"buffGains":[{"count":2}]}},"2":{"label":"每有 1 件相邻土属性道具，获得 3 层蓄势，最多计算 4 件","periodicPulse":{"buffGains":[{"count":3}]}},"3":{"label":"每有 1 件相邻土属性道具，获得 4 层蓄势，最多计算 4 件","periodicPulse":{"buffGains":[{"count":4}]}}}}</t>
        </is>
      </c>
    </row>
    <row r="690" ht="32" customHeight="1">
      <c r="A690" s="8" t="n">
        <v>400369</v>
      </c>
      <c r="B690" s="8" t="inlineStr">
        <is>
          <t>雨线飞针</t>
        </is>
      </c>
      <c r="C690" s="8" t="inlineStr">
        <is>
          <t>法器</t>
        </is>
      </c>
      <c r="D690" s="8" t="inlineStr">
        <is>
          <t>common</t>
        </is>
      </c>
      <c r="E690" s="8" t="inlineStr">
        <is>
          <t>water</t>
        </is>
      </c>
      <c r="F690" s="8" t="n">
        <v>1</v>
      </c>
      <c r="G690" s="8" t="inlineStr">
        <is>
          <t>基础/顶层</t>
        </is>
      </c>
      <c r="H690" s="8" t="inlineStr"/>
      <c r="I690" s="9" t="inlineStr"/>
      <c r="J690" s="8" t="inlineStr"/>
      <c r="K690" s="8" t="inlineStr"/>
      <c r="L690" s="8" t="inlineStr"/>
      <c r="M690" s="8" t="inlineStr">
        <is>
          <t>周期触发</t>
        </is>
      </c>
      <c r="N690" s="8" t="inlineStr">
        <is>
          <t>periodicPulse</t>
        </is>
      </c>
      <c r="O690" s="9" t="inlineStr">
        <is>
          <t>最多消耗 2 层露水；每消耗 1 层，对敌方造成 3 点伤害；最多消耗 3 层露水；每消耗 1 层，对敌方造成 3 点伤害；最多消耗 4 层露水；每消耗 1 层，对敌方造成 3 点伤害；最多消耗 5 层露水；每消耗 1 层，对敌方造成 3 点伤害</t>
        </is>
      </c>
      <c r="P690" s="9" t="inlineStr">
        <is>
          <t>onPeriodicPulse</t>
        </is>
      </c>
      <c r="Q690" s="9" t="inlineStr">
        <is>
          <t>consumeBuffStacks</t>
        </is>
      </c>
      <c r="R690" s="9" t="inlineStr">
        <is>
          <t>{"kind":"periodicPulse","periodicPulse":{"intervalSec":8,"label":"最多消耗 2 层露水；&lt;battle&gt;每消耗 1 层，对敌方造成 3 点伤害&lt;/battle&gt;"},"executors":[{"trigger":"onPeriodicPulse","type":"consumeBuffStacks","sourceBuffId":"dew","maxStacks":2,"battleDamageHealthPerStack":3,"support":"common","label":"最多消耗 2 层露水；&lt;battle&gt;每消耗 1 层，对敌方造成 3 点伤害&lt;/battle&gt;"}],"label":"最多消耗 2 层露水；&lt;battle&gt;每消耗 1 层，对敌方造成 3 点伤害&lt;/battle&gt;","starOverrides":{"1":{"periodicPulse":{"label":"最多消耗 3 层露水；&lt;battle&gt;每消耗 1 层，对敌方造成 3 点伤害&lt;/battle&gt;"},"executors":[{"trigger":"onPeriodicPulse","type":"consumeBuffStacks","sourceBuffId":"dew","maxStacks":3,"battleDamageHealthPerStack":3,"support":"common","label":"最多消耗 3 层露水；&lt;battle&gt;每消耗 1 层，对敌方造成 3 点伤害&lt;/battle&gt;"}],"label":"最多消耗 3 层露水；&lt;battle&gt;每消耗 1 层，对敌方造成 3 点伤害&lt;/battle&gt;"},"2":{"periodicPulse":{"label":"最多消耗 4 层露水；&lt;battle&gt;每消耗 1 层，对敌方造成 3 点伤害&lt;/battle&gt;"},"executors":[{"trigger":"onPeriodicPulse","type":"consumeBuffStacks","sourceBuffId":"dew","maxStacks":4,"battleDamageHealthPerStack":3,"support":"common","label":"最多消耗 4 层露水；&lt;battle&gt;每消耗 1 层，对敌方造成 3 点伤害&lt;/battle&gt;"}],"label":"最多消耗 4 层露水；&lt;battle&gt;每消耗 1 层，对敌方造成 3 点伤害&lt;/battle&gt;"},"3":{"periodicPulse":{"label":"最多消耗 5 层露水；&lt;battle&gt;每消耗 1 层，对敌方造成 3 点伤害&lt;/battle&gt;"},"executors":[{"trigger":"onPeriodicPulse","type":"consumeBuffStacks","sourceBuffId":"dew","maxStacks":5,"battleDamageHealthPerStack":3,"support":"common","label":"最多消耗 5 层露水；&lt;battle&gt;每消耗 1 层，对敌方造成 3 点伤害&lt;/battle&gt;"}],"label":"最多消耗 5 层露水；&lt;battle&gt;每消耗 1 层，对敌方造成 3 点伤害&lt;/battle&gt;"}}}</t>
        </is>
      </c>
    </row>
    <row r="691" ht="32" customHeight="1">
      <c r="A691" s="8" t="n">
        <v>400370</v>
      </c>
      <c r="B691" s="8" t="inlineStr">
        <is>
          <t>破浪凿</t>
        </is>
      </c>
      <c r="C691" s="8" t="inlineStr">
        <is>
          <t>法器</t>
        </is>
      </c>
      <c r="D691" s="8" t="inlineStr">
        <is>
          <t>common</t>
        </is>
      </c>
      <c r="E691" s="8" t="inlineStr">
        <is>
          <t>water</t>
        </is>
      </c>
      <c r="F691" s="8" t="n">
        <v>1</v>
      </c>
      <c r="G691" s="8" t="inlineStr">
        <is>
          <t>基础/顶层</t>
        </is>
      </c>
      <c r="H691" s="8" t="inlineStr"/>
      <c r="I691" s="9" t="inlineStr"/>
      <c r="J691" s="8" t="inlineStr"/>
      <c r="K691" s="8" t="inlineStr"/>
      <c r="L691" s="8" t="inlineStr"/>
      <c r="M691" s="8" t="inlineStr">
        <is>
          <t>周期触发</t>
        </is>
      </c>
      <c r="N691" s="8" t="inlineStr">
        <is>
          <t>periodicPulse</t>
        </is>
      </c>
      <c r="O691" s="9" t="inlineStr">
        <is>
          <t>消耗 4 层露水；对敌方造成 8 点伤害，并移除 2 层护甲；消耗 6 层露水；对敌方造成 12 点伤害，并移除 3 层护甲；消耗 8 层露水；对敌方造成 16 点伤害，并移除 4 层护甲；消耗 10 层露水；对敌方造成 20 点伤害，并移除 5 层护甲</t>
        </is>
      </c>
      <c r="P691" s="9" t="inlineStr">
        <is>
          <t>onPeriodicPulse</t>
        </is>
      </c>
      <c r="Q691" s="9" t="inlineStr">
        <is>
          <t>consumeBuffStacks</t>
        </is>
      </c>
      <c r="R691" s="9" t="inlineStr">
        <is>
          <t>{"kind":"periodicPulse","periodicPulse":{"intervalSec":10,"label":"消耗 4 层露水；&lt;battle&gt;对敌方造成 8 点伤害，并移除 2 层护甲&lt;/battle&gt;"},"executors":[{"trigger":"onPeriodicPulse","type":"consumeBuffStacks","sourceBuffId":"dew","requiredStacks":4,"maxStacks":4,"battleDamageHealthPerStack":2,"targetBuffRemovals":[{"buffId":"armor","count":2}],"support":"common","label":"消耗 4 层露水；&lt;battle&gt;对敌方造成 8 点伤害，并移除 2 层护甲&lt;/battle&gt;"}],"label":"消耗 4 层露水；&lt;battle&gt;对敌方造成 8 点伤害，并移除 2 层护甲&lt;/battle&gt;","starOverrides":{"1":{"periodicPulse":{"label":"消耗 6 层露水；&lt;battle&gt;对敌方造成 12 点伤害，并移除 3 层护甲&lt;/battle&gt;"},"executors":[{"trigger":"onPeriodicPulse","type":"consumeBuffStacks","sourceBuffId":"dew","requiredStacks":6,"maxStacks":6,"battleDamageHealthPerStack":2,"targetBuffRemovals":[{"buffId":"armor","count":3}],"support":"common","label":"消耗 6 层露水；&lt;battle&gt;对敌方造成 12 点伤害，并移除 3 层护甲&lt;/battle&gt;"}],"label":"消耗 6 层露水；&lt;battle&gt;对敌方造成 12 点伤害，并移除 3 层护甲&lt;/battle&gt;"},"2":{"periodicPulse":{"label":"消耗 8 层露水；&lt;battle&gt;对敌方造成 16 点伤害，并移除 4 层护甲&lt;/battle&gt;"},"executors":[{"trigger":"onPeriodicPulse","type":"consumeBuffStacks","sourceBuffId":"dew","requiredStacks":8,"maxStacks":8,"battleDamageHealthPerStack":2,"targetBuffRemovals":[{"buffId":"armor","count":4}],"support":"common","label":"消耗 8 层露水；&lt;battle&gt;对敌方造成 16 点伤害，并移除 4 层护甲&lt;/battle&gt;"}],"label":"消耗 8 层露水；&lt;battle&gt;对敌方造成 16 点伤害，并移除 4 层护甲&lt;/battle&gt;"},"3":{"periodicPulse":{"label":"消耗 10 层露水；&lt;battle&gt;对敌方造成 20 点伤害，并移除 5 层护甲&lt;/battle&gt;"},"executors":[{"trigger":"onPeriodicPulse","type":"consumeBuffStacks","sourceBuffId":"dew","requiredStacks":10,"maxStacks":10,"battleDamageHealthPerStack":2,"targetBuffRemovals":[{"buffId":"armor","count":5}],"support":"common","label":"消耗 10 层露水；&lt;battle&gt;对敌方造成 20 点伤害，并移除 5 层护甲&lt;/battle&gt;"}],"label":"消耗 10 层露水；&lt;battle&gt;对敌方造成 20 点伤害，并移除 5 层护甲&lt;/battle&gt;"}}}</t>
        </is>
      </c>
    </row>
    <row r="692" ht="32" customHeight="1">
      <c r="A692" s="8" t="n">
        <v>400371</v>
      </c>
      <c r="B692" s="8" t="inlineStr">
        <is>
          <t>寒涟钩</t>
        </is>
      </c>
      <c r="C692" s="8" t="inlineStr">
        <is>
          <t>法器</t>
        </is>
      </c>
      <c r="D692" s="8" t="inlineStr">
        <is>
          <t>common</t>
        </is>
      </c>
      <c r="E692" s="8" t="inlineStr">
        <is>
          <t>water</t>
        </is>
      </c>
      <c r="F692" s="8" t="n">
        <v>1</v>
      </c>
      <c r="G692" s="8" t="inlineStr">
        <is>
          <t>基础/顶层</t>
        </is>
      </c>
      <c r="H692" s="8" t="inlineStr"/>
      <c r="I692" s="9" t="inlineStr"/>
      <c r="J692" s="8" t="inlineStr"/>
      <c r="K692" s="8" t="inlineStr"/>
      <c r="L692" s="8" t="inlineStr"/>
      <c r="M692" s="8" t="inlineStr">
        <is>
          <t>周期触发</t>
        </is>
      </c>
      <c r="N692" s="8" t="inlineStr">
        <is>
          <t>periodicPulse</t>
        </is>
      </c>
      <c r="O692" s="9" t="inlineStr">
        <is>
          <t>最多消耗 4 层露水；每消耗 1 层，对敌方施加 1 层冰霜；最多消耗 6 层露水；每消耗 1 层，对敌方施加 1 层冰霜；最多消耗 8 层露水；每消耗 1 层，对敌方施加 1 层冰霜；最多消耗 10 层露水；每消耗 1 层，对敌方施加 1 层冰霜</t>
        </is>
      </c>
      <c r="P692" s="9" t="inlineStr">
        <is>
          <t>onPeriodicPulse</t>
        </is>
      </c>
      <c r="Q692" s="9" t="inlineStr">
        <is>
          <t>consumeBuffStacks</t>
        </is>
      </c>
      <c r="R692" s="9" t="inlineStr">
        <is>
          <t>{"kind":"periodicPulse","periodicPulse":{"intervalSec":12,"label":"最多消耗 4 层露水；&lt;battle&gt;每消耗 1 层，对敌方施加 1 层冰霜&lt;/battle&gt;"},"executors":[{"trigger":"onPeriodicPulse","type":"consumeBuffStacks","sourceBuffId":"dew","maxStacks":4,"targetBuffGainPerStack":{"buffId":"frost","countPerStack":1},"support":"common","label":"最多消耗 4 层露水；&lt;battle&gt;每消耗 1 层，对敌方施加 1 层冰霜&lt;/battle&gt;"}],"label":"最多消耗 4 层露水；&lt;battle&gt;每消耗 1 层，对敌方施加 1 层冰霜&lt;/battle&gt;","starOverrides":{"1":{"periodicPulse":{"label":"最多消耗 6 层露水；&lt;battle&gt;每消耗 1 层，对敌方施加 1 层冰霜&lt;/battle&gt;"},"executors":[{"trigger":"onPeriodicPulse","type":"consumeBuffStacks","sourceBuffId":"dew","maxStacks":6,"targetBuffGainPerStack":{"buffId":"frost","countPerStack":1},"support":"common","label":"最多消耗 6 层露水；&lt;battle&gt;每消耗 1 层，对敌方施加 1 层冰霜&lt;/battle&gt;"}],"label":"最多消耗 6 层露水；&lt;battle&gt;每消耗 1 层，对敌方施加 1 层冰霜&lt;/battle&gt;"},"2":{"periodicPulse":{"label":"最多消耗 8 层露水；&lt;battle&gt;每消耗 1 层，对敌方施加 1 层冰霜&lt;/battle&gt;"},"executors":[{"trigger":"onPeriodicPulse","type":"consumeBuffStacks","sourceBuffId":"dew","maxStacks":8,"targetBuffGainPerStack":{"buffId":"frost","countPerStack":1},"support":"common","label":"最多消耗 8 层露水；&lt;battle&gt;每消耗 1 层，对敌方施加 1 层冰霜&lt;/battle&gt;"}],"label":"最多消耗 8 层露水；&lt;battle&gt;每消耗 1 层，对敌方施加 1 层冰霜&lt;/battle&gt;"},"3":{"periodicPulse":{"label":"最多消耗 10 层露水；&lt;battle&gt;每消耗 1 层，对敌方施加 1 层冰霜&lt;/battle&gt;"},"executors":[{"trigger":"onPeriodicPulse","type":"consumeBuffStacks","sourceBuffId":"dew","maxStacks":10,"targetBuffGainPerStack":{"buffId":"frost","countPerStack":1},"support":"common","label":"最多消耗 10 层露水；&lt;battle&gt;每消耗 1 层，对敌方施加 1 层冰霜&lt;/battle&gt;"}],"label":"最多消耗 10 层露水；&lt;battle&gt;每消耗 1 层，对敌方施加 1 层冰霜&lt;/battle&gt;"}}}</t>
        </is>
      </c>
    </row>
    <row r="693" ht="32" customHeight="1">
      <c r="A693" s="8" t="n">
        <v>400372</v>
      </c>
      <c r="B693" s="8" t="inlineStr">
        <is>
          <t>压潮骨锤</t>
        </is>
      </c>
      <c r="C693" s="8" t="inlineStr">
        <is>
          <t>法器</t>
        </is>
      </c>
      <c r="D693" s="8" t="inlineStr">
        <is>
          <t>common</t>
        </is>
      </c>
      <c r="E693" s="8" t="inlineStr">
        <is>
          <t>water</t>
        </is>
      </c>
      <c r="F693" s="8" t="n">
        <v>1</v>
      </c>
      <c r="G693" s="8" t="inlineStr">
        <is>
          <t>基础/顶层</t>
        </is>
      </c>
      <c r="H693" s="8" t="inlineStr"/>
      <c r="I693" s="9" t="inlineStr"/>
      <c r="J693" s="8" t="inlineStr"/>
      <c r="K693" s="8" t="inlineStr"/>
      <c r="L693" s="8" t="inlineStr"/>
      <c r="M693" s="8" t="inlineStr">
        <is>
          <t>周期触发</t>
        </is>
      </c>
      <c r="N693" s="8" t="inlineStr">
        <is>
          <t>periodicPulse</t>
        </is>
      </c>
      <c r="O693" s="9" t="inlineStr">
        <is>
          <t>消耗 5 层露水；对敌方施加 5 层冰霜；消耗 7 层露水；对敌方施加 7 层冰霜；消耗 9 层露水；对敌方施加 9 层冰霜；消耗 11 层露水；对敌方施加 11 层冰霜</t>
        </is>
      </c>
      <c r="P693" s="9" t="inlineStr">
        <is>
          <t>onPeriodicPulse</t>
        </is>
      </c>
      <c r="Q693" s="9" t="inlineStr">
        <is>
          <t>consumeBuffStacks</t>
        </is>
      </c>
      <c r="R693" s="9" t="inlineStr">
        <is>
          <t>{"kind":"periodicPulse","periodicPulse":{"intervalSec":12,"label":"消耗 5 层露水；&lt;battle&gt;对敌方施加 5 层冰霜&lt;/battle&gt;"},"executors":[{"trigger":"onPeriodicPulse","type":"consumeBuffStacks","sourceBuffId":"dew","requiredStacks":5,"maxStacks":5,"targetBuffGainPerStack":{"buffId":"frost","countPerStack":1},"support":"common","label":"消耗 5 层露水；&lt;battle&gt;对敌方施加 5 层冰霜&lt;/battle&gt;"}],"label":"消耗 5 层露水；&lt;battle&gt;对敌方施加 5 层冰霜&lt;/battle&gt;","starOverrides":{"1":{"periodicPulse":{"label":"消耗 7 层露水；&lt;battle&gt;对敌方施加 7 层冰霜&lt;/battle&gt;"},"executors":[{"trigger":"onPeriodicPulse","type":"consumeBuffStacks","sourceBuffId":"dew","requiredStacks":7,"maxStacks":7,"targetBuffGainPerStack":{"buffId":"frost","countPerStack":1},"support":"common","label":"消耗 7 层露水；&lt;battle&gt;对敌方施加 7 层冰霜&lt;/battle&gt;"}],"label":"消耗 7 层露水；&lt;battle&gt;对敌方施加 7 层冰霜&lt;/battle&gt;"},"2":{"periodicPulse":{"label":"消耗 9 层露水；&lt;battle&gt;对敌方施加 9 层冰霜&lt;/battle&gt;"},"executors":[{"trigger":"onPeriodicPulse","type":"consumeBuffStacks","sourceBuffId":"dew","requiredStacks":9,"maxStacks":9,"targetBuffGainPerStack":{"buffId":"frost","countPerStack":1},"support":"common","label":"消耗 9 层露水；&lt;battle&gt;对敌方施加 9 层冰霜&lt;/battle&gt;"}],"label":"消耗 9 层露水；&lt;battle&gt;对敌方施加 9 层冰霜&lt;/battle&gt;"},"3":{"periodicPulse":{"label":"消耗 11 层露水；&lt;battle&gt;对敌方施加 11 层冰霜&lt;/battle&gt;"},"executors":[{"trigger":"onPeriodicPulse","type":"consumeBuffStacks","sourceBuffId":"dew","requiredStacks":11,"maxStacks":11,"targetBuffGainPerStack":{"buffId":"frost","countPerStack":1},"support":"common","label":"消耗 11 层露水；&lt;battle&gt;对敌方施加 11 层冰霜&lt;/battle&gt;"}],"label":"消耗 11 层露水；&lt;battle&gt;对敌方施加 11 层冰霜&lt;/battle&gt;"}}}</t>
        </is>
      </c>
    </row>
    <row r="694" ht="32" customHeight="1">
      <c r="A694" s="8" t="n">
        <v>400373</v>
      </c>
      <c r="B694" s="8" t="inlineStr">
        <is>
          <t>回雨短刃</t>
        </is>
      </c>
      <c r="C694" s="8" t="inlineStr">
        <is>
          <t>法器</t>
        </is>
      </c>
      <c r="D694" s="8" t="inlineStr">
        <is>
          <t>common</t>
        </is>
      </c>
      <c r="E694" s="8" t="inlineStr">
        <is>
          <t>water</t>
        </is>
      </c>
      <c r="F694" s="8" t="n">
        <v>1</v>
      </c>
      <c r="G694" s="8" t="inlineStr">
        <is>
          <t>基础/顶层</t>
        </is>
      </c>
      <c r="H694" s="8" t="inlineStr"/>
      <c r="I694" s="9" t="inlineStr"/>
      <c r="J694" s="8" t="inlineStr"/>
      <c r="K694" s="8" t="inlineStr"/>
      <c r="L694" s="8" t="inlineStr"/>
      <c r="M694" s="8" t="inlineStr">
        <is>
          <t>条件触发</t>
        </is>
      </c>
      <c r="N694" s="8" t="inlineStr">
        <is>
          <t>triggered</t>
        </is>
      </c>
      <c r="O694" s="9" t="inlineStr">
        <is>
          <t>受到伤害时，最多消耗 2 层露水，每消耗 1 层，对敌方造成 3 点伤害；受到伤害时，最多消耗 3 层露水，每消耗 1 层，对敌方造成 3 点伤害；受到伤害时，最多消耗 4 层露水，每消耗 1 层，对敌方造成 3 点伤害；受到伤害时，最多消耗 5 层露水，每消耗 1 层，对敌方造成 3 点伤害</t>
        </is>
      </c>
      <c r="P694" s="9" t="inlineStr">
        <is>
          <t>onIncomingHealthDamage</t>
        </is>
      </c>
      <c r="Q694" s="9" t="inlineStr">
        <is>
          <t>consumeBuffStacks</t>
        </is>
      </c>
      <c r="R694" s="9" t="inlineStr">
        <is>
          <t>{"kind":"triggered","label":"&lt;battle&gt;受到伤害时，最多消耗 2 层露水，每消耗 1 层，对敌方造成 3 点伤害&lt;/battle&gt;","triggeredEffect":{"trigger":"onIncomingHealthDamage","type":"consumeBuffStacks","sourceBuffId":"dew","maxStacks":2,"battleDamageHealthPerStack":3,"support":"battleOnly"},"starOverrides":{"1":{"label":"&lt;battle&gt;受到伤害时，最多消耗 3 层露水，每消耗 1 层，对敌方造成 3 点伤害&lt;/battle&gt;","triggeredEffect":{"maxStacks":3}},"2":{"label":"&lt;battle&gt;受到伤害时，最多消耗 4 层露水，每消耗 1 层，对敌方造成 3 点伤害&lt;/battle&gt;","triggeredEffect":{"maxStacks":4}},"3":{"label":"&lt;battle&gt;受到伤害时，最多消耗 5 层露水，每消耗 1 层，对敌方造成 3 点伤害&lt;/battle&gt;","triggeredEffect":{"maxStacks":5}}}}</t>
        </is>
      </c>
    </row>
    <row r="695" ht="32" customHeight="1">
      <c r="A695" s="8" t="n">
        <v>400374</v>
      </c>
      <c r="B695" s="8" t="inlineStr">
        <is>
          <t>晨露破阵枪</t>
        </is>
      </c>
      <c r="C695" s="8" t="inlineStr">
        <is>
          <t>法器</t>
        </is>
      </c>
      <c r="D695" s="8" t="inlineStr">
        <is>
          <t>common</t>
        </is>
      </c>
      <c r="E695" s="8" t="inlineStr">
        <is>
          <t>water</t>
        </is>
      </c>
      <c r="F695" s="8" t="n">
        <v>1</v>
      </c>
      <c r="G695" s="8" t="inlineStr">
        <is>
          <t>基础/顶层</t>
        </is>
      </c>
      <c r="H695" s="8" t="inlineStr"/>
      <c r="I695" s="9" t="inlineStr"/>
      <c r="J695" s="8" t="inlineStr"/>
      <c r="K695" s="8" t="inlineStr"/>
      <c r="L695" s="8" t="inlineStr"/>
      <c r="M695" s="8" t="inlineStr">
        <is>
          <t>周期触发</t>
        </is>
      </c>
      <c r="N695" s="8" t="inlineStr">
        <is>
          <t>periodicPulse</t>
        </is>
      </c>
      <c r="O695" s="9" t="inlineStr">
        <is>
          <t>开局时，最多消耗 6 层露水；每消耗 1 层，对敌方造成 4 点伤害；最多消耗 6 层露水；每消耗 1 层，对敌方造成 4 点伤害；开局时，最多消耗 8 层露水；每消耗 1 层，对敌方造成 4 点伤害；最多消耗 8 层露水；每消耗 1 层，对敌方造成 4 点伤害；开局时，最多消耗 10 层露水；每消耗 1 层，对敌方造成 4 点伤害；最多消耗 10 层露水；每消耗 1 层，对敌方造成 4 点伤害；开局时，最多消耗 12 层露水；每消耗 1 层，对敌方造成 4 点伤害；最多消耗 12 层露水；每消耗 1 层，对敌方造成 4 点伤害</t>
        </is>
      </c>
      <c r="P695" s="9" t="inlineStr">
        <is>
          <t>onPeriodicPulse</t>
        </is>
      </c>
      <c r="Q695" s="9" t="inlineStr">
        <is>
          <t>consumeBuffStacks</t>
        </is>
      </c>
      <c r="R695" s="9" t="inlineStr">
        <is>
          <t>{"kind":"periodicPulse","periodicPulse":{"startOnly":true,"label":"开局时，最多消耗 6 层露水；&lt;battle&gt;每消耗 1 层，对敌方造成 4 点伤害&lt;/battle&gt;"},"executors":[{"trigger":"onPeriodicPulse","type":"consumeBuffStacks","sourceBuffId":"dew","maxStacks":6,"battleDamageHealthPerStack":4,"support":"common","label":"最多消耗 6 层露水；&lt;battle&gt;每消耗 1 层，对敌方造成 4 点伤害&lt;/battle&gt;"}],"label":"开局时，最多消耗 6 层露水；&lt;battle&gt;每消耗 1 层，对敌方造成 4 点伤害&lt;/battle&gt;","starOverrides":{"1":{"periodicPulse":{"startOnly":true,"label":"开局时，最多消耗 8 层露水；&lt;battle&gt;每消耗 1 层，对敌方造成 4 点伤害&lt;/battle&gt;"},"executors":[{"trigger":"onPeriodicPulse","type":"consumeBuffStacks","sourceBuffId":"dew","maxStacks":8,"battleDamageHealthPerStack":4,"support":"common","label":"最多消耗 8 层露水；&lt;battle&gt;每消耗 1 层，对敌方造成 4 点伤害&lt;/battle&gt;"}],"label":"开局时，最多消耗 8 层露水；&lt;battle&gt;每消耗 1 层，对敌方造成 4 点伤害&lt;/battle&gt;"},"2":{"periodicPulse":{"startOnly":true,"label":"开局时，最多消耗 10 层露水；&lt;battle&gt;每消耗 1 层，对敌方造成 4 点伤害&lt;/battle&gt;"},"executors":[{"trigger":"onPeriodicPulse","type":"consumeBuffStacks","sourceBuffId":"dew","maxStacks":10,"battleDamageHealthPerStack":4,"support":"common","label":"最多消耗 10 层露水；&lt;battle&gt;每消耗 1 层，对敌方造成 4 点伤害&lt;/battle&gt;"}],"label":"开局时，最多消耗 10 层露水；&lt;battle&gt;每消耗 1 层，对敌方造成 4 点伤害&lt;/battle&gt;"},"3":{"periodicPulse":{"startOnly":true,"label":"开局时，最多消耗 12 层露水；&lt;battle&gt;每消耗 1 层，对敌方造成 4 点伤害&lt;/battle&gt;"},"executors":[{"trigger":"onPeriodicPulse","type":"consumeBuffStacks","sourceBuffId":"dew","maxStacks":12,"battleDamageHealthPerStack":4,"support":"common","label":"最多消耗 12 层露水；&lt;battle&gt;每消耗 1 层，对敌方造成 4 点伤害&lt;/battle&gt;"}],"label":"开局时，最多消耗 12 层露水；&lt;battle&gt;每消耗 1 层，对敌方造成 4 点伤害&lt;/battle&gt;"}}}</t>
        </is>
      </c>
    </row>
    <row r="696" ht="32" customHeight="1">
      <c r="A696" s="8" t="n">
        <v>400375</v>
      </c>
      <c r="B696" s="8" t="inlineStr">
        <is>
          <t>断流斩水刀</t>
        </is>
      </c>
      <c r="C696" s="8" t="inlineStr">
        <is>
          <t>法器</t>
        </is>
      </c>
      <c r="D696" s="8" t="inlineStr">
        <is>
          <t>common</t>
        </is>
      </c>
      <c r="E696" s="8" t="inlineStr">
        <is>
          <t>water</t>
        </is>
      </c>
      <c r="F696" s="8" t="n">
        <v>1</v>
      </c>
      <c r="G696" s="8" t="inlineStr">
        <is>
          <t>基础/顶层</t>
        </is>
      </c>
      <c r="H696" s="8" t="inlineStr"/>
      <c r="I696" s="9" t="inlineStr"/>
      <c r="J696" s="8" t="inlineStr"/>
      <c r="K696" s="8" t="inlineStr"/>
      <c r="L696" s="8" t="inlineStr"/>
      <c r="M696" s="8" t="inlineStr">
        <is>
          <t>条件触发</t>
        </is>
      </c>
      <c r="N696" s="8" t="inlineStr">
        <is>
          <t>triggered</t>
        </is>
      </c>
      <c r="O696" s="9" t="inlineStr">
        <is>
          <t>当敌方气血首次低于 50% 时，消耗 4 层露水，对其造成 20 点伤害；当敌方气血首次低于 60% 时，消耗 5 层露水，对其造成 25 点伤害；当敌方气血首次低于 70% 时，消耗 6 层露水，对其造成 30 点伤害；当敌方气血首次低于 80% 时，消耗 7 层露水，对其造成 35 点伤害</t>
        </is>
      </c>
      <c r="P696" s="9" t="inlineStr">
        <is>
          <t>onEnemyHealthRatioFirstBelow</t>
        </is>
      </c>
      <c r="Q696" s="9" t="inlineStr">
        <is>
          <t>consumeBuffStacks</t>
        </is>
      </c>
      <c r="R696" s="9" t="inlineStr">
        <is>
          <t>{"kind":"triggered","label":"&lt;battle&gt;当敌方气血首次低于 50% 时，消耗 4 层露水，对其造成 20 点伤害&lt;/battle&gt;","triggeredEffect":{"trigger":"onEnemyHealthRatioFirstBelow","type":"consumeBuffStacks","sourceBuffId":"dew","requiredStacks":4,"maxStacks":4,"battleDamageHealthPerStack":5,"enemyHealthRatioThreshold":0.5,"support":"battleOnly"},"starOverrides":{"1":{"label":"&lt;battle&gt;当敌方气血首次低于 60% 时，消耗 5 层露水，对其造成 25 点伤害&lt;/battle&gt;","triggeredEffect":{"requiredStacks":5,"maxStacks":5,"enemyHealthRatioThreshold":0.6}},"2":{"label":"&lt;battle&gt;当敌方气血首次低于 70% 时，消耗 6 层露水，对其造成 30 点伤害&lt;/battle&gt;","triggeredEffect":{"requiredStacks":6,"maxStacks":6,"enemyHealthRatioThreshold":0.7}},"3":{"label":"&lt;battle&gt;当敌方气血首次低于 80% 时，消耗 7 层露水，对其造成 35 点伤害&lt;/battle&gt;","triggeredEffect":{"requiredStacks":7,"maxStacks":7,"enemyHealthRatioThreshold":0.8}}}}</t>
        </is>
      </c>
    </row>
    <row r="697" ht="32" customHeight="1">
      <c r="A697" s="8" t="n">
        <v>400376</v>
      </c>
      <c r="B697" s="8" t="inlineStr">
        <is>
          <t>惊蛰铜签</t>
        </is>
      </c>
      <c r="C697" s="8" t="inlineStr">
        <is>
          <t>法器</t>
        </is>
      </c>
      <c r="D697" s="8" t="inlineStr">
        <is>
          <t>common</t>
        </is>
      </c>
      <c r="E697" s="8" t="inlineStr">
        <is>
          <t>thunder</t>
        </is>
      </c>
      <c r="F697" s="8" t="n">
        <v>1</v>
      </c>
      <c r="G697" s="8" t="inlineStr">
        <is>
          <t>基础/顶层</t>
        </is>
      </c>
      <c r="H697" s="8" t="inlineStr"/>
      <c r="I697" s="9" t="inlineStr"/>
      <c r="J697" s="8" t="inlineStr"/>
      <c r="K697" s="8" t="inlineStr"/>
      <c r="L697" s="8" t="inlineStr"/>
      <c r="M697" s="8" t="inlineStr">
        <is>
          <t>周期触发</t>
        </is>
      </c>
      <c r="N697" s="8" t="inlineStr">
        <is>
          <t>periodicPulse</t>
        </is>
      </c>
      <c r="O697" s="9" t="inlineStr">
        <is>
          <t>获得 1 层引雷；获得 2 层引雷；获得 3 层引雷；获得 4 层引雷</t>
        </is>
      </c>
      <c r="P697" s="9" t="inlineStr"/>
      <c r="Q697" s="9" t="inlineStr"/>
      <c r="R697" s="9" t="inlineStr">
        <is>
          <t>{"kind":"periodicPulse","periodicPulse":{"intervalSec":10,"label":"获得 1 层引雷","buffGains":[{"buffId":"lightningCharge","count":1}]},"starOverrides":{"1":{"label":"获得 2 层引雷","periodicPulse":{"buffGains":[{"count":2}]}},"2":{"label":"获得 3 层引雷","periodicPulse":{"buffGains":[{"count":3}]}},"3":{"label":"获得 4 层引雷","periodicPulse":{"buffGains":[{"count":4}]}}}}</t>
        </is>
      </c>
    </row>
    <row r="698" ht="32" customHeight="1">
      <c r="A698" s="8" t="n">
        <v>400377</v>
      </c>
      <c r="B698" s="8" t="inlineStr">
        <is>
          <t>悬霆竹匣</t>
        </is>
      </c>
      <c r="C698" s="8" t="inlineStr">
        <is>
          <t>法器</t>
        </is>
      </c>
      <c r="D698" s="8" t="inlineStr">
        <is>
          <t>common</t>
        </is>
      </c>
      <c r="E698" s="8" t="inlineStr">
        <is>
          <t>thunder</t>
        </is>
      </c>
      <c r="F698" s="8" t="n">
        <v>1</v>
      </c>
      <c r="G698" s="8" t="inlineStr">
        <is>
          <t>基础/顶层</t>
        </is>
      </c>
      <c r="H698" s="8" t="inlineStr"/>
      <c r="I698" s="9" t="inlineStr"/>
      <c r="J698" s="8" t="inlineStr"/>
      <c r="K698" s="8" t="inlineStr"/>
      <c r="L698" s="8" t="inlineStr"/>
      <c r="M698" s="8" t="inlineStr">
        <is>
          <t>周期触发</t>
        </is>
      </c>
      <c r="N698" s="8" t="inlineStr">
        <is>
          <t>periodicPulse</t>
        </is>
      </c>
      <c r="O698" s="9" t="inlineStr">
        <is>
          <t>开局时，位于储物袋顶部，获得 5 层引雷；开局时，位于储物袋顶部，获得 6 层引雷；开局时，位于储物袋顶部，获得 7 层引雷；开局时，位于储物袋顶部，获得 8 层引雷</t>
        </is>
      </c>
      <c r="P698" s="9" t="inlineStr"/>
      <c r="Q698" s="9" t="inlineStr"/>
      <c r="R698" s="9" t="inlineStr">
        <is>
          <t>{"kind":"periodicPulse","label":"开局时，位于储物袋顶部，获得 5 层引雷","periodicPulse":{"startOnly":true,"label":"开局时，位于储物袋顶部，获得 5 层引雷","buffGains":[{"buffId":"lightningCharge","count":5}],"activationRequirements":{"sourceEdges":["top"]}},"starOverrides":{"1":{"label":"开局时，位于储物袋顶部，获得 6 层引雷","periodicPulse":{"label":"开局时，位于储物袋顶部，获得 6 层引雷","buffGains":[{"count":6}]}},"2":{"label":"开局时，位于储物袋顶部，获得 7 层引雷","periodicPulse":{"label":"开局时，位于储物袋顶部，获得 7 层引雷","buffGains":[{"count":7}]}},"3":{"label":"开局时，位于储物袋顶部，获得 8 层引雷","periodicPulse":{"label":"开局时，位于储物袋顶部，获得 8 层引雷","buffGains":[{"count":8}]}}}}</t>
        </is>
      </c>
    </row>
    <row r="699" ht="32" customHeight="1">
      <c r="A699" s="8" t="n">
        <v>400378</v>
      </c>
      <c r="B699" s="8" t="inlineStr">
        <is>
          <t>走脉雷扣</t>
        </is>
      </c>
      <c r="C699" s="8" t="inlineStr">
        <is>
          <t>法器</t>
        </is>
      </c>
      <c r="D699" s="8" t="inlineStr">
        <is>
          <t>common</t>
        </is>
      </c>
      <c r="E699" s="8" t="inlineStr">
        <is>
          <t>thunder</t>
        </is>
      </c>
      <c r="F699" s="8" t="n">
        <v>1</v>
      </c>
      <c r="G699" s="8" t="inlineStr">
        <is>
          <t>基础/顶层</t>
        </is>
      </c>
      <c r="H699" s="8" t="inlineStr"/>
      <c r="I699" s="9" t="inlineStr"/>
      <c r="J699" s="8" t="inlineStr"/>
      <c r="K699" s="8" t="inlineStr"/>
      <c r="L699" s="8" t="inlineStr"/>
      <c r="M699" s="8" t="inlineStr">
        <is>
          <t>条件触发</t>
        </is>
      </c>
      <c r="N699" s="8" t="inlineStr">
        <is>
          <t>triggered</t>
        </is>
      </c>
      <c r="O699" s="9" t="inlineStr">
        <is>
          <t>每当消耗体力后，获得 1 层引雷；每当消耗体力后，获得 2 层引雷；每当消耗体力后，获得 3 层引雷；每当消耗体力后，获得 4 层引雷</t>
        </is>
      </c>
      <c r="P699" s="9" t="inlineStr">
        <is>
          <t>onPrimaryStatConsumed</t>
        </is>
      </c>
      <c r="Q699" s="9" t="inlineStr">
        <is>
          <t>applyBuff</t>
        </is>
      </c>
      <c r="R699" s="9" t="inlineStr">
        <is>
          <t>{"kind":"triggered","label":"每当消耗体力后，获得 1 层引雷","triggeredEffect":{"trigger":"onPrimaryStatConsumed","type":"applyBuff","buffId":"lightningCharge","count":1,"targetActor":"self","minEventPrimaryStatConsumed":{"stat":"stamina","amount":1}},"starOverrides":{"1":{"label":"每当消耗体力后，获得 2 层引雷","triggeredEffect":{"count":2}},"2":{"label":"每当消耗体力后，获得 3 层引雷","triggeredEffect":{"count":3}},"3":{"label":"每当消耗体力后，获得 4 层引雷","triggeredEffect":{"count":4}}}}</t>
        </is>
      </c>
    </row>
    <row r="700" ht="32" customHeight="1">
      <c r="A700" s="8" t="n">
        <v>400379</v>
      </c>
      <c r="B700" s="8" t="inlineStr">
        <is>
          <t>歇焰雷瓶</t>
        </is>
      </c>
      <c r="C700" s="8" t="inlineStr">
        <is>
          <t>法器</t>
        </is>
      </c>
      <c r="D700" s="8" t="inlineStr">
        <is>
          <t>common</t>
        </is>
      </c>
      <c r="E700" s="8" t="inlineStr">
        <is>
          <t>thunder</t>
        </is>
      </c>
      <c r="F700" s="8" t="n">
        <v>1</v>
      </c>
      <c r="G700" s="8" t="inlineStr">
        <is>
          <t>基础/顶层</t>
        </is>
      </c>
      <c r="H700" s="8" t="inlineStr"/>
      <c r="I700" s="9" t="inlineStr"/>
      <c r="J700" s="8" t="inlineStr"/>
      <c r="K700" s="8" t="inlineStr"/>
      <c r="L700" s="8" t="inlineStr"/>
      <c r="M700" s="8" t="inlineStr">
        <is>
          <t>周期触发</t>
        </is>
      </c>
      <c r="N700" s="8" t="inlineStr">
        <is>
          <t>periodicPulse</t>
        </is>
      </c>
      <c r="O700" s="9" t="inlineStr">
        <is>
          <t>将 2 层炎热转化为 2 层引雷</t>
        </is>
      </c>
      <c r="P700" s="9" t="inlineStr">
        <is>
          <t>onPeriodicPulse</t>
        </is>
      </c>
      <c r="Q700" s="9" t="inlineStr">
        <is>
          <t>convertBuffStacks</t>
        </is>
      </c>
      <c r="R700" s="9" t="inlineStr">
        <is>
          <t>{"kind":"periodicPulse","label":"将 2 层炎热转化为 2 层引雷","periodicPulse":{"intervalSec":10,"label":"将 2 层炎热转化为 2 层引雷"},"executors":[{"trigger":"onPeriodicPulse","type":"convertBuffStacks","label":"将 2 层炎热转化为 2 层引雷","sourceBuffId":"heat","targetBuffId":"lightningCharge","requiredStacks":2,"maxStacks":2,"consumeRatio":1}],"starOverrides":{"1":{"periodicPulse":{"intervalSec":9}},"2":{"periodicPulse":{"intervalSec":8}},"3":{"periodicPulse":{"intervalSec":7}}}}</t>
        </is>
      </c>
    </row>
    <row r="701" ht="32" customHeight="1">
      <c r="A701" s="8" t="n">
        <v>400380</v>
      </c>
      <c r="B701" s="8" t="inlineStr">
        <is>
          <t>伏霆铁尺</t>
        </is>
      </c>
      <c r="C701" s="8" t="inlineStr">
        <is>
          <t>法器</t>
        </is>
      </c>
      <c r="D701" s="8" t="inlineStr">
        <is>
          <t>common</t>
        </is>
      </c>
      <c r="E701" s="8" t="inlineStr">
        <is>
          <t>thunder</t>
        </is>
      </c>
      <c r="F701" s="8" t="n">
        <v>1</v>
      </c>
      <c r="G701" s="8" t="inlineStr">
        <is>
          <t>基础/顶层</t>
        </is>
      </c>
      <c r="H701" s="8" t="inlineStr"/>
      <c r="I701" s="9" t="inlineStr"/>
      <c r="J701" s="8" t="inlineStr"/>
      <c r="K701" s="8" t="inlineStr"/>
      <c r="L701" s="8" t="inlineStr"/>
      <c r="M701" s="8" t="inlineStr">
        <is>
          <t>条件触发</t>
        </is>
      </c>
      <c r="N701" s="8" t="inlineStr">
        <is>
          <t>triggered</t>
        </is>
      </c>
      <c r="O701" s="9" t="inlineStr">
        <is>
          <t>左侧相邻武器使用时，获得 1 层引雷，并对敌方施加 1 层冰霜；左侧相邻武器使用时，对敌方施加 1 层冰霜；左侧相邻武器使用时，获得 2 层引雷，并对敌方施加 2 层冰霜；左侧相邻武器使用时，对敌方施加 2 层冰霜；左侧相邻武器使用时，获得 3 层引雷，并对敌方施加 3 层冰霜；左侧相邻武器使用时，对敌方施加 3 层冰霜；左侧相邻武器使用时，获得 4 层引雷，并对敌方施加 4 层冰霜；左侧相邻武器使用时，对敌方施加 4 层冰霜</t>
        </is>
      </c>
      <c r="P701" s="9" t="inlineStr">
        <is>
          <t>onItemUse</t>
        </is>
      </c>
      <c r="Q701" s="9" t="inlineStr">
        <is>
          <t>applyBuff；directional-adjacent</t>
        </is>
      </c>
      <c r="R701" s="9" t="inlineStr">
        <is>
          <t>{"kind":"triggered","label":"左侧相邻武器使用时，获得 1 层引雷，&lt;battle&gt;并对敌方施加 1 层冰霜&lt;/battle&gt;","triggeredEffect":{"trigger":"onItemUse","type":"applyBuff","buffId":"lightningCharge","count":1,"targetActor":"self","eventSource":{"target":{"type":"directional-adjacent","direction":"left"},"filter":{"features":["weapon"]}}},"executors":[{"trigger":"onItemUse","type":"applyBuff","label":"&lt;battle&gt;左侧相邻武器使用时，对敌方施加 1 层冰霜&lt;/battle&gt;","buffId":"frost","count":1,"targetActor":"enemy","support":"battleOnly","eventSource":{"target":{"type":"directional-adjacent","direction":"left"},"filter":{"features":["weapon"]}}}],"starOverrides":{"1":{"label":"左侧相邻武器使用时，获得 2 层引雷，&lt;battle&gt;并对敌方施加 2 层冰霜&lt;/battle&gt;","triggeredEffect":{"count":2},"executors":[{"trigger":"onItemUse","type":"applyBuff","label":"&lt;battle&gt;左侧相邻武器使用时，对敌方施加 2 层冰霜&lt;/battle&gt;","buffId":"frost","count":2,"targetActor":"enemy","support":"battleOnly","eventSource":{"target":{"type":"directional-adjacent","direction":"left"},"filter":{"features":["weapon"]}}}]},"2":{"label":"左侧相邻武器使用时，获得 3 层引雷，&lt;battle&gt;并对敌方施加 3 层冰霜&lt;/battle&gt;","triggeredEffect":{"count":3},"executors":[{"trigger":"onItemUse","type":"applyBuff","label":"&lt;battle&gt;左侧相邻武器使用时，对敌方施加 3 层冰霜&lt;/battle&gt;","buffId":"frost","count":3,"targetActor":"enemy","support":"battleOnly","eventSource":{"target":{"type":"directional-adjacent","direction":"left"},"filter":{"features":["weapon"]}}}]},"3":{"label":"左侧相邻武器使用时，获得 4 层引雷，&lt;battle&gt;并对敌方施加 4 层冰霜&lt;/battle&gt;","triggeredEffect":{"count":4},"executors":[{"trigger":"onItemUse","type":"applyBuff","label":"&lt;battle&gt;左侧相邻武器使用时，对敌方施加 4 层冰霜&lt;/battle&gt;","buffId":"frost","count":4,"targetActor":"enemy","support":"battleOnly","eventSource":{"target":{"type":"directional-adjacent","direction":"left"},"filter":{"features":["weapon"]}}}]}}}</t>
        </is>
      </c>
    </row>
    <row r="702" ht="32" customHeight="1">
      <c r="A702" s="8" t="n">
        <v>400381</v>
      </c>
      <c r="B702" s="8" t="inlineStr">
        <is>
          <t>四隅鸣雷盘</t>
        </is>
      </c>
      <c r="C702" s="8" t="inlineStr">
        <is>
          <t>法器</t>
        </is>
      </c>
      <c r="D702" s="8" t="inlineStr">
        <is>
          <t>common</t>
        </is>
      </c>
      <c r="E702" s="8" t="inlineStr">
        <is>
          <t>thunder</t>
        </is>
      </c>
      <c r="F702" s="8" t="n">
        <v>1</v>
      </c>
      <c r="G702" s="8" t="inlineStr">
        <is>
          <t>基础/顶层</t>
        </is>
      </c>
      <c r="H702" s="8" t="inlineStr"/>
      <c r="I702" s="9" t="inlineStr"/>
      <c r="J702" s="8" t="inlineStr"/>
      <c r="K702" s="8" t="inlineStr"/>
      <c r="L702" s="8" t="inlineStr"/>
      <c r="M702" s="8" t="inlineStr">
        <is>
          <t>周期触发</t>
        </is>
      </c>
      <c r="N702" s="8" t="inlineStr">
        <is>
          <t>periodicPulse</t>
        </is>
      </c>
      <c r="O702" s="9" t="inlineStr">
        <is>
          <t>相邻至少 3 件雷属性道具时，获得 3 层引雷；相邻至少 3 件雷属性道具时，获得 4 层引雷；相邻至少 3 件雷属性道具时，获得 5 层引雷；相邻至少 3 件雷属性道具时，获得 6 层引雷</t>
        </is>
      </c>
      <c r="P702" s="9" t="inlineStr"/>
      <c r="Q702" s="9" t="inlineStr"/>
      <c r="R702" s="9" t="inlineStr">
        <is>
          <t>{"kind":"periodicPulse","periodicPulse":{"intervalSec":12,"label":"相邻至少 3 件雷属性道具时，获得 3 层引雷","buffGains":[{"buffId":"lightningCharge","count":3}],"activationRequirements":{"neighborCounts":[{"minCount":3,"elements":["thunder"]}]}},"starOverrides":{"1":{"label":"相邻至少 3 件雷属性道具时，获得 4 层引雷","periodicPulse":{"buffGains":[{"count":4}]}},"2":{"label":"相邻至少 3 件雷属性道具时，获得 5 层引雷","periodicPulse":{"buffGains":[{"count":5}]}},"3":{"label":"相邻至少 3 件雷属性道具时，获得 6 层引雷","periodicPulse":{"buffGains":[{"count":6}]}}}}</t>
        </is>
      </c>
    </row>
    <row r="703" ht="32" customHeight="1">
      <c r="A703" s="8" t="n">
        <v>400382</v>
      </c>
      <c r="B703" s="8" t="inlineStr">
        <is>
          <t>霆息木鱼</t>
        </is>
      </c>
      <c r="C703" s="8" t="inlineStr">
        <is>
          <t>法器</t>
        </is>
      </c>
      <c r="D703" s="8" t="inlineStr">
        <is>
          <t>common</t>
        </is>
      </c>
      <c r="E703" s="8" t="inlineStr">
        <is>
          <t>thunder</t>
        </is>
      </c>
      <c r="F703" s="8" t="n">
        <v>1</v>
      </c>
      <c r="G703" s="8" t="inlineStr">
        <is>
          <t>基础/顶层</t>
        </is>
      </c>
      <c r="H703" s="8" t="inlineStr"/>
      <c r="I703" s="9" t="inlineStr"/>
      <c r="J703" s="8" t="inlineStr"/>
      <c r="K703" s="8" t="inlineStr"/>
      <c r="L703" s="8" t="inlineStr"/>
      <c r="M703" s="8" t="inlineStr">
        <is>
          <t>条件触发</t>
        </is>
      </c>
      <c r="N703" s="8" t="inlineStr">
        <is>
          <t>triggered</t>
        </is>
      </c>
      <c r="O703" s="9" t="inlineStr">
        <is>
          <t>其他道具消耗露水时，获得 1 层引雷；其他道具消耗露水时，获得 2 层引雷；其他道具消耗露水时，获得 3 层引雷；其他道具消耗露水时，获得 4 层引雷</t>
        </is>
      </c>
      <c r="P703" s="9" t="inlineStr">
        <is>
          <t>onBuffConsumed</t>
        </is>
      </c>
      <c r="Q703" s="9" t="inlineStr">
        <is>
          <t>applyBuff；other</t>
        </is>
      </c>
      <c r="R703" s="9" t="inlineStr">
        <is>
          <t>{"kind":"triggered","label":"其他道具消耗露水时，获得 1 层引雷","triggeredEffect":{"trigger":"onBuffConsumed","type":"applyBuff","buffId":"lightningCharge","count":1,"targetActor":"self","eventBuffId":"dew","eventSource":{"target":{"type":"other"}}},"starOverrides":{"1":{"label":"其他道具消耗露水时，获得 2 层引雷","triggeredEffect":{"count":2}},"2":{"label":"其他道具消耗露水时，获得 3 层引雷","triggeredEffect":{"count":3}},"3":{"label":"其他道具消耗露水时，获得 4 层引雷","triggeredEffect":{"count":4}}}}</t>
        </is>
      </c>
    </row>
    <row r="704" ht="32" customHeight="1">
      <c r="A704" s="8" t="n">
        <v>400383</v>
      </c>
      <c r="B704" s="8" t="inlineStr">
        <is>
          <t>护心雷甲</t>
        </is>
      </c>
      <c r="C704" s="8" t="inlineStr">
        <is>
          <t>法器</t>
        </is>
      </c>
      <c r="D704" s="8" t="inlineStr">
        <is>
          <t>common</t>
        </is>
      </c>
      <c r="E704" s="8" t="inlineStr">
        <is>
          <t>thunder</t>
        </is>
      </c>
      <c r="F704" s="8" t="n">
        <v>1</v>
      </c>
      <c r="G704" s="8" t="inlineStr">
        <is>
          <t>基础/顶层</t>
        </is>
      </c>
      <c r="H704" s="8" t="inlineStr"/>
      <c r="I704" s="9" t="inlineStr"/>
      <c r="J704" s="8" t="inlineStr"/>
      <c r="K704" s="8" t="inlineStr"/>
      <c r="L704" s="8" t="inlineStr"/>
      <c r="M704" s="8" t="inlineStr">
        <is>
          <t>条件触发</t>
        </is>
      </c>
      <c r="N704" s="8" t="inlineStr">
        <is>
          <t>triggered</t>
        </is>
      </c>
      <c r="O704" s="9" t="inlineStr">
        <is>
          <t>受到伤害时，获得 2 层引雷；受到伤害时，获得 3 层引雷；受到伤害时，获得 4 层引雷；受到伤害时，获得 5 层引雷</t>
        </is>
      </c>
      <c r="P704" s="9" t="inlineStr">
        <is>
          <t>onIncomingHealthDamage</t>
        </is>
      </c>
      <c r="Q704" s="9" t="inlineStr">
        <is>
          <t>applyBuff</t>
        </is>
      </c>
      <c r="R704" s="9" t="inlineStr">
        <is>
          <t>{"kind":"triggered","label":"&lt;battle&gt;受到伤害时，获得 2 层引雷&lt;/battle&gt;","triggeredEffect":{"trigger":"onIncomingHealthDamage","type":"applyBuff","buffId":"lightningCharge","count":2,"targetActor":"self","support":"battleOnly"},"starOverrides":{"1":{"label":"&lt;battle&gt;受到伤害时，获得 3 层引雷&lt;/battle&gt;","triggeredEffect":{"count":3}},"2":{"label":"&lt;battle&gt;受到伤害时，获得 4 层引雷&lt;/battle&gt;","triggeredEffect":{"count":4}},"3":{"label":"&lt;battle&gt;受到伤害时，获得 5 层引雷&lt;/battle&gt;","triggeredEffect":{"count":5}}}}</t>
        </is>
      </c>
    </row>
    <row r="705" ht="32" customHeight="1">
      <c r="A705" s="8" t="n">
        <v>400384</v>
      </c>
      <c r="B705" s="8" t="inlineStr">
        <is>
          <t>破霜雷盏</t>
        </is>
      </c>
      <c r="C705" s="8" t="inlineStr">
        <is>
          <t>法器</t>
        </is>
      </c>
      <c r="D705" s="8" t="inlineStr">
        <is>
          <t>common</t>
        </is>
      </c>
      <c r="E705" s="8" t="inlineStr">
        <is>
          <t>thunder</t>
        </is>
      </c>
      <c r="F705" s="8" t="n">
        <v>1</v>
      </c>
      <c r="G705" s="8" t="inlineStr">
        <is>
          <t>基础/顶层</t>
        </is>
      </c>
      <c r="H705" s="8" t="inlineStr"/>
      <c r="I705" s="9" t="inlineStr"/>
      <c r="J705" s="8" t="inlineStr"/>
      <c r="K705" s="8" t="inlineStr"/>
      <c r="L705" s="8" t="inlineStr"/>
      <c r="M705" s="8" t="inlineStr">
        <is>
          <t>周期触发</t>
        </is>
      </c>
      <c r="N705" s="8" t="inlineStr">
        <is>
          <t>periodicPulse</t>
        </is>
      </c>
      <c r="O705" s="9" t="inlineStr">
        <is>
          <t>将 2 层寒冷转化为 2 层引雷</t>
        </is>
      </c>
      <c r="P705" s="9" t="inlineStr">
        <is>
          <t>onPeriodicPulse</t>
        </is>
      </c>
      <c r="Q705" s="9" t="inlineStr">
        <is>
          <t>convertBuffStacks</t>
        </is>
      </c>
      <c r="R705" s="9" t="inlineStr">
        <is>
          <t>{"kind":"periodicPulse","label":"将 2 层寒冷转化为 2 层引雷","periodicPulse":{"intervalSec":10,"label":"将 2 层寒冷转化为 2 层引雷"},"executors":[{"trigger":"onPeriodicPulse","type":"convertBuffStacks","label":"将 2 层寒冷转化为 2 层引雷","sourceBuffId":"cold","targetBuffId":"lightningCharge","requiredStacks":2,"maxStacks":2,"consumeRatio":1}],"starOverrides":{"1":{"periodicPulse":{"intervalSec":9}},"2":{"periodicPulse":{"intervalSec":8}},"3":{"periodicPulse":{"intervalSec":7}}}}</t>
        </is>
      </c>
    </row>
    <row r="706" ht="32" customHeight="1">
      <c r="A706" s="8" t="n">
        <v>400385</v>
      </c>
      <c r="B706" s="8" t="inlineStr">
        <is>
          <t>应法雷轮</t>
        </is>
      </c>
      <c r="C706" s="8" t="inlineStr">
        <is>
          <t>法器</t>
        </is>
      </c>
      <c r="D706" s="8" t="inlineStr">
        <is>
          <t>common</t>
        </is>
      </c>
      <c r="E706" s="8" t="inlineStr">
        <is>
          <t>thunder</t>
        </is>
      </c>
      <c r="F706" s="8" t="n">
        <v>1</v>
      </c>
      <c r="G706" s="8" t="inlineStr">
        <is>
          <t>基础/顶层</t>
        </is>
      </c>
      <c r="H706" s="8" t="inlineStr"/>
      <c r="I706" s="9" t="inlineStr"/>
      <c r="J706" s="8" t="inlineStr"/>
      <c r="K706" s="8" t="inlineStr"/>
      <c r="L706" s="8" t="inlineStr"/>
      <c r="M706" s="8" t="inlineStr">
        <is>
          <t>条件触发</t>
        </is>
      </c>
      <c r="N706" s="8" t="inlineStr">
        <is>
          <t>triggered</t>
        </is>
      </c>
      <c r="O706" s="9" t="inlineStr">
        <is>
          <t>右侧相邻招式使用时，获得 1 层引雷；右侧相邻招式使用时，获得 2 层引雷；右侧相邻招式使用时，获得 3 层引雷；右侧相邻招式使用时，获得 4 层引雷</t>
        </is>
      </c>
      <c r="P706" s="9" t="inlineStr">
        <is>
          <t>onItemUse</t>
        </is>
      </c>
      <c r="Q706" s="9" t="inlineStr">
        <is>
          <t>applyBuff；directional-adjacent</t>
        </is>
      </c>
      <c r="R706" s="9" t="inlineStr">
        <is>
          <t>{"kind":"triggered","label":"右侧相邻招式使用时，获得 1 层引雷","triggeredEffect":{"trigger":"onItemUse","type":"applyBuff","buffId":"lightningCharge","count":1,"targetActor":"self","eventSource":{"target":{"type":"directional-adjacent","direction":"right"},"filter":{"categories":["spell"]}}},"starOverrides":{"1":{"label":"右侧相邻招式使用时，获得 2 层引雷","triggeredEffect":{"count":2}},"2":{"label":"右侧相邻招式使用时，获得 3 层引雷","triggeredEffect":{"count":3}},"3":{"label":"右侧相邻招式使用时，获得 4 层引雷","triggeredEffect":{"count":4}}}}</t>
        </is>
      </c>
    </row>
    <row r="707" ht="32" customHeight="1">
      <c r="A707" s="8" t="n">
        <v>400386</v>
      </c>
      <c r="B707" s="8" t="inlineStr">
        <is>
          <t>甲纹凝金盏</t>
        </is>
      </c>
      <c r="C707" s="8" t="inlineStr">
        <is>
          <t>法器</t>
        </is>
      </c>
      <c r="D707" s="8" t="inlineStr">
        <is>
          <t>common</t>
        </is>
      </c>
      <c r="E707" s="8" t="inlineStr">
        <is>
          <t>metal</t>
        </is>
      </c>
      <c r="F707" s="8" t="n">
        <v>1</v>
      </c>
      <c r="G707" s="8" t="inlineStr">
        <is>
          <t>基础/顶层</t>
        </is>
      </c>
      <c r="H707" s="8" t="inlineStr"/>
      <c r="I707" s="9" t="inlineStr"/>
      <c r="J707" s="8" t="inlineStr"/>
      <c r="K707" s="8" t="inlineStr"/>
      <c r="L707" s="8" t="inlineStr"/>
      <c r="M707" s="8" t="inlineStr">
        <is>
          <t>周期触发</t>
        </is>
      </c>
      <c r="N707" s="8" t="inlineStr">
        <is>
          <t>periodicPulse</t>
        </is>
      </c>
      <c r="O707" s="9" t="inlineStr">
        <is>
          <t>拥有不少于 3 层护甲时，获得 2 层凝金；拥有不少于 3 层护甲时，获得 3 层凝金；拥有不少于 3 层护甲时，获得 4 层凝金；拥有不少于 3 层护甲时，获得 5 层凝金</t>
        </is>
      </c>
      <c r="P707" s="9" t="inlineStr"/>
      <c r="Q707" s="9" t="inlineStr"/>
      <c r="R707" s="9" t="inlineStr">
        <is>
          <t>{"kind":"periodicPulse","periodicPulse":{"intervalSec":8,"label":"拥有不少于 3 层护甲时，获得 2 层凝金","buffGains":[{"buffId":"condensedMetal","count":2}],"activationRequirements":{"buffStackThresholds":[{"buffId":"armor","comparator":"atLeast","count":3}]}},"starOverrides":{"1":{"label":"拥有不少于 3 层护甲时，获得 3 层凝金","periodicPulse":{"buffGains":[{"count":3}]}},"2":{"label":"拥有不少于 3 层护甲时，获得 4 层凝金","periodicPulse":{"buffGains":[{"count":4}]}},"3":{"label":"拥有不少于 3 层护甲时，获得 5 层凝金","periodicPulse":{"buffGains":[{"count":5}]}}}}</t>
        </is>
      </c>
    </row>
    <row r="708" ht="32" customHeight="1">
      <c r="A708" s="8" t="n">
        <v>400387</v>
      </c>
      <c r="B708" s="8" t="inlineStr">
        <is>
          <t>贴壁聚锋尺</t>
        </is>
      </c>
      <c r="C708" s="8" t="inlineStr">
        <is>
          <t>法器</t>
        </is>
      </c>
      <c r="D708" s="8" t="inlineStr">
        <is>
          <t>common</t>
        </is>
      </c>
      <c r="E708" s="8" t="inlineStr">
        <is>
          <t>metal</t>
        </is>
      </c>
      <c r="F708" s="8" t="n">
        <v>1</v>
      </c>
      <c r="G708" s="8" t="inlineStr">
        <is>
          <t>基础/顶层</t>
        </is>
      </c>
      <c r="H708" s="8" t="inlineStr"/>
      <c r="I708" s="9" t="inlineStr"/>
      <c r="J708" s="8" t="inlineStr"/>
      <c r="K708" s="8" t="inlineStr"/>
      <c r="L708" s="8" t="inlineStr"/>
      <c r="M708" s="8" t="inlineStr">
        <is>
          <t>周期触发</t>
        </is>
      </c>
      <c r="N708" s="8" t="inlineStr">
        <is>
          <t>periodicPulse</t>
        </is>
      </c>
      <c r="O708" s="9" t="inlineStr">
        <is>
          <t>位于储物袋边缘时，将 4 点法力转化为 3 层凝金；位于储物袋边缘时，将 5 点法力转化为 4 层凝金；位于储物袋边缘时，将 6 点法力转化为 5 层凝金；位于储物袋边缘时，将 7 点法力转化为 6 层凝金</t>
        </is>
      </c>
      <c r="P708" s="9" t="inlineStr"/>
      <c r="Q708" s="9" t="inlineStr"/>
      <c r="R708" s="9" t="inlineStr">
        <is>
          <t>{"kind":"periodicPulse","label":"位于储物袋边缘时，将 4 点法力转化为 3 层凝金","periodicPulse":{"intervalSec":10,"label":"位于储物袋边缘时，将 4 点法力转化为 3 层凝金","primaryStatCosts":[{"stat":"mana","amount":4}],"buffGains":[{"buffId":"condensedMetal","count":3}],"activationRequirements":{"sourceEdges":["top","bottom","left","right"]}},"starOverrides":{"1":{"label":"位于储物袋边缘时，将 5 点法力转化为 4 层凝金","periodicPulse":{"primaryStatCosts":[{"amount":5}],"buffGains":[{"count":4}]}},"2":{"label":"位于储物袋边缘时，将 6 点法力转化为 5 层凝金","periodicPulse":{"primaryStatCosts":[{"amount":6}],"buffGains":[{"count":5}]}},"3":{"label":"位于储物袋边缘时，将 7 点法力转化为 6 层凝金","periodicPulse":{"primaryStatCosts":[{"amount":7}],"buffGains":[{"count":6}]}}}}</t>
        </is>
      </c>
    </row>
    <row r="709" ht="32" customHeight="1">
      <c r="A709" s="8" t="n">
        <v>400388</v>
      </c>
      <c r="B709" s="8" t="inlineStr">
        <is>
          <t>沉腕铸息环</t>
        </is>
      </c>
      <c r="C709" s="8" t="inlineStr">
        <is>
          <t>法器</t>
        </is>
      </c>
      <c r="D709" s="8" t="inlineStr">
        <is>
          <t>common</t>
        </is>
      </c>
      <c r="E709" s="8" t="inlineStr">
        <is>
          <t>metal</t>
        </is>
      </c>
      <c r="F709" s="8" t="n">
        <v>1</v>
      </c>
      <c r="G709" s="8" t="inlineStr">
        <is>
          <t>基础/顶层</t>
        </is>
      </c>
      <c r="H709" s="8" t="inlineStr"/>
      <c r="I709" s="9" t="inlineStr"/>
      <c r="J709" s="8" t="inlineStr"/>
      <c r="K709" s="8" t="inlineStr"/>
      <c r="L709" s="8" t="inlineStr"/>
      <c r="M709" s="8" t="inlineStr">
        <is>
          <t>条件触发</t>
        </is>
      </c>
      <c r="N709" s="8" t="inlineStr">
        <is>
          <t>triggered</t>
        </is>
      </c>
      <c r="O709" s="9" t="inlineStr">
        <is>
          <t>每当消耗体力后，获得 1 层凝金；每当消耗体力后，获得 2 层凝金；每当消耗体力后，获得 3 层凝金；每当消耗体力后，获得 4 层凝金</t>
        </is>
      </c>
      <c r="P709" s="9" t="inlineStr">
        <is>
          <t>onPrimaryStatConsumed</t>
        </is>
      </c>
      <c r="Q709" s="9" t="inlineStr">
        <is>
          <t>applyBuff</t>
        </is>
      </c>
      <c r="R709" s="9" t="inlineStr">
        <is>
          <t>{"kind":"triggered","label":"每当消耗体力后，获得 1 层凝金","triggeredEffect":{"trigger":"onPrimaryStatConsumed","type":"applyBuff","buffId":"condensedMetal","count":1,"targetActor":"self","minEventPrimaryStatConsumed":{"stat":"stamina","amount":1}},"starOverrides":{"1":{"label":"每当消耗体力后，获得 2 层凝金","triggeredEffect":{"count":2}},"2":{"label":"每当消耗体力后，获得 3 层凝金","triggeredEffect":{"count":3}},"3":{"label":"每当消耗体力后，获得 4 层凝金","triggeredEffect":{"count":4}}}}</t>
        </is>
      </c>
    </row>
    <row r="710" ht="32" customHeight="1">
      <c r="A710" s="8" t="n">
        <v>400389</v>
      </c>
      <c r="B710" s="8" t="inlineStr">
        <is>
          <t>雷锻金簇</t>
        </is>
      </c>
      <c r="C710" s="8" t="inlineStr">
        <is>
          <t>法器</t>
        </is>
      </c>
      <c r="D710" s="8" t="inlineStr">
        <is>
          <t>common</t>
        </is>
      </c>
      <c r="E710" s="8" t="inlineStr">
        <is>
          <t>metal</t>
        </is>
      </c>
      <c r="F710" s="8" t="n">
        <v>1</v>
      </c>
      <c r="G710" s="8" t="inlineStr">
        <is>
          <t>基础/顶层</t>
        </is>
      </c>
      <c r="H710" s="8" t="inlineStr"/>
      <c r="I710" s="9" t="inlineStr"/>
      <c r="J710" s="8" t="inlineStr"/>
      <c r="K710" s="8" t="inlineStr"/>
      <c r="L710" s="8" t="inlineStr"/>
      <c r="M710" s="8" t="inlineStr">
        <is>
          <t>条件触发</t>
        </is>
      </c>
      <c r="N710" s="8" t="inlineStr">
        <is>
          <t>triggered</t>
        </is>
      </c>
      <c r="O710" s="9" t="inlineStr">
        <is>
          <t>其他道具使我方获得引雷时，获得 1 层凝金；其他道具使我方获得引雷时，获得 2 层凝金；其他道具使我方获得引雷时，获得 3 层凝金；其他道具使我方获得引雷时，获得 4 层凝金</t>
        </is>
      </c>
      <c r="P710" s="9" t="inlineStr">
        <is>
          <t>onBuffGain</t>
        </is>
      </c>
      <c r="Q710" s="9" t="inlineStr">
        <is>
          <t>applyBuff；other</t>
        </is>
      </c>
      <c r="R710" s="9" t="inlineStr">
        <is>
          <t>{"kind":"triggered","label":"其他道具使我方获得引雷时，获得 1 层凝金","triggeredEffect":{"trigger":"onBuffGain","type":"applyBuff","buffId":"condensedMetal","count":1,"targetActor":"self","eventBuffId":"lightningCharge","eventSource":{"target":{"type":"other"}}},"starOverrides":{"1":{"label":"其他道具使我方获得引雷时，获得 2 层凝金","triggeredEffect":{"count":2}},"2":{"label":"其他道具使我方获得引雷时，获得 3 层凝金","triggeredEffect":{"count":3}},"3":{"label":"其他道具使我方获得引雷时，获得 4 层凝金","triggeredEffect":{"count":4}}}}</t>
        </is>
      </c>
    </row>
    <row r="711" ht="32" customHeight="1">
      <c r="A711" s="8" t="n">
        <v>400390</v>
      </c>
      <c r="B711" s="8" t="inlineStr">
        <is>
          <t>露洗金砂盘</t>
        </is>
      </c>
      <c r="C711" s="8" t="inlineStr">
        <is>
          <t>法器</t>
        </is>
      </c>
      <c r="D711" s="8" t="inlineStr">
        <is>
          <t>common</t>
        </is>
      </c>
      <c r="E711" s="8" t="inlineStr">
        <is>
          <t>metal</t>
        </is>
      </c>
      <c r="F711" s="8" t="n">
        <v>1</v>
      </c>
      <c r="G711" s="8" t="inlineStr">
        <is>
          <t>基础/顶层</t>
        </is>
      </c>
      <c r="H711" s="8" t="inlineStr"/>
      <c r="I711" s="9" t="inlineStr"/>
      <c r="J711" s="8" t="inlineStr"/>
      <c r="K711" s="8" t="inlineStr"/>
      <c r="L711" s="8" t="inlineStr"/>
      <c r="M711" s="8" t="inlineStr">
        <is>
          <t>条件触发</t>
        </is>
      </c>
      <c r="N711" s="8" t="inlineStr">
        <is>
          <t>triggered</t>
        </is>
      </c>
      <c r="O711" s="9" t="inlineStr">
        <is>
          <t>其他道具使我方获得露水时，获得 1 层凝金；其他道具使我方获得露水时，获得 2 层凝金；其他道具使我方获得露水时，获得 3 层凝金；其他道具使我方获得露水时，获得 4 层凝金</t>
        </is>
      </c>
      <c r="P711" s="9" t="inlineStr">
        <is>
          <t>onBuffGain</t>
        </is>
      </c>
      <c r="Q711" s="9" t="inlineStr">
        <is>
          <t>applyBuff；other</t>
        </is>
      </c>
      <c r="R711" s="9" t="inlineStr">
        <is>
          <t>{"kind":"triggered","label":"其他道具使我方获得露水时，获得 1 层凝金","triggeredEffect":{"trigger":"onBuffGain","type":"applyBuff","buffId":"condensedMetal","count":1,"targetActor":"self","eventBuffId":"dew","eventSource":{"target":{"type":"other"}}},"starOverrides":{"1":{"label":"其他道具使我方获得露水时，获得 2 层凝金","triggeredEffect":{"count":2}},"2":{"label":"其他道具使我方获得露水时，获得 3 层凝金","triggeredEffect":{"count":3}},"3":{"label":"其他道具使我方获得露水时，获得 4 层凝金","triggeredEffect":{"count":4}}}}</t>
        </is>
      </c>
    </row>
    <row r="712" ht="32" customHeight="1">
      <c r="A712" s="8" t="n">
        <v>400391</v>
      </c>
      <c r="B712" s="8" t="inlineStr">
        <is>
          <t>受锋铜砧</t>
        </is>
      </c>
      <c r="C712" s="8" t="inlineStr">
        <is>
          <t>法器</t>
        </is>
      </c>
      <c r="D712" s="8" t="inlineStr">
        <is>
          <t>common</t>
        </is>
      </c>
      <c r="E712" s="8" t="inlineStr">
        <is>
          <t>metal</t>
        </is>
      </c>
      <c r="F712" s="8" t="n">
        <v>1</v>
      </c>
      <c r="G712" s="8" t="inlineStr">
        <is>
          <t>基础/顶层</t>
        </is>
      </c>
      <c r="H712" s="8" t="inlineStr"/>
      <c r="I712" s="9" t="inlineStr"/>
      <c r="J712" s="8" t="inlineStr"/>
      <c r="K712" s="8" t="inlineStr"/>
      <c r="L712" s="8" t="inlineStr"/>
      <c r="M712" s="8" t="inlineStr">
        <is>
          <t>条件触发</t>
        </is>
      </c>
      <c r="N712" s="8" t="inlineStr">
        <is>
          <t>triggered</t>
        </is>
      </c>
      <c r="O712" s="9" t="inlineStr">
        <is>
          <t>相邻武器使用时，获得 1 层凝金；相邻武器使用时，获得 2 层凝金；相邻武器使用时，获得 3 层凝金；相邻武器使用时，获得 4 层凝金</t>
        </is>
      </c>
      <c r="P712" s="9" t="inlineStr">
        <is>
          <t>onItemUse</t>
        </is>
      </c>
      <c r="Q712" s="9" t="inlineStr">
        <is>
          <t>applyBuff；adjacent</t>
        </is>
      </c>
      <c r="R712" s="9" t="inlineStr">
        <is>
          <t>{"kind":"triggered","label":"相邻武器使用时，获得 1 层凝金","triggeredEffect":{"trigger":"onItemUse","type":"applyBuff","buffId":"condensedMetal","count":1,"targetActor":"self","eventSource":{"target":{"type":"adjacent"},"filter":{"features":["weapon"]}}},"starOverrides":{"1":{"label":"相邻武器使用时，获得 2 层凝金","triggeredEffect":{"count":2}},"2":{"label":"相邻武器使用时，获得 3 层凝金","triggeredEffect":{"count":3}},"3":{"label":"相邻武器使用时，获得 4 层凝金","triggeredEffect":{"count":4}}}}</t>
        </is>
      </c>
    </row>
    <row r="713" ht="32" customHeight="1">
      <c r="A713" s="8" t="n">
        <v>400392</v>
      </c>
      <c r="B713" s="8" t="inlineStr">
        <is>
          <t>纳甲金匣</t>
        </is>
      </c>
      <c r="C713" s="8" t="inlineStr">
        <is>
          <t>法器</t>
        </is>
      </c>
      <c r="D713" s="8" t="inlineStr">
        <is>
          <t>common</t>
        </is>
      </c>
      <c r="E713" s="8" t="inlineStr">
        <is>
          <t>metal</t>
        </is>
      </c>
      <c r="F713" s="8" t="n">
        <v>1</v>
      </c>
      <c r="G713" s="8" t="inlineStr">
        <is>
          <t>基础/顶层</t>
        </is>
      </c>
      <c r="H713" s="8" t="inlineStr"/>
      <c r="I713" s="9" t="inlineStr"/>
      <c r="J713" s="8" t="inlineStr"/>
      <c r="K713" s="8" t="inlineStr"/>
      <c r="L713" s="8" t="inlineStr"/>
      <c r="M713" s="8" t="inlineStr">
        <is>
          <t>周期触发</t>
        </is>
      </c>
      <c r="N713" s="8" t="inlineStr">
        <is>
          <t>periodicPulse</t>
        </is>
      </c>
      <c r="O713" s="9" t="inlineStr">
        <is>
          <t>凝金为 0 且拥有不少于 4 层护甲时，获得 2 层凝金；凝金为 0 且拥有不少于 4 层护甲时，获得 3 层凝金；凝金为 0 且拥有不少于 4 层护甲时，获得 4 层凝金；凝金为 0 且拥有不少于 4 层护甲时，获得 5 层凝金</t>
        </is>
      </c>
      <c r="P713" s="9" t="inlineStr"/>
      <c r="Q713" s="9" t="inlineStr"/>
      <c r="R713" s="9" t="inlineStr">
        <is>
          <t>{"kind":"periodicPulse","periodicPulse":{"intervalSec":10,"label":"凝金为 0 且拥有不少于 4 层护甲时，获得 2 层凝金","buffGains":[{"buffId":"condensedMetal","count":2}],"activationRequirements":{"buffStackThresholds":[{"buffId":"condensedMetal","comparator":"atMost","count":0},{"buffId":"armor","comparator":"atLeast","count":4}]}},"starOverrides":{"1":{"label":"凝金为 0 且拥有不少于 4 层护甲时，获得 3 层凝金","periodicPulse":{"buffGains":[{"count":3}]}},"2":{"label":"凝金为 0 且拥有不少于 4 层护甲时，获得 4 层凝金","periodicPulse":{"buffGains":[{"count":4}]}},"3":{"label":"凝金为 0 且拥有不少于 4 层护甲时，获得 5 层凝金","periodicPulse":{"buffGains":[{"count":5}]}}}}</t>
        </is>
      </c>
    </row>
    <row r="714" ht="32" customHeight="1">
      <c r="A714" s="8" t="n">
        <v>400393</v>
      </c>
      <c r="B714" s="8" t="inlineStr">
        <is>
          <t>落炉金签</t>
        </is>
      </c>
      <c r="C714" s="8" t="inlineStr">
        <is>
          <t>法器</t>
        </is>
      </c>
      <c r="D714" s="8" t="inlineStr">
        <is>
          <t>common</t>
        </is>
      </c>
      <c r="E714" s="8" t="inlineStr">
        <is>
          <t>metal</t>
        </is>
      </c>
      <c r="F714" s="8" t="n">
        <v>1</v>
      </c>
      <c r="G714" s="8" t="inlineStr">
        <is>
          <t>基础/顶层</t>
        </is>
      </c>
      <c r="H714" s="8" t="inlineStr"/>
      <c r="I714" s="9" t="inlineStr"/>
      <c r="J714" s="8" t="inlineStr"/>
      <c r="K714" s="8" t="inlineStr"/>
      <c r="L714" s="8" t="inlineStr"/>
      <c r="M714" s="8" t="inlineStr">
        <is>
          <t>条件触发</t>
        </is>
      </c>
      <c r="N714" s="8" t="inlineStr">
        <is>
          <t>triggered</t>
        </is>
      </c>
      <c r="O714" s="9" t="inlineStr">
        <is>
          <t>其他消耗品耗尽时，获得 3 层凝金；其他消耗品耗尽时，获得 4 层凝金；其他消耗品耗尽时，获得 5 层凝金；其他消耗品耗尽时，获得 6 层凝金</t>
        </is>
      </c>
      <c r="P714" s="9" t="inlineStr">
        <is>
          <t>onConsumableExhausted</t>
        </is>
      </c>
      <c r="Q714" s="9" t="inlineStr">
        <is>
          <t>applyBuff；other</t>
        </is>
      </c>
      <c r="R714" s="9" t="inlineStr">
        <is>
          <t>{"kind":"triggered","label":"其他消耗品耗尽时，获得 3 层凝金","triggeredEffect":{"trigger":"onConsumableExhausted","type":"applyBuff","buffId":"condensedMetal","count":3,"targetActor":"self","eventSource":{"target":{"type":"other"}}},"starOverrides":{"1":{"label":"其他消耗品耗尽时，获得 4 层凝金","triggeredEffect":{"count":4}},"2":{"label":"其他消耗品耗尽时，获得 5 层凝金","triggeredEffect":{"count":5}},"3":{"label":"其他消耗品耗尽时，获得 6 层凝金","triggeredEffect":{"count":6}}}}</t>
        </is>
      </c>
    </row>
    <row r="715" ht="32" customHeight="1">
      <c r="A715" s="8" t="n">
        <v>400394</v>
      </c>
      <c r="B715" s="8" t="inlineStr">
        <is>
          <t>底脉金桩</t>
        </is>
      </c>
      <c r="C715" s="8" t="inlineStr">
        <is>
          <t>法器</t>
        </is>
      </c>
      <c r="D715" s="8" t="inlineStr">
        <is>
          <t>common</t>
        </is>
      </c>
      <c r="E715" s="8" t="inlineStr">
        <is>
          <t>metal</t>
        </is>
      </c>
      <c r="F715" s="8" t="n">
        <v>1</v>
      </c>
      <c r="G715" s="8" t="inlineStr">
        <is>
          <t>基础/顶层</t>
        </is>
      </c>
      <c r="H715" s="8" t="inlineStr"/>
      <c r="I715" s="9" t="inlineStr"/>
      <c r="J715" s="8" t="inlineStr"/>
      <c r="K715" s="8" t="inlineStr"/>
      <c r="L715" s="8" t="inlineStr"/>
      <c r="M715" s="8" t="inlineStr">
        <is>
          <t>周期触发</t>
        </is>
      </c>
      <c r="N715" s="8" t="inlineStr">
        <is>
          <t>periodicPulse</t>
        </is>
      </c>
      <c r="O715" s="9" t="inlineStr">
        <is>
          <t>开局时，位于储物袋底部，获得 5 层凝金；开局时，位于储物袋底部，获得 6 层凝金；开局时，位于储物袋底部，获得 7 层凝金；开局时，位于储物袋底部，获得 8 层凝金</t>
        </is>
      </c>
      <c r="P715" s="9" t="inlineStr"/>
      <c r="Q715" s="9" t="inlineStr"/>
      <c r="R715" s="9" t="inlineStr">
        <is>
          <t>{"kind":"periodicPulse","label":"开局时，位于储物袋底部，获得 5 层凝金","periodicPulse":{"startOnly":true,"label":"开局时，位于储物袋底部，获得 5 层凝金","buffGains":[{"buffId":"condensedMetal","count":5}],"activationRequirements":{"sourceEdges":["bottom"]}},"starOverrides":{"1":{"label":"开局时，位于储物袋底部，获得 6 层凝金","periodicPulse":{"label":"开局时，位于储物袋底部，获得 6 层凝金","buffGains":[{"count":6}]}},"2":{"label":"开局时，位于储物袋底部，获得 7 层凝金","periodicPulse":{"label":"开局时，位于储物袋底部，获得 7 层凝金","buffGains":[{"count":7}]}},"3":{"label":"开局时，位于储物袋底部，获得 8 层凝金","periodicPulse":{"label":"开局时，位于储物袋底部，获得 8 层凝金","buffGains":[{"count":8}]}}}}</t>
        </is>
      </c>
    </row>
    <row r="716" ht="32" customHeight="1">
      <c r="A716" s="8" t="n">
        <v>400395</v>
      </c>
      <c r="B716" s="8" t="inlineStr">
        <is>
          <t>三邻锁金盘</t>
        </is>
      </c>
      <c r="C716" s="8" t="inlineStr">
        <is>
          <t>法器</t>
        </is>
      </c>
      <c r="D716" s="8" t="inlineStr">
        <is>
          <t>common</t>
        </is>
      </c>
      <c r="E716" s="8" t="inlineStr">
        <is>
          <t>metal</t>
        </is>
      </c>
      <c r="F716" s="8" t="n">
        <v>1</v>
      </c>
      <c r="G716" s="8" t="inlineStr">
        <is>
          <t>基础/顶层</t>
        </is>
      </c>
      <c r="H716" s="8" t="inlineStr"/>
      <c r="I716" s="9" t="inlineStr"/>
      <c r="J716" s="8" t="inlineStr"/>
      <c r="K716" s="8" t="inlineStr"/>
      <c r="L716" s="8" t="inlineStr"/>
      <c r="M716" s="8" t="inlineStr">
        <is>
          <t>周期触发</t>
        </is>
      </c>
      <c r="N716" s="8" t="inlineStr">
        <is>
          <t>periodicPulse</t>
        </is>
      </c>
      <c r="O716" s="9" t="inlineStr">
        <is>
          <t>相邻至少 3 件装备时，获得 3 层凝金；相邻至少 3 件装备时，获得 4 层凝金；相邻至少 3 件装备时，获得 5 层凝金；相邻至少 3 件装备时，获得 6 层凝金</t>
        </is>
      </c>
      <c r="P716" s="9" t="inlineStr"/>
      <c r="Q716" s="9" t="inlineStr"/>
      <c r="R716" s="9" t="inlineStr">
        <is>
          <t>{"kind":"periodicPulse","periodicPulse":{"intervalSec":12,"label":"相邻至少 3 件装备时，获得 3 层凝金","buffGains":[{"buffId":"condensedMetal","count":3}],"activationRequirements":{"neighborCounts":[{"minCount":3,"features":["equipment"]}]}},"starOverrides":{"1":{"label":"相邻至少 3 件装备时，获得 4 层凝金","periodicPulse":{"buffGains":[{"count":4}]}},"2":{"label":"相邻至少 3 件装备时，获得 5 层凝金","periodicPulse":{"buffGains":[{"count":5}]}},"3":{"label":"相邻至少 3 件装备时，获得 6 层凝金","periodicPulse":{"buffGains":[{"count":6}]}}}}</t>
        </is>
      </c>
    </row>
    <row r="717" ht="32" customHeight="1">
      <c r="A717" s="8" t="n">
        <v>400396</v>
      </c>
      <c r="B717" s="8" t="inlineStr">
        <is>
          <t>损气坠石</t>
        </is>
      </c>
      <c r="C717" s="8" t="inlineStr">
        <is>
          <t>法器</t>
        </is>
      </c>
      <c r="D717" s="8" t="inlineStr">
        <is>
          <t>common</t>
        </is>
      </c>
      <c r="E717" s="8" t="inlineStr">
        <is>
          <t>earth</t>
        </is>
      </c>
      <c r="F717" s="8" t="n">
        <v>1</v>
      </c>
      <c r="G717" s="8" t="inlineStr">
        <is>
          <t>基础/顶层</t>
        </is>
      </c>
      <c r="H717" s="8" t="inlineStr"/>
      <c r="I717" s="9" t="inlineStr"/>
      <c r="J717" s="8" t="inlineStr"/>
      <c r="K717" s="8" t="inlineStr"/>
      <c r="L717" s="8" t="inlineStr"/>
      <c r="M717" s="8" t="inlineStr">
        <is>
          <t>条件触发</t>
        </is>
      </c>
      <c r="N717" s="8" t="inlineStr">
        <is>
          <t>triggered</t>
        </is>
      </c>
      <c r="O717" s="9" t="inlineStr">
        <is>
          <t>每当消耗气血后，获得 2 层蓄势；每当消耗气血后，获得 3 层蓄势；每当消耗气血后，获得 4 层蓄势；每当消耗气血后，获得 5 层蓄势</t>
        </is>
      </c>
      <c r="P717" s="9" t="inlineStr">
        <is>
          <t>onPrimaryStatConsumed</t>
        </is>
      </c>
      <c r="Q717" s="9" t="inlineStr">
        <is>
          <t>applyBuff</t>
        </is>
      </c>
      <c r="R717" s="9" t="inlineStr">
        <is>
          <t>{"kind":"triggered","label":"每当消耗气血后，获得 2 层蓄势","triggeredEffect":{"trigger":"onPrimaryStatConsumed","type":"applyBuff","buffId":"heavy","count":2,"targetActor":"self","minEventPrimaryStatConsumed":{"stat":"health","amount":1}},"starOverrides":{"1":{"label":"每当消耗气血后，获得 3 层蓄势","triggeredEffect":{"count":3}},"2":{"label":"每当消耗气血后，获得 4 层蓄势","triggeredEffect":{"count":4}},"3":{"label":"每当消耗气血后，获得 5 层蓄势","triggeredEffect":{"count":5}}}}</t>
        </is>
      </c>
    </row>
    <row r="718" ht="32" customHeight="1">
      <c r="A718" s="8" t="n">
        <v>400397</v>
      </c>
      <c r="B718" s="8" t="inlineStr">
        <is>
          <t>压锋肩甲</t>
        </is>
      </c>
      <c r="C718" s="8" t="inlineStr">
        <is>
          <t>法器</t>
        </is>
      </c>
      <c r="D718" s="8" t="inlineStr">
        <is>
          <t>common</t>
        </is>
      </c>
      <c r="E718" s="8" t="inlineStr">
        <is>
          <t>earth</t>
        </is>
      </c>
      <c r="F718" s="8" t="n">
        <v>1</v>
      </c>
      <c r="G718" s="8" t="inlineStr">
        <is>
          <t>基础/顶层</t>
        </is>
      </c>
      <c r="H718" s="8" t="inlineStr"/>
      <c r="I718" s="9" t="inlineStr"/>
      <c r="J718" s="8" t="inlineStr"/>
      <c r="K718" s="8" t="inlineStr"/>
      <c r="L718" s="8" t="inlineStr"/>
      <c r="M718" s="8" t="inlineStr">
        <is>
          <t>条件触发</t>
        </is>
      </c>
      <c r="N718" s="8" t="inlineStr">
        <is>
          <t>triggered</t>
        </is>
      </c>
      <c r="O718" s="9" t="inlineStr">
        <is>
          <t>相邻武器使用时，获得 1 层蓄势；相邻武器使用时，获得 2 层蓄势；相邻武器使用时，获得 3 层蓄势；相邻武器使用时，获得 4 层蓄势</t>
        </is>
      </c>
      <c r="P718" s="9" t="inlineStr">
        <is>
          <t>onItemUse</t>
        </is>
      </c>
      <c r="Q718" s="9" t="inlineStr">
        <is>
          <t>applyBuff；adjacent</t>
        </is>
      </c>
      <c r="R718" s="9" t="inlineStr">
        <is>
          <t>{"kind":"triggered","label":"相邻武器使用时，获得 1 层蓄势","triggeredEffect":{"trigger":"onItemUse","type":"applyBuff","buffId":"heavy","count":1,"targetActor":"self","eventSource":{"target":{"type":"adjacent"},"filter":{"features":["weapon"]}}},"starOverrides":{"1":{"label":"相邻武器使用时，获得 2 层蓄势","triggeredEffect":{"count":2}},"2":{"label":"相邻武器使用时，获得 3 层蓄势","triggeredEffect":{"count":3}},"3":{"label":"相邻武器使用时，获得 4 层蓄势","triggeredEffect":{"count":4}}}}</t>
        </is>
      </c>
    </row>
    <row r="719" ht="32" customHeight="1">
      <c r="A719" s="8" t="n">
        <v>400398</v>
      </c>
      <c r="B719" s="8" t="inlineStr">
        <is>
          <t>纳甲沉砣</t>
        </is>
      </c>
      <c r="C719" s="8" t="inlineStr">
        <is>
          <t>法器</t>
        </is>
      </c>
      <c r="D719" s="8" t="inlineStr">
        <is>
          <t>common</t>
        </is>
      </c>
      <c r="E719" s="8" t="inlineStr">
        <is>
          <t>earth</t>
        </is>
      </c>
      <c r="F719" s="8" t="n">
        <v>1</v>
      </c>
      <c r="G719" s="8" t="inlineStr">
        <is>
          <t>基础/顶层</t>
        </is>
      </c>
      <c r="H719" s="8" t="inlineStr"/>
      <c r="I719" s="9" t="inlineStr"/>
      <c r="J719" s="8" t="inlineStr"/>
      <c r="K719" s="8" t="inlineStr"/>
      <c r="L719" s="8" t="inlineStr"/>
      <c r="M719" s="8" t="inlineStr">
        <is>
          <t>条件触发</t>
        </is>
      </c>
      <c r="N719" s="8" t="inlineStr">
        <is>
          <t>triggered</t>
        </is>
      </c>
      <c r="O719" s="9" t="inlineStr">
        <is>
          <t>其他道具使我方获得护甲时，获得 1 层蓄势；其他道具使我方获得护甲时，获得 2 层蓄势；其他道具使我方获得护甲时，获得 3 层蓄势；其他道具使我方获得护甲时，获得 4 层蓄势</t>
        </is>
      </c>
      <c r="P719" s="9" t="inlineStr">
        <is>
          <t>onBuffGain</t>
        </is>
      </c>
      <c r="Q719" s="9" t="inlineStr">
        <is>
          <t>applyBuff；other</t>
        </is>
      </c>
      <c r="R719" s="9" t="inlineStr">
        <is>
          <t>{"kind":"triggered","label":"其他道具使我方获得护甲时，获得 1 层蓄势","triggeredEffect":{"trigger":"onBuffGain","type":"applyBuff","buffId":"heavy","count":1,"targetActor":"self","eventBuffId":"armor","eventSource":{"target":{"type":"other"}}},"starOverrides":{"1":{"label":"其他道具使我方获得护甲时，获得 2 层蓄势","triggeredEffect":{"count":2}},"2":{"label":"其他道具使我方获得护甲时，获得 3 层蓄势","triggeredEffect":{"count":3}},"3":{"label":"其他道具使我方获得护甲时，获得 4 层蓄势","triggeredEffect":{"count":4}}}}</t>
        </is>
      </c>
    </row>
    <row r="720" ht="32" customHeight="1">
      <c r="A720" s="8" t="n">
        <v>400399</v>
      </c>
      <c r="B720" s="8" t="inlineStr">
        <is>
          <t>伏底镇息架</t>
        </is>
      </c>
      <c r="C720" s="8" t="inlineStr">
        <is>
          <t>法器</t>
        </is>
      </c>
      <c r="D720" s="8" t="inlineStr">
        <is>
          <t>common</t>
        </is>
      </c>
      <c r="E720" s="8" t="inlineStr">
        <is>
          <t>earth</t>
        </is>
      </c>
      <c r="F720" s="8" t="n">
        <v>1</v>
      </c>
      <c r="G720" s="8" t="inlineStr">
        <is>
          <t>基础/顶层</t>
        </is>
      </c>
      <c r="H720" s="8" t="inlineStr"/>
      <c r="I720" s="9" t="inlineStr"/>
      <c r="J720" s="8" t="inlineStr"/>
      <c r="K720" s="8" t="inlineStr"/>
      <c r="L720" s="8" t="inlineStr"/>
      <c r="M720" s="8" t="inlineStr">
        <is>
          <t>周期触发</t>
        </is>
      </c>
      <c r="N720" s="8" t="inlineStr">
        <is>
          <t>periodicPulse</t>
        </is>
      </c>
      <c r="O720" s="9" t="inlineStr">
        <is>
          <t>开局时，位于储物袋底部，获得 4 层蓄势；开局时，位于储物袋底部，获得 5 层蓄势；开局时，位于储物袋底部，获得 6 层蓄势；开局时，位于储物袋底部，获得 7 层蓄势</t>
        </is>
      </c>
      <c r="P720" s="9" t="inlineStr"/>
      <c r="Q720" s="9" t="inlineStr"/>
      <c r="R720" s="9" t="inlineStr">
        <is>
          <t>{"kind":"periodicPulse","label":"开局时，位于储物袋底部，获得 4 层蓄势","periodicPulse":{"startOnly":true,"label":"开局时，位于储物袋底部，获得 4 层蓄势","buffGains":[{"buffId":"heavy","count":4}],"activationRequirements":{"sourceEdges":["bottom"]}},"starOverrides":{"1":{"label":"开局时，位于储物袋底部，获得 5 层蓄势","periodicPulse":{"label":"开局时，位于储物袋底部，获得 5 层蓄势","buffGains":[{"count":5}]}},"2":{"label":"开局时，位于储物袋底部，获得 6 层蓄势","periodicPulse":{"label":"开局时，位于储物袋底部，获得 6 层蓄势","buffGains":[{"count":6}]}},"3":{"label":"开局时，位于储物袋底部，获得 7 层蓄势","periodicPulse":{"label":"开局时，位于储物袋底部，获得 7 层蓄势","buffGains":[{"count":7}]}}}}</t>
        </is>
      </c>
    </row>
    <row r="721" ht="32" customHeight="1">
      <c r="A721" s="8" t="n">
        <v>400400</v>
      </c>
      <c r="B721" s="8" t="inlineStr">
        <is>
          <t>金坠负岳锁</t>
        </is>
      </c>
      <c r="C721" s="8" t="inlineStr">
        <is>
          <t>法器</t>
        </is>
      </c>
      <c r="D721" s="8" t="inlineStr">
        <is>
          <t>common</t>
        </is>
      </c>
      <c r="E721" s="8" t="inlineStr">
        <is>
          <t>earth</t>
        </is>
      </c>
      <c r="F721" s="8" t="n">
        <v>1</v>
      </c>
      <c r="G721" s="8" t="inlineStr">
        <is>
          <t>基础/顶层</t>
        </is>
      </c>
      <c r="H721" s="8" t="inlineStr"/>
      <c r="I721" s="9" t="inlineStr"/>
      <c r="J721" s="8" t="inlineStr"/>
      <c r="K721" s="8" t="inlineStr"/>
      <c r="L721" s="8" t="inlineStr"/>
      <c r="M721" s="8" t="inlineStr">
        <is>
          <t>条件触发</t>
        </is>
      </c>
      <c r="N721" s="8" t="inlineStr">
        <is>
          <t>triggered</t>
        </is>
      </c>
      <c r="O721" s="9" t="inlineStr">
        <is>
          <t>其他道具使我方获得凝金时，获得 1 层蓄势；其他道具使我方获得凝金时，获得 2 层蓄势；其他道具使我方获得凝金时，获得 3 层蓄势；其他道具使我方获得凝金时，获得 4 层蓄势</t>
        </is>
      </c>
      <c r="P721" s="9" t="inlineStr">
        <is>
          <t>onBuffGain</t>
        </is>
      </c>
      <c r="Q721" s="9" t="inlineStr">
        <is>
          <t>applyBuff；other</t>
        </is>
      </c>
      <c r="R721" s="9" t="inlineStr">
        <is>
          <t>{"kind":"triggered","label":"其他道具使我方获得凝金时，获得 1 层蓄势","triggeredEffect":{"trigger":"onBuffGain","type":"applyBuff","buffId":"heavy","count":1,"targetActor":"self","eventBuffId":"condensedMetal","eventSource":{"target":{"type":"other"}}},"starOverrides":{"1":{"label":"其他道具使我方获得凝金时，获得 2 层蓄势","triggeredEffect":{"count":2}},"2":{"label":"其他道具使我方获得凝金时，获得 3 层蓄势","triggeredEffect":{"count":3}},"3":{"label":"其他道具使我方获得凝金时，获得 4 层蓄势","triggeredEffect":{"count":4}}}}</t>
        </is>
      </c>
    </row>
    <row r="722" ht="32" customHeight="1">
      <c r="A722" s="8" t="n">
        <v>400401</v>
      </c>
      <c r="B722" s="8" t="inlineStr">
        <is>
          <t>轻羽转轴</t>
        </is>
      </c>
      <c r="C722" s="8" t="inlineStr">
        <is>
          <t>法器</t>
        </is>
      </c>
      <c r="D722" s="8" t="inlineStr">
        <is>
          <t>common</t>
        </is>
      </c>
      <c r="E722" s="8" t="inlineStr">
        <is>
          <t>wind</t>
        </is>
      </c>
      <c r="F722" s="8" t="n">
        <v>1</v>
      </c>
      <c r="G722" s="8" t="inlineStr">
        <is>
          <t>基础/顶层</t>
        </is>
      </c>
      <c r="H722" s="8" t="inlineStr"/>
      <c r="I722" s="9" t="inlineStr"/>
      <c r="J722" s="8" t="inlineStr"/>
      <c r="K722" s="8" t="inlineStr"/>
      <c r="L722" s="8" t="inlineStr"/>
      <c r="M722" s="8" t="inlineStr">
        <is>
          <t>周期触发</t>
        </is>
      </c>
      <c r="N722" s="8" t="inlineStr">
        <is>
          <t>periodicPulse</t>
        </is>
      </c>
      <c r="O722" s="9" t="inlineStr">
        <is>
          <t>获得 1 层敏捷；获得 2 层敏捷；获得 3 层敏捷；获得 4 层敏捷</t>
        </is>
      </c>
      <c r="P722" s="9" t="inlineStr"/>
      <c r="Q722" s="9" t="inlineStr"/>
      <c r="R722" s="9" t="inlineStr">
        <is>
          <t>{"kind":"periodicPulse","periodicPulse":{"intervalSec":10,"label":"获得 1 层敏捷","buffGains":[{"buffId":"agile","count":1}]},"starOverrides":{"1":{"label":"获得 2 层敏捷","periodicPulse":{"buffGains":[{"count":2}]}},"2":{"label":"获得 3 层敏捷","periodicPulse":{"buffGains":[{"count":3}]}},"3":{"label":"获得 4 层敏捷","periodicPulse":{"buffGains":[{"count":4}]}}}}</t>
        </is>
      </c>
    </row>
    <row r="723" ht="32" customHeight="1">
      <c r="A723" s="8" t="n">
        <v>400402</v>
      </c>
      <c r="B723" s="8" t="inlineStr">
        <is>
          <t>悬风小旗</t>
        </is>
      </c>
      <c r="C723" s="8" t="inlineStr">
        <is>
          <t>法器</t>
        </is>
      </c>
      <c r="D723" s="8" t="inlineStr">
        <is>
          <t>common</t>
        </is>
      </c>
      <c r="E723" s="8" t="inlineStr">
        <is>
          <t>wind</t>
        </is>
      </c>
      <c r="F723" s="8" t="n">
        <v>1</v>
      </c>
      <c r="G723" s="8" t="inlineStr">
        <is>
          <t>基础/顶层</t>
        </is>
      </c>
      <c r="H723" s="8" t="inlineStr"/>
      <c r="I723" s="9" t="inlineStr"/>
      <c r="J723" s="8" t="inlineStr"/>
      <c r="K723" s="8" t="inlineStr"/>
      <c r="L723" s="8" t="inlineStr"/>
      <c r="M723" s="8" t="inlineStr">
        <is>
          <t>周期触发</t>
        </is>
      </c>
      <c r="N723" s="8" t="inlineStr">
        <is>
          <t>periodicPulse</t>
        </is>
      </c>
      <c r="O723" s="9" t="inlineStr">
        <is>
          <t>开局时，位于储物袋顶部，获得 3 层敏捷；开局时，位于储物袋顶部，获得 4 层敏捷；开局时，位于储物袋顶部，获得 5 层敏捷；开局时，位于储物袋顶部，获得 6 层敏捷</t>
        </is>
      </c>
      <c r="P723" s="9" t="inlineStr"/>
      <c r="Q723" s="9" t="inlineStr"/>
      <c r="R723" s="9" t="inlineStr">
        <is>
          <t>{"kind":"periodicPulse","label":"开局时，位于储物袋顶部，获得 3 层敏捷","periodicPulse":{"startOnly":true,"label":"开局时，位于储物袋顶部，获得 3 层敏捷","buffGains":[{"buffId":"agile","count":3}],"activationRequirements":{"sourceEdges":["top"]}},"starOverrides":{"1":{"label":"开局时，位于储物袋顶部，获得 4 层敏捷","periodicPulse":{"label":"开局时，位于储物袋顶部，获得 4 层敏捷","buffGains":[{"count":4}]}},"2":{"label":"开局时，位于储物袋顶部，获得 5 层敏捷","periodicPulse":{"label":"开局时，位于储物袋顶部，获得 5 层敏捷","buffGains":[{"count":5}]}},"3":{"label":"开局时，位于储物袋顶部，获得 6 层敏捷","periodicPulse":{"label":"开局时，位于储物袋顶部，获得 6 层敏捷","buffGains":[{"count":6}]}}}}</t>
        </is>
      </c>
    </row>
    <row r="724" ht="32" customHeight="1">
      <c r="A724" s="8" t="n">
        <v>400403</v>
      </c>
      <c r="B724" s="8" t="inlineStr">
        <is>
          <t>回步腕环</t>
        </is>
      </c>
      <c r="C724" s="8" t="inlineStr">
        <is>
          <t>法器</t>
        </is>
      </c>
      <c r="D724" s="8" t="inlineStr">
        <is>
          <t>common</t>
        </is>
      </c>
      <c r="E724" s="8" t="inlineStr">
        <is>
          <t>wind</t>
        </is>
      </c>
      <c r="F724" s="8" t="n">
        <v>1</v>
      </c>
      <c r="G724" s="8" t="inlineStr">
        <is>
          <t>基础/顶层</t>
        </is>
      </c>
      <c r="H724" s="8" t="inlineStr"/>
      <c r="I724" s="9" t="inlineStr"/>
      <c r="J724" s="8" t="inlineStr"/>
      <c r="K724" s="8" t="inlineStr"/>
      <c r="L724" s="8" t="inlineStr"/>
      <c r="M724" s="8" t="inlineStr">
        <is>
          <t>条件触发</t>
        </is>
      </c>
      <c r="N724" s="8" t="inlineStr">
        <is>
          <t>triggered</t>
        </is>
      </c>
      <c r="O724" s="9" t="inlineStr">
        <is>
          <t>每当消耗体力后，获得 1 层敏捷；每当消耗体力后，获得 2 层敏捷；每当消耗体力后，获得 3 层敏捷；每当消耗体力后，获得 4 层敏捷</t>
        </is>
      </c>
      <c r="P724" s="9" t="inlineStr">
        <is>
          <t>onPrimaryStatConsumed</t>
        </is>
      </c>
      <c r="Q724" s="9" t="inlineStr">
        <is>
          <t>applyBuff</t>
        </is>
      </c>
      <c r="R724" s="9" t="inlineStr">
        <is>
          <t>{"kind":"triggered","label":"每当消耗体力后，获得 1 层敏捷","triggeredEffect":{"trigger":"onPrimaryStatConsumed","type":"applyBuff","buffId":"agile","count":1,"targetActor":"self","minEventPrimaryStatConsumed":{"stat":"stamina","amount":1}},"starOverrides":{"1":{"label":"每当消耗体力后，获得 2 层敏捷","triggeredEffect":{"count":2}},"2":{"label":"每当消耗体力后，获得 3 层敏捷","triggeredEffect":{"count":3}},"3":{"label":"每当消耗体力后，获得 4 层敏捷","triggeredEffect":{"count":4}}}}</t>
        </is>
      </c>
    </row>
    <row r="725" ht="32" customHeight="1">
      <c r="A725" s="8" t="n">
        <v>400404</v>
      </c>
      <c r="B725" s="8" t="inlineStr">
        <is>
          <t>露行叶轮</t>
        </is>
      </c>
      <c r="C725" s="8" t="inlineStr">
        <is>
          <t>法器</t>
        </is>
      </c>
      <c r="D725" s="8" t="inlineStr">
        <is>
          <t>common</t>
        </is>
      </c>
      <c r="E725" s="8" t="inlineStr">
        <is>
          <t>wind</t>
        </is>
      </c>
      <c r="F725" s="8" t="n">
        <v>1</v>
      </c>
      <c r="G725" s="8" t="inlineStr">
        <is>
          <t>基础/顶层</t>
        </is>
      </c>
      <c r="H725" s="8" t="inlineStr"/>
      <c r="I725" s="9" t="inlineStr"/>
      <c r="J725" s="8" t="inlineStr"/>
      <c r="K725" s="8" t="inlineStr"/>
      <c r="L725" s="8" t="inlineStr"/>
      <c r="M725" s="8" t="inlineStr">
        <is>
          <t>条件触发</t>
        </is>
      </c>
      <c r="N725" s="8" t="inlineStr">
        <is>
          <t>triggered</t>
        </is>
      </c>
      <c r="O725" s="9" t="inlineStr">
        <is>
          <t>其他道具消耗露水时，获得 1 层敏捷；其他道具消耗露水时，获得 2 层敏捷；其他道具消耗露水时，获得 3 层敏捷；其他道具消耗露水时，获得 4 层敏捷</t>
        </is>
      </c>
      <c r="P725" s="9" t="inlineStr">
        <is>
          <t>onBuffConsumed</t>
        </is>
      </c>
      <c r="Q725" s="9" t="inlineStr">
        <is>
          <t>applyBuff；other</t>
        </is>
      </c>
      <c r="R725" s="9" t="inlineStr">
        <is>
          <t>{"kind":"triggered","label":"其他道具消耗露水时，获得 1 层敏捷","triggeredEffect":{"trigger":"onBuffConsumed","type":"applyBuff","buffId":"agile","count":1,"targetActor":"self","eventBuffId":"dew","eventSource":{"target":{"type":"other"}}},"starOverrides":{"1":{"label":"其他道具消耗露水时，获得 2 层敏捷","triggeredEffect":{"count":2}},"2":{"label":"其他道具消耗露水时，获得 3 层敏捷","triggeredEffect":{"count":3}},"3":{"label":"其他道具消耗露水时，获得 4 层敏捷","triggeredEffect":{"count":4}}}}</t>
        </is>
      </c>
    </row>
    <row r="726" ht="32" customHeight="1">
      <c r="A726" s="8" t="n">
        <v>400405</v>
      </c>
      <c r="B726" s="8" t="inlineStr">
        <is>
          <t>引锋丝带</t>
        </is>
      </c>
      <c r="C726" s="8" t="inlineStr">
        <is>
          <t>法器</t>
        </is>
      </c>
      <c r="D726" s="8" t="inlineStr">
        <is>
          <t>common</t>
        </is>
      </c>
      <c r="E726" s="8" t="inlineStr">
        <is>
          <t>wind</t>
        </is>
      </c>
      <c r="F726" s="8" t="n">
        <v>1</v>
      </c>
      <c r="G726" s="8" t="inlineStr">
        <is>
          <t>基础/顶层</t>
        </is>
      </c>
      <c r="H726" s="8" t="inlineStr"/>
      <c r="I726" s="9" t="inlineStr"/>
      <c r="J726" s="8" t="inlineStr"/>
      <c r="K726" s="8" t="inlineStr"/>
      <c r="L726" s="8" t="inlineStr"/>
      <c r="M726" s="8" t="inlineStr">
        <is>
          <t>条件触发</t>
        </is>
      </c>
      <c r="N726" s="8" t="inlineStr">
        <is>
          <t>triggered</t>
        </is>
      </c>
      <c r="O726" s="9" t="inlineStr">
        <is>
          <t>上方相邻武器使用时，获得 1 层敏捷；上方相邻武器使用时，获得 2 层敏捷；上方相邻武器使用时，获得 3 层敏捷；上方相邻武器使用时，获得 4 层敏捷</t>
        </is>
      </c>
      <c r="P726" s="9" t="inlineStr">
        <is>
          <t>onItemUse</t>
        </is>
      </c>
      <c r="Q726" s="9" t="inlineStr">
        <is>
          <t>applyBuff；directional-adjacent</t>
        </is>
      </c>
      <c r="R726" s="9" t="inlineStr">
        <is>
          <t>{"kind":"triggered","label":"上方相邻武器使用时，获得 1 层敏捷","triggeredEffect":{"trigger":"onItemUse","type":"applyBuff","buffId":"agile","count":1,"targetActor":"self","eventSource":{"target":{"type":"directional-adjacent","direction":"up"},"filter":{"features":["weapon"]}}},"starOverrides":{"1":{"label":"上方相邻武器使用时，获得 2 层敏捷","triggeredEffect":{"count":2}},"2":{"label":"上方相邻武器使用时，获得 3 层敏捷","triggeredEffect":{"count":3}},"3":{"label":"上方相邻武器使用时，获得 4 层敏捷","triggeredEffect":{"count":4}}}}</t>
        </is>
      </c>
    </row>
    <row r="727" ht="32" customHeight="1">
      <c r="A727" s="8" t="n">
        <v>400406</v>
      </c>
      <c r="B727" s="8" t="inlineStr">
        <is>
          <t>应法风哨</t>
        </is>
      </c>
      <c r="C727" s="8" t="inlineStr">
        <is>
          <t>法器</t>
        </is>
      </c>
      <c r="D727" s="8" t="inlineStr">
        <is>
          <t>common</t>
        </is>
      </c>
      <c r="E727" s="8" t="inlineStr">
        <is>
          <t>wind</t>
        </is>
      </c>
      <c r="F727" s="8" t="n">
        <v>1</v>
      </c>
      <c r="G727" s="8" t="inlineStr">
        <is>
          <t>基础/顶层</t>
        </is>
      </c>
      <c r="H727" s="8" t="inlineStr"/>
      <c r="I727" s="9" t="inlineStr"/>
      <c r="J727" s="8" t="inlineStr"/>
      <c r="K727" s="8" t="inlineStr"/>
      <c r="L727" s="8" t="inlineStr"/>
      <c r="M727" s="8" t="inlineStr">
        <is>
          <t>条件触发</t>
        </is>
      </c>
      <c r="N727" s="8" t="inlineStr">
        <is>
          <t>triggered</t>
        </is>
      </c>
      <c r="O727" s="9" t="inlineStr">
        <is>
          <t>右侧相邻招式使用时，获得 1 层敏捷；右侧相邻招式使用时，获得 2 层敏捷；右侧相邻招式使用时，获得 3 层敏捷；右侧相邻招式使用时，获得 4 层敏捷</t>
        </is>
      </c>
      <c r="P727" s="9" t="inlineStr">
        <is>
          <t>onItemUse</t>
        </is>
      </c>
      <c r="Q727" s="9" t="inlineStr">
        <is>
          <t>applyBuff；directional-adjacent</t>
        </is>
      </c>
      <c r="R727" s="9" t="inlineStr">
        <is>
          <t>{"kind":"triggered","label":"右侧相邻招式使用时，获得 1 层敏捷","triggeredEffect":{"trigger":"onItemUse","type":"applyBuff","buffId":"agile","count":1,"targetActor":"self","eventSource":{"target":{"type":"directional-adjacent","direction":"right"},"filter":{"categories":["spell"]}}},"starOverrides":{"1":{"label":"右侧相邻招式使用时，获得 2 层敏捷","triggeredEffect":{"count":2}},"2":{"label":"右侧相邻招式使用时，获得 3 层敏捷","triggeredEffect":{"count":3}},"3":{"label":"右侧相邻招式使用时，获得 4 层敏捷","triggeredEffect":{"count":4}}}}</t>
        </is>
      </c>
    </row>
    <row r="728" ht="32" customHeight="1">
      <c r="A728" s="8" t="n">
        <v>400407</v>
      </c>
      <c r="B728" s="8" t="inlineStr">
        <is>
          <t>解寒羽扣</t>
        </is>
      </c>
      <c r="C728" s="8" t="inlineStr">
        <is>
          <t>法器</t>
        </is>
      </c>
      <c r="D728" s="8" t="inlineStr">
        <is>
          <t>common</t>
        </is>
      </c>
      <c r="E728" s="8" t="inlineStr">
        <is>
          <t>wind</t>
        </is>
      </c>
      <c r="F728" s="8" t="n">
        <v>1</v>
      </c>
      <c r="G728" s="8" t="inlineStr">
        <is>
          <t>基础/顶层</t>
        </is>
      </c>
      <c r="H728" s="8" t="inlineStr"/>
      <c r="I728" s="9" t="inlineStr"/>
      <c r="J728" s="8" t="inlineStr"/>
      <c r="K728" s="8" t="inlineStr"/>
      <c r="L728" s="8" t="inlineStr"/>
      <c r="M728" s="8" t="inlineStr">
        <is>
          <t>条件触发</t>
        </is>
      </c>
      <c r="N728" s="8" t="inlineStr">
        <is>
          <t>triggered</t>
        </is>
      </c>
      <c r="O728" s="9" t="inlineStr">
        <is>
          <t>其他道具使我方获得寒冷时，获得 1 层敏捷；其他道具使我方获得寒冷时，获得 2 层敏捷；其他道具使我方获得寒冷时，获得 3 层敏捷；其他道具使我方获得寒冷时，获得 4 层敏捷</t>
        </is>
      </c>
      <c r="P728" s="9" t="inlineStr">
        <is>
          <t>onBuffGain</t>
        </is>
      </c>
      <c r="Q728" s="9" t="inlineStr">
        <is>
          <t>applyBuff；other</t>
        </is>
      </c>
      <c r="R728" s="9" t="inlineStr">
        <is>
          <t>{"kind":"triggered","label":"其他道具使我方获得寒冷时，获得 1 层敏捷","triggeredEffect":{"trigger":"onBuffGain","type":"applyBuff","buffId":"agile","count":1,"targetActor":"self","eventBuffId":"cold","eventSource":{"target":{"type":"other"}}},"starOverrides":{"1":{"label":"其他道具使我方获得寒冷时，获得 2 层敏捷","triggeredEffect":{"count":2}},"2":{"label":"其他道具使我方获得寒冷时，获得 3 层敏捷","triggeredEffect":{"count":3}},"3":{"label":"其他道具使我方获得寒冷时，获得 4 层敏捷","triggeredEffect":{"count":4}}}}</t>
        </is>
      </c>
    </row>
    <row r="729" ht="32" customHeight="1">
      <c r="A729" s="8" t="n">
        <v>400408</v>
      </c>
      <c r="B729" s="8" t="inlineStr">
        <is>
          <t>三面风帆</t>
        </is>
      </c>
      <c r="C729" s="8" t="inlineStr">
        <is>
          <t>法器</t>
        </is>
      </c>
      <c r="D729" s="8" t="inlineStr">
        <is>
          <t>common</t>
        </is>
      </c>
      <c r="E729" s="8" t="inlineStr">
        <is>
          <t>wind</t>
        </is>
      </c>
      <c r="F729" s="8" t="n">
        <v>1</v>
      </c>
      <c r="G729" s="8" t="inlineStr">
        <is>
          <t>基础/顶层</t>
        </is>
      </c>
      <c r="H729" s="8" t="inlineStr"/>
      <c r="I729" s="9" t="inlineStr"/>
      <c r="J729" s="8" t="inlineStr"/>
      <c r="K729" s="8" t="inlineStr"/>
      <c r="L729" s="8" t="inlineStr"/>
      <c r="M729" s="8" t="inlineStr">
        <is>
          <t>周期触发</t>
        </is>
      </c>
      <c r="N729" s="8" t="inlineStr">
        <is>
          <t>periodicPulse</t>
        </is>
      </c>
      <c r="O729" s="9" t="inlineStr">
        <is>
          <t>相邻至少 3 件风属性道具时，获得 3 层敏捷；相邻至少 3 件风属性道具时，获得 6 层敏捷；相邻至少 3 件风属性道具时，获得 9 层敏捷；相邻至少 3 件风属性道具时，获得 12 层敏捷</t>
        </is>
      </c>
      <c r="P729" s="9" t="inlineStr"/>
      <c r="Q729" s="9" t="inlineStr"/>
      <c r="R729" s="9" t="inlineStr">
        <is>
          <t>{"kind":"periodicPulse","periodicPulse":{"intervalSec":12,"label":"相邻至少 3 件风属性道具时，获得 3 层敏捷","buffGains":[{"buffId":"agile","count":3}],"activationRequirements":{"neighborCounts":[{"minCount":3,"elements":["wind"]}]}},"starOverrides":{"1":{"label":"相邻至少 3 件风属性道具时，获得 6 层敏捷","periodicPulse":{"buffGains":[{"count":6}]}},"2":{"label":"相邻至少 3 件风属性道具时，获得 9 层敏捷","periodicPulse":{"buffGains":[{"count":9}]}},"3":{"label":"相邻至少 3 件风属性道具时，获得 12 层敏捷","periodicPulse":{"buffGains":[{"count":12}]}}}}</t>
        </is>
      </c>
    </row>
    <row r="730" ht="32" customHeight="1">
      <c r="A730" s="8" t="n">
        <v>400409</v>
      </c>
      <c r="B730" s="8" t="inlineStr">
        <is>
          <t>受击滑步甲</t>
        </is>
      </c>
      <c r="C730" s="8" t="inlineStr">
        <is>
          <t>法器</t>
        </is>
      </c>
      <c r="D730" s="8" t="inlineStr">
        <is>
          <t>common</t>
        </is>
      </c>
      <c r="E730" s="8" t="inlineStr">
        <is>
          <t>wind</t>
        </is>
      </c>
      <c r="F730" s="8" t="n">
        <v>1</v>
      </c>
      <c r="G730" s="8" t="inlineStr">
        <is>
          <t>基础/顶层</t>
        </is>
      </c>
      <c r="H730" s="8" t="inlineStr"/>
      <c r="I730" s="9" t="inlineStr"/>
      <c r="J730" s="8" t="inlineStr"/>
      <c r="K730" s="8" t="inlineStr"/>
      <c r="L730" s="8" t="inlineStr"/>
      <c r="M730" s="8" t="inlineStr">
        <is>
          <t>条件触发</t>
        </is>
      </c>
      <c r="N730" s="8" t="inlineStr">
        <is>
          <t>triggered</t>
        </is>
      </c>
      <c r="O730" s="9" t="inlineStr">
        <is>
          <t>受到伤害时，获得 1 层敏捷；受到伤害时，获得 2 层敏捷；受到伤害时，获得 3 层敏捷；受到伤害时，获得 4 层敏捷</t>
        </is>
      </c>
      <c r="P730" s="9" t="inlineStr">
        <is>
          <t>onIncomingHealthDamage</t>
        </is>
      </c>
      <c r="Q730" s="9" t="inlineStr">
        <is>
          <t>applyBuff</t>
        </is>
      </c>
      <c r="R730" s="9" t="inlineStr">
        <is>
          <t>{"kind":"triggered","label":"&lt;battle&gt;受到伤害时，获得 1 层敏捷&lt;/battle&gt;","triggeredEffect":{"trigger":"onIncomingHealthDamage","type":"applyBuff","buffId":"agile","count":1,"targetActor":"self","support":"battleOnly"},"starOverrides":{"1":{"label":"&lt;battle&gt;受到伤害时，获得 2 层敏捷&lt;/battle&gt;","triggeredEffect":{"count":2}},"2":{"label":"&lt;battle&gt;受到伤害时，获得 3 层敏捷&lt;/battle&gt;","triggeredEffect":{"count":3}},"3":{"label":"&lt;battle&gt;受到伤害时，获得 4 层敏捷&lt;/battle&gt;","triggeredEffect":{"count":4}}}}</t>
        </is>
      </c>
    </row>
    <row r="731" ht="32" customHeight="1">
      <c r="A731" s="8" t="n">
        <v>400410</v>
      </c>
      <c r="B731" s="8" t="inlineStr">
        <is>
          <t>药尽轻舟佩</t>
        </is>
      </c>
      <c r="C731" s="8" t="inlineStr">
        <is>
          <t>法器</t>
        </is>
      </c>
      <c r="D731" s="8" t="inlineStr">
        <is>
          <t>common</t>
        </is>
      </c>
      <c r="E731" s="8" t="inlineStr">
        <is>
          <t>wind</t>
        </is>
      </c>
      <c r="F731" s="8" t="n">
        <v>1</v>
      </c>
      <c r="G731" s="8" t="inlineStr">
        <is>
          <t>基础/顶层</t>
        </is>
      </c>
      <c r="H731" s="8" t="inlineStr"/>
      <c r="I731" s="9" t="inlineStr"/>
      <c r="J731" s="8" t="inlineStr"/>
      <c r="K731" s="8" t="inlineStr"/>
      <c r="L731" s="8" t="inlineStr"/>
      <c r="M731" s="8" t="inlineStr">
        <is>
          <t>条件触发</t>
        </is>
      </c>
      <c r="N731" s="8" t="inlineStr">
        <is>
          <t>triggered</t>
        </is>
      </c>
      <c r="O731" s="9" t="inlineStr">
        <is>
          <t>其他丹药耗尽时，获得 2 层敏捷；其他丹药耗尽时，获得 3 层敏捷；其他丹药耗尽时，获得 4 层敏捷；其他丹药耗尽时，获得 5 层敏捷</t>
        </is>
      </c>
      <c r="P731" s="9" t="inlineStr">
        <is>
          <t>onConsumableExhausted</t>
        </is>
      </c>
      <c r="Q731" s="9" t="inlineStr">
        <is>
          <t>applyBuff；other</t>
        </is>
      </c>
      <c r="R731" s="9" t="inlineStr">
        <is>
          <t>{"kind":"triggered","label":"其他丹药耗尽时，获得 2 层敏捷","triggeredEffect":{"trigger":"onConsumableExhausted","type":"applyBuff","buffId":"agile","count":2,"targetActor":"self","eventSource":{"target":{"type":"other"},"filter":{"categories":["pill"]}}},"starOverrides":{"1":{"label":"其他丹药耗尽时，获得 3 层敏捷","triggeredEffect":{"count":3}},"2":{"label":"其他丹药耗尽时，获得 4 层敏捷","triggeredEffect":{"count":4}},"3":{"label":"其他丹药耗尽时，获得 5 层敏捷","triggeredEffect":{"count":5}}}}</t>
        </is>
      </c>
    </row>
    <row r="732" ht="32" customHeight="1">
      <c r="A732" s="8" t="n">
        <v>400411</v>
      </c>
      <c r="B732" s="8" t="inlineStr">
        <is>
          <t>引霆潮叉</t>
        </is>
      </c>
      <c r="C732" s="8" t="inlineStr">
        <is>
          <t>法器</t>
        </is>
      </c>
      <c r="D732" s="8" t="inlineStr">
        <is>
          <t>common</t>
        </is>
      </c>
      <c r="E732" s="8" t="inlineStr">
        <is>
          <t>thunder</t>
        </is>
      </c>
      <c r="F732" s="8" t="n">
        <v>1</v>
      </c>
      <c r="G732" s="8" t="inlineStr">
        <is>
          <t>基础/顶层</t>
        </is>
      </c>
      <c r="H732" s="8" t="inlineStr"/>
      <c r="I732" s="9" t="inlineStr"/>
      <c r="J732" s="8" t="inlineStr"/>
      <c r="K732" s="8" t="inlineStr"/>
      <c r="L732" s="8" t="inlineStr"/>
      <c r="M732" s="8" t="inlineStr">
        <is>
          <t>周期触发</t>
        </is>
      </c>
      <c r="N732" s="8" t="inlineStr">
        <is>
          <t>periodicPulse</t>
        </is>
      </c>
      <c r="O732" s="9" t="inlineStr">
        <is>
          <t>引雷不少于 4 层时，消耗 2 层露水；对敌方造成 10 点伤害；引雷不少于 4 层时，消耗 2 层露水；对敌方造成 12 点伤害；引雷不少于 4 层时，消耗 2 层露水；对敌方造成 14 点伤害；引雷不少于 4 层时，消耗 2 层露水；对敌方造成 16 点伤害</t>
        </is>
      </c>
      <c r="P732" s="9" t="inlineStr">
        <is>
          <t>onPeriodicPulse</t>
        </is>
      </c>
      <c r="Q732" s="9" t="inlineStr">
        <is>
          <t>consumeBuffStacks</t>
        </is>
      </c>
      <c r="R732" s="9" t="inlineStr">
        <is>
          <t>{"kind":"periodicPulse","label":"引雷不少于 4 层时，消耗 2 层露水；&lt;battle&gt;对敌方造成 10 点伤害&lt;/battle&gt;","periodicPulse":{"intervalSec":10,"label":"引雷不少于 4 层时，消耗 2 层露水；&lt;battle&gt;对敌方造成 10 点伤害&lt;/battle&gt;","activationRequirements":{"buffStackThresholds":[{"buffId":"lightningCharge","comparator":"atLeast","count":4},{"buffId":"dew","comparator":"atLeast","count":2}]}},"executors":[{"trigger":"onPeriodicPulse","type":"consumeBuffStacks","label":"引雷不少于 4 层时，消耗 2 层露水；&lt;battle&gt;对敌方造成 10 点伤害&lt;/battle&gt;","sourceBuffId":"dew","requiredStacks":2,"maxStacks":2,"activationRequirements":{"buffStackThresholds":[{"buffId":"lightningCharge","comparator":"atLeast","count":4},{"buffId":"dew","comparator":"atLeast","count":2}]},"battleDamageHealthPerStack":5}],"starOverrides":{"1":{"label":"引雷不少于 4 层时，消耗 2 层露水；&lt;battle&gt;对敌方造成 12 点伤害&lt;/battle&gt;","periodicPulse":{"label":"引雷不少于 4 层时，消耗 2 层露水；&lt;battle&gt;对敌方造成 12 点伤害&lt;/battle&gt;"},"executors":[{"trigger":"onPeriodicPulse","type":"consumeBuffStacks","label":"引雷不少于 4 层时，消耗 2 层露水；&lt;battle&gt;对敌方造成 12 点伤害&lt;/battle&gt;","sourceBuffId":"dew","requiredStacks":2,"maxStacks":2,"activationRequirements":{"buffStackThresholds":[{"buffId":"lightningCharge","comparator":"atLeast","count":4},{"buffId":"dew","comparator":"atLeast","count":2}]},"battleDamageHealthPerStack":6}]},"2":{"label":"引雷不少于 4 层时，消耗 2 层露水；&lt;battle&gt;对敌方造成 14 点伤害&lt;/battle&gt;","periodicPulse":{"label":"引雷不少于 4 层时，消耗 2 层露水；&lt;battle&gt;对敌方造成 14 点伤害&lt;/battle&gt;"},"executors":[{"trigger":"onPeriodicPulse","type":"consumeBuffStacks","label":"引雷不少于 4 层时，消耗 2 层露水；&lt;battle&gt;对敌方造成 14 点伤害&lt;/battle&gt;","sourceBuffId":"dew","requiredStacks":2,"maxStacks":2,"activationRequirements":{"buffStackThresholds":[{"buffId":"lightningCharge","comparator":"atLeast","count":4},{"buffId":"dew","comparator":"atLeast","count":2}]},"battleDamageHealthPerStack":7}]},"3":{"label":"引雷不少于 4 层时，消耗 2 层露水；&lt;battle&gt;对敌方造成 16 点伤害&lt;/battle&gt;","periodicPulse":{"label":"引雷不少于 4 层时，消耗 2 层露水；&lt;battle&gt;对敌方造成 16 点伤害&lt;/battle&gt;"},"executors":[{"trigger":"onPeriodicPulse","type":"consumeBuffStacks","label":"引雷不少于 4 层时，消耗 2 层露水；&lt;battle&gt;对敌方造成 16 点伤害&lt;/battle&gt;","sourceBuffId":"dew","requiredStacks":2,"maxStacks":2,"activationRequirements":{"buffStackThresholds":[{"buffId":"lightningCharge","comparator":"atLeast","count":4},{"buffId":"dew","comparator":"atLeast","count":2}]},"battleDamageHealthPerStack":8}]}}}</t>
        </is>
      </c>
    </row>
    <row r="733" ht="32" customHeight="1">
      <c r="A733" s="8" t="n">
        <v>400412</v>
      </c>
      <c r="B733" s="8" t="inlineStr">
        <is>
          <t>逐滴轻刃</t>
        </is>
      </c>
      <c r="C733" s="8" t="inlineStr">
        <is>
          <t>法器</t>
        </is>
      </c>
      <c r="D733" s="8" t="inlineStr">
        <is>
          <t>common</t>
        </is>
      </c>
      <c r="E733" s="8" t="inlineStr">
        <is>
          <t>water</t>
        </is>
      </c>
      <c r="F733" s="8" t="n">
        <v>1</v>
      </c>
      <c r="G733" s="8" t="inlineStr">
        <is>
          <t>基础/顶层</t>
        </is>
      </c>
      <c r="H733" s="8" t="inlineStr"/>
      <c r="I733" s="9" t="inlineStr"/>
      <c r="J733" s="8" t="inlineStr"/>
      <c r="K733" s="8" t="inlineStr"/>
      <c r="L733" s="8" t="inlineStr"/>
      <c r="M733" s="8" t="inlineStr">
        <is>
          <t>周期触发</t>
        </is>
      </c>
      <c r="N733" s="8" t="inlineStr">
        <is>
          <t>periodicPulse</t>
        </is>
      </c>
      <c r="O733" s="9" t="inlineStr">
        <is>
          <t>敏捷不少于 3 层时，消耗 2 层露水；对敌方造成 8 点伤害；敏捷不少于 3 层时，消耗 2 层露水；对敌方造成 10 点伤害；敏捷不少于 3 层时，消耗 2 层露水；对敌方造成 12 点伤害；敏捷不少于 3 层时，消耗 2 层露水；对敌方造成 14 点伤害</t>
        </is>
      </c>
      <c r="P733" s="9" t="inlineStr">
        <is>
          <t>onPeriodicPulse</t>
        </is>
      </c>
      <c r="Q733" s="9" t="inlineStr">
        <is>
          <t>consumeBuffStacks</t>
        </is>
      </c>
      <c r="R733" s="9" t="inlineStr">
        <is>
          <t>{"kind":"periodicPulse","label":"敏捷不少于 3 层时，消耗 2 层露水；&lt;battle&gt;对敌方造成 8 点伤害&lt;/battle&gt;","periodicPulse":{"intervalSec":8,"label":"敏捷不少于 3 层时，消耗 2 层露水；&lt;battle&gt;对敌方造成 8 点伤害&lt;/battle&gt;","activationRequirements":{"buffStackThresholds":[{"buffId":"agile","comparator":"atLeast","count":3},{"buffId":"dew","comparator":"atLeast","count":2}]}},"executors":[{"trigger":"onPeriodicPulse","type":"consumeBuffStacks","label":"敏捷不少于 3 层时，消耗 2 层露水；&lt;battle&gt;对敌方造成 8 点伤害&lt;/battle&gt;","sourceBuffId":"dew","requiredStacks":2,"maxStacks":2,"activationRequirements":{"buffStackThresholds":[{"buffId":"agile","comparator":"atLeast","count":3},{"buffId":"dew","comparator":"atLeast","count":2}]},"battleDamageHealthPerStack":4}],"starOverrides":{"1":{"label":"敏捷不少于 3 层时，消耗 2 层露水；&lt;battle&gt;对敌方造成 10 点伤害&lt;/battle&gt;","periodicPulse":{"label":"敏捷不少于 3 层时，消耗 2 层露水；&lt;battle&gt;对敌方造成 10 点伤害&lt;/battle&gt;"},"executors":[{"trigger":"onPeriodicPulse","type":"consumeBuffStacks","label":"敏捷不少于 3 层时，消耗 2 层露水；&lt;battle&gt;对敌方造成 10 点伤害&lt;/battle&gt;","sourceBuffId":"dew","requiredStacks":2,"maxStacks":2,"activationRequirements":{"buffStackThresholds":[{"buffId":"agile","comparator":"atLeast","count":3},{"buffId":"dew","comparator":"atLeast","count":2}]},"battleDamageHealthPerStack":5}]},"2":{"label":"敏捷不少于 3 层时，消耗 2 层露水；&lt;battle&gt;对敌方造成 12 点伤害&lt;/battle&gt;","periodicPulse":{"label":"敏捷不少于 3 层时，消耗 2 层露水；&lt;battle&gt;对敌方造成 12 点伤害&lt;/battle&gt;"},"executors":[{"trigger":"onPeriodicPulse","type":"consumeBuffStacks","label":"敏捷不少于 3 层时，消耗 2 层露水；&lt;battle&gt;对敌方造成 12 点伤害&lt;/battle&gt;","sourceBuffId":"dew","requiredStacks":2,"maxStacks":2,"activationRequirements":{"buffStackThresholds":[{"buffId":"agile","comparator":"atLeast","count":3},{"buffId":"dew","comparator":"atLeast","count":2}]},"battleDamageHealthPerStack":6}]},"3":{"label":"敏捷不少于 3 层时，消耗 2 层露水；&lt;battle&gt;对敌方造成 14 点伤害&lt;/battle&gt;","periodicPulse":{"label":"敏捷不少于 3 层时，消耗 2 层露水；&lt;battle&gt;对敌方造成 14 点伤害&lt;/battle&gt;"},"executors":[{"trigger":"onPeriodicPulse","type":"consumeBuffStacks","label":"敏捷不少于 3 层时，消耗 2 层露水；&lt;battle&gt;对敌方造成 14 点伤害&lt;/battle&gt;","sourceBuffId":"dew","requiredStacks":2,"maxStacks":2,"activationRequirements":{"buffStackThresholds":[{"buffId":"agile","comparator":"atLeast","count":3},{"buffId":"dew","comparator":"atLeast","count":2}]},"battleDamageHealthPerStack":7}]}}}</t>
        </is>
      </c>
    </row>
    <row r="734" ht="32" customHeight="1">
      <c r="A734" s="8" t="n">
        <v>400413</v>
      </c>
      <c r="B734" s="8" t="inlineStr">
        <is>
          <t>洗甲水锤</t>
        </is>
      </c>
      <c r="C734" s="8" t="inlineStr">
        <is>
          <t>法器</t>
        </is>
      </c>
      <c r="D734" s="8" t="inlineStr">
        <is>
          <t>common</t>
        </is>
      </c>
      <c r="E734" s="8" t="inlineStr">
        <is>
          <t>water</t>
        </is>
      </c>
      <c r="F734" s="8" t="n">
        <v>1</v>
      </c>
      <c r="G734" s="8" t="inlineStr">
        <is>
          <t>基础/顶层</t>
        </is>
      </c>
      <c r="H734" s="8" t="inlineStr"/>
      <c r="I734" s="9" t="inlineStr"/>
      <c r="J734" s="8" t="inlineStr"/>
      <c r="K734" s="8" t="inlineStr"/>
      <c r="L734" s="8" t="inlineStr"/>
      <c r="M734" s="8" t="inlineStr">
        <is>
          <t>周期触发</t>
        </is>
      </c>
      <c r="N734" s="8" t="inlineStr">
        <is>
          <t>periodicPulse</t>
        </is>
      </c>
      <c r="O734" s="9" t="inlineStr">
        <is>
          <t>我方护甲不少于 5 层时，消耗 2 层露水，移除敌方 3 层护甲；我方护甲不少于 5 层时，消耗 2 层露水，移除敌方 4 层护甲；我方护甲不少于 5 层时，消耗 2 层露水，移除敌方 5 层护甲；我方护甲不少于 5 层时，消耗 2 层露水，移除敌方 6 层护甲</t>
        </is>
      </c>
      <c r="P734" s="9" t="inlineStr">
        <is>
          <t>onPeriodicPulse</t>
        </is>
      </c>
      <c r="Q734" s="9" t="inlineStr">
        <is>
          <t>consumeBuffStacks</t>
        </is>
      </c>
      <c r="R734" s="9" t="inlineStr">
        <is>
          <t>{"kind":"periodicPulse","label":"我方护甲不少于 5 层时，消耗 2 层露水，&lt;battle&gt;移除敌方 3 层护甲&lt;/battle&gt;","periodicPulse":{"intervalSec":12,"label":"我方护甲不少于 5 层时，消耗 2 层露水，&lt;battle&gt;移除敌方 3 层护甲&lt;/battle&gt;","activationRequirements":{"buffStackThresholds":[{"buffId":"armor","comparator":"atLeast","count":5},{"buffId":"dew","comparator":"atLeast","count":2}]}},"executors":[{"trigger":"onPeriodicPulse","type":"consumeBuffStacks","label":"我方护甲不少于 5 层时，消耗 2 层露水，&lt;battle&gt;移除敌方 3 层护甲&lt;/battle&gt;","sourceBuffId":"dew","requiredStacks":2,"maxStacks":2,"activationRequirements":{"buffStackThresholds":[{"buffId":"armor","comparator":"atLeast","count":5},{"buffId":"dew","comparator":"atLeast","count":2}]},"targetBuffRemovals":[{"buffId":"armor","count":3}]}],"starOverrides":{"1":{"label":"我方护甲不少于 5 层时，消耗 2 层露水，&lt;battle&gt;移除敌方 4 层护甲&lt;/battle&gt;","periodicPulse":{"label":"我方护甲不少于 5 层时，消耗 2 层露水，&lt;battle&gt;移除敌方 4 层护甲&lt;/battle&gt;"},"executors":[{"trigger":"onPeriodicPulse","type":"consumeBuffStacks","label":"我方护甲不少于 5 层时，消耗 2 层露水，&lt;battle&gt;移除敌方 4 层护甲&lt;/battle&gt;","sourceBuffId":"dew","requiredStacks":2,"maxStacks":2,"activationRequirements":{"buffStackThresholds":[{"buffId":"armor","comparator":"atLeast","count":5},{"buffId":"dew","comparator":"atLeast","count":2}]},"targetBuffRemovals":[{"buffId":"armor","count":4}]}]},"2":{"label":"我方护甲不少于 5 层时，消耗 2 层露水，&lt;battle&gt;移除敌方 5 层护甲&lt;/battle&gt;","periodicPulse":{"label":"我方护甲不少于 5 层时，消耗 2 层露水，&lt;battle&gt;移除敌方 5 层护甲&lt;/battle&gt;"},"executors":[{"trigger":"onPeriodicPulse","type":"consumeBuffStacks","label":"我方护甲不少于 5 层时，消耗 2 层露水，&lt;battle&gt;移除敌方 5 层护甲&lt;/battle&gt;","sourceBuffId":"dew","requiredStacks":2,"maxStacks":2,"activationRequirements":{"buffStackThresholds":[{"buffId":"armor","comparator":"atLeast","count":5},{"buffId":"dew","comparator":"atLeast","count":2}]},"targetBuffRemovals":[{"buffId":"armor","count":5}]}]},"3":{"label":"我方护甲不少于 5 层时，消耗 2 层露水，&lt;battle&gt;移除敌方 6 层护甲&lt;/battle&gt;","periodicPulse":{"label":"我方护甲不少于 5 层时，消耗 2 层露水，&lt;battle&gt;移除敌方 6 层护甲&lt;/battle&gt;"},"executors":[{"trigger":"onPeriodicPulse","type":"consumeBuffStacks","label":"我方护甲不少于 5 层时，消耗 2 层露水，&lt;battle&gt;移除敌方 6 层护甲&lt;/battle&gt;","sourceBuffId":"dew","requiredStacks":2,"maxStacks":2,"activationRequirements":{"buffStackThresholds":[{"buffId":"armor","comparator":"atLeast","count":5},{"buffId":"dew","comparator":"atLeast","count":2}]},"targetBuffRemovals":[{"buffId":"armor","count":6}]}]}}}</t>
        </is>
      </c>
    </row>
    <row r="735" ht="32" customHeight="1">
      <c r="A735" s="8" t="n">
        <v>400414</v>
      </c>
      <c r="B735" s="8" t="inlineStr">
        <is>
          <t>镇澜阔剑</t>
        </is>
      </c>
      <c r="C735" s="8" t="inlineStr">
        <is>
          <t>法器</t>
        </is>
      </c>
      <c r="D735" s="8" t="inlineStr">
        <is>
          <t>common</t>
        </is>
      </c>
      <c r="E735" s="8" t="inlineStr">
        <is>
          <t>water</t>
        </is>
      </c>
      <c r="F735" s="8" t="n">
        <v>1</v>
      </c>
      <c r="G735" s="8" t="inlineStr">
        <is>
          <t>基础/顶层</t>
        </is>
      </c>
      <c r="H735" s="8" t="inlineStr"/>
      <c r="I735" s="9" t="inlineStr"/>
      <c r="J735" s="8" t="inlineStr"/>
      <c r="K735" s="8" t="inlineStr"/>
      <c r="L735" s="8" t="inlineStr"/>
      <c r="M735" s="8" t="inlineStr">
        <is>
          <t>周期触发</t>
        </is>
      </c>
      <c r="N735" s="8" t="inlineStr">
        <is>
          <t>periodicPulse</t>
        </is>
      </c>
      <c r="O735" s="9" t="inlineStr">
        <is>
          <t>消耗 3 层露水；对敌方造成 12 点伤害；消耗 3 层露水；对敌方造成 15 点伤害；消耗 3 层露水；对敌方造成 18 点伤害；消耗 3 层露水；对敌方造成 21 点伤害</t>
        </is>
      </c>
      <c r="P735" s="9" t="inlineStr">
        <is>
          <t>onPeriodicPulse</t>
        </is>
      </c>
      <c r="Q735" s="9" t="inlineStr">
        <is>
          <t>consumeBuffStacks</t>
        </is>
      </c>
      <c r="R735" s="9" t="inlineStr">
        <is>
          <t>{"kind":"periodicPulse","label":"消耗 3 层露水；&lt;battle&gt;对敌方造成 12 点伤害&lt;/battle&gt;","periodicPulse":{"intervalSec":12,"label":"消耗 3 层露水；&lt;battle&gt;对敌方造成 12 点伤害&lt;/battle&gt;","activationRequirements":{"buffStackThresholds":[{"buffId":"dew","comparator":"atLeast","count":3}]}},"executors":[{"trigger":"onPeriodicPulse","type":"consumeBuffStacks","label":"消耗 3 层露水；&lt;battle&gt;对敌方造成 12 点伤害&lt;/battle&gt;","sourceBuffId":"dew","requiredStacks":3,"maxStacks":3,"activationRequirements":{"buffStackThresholds":[{"buffId":"dew","comparator":"atLeast","count":3}]},"battleDamageHealthPerStack":4}],"starOverrides":{"1":{"label":"消耗 3 层露水；&lt;battle&gt;对敌方造成 15 点伤害&lt;/battle&gt;","periodicPulse":{"label":"消耗 3 层露水；&lt;battle&gt;对敌方造成 15 点伤害&lt;/battle&gt;"},"executors":[{"trigger":"onPeriodicPulse","type":"consumeBuffStacks","label":"消耗 3 层露水；&lt;battle&gt;对敌方造成 15 点伤害&lt;/battle&gt;","sourceBuffId":"dew","requiredStacks":3,"maxStacks":3,"activationRequirements":{"buffStackThresholds":[{"buffId":"dew","comparator":"atLeast","count":3}]},"battleDamageHealthPerStack":5}]},"2":{"label":"消耗 3 层露水；&lt;battle&gt;对敌方造成 18 点伤害&lt;/battle&gt;","periodicPulse":{"label":"消耗 3 层露水；&lt;battle&gt;对敌方造成 18 点伤害&lt;/battle&gt;"},"executors":[{"trigger":"onPeriodicPulse","type":"consumeBuffStacks","label":"消耗 3 层露水；&lt;battle&gt;对敌方造成 18 点伤害&lt;/battle&gt;","sourceBuffId":"dew","requiredStacks":3,"maxStacks":3,"activationRequirements":{"buffStackThresholds":[{"buffId":"dew","comparator":"atLeast","count":3}]},"battleDamageHealthPerStack":6}]},"3":{"label":"消耗 3 层露水；&lt;battle&gt;对敌方造成 21 点伤害&lt;/battle&gt;","periodicPulse":{"label":"消耗 3 层露水；&lt;battle&gt;对敌方造成 21 点伤害&lt;/battle&gt;"},"executors":[{"trigger":"onPeriodicPulse","type":"consumeBuffStacks","label":"消耗 3 层露水；&lt;battle&gt;对敌方造成 21 点伤害&lt;/battle&gt;","sourceBuffId":"dew","requiredStacks":3,"maxStacks":3,"activationRequirements":{"buffStackThresholds":[{"buffId":"dew","comparator":"atLeast","count":3}]},"battleDamageHealthPerStack":7}]}}}</t>
        </is>
      </c>
    </row>
    <row r="736" ht="32" customHeight="1">
      <c r="A736" s="8" t="n">
        <v>400415</v>
      </c>
      <c r="B736" s="8" t="inlineStr">
        <is>
          <t>回波双匕</t>
        </is>
      </c>
      <c r="C736" s="8" t="inlineStr">
        <is>
          <t>法器</t>
        </is>
      </c>
      <c r="D736" s="8" t="inlineStr">
        <is>
          <t>common</t>
        </is>
      </c>
      <c r="E736" s="8" t="inlineStr">
        <is>
          <t>water</t>
        </is>
      </c>
      <c r="F736" s="8" t="n">
        <v>1</v>
      </c>
      <c r="G736" s="8" t="inlineStr">
        <is>
          <t>基础/顶层</t>
        </is>
      </c>
      <c r="H736" s="8" t="inlineStr"/>
      <c r="I736" s="9" t="inlineStr"/>
      <c r="J736" s="8" t="inlineStr"/>
      <c r="K736" s="8" t="inlineStr"/>
      <c r="L736" s="8" t="inlineStr"/>
      <c r="M736" s="8" t="inlineStr">
        <is>
          <t>条件触发</t>
        </is>
      </c>
      <c r="N736" s="8" t="inlineStr">
        <is>
          <t>triggered</t>
        </is>
      </c>
      <c r="O736" s="9" t="inlineStr">
        <is>
          <t>下方相邻武器使用时，消耗 1 层露水，对敌方造成 3 点伤害；下方相邻武器使用时，消耗 1 层露水，对敌方造成 4 点伤害；下方相邻武器使用时，消耗 1 层露水，对敌方造成 5 点伤害；下方相邻武器使用时，消耗 1 层露水，对敌方造成 6 点伤害</t>
        </is>
      </c>
      <c r="P736" s="9" t="inlineStr">
        <is>
          <t>onItemUse</t>
        </is>
      </c>
      <c r="Q736" s="9" t="inlineStr">
        <is>
          <t>consumeBuffStacks；directional-adjacent</t>
        </is>
      </c>
      <c r="R736" s="9" t="inlineStr">
        <is>
          <t>{"kind":"triggered","label":"下方相邻武器使用时，消耗 1 层露水，&lt;battle&gt;对敌方造成 3 点伤害&lt;/battle&gt;","triggeredEffect":{"trigger":"onItemUse","type":"consumeBuffStacks","sourceBuffId":"dew","requiredStacks":1,"maxStacks":1,"battleDamageHealthPerStack":3,"eventSource":{"target":{"type":"directional-adjacent","direction":"down"},"filter":{"features":["weapon"]}}},"starOverrides":{"1":{"label":"下方相邻武器使用时，消耗 1 层露水，&lt;battle&gt;对敌方造成 4 点伤害&lt;/battle&gt;","triggeredEffect":{"battleDamageHealthPerStack":4}},"2":{"label":"下方相邻武器使用时，消耗 1 层露水，&lt;battle&gt;对敌方造成 5 点伤害&lt;/battle&gt;","triggeredEffect":{"battleDamageHealthPerStack":5}},"3":{"label":"下方相邻武器使用时，消耗 1 层露水，&lt;battle&gt;对敌方造成 6 点伤害&lt;/battle&gt;","triggeredEffect":{"battleDamageHealthPerStack":6}}}}</t>
        </is>
      </c>
    </row>
    <row r="737" ht="32" customHeight="1">
      <c r="A737" s="8" t="n">
        <v>400416</v>
      </c>
      <c r="B737" s="8" t="inlineStr">
        <is>
          <t>养锋柳枪</t>
        </is>
      </c>
      <c r="C737" s="8" t="inlineStr">
        <is>
          <t>法器</t>
        </is>
      </c>
      <c r="D737" s="8" t="inlineStr">
        <is>
          <t>common</t>
        </is>
      </c>
      <c r="E737" s="8" t="inlineStr">
        <is>
          <t>wood</t>
        </is>
      </c>
      <c r="F737" s="8" t="n">
        <v>1</v>
      </c>
      <c r="G737" s="8" t="inlineStr">
        <is>
          <t>基础/顶层</t>
        </is>
      </c>
      <c r="H737" s="8" t="inlineStr"/>
      <c r="I737" s="9" t="inlineStr"/>
      <c r="J737" s="8" t="inlineStr"/>
      <c r="K737" s="8" t="inlineStr"/>
      <c r="L737" s="8" t="inlineStr"/>
      <c r="M737" s="8" t="inlineStr">
        <is>
          <t>周期触发</t>
        </is>
      </c>
      <c r="N737" s="8" t="inlineStr">
        <is>
          <t>periodicPulse</t>
        </is>
      </c>
      <c r="O737" s="9" t="inlineStr">
        <is>
          <t>再生不少于 3 层时，消耗 2 层露水，使敌方随机 1 件道具减速 3 秒；再生不少于 3 层时，消耗 2 层露水，使敌方随机 1 件道具减速 4 秒；再生不少于 3 层时，消耗 2 层露水，使敌方随机 1 件道具减速 5 秒；再生不少于 3 层时，消耗 2 层露水，使敌方随机 1 件道具减速 6 秒</t>
        </is>
      </c>
      <c r="P737" s="9" t="inlineStr">
        <is>
          <t>onPeriodicPulse</t>
        </is>
      </c>
      <c r="Q737" s="9" t="inlineStr">
        <is>
          <t>consumeBuffStacks</t>
        </is>
      </c>
      <c r="R737" s="9" t="inlineStr">
        <is>
          <t>{"kind":"periodicPulse","label":"再生不少于 3 层时，消耗 2 层露水，&lt;battle&gt;使敌方随机 1 件道具减速 3 秒&lt;/battle&gt;","periodicPulse":{"intervalSec":12,"label":"再生不少于 3 层时，消耗 2 层露水，&lt;battle&gt;使敌方随机 1 件道具减速 3 秒&lt;/battle&gt;","activationRequirements":{"buffStackThresholds":[{"buffId":"regeneration","comparator":"atLeast","count":3},{"buffId":"dew","comparator":"atLeast","count":2}]},"itemRuntimeStatusEffects":[{"itemRuntimeStatus":"slow","durationSec":3,"targetScope":"enemyRandom","amount":1}]},"executors":[{"trigger":"onPeriodicPulse","type":"consumeBuffStacks","label":"再生不少于 3 层时，消耗 2 层露水，&lt;battle&gt;使敌方随机 1 件道具减速 3 秒&lt;/battle&gt;","sourceBuffId":"dew","requiredStacks":2,"maxStacks":2,"activationRequirements":{"buffStackThresholds":[{"buffId":"regeneration","comparator":"atLeast","count":3},{"buffId":"dew","comparator":"atLeast","count":2}]}}],"starOverrides":{"1":{"label":"再生不少于 3 层时，消耗 2 层露水，&lt;battle&gt;使敌方随机 1 件道具减速 4 秒&lt;/battle&gt;","periodicPulse":{"label":"再生不少于 3 层时，消耗 2 层露水，&lt;battle&gt;使敌方随机 1 件道具减速 4 秒&lt;/battle&gt;","itemRuntimeStatusEffects":[{"durationSec":4}]},"executors":[{"trigger":"onPeriodicPulse","type":"consumeBuffStacks","label":"再生不少于 3 层时，消耗 2 层露水，&lt;battle&gt;使敌方随机 1 件道具减速 4 秒&lt;/battle&gt;","sourceBuffId":"dew","requiredStacks":2,"maxStacks":2,"activationRequirements":{"buffStackThresholds":[{"buffId":"regeneration","comparator":"atLeast","count":3},{"buffId":"dew","comparator":"atLeast","count":2}]}}]},"2":{"label":"再生不少于 3 层时，消耗 2 层露水，&lt;battle&gt;使敌方随机 1 件道具减速 5 秒&lt;/battle&gt;","periodicPulse":{"label":"再生不少于 3 层时，消耗 2 层露水，&lt;battle&gt;使敌方随机 1 件道具减速 5 秒&lt;/battle&gt;","itemRuntimeStatusEffects":[{"durationSec":5}]},"executors":[{"trigger":"onPeriodicPulse","type":"consumeBuffStacks","label":"再生不少于 3 层时，消耗 2 层露水，&lt;battle&gt;使敌方随机 1 件道具减速 5 秒&lt;/battle&gt;","sourceBuffId":"dew","requiredStacks":2,"maxStacks":2,"activationRequirements":{"buffStackThresholds":[{"buffId":"regeneration","comparator":"atLeast","count":3},{"buffId":"dew","comparator":"atLeast","count":2}]}}]},"3":{"label":"再生不少于 3 层时，消耗 2 层露水，&lt;battle&gt;使敌方随机 1 件道具减速 6 秒&lt;/battle&gt;","periodicPulse":{"label":"再生不少于 3 层时，消耗 2 层露水，&lt;battle&gt;使敌方随机 1 件道具减速 6 秒&lt;/battle&gt;","itemRuntimeStatusEffects":[{"durationSec":6}]},"executors":[{"trigger":"onPeriodicPulse","type":"consumeBuffStacks","label":"再生不少于 3 层时，消耗 2 层露水，&lt;battle&gt;使敌方随机 1 件道具减速 6 秒&lt;/battle&gt;","sourceBuffId":"dew","requiredStacks":2,"maxStacks":2,"activationRequirements":{"buffStackThresholds":[{"buffId":"regeneration","comparator":"atLeast","count":3},{"buffId":"dew","comparator":"atLeast","count":2}]}}]}}}</t>
        </is>
      </c>
    </row>
    <row r="738" ht="32" customHeight="1">
      <c r="A738" s="8" t="n">
        <v>400417</v>
      </c>
      <c r="B738" s="8" t="inlineStr">
        <is>
          <t>暖潮短刀</t>
        </is>
      </c>
      <c r="C738" s="8" t="inlineStr">
        <is>
          <t>法器</t>
        </is>
      </c>
      <c r="D738" s="8" t="inlineStr">
        <is>
          <t>common</t>
        </is>
      </c>
      <c r="E738" s="8" t="inlineStr">
        <is>
          <t>fire</t>
        </is>
      </c>
      <c r="F738" s="8" t="n">
        <v>1</v>
      </c>
      <c r="G738" s="8" t="inlineStr">
        <is>
          <t>基础/顶层</t>
        </is>
      </c>
      <c r="H738" s="8" t="inlineStr"/>
      <c r="I738" s="9" t="inlineStr"/>
      <c r="J738" s="8" t="inlineStr"/>
      <c r="K738" s="8" t="inlineStr"/>
      <c r="L738" s="8" t="inlineStr"/>
      <c r="M738" s="8" t="inlineStr">
        <is>
          <t>周期触发</t>
        </is>
      </c>
      <c r="N738" s="8" t="inlineStr">
        <is>
          <t>periodicPulse</t>
        </is>
      </c>
      <c r="O738" s="9" t="inlineStr">
        <is>
          <t>消耗 2 层露水，对敌方施加 2 层中毒；消耗 2 层露水，对敌方施加 4 层中毒；消耗 2 层露水，对敌方施加 6 层中毒；消耗 2 层露水，对敌方施加 8 层中毒</t>
        </is>
      </c>
      <c r="P738" s="9" t="inlineStr">
        <is>
          <t>onPeriodicPulse</t>
        </is>
      </c>
      <c r="Q738" s="9" t="inlineStr">
        <is>
          <t>consumeBuffStacks</t>
        </is>
      </c>
      <c r="R738" s="9" t="inlineStr">
        <is>
          <t>{"kind":"periodicPulse","label":"消耗 2 层露水，&lt;battle&gt;对敌方施加 2 层中毒&lt;/battle&gt;","periodicPulse":{"intervalSec":10,"label":"消耗 2 层露水，&lt;battle&gt;对敌方施加 2 层中毒&lt;/battle&gt;","activationRequirements":{"buffStackThresholds":[{"buffId":"dew","comparator":"atLeast","count":2}]}},"executors":[{"trigger":"onPeriodicPulse","type":"consumeBuffStacks","label":"消耗 2 层露水，&lt;battle&gt;对敌方施加 2 层中毒&lt;/battle&gt;","sourceBuffId":"dew","requiredStacks":2,"maxStacks":2,"activationRequirements":{"buffStackThresholds":[{"buffId":"dew","comparator":"atLeast","count":2}]},"targetBuffGainPerStack":{"buffId":"poison","countPerStack":1}}],"starOverrides":{"1":{"label":"消耗 2 层露水，&lt;battle&gt;对敌方施加 4 层中毒&lt;/battle&gt;","periodicPulse":{"label":"消耗 2 层露水，&lt;battle&gt;对敌方施加 4 层中毒&lt;/battle&gt;"},"executors":[{"trigger":"onPeriodicPulse","type":"consumeBuffStacks","label":"消耗 2 层露水，&lt;battle&gt;对敌方施加 4 层中毒&lt;/battle&gt;","sourceBuffId":"dew","requiredStacks":2,"maxStacks":2,"activationRequirements":{"buffStackThresholds":[{"buffId":"dew","comparator":"atLeast","count":2}]},"targetBuffGainPerStack":{"buffId":"poison","countPerStack":2}}]},"2":{"label":"消耗 2 层露水，&lt;battle&gt;对敌方施加 6 层中毒&lt;/battle&gt;","periodicPulse":{"label":"消耗 2 层露水，&lt;battle&gt;对敌方施加 6 层中毒&lt;/battle&gt;"},"executors":[{"trigger":"onPeriodicPulse","type":"consumeBuffStacks","label":"消耗 2 层露水，&lt;battle&gt;对敌方施加 6 层中毒&lt;/battle&gt;","sourceBuffId":"dew","requiredStacks":2,"maxStacks":2,"activationRequirements":{"buffStackThresholds":[{"buffId":"dew","comparator":"atLeast","count":2}]},"targetBuffGainPerStack":{"buffId":"poison","countPerStack":3}}]},"3":{"label":"消耗 2 层露水，&lt;battle&gt;对敌方施加 8 层中毒&lt;/battle&gt;","periodicPulse":{"label":"消耗 2 层露水，&lt;battle&gt;对敌方施加 8 层中毒&lt;/battle&gt;"},"executors":[{"trigger":"onPeriodicPulse","type":"consumeBuffStacks","label":"消耗 2 层露水，&lt;battle&gt;对敌方施加 8 层中毒&lt;/battle&gt;","sourceBuffId":"dew","requiredStacks":2,"maxStacks":2,"activationRequirements":{"buffStackThresholds":[{"buffId":"dew","comparator":"atLeast","count":2}]},"targetBuffGainPerStack":{"buffId":"poison","countPerStack":4}}]}}}</t>
        </is>
      </c>
    </row>
    <row r="739" ht="32" customHeight="1">
      <c r="A739" s="8" t="n">
        <v>400418</v>
      </c>
      <c r="B739" s="8" t="inlineStr">
        <is>
          <t>负露石锏</t>
        </is>
      </c>
      <c r="C739" s="8" t="inlineStr">
        <is>
          <t>法器</t>
        </is>
      </c>
      <c r="D739" s="8" t="inlineStr">
        <is>
          <t>common</t>
        </is>
      </c>
      <c r="E739" s="8" t="inlineStr">
        <is>
          <t>earth</t>
        </is>
      </c>
      <c r="F739" s="8" t="n">
        <v>1</v>
      </c>
      <c r="G739" s="8" t="inlineStr">
        <is>
          <t>基础/顶层</t>
        </is>
      </c>
      <c r="H739" s="8" t="inlineStr"/>
      <c r="I739" s="9" t="inlineStr"/>
      <c r="J739" s="8" t="inlineStr"/>
      <c r="K739" s="8" t="inlineStr"/>
      <c r="L739" s="8" t="inlineStr"/>
      <c r="M739" s="8" t="inlineStr">
        <is>
          <t>周期触发</t>
        </is>
      </c>
      <c r="N739" s="8" t="inlineStr">
        <is>
          <t>periodicPulse</t>
        </is>
      </c>
      <c r="O739" s="9" t="inlineStr">
        <is>
          <t>我方蓄势不少于 3 层时，消耗 2 层露水，对敌方施加 4 层冰霜；我方蓄势不少于 3 层时，消耗 2 层露水，对敌方施加 6 层冰霜；我方蓄势不少于 3 层时，消耗 2 层露水，对敌方施加 8 层冰霜；我方蓄势不少于 3 层时，消耗 2 层露水，对敌方施加 10 层冰霜</t>
        </is>
      </c>
      <c r="P739" s="9" t="inlineStr">
        <is>
          <t>onPeriodicPulse</t>
        </is>
      </c>
      <c r="Q739" s="9" t="inlineStr">
        <is>
          <t>consumeBuffStacks</t>
        </is>
      </c>
      <c r="R739" s="9" t="inlineStr">
        <is>
          <t>{"kind":"periodicPulse","label":"我方蓄势不少于 3 层时，消耗 2 层露水，&lt;battle&gt;对敌方施加 4 层冰霜&lt;/battle&gt;","periodicPulse":{"intervalSec":10,"label":"我方蓄势不少于 3 层时，消耗 2 层露水，&lt;battle&gt;对敌方施加 4 层冰霜&lt;/battle&gt;","activationRequirements":{"buffStackThresholds":[{"buffId":"heavy","comparator":"atLeast","count":3},{"buffId":"dew","comparator":"atLeast","count":2}]}},"executors":[{"trigger":"onPeriodicPulse","type":"consumeBuffStacks","label":"我方蓄势不少于 3 层时，消耗 2 层露水，&lt;battle&gt;对敌方施加 4 层冰霜&lt;/battle&gt;","sourceBuffId":"dew","requiredStacks":2,"maxStacks":2,"activationRequirements":{"buffStackThresholds":[{"buffId":"heavy","comparator":"atLeast","count":3},{"buffId":"dew","comparator":"atLeast","count":2}]},"targetBuffGainPerStack":{"buffId":"frost","countPerStack":2}}],"starOverrides":{"1":{"label":"我方蓄势不少于 3 层时，消耗 2 层露水，&lt;battle&gt;对敌方施加 6 层冰霜&lt;/battle&gt;","periodicPulse":{"label":"我方蓄势不少于 3 层时，消耗 2 层露水，&lt;battle&gt;对敌方施加 6 层冰霜&lt;/battle&gt;"},"executors":[{"trigger":"onPeriodicPulse","type":"consumeBuffStacks","label":"我方蓄势不少于 3 层时，消耗 2 层露水，&lt;battle&gt;对敌方施加 6 层冰霜&lt;/battle&gt;","sourceBuffId":"dew","requiredStacks":2,"maxStacks":2,"activationRequirements":{"buffStackThresholds":[{"buffId":"heavy","comparator":"atLeast","count":3},{"buffId":"dew","comparator":"atLeast","count":2}]},"targetBuffGainPerStack":{"buffId":"frost","countPerStack":3}}]},"2":{"label":"我方蓄势不少于 3 层时，消耗 2 层露水，&lt;battle&gt;对敌方施加 8 层冰霜&lt;/battle&gt;","periodicPulse":{"label":"我方蓄势不少于 3 层时，消耗 2 层露水，&lt;battle&gt;对敌方施加 8 层冰霜&lt;/battle&gt;"},"executors":[{"trigger":"onPeriodicPulse","type":"consumeBuffStacks","label":"我方蓄势不少于 3 层时，消耗 2 层露水，&lt;battle&gt;对敌方施加 8 层冰霜&lt;/battle&gt;","sourceBuffId":"dew","requiredStacks":2,"maxStacks":2,"activationRequirements":{"buffStackThresholds":[{"buffId":"heavy","comparator":"atLeast","count":3},{"buffId":"dew","comparator":"atLeast","count":2}]},"targetBuffGainPerStack":{"buffId":"frost","countPerStack":4}}]},"3":{"label":"我方蓄势不少于 3 层时，消耗 2 层露水，&lt;battle&gt;对敌方施加 10 层冰霜&lt;/battle&gt;","periodicPulse":{"label":"我方蓄势不少于 3 层时，消耗 2 层露水，&lt;battle&gt;对敌方施加 10 层冰霜&lt;/battle&gt;"},"executors":[{"trigger":"onPeriodicPulse","type":"consumeBuffStacks","label":"我方蓄势不少于 3 层时，消耗 2 层露水，&lt;battle&gt;对敌方施加 10 层冰霜&lt;/battle&gt;","sourceBuffId":"dew","requiredStacks":2,"maxStacks":2,"activationRequirements":{"buffStackThresholds":[{"buffId":"heavy","comparator":"atLeast","count":3},{"buffId":"dew","comparator":"atLeast","count":2}]},"targetBuffGainPerStack":{"buffId":"frost","countPerStack":5}}]}}}</t>
        </is>
      </c>
    </row>
    <row r="740" ht="32" customHeight="1">
      <c r="A740" s="8" t="n">
        <v>400419</v>
      </c>
      <c r="B740" s="8" t="inlineStr">
        <is>
          <t>听雨长钩</t>
        </is>
      </c>
      <c r="C740" s="8" t="inlineStr">
        <is>
          <t>法器</t>
        </is>
      </c>
      <c r="D740" s="8" t="inlineStr">
        <is>
          <t>common</t>
        </is>
      </c>
      <c r="E740" s="8" t="inlineStr">
        <is>
          <t>water</t>
        </is>
      </c>
      <c r="F740" s="8" t="n">
        <v>1</v>
      </c>
      <c r="G740" s="8" t="inlineStr">
        <is>
          <t>基础/顶层</t>
        </is>
      </c>
      <c r="H740" s="8" t="inlineStr"/>
      <c r="I740" s="9" t="inlineStr"/>
      <c r="J740" s="8" t="inlineStr"/>
      <c r="K740" s="8" t="inlineStr"/>
      <c r="L740" s="8" t="inlineStr"/>
      <c r="M740" s="8" t="inlineStr">
        <is>
          <t>周期触发</t>
        </is>
      </c>
      <c r="N740" s="8" t="inlineStr">
        <is>
          <t>periodicPulse</t>
        </is>
      </c>
      <c r="O740" s="9" t="inlineStr">
        <is>
          <t>上方相邻水属性法器时，消耗 1 层露水，使敌方随机 1 件道具减速 2 秒；上方相邻水属性法器时，消耗 1 层露水，使敌方随机 1 件道具减速 3 秒；上方相邻水属性法器时，消耗 1 层露水，使敌方随机 1 件道具减速 4 秒；上方相邻水属性法器时，消耗 1 层露水，使敌方随机 1 件道具减速 5 秒</t>
        </is>
      </c>
      <c r="P740" s="9" t="inlineStr">
        <is>
          <t>onPeriodicPulse</t>
        </is>
      </c>
      <c r="Q740" s="9" t="inlineStr">
        <is>
          <t>consumeBuffStacks</t>
        </is>
      </c>
      <c r="R740" s="9" t="inlineStr">
        <is>
          <t>{"kind":"periodicPulse","label":"上方相邻水属性法器时，消耗 1 层露水，&lt;battle&gt;使敌方随机 1 件道具减速 2 秒&lt;/battle&gt;","periodicPulse":{"intervalSec":10,"label":"上方相邻水属性法器时，消耗 1 层露水，&lt;battle&gt;使敌方随机 1 件道具减速 2 秒&lt;/battle&gt;","activationRequirements":{"directionalNeighbors":[{"direction":"up","categories":["implement"],"elements":["water"]}],"buffStackThresholds":[{"buffId":"dew","comparator":"atLeast","count":1}]},"itemRuntimeStatusEffects":[{"itemRuntimeStatus":"slow","durationSec":2,"targetScope":"enemyRandom","amount":1}]},"executors":[{"trigger":"onPeriodicPulse","type":"consumeBuffStacks","label":"上方相邻水属性法器时，消耗 1 层露水，&lt;battle&gt;使敌方随机 1 件道具减速 2 秒&lt;/battle&gt;","sourceBuffId":"dew","requiredStacks":1,"maxStacks":1,"activationRequirements":{"directionalNeighbors":[{"direction":"up","categories":["implement"],"elements":["water"]}],"buffStackThresholds":[{"buffId":"dew","comparator":"atLeast","count":1}]}}],"starOverrides":{"1":{"label":"上方相邻水属性法器时，消耗 1 层露水，&lt;battle&gt;使敌方随机 1 件道具减速 3 秒&lt;/battle&gt;","periodicPulse":{"label":"上方相邻水属性法器时，消耗 1 层露水，&lt;battle&gt;使敌方随机 1 件道具减速 3 秒&lt;/battle&gt;","itemRuntimeStatusEffects":[{"durationSec":3}]},"executors":[{"trigger":"onPeriodicPulse","type":"consumeBuffStacks","label":"上方相邻水属性法器时，消耗 1 层露水，&lt;battle&gt;使敌方随机 1 件道具减速 3 秒&lt;/battle&gt;","sourceBuffId":"dew","requiredStacks":1,"maxStacks":1,"activationRequirements":{"directionalNeighbors":[{"direction":"up","categories":["implement"],"elements":["water"]}],"buffStackThresholds":[{"buffId":"dew","comparator":"atLeast","count":1}]}}]},"2":{"label":"上方相邻水属性法器时，消耗 1 层露水，&lt;battle&gt;使敌方随机 1 件道具减速 4 秒&lt;/battle&gt;","periodicPulse":{"label":"上方相邻水属性法器时，消耗 1 层露水，&lt;battle&gt;使敌方随机 1 件道具减速 4 秒&lt;/battle&gt;","itemRuntimeStatusEffects":[{"durationSec":4}]},"executors":[{"trigger":"onPeriodicPulse","type":"consumeBuffStacks","label":"上方相邻水属性法器时，消耗 1 层露水，&lt;battle&gt;使敌方随机 1 件道具减速 4 秒&lt;/battle&gt;","sourceBuffId":"dew","requiredStacks":1,"maxStacks":1,"activationRequirements":{"directionalNeighbors":[{"direction":"up","categories":["implement"],"elements":["water"]}],"buffStackThresholds":[{"buffId":"dew","comparator":"atLeast","count":1}]}}]},"3":{"label":"上方相邻水属性法器时，消耗 1 层露水，&lt;battle&gt;使敌方随机 1 件道具减速 5 秒&lt;/battle&gt;","periodicPulse":{"label":"上方相邻水属性法器时，消耗 1 层露水，&lt;battle&gt;使敌方随机 1 件道具减速 5 秒&lt;/battle&gt;","itemRuntimeStatusEffects":[{"durationSec":5}]},"executors":[{"trigger":"onPeriodicPulse","type":"consumeBuffStacks","label":"上方相邻水属性法器时，消耗 1 层露水，&lt;battle&gt;使敌方随机 1 件道具减速 5 秒&lt;/battle&gt;","sourceBuffId":"dew","requiredStacks":1,"maxStacks":1,"activationRequirements":{"directionalNeighbors":[{"direction":"up","categories":["implement"],"elements":["water"]}],"buffStackThresholds":[{"buffId":"dew","comparator":"atLeast","count":1}]}}]}}}</t>
        </is>
      </c>
    </row>
    <row r="741" ht="32" customHeight="1">
      <c r="A741" s="8" t="n">
        <v>400420</v>
      </c>
      <c r="B741" s="8" t="inlineStr">
        <is>
          <t>纳百川重刃</t>
        </is>
      </c>
      <c r="C741" s="8" t="inlineStr">
        <is>
          <t>法器</t>
        </is>
      </c>
      <c r="D741" s="8" t="inlineStr">
        <is>
          <t>common</t>
        </is>
      </c>
      <c r="E741" s="8" t="inlineStr">
        <is>
          <t>water</t>
        </is>
      </c>
      <c r="F741" s="8" t="n">
        <v>1</v>
      </c>
      <c r="G741" s="8" t="inlineStr">
        <is>
          <t>基础/顶层</t>
        </is>
      </c>
      <c r="H741" s="8" t="inlineStr"/>
      <c r="I741" s="9" t="inlineStr"/>
      <c r="J741" s="8" t="inlineStr"/>
      <c r="K741" s="8" t="inlineStr"/>
      <c r="L741" s="8" t="inlineStr"/>
      <c r="M741" s="8" t="inlineStr">
        <is>
          <t>周期触发</t>
        </is>
      </c>
      <c r="N741" s="8" t="inlineStr">
        <is>
          <t>periodicPulse</t>
        </is>
      </c>
      <c r="O741" s="9" t="inlineStr">
        <is>
          <t>消耗 4 层露水，使敌方一件最大道具冻结 0.5 秒；消耗 4 层露水，使敌方一件最大道具冻结 1 秒；消耗 4 层露水，使敌方一件最大道具冻结 1.5 秒；消耗 4 层露水，使敌方一件最大道具冻结 2 秒</t>
        </is>
      </c>
      <c r="P741" s="9" t="inlineStr">
        <is>
          <t>onPeriodicPulse</t>
        </is>
      </c>
      <c r="Q741" s="9" t="inlineStr">
        <is>
          <t>consumeBuffStacks</t>
        </is>
      </c>
      <c r="R741" s="9" t="inlineStr">
        <is>
          <t>{"kind":"periodicPulse","label":"消耗 4 层露水，&lt;battle&gt;&lt;singleton&gt;使敌方一件最大道具冻结 0.5 秒&lt;/singleton&gt;&lt;/battle&gt;","periodicPulse":{"intervalSec":15,"label":"消耗 4 层露水，&lt;battle&gt;&lt;singleton&gt;使敌方一件最大道具冻结 0.5 秒&lt;/singleton&gt;&lt;/battle&gt;","activationRequirements":{"buffStackThresholds":[{"buffId":"dew","comparator":"atLeast","count":4}]},"itemRuntimeStatusEffects":[{"itemRuntimeStatus":"freeze","durationSec":0.5,"targetScope":"enemyLargest","singletonByTemplate":true}]},"executors":[{"trigger":"onPeriodicPulse","type":"consumeBuffStacks","label":"消耗 4 层露水，&lt;battle&gt;&lt;singleton&gt;使敌方一件最大道具冻结 0.5 秒&lt;/singleton&gt;&lt;/battle&gt;","sourceBuffId":"dew","requiredStacks":4,"maxStacks":4,"activationRequirements":{"buffStackThresholds":[{"buffId":"dew","comparator":"atLeast","count":4}]}}],"starOverrides":{"1":{"label":"消耗 4 层露水，&lt;battle&gt;&lt;singleton&gt;使敌方一件最大道具冻结 1 秒&lt;/singleton&gt;&lt;/battle&gt;","periodicPulse":{"label":"消耗 4 层露水，&lt;battle&gt;&lt;singleton&gt;使敌方一件最大道具冻结 1 秒&lt;/singleton&gt;&lt;/battle&gt;","itemRuntimeStatusEffects":[{"durationSec":1}]},"executors":[{"trigger":"onPeriodicPulse","type":"consumeBuffStacks","label":"消耗 4 层露水，&lt;battle&gt;&lt;singleton&gt;使敌方一件最大道具冻结 1 秒&lt;/singleton&gt;&lt;/battle&gt;","sourceBuffId":"dew","requiredStacks":4,"maxStacks":4,"activationRequirements":{"buffStackThresholds":[{"buffId":"dew","comparator":"atLeast","count":4}]}}]},"2":{"label":"消耗 4 层露水，&lt;battle&gt;&lt;singleton&gt;使敌方一件最大道具冻结 1.5 秒&lt;/singleton&gt;&lt;/battle&gt;","periodicPulse":{"label":"消耗 4 层露水，&lt;battle&gt;&lt;singleton&gt;使敌方一件最大道具冻结 1.5 秒&lt;/singleton&gt;&lt;/battle&gt;","itemRuntimeStatusEffects":[{"durationSec":1.5}]},"executors":[{"trigger":"onPeriodicPulse","type":"consumeBuffStacks","label":"消耗 4 层露水，&lt;battle&gt;&lt;singleton&gt;使敌方一件最大道具冻结 1.5 秒&lt;/singleton&gt;&lt;/battle&gt;","sourceBuffId":"dew","requiredStacks":4,"maxStacks":4,"activationRequirements":{"buffStackThresholds":[{"buffId":"dew","comparator":"atLeast","count":4}]}}]},"3":{"label":"消耗 4 层露水，&lt;battle&gt;&lt;singleton&gt;使敌方一件最大道具冻结 2 秒&lt;/singleton&gt;&lt;/battle&gt;","periodicPulse":{"label":"消耗 4 层露水，&lt;battle&gt;&lt;singleton&gt;使敌方一件最大道具冻结 2 秒&lt;/singleton&gt;&lt;/battle&gt;","itemRuntimeStatusEffects":[{"durationSec":2}]},"executors":[{"trigger":"onPeriodicPulse","type":"consumeBuffStacks","label":"消耗 4 层露水，&lt;battle&gt;&lt;singleton&gt;使敌方一件最大道具冻结 2 秒&lt;/singleton&gt;&lt;/battle&gt;","sourceBuffId":"dew","requiredStacks":4,"maxStacks":4,"activationRequirements":{"buffStackThresholds":[{"buffId":"dew","comparator":"atLeast","count":4}]}}]}}}</t>
        </is>
      </c>
    </row>
    <row r="742" ht="32" customHeight="1">
      <c r="A742" s="8" t="n">
        <v>400421</v>
      </c>
      <c r="B742" s="8" t="inlineStr">
        <is>
          <t>养血蕴境筹</t>
        </is>
      </c>
      <c r="C742" s="8" t="inlineStr">
        <is>
          <t>占卜</t>
        </is>
      </c>
      <c r="D742" s="8" t="inlineStr">
        <is>
          <t>common</t>
        </is>
      </c>
      <c r="E742" s="8" t="inlineStr">
        <is>
          <t>wood</t>
        </is>
      </c>
      <c r="F742" s="8" t="n">
        <v>1</v>
      </c>
      <c r="G742" s="8" t="inlineStr">
        <is>
          <t>基础/顶层</t>
        </is>
      </c>
      <c r="H742" s="8" t="inlineStr"/>
      <c r="I742" s="9" t="inlineStr"/>
      <c r="J742" s="8" t="inlineStr"/>
      <c r="K742" s="8" t="inlineStr"/>
      <c r="L742" s="8" t="inlineStr"/>
      <c r="M742" s="8" t="inlineStr">
        <is>
          <t>条件触发</t>
        </is>
      </c>
      <c r="N742" s="8" t="inlineStr">
        <is>
          <t>triggered</t>
        </is>
      </c>
      <c r="O742" s="9" t="inlineStr">
        <is>
          <t>获得 150 点气血后完成充能：境界突破成功时，气血上限永久 +1；销毁此道具</t>
        </is>
      </c>
      <c r="P742" s="9" t="inlineStr">
        <is>
          <t>onBreakthrough；onPrimaryStatGain</t>
        </is>
      </c>
      <c r="Q742" s="9" t="inlineStr">
        <is>
          <t>increasePrimaryStatMax</t>
        </is>
      </c>
      <c r="R742" s="9" t="inlineStr">
        <is>
          <t>{"kind":"triggered","label":"获得 150 点气血后完成充能：境界突破成功时，气血上限永久 +1；销毁此道具","triggeredEffect":{"trigger":"onBreakthrough","type":"increasePrimaryStatMax","stat":"health","delta":1,"support":"cultivationOnly","charge":{"threshold":150,"source":{"trigger":"onPrimaryStatGain","primaryStats":["health"]}}}}</t>
        </is>
      </c>
    </row>
    <row r="743" ht="32" customHeight="1">
      <c r="A743" s="8" t="n">
        <v>400422</v>
      </c>
      <c r="B743" s="8" t="inlineStr">
        <is>
          <t>固元蕴境筹</t>
        </is>
      </c>
      <c r="C743" s="8" t="inlineStr">
        <is>
          <t>占卜</t>
        </is>
      </c>
      <c r="D743" s="8" t="inlineStr">
        <is>
          <t>common</t>
        </is>
      </c>
      <c r="E743" s="8" t="inlineStr">
        <is>
          <t>earth</t>
        </is>
      </c>
      <c r="F743" s="8" t="n">
        <v>1</v>
      </c>
      <c r="G743" s="8" t="inlineStr">
        <is>
          <t>基础/顶层</t>
        </is>
      </c>
      <c r="H743" s="8" t="inlineStr"/>
      <c r="I743" s="9" t="inlineStr"/>
      <c r="J743" s="8" t="inlineStr"/>
      <c r="K743" s="8" t="inlineStr"/>
      <c r="L743" s="8" t="inlineStr"/>
      <c r="M743" s="8" t="inlineStr">
        <is>
          <t>条件触发</t>
        </is>
      </c>
      <c r="N743" s="8" t="inlineStr">
        <is>
          <t>triggered</t>
        </is>
      </c>
      <c r="O743" s="9" t="inlineStr">
        <is>
          <t>获得 150 点体力后完成充能：境界突破成功时，体力上限永久 +1；销毁此道具</t>
        </is>
      </c>
      <c r="P743" s="9" t="inlineStr">
        <is>
          <t>onBreakthrough；onPrimaryStatGain</t>
        </is>
      </c>
      <c r="Q743" s="9" t="inlineStr">
        <is>
          <t>increasePrimaryStatMax</t>
        </is>
      </c>
      <c r="R743" s="9" t="inlineStr">
        <is>
          <t>{"kind":"triggered","label":"获得 150 点体力后完成充能：境界突破成功时，体力上限永久 +1；销毁此道具","triggeredEffect":{"trigger":"onBreakthrough","type":"increasePrimaryStatMax","stat":"stamina","delta":1,"support":"cultivationOnly","charge":{"threshold":150,"source":{"trigger":"onPrimaryStatGain","primaryStats":["stamina"]}}}}</t>
        </is>
      </c>
    </row>
    <row r="744" ht="32" customHeight="1">
      <c r="A744" s="8" t="n">
        <v>400423</v>
      </c>
      <c r="B744" s="8" t="inlineStr">
        <is>
          <t>纳法蕴境筹</t>
        </is>
      </c>
      <c r="C744" s="8" t="inlineStr">
        <is>
          <t>占卜</t>
        </is>
      </c>
      <c r="D744" s="8" t="inlineStr">
        <is>
          <t>common</t>
        </is>
      </c>
      <c r="E744" s="8" t="inlineStr">
        <is>
          <t>water</t>
        </is>
      </c>
      <c r="F744" s="8" t="n">
        <v>1</v>
      </c>
      <c r="G744" s="8" t="inlineStr">
        <is>
          <t>基础/顶层</t>
        </is>
      </c>
      <c r="H744" s="8" t="inlineStr"/>
      <c r="I744" s="9" t="inlineStr"/>
      <c r="J744" s="8" t="inlineStr"/>
      <c r="K744" s="8" t="inlineStr"/>
      <c r="L744" s="8" t="inlineStr"/>
      <c r="M744" s="8" t="inlineStr">
        <is>
          <t>条件触发</t>
        </is>
      </c>
      <c r="N744" s="8" t="inlineStr">
        <is>
          <t>triggered</t>
        </is>
      </c>
      <c r="O744" s="9" t="inlineStr">
        <is>
          <t>获得 150 点法力后完成充能：境界突破成功时，法力上限永久 +1；销毁此道具</t>
        </is>
      </c>
      <c r="P744" s="9" t="inlineStr">
        <is>
          <t>onBreakthrough；onPrimaryStatGain</t>
        </is>
      </c>
      <c r="Q744" s="9" t="inlineStr">
        <is>
          <t>increasePrimaryStatMax</t>
        </is>
      </c>
      <c r="R744" s="9" t="inlineStr">
        <is>
          <t>{"kind":"triggered","label":"获得 150 点法力后完成充能：境界突破成功时，法力上限永久 +1；销毁此道具","triggeredEffect":{"trigger":"onBreakthrough","type":"increasePrimaryStatMax","stat":"mana","delta":1,"support":"cultivationOnly","charge":{"threshold":150,"source":{"trigger":"onPrimaryStatGain","primaryStats":["mana"]}}}}</t>
        </is>
      </c>
    </row>
    <row r="745" ht="32" customHeight="1">
      <c r="A745" s="8" t="n">
        <v>400424</v>
      </c>
      <c r="B745" s="8" t="inlineStr">
        <is>
          <t>淬血蕴境筹</t>
        </is>
      </c>
      <c r="C745" s="8" t="inlineStr">
        <is>
          <t>占卜</t>
        </is>
      </c>
      <c r="D745" s="8" t="inlineStr">
        <is>
          <t>common</t>
        </is>
      </c>
      <c r="E745" s="8" t="inlineStr">
        <is>
          <t>metal</t>
        </is>
      </c>
      <c r="F745" s="8" t="n">
        <v>1</v>
      </c>
      <c r="G745" s="8" t="inlineStr">
        <is>
          <t>基础/顶层</t>
        </is>
      </c>
      <c r="H745" s="8" t="inlineStr"/>
      <c r="I745" s="9" t="inlineStr"/>
      <c r="J745" s="8" t="inlineStr"/>
      <c r="K745" s="8" t="inlineStr"/>
      <c r="L745" s="8" t="inlineStr"/>
      <c r="M745" s="8" t="inlineStr">
        <is>
          <t>条件触发</t>
        </is>
      </c>
      <c r="N745" s="8" t="inlineStr">
        <is>
          <t>triggered</t>
        </is>
      </c>
      <c r="O745" s="9" t="inlineStr">
        <is>
          <t>消耗 150 点气血后完成充能：境界突破成功时，气血上限永久 +2；销毁此道具</t>
        </is>
      </c>
      <c r="P745" s="9" t="inlineStr">
        <is>
          <t>onBreakthrough；onPrimaryStatConsumed</t>
        </is>
      </c>
      <c r="Q745" s="9" t="inlineStr">
        <is>
          <t>increasePrimaryStatMax</t>
        </is>
      </c>
      <c r="R745" s="9" t="inlineStr">
        <is>
          <t>{"kind":"triggered","label":"消耗 150 点气血后完成充能：境界突破成功时，气血上限永久 +2；销毁此道具","triggeredEffect":{"trigger":"onBreakthrough","type":"increasePrimaryStatMax","stat":"health","delta":2,"support":"cultivationOnly","charge":{"threshold":150,"source":{"trigger":"onPrimaryStatConsumed","primaryStats":["health"]}}}}</t>
        </is>
      </c>
    </row>
    <row r="746" ht="32" customHeight="1">
      <c r="A746" s="8" t="n">
        <v>400425</v>
      </c>
      <c r="B746" s="8" t="inlineStr">
        <is>
          <t>炼息蕴境筹</t>
        </is>
      </c>
      <c r="C746" s="8" t="inlineStr">
        <is>
          <t>占卜</t>
        </is>
      </c>
      <c r="D746" s="8" t="inlineStr">
        <is>
          <t>common</t>
        </is>
      </c>
      <c r="E746" s="8" t="inlineStr">
        <is>
          <t>fire</t>
        </is>
      </c>
      <c r="F746" s="8" t="n">
        <v>1</v>
      </c>
      <c r="G746" s="8" t="inlineStr">
        <is>
          <t>基础/顶层</t>
        </is>
      </c>
      <c r="H746" s="8" t="inlineStr"/>
      <c r="I746" s="9" t="inlineStr"/>
      <c r="J746" s="8" t="inlineStr"/>
      <c r="K746" s="8" t="inlineStr"/>
      <c r="L746" s="8" t="inlineStr"/>
      <c r="M746" s="8" t="inlineStr">
        <is>
          <t>条件触发</t>
        </is>
      </c>
      <c r="N746" s="8" t="inlineStr">
        <is>
          <t>triggered</t>
        </is>
      </c>
      <c r="O746" s="9" t="inlineStr">
        <is>
          <t>消耗 150 点体力后完成充能：境界突破成功时，体力上限永久 +2；销毁此道具</t>
        </is>
      </c>
      <c r="P746" s="9" t="inlineStr">
        <is>
          <t>onBreakthrough；onPrimaryStatConsumed</t>
        </is>
      </c>
      <c r="Q746" s="9" t="inlineStr">
        <is>
          <t>increasePrimaryStatMax</t>
        </is>
      </c>
      <c r="R746" s="9" t="inlineStr">
        <is>
          <t>{"kind":"triggered","label":"消耗 150 点体力后完成充能：境界突破成功时，体力上限永久 +2；销毁此道具","triggeredEffect":{"trigger":"onBreakthrough","type":"increasePrimaryStatMax","stat":"stamina","delta":2,"support":"cultivationOnly","charge":{"threshold":150,"source":{"trigger":"onPrimaryStatConsumed","primaryStats":["stamina"]}}}}</t>
        </is>
      </c>
    </row>
    <row r="747" ht="32" customHeight="1">
      <c r="A747" s="8" t="n">
        <v>400426</v>
      </c>
      <c r="B747" s="8" t="inlineStr">
        <is>
          <t>延年蕴境筹</t>
        </is>
      </c>
      <c r="C747" s="8" t="inlineStr">
        <is>
          <t>占卜</t>
        </is>
      </c>
      <c r="D747" s="8" t="inlineStr">
        <is>
          <t>common</t>
        </is>
      </c>
      <c r="E747" s="8" t="inlineStr">
        <is>
          <t>wood</t>
        </is>
      </c>
      <c r="F747" s="8" t="n">
        <v>1</v>
      </c>
      <c r="G747" s="8" t="inlineStr">
        <is>
          <t>基础/顶层</t>
        </is>
      </c>
      <c r="H747" s="8" t="inlineStr"/>
      <c r="I747" s="9" t="inlineStr"/>
      <c r="J747" s="8" t="inlineStr"/>
      <c r="K747" s="8" t="inlineStr"/>
      <c r="L747" s="8" t="inlineStr"/>
      <c r="M747" s="8" t="inlineStr">
        <is>
          <t>条件触发</t>
        </is>
      </c>
      <c r="N747" s="8" t="inlineStr">
        <is>
          <t>triggered</t>
        </is>
      </c>
      <c r="O747" s="9" t="inlineStr">
        <is>
          <t>获得 150 层再生后完成充能：境界突破成功时，寿元永久 +1 年；销毁此道具</t>
        </is>
      </c>
      <c r="P747" s="9" t="inlineStr">
        <is>
          <t>onBreakthrough；onBuffGain</t>
        </is>
      </c>
      <c r="Q747" s="9" t="inlineStr">
        <is>
          <t>grantResources；lifespan</t>
        </is>
      </c>
      <c r="R747" s="9" t="inlineStr">
        <is>
          <t>{"kind":"triggered","label":"获得 150 层再生后完成充能：境界突破成功时，寿元永久 +1 年；销毁此道具","triggeredEffect":{"trigger":"onBreakthrough","type":"grantResources","support":"cultivationOnly","grants":[{"type":"lifespan","amount":1}],"charge":{"threshold":150,"source":{"trigger":"onBuffGain","buffIds":["regeneration"]}}}}</t>
        </is>
      </c>
    </row>
    <row r="748" ht="32" customHeight="1">
      <c r="A748" s="8" t="n">
        <v>400427</v>
      </c>
      <c r="B748" s="8" t="inlineStr">
        <is>
          <t>金灵根蕴境筹</t>
        </is>
      </c>
      <c r="C748" s="8" t="inlineStr">
        <is>
          <t>占卜</t>
        </is>
      </c>
      <c r="D748" s="8" t="inlineStr">
        <is>
          <t>common</t>
        </is>
      </c>
      <c r="E748" s="8" t="inlineStr">
        <is>
          <t>metal</t>
        </is>
      </c>
      <c r="F748" s="8" t="n">
        <v>1</v>
      </c>
      <c r="G748" s="8" t="inlineStr">
        <is>
          <t>基础/顶层</t>
        </is>
      </c>
      <c r="H748" s="8" t="inlineStr"/>
      <c r="I748" s="9" t="inlineStr"/>
      <c r="J748" s="8" t="inlineStr"/>
      <c r="K748" s="8" t="inlineStr"/>
      <c r="L748" s="8" t="inlineStr"/>
      <c r="M748" s="8" t="inlineStr">
        <is>
          <t>条件触发</t>
        </is>
      </c>
      <c r="N748" s="8" t="inlineStr">
        <is>
          <t>triggered</t>
        </is>
      </c>
      <c r="O748" s="9" t="inlineStr">
        <is>
          <t>获得 150 层凝金后完成充能：境界突破成功时，金灵根 +1（如有该灵根）；销毁此道具</t>
        </is>
      </c>
      <c r="P748" s="9" t="inlineStr">
        <is>
          <t>onBreakthrough；onBuffGain</t>
        </is>
      </c>
      <c r="Q748" s="9" t="inlineStr">
        <is>
          <t>increaseSpiritRoot</t>
        </is>
      </c>
      <c r="R748" s="9" t="inlineStr">
        <is>
          <t>{"kind":"triggered","label":"获得 150 层凝金后完成充能：境界突破成功时，金灵根 +1（如有该灵根）；销毁此道具","triggeredEffect":{"trigger":"onBreakthrough","type":"increaseSpiritRoot","element":"metal","amount":1,"support":"cultivationOnly","charge":{"threshold":150,"source":{"trigger":"onBuffGain","buffIds":["condensedMetal"]}}}}</t>
        </is>
      </c>
    </row>
    <row r="749" ht="32" customHeight="1">
      <c r="A749" s="8" t="n">
        <v>400428</v>
      </c>
      <c r="B749" s="8" t="inlineStr">
        <is>
          <t>木灵根蕴境筹</t>
        </is>
      </c>
      <c r="C749" s="8" t="inlineStr">
        <is>
          <t>占卜</t>
        </is>
      </c>
      <c r="D749" s="8" t="inlineStr">
        <is>
          <t>common</t>
        </is>
      </c>
      <c r="E749" s="8" t="inlineStr">
        <is>
          <t>wood</t>
        </is>
      </c>
      <c r="F749" s="8" t="n">
        <v>1</v>
      </c>
      <c r="G749" s="8" t="inlineStr">
        <is>
          <t>基础/顶层</t>
        </is>
      </c>
      <c r="H749" s="8" t="inlineStr"/>
      <c r="I749" s="9" t="inlineStr"/>
      <c r="J749" s="8" t="inlineStr"/>
      <c r="K749" s="8" t="inlineStr"/>
      <c r="L749" s="8" t="inlineStr"/>
      <c r="M749" s="8" t="inlineStr">
        <is>
          <t>条件触发</t>
        </is>
      </c>
      <c r="N749" s="8" t="inlineStr">
        <is>
          <t>triggered</t>
        </is>
      </c>
      <c r="O749" s="9" t="inlineStr">
        <is>
          <t>获得 150 层再生后完成充能：境界突破成功时，木灵根 +1（如有该灵根）；销毁此道具</t>
        </is>
      </c>
      <c r="P749" s="9" t="inlineStr">
        <is>
          <t>onBreakthrough；onBuffGain</t>
        </is>
      </c>
      <c r="Q749" s="9" t="inlineStr">
        <is>
          <t>increaseSpiritRoot</t>
        </is>
      </c>
      <c r="R749" s="9" t="inlineStr">
        <is>
          <t>{"kind":"triggered","label":"获得 150 层再生后完成充能：境界突破成功时，木灵根 +1（如有该灵根）；销毁此道具","triggeredEffect":{"trigger":"onBreakthrough","type":"increaseSpiritRoot","element":"wood","amount":1,"support":"cultivationOnly","charge":{"threshold":150,"source":{"trigger":"onBuffGain","buffIds":["regeneration"]}}}}</t>
        </is>
      </c>
    </row>
    <row r="750" ht="32" customHeight="1">
      <c r="A750" s="8" t="n">
        <v>400429</v>
      </c>
      <c r="B750" s="8" t="inlineStr">
        <is>
          <t>水灵根蕴境筹</t>
        </is>
      </c>
      <c r="C750" s="8" t="inlineStr">
        <is>
          <t>占卜</t>
        </is>
      </c>
      <c r="D750" s="8" t="inlineStr">
        <is>
          <t>common</t>
        </is>
      </c>
      <c r="E750" s="8" t="inlineStr">
        <is>
          <t>water</t>
        </is>
      </c>
      <c r="F750" s="8" t="n">
        <v>1</v>
      </c>
      <c r="G750" s="8" t="inlineStr">
        <is>
          <t>基础/顶层</t>
        </is>
      </c>
      <c r="H750" s="8" t="inlineStr"/>
      <c r="I750" s="9" t="inlineStr"/>
      <c r="J750" s="8" t="inlineStr"/>
      <c r="K750" s="8" t="inlineStr"/>
      <c r="L750" s="8" t="inlineStr"/>
      <c r="M750" s="8" t="inlineStr">
        <is>
          <t>条件触发</t>
        </is>
      </c>
      <c r="N750" s="8" t="inlineStr">
        <is>
          <t>triggered</t>
        </is>
      </c>
      <c r="O750" s="9" t="inlineStr">
        <is>
          <t>获得 150 层露水后完成充能：境界突破成功时，水灵根 +1（如有该灵根）；销毁此道具</t>
        </is>
      </c>
      <c r="P750" s="9" t="inlineStr">
        <is>
          <t>onBreakthrough；onBuffGain</t>
        </is>
      </c>
      <c r="Q750" s="9" t="inlineStr">
        <is>
          <t>increaseSpiritRoot</t>
        </is>
      </c>
      <c r="R750" s="9" t="inlineStr">
        <is>
          <t>{"kind":"triggered","label":"获得 150 层露水后完成充能：境界突破成功时，水灵根 +1（如有该灵根）；销毁此道具","triggeredEffect":{"trigger":"onBreakthrough","type":"increaseSpiritRoot","element":"water","amount":1,"support":"cultivationOnly","charge":{"threshold":150,"source":{"trigger":"onBuffGain","buffIds":["dew"]}}}}</t>
        </is>
      </c>
    </row>
    <row r="751" ht="32" customHeight="1">
      <c r="A751" s="8" t="n">
        <v>400430</v>
      </c>
      <c r="B751" s="8" t="inlineStr">
        <is>
          <t>火灵根蕴境筹</t>
        </is>
      </c>
      <c r="C751" s="8" t="inlineStr">
        <is>
          <t>占卜</t>
        </is>
      </c>
      <c r="D751" s="8" t="inlineStr">
        <is>
          <t>common</t>
        </is>
      </c>
      <c r="E751" s="8" t="inlineStr">
        <is>
          <t>fire</t>
        </is>
      </c>
      <c r="F751" s="8" t="n">
        <v>1</v>
      </c>
      <c r="G751" s="8" t="inlineStr">
        <is>
          <t>基础/顶层</t>
        </is>
      </c>
      <c r="H751" s="8" t="inlineStr"/>
      <c r="I751" s="9" t="inlineStr"/>
      <c r="J751" s="8" t="inlineStr"/>
      <c r="K751" s="8" t="inlineStr"/>
      <c r="L751" s="8" t="inlineStr"/>
      <c r="M751" s="8" t="inlineStr">
        <is>
          <t>条件触发</t>
        </is>
      </c>
      <c r="N751" s="8" t="inlineStr">
        <is>
          <t>triggered</t>
        </is>
      </c>
      <c r="O751" s="9" t="inlineStr">
        <is>
          <t>获得 150 层炎热后完成充能：境界突破成功时，火灵根 +1（如有该灵根）；销毁此道具</t>
        </is>
      </c>
      <c r="P751" s="9" t="inlineStr">
        <is>
          <t>onBreakthrough；onBuffGain</t>
        </is>
      </c>
      <c r="Q751" s="9" t="inlineStr">
        <is>
          <t>increaseSpiritRoot</t>
        </is>
      </c>
      <c r="R751" s="9" t="inlineStr">
        <is>
          <t>{"kind":"triggered","label":"获得 150 层炎热后完成充能：境界突破成功时，火灵根 +1（如有该灵根）；销毁此道具","triggeredEffect":{"trigger":"onBreakthrough","type":"increaseSpiritRoot","element":"fire","amount":1,"support":"cultivationOnly","charge":{"threshold":150,"source":{"trigger":"onBuffGain","buffIds":["heat"]}}}}</t>
        </is>
      </c>
    </row>
    <row r="752" ht="32" customHeight="1">
      <c r="A752" s="8" t="n">
        <v>400431</v>
      </c>
      <c r="B752" s="8" t="inlineStr">
        <is>
          <t>土灵根蕴境筹</t>
        </is>
      </c>
      <c r="C752" s="8" t="inlineStr">
        <is>
          <t>占卜</t>
        </is>
      </c>
      <c r="D752" s="8" t="inlineStr">
        <is>
          <t>common</t>
        </is>
      </c>
      <c r="E752" s="8" t="inlineStr">
        <is>
          <t>earth</t>
        </is>
      </c>
      <c r="F752" s="8" t="n">
        <v>1</v>
      </c>
      <c r="G752" s="8" t="inlineStr">
        <is>
          <t>基础/顶层</t>
        </is>
      </c>
      <c r="H752" s="8" t="inlineStr"/>
      <c r="I752" s="9" t="inlineStr"/>
      <c r="J752" s="8" t="inlineStr"/>
      <c r="K752" s="8" t="inlineStr"/>
      <c r="L752" s="8" t="inlineStr"/>
      <c r="M752" s="8" t="inlineStr">
        <is>
          <t>条件触发</t>
        </is>
      </c>
      <c r="N752" s="8" t="inlineStr">
        <is>
          <t>triggered</t>
        </is>
      </c>
      <c r="O752" s="9" t="inlineStr">
        <is>
          <t>获得 150 层坚硬后完成充能：境界突破成功时，土灵根 +1（如有该灵根）；销毁此道具</t>
        </is>
      </c>
      <c r="P752" s="9" t="inlineStr">
        <is>
          <t>onBreakthrough；onBuffGain</t>
        </is>
      </c>
      <c r="Q752" s="9" t="inlineStr">
        <is>
          <t>increaseSpiritRoot</t>
        </is>
      </c>
      <c r="R752" s="9" t="inlineStr">
        <is>
          <t>{"kind":"triggered","label":"获得 150 层坚硬后完成充能：境界突破成功时，土灵根 +1（如有该灵根）；销毁此道具","triggeredEffect":{"trigger":"onBreakthrough","type":"increaseSpiritRoot","element":"earth","amount":1,"support":"cultivationOnly","charge":{"threshold":150,"source":{"trigger":"onBuffGain","buffIds":["sturdy"]}}}}</t>
        </is>
      </c>
    </row>
    <row r="753" ht="32" customHeight="1">
      <c r="A753" s="8" t="n">
        <v>400432</v>
      </c>
      <c r="B753" s="8" t="inlineStr">
        <is>
          <t>炎热承层蕴境筹</t>
        </is>
      </c>
      <c r="C753" s="8" t="inlineStr">
        <is>
          <t>占卜</t>
        </is>
      </c>
      <c r="D753" s="8" t="inlineStr">
        <is>
          <t>common</t>
        </is>
      </c>
      <c r="E753" s="8" t="inlineStr">
        <is>
          <t>fire</t>
        </is>
      </c>
      <c r="F753" s="8" t="n">
        <v>1</v>
      </c>
      <c r="G753" s="8" t="inlineStr">
        <is>
          <t>基础/顶层</t>
        </is>
      </c>
      <c r="H753" s="8" t="inlineStr"/>
      <c r="I753" s="9" t="inlineStr"/>
      <c r="J753" s="8" t="inlineStr"/>
      <c r="K753" s="8" t="inlineStr"/>
      <c r="L753" s="8" t="inlineStr"/>
      <c r="M753" s="8" t="inlineStr">
        <is>
          <t>条件触发</t>
        </is>
      </c>
      <c r="N753" s="8" t="inlineStr">
        <is>
          <t>triggered</t>
        </is>
      </c>
      <c r="O753" s="9" t="inlineStr">
        <is>
          <t>获得 150 层炎热后完成充能：境界突破成功时，炎热层数上限永久 +1；销毁此道具</t>
        </is>
      </c>
      <c r="P753" s="9" t="inlineStr">
        <is>
          <t>onBreakthrough；onBuffGain</t>
        </is>
      </c>
      <c r="Q753" s="9" t="inlineStr">
        <is>
          <t>increaseBuffStackCap</t>
        </is>
      </c>
      <c r="R753" s="9" t="inlineStr">
        <is>
          <t>{"kind":"triggered","label":"获得 150 层炎热后完成充能：境界突破成功时，炎热层数上限永久 +1；销毁此道具","triggeredEffect":{"trigger":"onBreakthrough","type":"increaseBuffStackCap","buffId":"heat","delta":1,"support":"cultivationOnly","charge":{"threshold":150,"source":{"trigger":"onBuffGain","buffIds":["heat"]}}}}</t>
        </is>
      </c>
    </row>
    <row r="754" ht="32" customHeight="1">
      <c r="A754" s="8" t="n">
        <v>400433</v>
      </c>
      <c r="B754" s="8" t="inlineStr">
        <is>
          <t>寒冷承层蕴境筹</t>
        </is>
      </c>
      <c r="C754" s="8" t="inlineStr">
        <is>
          <t>占卜</t>
        </is>
      </c>
      <c r="D754" s="8" t="inlineStr">
        <is>
          <t>common</t>
        </is>
      </c>
      <c r="E754" s="8" t="inlineStr">
        <is>
          <t>water</t>
        </is>
      </c>
      <c r="F754" s="8" t="n">
        <v>1</v>
      </c>
      <c r="G754" s="8" t="inlineStr">
        <is>
          <t>基础/顶层</t>
        </is>
      </c>
      <c r="H754" s="8" t="inlineStr"/>
      <c r="I754" s="9" t="inlineStr"/>
      <c r="J754" s="8" t="inlineStr"/>
      <c r="K754" s="8" t="inlineStr"/>
      <c r="L754" s="8" t="inlineStr"/>
      <c r="M754" s="8" t="inlineStr">
        <is>
          <t>条件触发</t>
        </is>
      </c>
      <c r="N754" s="8" t="inlineStr">
        <is>
          <t>triggered</t>
        </is>
      </c>
      <c r="O754" s="9" t="inlineStr">
        <is>
          <t>获得 150 层寒冷后完成充能：境界突破成功时，寒冷层数上限永久 +1；销毁此道具</t>
        </is>
      </c>
      <c r="P754" s="9" t="inlineStr">
        <is>
          <t>onBreakthrough；onBuffGain</t>
        </is>
      </c>
      <c r="Q754" s="9" t="inlineStr">
        <is>
          <t>increaseBuffStackCap</t>
        </is>
      </c>
      <c r="R754" s="9" t="inlineStr">
        <is>
          <t>{"kind":"triggered","label":"获得 150 层寒冷后完成充能：境界突破成功时，寒冷层数上限永久 +1；销毁此道具","triggeredEffect":{"trigger":"onBreakthrough","type":"increaseBuffStackCap","buffId":"cold","delta":1,"support":"cultivationOnly","charge":{"threshold":150,"source":{"trigger":"onBuffGain","buffIds":["cold"]}}}}</t>
        </is>
      </c>
    </row>
    <row r="755" ht="32" customHeight="1">
      <c r="A755" s="8" t="n">
        <v>400434</v>
      </c>
      <c r="B755" s="8" t="inlineStr">
        <is>
          <t>沉重承层蕴境筹</t>
        </is>
      </c>
      <c r="C755" s="8" t="inlineStr">
        <is>
          <t>占卜</t>
        </is>
      </c>
      <c r="D755" s="8" t="inlineStr">
        <is>
          <t>common</t>
        </is>
      </c>
      <c r="E755" s="8" t="inlineStr">
        <is>
          <t>earth</t>
        </is>
      </c>
      <c r="F755" s="8" t="n">
        <v>1</v>
      </c>
      <c r="G755" s="8" t="inlineStr">
        <is>
          <t>基础/顶层</t>
        </is>
      </c>
      <c r="H755" s="8" t="inlineStr"/>
      <c r="I755" s="9" t="inlineStr"/>
      <c r="J755" s="8" t="inlineStr"/>
      <c r="K755" s="8" t="inlineStr"/>
      <c r="L755" s="8" t="inlineStr"/>
      <c r="M755" s="8" t="inlineStr">
        <is>
          <t>条件触发</t>
        </is>
      </c>
      <c r="N755" s="8" t="inlineStr">
        <is>
          <t>triggered</t>
        </is>
      </c>
      <c r="O755" s="9" t="inlineStr">
        <is>
          <t>获得 150 层蓄势后完成充能：境界突破成功时，蓄势层数上限永久 +1；销毁此道具</t>
        </is>
      </c>
      <c r="P755" s="9" t="inlineStr">
        <is>
          <t>onBreakthrough；onBuffGain</t>
        </is>
      </c>
      <c r="Q755" s="9" t="inlineStr">
        <is>
          <t>increaseBuffStackCap</t>
        </is>
      </c>
      <c r="R755" s="9" t="inlineStr">
        <is>
          <t>{"kind":"triggered","label":"获得 150 层蓄势后完成充能：境界突破成功时，蓄势层数上限永久 +1；销毁此道具","triggeredEffect":{"trigger":"onBreakthrough","type":"increaseBuffStackCap","buffId":"heavy","delta":1,"support":"cultivationOnly","charge":{"threshold":150,"source":{"trigger":"onBuffGain","buffIds":["heavy"]}}}}</t>
        </is>
      </c>
    </row>
    <row r="756" ht="32" customHeight="1">
      <c r="A756" s="8" t="n">
        <v>400435</v>
      </c>
      <c r="B756" s="8" t="inlineStr">
        <is>
          <t>敏捷承层蕴境筹</t>
        </is>
      </c>
      <c r="C756" s="8" t="inlineStr">
        <is>
          <t>占卜</t>
        </is>
      </c>
      <c r="D756" s="8" t="inlineStr">
        <is>
          <t>common</t>
        </is>
      </c>
      <c r="E756" s="8" t="inlineStr">
        <is>
          <t>wind</t>
        </is>
      </c>
      <c r="F756" s="8" t="n">
        <v>1</v>
      </c>
      <c r="G756" s="8" t="inlineStr">
        <is>
          <t>基础/顶层</t>
        </is>
      </c>
      <c r="H756" s="8" t="inlineStr"/>
      <c r="I756" s="9" t="inlineStr"/>
      <c r="J756" s="8" t="inlineStr"/>
      <c r="K756" s="8" t="inlineStr"/>
      <c r="L756" s="8" t="inlineStr"/>
      <c r="M756" s="8" t="inlineStr">
        <is>
          <t>条件触发</t>
        </is>
      </c>
      <c r="N756" s="8" t="inlineStr">
        <is>
          <t>triggered</t>
        </is>
      </c>
      <c r="O756" s="9" t="inlineStr">
        <is>
          <t>获得 150 层敏捷后完成充能：境界突破成功时，敏捷层数上限永久 +1；销毁此道具</t>
        </is>
      </c>
      <c r="P756" s="9" t="inlineStr">
        <is>
          <t>onBreakthrough；onBuffGain</t>
        </is>
      </c>
      <c r="Q756" s="9" t="inlineStr">
        <is>
          <t>increaseBuffStackCap</t>
        </is>
      </c>
      <c r="R756" s="9" t="inlineStr">
        <is>
          <t>{"kind":"triggered","label":"获得 150 层敏捷后完成充能：境界突破成功时，敏捷层数上限永久 +1；销毁此道具","triggeredEffect":{"trigger":"onBreakthrough","type":"increaseBuffStackCap","buffId":"agile","delta":1,"support":"cultivationOnly","charge":{"threshold":150,"source":{"trigger":"onBuffGain","buffIds":["agile"]}}}}</t>
        </is>
      </c>
    </row>
    <row r="757" ht="32" customHeight="1">
      <c r="A757" s="8" t="n">
        <v>400436</v>
      </c>
      <c r="B757" s="8" t="inlineStr">
        <is>
          <t>露水承层蕴境筹</t>
        </is>
      </c>
      <c r="C757" s="8" t="inlineStr">
        <is>
          <t>占卜</t>
        </is>
      </c>
      <c r="D757" s="8" t="inlineStr">
        <is>
          <t>common</t>
        </is>
      </c>
      <c r="E757" s="8" t="inlineStr">
        <is>
          <t>water</t>
        </is>
      </c>
      <c r="F757" s="8" t="n">
        <v>1</v>
      </c>
      <c r="G757" s="8" t="inlineStr">
        <is>
          <t>基础/顶层</t>
        </is>
      </c>
      <c r="H757" s="8" t="inlineStr"/>
      <c r="I757" s="9" t="inlineStr"/>
      <c r="J757" s="8" t="inlineStr"/>
      <c r="K757" s="8" t="inlineStr"/>
      <c r="L757" s="8" t="inlineStr"/>
      <c r="M757" s="8" t="inlineStr">
        <is>
          <t>条件触发</t>
        </is>
      </c>
      <c r="N757" s="8" t="inlineStr">
        <is>
          <t>triggered</t>
        </is>
      </c>
      <c r="O757" s="9" t="inlineStr">
        <is>
          <t>获得 150 层露水后完成充能：境界突破成功时，露水层数上限永久 +1；销毁此道具</t>
        </is>
      </c>
      <c r="P757" s="9" t="inlineStr">
        <is>
          <t>onBreakthrough；onBuffGain</t>
        </is>
      </c>
      <c r="Q757" s="9" t="inlineStr">
        <is>
          <t>increaseBuffStackCap</t>
        </is>
      </c>
      <c r="R757" s="9" t="inlineStr">
        <is>
          <t>{"kind":"triggered","label":"获得 150 层露水后完成充能：境界突破成功时，露水层数上限永久 +1；销毁此道具","triggeredEffect":{"trigger":"onBreakthrough","type":"increaseBuffStackCap","buffId":"dew","delta":1,"support":"cultivationOnly","charge":{"threshold":150,"source":{"trigger":"onBuffGain","buffIds":["dew"]}}}}</t>
        </is>
      </c>
    </row>
    <row r="758" ht="32" customHeight="1">
      <c r="A758" s="8" t="n">
        <v>400437</v>
      </c>
      <c r="B758" s="8" t="inlineStr">
        <is>
          <t>凝金承层蕴境筹</t>
        </is>
      </c>
      <c r="C758" s="8" t="inlineStr">
        <is>
          <t>占卜</t>
        </is>
      </c>
      <c r="D758" s="8" t="inlineStr">
        <is>
          <t>common</t>
        </is>
      </c>
      <c r="E758" s="8" t="inlineStr">
        <is>
          <t>metal</t>
        </is>
      </c>
      <c r="F758" s="8" t="n">
        <v>1</v>
      </c>
      <c r="G758" s="8" t="inlineStr">
        <is>
          <t>基础/顶层</t>
        </is>
      </c>
      <c r="H758" s="8" t="inlineStr"/>
      <c r="I758" s="9" t="inlineStr"/>
      <c r="J758" s="8" t="inlineStr"/>
      <c r="K758" s="8" t="inlineStr"/>
      <c r="L758" s="8" t="inlineStr"/>
      <c r="M758" s="8" t="inlineStr">
        <is>
          <t>条件触发</t>
        </is>
      </c>
      <c r="N758" s="8" t="inlineStr">
        <is>
          <t>triggered</t>
        </is>
      </c>
      <c r="O758" s="9" t="inlineStr">
        <is>
          <t>获得 150 层凝金后完成充能：境界突破成功时，凝金层数上限永久 +1；销毁此道具</t>
        </is>
      </c>
      <c r="P758" s="9" t="inlineStr">
        <is>
          <t>onBreakthrough；onBuffGain</t>
        </is>
      </c>
      <c r="Q758" s="9" t="inlineStr">
        <is>
          <t>increaseBuffStackCap</t>
        </is>
      </c>
      <c r="R758" s="9" t="inlineStr">
        <is>
          <t>{"kind":"triggered","label":"获得 150 层凝金后完成充能：境界突破成功时，凝金层数上限永久 +1；销毁此道具","triggeredEffect":{"trigger":"onBreakthrough","type":"increaseBuffStackCap","buffId":"condensedMetal","delta":1,"support":"cultivationOnly","charge":{"threshold":150,"source":{"trigger":"onBuffGain","buffIds":["condensedMetal"]}}}}</t>
        </is>
      </c>
    </row>
    <row r="759" ht="32" customHeight="1">
      <c r="A759" s="8" t="n">
        <v>400438</v>
      </c>
      <c r="B759" s="8" t="inlineStr">
        <is>
          <t>护甲承层蕴境筹</t>
        </is>
      </c>
      <c r="C759" s="8" t="inlineStr">
        <is>
          <t>占卜</t>
        </is>
      </c>
      <c r="D759" s="8" t="inlineStr">
        <is>
          <t>common</t>
        </is>
      </c>
      <c r="E759" s="8" t="inlineStr">
        <is>
          <t>metal</t>
        </is>
      </c>
      <c r="F759" s="8" t="n">
        <v>1</v>
      </c>
      <c r="G759" s="8" t="inlineStr">
        <is>
          <t>基础/顶层</t>
        </is>
      </c>
      <c r="H759" s="8" t="inlineStr"/>
      <c r="I759" s="9" t="inlineStr"/>
      <c r="J759" s="8" t="inlineStr"/>
      <c r="K759" s="8" t="inlineStr"/>
      <c r="L759" s="8" t="inlineStr"/>
      <c r="M759" s="8" t="inlineStr">
        <is>
          <t>条件触发</t>
        </is>
      </c>
      <c r="N759" s="8" t="inlineStr">
        <is>
          <t>triggered</t>
        </is>
      </c>
      <c r="O759" s="9" t="inlineStr">
        <is>
          <t>获得 150 层护甲后完成充能：境界突破成功时，护甲层数上限永久 +1；销毁此道具</t>
        </is>
      </c>
      <c r="P759" s="9" t="inlineStr">
        <is>
          <t>onBreakthrough；onBuffGain</t>
        </is>
      </c>
      <c r="Q759" s="9" t="inlineStr">
        <is>
          <t>increaseBuffStackCap</t>
        </is>
      </c>
      <c r="R759" s="9" t="inlineStr">
        <is>
          <t>{"kind":"triggered","label":"获得 150 层护甲后完成充能：境界突破成功时，护甲层数上限永久 +1；销毁此道具","triggeredEffect":{"trigger":"onBreakthrough","type":"increaseBuffStackCap","buffId":"armor","delta":1,"support":"cultivationOnly","charge":{"threshold":150,"source":{"trigger":"onBuffGain","buffIds":["armor"]}}}}</t>
        </is>
      </c>
    </row>
    <row r="760" ht="32" customHeight="1">
      <c r="A760" s="8" t="n">
        <v>400439</v>
      </c>
      <c r="B760" s="8" t="inlineStr">
        <is>
          <t>坚硬承层蕴境筹</t>
        </is>
      </c>
      <c r="C760" s="8" t="inlineStr">
        <is>
          <t>占卜</t>
        </is>
      </c>
      <c r="D760" s="8" t="inlineStr">
        <is>
          <t>common</t>
        </is>
      </c>
      <c r="E760" s="8" t="inlineStr">
        <is>
          <t>earth</t>
        </is>
      </c>
      <c r="F760" s="8" t="n">
        <v>1</v>
      </c>
      <c r="G760" s="8" t="inlineStr">
        <is>
          <t>基础/顶层</t>
        </is>
      </c>
      <c r="H760" s="8" t="inlineStr"/>
      <c r="I760" s="9" t="inlineStr"/>
      <c r="J760" s="8" t="inlineStr"/>
      <c r="K760" s="8" t="inlineStr"/>
      <c r="L760" s="8" t="inlineStr"/>
      <c r="M760" s="8" t="inlineStr">
        <is>
          <t>条件触发</t>
        </is>
      </c>
      <c r="N760" s="8" t="inlineStr">
        <is>
          <t>triggered</t>
        </is>
      </c>
      <c r="O760" s="9" t="inlineStr">
        <is>
          <t>获得 150 层坚硬后完成充能：境界突破成功时，坚硬层数上限永久 +1；销毁此道具</t>
        </is>
      </c>
      <c r="P760" s="9" t="inlineStr">
        <is>
          <t>onBreakthrough；onBuffGain</t>
        </is>
      </c>
      <c r="Q760" s="9" t="inlineStr">
        <is>
          <t>increaseBuffStackCap</t>
        </is>
      </c>
      <c r="R760" s="9" t="inlineStr">
        <is>
          <t>{"kind":"triggered","label":"获得 150 层坚硬后完成充能：境界突破成功时，坚硬层数上限永久 +1；销毁此道具","triggeredEffect":{"trigger":"onBreakthrough","type":"increaseBuffStackCap","buffId":"sturdy","delta":1,"support":"cultivationOnly","charge":{"threshold":150,"source":{"trigger":"onBuffGain","buffIds":["sturdy"]}}}}</t>
        </is>
      </c>
    </row>
    <row r="761" ht="32" customHeight="1">
      <c r="A761" s="8" t="n">
        <v>400441</v>
      </c>
      <c r="B761" s="8" t="inlineStr">
        <is>
          <t>闪避承层蕴境筹</t>
        </is>
      </c>
      <c r="C761" s="8" t="inlineStr">
        <is>
          <t>占卜</t>
        </is>
      </c>
      <c r="D761" s="8" t="inlineStr">
        <is>
          <t>common</t>
        </is>
      </c>
      <c r="E761" s="8" t="inlineStr">
        <is>
          <t>wood</t>
        </is>
      </c>
      <c r="F761" s="8" t="n">
        <v>1</v>
      </c>
      <c r="G761" s="8" t="inlineStr">
        <is>
          <t>基础/顶层</t>
        </is>
      </c>
      <c r="H761" s="8" t="inlineStr"/>
      <c r="I761" s="9" t="inlineStr"/>
      <c r="J761" s="8" t="inlineStr"/>
      <c r="K761" s="8" t="inlineStr"/>
      <c r="L761" s="8" t="inlineStr"/>
      <c r="M761" s="8" t="inlineStr">
        <is>
          <t>条件触发</t>
        </is>
      </c>
      <c r="N761" s="8" t="inlineStr">
        <is>
          <t>triggered</t>
        </is>
      </c>
      <c r="O761" s="9" t="inlineStr">
        <is>
          <t>获得 150 层闪避后完成充能：境界突破成功时，闪避层数上限永久 +1；销毁此道具</t>
        </is>
      </c>
      <c r="P761" s="9" t="inlineStr">
        <is>
          <t>onBreakthrough；onBuffGain</t>
        </is>
      </c>
      <c r="Q761" s="9" t="inlineStr">
        <is>
          <t>increaseBuffStackCap</t>
        </is>
      </c>
      <c r="R761" s="9" t="inlineStr">
        <is>
          <t>{"kind":"triggered","label":"获得 150 层闪避后完成充能：境界突破成功时，闪避层数上限永久 +1；销毁此道具","triggeredEffect":{"trigger":"onBreakthrough","type":"increaseBuffStackCap","buffId":"dodge","delta":1,"support":"cultivationOnly","charge":{"threshold":150,"source":{"trigger":"onBuffGain","buffIds":["dodge"]}}}}</t>
        </is>
      </c>
    </row>
    <row r="762" ht="32" customHeight="1">
      <c r="A762" s="8" t="n">
        <v>400442</v>
      </c>
      <c r="B762" s="8" t="inlineStr">
        <is>
          <t>再生承层蕴境筹</t>
        </is>
      </c>
      <c r="C762" s="8" t="inlineStr">
        <is>
          <t>占卜</t>
        </is>
      </c>
      <c r="D762" s="8" t="inlineStr">
        <is>
          <t>common</t>
        </is>
      </c>
      <c r="E762" s="8" t="inlineStr">
        <is>
          <t>wood</t>
        </is>
      </c>
      <c r="F762" s="8" t="n">
        <v>1</v>
      </c>
      <c r="G762" s="8" t="inlineStr">
        <is>
          <t>基础/顶层</t>
        </is>
      </c>
      <c r="H762" s="8" t="inlineStr"/>
      <c r="I762" s="9" t="inlineStr"/>
      <c r="J762" s="8" t="inlineStr"/>
      <c r="K762" s="8" t="inlineStr"/>
      <c r="L762" s="8" t="inlineStr"/>
      <c r="M762" s="8" t="inlineStr">
        <is>
          <t>条件触发</t>
        </is>
      </c>
      <c r="N762" s="8" t="inlineStr">
        <is>
          <t>triggered</t>
        </is>
      </c>
      <c r="O762" s="9" t="inlineStr">
        <is>
          <t>获得 150 层再生后完成充能：境界突破成功时，再生层数上限永久 +1；销毁此道具</t>
        </is>
      </c>
      <c r="P762" s="9" t="inlineStr">
        <is>
          <t>onBreakthrough；onBuffGain</t>
        </is>
      </c>
      <c r="Q762" s="9" t="inlineStr">
        <is>
          <t>increaseBuffStackCap</t>
        </is>
      </c>
      <c r="R762" s="9" t="inlineStr">
        <is>
          <t>{"kind":"triggered","label":"获得 150 层再生后完成充能：境界突破成功时，再生层数上限永久 +1；销毁此道具","triggeredEffect":{"trigger":"onBreakthrough","type":"increaseBuffStackCap","buffId":"regeneration","delta":1,"support":"cultivationOnly","charge":{"threshold":150,"source":{"trigger":"onBuffGain","buffIds":["regeneration"]}}}}</t>
        </is>
      </c>
    </row>
    <row r="763" ht="32" customHeight="1">
      <c r="A763" s="8" t="n">
        <v>400443</v>
      </c>
      <c r="B763" s="8" t="inlineStr">
        <is>
          <t>引雷承层蕴境筹</t>
        </is>
      </c>
      <c r="C763" s="8" t="inlineStr">
        <is>
          <t>占卜</t>
        </is>
      </c>
      <c r="D763" s="8" t="inlineStr">
        <is>
          <t>common</t>
        </is>
      </c>
      <c r="E763" s="8" t="inlineStr">
        <is>
          <t>metal</t>
        </is>
      </c>
      <c r="F763" s="8" t="n">
        <v>1</v>
      </c>
      <c r="G763" s="8" t="inlineStr">
        <is>
          <t>基础/顶层</t>
        </is>
      </c>
      <c r="H763" s="8" t="inlineStr"/>
      <c r="I763" s="9" t="inlineStr"/>
      <c r="J763" s="8" t="inlineStr"/>
      <c r="K763" s="8" t="inlineStr"/>
      <c r="L763" s="8" t="inlineStr"/>
      <c r="M763" s="8" t="inlineStr">
        <is>
          <t>条件触发</t>
        </is>
      </c>
      <c r="N763" s="8" t="inlineStr">
        <is>
          <t>triggered</t>
        </is>
      </c>
      <c r="O763" s="9" t="inlineStr">
        <is>
          <t>获得 150 层引雷后完成充能：境界突破成功时，引雷层数上限永久 +1；销毁此道具</t>
        </is>
      </c>
      <c r="P763" s="9" t="inlineStr">
        <is>
          <t>onBreakthrough；onBuffGain</t>
        </is>
      </c>
      <c r="Q763" s="9" t="inlineStr">
        <is>
          <t>increaseBuffStackCap</t>
        </is>
      </c>
      <c r="R763" s="9" t="inlineStr">
        <is>
          <t>{"kind":"triggered","label":"获得 150 层引雷后完成充能：境界突破成功时，引雷层数上限永久 +1；销毁此道具","triggeredEffect":{"trigger":"onBreakthrough","type":"increaseBuffStackCap","buffId":"lightningCharge","delta":1,"support":"cultivationOnly","charge":{"threshold":150,"source":{"trigger":"onBuffGain","buffIds":["lightningCharge"]}}}}</t>
        </is>
      </c>
    </row>
    <row r="764" ht="32" customHeight="1">
      <c r="A764" s="8" t="n">
        <v>400447</v>
      </c>
      <c r="B764" s="8" t="inlineStr">
        <is>
          <t>回元蕴境筹</t>
        </is>
      </c>
      <c r="C764" s="8" t="inlineStr">
        <is>
          <t>占卜</t>
        </is>
      </c>
      <c r="D764" s="8" t="inlineStr">
        <is>
          <t>common</t>
        </is>
      </c>
      <c r="E764" s="8" t="inlineStr">
        <is>
          <t>wood</t>
        </is>
      </c>
      <c r="F764" s="8" t="n">
        <v>1</v>
      </c>
      <c r="G764" s="8" t="inlineStr">
        <is>
          <t>基础/顶层</t>
        </is>
      </c>
      <c r="H764" s="8" t="inlineStr"/>
      <c r="I764" s="9" t="inlineStr"/>
      <c r="J764" s="8" t="inlineStr"/>
      <c r="K764" s="8" t="inlineStr"/>
      <c r="L764" s="8" t="inlineStr"/>
      <c r="M764" s="8" t="inlineStr">
        <is>
          <t>条件触发</t>
        </is>
      </c>
      <c r="N764" s="8" t="inlineStr">
        <is>
          <t>triggered</t>
        </is>
      </c>
      <c r="O764" s="9" t="inlineStr">
        <is>
          <t>消耗 150 点法力后完成充能：境界突破成功时，法力上限永久 +2；销毁此道具</t>
        </is>
      </c>
      <c r="P764" s="9" t="inlineStr">
        <is>
          <t>onBreakthrough；onPrimaryStatConsumed</t>
        </is>
      </c>
      <c r="Q764" s="9" t="inlineStr">
        <is>
          <t>increasePrimaryStatMax</t>
        </is>
      </c>
      <c r="R764" s="9" t="inlineStr">
        <is>
          <t>{"kind":"triggered","label":"消耗 150 点法力后完成充能：境界突破成功时，法力上限永久 +2；销毁此道具","triggeredEffect":{"trigger":"onBreakthrough","type":"increasePrimaryStatMax","stat":"mana","delta":2,"support":"cultivationOnly","charge":{"threshold":150,"source":{"trigger":"onPrimaryStatConsumed","primaryStats":["mana"]}}}}</t>
        </is>
      </c>
    </row>
    <row r="765" ht="32" customHeight="1">
      <c r="A765" s="8" t="n">
        <v>400448</v>
      </c>
      <c r="B765" s="8" t="inlineStr">
        <is>
          <t>聚石蕴境筹</t>
        </is>
      </c>
      <c r="C765" s="8" t="inlineStr">
        <is>
          <t>占卜</t>
        </is>
      </c>
      <c r="D765" s="8" t="inlineStr">
        <is>
          <t>common</t>
        </is>
      </c>
      <c r="E765" s="8" t="inlineStr">
        <is>
          <t>earth</t>
        </is>
      </c>
      <c r="F765" s="8" t="n">
        <v>1</v>
      </c>
      <c r="G765" s="8" t="inlineStr">
        <is>
          <t>基础/顶层</t>
        </is>
      </c>
      <c r="H765" s="8" t="inlineStr"/>
      <c r="I765" s="9" t="inlineStr"/>
      <c r="J765" s="8" t="inlineStr"/>
      <c r="K765" s="8" t="inlineStr"/>
      <c r="L765" s="8" t="inlineStr"/>
      <c r="M765" s="8" t="inlineStr">
        <is>
          <t>条件触发</t>
        </is>
      </c>
      <c r="N765" s="8" t="inlineStr">
        <is>
          <t>triggered</t>
        </is>
      </c>
      <c r="O765" s="9" t="inlineStr">
        <is>
          <t>消耗 150 点法力后完成充能：境界突破成功时，法力上限永久 +3；销毁此道具</t>
        </is>
      </c>
      <c r="P765" s="9" t="inlineStr">
        <is>
          <t>onBreakthrough；onPrimaryStatConsumed</t>
        </is>
      </c>
      <c r="Q765" s="9" t="inlineStr">
        <is>
          <t>increasePrimaryStatMax</t>
        </is>
      </c>
      <c r="R765" s="9" t="inlineStr">
        <is>
          <t>{"kind":"triggered","label":"消耗 150 点法力后完成充能：境界突破成功时，法力上限永久 +3；销毁此道具","triggeredEffect":{"trigger":"onBreakthrough","type":"increasePrimaryStatMax","stat":"mana","delta":3,"support":"cultivationOnly","charge":{"threshold":150,"source":{"trigger":"onPrimaryStatConsumed","primaryStats":["mana"]}}}}</t>
        </is>
      </c>
    </row>
    <row r="766" ht="32" customHeight="1">
      <c r="A766" s="8" t="n">
        <v>400449</v>
      </c>
      <c r="B766" s="8" t="inlineStr">
        <is>
          <t>引缘蕴境筹</t>
        </is>
      </c>
      <c r="C766" s="8" t="inlineStr">
        <is>
          <t>占卜</t>
        </is>
      </c>
      <c r="D766" s="8" t="inlineStr">
        <is>
          <t>common</t>
        </is>
      </c>
      <c r="E766" s="8" t="inlineStr">
        <is>
          <t>none</t>
        </is>
      </c>
      <c r="F766" s="8" t="n">
        <v>1</v>
      </c>
      <c r="G766" s="8" t="inlineStr">
        <is>
          <t>基础/顶层</t>
        </is>
      </c>
      <c r="H766" s="8" t="inlineStr"/>
      <c r="I766" s="9" t="inlineStr"/>
      <c r="J766" s="8" t="inlineStr"/>
      <c r="K766" s="8" t="inlineStr"/>
      <c r="L766" s="8" t="inlineStr"/>
      <c r="M766" s="8" t="inlineStr">
        <is>
          <t>说明/执行器</t>
        </is>
      </c>
      <c r="N766" s="8" t="inlineStr">
        <is>
          <t>effectNote</t>
        </is>
      </c>
      <c r="O766" s="9" t="inlineStr">
        <is>
          <t>消耗 300 点气血、体力或法力后完成充能：境界突破成功时，气血、体力及法力上限永久 +1；销毁此道具</t>
        </is>
      </c>
      <c r="P766" s="9" t="inlineStr">
        <is>
          <t>onBreakthrough；onPrimaryStatConsumed</t>
        </is>
      </c>
      <c r="Q766" s="9" t="inlineStr">
        <is>
          <t>increasePrimaryStatMax</t>
        </is>
      </c>
      <c r="R766" s="9" t="inlineStr">
        <is>
          <t>{"kind":"effectNote","label":"消耗 300 点气血、体力或法力后完成充能：境界突破成功时，气血、体力及法力上限永久 +1；销毁此道具","executors":[{"trigger":"onBreakthrough","type":"increasePrimaryStatMax","stat":"health","delta":1,"support":"cultivationOnly","charge":{"threshold":300,"source":{"trigger":"onPrimaryStatConsumed","primaryStats":["health","stamina","mana"]}}},{"trigger":"onBreakthrough","type":"increasePrimaryStatMax","stat":"stamina","delta":1,"support":"cultivationOnly","charge":{"threshold":300,"source":{"trigger":"onPrimaryStatConsumed","primaryStats":["health","stamina","mana"]}}},{"trigger":"onBreakthrough","type":"increasePrimaryStatMax","stat":"mana","delta":1,"support":"cultivationOnly","charge":{"threshold":300,"source":{"trigger":"onPrimaryStatConsumed","primaryStats":["health","stamina","mana"]}}}]}</t>
        </is>
      </c>
    </row>
    <row r="767" ht="32" customHeight="1">
      <c r="A767" s="8" t="n">
        <v>400508</v>
      </c>
      <c r="B767" s="8" t="inlineStr">
        <is>
          <t>霜息灯</t>
        </is>
      </c>
      <c r="C767" s="8" t="inlineStr">
        <is>
          <t>法器</t>
        </is>
      </c>
      <c r="D767" s="8" t="inlineStr">
        <is>
          <t>common</t>
        </is>
      </c>
      <c r="E767" s="8" t="inlineStr">
        <is>
          <t>ice</t>
        </is>
      </c>
      <c r="F767" s="8" t="n">
        <v>1</v>
      </c>
      <c r="G767" s="8" t="inlineStr">
        <is>
          <t>基础/顶层</t>
        </is>
      </c>
      <c r="H767" s="8" t="inlineStr"/>
      <c r="I767" s="9" t="inlineStr"/>
      <c r="J767" s="8" t="inlineStr"/>
      <c r="K767" s="8" t="inlineStr"/>
      <c r="L767" s="8" t="inlineStr"/>
      <c r="M767" s="8" t="inlineStr">
        <is>
          <t>周期触发</t>
        </is>
      </c>
      <c r="N767" s="8" t="inlineStr">
        <is>
          <t>periodicPulse</t>
        </is>
      </c>
      <c r="O767" s="9" t="inlineStr">
        <is>
          <t>将 4 点法力转化为 6 层寒冷；将 4 点法力转化为 8 层寒冷；将 4 点法力转化为 10 层寒冷；将 4 点法力转化为 12 层寒冷</t>
        </is>
      </c>
      <c r="P767" s="9" t="inlineStr"/>
      <c r="Q767" s="9" t="inlineStr"/>
      <c r="R767" s="9" t="inlineStr">
        <is>
          <t>{"kind":"periodicPulse","label":"将 4 点法力转化为 6 层寒冷","periodicPulse":{"intervalSec":12,"label":"将 4 点法力转化为 6 层寒冷","primaryStatCosts":[{"stat":"mana","amount":4}],"buffGains":[{"buffId":"cold","count":6}]},"starOverrides":{"1":{"label":"将 4 点法力转化为 8 层寒冷","periodicPulse":{"buffGains":[{"count":8}]}},"2":{"label":"将 4 点法力转化为 10 层寒冷","periodicPulse":{"buffGains":[{"count":10}]}},"3":{"label":"将 4 点法力转化为 12 层寒冷","periodicPulse":{"buffGains":[{"count":12}]}}}}</t>
        </is>
      </c>
    </row>
    <row r="768" ht="32" customHeight="1">
      <c r="A768" s="8" t="n">
        <v>400509</v>
      </c>
      <c r="B768" s="8" t="inlineStr">
        <is>
          <t>冰纹水盏</t>
        </is>
      </c>
      <c r="C768" s="8" t="inlineStr">
        <is>
          <t>法器</t>
        </is>
      </c>
      <c r="D768" s="8" t="inlineStr">
        <is>
          <t>common</t>
        </is>
      </c>
      <c r="E768" s="8" t="inlineStr">
        <is>
          <t>ice</t>
        </is>
      </c>
      <c r="F768" s="8" t="n">
        <v>1</v>
      </c>
      <c r="G768" s="8" t="inlineStr">
        <is>
          <t>基础/顶层</t>
        </is>
      </c>
      <c r="H768" s="8" t="inlineStr"/>
      <c r="I768" s="9" t="inlineStr"/>
      <c r="J768" s="8" t="inlineStr"/>
      <c r="K768" s="8" t="inlineStr"/>
      <c r="L768" s="8" t="inlineStr"/>
      <c r="M768" s="8" t="inlineStr">
        <is>
          <t>周期触发</t>
        </is>
      </c>
      <c r="N768" s="8" t="inlineStr">
        <is>
          <t>periodicPulse</t>
        </is>
      </c>
      <c r="O768" s="9" t="inlineStr">
        <is>
          <t>开局：与水属性道具相邻时，获得 5 层寒冷；开局：与水属性道具相邻时，获得 6 层寒冷；开局：与水属性道具相邻时，获得 7 层寒冷；开局：与水属性道具相邻时，获得 8 层寒冷</t>
        </is>
      </c>
      <c r="P768" s="9" t="inlineStr"/>
      <c r="Q768" s="9" t="inlineStr"/>
      <c r="R768" s="9" t="inlineStr">
        <is>
          <t>{"kind":"periodicPulse","label":"开局：与水属性道具相邻时，获得 5 层寒冷","periodicPulse":{"startOnly":true,"label":"开局：与水属性道具相邻时，获得 5 层寒冷","buffGains":[{"buffId":"cold","count":5}],"activationRequirements":{"neighborCounts":[{"minCount":1,"elements":["water"]}]}},"starOverrides":{"1":{"label":"开局：与水属性道具相邻时，获得 6 层寒冷","periodicPulse":{"buffGains":[{"count":6}]}},"2":{"label":"开局：与水属性道具相邻时，获得 7 层寒冷","periodicPulse":{"buffGains":[{"count":7}]}},"3":{"label":"开局：与水属性道具相邻时，获得 8 层寒冷","periodicPulse":{"buffGains":[{"count":8}]}}}}</t>
        </is>
      </c>
    </row>
    <row r="769" ht="32" customHeight="1">
      <c r="A769" s="8" t="n">
        <v>400510</v>
      </c>
      <c r="B769" s="8" t="inlineStr">
        <is>
          <t>寒髓匣</t>
        </is>
      </c>
      <c r="C769" s="8" t="inlineStr">
        <is>
          <t>法器</t>
        </is>
      </c>
      <c r="D769" s="8" t="inlineStr">
        <is>
          <t>common</t>
        </is>
      </c>
      <c r="E769" s="8" t="inlineStr">
        <is>
          <t>ice</t>
        </is>
      </c>
      <c r="F769" s="8" t="n">
        <v>1</v>
      </c>
      <c r="G769" s="8" t="inlineStr">
        <is>
          <t>基础/顶层</t>
        </is>
      </c>
      <c r="H769" s="8" t="inlineStr"/>
      <c r="I769" s="9" t="inlineStr"/>
      <c r="J769" s="8" t="inlineStr"/>
      <c r="K769" s="8" t="inlineStr"/>
      <c r="L769" s="8" t="inlineStr"/>
      <c r="M769" s="8" t="inlineStr">
        <is>
          <t>被动效果</t>
        </is>
      </c>
      <c r="N769" s="8" t="inlineStr">
        <is>
          <t>passive</t>
        </is>
      </c>
      <c r="O769" s="9" t="inlineStr">
        <is>
          <t>寒冷层数上限 +6；寒冷层数上限 +8；寒冷层数上限 +10；寒冷层数上限 +12</t>
        </is>
      </c>
      <c r="P769" s="9" t="inlineStr"/>
      <c r="Q769" s="9" t="inlineStr">
        <is>
          <t>buffStackCapBonus</t>
        </is>
      </c>
      <c r="R769" s="9" t="inlineStr">
        <is>
          <t>{"kind":"passive","label":"寒冷层数上限 +6","passiveEffect":{"type":"buffStackCapBonus","buffId":"cold","value":6,"label":"寒冷层数上限 +6"},"starOverrides":{"1":{"label":"寒冷层数上限 +8","passiveEffect":{"value":8,"label":"寒冷层数上限 +8"}},"2":{"label":"寒冷层数上限 +10","passiveEffect":{"value":10,"label":"寒冷层数上限 +10"}},"3":{"label":"寒冷层数上限 +12","passiveEffect":{"value":12,"label":"寒冷层数上限 +12"}}}}</t>
        </is>
      </c>
    </row>
    <row r="770" ht="32" customHeight="1">
      <c r="A770" s="8" t="n">
        <v>400510</v>
      </c>
      <c r="B770" s="8" t="inlineStr">
        <is>
          <t>寒髓匣</t>
        </is>
      </c>
      <c r="C770" s="8" t="inlineStr">
        <is>
          <t>法器</t>
        </is>
      </c>
      <c r="D770" s="8" t="inlineStr">
        <is>
          <t>common</t>
        </is>
      </c>
      <c r="E770" s="8" t="inlineStr">
        <is>
          <t>ice</t>
        </is>
      </c>
      <c r="F770" s="8" t="n">
        <v>2</v>
      </c>
      <c r="G770" s="8" t="inlineStr">
        <is>
          <t>基础/顶层</t>
        </is>
      </c>
      <c r="H770" s="8" t="inlineStr"/>
      <c r="I770" s="9" t="inlineStr"/>
      <c r="J770" s="8" t="inlineStr"/>
      <c r="K770" s="8" t="inlineStr"/>
      <c r="L770" s="8" t="inlineStr"/>
      <c r="M770" s="8" t="inlineStr">
        <is>
          <t>被动效果</t>
        </is>
      </c>
      <c r="N770" s="8" t="inlineStr">
        <is>
          <t>passive</t>
        </is>
      </c>
      <c r="O770" s="9" t="inlineStr">
        <is>
          <t>每有 1 件相邻冰属性道具，寒冷层数上限 +2（最多计算 3 件）</t>
        </is>
      </c>
      <c r="P770" s="9" t="inlineStr"/>
      <c r="Q770" s="9" t="inlineStr">
        <is>
          <t>buffStackCapBonus</t>
        </is>
      </c>
      <c r="R770" s="9" t="inlineStr">
        <is>
          <t>{"kind":"passive","label":"每有 1 件相邻冰属性道具，寒冷层数上限 +2（最多计算 3 件）","passiveEffect":{"type":"buffStackCapBonus","buffId":"cold","value":2,"scaling":{"mode":"count","source":"adjacentItems","elements":["ice"],"maxCount":3},"label":"每有 1 件相邻冰属性道具，寒冷层数上限 +2（最多计算 3 件）"}}</t>
        </is>
      </c>
    </row>
    <row r="771" ht="32" customHeight="1">
      <c r="A771" s="8" t="n">
        <v>400511</v>
      </c>
      <c r="B771" s="8" t="inlineStr">
        <is>
          <t>凝露冰盘</t>
        </is>
      </c>
      <c r="C771" s="8" t="inlineStr">
        <is>
          <t>法器</t>
        </is>
      </c>
      <c r="D771" s="8" t="inlineStr">
        <is>
          <t>common</t>
        </is>
      </c>
      <c r="E771" s="8" t="inlineStr">
        <is>
          <t>ice</t>
        </is>
      </c>
      <c r="F771" s="8" t="n">
        <v>1</v>
      </c>
      <c r="G771" s="8" t="inlineStr">
        <is>
          <t>基础/顶层</t>
        </is>
      </c>
      <c r="H771" s="8" t="inlineStr"/>
      <c r="I771" s="9" t="inlineStr"/>
      <c r="J771" s="8" t="inlineStr"/>
      <c r="K771" s="8" t="inlineStr"/>
      <c r="L771" s="8" t="inlineStr"/>
      <c r="M771" s="8" t="inlineStr">
        <is>
          <t>周期触发</t>
        </is>
      </c>
      <c r="N771" s="8" t="inlineStr">
        <is>
          <t>periodicPulse</t>
        </is>
      </c>
      <c r="O771" s="9" t="inlineStr">
        <is>
          <t>将 3 层露水转化为 6 层寒冷；将 3 层露水转化为 9 层寒冷；将 3 层露水转化为 12 层寒冷；将 3 层露水转化为 15 层寒冷</t>
        </is>
      </c>
      <c r="P771" s="9" t="inlineStr">
        <is>
          <t>onPeriodicPulse</t>
        </is>
      </c>
      <c r="Q771" s="9" t="inlineStr">
        <is>
          <t>consumeBuffStacks</t>
        </is>
      </c>
      <c r="R771" s="9" t="inlineStr">
        <is>
          <t>{"kind":"periodicPulse","label":"将 3 层露水转化为 6 层寒冷","periodicPulse":{"intervalSec":12,"label":"将 3 层露水转化为 6 层寒冷"},"executors":[{"trigger":"onPeriodicPulse","type":"consumeBuffStacks","sourceBuffId":"dew","requiredStacks":3,"maxStacks":3,"selfBuffGainPerStack":{"buffId":"cold","countPerStack":2},"label":"将 3 层露水转化为 6 层寒冷"}],"starOverrides":{"1":{"label":"将 3 层露水转化为 9 层寒冷","executors":[{"selfBuffGainPerStack":{"countPerStack":3},"label":"将 3 层露水转化为 9 层寒冷"}]},"2":{"label":"将 3 层露水转化为 12 层寒冷","executors":[{"selfBuffGainPerStack":{"countPerStack":4},"label":"将 3 层露水转化为 12 层寒冷"}]},"3":{"label":"将 3 层露水转化为 15 层寒冷","executors":[{"selfBuffGainPerStack":{"countPerStack":5},"label":"将 3 层露水转化为 15 层寒冷"}]}}}</t>
        </is>
      </c>
    </row>
    <row r="772" ht="32" customHeight="1">
      <c r="A772" s="8" t="n">
        <v>400512</v>
      </c>
      <c r="B772" s="8" t="inlineStr">
        <is>
          <t>霜渡镜</t>
        </is>
      </c>
      <c r="C772" s="8" t="inlineStr">
        <is>
          <t>法器</t>
        </is>
      </c>
      <c r="D772" s="8" t="inlineStr">
        <is>
          <t>common</t>
        </is>
      </c>
      <c r="E772" s="8" t="inlineStr">
        <is>
          <t>ice</t>
        </is>
      </c>
      <c r="F772" s="8" t="n">
        <v>1</v>
      </c>
      <c r="G772" s="8" t="inlineStr">
        <is>
          <t>基础/顶层</t>
        </is>
      </c>
      <c r="H772" s="8" t="inlineStr"/>
      <c r="I772" s="9" t="inlineStr"/>
      <c r="J772" s="8" t="inlineStr"/>
      <c r="K772" s="8" t="inlineStr"/>
      <c r="L772" s="8" t="inlineStr"/>
      <c r="M772" s="8" t="inlineStr">
        <is>
          <t>周期触发</t>
        </is>
      </c>
      <c r="N772" s="8" t="inlineStr">
        <is>
          <t>periodicPulse</t>
        </is>
      </c>
      <c r="O772" s="9" t="inlineStr">
        <is>
          <t>消耗 3 层寒冷；对敌方施加 6 层冰霜；消耗 3 层寒冷；对敌方施加 9 层冰霜；消耗 3 层寒冷；对敌方施加 12 层冰霜；消耗 3 层寒冷；对敌方施加 15 层冰霜</t>
        </is>
      </c>
      <c r="P772" s="9" t="inlineStr">
        <is>
          <t>onPeriodicPulse</t>
        </is>
      </c>
      <c r="Q772" s="9" t="inlineStr">
        <is>
          <t>consumeBuffStacks</t>
        </is>
      </c>
      <c r="R772" s="9" t="inlineStr">
        <is>
          <t>{"kind":"periodicPulse","label":"消耗 3 层寒冷；&lt;battle&gt;对敌方施加 6 层冰霜&lt;/battle&gt;","periodicPulse":{"intervalSec":12,"label":"消耗 3 层寒冷；&lt;battle&gt;对敌方施加 6 层冰霜&lt;/battle&gt;"},"executors":[{"trigger":"onPeriodicPulse","type":"consumeBuffStacks","sourceBuffId":"cold","requiredStacks":3,"maxStacks":3,"targetBuffGainPerStack":{"buffId":"frost","countPerStack":2},"support":"common","label":"消耗 3 层寒冷；&lt;battle&gt;对敌方施加 6 层冰霜&lt;/battle&gt;"}],"starOverrides":{"1":{"label":"消耗 3 层寒冷；&lt;battle&gt;对敌方施加 9 层冰霜&lt;/battle&gt;","executors":[{"targetBuffGainPerStack":{"countPerStack":3}}]},"2":{"label":"消耗 3 层寒冷；&lt;battle&gt;对敌方施加 12 层冰霜&lt;/battle&gt;","executors":[{"targetBuffGainPerStack":{"countPerStack":4}}]},"3":{"label":"消耗 3 层寒冷；&lt;battle&gt;对敌方施加 15 层冰霜&lt;/battle&gt;","executors":[{"targetBuffGainPerStack":{"countPerStack":5}}]}}}</t>
        </is>
      </c>
    </row>
    <row r="773" ht="32" customHeight="1">
      <c r="A773" s="8" t="n">
        <v>400513</v>
      </c>
      <c r="B773" s="8" t="inlineStr">
        <is>
          <t>霜鸣玉磬</t>
        </is>
      </c>
      <c r="C773" s="8" t="inlineStr">
        <is>
          <t>法器</t>
        </is>
      </c>
      <c r="D773" s="8" t="inlineStr">
        <is>
          <t>common</t>
        </is>
      </c>
      <c r="E773" s="8" t="inlineStr">
        <is>
          <t>ice</t>
        </is>
      </c>
      <c r="F773" s="8" t="n">
        <v>1</v>
      </c>
      <c r="G773" s="8" t="inlineStr">
        <is>
          <t>基础/顶层</t>
        </is>
      </c>
      <c r="H773" s="8" t="inlineStr"/>
      <c r="I773" s="9" t="inlineStr"/>
      <c r="J773" s="8" t="inlineStr"/>
      <c r="K773" s="8" t="inlineStr"/>
      <c r="L773" s="8" t="inlineStr"/>
      <c r="M773" s="8" t="inlineStr">
        <is>
          <t>条件触发</t>
        </is>
      </c>
      <c r="N773" s="8" t="inlineStr">
        <is>
          <t>triggered</t>
        </is>
      </c>
      <c r="O773" s="9" t="inlineStr">
        <is>
          <t>上方相邻冰属性道具使我方获得寒冷时，恢复 1 点法力；上方相邻冰属性道具使我方获得寒冷时，恢复 2 点法力；上方相邻冰属性道具使我方获得寒冷时，恢复 3 点法力；上方相邻冰属性道具使我方获得寒冷时，恢复 4 点法力</t>
        </is>
      </c>
      <c r="P773" s="9" t="inlineStr">
        <is>
          <t>onBuffGain</t>
        </is>
      </c>
      <c r="Q773" s="9" t="inlineStr">
        <is>
          <t>modifyPlayerPrimaryStat；directional-adjacent</t>
        </is>
      </c>
      <c r="R773" s="9" t="inlineStr">
        <is>
          <t>{"kind":"triggered","label":"上方相邻冰属性道具使我方获得寒冷时，恢复 1 点法力","triggeredEffect":{"trigger":"onBuffGain","type":"modifyPlayerPrimaryStat","stat":"mana","delta":1,"eventBuffId":"cold","eventSource":{"target":{"type":"directional-adjacent","direction":"up"},"filter":{"elements":["ice"]}}},"starOverrides":{"1":{"label":"上方相邻冰属性道具使我方获得寒冷时，恢复 2 点法力","triggeredEffect":{"delta":2}},"2":{"label":"上方相邻冰属性道具使我方获得寒冷时，恢复 3 点法力","triggeredEffect":{"delta":3}},"3":{"label":"上方相邻冰属性道具使我方获得寒冷时，恢复 4 点法力","triggeredEffect":{"delta":4}}}}</t>
        </is>
      </c>
    </row>
    <row r="774" ht="32" customHeight="1">
      <c r="A774" s="8" t="n">
        <v>400514</v>
      </c>
      <c r="B774" s="8" t="inlineStr">
        <is>
          <t>雪幕护心甲</t>
        </is>
      </c>
      <c r="C774" s="8" t="inlineStr">
        <is>
          <t>法器</t>
        </is>
      </c>
      <c r="D774" s="8" t="inlineStr">
        <is>
          <t>common</t>
        </is>
      </c>
      <c r="E774" s="8" t="inlineStr">
        <is>
          <t>ice</t>
        </is>
      </c>
      <c r="F774" s="8" t="n">
        <v>1</v>
      </c>
      <c r="G774" s="8" t="inlineStr">
        <is>
          <t>基础/顶层</t>
        </is>
      </c>
      <c r="H774" s="8" t="inlineStr"/>
      <c r="I774" s="9" t="inlineStr"/>
      <c r="J774" s="8" t="inlineStr"/>
      <c r="K774" s="8" t="inlineStr"/>
      <c r="L774" s="8" t="inlineStr"/>
      <c r="M774" s="8" t="inlineStr">
        <is>
          <t>被动效果</t>
        </is>
      </c>
      <c r="N774" s="8" t="inlineStr">
        <is>
          <t>passive</t>
        </is>
      </c>
      <c r="O774" s="9" t="inlineStr">
        <is>
          <t>可使用寒冷抵挡伤害，每层抵挡1点伤害，耐久归零后本场失效。；可使用寒冷抵挡伤害，每层抵挡2点伤害，耐久归零后本场失效。；可使用寒冷抵挡伤害，每层抵挡3点伤害，耐久归零后本场失效。；可使用寒冷抵挡伤害，每层抵挡4点伤害，耐久归零后本场失效。</t>
        </is>
      </c>
      <c r="P774" s="9" t="inlineStr"/>
      <c r="Q774" s="9" t="inlineStr">
        <is>
          <t>incomingHealthDamageItemDurability</t>
        </is>
      </c>
      <c r="R774" s="9" t="inlineStr">
        <is>
          <t>{"kind":"passive","label":"&lt;battle&gt;可使用寒冷抵挡伤害，每层抵挡1点伤害，耐久归零后本场失效。&lt;/battle&gt;","passiveEffect":{"type":"incomingHealthDamageItemDurability","maxDurability":20,"depletionBehavior":"disable","durabilityLifecycle":"battleReset","support":"battleOnly","buffId":"cold","amountPerStack":1,"label":"&lt;battle&gt;可使用寒冷抵挡伤害，每层抵挡1点伤害，耐久归零后本场失效。&lt;/battle&gt;"},"starOverrides":{"1":{"label":"&lt;battle&gt;可使用寒冷抵挡伤害，每层抵挡2点伤害，耐久归零后本场失效。&lt;/battle&gt;","passiveEffect":{"amountPerStack":2,"label":"&lt;battle&gt;可使用寒冷抵挡伤害，每层抵挡2点伤害，耐久归零后本场失效。&lt;/battle&gt;"}},"2":{"label":"&lt;battle&gt;可使用寒冷抵挡伤害，每层抵挡3点伤害，耐久归零后本场失效。&lt;/battle&gt;","passiveEffect":{"amountPerStack":3,"label":"&lt;battle&gt;可使用寒冷抵挡伤害，每层抵挡3点伤害，耐久归零后本场失效。&lt;/battle&gt;"}},"3":{"label":"&lt;battle&gt;可使用寒冷抵挡伤害，每层抵挡4点伤害，耐久归零后本场失效。&lt;/battle&gt;","passiveEffect":{"amountPerStack":4,"label":"&lt;battle&gt;可使用寒冷抵挡伤害，每层抵挡4点伤害，耐久归零后本场失效。&lt;/battle&gt;"}}}}</t>
        </is>
      </c>
    </row>
    <row r="775" ht="32" customHeight="1">
      <c r="A775" s="8" t="n">
        <v>400515</v>
      </c>
      <c r="B775" s="8" t="inlineStr">
        <is>
          <t>霜牙短刃</t>
        </is>
      </c>
      <c r="C775" s="8" t="inlineStr">
        <is>
          <t>法器</t>
        </is>
      </c>
      <c r="D775" s="8" t="inlineStr">
        <is>
          <t>common</t>
        </is>
      </c>
      <c r="E775" s="8" t="inlineStr">
        <is>
          <t>ice</t>
        </is>
      </c>
      <c r="F775" s="8" t="n">
        <v>1</v>
      </c>
      <c r="G775" s="8" t="inlineStr">
        <is>
          <t>基础/顶层</t>
        </is>
      </c>
      <c r="H775" s="8" t="inlineStr"/>
      <c r="I775" s="9" t="inlineStr"/>
      <c r="J775" s="8" t="inlineStr"/>
      <c r="K775" s="8" t="inlineStr"/>
      <c r="L775" s="8" t="inlineStr"/>
      <c r="M775" s="8" t="inlineStr">
        <is>
          <t>周期触发</t>
        </is>
      </c>
      <c r="N775" s="8" t="inlineStr">
        <is>
          <t>periodicPulse</t>
        </is>
      </c>
      <c r="O775" s="9" t="inlineStr">
        <is>
          <t>消耗 2 层寒冷；对敌方造成 8 点伤害；消耗 2 层寒冷；对敌方造成 10 点伤害；消耗 2 层寒冷；对敌方造成 12 点伤害；消耗 2 层寒冷；对敌方造成 16 点伤害</t>
        </is>
      </c>
      <c r="P775" s="9" t="inlineStr">
        <is>
          <t>onPeriodicPulse</t>
        </is>
      </c>
      <c r="Q775" s="9" t="inlineStr">
        <is>
          <t>consumeBuffStacks</t>
        </is>
      </c>
      <c r="R775" s="9" t="inlineStr">
        <is>
          <t>{"kind":"periodicPulse","label":"消耗 2 层寒冷；&lt;battle&gt;对敌方造成 8 点伤害&lt;/battle&gt;","periodicPulse":{"intervalSec":8,"label":"消耗 2 层寒冷；&lt;battle&gt;对敌方造成 8 点伤害&lt;/battle&gt;"},"executors":[{"trigger":"onPeriodicPulse","type":"consumeBuffStacks","sourceBuffId":"cold","requiredStacks":2,"maxStacks":2,"battleDamageHealthPerStack":4,"support":"common","label":"消耗 2 层寒冷；&lt;battle&gt;对敌方造成 8 点伤害&lt;/battle&gt;"}],"starOverrides":{"1":{"label":"消耗 2 层寒冷；&lt;battle&gt;对敌方造成 10 点伤害&lt;/battle&gt;","executors":[{"battleDamageHealthPerStack":5,"label":"消耗 2 层寒冷；&lt;battle&gt;对敌方造成 10 点伤害&lt;/battle&gt;"}]},"2":{"label":"消耗 2 层寒冷；&lt;battle&gt;对敌方造成 12 点伤害&lt;/battle&gt;","executors":[{"battleDamageHealthPerStack":6,"label":"消耗 2 层寒冷；&lt;battle&gt;对敌方造成 12 点伤害&lt;/battle&gt;"}]},"3":{"label":"消耗 2 层寒冷；&lt;battle&gt;对敌方造成 16 点伤害&lt;/battle&gt;","executors":[{"battleDamageHealthPerStack":8,"label":"消耗 2 层寒冷；&lt;battle&gt;对敌方造成 16 点伤害&lt;/battle&gt;"}]}}}</t>
        </is>
      </c>
    </row>
    <row r="776" ht="32" customHeight="1">
      <c r="A776" s="8" t="n">
        <v>400516</v>
      </c>
      <c r="B776" s="8" t="inlineStr">
        <is>
          <t>碎霜铜锤</t>
        </is>
      </c>
      <c r="C776" s="8" t="inlineStr">
        <is>
          <t>法器</t>
        </is>
      </c>
      <c r="D776" s="8" t="inlineStr">
        <is>
          <t>common</t>
        </is>
      </c>
      <c r="E776" s="8" t="inlineStr">
        <is>
          <t>ice</t>
        </is>
      </c>
      <c r="F776" s="8" t="n">
        <v>1</v>
      </c>
      <c r="G776" s="8" t="inlineStr">
        <is>
          <t>基础/顶层</t>
        </is>
      </c>
      <c r="H776" s="8" t="inlineStr"/>
      <c r="I776" s="9" t="inlineStr"/>
      <c r="J776" s="8" t="inlineStr"/>
      <c r="K776" s="8" t="inlineStr"/>
      <c r="L776" s="8" t="inlineStr"/>
      <c r="M776" s="8" t="inlineStr">
        <is>
          <t>周期触发</t>
        </is>
      </c>
      <c r="N776" s="8" t="inlineStr">
        <is>
          <t>periodicPulse</t>
        </is>
      </c>
      <c r="O776" s="9" t="inlineStr">
        <is>
          <t>消耗敌方 4 层冰霜，对敌方造成 12 点伤害；消耗敌方 4 层冰霜，对敌方造成 16 点伤害；消耗敌方 4 层冰霜，对敌方造成 20 点伤害；消耗敌方 4 层冰霜，对敌方造成 24 点伤害</t>
        </is>
      </c>
      <c r="P776" s="9" t="inlineStr">
        <is>
          <t>onPeriodicPulse</t>
        </is>
      </c>
      <c r="Q776" s="9" t="inlineStr">
        <is>
          <t>consumeBuffStacks</t>
        </is>
      </c>
      <c r="R776" s="9" t="inlineStr">
        <is>
          <t>{"kind":"periodicPulse","label":"&lt;battle&gt;消耗敌方 4 层冰霜，对敌方造成 12 点伤害&lt;/battle&gt;","periodicPulse":{"intervalSec":10,"label":"&lt;battle&gt;消耗敌方 4 层冰霜，对敌方造成 12 点伤害&lt;/battle&gt;"},"executors":[{"trigger":"onPeriodicPulse","type":"consumeBuffStacks","sourceBuffId":"frost","consumeTargetActor":"enemy","requiredStacks":4,"maxStacks":4,"battleDamageHealthPerStack":3,"support":"battleOnly","label":"&lt;battle&gt;消耗敌方 4 层冰霜，对敌方造成 12 点伤害&lt;/battle&gt;"}],"starOverrides":{"1":{"label":"&lt;battle&gt;消耗敌方 4 层冰霜，对敌方造成 16 点伤害&lt;/battle&gt;","executors":[{"battleDamageHealthPerStack":4,"label":"&lt;battle&gt;消耗敌方 4 层冰霜，对敌方造成 16 点伤害&lt;/battle&gt;"}]},"2":{"label":"&lt;battle&gt;消耗敌方 4 层冰霜，对敌方造成 20 点伤害&lt;/battle&gt;","executors":[{"battleDamageHealthPerStack":5,"label":"&lt;battle&gt;消耗敌方 4 层冰霜，对敌方造成 20 点伤害&lt;/battle&gt;"}]},"3":{"label":"&lt;battle&gt;消耗敌方 4 层冰霜，对敌方造成 24 点伤害&lt;/battle&gt;","executors":[{"battleDamageHealthPerStack":6,"label":"&lt;battle&gt;消耗敌方 4 层冰霜，对敌方造成 24 点伤害&lt;/battle&gt;"}]}}}</t>
        </is>
      </c>
    </row>
    <row r="777" ht="32" customHeight="1">
      <c r="A777" s="8" t="n">
        <v>400517</v>
      </c>
      <c r="B777" s="8" t="inlineStr">
        <is>
          <t>玄冰莲台</t>
        </is>
      </c>
      <c r="C777" s="8" t="inlineStr">
        <is>
          <t>法器</t>
        </is>
      </c>
      <c r="D777" s="8" t="inlineStr">
        <is>
          <t>spirit</t>
        </is>
      </c>
      <c r="E777" s="8" t="inlineStr">
        <is>
          <t>ice</t>
        </is>
      </c>
      <c r="F777" s="8" t="n">
        <v>1</v>
      </c>
      <c r="G777" s="8" t="inlineStr">
        <is>
          <t>基础/顶层</t>
        </is>
      </c>
      <c r="H777" s="8" t="inlineStr"/>
      <c r="I777" s="9" t="inlineStr"/>
      <c r="J777" s="8" t="inlineStr"/>
      <c r="K777" s="8" t="inlineStr"/>
      <c r="L777" s="8" t="inlineStr"/>
      <c r="M777" s="8" t="inlineStr">
        <is>
          <t>周期触发</t>
        </is>
      </c>
      <c r="N777" s="8" t="inlineStr">
        <is>
          <t>periodicPulse</t>
        </is>
      </c>
      <c r="O777" s="9" t="inlineStr">
        <is>
          <t>将 50 点法力转化为 150 层寒冷；将 50 点法力转化为 180 层寒冷；将 50 点法力转化为 210 层寒冷；将 50 点法力转化为 250 层寒冷</t>
        </is>
      </c>
      <c r="P777" s="9" t="inlineStr"/>
      <c r="Q777" s="9" t="inlineStr"/>
      <c r="R777" s="9" t="inlineStr">
        <is>
          <t>{"kind":"periodicPulse","label":"将 50 点法力转化为 150 层寒冷","periodicPulse":{"intervalSec":18,"label":"将 50 点法力转化为 150 层寒冷","primaryStatCosts":[{"stat":"mana","amount":50}],"buffGains":[{"buffId":"cold","count":150}]},"starOverrides":{"1":{"label":"将 50 点法力转化为 180 层寒冷","periodicPulse":{"buffGains":[{"count":180}]}},"2":{"label":"将 50 点法力转化为 210 层寒冷","periodicPulse":{"buffGains":[{"count":210}]}},"3":{"label":"将 50 点法力转化为 250 层寒冷","periodicPulse":{"buffGains":[{"count":250}]}}}}</t>
        </is>
      </c>
    </row>
    <row r="778" ht="32" customHeight="1">
      <c r="A778" s="8" t="n">
        <v>400518</v>
      </c>
      <c r="B778" s="8" t="inlineStr">
        <is>
          <t>太阴寒匣</t>
        </is>
      </c>
      <c r="C778" s="8" t="inlineStr">
        <is>
          <t>法器</t>
        </is>
      </c>
      <c r="D778" s="8" t="inlineStr">
        <is>
          <t>spirit</t>
        </is>
      </c>
      <c r="E778" s="8" t="inlineStr">
        <is>
          <t>ice</t>
        </is>
      </c>
      <c r="F778" s="8" t="n">
        <v>1</v>
      </c>
      <c r="G778" s="8" t="inlineStr">
        <is>
          <t>基础/顶层</t>
        </is>
      </c>
      <c r="H778" s="8" t="inlineStr"/>
      <c r="I778" s="9" t="inlineStr"/>
      <c r="J778" s="8" t="inlineStr"/>
      <c r="K778" s="8" t="inlineStr"/>
      <c r="L778" s="8" t="inlineStr"/>
      <c r="M778" s="8" t="inlineStr">
        <is>
          <t>被动效果</t>
        </is>
      </c>
      <c r="N778" s="8" t="inlineStr">
        <is>
          <t>passive</t>
        </is>
      </c>
      <c r="O778" s="9" t="inlineStr">
        <is>
          <t>寒冷层数上限 +50；寒冷层数上限 +60；寒冷层数上限 +75；寒冷层数上限 +90</t>
        </is>
      </c>
      <c r="P778" s="9" t="inlineStr"/>
      <c r="Q778" s="9" t="inlineStr">
        <is>
          <t>buffStackCapBonus</t>
        </is>
      </c>
      <c r="R778" s="9" t="inlineStr">
        <is>
          <t>{"kind":"passive","label":"寒冷层数上限 +50","passiveEffect":{"type":"buffStackCapBonus","buffId":"cold","value":50,"label":"寒冷层数上限 +50"},"starOverrides":{"1":{"label":"寒冷层数上限 +60","passiveEffect":{"value":60,"label":"寒冷层数上限 +60"}},"2":{"label":"寒冷层数上限 +75","passiveEffect":{"value":75,"label":"寒冷层数上限 +75"}},"3":{"label":"寒冷层数上限 +90","passiveEffect":{"value":90,"label":"寒冷层数上限 +90"}}}}</t>
        </is>
      </c>
    </row>
    <row r="779" ht="32" customHeight="1">
      <c r="A779" s="8" t="n">
        <v>400518</v>
      </c>
      <c r="B779" s="8" t="inlineStr">
        <is>
          <t>太阴寒匣</t>
        </is>
      </c>
      <c r="C779" s="8" t="inlineStr">
        <is>
          <t>法器</t>
        </is>
      </c>
      <c r="D779" s="8" t="inlineStr">
        <is>
          <t>spirit</t>
        </is>
      </c>
      <c r="E779" s="8" t="inlineStr">
        <is>
          <t>ice</t>
        </is>
      </c>
      <c r="F779" s="8" t="n">
        <v>2</v>
      </c>
      <c r="G779" s="8" t="inlineStr">
        <is>
          <t>基础/顶层</t>
        </is>
      </c>
      <c r="H779" s="8" t="inlineStr"/>
      <c r="I779" s="9" t="inlineStr"/>
      <c r="J779" s="8" t="inlineStr"/>
      <c r="K779" s="8" t="inlineStr"/>
      <c r="L779" s="8" t="inlineStr"/>
      <c r="M779" s="8" t="inlineStr">
        <is>
          <t>被动效果</t>
        </is>
      </c>
      <c r="N779" s="8" t="inlineStr">
        <is>
          <t>passive</t>
        </is>
      </c>
      <c r="O779" s="9" t="inlineStr">
        <is>
          <t>每有 1 件其他冰属性道具，寒冷层数上限 +10（最多计算 5 件）；每有 1 件其他冰属性道具，寒冷层数上限 +13（最多计算 5 件）；每有 1 件其他冰属性道具，寒冷层数上限 +15（最多计算 5 件）；每有 1 件其他冰属性道具，寒冷层数上限 +18（最多计算 5 件）</t>
        </is>
      </c>
      <c r="P779" s="9" t="inlineStr"/>
      <c r="Q779" s="9" t="inlineStr">
        <is>
          <t>buffStackCapBonus</t>
        </is>
      </c>
      <c r="R779" s="9" t="inlineStr">
        <is>
          <t>{"kind":"passive","label":"每有 1 件其他冰属性道具，寒冷层数上限 +10（最多计算 5 件）","passiveEffect":{"type":"buffStackCapBonus","buffId":"cold","value":10,"scaling":{"mode":"count","source":"bagItems","elements":["ice"],"excludeSelf":true,"maxCount":5},"label":"每有 1 件其他冰属性道具，寒冷层数上限 +10（最多计算 5 件）"},"starOverrides":{"1":{"passiveEffect":{"value":13,"label":"每有 1 件其他冰属性道具，寒冷层数上限 +13（最多计算 5 件）"},"label":"每有 1 件其他冰属性道具，寒冷层数上限 +13（最多计算 5 件）"},"2":{"passiveEffect":{"value":15,"label":"每有 1 件其他冰属性道具，寒冷层数上限 +15（最多计算 5 件）"},"label":"每有 1 件其他冰属性道具，寒冷层数上限 +15（最多计算 5 件）"},"3":{"passiveEffect":{"value":18,"label":"每有 1 件其他冰属性道具，寒冷层数上限 +18（最多计算 5 件）"},"label":"每有 1 件其他冰属性道具，寒冷层数上限 +18（最多计算 5 件）"}}}</t>
        </is>
      </c>
    </row>
    <row r="780" ht="32" customHeight="1">
      <c r="A780" s="8" t="n">
        <v>400519</v>
      </c>
      <c r="B780" s="8" t="inlineStr">
        <is>
          <t>冰河转经轮</t>
        </is>
      </c>
      <c r="C780" s="8" t="inlineStr">
        <is>
          <t>法器</t>
        </is>
      </c>
      <c r="D780" s="8" t="inlineStr">
        <is>
          <t>spirit</t>
        </is>
      </c>
      <c r="E780" s="8" t="inlineStr">
        <is>
          <t>ice</t>
        </is>
      </c>
      <c r="F780" s="8" t="n">
        <v>1</v>
      </c>
      <c r="G780" s="8" t="inlineStr">
        <is>
          <t>基础/顶层</t>
        </is>
      </c>
      <c r="H780" s="8" t="inlineStr"/>
      <c r="I780" s="9" t="inlineStr"/>
      <c r="J780" s="8" t="inlineStr"/>
      <c r="K780" s="8" t="inlineStr"/>
      <c r="L780" s="8" t="inlineStr"/>
      <c r="M780" s="8" t="inlineStr">
        <is>
          <t>周期触发</t>
        </is>
      </c>
      <c r="N780" s="8" t="inlineStr">
        <is>
          <t>periodicPulse</t>
        </is>
      </c>
      <c r="O780" s="9" t="inlineStr">
        <is>
          <t>将 25 层寒冷转化为 50 点修为；将 25 层寒冷转化为 75 点修为；将 25 层寒冷转化为 100 点修为；将 25 层寒冷转化为 125 点修为</t>
        </is>
      </c>
      <c r="P780" s="9" t="inlineStr">
        <is>
          <t>onPeriodicPulse</t>
        </is>
      </c>
      <c r="Q780" s="9" t="inlineStr">
        <is>
          <t>consumeBuffStacks</t>
        </is>
      </c>
      <c r="R780" s="9" t="inlineStr">
        <is>
          <t>{"kind":"periodicPulse","label":"&lt;cultivation&gt;将 25 层寒冷转化为 50 点修为&lt;/cultivation&gt;","periodicPulse":{"intervalSec":18,"label":"&lt;cultivation&gt;将 25 层寒冷转化为 50 点修为&lt;/cultivation&gt;"},"executors":[{"trigger":"onPeriodicPulse","type":"consumeBuffStacks","sourceBuffId":"cold","requiredStacks":25,"maxStacks":25,"cultivationGainPerStack":2,"support":"cultivationOnly","label":"&lt;cultivation&gt;将 25 层寒冷转化为 50 点修为&lt;/cultivation&gt;"}],"starOverrides":{"1":{"label":"&lt;cultivation&gt;将 25 层寒冷转化为 75 点修为&lt;/cultivation&gt;","executors":[{"cultivationGainPerStack":3}]},"2":{"label":"&lt;cultivation&gt;将 25 层寒冷转化为 100 点修为&lt;/cultivation&gt;","executors":[{"cultivationGainPerStack":4}]},"3":{"label":"&lt;cultivation&gt;将 25 层寒冷转化为 125 点修为&lt;/cultivation&gt;","executors":[{"cultivationGainPerStack":5}]}}}</t>
        </is>
      </c>
    </row>
    <row r="781" ht="32" customHeight="1">
      <c r="A781" s="8" t="n">
        <v>400520</v>
      </c>
      <c r="B781" s="8" t="inlineStr">
        <is>
          <t>寒潮骨笛</t>
        </is>
      </c>
      <c r="C781" s="8" t="inlineStr">
        <is>
          <t>法器</t>
        </is>
      </c>
      <c r="D781" s="8" t="inlineStr">
        <is>
          <t>spirit</t>
        </is>
      </c>
      <c r="E781" s="8" t="inlineStr">
        <is>
          <t>ice</t>
        </is>
      </c>
      <c r="F781" s="8" t="n">
        <v>1</v>
      </c>
      <c r="G781" s="8" t="inlineStr">
        <is>
          <t>基础/顶层</t>
        </is>
      </c>
      <c r="H781" s="8" t="inlineStr"/>
      <c r="I781" s="9" t="inlineStr"/>
      <c r="J781" s="8" t="inlineStr"/>
      <c r="K781" s="8" t="inlineStr"/>
      <c r="L781" s="8" t="inlineStr"/>
      <c r="M781" s="8" t="inlineStr">
        <is>
          <t>周期触发</t>
        </is>
      </c>
      <c r="N781" s="8" t="inlineStr">
        <is>
          <t>periodicPulse</t>
        </is>
      </c>
      <c r="O781" s="9" t="inlineStr">
        <is>
          <t>消耗 25 层寒冷；对敌方施加 50 层冰霜；消耗 25 层寒冷；对敌方施加 75 层冰霜；消耗 25 层寒冷；对敌方施加 100 层冰霜；消耗 25 层寒冷；对敌方施加 125 层冰霜</t>
        </is>
      </c>
      <c r="P781" s="9" t="inlineStr">
        <is>
          <t>onPeriodicPulse</t>
        </is>
      </c>
      <c r="Q781" s="9" t="inlineStr">
        <is>
          <t>consumeBuffStacks</t>
        </is>
      </c>
      <c r="R781" s="9" t="inlineStr">
        <is>
          <t>{"kind":"periodicPulse","label":"消耗 25 层寒冷；&lt;battle&gt;对敌方施加 50 层冰霜&lt;/battle&gt;","periodicPulse":{"intervalSec":15,"label":"消耗 25 层寒冷；&lt;battle&gt;对敌方施加 50 层冰霜&lt;/battle&gt;"},"executors":[{"trigger":"onPeriodicPulse","type":"consumeBuffStacks","sourceBuffId":"cold","requiredStacks":25,"maxStacks":25,"targetBuffGainPerStack":{"buffId":"frost","countPerStack":2},"support":"common","label":"消耗 25 层寒冷；&lt;battle&gt;对敌方施加 50 层冰霜&lt;/battle&gt;"}],"starOverrides":{"1":{"label":"消耗 25 层寒冷；&lt;battle&gt;对敌方施加 75 层冰霜&lt;/battle&gt;","executors":[{"targetBuffGainPerStack":{"countPerStack":3}}]},"2":{"label":"消耗 25 层寒冷；&lt;battle&gt;对敌方施加 100 层冰霜&lt;/battle&gt;","executors":[{"targetBuffGainPerStack":{"countPerStack":4}}]},"3":{"label":"消耗 25 层寒冷；&lt;battle&gt;对敌方施加 125 层冰霜&lt;/battle&gt;","executors":[{"targetBuffGainPerStack":{"countPerStack":5}}]}}}</t>
        </is>
      </c>
    </row>
    <row r="782" ht="32" customHeight="1">
      <c r="A782" s="8" t="n">
        <v>400521</v>
      </c>
      <c r="B782" s="8" t="inlineStr">
        <is>
          <t>霜破长铗</t>
        </is>
      </c>
      <c r="C782" s="8" t="inlineStr">
        <is>
          <t>法器</t>
        </is>
      </c>
      <c r="D782" s="8" t="inlineStr">
        <is>
          <t>spirit</t>
        </is>
      </c>
      <c r="E782" s="8" t="inlineStr">
        <is>
          <t>ice</t>
        </is>
      </c>
      <c r="F782" s="8" t="n">
        <v>1</v>
      </c>
      <c r="G782" s="8" t="inlineStr">
        <is>
          <t>基础/顶层</t>
        </is>
      </c>
      <c r="H782" s="8" t="inlineStr"/>
      <c r="I782" s="9" t="inlineStr"/>
      <c r="J782" s="8" t="inlineStr"/>
      <c r="K782" s="8" t="inlineStr"/>
      <c r="L782" s="8" t="inlineStr"/>
      <c r="M782" s="8" t="inlineStr">
        <is>
          <t>周期触发</t>
        </is>
      </c>
      <c r="N782" s="8" t="inlineStr">
        <is>
          <t>periodicPulse</t>
        </is>
      </c>
      <c r="O782" s="9" t="inlineStr">
        <is>
          <t>消耗 25 层寒冷；对敌方造成 100 点伤害；消耗 25 层寒冷；对敌方造成 125 点伤害；消耗 25 层寒冷；对敌方造成 150 点伤害；消耗 25 层寒冷；对敌方造成 175 点伤害</t>
        </is>
      </c>
      <c r="P782" s="9" t="inlineStr">
        <is>
          <t>onPeriodicPulse</t>
        </is>
      </c>
      <c r="Q782" s="9" t="inlineStr">
        <is>
          <t>consumeBuffStacks</t>
        </is>
      </c>
      <c r="R782" s="9" t="inlineStr">
        <is>
          <t>{"kind":"periodicPulse","label":"消耗 25 层寒冷；&lt;battle&gt;对敌方造成 100 点伤害&lt;/battle&gt;","periodicPulse":{"intervalSec":12,"label":"消耗 25 层寒冷；&lt;battle&gt;对敌方造成 100 点伤害&lt;/battle&gt;"},"executors":[{"trigger":"onPeriodicPulse","type":"consumeBuffStacks","sourceBuffId":"cold","requiredStacks":25,"maxStacks":25,"battleDamageHealthPerStack":4,"support":"common","label":"消耗 25 层寒冷；&lt;battle&gt;对敌方造成 100 点伤害&lt;/battle&gt;"}],"starOverrides":{"1":{"label":"消耗 25 层寒冷；&lt;battle&gt;对敌方造成 125 点伤害&lt;/battle&gt;","executors":[{"battleDamageHealthPerStack":5,"label":"消耗 25 层寒冷；&lt;battle&gt;对敌方造成 125 点伤害&lt;/battle&gt;"}]},"2":{"label":"消耗 25 层寒冷；&lt;battle&gt;对敌方造成 150 点伤害&lt;/battle&gt;","executors":[{"battleDamageHealthPerStack":6,"label":"消耗 25 层寒冷；&lt;battle&gt;对敌方造成 150 点伤害&lt;/battle&gt;"}]},"3":{"label":"消耗 25 层寒冷；&lt;battle&gt;对敌方造成 175 点伤害&lt;/battle&gt;","executors":[{"battleDamageHealthPerStack":7,"label":"消耗 25 层寒冷；&lt;battle&gt;对敌方造成 175 点伤害&lt;/battle&gt;"}]}}}</t>
        </is>
      </c>
    </row>
    <row r="783" ht="32" customHeight="1">
      <c r="A783" s="8" t="n">
        <v>400522</v>
      </c>
      <c r="B783" s="8" t="inlineStr">
        <is>
          <t>裂界冰槌</t>
        </is>
      </c>
      <c r="C783" s="8" t="inlineStr">
        <is>
          <t>法器</t>
        </is>
      </c>
      <c r="D783" s="8" t="inlineStr">
        <is>
          <t>spirit</t>
        </is>
      </c>
      <c r="E783" s="8" t="inlineStr">
        <is>
          <t>ice</t>
        </is>
      </c>
      <c r="F783" s="8" t="n">
        <v>1</v>
      </c>
      <c r="G783" s="8" t="inlineStr">
        <is>
          <t>基础/顶层</t>
        </is>
      </c>
      <c r="H783" s="8" t="inlineStr"/>
      <c r="I783" s="9" t="inlineStr"/>
      <c r="J783" s="8" t="inlineStr"/>
      <c r="K783" s="8" t="inlineStr"/>
      <c r="L783" s="8" t="inlineStr"/>
      <c r="M783" s="8" t="inlineStr">
        <is>
          <t>周期触发</t>
        </is>
      </c>
      <c r="N783" s="8" t="inlineStr">
        <is>
          <t>periodicPulse</t>
        </is>
      </c>
      <c r="O783" s="9" t="inlineStr">
        <is>
          <t>消耗敌方 25 层冰霜，对敌方造成 100 点伤害；消耗敌方 25 层冰霜，对敌方造成 125 点伤害；消耗敌方 25 层冰霜，对敌方造成 150 点伤害；消耗敌方 25 层冰霜，对敌方造成 200 点伤害</t>
        </is>
      </c>
      <c r="P783" s="9" t="inlineStr">
        <is>
          <t>onPeriodicPulse</t>
        </is>
      </c>
      <c r="Q783" s="9" t="inlineStr">
        <is>
          <t>consumeBuffStacks</t>
        </is>
      </c>
      <c r="R783" s="9" t="inlineStr">
        <is>
          <t>{"kind":"periodicPulse","label":"&lt;battle&gt;消耗敌方 25 层冰霜，对敌方造成 100 点伤害&lt;/battle&gt;","periodicPulse":{"intervalSec":16,"label":"&lt;battle&gt;消耗敌方 25 层冰霜，对敌方造成 100 点伤害&lt;/battle&gt;"},"executors":[{"trigger":"onPeriodicPulse","type":"consumeBuffStacks","sourceBuffId":"frost","consumeTargetActor":"enemy","requiredStacks":25,"maxStacks":25,"battleDamageHealthPerStack":4,"support":"battleOnly","label":"&lt;battle&gt;消耗敌方 25 层冰霜，对敌方造成 100 点伤害&lt;/battle&gt;"}],"starOverrides":{"1":{"label":"&lt;battle&gt;消耗敌方 25 层冰霜，对敌方造成 125 点伤害&lt;/battle&gt;","executors":[{"battleDamageHealthPerStack":5,"label":"&lt;battle&gt;消耗敌方 25 层冰霜，对敌方造成 125 点伤害&lt;/battle&gt;"}]},"2":{"label":"&lt;battle&gt;消耗敌方 25 层冰霜，对敌方造成 150 点伤害&lt;/battle&gt;","executors":[{"battleDamageHealthPerStack":6,"label":"&lt;battle&gt;消耗敌方 25 层冰霜，对敌方造成 150 点伤害&lt;/battle&gt;"}]},"3":{"label":"&lt;battle&gt;消耗敌方 25 层冰霜，对敌方造成 200 点伤害&lt;/battle&gt;","executors":[{"battleDamageHealthPerStack":8,"label":"&lt;battle&gt;消耗敌方 25 层冰霜，对敌方造成 200 点伤害&lt;/battle&gt;"}]}}}</t>
        </is>
      </c>
    </row>
    <row r="784" ht="32" customHeight="1">
      <c r="A784" s="8" t="n">
        <v>400523</v>
      </c>
      <c r="B784" s="8" t="inlineStr">
        <is>
          <t>太阴寒轮</t>
        </is>
      </c>
      <c r="C784" s="8" t="inlineStr">
        <is>
          <t>法器</t>
        </is>
      </c>
      <c r="D784" s="8" t="inlineStr">
        <is>
          <t>spirit</t>
        </is>
      </c>
      <c r="E784" s="8" t="inlineStr">
        <is>
          <t>ice</t>
        </is>
      </c>
      <c r="F784" s="8" t="n">
        <v>1</v>
      </c>
      <c r="G784" s="8" t="inlineStr">
        <is>
          <t>基础/顶层</t>
        </is>
      </c>
      <c r="H784" s="8" t="inlineStr"/>
      <c r="I784" s="9" t="inlineStr"/>
      <c r="J784" s="8" t="inlineStr"/>
      <c r="K784" s="8" t="inlineStr"/>
      <c r="L784" s="8" t="inlineStr"/>
      <c r="M784" s="8" t="inlineStr">
        <is>
          <t>周期触发</t>
        </is>
      </c>
      <c r="N784" s="8" t="inlineStr">
        <is>
          <t>periodicPulse</t>
        </is>
      </c>
      <c r="O784" s="9" t="inlineStr">
        <is>
          <t>寒冷不少于 50 层时，使我方所有冰属性道具加速 5 秒；寒冷不少于 50 层时，使我方所有冰属性道具加速 6 秒；寒冷不少于 50 层时，使我方所有冰属性道具加速 7 秒；寒冷不少于 50 层时，使我方所有冰属性道具加速 9 秒</t>
        </is>
      </c>
      <c r="P784" s="9" t="inlineStr"/>
      <c r="Q784" s="9" t="inlineStr"/>
      <c r="R784" s="9" t="inlineStr">
        <is>
          <t>{"kind":"periodicPulse","label":"寒冷不少于 50 层时，使我方所有冰属性道具加速 5 秒","periodicPulse":{"intervalSec":18,"label":"寒冷不少于 50 层时，使我方所有冰属性道具加速 5 秒","activationRequirements":{"buffStackThresholds":[{"buffId":"cold","comparator":"atLeast","count":50}]},"itemRuntimeStatusEffects":[{"itemRuntimeStatus":"haste","durationSec":5,"targetScope":"selfAll","targetFilter":{"elements":["ice"]}}]},"starOverrides":{"1":{"label":"寒冷不少于 50 层时，使我方所有冰属性道具加速 6 秒","periodicPulse":{"itemRuntimeStatusEffects":[{"durationSec":6}]}},"2":{"label":"寒冷不少于 50 层时，使我方所有冰属性道具加速 7 秒","periodicPulse":{"itemRuntimeStatusEffects":[{"durationSec":7}]}},"3":{"label":"寒冷不少于 50 层时，使我方所有冰属性道具加速 9 秒","periodicPulse":{"itemRuntimeStatusEffects":[{"durationSec":9}]}}}}</t>
        </is>
      </c>
    </row>
    <row r="785" ht="32" customHeight="1">
      <c r="A785" s="8" t="n">
        <v>400524</v>
      </c>
      <c r="B785" s="8" t="inlineStr">
        <is>
          <t>牵风铜轴</t>
        </is>
      </c>
      <c r="C785" s="8" t="inlineStr">
        <is>
          <t>法器</t>
        </is>
      </c>
      <c r="D785" s="8" t="inlineStr">
        <is>
          <t>common</t>
        </is>
      </c>
      <c r="E785" s="8" t="inlineStr">
        <is>
          <t>wind</t>
        </is>
      </c>
      <c r="F785" s="8" t="n">
        <v>1</v>
      </c>
      <c r="G785" s="8" t="inlineStr">
        <is>
          <t>基础/顶层</t>
        </is>
      </c>
      <c r="H785" s="8" t="inlineStr"/>
      <c r="I785" s="9" t="inlineStr"/>
      <c r="J785" s="8" t="inlineStr"/>
      <c r="K785" s="8" t="inlineStr"/>
      <c r="L785" s="8" t="inlineStr"/>
      <c r="M785" s="8" t="inlineStr">
        <is>
          <t>周期触发</t>
        </is>
      </c>
      <c r="N785" s="8" t="inlineStr">
        <is>
          <t>periodicPulse</t>
        </is>
      </c>
      <c r="O785" s="9" t="inlineStr">
        <is>
          <t>使右侧相邻道具加速 3 秒；使右侧相邻道具加速 4 秒；使右侧相邻道具加速 5 秒；使右侧相邻道具加速 6 秒</t>
        </is>
      </c>
      <c r="P785" s="9" t="inlineStr"/>
      <c r="Q785" s="9" t="inlineStr"/>
      <c r="R785" s="9" t="inlineStr">
        <is>
          <t>{"kind":"periodicPulse","label":"使右侧相邻道具加速 3 秒","periodicPulse":{"intervalSec":12,"label":"使右侧相邻道具加速 3 秒","itemRuntimeStatusEffects":[{"itemRuntimeStatus":"haste","durationSec":3,"targetScope":"adjacent","direction":"right"}]},"starOverrides":{"1":{"label":"使右侧相邻道具加速 4 秒","periodicPulse":{"label":"使右侧相邻道具加速 4 秒","itemRuntimeStatusEffects":[{"durationSec":4}]}},"2":{"label":"使右侧相邻道具加速 5 秒","periodicPulse":{"label":"使右侧相邻道具加速 5 秒","itemRuntimeStatusEffects":[{"durationSec":5}]}},"3":{"label":"使右侧相邻道具加速 6 秒","periodicPulse":{"label":"使右侧相邻道具加速 6 秒","itemRuntimeStatusEffects":[{"durationSec":6}]}}}}</t>
        </is>
      </c>
    </row>
    <row r="786" ht="32" customHeight="1">
      <c r="A786" s="8" t="n">
        <v>400525</v>
      </c>
      <c r="B786" s="8" t="inlineStr">
        <is>
          <t>倒风镇片</t>
        </is>
      </c>
      <c r="C786" s="8" t="inlineStr">
        <is>
          <t>法器</t>
        </is>
      </c>
      <c r="D786" s="8" t="inlineStr">
        <is>
          <t>common</t>
        </is>
      </c>
      <c r="E786" s="8" t="inlineStr">
        <is>
          <t>wind</t>
        </is>
      </c>
      <c r="F786" s="8" t="n">
        <v>1</v>
      </c>
      <c r="G786" s="8" t="inlineStr">
        <is>
          <t>基础/顶层</t>
        </is>
      </c>
      <c r="H786" s="8" t="inlineStr"/>
      <c r="I786" s="9" t="inlineStr"/>
      <c r="J786" s="8" t="inlineStr"/>
      <c r="K786" s="8" t="inlineStr"/>
      <c r="L786" s="8" t="inlineStr"/>
      <c r="M786" s="8" t="inlineStr">
        <is>
          <t>周期触发</t>
        </is>
      </c>
      <c r="N786" s="8" t="inlineStr">
        <is>
          <t>periodicPulse</t>
        </is>
      </c>
      <c r="O786" s="9" t="inlineStr">
        <is>
          <t>使上方相邻道具减速 4 秒；若命中，自身获得 4 层敏捷；使上方相邻道具减速 4 秒；若命中，自身获得 5 层敏捷；使上方相邻道具减速 4 秒；若命中，自身获得 6 层敏捷；使上方相邻道具减速 4 秒；若命中，自身获得 7 层敏捷</t>
        </is>
      </c>
      <c r="P786" s="9" t="inlineStr"/>
      <c r="Q786" s="9" t="inlineStr"/>
      <c r="R786" s="9" t="inlineStr">
        <is>
          <t>{"kind":"periodicPulse","label":"使上方相邻道具减速 4 秒；若命中，自身获得 4 层敏捷","periodicPulse":{"intervalSec":12,"label":"使上方相邻道具减速 4 秒；若命中，自身获得 4 层敏捷","itemRuntimeStatusEffects":[{"itemRuntimeStatus":"slow","durationSec":4,"targetScope":"adjacent","direction":"up","selfBuffGainPerAffectedItem":{"buffId":"agile","count":4}}]},"starOverrides":{"1":{"label":"使上方相邻道具减速 4 秒；若命中，自身获得 5 层敏捷","periodicPulse":{"label":"使上方相邻道具减速 4 秒；若命中，自身获得 5 层敏捷","itemRuntimeStatusEffects":[{"selfBuffGainPerAffectedItem":{"count":5}}]}},"2":{"label":"使上方相邻道具减速 4 秒；若命中，自身获得 6 层敏捷","periodicPulse":{"label":"使上方相邻道具减速 4 秒；若命中，自身获得 6 层敏捷","itemRuntimeStatusEffects":[{"selfBuffGainPerAffectedItem":{"count":6}}]}},"3":{"label":"使上方相邻道具减速 4 秒；若命中，自身获得 7 层敏捷","periodicPulse":{"label":"使上方相邻道具减速 4 秒；若命中，自身获得 7 层敏捷","itemRuntimeStatusEffects":[{"selfBuffGainPerAffectedItem":{"count":7}}]}}}}</t>
        </is>
      </c>
    </row>
    <row r="787" ht="32" customHeight="1">
      <c r="A787" s="8" t="n">
        <v>400526</v>
      </c>
      <c r="B787" s="8" t="inlineStr">
        <is>
          <t>顺逆风门</t>
        </is>
      </c>
      <c r="C787" s="8" t="inlineStr">
        <is>
          <t>法器</t>
        </is>
      </c>
      <c r="D787" s="8" t="inlineStr">
        <is>
          <t>common</t>
        </is>
      </c>
      <c r="E787" s="8" t="inlineStr">
        <is>
          <t>wind</t>
        </is>
      </c>
      <c r="F787" s="8" t="n">
        <v>1</v>
      </c>
      <c r="G787" s="8" t="inlineStr">
        <is>
          <t>基础/顶层</t>
        </is>
      </c>
      <c r="H787" s="8" t="inlineStr"/>
      <c r="I787" s="9" t="inlineStr"/>
      <c r="J787" s="8" t="inlineStr"/>
      <c r="K787" s="8" t="inlineStr"/>
      <c r="L787" s="8" t="inlineStr"/>
      <c r="M787" s="8" t="inlineStr">
        <is>
          <t>周期触发</t>
        </is>
      </c>
      <c r="N787" s="8" t="inlineStr">
        <is>
          <t>periodicPulse</t>
        </is>
      </c>
      <c r="O787" s="9" t="inlineStr">
        <is>
          <t>使左侧相邻道具减速 4 秒，使右侧相邻道具加速 5 秒；使左侧相邻道具减速 4 秒，使右侧相邻道具加速 6 秒；使左侧相邻道具减速 4 秒，使右侧相邻道具加速 7 秒；使左侧相邻道具减速 4 秒，使右侧相邻道具加速 8 秒</t>
        </is>
      </c>
      <c r="P787" s="9" t="inlineStr"/>
      <c r="Q787" s="9" t="inlineStr"/>
      <c r="R787" s="9" t="inlineStr">
        <is>
          <t>{"kind":"periodicPulse","label":"使左侧相邻道具减速 4 秒，使右侧相邻道具加速 5 秒","periodicPulse":{"intervalSec":12,"label":"使左侧相邻道具减速 4 秒，使右侧相邻道具加速 5 秒","itemRuntimeStatusEffects":[{"itemRuntimeStatus":"slow","durationSec":4,"targetScope":"adjacent","direction":"left"},{"itemRuntimeStatus":"haste","durationSec":5,"targetScope":"adjacent","direction":"right"}]},"starOverrides":{"1":{"label":"使左侧相邻道具减速 4 秒，使右侧相邻道具加速 6 秒","periodicPulse":{"label":"使左侧相邻道具减速 4 秒，使右侧相邻道具加速 6 秒","itemRuntimeStatusEffects":[{},{"durationSec":6}]}},"2":{"label":"使左侧相邻道具减速 4 秒，使右侧相邻道具加速 7 秒","periodicPulse":{"label":"使左侧相邻道具减速 4 秒，使右侧相邻道具加速 7 秒","itemRuntimeStatusEffects":[{},{"durationSec":7}]}},"3":{"label":"使左侧相邻道具减速 4 秒，使右侧相邻道具加速 8 秒","periodicPulse":{"label":"使左侧相邻道具减速 4 秒，使右侧相邻道具加速 8 秒","itemRuntimeStatusEffects":[{},{"durationSec":8}]}}}}</t>
        </is>
      </c>
    </row>
    <row r="788" ht="32" customHeight="1">
      <c r="A788" s="8" t="n">
        <v>400527</v>
      </c>
      <c r="B788" s="8" t="inlineStr">
        <is>
          <t>回风阵盘</t>
        </is>
      </c>
      <c r="C788" s="8" t="inlineStr">
        <is>
          <t>法器</t>
        </is>
      </c>
      <c r="D788" s="8" t="inlineStr">
        <is>
          <t>common</t>
        </is>
      </c>
      <c r="E788" s="8" t="inlineStr">
        <is>
          <t>wind</t>
        </is>
      </c>
      <c r="F788" s="8" t="n">
        <v>1</v>
      </c>
      <c r="G788" s="8" t="inlineStr">
        <is>
          <t>基础/顶层</t>
        </is>
      </c>
      <c r="H788" s="8" t="inlineStr"/>
      <c r="I788" s="9" t="inlineStr"/>
      <c r="J788" s="8" t="inlineStr"/>
      <c r="K788" s="8" t="inlineStr"/>
      <c r="L788" s="8" t="inlineStr"/>
      <c r="M788" s="8" t="inlineStr">
        <is>
          <t>周期触发</t>
        </is>
      </c>
      <c r="N788" s="8" t="inlineStr">
        <is>
          <t>periodicPulse</t>
        </is>
      </c>
      <c r="O788" s="9" t="inlineStr">
        <is>
          <t>使相邻风属性道具加速 2 秒；使相邻风属性道具加速 3 秒；使相邻风属性道具加速 4 秒；使相邻风属性道具加速 5 秒</t>
        </is>
      </c>
      <c r="P788" s="9" t="inlineStr"/>
      <c r="Q788" s="9" t="inlineStr"/>
      <c r="R788" s="9" t="inlineStr">
        <is>
          <t>{"kind":"periodicPulse","label":"使相邻风属性道具加速 2 秒","periodicPulse":{"intervalSec":16,"label":"使相邻风属性道具加速 2 秒","itemRuntimeStatusEffects":[{"itemRuntimeStatus":"haste","durationSec":2,"targetScope":"adjacent","targetFilter":{"elements":["wind"]}}]},"starOverrides":{"1":{"label":"使相邻风属性道具加速 3 秒","periodicPulse":{"label":"使相邻风属性道具加速 3 秒","itemRuntimeStatusEffects":[{"durationSec":3}]}},"2":{"label":"使相邻风属性道具加速 4 秒","periodicPulse":{"label":"使相邻风属性道具加速 4 秒","itemRuntimeStatusEffects":[{"durationSec":4}]}},"3":{"label":"使相邻风属性道具加速 5 秒","periodicPulse":{"label":"使相邻风属性道具加速 5 秒","itemRuntimeStatusEffects":[{"durationSec":5}]}}}}</t>
        </is>
      </c>
    </row>
    <row r="789" ht="32" customHeight="1">
      <c r="A789" s="8" t="n">
        <v>400528</v>
      </c>
      <c r="B789" s="8" t="inlineStr">
        <is>
          <t>御风灵枢</t>
        </is>
      </c>
      <c r="C789" s="8" t="inlineStr">
        <is>
          <t>法器</t>
        </is>
      </c>
      <c r="D789" s="8" t="inlineStr">
        <is>
          <t>spirit</t>
        </is>
      </c>
      <c r="E789" s="8" t="inlineStr">
        <is>
          <t>wind</t>
        </is>
      </c>
      <c r="F789" s="8" t="n">
        <v>1</v>
      </c>
      <c r="G789" s="8" t="inlineStr">
        <is>
          <t>基础/顶层</t>
        </is>
      </c>
      <c r="H789" s="8" t="inlineStr"/>
      <c r="I789" s="9" t="inlineStr"/>
      <c r="J789" s="8" t="inlineStr"/>
      <c r="K789" s="8" t="inlineStr"/>
      <c r="L789" s="8" t="inlineStr"/>
      <c r="M789" s="8" t="inlineStr">
        <is>
          <t>周期触发</t>
        </is>
      </c>
      <c r="N789" s="8" t="inlineStr">
        <is>
          <t>periodicPulse</t>
        </is>
      </c>
      <c r="O789" s="9" t="inlineStr">
        <is>
          <t>使右侧相邻道具加速 5 秒；使右侧相邻道具加速 6 秒；使右侧相邻道具加速 7 秒；使右侧相邻道具加速 8 秒</t>
        </is>
      </c>
      <c r="P789" s="9" t="inlineStr"/>
      <c r="Q789" s="9" t="inlineStr"/>
      <c r="R789" s="9" t="inlineStr">
        <is>
          <t>{"kind":"periodicPulse","label":"使右侧相邻道具加速 5 秒","periodicPulse":{"intervalSec":10,"label":"使右侧相邻道具加速 5 秒","itemRuntimeStatusEffects":[{"itemRuntimeStatus":"haste","durationSec":5,"targetScope":"adjacent","direction":"right"}]},"starOverrides":{"1":{"label":"使右侧相邻道具加速 6 秒","periodicPulse":{"label":"使右侧相邻道具加速 6 秒","itemRuntimeStatusEffects":[{"durationSec":6}]}},"2":{"label":"使右侧相邻道具加速 7 秒","periodicPulse":{"label":"使右侧相邻道具加速 7 秒","itemRuntimeStatusEffects":[{"durationSec":7}]}},"3":{"label":"使右侧相邻道具加速 8 秒","periodicPulse":{"label":"使右侧相邻道具加速 8 秒","itemRuntimeStatusEffects":[{"durationSec":8}]}}}}</t>
        </is>
      </c>
    </row>
    <row r="790" ht="32" customHeight="1">
      <c r="A790" s="8" t="n">
        <v>400529</v>
      </c>
      <c r="B790" s="8" t="inlineStr">
        <is>
          <t>镇岚灵片</t>
        </is>
      </c>
      <c r="C790" s="8" t="inlineStr">
        <is>
          <t>法器</t>
        </is>
      </c>
      <c r="D790" s="8" t="inlineStr">
        <is>
          <t>spirit</t>
        </is>
      </c>
      <c r="E790" s="8" t="inlineStr">
        <is>
          <t>wind</t>
        </is>
      </c>
      <c r="F790" s="8" t="n">
        <v>1</v>
      </c>
      <c r="G790" s="8" t="inlineStr">
        <is>
          <t>基础/顶层</t>
        </is>
      </c>
      <c r="H790" s="8" t="inlineStr"/>
      <c r="I790" s="9" t="inlineStr"/>
      <c r="J790" s="8" t="inlineStr"/>
      <c r="K790" s="8" t="inlineStr"/>
      <c r="L790" s="8" t="inlineStr"/>
      <c r="M790" s="8" t="inlineStr">
        <is>
          <t>周期触发</t>
        </is>
      </c>
      <c r="N790" s="8" t="inlineStr">
        <is>
          <t>periodicPulse</t>
        </is>
      </c>
      <c r="O790" s="9" t="inlineStr">
        <is>
          <t>使上方相邻道具减速 3 秒；若命中，自身获得 8 层敏捷；使上方相邻道具减速 3 秒；若命中，自身获得 10 层敏捷；使上方相邻道具减速 3 秒；若命中，自身获得 12 层敏捷；使上方相邻道具减速 3 秒；若命中，自身获得 14 层敏捷</t>
        </is>
      </c>
      <c r="P790" s="9" t="inlineStr"/>
      <c r="Q790" s="9" t="inlineStr"/>
      <c r="R790" s="9" t="inlineStr">
        <is>
          <t>{"kind":"periodicPulse","label":"使上方相邻道具减速 3 秒；若命中，自身获得 8 层敏捷","periodicPulse":{"intervalSec":10,"label":"使上方相邻道具减速 3 秒；若命中，自身获得 8 层敏捷","itemRuntimeStatusEffects":[{"itemRuntimeStatus":"slow","durationSec":3,"targetScope":"adjacent","direction":"up","selfBuffGainPerAffectedItem":{"buffId":"agile","count":8}}]},"starOverrides":{"1":{"label":"使上方相邻道具减速 3 秒；若命中，自身获得 10 层敏捷","periodicPulse":{"label":"使上方相邻道具减速 3 秒；若命中，自身获得 10 层敏捷","itemRuntimeStatusEffects":[{"selfBuffGainPerAffectedItem":{"count":10}}]}},"2":{"label":"使上方相邻道具减速 3 秒；若命中，自身获得 12 层敏捷","periodicPulse":{"label":"使上方相邻道具减速 3 秒；若命中，自身获得 12 层敏捷","itemRuntimeStatusEffects":[{"selfBuffGainPerAffectedItem":{"count":12}}]}},"3":{"label":"使上方相邻道具减速 3 秒；若命中，自身获得 14 层敏捷","periodicPulse":{"label":"使上方相邻道具减速 3 秒；若命中，自身获得 14 层敏捷","itemRuntimeStatusEffects":[{"selfBuffGainPerAffectedItem":{"count":14}}]}}}}</t>
        </is>
      </c>
    </row>
    <row r="791" ht="32" customHeight="1">
      <c r="A791" s="8" t="n">
        <v>400530</v>
      </c>
      <c r="B791" s="8" t="inlineStr">
        <is>
          <t>两仪风阙</t>
        </is>
      </c>
      <c r="C791" s="8" t="inlineStr">
        <is>
          <t>法器</t>
        </is>
      </c>
      <c r="D791" s="8" t="inlineStr">
        <is>
          <t>spirit</t>
        </is>
      </c>
      <c r="E791" s="8" t="inlineStr">
        <is>
          <t>wind</t>
        </is>
      </c>
      <c r="F791" s="8" t="n">
        <v>1</v>
      </c>
      <c r="G791" s="8" t="inlineStr">
        <is>
          <t>基础/顶层</t>
        </is>
      </c>
      <c r="H791" s="8" t="inlineStr"/>
      <c r="I791" s="9" t="inlineStr"/>
      <c r="J791" s="8" t="inlineStr"/>
      <c r="K791" s="8" t="inlineStr"/>
      <c r="L791" s="8" t="inlineStr"/>
      <c r="M791" s="8" t="inlineStr">
        <is>
          <t>周期触发</t>
        </is>
      </c>
      <c r="N791" s="8" t="inlineStr">
        <is>
          <t>periodicPulse</t>
        </is>
      </c>
      <c r="O791" s="9" t="inlineStr">
        <is>
          <t>使左侧相邻道具减速 3 秒，使右侧相邻道具加速 6 秒；使左侧相邻道具减速 3 秒，使右侧相邻道具加速 7 秒；使左侧相邻道具减速 3 秒，使右侧相邻道具加速 8 秒；使左侧相邻道具减速 3 秒，使右侧相邻道具加速 9 秒</t>
        </is>
      </c>
      <c r="P791" s="9" t="inlineStr"/>
      <c r="Q791" s="9" t="inlineStr"/>
      <c r="R791" s="9" t="inlineStr">
        <is>
          <t>{"kind":"periodicPulse","label":"使左侧相邻道具减速 3 秒，使右侧相邻道具加速 6 秒","periodicPulse":{"intervalSec":10,"label":"使左侧相邻道具减速 3 秒，使右侧相邻道具加速 6 秒","itemRuntimeStatusEffects":[{"itemRuntimeStatus":"slow","durationSec":3,"targetScope":"adjacent","direction":"left"},{"itemRuntimeStatus":"haste","durationSec":6,"targetScope":"adjacent","direction":"right"}]},"starOverrides":{"1":{"label":"使左侧相邻道具减速 3 秒，使右侧相邻道具加速 7 秒","periodicPulse":{"label":"使左侧相邻道具减速 3 秒，使右侧相邻道具加速 7 秒","itemRuntimeStatusEffects":[{},{"durationSec":7}]}},"2":{"label":"使左侧相邻道具减速 3 秒，使右侧相邻道具加速 8 秒","periodicPulse":{"label":"使左侧相邻道具减速 3 秒，使右侧相邻道具加速 8 秒","itemRuntimeStatusEffects":[{},{"durationSec":8}]}},"3":{"label":"使左侧相邻道具减速 3 秒，使右侧相邻道具加速 9 秒","periodicPulse":{"label":"使左侧相邻道具减速 3 秒，使右侧相邻道具加速 9 秒","itemRuntimeStatusEffects":[{},{"durationSec":9}]}}}}</t>
        </is>
      </c>
    </row>
    <row r="792" ht="32" customHeight="1">
      <c r="A792" s="8" t="n">
        <v>400531</v>
      </c>
      <c r="B792" s="8" t="inlineStr">
        <is>
          <t>八风回环阵</t>
        </is>
      </c>
      <c r="C792" s="8" t="inlineStr">
        <is>
          <t>法器</t>
        </is>
      </c>
      <c r="D792" s="8" t="inlineStr">
        <is>
          <t>spirit</t>
        </is>
      </c>
      <c r="E792" s="8" t="inlineStr">
        <is>
          <t>wind</t>
        </is>
      </c>
      <c r="F792" s="8" t="n">
        <v>1</v>
      </c>
      <c r="G792" s="8" t="inlineStr">
        <is>
          <t>基础/顶层</t>
        </is>
      </c>
      <c r="H792" s="8" t="inlineStr"/>
      <c r="I792" s="9" t="inlineStr"/>
      <c r="J792" s="8" t="inlineStr"/>
      <c r="K792" s="8" t="inlineStr"/>
      <c r="L792" s="8" t="inlineStr"/>
      <c r="M792" s="8" t="inlineStr">
        <is>
          <t>周期触发</t>
        </is>
      </c>
      <c r="N792" s="8" t="inlineStr">
        <is>
          <t>periodicPulse</t>
        </is>
      </c>
      <c r="O792" s="9" t="inlineStr">
        <is>
          <t>使相邻风属性道具加速 5 秒；使相邻风属性道具加速 6 秒；使相邻风属性道具加速 7 秒；使相邻风属性道具加速 8 秒</t>
        </is>
      </c>
      <c r="P792" s="9" t="inlineStr"/>
      <c r="Q792" s="9" t="inlineStr"/>
      <c r="R792" s="9" t="inlineStr">
        <is>
          <t>{"kind":"periodicPulse","label":"使相邻风属性道具加速 5 秒","periodicPulse":{"intervalSec":14,"label":"使相邻风属性道具加速 5 秒","itemRuntimeStatusEffects":[{"itemRuntimeStatus":"haste","durationSec":5,"targetScope":"adjacent","targetFilter":{"elements":["wind"]}}]},"starOverrides":{"1":{"label":"使相邻风属性道具加速 6 秒","periodicPulse":{"label":"使相邻风属性道具加速 6 秒","itemRuntimeStatusEffects":[{"durationSec":6}]}},"2":{"label":"使相邻风属性道具加速 7 秒","periodicPulse":{"label":"使相邻风属性道具加速 7 秒","itemRuntimeStatusEffects":[{"durationSec":7}]}},"3":{"label":"使相邻风属性道具加速 8 秒","periodicPulse":{"label":"使相邻风属性道具加速 8 秒","itemRuntimeStatusEffects":[{"durationSec":8}]}}}}</t>
        </is>
      </c>
    </row>
    <row r="793" ht="32" customHeight="1">
      <c r="A793" s="8" t="n">
        <v>410100</v>
      </c>
      <c r="B793" s="8" t="inlineStr">
        <is>
          <t>须银定息佩</t>
        </is>
      </c>
      <c r="C793" s="8" t="inlineStr">
        <is>
          <t>法器</t>
        </is>
      </c>
      <c r="D793" s="8" t="inlineStr">
        <is>
          <t>common</t>
        </is>
      </c>
      <c r="E793" s="8" t="inlineStr">
        <is>
          <t>metal</t>
        </is>
      </c>
      <c r="F793" s="8" t="n">
        <v>1</v>
      </c>
      <c r="G793" s="8" t="inlineStr">
        <is>
          <t>基础/顶层</t>
        </is>
      </c>
      <c r="H793" s="8" t="inlineStr"/>
      <c r="I793" s="9" t="inlineStr"/>
      <c r="J793" s="8" t="inlineStr"/>
      <c r="K793" s="8" t="inlineStr"/>
      <c r="L793" s="8" t="inlineStr"/>
      <c r="M793" s="8" t="inlineStr">
        <is>
          <t>条件触发</t>
        </is>
      </c>
      <c r="N793" s="8" t="inlineStr">
        <is>
          <t>triggered</t>
        </is>
      </c>
      <c r="O793" s="9" t="inlineStr">
        <is>
          <t>累积使用剑类道具10次后，恢复20点体力；累积使用剑类道具9次后，恢复20点体力；累积使用剑类道具8次后，恢复20点体力；累积使用剑类道具7次后，恢复20点体力</t>
        </is>
      </c>
      <c r="P793" s="9" t="inlineStr">
        <is>
          <t>onItemUse</t>
        </is>
      </c>
      <c r="Q793" s="9" t="inlineStr">
        <is>
          <t>modifyPlayerPrimaryStat；any</t>
        </is>
      </c>
      <c r="R793" s="9" t="inlineStr">
        <is>
          <t>{"kind":"triggered","label":"累积使用剑类道具10次后，恢复20点体力","triggeredEffect":{"trigger":"onItemUse","type":"modifyPlayerPrimaryStat","stat":"stamina","delta":20,"eventSource":{"target":{"type":"any"},"filter":{"features":["sword"]}},"charge":{"threshold":10,"countPerEvent":1}},"starOverrides":{"1":{"label":"累积使用剑类道具9次后，恢复20点体力","triggeredEffect":{"charge":{"threshold":9}}},"2":{"label":"累积使用剑类道具8次后，恢复20点体力","triggeredEffect":{"charge":{"threshold":8}}},"3":{"label":"累积使用剑类道具7次后，恢复20点体力","triggeredEffect":{"charge":{"threshold":7}}}}}</t>
        </is>
      </c>
    </row>
    <row r="794" ht="32" customHeight="1">
      <c r="A794" s="8" t="n">
        <v>410101</v>
      </c>
      <c r="B794" s="8" t="inlineStr">
        <is>
          <t>刻金识机盘</t>
        </is>
      </c>
      <c r="C794" s="8" t="inlineStr">
        <is>
          <t>法器</t>
        </is>
      </c>
      <c r="D794" s="8" t="inlineStr">
        <is>
          <t>common</t>
        </is>
      </c>
      <c r="E794" s="8" t="inlineStr">
        <is>
          <t>thunder</t>
        </is>
      </c>
      <c r="F794" s="8" t="n">
        <v>1</v>
      </c>
      <c r="G794" s="8" t="inlineStr">
        <is>
          <t>基础/顶层</t>
        </is>
      </c>
      <c r="H794" s="8" t="inlineStr"/>
      <c r="I794" s="9" t="inlineStr"/>
      <c r="J794" s="8" t="inlineStr"/>
      <c r="K794" s="8" t="inlineStr"/>
      <c r="L794" s="8" t="inlineStr"/>
      <c r="M794" s="8" t="inlineStr">
        <is>
          <t>条件触发</t>
        </is>
      </c>
      <c r="N794" s="8" t="inlineStr">
        <is>
          <t>triggered</t>
        </is>
      </c>
      <c r="O794" s="9" t="inlineStr">
        <is>
          <t>相邻招式成功施放时，获得 3 层引雷；相邻招式成功施放时，获得 6 层引雷；相邻招式成功施放时，获得 9 层引雷；相邻招式成功施放时，获得 12 层引雷</t>
        </is>
      </c>
      <c r="P794" s="9" t="inlineStr">
        <is>
          <t>onActiveSpellCast</t>
        </is>
      </c>
      <c r="Q794" s="9" t="inlineStr">
        <is>
          <t>applyBuff；adjacent</t>
        </is>
      </c>
      <c r="R794" s="9" t="inlineStr">
        <is>
          <t>{"kind":"triggered","triggeredEffect":{"trigger":"onActiveSpellCast","type":"applyBuff","buffId":"lightningCharge","count":3,"targetActor":"self","eventSource":{"target":{"type":"adjacent"},"filter":{"categories":["spell"]}},"support":"battleOnly"},"label":"&lt;battle&gt;相邻招式成功施放时，获得 3 层引雷&lt;/battle&gt;","starOverrides":{"1":{"label":"&lt;battle&gt;相邻招式成功施放时，获得 6 层引雷&lt;/battle&gt;","triggeredEffect":{"count":6}},"2":{"label":"&lt;battle&gt;相邻招式成功施放时，获得 9 层引雷&lt;/battle&gt;","triggeredEffect":{"count":9}},"3":{"label":"&lt;battle&gt;相邻招式成功施放时，获得 12 层引雷&lt;/battle&gt;","triggeredEffect":{"count":12}}}}</t>
        </is>
      </c>
    </row>
    <row r="795" ht="32" customHeight="1">
      <c r="A795" s="8" t="n">
        <v>410102</v>
      </c>
      <c r="B795" s="8" t="inlineStr">
        <is>
          <t>偷息钩</t>
        </is>
      </c>
      <c r="C795" s="8" t="inlineStr">
        <is>
          <t>法器</t>
        </is>
      </c>
      <c r="D795" s="8" t="inlineStr">
        <is>
          <t>common</t>
        </is>
      </c>
      <c r="E795" s="8" t="inlineStr">
        <is>
          <t>poison</t>
        </is>
      </c>
      <c r="F795" s="8" t="n">
        <v>1</v>
      </c>
      <c r="G795" s="8" t="inlineStr">
        <is>
          <t>基础/顶层</t>
        </is>
      </c>
      <c r="H795" s="8" t="inlineStr"/>
      <c r="I795" s="9" t="inlineStr"/>
      <c r="J795" s="8" t="inlineStr"/>
      <c r="K795" s="8" t="inlineStr"/>
      <c r="L795" s="8" t="inlineStr"/>
      <c r="M795" s="8" t="inlineStr">
        <is>
          <t>周期触发</t>
        </is>
      </c>
      <c r="N795" s="8" t="inlineStr">
        <is>
          <t>periodicPulse</t>
        </is>
      </c>
      <c r="O795" s="9" t="inlineStr">
        <is>
          <t>敌方每有1层中毒，吸取敌方1点法力</t>
        </is>
      </c>
      <c r="P795" s="9" t="inlineStr"/>
      <c r="Q795" s="9" t="inlineStr"/>
      <c r="R795" s="9" t="inlineStr">
        <is>
          <t>{"kind":"periodicPulse","periodicPulse":{"intervalSec":10,"drainPrimaryStat":{"target":"enemy","stat":"mana","amountPerTargetBuffStack":{"buffId":"poison","valuePerStack":1}},"label":"&lt;battle&gt;敌方每有1层中毒，吸取敌方1点法力&lt;/battle&gt;"},"label":"&lt;battle&gt;敌方每有1层中毒，吸取敌方1点法力&lt;/battle&gt;"}</t>
        </is>
      </c>
    </row>
    <row r="796" ht="32" customHeight="1">
      <c r="A796" s="8" t="n">
        <v>410103</v>
      </c>
      <c r="B796" s="8" t="inlineStr">
        <is>
          <t>节骨养元架</t>
        </is>
      </c>
      <c r="C796" s="8" t="inlineStr">
        <is>
          <t>法器</t>
        </is>
      </c>
      <c r="D796" s="8" t="inlineStr">
        <is>
          <t>common</t>
        </is>
      </c>
      <c r="E796" s="8" t="inlineStr">
        <is>
          <t>wood</t>
        </is>
      </c>
      <c r="F796" s="8" t="n">
        <v>1</v>
      </c>
      <c r="G796" s="8" t="inlineStr">
        <is>
          <t>基础/顶层</t>
        </is>
      </c>
      <c r="H796" s="8" t="inlineStr"/>
      <c r="I796" s="9" t="inlineStr"/>
      <c r="J796" s="8" t="inlineStr"/>
      <c r="K796" s="8" t="inlineStr"/>
      <c r="L796" s="8" t="inlineStr"/>
      <c r="M796" s="8" t="inlineStr">
        <is>
          <t>周期触发</t>
        </is>
      </c>
      <c r="N796" s="8" t="inlineStr">
        <is>
          <t>periodicPulse</t>
        </is>
      </c>
      <c r="O796" s="9" t="inlineStr">
        <is>
          <t>每有1件相邻尸骸道具，获得5层再生；每有1件相邻尸骸道具，获得7层再生；每有1件相邻尸骸道具，获得9层再生；每有1件相邻尸骸道具，获得11层再生</t>
        </is>
      </c>
      <c r="P796" s="9" t="inlineStr"/>
      <c r="Q796" s="9" t="inlineStr"/>
      <c r="R796" s="9" t="inlineStr">
        <is>
          <t>{"kind":"periodicPulse","periodicPulse":{"intervalSec":12,"buffGains":[{"buffId":"regeneration","count":5}],"scaling":{"mode":"count","source":"adjacentItems","features":["corpse"]},"label":"每有1件相邻尸骸道具，获得5层再生"},"starOverrides":{"1":{"label":"每有1件相邻尸骸道具，获得7层再生","periodicPulse":{"buffGains":[{"count":7}]}},"2":{"label":"每有1件相邻尸骸道具，获得9层再生","periodicPulse":{"buffGains":[{"count":9}]}},"3":{"label":"每有1件相邻尸骸道具，获得11层再生","periodicPulse":{"buffGains":[{"count":11}]}}}}</t>
        </is>
      </c>
    </row>
    <row r="797" ht="32" customHeight="1">
      <c r="A797" s="8" t="n">
        <v>410104</v>
      </c>
      <c r="B797" s="8" t="inlineStr">
        <is>
          <t>灵须避尘簪</t>
        </is>
      </c>
      <c r="C797" s="8" t="inlineStr">
        <is>
          <t>法器</t>
        </is>
      </c>
      <c r="D797" s="8" t="inlineStr">
        <is>
          <t>common</t>
        </is>
      </c>
      <c r="E797" s="8" t="inlineStr">
        <is>
          <t>wind</t>
        </is>
      </c>
      <c r="F797" s="8" t="n">
        <v>1</v>
      </c>
      <c r="G797" s="8" t="inlineStr">
        <is>
          <t>基础/顶层</t>
        </is>
      </c>
      <c r="H797" s="8" t="inlineStr"/>
      <c r="I797" s="9" t="inlineStr"/>
      <c r="J797" s="8" t="inlineStr"/>
      <c r="K797" s="8" t="inlineStr"/>
      <c r="L797" s="8" t="inlineStr"/>
      <c r="M797" s="8" t="inlineStr">
        <is>
          <t>被动效果</t>
        </is>
      </c>
      <c r="N797" s="8" t="inlineStr">
        <is>
          <t>passive</t>
        </is>
      </c>
      <c r="O797" s="9" t="inlineStr">
        <is>
          <t>敏捷不少于 18 层时，法力上限 +10；敏捷不少于 18 层时，法力上限 +15；敏捷不少于 18 层时，法力上限 +20；敏捷不少于 18 层时，法力上限 +25</t>
        </is>
      </c>
      <c r="P797" s="9" t="inlineStr"/>
      <c r="Q797" s="9" t="inlineStr">
        <is>
          <t>primaryStatMaxFlatBonus</t>
        </is>
      </c>
      <c r="R797" s="9" t="inlineStr">
        <is>
          <t>{"kind":"passive","passiveEffect":{"type":"primaryStatMaxFlatBonus","stat":"mana","value":10,"label":"敏捷不少于 18 层时，法力上限 +10","activationRequirements":{"buffStackThresholds":[{"buffId":"agile","comparator":"atLeast","count":18}]}},"label":"敏捷不少于 18 层时，法力上限 +10","starOverrides":{"1":{"label":"敏捷不少于 18 层时，法力上限 +15","passiveEffect":{"type":"primaryStatMaxFlatBonus","stat":"mana","value":15,"label":"敏捷不少于 18 层时，法力上限 +15","activationRequirements":{"buffStackThresholds":[{"buffId":"agile","comparator":"atLeast","count":18}]}}},"2":{"label":"敏捷不少于 18 层时，法力上限 +20","passiveEffect":{"type":"primaryStatMaxFlatBonus","stat":"mana","value":20,"label":"敏捷不少于 18 层时，法力上限 +20","activationRequirements":{"buffStackThresholds":[{"buffId":"agile","comparator":"atLeast","count":18}]}}},"3":{"label":"敏捷不少于 18 层时，法力上限 +25","passiveEffect":{"type":"primaryStatMaxFlatBonus","stat":"mana","value":25,"label":"敏捷不少于 18 层时，法力上限 +25","activationRequirements":{"buffStackThresholds":[{"buffId":"agile","comparator":"atLeast","count":18}]}}}}}</t>
        </is>
      </c>
    </row>
    <row r="798" ht="32" customHeight="1">
      <c r="A798" s="8" t="n">
        <v>410105</v>
      </c>
      <c r="B798" s="8" t="inlineStr">
        <is>
          <t>硬齿护心锥</t>
        </is>
      </c>
      <c r="C798" s="8" t="inlineStr">
        <is>
          <t>法器</t>
        </is>
      </c>
      <c r="D798" s="8" t="inlineStr">
        <is>
          <t>common</t>
        </is>
      </c>
      <c r="E798" s="8" t="inlineStr">
        <is>
          <t>ice</t>
        </is>
      </c>
      <c r="F798" s="8" t="n">
        <v>1</v>
      </c>
      <c r="G798" s="8" t="inlineStr">
        <is>
          <t>基础/顶层</t>
        </is>
      </c>
      <c r="H798" s="8" t="inlineStr"/>
      <c r="I798" s="9" t="inlineStr"/>
      <c r="J798" s="8" t="inlineStr"/>
      <c r="K798" s="8" t="inlineStr"/>
      <c r="L798" s="8" t="inlineStr"/>
      <c r="M798" s="8" t="inlineStr">
        <is>
          <t>周期触发</t>
        </is>
      </c>
      <c r="N798" s="8" t="inlineStr">
        <is>
          <t>periodicPulse</t>
        </is>
      </c>
      <c r="O798" s="9" t="inlineStr">
        <is>
          <t>每有1层寒冷，获得 1 层护甲；每有1层寒冷，获得 2 层护甲；每有1层寒冷，获得 3 层护甲；每有1层寒冷，获得 4 层护甲</t>
        </is>
      </c>
      <c r="P798" s="9" t="inlineStr">
        <is>
          <t>onPeriodicPulse</t>
        </is>
      </c>
      <c r="Q798" s="9" t="inlineStr">
        <is>
          <t>applyBuff</t>
        </is>
      </c>
      <c r="R798" s="9" t="inlineStr">
        <is>
          <t>{"kind":"periodicPulse","periodicPulse":{"startOnly":true,"label":"每有1层寒冷，获得 1 层护甲"},"executors":[{"trigger":"onPeriodicPulse","type":"applyBuff","buffId":"armor","countPerSourceBuffStack":{"buffId":"cold","countPerStack":1},"targetActor":"self","support":"common","label":"每有1层寒冷，获得 1 层护甲"}],"label":"每有1层寒冷，获得 1 层护甲","starOverrides":{"1":{"label":"每有1层寒冷，获得 2 层护甲","executors":[{"countPerSourceBuffStack":{"countPerStack":2},"label":"每有1层寒冷，获得 2 层护甲"}]},"2":{"label":"每有1层寒冷，获得 3 层护甲","executors":[{"countPerSourceBuffStack":{"countPerStack":3},"label":"每有1层寒冷，获得 3 层护甲"}]},"3":{"label":"每有1层寒冷，获得 4 层护甲","executors":[{"countPerSourceBuffStack":{"countPerStack":4},"label":"每有1层寒冷，获得 4 层护甲"}]}}}</t>
        </is>
      </c>
    </row>
    <row r="799" ht="32" customHeight="1">
      <c r="A799" s="8" t="n">
        <v>410152</v>
      </c>
      <c r="B799" s="8" t="inlineStr">
        <is>
          <t>断息牵灵柱</t>
        </is>
      </c>
      <c r="C799" s="8" t="inlineStr">
        <is>
          <t>法器</t>
        </is>
      </c>
      <c r="D799" s="8" t="inlineStr">
        <is>
          <t>common</t>
        </is>
      </c>
      <c r="E799" s="8" t="inlineStr">
        <is>
          <t>poison</t>
        </is>
      </c>
      <c r="F799" s="8" t="n">
        <v>1</v>
      </c>
      <c r="G799" s="8" t="inlineStr">
        <is>
          <t>基础/顶层</t>
        </is>
      </c>
      <c r="H799" s="8" t="inlineStr"/>
      <c r="I799" s="9" t="inlineStr"/>
      <c r="J799" s="8" t="inlineStr"/>
      <c r="K799" s="8" t="inlineStr"/>
      <c r="L799" s="8" t="inlineStr"/>
      <c r="M799" s="8" t="inlineStr">
        <is>
          <t>周期触发</t>
        </is>
      </c>
      <c r="N799" s="8" t="inlineStr">
        <is>
          <t>periodicPulse</t>
        </is>
      </c>
      <c r="O799" s="9" t="inlineStr">
        <is>
          <t>敌方法力低于50%时，对敌方施加10层中毒</t>
        </is>
      </c>
      <c r="P799" s="9" t="inlineStr"/>
      <c r="Q799" s="9" t="inlineStr">
        <is>
          <t>targetPrimaryStatRatioBelow</t>
        </is>
      </c>
      <c r="R799" s="9" t="inlineStr">
        <is>
          <t>{"kind":"periodicPulse","periodicPulse":{"intervalSec":15,"battleCondition":{"type":"targetPrimaryStatRatioBelow","stat":"mana","ratio":0.5},"buffGains":[{"buffId":"poison","count":10,"target":"enemy","polarity":"detrimental"}],"label":"&lt;battle&gt;敌方法力低于50%时，对敌方施加10层中毒&lt;/battle&gt;"},"label":"&lt;battle&gt;敌方法力低于50%时，对敌方施加10层中毒&lt;/battle&gt;"}</t>
        </is>
      </c>
    </row>
    <row r="800" ht="32" customHeight="1">
      <c r="A800" s="8" t="n">
        <v>410154</v>
      </c>
      <c r="B800" s="8" t="inlineStr">
        <is>
          <t>白须游影牌</t>
        </is>
      </c>
      <c r="C800" s="8" t="inlineStr">
        <is>
          <t>法器</t>
        </is>
      </c>
      <c r="D800" s="8" t="inlineStr">
        <is>
          <t>common</t>
        </is>
      </c>
      <c r="E800" s="8" t="inlineStr">
        <is>
          <t>wind</t>
        </is>
      </c>
      <c r="F800" s="8" t="n">
        <v>1</v>
      </c>
      <c r="G800" s="8" t="inlineStr">
        <is>
          <t>基础/顶层</t>
        </is>
      </c>
      <c r="H800" s="8" t="inlineStr"/>
      <c r="I800" s="9" t="inlineStr"/>
      <c r="J800" s="8" t="inlineStr"/>
      <c r="K800" s="8" t="inlineStr"/>
      <c r="L800" s="8" t="inlineStr"/>
      <c r="M800" s="8" t="inlineStr">
        <is>
          <t>被动效果</t>
        </is>
      </c>
      <c r="N800" s="8" t="inlineStr">
        <is>
          <t>passive</t>
        </is>
      </c>
      <c r="O800" s="9" t="inlineStr">
        <is>
          <t>右侧相邻风属性道具获得敏捷时，额外获得 1 层敏捷；右侧相邻风属性道具获得敏捷时，额外获得 2 层敏捷；右侧相邻风属性道具获得敏捷时，额外获得 3 层敏捷；右侧相邻风属性道具获得敏捷时，额外获得 4 层敏捷</t>
        </is>
      </c>
      <c r="P800" s="9" t="inlineStr"/>
      <c r="Q800" s="9" t="inlineStr">
        <is>
          <t>buffGainMirror；directional-adjacent</t>
        </is>
      </c>
      <c r="R800" s="9" t="inlineStr">
        <is>
          <t>{"kind":"passive","passiveEffect":{"type":"buffGainMirror","sourceBuffId":"agile","targetBuffId":"agile","countPerGain":1,"sourceTarget":{"type":"directional-adjacent","direction":"right"},"sourceFilter":{"elements":["wind"]},"label":"右侧相邻风属性道具获得敏捷时，额外获得 1 层敏捷"},"label":"右侧相邻风属性道具获得敏捷时，额外获得 1 层敏捷","starOverrides":{"1":{"label":"右侧相邻风属性道具获得敏捷时，额外获得 2 层敏捷","passiveEffect":{"countPerGain":2}},"2":{"label":"右侧相邻风属性道具获得敏捷时，额外获得 3 层敏捷","passiveEffect":{"countPerGain":3}},"3":{"label":"右侧相邻风属性道具获得敏捷时，额外获得 4 层敏捷","passiveEffect":{"countPerGain":4}}}}</t>
        </is>
      </c>
    </row>
    <row r="801" ht="32" customHeight="1">
      <c r="A801" s="8" t="n">
        <v>410155</v>
      </c>
      <c r="B801" s="8" t="inlineStr">
        <is>
          <t>齿轮凝甲牌</t>
        </is>
      </c>
      <c r="C801" s="8" t="inlineStr">
        <is>
          <t>法器</t>
        </is>
      </c>
      <c r="D801" s="8" t="inlineStr">
        <is>
          <t>common</t>
        </is>
      </c>
      <c r="E801" s="8" t="inlineStr">
        <is>
          <t>earth</t>
        </is>
      </c>
      <c r="F801" s="8" t="n">
        <v>1</v>
      </c>
      <c r="G801" s="8" t="inlineStr">
        <is>
          <t>基础/顶层</t>
        </is>
      </c>
      <c r="H801" s="8" t="inlineStr"/>
      <c r="I801" s="9" t="inlineStr"/>
      <c r="J801" s="8" t="inlineStr"/>
      <c r="K801" s="8" t="inlineStr"/>
      <c r="L801" s="8" t="inlineStr"/>
      <c r="M801" s="8" t="inlineStr">
        <is>
          <t>周期触发</t>
        </is>
      </c>
      <c r="N801" s="8" t="inlineStr">
        <is>
          <t>periodicPulse</t>
        </is>
      </c>
      <c r="O801" s="9" t="inlineStr">
        <is>
          <t>上下各相邻 1 件防具时，获得 2 层坚硬；上下各相邻 1 件防具时，获得 3 层坚硬；上下各相邻 1 件防具时，获得 4 层坚硬；上下各相邻 1 件防具时，获得 5 层坚硬</t>
        </is>
      </c>
      <c r="P801" s="9" t="inlineStr"/>
      <c r="Q801" s="9" t="inlineStr"/>
      <c r="R801" s="9" t="inlineStr">
        <is>
          <t>{"kind":"periodicPulse","periodicPulse":{"intervalSec":10,"activationRequirements":{"directionalNeighbors":[{"direction":"both-vertical","features":["armor"]}]},"buffGains":[{"buffId":"sturdy","count":2}],"label":"上下各相邻 1 件防具时，获得 2 层坚硬"},"starOverrides":{"1":{"label":"上下各相邻 1 件防具时，获得 3 层坚硬","periodicPulse":{"intervalSec":9,"buffGains":[{"count":3}]}},"2":{"label":"上下各相邻 1 件防具时，获得 4 层坚硬","periodicPulse":{"intervalSec":8,"buffGains":[{"count":4}]}},"3":{"label":"上下各相邻 1 件防具时，获得 5 层坚硬","periodicPulse":{"intervalSec":7,"buffGains":[{"count":5}]}}}}</t>
        </is>
      </c>
    </row>
    <row r="802" ht="32" customHeight="1">
      <c r="A802" s="8" t="n">
        <v>410200</v>
      </c>
      <c r="B802" s="8" t="inlineStr">
        <is>
          <t>碧根缚尾鞭</t>
        </is>
      </c>
      <c r="C802" s="8" t="inlineStr">
        <is>
          <t>法器</t>
        </is>
      </c>
      <c r="D802" s="8" t="inlineStr">
        <is>
          <t>common</t>
        </is>
      </c>
      <c r="E802" s="8" t="inlineStr">
        <is>
          <t>water</t>
        </is>
      </c>
      <c r="F802" s="8" t="n">
        <v>1</v>
      </c>
      <c r="G802" s="8" t="inlineStr">
        <is>
          <t>基础/顶层</t>
        </is>
      </c>
      <c r="H802" s="8" t="inlineStr"/>
      <c r="I802" s="9" t="inlineStr"/>
      <c r="J802" s="8" t="inlineStr"/>
      <c r="K802" s="8" t="inlineStr"/>
      <c r="L802" s="8" t="inlineStr"/>
      <c r="M802" s="8" t="inlineStr">
        <is>
          <t>被动效果</t>
        </is>
      </c>
      <c r="N802" s="8" t="inlineStr">
        <is>
          <t>passive</t>
        </is>
      </c>
      <c r="O802" s="9" t="inlineStr">
        <is>
          <t>每有5层露水，闪避上限增加1层</t>
        </is>
      </c>
      <c r="P802" s="9" t="inlineStr"/>
      <c r="Q802" s="9" t="inlineStr">
        <is>
          <t>buffStackCapBonus</t>
        </is>
      </c>
      <c r="R802" s="9" t="inlineStr">
        <is>
          <t>{"kind":"passive","label":"每有5层露水，闪避上限增加1层","passiveEffect":{"type":"buffStackCapBonus","buffId":"dodge","value":1,"scaling":{"mode":"count","source":"buffStacks","buffId":"dew","countDivisor":5},"label":"每有5层露水，闪避上限增加1层"}}</t>
        </is>
      </c>
    </row>
    <row r="803" ht="32" customHeight="1">
      <c r="A803" s="8" t="n">
        <v>410201</v>
      </c>
      <c r="B803" s="8" t="inlineStr">
        <is>
          <t>根泉镇脊甲</t>
        </is>
      </c>
      <c r="C803" s="8" t="inlineStr">
        <is>
          <t>法器</t>
        </is>
      </c>
      <c r="D803" s="8" t="inlineStr">
        <is>
          <t>common</t>
        </is>
      </c>
      <c r="E803" s="8" t="inlineStr">
        <is>
          <t>earth</t>
        </is>
      </c>
      <c r="F803" s="8" t="n">
        <v>1</v>
      </c>
      <c r="G803" s="8" t="inlineStr">
        <is>
          <t>基础/顶层</t>
        </is>
      </c>
      <c r="H803" s="8" t="inlineStr"/>
      <c r="I803" s="9" t="inlineStr"/>
      <c r="J803" s="8" t="inlineStr"/>
      <c r="K803" s="8" t="inlineStr"/>
      <c r="L803" s="8" t="inlineStr"/>
      <c r="M803" s="8" t="inlineStr">
        <is>
          <t>周期触发</t>
        </is>
      </c>
      <c r="N803" s="8" t="inlineStr">
        <is>
          <t>periodicPulse</t>
        </is>
      </c>
      <c r="O803" s="9" t="inlineStr">
        <is>
          <t>每有1层坚硬，获得 1层蓄势（最多40层）</t>
        </is>
      </c>
      <c r="P803" s="9" t="inlineStr">
        <is>
          <t>onPeriodicPulse</t>
        </is>
      </c>
      <c r="Q803" s="9" t="inlineStr">
        <is>
          <t>applyBuff</t>
        </is>
      </c>
      <c r="R803" s="9" t="inlineStr">
        <is>
          <t>{"kind":"periodicPulse","periodicPulse":{"intervalSec":30,"label":"每有1层坚硬，获得 1层蓄势（最多40层）"},"executors":[{"trigger":"onPeriodicPulse","type":"applyBuff","buffId":"heavy","countPerSourceBuffStack":{"buffId":"sturdy","countPerStack":1,"maxCount":40},"targetActor":"self","support":"common","label":"每有1层坚硬，获得 1层蓄势（最多40层）"}],"label":"每有1层坚硬，获得 1层蓄势（最多40层）","starOverrides":{"1":{"label":"每有1层坚硬，获得 1层蓄势（最多40层）","periodicPulse":{"intervalSec":25},"executors":[{"label":"每有1层坚硬，获得 1层蓄势（最多40层）"}]},"2":{"label":"每有1层坚硬，获得 1层蓄势（最多40层）","periodicPulse":{"intervalSec":20},"executors":[{"label":"每有1层坚硬，获得 1层蓄势（最多40层）"}]},"3":{"label":"每有1层坚硬，获得 1层蓄势（最多40层）","periodicPulse":{"intervalSec":15},"executors":[{"label":"每有1层坚硬，获得 1层蓄势（最多40层）"}]}}}</t>
        </is>
      </c>
    </row>
    <row r="804" ht="32" customHeight="1">
      <c r="A804" s="8" t="n">
        <v>410202</v>
      </c>
      <c r="B804" s="8" t="inlineStr">
        <is>
          <t>青露鳞护</t>
        </is>
      </c>
      <c r="C804" s="8" t="inlineStr">
        <is>
          <t>法器</t>
        </is>
      </c>
      <c r="D804" s="8" t="inlineStr">
        <is>
          <t>common</t>
        </is>
      </c>
      <c r="E804" s="8" t="inlineStr">
        <is>
          <t>water</t>
        </is>
      </c>
      <c r="F804" s="8" t="n">
        <v>1</v>
      </c>
      <c r="G804" s="8" t="inlineStr">
        <is>
          <t>基础/顶层</t>
        </is>
      </c>
      <c r="H804" s="8" t="inlineStr"/>
      <c r="I804" s="9" t="inlineStr"/>
      <c r="J804" s="8" t="inlineStr"/>
      <c r="K804" s="8" t="inlineStr"/>
      <c r="L804" s="8" t="inlineStr"/>
      <c r="M804" s="8" t="inlineStr">
        <is>
          <t>被动效果</t>
        </is>
      </c>
      <c r="N804" s="8" t="inlineStr">
        <is>
          <t>passive</t>
        </is>
      </c>
      <c r="O804" s="9" t="inlineStr">
        <is>
          <t>可使用露水抵挡伤害，每层抵挡1点伤害，耐久归零后道具销毁。；可使用露水抵挡伤害，每层抵挡2点伤害，耐久归零后道具销毁。；可使用露水抵挡伤害，每层抵挡3点伤害，耐久归零后道具销毁。；可使用露水抵挡伤害，每层抵挡4点伤害，耐久归零后道具销毁。</t>
        </is>
      </c>
      <c r="P804" s="9" t="inlineStr"/>
      <c r="Q804" s="9" t="inlineStr">
        <is>
          <t>incomingHealthDamageItemDurability</t>
        </is>
      </c>
      <c r="R804" s="9" t="inlineStr">
        <is>
          <t>{"kind":"passive","passiveEffect":{"type":"incomingHealthDamageItemDurability","maxDurability":20,"depletionBehavior":"destroy","durabilityLifecycle":"persistent","support":"battleOnly","buffId":"dew","amountPerStack":1,"label":"&lt;battle&gt;可使用露水抵挡伤害，每层抵挡1点伤害，耐久归零后道具销毁。&lt;/battle&gt;"},"label":"&lt;battle&gt;可使用露水抵挡伤害，每层抵挡1点伤害，耐久归零后道具销毁。&lt;/battle&gt;","starOverrides":{"1":{"label":"&lt;battle&gt;可使用露水抵挡伤害，每层抵挡2点伤害，耐久归零后道具销毁。&lt;/battle&gt;","passiveEffect":{"amountPerStack":2,"label":"&lt;battle&gt;可使用露水抵挡伤害，每层抵挡2点伤害，耐久归零后道具销毁。&lt;/battle&gt;"}},"2":{"label":"&lt;battle&gt;可使用露水抵挡伤害，每层抵挡3点伤害，耐久归零后道具销毁。&lt;/battle&gt;","passiveEffect":{"amountPerStack":3,"label":"&lt;battle&gt;可使用露水抵挡伤害，每层抵挡3点伤害，耐久归零后道具销毁。&lt;/battle&gt;"}},"3":{"label":"&lt;battle&gt;可使用露水抵挡伤害，每层抵挡4点伤害，耐久归零后道具销毁。&lt;/battle&gt;","passiveEffect":{"amountPerStack":4,"label":"&lt;battle&gt;可使用露水抵挡伤害，每层抵挡4点伤害，耐久归零后道具销毁。&lt;/battle&gt;"}}}}</t>
        </is>
      </c>
    </row>
    <row r="805" ht="32" customHeight="1">
      <c r="A805" s="8" t="n">
        <v>410203</v>
      </c>
      <c r="B805" s="8" t="inlineStr">
        <is>
          <t>裂根鉴目</t>
        </is>
      </c>
      <c r="C805" s="8" t="inlineStr">
        <is>
          <t>法器</t>
        </is>
      </c>
      <c r="D805" s="8" t="inlineStr">
        <is>
          <t>common</t>
        </is>
      </c>
      <c r="E805" s="8" t="inlineStr">
        <is>
          <t>fire</t>
        </is>
      </c>
      <c r="F805" s="8" t="n">
        <v>1</v>
      </c>
      <c r="G805" s="8" t="inlineStr">
        <is>
          <t>基础/顶层</t>
        </is>
      </c>
      <c r="H805" s="8" t="inlineStr"/>
      <c r="I805" s="9" t="inlineStr"/>
      <c r="J805" s="8" t="inlineStr"/>
      <c r="K805" s="8" t="inlineStr"/>
      <c r="L805" s="8" t="inlineStr"/>
      <c r="M805" s="8" t="inlineStr">
        <is>
          <t>说明/执行器</t>
        </is>
      </c>
      <c r="N805" s="8" t="inlineStr">
        <is>
          <t>effectNote</t>
        </is>
      </c>
      <c r="O805" s="9" t="inlineStr">
        <is>
          <t>相邻道具累计使用20次后，消耗20层炎热对敌方造成 50 点伤害；相邻道具累计使用20次后，消耗20层炎热；相邻道具累计使用20次后，对敌方造成 50 点伤害；相邻道具累计使用18次后，消耗20层炎热对敌方造成 50 点伤害；相邻道具累计使用18次后，消耗20层炎热；相邻道具累计使用18次后，对敌方造成 50 点伤害；相邻道具累计使用16次后，消耗20层炎热对敌方造成 50 点伤害；相邻道具累计使用16次后，消耗20层炎热；相邻道具累计使用16次后，对敌方造成 50 点伤害；相邻道具累计使用14次后，消耗20层炎热对敌方造成 50 点伤害；相邻道具累计使用14次后，消耗20层炎热；相邻道具累计使用14次后，对敌方造成 50 点伤害</t>
        </is>
      </c>
      <c r="P805" s="9" t="inlineStr">
        <is>
          <t>onItemUse</t>
        </is>
      </c>
      <c r="Q805" s="9" t="inlineStr">
        <is>
          <t>consumeBuffStacks；adjacent；battleDamageHealth</t>
        </is>
      </c>
      <c r="R805" s="9" t="inlineStr">
        <is>
          <t>{"kind":"effectNote","label":"相邻道具累计使用20次后，消耗20层炎热&lt;battle&gt;对敌方造成 50 点伤害&lt;/battle&gt;","activationRequirements":{"buffStackThresholds":[{"buffId":"heat","comparator":"atLeast","count":20}]},"executors":[{"trigger":"onItemUse","type":"consumeBuffStacks","sourceBuffId":"heat","requiredStacks":20,"maxStacks":20,"eventSource":{"target":{"type":"adjacent"}},"charge":{"threshold":20,"countPerEvent":1},"label":"相邻道具累计使用20次后，消耗20层炎热"},{"trigger":"onItemUse","type":"battleDamageHealth","amount":50,"eventSource":{"target":{"type":"adjacent"}},"charge":{"threshold":20,"countPerEvent":1},"support":"battleOnly","label":"&lt;battle&gt;相邻道具累计使用20次后，对敌方造成 50 点伤害&lt;/battle&gt;"}],"starOverrides":{"1":{"label":"相邻道具累计使用18次后，消耗20层炎热&lt;battle&gt;对敌方造成 50 点伤害&lt;/battle&gt;","executors":[{"charge":{"threshold":18},"label":"相邻道具累计使用18次后，消耗20层炎热"},{"charge":{"threshold":18},"label":"&lt;battle&gt;相邻道具累计使用18次后，对敌方造成 50 点伤害&lt;/battle&gt;"}]},"2":{"label":"相邻道具累计使用16次后，消耗20层炎热&lt;battle&gt;对敌方造成 50 点伤害&lt;/battle&gt;","executors":[{"charge":{"threshold":16},"label":"相邻道具累计使用16次后，消耗20层炎热"},{"charge":{"threshold":16},"label":"&lt;battle&gt;相邻道具累计使用16次后，对敌方造成 50 点伤害&lt;/battle&gt;"}]},"3":{"label":"相邻道具累计使用14次后，消耗20层炎热&lt;battle&gt;对敌方造成 50 点伤害&lt;/battle&gt;","executors":[{"charge":{"threshold":14},"label":"相邻道具累计使用14次后，消耗20层炎热"},{"charge":{"threshold":14},"label":"&lt;battle&gt;相邻道具累计使用14次后，对敌方造成 50 点伤害&lt;/battle&gt;"}]}}}</t>
        </is>
      </c>
    </row>
    <row r="806" ht="32" customHeight="1">
      <c r="A806" s="8" t="n">
        <v>410204</v>
      </c>
      <c r="B806" s="8" t="inlineStr">
        <is>
          <t>碧根爪钩</t>
        </is>
      </c>
      <c r="C806" s="8" t="inlineStr">
        <is>
          <t>法器</t>
        </is>
      </c>
      <c r="D806" s="8" t="inlineStr">
        <is>
          <t>common</t>
        </is>
      </c>
      <c r="E806" s="8" t="inlineStr">
        <is>
          <t>poison</t>
        </is>
      </c>
      <c r="F806" s="8" t="n">
        <v>1</v>
      </c>
      <c r="G806" s="8" t="inlineStr">
        <is>
          <t>基础/顶层</t>
        </is>
      </c>
      <c r="H806" s="8" t="inlineStr"/>
      <c r="I806" s="9" t="inlineStr"/>
      <c r="J806" s="8" t="inlineStr"/>
      <c r="K806" s="8" t="inlineStr"/>
      <c r="L806" s="8" t="inlineStr"/>
      <c r="M806" s="8" t="inlineStr">
        <is>
          <t>周期触发</t>
        </is>
      </c>
      <c r="N806" s="8" t="inlineStr">
        <is>
          <t>periodicPulse</t>
        </is>
      </c>
      <c r="O806" s="9" t="inlineStr">
        <is>
          <t>对敌方施加 1 层中毒；对敌方施加 2 层中毒；对敌方施加 3 层中毒；对敌方施加 4 层中毒</t>
        </is>
      </c>
      <c r="P806" s="9" t="inlineStr"/>
      <c r="Q806" s="9" t="inlineStr"/>
      <c r="R806" s="9" t="inlineStr">
        <is>
          <t>{"kind":"periodicPulse","periodicPulse":{"intervalSec":8,"buffGains":[{"buffId":"poison","count":1,"target":"enemy","polarity":"detrimental"}],"label":"&lt;battle&gt;对敌方施加 1 层中毒&lt;/battle&gt;"},"label":"&lt;battle&gt;对敌方施加 1 层中毒&lt;/battle&gt;","starOverrides":{"1":{"label":"&lt;battle&gt;对敌方施加 2 层中毒&lt;/battle&gt;","periodicPulse":{"buffGains":[{"buffId":"poison","count":2,"target":"enemy","polarity":"detrimental"}]}},"2":{"label":"&lt;battle&gt;对敌方施加 3 层中毒&lt;/battle&gt;","periodicPulse":{"buffGains":[{"buffId":"poison","count":3,"target":"enemy","polarity":"detrimental"}]}},"3":{"label":"&lt;battle&gt;对敌方施加 4 层中毒&lt;/battle&gt;","periodicPulse":{"buffGains":[{"buffId":"poison","count":4,"target":"enemy","polarity":"detrimental"}]}}}}</t>
        </is>
      </c>
    </row>
    <row r="807" ht="32" customHeight="1">
      <c r="A807" s="8" t="n">
        <v>410205</v>
      </c>
      <c r="B807" s="8" t="inlineStr">
        <is>
          <t>根泉养脉囊</t>
        </is>
      </c>
      <c r="C807" s="8" t="inlineStr">
        <is>
          <t>法器</t>
        </is>
      </c>
      <c r="D807" s="8" t="inlineStr">
        <is>
          <t>common</t>
        </is>
      </c>
      <c r="E807" s="8" t="inlineStr">
        <is>
          <t>wood</t>
        </is>
      </c>
      <c r="F807" s="8" t="n">
        <v>1</v>
      </c>
      <c r="G807" s="8" t="inlineStr">
        <is>
          <t>基础/顶层</t>
        </is>
      </c>
      <c r="H807" s="8" t="inlineStr"/>
      <c r="I807" s="9" t="inlineStr"/>
      <c r="J807" s="8" t="inlineStr"/>
      <c r="K807" s="8" t="inlineStr"/>
      <c r="L807" s="8" t="inlineStr"/>
      <c r="M807" s="8" t="inlineStr">
        <is>
          <t>周期触发</t>
        </is>
      </c>
      <c r="N807" s="8" t="inlineStr">
        <is>
          <t>periodicPulse</t>
        </is>
      </c>
      <c r="O807" s="9" t="inlineStr">
        <is>
          <t>气血上限 +0，每次轮转后效果升级。；气血上限</t>
        </is>
      </c>
      <c r="P807" s="9" t="inlineStr">
        <is>
          <t>onPeriodicPulse</t>
        </is>
      </c>
      <c r="Q807" s="9" t="inlineStr">
        <is>
          <t>primaryStatMaxFlatBonus</t>
        </is>
      </c>
      <c r="R807" s="9" t="inlineStr">
        <is>
          <t>{"kind":"periodicPulse","periodicPulse":{"intervalSec":10,"label":"&lt;singleton&gt;气血上限 +0，每次轮转后效果升级&lt;/singleton&gt;。"},"executors":[],"label":"&lt;singleton&gt;气血上限 +0，每次轮转后效果升级&lt;/singleton&gt;。","starOverrides":{"1":{"growth":{"bindings":[{"delta":6,"maxValue":60}]}},"2":{"growth":{"bindings":[{"delta":9,"maxValue":80}]}},"3":{"growth":{"bindings":[{"delta":12,"maxValue":100}]}}},"modifiers":[{"type":"primaryStatMaxFlatBonus","stat":"health","value":0,"label":"&lt;singleton&gt;气血上限 +0，每次轮转后效果升级&lt;/singleton&gt;。"}],"growth":{"lifecycle":"singleGame","trigger":"onPeriodicPulse","bindings":[{"path":"modifiers.0.value","delta":3,"maxValue":40,"label":"气血上限","textOccurrence":0}],"support":"common"}}</t>
        </is>
      </c>
    </row>
    <row r="808" ht="32" customHeight="1">
      <c r="A808" s="8" t="n">
        <v>410250</v>
      </c>
      <c r="B808" s="8" t="inlineStr">
        <is>
          <t>碧根裂风索</t>
        </is>
      </c>
      <c r="C808" s="8" t="inlineStr">
        <is>
          <t>法器</t>
        </is>
      </c>
      <c r="D808" s="8" t="inlineStr">
        <is>
          <t>common</t>
        </is>
      </c>
      <c r="E808" s="8" t="inlineStr">
        <is>
          <t>wind</t>
        </is>
      </c>
      <c r="F808" s="8" t="n">
        <v>1</v>
      </c>
      <c r="G808" s="8" t="inlineStr">
        <is>
          <t>基础/顶层</t>
        </is>
      </c>
      <c r="H808" s="8" t="inlineStr"/>
      <c r="I808" s="9" t="inlineStr"/>
      <c r="J808" s="8" t="inlineStr"/>
      <c r="K808" s="8" t="inlineStr"/>
      <c r="L808" s="8" t="inlineStr"/>
      <c r="M808" s="8" t="inlineStr">
        <is>
          <t>条件触发</t>
        </is>
      </c>
      <c r="N808" s="8" t="inlineStr">
        <is>
          <t>triggered</t>
        </is>
      </c>
      <c r="O808" s="9" t="inlineStr">
        <is>
          <t>相邻武器的体力消耗被敏捷完全抵消时，对敌方施加 1 层风压；相邻武器的体力消耗被敏捷完全抵消时，对敌方施加 2 层风压；相邻武器的体力消耗被敏捷完全抵消时，对敌方施加 3 层风压；相邻武器的体力消耗被敏捷完全抵消时，对敌方施加 4 层风压</t>
        </is>
      </c>
      <c r="P808" s="9" t="inlineStr">
        <is>
          <t>onStaminaCostFullyNegatedByAgile</t>
        </is>
      </c>
      <c r="Q808" s="9" t="inlineStr">
        <is>
          <t>applyBuff；adjacent</t>
        </is>
      </c>
      <c r="R808" s="9" t="inlineStr">
        <is>
          <t>{"kind":"triggered","triggeredEffect":{"trigger":"onStaminaCostFullyNegatedByAgile","type":"applyBuff","buffId":"windPressure","count":1,"targetActor":"enemy","polarity":"detrimental","eventSource":{"target":{"type":"adjacent"},"filter":{"features":["weapon"]}},"support":"battleOnly"},"label":"&lt;battle&gt;相邻武器的体力消耗被敏捷完全抵消时，对敌方施加 1 层风压&lt;/battle&gt;","starOverrides":{"1":{"label":"&lt;battle&gt;相邻武器的体力消耗被敏捷完全抵消时，对敌方施加 2 层风压&lt;/battle&gt;","triggeredEffect":{"count":2}},"2":{"label":"&lt;battle&gt;相邻武器的体力消耗被敏捷完全抵消时，对敌方施加 3 层风压&lt;/battle&gt;","triggeredEffect":{"count":3}},"3":{"label":"&lt;battle&gt;相邻武器的体力消耗被敏捷完全抵消时，对敌方施加 4 层风压&lt;/battle&gt;","triggeredEffect":{"count":4}}}}</t>
        </is>
      </c>
    </row>
    <row r="809" ht="32" customHeight="1">
      <c r="A809" s="8" t="n">
        <v>410251</v>
      </c>
      <c r="B809" s="8" t="inlineStr">
        <is>
          <t>碧根飞爪</t>
        </is>
      </c>
      <c r="C809" s="8" t="inlineStr">
        <is>
          <t>法器</t>
        </is>
      </c>
      <c r="D809" s="8" t="inlineStr">
        <is>
          <t>common</t>
        </is>
      </c>
      <c r="E809" s="8" t="inlineStr">
        <is>
          <t>wind</t>
        </is>
      </c>
      <c r="F809" s="8" t="n">
        <v>1</v>
      </c>
      <c r="G809" s="8" t="inlineStr">
        <is>
          <t>基础/顶层</t>
        </is>
      </c>
      <c r="H809" s="8" t="inlineStr"/>
      <c r="I809" s="9" t="inlineStr"/>
      <c r="J809" s="8" t="inlineStr"/>
      <c r="K809" s="8" t="inlineStr"/>
      <c r="L809" s="8" t="inlineStr"/>
      <c r="M809" s="8" t="inlineStr">
        <is>
          <t>条件触发</t>
        </is>
      </c>
      <c r="N809" s="8" t="inlineStr">
        <is>
          <t>triggered</t>
        </is>
      </c>
      <c r="O809" s="9" t="inlineStr">
        <is>
          <t>相邻武器使用时，获得 1 层敏捷；相邻武器使用时，获得 2 层敏捷；相邻武器使用时，获得 3 层敏捷；相邻武器使用时，获得 4 层敏捷</t>
        </is>
      </c>
      <c r="P809" s="9" t="inlineStr">
        <is>
          <t>onItemUse</t>
        </is>
      </c>
      <c r="Q809" s="9" t="inlineStr">
        <is>
          <t>applyBuff；adjacent</t>
        </is>
      </c>
      <c r="R809" s="9" t="inlineStr">
        <is>
          <t>{"kind":"triggered","triggeredEffect":{"trigger":"onItemUse","type":"applyBuff","buffId":"agile","count":1,"targetActor":"self","eventSource":{"target":{"type":"adjacent"},"filter":{"features":["weapon"]}},"support":"battleOnly"},"label":"&lt;battle&gt;相邻武器使用时，获得 1 层敏捷&lt;/battle&gt;","starOverrides":{"1":{"label":"&lt;battle&gt;相邻武器使用时，获得 2 层敏捷&lt;/battle&gt;","triggeredEffect":{"count":2}},"2":{"label":"&lt;battle&gt;相邻武器使用时，获得 3 层敏捷&lt;/battle&gt;","triggeredEffect":{"count":3}},"3":{"label":"&lt;battle&gt;相邻武器使用时，获得 4 层敏捷&lt;/battle&gt;","triggeredEffect":{"count":4}}}}</t>
        </is>
      </c>
    </row>
    <row r="810" ht="32" customHeight="1">
      <c r="A810" s="8" t="n">
        <v>410300</v>
      </c>
      <c r="B810" s="8" t="inlineStr">
        <is>
          <t>潭纹镇脉盾</t>
        </is>
      </c>
      <c r="C810" s="8" t="inlineStr">
        <is>
          <t>法器</t>
        </is>
      </c>
      <c r="D810" s="8" t="inlineStr">
        <is>
          <t>common</t>
        </is>
      </c>
      <c r="E810" s="8" t="inlineStr">
        <is>
          <t>water</t>
        </is>
      </c>
      <c r="F810" s="8" t="n">
        <v>1</v>
      </c>
      <c r="G810" s="8" t="inlineStr">
        <is>
          <t>基础/顶层</t>
        </is>
      </c>
      <c r="H810" s="8" t="inlineStr"/>
      <c r="I810" s="9" t="inlineStr"/>
      <c r="J810" s="8" t="inlineStr"/>
      <c r="K810" s="8" t="inlineStr"/>
      <c r="L810" s="8" t="inlineStr"/>
      <c r="M810" s="8" t="inlineStr">
        <is>
          <t>被动效果</t>
        </is>
      </c>
      <c r="N810" s="8" t="inlineStr">
        <is>
          <t>passive</t>
        </is>
      </c>
      <c r="O810" s="9" t="inlineStr">
        <is>
          <t>可承受100点攻击，耐久归零后道具销毁。</t>
        </is>
      </c>
      <c r="P810" s="9" t="inlineStr"/>
      <c r="Q810" s="9" t="inlineStr">
        <is>
          <t>incomingHealthDamageItemDurability</t>
        </is>
      </c>
      <c r="R810" s="9" t="inlineStr">
        <is>
          <t>{"kind":"passive","passiveEffect":{"type":"incomingHealthDamageItemDurability","maxDurability":40,"depletionBehavior":"destroy","durabilityLifecycle":"persistent","support":"battleOnly","label":"&lt;battle&gt;可承受100点攻击，耐久归零后道具销毁。&lt;/battle&gt;"},"label":"&lt;battle&gt;可承受100点攻击，耐久归零后道具销毁。&lt;/battle&gt;"}</t>
        </is>
      </c>
    </row>
    <row r="811" ht="32" customHeight="1">
      <c r="A811" s="8" t="n">
        <v>410301</v>
      </c>
      <c r="B811" s="8" t="inlineStr">
        <is>
          <t>回澜棘槌</t>
        </is>
      </c>
      <c r="C811" s="8" t="inlineStr">
        <is>
          <t>法器</t>
        </is>
      </c>
      <c r="D811" s="8" t="inlineStr">
        <is>
          <t>common</t>
        </is>
      </c>
      <c r="E811" s="8" t="inlineStr">
        <is>
          <t>thunder</t>
        </is>
      </c>
      <c r="F811" s="8" t="n">
        <v>1</v>
      </c>
      <c r="G811" s="8" t="inlineStr">
        <is>
          <t>基础/顶层</t>
        </is>
      </c>
      <c r="H811" s="8" t="inlineStr"/>
      <c r="I811" s="9" t="inlineStr"/>
      <c r="J811" s="8" t="inlineStr"/>
      <c r="K811" s="8" t="inlineStr"/>
      <c r="L811" s="8" t="inlineStr"/>
      <c r="M811" s="8" t="inlineStr">
        <is>
          <t>条件触发</t>
        </is>
      </c>
      <c r="N811" s="8" t="inlineStr">
        <is>
          <t>triggered</t>
        </is>
      </c>
      <c r="O811" s="9" t="inlineStr">
        <is>
          <t>相邻武器造成伤害时，获得 1 层引雷；相邻武器造成伤害时，获得 2 层引雷；相邻武器造成伤害时，获得 3 层引雷；相邻武器造成伤害时，获得 4 层引雷</t>
        </is>
      </c>
      <c r="P811" s="9" t="inlineStr">
        <is>
          <t>onBattleHealthDamageDealt</t>
        </is>
      </c>
      <c r="Q811" s="9" t="inlineStr">
        <is>
          <t>applyBuff；adjacent</t>
        </is>
      </c>
      <c r="R811" s="9" t="inlineStr">
        <is>
          <t>{"kind":"triggered","triggeredEffect":{"trigger":"onBattleHealthDamageDealt","type":"applyBuff","buffId":"lightningCharge","count":1,"targetActor":"self","eventSource":{"target":{"type":"adjacent"},"filter":{"features":["weapon"]}},"support":"battleOnly"},"label":"&lt;battle&gt;相邻武器造成伤害时，获得 1 层引雷&lt;/battle&gt;","starOverrides":{"1":{"label":"&lt;battle&gt;相邻武器造成伤害时，获得 2 层引雷&lt;/battle&gt;","triggeredEffect":{"count":2}},"2":{"label":"&lt;battle&gt;相邻武器造成伤害时，获得 3 层引雷&lt;/battle&gt;","triggeredEffect":{"count":3}},"3":{"label":"&lt;battle&gt;相邻武器造成伤害时，获得 4 层引雷&lt;/battle&gt;","triggeredEffect":{"count":4}}}}</t>
        </is>
      </c>
    </row>
    <row r="812" ht="32" customHeight="1">
      <c r="A812" s="8" t="n">
        <v>410302</v>
      </c>
      <c r="B812" s="8" t="inlineStr">
        <is>
          <t>涉泉连爪钩</t>
        </is>
      </c>
      <c r="C812" s="8" t="inlineStr">
        <is>
          <t>法器</t>
        </is>
      </c>
      <c r="D812" s="8" t="inlineStr">
        <is>
          <t>common</t>
        </is>
      </c>
      <c r="E812" s="8" t="inlineStr">
        <is>
          <t>poison</t>
        </is>
      </c>
      <c r="F812" s="8" t="n">
        <v>1</v>
      </c>
      <c r="G812" s="8" t="inlineStr">
        <is>
          <t>基础/顶层</t>
        </is>
      </c>
      <c r="H812" s="8" t="inlineStr"/>
      <c r="I812" s="9" t="inlineStr"/>
      <c r="J812" s="8" t="inlineStr"/>
      <c r="K812" s="8" t="inlineStr"/>
      <c r="L812" s="8" t="inlineStr"/>
      <c r="M812" s="8" t="inlineStr">
        <is>
          <t>条件触发</t>
        </is>
      </c>
      <c r="N812" s="8" t="inlineStr">
        <is>
          <t>triggered</t>
        </is>
      </c>
      <c r="O812" s="9" t="inlineStr">
        <is>
          <t>使用左侧相邻武器时，对敌方施加 1 层中毒；使用左侧相邻武器时，对敌方施加 2 层中毒；使用左侧相邻武器时，对敌方施加 3 层中毒；使用左侧相邻武器时，对敌方施加 4 层中毒</t>
        </is>
      </c>
      <c r="P812" s="9" t="inlineStr">
        <is>
          <t>onItemUse</t>
        </is>
      </c>
      <c r="Q812" s="9" t="inlineStr">
        <is>
          <t>applyBuff；directional-adjacent</t>
        </is>
      </c>
      <c r="R812" s="9" t="inlineStr">
        <is>
          <t>{"kind":"triggered","triggeredEffect":{"trigger":"onItemUse","type":"applyBuff","buffId":"poison","count":1,"targetActor":"enemy","polarity":"detrimental","eventSource":{"target":{"type":"directional-adjacent","direction":"left"},"filter":{"features":["weapon"]}},"support":"battleOnly"},"label":"&lt;battle&gt;使用左侧相邻武器时，对敌方施加 1 层中毒&lt;/battle&gt;","starOverrides":{"1":{"label":"&lt;battle&gt;使用左侧相邻武器时，对敌方施加 2 层中毒&lt;/battle&gt;","triggeredEffect":{"count":2}},"2":{"label":"&lt;battle&gt;使用左侧相邻武器时，对敌方施加 3 层中毒&lt;/battle&gt;","triggeredEffect":{"count":3}},"3":{"label":"&lt;battle&gt;使用左侧相邻武器时，对敌方施加 4 层中毒&lt;/battle&gt;","triggeredEffect":{"count":4}}}}</t>
        </is>
      </c>
    </row>
    <row r="813" ht="32" customHeight="1">
      <c r="A813" s="8" t="n">
        <v>410303</v>
      </c>
      <c r="B813" s="8" t="inlineStr">
        <is>
          <t>清泉纳息瓶</t>
        </is>
      </c>
      <c r="C813" s="8" t="inlineStr">
        <is>
          <t>法器</t>
        </is>
      </c>
      <c r="D813" s="8" t="inlineStr">
        <is>
          <t>common</t>
        </is>
      </c>
      <c r="E813" s="8" t="inlineStr">
        <is>
          <t>water</t>
        </is>
      </c>
      <c r="F813" s="8" t="n">
        <v>1</v>
      </c>
      <c r="G813" s="8" t="inlineStr">
        <is>
          <t>基础/顶层</t>
        </is>
      </c>
      <c r="H813" s="8" t="inlineStr"/>
      <c r="I813" s="9" t="inlineStr"/>
      <c r="J813" s="8" t="inlineStr"/>
      <c r="K813" s="8" t="inlineStr"/>
      <c r="L813" s="8" t="inlineStr"/>
      <c r="M813" s="8" t="inlineStr">
        <is>
          <t>周期触发</t>
        </is>
      </c>
      <c r="N813" s="8" t="inlineStr">
        <is>
          <t>periodicPulse</t>
        </is>
      </c>
      <c r="O813" s="9" t="inlineStr">
        <is>
          <t>恢复 4 点法力并获得 2 层露水；恢复 6 点法力并获得 4 层露水；恢复 8 点法力并获得 6 层露水；恢复 10 点法力并获得 8 层露水</t>
        </is>
      </c>
      <c r="P813" s="9" t="inlineStr"/>
      <c r="Q813" s="9" t="inlineStr"/>
      <c r="R813" s="9" t="inlineStr">
        <is>
          <t>{"kind":"periodicPulse","periodicPulse":{"intervalSec":14,"primaryStatGains":[{"stat":"mana","amount":4}],"buffGains":[{"buffId":"dew","count":2}],"label":"恢复 4 点法力并获得 2 层露水"},"label":"恢复 4 点法力并获得 2 层露水","starOverrides":{"1":{"label":"恢复 6 点法力并获得 4 层露水","periodicPulse":{"intervalSec":13,"primaryStatGains":[{"amount":6}],"buffGains":[{"count":4}]}},"2":{"label":"恢复 8 点法力并获得 6 层露水","periodicPulse":{"intervalSec":12,"primaryStatGains":[{"amount":8}],"buffGains":[{"count":6}]}},"3":{"label":"恢复 10 点法力并获得 8 层露水","periodicPulse":{"intervalSec":11,"primaryStatGains":[{"amount":10}],"buffGains":[{"count":8}]}}}}</t>
        </is>
      </c>
    </row>
    <row r="814" ht="32" customHeight="1">
      <c r="A814" s="8" t="n">
        <v>410304</v>
      </c>
      <c r="B814" s="8" t="inlineStr">
        <is>
          <t>碧囊回元壶</t>
        </is>
      </c>
      <c r="C814" s="8" t="inlineStr">
        <is>
          <t>法器</t>
        </is>
      </c>
      <c r="D814" s="8" t="inlineStr">
        <is>
          <t>common</t>
        </is>
      </c>
      <c r="E814" s="8" t="inlineStr">
        <is>
          <t>wood</t>
        </is>
      </c>
      <c r="F814" s="8" t="n">
        <v>1</v>
      </c>
      <c r="G814" s="8" t="inlineStr">
        <is>
          <t>基础/顶层</t>
        </is>
      </c>
      <c r="H814" s="8" t="inlineStr"/>
      <c r="I814" s="9" t="inlineStr"/>
      <c r="J814" s="8" t="inlineStr"/>
      <c r="K814" s="8" t="inlineStr"/>
      <c r="L814" s="8" t="inlineStr"/>
      <c r="M814" s="8" t="inlineStr">
        <is>
          <t>周期触发</t>
        </is>
      </c>
      <c r="N814" s="8" t="inlineStr">
        <is>
          <t>periodicPulse</t>
        </is>
      </c>
      <c r="O814" s="9" t="inlineStr">
        <is>
          <t>获得 6 层再生；获得 8 层再生；获得 10 层再生；获得 12 层再生</t>
        </is>
      </c>
      <c r="P814" s="9" t="inlineStr"/>
      <c r="Q814" s="9" t="inlineStr"/>
      <c r="R814" s="9" t="inlineStr">
        <is>
          <t>{"kind":"periodicPulse","periodicPulse":{"buffGains":[{"buffId":"regeneration","count":6}],"label":"获得 6 层再生","startOnly":true},"label":"获得 6 层再生","starOverrides":{"1":{"label":"获得 8 层再生","periodicPulse":{"buffGains":[{"count":8}]}},"2":{"label":"获得 10 层再生","periodicPulse":{"buffGains":[{"count":10}]}},"3":{"label":"获得 12 层再生","periodicPulse":{"buffGains":[{"count":12}]}}}}</t>
        </is>
      </c>
    </row>
    <row r="815" ht="32" customHeight="1">
      <c r="A815" s="8" t="n">
        <v>410305</v>
      </c>
      <c r="B815" s="8" t="inlineStr">
        <is>
          <t>束泉韧环</t>
        </is>
      </c>
      <c r="C815" s="8" t="inlineStr">
        <is>
          <t>法器</t>
        </is>
      </c>
      <c r="D815" s="8" t="inlineStr">
        <is>
          <t>common</t>
        </is>
      </c>
      <c r="E815" s="8" t="inlineStr">
        <is>
          <t>wind</t>
        </is>
      </c>
      <c r="F815" s="8" t="n">
        <v>1</v>
      </c>
      <c r="G815" s="8" t="inlineStr">
        <is>
          <t>基础/顶层</t>
        </is>
      </c>
      <c r="H815" s="8" t="inlineStr"/>
      <c r="I815" s="9" t="inlineStr"/>
      <c r="J815" s="8" t="inlineStr"/>
      <c r="K815" s="8" t="inlineStr"/>
      <c r="L815" s="8" t="inlineStr"/>
      <c r="M815" s="8" t="inlineStr">
        <is>
          <t>条件触发</t>
        </is>
      </c>
      <c r="N815" s="8" t="inlineStr">
        <is>
          <t>triggered</t>
        </is>
      </c>
      <c r="O815" s="9" t="inlineStr">
        <is>
          <t>每当消耗至少 10 点体力时，获得 3 层敏捷；每当消耗至少 12 点体力时，获得 6 层敏捷；每当消耗至少 14 点体力时，获得 9 层敏捷；每当消耗至少 16 点体力时，获得 12 层敏捷</t>
        </is>
      </c>
      <c r="P815" s="9" t="inlineStr">
        <is>
          <t>onPrimaryStatConsumed</t>
        </is>
      </c>
      <c r="Q815" s="9" t="inlineStr">
        <is>
          <t>applyBuff</t>
        </is>
      </c>
      <c r="R815" s="9" t="inlineStr">
        <is>
          <t>{"kind":"triggered","triggeredEffect":{"trigger":"onPrimaryStatConsumed","type":"applyBuff","buffId":"agile","count":3,"targetActor":"self","minEventPrimaryStatConsumed":{"stat":"stamina","amount":10},"singletonByTemplate":true},"label":"&lt;singleton&gt;每当消耗至少 10 点体力时，获得 3 层敏捷&lt;/singleton&gt;","starOverrides":{"1":{"label":"&lt;singleton&gt;每当消耗至少 12 点体力时，获得 6 层敏捷&lt;/singleton&gt;","triggeredEffect":{"count":6,"minEventPrimaryStatConsumed":{"amount":12}}},"2":{"label":"&lt;singleton&gt;每当消耗至少 14 点体力时，获得 9 层敏捷&lt;/singleton&gt;","triggeredEffect":{"count":9,"minEventPrimaryStatConsumed":{"amount":14}}},"3":{"label":"&lt;singleton&gt;每当消耗至少 16 点体力时，获得 12 层敏捷&lt;/singleton&gt;","triggeredEffect":{"count":12,"minEventPrimaryStatConsumed":{"amount":16}}}}}</t>
        </is>
      </c>
    </row>
    <row r="816" ht="32" customHeight="1">
      <c r="A816" s="8" t="n">
        <v>410351</v>
      </c>
      <c r="B816" s="8" t="inlineStr">
        <is>
          <t>泉脉回环牌</t>
        </is>
      </c>
      <c r="C816" s="8" t="inlineStr">
        <is>
          <t>法器</t>
        </is>
      </c>
      <c r="D816" s="8" t="inlineStr">
        <is>
          <t>common</t>
        </is>
      </c>
      <c r="E816" s="8" t="inlineStr">
        <is>
          <t>water</t>
        </is>
      </c>
      <c r="F816" s="8" t="n">
        <v>1</v>
      </c>
      <c r="G816" s="8" t="inlineStr">
        <is>
          <t>基础/顶层</t>
        </is>
      </c>
      <c r="H816" s="8" t="inlineStr"/>
      <c r="I816" s="9" t="inlineStr"/>
      <c r="J816" s="8" t="inlineStr"/>
      <c r="K816" s="8" t="inlineStr"/>
      <c r="L816" s="8" t="inlineStr"/>
      <c r="M816" s="8" t="inlineStr">
        <is>
          <t>被动效果</t>
        </is>
      </c>
      <c r="N816" s="8" t="inlineStr">
        <is>
          <t>passive</t>
        </is>
      </c>
      <c r="O816" s="9" t="inlineStr">
        <is>
          <t>和水属性武器相邻时，法力上限 +10；和水属性武器相邻时，法力上限 +20；和水属性武器相邻时，法力上限 +30；和水属性武器相邻时，法力上限 +40</t>
        </is>
      </c>
      <c r="P816" s="9" t="inlineStr"/>
      <c r="Q816" s="9" t="inlineStr">
        <is>
          <t>primaryStatMaxFlatBonus</t>
        </is>
      </c>
      <c r="R816" s="9" t="inlineStr">
        <is>
          <t>{"kind":"passive","passiveEffect":{"type":"primaryStatMaxFlatBonus","stat":"mana","value":10,"activationRequirements":{"neighborCounts":[{"minCount":1,"features":["weapon"],"elements":["water"]}]},"label":"和水属性武器相邻时，法力上限 +10"},"label":"和水属性武器相邻时，法力上限 +10","starOverrides":{"1":{"label":"和水属性武器相邻时，法力上限 +20","passiveEffect":{"value":20,"label":"和水属性武器相邻时，法力上限 +20"}},"2":{"label":"和水属性武器相邻时，法力上限 +30","passiveEffect":{"value":30,"label":"和水属性武器相邻时，法力上限 +30"}},"3":{"label":"和水属性武器相邻时，法力上限 +40","passiveEffect":{"value":40,"label":"和水属性武器相邻时，法力上限 +40"}}}}</t>
        </is>
      </c>
    </row>
    <row r="817" ht="32" customHeight="1">
      <c r="A817" s="8" t="n">
        <v>410352</v>
      </c>
      <c r="B817" s="8" t="inlineStr">
        <is>
          <t>蓄潭济流牌</t>
        </is>
      </c>
      <c r="C817" s="8" t="inlineStr">
        <is>
          <t>法器</t>
        </is>
      </c>
      <c r="D817" s="8" t="inlineStr">
        <is>
          <t>common</t>
        </is>
      </c>
      <c r="E817" s="8" t="inlineStr">
        <is>
          <t>water</t>
        </is>
      </c>
      <c r="F817" s="8" t="n">
        <v>1</v>
      </c>
      <c r="G817" s="8" t="inlineStr">
        <is>
          <t>基础/顶层</t>
        </is>
      </c>
      <c r="H817" s="8" t="inlineStr"/>
      <c r="I817" s="9" t="inlineStr"/>
      <c r="J817" s="8" t="inlineStr"/>
      <c r="K817" s="8" t="inlineStr"/>
      <c r="L817" s="8" t="inlineStr"/>
      <c r="M817" s="8" t="inlineStr">
        <is>
          <t>条件触发</t>
        </is>
      </c>
      <c r="N817" s="8" t="inlineStr">
        <is>
          <t>triggered</t>
        </is>
      </c>
      <c r="O817" s="9" t="inlineStr">
        <is>
          <t>每消耗 2 点法力，获得 1 层露水，单次最多获得 2 层；每消耗 2 点法力，获得 1 层露水，单次最多获得 3 层；每消耗 2 点法力，获得 1 层露水，单次最多获得 4 层；每消耗 2 点法力，获得 1 层露水，单次最多获得 5 层</t>
        </is>
      </c>
      <c r="P817" s="9" t="inlineStr">
        <is>
          <t>onPrimaryStatConsumed</t>
        </is>
      </c>
      <c r="Q817" s="9" t="inlineStr">
        <is>
          <t>applyBuff</t>
        </is>
      </c>
      <c r="R817" s="9" t="inlineStr">
        <is>
          <t>{"kind":"triggered","triggeredEffect":{"trigger":"onPrimaryStatConsumed","type":"applyBuff","buffId":"dew","countPerEventPrimaryStatConsumed":{"stat":"mana","costPerStack":2,"countPerStack":1,"maxCount":2},"targetActor":"self"},"label":"每消耗 2 点法力，获得 1 层露水，单次最多获得 2 层","starOverrides":{"1":{"label":"每消耗 2 点法力，获得 1 层露水，单次最多获得 3 层","triggeredEffect":{"countPerEventPrimaryStatConsumed":{"maxCount":3}}},"2":{"label":"每消耗 2 点法力，获得 1 层露水，单次最多获得 4 层","triggeredEffect":{"countPerEventPrimaryStatConsumed":{"maxCount":4}}},"3":{"label":"每消耗 2 点法力，获得 1 层露水，单次最多获得 5 层","triggeredEffect":{"countPerEventPrimaryStatConsumed":{"maxCount":5}}}}}</t>
        </is>
      </c>
    </row>
    <row r="818" ht="32" customHeight="1">
      <c r="A818" s="8" t="n">
        <v>410353</v>
      </c>
      <c r="B818" s="8" t="inlineStr">
        <is>
          <t>柔澜牵机枢</t>
        </is>
      </c>
      <c r="C818" s="8" t="inlineStr">
        <is>
          <t>法器</t>
        </is>
      </c>
      <c r="D818" s="8" t="inlineStr">
        <is>
          <t>common</t>
        </is>
      </c>
      <c r="E818" s="8" t="inlineStr">
        <is>
          <t>thunder</t>
        </is>
      </c>
      <c r="F818" s="8" t="n">
        <v>1</v>
      </c>
      <c r="G818" s="8" t="inlineStr">
        <is>
          <t>基础/顶层</t>
        </is>
      </c>
      <c r="H818" s="8" t="inlineStr"/>
      <c r="I818" s="9" t="inlineStr"/>
      <c r="J818" s="8" t="inlineStr"/>
      <c r="K818" s="8" t="inlineStr"/>
      <c r="L818" s="8" t="inlineStr"/>
      <c r="M818" s="8" t="inlineStr">
        <is>
          <t>周期触发</t>
        </is>
      </c>
      <c r="N818" s="8" t="inlineStr">
        <is>
          <t>periodicPulse</t>
        </is>
      </c>
      <c r="O818" s="9" t="inlineStr">
        <is>
          <t>消耗 3 层引雷，对敌方施加 3 层麻痹；消耗 4 层引雷，对敌方施加 4 层麻痹；消耗 5 层引雷，对敌方施加 5 层麻痹；消耗 6 层引雷，对敌方施加 6 层麻痹</t>
        </is>
      </c>
      <c r="P818" s="9" t="inlineStr">
        <is>
          <t>onPeriodicPulse</t>
        </is>
      </c>
      <c r="Q818" s="9" t="inlineStr">
        <is>
          <t>consumeBuffStacks</t>
        </is>
      </c>
      <c r="R818" s="9" t="inlineStr">
        <is>
          <t>{"kind":"periodicPulse","periodicPulse":{"intervalSec":7,"label":"&lt;battle&gt;消耗 3 层引雷，对敌方施加 3 层麻痹&lt;/battle&gt;"},"executors":[{"trigger":"onPeriodicPulse","type":"consumeBuffStacks","sourceBuffId":"lightningCharge","requiredStacks":3,"maxStacks":3,"targetBuffGainPerStack":{"buffId":"paralysis","countPerStack":1},"support":"battleOnly","label":"&lt;battle&gt;消耗 3 层引雷，对敌方施加 3 层麻痹&lt;/battle&gt;"}],"label":"&lt;battle&gt;消耗 3 层引雷，对敌方施加 3 层麻痹&lt;/battle&gt;","starOverrides":{"1":{"label":"&lt;battle&gt;消耗 4 层引雷，对敌方施加 4 层麻痹&lt;/battle&gt;","periodicPulse":{"label":"&lt;battle&gt;消耗 4 层引雷，对敌方施加 4 层麻痹&lt;/battle&gt;"},"executors":[{"requiredStacks":4,"maxStacks":4,"label":"&lt;battle&gt;消耗 4 层引雷，对敌方施加 4 层麻痹&lt;/battle&gt;"}]},"2":{"label":"&lt;battle&gt;消耗 5 层引雷，对敌方施加 5 层麻痹&lt;/battle&gt;","periodicPulse":{"label":"&lt;battle&gt;消耗 5 层引雷，对敌方施加 5 层麻痹&lt;/battle&gt;"},"executors":[{"requiredStacks":5,"maxStacks":5,"label":"&lt;battle&gt;消耗 5 层引雷，对敌方施加 5 层麻痹&lt;/battle&gt;"}]},"3":{"label":"&lt;battle&gt;消耗 6 层引雷，对敌方施加 6 层麻痹&lt;/battle&gt;","periodicPulse":{"label":"&lt;battle&gt;消耗 6 层引雷，对敌方施加 6 层麻痹&lt;/battle&gt;"},"executors":[{"requiredStacks":6,"maxStacks":6,"label":"&lt;battle&gt;消耗 6 层引雷，对敌方施加 6 层麻痹&lt;/battle&gt;"}]}}}</t>
        </is>
      </c>
    </row>
    <row r="819" ht="32" customHeight="1">
      <c r="A819" s="8" t="n">
        <v>410354</v>
      </c>
      <c r="B819" s="8" t="inlineStr">
        <is>
          <t>叠浪破甲盘</t>
        </is>
      </c>
      <c r="C819" s="8" t="inlineStr">
        <is>
          <t>法器</t>
        </is>
      </c>
      <c r="D819" s="8" t="inlineStr">
        <is>
          <t>common</t>
        </is>
      </c>
      <c r="E819" s="8" t="inlineStr">
        <is>
          <t>metal</t>
        </is>
      </c>
      <c r="F819" s="8" t="n">
        <v>1</v>
      </c>
      <c r="G819" s="8" t="inlineStr">
        <is>
          <t>基础/顶层</t>
        </is>
      </c>
      <c r="H819" s="8" t="inlineStr"/>
      <c r="I819" s="9" t="inlineStr"/>
      <c r="J819" s="8" t="inlineStr"/>
      <c r="K819" s="8" t="inlineStr"/>
      <c r="L819" s="8" t="inlineStr"/>
      <c r="M819" s="8" t="inlineStr">
        <is>
          <t>周期触发</t>
        </is>
      </c>
      <c r="N819" s="8" t="inlineStr">
        <is>
          <t>periodicPulse</t>
        </is>
      </c>
      <c r="O819" s="9" t="inlineStr">
        <is>
          <t>消耗8层露水，对敌方施加 2 层裂甲；消耗8层露水，对敌方施加 3 层裂甲；消耗8层露水，对敌方施加 4 层裂甲；消耗8层露水，对敌方施加 5 层裂甲</t>
        </is>
      </c>
      <c r="P819" s="9" t="inlineStr">
        <is>
          <t>onPeriodicPulse</t>
        </is>
      </c>
      <c r="Q819" s="9" t="inlineStr">
        <is>
          <t>consumeBuffStacks；applyBuff</t>
        </is>
      </c>
      <c r="R819" s="9" t="inlineStr">
        <is>
          <t>{"kind":"periodicPulse","periodicPulse":{"intervalSec":5,"activationRequirements":{"buffStackThresholds":[{"buffId":"dew","comparator":"atLeast","count":8}]},"label":"消耗8层露水，&lt;battle&gt;对敌方施加 2 层裂甲&lt;/battle&gt;"},"executors":[{"trigger":"onPeriodicPulse","type":"consumeBuffStacks","sourceBuffId":"dew","requiredStacks":8,"maxStacks":8,"label":"消耗8层露水，&lt;battle&gt;对敌方施加 2 层裂甲&lt;/battle&gt;"},{"trigger":"onPeriodicPulse","type":"applyBuff","buffId":"crackArmor","count":2,"targetActor":"enemy","polarity":"detrimental","support":"battleOnly","label":"消耗8层露水，&lt;battle&gt;对敌方施加 2 层裂甲&lt;/battle&gt;"}],"label":"消耗8层露水，&lt;battle&gt;对敌方施加 2 层裂甲&lt;/battle&gt;","starOverrides":{"1":{"label":"消耗8层露水，&lt;battle&gt;对敌方施加 3 层裂甲&lt;/battle&gt;","periodicPulse":{"label":"消耗8层露水，&lt;battle&gt;对敌方施加 3 层裂甲&lt;/battle&gt;"},"executors":[{"label":"消耗8层露水，&lt;battle&gt;对敌方施加 3 层裂甲&lt;/battle&gt;"},{"count":3,"label":"消耗8层露水，&lt;battle&gt;对敌方施加 3 层裂甲&lt;/battle&gt;"}]},"2":{"label":"消耗8层露水，&lt;battle&gt;对敌方施加 4 层裂甲&lt;/battle&gt;","periodicPulse":{"label":"消耗8层露水，&lt;battle&gt;对敌方施加 4 层裂甲&lt;/battle&gt;"},"executors":[{"label":"消耗8层露水，&lt;battle&gt;对敌方施加 4 层裂甲&lt;/battle&gt;"},{"count":4,"label":"消耗8层露水，&lt;battle&gt;对敌方施加 4 层裂甲&lt;/battle&gt;"}]},"3":{"label":"消耗8层露水，&lt;battle&gt;对敌方施加 5 层裂甲&lt;/battle&gt;","periodicPulse":{"label":"消耗8层露水，&lt;battle&gt;对敌方施加 5 层裂甲&lt;/battle&gt;"},"executors":[{"label":"消耗8层露水，&lt;battle&gt;对敌方施加 5 层裂甲&lt;/battle&gt;"},{"count":5,"label":"消耗8层露水，&lt;battle&gt;对敌方施加 5 层裂甲&lt;/battle&gt;"}]}}}</t>
        </is>
      </c>
    </row>
    <row r="820" ht="32" customHeight="1">
      <c r="A820" s="8" t="n">
        <v>410355</v>
      </c>
      <c r="B820" s="8" t="inlineStr">
        <is>
          <t>追潮缚足索</t>
        </is>
      </c>
      <c r="C820" s="8" t="inlineStr">
        <is>
          <t>法器</t>
        </is>
      </c>
      <c r="D820" s="8" t="inlineStr">
        <is>
          <t>common</t>
        </is>
      </c>
      <c r="E820" s="8" t="inlineStr">
        <is>
          <t>ice</t>
        </is>
      </c>
      <c r="F820" s="8" t="n">
        <v>1</v>
      </c>
      <c r="G820" s="8" t="inlineStr">
        <is>
          <t>基础/顶层</t>
        </is>
      </c>
      <c r="H820" s="8" t="inlineStr"/>
      <c r="I820" s="9" t="inlineStr"/>
      <c r="J820" s="8" t="inlineStr"/>
      <c r="K820" s="8" t="inlineStr"/>
      <c r="L820" s="8" t="inlineStr"/>
      <c r="M820" s="8" t="inlineStr">
        <is>
          <t>周期触发</t>
        </is>
      </c>
      <c r="N820" s="8" t="inlineStr">
        <is>
          <t>periodicPulse</t>
        </is>
      </c>
      <c r="O820" s="9" t="inlineStr">
        <is>
          <t>对敌方施加 6 层冰霜；对敌方施加 7 层冰霜；对敌方施加 8 层冰霜；对敌方施加 9 层冰霜</t>
        </is>
      </c>
      <c r="P820" s="9" t="inlineStr"/>
      <c r="Q820" s="9" t="inlineStr"/>
      <c r="R820" s="9" t="inlineStr">
        <is>
          <t>{"kind":"periodicPulse","periodicPulse":{"intervalSec":8,"buffGains":[{"buffId":"frost","count":6,"target":"enemy","polarity":"detrimental"}],"label":"&lt;battle&gt;对敌方施加 6 层冰霜&lt;/battle&gt;"},"label":"&lt;battle&gt;对敌方施加 6 层冰霜&lt;/battle&gt;","starOverrides":{"1":{"label":"&lt;battle&gt;对敌方施加 7 层冰霜&lt;/battle&gt;","periodicPulse":{"buffGains":[{"buffId":"frost","count":7,"target":"enemy","polarity":"detrimental"}]}},"2":{"label":"&lt;battle&gt;对敌方施加 8 层冰霜&lt;/battle&gt;","periodicPulse":{"buffGains":[{"buffId":"frost","count":8,"target":"enemy","polarity":"detrimental"}]}},"3":{"label":"&lt;battle&gt;对敌方施加 9 层冰霜&lt;/battle&gt;","periodicPulse":{"buffGains":[{"buffId":"frost","count":9,"target":"enemy","polarity":"detrimental"}]}}}}</t>
        </is>
      </c>
    </row>
    <row r="821" ht="32" customHeight="1">
      <c r="A821" s="8" t="n">
        <v>410400</v>
      </c>
      <c r="B821" s="8" t="inlineStr">
        <is>
          <t>沉壳镇潮盾</t>
        </is>
      </c>
      <c r="C821" s="8" t="inlineStr">
        <is>
          <t>法器</t>
        </is>
      </c>
      <c r="D821" s="8" t="inlineStr">
        <is>
          <t>common</t>
        </is>
      </c>
      <c r="E821" s="8" t="inlineStr">
        <is>
          <t>earth</t>
        </is>
      </c>
      <c r="F821" s="8" t="n">
        <v>1</v>
      </c>
      <c r="G821" s="8" t="inlineStr">
        <is>
          <t>基础/顶层</t>
        </is>
      </c>
      <c r="H821" s="8" t="inlineStr"/>
      <c r="I821" s="9" t="inlineStr"/>
      <c r="J821" s="8" t="inlineStr"/>
      <c r="K821" s="8" t="inlineStr"/>
      <c r="L821" s="8" t="inlineStr"/>
      <c r="M821" s="8" t="inlineStr">
        <is>
          <t>条件触发</t>
        </is>
      </c>
      <c r="N821" s="8" t="inlineStr">
        <is>
          <t>triggered</t>
        </is>
      </c>
      <c r="O821" s="9" t="inlineStr">
        <is>
          <t>每当护甲被消耗时，获得 1 层蓄势；每当护甲被消耗时，获得 2 层蓄势；每当护甲被消耗时，获得 3 层蓄势；每当护甲被消耗时，获得 4 层蓄势</t>
        </is>
      </c>
      <c r="P821" s="9" t="inlineStr">
        <is>
          <t>onBuffConsumed</t>
        </is>
      </c>
      <c r="Q821" s="9" t="inlineStr">
        <is>
          <t>applyBuff；self</t>
        </is>
      </c>
      <c r="R821" s="9" t="inlineStr">
        <is>
          <t>{"kind":"triggered","triggeredEffect":{"trigger":"onBuffConsumed","type":"applyBuff","buffId":"heavy","count":1,"targetActor":"self","eventBuffId":"armor","eventSource":{"target":{"type":"self"}},"support":"common"},"label":"每当护甲被消耗时，获得 1 层蓄势","starOverrides":{"1":{"label":"每当护甲被消耗时，获得 2 层蓄势","triggeredEffect":{"count":2}},"2":{"label":"每当护甲被消耗时，获得 3 层蓄势","triggeredEffect":{"count":3}},"3":{"label":"每当护甲被消耗时，获得 4 层蓄势","triggeredEffect":{"count":4}}}}</t>
        </is>
      </c>
    </row>
    <row r="822" ht="32" customHeight="1">
      <c r="A822" s="8" t="n">
        <v>410401</v>
      </c>
      <c r="B822" s="8" t="inlineStr">
        <is>
          <t>珠膜凝露盏</t>
        </is>
      </c>
      <c r="C822" s="8" t="inlineStr">
        <is>
          <t>法器</t>
        </is>
      </c>
      <c r="D822" s="8" t="inlineStr">
        <is>
          <t>common</t>
        </is>
      </c>
      <c r="E822" s="8" t="inlineStr">
        <is>
          <t>ice</t>
        </is>
      </c>
      <c r="F822" s="8" t="n">
        <v>1</v>
      </c>
      <c r="G822" s="8" t="inlineStr">
        <is>
          <t>基础/顶层</t>
        </is>
      </c>
      <c r="H822" s="8" t="inlineStr"/>
      <c r="I822" s="9" t="inlineStr"/>
      <c r="J822" s="8" t="inlineStr"/>
      <c r="K822" s="8" t="inlineStr"/>
      <c r="L822" s="8" t="inlineStr"/>
      <c r="M822" s="8" t="inlineStr">
        <is>
          <t>条件触发</t>
        </is>
      </c>
      <c r="N822" s="8" t="inlineStr">
        <is>
          <t>triggered</t>
        </is>
      </c>
      <c r="O822" s="9" t="inlineStr">
        <is>
          <t>相邻水属性法器使我方获得露水时，获得 2 层寒冷；相邻水属性法器使我方获得露水时，获得 3 层寒冷；相邻水属性法器使我方获得露水时，获得 4 层寒冷；相邻水属性法器使我方获得露水时，获得 6 层寒冷</t>
        </is>
      </c>
      <c r="P822" s="9" t="inlineStr">
        <is>
          <t>onBuffGain</t>
        </is>
      </c>
      <c r="Q822" s="9" t="inlineStr">
        <is>
          <t>applyBuff；adjacent</t>
        </is>
      </c>
      <c r="R822" s="9" t="inlineStr">
        <is>
          <t>{"kind":"triggered","triggeredEffect":{"trigger":"onBuffGain","type":"applyBuff","eventBuffId":"dew","buffId":"cold","count":2,"targetActor":"self","eventSource":{"target":{"type":"adjacent"},"filter":{"categories":["implement"],"elements":["water"]}}},"label":"相邻水属性法器使我方获得露水时，获得 2 层寒冷","starOverrides":{"1":{"label":"相邻水属性法器使我方获得露水时，获得 3 层寒冷","triggeredEffect":{"count":3}},"2":{"label":"相邻水属性法器使我方获得露水时，获得 4 层寒冷","triggeredEffect":{"count":4}},"3":{"label":"相邻水属性法器使我方获得露水时，获得 6 层寒冷","triggeredEffect":{"count":6}}}}</t>
        </is>
      </c>
    </row>
    <row r="823" ht="32" customHeight="1">
      <c r="A823" s="8" t="n">
        <v>410402</v>
      </c>
      <c r="B823" s="8" t="inlineStr">
        <is>
          <t>苔脊养元架</t>
        </is>
      </c>
      <c r="C823" s="8" t="inlineStr">
        <is>
          <t>法器</t>
        </is>
      </c>
      <c r="D823" s="8" t="inlineStr">
        <is>
          <t>common</t>
        </is>
      </c>
      <c r="E823" s="8" t="inlineStr">
        <is>
          <t>wood</t>
        </is>
      </c>
      <c r="F823" s="8" t="n">
        <v>1</v>
      </c>
      <c r="G823" s="8" t="inlineStr">
        <is>
          <t>基础/顶层</t>
        </is>
      </c>
      <c r="H823" s="8" t="inlineStr"/>
      <c r="I823" s="9" t="inlineStr"/>
      <c r="J823" s="8" t="inlineStr"/>
      <c r="K823" s="8" t="inlineStr"/>
      <c r="L823" s="8" t="inlineStr"/>
      <c r="M823" s="8" t="inlineStr">
        <is>
          <t>周期触发</t>
        </is>
      </c>
      <c r="N823" s="8" t="inlineStr">
        <is>
          <t>periodicPulse</t>
        </is>
      </c>
      <c r="O823" s="9" t="inlineStr">
        <is>
          <t>上方相邻每有1件木属性饰品，获得 5 层再生；上方相邻每有1件木属性饰品，获得 7 层再生；上方相邻每有1件木属性饰品，获得 9 层再生；上方相邻每有1件木属性饰品，获得 11 层再生</t>
        </is>
      </c>
      <c r="P823" s="9" t="inlineStr"/>
      <c r="Q823" s="9" t="inlineStr"/>
      <c r="R823" s="9" t="inlineStr">
        <is>
          <t>{"kind":"periodicPulse","periodicPulse":{"intervalSec":12,"buffGains":[{"buffId":"regeneration","count":5}],"scaling":{"mode":"count","source":"adjacentItems","direction":"up","features":["accessory"],"elements":["wood"]},"label":"上方相邻每有1件木属性饰品，获得 5 层再生"},"label":"上方相邻每有1件木属性饰品，获得 5 层再生","starOverrides":{"1":{"label":"上方相邻每有1件木属性饰品，获得 7 层再生","periodicPulse":{"buffGains":[{"count":7}]}},"2":{"label":"上方相邻每有1件木属性饰品，获得 9 层再生","periodicPulse":{"buffGains":[{"count":9}]}},"3":{"label":"上方相邻每有1件木属性饰品，获得 11 层再生","periodicPulse":{"buffGains":[{"count":11}]}}}}</t>
        </is>
      </c>
    </row>
    <row r="824" ht="32" customHeight="1">
      <c r="A824" s="8" t="n">
        <v>410403</v>
      </c>
      <c r="B824" s="8" t="inlineStr">
        <is>
          <t>软筋合壳扣</t>
        </is>
      </c>
      <c r="C824" s="8" t="inlineStr">
        <is>
          <t>法器</t>
        </is>
      </c>
      <c r="D824" s="8" t="inlineStr">
        <is>
          <t>common</t>
        </is>
      </c>
      <c r="E824" s="8" t="inlineStr">
        <is>
          <t>water</t>
        </is>
      </c>
      <c r="F824" s="8" t="n">
        <v>1</v>
      </c>
      <c r="G824" s="8" t="inlineStr">
        <is>
          <t>基础/顶层</t>
        </is>
      </c>
      <c r="H824" s="8" t="inlineStr"/>
      <c r="I824" s="9" t="inlineStr"/>
      <c r="J824" s="8" t="inlineStr"/>
      <c r="K824" s="8" t="inlineStr"/>
      <c r="L824" s="8" t="inlineStr"/>
      <c r="M824" s="8" t="inlineStr">
        <is>
          <t>条件触发</t>
        </is>
      </c>
      <c r="N824" s="8" t="inlineStr">
        <is>
          <t>triggered</t>
        </is>
      </c>
      <c r="O824" s="9" t="inlineStr">
        <is>
          <t>左侧相邻道具获得露水时，对敌方施加 1 层凝滞；左侧相邻道具获得露水时，对敌方施加 2 层凝滞；左侧相邻道具获得露水时，对敌方施加 3 层凝滞；左侧相邻道具获得露水时，对敌方施加 4 层凝滞</t>
        </is>
      </c>
      <c r="P824" s="9" t="inlineStr">
        <is>
          <t>onBuffGain</t>
        </is>
      </c>
      <c r="Q824" s="9" t="inlineStr">
        <is>
          <t>applyBuff；directional-adjacent</t>
        </is>
      </c>
      <c r="R824" s="9" t="inlineStr">
        <is>
          <t>{"kind":"triggered","triggeredEffect":{"trigger":"onBuffGain","eventActor":"self","eventBuffId":"dew","type":"applyBuff","buffId":"stagnation","count":1,"targetActor":"enemy","polarity":"detrimental","eventSource":{"target":{"type":"directional-adjacent","direction":"left"}},"support":"battleOnly"},"label":"&lt;battle&gt;左侧相邻道具获得露水时，对敌方施加 1 层凝滞&lt;/battle&gt;","starOverrides":{"1":{"label":"&lt;battle&gt;左侧相邻道具获得露水时，对敌方施加 2 层凝滞&lt;/battle&gt;","triggeredEffect":{"count":2}},"2":{"label":"&lt;battle&gt;左侧相邻道具获得露水时，对敌方施加 3 层凝滞&lt;/battle&gt;","triggeredEffect":{"count":3}},"3":{"label":"&lt;battle&gt;左侧相邻道具获得露水时，对敌方施加 4 层凝滞&lt;/battle&gt;","triggeredEffect":{"count":4}}}}</t>
        </is>
      </c>
    </row>
    <row r="825" ht="32" customHeight="1">
      <c r="A825" s="8" t="n">
        <v>410450</v>
      </c>
      <c r="B825" s="8" t="inlineStr">
        <is>
          <t>沉壳破浪梭</t>
        </is>
      </c>
      <c r="C825" s="8" t="inlineStr">
        <is>
          <t>法器</t>
        </is>
      </c>
      <c r="D825" s="8" t="inlineStr">
        <is>
          <t>common</t>
        </is>
      </c>
      <c r="E825" s="8" t="inlineStr">
        <is>
          <t>wind</t>
        </is>
      </c>
      <c r="F825" s="8" t="n">
        <v>1</v>
      </c>
      <c r="G825" s="8" t="inlineStr">
        <is>
          <t>基础/顶层</t>
        </is>
      </c>
      <c r="H825" s="8" t="inlineStr"/>
      <c r="I825" s="9" t="inlineStr"/>
      <c r="J825" s="8" t="inlineStr"/>
      <c r="K825" s="8" t="inlineStr"/>
      <c r="L825" s="8" t="inlineStr"/>
      <c r="M825" s="8" t="inlineStr">
        <is>
          <t>周期触发</t>
        </is>
      </c>
      <c r="N825" s="8" t="inlineStr">
        <is>
          <t>periodicPulse</t>
        </is>
      </c>
      <c r="O825" s="9" t="inlineStr">
        <is>
          <t>自身敏捷不少于30层时，对敌方施加 10 层乱流；自身敏捷不少于30层时，对敌方施加 15 层乱流；自身敏捷不少于30层时，对敌方施加 20 层乱流；自身敏捷不少于30层时，对敌方施加 25 层乱流</t>
        </is>
      </c>
      <c r="P825" s="9" t="inlineStr"/>
      <c r="Q825" s="9" t="inlineStr"/>
      <c r="R825" s="9" t="inlineStr">
        <is>
          <t>{"kind":"periodicPulse","periodicPulse":{"intervalSec":20,"buffGains":[{"buffId":"turbulence","count":10,"target":"enemy","polarity":"detrimental"}],"activationRequirements":{"buffStackThresholds":[{"buffId":"agile","comparator":"atLeast","count":30}]},"label":"&lt;battle&gt;自身敏捷不少于30层时，对敌方施加 10 层乱流&lt;/battle&gt;"},"label":"&lt;battle&gt;自身敏捷不少于30层时，对敌方施加 10 层乱流&lt;/battle&gt;","starOverrides":{"1":{"label":"&lt;battle&gt;自身敏捷不少于30层时，对敌方施加 15 层乱流&lt;/battle&gt;","periodicPulse":{"buffGains":[{"count":15}],"label":"&lt;battle&gt;自身敏捷不少于30层时，对敌方施加 15 层乱流&lt;/battle&gt;"}},"2":{"label":"&lt;battle&gt;自身敏捷不少于30层时，对敌方施加 20 层乱流&lt;/battle&gt;","periodicPulse":{"buffGains":[{"count":20}],"label":"&lt;battle&gt;自身敏捷不少于30层时，对敌方施加 20 层乱流&lt;/battle&gt;"}},"3":{"label":"&lt;battle&gt;自身敏捷不少于30层时，对敌方施加 25 层乱流&lt;/battle&gt;","periodicPulse":{"buffGains":[{"count":25}],"label":"&lt;battle&gt;自身敏捷不少于30层时，对敌方施加 25 层乱流&lt;/battle&gt;"}}}}</t>
        </is>
      </c>
    </row>
    <row r="826" ht="32" customHeight="1">
      <c r="A826" s="8" t="n">
        <v>410451</v>
      </c>
      <c r="B826" s="8" t="inlineStr">
        <is>
          <t>珠膜裂水刃</t>
        </is>
      </c>
      <c r="C826" s="8" t="inlineStr">
        <is>
          <t>法器</t>
        </is>
      </c>
      <c r="D826" s="8" t="inlineStr">
        <is>
          <t>common</t>
        </is>
      </c>
      <c r="E826" s="8" t="inlineStr">
        <is>
          <t>metal</t>
        </is>
      </c>
      <c r="F826" s="8" t="n">
        <v>1</v>
      </c>
      <c r="G826" s="8" t="inlineStr">
        <is>
          <t>基础/顶层</t>
        </is>
      </c>
      <c r="H826" s="8" t="inlineStr"/>
      <c r="I826" s="9" t="inlineStr"/>
      <c r="J826" s="8" t="inlineStr"/>
      <c r="K826" s="8" t="inlineStr"/>
      <c r="L826" s="8" t="inlineStr"/>
      <c r="M826" s="8" t="inlineStr">
        <is>
          <t>周期触发</t>
        </is>
      </c>
      <c r="N826" s="8" t="inlineStr">
        <is>
          <t>periodicPulse</t>
        </is>
      </c>
      <c r="O826" s="9" t="inlineStr">
        <is>
          <t>消耗35层露水和20层凝金，对敌方造成35点伤害和20层裂甲；消耗35层露水；消耗20层凝金；对敌方造成35点伤害；对敌方施加20层裂甲</t>
        </is>
      </c>
      <c r="P826" s="9" t="inlineStr">
        <is>
          <t>onPeriodicPulse</t>
        </is>
      </c>
      <c r="Q826" s="9" t="inlineStr">
        <is>
          <t>consumeBuffStacks；battleDamageHealth；applyBuff</t>
        </is>
      </c>
      <c r="R826" s="9" t="inlineStr">
        <is>
          <t>{"kind":"periodicPulse","periodicPulse":{"startOnly":true,"activationRequirements":{"buffStackThresholds":[{"buffId":"dew","comparator":"atLeast","count":35},{"buffId":"condensedMetal","comparator":"atLeast","count":20}]},"label":"消耗35层露水和20层凝金，&lt;battle&gt;对敌方造成35点伤害和20层裂甲&lt;/battle&gt;"},"executors":[{"trigger":"onPeriodicPulse","type":"consumeBuffStacks","sourceBuffId":"dew","requiredStacks":35,"maxStacks":35,"support":"common","label":"消耗35层露水"},{"trigger":"onPeriodicPulse","type":"consumeBuffStacks","sourceBuffId":"condensedMetal","requiredStacks":20,"maxStacks":20,"support":"common","label":"消耗20层凝金"},{"trigger":"onPeriodicPulse","type":"battleDamageHealth","amount":35,"support":"battleOnly","label":"&lt;battle&gt;对敌方造成35点伤害&lt;/battle&gt;"},{"trigger":"onPeriodicPulse","type":"applyBuff","buffId":"crackArmor","count":20,"targetActor":"enemy","polarity":"detrimental","support":"battleOnly","label":"&lt;battle&gt;对敌方施加20层裂甲&lt;/battle&gt;"}],"label":"消耗35层露水和20层凝金，&lt;battle&gt;对敌方造成35点伤害和20层裂甲&lt;/battle&gt;"}</t>
        </is>
      </c>
    </row>
    <row r="827" ht="32" customHeight="1">
      <c r="A827" s="8" t="n">
        <v>410452</v>
      </c>
      <c r="B827" s="8" t="inlineStr">
        <is>
          <t>苔脊碎浪矛</t>
        </is>
      </c>
      <c r="C827" s="8" t="inlineStr">
        <is>
          <t>法器</t>
        </is>
      </c>
      <c r="D827" s="8" t="inlineStr">
        <is>
          <t>common</t>
        </is>
      </c>
      <c r="E827" s="8" t="inlineStr">
        <is>
          <t>wood</t>
        </is>
      </c>
      <c r="F827" s="8" t="n">
        <v>1</v>
      </c>
      <c r="G827" s="8" t="inlineStr">
        <is>
          <t>基础/顶层</t>
        </is>
      </c>
      <c r="H827" s="8" t="inlineStr"/>
      <c r="I827" s="9" t="inlineStr"/>
      <c r="J827" s="8" t="inlineStr"/>
      <c r="K827" s="8" t="inlineStr"/>
      <c r="L827" s="8" t="inlineStr"/>
      <c r="M827" s="8" t="inlineStr">
        <is>
          <t>周期触发</t>
        </is>
      </c>
      <c r="N827" s="8" t="inlineStr">
        <is>
          <t>periodicPulse</t>
        </is>
      </c>
      <c r="O827" s="9" t="inlineStr">
        <is>
          <t>对敌人造成等于再生层数的伤害</t>
        </is>
      </c>
      <c r="P827" s="9" t="inlineStr"/>
      <c r="Q827" s="9" t="inlineStr"/>
      <c r="R827" s="9" t="inlineStr">
        <is>
          <t>{"kind":"periodicPulse","periodicPulse":{"startOnly":true,"damageHealth":{"target":"enemy","amount":0,"amountPerSourceBuffStack":{"buffId":"regeneration","valuePerStack":1}},"label":"&lt;battle&gt;对敌人造成等于再生层数的伤害&lt;/battle&gt;"},"label":"&lt;battle&gt;对敌人造成等于再生层数的伤害&lt;/battle&gt;"}</t>
        </is>
      </c>
    </row>
    <row r="828" ht="32" customHeight="1">
      <c r="A828" s="8" t="n">
        <v>410453</v>
      </c>
      <c r="B828" s="8" t="inlineStr">
        <is>
          <t>软筋崩潮索</t>
        </is>
      </c>
      <c r="C828" s="8" t="inlineStr">
        <is>
          <t>法器</t>
        </is>
      </c>
      <c r="D828" s="8" t="inlineStr">
        <is>
          <t>common</t>
        </is>
      </c>
      <c r="E828" s="8" t="inlineStr">
        <is>
          <t>poison</t>
        </is>
      </c>
      <c r="F828" s="8" t="n">
        <v>1</v>
      </c>
      <c r="G828" s="8" t="inlineStr">
        <is>
          <t>基础/顶层</t>
        </is>
      </c>
      <c r="H828" s="8" t="inlineStr"/>
      <c r="I828" s="9" t="inlineStr"/>
      <c r="J828" s="8" t="inlineStr"/>
      <c r="K828" s="8" t="inlineStr"/>
      <c r="L828" s="8" t="inlineStr"/>
      <c r="M828" s="8" t="inlineStr">
        <is>
          <t>周期触发</t>
        </is>
      </c>
      <c r="N828" s="8" t="inlineStr">
        <is>
          <t>periodicPulse</t>
        </is>
      </c>
      <c r="O828" s="9" t="inlineStr">
        <is>
          <t>消耗15点法力，对敌方施加 10 层乱流和4层中毒；消耗15点法力，对敌方施加 20 层乱流和6层中毒；消耗15点法力，对敌方施加 30 层乱流和8层中毒；消耗15点法力，对敌方施加 40 层乱流和10层中毒</t>
        </is>
      </c>
      <c r="P828" s="9" t="inlineStr"/>
      <c r="Q828" s="9" t="inlineStr"/>
      <c r="R828" s="9" t="inlineStr">
        <is>
          <t>{"kind":"periodicPulse","periodicPulse":{"startOnly":true,"primaryStatCosts":[{"stat":"mana","amount":15}],"buffGains":[{"buffId":"turbulence","count":10,"target":"enemy","polarity":"detrimental"},{"buffId":"poison","count":4,"target":"enemy","polarity":"detrimental"}],"label":"消耗15点法力，&lt;battle&gt;对敌方施加 10 层乱流和4层中毒&lt;/battle&gt;"},"label":"消耗15点法力，&lt;battle&gt;对敌方施加 10 层乱流和4层中毒&lt;/battle&gt;","starOverrides":{"1":{"label":"消耗15点法力，&lt;battle&gt;对敌方施加 20 层乱流和6层中毒&lt;/battle&gt;","periodicPulse":{"buffGains":[{"count":20},{"count":6}],"label":"消耗15点法力，&lt;battle&gt;对敌方施加 20 层乱流和6层中毒&lt;/battle&gt;"}},"2":{"label":"消耗15点法力，&lt;battle&gt;对敌方施加 30 层乱流和8层中毒&lt;/battle&gt;","periodicPulse":{"buffGains":[{"count":30},{"count":8}],"label":"消耗15点法力，&lt;battle&gt;对敌方施加 30 层乱流和8层中毒&lt;/battle&gt;"}},"3":{"label":"消耗15点法力，&lt;battle&gt;对敌方施加 40 层乱流和10层中毒&lt;/battle&gt;","periodicPulse":{"buffGains":[{"count":40},{"count":10}],"label":"消耗15点法力，&lt;battle&gt;对敌方施加 40 层乱流和10层中毒&lt;/battle&gt;"}}}}</t>
        </is>
      </c>
    </row>
    <row r="829" ht="32" customHeight="1">
      <c r="A829" s="8" t="n">
        <v>410500</v>
      </c>
      <c r="B829" s="8" t="inlineStr">
        <is>
          <t>伏岩护甲砚</t>
        </is>
      </c>
      <c r="C829" s="8" t="inlineStr">
        <is>
          <t>法器</t>
        </is>
      </c>
      <c r="D829" s="8" t="inlineStr">
        <is>
          <t>common</t>
        </is>
      </c>
      <c r="E829" s="8" t="inlineStr">
        <is>
          <t>earth</t>
        </is>
      </c>
      <c r="F829" s="8" t="n">
        <v>1</v>
      </c>
      <c r="G829" s="8" t="inlineStr">
        <is>
          <t>基础/顶层</t>
        </is>
      </c>
      <c r="H829" s="8" t="inlineStr"/>
      <c r="I829" s="9" t="inlineStr"/>
      <c r="J829" s="8" t="inlineStr"/>
      <c r="K829" s="8" t="inlineStr"/>
      <c r="L829" s="8" t="inlineStr"/>
      <c r="M829" s="8" t="inlineStr">
        <is>
          <t>条件触发</t>
        </is>
      </c>
      <c r="N829" s="8" t="inlineStr">
        <is>
          <t>triggered</t>
        </is>
      </c>
      <c r="O829" s="9" t="inlineStr">
        <is>
          <t>左侧相邻道具获得坚硬时，获得 1 层蓄势；左侧相邻道具获得坚硬时，获得 2 层蓄势；左侧相邻道具获得坚硬时，获得 3 层蓄势；左侧相邻道具获得坚硬时，获得 4 层蓄势</t>
        </is>
      </c>
      <c r="P829" s="9" t="inlineStr">
        <is>
          <t>onBuffGain</t>
        </is>
      </c>
      <c r="Q829" s="9" t="inlineStr">
        <is>
          <t>applyBuff；directional-adjacent</t>
        </is>
      </c>
      <c r="R829" s="9" t="inlineStr">
        <is>
          <t>{"kind":"triggered","triggeredEffect":{"trigger":"onBuffGain","eventActor":"self","eventBuffId":"sturdy","type":"applyBuff","buffId":"heavy","count":1,"targetActor":"self","eventSource":{"target":{"type":"directional-adjacent","direction":"left"}},"support":"battleOnly"},"label":"&lt;battle&gt;左侧相邻道具获得坚硬时，获得 1 层蓄势&lt;/battle&gt;","starOverrides":{"1":{"label":"&lt;battle&gt;左侧相邻道具获得坚硬时，获得 2 层蓄势&lt;/battle&gt;","triggeredEffect":{"count":2}},"2":{"label":"&lt;battle&gt;左侧相邻道具获得坚硬时，获得 3 层蓄势&lt;/battle&gt;","triggeredEffect":{"count":3}},"3":{"label":"&lt;battle&gt;左侧相邻道具获得坚硬时，获得 4 层蓄势&lt;/battle&gt;","triggeredEffect":{"count":4}}}}</t>
        </is>
      </c>
    </row>
    <row r="830" ht="32" customHeight="1">
      <c r="A830" s="8" t="n">
        <v>410501</v>
      </c>
      <c r="B830" s="8" t="inlineStr">
        <is>
          <t>黑爪定锋匣</t>
        </is>
      </c>
      <c r="C830" s="8" t="inlineStr">
        <is>
          <t>法器</t>
        </is>
      </c>
      <c r="D830" s="8" t="inlineStr">
        <is>
          <t>common</t>
        </is>
      </c>
      <c r="E830" s="8" t="inlineStr">
        <is>
          <t>metal</t>
        </is>
      </c>
      <c r="F830" s="8" t="n">
        <v>1</v>
      </c>
      <c r="G830" s="8" t="inlineStr">
        <is>
          <t>基础/顶层</t>
        </is>
      </c>
      <c r="H830" s="8" t="inlineStr"/>
      <c r="I830" s="9" t="inlineStr"/>
      <c r="J830" s="8" t="inlineStr"/>
      <c r="K830" s="8" t="inlineStr"/>
      <c r="L830" s="8" t="inlineStr"/>
      <c r="M830" s="8" t="inlineStr">
        <is>
          <t>周期触发</t>
        </is>
      </c>
      <c r="N830" s="8" t="inlineStr">
        <is>
          <t>periodicPulse</t>
        </is>
      </c>
      <c r="O830" s="9" t="inlineStr">
        <is>
          <t>相邻有武器时，获得 1 层凝金，每击杀1只妖兽后效果升级；凝金获得层数</t>
        </is>
      </c>
      <c r="P830" s="9" t="inlineStr">
        <is>
          <t>onPeriodicPulse；onEnemyDefeated</t>
        </is>
      </c>
      <c r="Q830" s="9" t="inlineStr">
        <is>
          <t>applyBuff</t>
        </is>
      </c>
      <c r="R830" s="9" t="inlineStr">
        <is>
          <t>{"kind":"periodicPulse","periodicPulse":{"startOnly":true,"activationRequirements":{"neighborCounts":[{"minCount":1,"features":["weapon"]}]},"label":"相邻有武器时，获得 1 层凝金，每击杀1只妖兽后效果升级"},"executors":[{"trigger":"onPeriodicPulse","type":"applyBuff","buffId":"condensedMetal","count":1,"label":"相邻有武器时，获得 1 层凝金，每击杀1只妖兽后效果升级","targetActor":"self","support":"common"}],"label":"相邻有武器时，获得 1 层凝金，每击杀1只妖兽后效果升级","growth":{"lifecycle":"permanent","trigger":"onEnemyDefeated","bindings":[{"path":"executors.0.count","delta":1,"maxValue":25,"label":"凝金获得层数","textOccurrence":0}],"support":"battleOnly"},"starOverrides":{"1":{"label":"相邻有武器时，获得 1 层凝金，每击杀1只妖兽后效果升级","growth":{"lifecycle":"permanent","trigger":"onEnemyDefeated","bindings":[{"path":"executors.0.count","delta":2,"maxValue":30,"label":"凝金获得层数","textOccurrence":0}],"support":"battleOnly"}},"2":{"label":"相邻有武器时，获得 1 层凝金，每击杀1只妖兽后效果升级","growth":{"lifecycle":"permanent","trigger":"onEnemyDefeated","bindings":[{"path":"executors.0.count","delta":3,"maxValue":35,"label":"凝金获得层数","textOccurrence":0}],"support":"battleOnly"}},"3":{"label":"相邻有武器时，获得 1 层凝金，每击杀1只妖兽后效果升级","growth":{"lifecycle":"permanent","trigger":"onEnemyDefeated","bindings":[{"path":"executors.0.count","delta":4,"maxValue":40,"label":"凝金获得层数","textOccurrence":0}],"support":"battleOnly"}}}}</t>
        </is>
      </c>
    </row>
    <row r="831" ht="32" customHeight="1">
      <c r="A831" s="8" t="n">
        <v>410502</v>
      </c>
      <c r="B831" s="8" t="inlineStr">
        <is>
          <t>岩尾衡影轮</t>
        </is>
      </c>
      <c r="C831" s="8" t="inlineStr">
        <is>
          <t>法器</t>
        </is>
      </c>
      <c r="D831" s="8" t="inlineStr">
        <is>
          <t>common</t>
        </is>
      </c>
      <c r="E831" s="8" t="inlineStr">
        <is>
          <t>earth</t>
        </is>
      </c>
      <c r="F831" s="8" t="n">
        <v>1</v>
      </c>
      <c r="G831" s="8" t="inlineStr">
        <is>
          <t>基础/顶层</t>
        </is>
      </c>
      <c r="H831" s="8" t="inlineStr"/>
      <c r="I831" s="9" t="inlineStr"/>
      <c r="J831" s="8" t="inlineStr"/>
      <c r="K831" s="8" t="inlineStr"/>
      <c r="L831" s="8" t="inlineStr"/>
      <c r="M831" s="8" t="inlineStr">
        <is>
          <t>周期触发</t>
        </is>
      </c>
      <c r="N831" s="8" t="inlineStr">
        <is>
          <t>periodicPulse</t>
        </is>
      </c>
      <c r="O831" s="9" t="inlineStr">
        <is>
          <t>拥有至少 20 层坚硬时，消耗 30 点法力，获得 30 层蓄势；拥有至少 18 层坚硬时，消耗 30 点法力，获得 30 层蓄势；拥有至少 16 层坚硬时，消耗 30 点法力，获得 30 层蓄势；拥有至少 14 层坚硬时，消耗 30 点法力，获得 30 层蓄势</t>
        </is>
      </c>
      <c r="P831" s="9" t="inlineStr"/>
      <c r="Q831" s="9" t="inlineStr"/>
      <c r="R831" s="9" t="inlineStr">
        <is>
          <t>{"kind":"periodicPulse","periodicPulse":{"intervalSec":18,"activationRequirements":{"buffStackThresholds":[{"buffId":"sturdy","comparator":"atLeast","count":20}]},"primaryStatCosts":[{"stat":"mana","amount":30}],"buffGains":[{"buffId":"heavy","count":30}],"label":"拥有至少 20 层坚硬时，消耗 30 点法力，获得 30 层蓄势"},"label":"拥有至少 20 层坚硬时，消耗 30 点法力，获得 30 层蓄势","starOverrides":{"1":{"label":"拥有至少 18 层坚硬时，消耗 30 点法力，获得 30 层蓄势","periodicPulse":{"intervalSec":16,"activationRequirements":{"buffStackThresholds":[{"count":18}]}}},"2":{"label":"拥有至少 16 层坚硬时，消耗 30 点法力，获得 30 层蓄势","periodicPulse":{"intervalSec":14,"activationRequirements":{"buffStackThresholds":[{"count":16}]}}},"3":{"label":"拥有至少 14 层坚硬时，消耗 30 点法力，获得 30 层蓄势","periodicPulse":{"intervalSec":12,"activationRequirements":{"buffStackThresholds":[{"count":14}]}}}}}</t>
        </is>
      </c>
    </row>
    <row r="832" ht="32" customHeight="1">
      <c r="A832" s="8" t="n">
        <v>410503</v>
      </c>
      <c r="B832" s="8" t="inlineStr">
        <is>
          <t>冷须藏针筒</t>
        </is>
      </c>
      <c r="C832" s="8" t="inlineStr">
        <is>
          <t>法器</t>
        </is>
      </c>
      <c r="D832" s="8" t="inlineStr">
        <is>
          <t>common</t>
        </is>
      </c>
      <c r="E832" s="8" t="inlineStr">
        <is>
          <t>poison</t>
        </is>
      </c>
      <c r="F832" s="8" t="n">
        <v>1</v>
      </c>
      <c r="G832" s="8" t="inlineStr">
        <is>
          <t>基础/顶层</t>
        </is>
      </c>
      <c r="H832" s="8" t="inlineStr"/>
      <c r="I832" s="9" t="inlineStr"/>
      <c r="J832" s="8" t="inlineStr"/>
      <c r="K832" s="8" t="inlineStr"/>
      <c r="L832" s="8" t="inlineStr"/>
      <c r="M832" s="8" t="inlineStr">
        <is>
          <t>周期触发</t>
        </is>
      </c>
      <c r="N832" s="8" t="inlineStr">
        <is>
          <t>periodicPulse</t>
        </is>
      </c>
      <c r="O832" s="9" t="inlineStr">
        <is>
          <t>对敌人施加等于再生层数的禁疗</t>
        </is>
      </c>
      <c r="P832" s="9" t="inlineStr">
        <is>
          <t>onPeriodicPulse</t>
        </is>
      </c>
      <c r="Q832" s="9" t="inlineStr">
        <is>
          <t>applyBuff</t>
        </is>
      </c>
      <c r="R832" s="9" t="inlineStr">
        <is>
          <t>{"kind":"periodicPulse","periodicPulse":{"startOnly":true,"label":"&lt;battle&gt;对敌人施加等于再生层数的禁疗&lt;/battle&gt;"},"executors":[{"trigger":"onPeriodicPulse","type":"applyBuff","buffId":"antiHeal","count":1,"targetActor":"enemy","polarity":"detrimental","scaling":{"mode":"count","source":"buffStacks","buffId":"regeneration"},"support":"battleOnly","label":"&lt;battle&gt;对敌人施加等于再生层数的禁疗&lt;/battle&gt;"}],"label":"&lt;battle&gt;对敌人施加等于再生层数的禁疗&lt;/battle&gt;"}</t>
        </is>
      </c>
    </row>
    <row r="833" ht="32" customHeight="1">
      <c r="A833" s="8" t="n">
        <v>410600</v>
      </c>
      <c r="B833" s="8" t="inlineStr">
        <is>
          <t>绛尾护焰披</t>
        </is>
      </c>
      <c r="C833" s="8" t="inlineStr">
        <is>
          <t>法器</t>
        </is>
      </c>
      <c r="D833" s="8" t="inlineStr">
        <is>
          <t>common</t>
        </is>
      </c>
      <c r="E833" s="8" t="inlineStr">
        <is>
          <t>fire</t>
        </is>
      </c>
      <c r="F833" s="8" t="n">
        <v>1</v>
      </c>
      <c r="G833" s="8" t="inlineStr">
        <is>
          <t>基础/顶层</t>
        </is>
      </c>
      <c r="H833" s="8" t="inlineStr"/>
      <c r="I833" s="9" t="inlineStr"/>
      <c r="J833" s="8" t="inlineStr"/>
      <c r="K833" s="8" t="inlineStr"/>
      <c r="L833" s="8" t="inlineStr"/>
      <c r="M833" s="8" t="inlineStr">
        <is>
          <t>周期触发</t>
        </is>
      </c>
      <c r="N833" s="8" t="inlineStr">
        <is>
          <t>periodicPulse</t>
        </is>
      </c>
      <c r="O833" s="9" t="inlineStr">
        <is>
          <t>每有1层炎热，获得 1 层护甲；每有1层炎热，获得 2 层护甲；每有1层炎热，获得 3 层护甲；每有1层炎热，获得 4 层护甲</t>
        </is>
      </c>
      <c r="P833" s="9" t="inlineStr">
        <is>
          <t>onPeriodicPulse</t>
        </is>
      </c>
      <c r="Q833" s="9" t="inlineStr">
        <is>
          <t>applyBuff</t>
        </is>
      </c>
      <c r="R833" s="9" t="inlineStr">
        <is>
          <t>{"kind":"periodicPulse","periodicPulse":{"startOnly":true,"label":"每有1层炎热，获得 1 层护甲"},"executors":[{"trigger":"onPeriodicPulse","type":"applyBuff","buffId":"armor","countPerSourceBuffStack":{"buffId":"heat","countPerStack":1},"targetActor":"self","support":"common","label":"每有1层炎热，获得 1 层护甲"}],"label":"每有1层炎热，获得 1 层护甲","starOverrides":{"1":{"label":"每有1层炎热，获得 2 层护甲","executors":[{"countPerSourceBuffStack":{"countPerStack":2},"label":"每有1层炎热，获得 2 层护甲"}]},"2":{"label":"每有1层炎热，获得 3 层护甲","executors":[{"countPerSourceBuffStack":{"countPerStack":3},"label":"每有1层炎热，获得 3 层护甲"}]},"3":{"label":"每有1层炎热，获得 4 层护甲","executors":[{"countPerSourceBuffStack":{"countPerStack":4},"label":"每有1层炎热，获得 4 层护甲"}]}}}</t>
        </is>
      </c>
    </row>
    <row r="834" ht="32" customHeight="1">
      <c r="A834" s="8" t="n">
        <v>410601</v>
      </c>
      <c r="B834" s="8" t="inlineStr">
        <is>
          <t>赤爪镇火扣</t>
        </is>
      </c>
      <c r="C834" s="8" t="inlineStr">
        <is>
          <t>法器</t>
        </is>
      </c>
      <c r="D834" s="8" t="inlineStr">
        <is>
          <t>common</t>
        </is>
      </c>
      <c r="E834" s="8" t="inlineStr">
        <is>
          <t>fire</t>
        </is>
      </c>
      <c r="F834" s="8" t="n">
        <v>1</v>
      </c>
      <c r="G834" s="8" t="inlineStr">
        <is>
          <t>基础/顶层</t>
        </is>
      </c>
      <c r="H834" s="8" t="inlineStr"/>
      <c r="I834" s="9" t="inlineStr"/>
      <c r="J834" s="8" t="inlineStr"/>
      <c r="K834" s="8" t="inlineStr"/>
      <c r="L834" s="8" t="inlineStr"/>
      <c r="M834" s="8" t="inlineStr">
        <is>
          <t>说明/执行器</t>
        </is>
      </c>
      <c r="N834" s="8" t="inlineStr">
        <is>
          <t>effectNote</t>
        </is>
      </c>
      <c r="O834" s="9" t="inlineStr">
        <is>
          <t>战斗中我方首次给敌方施加的灼烧层数翻倍</t>
        </is>
      </c>
      <c r="P834" s="9" t="inlineStr">
        <is>
          <t>onBuffGain</t>
        </is>
      </c>
      <c r="Q834" s="9" t="inlineStr">
        <is>
          <t>applyBuff；other；itemRuntimeDisable；self</t>
        </is>
      </c>
      <c r="R834" s="9" t="inlineStr">
        <is>
          <t>{"kind":"effectNote","label":"&lt;battle&gt;&lt;singleton&gt;战斗中我方首次给敌方施加的灼烧层数翻倍&lt;/singleton&gt;&lt;/battle&gt;","executors":[{"trigger":"onBuffGain","type":"applyBuff","buffId":"burning","label":"&lt;battle&gt;&lt;singleton&gt;战斗中我方首次给敌方施加的灼烧层数翻倍&lt;/singleton&gt;&lt;/battle&gt;","countPerEventBuffStack":1,"eventActor":"enemy","eventBuffId":"burning","eventSource":{"target":{"type":"other"}},"targetActor":"enemy","polarity":"detrimental","support":"battleOnly","singletonByTemplate":true},{"trigger":"onBuffGain","type":"itemRuntimeDisable","target":{"type":"self"},"eventActor":"enemy","eventBuffId":"burning","eventSource":{"target":{"type":"other"}},"support":"battleOnly","singletonByTemplate":true,"label":"&lt;battle&gt;&lt;singleton&gt;战斗中我方首次给敌方施加的灼烧层数翻倍&lt;/singleton&gt;&lt;/battle&gt;"}]}</t>
        </is>
      </c>
    </row>
    <row r="835" ht="32" customHeight="1">
      <c r="A835" s="8" t="n">
        <v>410602</v>
      </c>
      <c r="B835" s="8" t="inlineStr">
        <is>
          <t>丹尾盘焰轮</t>
        </is>
      </c>
      <c r="C835" s="8" t="inlineStr">
        <is>
          <t>法器</t>
        </is>
      </c>
      <c r="D835" s="8" t="inlineStr">
        <is>
          <t>common</t>
        </is>
      </c>
      <c r="E835" s="8" t="inlineStr">
        <is>
          <t>wind</t>
        </is>
      </c>
      <c r="F835" s="8" t="n">
        <v>1</v>
      </c>
      <c r="G835" s="8" t="inlineStr">
        <is>
          <t>基础/顶层</t>
        </is>
      </c>
      <c r="H835" s="8" t="inlineStr"/>
      <c r="I835" s="9" t="inlineStr"/>
      <c r="J835" s="8" t="inlineStr"/>
      <c r="K835" s="8" t="inlineStr"/>
      <c r="L835" s="8" t="inlineStr"/>
      <c r="M835" s="8" t="inlineStr">
        <is>
          <t>条件触发</t>
        </is>
      </c>
      <c r="N835" s="8" t="inlineStr">
        <is>
          <t>triggered</t>
        </is>
      </c>
      <c r="O835" s="9" t="inlineStr">
        <is>
          <t>敌方风压被消耗时，给敌方施加1层灼烧</t>
        </is>
      </c>
      <c r="P835" s="9" t="inlineStr">
        <is>
          <t>onBuffConsumed</t>
        </is>
      </c>
      <c r="Q835" s="9" t="inlineStr">
        <is>
          <t>applyBuff</t>
        </is>
      </c>
      <c r="R835" s="9" t="inlineStr">
        <is>
          <t>{"kind":"triggered","triggeredEffect":{"trigger":"onBuffConsumed","type":"applyBuff","buffId":"burning","count":1,"eventActor":"enemy","eventBuffId":"windPressure","targetActor":"enemy","polarity":"detrimental","support":"battleOnly","singletonByTemplate":true},"label":"&lt;battle&gt;&lt;singleton&gt;敌方风压被消耗时，给敌方施加1层灼烧&lt;/singleton&gt;&lt;/battle&gt;"}</t>
        </is>
      </c>
    </row>
    <row r="836" ht="32" customHeight="1">
      <c r="A836" s="8" t="n">
        <v>410603</v>
      </c>
      <c r="B836" s="8" t="inlineStr">
        <is>
          <t>狐齿镇焰刃</t>
        </is>
      </c>
      <c r="C836" s="8" t="inlineStr">
        <is>
          <t>法器</t>
        </is>
      </c>
      <c r="D836" s="8" t="inlineStr">
        <is>
          <t>common</t>
        </is>
      </c>
      <c r="E836" s="8" t="inlineStr">
        <is>
          <t>metal</t>
        </is>
      </c>
      <c r="F836" s="8" t="n">
        <v>1</v>
      </c>
      <c r="G836" s="8" t="inlineStr">
        <is>
          <t>基础/顶层</t>
        </is>
      </c>
      <c r="H836" s="8" t="inlineStr"/>
      <c r="I836" s="9" t="inlineStr"/>
      <c r="J836" s="8" t="inlineStr"/>
      <c r="K836" s="8" t="inlineStr"/>
      <c r="L836" s="8" t="inlineStr"/>
      <c r="M836" s="8" t="inlineStr">
        <is>
          <t>周期触发</t>
        </is>
      </c>
      <c r="N836" s="8" t="inlineStr">
        <is>
          <t>periodicPulse</t>
        </is>
      </c>
      <c r="O836" s="9" t="inlineStr">
        <is>
          <t>每有5层凝金，对敌方施加1层灼烧；每有5层凝金，对敌方施加2层灼烧；每有5层凝金，对敌方施加3层灼烧；每有5层凝金，对敌方施加4层灼烧</t>
        </is>
      </c>
      <c r="P836" s="9" t="inlineStr">
        <is>
          <t>onPeriodicPulse</t>
        </is>
      </c>
      <c r="Q836" s="9" t="inlineStr">
        <is>
          <t>applyBuff</t>
        </is>
      </c>
      <c r="R836" s="9" t="inlineStr">
        <is>
          <t>{"kind":"periodicPulse","periodicPulse":{"intervalSec":10,"label":"&lt;battle&gt;每有5层凝金，对敌方施加1层灼烧&lt;/battle&gt;"},"executors":[{"trigger":"onPeriodicPulse","type":"applyBuff","buffId":"burning","count":1,"label":"&lt;battle&gt;每有5层凝金，对敌方施加1层灼烧&lt;/battle&gt;","targetActor":"enemy","polarity":"detrimental","support":"battleOnly","scaling":{"mode":"count","source":"buffStacks","buffId":"condensedMetal","countDivisor":5}}],"label":"&lt;battle&gt;每有5层凝金，对敌方施加1层灼烧&lt;/battle&gt;","starOverrides":{"1":{"label":"&lt;battle&gt;每有5层凝金，对敌方施加2层灼烧&lt;/battle&gt;","executors":[{"count":2,"label":"&lt;battle&gt;每有5层凝金，对敌方施加2层灼烧&lt;/battle&gt;"}]},"2":{"label":"&lt;battle&gt;每有5层凝金，对敌方施加3层灼烧&lt;/battle&gt;","executors":[{"count":3,"label":"&lt;battle&gt;每有5层凝金，对敌方施加3层灼烧&lt;/battle&gt;"}]},"3":{"label":"&lt;battle&gt;每有5层凝金，对敌方施加4层灼烧&lt;/battle&gt;","executors":[{"count":4,"label":"&lt;battle&gt;每有5层凝金，对敌方施加4层灼烧&lt;/battle&gt;"}]}}}</t>
        </is>
      </c>
    </row>
    <row r="837" ht="32" customHeight="1">
      <c r="A837" s="8" t="n">
        <v>410604</v>
      </c>
      <c r="B837" s="8" t="inlineStr">
        <is>
          <t>焦耳听火罩</t>
        </is>
      </c>
      <c r="C837" s="8" t="inlineStr">
        <is>
          <t>法器</t>
        </is>
      </c>
      <c r="D837" s="8" t="inlineStr">
        <is>
          <t>common</t>
        </is>
      </c>
      <c r="E837" s="8" t="inlineStr">
        <is>
          <t>fire</t>
        </is>
      </c>
      <c r="F837" s="8" t="n">
        <v>1</v>
      </c>
      <c r="G837" s="8" t="inlineStr">
        <is>
          <t>基础/顶层</t>
        </is>
      </c>
      <c r="H837" s="8" t="inlineStr"/>
      <c r="I837" s="9" t="inlineStr"/>
      <c r="J837" s="8" t="inlineStr"/>
      <c r="K837" s="8" t="inlineStr"/>
      <c r="L837" s="8" t="inlineStr"/>
      <c r="M837" s="8" t="inlineStr">
        <is>
          <t>条件触发</t>
        </is>
      </c>
      <c r="N837" s="8" t="inlineStr">
        <is>
          <t>triggered</t>
        </is>
      </c>
      <c r="O837" s="9" t="inlineStr">
        <is>
          <t>自身炎热不少于 20 层时，自身每次获得灼烧的层数-1；自身炎热不少于 25 层时，自身每次获得灼烧的层数-2；自身炎热不少于 30 层时，自身每次获得灼烧的层数-3；自身炎热不少于 35 层时，自身每次获得灼烧的层数-4</t>
        </is>
      </c>
      <c r="P837" s="9" t="inlineStr">
        <is>
          <t>onBuffGain</t>
        </is>
      </c>
      <c r="Q837" s="9" t="inlineStr">
        <is>
          <t>consumeBuffStacks；self</t>
        </is>
      </c>
      <c r="R837" s="9" t="inlineStr">
        <is>
          <t>{"kind":"triggered","triggeredEffect":{"trigger":"onBuffGain","type":"consumeBuffStacks","sourceBuffId":"burning","requiredStacks":1,"maxStacks":1,"eventActor":"self","eventBuffId":"burning","eventSource":{"target":{"type":"self"}},"activationRequirements":{"buffStackThresholds":[{"buffId":"heat","comparator":"atLeast","count":20}]},"support":"battleOnly"},"label":"&lt;battle&gt;自身炎热不少于 20 层时，自身每次获得灼烧的层数-1&lt;/battle&gt;","starOverrides":{"1":{"label":"&lt;battle&gt;自身炎热不少于 25 层时，自身每次获得灼烧的层数-2&lt;/battle&gt;","triggeredEffect":{"trigger":"onBuffGain","type":"consumeBuffStacks","sourceBuffId":"burning","requiredStacks":1,"maxStacks":2,"eventActor":"self","eventBuffId":"burning","eventSource":{"target":{"type":"self"}},"activationRequirements":{"buffStackThresholds":[{"buffId":"heat","comparator":"atLeast","count":25}]},"support":"battleOnly"}},"2":{"label":"&lt;battle&gt;自身炎热不少于 30 层时，自身每次获得灼烧的层数-3&lt;/battle&gt;","triggeredEffect":{"trigger":"onBuffGain","type":"consumeBuffStacks","sourceBuffId":"burning","requiredStacks":1,"maxStacks":3,"eventActor":"self","eventBuffId":"burning","eventSource":{"target":{"type":"self"}},"activationRequirements":{"buffStackThresholds":[{"buffId":"heat","comparator":"atLeast","count":30}]},"support":"battleOnly"}},"3":{"label":"&lt;battle&gt;自身炎热不少于 35 层时，自身每次获得灼烧的层数-4&lt;/battle&gt;","triggeredEffect":{"trigger":"onBuffGain","type":"consumeBuffStacks","sourceBuffId":"burning","requiredStacks":1,"maxStacks":4,"eventActor":"self","eventBuffId":"burning","eventSource":{"target":{"type":"self"}},"activationRequirements":{"buffStackThresholds":[{"buffId":"heat","comparator":"atLeast","count":35}]},"support":"battleOnly"}}}}</t>
        </is>
      </c>
    </row>
    <row r="838" ht="32" customHeight="1">
      <c r="A838" s="8" t="n">
        <v>410605</v>
      </c>
      <c r="B838" s="8" t="inlineStr">
        <is>
          <t>蓄焰耳炉</t>
        </is>
      </c>
      <c r="C838" s="8" t="inlineStr">
        <is>
          <t>法器</t>
        </is>
      </c>
      <c r="D838" s="8" t="inlineStr">
        <is>
          <t>common</t>
        </is>
      </c>
      <c r="E838" s="8" t="inlineStr">
        <is>
          <t>fire</t>
        </is>
      </c>
      <c r="F838" s="8" t="n">
        <v>1</v>
      </c>
      <c r="G838" s="8" t="inlineStr">
        <is>
          <t>基础/顶层</t>
        </is>
      </c>
      <c r="H838" s="8" t="inlineStr"/>
      <c r="I838" s="9" t="inlineStr"/>
      <c r="J838" s="8" t="inlineStr"/>
      <c r="K838" s="8" t="inlineStr"/>
      <c r="L838" s="8" t="inlineStr"/>
      <c r="M838" s="8" t="inlineStr">
        <is>
          <t>周期触发</t>
        </is>
      </c>
      <c r="N838" s="8" t="inlineStr">
        <is>
          <t>periodicPulse</t>
        </is>
      </c>
      <c r="O838" s="9" t="inlineStr">
        <is>
          <t>每有1层灼烧，对敌方施加1层灼烧</t>
        </is>
      </c>
      <c r="P838" s="9" t="inlineStr">
        <is>
          <t>onPeriodicPulse</t>
        </is>
      </c>
      <c r="Q838" s="9" t="inlineStr">
        <is>
          <t>applyBuff</t>
        </is>
      </c>
      <c r="R838" s="9" t="inlineStr">
        <is>
          <t>{"kind":"periodicPulse","periodicPulse":{"intervalSec":10,"label":"&lt;battle&gt;每有1层灼烧，对敌方施加1层灼烧&lt;/battle&gt;"},"executors":[{"trigger":"onPeriodicPulse","type":"applyBuff","buffId":"burning","count":1,"label":"&lt;battle&gt;每有1层灼烧，对敌方施加1层灼烧&lt;/battle&gt;","targetActor":"enemy","polarity":"detrimental","support":"battleOnly","scaling":{"mode":"count","source":"buffStacks","buffId":"burning","countDivisor":1,"targetActor":"enemy"}}],"label":"&lt;battle&gt;每有1层灼烧，对敌方施加1层灼烧&lt;/battle&gt;","starOverrides":{"1":{"label":"&lt;battle&gt;每有1层灼烧，对敌方施加1层灼烧&lt;/battle&gt;","periodicPulse":{"intervalSec":9}},"2":{"label":"&lt;battle&gt;每有1层灼烧，对敌方施加1层灼烧&lt;/battle&gt;","periodicPulse":{"intervalSec":8}},"3":{"label":"&lt;battle&gt;每有1层灼烧，对敌方施加1层灼烧&lt;/battle&gt;","periodicPulse":{"intervalSec":7}}}}</t>
        </is>
      </c>
    </row>
    <row r="839" ht="32" customHeight="1">
      <c r="A839" s="8" t="n">
        <v>410650</v>
      </c>
      <c r="B839" s="8" t="inlineStr">
        <is>
          <t>绛尾破焰梭</t>
        </is>
      </c>
      <c r="C839" s="8" t="inlineStr">
        <is>
          <t>法器</t>
        </is>
      </c>
      <c r="D839" s="8" t="inlineStr">
        <is>
          <t>common</t>
        </is>
      </c>
      <c r="E839" s="8" t="inlineStr">
        <is>
          <t>wind</t>
        </is>
      </c>
      <c r="F839" s="8" t="n">
        <v>1</v>
      </c>
      <c r="G839" s="8" t="inlineStr">
        <is>
          <t>基础/顶层</t>
        </is>
      </c>
      <c r="H839" s="8" t="inlineStr"/>
      <c r="I839" s="9" t="inlineStr"/>
      <c r="J839" s="8" t="inlineStr"/>
      <c r="K839" s="8" t="inlineStr"/>
      <c r="L839" s="8" t="inlineStr"/>
      <c r="M839" s="8" t="inlineStr">
        <is>
          <t>周期触发</t>
        </is>
      </c>
      <c r="N839" s="8" t="inlineStr">
        <is>
          <t>periodicPulse</t>
        </is>
      </c>
      <c r="O839" s="9" t="inlineStr">
        <is>
          <t>消耗敌方全部风压，每消耗5层，对其施加1层灼烧；消耗敌方全部风压，每消耗4层，对其施加1层灼烧；消耗敌方全部风压，每消耗3层，对其施加1层灼烧；消耗敌方全部风压，每消耗2层，对其施加1层灼烧</t>
        </is>
      </c>
      <c r="P839" s="9" t="inlineStr">
        <is>
          <t>onPeriodicPulse</t>
        </is>
      </c>
      <c r="Q839" s="9" t="inlineStr">
        <is>
          <t>consumeBuffStacks</t>
        </is>
      </c>
      <c r="R839" s="9" t="inlineStr">
        <is>
          <t>{"kind":"periodicPulse","periodicPulse":{"intervalSec":20,"label":"&lt;battle&gt;消耗敌方全部风压，每消耗5层，对其施加1层灼烧&lt;/battle&gt;"},"executors":[{"trigger":"onPeriodicPulse","type":"consumeBuffStacks","sourceBuffId":"windPressure","consumeTargetActor":"enemy","targetBuffGainPerStack":{"buffId":"burning","countPerStack":0.2},"support":"battleOnly","label":"&lt;battle&gt;消耗敌方全部风压，每消耗5层，对其施加1层灼烧&lt;/battle&gt;"}],"label":"&lt;battle&gt;消耗敌方全部风压，每消耗5层，对其施加1层灼烧&lt;/battle&gt;","starOverrides":{"1":{"label":"&lt;battle&gt;消耗敌方全部风压，每消耗4层，对其施加1层灼烧&lt;/battle&gt;","executors":[{"targetBuffGainPerStack":{"countPerStack":0.25},"label":"&lt;battle&gt;消耗敌方全部风压，每消耗4层，对其施加1层灼烧&lt;/battle&gt;"}]},"2":{"label":"&lt;battle&gt;消耗敌方全部风压，每消耗3层，对其施加1层灼烧&lt;/battle&gt;","executors":[{"targetBuffGainPerStack":{"countPerStack":0.3333333333},"label":"&lt;battle&gt;消耗敌方全部风压，每消耗3层，对其施加1层灼烧&lt;/battle&gt;"}]},"3":{"label":"&lt;battle&gt;消耗敌方全部风压，每消耗2层，对其施加1层灼烧&lt;/battle&gt;","executors":[{"targetBuffGainPerStack":{"countPerStack":0.5},"label":"&lt;battle&gt;消耗敌方全部风压，每消耗2层，对其施加1层灼烧&lt;/battle&gt;"}]}}}</t>
        </is>
      </c>
    </row>
    <row r="840" ht="32" customHeight="1">
      <c r="A840" s="8" t="n">
        <v>410651</v>
      </c>
      <c r="B840" s="8" t="inlineStr">
        <is>
          <t>狐齿破焰轮</t>
        </is>
      </c>
      <c r="C840" s="8" t="inlineStr">
        <is>
          <t>法器</t>
        </is>
      </c>
      <c r="D840" s="8" t="inlineStr">
        <is>
          <t>common</t>
        </is>
      </c>
      <c r="E840" s="8" t="inlineStr">
        <is>
          <t>poison</t>
        </is>
      </c>
      <c r="F840" s="8" t="n">
        <v>1</v>
      </c>
      <c r="G840" s="8" t="inlineStr">
        <is>
          <t>基础/顶层</t>
        </is>
      </c>
      <c r="H840" s="8" t="inlineStr"/>
      <c r="I840" s="9" t="inlineStr"/>
      <c r="J840" s="8" t="inlineStr"/>
      <c r="K840" s="8" t="inlineStr"/>
      <c r="L840" s="8" t="inlineStr"/>
      <c r="M840" s="8" t="inlineStr">
        <is>
          <t>条件触发</t>
        </is>
      </c>
      <c r="N840" s="8" t="inlineStr">
        <is>
          <t>triggered</t>
        </is>
      </c>
      <c r="O840" s="9" t="inlineStr">
        <is>
          <t>左右相邻道具对敌方施加灼烧时，对敌方施加 1 层中毒；左右相邻道具对敌方施加灼烧时，对敌方施加 2 层中毒；左右相邻道具对敌方施加灼烧时，对敌方施加 3 层中毒；左右相邻道具对敌方施加灼烧时，对敌方施加 4 层中毒</t>
        </is>
      </c>
      <c r="P840" s="9" t="inlineStr">
        <is>
          <t>onBuffGain</t>
        </is>
      </c>
      <c r="Q840" s="9" t="inlineStr">
        <is>
          <t>applyBuff；directional-adjacent</t>
        </is>
      </c>
      <c r="R840" s="9" t="inlineStr">
        <is>
          <t>{"kind":"triggered","triggeredEffect":{"trigger":"onBuffGain","eventActor":"enemy","eventBuffId":"burning","type":"applyBuff","buffId":"poison","count":1,"targetActor":"enemy","polarity":"detrimental","eventSource":{"target":{"type":"directional-adjacent","direction":"both-horizontal"}},"support":"battleOnly"},"label":"&lt;battle&gt;左右相邻道具对敌方施加灼烧时，对敌方施加 1 层中毒&lt;/battle&gt;","starOverrides":{"1":{"label":"&lt;battle&gt;左右相邻道具对敌方施加灼烧时，对敌方施加 2 层中毒&lt;/battle&gt;","triggeredEffect":{"count":2}},"2":{"label":"&lt;battle&gt;左右相邻道具对敌方施加灼烧时，对敌方施加 3 层中毒&lt;/battle&gt;","triggeredEffect":{"count":3}},"3":{"label":"&lt;battle&gt;左右相邻道具对敌方施加灼烧时，对敌方施加 4 层中毒&lt;/battle&gt;","triggeredEffect":{"count":4}}}}</t>
        </is>
      </c>
    </row>
    <row r="841" ht="32" customHeight="1">
      <c r="A841" s="8" t="n">
        <v>410652</v>
      </c>
      <c r="B841" s="8" t="inlineStr">
        <is>
          <t>耳轮灼风哨</t>
        </is>
      </c>
      <c r="C841" s="8" t="inlineStr">
        <is>
          <t>法器</t>
        </is>
      </c>
      <c r="D841" s="8" t="inlineStr">
        <is>
          <t>common</t>
        </is>
      </c>
      <c r="E841" s="8" t="inlineStr">
        <is>
          <t>wind</t>
        </is>
      </c>
      <c r="F841" s="8" t="n">
        <v>1</v>
      </c>
      <c r="G841" s="8" t="inlineStr">
        <is>
          <t>基础/顶层</t>
        </is>
      </c>
      <c r="H841" s="8" t="inlineStr"/>
      <c r="I841" s="9" t="inlineStr"/>
      <c r="J841" s="8" t="inlineStr"/>
      <c r="K841" s="8" t="inlineStr"/>
      <c r="L841" s="8" t="inlineStr"/>
      <c r="M841" s="8" t="inlineStr">
        <is>
          <t>周期触发</t>
        </is>
      </c>
      <c r="N841" s="8" t="inlineStr">
        <is>
          <t>periodicPulse</t>
        </is>
      </c>
      <c r="O841" s="9" t="inlineStr">
        <is>
          <t>每有1层敏捷，对敌方施加1层灼烧；每有1层敏捷，对敌方施加2层灼烧；每有1层敏捷，对敌方施加3层灼烧；每有1层敏捷，对敌方施加4层灼烧</t>
        </is>
      </c>
      <c r="P841" s="9" t="inlineStr">
        <is>
          <t>onPeriodicPulse</t>
        </is>
      </c>
      <c r="Q841" s="9" t="inlineStr">
        <is>
          <t>applyBuff</t>
        </is>
      </c>
      <c r="R841" s="9" t="inlineStr">
        <is>
          <t>{"kind":"periodicPulse","periodicPulse":{"startOnly":true,"label":"每有1层敏捷，&lt;battle&gt;对敌方施加1层灼烧&lt;/battle&gt;"},"executors":[{"trigger":"onPeriodicPulse","type":"applyBuff","buffId":"burning","label":"每有1层敏捷，&lt;battle&gt;对敌方施加1层灼烧&lt;/battle&gt;","countPerSourceBuffStack":{"buffId":"agile","countPerStack":1},"targetActor":"enemy","polarity":"detrimental","support":"battleOnly"}],"label":"每有1层敏捷，&lt;battle&gt;对敌方施加1层灼烧&lt;/battle&gt;","starOverrides":{"1":{"label":"每有1层敏捷，&lt;battle&gt;对敌方施加2层灼烧&lt;/battle&gt;","executors":[{"countPerSourceBuffStack":{"countPerStack":2},"label":"每有1层敏捷，&lt;battle&gt;对敌方施加2层灼烧&lt;/battle&gt;"}]},"2":{"label":"每有1层敏捷，&lt;battle&gt;对敌方施加3层灼烧&lt;/battle&gt;","executors":[{"countPerSourceBuffStack":{"countPerStack":3},"label":"每有1层敏捷，&lt;battle&gt;对敌方施加3层灼烧&lt;/battle&gt;"}]},"3":{"label":"每有1层敏捷，&lt;battle&gt;对敌方施加4层灼烧&lt;/battle&gt;","executors":[{"countPerSourceBuffStack":{"countPerStack":4},"label":"每有1层敏捷，&lt;battle&gt;对敌方施加4层灼烧&lt;/battle&gt;"}]}}}</t>
        </is>
      </c>
    </row>
    <row r="842" ht="32" customHeight="1">
      <c r="A842" s="8" t="n">
        <v>410700</v>
      </c>
      <c r="B842" s="8" t="inlineStr">
        <is>
          <t>裂谷牙盾</t>
        </is>
      </c>
      <c r="C842" s="8" t="inlineStr">
        <is>
          <t>法器</t>
        </is>
      </c>
      <c r="D842" s="8" t="inlineStr">
        <is>
          <t>common</t>
        </is>
      </c>
      <c r="E842" s="8" t="inlineStr">
        <is>
          <t>metal</t>
        </is>
      </c>
      <c r="F842" s="8" t="n">
        <v>1</v>
      </c>
      <c r="G842" s="8" t="inlineStr">
        <is>
          <t>基础/顶层</t>
        </is>
      </c>
      <c r="H842" s="8" t="inlineStr"/>
      <c r="I842" s="9" t="inlineStr"/>
      <c r="J842" s="8" t="inlineStr"/>
      <c r="K842" s="8" t="inlineStr"/>
      <c r="L842" s="8" t="inlineStr"/>
      <c r="M842" s="8" t="inlineStr">
        <is>
          <t>条件触发</t>
        </is>
      </c>
      <c r="N842" s="8" t="inlineStr">
        <is>
          <t>triggered</t>
        </is>
      </c>
      <c r="O842" s="9" t="inlineStr">
        <is>
          <t>护甲被消耗时，对敌方施加 1 层裂甲；护甲被消耗时，对敌方施加 2 层裂甲；护甲被消耗时，对敌方施加 3 层裂甲；护甲被消耗时，对敌方施加 4 层裂甲</t>
        </is>
      </c>
      <c r="P842" s="9" t="inlineStr">
        <is>
          <t>onBuffConsumed</t>
        </is>
      </c>
      <c r="Q842" s="9" t="inlineStr">
        <is>
          <t>applyBuff；self</t>
        </is>
      </c>
      <c r="R842" s="9" t="inlineStr">
        <is>
          <t>{"kind":"triggered","triggeredEffect":{"trigger":"onBuffConsumed","type":"applyBuff","buffId":"crackArmor","count":1,"eventActor":"self","eventBuffId":"armor","eventSource":{"target":{"type":"self"}},"targetActor":"enemy","polarity":"detrimental","support":"battleOnly"},"label":"&lt;battle&gt;护甲被消耗时，对敌方施加 1 层裂甲&lt;/battle&gt;","starOverrides":{"1":{"label":"&lt;battle&gt;护甲被消耗时，对敌方施加 2 层裂甲&lt;/battle&gt;","triggeredEffect":{"count":2}},"2":{"label":"&lt;battle&gt;护甲被消耗时，对敌方施加 3 层裂甲&lt;/battle&gt;","triggeredEffect":{"count":3}},"3":{"label":"&lt;battle&gt;护甲被消耗时，对敌方施加 4 层裂甲&lt;/battle&gt;","triggeredEffect":{"count":4}}}}</t>
        </is>
      </c>
    </row>
    <row r="843" ht="32" customHeight="1">
      <c r="A843" s="8" t="n">
        <v>410701</v>
      </c>
      <c r="B843" s="8" t="inlineStr">
        <is>
          <t>灰脊毛护腕</t>
        </is>
      </c>
      <c r="C843" s="8" t="inlineStr">
        <is>
          <t>法器</t>
        </is>
      </c>
      <c r="D843" s="8" t="inlineStr">
        <is>
          <t>common</t>
        </is>
      </c>
      <c r="E843" s="8" t="inlineStr">
        <is>
          <t>earth</t>
        </is>
      </c>
      <c r="F843" s="8" t="n">
        <v>1</v>
      </c>
      <c r="G843" s="8" t="inlineStr">
        <is>
          <t>基础/顶层</t>
        </is>
      </c>
      <c r="H843" s="8" t="inlineStr"/>
      <c r="I843" s="9" t="inlineStr"/>
      <c r="J843" s="8" t="inlineStr"/>
      <c r="K843" s="8" t="inlineStr"/>
      <c r="L843" s="8" t="inlineStr"/>
      <c r="M843" s="8" t="inlineStr">
        <is>
          <t>周期触发</t>
        </is>
      </c>
      <c r="N843" s="8" t="inlineStr">
        <is>
          <t>periodicPulse</t>
        </is>
      </c>
      <c r="O843" s="9" t="inlineStr">
        <is>
          <t>将20层护甲转化为3层坚硬；将24层护甲转化为4层坚硬；将28层护甲转化为5层坚硬；将32层护甲转化为6层坚硬</t>
        </is>
      </c>
      <c r="P843" s="9" t="inlineStr">
        <is>
          <t>onPeriodicPulse</t>
        </is>
      </c>
      <c r="Q843" s="9" t="inlineStr">
        <is>
          <t>convertBuffStacks</t>
        </is>
      </c>
      <c r="R843" s="9" t="inlineStr">
        <is>
          <t>{"kind":"periodicPulse","periodicPulse":{"intervalSec":15,"label":"将20层护甲转化为3层坚硬"},"executors":[{"trigger":"onPeriodicPulse","type":"convertBuffStacks","sourceBuffId":"armor","targetBuffId":"sturdy","requiredStacks":20,"maxStacks":20,"consumeRatio":0.15,"support":"common","label":"将20层护甲转化为3层坚硬"}],"label":"将20层护甲转化为3层坚硬","starOverrides":{"1":{"label":"将24层护甲转化为4层坚硬","executors":[{"requiredStacks":24,"maxStacks":24,"consumeRatio":0.1666666667,"label":"将24层护甲转化为4层坚硬"}]},"2":{"label":"将28层护甲转化为5层坚硬","executors":[{"requiredStacks":28,"maxStacks":28,"consumeRatio":0.1785714286,"label":"将28层护甲转化为5层坚硬"}]},"3":{"label":"将32层护甲转化为6层坚硬","executors":[{"requiredStacks":32,"maxStacks":32,"consumeRatio":0.1875,"label":"将32层护甲转化为6层坚硬"}]}}}</t>
        </is>
      </c>
    </row>
    <row r="844" ht="32" customHeight="1">
      <c r="A844" s="8" t="n">
        <v>410702</v>
      </c>
      <c r="B844" s="8" t="inlineStr">
        <is>
          <t>风蚀爪骨钩</t>
        </is>
      </c>
      <c r="C844" s="8" t="inlineStr">
        <is>
          <t>法器</t>
        </is>
      </c>
      <c r="D844" s="8" t="inlineStr">
        <is>
          <t>common</t>
        </is>
      </c>
      <c r="E844" s="8" t="inlineStr">
        <is>
          <t>wind</t>
        </is>
      </c>
      <c r="F844" s="8" t="n">
        <v>1</v>
      </c>
      <c r="G844" s="8" t="inlineStr">
        <is>
          <t>基础/顶层</t>
        </is>
      </c>
      <c r="H844" s="8" t="inlineStr"/>
      <c r="I844" s="9" t="inlineStr"/>
      <c r="J844" s="8" t="inlineStr"/>
      <c r="K844" s="8" t="inlineStr"/>
      <c r="L844" s="8" t="inlineStr"/>
      <c r="M844" s="8" t="inlineStr">
        <is>
          <t>周期触发</t>
        </is>
      </c>
      <c r="N844" s="8" t="inlineStr">
        <is>
          <t>periodicPulse</t>
        </is>
      </c>
      <c r="O844" s="9" t="inlineStr">
        <is>
          <t>每有1件相邻尸骸道具，消耗敌方最多 4 层风压，每层对其造成 5 点伤害；每有1件相邻尸骸道具，消耗敌方最多 4 层风压，每层对其造成 7 点伤害；每有1件相邻尸骸道具，消耗敌方最多 4 层风压，每层对其造成 9 点伤害；每有1件相邻尸骸道具，消耗敌方最多 4 层风压，每层对其造成 11 点伤害</t>
        </is>
      </c>
      <c r="P844" s="9" t="inlineStr"/>
      <c r="Q844" s="9" t="inlineStr">
        <is>
          <t>targetBuffStacksGreaterThan</t>
        </is>
      </c>
      <c r="R844" s="9" t="inlineStr">
        <is>
          <t>{"kind":"periodicPulse","periodicPulse":{"intervalSec":12,"battleCondition":{"type":"targetBuffStacksGreaterThan","buffId":"windPressure","count":0},"damageHealth":{"target":"enemy","amount":0,"amountPerTargetBuffStack":{"buffId":"windPressure","valuePerStack":5,"maxStacks":4},"removeTargetBuffStacksAfterDamage":{"buffId":"windPressure","count":4}},"scaling":{"mode":"count","source":"adjacentItems","features":["corpse"]},"label":"每有1件相邻尸骸道具，&lt;battle&gt;消耗敌方最多 4 层风压，每层对其造成 5 点伤害&lt;/battle&gt;"},"label":"每有1件相邻尸骸道具，&lt;battle&gt;消耗敌方最多 4 层风压，每层对其造成 5 点伤害&lt;/battle&gt;","starOverrides":{"1":{"label":"每有1件相邻尸骸道具，&lt;battle&gt;消耗敌方最多 4 层风压，每层对其造成 7 点伤害&lt;/battle&gt;","periodicPulse":{"intervalSec":12,"battleCondition":{"type":"targetBuffStacksGreaterThan","buffId":"windPressure","count":0},"damageHealth":{"target":"enemy","amount":0,"amountPerTargetBuffStack":{"buffId":"windPressure","valuePerStack":7,"maxStacks":4},"removeTargetBuffStacksAfterDamage":{"buffId":"windPressure","count":4}},"scaling":{"mode":"count","source":"adjacentItems","features":["corpse"]},"label":"每有1件相邻尸骸道具，&lt;battle&gt;消耗敌方最多 4 层风压，每层对其造成 7 点伤害&lt;/battle&gt;"}},"2":{"label":"每有1件相邻尸骸道具，&lt;battle&gt;消耗敌方最多 4 层风压，每层对其造成 9 点伤害&lt;/battle&gt;","periodicPulse":{"intervalSec":12,"battleCondition":{"type":"targetBuffStacksGreaterThan","buffId":"windPressure","count":0},"damageHealth":{"target":"enemy","amount":0,"amountPerTargetBuffStack":{"buffId":"windPressure","valuePerStack":9,"maxStacks":4},"removeTargetBuffStacksAfterDamage":{"buffId":"windPressure","count":4}},"scaling":{"mode":"count","source":"adjacentItems","features":["corpse"]},"label":"每有1件相邻尸骸道具，&lt;battle&gt;消耗敌方最多 4 层风压，每层对其造成 9 点伤害&lt;/battle&gt;"}},"3":{"label":"每有1件相邻尸骸道具，&lt;battle&gt;消耗敌方最多 4 层风压，每层对其造成 11 点伤害&lt;/battle&gt;","periodicPulse":{"intervalSec":12,"battleCondition":{"type":"targetBuffStacksGreaterThan","buffId":"windPressure","count":0},"damageHealth":{"target":"enemy","amount":0,"amountPerTargetBuffStack":{"buffId":"windPressure","valuePerStack":11,"maxStacks":4},"removeTargetBuffStacksAfterDamage":{"buffId":"windPressure","count":4}},"scaling":{"mode":"count","source":"adjacentItems","features":["corpse"]},"label":"每有1件相邻尸骸道具，&lt;battle&gt;消耗敌方最多 4 层风压，每层对其造成 11 点伤害&lt;/battle&gt;"}}}}</t>
        </is>
      </c>
    </row>
    <row r="845" ht="32" customHeight="1">
      <c r="A845" s="8" t="n">
        <v>410703</v>
      </c>
      <c r="B845" s="8" t="inlineStr">
        <is>
          <t>谷尘肩皮软甲</t>
        </is>
      </c>
      <c r="C845" s="8" t="inlineStr">
        <is>
          <t>法器</t>
        </is>
      </c>
      <c r="D845" s="8" t="inlineStr">
        <is>
          <t>common</t>
        </is>
      </c>
      <c r="E845" s="8" t="inlineStr">
        <is>
          <t>earth</t>
        </is>
      </c>
      <c r="F845" s="8" t="n">
        <v>1</v>
      </c>
      <c r="G845" s="8" t="inlineStr">
        <is>
          <t>基础/顶层</t>
        </is>
      </c>
      <c r="H845" s="8" t="inlineStr"/>
      <c r="I845" s="9" t="inlineStr"/>
      <c r="J845" s="8" t="inlineStr"/>
      <c r="K845" s="8" t="inlineStr"/>
      <c r="L845" s="8" t="inlineStr"/>
      <c r="M845" s="8" t="inlineStr">
        <is>
          <t>周期触发</t>
        </is>
      </c>
      <c r="N845" s="8" t="inlineStr">
        <is>
          <t>periodicPulse</t>
        </is>
      </c>
      <c r="O845" s="9" t="inlineStr">
        <is>
          <t>相邻每有1件防具，获得 1 层蓄势；相邻每有1件防具，获得 2 层蓄势；相邻每有1件防具，获得 3 层蓄势；相邻每有1件防具，获得 4 层蓄势</t>
        </is>
      </c>
      <c r="P845" s="9" t="inlineStr">
        <is>
          <t>onPeriodicPulse</t>
        </is>
      </c>
      <c r="Q845" s="9" t="inlineStr">
        <is>
          <t>applyBuff</t>
        </is>
      </c>
      <c r="R845" s="9" t="inlineStr">
        <is>
          <t>{"kind":"periodicPulse","periodicPulse":{"startOnly":true,"label":"相邻每有1件防具，获得 1 层蓄势"},"executors":[{"trigger":"onPeriodicPulse","type":"applyBuff","buffId":"heavy","count":1,"targetActor":"self","scaling":{"mode":"count","source":"adjacentItems","features":["armor"]},"support":"common","label":"相邻每有1件防具，获得 1 层蓄势"}],"label":"相邻每有1件防具，获得 1 层蓄势","starOverrides":{"1":{"label":"相邻每有1件防具，获得 2 层蓄势","executors":[{"count":2,"label":"相邻每有1件防具，获得 2 层蓄势"}]},"2":{"label":"相邻每有1件防具，获得 3 层蓄势","executors":[{"count":3,"label":"相邻每有1件防具，获得 3 层蓄势"}]},"3":{"label":"相邻每有1件防具，获得 4 层蓄势","executors":[{"count":4,"label":"相邻每有1件防具，获得 4 层蓄势"}]}}}</t>
        </is>
      </c>
    </row>
    <row r="846" ht="32" customHeight="1">
      <c r="A846" s="8" t="n">
        <v>410750</v>
      </c>
      <c r="B846" s="8" t="inlineStr">
        <is>
          <t>裂牙破风锥</t>
        </is>
      </c>
      <c r="C846" s="8" t="inlineStr">
        <is>
          <t>法器</t>
        </is>
      </c>
      <c r="D846" s="8" t="inlineStr">
        <is>
          <t>common</t>
        </is>
      </c>
      <c r="E846" s="8" t="inlineStr">
        <is>
          <t>wind</t>
        </is>
      </c>
      <c r="F846" s="8" t="n">
        <v>1</v>
      </c>
      <c r="G846" s="8" t="inlineStr">
        <is>
          <t>基础/顶层</t>
        </is>
      </c>
      <c r="H846" s="8" t="inlineStr"/>
      <c r="I846" s="9" t="inlineStr"/>
      <c r="J846" s="8" t="inlineStr"/>
      <c r="K846" s="8" t="inlineStr"/>
      <c r="L846" s="8" t="inlineStr"/>
      <c r="M846" s="8" t="inlineStr">
        <is>
          <t>周期触发</t>
        </is>
      </c>
      <c r="N846" s="8" t="inlineStr">
        <is>
          <t>periodicPulse</t>
        </is>
      </c>
      <c r="O846" s="9" t="inlineStr">
        <is>
          <t>每有1件风属性道具，对敌方施加1层裂甲；每有1件风属性道具，对敌方施加2层裂甲；每有1件风属性道具，对敌方施加3层裂甲；每有1件风属性道具，对敌方施加4层裂甲</t>
        </is>
      </c>
      <c r="P846" s="9" t="inlineStr">
        <is>
          <t>onPeriodicPulse</t>
        </is>
      </c>
      <c r="Q846" s="9" t="inlineStr">
        <is>
          <t>applyBuff</t>
        </is>
      </c>
      <c r="R846" s="9" t="inlineStr">
        <is>
          <t>{"kind":"periodicPulse","periodicPulse":{"intervalSec":12,"label":"&lt;battle&gt;每有1件风属性道具，对敌方施加1层裂甲&lt;/battle&gt;"},"executors":[{"trigger":"onPeriodicPulse","type":"applyBuff","buffId":"crackArmor","count":1,"label":"&lt;battle&gt;每有1件风属性道具，对敌方施加1层裂甲&lt;/battle&gt;","targetActor":"enemy","polarity":"detrimental","support":"battleOnly","scaling":{"mode":"count","source":"bagItems","elements":["wind"]}}],"label":"&lt;battle&gt;每有1件风属性道具，对敌方施加1层裂甲&lt;/battle&gt;","starOverrides":{"1":{"label":"&lt;battle&gt;每有1件风属性道具，对敌方施加2层裂甲&lt;/battle&gt;","executors":[{"count":2,"label":"&lt;battle&gt;每有1件风属性道具，对敌方施加2层裂甲&lt;/battle&gt;"}]},"2":{"label":"&lt;battle&gt;每有1件风属性道具，对敌方施加3层裂甲&lt;/battle&gt;","executors":[{"count":3,"label":"&lt;battle&gt;每有1件风属性道具，对敌方施加3层裂甲&lt;/battle&gt;"}]},"3":{"label":"&lt;battle&gt;每有1件风属性道具，对敌方施加4层裂甲&lt;/battle&gt;","executors":[{"count":4,"label":"&lt;battle&gt;每有1件风属性道具，对敌方施加4层裂甲&lt;/battle&gt;"}]}}}</t>
        </is>
      </c>
    </row>
    <row r="847" ht="32" customHeight="1">
      <c r="A847" s="8" t="n">
        <v>410751</v>
      </c>
      <c r="B847" s="8" t="inlineStr">
        <is>
          <t>风蚀骨针</t>
        </is>
      </c>
      <c r="C847" s="8" t="inlineStr">
        <is>
          <t>法器</t>
        </is>
      </c>
      <c r="D847" s="8" t="inlineStr">
        <is>
          <t>common</t>
        </is>
      </c>
      <c r="E847" s="8" t="inlineStr">
        <is>
          <t>poison</t>
        </is>
      </c>
      <c r="F847" s="8" t="n">
        <v>1</v>
      </c>
      <c r="G847" s="8" t="inlineStr">
        <is>
          <t>基础/顶层</t>
        </is>
      </c>
      <c r="H847" s="8" t="inlineStr"/>
      <c r="I847" s="9" t="inlineStr"/>
      <c r="J847" s="8" t="inlineStr"/>
      <c r="K847" s="8" t="inlineStr"/>
      <c r="L847" s="8" t="inlineStr"/>
      <c r="M847" s="8" t="inlineStr">
        <is>
          <t>条件触发</t>
        </is>
      </c>
      <c r="N847" s="8" t="inlineStr">
        <is>
          <t>triggered</t>
        </is>
      </c>
      <c r="O847" s="9" t="inlineStr">
        <is>
          <t>相邻尸骸道具使用时，对敌方施加 1 层中毒；相邻尸骸道具使用时，对敌方施加 2 层中毒；相邻尸骸道具使用时，对敌方施加 3 层中毒；相邻尸骸道具使用时，对敌方施加 4 层中毒</t>
        </is>
      </c>
      <c r="P847" s="9" t="inlineStr">
        <is>
          <t>onItemUse</t>
        </is>
      </c>
      <c r="Q847" s="9" t="inlineStr">
        <is>
          <t>applyBuff；adjacent</t>
        </is>
      </c>
      <c r="R847" s="9" t="inlineStr">
        <is>
          <t>{"kind":"triggered","triggeredEffect":{"trigger":"onItemUse","type":"applyBuff","buffId":"poison","count":1,"eventSource":{"target":{"type":"adjacent"},"filter":{"features":["corpse"]}},"targetActor":"enemy","polarity":"detrimental","support":"battleOnly"},"label":"&lt;battle&gt;相邻尸骸道具使用时，对敌方施加 1 层中毒&lt;/battle&gt;","starOverrides":{"1":{"label":"&lt;battle&gt;相邻尸骸道具使用时，对敌方施加 2 层中毒&lt;/battle&gt;","triggeredEffect":{"count":2}},"2":{"label":"&lt;battle&gt;相邻尸骸道具使用时，对敌方施加 3 层中毒&lt;/battle&gt;","triggeredEffect":{"count":3}},"3":{"label":"&lt;battle&gt;相邻尸骸道具使用时，对敌方施加 4 层中毒&lt;/battle&gt;","triggeredEffect":{"count":4}}}}</t>
        </is>
      </c>
    </row>
    <row r="848" ht="32" customHeight="1">
      <c r="A848" s="8" t="n">
        <v>410800</v>
      </c>
      <c r="B848" s="8" t="inlineStr">
        <is>
          <t>流尾引息拂</t>
        </is>
      </c>
      <c r="C848" s="8" t="inlineStr">
        <is>
          <t>法器</t>
        </is>
      </c>
      <c r="D848" s="8" t="inlineStr">
        <is>
          <t>common</t>
        </is>
      </c>
      <c r="E848" s="8" t="inlineStr">
        <is>
          <t>wood</t>
        </is>
      </c>
      <c r="F848" s="8" t="n">
        <v>1</v>
      </c>
      <c r="G848" s="8" t="inlineStr">
        <is>
          <t>基础/顶层</t>
        </is>
      </c>
      <c r="H848" s="8" t="inlineStr"/>
      <c r="I848" s="9" t="inlineStr"/>
      <c r="J848" s="8" t="inlineStr"/>
      <c r="K848" s="8" t="inlineStr"/>
      <c r="L848" s="8" t="inlineStr"/>
      <c r="M848" s="8" t="inlineStr">
        <is>
          <t>周期触发</t>
        </is>
      </c>
      <c r="N848" s="8" t="inlineStr">
        <is>
          <t>periodicPulse</t>
        </is>
      </c>
      <c r="O848" s="9" t="inlineStr">
        <is>
          <t>将1层再生转化为5点气血；气血恢复量</t>
        </is>
      </c>
      <c r="P848" s="9" t="inlineStr">
        <is>
          <t>onPeriodicPulse</t>
        </is>
      </c>
      <c r="Q848" s="9" t="inlineStr">
        <is>
          <t>consumeBuffStacks</t>
        </is>
      </c>
      <c r="R848" s="9" t="inlineStr">
        <is>
          <t>{"kind":"periodicPulse","periodicPulse":{"intervalSec":10,"label":"&lt;battle&gt;将1层再生转化为5点气血&lt;/battle&gt;"},"executors":[{"trigger":"onPeriodicPulse","type":"consumeBuffStacks","sourceBuffId":"regeneration","requiredStacks":1,"maxStacks":1,"primaryStatGainPerStack":{"stat":"health","amount":5},"support":"battleOnly","label":"&lt;battle&gt;将1层再生转化为5点气血&lt;/battle&gt;"}],"label":"&lt;battle&gt;将1层再生转化为5点气血&lt;/battle&gt;","growth":{"lifecycle":"singleGame","trigger":"onPeriodicPulse","bindings":[{"path":"executors.0.primaryStatGainPerStack.amount","delta":1,"maxValue":10,"label":"气血恢复量","textOccurrence":0}],"support":"battleOnly"},"starOverrides":{"1":{"label":"&lt;battle&gt;将1层再生转化为5点气血&lt;/battle&gt;","growth":{"lifecycle":"singleGame","trigger":"onPeriodicPulse","bindings":[{"path":"executors.0.primaryStatGainPerStack.amount","delta":1,"maxValue":15,"label":"气血恢复量","textOccurrence":0}],"support":"battleOnly"}},"2":{"label":"&lt;battle&gt;将1层再生转化为5点气血&lt;/battle&gt;","growth":{"lifecycle":"singleGame","trigger":"onPeriodicPulse","bindings":[{"path":"executors.0.primaryStatGainPerStack.amount","delta":1,"maxValue":20,"label":"气血恢复量","textOccurrence":0}],"support":"battleOnly"}},"3":{"label":"&lt;battle&gt;将1层再生转化为5点气血&lt;/battle&gt;","growth":{"lifecycle":"singleGame","trigger":"onPeriodicPulse","bindings":[{"path":"executors.0.primaryStatGainPerStack.amount","delta":1,"maxValue":25,"label":"气血恢复量","textOccurrence":0}],"support":"battleOnly"}}}}</t>
        </is>
      </c>
    </row>
    <row r="849" ht="32" customHeight="1">
      <c r="A849" s="8" t="n">
        <v>410801</v>
      </c>
      <c r="B849" s="8" t="inlineStr">
        <is>
          <t>萤纹护心甲</t>
        </is>
      </c>
      <c r="C849" s="8" t="inlineStr">
        <is>
          <t>法器</t>
        </is>
      </c>
      <c r="D849" s="8" t="inlineStr">
        <is>
          <t>common</t>
        </is>
      </c>
      <c r="E849" s="8" t="inlineStr">
        <is>
          <t>fire</t>
        </is>
      </c>
      <c r="F849" s="8" t="n">
        <v>1</v>
      </c>
      <c r="G849" s="8" t="inlineStr">
        <is>
          <t>基础/顶层</t>
        </is>
      </c>
      <c r="H849" s="8" t="inlineStr"/>
      <c r="I849" s="9" t="inlineStr"/>
      <c r="J849" s="8" t="inlineStr"/>
      <c r="K849" s="8" t="inlineStr"/>
      <c r="L849" s="8" t="inlineStr"/>
      <c r="M849" s="8" t="inlineStr">
        <is>
          <t>说明/执行器</t>
        </is>
      </c>
      <c r="N849" s="8" t="inlineStr">
        <is>
          <t>effectNote</t>
        </is>
      </c>
      <c r="O849" s="9" t="inlineStr">
        <is>
          <t>累计获得10层炎热时，获得1层护甲和1层闪避；累计获得9层炎热时，获得2层护甲和2层闪避；累计获得8层炎热时，获得3层护甲和3层闪避；累计获得7层炎热时，获得4层护甲和4层闪避</t>
        </is>
      </c>
      <c r="P849" s="9" t="inlineStr">
        <is>
          <t>onBuffGain</t>
        </is>
      </c>
      <c r="Q849" s="9" t="inlineStr">
        <is>
          <t>applyBuff</t>
        </is>
      </c>
      <c r="R849" s="9" t="inlineStr">
        <is>
          <t>{"kind":"effectNote","label":"累计获得10层炎热时，获得1层护甲和1层闪避","executors":[{"trigger":"onBuffGain","type":"applyBuff","buffId":"armor","count":1,"label":"累计获得10层炎热时，获得1层护甲和1层闪避","eventActor":"self","eventBuffId":"heat","charge":{"threshold":10},"support":"common"},{"trigger":"onBuffGain","type":"applyBuff","buffId":"dodge","count":1,"label":"累计获得10层炎热时，获得1层护甲和1层闪避","eventActor":"self","eventBuffId":"heat","charge":{"threshold":10},"support":"common"}],"starOverrides":{"1":{"label":"累计获得9层炎热时，获得2层护甲和2层闪避","executors":[{"trigger":"onBuffGain","type":"applyBuff","buffId":"armor","count":2,"label":"累计获得9层炎热时，获得2层护甲和2层闪避","eventActor":"self","eventBuffId":"heat","charge":{"threshold":9},"support":"common"},{"trigger":"onBuffGain","type":"applyBuff","buffId":"dodge","count":2,"label":"累计获得9层炎热时，获得2层护甲和2层闪避","eventActor":"self","eventBuffId":"heat","charge":{"threshold":9},"support":"common"}]},"2":{"label":"累计获得8层炎热时，获得3层护甲和3层闪避","executors":[{"trigger":"onBuffGain","type":"applyBuff","buffId":"armor","count":3,"label":"累计获得8层炎热时，获得3层护甲和3层闪避","eventActor":"self","eventBuffId":"heat","charge":{"threshold":8},"support":"common"},{"trigger":"onBuffGain","type":"applyBuff","buffId":"dodge","count":3,"label":"累计获得8层炎热时，获得3层护甲和3层闪避","eventActor":"self","eventBuffId":"heat","charge":{"threshold":8},"support":"common"}]},"3":{"label":"累计获得7层炎热时，获得4层护甲和4层闪避","executors":[{"trigger":"onBuffGain","type":"applyBuff","buffId":"armor","count":4,"label":"累计获得7层炎热时，获得4层护甲和4层闪避","eventActor":"self","eventBuffId":"heat","charge":{"threshold":7},"support":"common"},{"trigger":"onBuffGain","type":"applyBuff","buffId":"dodge","count":4,"label":"累计获得7层炎热时，获得4层护甲和4层闪避","eventActor":"self","eventBuffId":"heat","charge":{"threshold":7},"support":"common"}]}}}</t>
        </is>
      </c>
    </row>
    <row r="850" ht="32" customHeight="1">
      <c r="A850" s="8" t="n">
        <v>410803</v>
      </c>
      <c r="B850" s="8" t="inlineStr">
        <is>
          <t>月白观微镜</t>
        </is>
      </c>
      <c r="C850" s="8" t="inlineStr">
        <is>
          <t>法器</t>
        </is>
      </c>
      <c r="D850" s="8" t="inlineStr">
        <is>
          <t>common</t>
        </is>
      </c>
      <c r="E850" s="8" t="inlineStr">
        <is>
          <t>ice</t>
        </is>
      </c>
      <c r="F850" s="8" t="n">
        <v>1</v>
      </c>
      <c r="G850" s="8" t="inlineStr">
        <is>
          <t>基础/顶层</t>
        </is>
      </c>
      <c r="H850" s="8" t="inlineStr"/>
      <c r="I850" s="9" t="inlineStr"/>
      <c r="J850" s="8" t="inlineStr"/>
      <c r="K850" s="8" t="inlineStr"/>
      <c r="L850" s="8" t="inlineStr"/>
      <c r="M850" s="8" t="inlineStr">
        <is>
          <t>周期触发</t>
        </is>
      </c>
      <c r="N850" s="8" t="inlineStr">
        <is>
          <t>periodicPulse</t>
        </is>
      </c>
      <c r="O850" s="9" t="inlineStr">
        <is>
          <t>拥有至少 20 层寒冷时，消耗 30 点法力，获得 30 层蓄势；拥有至少 18 层寒冷时，消耗 30 点法力，获得 30 层蓄势；拥有至少 16 层寒冷时，消耗 30 点法力，获得 30 层蓄势；拥有至少 14 层寒冷时，消耗 30 点法力，获得 30 层蓄势</t>
        </is>
      </c>
      <c r="P850" s="9" t="inlineStr"/>
      <c r="Q850" s="9" t="inlineStr"/>
      <c r="R850" s="9" t="inlineStr">
        <is>
          <t>{"kind":"periodicPulse","periodicPulse":{"intervalSec":18,"activationRequirements":{"buffStackThresholds":[{"buffId":"cold","comparator":"atLeast","count":20}]},"primaryStatCosts":[{"stat":"mana","amount":30}],"buffGains":[{"buffId":"heavy","count":30}],"label":"拥有至少 20 层寒冷时，消耗 30 点法力，获得 30 层蓄势"},"label":"拥有至少 20 层寒冷时，消耗 30 点法力，获得 30 层蓄势","starOverrides":{"1":{"label":"拥有至少 18 层寒冷时，消耗 30 点法力，获得 30 层蓄势","periodicPulse":{"intervalSec":16,"activationRequirements":{"buffStackThresholds":[{"count":18}]}}},"2":{"label":"拥有至少 16 层寒冷时，消耗 30 点法力，获得 30 层蓄势","periodicPulse":{"intervalSec":14,"activationRequirements":{"buffStackThresholds":[{"count":16}]}}},"3":{"label":"拥有至少 14 层寒冷时，消耗 30 点法力，获得 30 层蓄势","periodicPulse":{"intervalSec":12,"activationRequirements":{"buffStackThresholds":[{"count":14}]}}}}}</t>
        </is>
      </c>
    </row>
    <row r="851" ht="32" customHeight="1">
      <c r="A851" s="8" t="n">
        <v>410804</v>
      </c>
      <c r="B851" s="8" t="inlineStr">
        <is>
          <t>流腹调息鼓</t>
        </is>
      </c>
      <c r="C851" s="8" t="inlineStr">
        <is>
          <t>法器</t>
        </is>
      </c>
      <c r="D851" s="8" t="inlineStr">
        <is>
          <t>common</t>
        </is>
      </c>
      <c r="E851" s="8" t="inlineStr">
        <is>
          <t>wood</t>
        </is>
      </c>
      <c r="F851" s="8" t="n">
        <v>1</v>
      </c>
      <c r="G851" s="8" t="inlineStr">
        <is>
          <t>基础/顶层</t>
        </is>
      </c>
      <c r="H851" s="8" t="inlineStr"/>
      <c r="I851" s="9" t="inlineStr"/>
      <c r="J851" s="8" t="inlineStr"/>
      <c r="K851" s="8" t="inlineStr"/>
      <c r="L851" s="8" t="inlineStr"/>
      <c r="M851" s="8" t="inlineStr">
        <is>
          <t>说明/执行器</t>
        </is>
      </c>
      <c r="N851" s="8" t="inlineStr">
        <is>
          <t>effectNote</t>
        </is>
      </c>
      <c r="O851" s="9" t="inlineStr">
        <is>
          <t>累计受到30次攻击时，恢复30点气血，并对敌方施加30层禁疗；累计受到30次攻击时，恢复40点气血，并对敌方施加40层禁疗；累计受到30次攻击时，恢复50点气血，并对敌方施加50层禁疗；累计受到30次攻击时，恢复60点气血，并对敌方施加60层禁疗</t>
        </is>
      </c>
      <c r="P851" s="9" t="inlineStr">
        <is>
          <t>onIncomingHealthDamage</t>
        </is>
      </c>
      <c r="Q851" s="9" t="inlineStr">
        <is>
          <t>modifyPlayerPrimaryStat；applyBuff</t>
        </is>
      </c>
      <c r="R851" s="9" t="inlineStr">
        <is>
          <t>{"kind":"effectNote","label":"&lt;battle&gt;累计受到30次攻击时，恢复30点气血，并对敌方施加30层禁疗&lt;/battle&gt;","executors":[{"trigger":"onIncomingHealthDamage","type":"modifyPlayerPrimaryStat","stat":"health","delta":30,"charge":{"threshold":30,"countPerEvent":1},"support":"battleOnly","label":"&lt;battle&gt;累计受到30次攻击时，恢复30点气血，并对敌方施加30层禁疗&lt;/battle&gt;"},{"trigger":"onIncomingHealthDamage","type":"applyBuff","buffId":"antiHeal","count":30,"label":"&lt;battle&gt;累计受到30次攻击时，恢复30点气血，并对敌方施加30层禁疗&lt;/battle&gt;","targetActor":"enemy","polarity":"detrimental","charge":{"threshold":30,"countPerEvent":1},"support":"battleOnly"}],"starOverrides":{"1":{"label":"&lt;battle&gt;累计受到30次攻击时，恢复40点气血，并对敌方施加40层禁疗&lt;/battle&gt;","executors":[{"trigger":"onIncomingHealthDamage","type":"modifyPlayerPrimaryStat","stat":"health","delta":40,"charge":{"threshold":30,"countPerEvent":1},"support":"battleOnly","label":"&lt;battle&gt;累计受到30次攻击时，恢复40点气血，并对敌方施加40层禁疗&lt;/battle&gt;"},{"trigger":"onIncomingHealthDamage","type":"applyBuff","buffId":"antiHeal","count":40,"label":"&lt;battle&gt;累计受到30次攻击时，恢复40点气血，并对敌方施加40层禁疗&lt;/battle&gt;","targetActor":"enemy","polarity":"detrimental","charge":{"threshold":30,"countPerEvent":1},"support":"battleOnly"}]},"2":{"label":"&lt;battle&gt;累计受到30次攻击时，恢复50点气血，并对敌方施加50层禁疗&lt;/battle&gt;","executors":[{"trigger":"onIncomingHealthDamage","type":"modifyPlayerPrimaryStat","stat":"health","delta":50,"charge":{"threshold":30,"countPerEvent":1},"support":"battleOnly","label":"&lt;battle&gt;累计受到30次攻击时，恢复50点气血，并对敌方施加50层禁疗&lt;/battle&gt;"},{"trigger":"onIncomingHealthDamage","type":"applyBuff","buffId":"antiHeal","count":50,"label":"&lt;battle&gt;累计受到30次攻击时，恢复50点气血，并对敌方施加50层禁疗&lt;/battle&gt;","targetActor":"enemy","polarity":"detrimental","charge":{"threshold":30,"countPerEvent":1},"support":"battleOnly"}]},"3":{"label":"&lt;battle&gt;累计受到30次攻击时，恢复60点气血，并对敌方施加60层禁疗&lt;/battle&gt;","executors":[{"trigger":"onIncomingHealthDamage","type":"modifyPlayerPrimaryStat","stat":"health","delta":60,"charge":{"threshold":30,"countPerEvent":1},"support":"battleOnly","label":"&lt;battle&gt;累计受到30次攻击时，恢复60点气血，并对敌方施加60层禁疗&lt;/battle&gt;"},{"trigger":"onIncomingHealthDamage","type":"applyBuff","buffId":"antiHeal","count":60,"label":"&lt;battle&gt;累计受到30次攻击时，恢复60点气血，并对敌方施加60层禁疗&lt;/battle&gt;","targetActor":"enemy","polarity":"detrimental","charge":{"threshold":30,"countPerEvent":1},"support":"battleOnly"}]}}}</t>
        </is>
      </c>
    </row>
    <row r="852" ht="32" customHeight="1">
      <c r="A852" s="8" t="n">
        <v>410805</v>
      </c>
      <c r="B852" s="8" t="inlineStr">
        <is>
          <t>晶蹄定脉锥</t>
        </is>
      </c>
      <c r="C852" s="8" t="inlineStr">
        <is>
          <t>法器</t>
        </is>
      </c>
      <c r="D852" s="8" t="inlineStr">
        <is>
          <t>common</t>
        </is>
      </c>
      <c r="E852" s="8" t="inlineStr">
        <is>
          <t>thunder</t>
        </is>
      </c>
      <c r="F852" s="8" t="n">
        <v>1</v>
      </c>
      <c r="G852" s="8" t="inlineStr">
        <is>
          <t>基础/顶层</t>
        </is>
      </c>
      <c r="H852" s="8" t="inlineStr"/>
      <c r="I852" s="9" t="inlineStr"/>
      <c r="J852" s="8" t="inlineStr"/>
      <c r="K852" s="8" t="inlineStr"/>
      <c r="L852" s="8" t="inlineStr"/>
      <c r="M852" s="8" t="inlineStr">
        <is>
          <t>周期触发</t>
        </is>
      </c>
      <c r="N852" s="8" t="inlineStr">
        <is>
          <t>periodicPulse</t>
        </is>
      </c>
      <c r="O852" s="9" t="inlineStr">
        <is>
          <t>消耗20点体力，对敌方施加10层麻痹和10层凝滞；消耗20点体力，对敌方施加12层麻痹和12层凝滞；消耗20点体力，对敌方施加14层麻痹和14层凝滞；消耗20点体力，对敌方施加16层麻痹和16层凝滞</t>
        </is>
      </c>
      <c r="P852" s="9" t="inlineStr"/>
      <c r="Q852" s="9" t="inlineStr"/>
      <c r="R852" s="9" t="inlineStr">
        <is>
          <t>{"kind":"periodicPulse","periodicPulse":{"startOnly":true,"primaryStatCosts":[{"stat":"stamina","amount":20}],"buffGains":[{"buffId":"paralysis","count":10,"target":"enemy","polarity":"detrimental"},{"buffId":"stagnation","count":10,"target":"enemy","polarity":"detrimental"}],"label":"消耗20点体力，&lt;battle&gt;对敌方施加10层麻痹和10层凝滞&lt;/battle&gt;"},"label":"消耗20点体力，&lt;battle&gt;对敌方施加10层麻痹和10层凝滞&lt;/battle&gt;","starOverrides":{"1":{"label":"消耗20点体力，&lt;battle&gt;对敌方施加12层麻痹和12层凝滞&lt;/battle&gt;","periodicPulse":{"startOnly":true,"primaryStatCosts":[{"stat":"stamina","amount":20}],"buffGains":[{"buffId":"paralysis","count":12,"target":"enemy","polarity":"detrimental"},{"buffId":"stagnation","count":12,"target":"enemy","polarity":"detrimental"}],"label":"消耗20点体力，&lt;battle&gt;对敌方施加12层麻痹和12层凝滞&lt;/battle&gt;"}},"2":{"label":"消耗20点体力，&lt;battle&gt;对敌方施加14层麻痹和14层凝滞&lt;/battle&gt;","periodicPulse":{"startOnly":true,"primaryStatCosts":[{"stat":"stamina","amount":20}],"buffGains":[{"buffId":"paralysis","count":14,"target":"enemy","polarity":"detrimental"},{"buffId":"stagnation","count":14,"target":"enemy","polarity":"detrimental"}],"label":"消耗20点体力，&lt;battle&gt;对敌方施加14层麻痹和14层凝滞&lt;/battle&gt;"}},"3":{"label":"消耗20点体力，&lt;battle&gt;对敌方施加16层麻痹和16层凝滞&lt;/battle&gt;","periodicPulse":{"startOnly":true,"primaryStatCosts":[{"stat":"stamina","amount":20}],"buffGains":[{"buffId":"paralysis","count":16,"target":"enemy","polarity":"detrimental"},{"buffId":"stagnation","count":16,"target":"enemy","polarity":"detrimental"}],"label":"消耗20点体力，&lt;battle&gt;对敌方施加16层麻痹和16层凝滞&lt;/battle&gt;"}}}}</t>
        </is>
      </c>
    </row>
    <row r="853" ht="32" customHeight="1">
      <c r="A853" s="8" t="n">
        <v>410806</v>
      </c>
      <c r="B853" s="8" t="inlineStr">
        <is>
          <t>石露温养壶</t>
        </is>
      </c>
      <c r="C853" s="8" t="inlineStr">
        <is>
          <t>法器</t>
        </is>
      </c>
      <c r="D853" s="8" t="inlineStr">
        <is>
          <t>common</t>
        </is>
      </c>
      <c r="E853" s="8" t="inlineStr">
        <is>
          <t>wood</t>
        </is>
      </c>
      <c r="F853" s="8" t="n">
        <v>1</v>
      </c>
      <c r="G853" s="8" t="inlineStr">
        <is>
          <t>基础/顶层</t>
        </is>
      </c>
      <c r="H853" s="8" t="inlineStr"/>
      <c r="I853" s="9" t="inlineStr"/>
      <c r="J853" s="8" t="inlineStr"/>
      <c r="K853" s="8" t="inlineStr"/>
      <c r="L853" s="8" t="inlineStr"/>
      <c r="M853" s="8" t="inlineStr">
        <is>
          <t>周期触发</t>
        </is>
      </c>
      <c r="N853" s="8" t="inlineStr">
        <is>
          <t>periodicPulse</t>
        </is>
      </c>
      <c r="O853" s="9" t="inlineStr">
        <is>
          <t>拥有不少于50层露水时，获得 10 层再生；拥有不少于50层露水时，获得 15 层再生；拥有不少于50层露水时，获得 20 层再生；拥有不少于50层露水时，获得 25 层再生</t>
        </is>
      </c>
      <c r="P853" s="9" t="inlineStr"/>
      <c r="Q853" s="9" t="inlineStr"/>
      <c r="R853" s="9" t="inlineStr">
        <is>
          <t>{"kind":"periodicPulse","periodicPulse":{"intervalSec":20,"activationRequirements":{"buffStackThresholds":[{"buffId":"dew","comparator":"atLeast","count":50}]},"buffGains":[{"buffId":"regeneration","count":10}],"label":"拥有不少于50层露水时，获得 10 层再生"},"label":"拥有不少于50层露水时，获得 10 层再生","starOverrides":{"1":{"label":"拥有不少于50层露水时，获得 15 层再生","periodicPulse":{"buffGains":[{"count":15}]}},"2":{"label":"拥有不少于50层露水时，获得 20 层再生","periodicPulse":{"buffGains":[{"count":20}]}},"3":{"label":"拥有不少于50层露水时，获得 25 层再生","periodicPulse":{"buffGains":[{"count":25}]}}}}</t>
        </is>
      </c>
    </row>
    <row r="854" ht="32" customHeight="1">
      <c r="A854" s="8" t="n">
        <v>410850</v>
      </c>
      <c r="B854" s="8" t="inlineStr">
        <is>
          <t>萤皮叠纹盘</t>
        </is>
      </c>
      <c r="C854" s="8" t="inlineStr">
        <is>
          <t>法器</t>
        </is>
      </c>
      <c r="D854" s="8" t="inlineStr">
        <is>
          <t>common</t>
        </is>
      </c>
      <c r="E854" s="8" t="inlineStr">
        <is>
          <t>fire</t>
        </is>
      </c>
      <c r="F854" s="8" t="n">
        <v>1</v>
      </c>
      <c r="G854" s="8" t="inlineStr">
        <is>
          <t>基础/顶层</t>
        </is>
      </c>
      <c r="H854" s="8" t="inlineStr"/>
      <c r="I854" s="9" t="inlineStr"/>
      <c r="J854" s="8" t="inlineStr"/>
      <c r="K854" s="8" t="inlineStr"/>
      <c r="L854" s="8" t="inlineStr"/>
      <c r="M854" s="8" t="inlineStr">
        <is>
          <t>说明/执行器</t>
        </is>
      </c>
      <c r="N854" s="8" t="inlineStr">
        <is>
          <t>effectNote</t>
        </is>
      </c>
      <c r="O854" s="9" t="inlineStr">
        <is>
          <t>每当我方对敌方施加灼烧时，获得1层闪避和1层护甲；每当我方对敌方施加灼烧时，获得2层闪避和2层护甲；每当我方对敌方施加灼烧时，获得3层闪避和3层护甲；每当我方对敌方施加灼烧时，获得4层闪避和4层护甲</t>
        </is>
      </c>
      <c r="P854" s="9" t="inlineStr">
        <is>
          <t>onBuffGain</t>
        </is>
      </c>
      <c r="Q854" s="9" t="inlineStr">
        <is>
          <t>applyBuff</t>
        </is>
      </c>
      <c r="R854" s="9" t="inlineStr">
        <is>
          <t>{"kind":"effectNote","label":"&lt;battle&gt;每当我方对敌方施加灼烧时，获得1层闪避和1层护甲&lt;/battle&gt;","executors":[{"trigger":"onBuffGain","type":"applyBuff","buffId":"dodge","count":1,"label":"&lt;battle&gt;每当我方对敌方施加灼烧时，获得1层闪避和1层护甲&lt;/battle&gt;","eventActor":"enemy","eventBuffId":"burning","support":"battleOnly"},{"trigger":"onBuffGain","type":"applyBuff","buffId":"armor","count":1,"label":"&lt;battle&gt;每当我方对敌方施加灼烧时，获得1层闪避和1层护甲&lt;/battle&gt;","eventActor":"enemy","eventBuffId":"burning","support":"battleOnly"}],"starOverrides":{"1":{"label":"&lt;battle&gt;每当我方对敌方施加灼烧时，获得2层闪避和2层护甲&lt;/battle&gt;","executors":[{"trigger":"onBuffGain","type":"applyBuff","buffId":"dodge","count":2,"label":"&lt;battle&gt;每当我方对敌方施加灼烧时，获得2层闪避和2层护甲&lt;/battle&gt;","eventActor":"enemy","eventBuffId":"burning","support":"battleOnly"},{"trigger":"onBuffGain","type":"applyBuff","buffId":"armor","count":2,"label":"&lt;battle&gt;每当我方对敌方施加灼烧时，获得2层闪避和2层护甲&lt;/battle&gt;","eventActor":"enemy","eventBuffId":"burning","support":"battleOnly"}]},"2":{"label":"&lt;battle&gt;每当我方对敌方施加灼烧时，获得3层闪避和3层护甲&lt;/battle&gt;","executors":[{"trigger":"onBuffGain","type":"applyBuff","buffId":"dodge","count":3,"label":"&lt;battle&gt;每当我方对敌方施加灼烧时，获得3层闪避和3层护甲&lt;/battle&gt;","eventActor":"enemy","eventBuffId":"burning","support":"battleOnly"},{"trigger":"onBuffGain","type":"applyBuff","buffId":"armor","count":3,"label":"&lt;battle&gt;每当我方对敌方施加灼烧时，获得3层闪避和3层护甲&lt;/battle&gt;","eventActor":"enemy","eventBuffId":"burning","support":"battleOnly"}]},"3":{"label":"&lt;battle&gt;每当我方对敌方施加灼烧时，获得4层闪避和4层护甲&lt;/battle&gt;","executors":[{"trigger":"onBuffGain","type":"applyBuff","buffId":"dodge","count":4,"label":"&lt;battle&gt;每当我方对敌方施加灼烧时，获得4层闪避和4层护甲&lt;/battle&gt;","eventActor":"enemy","eventBuffId":"burning","support":"battleOnly"},{"trigger":"onBuffGain","type":"applyBuff","buffId":"armor","count":4,"label":"&lt;battle&gt;每当我方对敌方施加灼烧时，获得4层闪避和4层护甲&lt;/battle&gt;","eventActor":"enemy","eventBuffId":"burning","support":"battleOnly"}]}}}</t>
        </is>
      </c>
    </row>
    <row r="855" ht="32" customHeight="1">
      <c r="A855" s="8" t="n">
        <v>410851</v>
      </c>
      <c r="B855" s="8" t="inlineStr">
        <is>
          <t>腹纹共鸣枢</t>
        </is>
      </c>
      <c r="C855" s="8" t="inlineStr">
        <is>
          <t>法器</t>
        </is>
      </c>
      <c r="D855" s="8" t="inlineStr">
        <is>
          <t>common</t>
        </is>
      </c>
      <c r="E855" s="8" t="inlineStr">
        <is>
          <t>thunder</t>
        </is>
      </c>
      <c r="F855" s="8" t="n">
        <v>1</v>
      </c>
      <c r="G855" s="8" t="inlineStr">
        <is>
          <t>基础/顶层</t>
        </is>
      </c>
      <c r="H855" s="8" t="inlineStr"/>
      <c r="I855" s="9" t="inlineStr"/>
      <c r="J855" s="8" t="inlineStr"/>
      <c r="K855" s="8" t="inlineStr"/>
      <c r="L855" s="8" t="inlineStr"/>
      <c r="M855" s="8" t="inlineStr">
        <is>
          <t>周期触发</t>
        </is>
      </c>
      <c r="N855" s="8" t="inlineStr">
        <is>
          <t>periodicPulse</t>
        </is>
      </c>
      <c r="O855" s="9" t="inlineStr">
        <is>
          <t>消耗20点体力、5层凝金及5层护甲，获得50层引雷；消耗20点体力、5层凝金及5层护甲，获得60层引雷；消耗20点体力、5层凝金及5层护甲，获得70层引雷；消耗20点体力、5层凝金及5层护甲，获得80层引雷</t>
        </is>
      </c>
      <c r="P855" s="9" t="inlineStr">
        <is>
          <t>onPeriodicPulse</t>
        </is>
      </c>
      <c r="Q855" s="9" t="inlineStr">
        <is>
          <t>modifyPlayerPrimaryStat；consumeBuffStacks；applyBuff</t>
        </is>
      </c>
      <c r="R855" s="9" t="inlineStr">
        <is>
          <t>{"kind":"periodicPulse","label":"消耗20点体力、5层凝金及5层护甲，获得50层引雷","periodicPulse":{"startOnly":true,"activationRequirements":{"primaryStatThreshold":{"stat":"stamina","comparator":"atLeast","amount":20},"buffStackThresholds":[{"buffId":"condensedMetal","comparator":"atLeast","count":5},{"buffId":"armor","comparator":"atLeast","count":5}]},"label":"消耗20点体力、5层凝金及5层护甲，获得50层引雷"},"executors":[{"trigger":"onPeriodicPulse","type":"modifyPlayerPrimaryStat","stat":"stamina","delta":-20,"support":"common","label":"消耗20点体力、5层凝金及5层护甲，获得50层引雷"},{"trigger":"onPeriodicPulse","type":"consumeBuffStacks","sourceBuffId":"condensedMetal","requiredStacks":5,"maxStacks":5,"support":"common","label":"消耗20点体力、5层凝金及5层护甲，获得50层引雷"},{"trigger":"onPeriodicPulse","type":"consumeBuffStacks","sourceBuffId":"armor","requiredStacks":5,"maxStacks":5,"support":"common","label":"消耗20点体力、5层凝金及5层护甲，获得50层引雷"},{"trigger":"onPeriodicPulse","type":"applyBuff","buffId":"lightningCharge","count":50,"label":"消耗20点体力、5层凝金及5层护甲，获得50层引雷","support":"common"}],"starOverrides":{"1":{"label":"消耗20点体力、5层凝金及5层护甲，获得60层引雷","periodicPulse":{"startOnly":true,"label":"消耗20点体力、5层凝金及5层护甲，获得60层引雷"},"executors":[{"trigger":"onPeriodicPulse","type":"modifyPlayerPrimaryStat","stat":"stamina","delta":-20,"support":"common","label":"消耗20点体力、5层凝金及5层护甲，获得60层引雷"},{"trigger":"onPeriodicPulse","type":"consumeBuffStacks","sourceBuffId":"condensedMetal","requiredStacks":5,"maxStacks":5,"support":"common","label":"消耗20点体力、5层凝金及5层护甲，获得60层引雷"},{"trigger":"onPeriodicPulse","type":"consumeBuffStacks","sourceBuffId":"armor","requiredStacks":5,"maxStacks":5,"support":"common","label":"消耗20点体力、5层凝金及5层护甲，获得60层引雷"},{"trigger":"onPeriodicPulse","type":"applyBuff","buffId":"lightningCharge","count":60,"label":"消耗20点体力、5层凝金及5层护甲，获得60层引雷","support":"common"}]},"2":{"label":"消耗20点体力、5层凝金及5层护甲，获得70层引雷","periodicPulse":{"startOnly":true,"label":"消耗20点体力、5层凝金及5层护甲，获得70层引雷"},"executors":[{"trigger":"onPeriodicPulse","type":"modifyPlayerPrimaryStat","stat":"stamina","delta":-20,"support":"common","label":"消耗20点体力、5层凝金及5层护甲，获得70层引雷"},{"trigger":"onPeriodicPulse","type":"consumeBuffStacks","sourceBuffId":"condensedMetal","requiredStacks":5,"maxStacks":5,"support":"common","label":"消耗20点体力、5层凝金及5层护甲，获得70层引雷"},{"trigger":"onPeriodicPulse","type":"consumeBuffStacks","sourceBuffId":"armor","requiredStacks":5,"maxStacks":5,"support":"common","label":"消耗20点体力、5层凝金及5层护甲，获得70层引雷"},{"trigger":"onPeriodicPulse","type":"applyBuff","buffId":"lightningCharge","count":70,"label":"消耗20点体力、5层凝金及5层护甲，获得70层引雷","support":"common"}]},"3":{"label":"消耗20点体力、5层凝金及5层护甲，获得80层引雷","periodicPulse":{"startOnly":true,"label":"消耗20点体力、5层凝金及5层护甲，获得80层引雷"},"executors":[{"trigger":"onPeriodicPulse","type":"modifyPlayerPrimaryStat","stat":"stamina","delta":-20,"support":"common","label":"消耗20点体力、5层凝金及5层护甲，获得80层引雷"},{"trigger":"onPeriodicPulse","type":"consumeBuffStacks","sourceBuffId":"condensedMetal","requiredStacks":5,"maxStacks":5,"support":"common","label":"消耗20点体力、5层凝金及5层护甲，获得80层引雷"},{"trigger":"onPeriodicPulse","type":"consumeBuffStacks","sourceBuffId":"armor","requiredStacks":5,"maxStacks":5,"support":"common","label":"消耗20点体力、5层凝金及5层护甲，获得80层引雷"},{"trigger":"onPeriodicPulse","type":"applyBuff","buffId":"lightningCharge","count":80,"label":"消耗20点体力、5层凝金及5层护甲，获得80层引雷","support":"common"}]}}}</t>
        </is>
      </c>
    </row>
    <row r="856" ht="32" customHeight="1">
      <c r="A856" s="8" t="n">
        <v>410853</v>
      </c>
      <c r="B856" s="8" t="inlineStr">
        <is>
          <t>流尾破风梭</t>
        </is>
      </c>
      <c r="C856" s="8" t="inlineStr">
        <is>
          <t>法器</t>
        </is>
      </c>
      <c r="D856" s="8" t="inlineStr">
        <is>
          <t>common</t>
        </is>
      </c>
      <c r="E856" s="8" t="inlineStr">
        <is>
          <t>wind</t>
        </is>
      </c>
      <c r="F856" s="8" t="n">
        <v>1</v>
      </c>
      <c r="G856" s="8" t="inlineStr">
        <is>
          <t>基础/顶层</t>
        </is>
      </c>
      <c r="H856" s="8" t="inlineStr"/>
      <c r="I856" s="9" t="inlineStr"/>
      <c r="J856" s="8" t="inlineStr"/>
      <c r="K856" s="8" t="inlineStr"/>
      <c r="L856" s="8" t="inlineStr"/>
      <c r="M856" s="8" t="inlineStr">
        <is>
          <t>周期触发</t>
        </is>
      </c>
      <c r="N856" s="8" t="inlineStr">
        <is>
          <t>periodicPulse</t>
        </is>
      </c>
      <c r="O856" s="9" t="inlineStr">
        <is>
          <t>消耗 10 点气血，对敌方造成 6 点伤害，如果敌方有风压或裂甲，每层使伤害+1；消耗 10 点气血，对敌方造成 9 点伤害，如果敌方有风压或裂甲，每层使伤害+1；消耗 10 点气血，对敌方造成 12 点伤害，如果敌方有风压或裂甲，每层使伤害+1；消耗 10 点气血，对敌方造成 15 点伤害，如果敌方有风压或裂甲，每层使伤害+1</t>
        </is>
      </c>
      <c r="P856" s="9" t="inlineStr"/>
      <c r="Q856" s="9" t="inlineStr"/>
      <c r="R856" s="9" t="inlineStr">
        <is>
          <t>{"kind":"periodicPulse","periodicPulse":{"intervalSec":8,"primaryStatCosts":[{"stat":"health","amount":10}],"damageHealth":{"target":"enemy","amount":6,"amountPerTargetBuffStacks":[{"buffId":"windPressure","valuePerStack":1},{"buffId":"crackArmor","valuePerStack":1}]},"label":"消耗 10 点气血，&lt;battle&gt;对敌方造成 6 点伤害，如果敌方有风压或裂甲，每层使伤害+1&lt;/battle&gt;"},"label":"消耗 10 点气血，&lt;battle&gt;对敌方造成 6 点伤害，如果敌方有风压或裂甲，每层使伤害+1&lt;/battle&gt;","starOverrides":{"1":{"label":"消耗 10 点气血，&lt;battle&gt;对敌方造成 9 点伤害，如果敌方有风压或裂甲，每层使伤害+1&lt;/battle&gt;","periodicPulse":{"intervalSec":8,"primaryStatCosts":[{"stat":"health","amount":10}],"damageHealth":{"target":"enemy","amount":9,"amountPerTargetBuffStacks":[{"buffId":"windPressure","valuePerStack":1},{"buffId":"crackArmor","valuePerStack":1}]},"label":"消耗 10 点气血，&lt;battle&gt;对敌方造成 9 点伤害，如果敌方有风压或裂甲，每层使伤害+1&lt;/battle&gt;"}},"2":{"label":"消耗 10 点气血，&lt;battle&gt;对敌方造成 12 点伤害，如果敌方有风压或裂甲，每层使伤害+1&lt;/battle&gt;","periodicPulse":{"intervalSec":8,"primaryStatCosts":[{"stat":"health","amount":10}],"damageHealth":{"target":"enemy","amount":12,"amountPerTargetBuffStacks":[{"buffId":"windPressure","valuePerStack":1},{"buffId":"crackArmor","valuePerStack":1}]},"label":"消耗 10 点气血，&lt;battle&gt;对敌方造成 12 点伤害，如果敌方有风压或裂甲，每层使伤害+1&lt;/battle&gt;"}},"3":{"label":"消耗 10 点气血，&lt;battle&gt;对敌方造成 15 点伤害，如果敌方有风压或裂甲，每层使伤害+1&lt;/battle&gt;","periodicPulse":{"intervalSec":8,"primaryStatCosts":[{"stat":"health","amount":10}],"damageHealth":{"target":"enemy","amount":15,"amountPerTargetBuffStacks":[{"buffId":"windPressure","valuePerStack":1},{"buffId":"crackArmor","valuePerStack":1}]},"label":"消耗 10 点气血，&lt;battle&gt;对敌方造成 15 点伤害，如果敌方有风压或裂甲，每层使伤害+1&lt;/battle&gt;"}}}}</t>
        </is>
      </c>
    </row>
    <row r="857" ht="32" customHeight="1">
      <c r="A857" s="8" t="n">
        <v>410854</v>
      </c>
      <c r="B857" s="8" t="inlineStr">
        <is>
          <t>净露卷舌钩</t>
        </is>
      </c>
      <c r="C857" s="8" t="inlineStr">
        <is>
          <t>法器</t>
        </is>
      </c>
      <c r="D857" s="8" t="inlineStr">
        <is>
          <t>common</t>
        </is>
      </c>
      <c r="E857" s="8" t="inlineStr">
        <is>
          <t>poison</t>
        </is>
      </c>
      <c r="F857" s="8" t="n">
        <v>1</v>
      </c>
      <c r="G857" s="8" t="inlineStr">
        <is>
          <t>基础/顶层</t>
        </is>
      </c>
      <c r="H857" s="8" t="inlineStr"/>
      <c r="I857" s="9" t="inlineStr"/>
      <c r="J857" s="8" t="inlineStr"/>
      <c r="K857" s="8" t="inlineStr"/>
      <c r="L857" s="8" t="inlineStr"/>
      <c r="M857" s="8" t="inlineStr">
        <is>
          <t>周期触发</t>
        </is>
      </c>
      <c r="N857" s="8" t="inlineStr">
        <is>
          <t>periodicPulse</t>
        </is>
      </c>
      <c r="O857" s="9" t="inlineStr">
        <is>
          <t>若敌方中毒，对其造成 8 点伤害；若敌方中毒，对其造成 12 点伤害；若敌方中毒，对其造成 16 点伤害；若敌方中毒，对其造成 20 点伤害</t>
        </is>
      </c>
      <c r="P857" s="9" t="inlineStr"/>
      <c r="Q857" s="9" t="inlineStr">
        <is>
          <t>targetBuffStacksGreaterThan</t>
        </is>
      </c>
      <c r="R857" s="9" t="inlineStr">
        <is>
          <t>{"kind":"periodicPulse","periodicPulse":{"intervalSec":16,"battleCondition":{"type":"targetBuffStacksGreaterThan","buffId":"poison","count":0},"damageHealth":{"target":"enemy","amount":8},"label":"&lt;battle&gt;若敌方中毒，对其造成 8 点伤害&lt;/battle&gt;"},"label":"&lt;battle&gt;若敌方中毒，对其造成 8 点伤害&lt;/battle&gt;","starOverrides":{"1":{"label":"&lt;battle&gt;若敌方中毒，对其造成 12 点伤害&lt;/battle&gt;","periodicPulse":{"intervalSec":14,"battleCondition":{"type":"targetBuffStacksGreaterThan","buffId":"poison","count":0},"damageHealth":{"target":"enemy","amount":12},"label":"&lt;battle&gt;若敌方中毒，对其造成 12 点伤害&lt;/battle&gt;"}},"2":{"label":"&lt;battle&gt;若敌方中毒，对其造成 16 点伤害&lt;/battle&gt;","periodicPulse":{"intervalSec":12,"battleCondition":{"type":"targetBuffStacksGreaterThan","buffId":"poison","count":0},"damageHealth":{"target":"enemy","amount":16},"label":"&lt;battle&gt;若敌方中毒，对其造成 16 点伤害&lt;/battle&gt;"}},"3":{"label":"&lt;battle&gt;若敌方中毒，对其造成 20 点伤害&lt;/battle&gt;","periodicPulse":{"intervalSec":10,"battleCondition":{"type":"targetBuffStacksGreaterThan","buffId":"poison","count":0},"damageHealth":{"target":"enemy","amount":20},"label":"&lt;battle&gt;若敌方中毒，对其造成 20 点伤害&lt;/battle&gt;"}}}}</t>
        </is>
      </c>
    </row>
    <row r="858" ht="32" customHeight="1">
      <c r="A858" s="8" t="n">
        <v>410855</v>
      </c>
      <c r="B858" s="8" t="inlineStr">
        <is>
          <t>月膜眩光珠</t>
        </is>
      </c>
      <c r="C858" s="8" t="inlineStr">
        <is>
          <t>法器</t>
        </is>
      </c>
      <c r="D858" s="8" t="inlineStr">
        <is>
          <t>common</t>
        </is>
      </c>
      <c r="E858" s="8" t="inlineStr">
        <is>
          <t>ice</t>
        </is>
      </c>
      <c r="F858" s="8" t="n">
        <v>1</v>
      </c>
      <c r="G858" s="8" t="inlineStr">
        <is>
          <t>基础/顶层</t>
        </is>
      </c>
      <c r="H858" s="8" t="inlineStr"/>
      <c r="I858" s="9" t="inlineStr"/>
      <c r="J858" s="8" t="inlineStr"/>
      <c r="K858" s="8" t="inlineStr"/>
      <c r="L858" s="8" t="inlineStr"/>
      <c r="M858" s="8" t="inlineStr">
        <is>
          <t>周期触发</t>
        </is>
      </c>
      <c r="N858" s="8" t="inlineStr">
        <is>
          <t>periodicPulse</t>
        </is>
      </c>
      <c r="O858" s="9" t="inlineStr">
        <is>
          <t>获得5层寒冷，对敌方施加 3 层冰霜；获得5层寒冷，对敌方施加 6 层冰霜；获得5层寒冷，对敌方施加 9 层冰霜；获得5层寒冷，对敌方施加 12 层冰霜</t>
        </is>
      </c>
      <c r="P858" s="9" t="inlineStr"/>
      <c r="Q858" s="9" t="inlineStr"/>
      <c r="R858" s="9" t="inlineStr">
        <is>
          <t>{"kind":"periodicPulse","periodicPulse":{"startOnly":true,"buffGains":[{"buffId":"cold","count":5},{"buffId":"frost","count":3,"target":"enemy","polarity":"detrimental"}],"label":"获得5层寒冷，&lt;battle&gt;对敌方施加 3 层冰霜&lt;/battle&gt;"},"label":"获得5层寒冷，&lt;battle&gt;对敌方施加 3 层冰霜&lt;/battle&gt;","starOverrides":{"1":{"label":"获得5层寒冷，&lt;battle&gt;对敌方施加 6 层冰霜&lt;/battle&gt;","periodicPulse":{"startOnly":true,"buffGains":[{"buffId":"cold","count":5},{"buffId":"frost","count":6,"target":"enemy","polarity":"detrimental"}],"label":"获得5层寒冷，&lt;battle&gt;对敌方施加 6 层冰霜&lt;/battle&gt;"}},"2":{"label":"获得5层寒冷，&lt;battle&gt;对敌方施加 9 层冰霜&lt;/battle&gt;","periodicPulse":{"startOnly":true,"buffGains":[{"buffId":"cold","count":5},{"buffId":"frost","count":9,"target":"enemy","polarity":"detrimental"}],"label":"获得5层寒冷，&lt;battle&gt;对敌方施加 9 层冰霜&lt;/battle&gt;"}},"3":{"label":"获得5层寒冷，&lt;battle&gt;对敌方施加 12 层冰霜&lt;/battle&gt;","periodicPulse":{"startOnly":true,"buffGains":[{"buffId":"cold","count":5},{"buffId":"frost","count":12,"target":"enemy","polarity":"detrimental"}],"label":"获得5层寒冷，&lt;battle&gt;对敌方施加 12 层冰霜&lt;/battle&gt;"}}}}</t>
        </is>
      </c>
    </row>
    <row r="859" ht="32" customHeight="1">
      <c r="A859" s="8" t="n">
        <v>410856</v>
      </c>
      <c r="B859" s="8" t="inlineStr">
        <is>
          <t>晶蹄破甲钉</t>
        </is>
      </c>
      <c r="C859" s="8" t="inlineStr">
        <is>
          <t>法器</t>
        </is>
      </c>
      <c r="D859" s="8" t="inlineStr">
        <is>
          <t>common</t>
        </is>
      </c>
      <c r="E859" s="8" t="inlineStr">
        <is>
          <t>metal</t>
        </is>
      </c>
      <c r="F859" s="8" t="n">
        <v>1</v>
      </c>
      <c r="G859" s="8" t="inlineStr">
        <is>
          <t>基础/顶层</t>
        </is>
      </c>
      <c r="H859" s="8" t="inlineStr"/>
      <c r="I859" s="9" t="inlineStr"/>
      <c r="J859" s="8" t="inlineStr"/>
      <c r="K859" s="8" t="inlineStr"/>
      <c r="L859" s="8" t="inlineStr"/>
      <c r="M859" s="8" t="inlineStr">
        <is>
          <t>周期触发</t>
        </is>
      </c>
      <c r="N859" s="8" t="inlineStr">
        <is>
          <t>periodicPulse</t>
        </is>
      </c>
      <c r="O859" s="9" t="inlineStr">
        <is>
          <t>如果敌方裂甲层数超过10层，对敌方施加10层裂甲；如果敌方裂甲层数超过10层，对敌方施加12层裂甲；如果敌方裂甲层数超过10层，对敌方施加14层裂甲；如果敌方裂甲层数超过10层，对敌方施加16层裂甲</t>
        </is>
      </c>
      <c r="P859" s="9" t="inlineStr">
        <is>
          <t>onPeriodicPulse</t>
        </is>
      </c>
      <c r="Q859" s="9" t="inlineStr">
        <is>
          <t>targetBuffStacksGreaterThan；applyBuff</t>
        </is>
      </c>
      <c r="R859" s="9" t="inlineStr">
        <is>
          <t>{"kind":"periodicPulse","periodicPulse":{"startOnly":true,"battleCondition":{"type":"targetBuffStacksGreaterThan","buffId":"crackArmor","count":10},"label":"&lt;singleton&gt;&lt;battle&gt;如果敌方裂甲层数超过10层，对敌方施加10层裂甲&lt;/battle&gt;&lt;/singleton&gt;"},"executors":[{"trigger":"onPeriodicPulse","type":"applyBuff","buffId":"crackArmor","count":10,"targetActor":"enemy","polarity":"detrimental","support":"battleOnly","singletonByTemplate":true,"label":"&lt;singleton&gt;&lt;battle&gt;如果敌方裂甲层数超过10层，对敌方施加10层裂甲&lt;/battle&gt;&lt;/singleton&gt;"}],"label":"&lt;singleton&gt;&lt;battle&gt;如果敌方裂甲层数超过10层，对敌方施加10层裂甲&lt;/battle&gt;&lt;/singleton&gt;","starOverrides":{"1":{"label":"&lt;singleton&gt;&lt;battle&gt;如果敌方裂甲层数超过10层，对敌方施加12层裂甲&lt;/battle&gt;&lt;/singleton&gt;","periodicPulse":{"startOnly":true,"label":"&lt;singleton&gt;&lt;battle&gt;如果敌方裂甲层数超过10层，对敌方施加12层裂甲&lt;/battle&gt;&lt;/singleton&gt;"},"executors":[{"count":12,"label":"&lt;singleton&gt;&lt;battle&gt;如果敌方裂甲层数超过10层，对敌方施加12层裂甲&lt;/battle&gt;&lt;/singleton&gt;"}]},"2":{"label":"&lt;singleton&gt;&lt;battle&gt;如果敌方裂甲层数超过10层，对敌方施加14层裂甲&lt;/battle&gt;&lt;/singleton&gt;","periodicPulse":{"startOnly":true,"label":"&lt;singleton&gt;&lt;battle&gt;如果敌方裂甲层数超过10层，对敌方施加14层裂甲&lt;/battle&gt;&lt;/singleton&gt;"},"executors":[{"count":14,"label":"&lt;singleton&gt;&lt;battle&gt;如果敌方裂甲层数超过10层，对敌方施加14层裂甲&lt;/battle&gt;&lt;/singleton&gt;"}]},"3":{"label":"&lt;singleton&gt;&lt;battle&gt;如果敌方裂甲层数超过10层，对敌方施加16层裂甲&lt;/battle&gt;&lt;/singleton&gt;","periodicPulse":{"startOnly":true,"label":"&lt;singleton&gt;&lt;battle&gt;如果敌方裂甲层数超过10层，对敌方施加16层裂甲&lt;/battle&gt;&lt;/singleton&gt;"},"executors":[{"count":16,"label":"&lt;singleton&gt;&lt;battle&gt;如果敌方裂甲层数超过10层，对敌方施加16层裂甲&lt;/battle&gt;&lt;/singleton&gt;"}]}}}</t>
        </is>
      </c>
    </row>
    <row r="860" ht="32" customHeight="1">
      <c r="A860" s="8" t="n">
        <v>410900</v>
      </c>
      <c r="B860" s="8" t="inlineStr">
        <is>
          <t>墨涧护心披</t>
        </is>
      </c>
      <c r="C860" s="8" t="inlineStr">
        <is>
          <t>法器</t>
        </is>
      </c>
      <c r="D860" s="8" t="inlineStr">
        <is>
          <t>common</t>
        </is>
      </c>
      <c r="E860" s="8" t="inlineStr">
        <is>
          <t>water</t>
        </is>
      </c>
      <c r="F860" s="8" t="n">
        <v>1</v>
      </c>
      <c r="G860" s="8" t="inlineStr">
        <is>
          <t>基础/顶层</t>
        </is>
      </c>
      <c r="H860" s="8" t="inlineStr"/>
      <c r="I860" s="9" t="inlineStr"/>
      <c r="J860" s="8" t="inlineStr"/>
      <c r="K860" s="8" t="inlineStr"/>
      <c r="L860" s="8" t="inlineStr"/>
      <c r="M860" s="8" t="inlineStr">
        <is>
          <t>周期触发</t>
        </is>
      </c>
      <c r="N860" s="8" t="inlineStr">
        <is>
          <t>periodicPulse</t>
        </is>
      </c>
      <c r="O860" s="9" t="inlineStr">
        <is>
          <t>每有 1 层露水，获得 1 层护甲</t>
        </is>
      </c>
      <c r="P860" s="9" t="inlineStr">
        <is>
          <t>onPeriodicPulse</t>
        </is>
      </c>
      <c r="Q860" s="9" t="inlineStr">
        <is>
          <t>applyBuff</t>
        </is>
      </c>
      <c r="R860" s="9" t="inlineStr">
        <is>
          <t>{"kind":"periodicPulse","periodicPulse":{"startOnly":true,"label":"每有 1 层露水，获得 1 层护甲"},"executors":[{"trigger":"onPeriodicPulse","type":"applyBuff","buffId":"armor","label":"每有 1 层露水，获得 1 层护甲","countPerSourceBuffStack":{"buffId":"dew","countPerStack":1},"support":"common"}],"label":"每有 1 层露水，获得 1 层护甲"}</t>
        </is>
      </c>
    </row>
    <row r="861" ht="32" customHeight="1">
      <c r="A861" s="8" t="n">
        <v>410901</v>
      </c>
      <c r="B861" s="8" t="inlineStr">
        <is>
          <t>汲法须杖</t>
        </is>
      </c>
      <c r="C861" s="8" t="inlineStr">
        <is>
          <t>法器</t>
        </is>
      </c>
      <c r="D861" s="8" t="inlineStr">
        <is>
          <t>common</t>
        </is>
      </c>
      <c r="E861" s="8" t="inlineStr">
        <is>
          <t>fire</t>
        </is>
      </c>
      <c r="F861" s="8" t="n">
        <v>1</v>
      </c>
      <c r="G861" s="8" t="inlineStr">
        <is>
          <t>基础/顶层</t>
        </is>
      </c>
      <c r="H861" s="8" t="inlineStr"/>
      <c r="I861" s="9" t="inlineStr"/>
      <c r="J861" s="8" t="inlineStr"/>
      <c r="K861" s="8" t="inlineStr"/>
      <c r="L861" s="8" t="inlineStr"/>
      <c r="M861" s="8" t="inlineStr">
        <is>
          <t>周期触发</t>
        </is>
      </c>
      <c r="N861" s="8" t="inlineStr">
        <is>
          <t>periodicPulse</t>
        </is>
      </c>
      <c r="O861" s="9" t="inlineStr">
        <is>
          <t>当法力为0时，将5层炎热转化为12点法力；当法力为0时，将5层炎热转化为14点法力；当法力为0时，将5层炎热转化为16点法力；当法力为0时，将5层炎热转化为18点法力</t>
        </is>
      </c>
      <c r="P861" s="9" t="inlineStr">
        <is>
          <t>onPeriodicPulse</t>
        </is>
      </c>
      <c r="Q861" s="9" t="inlineStr">
        <is>
          <t>consumeBuffStacks</t>
        </is>
      </c>
      <c r="R861" s="9" t="inlineStr">
        <is>
          <t>{"kind":"periodicPulse","periodicPulse":{"intervalSec":10,"activationRequirements":{"primaryStatThreshold":{"stat":"mana","comparator":"atMost","amount":0}},"label":"当法力为0时，将5层炎热转化为12点法力"},"executors":[{"trigger":"onPeriodicPulse","type":"consumeBuffStacks","sourceBuffId":"heat","requiredStacks":5,"maxStacks":5,"primaryStatGainPerStack":{"stat":"mana","amount":12,"stacksPerGain":5},"support":"common","label":"当法力为0时，将5层炎热转化为12点法力"}],"label":"当法力为0时，将5层炎热转化为12点法力","starOverrides":{"1":{"label":"当法力为0时，将5层炎热转化为14点法力","periodicPulse":{"intervalSec":10,"activationRequirements":{"primaryStatThreshold":{"stat":"mana","comparator":"atMost","amount":0}},"label":"当法力为0时，将5层炎热转化为14点法力"},"executors":[{"trigger":"onPeriodicPulse","type":"consumeBuffStacks","sourceBuffId":"heat","requiredStacks":5,"maxStacks":5,"primaryStatGainPerStack":{"stat":"mana","amount":14,"stacksPerGain":5},"support":"common","label":"当法力为0时，将5层炎热转化为14点法力"}]},"2":{"label":"当法力为0时，将5层炎热转化为16点法力","periodicPulse":{"intervalSec":10,"activationRequirements":{"primaryStatThreshold":{"stat":"mana","comparator":"atMost","amount":0}},"label":"当法力为0时，将5层炎热转化为16点法力"},"executors":[{"trigger":"onPeriodicPulse","type":"consumeBuffStacks","sourceBuffId":"heat","requiredStacks":5,"maxStacks":5,"primaryStatGainPerStack":{"stat":"mana","amount":16,"stacksPerGain":5},"support":"common","label":"当法力为0时，将5层炎热转化为16点法力"}]},"3":{"label":"当法力为0时，将5层炎热转化为18点法力","periodicPulse":{"intervalSec":10,"activationRequirements":{"primaryStatThreshold":{"stat":"mana","comparator":"atMost","amount":0}},"label":"当法力为0时，将5层炎热转化为18点法力"},"executors":[{"trigger":"onPeriodicPulse","type":"consumeBuffStacks","sourceBuffId":"heat","requiredStacks":5,"maxStacks":5,"primaryStatGainPerStack":{"stat":"mana","amount":18,"stacksPerGain":5},"support":"common","label":"当法力为0时，将5层炎热转化为18点法力"}]}}}</t>
        </is>
      </c>
    </row>
    <row r="862" ht="32" customHeight="1">
      <c r="A862" s="8" t="n">
        <v>410902</v>
      </c>
      <c r="B862" s="8" t="inlineStr">
        <is>
          <t>湿石爪环</t>
        </is>
      </c>
      <c r="C862" s="8" t="inlineStr">
        <is>
          <t>法器</t>
        </is>
      </c>
      <c r="D862" s="8" t="inlineStr">
        <is>
          <t>common</t>
        </is>
      </c>
      <c r="E862" s="8" t="inlineStr">
        <is>
          <t>poison</t>
        </is>
      </c>
      <c r="F862" s="8" t="n">
        <v>1</v>
      </c>
      <c r="G862" s="8" t="inlineStr">
        <is>
          <t>基础/顶层</t>
        </is>
      </c>
      <c r="H862" s="8" t="inlineStr"/>
      <c r="I862" s="9" t="inlineStr"/>
      <c r="J862" s="8" t="inlineStr"/>
      <c r="K862" s="8" t="inlineStr"/>
      <c r="L862" s="8" t="inlineStr"/>
      <c r="M862" s="8" t="inlineStr">
        <is>
          <t>条件触发</t>
        </is>
      </c>
      <c r="N862" s="8" t="inlineStr">
        <is>
          <t>triggered</t>
        </is>
      </c>
      <c r="O862" s="9" t="inlineStr">
        <is>
          <t>敌方获得禁疗时，对其施加 1 层中毒；敌方获得禁疗时，对其施加 2 层中毒；敌方获得禁疗时，对其施加 3 层中毒；敌方获得禁疗时，对其施加 4 层中毒</t>
        </is>
      </c>
      <c r="P862" s="9" t="inlineStr">
        <is>
          <t>onBuffGain</t>
        </is>
      </c>
      <c r="Q862" s="9" t="inlineStr">
        <is>
          <t>applyBuff</t>
        </is>
      </c>
      <c r="R862" s="9" t="inlineStr">
        <is>
          <t>{"kind":"triggered","triggeredEffect":{"trigger":"onBuffGain","eventActor":"enemy","eventBuffId":"antiHeal","type":"applyBuff","buffId":"poison","count":1,"targetActor":"enemy","polarity":"detrimental","support":"battleOnly"},"label":"&lt;battle&gt;敌方获得禁疗时，对其施加 1 层中毒&lt;/battle&gt;","starOverrides":{"1":{"label":"&lt;battle&gt;敌方获得禁疗时，对其施加 2 层中毒&lt;/battle&gt;","triggeredEffect":{"count":2}},"2":{"label":"&lt;battle&gt;敌方获得禁疗时，对其施加 3 层中毒&lt;/battle&gt;","triggeredEffect":{"count":3}},"3":{"label":"&lt;battle&gt;敌方获得禁疗时，对其施加 4 层中毒&lt;/battle&gt;","triggeredEffect":{"count":4}}}}</t>
        </is>
      </c>
    </row>
    <row r="863" ht="32" customHeight="1">
      <c r="A863" s="8" t="n">
        <v>410903</v>
      </c>
      <c r="B863" s="8" t="inlineStr">
        <is>
          <t>回潮尾扇</t>
        </is>
      </c>
      <c r="C863" s="8" t="inlineStr">
        <is>
          <t>法器</t>
        </is>
      </c>
      <c r="D863" s="8" t="inlineStr">
        <is>
          <t>common</t>
        </is>
      </c>
      <c r="E863" s="8" t="inlineStr">
        <is>
          <t>wind</t>
        </is>
      </c>
      <c r="F863" s="8" t="n">
        <v>1</v>
      </c>
      <c r="G863" s="8" t="inlineStr">
        <is>
          <t>基础/顶层</t>
        </is>
      </c>
      <c r="H863" s="8" t="inlineStr"/>
      <c r="I863" s="9" t="inlineStr"/>
      <c r="J863" s="8" t="inlineStr"/>
      <c r="K863" s="8" t="inlineStr"/>
      <c r="L863" s="8" t="inlineStr"/>
      <c r="M863" s="8" t="inlineStr">
        <is>
          <t>说明/执行器</t>
        </is>
      </c>
      <c r="N863" s="8" t="inlineStr">
        <is>
          <t>effectNote</t>
        </is>
      </c>
      <c r="O863" s="9" t="inlineStr">
        <is>
          <t>相邻水属性法器使用时，获得1层露水，对敌方施加 1 层风压；相邻水属性法器使用时，获得2层露水，对敌方施加 2 层风压；相邻水属性法器使用时，获得3层露水，对敌方施加 3 层风压；相邻水属性法器使用时，获得4层露水，对敌方施加 4 层风压</t>
        </is>
      </c>
      <c r="P863" s="9" t="inlineStr">
        <is>
          <t>onItemUse</t>
        </is>
      </c>
      <c r="Q863" s="9" t="inlineStr">
        <is>
          <t>applyBuff；adjacent</t>
        </is>
      </c>
      <c r="R863" s="9" t="inlineStr">
        <is>
          <t>{"kind":"effectNote","label":"&lt;battle&gt;相邻水属性法器使用时，获得1层露水，对敌方施加 1 层风压&lt;/battle&gt;","executors":[{"trigger":"onItemUse","type":"applyBuff","buffId":"dew","count":1,"label":"&lt;battle&gt;相邻水属性法器使用时，获得1层露水，对敌方施加 1 层风压&lt;/battle&gt;","eventSource":{"target":{"type":"adjacent"},"filter":{"categories":["implement"],"elements":["water"]}},"support":"battleOnly"},{"trigger":"onItemUse","type":"applyBuff","buffId":"windPressure","count":1,"label":"&lt;battle&gt;相邻水属性法器使用时，获得1层露水，对敌方施加 1 层风压&lt;/battle&gt;","eventSource":{"target":{"type":"adjacent"},"filter":{"categories":["implement"],"elements":["water"]}},"targetActor":"enemy","polarity":"detrimental","support":"battleOnly"}],"starOverrides":{"1":{"label":"&lt;battle&gt;相邻水属性法器使用时，获得2层露水，对敌方施加 2 层风压&lt;/battle&gt;","executors":[{"trigger":"onItemUse","type":"applyBuff","buffId":"dew","count":2,"label":"&lt;battle&gt;相邻水属性法器使用时，获得2层露水，对敌方施加 2 层风压&lt;/battle&gt;","eventSource":{"target":{"type":"adjacent"},"filter":{"categories":["implement"],"elements":["water"]}},"support":"battleOnly"},{"trigger":"onItemUse","type":"applyBuff","buffId":"windPressure","count":2,"label":"&lt;battle&gt;相邻水属性法器使用时，获得2层露水，对敌方施加 2 层风压&lt;/battle&gt;","eventSource":{"target":{"type":"adjacent"},"filter":{"categories":["implement"],"elements":["water"]}},"targetActor":"enemy","polarity":"detrimental","support":"battleOnly"}]},"2":{"label":"&lt;battle&gt;相邻水属性法器使用时，获得3层露水，对敌方施加 3 层风压&lt;/battle&gt;","executors":[{"trigger":"onItemUse","type":"applyBuff","buffId":"dew","count":3,"label":"&lt;battle&gt;相邻水属性法器使用时，获得3层露水，对敌方施加 3 层风压&lt;/battle&gt;","eventSource":{"target":{"type":"adjacent"},"filter":{"categories":["implement"],"elements":["water"]}},"support":"battleOnly"},{"trigger":"onItemUse","type":"applyBuff","buffId":"windPressure","count":3,"label":"&lt;battle&gt;相邻水属性法器使用时，获得3层露水，对敌方施加 3 层风压&lt;/battle&gt;","eventSource":{"target":{"type":"adjacent"},"filter":{"categories":["implement"],"elements":["water"]}},"targetActor":"enemy","polarity":"detrimental","support":"battleOnly"}]},"3":{"label":"&lt;battle&gt;相邻水属性法器使用时，获得4层露水，对敌方施加 4 层风压&lt;/battle&gt;","executors":[{"trigger":"onItemUse","type":"applyBuff","buffId":"dew","count":4,"label":"&lt;battle&gt;相邻水属性法器使用时，获得4层露水，对敌方施加 4 层风压&lt;/battle&gt;","eventSource":{"target":{"type":"adjacent"},"filter":{"categories":["implement"],"elements":["water"]}},"support":"battleOnly"},{"trigger":"onItemUse","type":"applyBuff","buffId":"windPressure","count":4,"label":"&lt;battle&gt;相邻水属性法器使用时，获得4层露水，对敌方施加 4 层风压&lt;/battle&gt;","eventSource":{"target":{"type":"adjacent"},"filter":{"categories":["implement"],"elements":["water"]}},"targetActor":"enemy","polarity":"detrimental","support":"battleOnly"}]}}}</t>
        </is>
      </c>
    </row>
    <row r="864" ht="32" customHeight="1">
      <c r="A864" s="8" t="n">
        <v>410904</v>
      </c>
      <c r="B864" s="8" t="inlineStr">
        <is>
          <t>墨牙破水锥</t>
        </is>
      </c>
      <c r="C864" s="8" t="inlineStr">
        <is>
          <t>法器</t>
        </is>
      </c>
      <c r="D864" s="8" t="inlineStr">
        <is>
          <t>common</t>
        </is>
      </c>
      <c r="E864" s="8" t="inlineStr">
        <is>
          <t>ice</t>
        </is>
      </c>
      <c r="F864" s="8" t="n">
        <v>1</v>
      </c>
      <c r="G864" s="8" t="inlineStr">
        <is>
          <t>基础/顶层</t>
        </is>
      </c>
      <c r="H864" s="8" t="inlineStr"/>
      <c r="I864" s="9" t="inlineStr"/>
      <c r="J864" s="8" t="inlineStr"/>
      <c r="K864" s="8" t="inlineStr"/>
      <c r="L864" s="8" t="inlineStr"/>
      <c r="M864" s="8" t="inlineStr">
        <is>
          <t>周期触发</t>
        </is>
      </c>
      <c r="N864" s="8" t="inlineStr">
        <is>
          <t>periodicPulse</t>
        </is>
      </c>
      <c r="O864" s="9" t="inlineStr">
        <is>
          <t>每有相邻1件土属性武器，对敌方施加1层冰霜；每有相邻1件土属性武器，对敌方施加2层冰霜；每有相邻1件土属性武器，对敌方施加3层冰霜；每有相邻1件土属性武器，对敌方施加4层冰霜</t>
        </is>
      </c>
      <c r="P864" s="9" t="inlineStr">
        <is>
          <t>onPeriodicPulse</t>
        </is>
      </c>
      <c r="Q864" s="9" t="inlineStr">
        <is>
          <t>applyBuff</t>
        </is>
      </c>
      <c r="R864" s="9" t="inlineStr">
        <is>
          <t>{"kind":"periodicPulse","periodicPulse":{"intervalSec":8,"label":"&lt;battle&gt;每有相邻1件土属性武器，对敌方施加1层冰霜&lt;/battle&gt;"},"executors":[{"trigger":"onPeriodicPulse","type":"applyBuff","buffId":"frost","count":1,"targetActor":"enemy","polarity":"detrimental","scaling":{"mode":"count","source":"adjacentItems","features":["weapon"],"elements":["earth"]},"support":"battleOnly","label":"&lt;battle&gt;每有相邻1件土属性武器，对敌方施加1层冰霜&lt;/battle&gt;"}],"label":"&lt;battle&gt;每有相邻1件土属性武器，对敌方施加1层冰霜&lt;/battle&gt;","starOverrides":{"1":{"label":"&lt;battle&gt;每有相邻1件土属性武器，对敌方施加2层冰霜&lt;/battle&gt;","executors":[{"count":2,"label":"&lt;battle&gt;每有相邻1件土属性武器，对敌方施加2层冰霜&lt;/battle&gt;"}]},"2":{"label":"&lt;battle&gt;每有相邻1件土属性武器，对敌方施加3层冰霜&lt;/battle&gt;","executors":[{"count":3,"label":"&lt;battle&gt;每有相邻1件土属性武器，对敌方施加3层冰霜&lt;/battle&gt;"}]},"3":{"label":"&lt;battle&gt;每有相邻1件土属性武器，对敌方施加4层冰霜&lt;/battle&gt;","executors":[{"count":4,"label":"&lt;battle&gt;每有相邻1件土属性武器，对敌方施加4层冰霜&lt;/battle&gt;"}]}}}</t>
        </is>
      </c>
    </row>
    <row r="865" ht="32" customHeight="1">
      <c r="A865" s="8" t="n">
        <v>410905</v>
      </c>
      <c r="B865" s="8" t="inlineStr">
        <is>
          <t>回渊吸须拂</t>
        </is>
      </c>
      <c r="C865" s="8" t="inlineStr">
        <is>
          <t>法器</t>
        </is>
      </c>
      <c r="D865" s="8" t="inlineStr">
        <is>
          <t>common</t>
        </is>
      </c>
      <c r="E865" s="8" t="inlineStr">
        <is>
          <t>poison</t>
        </is>
      </c>
      <c r="F865" s="8" t="n">
        <v>1</v>
      </c>
      <c r="G865" s="8" t="inlineStr">
        <is>
          <t>基础/顶层</t>
        </is>
      </c>
      <c r="H865" s="8" t="inlineStr"/>
      <c r="I865" s="9" t="inlineStr"/>
      <c r="J865" s="8" t="inlineStr"/>
      <c r="K865" s="8" t="inlineStr"/>
      <c r="L865" s="8" t="inlineStr"/>
      <c r="M865" s="8" t="inlineStr">
        <is>
          <t>周期触发</t>
        </is>
      </c>
      <c r="N865" s="8" t="inlineStr">
        <is>
          <t>periodicPulse</t>
        </is>
      </c>
      <c r="O865" s="9" t="inlineStr">
        <is>
          <t>最多消耗敌方 15 层中毒，每层对其造成 3 点伤害；最多消耗敌方 15 层中毒，每层对其造成 4 点伤害；最多消耗敌方 15 层中毒，每层对其造成 5 点伤害；最多消耗敌方 15 层中毒，每层对其造成 6 点伤害</t>
        </is>
      </c>
      <c r="P865" s="9" t="inlineStr">
        <is>
          <t>onPeriodicPulse</t>
        </is>
      </c>
      <c r="Q865" s="9" t="inlineStr">
        <is>
          <t>consumeBuffStacks</t>
        </is>
      </c>
      <c r="R865" s="9" t="inlineStr">
        <is>
          <t>{"kind":"periodicPulse","periodicPulse":{"intervalSec":20,"label":"&lt;battle&gt;最多消耗敌方 15 层中毒，每层对其造成 3 点伤害&lt;/battle&gt;"},"executors":[{"trigger":"onPeriodicPulse","type":"consumeBuffStacks","sourceBuffId":"poison","consumeTargetActor":"enemy","maxStacks":15,"battleDamageHealthPerStack":3,"support":"battleOnly","label":"&lt;battle&gt;最多消耗敌方 15 层中毒，每层对其造成 3 点伤害&lt;/battle&gt;"}],"label":"&lt;battle&gt;最多消耗敌方 15 层中毒，每层对其造成 3 点伤害&lt;/battle&gt;","starOverrides":{"1":{"label":"&lt;battle&gt;最多消耗敌方 15 层中毒，每层对其造成 4 点伤害&lt;/battle&gt;","executors":[{"battleDamageHealthPerStack":4,"label":"&lt;battle&gt;最多消耗敌方 15 层中毒，每层对其造成 4 点伤害&lt;/battle&gt;"}]},"2":{"label":"&lt;battle&gt;最多消耗敌方 15 层中毒，每层对其造成 5 点伤害&lt;/battle&gt;","executors":[{"battleDamageHealthPerStack":5,"label":"&lt;battle&gt;最多消耗敌方 15 层中毒，每层对其造成 5 点伤害&lt;/battle&gt;"}]},"3":{"label":"&lt;battle&gt;最多消耗敌方 15 层中毒，每层对其造成 6 点伤害&lt;/battle&gt;","executors":[{"battleDamageHealthPerStack":6,"label":"&lt;battle&gt;最多消耗敌方 15 层中毒，每层对其造成 6 点伤害&lt;/battle&gt;"}]}}}</t>
        </is>
      </c>
    </row>
    <row r="866" ht="32" customHeight="1">
      <c r="A866" s="8" t="n">
        <v>410951</v>
      </c>
      <c r="B866" s="8" t="inlineStr">
        <is>
          <t>须引回澜阵碑</t>
        </is>
      </c>
      <c r="C866" s="8" t="inlineStr">
        <is>
          <t>法器</t>
        </is>
      </c>
      <c r="D866" s="8" t="inlineStr">
        <is>
          <t>common</t>
        </is>
      </c>
      <c r="E866" s="8" t="inlineStr">
        <is>
          <t>water</t>
        </is>
      </c>
      <c r="F866" s="8" t="n">
        <v>1</v>
      </c>
      <c r="G866" s="8" t="inlineStr">
        <is>
          <t>基础/顶层</t>
        </is>
      </c>
      <c r="H866" s="8" t="inlineStr"/>
      <c r="I866" s="9" t="inlineStr"/>
      <c r="J866" s="8" t="inlineStr"/>
      <c r="K866" s="8" t="inlineStr"/>
      <c r="L866" s="8" t="inlineStr"/>
      <c r="M866" s="8" t="inlineStr">
        <is>
          <t>周期触发</t>
        </is>
      </c>
      <c r="N866" s="8" t="inlineStr">
        <is>
          <t>periodicPulse</t>
        </is>
      </c>
      <c r="O866" s="9" t="inlineStr">
        <is>
          <t>自身每有1层露水，获得 1 层护甲</t>
        </is>
      </c>
      <c r="P866" s="9" t="inlineStr">
        <is>
          <t>onPeriodicPulse</t>
        </is>
      </c>
      <c r="Q866" s="9" t="inlineStr">
        <is>
          <t>applyBuff</t>
        </is>
      </c>
      <c r="R866" s="9" t="inlineStr">
        <is>
          <t>{"kind":"periodicPulse","periodicPulse":{"startOnly":true,"label":"&lt;singleton&gt;自身每有1层露水，获得 1 层护甲&lt;/singleton&gt;"},"executors":[{"trigger":"onPeriodicPulse","type":"applyBuff","buffId":"armor","label":"&lt;singleton&gt;自身每有1层露水，获得 1 层护甲&lt;/singleton&gt;","countPerSourceBuffStack":{"buffId":"dew","countPerStack":1},"singletonByTemplate":true,"support":"common"}],"label":"&lt;singleton&gt;自身每有1层露水，获得 1 层护甲&lt;/singleton&gt;"}</t>
        </is>
      </c>
    </row>
    <row r="867" ht="32" customHeight="1">
      <c r="A867" s="8" t="n">
        <v>410953</v>
      </c>
      <c r="B867" s="8" t="inlineStr">
        <is>
          <t>裂涧爪钩</t>
        </is>
      </c>
      <c r="C867" s="8" t="inlineStr">
        <is>
          <t>法器</t>
        </is>
      </c>
      <c r="D867" s="8" t="inlineStr">
        <is>
          <t>common</t>
        </is>
      </c>
      <c r="E867" s="8" t="inlineStr">
        <is>
          <t>ice</t>
        </is>
      </c>
      <c r="F867" s="8" t="n">
        <v>1</v>
      </c>
      <c r="G867" s="8" t="inlineStr">
        <is>
          <t>基础/顶层</t>
        </is>
      </c>
      <c r="H867" s="8" t="inlineStr"/>
      <c r="I867" s="9" t="inlineStr"/>
      <c r="J867" s="8" t="inlineStr"/>
      <c r="K867" s="8" t="inlineStr"/>
      <c r="L867" s="8" t="inlineStr"/>
      <c r="M867" s="8" t="inlineStr">
        <is>
          <t>周期触发</t>
        </is>
      </c>
      <c r="N867" s="8" t="inlineStr">
        <is>
          <t>periodicPulse</t>
        </is>
      </c>
      <c r="O867" s="9" t="inlineStr">
        <is>
          <t>敌方每有5层冰霜，对其施加 1 层凝滞；敌方每有5层冰霜，对其施加 2 层凝滞；敌方每有5层冰霜，对其施加 3 层凝滞；敌方每有5层冰霜，对其施加 4 层凝滞</t>
        </is>
      </c>
      <c r="P867" s="9" t="inlineStr">
        <is>
          <t>onPeriodicPulse</t>
        </is>
      </c>
      <c r="Q867" s="9" t="inlineStr">
        <is>
          <t>applyBuff</t>
        </is>
      </c>
      <c r="R867" s="9" t="inlineStr">
        <is>
          <t>{"kind":"periodicPulse","periodicPulse":{"intervalSec":12,"label":"&lt;battle&gt;敌方每有5层冰霜，对其施加 1 层凝滞&lt;/battle&gt;"},"executors":[{"trigger":"onPeriodicPulse","type":"applyBuff","buffId":"stagnation","count":1,"targetActor":"enemy","polarity":"detrimental","scaling":{"mode":"count","source":"buffStacks","buffId":"frost","countDivisor":5,"targetActor":"enemy"},"support":"battleOnly","label":"&lt;battle&gt;敌方每有5层冰霜，对其施加 1 层凝滞&lt;/battle&gt;"}],"label":"&lt;battle&gt;敌方每有5层冰霜，对其施加 1 层凝滞&lt;/battle&gt;","starOverrides":{"1":{"label":"&lt;battle&gt;敌方每有5层冰霜，对其施加 2 层凝滞&lt;/battle&gt;","executors":[{"count":2,"label":"&lt;battle&gt;敌方每有5层冰霜，对其施加 2 层凝滞&lt;/battle&gt;"}]},"2":{"label":"&lt;battle&gt;敌方每有5层冰霜，对其施加 3 层凝滞&lt;/battle&gt;","executors":[{"count":3,"label":"&lt;battle&gt;敌方每有5层冰霜，对其施加 3 层凝滞&lt;/battle&gt;"}]},"3":{"label":"&lt;battle&gt;敌方每有5层冰霜，对其施加 4 层凝滞&lt;/battle&gt;","executors":[{"count":4,"label":"&lt;battle&gt;敌方每有5层冰霜，对其施加 4 层凝滞&lt;/battle&gt;"}]}}}</t>
        </is>
      </c>
    </row>
    <row r="868" ht="32" customHeight="1">
      <c r="A868" s="8" t="n">
        <v>410954</v>
      </c>
      <c r="B868" s="8" t="inlineStr">
        <is>
          <t>墨牙贯流梭</t>
        </is>
      </c>
      <c r="C868" s="8" t="inlineStr">
        <is>
          <t>法器</t>
        </is>
      </c>
      <c r="D868" s="8" t="inlineStr">
        <is>
          <t>common</t>
        </is>
      </c>
      <c r="E868" s="8" t="inlineStr">
        <is>
          <t>wind</t>
        </is>
      </c>
      <c r="F868" s="8" t="n">
        <v>1</v>
      </c>
      <c r="G868" s="8" t="inlineStr">
        <is>
          <t>基础/顶层</t>
        </is>
      </c>
      <c r="H868" s="8" t="inlineStr"/>
      <c r="I868" s="9" t="inlineStr"/>
      <c r="J868" s="8" t="inlineStr"/>
      <c r="K868" s="8" t="inlineStr"/>
      <c r="L868" s="8" t="inlineStr"/>
      <c r="M868" s="8" t="inlineStr">
        <is>
          <t>周期触发</t>
        </is>
      </c>
      <c r="N868" s="8" t="inlineStr">
        <is>
          <t>periodicPulse</t>
        </is>
      </c>
      <c r="O868" s="9" t="inlineStr">
        <is>
          <t>位于风属性道具上方时，获得5层敏捷；位于风属性道具上方时，获得6层敏捷；位于风属性道具上方时，获得7层敏捷；位于风属性道具上方时，获得8层敏捷</t>
        </is>
      </c>
      <c r="P868" s="9" t="inlineStr"/>
      <c r="Q868" s="9" t="inlineStr"/>
      <c r="R868" s="9" t="inlineStr">
        <is>
          <t>{"kind":"periodicPulse","periodicPulse":{"intervalSec":9,"activationRequirements":{"directionalNeighbors":[{"direction":"down","elements":["wind"]}]},"buffGains":[{"buffId":"agile","count":5}],"label":"位于风属性道具上方时，获得5层敏捷"},"label":"位于风属性道具上方时，获得5层敏捷","starOverrides":{"1":{"label":"位于风属性道具上方时，获得6层敏捷","periodicPulse":{"intervalSec":9,"activationRequirements":{"directionalNeighbors":[{"direction":"down","elements":["wind"]}]},"buffGains":[{"buffId":"agile","count":6}],"label":"位于风属性道具上方时，获得6层敏捷"}},"2":{"label":"位于风属性道具上方时，获得7层敏捷","periodicPulse":{"intervalSec":9,"activationRequirements":{"directionalNeighbors":[{"direction":"down","elements":["wind"]}]},"buffGains":[{"buffId":"agile","count":7}],"label":"位于风属性道具上方时，获得7层敏捷"}},"3":{"label":"位于风属性道具上方时，获得8层敏捷","periodicPulse":{"intervalSec":9,"activationRequirements":{"directionalNeighbors":[{"direction":"down","elements":["wind"]}]},"buffGains":[{"buffId":"agile","count":8}],"label":"位于风属性道具上方时，获得8层敏捷"}}}}</t>
        </is>
      </c>
    </row>
    <row r="869" ht="32" customHeight="1">
      <c r="A869" s="8" t="n">
        <v>410955</v>
      </c>
      <c r="B869" s="8" t="inlineStr">
        <is>
          <t>回渊缚灵索</t>
        </is>
      </c>
      <c r="C869" s="8" t="inlineStr">
        <is>
          <t>法器</t>
        </is>
      </c>
      <c r="D869" s="8" t="inlineStr">
        <is>
          <t>common</t>
        </is>
      </c>
      <c r="E869" s="8" t="inlineStr">
        <is>
          <t>poison</t>
        </is>
      </c>
      <c r="F869" s="8" t="n">
        <v>1</v>
      </c>
      <c r="G869" s="8" t="inlineStr">
        <is>
          <t>基础/顶层</t>
        </is>
      </c>
      <c r="H869" s="8" t="inlineStr"/>
      <c r="I869" s="9" t="inlineStr"/>
      <c r="J869" s="8" t="inlineStr"/>
      <c r="K869" s="8" t="inlineStr"/>
      <c r="L869" s="8" t="inlineStr"/>
      <c r="M869" s="8" t="inlineStr">
        <is>
          <t>说明/执行器</t>
        </is>
      </c>
      <c r="N869" s="8" t="inlineStr">
        <is>
          <t>effectNote</t>
        </is>
      </c>
      <c r="O869" s="9" t="inlineStr">
        <is>
          <t>左右相邻武器使用时，对敌方施加 1 层禁疗和中毒；左右相邻武器使用时，对敌方施加 2 层禁疗和中毒；左右相邻武器使用时，对敌方施加 3 层禁疗和中毒；左右相邻武器使用时，对敌方施加 4 层禁疗和中毒</t>
        </is>
      </c>
      <c r="P869" s="9" t="inlineStr">
        <is>
          <t>onItemUse</t>
        </is>
      </c>
      <c r="Q869" s="9" t="inlineStr">
        <is>
          <t>applyBuff；directional-adjacent</t>
        </is>
      </c>
      <c r="R869" s="9" t="inlineStr">
        <is>
          <t>{"kind":"effectNote","label":"&lt;battle&gt;左右相邻武器使用时，对敌方施加 1 层禁疗和中毒&lt;/battle&gt;","executors":[{"trigger":"onItemUse","type":"applyBuff","buffId":"antiHeal","count":1,"targetActor":"enemy","polarity":"detrimental","eventSource":{"target":{"type":"directional-adjacent","direction":"both-horizontal"},"filter":{"features":["weapon"]}},"support":"battleOnly","label":"&lt;battle&gt;左右相邻武器使用时，对敌方施加 1 层禁疗和中毒&lt;/battle&gt;"},{"trigger":"onItemUse","type":"applyBuff","buffId":"poison","count":1,"targetActor":"enemy","polarity":"detrimental","eventSource":{"target":{"type":"directional-adjacent","direction":"both-horizontal"},"filter":{"features":["weapon"]}},"support":"battleOnly","label":"&lt;battle&gt;左右相邻武器使用时，对敌方施加 1 层禁疗和中毒&lt;/battle&gt;"}],"starOverrides":{"1":{"label":"&lt;battle&gt;左右相邻武器使用时，对敌方施加 2 层禁疗和中毒&lt;/battle&gt;","executors":[{"count":2,"label":"&lt;battle&gt;左右相邻武器使用时，对敌方施加 2 层禁疗和中毒&lt;/battle&gt;"},{"count":2,"label":"&lt;battle&gt;左右相邻武器使用时，对敌方施加 2 层禁疗和中毒&lt;/battle&gt;"}]},"2":{"label":"&lt;battle&gt;左右相邻武器使用时，对敌方施加 3 层禁疗和中毒&lt;/battle&gt;","executors":[{"count":3,"label":"&lt;battle&gt;左右相邻武器使用时，对敌方施加 3 层禁疗和中毒&lt;/battle&gt;"},{"count":3,"label":"&lt;battle&gt;左右相邻武器使用时，对敌方施加 3 层禁疗和中毒&lt;/battle&gt;"}]},"3":{"label":"&lt;battle&gt;左右相邻武器使用时，对敌方施加 4 层禁疗和中毒&lt;/battle&gt;","executors":[{"count":4,"label":"&lt;battle&gt;左右相邻武器使用时，对敌方施加 4 层禁疗和中毒&lt;/battle&gt;"},{"count":4,"label":"&lt;battle&gt;左右相邻武器使用时，对敌方施加 4 层禁疗和中毒&lt;/battle&gt;"}]}}}</t>
        </is>
      </c>
    </row>
    <row r="870" ht="32" customHeight="1">
      <c r="A870" s="8" t="n">
        <v>411000</v>
      </c>
      <c r="B870" s="8" t="inlineStr">
        <is>
          <t>银疣镇泉盏</t>
        </is>
      </c>
      <c r="C870" s="8" t="inlineStr">
        <is>
          <t>法器</t>
        </is>
      </c>
      <c r="D870" s="8" t="inlineStr">
        <is>
          <t>common</t>
        </is>
      </c>
      <c r="E870" s="8" t="inlineStr">
        <is>
          <t>water</t>
        </is>
      </c>
      <c r="F870" s="8" t="n">
        <v>1</v>
      </c>
      <c r="G870" s="8" t="inlineStr">
        <is>
          <t>基础/顶层</t>
        </is>
      </c>
      <c r="H870" s="8" t="inlineStr"/>
      <c r="I870" s="9" t="inlineStr"/>
      <c r="J870" s="8" t="inlineStr"/>
      <c r="K870" s="8" t="inlineStr"/>
      <c r="L870" s="8" t="inlineStr"/>
      <c r="M870" s="8" t="inlineStr">
        <is>
          <t>周期触发</t>
        </is>
      </c>
      <c r="N870" s="8" t="inlineStr">
        <is>
          <t>periodicPulse</t>
        </is>
      </c>
      <c r="O870" s="9" t="inlineStr">
        <is>
          <t>消耗3点体力，恢复 6 点气血；消耗3点体力，恢复 8 点气血；消耗3点体力，恢复 10 点气血；消耗3点体力，恢复 12 点气血</t>
        </is>
      </c>
      <c r="P870" s="9" t="inlineStr"/>
      <c r="Q870" s="9" t="inlineStr"/>
      <c r="R870" s="9" t="inlineStr">
        <is>
          <t>{"kind":"periodicPulse","periodicPulse":{"startOnly":true,"primaryStatCosts":[{"stat":"stamina","amount":3}],"primaryStatGains":[{"stat":"health","amount":6}],"label":"消耗3点体力，恢复 6 点气血"},"label":"消耗3点体力，恢复 6 点气血","starOverrides":{"1":{"label":"消耗3点体力，恢复 8 点气血","periodicPulse":{"startOnly":true,"primaryStatCosts":[{"stat":"stamina","amount":3}],"primaryStatGains":[{"stat":"health","amount":8}],"label":"消耗3点体力，恢复 8 点气血"}},"2":{"label":"消耗3点体力，恢复 10 点气血","periodicPulse":{"startOnly":true,"primaryStatCosts":[{"stat":"stamina","amount":3}],"primaryStatGains":[{"stat":"health","amount":10}],"label":"消耗3点体力，恢复 10 点气血"}},"3":{"label":"消耗3点体力，恢复 12 点气血","periodicPulse":{"startOnly":true,"primaryStatCosts":[{"stat":"stamina","amount":3}],"primaryStatGains":[{"stat":"health","amount":12}],"label":"消耗3点体力，恢复 12 点气血"}}}}</t>
        </is>
      </c>
    </row>
    <row r="871" ht="32" customHeight="1">
      <c r="A871" s="8" t="n">
        <v>411001</v>
      </c>
      <c r="B871" s="8" t="inlineStr">
        <is>
          <t>瀑皮承流护肩</t>
        </is>
      </c>
      <c r="C871" s="8" t="inlineStr">
        <is>
          <t>法器</t>
        </is>
      </c>
      <c r="D871" s="8" t="inlineStr">
        <is>
          <t>common</t>
        </is>
      </c>
      <c r="E871" s="8" t="inlineStr">
        <is>
          <t>earth</t>
        </is>
      </c>
      <c r="F871" s="8" t="n">
        <v>1</v>
      </c>
      <c r="G871" s="8" t="inlineStr">
        <is>
          <t>基础/顶层</t>
        </is>
      </c>
      <c r="H871" s="8" t="inlineStr"/>
      <c r="I871" s="9" t="inlineStr"/>
      <c r="J871" s="8" t="inlineStr"/>
      <c r="K871" s="8" t="inlineStr"/>
      <c r="L871" s="8" t="inlineStr"/>
      <c r="M871" s="8" t="inlineStr">
        <is>
          <t>条件触发</t>
        </is>
      </c>
      <c r="N871" s="8" t="inlineStr">
        <is>
          <t>triggered</t>
        </is>
      </c>
      <c r="O871" s="9" t="inlineStr">
        <is>
          <t>累计获得40层露水后，获得 10 层坚硬；累计获得40层露水后，获得 15 层坚硬；累计获得40层露水后，获得 20 层坚硬；累计获得40层露水后，获得 25 层坚硬</t>
        </is>
      </c>
      <c r="P871" s="9" t="inlineStr">
        <is>
          <t>onBuffGain</t>
        </is>
      </c>
      <c r="Q871" s="9" t="inlineStr">
        <is>
          <t>applyBuff</t>
        </is>
      </c>
      <c r="R871" s="9" t="inlineStr">
        <is>
          <t>{"kind":"triggered","triggeredEffect":{"trigger":"onBuffGain","eventActor":"self","eventBuffId":"dew","type":"applyBuff","buffId":"sturdy","count":10,"targetActor":"self","charge":{"threshold":40,"source":{"trigger":"onBuffGain","buffIds":["dew"]}},"support":"common"},"label":"累计获得40层露水后，获得 10 层坚硬","starOverrides":{"1":{"label":"累计获得40层露水后，获得 15 层坚硬","triggeredEffect":{"count":15}},"2":{"label":"累计获得40层露水后，获得 20 层坚硬","triggeredEffect":{"count":20}},"3":{"label":"累计获得40层露水后，获得 25 层坚硬","triggeredEffect":{"count":25}}}}</t>
        </is>
      </c>
    </row>
    <row r="872" ht="32" customHeight="1">
      <c r="A872" s="8" t="n">
        <v>411002</v>
      </c>
      <c r="B872" s="8" t="inlineStr">
        <is>
          <t>苔蹼定流靴</t>
        </is>
      </c>
      <c r="C872" s="8" t="inlineStr">
        <is>
          <t>法器</t>
        </is>
      </c>
      <c r="D872" s="8" t="inlineStr">
        <is>
          <t>common</t>
        </is>
      </c>
      <c r="E872" s="8" t="inlineStr">
        <is>
          <t>wood</t>
        </is>
      </c>
      <c r="F872" s="8" t="n">
        <v>1</v>
      </c>
      <c r="G872" s="8" t="inlineStr">
        <is>
          <t>基础/顶层</t>
        </is>
      </c>
      <c r="H872" s="8" t="inlineStr"/>
      <c r="I872" s="9" t="inlineStr"/>
      <c r="J872" s="8" t="inlineStr"/>
      <c r="K872" s="8" t="inlineStr"/>
      <c r="L872" s="8" t="inlineStr"/>
      <c r="M872" s="8" t="inlineStr">
        <is>
          <t>周期触发</t>
        </is>
      </c>
      <c r="N872" s="8" t="inlineStr">
        <is>
          <t>periodicPulse</t>
        </is>
      </c>
      <c r="O872" s="9" t="inlineStr">
        <is>
          <t>消耗10层露水，获得 10 层敏捷；消耗12层露水，获得 12 层敏捷；消耗14层露水，获得 14 层敏捷；消耗16层露水，获得 16 层敏捷</t>
        </is>
      </c>
      <c r="P872" s="9" t="inlineStr">
        <is>
          <t>onPeriodicPulse</t>
        </is>
      </c>
      <c r="Q872" s="9" t="inlineStr">
        <is>
          <t>consumeBuffStacks</t>
        </is>
      </c>
      <c r="R872" s="9" t="inlineStr">
        <is>
          <t>{"kind":"periodicPulse","periodicPulse":{"intervalSec":10,"label":"消耗10层露水，获得 10 层敏捷"},"executors":[{"trigger":"onPeriodicPulse","type":"consumeBuffStacks","sourceBuffId":"dew","requiredStacks":10,"maxStacks":10,"selfBuffGainPerStack":{"buffId":"agile","countPerStack":1},"support":"common","label":"消耗10层露水，获得 10 层敏捷"}],"label":"消耗10层露水，获得 10 层敏捷","starOverrides":{"1":{"label":"消耗12层露水，获得 12 层敏捷","periodicPulse":{"label":"消耗12层露水，获得 12 层敏捷"},"executors":[{"requiredStacks":12,"maxStacks":12,"label":"消耗12层露水，获得 12 层敏捷"}]},"2":{"label":"消耗14层露水，获得 14 层敏捷","periodicPulse":{"label":"消耗14层露水，获得 14 层敏捷"},"executors":[{"requiredStacks":14,"maxStacks":14,"label":"消耗14层露水，获得 14 层敏捷"}]},"3":{"label":"消耗16层露水，获得 16 层敏捷","periodicPulse":{"label":"消耗16层露水，获得 16 层敏捷"},"executors":[{"requiredStacks":16,"maxStacks":16,"label":"消耗16层露水，获得 16 层敏捷"}]}}}</t>
        </is>
      </c>
    </row>
    <row r="873" ht="32" customHeight="1">
      <c r="A873" s="8" t="n">
        <v>411003</v>
      </c>
      <c r="B873" s="8" t="inlineStr">
        <is>
          <t>喉囊蓄泉壶</t>
        </is>
      </c>
      <c r="C873" s="8" t="inlineStr">
        <is>
          <t>法器</t>
        </is>
      </c>
      <c r="D873" s="8" t="inlineStr">
        <is>
          <t>common</t>
        </is>
      </c>
      <c r="E873" s="8" t="inlineStr">
        <is>
          <t>water</t>
        </is>
      </c>
      <c r="F873" s="8" t="n">
        <v>1</v>
      </c>
      <c r="G873" s="8" t="inlineStr">
        <is>
          <t>基础/顶层</t>
        </is>
      </c>
      <c r="H873" s="8" t="inlineStr"/>
      <c r="I873" s="9" t="inlineStr"/>
      <c r="J873" s="8" t="inlineStr"/>
      <c r="K873" s="8" t="inlineStr"/>
      <c r="L873" s="8" t="inlineStr"/>
      <c r="M873" s="8" t="inlineStr">
        <is>
          <t>条件触发</t>
        </is>
      </c>
      <c r="N873" s="8" t="inlineStr">
        <is>
          <t>triggered</t>
        </is>
      </c>
      <c r="O873" s="9" t="inlineStr">
        <is>
          <t>累计获得50层露水后，获得10 层再生；累计获得50层露水后，获得12 层再生；累计获得50层露水后，获得14 层再生；累计获得50层露水后，获得16 层再生</t>
        </is>
      </c>
      <c r="P873" s="9" t="inlineStr">
        <is>
          <t>onBuffGain</t>
        </is>
      </c>
      <c r="Q873" s="9" t="inlineStr">
        <is>
          <t>applyBuff</t>
        </is>
      </c>
      <c r="R873" s="9" t="inlineStr">
        <is>
          <t>{"kind":"triggered","triggeredEffect":{"trigger":"onBuffGain","eventActor":"self","eventBuffId":"dew","type":"applyBuff","buffId":"regeneration","count":10,"targetActor":"self","charge":{"threshold":50,"source":{"trigger":"onBuffGain","buffIds":["dew"]}},"support":"common"},"label":"累计获得50层露水后，获得10 层再生","starOverrides":{"1":{"label":"累计获得50层露水后，获得12 层再生","triggeredEffect":{"count":12}},"2":{"label":"累计获得50层露水后，获得14 层再生","triggeredEffect":{"count":14}},"3":{"label":"累计获得50层露水后，获得16 层再生","triggeredEffect":{"count":16}}}}</t>
        </is>
      </c>
    </row>
    <row r="874" ht="32" customHeight="1">
      <c r="A874" s="8" t="n">
        <v>411050</v>
      </c>
      <c r="B874" s="8" t="inlineStr">
        <is>
          <t>疣辉叠涟法盘</t>
        </is>
      </c>
      <c r="C874" s="8" t="inlineStr">
        <is>
          <t>法器</t>
        </is>
      </c>
      <c r="D874" s="8" t="inlineStr">
        <is>
          <t>common</t>
        </is>
      </c>
      <c r="E874" s="8" t="inlineStr">
        <is>
          <t>thunder</t>
        </is>
      </c>
      <c r="F874" s="8" t="n">
        <v>1</v>
      </c>
      <c r="G874" s="8" t="inlineStr">
        <is>
          <t>基础/顶层</t>
        </is>
      </c>
      <c r="H874" s="8" t="inlineStr"/>
      <c r="I874" s="9" t="inlineStr"/>
      <c r="J874" s="8" t="inlineStr"/>
      <c r="K874" s="8" t="inlineStr"/>
      <c r="L874" s="8" t="inlineStr"/>
      <c r="M874" s="8" t="inlineStr">
        <is>
          <t>周期触发</t>
        </is>
      </c>
      <c r="N874" s="8" t="inlineStr">
        <is>
          <t>periodicPulse</t>
        </is>
      </c>
      <c r="O874" s="9" t="inlineStr">
        <is>
          <t>每相邻 1 件水属性道具时，获得 2 层引雷；每相邻 1 件水属性道具时，获得 4 层引雷；每相邻 1 件水属性道具时，获得 6 层引雷；每相邻 1 件水属性道具时，获得 8 层引雷</t>
        </is>
      </c>
      <c r="P874" s="9" t="inlineStr">
        <is>
          <t>onPeriodicPulse</t>
        </is>
      </c>
      <c r="Q874" s="9" t="inlineStr">
        <is>
          <t>applyBuff</t>
        </is>
      </c>
      <c r="R874" s="9" t="inlineStr">
        <is>
          <t>{"kind":"periodicPulse","periodicPulse":{"intervalSec":13,"label":"每相邻 1 件水属性道具时，获得 2 层引雷"},"executors":[{"trigger":"onPeriodicPulse","type":"applyBuff","buffId":"lightningCharge","count":2,"scaling":{"mode":"count","source":"adjacentItems","elements":["water"]},"targetActor":"self","support":"common","label":"每相邻 1 件水属性道具时，获得 2 层引雷"}],"label":"每相邻 1 件水属性道具时，获得 2 层引雷","starOverrides":{"1":{"label":"每相邻 1 件水属性道具时，获得 4 层引雷","periodicPulse":{"intervalSec":12,"label":"每相邻 1 件水属性道具时，获得 4 层引雷"},"executors":[{"count":4,"label":"每相邻 1 件水属性道具时，获得 4 层引雷"}]},"2":{"label":"每相邻 1 件水属性道具时，获得 6 层引雷","periodicPulse":{"intervalSec":11,"label":"每相邻 1 件水属性道具时，获得 6 层引雷"},"executors":[{"count":6,"label":"每相邻 1 件水属性道具时，获得 6 层引雷"}]},"3":{"label":"每相邻 1 件水属性道具时，获得 8 层引雷","periodicPulse":{"intervalSec":10,"label":"每相邻 1 件水属性道具时，获得 8 层引雷"},"executors":[{"count":8,"label":"每相邻 1 件水属性道具时，获得 8 层引雷"}]}}}</t>
        </is>
      </c>
    </row>
    <row r="875" ht="32" customHeight="1">
      <c r="A875" s="8" t="n">
        <v>411051</v>
      </c>
      <c r="B875" s="8" t="inlineStr">
        <is>
          <t>瀑纹回潮阵屏</t>
        </is>
      </c>
      <c r="C875" s="8" t="inlineStr">
        <is>
          <t>法器</t>
        </is>
      </c>
      <c r="D875" s="8" t="inlineStr">
        <is>
          <t>common</t>
        </is>
      </c>
      <c r="E875" s="8" t="inlineStr">
        <is>
          <t>ice</t>
        </is>
      </c>
      <c r="F875" s="8" t="n">
        <v>1</v>
      </c>
      <c r="G875" s="8" t="inlineStr">
        <is>
          <t>基础/顶层</t>
        </is>
      </c>
      <c r="H875" s="8" t="inlineStr"/>
      <c r="I875" s="9" t="inlineStr"/>
      <c r="J875" s="8" t="inlineStr"/>
      <c r="K875" s="8" t="inlineStr"/>
      <c r="L875" s="8" t="inlineStr"/>
      <c r="M875" s="8" t="inlineStr">
        <is>
          <t>周期触发</t>
        </is>
      </c>
      <c r="N875" s="8" t="inlineStr">
        <is>
          <t>periodicPulse</t>
        </is>
      </c>
      <c r="O875" s="9" t="inlineStr">
        <is>
          <t>敌方每有1层冰霜，获得 1 层再生</t>
        </is>
      </c>
      <c r="P875" s="9" t="inlineStr">
        <is>
          <t>onPeriodicPulse</t>
        </is>
      </c>
      <c r="Q875" s="9" t="inlineStr">
        <is>
          <t>applyBuff</t>
        </is>
      </c>
      <c r="R875" s="9" t="inlineStr">
        <is>
          <t>{"kind":"periodicPulse","periodicPulse":{"intervalSec":20,"label":"&lt;singleton&gt;&lt;battle&gt;敌方每有1层冰霜，获得 1 层再生&lt;/battle&gt;&lt;/singleton&gt;"},"executors":[{"trigger":"onPeriodicPulse","type":"applyBuff","buffId":"regeneration","count":1,"scaling":{"mode":"count","source":"buffStacks","buffId":"frost","targetActor":"enemy"},"targetActor":"self","singletonByTemplate":true,"support":"battleOnly","label":"&lt;singleton&gt;&lt;battle&gt;敌方每有1层冰霜，获得 1 层再生&lt;/battle&gt;&lt;/singleton&gt;"}],"label":"&lt;singleton&gt;&lt;battle&gt;敌方每有1层冰霜，获得 1 层再生&lt;/battle&gt;&lt;/singleton&gt;"}</t>
        </is>
      </c>
    </row>
    <row r="876" ht="32" customHeight="1">
      <c r="A876" s="8" t="n">
        <v>411052</v>
      </c>
      <c r="B876" s="8" t="inlineStr">
        <is>
          <t>蹼心引潮法盘</t>
        </is>
      </c>
      <c r="C876" s="8" t="inlineStr">
        <is>
          <t>法器</t>
        </is>
      </c>
      <c r="D876" s="8" t="inlineStr">
        <is>
          <t>common</t>
        </is>
      </c>
      <c r="E876" s="8" t="inlineStr">
        <is>
          <t>wood</t>
        </is>
      </c>
      <c r="F876" s="8" t="n">
        <v>1</v>
      </c>
      <c r="G876" s="8" t="inlineStr">
        <is>
          <t>基础/顶层</t>
        </is>
      </c>
      <c r="H876" s="8" t="inlineStr"/>
      <c r="I876" s="9" t="inlineStr"/>
      <c r="J876" s="8" t="inlineStr"/>
      <c r="K876" s="8" t="inlineStr"/>
      <c r="L876" s="8" t="inlineStr"/>
      <c r="M876" s="8" t="inlineStr">
        <is>
          <t>条件触发</t>
        </is>
      </c>
      <c r="N876" s="8" t="inlineStr">
        <is>
          <t>triggered</t>
        </is>
      </c>
      <c r="O876" s="9" t="inlineStr">
        <is>
          <t>累计获得50层露水后，使所有木属性道具加速1秒</t>
        </is>
      </c>
      <c r="P876" s="9" t="inlineStr">
        <is>
          <t>onBuffGain</t>
        </is>
      </c>
      <c r="Q876" s="9" t="inlineStr">
        <is>
          <t>itemRuntimeStatus</t>
        </is>
      </c>
      <c r="R876" s="9" t="inlineStr">
        <is>
          <t>{"kind":"triggered","triggeredEffect":{"trigger":"onBuffGain","eventActor":"self","eventBuffId":"dew","type":"itemRuntimeStatus","itemRuntimeStatus":"haste","durationSec":1,"targetActor":"self","targetScope":"selfAll","targetFilter":{"elements":["wood"]},"charge":{"threshold":50,"source":{"trigger":"onBuffGain","buffIds":["dew"]}},"support":"common"},"label":"累计获得50层露水后，使所有木属性道具加速1秒"}</t>
        </is>
      </c>
    </row>
    <row r="877" ht="32" customHeight="1">
      <c r="A877" s="8" t="n">
        <v>411053</v>
      </c>
      <c r="B877" s="8" t="inlineStr">
        <is>
          <t>囊鸣回潮法盘</t>
        </is>
      </c>
      <c r="C877" s="8" t="inlineStr">
        <is>
          <t>法器</t>
        </is>
      </c>
      <c r="D877" s="8" t="inlineStr">
        <is>
          <t>common</t>
        </is>
      </c>
      <c r="E877" s="8" t="inlineStr">
        <is>
          <t>poison</t>
        </is>
      </c>
      <c r="F877" s="8" t="n">
        <v>1</v>
      </c>
      <c r="G877" s="8" t="inlineStr">
        <is>
          <t>基础/顶层</t>
        </is>
      </c>
      <c r="H877" s="8" t="inlineStr"/>
      <c r="I877" s="9" t="inlineStr"/>
      <c r="J877" s="8" t="inlineStr"/>
      <c r="K877" s="8" t="inlineStr"/>
      <c r="L877" s="8" t="inlineStr"/>
      <c r="M877" s="8" t="inlineStr">
        <is>
          <t>条件触发</t>
        </is>
      </c>
      <c r="N877" s="8" t="inlineStr">
        <is>
          <t>triggered</t>
        </is>
      </c>
      <c r="O877" s="9" t="inlineStr">
        <is>
          <t>敌方消耗中毒时，对其施加 1 层禁疗；敌方消耗中毒时，对其施加 2 层禁疗；敌方消耗中毒时，对其施加 3 层禁疗；敌方消耗中毒时，对其施加 4 层禁疗</t>
        </is>
      </c>
      <c r="P877" s="9" t="inlineStr">
        <is>
          <t>onBuffConsumed</t>
        </is>
      </c>
      <c r="Q877" s="9" t="inlineStr">
        <is>
          <t>applyBuff</t>
        </is>
      </c>
      <c r="R877" s="9" t="inlineStr">
        <is>
          <t>{"kind":"triggered","triggeredEffect":{"trigger":"onBuffConsumed","eventActor":"enemy","eventBuffId":"poison","type":"applyBuff","buffId":"antiHeal","count":1,"targetActor":"enemy","polarity":"detrimental","support":"battleOnly"},"label":"&lt;battle&gt;敌方消耗中毒时，对其施加 1 层禁疗&lt;/battle&gt;","starOverrides":{"1":{"label":"&lt;battle&gt;敌方消耗中毒时，对其施加 2 层禁疗&lt;/battle&gt;","triggeredEffect":{"count":2}},"2":{"label":"&lt;battle&gt;敌方消耗中毒时，对其施加 3 层禁疗&lt;/battle&gt;","triggeredEffect":{"count":3}},"3":{"label":"&lt;battle&gt;敌方消耗中毒时，对其施加 4 层禁疗&lt;/battle&gt;","triggeredEffect":{"count":4}}}}</t>
        </is>
      </c>
    </row>
    <row r="878" ht="32" customHeight="1">
      <c r="A878" s="8" t="n">
        <v>411100</v>
      </c>
      <c r="B878" s="8" t="inlineStr">
        <is>
          <t>青枝镇骨匣</t>
        </is>
      </c>
      <c r="C878" s="8" t="inlineStr">
        <is>
          <t>法器</t>
        </is>
      </c>
      <c r="D878" s="8" t="inlineStr">
        <is>
          <t>common</t>
        </is>
      </c>
      <c r="E878" s="8" t="inlineStr">
        <is>
          <t>wood</t>
        </is>
      </c>
      <c r="F878" s="8" t="n">
        <v>1</v>
      </c>
      <c r="G878" s="8" t="inlineStr">
        <is>
          <t>基础/顶层</t>
        </is>
      </c>
      <c r="H878" s="8" t="inlineStr"/>
      <c r="I878" s="9" t="inlineStr"/>
      <c r="J878" s="8" t="inlineStr"/>
      <c r="K878" s="8" t="inlineStr"/>
      <c r="L878" s="8" t="inlineStr"/>
      <c r="M878" s="8" t="inlineStr">
        <is>
          <t>周期触发</t>
        </is>
      </c>
      <c r="N878" s="8" t="inlineStr">
        <is>
          <t>periodicPulse</t>
        </is>
      </c>
      <c r="O878" s="9" t="inlineStr">
        <is>
          <t>将 30 层再生转化为 10 点法力，每击杀一只妖兽后效果升级。；法力获得量</t>
        </is>
      </c>
      <c r="P878" s="9" t="inlineStr">
        <is>
          <t>onPeriodicPulse；onEnemyDefeated</t>
        </is>
      </c>
      <c r="Q878" s="9" t="inlineStr">
        <is>
          <t>consumeBuffStacks</t>
        </is>
      </c>
      <c r="R878" s="9" t="inlineStr">
        <is>
          <t>{"kind":"periodicPulse","periodicPulse":{"intervalSec":20,"label":"将 30 层再生转化为 10 点法力，&lt;battle&gt;每击杀一只妖兽后效果升级&lt;/battle&gt;。"},"executors":[{"trigger":"onPeriodicPulse","type":"consumeBuffStacks","sourceBuffId":"regeneration","requiredStacks":30,"maxStacks":30,"primaryStatGainPerStack":{"stat":"mana","amount":10,"stacksPerGain":30},"support":"battleOnly","label":"将 30 层再生转化为 10 点法力，&lt;battle&gt;每击杀一只妖兽后效果升级&lt;/battle&gt;。"}],"label":"将 30 层再生转化为 10 点法力，&lt;battle&gt;每击杀一只妖兽后效果升级&lt;/battle&gt;。","growth":{"lifecycle":"permanent","trigger":"onEnemyDefeated","bindings":[{"path":"executors.0.primaryStatGainPerStack.amount","delta":1,"maxValue":60,"label":"法力获得量","textOccurrence":0}],"support":"battleOnly"}}</t>
        </is>
      </c>
    </row>
    <row r="879" ht="32" customHeight="1">
      <c r="A879" s="8" t="n">
        <v>411101</v>
      </c>
      <c r="B879" s="8" t="inlineStr">
        <is>
          <t>藤尾束灵环</t>
        </is>
      </c>
      <c r="C879" s="8" t="inlineStr">
        <is>
          <t>法器</t>
        </is>
      </c>
      <c r="D879" s="8" t="inlineStr">
        <is>
          <t>common</t>
        </is>
      </c>
      <c r="E879" s="8" t="inlineStr">
        <is>
          <t>wood</t>
        </is>
      </c>
      <c r="F879" s="8" t="n">
        <v>1</v>
      </c>
      <c r="G879" s="8" t="inlineStr">
        <is>
          <t>基础/顶层</t>
        </is>
      </c>
      <c r="H879" s="8" t="inlineStr"/>
      <c r="I879" s="9" t="inlineStr"/>
      <c r="J879" s="8" t="inlineStr"/>
      <c r="K879" s="8" t="inlineStr"/>
      <c r="L879" s="8" t="inlineStr"/>
      <c r="M879" s="8" t="inlineStr">
        <is>
          <t>周期触发</t>
        </is>
      </c>
      <c r="N879" s="8" t="inlineStr">
        <is>
          <t>periodicPulse</t>
        </is>
      </c>
      <c r="O879" s="9" t="inlineStr">
        <is>
          <t>相邻有木属性法器时，获得8层闪避；相邻有木属性法器时，获得10层闪避；相邻有木属性法器时，获得12层闪避；相邻有木属性法器时，获得14层闪避</t>
        </is>
      </c>
      <c r="P879" s="9" t="inlineStr"/>
      <c r="Q879" s="9" t="inlineStr"/>
      <c r="R879" s="9" t="inlineStr">
        <is>
          <t>{"kind":"periodicPulse","periodicPulse":{"buffGains":[{"buffId":"dodge","count":8}],"activationRequirements":{"neighborCounts":[{"minCount":1,"categories":["implement"],"elements":["wood"]}]},"label":"&lt;battle&gt;相邻有木属性法器时，获得8层闪避&lt;/battle&gt;","startOnly":true},"label":"&lt;battle&gt;相邻有木属性法器时，获得8层闪避&lt;/battle&gt;","starOverrides":{"1":{"label":"&lt;battle&gt;相邻有木属性法器时，获得10层闪避&lt;/battle&gt;","periodicPulse":{"buffGains":[{"buffId":"dodge","count":10}],"activationRequirements":{"neighborCounts":[{"minCount":1,"categories":["implement"],"elements":["wood"]}]},"label":"&lt;battle&gt;相邻有木属性法器时，获得10层闪避&lt;/battle&gt;","startOnly":true}},"2":{"label":"&lt;battle&gt;相邻有木属性法器时，获得12层闪避&lt;/battle&gt;","periodicPulse":{"buffGains":[{"buffId":"dodge","count":12}],"activationRequirements":{"neighborCounts":[{"minCount":1,"categories":["implement"],"elements":["wood"]}]},"label":"&lt;battle&gt;相邻有木属性法器时，获得12层闪避&lt;/battle&gt;","startOnly":true}},"3":{"label":"&lt;battle&gt;相邻有木属性法器时，获得14层闪避&lt;/battle&gt;","periodicPulse":{"buffGains":[{"buffId":"dodge","count":14}],"activationRequirements":{"neighborCounts":[{"minCount":1,"categories":["implement"],"elements":["wood"]}]},"label":"&lt;battle&gt;相邻有木属性法器时，获得14层闪避&lt;/battle&gt;","startOnly":true}}}}</t>
        </is>
      </c>
    </row>
    <row r="880" ht="32" customHeight="1">
      <c r="A880" s="8" t="n">
        <v>411102</v>
      </c>
      <c r="B880" s="8" t="inlineStr">
        <is>
          <t>嫩叶养息盂</t>
        </is>
      </c>
      <c r="C880" s="8" t="inlineStr">
        <is>
          <t>法器</t>
        </is>
      </c>
      <c r="D880" s="8" t="inlineStr">
        <is>
          <t>common</t>
        </is>
      </c>
      <c r="E880" s="8" t="inlineStr">
        <is>
          <t>wood</t>
        </is>
      </c>
      <c r="F880" s="8" t="n">
        <v>1</v>
      </c>
      <c r="G880" s="8" t="inlineStr">
        <is>
          <t>基础/顶层</t>
        </is>
      </c>
      <c r="H880" s="8" t="inlineStr"/>
      <c r="I880" s="9" t="inlineStr"/>
      <c r="J880" s="8" t="inlineStr"/>
      <c r="K880" s="8" t="inlineStr"/>
      <c r="L880" s="8" t="inlineStr"/>
      <c r="M880" s="8" t="inlineStr">
        <is>
          <t>周期触发</t>
        </is>
      </c>
      <c r="N880" s="8" t="inlineStr">
        <is>
          <t>periodicPulse</t>
        </is>
      </c>
      <c r="O880" s="9" t="inlineStr">
        <is>
          <t>获得 1 层再生，每击杀一只妖兽后效果升级。；再生获得量</t>
        </is>
      </c>
      <c r="P880" s="9" t="inlineStr">
        <is>
          <t>onPeriodicPulse；onEnemyDefeated</t>
        </is>
      </c>
      <c r="Q880" s="9" t="inlineStr">
        <is>
          <t>applyBuff</t>
        </is>
      </c>
      <c r="R880" s="9" t="inlineStr">
        <is>
          <t>{"kind":"periodicPulse","periodicPulse":{"intervalSec":30,"label":"&lt;singleton&gt;获得 1 层再生，&lt;battle&gt;每击杀一只妖兽后效果升级&lt;/battle&gt;。&lt;/singleton&gt;"},"executors":[{"trigger":"onPeriodicPulse","type":"applyBuff","buffId":"regeneration","count":1,"targetActor":"self","singletonByTemplate":true,"support":"battleOnly","label":"&lt;singleton&gt;获得 1 层再生，&lt;battle&gt;每击杀一只妖兽后效果升级&lt;/battle&gt;。&lt;/singleton&gt;"}],"label":"&lt;singleton&gt;获得 1 层再生，&lt;battle&gt;每击杀一只妖兽后效果升级&lt;/battle&gt;。&lt;/singleton&gt;","starOverrides":{"1":{"growth":{"bindings":[{"delta":2,"maxValue":24}]}},"2":{"growth":{"bindings":[{"delta":3,"maxValue":28}]}},"3":{"growth":{"bindings":[{"delta":4,"maxValue":32}]}}},"growth":{"lifecycle":"permanent","trigger":"onEnemyDefeated","bindings":[{"path":"executors.0.count","delta":1,"maxValue":20,"label":"再生获得量","textOccurrence":0}],"support":"battleOnly"}}</t>
        </is>
      </c>
    </row>
    <row r="881" ht="32" customHeight="1">
      <c r="A881" s="8" t="n">
        <v>411103</v>
      </c>
      <c r="B881" s="8" t="inlineStr">
        <is>
          <t>灵猕掌印盾</t>
        </is>
      </c>
      <c r="C881" s="8" t="inlineStr">
        <is>
          <t>法器</t>
        </is>
      </c>
      <c r="D881" s="8" t="inlineStr">
        <is>
          <t>common</t>
        </is>
      </c>
      <c r="E881" s="8" t="inlineStr">
        <is>
          <t>wood</t>
        </is>
      </c>
      <c r="F881" s="8" t="n">
        <v>1</v>
      </c>
      <c r="G881" s="8" t="inlineStr">
        <is>
          <t>基础/顶层</t>
        </is>
      </c>
      <c r="H881" s="8" t="inlineStr"/>
      <c r="I881" s="9" t="inlineStr"/>
      <c r="J881" s="8" t="inlineStr"/>
      <c r="K881" s="8" t="inlineStr"/>
      <c r="L881" s="8" t="inlineStr"/>
      <c r="M881" s="8" t="inlineStr">
        <is>
          <t>周期触发</t>
        </is>
      </c>
      <c r="N881" s="8" t="inlineStr">
        <is>
          <t>periodicPulse</t>
        </is>
      </c>
      <c r="O881" s="9" t="inlineStr">
        <is>
          <t>每有1层再生，获得2层护甲</t>
        </is>
      </c>
      <c r="P881" s="9" t="inlineStr">
        <is>
          <t>onPeriodicPulse</t>
        </is>
      </c>
      <c r="Q881" s="9" t="inlineStr">
        <is>
          <t>applyBuff</t>
        </is>
      </c>
      <c r="R881" s="9" t="inlineStr">
        <is>
          <t>{"kind":"periodicPulse","periodicPulse":{"startOnly":true,"label":"每有1层再生，获得2层护甲"},"executors":[{"trigger":"onPeriodicPulse","type":"applyBuff","buffId":"armor","countPerSourceBuffStack":{"buffId":"regeneration","countPerStack":2},"targetActor":"self","support":"common","label":"每有1层再生，获得2层护甲"}],"label":"每有1层再生，获得2层护甲"}</t>
        </is>
      </c>
    </row>
    <row r="882" ht="32" customHeight="1">
      <c r="A882" s="8" t="n">
        <v>411104</v>
      </c>
      <c r="B882" s="8" t="inlineStr">
        <is>
          <t>轻腕御风扣</t>
        </is>
      </c>
      <c r="C882" s="8" t="inlineStr">
        <is>
          <t>法器</t>
        </is>
      </c>
      <c r="D882" s="8" t="inlineStr">
        <is>
          <t>common</t>
        </is>
      </c>
      <c r="E882" s="8" t="inlineStr">
        <is>
          <t>wind</t>
        </is>
      </c>
      <c r="F882" s="8" t="n">
        <v>1</v>
      </c>
      <c r="G882" s="8" t="inlineStr">
        <is>
          <t>基础/顶层</t>
        </is>
      </c>
      <c r="H882" s="8" t="inlineStr"/>
      <c r="I882" s="9" t="inlineStr"/>
      <c r="J882" s="8" t="inlineStr"/>
      <c r="K882" s="8" t="inlineStr"/>
      <c r="L882" s="8" t="inlineStr"/>
      <c r="M882" s="8" t="inlineStr">
        <is>
          <t>周期触发</t>
        </is>
      </c>
      <c r="N882" s="8" t="inlineStr">
        <is>
          <t>periodicPulse</t>
        </is>
      </c>
      <c r="O882" s="9" t="inlineStr">
        <is>
          <t>每有1件尸骸道具，获得3层敏捷，对敌方施加3层风压</t>
        </is>
      </c>
      <c r="P882" s="9" t="inlineStr">
        <is>
          <t>onPeriodicPulse</t>
        </is>
      </c>
      <c r="Q882" s="9" t="inlineStr">
        <is>
          <t>applyBuff</t>
        </is>
      </c>
      <c r="R882" s="9" t="inlineStr">
        <is>
          <t>{"kind":"periodicPulse","periodicPulse":{"startOnly":true,"label":"&lt;singleton&gt;每有1件尸骸道具，获得3层敏捷，&lt;battle&gt;对敌方施加3层风压&lt;/battle&gt;&lt;/singleton&gt;"},"executors":[{"trigger":"onPeriodicPulse","type":"applyBuff","buffId":"agile","count":3,"label":"&lt;singleton&gt;每有1件尸骸道具，获得3层敏捷，&lt;battle&gt;对敌方施加3层风压&lt;/battle&gt;&lt;/singleton&gt;","scaling":{"mode":"count","source":"bagItems","features":["corpse"]},"singletonByTemplate":true,"support":"common"},{"trigger":"onPeriodicPulse","type":"applyBuff","buffId":"windPressure","count":3,"label":"&lt;singleton&gt;每有1件尸骸道具，获得3层敏捷，&lt;battle&gt;对敌方施加3层风压&lt;/battle&gt;&lt;/singleton&gt;","scaling":{"mode":"count","source":"bagItems","features":["corpse"]},"singletonByTemplate":true,"targetActor":"enemy","polarity":"detrimental","support":"battleOnly"}],"label":"&lt;singleton&gt;每有1件尸骸道具，获得3层敏捷，&lt;battle&gt;对敌方施加3层风压&lt;/battle&gt;&lt;/singleton&gt;"}</t>
        </is>
      </c>
    </row>
    <row r="883" ht="32" customHeight="1">
      <c r="A883" s="8" t="n">
        <v>411105</v>
      </c>
      <c r="B883" s="8" t="inlineStr">
        <is>
          <t>跳筋蓄势弦</t>
        </is>
      </c>
      <c r="C883" s="8" t="inlineStr">
        <is>
          <t>法器</t>
        </is>
      </c>
      <c r="D883" s="8" t="inlineStr">
        <is>
          <t>common</t>
        </is>
      </c>
      <c r="E883" s="8" t="inlineStr">
        <is>
          <t>earth</t>
        </is>
      </c>
      <c r="F883" s="8" t="n">
        <v>1</v>
      </c>
      <c r="G883" s="8" t="inlineStr">
        <is>
          <t>基础/顶层</t>
        </is>
      </c>
      <c r="H883" s="8" t="inlineStr"/>
      <c r="I883" s="9" t="inlineStr"/>
      <c r="J883" s="8" t="inlineStr"/>
      <c r="K883" s="8" t="inlineStr"/>
      <c r="L883" s="8" t="inlineStr"/>
      <c r="M883" s="8" t="inlineStr">
        <is>
          <t>条件触发</t>
        </is>
      </c>
      <c r="N883" s="8" t="inlineStr">
        <is>
          <t>triggered</t>
        </is>
      </c>
      <c r="O883" s="9" t="inlineStr">
        <is>
          <t>相邻武器的体力消耗被敏捷完全抵消时，获得 3 层蓄势；相邻武器的体力消耗被敏捷完全抵消时，获得 6 层蓄势；相邻武器的体力消耗被敏捷完全抵消时，获得 9 层蓄势；相邻武器的体力消耗被敏捷完全抵消时，获得 12 层蓄势</t>
        </is>
      </c>
      <c r="P883" s="9" t="inlineStr">
        <is>
          <t>onStaminaCostFullyNegatedByAgile</t>
        </is>
      </c>
      <c r="Q883" s="9" t="inlineStr">
        <is>
          <t>applyBuff；adjacent</t>
        </is>
      </c>
      <c r="R883" s="9" t="inlineStr">
        <is>
          <t>{"kind":"triggered","label":"相邻武器的体力消耗被敏捷完全抵消时，获得 3 层蓄势","triggeredEffect":{"trigger":"onStaminaCostFullyNegatedByAgile","type":"applyBuff","buffId":"heavy","count":3,"targetActor":"self","eventSource":{"target":{"type":"adjacent"},"filter":{"features":["weapon"]}}},"starOverrides":{"1":{"label":"相邻武器的体力消耗被敏捷完全抵消时，获得 6 层蓄势","triggeredEffect":{"count":6}},"2":{"label":"相邻武器的体力消耗被敏捷完全抵消时，获得 9 层蓄势","triggeredEffect":{"count":9}},"3":{"label":"相邻武器的体力消耗被敏捷完全抵消时，获得 12 层蓄势","triggeredEffect":{"count":12}}}}</t>
        </is>
      </c>
    </row>
    <row r="884" ht="32" customHeight="1">
      <c r="A884" s="8" t="n">
        <v>411150</v>
      </c>
      <c r="B884" s="8" t="inlineStr">
        <is>
          <t>藤尾回旋牌</t>
        </is>
      </c>
      <c r="C884" s="8" t="inlineStr">
        <is>
          <t>法器</t>
        </is>
      </c>
      <c r="D884" s="8" t="inlineStr">
        <is>
          <t>common</t>
        </is>
      </c>
      <c r="E884" s="8" t="inlineStr">
        <is>
          <t>thunder</t>
        </is>
      </c>
      <c r="F884" s="8" t="n">
        <v>1</v>
      </c>
      <c r="G884" s="8" t="inlineStr">
        <is>
          <t>基础/顶层</t>
        </is>
      </c>
      <c r="H884" s="8" t="inlineStr"/>
      <c r="I884" s="9" t="inlineStr"/>
      <c r="J884" s="8" t="inlineStr"/>
      <c r="K884" s="8" t="inlineStr"/>
      <c r="L884" s="8" t="inlineStr"/>
      <c r="M884" s="8" t="inlineStr">
        <is>
          <t>周期触发</t>
        </is>
      </c>
      <c r="N884" s="8" t="inlineStr">
        <is>
          <t>periodicPulse</t>
        </is>
      </c>
      <c r="O884" s="9" t="inlineStr">
        <is>
          <t>对敌方造成10点伤害，如果此次伤害造成暴击，则再次对敌方造成10点伤害；对敌方造成12点伤害，如果此次伤害造成暴击，则再次对敌方造成12点伤害；对敌方造成14点伤害，如果此次伤害造成暴击，则再次对敌方造成14点伤害；对敌方造成16点伤害，如果此次伤害造成暴击，则再次对敌方造成16点伤害</t>
        </is>
      </c>
      <c r="P884" s="9" t="inlineStr"/>
      <c r="Q884" s="9" t="inlineStr"/>
      <c r="R884" s="9" t="inlineStr">
        <is>
          <t>{"kind":"periodicPulse","periodicPulse":{"intervalSec":10,"damageHealth":{"target":"enemy","amount":10,"repeatOnCritical":true},"label":"&lt;battle&gt;对敌方造成10点伤害，如果此次伤害造成暴击，则再次对敌方造成10点伤害&lt;/battle&gt;"},"label":"&lt;battle&gt;对敌方造成10点伤害，如果此次伤害造成暴击，则再次对敌方造成10点伤害&lt;/battle&gt;","starOverrides":{"1":{"label":"&lt;battle&gt;对敌方造成12点伤害，如果此次伤害造成暴击，则再次对敌方造成12点伤害&lt;/battle&gt;","periodicPulse":{"intervalSec":10,"damageHealth":{"target":"enemy","amount":12,"repeatOnCritical":true},"label":"&lt;battle&gt;对敌方造成12点伤害，如果此次伤害造成暴击，则再次对敌方造成12点伤害&lt;/battle&gt;"}},"2":{"label":"&lt;battle&gt;对敌方造成14点伤害，如果此次伤害造成暴击，则再次对敌方造成14点伤害&lt;/battle&gt;","periodicPulse":{"intervalSec":10,"damageHealth":{"target":"enemy","amount":14,"repeatOnCritical":true},"label":"&lt;battle&gt;对敌方造成14点伤害，如果此次伤害造成暴击，则再次对敌方造成14点伤害&lt;/battle&gt;"}},"3":{"label":"&lt;battle&gt;对敌方造成16点伤害，如果此次伤害造成暴击，则再次对敌方造成16点伤害&lt;/battle&gt;","periodicPulse":{"intervalSec":10,"damageHealth":{"target":"enemy","amount":16,"repeatOnCritical":true},"label":"&lt;battle&gt;对敌方造成16点伤害，如果此次伤害造成暴击，则再次对敌方造成16点伤害&lt;/battle&gt;"}}}}</t>
        </is>
      </c>
    </row>
    <row r="885" ht="32" customHeight="1">
      <c r="A885" s="8" t="n">
        <v>411200</v>
      </c>
      <c r="B885" s="8" t="inlineStr">
        <is>
          <t>霜纹护心裘</t>
        </is>
      </c>
      <c r="C885" s="8" t="inlineStr">
        <is>
          <t>法器</t>
        </is>
      </c>
      <c r="D885" s="8" t="inlineStr">
        <is>
          <t>common</t>
        </is>
      </c>
      <c r="E885" s="8" t="inlineStr">
        <is>
          <t>ice</t>
        </is>
      </c>
      <c r="F885" s="8" t="n">
        <v>1</v>
      </c>
      <c r="G885" s="8" t="inlineStr">
        <is>
          <t>基础/顶层</t>
        </is>
      </c>
      <c r="H885" s="8" t="inlineStr"/>
      <c r="I885" s="9" t="inlineStr"/>
      <c r="J885" s="8" t="inlineStr"/>
      <c r="K885" s="8" t="inlineStr"/>
      <c r="L885" s="8" t="inlineStr"/>
      <c r="M885" s="8" t="inlineStr">
        <is>
          <t>周期触发</t>
        </is>
      </c>
      <c r="N885" s="8" t="inlineStr">
        <is>
          <t>periodicPulse</t>
        </is>
      </c>
      <c r="O885" s="9" t="inlineStr">
        <is>
          <t>获得 3 层寒冷；获得 4 层寒冷；获得 5 层寒冷；获得 6 层寒冷</t>
        </is>
      </c>
      <c r="P885" s="9" t="inlineStr"/>
      <c r="Q885" s="9" t="inlineStr"/>
      <c r="R885" s="9" t="inlineStr">
        <is>
          <t>{"kind":"periodicPulse","periodicPulse":{"startOnly":true,"buffGains":[{"buffId":"cold","count":3}],"label":"获得 3 层寒冷"},"label":"获得 3 层寒冷","starOverrides":{"1":{"label":"获得 4 层寒冷","periodicPulse":{"startOnly":true,"buffGains":[{"buffId":"cold","count":4}],"label":"获得 4 层寒冷"}},"2":{"label":"获得 5 层寒冷","periodicPulse":{"startOnly":true,"buffGains":[{"buffId":"cold","count":5}],"label":"获得 5 层寒冷"}},"3":{"label":"获得 6 层寒冷","periodicPulse":{"startOnly":true,"buffGains":[{"buffId":"cold","count":6}],"label":"获得 6 层寒冷"}}}}</t>
        </is>
      </c>
    </row>
    <row r="886" ht="32" customHeight="1">
      <c r="A886" s="8" t="n">
        <v>411200</v>
      </c>
      <c r="B886" s="8" t="inlineStr">
        <is>
          <t>霜纹护心裘</t>
        </is>
      </c>
      <c r="C886" s="8" t="inlineStr">
        <is>
          <t>法器</t>
        </is>
      </c>
      <c r="D886" s="8" t="inlineStr">
        <is>
          <t>common</t>
        </is>
      </c>
      <c r="E886" s="8" t="inlineStr">
        <is>
          <t>ice</t>
        </is>
      </c>
      <c r="F886" s="8" t="n">
        <v>2</v>
      </c>
      <c r="G886" s="8" t="inlineStr">
        <is>
          <t>基础/顶层</t>
        </is>
      </c>
      <c r="H886" s="8" t="inlineStr"/>
      <c r="I886" s="9" t="inlineStr"/>
      <c r="J886" s="8" t="inlineStr"/>
      <c r="K886" s="8" t="inlineStr"/>
      <c r="L886" s="8" t="inlineStr"/>
      <c r="M886" s="8" t="inlineStr">
        <is>
          <t>说明/执行器</t>
        </is>
      </c>
      <c r="N886" s="8" t="inlineStr">
        <is>
          <t>effectNote</t>
        </is>
      </c>
      <c r="O886" s="9" t="inlineStr">
        <is>
          <t>每次受到伤害时，消耗2层寒冷，获得5层护甲</t>
        </is>
      </c>
      <c r="P886" s="9" t="inlineStr">
        <is>
          <t>onIncomingHealthDamage</t>
        </is>
      </c>
      <c r="Q886" s="9" t="inlineStr">
        <is>
          <t>consumeBuffStacks；applyBuff</t>
        </is>
      </c>
      <c r="R886" s="9" t="inlineStr">
        <is>
          <t>{"kind":"effectNote","label":"&lt;battle&gt;每次受到伤害时，消耗2层寒冷，获得5层护甲&lt;/battle&gt;","activationRequirements":{"buffStackThresholds":[{"buffId":"cold","comparator":"atLeast","count":2}]},"executors":[{"trigger":"onIncomingHealthDamage","type":"consumeBuffStacks","sourceBuffId":"cold","requiredStacks":2,"maxStacks":2,"support":"battleOnly","label":"&lt;battle&gt;每次受到伤害时，消耗2层寒冷，获得5层护甲&lt;/battle&gt;"},{"trigger":"onIncomingHealthDamage","type":"applyBuff","buffId":"armor","count":5,"label":"&lt;battle&gt;每次受到伤害时，消耗2层寒冷，获得5层护甲&lt;/battle&gt;","support":"battleOnly"}]}</t>
        </is>
      </c>
    </row>
    <row r="887" ht="32" customHeight="1">
      <c r="A887" s="8" t="n">
        <v>411201</v>
      </c>
      <c r="B887" s="8" t="inlineStr">
        <is>
          <t>竹骨定息架</t>
        </is>
      </c>
      <c r="C887" s="8" t="inlineStr">
        <is>
          <t>法器</t>
        </is>
      </c>
      <c r="D887" s="8" t="inlineStr">
        <is>
          <t>common</t>
        </is>
      </c>
      <c r="E887" s="8" t="inlineStr">
        <is>
          <t>wood</t>
        </is>
      </c>
      <c r="F887" s="8" t="n">
        <v>1</v>
      </c>
      <c r="G887" s="8" t="inlineStr">
        <is>
          <t>基础/顶层</t>
        </is>
      </c>
      <c r="H887" s="8" t="inlineStr"/>
      <c r="I887" s="9" t="inlineStr"/>
      <c r="J887" s="8" t="inlineStr"/>
      <c r="K887" s="8" t="inlineStr"/>
      <c r="L887" s="8" t="inlineStr"/>
      <c r="M887" s="8" t="inlineStr">
        <is>
          <t>条件触发</t>
        </is>
      </c>
      <c r="N887" s="8" t="inlineStr">
        <is>
          <t>triggered</t>
        </is>
      </c>
      <c r="O887" s="9" t="inlineStr">
        <is>
          <t>左右相邻木属性道具使我方获得再生时，获得 2 层坚硬；左右相邻木属性道具使我方获得再生时，获得 3 层坚硬；左右相邻木属性道具使我方获得再生时，获得 4 层坚硬；左右相邻木属性道具使我方获得再生时，获得 5 层坚硬</t>
        </is>
      </c>
      <c r="P887" s="9" t="inlineStr">
        <is>
          <t>onBuffGain</t>
        </is>
      </c>
      <c r="Q887" s="9" t="inlineStr">
        <is>
          <t>applyBuff；directional-adjacent</t>
        </is>
      </c>
      <c r="R887" s="9" t="inlineStr">
        <is>
          <t>{"kind":"triggered","triggeredEffect":{"trigger":"onBuffGain","eventActor":"self","eventBuffId":"regeneration","type":"applyBuff","buffId":"sturdy","count":2,"targetActor":"self","eventSource":{"target":{"type":"directional-adjacent","direction":"both-horizontal"},"filter":{"categories":["implement"],"elements":["wood"]}},"support":"common"},"label":"左右相邻木属性道具使我方获得再生时，获得 2 层坚硬","starOverrides":{"1":{"label":"左右相邻木属性道具使我方获得再生时，获得 3 层坚硬","triggeredEffect":{"count":3}},"2":{"label":"左右相邻木属性道具使我方获得再生时，获得 4 层坚硬","triggeredEffect":{"count":4}},"3":{"label":"左右相邻木属性道具使我方获得再生时，获得 5 层坚硬","triggeredEffect":{"count":5}}}}</t>
        </is>
      </c>
    </row>
    <row r="888" ht="32" customHeight="1">
      <c r="A888" s="8" t="n">
        <v>411202</v>
      </c>
      <c r="B888" s="8" t="inlineStr">
        <is>
          <t>灰绒温脉囊</t>
        </is>
      </c>
      <c r="C888" s="8" t="inlineStr">
        <is>
          <t>法器</t>
        </is>
      </c>
      <c r="D888" s="8" t="inlineStr">
        <is>
          <t>common</t>
        </is>
      </c>
      <c r="E888" s="8" t="inlineStr">
        <is>
          <t>fire</t>
        </is>
      </c>
      <c r="F888" s="8" t="n">
        <v>1</v>
      </c>
      <c r="G888" s="8" t="inlineStr">
        <is>
          <t>基础/顶层</t>
        </is>
      </c>
      <c r="H888" s="8" t="inlineStr"/>
      <c r="I888" s="9" t="inlineStr"/>
      <c r="J888" s="8" t="inlineStr"/>
      <c r="K888" s="8" t="inlineStr"/>
      <c r="L888" s="8" t="inlineStr"/>
      <c r="M888" s="8" t="inlineStr">
        <is>
          <t>被动效果</t>
        </is>
      </c>
      <c r="N888" s="8" t="inlineStr">
        <is>
          <t>passive</t>
        </is>
      </c>
      <c r="O888" s="9" t="inlineStr">
        <is>
          <t>相邻道具获得炎热时，炎热层数+1</t>
        </is>
      </c>
      <c r="P888" s="9" t="inlineStr"/>
      <c r="Q888" s="9" t="inlineStr">
        <is>
          <t>buffGainMirror；adjacent</t>
        </is>
      </c>
      <c r="R888" s="9" t="inlineStr">
        <is>
          <t>{"kind":"passive","passiveEffect":{"type":"buffGainMirror","sourceBuffId":"heat","targetBuffId":"heat","countPerGain":1,"sourceTarget":{"type":"adjacent"},"singletonByTemplate":true,"label":"&lt;singleton&gt;相邻道具获得炎热时，炎热层数+1&lt;/singleton&gt;"},"label":"&lt;singleton&gt;相邻道具获得炎热时，炎热层数+1&lt;/singleton&gt;"}</t>
        </is>
      </c>
    </row>
    <row r="889" ht="32" customHeight="1">
      <c r="A889" s="8" t="n">
        <v>411203</v>
      </c>
      <c r="B889" s="8" t="inlineStr">
        <is>
          <t>苔蹄镇岳甲</t>
        </is>
      </c>
      <c r="C889" s="8" t="inlineStr">
        <is>
          <t>法器</t>
        </is>
      </c>
      <c r="D889" s="8" t="inlineStr">
        <is>
          <t>common</t>
        </is>
      </c>
      <c r="E889" s="8" t="inlineStr">
        <is>
          <t>earth</t>
        </is>
      </c>
      <c r="F889" s="8" t="n">
        <v>1</v>
      </c>
      <c r="G889" s="8" t="inlineStr">
        <is>
          <t>基础/顶层</t>
        </is>
      </c>
      <c r="H889" s="8" t="inlineStr"/>
      <c r="I889" s="9" t="inlineStr"/>
      <c r="J889" s="8" t="inlineStr"/>
      <c r="K889" s="8" t="inlineStr"/>
      <c r="L889" s="8" t="inlineStr"/>
      <c r="M889" s="8" t="inlineStr">
        <is>
          <t>条件触发</t>
        </is>
      </c>
      <c r="N889" s="8" t="inlineStr">
        <is>
          <t>triggered</t>
        </is>
      </c>
      <c r="O889" s="9" t="inlineStr">
        <is>
          <t>受到伤害时，消耗10层露水，对敌方施加10层凝滞</t>
        </is>
      </c>
      <c r="P889" s="9" t="inlineStr">
        <is>
          <t>onIncomingHealthDamage</t>
        </is>
      </c>
      <c r="Q889" s="9" t="inlineStr">
        <is>
          <t>consumeBuffStacks</t>
        </is>
      </c>
      <c r="R889" s="9" t="inlineStr">
        <is>
          <t>{"kind":"triggered","triggeredEffect":{"trigger":"onIncomingHealthDamage","type":"consumeBuffStacks","sourceBuffId":"dew","requiredStacks":10,"maxStacks":10,"targetBuffGainPerStack":{"buffId":"stagnation","countPerStack":1},"support":"battleOnly"},"label":"&lt;battle&gt;受到伤害时，消耗10层露水，对敌方施加10层凝滞&lt;/battle&gt;"}</t>
        </is>
      </c>
    </row>
    <row r="890" ht="32" customHeight="1">
      <c r="A890" s="8" t="n">
        <v>411300</v>
      </c>
      <c r="B890" s="8" t="inlineStr">
        <is>
          <t>碎角镇脉印</t>
        </is>
      </c>
      <c r="C890" s="8" t="inlineStr">
        <is>
          <t>法器</t>
        </is>
      </c>
      <c r="D890" s="8" t="inlineStr">
        <is>
          <t>common</t>
        </is>
      </c>
      <c r="E890" s="8" t="inlineStr">
        <is>
          <t>earth</t>
        </is>
      </c>
      <c r="F890" s="8" t="n">
        <v>1</v>
      </c>
      <c r="G890" s="8" t="inlineStr">
        <is>
          <t>基础/顶层</t>
        </is>
      </c>
      <c r="H890" s="8" t="inlineStr"/>
      <c r="I890" s="9" t="inlineStr"/>
      <c r="J890" s="8" t="inlineStr"/>
      <c r="K890" s="8" t="inlineStr"/>
      <c r="L890" s="8" t="inlineStr"/>
      <c r="M890" s="8" t="inlineStr">
        <is>
          <t>周期触发</t>
        </is>
      </c>
      <c r="N890" s="8" t="inlineStr">
        <is>
          <t>periodicPulse</t>
        </is>
      </c>
      <c r="O890" s="9" t="inlineStr">
        <is>
          <t>开局：获得 8 层蓄势；开局：获得 10 层蓄势；开局：获得 12 层蓄势；开局：获得 14 层蓄势</t>
        </is>
      </c>
      <c r="P890" s="9" t="inlineStr"/>
      <c r="Q890" s="9" t="inlineStr"/>
      <c r="R890" s="9" t="inlineStr">
        <is>
          <t>{"kind":"periodicPulse","periodicPulse":{"buffGains":[{"buffId":"heavy","count":8}],"label":"&lt;battle&gt;开局：获得 8 层蓄势&lt;/battle&gt;","startOnly":true},"label":"&lt;battle&gt;开局：获得 8 层蓄势&lt;/battle&gt;","starOverrides":{"1":{"label":"&lt;battle&gt;开局：获得 10 层蓄势&lt;/battle&gt;","periodicPulse":{"buffGains":[{"buffId":"heavy","count":10}],"label":"&lt;battle&gt;开局：获得 10 层蓄势&lt;/battle&gt;","startOnly":true}},"2":{"label":"&lt;battle&gt;开局：获得 12 层蓄势&lt;/battle&gt;","periodicPulse":{"buffGains":[{"buffId":"heavy","count":12}],"label":"&lt;battle&gt;开局：获得 12 层蓄势&lt;/battle&gt;","startOnly":true}},"3":{"label":"&lt;battle&gt;开局：获得 14 层蓄势&lt;/battle&gt;","periodicPulse":{"buffGains":[{"buffId":"heavy","count":14}],"label":"&lt;battle&gt;开局：获得 14 层蓄势&lt;/battle&gt;","startOnly":true}}}}</t>
        </is>
      </c>
    </row>
    <row r="891" ht="32" customHeight="1">
      <c r="A891" s="8" t="n">
        <v>411301</v>
      </c>
      <c r="B891" s="8" t="inlineStr">
        <is>
          <t>松苔护心褥</t>
        </is>
      </c>
      <c r="C891" s="8" t="inlineStr">
        <is>
          <t>法器</t>
        </is>
      </c>
      <c r="D891" s="8" t="inlineStr">
        <is>
          <t>common</t>
        </is>
      </c>
      <c r="E891" s="8" t="inlineStr">
        <is>
          <t>wood</t>
        </is>
      </c>
      <c r="F891" s="8" t="n">
        <v>1</v>
      </c>
      <c r="G891" s="8" t="inlineStr">
        <is>
          <t>基础/顶层</t>
        </is>
      </c>
      <c r="H891" s="8" t="inlineStr"/>
      <c r="I891" s="9" t="inlineStr"/>
      <c r="J891" s="8" t="inlineStr"/>
      <c r="K891" s="8" t="inlineStr"/>
      <c r="L891" s="8" t="inlineStr"/>
      <c r="M891" s="8" t="inlineStr">
        <is>
          <t>周期触发</t>
        </is>
      </c>
      <c r="N891" s="8" t="inlineStr">
        <is>
          <t>periodicPulse</t>
        </is>
      </c>
      <c r="O891" s="9" t="inlineStr">
        <is>
          <t>气血低于 50% 时，获得 3 层再生；气血低于 50% 时，获得 6 层再生；气血低于 50% 时，获得 9 层再生；气血低于 50% 时，获得 12 层再生</t>
        </is>
      </c>
      <c r="P891" s="9" t="inlineStr"/>
      <c r="Q891" s="9" t="inlineStr"/>
      <c r="R891" s="9" t="inlineStr">
        <is>
          <t>{"kind":"periodicPulse","periodicPulse":{"intervalSec":8,"activationRequirements":{"primaryStatThreshold":{"stat":"health","comparator":"lessThan","ratio":0.5}},"buffGains":[{"buffId":"regeneration","count":3}],"label":"气血低于 50% 时，获得 3 层再生"},"label":"气血低于 50% 时，获得 3 层再生","starOverrides":{"1":{"label":"气血低于 50% 时，获得 6 层再生","periodicPulse":{"intervalSec":8,"activationRequirements":{"primaryStatThreshold":{"stat":"health","comparator":"lessThan","ratio":0.5}},"buffGains":[{"buffId":"regeneration","count":6}],"label":"气血低于 50% 时，获得 6 层再生"}},"2":{"label":"气血低于 50% 时，获得 9 层再生","periodicPulse":{"intervalSec":8,"activationRequirements":{"primaryStatThreshold":{"stat":"health","comparator":"lessThan","ratio":0.5}},"buffGains":[{"buffId":"regeneration","count":9}],"label":"气血低于 50% 时，获得 9 层再生"}},"3":{"label":"气血低于 50% 时，获得 12 层再生","periodicPulse":{"intervalSec":8,"activationRequirements":{"primaryStatThreshold":{"stat":"health","comparator":"lessThan","ratio":0.5}},"buffGains":[{"buffId":"regeneration","count":12}],"label":"气血低于 50% 时，获得 12 层再生"}}}}</t>
        </is>
      </c>
    </row>
    <row r="892" ht="32" customHeight="1">
      <c r="A892" s="8" t="n">
        <v>411302</v>
      </c>
      <c r="B892" s="8" t="inlineStr">
        <is>
          <t>双蹄踏岳靴</t>
        </is>
      </c>
      <c r="C892" s="8" t="inlineStr">
        <is>
          <t>法器</t>
        </is>
      </c>
      <c r="D892" s="8" t="inlineStr">
        <is>
          <t>common</t>
        </is>
      </c>
      <c r="E892" s="8" t="inlineStr">
        <is>
          <t>earth</t>
        </is>
      </c>
      <c r="F892" s="8" t="n">
        <v>1</v>
      </c>
      <c r="G892" s="8" t="inlineStr">
        <is>
          <t>基础/顶层</t>
        </is>
      </c>
      <c r="H892" s="8" t="inlineStr"/>
      <c r="I892" s="9" t="inlineStr"/>
      <c r="J892" s="8" t="inlineStr"/>
      <c r="K892" s="8" t="inlineStr"/>
      <c r="L892" s="8" t="inlineStr"/>
      <c r="M892" s="8" t="inlineStr">
        <is>
          <t>条件触发</t>
        </is>
      </c>
      <c r="N892" s="8" t="inlineStr">
        <is>
          <t>triggered</t>
        </is>
      </c>
      <c r="O892" s="9" t="inlineStr">
        <is>
          <t>位于储物袋底部时，累计消耗40点体力，对敌方施加40层凝滞</t>
        </is>
      </c>
      <c r="P892" s="9" t="inlineStr">
        <is>
          <t>onPrimaryStatConsumed</t>
        </is>
      </c>
      <c r="Q892" s="9" t="inlineStr">
        <is>
          <t>applyBuff</t>
        </is>
      </c>
      <c r="R892" s="9" t="inlineStr">
        <is>
          <t>{"kind":"triggered","triggeredEffect":{"trigger":"onPrimaryStatConsumed","type":"applyBuff","buffId":"stagnation","count":40,"targetActor":"enemy","polarity":"detrimental","charge":{"threshold":40,"source":{"trigger":"onPrimaryStatConsumed","primaryStats":["stamina"]}},"activationRequirements":{"sourceEdges":["bottom"]},"support":"battleOnly"},"label":"位于储物袋底部时，累计消耗40点体力，&lt;battle&gt;对敌方施加40层凝滞&lt;/battle&gt;"}</t>
        </is>
      </c>
    </row>
    <row r="893" ht="32" customHeight="1">
      <c r="A893" s="8" t="n">
        <v>411303</v>
      </c>
      <c r="B893" s="8" t="inlineStr">
        <is>
          <t>灰筋回力轮</t>
        </is>
      </c>
      <c r="C893" s="8" t="inlineStr">
        <is>
          <t>法器</t>
        </is>
      </c>
      <c r="D893" s="8" t="inlineStr">
        <is>
          <t>common</t>
        </is>
      </c>
      <c r="E893" s="8" t="inlineStr">
        <is>
          <t>wood</t>
        </is>
      </c>
      <c r="F893" s="8" t="n">
        <v>1</v>
      </c>
      <c r="G893" s="8" t="inlineStr">
        <is>
          <t>基础/顶层</t>
        </is>
      </c>
      <c r="H893" s="8" t="inlineStr"/>
      <c r="I893" s="9" t="inlineStr"/>
      <c r="J893" s="8" t="inlineStr"/>
      <c r="K893" s="8" t="inlineStr"/>
      <c r="L893" s="8" t="inlineStr"/>
      <c r="M893" s="8" t="inlineStr">
        <is>
          <t>条件触发</t>
        </is>
      </c>
      <c r="N893" s="8" t="inlineStr">
        <is>
          <t>triggered</t>
        </is>
      </c>
      <c r="O893" s="9" t="inlineStr">
        <is>
          <t>每消耗 30 点体力，获得 8 层再生；每消耗 30 点体力，获得 12 层再生；每消耗 30 点体力，获得 16 层再生；每消耗 30 点体力，获得 20 层再生</t>
        </is>
      </c>
      <c r="P893" s="9" t="inlineStr">
        <is>
          <t>onPrimaryStatConsumed</t>
        </is>
      </c>
      <c r="Q893" s="9" t="inlineStr">
        <is>
          <t>applyBuff</t>
        </is>
      </c>
      <c r="R893" s="9" t="inlineStr">
        <is>
          <t>{"kind":"triggered","triggeredEffect":{"trigger":"onPrimaryStatConsumed","type":"applyBuff","buffId":"regeneration","countPerEventPrimaryStatConsumed":{"stat":"stamina","costPerStack":30,"countPerStack":8},"eventActor":"self","support":"common"},"label":"每消耗 30 点体力，获得 8 层再生","starOverrides":{"1":{"label":"每消耗 30 点体力，获得 12 层再生","triggeredEffect":{"trigger":"onPrimaryStatConsumed","type":"applyBuff","buffId":"regeneration","countPerEventPrimaryStatConsumed":{"stat":"stamina","costPerStack":30,"countPerStack":12},"eventActor":"self","support":"common"}},"2":{"label":"每消耗 30 点体力，获得 16 层再生","triggeredEffect":{"trigger":"onPrimaryStatConsumed","type":"applyBuff","buffId":"regeneration","countPerEventPrimaryStatConsumed":{"stat":"stamina","costPerStack":30,"countPerStack":16},"eventActor":"self","support":"common"}},"3":{"label":"每消耗 30 点体力，获得 20 层再生","triggeredEffect":{"trigger":"onPrimaryStatConsumed","type":"applyBuff","buffId":"regeneration","countPerEventPrimaryStatConsumed":{"stat":"stamina","costPerStack":30,"countPerStack":20},"eventActor":"self","support":"common"}}}}</t>
        </is>
      </c>
    </row>
    <row r="894" ht="32" customHeight="1">
      <c r="A894" s="8" t="n">
        <v>411350</v>
      </c>
      <c r="B894" s="8" t="inlineStr">
        <is>
          <t>牵脉连环盘</t>
        </is>
      </c>
      <c r="C894" s="8" t="inlineStr">
        <is>
          <t>法器</t>
        </is>
      </c>
      <c r="D894" s="8" t="inlineStr">
        <is>
          <t>common</t>
        </is>
      </c>
      <c r="E894" s="8" t="inlineStr">
        <is>
          <t>wood</t>
        </is>
      </c>
      <c r="F894" s="8" t="n">
        <v>1</v>
      </c>
      <c r="G894" s="8" t="inlineStr">
        <is>
          <t>基础/顶层</t>
        </is>
      </c>
      <c r="H894" s="8" t="inlineStr"/>
      <c r="I894" s="9" t="inlineStr"/>
      <c r="J894" s="8" t="inlineStr"/>
      <c r="K894" s="8" t="inlineStr"/>
      <c r="L894" s="8" t="inlineStr"/>
      <c r="M894" s="8" t="inlineStr">
        <is>
          <t>周期触发</t>
        </is>
      </c>
      <c r="N894" s="8" t="inlineStr">
        <is>
          <t>periodicPulse</t>
        </is>
      </c>
      <c r="O894" s="9" t="inlineStr">
        <is>
          <t>相邻8件木属性法器时，获得 3 层再生；相邻8件木属性法器时，获得 6 层再生；相邻8件木属性法器时，获得 9 层再生；相邻8件木属性法器时，获得 12 层再生</t>
        </is>
      </c>
      <c r="P894" s="9" t="inlineStr"/>
      <c r="Q894" s="9" t="inlineStr"/>
      <c r="R894" s="9" t="inlineStr">
        <is>
          <t>{"kind":"periodicPulse","periodicPulse":{"intervalSec":6,"activationRequirements":{"neighborCounts":[{"minCount":8,"categories":["implement"],"elements":["wood"]}]},"buffGains":[{"buffId":"regeneration","count":3}],"label":"&lt;battle&gt;相邻8件木属性法器时，获得 3 层再生&lt;/battle&gt;"},"label":"&lt;battle&gt;相邻8件木属性法器时，获得 3 层再生&lt;/battle&gt;","starOverrides":{"1":{"label":"&lt;battle&gt;相邻8件木属性法器时，获得 6 层再生&lt;/battle&gt;","periodicPulse":{"intervalSec":6,"activationRequirements":{"neighborCounts":[{"minCount":8,"categories":["implement"],"elements":["wood"]}]},"buffGains":[{"buffId":"regeneration","count":6}],"label":"&lt;battle&gt;相邻8件木属性法器时，获得 6 层再生&lt;/battle&gt;"}},"2":{"label":"&lt;battle&gt;相邻8件木属性法器时，获得 9 层再生&lt;/battle&gt;","periodicPulse":{"intervalSec":6,"activationRequirements":{"neighborCounts":[{"minCount":8,"categories":["implement"],"elements":["wood"]}]},"buffGains":[{"buffId":"regeneration","count":9}],"label":"&lt;battle&gt;相邻8件木属性法器时，获得 9 层再生&lt;/battle&gt;"}},"3":{"label":"&lt;battle&gt;相邻8件木属性法器时，获得 12 层再生&lt;/battle&gt;","periodicPulse":{"intervalSec":6,"activationRequirements":{"neighborCounts":[{"minCount":8,"categories":["implement"],"elements":["wood"]}]},"buffGains":[{"buffId":"regeneration","count":12}],"label":"&lt;battle&gt;相邻8件木属性法器时，获得 12 层再生&lt;/battle&gt;"}}}}</t>
        </is>
      </c>
    </row>
    <row r="895" ht="32" customHeight="1">
      <c r="A895" s="8" t="n">
        <v>411400</v>
      </c>
      <c r="B895" s="8" t="inlineStr">
        <is>
          <t>喙锋镇脉甲</t>
        </is>
      </c>
      <c r="C895" s="8" t="inlineStr">
        <is>
          <t>法器</t>
        </is>
      </c>
      <c r="D895" s="8" t="inlineStr">
        <is>
          <t>common</t>
        </is>
      </c>
      <c r="E895" s="8" t="inlineStr">
        <is>
          <t>ice</t>
        </is>
      </c>
      <c r="F895" s="8" t="n">
        <v>1</v>
      </c>
      <c r="G895" s="8" t="inlineStr">
        <is>
          <t>基础/顶层</t>
        </is>
      </c>
      <c r="H895" s="8" t="inlineStr"/>
      <c r="I895" s="9" t="inlineStr"/>
      <c r="J895" s="8" t="inlineStr"/>
      <c r="K895" s="8" t="inlineStr"/>
      <c r="L895" s="8" t="inlineStr"/>
      <c r="M895" s="8" t="inlineStr">
        <is>
          <t>条件触发</t>
        </is>
      </c>
      <c r="N895" s="8" t="inlineStr">
        <is>
          <t>triggered</t>
        </is>
      </c>
      <c r="O895" s="9" t="inlineStr">
        <is>
          <t>最大道具轮转时，对敌方施加 1 层冰霜；最大道具轮转时，对敌方施加 2 层冰霜；最大道具轮转时，对敌方施加 3 层冰霜；最大道具轮转时，对敌方施加 4 层冰霜</t>
        </is>
      </c>
      <c r="P895" s="9" t="inlineStr">
        <is>
          <t>onPeriodicPulse</t>
        </is>
      </c>
      <c r="Q895" s="9" t="inlineStr">
        <is>
          <t>applyBuff；largest</t>
        </is>
      </c>
      <c r="R895" s="9" t="inlineStr">
        <is>
          <t>{"kind":"triggered","triggeredEffect":{"trigger":"onPeriodicPulse","type":"applyBuff","buffId":"frost","count":1,"targetActor":"enemy","polarity":"detrimental","eventSource":{"target":{"type":"largest"}},"support":"battleOnly"},"label":"&lt;battle&gt;最大道具轮转时，对敌方施加 1 层冰霜&lt;/battle&gt;","starOverrides":{"1":{"label":"&lt;battle&gt;最大道具轮转时，对敌方施加 2 层冰霜&lt;/battle&gt;","triggeredEffect":{"trigger":"onPeriodicPulse","type":"applyBuff","buffId":"frost","count":2,"targetActor":"enemy","polarity":"detrimental","eventSource":{"target":{"type":"largest"}},"support":"battleOnly"}},"2":{"label":"&lt;battle&gt;最大道具轮转时，对敌方施加 3 层冰霜&lt;/battle&gt;","triggeredEffect":{"trigger":"onPeriodicPulse","type":"applyBuff","buffId":"frost","count":3,"targetActor":"enemy","polarity":"detrimental","eventSource":{"target":{"type":"largest"}},"support":"battleOnly"}},"3":{"label":"&lt;battle&gt;最大道具轮转时，对敌方施加 4 层冰霜&lt;/battle&gt;","triggeredEffect":{"trigger":"onPeriodicPulse","type":"applyBuff","buffId":"frost","count":4,"targetActor":"enemy","polarity":"detrimental","eventSource":{"target":{"type":"largest"}},"support":"battleOnly"}}}}</t>
        </is>
      </c>
    </row>
    <row r="896" ht="32" customHeight="1">
      <c r="A896" s="8" t="n">
        <v>411401</v>
      </c>
      <c r="B896" s="8" t="inlineStr">
        <is>
          <t>青翎定风扇</t>
        </is>
      </c>
      <c r="C896" s="8" t="inlineStr">
        <is>
          <t>法器</t>
        </is>
      </c>
      <c r="D896" s="8" t="inlineStr">
        <is>
          <t>common</t>
        </is>
      </c>
      <c r="E896" s="8" t="inlineStr">
        <is>
          <t>wind</t>
        </is>
      </c>
      <c r="F896" s="8" t="n">
        <v>1</v>
      </c>
      <c r="G896" s="8" t="inlineStr">
        <is>
          <t>基础/顶层</t>
        </is>
      </c>
      <c r="H896" s="8" t="inlineStr"/>
      <c r="I896" s="9" t="inlineStr"/>
      <c r="J896" s="8" t="inlineStr"/>
      <c r="K896" s="8" t="inlineStr"/>
      <c r="L896" s="8" t="inlineStr"/>
      <c r="M896" s="8" t="inlineStr">
        <is>
          <t>条件触发</t>
        </is>
      </c>
      <c r="N896" s="8" t="inlineStr">
        <is>
          <t>triggered</t>
        </is>
      </c>
      <c r="O896" s="9" t="inlineStr">
        <is>
          <t>成功闪避时，对敌方施加 1 层风压；成功闪避时，对敌方施加 2 层风压；成功闪避时，对敌方施加 3 层风压；成功闪避时，对敌方施加 4 层风压</t>
        </is>
      </c>
      <c r="P896" s="9" t="inlineStr">
        <is>
          <t>onDodgeSucceeded</t>
        </is>
      </c>
      <c r="Q896" s="9" t="inlineStr">
        <is>
          <t>applyBuff</t>
        </is>
      </c>
      <c r="R896" s="9" t="inlineStr">
        <is>
          <t>{"kind":"triggered","triggeredEffect":{"trigger":"onDodgeSucceeded","type":"applyBuff","buffId":"windPressure","count":1,"targetActor":"enemy","polarity":"detrimental","support":"battleOnly"},"label":"&lt;battle&gt;成功闪避时，对敌方施加 1 层风压&lt;/battle&gt;","starOverrides":{"1":{"label":"&lt;battle&gt;成功闪避时，对敌方施加 2 层风压&lt;/battle&gt;","triggeredEffect":{"count":2}},"2":{"label":"&lt;battle&gt;成功闪避时，对敌方施加 3 层风压&lt;/battle&gt;","triggeredEffect":{"count":3}},"3":{"label":"&lt;battle&gt;成功闪避时，对敌方施加 4 层风压&lt;/battle&gt;","triggeredEffect":{"count":4}}}}</t>
        </is>
      </c>
    </row>
    <row r="897" ht="32" customHeight="1">
      <c r="A897" s="8" t="n">
        <v>411402</v>
      </c>
      <c r="B897" s="8" t="inlineStr">
        <is>
          <t>松骨承灵架</t>
        </is>
      </c>
      <c r="C897" s="8" t="inlineStr">
        <is>
          <t>法器</t>
        </is>
      </c>
      <c r="D897" s="8" t="inlineStr">
        <is>
          <t>common</t>
        </is>
      </c>
      <c r="E897" s="8" t="inlineStr">
        <is>
          <t>wood</t>
        </is>
      </c>
      <c r="F897" s="8" t="n">
        <v>1</v>
      </c>
      <c r="G897" s="8" t="inlineStr">
        <is>
          <t>基础/顶层</t>
        </is>
      </c>
      <c r="H897" s="8" t="inlineStr"/>
      <c r="I897" s="9" t="inlineStr"/>
      <c r="J897" s="8" t="inlineStr"/>
      <c r="K897" s="8" t="inlineStr"/>
      <c r="L897" s="8" t="inlineStr"/>
      <c r="M897" s="8" t="inlineStr">
        <is>
          <t>周期触发</t>
        </is>
      </c>
      <c r="N897" s="8" t="inlineStr">
        <is>
          <t>periodicPulse</t>
        </is>
      </c>
      <c r="O897" s="9" t="inlineStr">
        <is>
          <t>每有1件尸骸道具，恢复 4 点体力和法力；每有1件尸骸道具，恢复 5 点体力和法力；每有1件尸骸道具，恢复 6 点体力和法力；每有1件尸骸道具，恢复 7 点体力和法力</t>
        </is>
      </c>
      <c r="P897" s="9" t="inlineStr">
        <is>
          <t>onPeriodicPulse</t>
        </is>
      </c>
      <c r="Q897" s="9" t="inlineStr">
        <is>
          <t>modifyPlayerPrimaryStat</t>
        </is>
      </c>
      <c r="R897" s="9" t="inlineStr">
        <is>
          <t>{"kind":"periodicPulse","periodicPulse":{"startOnly":true,"label":"&lt;battle&gt;每有1件尸骸道具，恢复 4 点体力和法力&lt;/battle&gt;"},"executors":[{"trigger":"onPeriodicPulse","type":"modifyPlayerPrimaryStat","stat":"stamina","delta":4,"scaling":{"mode":"count","source":"bagItems","features":["corpse"]},"support":"battleOnly","label":"&lt;battle&gt;每有1件尸骸道具，恢复 4 点体力和法力&lt;/battle&gt;"},{"trigger":"onPeriodicPulse","type":"modifyPlayerPrimaryStat","stat":"mana","delta":4,"scaling":{"mode":"count","source":"bagItems","features":["corpse"]},"support":"battleOnly","label":"&lt;battle&gt;每有1件尸骸道具，恢复 4 点体力和法力&lt;/battle&gt;"}],"label":"&lt;battle&gt;每有1件尸骸道具，恢复 4 点体力和法力&lt;/battle&gt;","starOverrides":{"1":{"label":"&lt;battle&gt;每有1件尸骸道具，恢复 5 点体力和法力&lt;/battle&gt;","executors":[{"trigger":"onPeriodicPulse","type":"modifyPlayerPrimaryStat","stat":"stamina","delta":5,"scaling":{"mode":"count","source":"bagItems","features":["corpse"]},"support":"battleOnly","label":"&lt;battle&gt;每有1件尸骸道具，恢复 5 点体力和法力&lt;/battle&gt;"},{"trigger":"onPeriodicPulse","type":"modifyPlayerPrimaryStat","stat":"mana","delta":5,"scaling":{"mode":"count","source":"bagItems","features":["corpse"]},"support":"battleOnly","label":"&lt;battle&gt;每有1件尸骸道具，恢复 5 点体力和法力&lt;/battle&gt;"}]},"2":{"label":"&lt;battle&gt;每有1件尸骸道具，恢复 6 点体力和法力&lt;/battle&gt;","executors":[{"trigger":"onPeriodicPulse","type":"modifyPlayerPrimaryStat","stat":"stamina","delta":6,"scaling":{"mode":"count","source":"bagItems","features":["corpse"]},"support":"battleOnly","label":"&lt;battle&gt;每有1件尸骸道具，恢复 6 点体力和法力&lt;/battle&gt;"},{"trigger":"onPeriodicPulse","type":"modifyPlayerPrimaryStat","stat":"mana","delta":6,"scaling":{"mode":"count","source":"bagItems","features":["corpse"]},"support":"battleOnly","label":"&lt;battle&gt;每有1件尸骸道具，恢复 6 点体力和法力&lt;/battle&gt;"}]},"3":{"label":"&lt;battle&gt;每有1件尸骸道具，恢复 7 点体力和法力&lt;/battle&gt;","executors":[{"trigger":"onPeriodicPulse","type":"modifyPlayerPrimaryStat","stat":"stamina","delta":7,"scaling":{"mode":"count","source":"bagItems","features":["corpse"]},"support":"battleOnly","label":"&lt;battle&gt;每有1件尸骸道具，恢复 7 点体力和法力&lt;/battle&gt;"},{"trigger":"onPeriodicPulse","type":"modifyPlayerPrimaryStat","stat":"mana","delta":7,"scaling":{"mode":"count","source":"bagItems","features":["corpse"]},"support":"battleOnly","label":"&lt;battle&gt;每有1件尸骸道具，恢复 7 点体力和法力&lt;/battle&gt;"}]}}}</t>
        </is>
      </c>
    </row>
    <row r="898" ht="32" customHeight="1">
      <c r="A898" s="8" t="n">
        <v>411403</v>
      </c>
      <c r="B898" s="8" t="inlineStr">
        <is>
          <t>鸦爪锁灵扣</t>
        </is>
      </c>
      <c r="C898" s="8" t="inlineStr">
        <is>
          <t>法器</t>
        </is>
      </c>
      <c r="D898" s="8" t="inlineStr">
        <is>
          <t>common</t>
        </is>
      </c>
      <c r="E898" s="8" t="inlineStr">
        <is>
          <t>thunder</t>
        </is>
      </c>
      <c r="F898" s="8" t="n">
        <v>1</v>
      </c>
      <c r="G898" s="8" t="inlineStr">
        <is>
          <t>基础/顶层</t>
        </is>
      </c>
      <c r="H898" s="8" t="inlineStr"/>
      <c r="I898" s="9" t="inlineStr"/>
      <c r="J898" s="8" t="inlineStr"/>
      <c r="K898" s="8" t="inlineStr"/>
      <c r="L898" s="8" t="inlineStr"/>
      <c r="M898" s="8" t="inlineStr">
        <is>
          <t>条件触发</t>
        </is>
      </c>
      <c r="N898" s="8" t="inlineStr">
        <is>
          <t>triggered</t>
        </is>
      </c>
      <c r="O898" s="9" t="inlineStr">
        <is>
          <t>累计获得15层引雷后，3秒内，可使用引雷层数代替等量体力消耗；累计获得15层引雷后，4秒内，可使用引雷层数代替等量体力消耗；累计获得15层引雷后，5秒内，可使用引雷层数代替等量体力消耗；累计获得15层引雷后，6秒内，可使用引雷层数代替等量体力消耗</t>
        </is>
      </c>
      <c r="P898" s="9" t="inlineStr">
        <is>
          <t>onBuffGain</t>
        </is>
      </c>
      <c r="Q898" s="9" t="inlineStr">
        <is>
          <t>applyBuff</t>
        </is>
      </c>
      <c r="R898" s="9" t="inlineStr">
        <is>
          <t>{"kind":"triggered","triggeredEffect":{"trigger":"onBuffGain","type":"applyBuff","buffId":"lightningSubstitution","count":1,"durationMs":3000,"eventActor":"self","eventBuffId":"lightningCharge","charge":{"threshold":15},"support":"common"},"label":"累计获得15层引雷后，3秒内，可使用引雷层数代替等量体力消耗","starOverrides":{"1":{"label":"累计获得15层引雷后，4秒内，可使用引雷层数代替等量体力消耗","triggeredEffect":{"durationMs":4000}},"2":{"label":"累计获得15层引雷后，5秒内，可使用引雷层数代替等量体力消耗","triggeredEffect":{"durationMs":5000}},"3":{"label":"累计获得15层引雷后，6秒内，可使用引雷层数代替等量体力消耗","triggeredEffect":{"durationMs":6000}}}}</t>
        </is>
      </c>
    </row>
    <row r="899" ht="32" customHeight="1">
      <c r="A899" s="8" t="n">
        <v>411453</v>
      </c>
      <c r="B899" s="8" t="inlineStr">
        <is>
          <t>铁爪裂甲钩</t>
        </is>
      </c>
      <c r="C899" s="8" t="inlineStr">
        <is>
          <t>法器</t>
        </is>
      </c>
      <c r="D899" s="8" t="inlineStr">
        <is>
          <t>common</t>
        </is>
      </c>
      <c r="E899" s="8" t="inlineStr">
        <is>
          <t>metal</t>
        </is>
      </c>
      <c r="F899" s="8" t="n">
        <v>1</v>
      </c>
      <c r="G899" s="8" t="inlineStr">
        <is>
          <t>基础/顶层</t>
        </is>
      </c>
      <c r="H899" s="8" t="inlineStr"/>
      <c r="I899" s="9" t="inlineStr"/>
      <c r="J899" s="8" t="inlineStr"/>
      <c r="K899" s="8" t="inlineStr"/>
      <c r="L899" s="8" t="inlineStr"/>
      <c r="M899" s="8" t="inlineStr">
        <is>
          <t>条件触发</t>
        </is>
      </c>
      <c r="N899" s="8" t="inlineStr">
        <is>
          <t>triggered</t>
        </is>
      </c>
      <c r="O899" s="9" t="inlineStr">
        <is>
          <t>累计获得15层引雷后，对敌方施加4层裂甲；累计获得15层引雷后，对敌方施加5层裂甲；累计获得15层引雷后，对敌方施加6层裂甲；累计获得15层引雷后，对敌方施加7层裂甲</t>
        </is>
      </c>
      <c r="P899" s="9" t="inlineStr">
        <is>
          <t>onBuffGain</t>
        </is>
      </c>
      <c r="Q899" s="9" t="inlineStr">
        <is>
          <t>applyBuff</t>
        </is>
      </c>
      <c r="R899" s="9" t="inlineStr">
        <is>
          <t>{"kind":"triggered","triggeredEffect":{"trigger":"onBuffGain","type":"applyBuff","buffId":"crackArmor","count":4,"eventActor":"self","eventBuffId":"lightningCharge","charge":{"threshold":15},"targetActor":"enemy","polarity":"detrimental","support":"battleOnly"},"label":"累计获得15层引雷后，&lt;battle&gt;对敌方施加4层裂甲&lt;/battle&gt;","starOverrides":{"1":{"label":"累计获得15层引雷后，&lt;battle&gt;对敌方施加5层裂甲&lt;/battle&gt;","triggeredEffect":{"trigger":"onBuffGain","type":"applyBuff","buffId":"crackArmor","count":5,"eventActor":"self","eventBuffId":"lightningCharge","charge":{"threshold":15},"targetActor":"enemy","polarity":"detrimental","support":"battleOnly"}},"2":{"label":"累计获得15层引雷后，&lt;battle&gt;对敌方施加6层裂甲&lt;/battle&gt;","triggeredEffect":{"trigger":"onBuffGain","type":"applyBuff","buffId":"crackArmor","count":6,"eventActor":"self","eventBuffId":"lightningCharge","charge":{"threshold":15},"targetActor":"enemy","polarity":"detrimental","support":"battleOnly"}},"3":{"label":"累计获得15层引雷后，&lt;battle&gt;对敌方施加7层裂甲&lt;/battle&gt;","triggeredEffect":{"trigger":"onBuffGain","type":"applyBuff","buffId":"crackArmor","count":7,"eventActor":"self","eventBuffId":"lightningCharge","charge":{"threshold":15},"targetActor":"enemy","polarity":"detrimental","support":"battleOnly"}}}}</t>
        </is>
      </c>
    </row>
    <row r="900" ht="32" customHeight="1">
      <c r="A900" s="8" t="n">
        <v>411500</v>
      </c>
      <c r="B900" s="8" t="inlineStr">
        <is>
          <t>铁脊镇岳盾</t>
        </is>
      </c>
      <c r="C900" s="8" t="inlineStr">
        <is>
          <t>法器</t>
        </is>
      </c>
      <c r="D900" s="8" t="inlineStr">
        <is>
          <t>common</t>
        </is>
      </c>
      <c r="E900" s="8" t="inlineStr">
        <is>
          <t>ice</t>
        </is>
      </c>
      <c r="F900" s="8" t="n">
        <v>1</v>
      </c>
      <c r="G900" s="8" t="inlineStr">
        <is>
          <t>基础/顶层</t>
        </is>
      </c>
      <c r="H900" s="8" t="inlineStr"/>
      <c r="I900" s="9" t="inlineStr"/>
      <c r="J900" s="8" t="inlineStr"/>
      <c r="K900" s="8" t="inlineStr"/>
      <c r="L900" s="8" t="inlineStr"/>
      <c r="M900" s="8" t="inlineStr">
        <is>
          <t>条件触发</t>
        </is>
      </c>
      <c r="N900" s="8" t="inlineStr">
        <is>
          <t>triggered</t>
        </is>
      </c>
      <c r="O900" s="9" t="inlineStr">
        <is>
          <t>累积获得30层寒冷后，获得20层护甲；累积获得28层寒冷后，获得25层护甲；累积获得26层寒冷后，获得30层护甲；累积获得24层寒冷后，获得35层护甲</t>
        </is>
      </c>
      <c r="P900" s="9" t="inlineStr">
        <is>
          <t>onBuffGain</t>
        </is>
      </c>
      <c r="Q900" s="9" t="inlineStr">
        <is>
          <t>applyBuff</t>
        </is>
      </c>
      <c r="R900" s="9" t="inlineStr">
        <is>
          <t>{"kind":"triggered","triggeredEffect":{"trigger":"onBuffGain","type":"applyBuff","buffId":"armor","count":20,"eventActor":"self","eventBuffId":"cold","charge":{"threshold":30},"support":"common"},"label":"累积获得30层寒冷后，获得20层护甲","starOverrides":{"1":{"label":"累积获得28层寒冷后，获得25层护甲","triggeredEffect":{"trigger":"onBuffGain","type":"applyBuff","buffId":"armor","count":25,"eventActor":"self","eventBuffId":"cold","charge":{"threshold":28},"support":"common"}},"2":{"label":"累积获得26层寒冷后，获得30层护甲","triggeredEffect":{"trigger":"onBuffGain","type":"applyBuff","buffId":"armor","count":30,"eventActor":"self","eventBuffId":"cold","charge":{"threshold":26},"support":"common"}},"3":{"label":"累积获得24层寒冷后，获得35层护甲","triggeredEffect":{"trigger":"onBuffGain","type":"applyBuff","buffId":"armor","count":35,"eventActor":"self","eventBuffId":"cold","charge":{"threshold":24},"support":"common"}}}}</t>
        </is>
      </c>
    </row>
    <row r="901" ht="32" customHeight="1">
      <c r="A901" s="8" t="n">
        <v>411501</v>
      </c>
      <c r="B901" s="8" t="inlineStr">
        <is>
          <t>岩牙护脉钉</t>
        </is>
      </c>
      <c r="C901" s="8" t="inlineStr">
        <is>
          <t>法器</t>
        </is>
      </c>
      <c r="D901" s="8" t="inlineStr">
        <is>
          <t>common</t>
        </is>
      </c>
      <c r="E901" s="8" t="inlineStr">
        <is>
          <t>poison</t>
        </is>
      </c>
      <c r="F901" s="8" t="n">
        <v>1</v>
      </c>
      <c r="G901" s="8" t="inlineStr">
        <is>
          <t>基础/顶层</t>
        </is>
      </c>
      <c r="H901" s="8" t="inlineStr"/>
      <c r="I901" s="9" t="inlineStr"/>
      <c r="J901" s="8" t="inlineStr"/>
      <c r="K901" s="8" t="inlineStr"/>
      <c r="L901" s="8" t="inlineStr"/>
      <c r="M901" s="8" t="inlineStr">
        <is>
          <t>条件触发</t>
        </is>
      </c>
      <c r="N901" s="8" t="inlineStr">
        <is>
          <t>triggered</t>
        </is>
      </c>
      <c r="O901" s="9" t="inlineStr">
        <is>
          <t>敌方气血首次低于 60% 时，对其施加 10 层中毒；敌方气血首次低于 65% 时，对其施加 15 层中毒；敌方气血首次低于 70% 时，对其施加 20 层中毒；敌方气血首次低于 75% 时，对其施加 25 层中毒</t>
        </is>
      </c>
      <c r="P901" s="9" t="inlineStr">
        <is>
          <t>onEnemyHealthRatioFirstBelow</t>
        </is>
      </c>
      <c r="Q901" s="9" t="inlineStr">
        <is>
          <t>applyBuff</t>
        </is>
      </c>
      <c r="R901" s="9" t="inlineStr">
        <is>
          <t>{"kind":"triggered","triggeredEffect":{"trigger":"onEnemyHealthRatioFirstBelow","type":"applyBuff","buffId":"poison","count":10,"targetActor":"enemy","polarity":"detrimental","enemyHealthRatioThreshold":0.6,"support":"battleOnly"},"label":"&lt;battle&gt;敌方气血首次低于 60% 时，对其施加 10 层中毒&lt;/battle&gt;","starOverrides":{"1":{"label":"&lt;battle&gt;敌方气血首次低于 65% 时，对其施加 15 层中毒&lt;/battle&gt;","triggeredEffect":{"count":15,"enemyHealthRatioThreshold":0.65}},"2":{"label":"&lt;battle&gt;敌方气血首次低于 70% 时，对其施加 20 层中毒&lt;/battle&gt;","triggeredEffect":{"count":20,"enemyHealthRatioThreshold":0.7}},"3":{"label":"&lt;battle&gt;敌方气血首次低于 75% 时，对其施加 25 层中毒&lt;/battle&gt;","triggeredEffect":{"count":25,"enemyHealthRatioThreshold":0.75}}}}</t>
        </is>
      </c>
    </row>
    <row r="902" ht="32" customHeight="1">
      <c r="A902" s="8" t="n">
        <v>411502</v>
      </c>
      <c r="B902" s="8" t="inlineStr">
        <is>
          <t>裂尾镇砂杵</t>
        </is>
      </c>
      <c r="C902" s="8" t="inlineStr">
        <is>
          <t>法器</t>
        </is>
      </c>
      <c r="D902" s="8" t="inlineStr">
        <is>
          <t>common</t>
        </is>
      </c>
      <c r="E902" s="8" t="inlineStr">
        <is>
          <t>fire</t>
        </is>
      </c>
      <c r="F902" s="8" t="n">
        <v>1</v>
      </c>
      <c r="G902" s="8" t="inlineStr">
        <is>
          <t>基础/顶层</t>
        </is>
      </c>
      <c r="H902" s="8" t="inlineStr"/>
      <c r="I902" s="9" t="inlineStr"/>
      <c r="J902" s="8" t="inlineStr"/>
      <c r="K902" s="8" t="inlineStr"/>
      <c r="L902" s="8" t="inlineStr"/>
      <c r="M902" s="8" t="inlineStr">
        <is>
          <t>说明/执行器</t>
        </is>
      </c>
      <c r="N902" s="8" t="inlineStr">
        <is>
          <t>effectNote</t>
        </is>
      </c>
      <c r="O902" s="9" t="inlineStr">
        <is>
          <t>累积获得30层炎热后，消耗自身最多10层凝滞、10层乱流及10层禁疗。；累积获得28层炎热后，消耗自身最多12层凝滞、12层乱流及12层禁疗。；累积获得26层炎热后，消耗自身最多14层凝滞、14层乱流及14层禁疗。；累积获得24层炎热后，消耗自身最多16层凝滞、16层乱流及16层禁疗。</t>
        </is>
      </c>
      <c r="P902" s="9" t="inlineStr">
        <is>
          <t>onBuffGain</t>
        </is>
      </c>
      <c r="Q902" s="9" t="inlineStr">
        <is>
          <t>consumeBuffStacks</t>
        </is>
      </c>
      <c r="R902" s="9" t="inlineStr">
        <is>
          <t>{"kind":"effectNote","label":"累积获得30层炎热后，消耗自身最多10层凝滞、10层乱流及10层禁疗。","executors":[{"trigger":"onBuffGain","type":"consumeBuffStacks","sourceBuffId":"stagnation","maxStacks":10,"eventActor":"self","eventBuffId":"heat","charge":{"threshold":30},"support":"common","label":"累积获得30层炎热后，消耗自身最多10层凝滞、10层乱流及10层禁疗。"},{"trigger":"onBuffGain","type":"consumeBuffStacks","sourceBuffId":"turbulence","maxStacks":10,"eventActor":"self","eventBuffId":"heat","charge":{"threshold":30},"support":"common","label":"累积获得30层炎热后，消耗自身最多10层凝滞、10层乱流及10层禁疗。"},{"trigger":"onBuffGain","type":"consumeBuffStacks","sourceBuffId":"antiHeal","maxStacks":10,"eventActor":"self","eventBuffId":"heat","charge":{"threshold":30},"support":"common","label":"累积获得30层炎热后，消耗自身最多10层凝滞、10层乱流及10层禁疗。"}],"starOverrides":{"1":{"label":"累积获得28层炎热后，消耗自身最多12层凝滞、12层乱流及12层禁疗。","executors":[{"trigger":"onBuffGain","type":"consumeBuffStacks","sourceBuffId":"stagnation","maxStacks":12,"eventActor":"self","eventBuffId":"heat","charge":{"threshold":28},"support":"common","label":"累积获得28层炎热后，消耗自身最多12层凝滞、12层乱流及12层禁疗。"},{"trigger":"onBuffGain","type":"consumeBuffStacks","sourceBuffId":"turbulence","maxStacks":12,"eventActor":"self","eventBuffId":"heat","charge":{"threshold":28},"support":"common","label":"累积获得28层炎热后，消耗自身最多12层凝滞、12层乱流及12层禁疗。"},{"trigger":"onBuffGain","type":"consumeBuffStacks","sourceBuffId":"antiHeal","maxStacks":12,"eventActor":"self","eventBuffId":"heat","charge":{"threshold":28},"support":"common","label":"累积获得28层炎热后，消耗自身最多12层凝滞、12层乱流及12层禁疗。"}]},"2":{"label":"累积获得26层炎热后，消耗自身最多14层凝滞、14层乱流及14层禁疗。","executors":[{"trigger":"onBuffGain","type":"consumeBuffStacks","sourceBuffId":"stagnation","maxStacks":14,"eventActor":"self","eventBuffId":"heat","charge":{"threshold":26},"support":"common","label":"累积获得26层炎热后，消耗自身最多14层凝滞、14层乱流及14层禁疗。"},{"trigger":"onBuffGain","type":"consumeBuffStacks","sourceBuffId":"turbulence","maxStacks":14,"eventActor":"self","eventBuffId":"heat","charge":{"threshold":26},"support":"common","label":"累积获得26层炎热后，消耗自身最多14层凝滞、14层乱流及14层禁疗。"},{"trigger":"onBuffGain","type":"consumeBuffStacks","sourceBuffId":"antiHeal","maxStacks":14,"eventActor":"self","eventBuffId":"heat","charge":{"threshold":26},"support":"common","label":"累积获得26层炎热后，消耗自身最多14层凝滞、14层乱流及14层禁疗。"}]},"3":{"label":"累积获得24层炎热后，消耗自身最多16层凝滞、16层乱流及16层禁疗。","executors":[{"trigger":"onBuffGain","type":"consumeBuffStacks","sourceBuffId":"stagnation","maxStacks":16,"eventActor":"self","eventBuffId":"heat","charge":{"threshold":24},"support":"common","label":"累积获得24层炎热后，消耗自身最多16层凝滞、16层乱流及16层禁疗。"},{"trigger":"onBuffGain","type":"consumeBuffStacks","sourceBuffId":"turbulence","maxStacks":16,"eventActor":"self","eventBuffId":"heat","charge":{"threshold":24},"support":"common","label":"累积获得24层炎热后，消耗自身最多16层凝滞、16层乱流及16层禁疗。"},{"trigger":"onBuffGain","type":"consumeBuffStacks","sourceBuffId":"antiHeal","maxStacks":16,"eventActor":"self","eventBuffId":"heat","charge":{"threshold":24},"support":"common","label":"累积获得24层炎热后，消耗自身最多16层凝滞、16层乱流及16层禁疗。"}]}}}</t>
        </is>
      </c>
    </row>
    <row r="903" ht="32" customHeight="1">
      <c r="A903" s="8" t="n">
        <v>411503</v>
      </c>
      <c r="B903" s="8" t="inlineStr">
        <is>
          <t>厚趾承岳靴</t>
        </is>
      </c>
      <c r="C903" s="8" t="inlineStr">
        <is>
          <t>法器</t>
        </is>
      </c>
      <c r="D903" s="8" t="inlineStr">
        <is>
          <t>common</t>
        </is>
      </c>
      <c r="E903" s="8" t="inlineStr">
        <is>
          <t>wind</t>
        </is>
      </c>
      <c r="F903" s="8" t="n">
        <v>1</v>
      </c>
      <c r="G903" s="8" t="inlineStr">
        <is>
          <t>基础/顶层</t>
        </is>
      </c>
      <c r="H903" s="8" t="inlineStr"/>
      <c r="I903" s="9" t="inlineStr"/>
      <c r="J903" s="8" t="inlineStr"/>
      <c r="K903" s="8" t="inlineStr"/>
      <c r="L903" s="8" t="inlineStr"/>
      <c r="M903" s="8" t="inlineStr">
        <is>
          <t>周期触发</t>
        </is>
      </c>
      <c r="N903" s="8" t="inlineStr">
        <is>
          <t>periodicPulse</t>
        </is>
      </c>
      <c r="O903" s="9" t="inlineStr">
        <is>
          <t>位于储物袋底部时，将3层蓄势转化为3层敏捷；位于储物袋底部时，将5层蓄势转化为5层敏捷；位于储物袋底部时，将7层蓄势转化为7层敏捷；位于储物袋底部时，将9层蓄势转化为9层敏捷</t>
        </is>
      </c>
      <c r="P903" s="9" t="inlineStr">
        <is>
          <t>onPeriodicPulse</t>
        </is>
      </c>
      <c r="Q903" s="9" t="inlineStr">
        <is>
          <t>convertBuffStacks</t>
        </is>
      </c>
      <c r="R903" s="9" t="inlineStr">
        <is>
          <t>{"kind":"periodicPulse","periodicPulse":{"intervalSec":8,"activationRequirements":{"sourceEdges":["bottom"]},"label":"位于储物袋底部时，将3层蓄势转化为3层敏捷"},"executors":[{"trigger":"onPeriodicPulse","type":"convertBuffStacks","sourceBuffId":"heavy","targetBuffId":"agile","requiredStacks":3,"maxStacks":3,"support":"common","label":"位于储物袋底部时，将3层蓄势转化为3层敏捷"}],"label":"位于储物袋底部时，将3层蓄势转化为3层敏捷","starOverrides":{"1":{"label":"位于储物袋底部时，将5层蓄势转化为5层敏捷","executors":[{"requiredStacks":5,"maxStacks":5,"label":"位于储物袋底部时，将5层蓄势转化为5层敏捷"}]},"2":{"label":"位于储物袋底部时，将7层蓄势转化为7层敏捷","executors":[{"requiredStacks":7,"maxStacks":7,"label":"位于储物袋底部时，将7层蓄势转化为7层敏捷"}]},"3":{"label":"位于储物袋底部时，将9层蓄势转化为9层敏捷","executors":[{"requiredStacks":9,"maxStacks":9,"label":"位于储物袋底部时，将9层蓄势转化为9层敏捷"}]}}}</t>
        </is>
      </c>
    </row>
    <row r="904" ht="32" customHeight="1">
      <c r="A904" s="8" t="n">
        <v>411504</v>
      </c>
      <c r="B904" s="8" t="inlineStr">
        <is>
          <t>裂齿守心佩</t>
        </is>
      </c>
      <c r="C904" s="8" t="inlineStr">
        <is>
          <t>法器</t>
        </is>
      </c>
      <c r="D904" s="8" t="inlineStr">
        <is>
          <t>common</t>
        </is>
      </c>
      <c r="E904" s="8" t="inlineStr">
        <is>
          <t>poison</t>
        </is>
      </c>
      <c r="F904" s="8" t="n">
        <v>1</v>
      </c>
      <c r="G904" s="8" t="inlineStr">
        <is>
          <t>基础/顶层</t>
        </is>
      </c>
      <c r="H904" s="8" t="inlineStr"/>
      <c r="I904" s="9" t="inlineStr"/>
      <c r="J904" s="8" t="inlineStr"/>
      <c r="K904" s="8" t="inlineStr"/>
      <c r="L904" s="8" t="inlineStr"/>
      <c r="M904" s="8" t="inlineStr">
        <is>
          <t>条件触发</t>
        </is>
      </c>
      <c r="N904" s="8" t="inlineStr">
        <is>
          <t>triggered</t>
        </is>
      </c>
      <c r="O904" s="9" t="inlineStr">
        <is>
          <t>其他法器使敌方获得中毒时，对其施加 1 层禁疗；其他法器使敌方获得中毒时，对其施加 2 层禁疗；其他法器使敌方获得中毒时，对其施加 3 层禁疗；其他法器使敌方获得中毒时，对其施加 4 层禁疗</t>
        </is>
      </c>
      <c r="P904" s="9" t="inlineStr">
        <is>
          <t>onBuffGain</t>
        </is>
      </c>
      <c r="Q904" s="9" t="inlineStr">
        <is>
          <t>applyBuff；other</t>
        </is>
      </c>
      <c r="R904" s="9" t="inlineStr">
        <is>
          <t>{"kind":"triggered","triggeredEffect":{"trigger":"onBuffGain","eventActor":"enemy","eventBuffId":"poison","type":"applyBuff","buffId":"antiHeal","count":1,"targetActor":"enemy","polarity":"detrimental","eventSource":{"target":{"type":"other"}},"support":"battleOnly"},"label":"&lt;battle&gt;其他法器使敌方获得中毒时，对其施加 1 层禁疗&lt;/battle&gt;","starOverrides":{"1":{"label":"&lt;battle&gt;其他法器使敌方获得中毒时，对其施加 2 层禁疗&lt;/battle&gt;","triggeredEffect":{"count":2}},"2":{"label":"&lt;battle&gt;其他法器使敌方获得中毒时，对其施加 3 层禁疗&lt;/battle&gt;","triggeredEffect":{"count":3}},"3":{"label":"&lt;battle&gt;其他法器使敌方获得中毒时，对其施加 4 层禁疗&lt;/battle&gt;","triggeredEffect":{"count":4}}}}</t>
        </is>
      </c>
    </row>
    <row r="905" ht="32" customHeight="1">
      <c r="A905" s="8" t="n">
        <v>411505</v>
      </c>
      <c r="B905" s="8" t="inlineStr">
        <is>
          <t>厚鳞护元甲</t>
        </is>
      </c>
      <c r="C905" s="8" t="inlineStr">
        <is>
          <t>法器</t>
        </is>
      </c>
      <c r="D905" s="8" t="inlineStr">
        <is>
          <t>common</t>
        </is>
      </c>
      <c r="E905" s="8" t="inlineStr">
        <is>
          <t>ice</t>
        </is>
      </c>
      <c r="F905" s="8" t="n">
        <v>1</v>
      </c>
      <c r="G905" s="8" t="inlineStr">
        <is>
          <t>基础/顶层</t>
        </is>
      </c>
      <c r="H905" s="8" t="inlineStr"/>
      <c r="I905" s="9" t="inlineStr"/>
      <c r="J905" s="8" t="inlineStr"/>
      <c r="K905" s="8" t="inlineStr"/>
      <c r="L905" s="8" t="inlineStr"/>
      <c r="M905" s="8" t="inlineStr">
        <is>
          <t>说明/执行器</t>
        </is>
      </c>
      <c r="N905" s="8" t="inlineStr">
        <is>
          <t>effectNote</t>
        </is>
      </c>
      <c r="O905" s="9" t="inlineStr">
        <is>
          <t>累计获得50层凝金或寒冷时，恢复20点气血，并对敌方施加10层裂甲；累计获得50层凝金或寒冷时，恢复25点气血，并对敌方施加15层裂甲；累计获得50层凝金或寒冷时，恢复30点气血，并对敌方施加20层裂甲；累计获得50层凝金或寒冷时，恢复35点气血，并对敌方施加25层裂甲</t>
        </is>
      </c>
      <c r="P905" s="9" t="inlineStr">
        <is>
          <t>onBuffGain</t>
        </is>
      </c>
      <c r="Q905" s="9" t="inlineStr">
        <is>
          <t>modifyPlayerPrimaryStat；applyBuff</t>
        </is>
      </c>
      <c r="R905" s="9" t="inlineStr">
        <is>
          <t>{"kind":"effectNote","label":"累计获得50层凝金或寒冷时，恢复20点气血，&lt;battle&gt;并对敌方施加10层裂甲&lt;/battle&gt;","executors":[{"trigger":"onBuffGain","type":"modifyPlayerPrimaryStat","stat":"health","delta":20,"charge":{"threshold":50,"source":{"trigger":"onBuffGain","buffIds":["condensedMetal","cold"]}},"support":"common","label":"累计获得50层凝金或寒冷时，恢复20点气血，&lt;battle&gt;并对敌方施加10层裂甲&lt;/battle&gt;"},{"trigger":"onBuffGain","type":"applyBuff","buffId":"crackArmor","count":10,"label":"累计获得50层凝金或寒冷时，恢复20点气血，&lt;battle&gt;并对敌方施加10层裂甲&lt;/battle&gt;","charge":{"threshold":50,"source":{"trigger":"onBuffGain","buffIds":["condensedMetal","cold"]}},"targetActor":"enemy","polarity":"detrimental","support":"battleOnly"}],"starOverrides":{"1":{"label":"累计获得50层凝金或寒冷时，恢复25点气血，&lt;battle&gt;并对敌方施加15层裂甲&lt;/battle&gt;","executors":[{"trigger":"onBuffGain","type":"modifyPlayerPrimaryStat","stat":"health","delta":25,"charge":{"threshold":50,"source":{"trigger":"onBuffGain","buffIds":["condensedMetal","cold"]}},"support":"common","label":"累计获得50层凝金或寒冷时，恢复25点气血，&lt;battle&gt;并对敌方施加15层裂甲&lt;/battle&gt;"},{"trigger":"onBuffGain","type":"applyBuff","buffId":"crackArmor","count":15,"label":"累计获得50层凝金或寒冷时，恢复25点气血，&lt;battle&gt;并对敌方施加15层裂甲&lt;/battle&gt;","charge":{"threshold":50,"source":{"trigger":"onBuffGain","buffIds":["condensedMetal","cold"]}},"targetActor":"enemy","polarity":"detrimental","support":"battleOnly"}]},"2":{"label":"累计获得50层凝金或寒冷时，恢复30点气血，&lt;battle&gt;并对敌方施加20层裂甲&lt;/battle&gt;","executors":[{"trigger":"onBuffGain","type":"modifyPlayerPrimaryStat","stat":"health","delta":30,"charge":{"threshold":50,"source":{"trigger":"onBuffGain","buffIds":["condensedMetal","cold"]}},"support":"common","label":"累计获得50层凝金或寒冷时，恢复30点气血，&lt;battle&gt;并对敌方施加20层裂甲&lt;/battle&gt;"},{"trigger":"onBuffGain","type":"applyBuff","buffId":"crackArmor","count":20,"label":"累计获得50层凝金或寒冷时，恢复30点气血，&lt;battle&gt;并对敌方施加20层裂甲&lt;/battle&gt;","charge":{"threshold":50,"source":{"trigger":"onBuffGain","buffIds":["condensedMetal","cold"]}},"targetActor":"enemy","polarity":"detrimental","support":"battleOnly"}]},"3":{"label":"累计获得50层凝金或寒冷时，恢复35点气血，&lt;battle&gt;并对敌方施加25层裂甲&lt;/battle&gt;","executors":[{"trigger":"onBuffGain","type":"modifyPlayerPrimaryStat","stat":"health","delta":35,"charge":{"threshold":50,"source":{"trigger":"onBuffGain","buffIds":["condensedMetal","cold"]}},"support":"common","label":"累计获得50层凝金或寒冷时，恢复35点气血，&lt;battle&gt;并对敌方施加25层裂甲&lt;/battle&gt;"},{"trigger":"onBuffGain","type":"applyBuff","buffId":"crackArmor","count":25,"label":"累计获得50层凝金或寒冷时，恢复35点气血，&lt;battle&gt;并对敌方施加25层裂甲&lt;/battle&gt;","charge":{"threshold":50,"source":{"trigger":"onBuffGain","buffIds":["condensedMetal","cold"]}},"targetActor":"enemy","polarity":"detrimental","support":"battleOnly"}]}}}</t>
        </is>
      </c>
    </row>
    <row r="906" ht="32" customHeight="1">
      <c r="A906" s="8" t="n">
        <v>411550</v>
      </c>
      <c r="B906" s="8" t="inlineStr">
        <is>
          <t>牙纹聚势牌</t>
        </is>
      </c>
      <c r="C906" s="8" t="inlineStr">
        <is>
          <t>法器</t>
        </is>
      </c>
      <c r="D906" s="8" t="inlineStr">
        <is>
          <t>common</t>
        </is>
      </c>
      <c r="E906" s="8" t="inlineStr">
        <is>
          <t>earth</t>
        </is>
      </c>
      <c r="F906" s="8" t="n">
        <v>1</v>
      </c>
      <c r="G906" s="8" t="inlineStr">
        <is>
          <t>基础/顶层</t>
        </is>
      </c>
      <c r="H906" s="8" t="inlineStr"/>
      <c r="I906" s="9" t="inlineStr"/>
      <c r="J906" s="8" t="inlineStr"/>
      <c r="K906" s="8" t="inlineStr"/>
      <c r="L906" s="8" t="inlineStr"/>
      <c r="M906" s="8" t="inlineStr">
        <is>
          <t>条件触发</t>
        </is>
      </c>
      <c r="N906" s="8" t="inlineStr">
        <is>
          <t>triggered</t>
        </is>
      </c>
      <c r="O906" s="9" t="inlineStr">
        <is>
          <t>累计受到50点伤害后，消耗30层蓄势，对敌方造成50点伤害；累计受到75点伤害后，消耗30层蓄势，对敌方造成75点伤害；累计受到100点伤害后，消耗30层蓄势，对敌方造成100点伤害；累计受到125点伤害后，消耗30层蓄势，对敌方造成125点伤害</t>
        </is>
      </c>
      <c r="P906" s="9" t="inlineStr">
        <is>
          <t>onIncomingHealthDamage</t>
        </is>
      </c>
      <c r="Q906" s="9" t="inlineStr">
        <is>
          <t>battleDamageHealth</t>
        </is>
      </c>
      <c r="R906" s="9" t="inlineStr">
        <is>
          <t>{"kind":"triggered","triggeredEffect":{"trigger":"onIncomingHealthDamage","type":"battleDamageHealth","amount":50,"consumeSourceBuffStacks":{"buffId":"heavy","requiredStacks":30,"maxStacks":30},"charge":{"threshold":50,"source":{"trigger":"onIncomingHealthDamage"}},"support":"battleOnly"},"label":"&lt;battle&gt;累计受到50点伤害后，消耗30层蓄势，对敌方造成50点伤害&lt;/battle&gt;","starOverrides":{"1":{"label":"&lt;battle&gt;累计受到75点伤害后，消耗30层蓄势，对敌方造成75点伤害&lt;/battle&gt;","triggeredEffect":{"amount":75,"charge":{"threshold":75}}},"2":{"label":"&lt;battle&gt;累计受到100点伤害后，消耗30层蓄势，对敌方造成100点伤害&lt;/battle&gt;","triggeredEffect":{"amount":100,"charge":{"threshold":100}}},"3":{"label":"&lt;battle&gt;累计受到125点伤害后，消耗30层蓄势，对敌方造成125点伤害&lt;/battle&gt;","triggeredEffect":{"amount":125,"charge":{"threshold":125}}}}}</t>
        </is>
      </c>
    </row>
    <row r="907" ht="32" customHeight="1">
      <c r="A907" s="8" t="n">
        <v>411551</v>
      </c>
      <c r="B907" s="8" t="inlineStr">
        <is>
          <t>鳞叠坚壁牌</t>
        </is>
      </c>
      <c r="C907" s="8" t="inlineStr">
        <is>
          <t>法器</t>
        </is>
      </c>
      <c r="D907" s="8" t="inlineStr">
        <is>
          <t>common</t>
        </is>
      </c>
      <c r="E907" s="8" t="inlineStr">
        <is>
          <t>ice</t>
        </is>
      </c>
      <c r="F907" s="8" t="n">
        <v>1</v>
      </c>
      <c r="G907" s="8" t="inlineStr">
        <is>
          <t>基础/顶层</t>
        </is>
      </c>
      <c r="H907" s="8" t="inlineStr"/>
      <c r="I907" s="9" t="inlineStr"/>
      <c r="J907" s="8" t="inlineStr"/>
      <c r="K907" s="8" t="inlineStr"/>
      <c r="L907" s="8" t="inlineStr"/>
      <c r="M907" s="8" t="inlineStr">
        <is>
          <t>周期触发</t>
        </is>
      </c>
      <c r="N907" s="8" t="inlineStr">
        <is>
          <t>periodicPulse</t>
        </is>
      </c>
      <c r="O907" s="9" t="inlineStr">
        <is>
          <t>每相邻1件冰属性道具，获得3层护甲；每相邻1件冰属性道具，获得4层护甲；每相邻1件冰属性道具，获得5层护甲；每相邻1件冰属性道具，获得6层护甲</t>
        </is>
      </c>
      <c r="P907" s="9" t="inlineStr">
        <is>
          <t>onPeriodicPulse</t>
        </is>
      </c>
      <c r="Q907" s="9" t="inlineStr">
        <is>
          <t>applyBuff</t>
        </is>
      </c>
      <c r="R907" s="9" t="inlineStr">
        <is>
          <t>{"kind":"periodicPulse","periodicPulse":{"intervalSec":10,"label":"每相邻1件冰属性道具，获得3层护甲"},"executors":[{"trigger":"onPeriodicPulse","type":"applyBuff","buffId":"armor","count":3,"label":"每相邻1件冰属性道具，获得3层护甲","scaling":{"mode":"count","source":"adjacentItems","elements":["ice"]},"support":"common"}],"label":"每相邻1件冰属性道具，获得3层护甲","starOverrides":{"1":{"label":"每相邻1件冰属性道具，获得4层护甲","executors":[{"count":4,"label":"每相邻1件冰属性道具，获得4层护甲"}]},"2":{"label":"每相邻1件冰属性道具，获得5层护甲","executors":[{"count":5,"label":"每相邻1件冰属性道具，获得5层护甲"}]},"3":{"label":"每相邻1件冰属性道具，获得6层护甲","executors":[{"count":6,"label":"每相邻1件冰属性道具，获得6层护甲"}]}}}</t>
        </is>
      </c>
    </row>
    <row r="908" ht="32" customHeight="1">
      <c r="A908" s="8" t="n">
        <v>411552</v>
      </c>
      <c r="B908" s="8" t="inlineStr">
        <is>
          <t>崩岩尾锤</t>
        </is>
      </c>
      <c r="C908" s="8" t="inlineStr">
        <is>
          <t>法器</t>
        </is>
      </c>
      <c r="D908" s="8" t="inlineStr">
        <is>
          <t>common</t>
        </is>
      </c>
      <c r="E908" s="8" t="inlineStr">
        <is>
          <t>fire</t>
        </is>
      </c>
      <c r="F908" s="8" t="n">
        <v>1</v>
      </c>
      <c r="G908" s="8" t="inlineStr">
        <is>
          <t>基础/顶层</t>
        </is>
      </c>
      <c r="H908" s="8" t="inlineStr"/>
      <c r="I908" s="9" t="inlineStr"/>
      <c r="J908" s="8" t="inlineStr"/>
      <c r="K908" s="8" t="inlineStr"/>
      <c r="L908" s="8" t="inlineStr"/>
      <c r="M908" s="8" t="inlineStr">
        <is>
          <t>周期触发</t>
        </is>
      </c>
      <c r="N908" s="8" t="inlineStr">
        <is>
          <t>periodicPulse</t>
        </is>
      </c>
      <c r="O908" s="9" t="inlineStr">
        <is>
          <t>每有1层炎热，移除敌方2层护甲</t>
        </is>
      </c>
      <c r="P908" s="9" t="inlineStr">
        <is>
          <t>onPeriodicPulse</t>
        </is>
      </c>
      <c r="Q908" s="9" t="inlineStr">
        <is>
          <t>consumeBuffStacks</t>
        </is>
      </c>
      <c r="R908" s="9" t="inlineStr">
        <is>
          <t>{"kind":"periodicPulse","periodicPulse":{"intervalSec":10,"label":"&lt;battle&gt;每有1层炎热，移除敌方2层护甲&lt;/battle&gt;"},"executors":[{"trigger":"onPeriodicPulse","type":"consumeBuffStacks","sourceBuffId":"armor","consumeTargetActor":"enemy","maxStacks":2,"scaling":{"mode":"count","source":"buffStacks","buffId":"heat"},"support":"battleOnly","label":"&lt;battle&gt;每有1层炎热，移除敌方2层护甲&lt;/battle&gt;"}],"label":"&lt;battle&gt;每有1层炎热，移除敌方2层护甲&lt;/battle&gt;"}</t>
        </is>
      </c>
    </row>
    <row r="909" ht="32" customHeight="1">
      <c r="A909" s="8" t="n">
        <v>411700</v>
      </c>
      <c r="B909" s="8" t="inlineStr">
        <is>
          <t>玄砂镇脉环</t>
        </is>
      </c>
      <c r="C909" s="8" t="inlineStr">
        <is>
          <t>法器</t>
        </is>
      </c>
      <c r="D909" s="8" t="inlineStr">
        <is>
          <t>common</t>
        </is>
      </c>
      <c r="E909" s="8" t="inlineStr">
        <is>
          <t>ice</t>
        </is>
      </c>
      <c r="F909" s="8" t="n">
        <v>1</v>
      </c>
      <c r="G909" s="8" t="inlineStr">
        <is>
          <t>基础/顶层</t>
        </is>
      </c>
      <c r="H909" s="8" t="inlineStr"/>
      <c r="I909" s="9" t="inlineStr"/>
      <c r="J909" s="8" t="inlineStr"/>
      <c r="K909" s="8" t="inlineStr"/>
      <c r="L909" s="8" t="inlineStr"/>
      <c r="M909" s="8" t="inlineStr">
        <is>
          <t>条件触发</t>
        </is>
      </c>
      <c r="N909" s="8" t="inlineStr">
        <is>
          <t>triggered</t>
        </is>
      </c>
      <c r="O909" s="9" t="inlineStr">
        <is>
          <t>每次获得蓄势时，获得1层寒冷；每次获得蓄势时，获得2层寒冷；每次获得蓄势时，获得3层寒冷；每次获得蓄势时，获得4层寒冷</t>
        </is>
      </c>
      <c r="P909" s="9" t="inlineStr">
        <is>
          <t>onBuffGain</t>
        </is>
      </c>
      <c r="Q909" s="9" t="inlineStr">
        <is>
          <t>applyBuff</t>
        </is>
      </c>
      <c r="R909" s="9" t="inlineStr">
        <is>
          <t>{"kind":"triggered","triggeredEffect":{"trigger":"onBuffGain","type":"applyBuff","buffId":"cold","count":1,"eventActor":"self","eventBuffId":"heavy","singletonByTemplate":true,"support":"common"},"label":"&lt;singleton&gt;每次获得蓄势时，获得1层寒冷&lt;/singleton&gt;","starOverrides":{"1":{"label":"&lt;singleton&gt;每次获得蓄势时，获得2层寒冷&lt;/singleton&gt;","triggeredEffect":{"trigger":"onBuffGain","type":"applyBuff","buffId":"cold","count":2,"eventActor":"self","eventBuffId":"heavy","singletonByTemplate":true,"support":"common"}},"2":{"label":"&lt;singleton&gt;每次获得蓄势时，获得3层寒冷&lt;/singleton&gt;","triggeredEffect":{"trigger":"onBuffGain","type":"applyBuff","buffId":"cold","count":3,"eventActor":"self","eventBuffId":"heavy","singletonByTemplate":true,"support":"common"}},"3":{"label":"&lt;singleton&gt;每次获得蓄势时，获得4层寒冷&lt;/singleton&gt;","triggeredEffect":{"trigger":"onBuffGain","type":"applyBuff","buffId":"cold","count":4,"eventActor":"self","eventBuffId":"heavy","singletonByTemplate":true,"support":"common"}}}}</t>
        </is>
      </c>
    </row>
    <row r="910" ht="32" customHeight="1">
      <c r="A910" s="8" t="n">
        <v>411701</v>
      </c>
      <c r="B910" s="8" t="inlineStr">
        <is>
          <t>裂牙引水锥</t>
        </is>
      </c>
      <c r="C910" s="8" t="inlineStr">
        <is>
          <t>法器</t>
        </is>
      </c>
      <c r="D910" s="8" t="inlineStr">
        <is>
          <t>common</t>
        </is>
      </c>
      <c r="E910" s="8" t="inlineStr">
        <is>
          <t>poison</t>
        </is>
      </c>
      <c r="F910" s="8" t="n">
        <v>1</v>
      </c>
      <c r="G910" s="8" t="inlineStr">
        <is>
          <t>基础/顶层</t>
        </is>
      </c>
      <c r="H910" s="8" t="inlineStr"/>
      <c r="I910" s="9" t="inlineStr"/>
      <c r="J910" s="8" t="inlineStr"/>
      <c r="K910" s="8" t="inlineStr"/>
      <c r="L910" s="8" t="inlineStr"/>
      <c r="M910" s="8" t="inlineStr">
        <is>
          <t>周期触发</t>
        </is>
      </c>
      <c r="N910" s="8" t="inlineStr">
        <is>
          <t>periodicPulse</t>
        </is>
      </c>
      <c r="O910" s="9" t="inlineStr">
        <is>
          <t>自身中毒时，对敌方施加 1 层禁疗；自身中毒时，对敌方施加 2 层禁疗；自身中毒时，对敌方施加 3 层禁疗；自身中毒时，对敌方施加 4 层禁疗</t>
        </is>
      </c>
      <c r="P910" s="9" t="inlineStr"/>
      <c r="Q910" s="9" t="inlineStr"/>
      <c r="R910" s="9" t="inlineStr">
        <is>
          <t>{"kind":"periodicPulse","periodicPulse":{"intervalSec":10,"activationRequirements":{"buffStackThresholds":[{"buffId":"poison","comparator":"atLeast","count":1}]},"buffGains":[{"buffId":"antiHeal","count":1,"target":"enemy","polarity":"detrimental"}],"label":"&lt;battle&gt;自身中毒时，对敌方施加 1 层禁疗&lt;/battle&gt;"},"label":"&lt;battle&gt;自身中毒时，对敌方施加 1 层禁疗&lt;/battle&gt;","starOverrides":{"1":{"label":"&lt;battle&gt;自身中毒时，对敌方施加 2 层禁疗&lt;/battle&gt;","periodicPulse":{"intervalSec":10,"activationRequirements":{"buffStackThresholds":[{"buffId":"poison","comparator":"atLeast","count":1}]},"buffGains":[{"buffId":"antiHeal","count":2,"target":"enemy","polarity":"detrimental"}],"label":"&lt;battle&gt;自身中毒时，对敌方施加 2 层禁疗&lt;/battle&gt;"}},"2":{"label":"&lt;battle&gt;自身中毒时，对敌方施加 3 层禁疗&lt;/battle&gt;","periodicPulse":{"intervalSec":10,"activationRequirements":{"buffStackThresholds":[{"buffId":"poison","comparator":"atLeast","count":1}]},"buffGains":[{"buffId":"antiHeal","count":3,"target":"enemy","polarity":"detrimental"}],"label":"&lt;battle&gt;自身中毒时，对敌方施加 3 层禁疗&lt;/battle&gt;"}},"3":{"label":"&lt;battle&gt;自身中毒时，对敌方施加 4 层禁疗&lt;/battle&gt;","periodicPulse":{"intervalSec":10,"activationRequirements":{"buffStackThresholds":[{"buffId":"poison","comparator":"atLeast","count":1}]},"buffGains":[{"buffId":"antiHeal","count":4,"target":"enemy","polarity":"detrimental"}],"label":"&lt;battle&gt;自身中毒时，对敌方施加 4 层禁疗&lt;/battle&gt;"}}}}</t>
        </is>
      </c>
    </row>
    <row r="911" ht="32" customHeight="1">
      <c r="A911" s="8" t="n">
        <v>411702</v>
      </c>
      <c r="B911" s="8" t="inlineStr">
        <is>
          <t>月砂护脉袖</t>
        </is>
      </c>
      <c r="C911" s="8" t="inlineStr">
        <is>
          <t>法器</t>
        </is>
      </c>
      <c r="D911" s="8" t="inlineStr">
        <is>
          <t>common</t>
        </is>
      </c>
      <c r="E911" s="8" t="inlineStr">
        <is>
          <t>ice</t>
        </is>
      </c>
      <c r="F911" s="8" t="n">
        <v>1</v>
      </c>
      <c r="G911" s="8" t="inlineStr">
        <is>
          <t>基础/顶层</t>
        </is>
      </c>
      <c r="H911" s="8" t="inlineStr"/>
      <c r="I911" s="9" t="inlineStr"/>
      <c r="J911" s="8" t="inlineStr"/>
      <c r="K911" s="8" t="inlineStr"/>
      <c r="L911" s="8" t="inlineStr"/>
      <c r="M911" s="8" t="inlineStr">
        <is>
          <t>被动效果</t>
        </is>
      </c>
      <c r="N911" s="8" t="inlineStr">
        <is>
          <t>passive</t>
        </is>
      </c>
      <c r="O911" s="9" t="inlineStr">
        <is>
          <t>寒冷层数上限+3；寒冷层数上限+6；寒冷层数上限+9；寒冷层数上限+12</t>
        </is>
      </c>
      <c r="P911" s="9" t="inlineStr"/>
      <c r="Q911" s="9" t="inlineStr">
        <is>
          <t>buffStackCapBonus</t>
        </is>
      </c>
      <c r="R911" s="9" t="inlineStr">
        <is>
          <t>{"kind":"passive","passiveEffect":{"type":"buffStackCapBonus","buffId":"cold","value":3,"label":"寒冷层数上限+3"},"label":"寒冷层数上限+3","starOverrides":{"1":{"label":"寒冷层数上限+6","passiveEffect":{"type":"buffStackCapBonus","buffId":"cold","value":6,"label":"寒冷层数上限+6"}},"2":{"label":"寒冷层数上限+9","passiveEffect":{"type":"buffStackCapBonus","buffId":"cold","value":9,"label":"寒冷层数上限+9"}},"3":{"label":"寒冷层数上限+12","passiveEffect":{"type":"buffStackCapBonus","buffId":"cold","value":12,"label":"寒冷层数上限+12"}}}}</t>
        </is>
      </c>
    </row>
    <row r="912" ht="32" customHeight="1">
      <c r="A912" s="8" t="n">
        <v>411703</v>
      </c>
      <c r="B912" s="8" t="inlineStr">
        <is>
          <t>颚爪定流钳</t>
        </is>
      </c>
      <c r="C912" s="8" t="inlineStr">
        <is>
          <t>法器</t>
        </is>
      </c>
      <c r="D912" s="8" t="inlineStr">
        <is>
          <t>common</t>
        </is>
      </c>
      <c r="E912" s="8" t="inlineStr">
        <is>
          <t>poison</t>
        </is>
      </c>
      <c r="F912" s="8" t="n">
        <v>1</v>
      </c>
      <c r="G912" s="8" t="inlineStr">
        <is>
          <t>基础/顶层</t>
        </is>
      </c>
      <c r="H912" s="8" t="inlineStr"/>
      <c r="I912" s="9" t="inlineStr"/>
      <c r="J912" s="8" t="inlineStr"/>
      <c r="K912" s="8" t="inlineStr"/>
      <c r="L912" s="8" t="inlineStr"/>
      <c r="M912" s="8" t="inlineStr">
        <is>
          <t>周期触发</t>
        </is>
      </c>
      <c r="N912" s="8" t="inlineStr">
        <is>
          <t>periodicPulse</t>
        </is>
      </c>
      <c r="O912" s="9" t="inlineStr">
        <is>
          <t>消耗敌方3层中毒，对其造成1点伤害，每次造成伤害后，本局内效果升级；伤害；消耗敌方3层中毒，对其造成2点伤害，每次造成伤害后，本局内效果升级；消耗敌方3层中毒，对其造成3点伤害，每次造成伤害后，本局内效果升级；消耗敌方3层中毒，对其造成4点伤害，每次造成伤害后，本局内效果升级</t>
        </is>
      </c>
      <c r="P912" s="9" t="inlineStr">
        <is>
          <t>onPeriodicPulse；onBattleHealthDamageDealt</t>
        </is>
      </c>
      <c r="Q912" s="9" t="inlineStr">
        <is>
          <t>targetBuffStacksGreaterThan；consumeBuffStacks；battleDamageHealth</t>
        </is>
      </c>
      <c r="R912" s="9" t="inlineStr">
        <is>
          <t>{"kind":"periodicPulse","periodicPulse":{"intervalSec":10,"battleCondition":{"type":"targetBuffStacksGreaterThan","buffId":"poison","count":2},"label":"&lt;battle&gt;消耗敌方3层中毒，对其造成1点伤害，每次造成伤害后，本局内效果升级&lt;/battle&gt;"},"executors":[{"trigger":"onPeriodicPulse","type":"consumeBuffStacks","sourceBuffId":"poison","consumeTargetActor":"enemy","requiredStacks":3,"maxStacks":3,"support":"battleOnly","label":"&lt;battle&gt;消耗敌方3层中毒，对其造成1点伤害，每次造成伤害后，本局内效果升级&lt;/battle&gt;"},{"trigger":"onPeriodicPulse","type":"battleDamageHealth","amount":1,"support":"battleOnly","label":"&lt;battle&gt;消耗敌方3层中毒，对其造成1点伤害，每次造成伤害后，本局内效果升级&lt;/battle&gt;"}],"label":"&lt;battle&gt;消耗敌方3层中毒，对其造成1点伤害，每次造成伤害后，本局内效果升级&lt;/battle&gt;","growth":{"lifecycle":"singleGame","trigger":"onBattleHealthDamageDealt","bindings":[{"path":"executors.1.amount","delta":1,"maxValue":10,"label":"伤害","textOccurrence":0}],"support":"battleOnly"},"starOverrides":{"1":{"label":"&lt;battle&gt;消耗敌方3层中毒，对其造成2点伤害，每次造成伤害后，本局内效果升级&lt;/battle&gt;","executors":[{"trigger":"onPeriodicPulse","type":"consumeBuffStacks","sourceBuffId":"poison","consumeTargetActor":"enemy","requiredStacks":3,"maxStacks":3,"support":"battleOnly","label":"&lt;battle&gt;消耗敌方3层中毒，对其造成2点伤害，每次造成伤害后，本局内效果升级&lt;/battle&gt;"},{"trigger":"onPeriodicPulse","type":"battleDamageHealth","amount":2,"support":"battleOnly","label":"&lt;battle&gt;消耗敌方3层中毒，对其造成2点伤害，每次造成伤害后，本局内效果升级&lt;/battle&gt;"}],"growth":{"lifecycle":"singleGame","trigger":"onBattleHealthDamageDealt","bindings":[{"path":"executors.1.amount","delta":1,"maxValue":15,"label":"伤害","textOccurrence":0}],"support":"battleOnly"}},"2":{"label":"&lt;battle&gt;消耗敌方3层中毒，对其造成3点伤害，每次造成伤害后，本局内效果升级&lt;/battle&gt;","executors":[{"trigger":"onPeriodicPulse","type":"consumeBuffStacks","sourceBuffId":"poison","consumeTargetActor":"enemy","requiredStacks":3,"maxStacks":3,"support":"battleOnly","label":"&lt;battle&gt;消耗敌方3层中毒，对其造成3点伤害，每次造成伤害后，本局内效果升级&lt;/battle&gt;"},{"trigger":"onPeriodicPulse","type":"battleDamageHealth","amount":3,"support":"battleOnly","label":"&lt;battle&gt;消耗敌方3层中毒，对其造成3点伤害，每次造成伤害后，本局内效果升级&lt;/battle&gt;"}],"growth":{"lifecycle":"singleGame","trigger":"onBattleHealthDamageDealt","bindings":[{"path":"executors.1.amount","delta":1,"maxValue":20,"label":"伤害","textOccurrence":0}],"support":"battleOnly"}},"3":{"label":"&lt;battle&gt;消耗敌方3层中毒，对其造成4点伤害，每次造成伤害后，本局内效果升级&lt;/battle&gt;","executors":[{"trigger":"onPeriodicPulse","type":"consumeBuffStacks","sourceBuffId":"poison","consumeTargetActor":"enemy","requiredStacks":3,"maxStacks":3,"support":"battleOnly","label":"&lt;battle&gt;消耗敌方3层中毒，对其造成4点伤害，每次造成伤害后，本局内效果升级&lt;/battle&gt;"},{"trigger":"onPeriodicPulse","type":"battleDamageHealth","amount":4,"support":"battleOnly","label":"&lt;battle&gt;消耗敌方3层中毒，对其造成4点伤害，每次造成伤害后，本局内效果升级&lt;/battle&gt;"}],"growth":{"lifecycle":"singleGame","trigger":"onBattleHealthDamageDealt","bindings":[{"path":"executors.1.amount","delta":1,"maxValue":25,"label":"伤害","textOccurrence":0}],"support":"battleOnly"}}}}</t>
        </is>
      </c>
    </row>
    <row r="913" ht="32" customHeight="1">
      <c r="A913" s="8" t="n">
        <v>411704</v>
      </c>
      <c r="B913" s="8" t="inlineStr">
        <is>
          <t>砂脉导息筒</t>
        </is>
      </c>
      <c r="C913" s="8" t="inlineStr">
        <is>
          <t>法器</t>
        </is>
      </c>
      <c r="D913" s="8" t="inlineStr">
        <is>
          <t>common</t>
        </is>
      </c>
      <c r="E913" s="8" t="inlineStr">
        <is>
          <t>wood</t>
        </is>
      </c>
      <c r="F913" s="8" t="n">
        <v>1</v>
      </c>
      <c r="G913" s="8" t="inlineStr">
        <is>
          <t>基础/顶层</t>
        </is>
      </c>
      <c r="H913" s="8" t="inlineStr"/>
      <c r="I913" s="9" t="inlineStr"/>
      <c r="J913" s="8" t="inlineStr"/>
      <c r="K913" s="8" t="inlineStr"/>
      <c r="L913" s="8" t="inlineStr"/>
      <c r="M913" s="8" t="inlineStr">
        <is>
          <t>被动效果</t>
        </is>
      </c>
      <c r="N913" s="8" t="inlineStr">
        <is>
          <t>passive</t>
        </is>
      </c>
      <c r="O913" s="9" t="inlineStr">
        <is>
          <t>再生层数上限+3；再生层数上限+6；再生层数上限+9；再生层数上限+12</t>
        </is>
      </c>
      <c r="P913" s="9" t="inlineStr"/>
      <c r="Q913" s="9" t="inlineStr">
        <is>
          <t>buffStackCapBonus</t>
        </is>
      </c>
      <c r="R913" s="9" t="inlineStr">
        <is>
          <t>{"kind":"passive","passiveEffect":{"type":"buffStackCapBonus","buffId":"regeneration","value":3,"label":"再生层数上限+3"},"label":"再生层数上限+3","starOverrides":{"1":{"label":"再生层数上限+6","passiveEffect":{"type":"buffStackCapBonus","buffId":"regeneration","value":6,"label":"再生层数上限+6"}},"2":{"label":"再生层数上限+9","passiveEffect":{"type":"buffStackCapBonus","buffId":"regeneration","value":9,"label":"再生层数上限+9"}},"3":{"label":"再生层数上限+12","passiveEffect":{"type":"buffStackCapBonus","buffId":"regeneration","value":12,"label":"再生层数上限+12"}}}}</t>
        </is>
      </c>
    </row>
    <row r="914" ht="32" customHeight="1">
      <c r="A914" s="8" t="n">
        <v>411705</v>
      </c>
      <c r="B914" s="8" t="inlineStr">
        <is>
          <t>尾刺镇脉簪</t>
        </is>
      </c>
      <c r="C914" s="8" t="inlineStr">
        <is>
          <t>法器</t>
        </is>
      </c>
      <c r="D914" s="8" t="inlineStr">
        <is>
          <t>common</t>
        </is>
      </c>
      <c r="E914" s="8" t="inlineStr">
        <is>
          <t>poison</t>
        </is>
      </c>
      <c r="F914" s="8" t="n">
        <v>1</v>
      </c>
      <c r="G914" s="8" t="inlineStr">
        <is>
          <t>基础/顶层</t>
        </is>
      </c>
      <c r="H914" s="8" t="inlineStr"/>
      <c r="I914" s="9" t="inlineStr"/>
      <c r="J914" s="8" t="inlineStr"/>
      <c r="K914" s="8" t="inlineStr"/>
      <c r="L914" s="8" t="inlineStr"/>
      <c r="M914" s="8" t="inlineStr">
        <is>
          <t>说明/执行器</t>
        </is>
      </c>
      <c r="N914" s="8" t="inlineStr">
        <is>
          <t>effectNote</t>
        </is>
      </c>
      <c r="O914" s="9" t="inlineStr">
        <is>
          <t>敌方气血首次低于 50% 时，对其施加 3 层禁疗和中毒；敌方气血首次低于 60% 时，对其施加 6 层禁疗和中毒；敌方气血首次低于 70% 时，对其施加 9 层禁疗和中毒；敌方气血首次低于 80% 时，对其施加 12 层禁疗和中毒</t>
        </is>
      </c>
      <c r="P914" s="9" t="inlineStr">
        <is>
          <t>onEnemyHealthRatioFirstBelow</t>
        </is>
      </c>
      <c r="Q914" s="9" t="inlineStr">
        <is>
          <t>applyBuff</t>
        </is>
      </c>
      <c r="R914" s="9" t="inlineStr">
        <is>
          <t>{"kind":"effectNote","label":"&lt;battle&gt;敌方气血首次低于 50% 时，对其施加 3 层禁疗和中毒&lt;/battle&gt;","executors":[{"trigger":"onEnemyHealthRatioFirstBelow","type":"applyBuff","buffId":"antiHeal","count":3,"label":"&lt;battle&gt;敌方气血首次低于 50% 时，对其施加 3 层禁疗和中毒&lt;/battle&gt;","enemyHealthRatioThreshold":0.5,"targetActor":"enemy","polarity":"detrimental","support":"battleOnly"},{"trigger":"onEnemyHealthRatioFirstBelow","type":"applyBuff","buffId":"poison","count":3,"label":"&lt;battle&gt;敌方气血首次低于 50% 时，对其施加 3 层禁疗和中毒&lt;/battle&gt;","enemyHealthRatioThreshold":0.5,"targetActor":"enemy","polarity":"detrimental","support":"battleOnly"}],"starOverrides":{"1":{"label":"&lt;battle&gt;敌方气血首次低于 60% 时，对其施加 6 层禁疗和中毒&lt;/battle&gt;","executors":[{"trigger":"onEnemyHealthRatioFirstBelow","type":"applyBuff","buffId":"antiHeal","count":6,"label":"&lt;battle&gt;敌方气血首次低于 60% 时，对其施加 6 层禁疗和中毒&lt;/battle&gt;","enemyHealthRatioThreshold":0.6,"targetActor":"enemy","polarity":"detrimental","support":"battleOnly"},{"trigger":"onEnemyHealthRatioFirstBelow","type":"applyBuff","buffId":"poison","count":6,"label":"&lt;battle&gt;敌方气血首次低于 60% 时，对其施加 6 层禁疗和中毒&lt;/battle&gt;","enemyHealthRatioThreshold":0.6,"targetActor":"enemy","polarity":"detrimental","support":"battleOnly"}]},"2":{"label":"&lt;battle&gt;敌方气血首次低于 70% 时，对其施加 9 层禁疗和中毒&lt;/battle&gt;","executors":[{"trigger":"onEnemyHealthRatioFirstBelow","type":"applyBuff","buffId":"antiHeal","count":9,"label":"&lt;battle&gt;敌方气血首次低于 70% 时，对其施加 9 层禁疗和中毒&lt;/battle&gt;","enemyHealthRatioThreshold":0.7,"targetActor":"enemy","polarity":"detrimental","support":"battleOnly"},{"trigger":"onEnemyHealthRatioFirstBelow","type":"applyBuff","buffId":"poison","count":9,"label":"&lt;battle&gt;敌方气血首次低于 70% 时，对其施加 9 层禁疗和中毒&lt;/battle&gt;","enemyHealthRatioThreshold":0.7,"targetActor":"enemy","polarity":"detrimental","support":"battleOnly"}]},"3":{"label":"&lt;battle&gt;敌方气血首次低于 80% 时，对其施加 12 层禁疗和中毒&lt;/battle&gt;","executors":[{"trigger":"onEnemyHealthRatioFirstBelow","type":"applyBuff","buffId":"antiHeal","count":12,"label":"&lt;battle&gt;敌方气血首次低于 80% 时，对其施加 12 层禁疗和中毒&lt;/battle&gt;","enemyHealthRatioThreshold":0.8,"targetActor":"enemy","polarity":"detrimental","support":"battleOnly"},{"trigger":"onEnemyHealthRatioFirstBelow","type":"applyBuff","buffId":"poison","count":12,"label":"&lt;battle&gt;敌方气血首次低于 80% 时，对其施加 12 层禁疗和中毒&lt;/battle&gt;","enemyHealthRatioThreshold":0.8,"targetActor":"enemy","polarity":"detrimental","support":"battleOnly"}]}}}</t>
        </is>
      </c>
    </row>
    <row r="915" ht="32" customHeight="1">
      <c r="A915" s="8" t="n">
        <v>411750</v>
      </c>
      <c r="B915" s="8" t="inlineStr">
        <is>
          <t>裂牙锁流法幢</t>
        </is>
      </c>
      <c r="C915" s="8" t="inlineStr">
        <is>
          <t>法器</t>
        </is>
      </c>
      <c r="D915" s="8" t="inlineStr">
        <is>
          <t>common</t>
        </is>
      </c>
      <c r="E915" s="8" t="inlineStr">
        <is>
          <t>water</t>
        </is>
      </c>
      <c r="F915" s="8" t="n">
        <v>1</v>
      </c>
      <c r="G915" s="8" t="inlineStr">
        <is>
          <t>基础/顶层</t>
        </is>
      </c>
      <c r="H915" s="8" t="inlineStr"/>
      <c r="I915" s="9" t="inlineStr"/>
      <c r="J915" s="8" t="inlineStr"/>
      <c r="K915" s="8" t="inlineStr"/>
      <c r="L915" s="8" t="inlineStr"/>
      <c r="M915" s="8" t="inlineStr">
        <is>
          <t>被动效果</t>
        </is>
      </c>
      <c r="N915" s="8" t="inlineStr">
        <is>
          <t>passive</t>
        </is>
      </c>
      <c r="O915" s="9" t="inlineStr">
        <is>
          <t>露水层数上限+1，每次击败境界比自己高的敌人，效果升级；露水层数上限</t>
        </is>
      </c>
      <c r="P915" s="9" t="inlineStr">
        <is>
          <t>onEnemyDefeated</t>
        </is>
      </c>
      <c r="Q915" s="9" t="inlineStr">
        <is>
          <t>buffStackCapBonus</t>
        </is>
      </c>
      <c r="R915" s="9" t="inlineStr">
        <is>
          <t>{"kind":"passive","passiveEffect":{"type":"buffStackCapBonus","buffId":"dew","value":1,"singletonByTemplate":true,"label":"&lt;singleton&gt;露水层数上限+1，每次击败境界比自己高的敌人，效果升级&lt;/singleton&gt;"},"label":"&lt;singleton&gt;露水层数上限+1，每次击败境界比自己高的敌人，效果升级&lt;/singleton&gt;","growth":{"lifecycle":"permanent","trigger":"onEnemyDefeated","minOpponentMajorRealmGap":1,"bindings":[{"path":"passiveEffect.value","delta":1,"maxValue":10,"label":"露水层数上限","textOccurrence":0}],"support":"battleOnly"},"starOverrides":{"1":{"label":"&lt;singleton&gt;露水层数上限+1，每次击败境界比自己高的敌人，效果升级&lt;/singleton&gt;","growth":{"lifecycle":"permanent","trigger":"onEnemyDefeated","minOpponentMajorRealmGap":1,"bindings":[{"path":"passiveEffect.value","delta":1,"maxValue":15,"label":"露水层数上限","textOccurrence":0}],"support":"battleOnly"}},"2":{"label":"&lt;singleton&gt;露水层数上限+1，每次击败境界比自己高的敌人，效果升级&lt;/singleton&gt;","growth":{"lifecycle":"permanent","trigger":"onEnemyDefeated","minOpponentMajorRealmGap":1,"bindings":[{"path":"passiveEffect.value","delta":1,"maxValue":20,"label":"露水层数上限","textOccurrence":0}],"support":"battleOnly"}},"3":{"label":"&lt;singleton&gt;露水层数上限+1，每次击败境界比自己高的敌人，效果升级&lt;/singleton&gt;","growth":{"lifecycle":"permanent","trigger":"onEnemyDefeated","minOpponentMajorRealmGap":1,"bindings":[{"path":"passiveEffect.value","delta":1,"maxValue":25,"label":"露水层数上限","textOccurrence":0}],"support":"battleOnly"}}}}</t>
        </is>
      </c>
    </row>
    <row r="916" ht="32" customHeight="1">
      <c r="A916" s="8" t="n">
        <v>411751</v>
      </c>
      <c r="B916" s="8" t="inlineStr">
        <is>
          <t>须管回汐灵柱</t>
        </is>
      </c>
      <c r="C916" s="8" t="inlineStr">
        <is>
          <t>法器</t>
        </is>
      </c>
      <c r="D916" s="8" t="inlineStr">
        <is>
          <t>common</t>
        </is>
      </c>
      <c r="E916" s="8" t="inlineStr">
        <is>
          <t>ice</t>
        </is>
      </c>
      <c r="F916" s="8" t="n">
        <v>1</v>
      </c>
      <c r="G916" s="8" t="inlineStr">
        <is>
          <t>基础/顶层</t>
        </is>
      </c>
      <c r="H916" s="8" t="inlineStr"/>
      <c r="I916" s="9" t="inlineStr"/>
      <c r="J916" s="8" t="inlineStr"/>
      <c r="K916" s="8" t="inlineStr"/>
      <c r="L916" s="8" t="inlineStr"/>
      <c r="M916" s="8" t="inlineStr">
        <is>
          <t>被动效果</t>
        </is>
      </c>
      <c r="N916" s="8" t="inlineStr">
        <is>
          <t>passive</t>
        </is>
      </c>
      <c r="O916" s="9" t="inlineStr">
        <is>
          <t>寒冷层数上限+1，每次击败境界比自己高的敌人，效果升级；寒冷层数上限</t>
        </is>
      </c>
      <c r="P916" s="9" t="inlineStr">
        <is>
          <t>onEnemyDefeated</t>
        </is>
      </c>
      <c r="Q916" s="9" t="inlineStr">
        <is>
          <t>buffStackCapBonus</t>
        </is>
      </c>
      <c r="R916" s="9" t="inlineStr">
        <is>
          <t>{"kind":"passive","passiveEffect":{"type":"buffStackCapBonus","buffId":"cold","value":1,"singletonByTemplate":true,"label":"&lt;singleton&gt;寒冷层数上限+1，每次击败境界比自己高的敌人，效果升级&lt;/singleton&gt;"},"label":"&lt;singleton&gt;寒冷层数上限+1，每次击败境界比自己高的敌人，效果升级&lt;/singleton&gt;","growth":{"lifecycle":"permanent","trigger":"onEnemyDefeated","minOpponentMajorRealmGap":1,"bindings":[{"path":"passiveEffect.value","delta":1,"maxValue":10,"label":"寒冷层数上限","textOccurrence":0}],"support":"battleOnly"},"starOverrides":{"1":{"label":"&lt;singleton&gt;寒冷层数上限+1，每次击败境界比自己高的敌人，效果升级&lt;/singleton&gt;","growth":{"lifecycle":"permanent","trigger":"onEnemyDefeated","minOpponentMajorRealmGap":1,"bindings":[{"path":"passiveEffect.value","delta":1,"maxValue":15,"label":"寒冷层数上限","textOccurrence":0}],"support":"battleOnly"}},"2":{"label":"&lt;singleton&gt;寒冷层数上限+1，每次击败境界比自己高的敌人，效果升级&lt;/singleton&gt;","growth":{"lifecycle":"permanent","trigger":"onEnemyDefeated","minOpponentMajorRealmGap":1,"bindings":[{"path":"passiveEffect.value","delta":1,"maxValue":20,"label":"寒冷层数上限","textOccurrence":0}],"support":"battleOnly"}},"3":{"label":"&lt;singleton&gt;寒冷层数上限+1，每次击败境界比自己高的敌人，效果升级&lt;/singleton&gt;","growth":{"lifecycle":"permanent","trigger":"onEnemyDefeated","minOpponentMajorRealmGap":1,"bindings":[{"path":"passiveEffect.value","delta":1,"maxValue":25,"label":"寒冷层数上限","textOccurrence":0}],"support":"battleOnly"}}}}</t>
        </is>
      </c>
    </row>
    <row r="917" ht="32" customHeight="1">
      <c r="A917" s="8" t="n">
        <v>411752</v>
      </c>
      <c r="B917" s="8" t="inlineStr">
        <is>
          <t>碎月尾刺法幢</t>
        </is>
      </c>
      <c r="C917" s="8" t="inlineStr">
        <is>
          <t>法器</t>
        </is>
      </c>
      <c r="D917" s="8" t="inlineStr">
        <is>
          <t>common</t>
        </is>
      </c>
      <c r="E917" s="8" t="inlineStr">
        <is>
          <t>ice</t>
        </is>
      </c>
      <c r="F917" s="8" t="n">
        <v>1</v>
      </c>
      <c r="G917" s="8" t="inlineStr">
        <is>
          <t>基础/顶层</t>
        </is>
      </c>
      <c r="H917" s="8" t="inlineStr"/>
      <c r="I917" s="9" t="inlineStr"/>
      <c r="J917" s="8" t="inlineStr"/>
      <c r="K917" s="8" t="inlineStr"/>
      <c r="L917" s="8" t="inlineStr"/>
      <c r="M917" s="8" t="inlineStr">
        <is>
          <t>周期触发</t>
        </is>
      </c>
      <c r="N917" s="8" t="inlineStr">
        <is>
          <t>periodicPulse</t>
        </is>
      </c>
      <c r="O917" s="9" t="inlineStr">
        <is>
          <t>敌方有不少于40层寒冷时，对其施加 10 层凝滞；敌方有不少于40层寒冷时，对其施加 15 层凝滞；敌方有不少于40层寒冷时，对其施加 20 层凝滞；敌方有不少于40层寒冷时，对其施加 25 层凝滞</t>
        </is>
      </c>
      <c r="P917" s="9" t="inlineStr"/>
      <c r="Q917" s="9" t="inlineStr">
        <is>
          <t>targetBuffStacksGreaterThan</t>
        </is>
      </c>
      <c r="R917" s="9" t="inlineStr">
        <is>
          <t>{"kind":"periodicPulse","periodicPulse":{"intervalSec":25,"battleCondition":{"type":"targetBuffStacksGreaterThan","buffId":"frost","count":39},"buffGains":[{"buffId":"stagnation","count":10,"target":"enemy","polarity":"detrimental"}],"label":"&lt;battle&gt;敌方有不少于40层寒冷时，对其施加 10 层凝滞&lt;/battle&gt;"},"starOverrides":{"1":{"label":"&lt;battle&gt;敌方有不少于40层寒冷时，对其施加 15 层凝滞&lt;/battle&gt;","periodicPulse":{"buffGains":[{"count":15}],"label":"&lt;battle&gt;敌方有不少于40层寒冷时，对其施加 15 层凝滞&lt;/battle&gt;"}},"2":{"label":"&lt;battle&gt;敌方有不少于40层寒冷时，对其施加 20 层凝滞&lt;/battle&gt;","periodicPulse":{"buffGains":[{"count":20}],"label":"&lt;battle&gt;敌方有不少于40层寒冷时，对其施加 20 层凝滞&lt;/battle&gt;"}},"3":{"label":"&lt;battle&gt;敌方有不少于40层寒冷时，对其施加 25 层凝滞&lt;/battle&gt;","periodicPulse":{"buffGains":[{"count":25}],"label":"&lt;battle&gt;敌方有不少于40层寒冷时，对其施加 25 层凝滞&lt;/battle&gt;"}}}}</t>
        </is>
      </c>
    </row>
    <row r="918" ht="32" customHeight="1">
      <c r="A918" s="8" t="n">
        <v>411753</v>
      </c>
      <c r="B918" s="8" t="inlineStr">
        <is>
          <t>月砂缚水索</t>
        </is>
      </c>
      <c r="C918" s="8" t="inlineStr">
        <is>
          <t>法器</t>
        </is>
      </c>
      <c r="D918" s="8" t="inlineStr">
        <is>
          <t>common</t>
        </is>
      </c>
      <c r="E918" s="8" t="inlineStr">
        <is>
          <t>poison</t>
        </is>
      </c>
      <c r="F918" s="8" t="n">
        <v>1</v>
      </c>
      <c r="G918" s="8" t="inlineStr">
        <is>
          <t>基础/顶层</t>
        </is>
      </c>
      <c r="H918" s="8" t="inlineStr"/>
      <c r="I918" s="9" t="inlineStr"/>
      <c r="J918" s="8" t="inlineStr"/>
      <c r="K918" s="8" t="inlineStr"/>
      <c r="L918" s="8" t="inlineStr"/>
      <c r="M918" s="8" t="inlineStr">
        <is>
          <t>说明/执行器</t>
        </is>
      </c>
      <c r="N918" s="8" t="inlineStr">
        <is>
          <t>effectNote</t>
        </is>
      </c>
      <c r="O918" s="9" t="inlineStr">
        <is>
          <t>相邻毒属性法器使用时，消耗1点体力，对敌方施加 1 层乱流；相邻毒属性法器使用时，消耗1点体力，对敌方施加 2 层乱流；相邻毒属性法器使用时，消耗1点体力，对敌方施加 3 层乱流；相邻毒属性法器使用时，消耗1点体力，对敌方施加 4 层乱流</t>
        </is>
      </c>
      <c r="P918" s="9" t="inlineStr">
        <is>
          <t>onItemUse</t>
        </is>
      </c>
      <c r="Q918" s="9" t="inlineStr">
        <is>
          <t>modifyPlayerPrimaryStat；adjacent；applyBuff</t>
        </is>
      </c>
      <c r="R918" s="9" t="inlineStr">
        <is>
          <t>{"kind":"effectNote","label":"&lt;battle&gt;相邻毒属性法器使用时，消耗1点体力，对敌方施加 1 层乱流&lt;/battle&gt;","executors":[{"trigger":"onItemUse","type":"modifyPlayerPrimaryStat","stat":"stamina","delta":-1,"eventSource":{"target":{"type":"adjacent"},"filter":{"categories":["implement"],"elements":["poison"]}},"activationRequirements":{"primaryStatThreshold":{"stat":"stamina","comparator":"atLeast","amount":1}},"support":"battleOnly","label":"&lt;battle&gt;相邻毒属性法器使用时，消耗1点体力，对敌方施加 1 层乱流&lt;/battle&gt;"},{"trigger":"onItemUse","type":"applyBuff","buffId":"turbulence","count":1,"targetActor":"enemy","polarity":"detrimental","eventSource":{"target":{"type":"adjacent"},"filter":{"categories":["implement"],"elements":["poison"]}},"activationRequirements":{"primaryStatThreshold":{"stat":"stamina","comparator":"atLeast","amount":1}},"support":"battleOnly","label":"&lt;battle&gt;相邻毒属性法器使用时，消耗1点体力，对敌方施加 1 层乱流&lt;/battle&gt;"}],"starOverrides":{"1":{"label":"&lt;battle&gt;相邻毒属性法器使用时，消耗1点体力，对敌方施加 2 层乱流&lt;/battle&gt;","executors":[{"trigger":"onItemUse","type":"modifyPlayerPrimaryStat","stat":"stamina","delta":-1,"eventSource":{"target":{"type":"adjacent"},"filter":{"categories":["implement"],"elements":["poison"]}},"activationRequirements":{"primaryStatThreshold":{"stat":"stamina","comparator":"atLeast","amount":1}},"support":"battleOnly","label":"&lt;battle&gt;相邻毒属性法器使用时，消耗1点体力，对敌方施加 2 层乱流&lt;/battle&gt;"},{"trigger":"onItemUse","type":"applyBuff","buffId":"turbulence","count":2,"targetActor":"enemy","polarity":"detrimental","eventSource":{"target":{"type":"adjacent"},"filter":{"categories":["implement"],"elements":["poison"]}},"activationRequirements":{"primaryStatThreshold":{"stat":"stamina","comparator":"atLeast","amount":1}},"support":"battleOnly","label":"&lt;battle&gt;相邻毒属性法器使用时，消耗1点体力，对敌方施加 2 层乱流&lt;/battle&gt;"}]},"2":{"label":"&lt;battle&gt;相邻毒属性法器使用时，消耗1点体力，对敌方施加 3 层乱流&lt;/battle&gt;","executors":[{"trigger":"onItemUse","type":"modifyPlayerPrimaryStat","stat":"stamina","delta":-1,"eventSource":{"target":{"type":"adjacent"},"filter":{"categories":["implement"],"elements":["poison"]}},"activationRequirements":{"primaryStatThreshold":{"stat":"stamina","comparator":"atLeast","amount":1}},"support":"battleOnly","label":"&lt;battle&gt;相邻毒属性法器使用时，消耗1点体力，对敌方施加 3 层乱流&lt;/battle&gt;"},{"trigger":"onItemUse","type":"applyBuff","buffId":"turbulence","count":3,"targetActor":"enemy","polarity":"detrimental","eventSource":{"target":{"type":"adjacent"},"filter":{"categories":["implement"],"elements":["poison"]}},"activationRequirements":{"primaryStatThreshold":{"stat":"stamina","comparator":"atLeast","amount":1}},"support":"battleOnly","label":"&lt;battle&gt;相邻毒属性法器使用时，消耗1点体力，对敌方施加 3 层乱流&lt;/battle&gt;"}]},"3":{"label":"&lt;battle&gt;相邻毒属性法器使用时，消耗1点体力，对敌方施加 4 层乱流&lt;/battle&gt;","executors":[{"trigger":"onItemUse","type":"modifyPlayerPrimaryStat","stat":"stamina","delta":-1,"eventSource":{"target":{"type":"adjacent"},"filter":{"categories":["implement"],"elements":["poison"]}},"activationRequirements":{"primaryStatThreshold":{"stat":"stamina","comparator":"atLeast","amount":1}},"support":"battleOnly","label":"&lt;battle&gt;相邻毒属性法器使用时，消耗1点体力，对敌方施加 4 层乱流&lt;/battle&gt;"},{"trigger":"onItemUse","type":"applyBuff","buffId":"turbulence","count":4,"targetActor":"enemy","polarity":"detrimental","eventSource":{"target":{"type":"adjacent"},"filter":{"categories":["implement"],"elements":["poison"]}},"activationRequirements":{"primaryStatThreshold":{"stat":"stamina","comparator":"atLeast","amount":1}},"support":"battleOnly","label":"&lt;battle&gt;相邻毒属性法器使用时，消耗1点体力，对敌方施加 4 层乱流&lt;/battle&gt;"}]}}}</t>
        </is>
      </c>
    </row>
    <row r="919" ht="32" customHeight="1">
      <c r="A919" s="8" t="n">
        <v>411754</v>
      </c>
      <c r="B919" s="8" t="inlineStr">
        <is>
          <t>颚爪旋裂钺</t>
        </is>
      </c>
      <c r="C919" s="8" t="inlineStr">
        <is>
          <t>法器</t>
        </is>
      </c>
      <c r="D919" s="8" t="inlineStr">
        <is>
          <t>common</t>
        </is>
      </c>
      <c r="E919" s="8" t="inlineStr">
        <is>
          <t>poison</t>
        </is>
      </c>
      <c r="F919" s="8" t="n">
        <v>1</v>
      </c>
      <c r="G919" s="8" t="inlineStr">
        <is>
          <t>基础/顶层</t>
        </is>
      </c>
      <c r="H919" s="8" t="inlineStr"/>
      <c r="I919" s="9" t="inlineStr"/>
      <c r="J919" s="8" t="inlineStr"/>
      <c r="K919" s="8" t="inlineStr"/>
      <c r="L919" s="8" t="inlineStr"/>
      <c r="M919" s="8" t="inlineStr">
        <is>
          <t>条件触发</t>
        </is>
      </c>
      <c r="N919" s="8" t="inlineStr">
        <is>
          <t>triggered</t>
        </is>
      </c>
      <c r="O919" s="9" t="inlineStr">
        <is>
          <t>其他法器使敌方获得中毒时，将3层露水转化为4层乱流并施加于敌方；其他法器使敌方获得中毒时，将3层露水转化为6层乱流并施加于敌方；其他法器使敌方获得中毒时，将3层露水转化为8层乱流并施加于敌方；其他法器使敌方获得中毒时，将3层露水转化为10层乱流并施加于敌方</t>
        </is>
      </c>
      <c r="P919" s="9" t="inlineStr">
        <is>
          <t>onBuffGain</t>
        </is>
      </c>
      <c r="Q919" s="9" t="inlineStr">
        <is>
          <t>consumeBuffStacks；other</t>
        </is>
      </c>
      <c r="R919" s="9" t="inlineStr">
        <is>
          <t>{"kind":"triggered","triggeredEffect":{"trigger":"onBuffGain","eventActor":"enemy","eventBuffId":"poison","type":"consumeBuffStacks","sourceBuffId":"dew","requiredStacks":3,"maxStacks":3,"targetBuffGainPerStack":{"buffId":"turbulence","countPerStack":1.3333333333333333},"eventSource":{"target":{"type":"other"}},"support":"battleOnly"},"label":"&lt;battle&gt;其他法器使敌方获得中毒时，将3层露水转化为4层乱流并施加于敌方&lt;/battle&gt;","starOverrides":{"1":{"label":"&lt;battle&gt;其他法器使敌方获得中毒时，将3层露水转化为6层乱流并施加于敌方&lt;/battle&gt;","triggeredEffect":{"targetBuffGainPerStack":{"countPerStack":2}}},"2":{"label":"&lt;battle&gt;其他法器使敌方获得中毒时，将3层露水转化为8层乱流并施加于敌方&lt;/battle&gt;","triggeredEffect":{"targetBuffGainPerStack":{"countPerStack":2.6666666666666665}}},"3":{"label":"&lt;battle&gt;其他法器使敌方获得中毒时，将3层露水转化为10层乱流并施加于敌方&lt;/battle&gt;","triggeredEffect":{"targetBuffGainPerStack":{"countPerStack":3.3333333333333335}}}}}</t>
        </is>
      </c>
    </row>
    <row r="920" ht="32" customHeight="1">
      <c r="A920" s="8" t="n">
        <v>411800</v>
      </c>
      <c r="B920" s="8" t="inlineStr">
        <is>
          <t>尘骨镇脉尺</t>
        </is>
      </c>
      <c r="C920" s="8" t="inlineStr">
        <is>
          <t>法器</t>
        </is>
      </c>
      <c r="D920" s="8" t="inlineStr">
        <is>
          <t>common</t>
        </is>
      </c>
      <c r="E920" s="8" t="inlineStr">
        <is>
          <t>wood</t>
        </is>
      </c>
      <c r="F920" s="8" t="n">
        <v>1</v>
      </c>
      <c r="G920" s="8" t="inlineStr">
        <is>
          <t>基础/顶层</t>
        </is>
      </c>
      <c r="H920" s="8" t="inlineStr"/>
      <c r="I920" s="9" t="inlineStr"/>
      <c r="J920" s="8" t="inlineStr"/>
      <c r="K920" s="8" t="inlineStr"/>
      <c r="L920" s="8" t="inlineStr"/>
      <c r="M920" s="8" t="inlineStr">
        <is>
          <t>周期触发</t>
        </is>
      </c>
      <c r="N920" s="8" t="inlineStr">
        <is>
          <t>periodicPulse</t>
        </is>
      </c>
      <c r="O920" s="9" t="inlineStr">
        <is>
          <t>消耗7层再生，对敌方施加15 层禁疗；消耗7层再生，对敌方施加20 层禁疗；消耗7层再生，对敌方施加25 层禁疗；消耗7层再生，对敌方施加30 层禁疗</t>
        </is>
      </c>
      <c r="P920" s="9" t="inlineStr">
        <is>
          <t>onPeriodicPulse</t>
        </is>
      </c>
      <c r="Q920" s="9" t="inlineStr">
        <is>
          <t>consumeBuffStacks；applyBuff</t>
        </is>
      </c>
      <c r="R920" s="9" t="inlineStr">
        <is>
          <t>{"kind":"periodicPulse","periodicPulse":{"intervalSec":14,"activationRequirements":{"buffStackThresholds":[{"buffId":"regeneration","comparator":"atLeast","count":7}]},"label":"消耗7层再生，&lt;battle&gt;对敌方施加15 层禁疗&lt;/battle&gt;"},"executors":[{"trigger":"onPeriodicPulse","type":"consumeBuffStacks","sourceBuffId":"regeneration","requiredStacks":7,"maxStacks":7,"support":"common","label":"消耗7层再生，&lt;battle&gt;对敌方施加15 层禁疗&lt;/battle&gt;"},{"trigger":"onPeriodicPulse","type":"applyBuff","buffId":"antiHeal","count":15,"label":"消耗7层再生，&lt;battle&gt;对敌方施加15 层禁疗&lt;/battle&gt;","targetActor":"enemy","polarity":"detrimental","support":"battleOnly"}],"label":"消耗7层再生，&lt;battle&gt;对敌方施加15 层禁疗&lt;/battle&gt;","starOverrides":{"1":{"label":"消耗7层再生，&lt;battle&gt;对敌方施加20 层禁疗&lt;/battle&gt;","periodicPulse":{"intervalSec":13,"label":"消耗7层再生，&lt;battle&gt;对敌方施加20 层禁疗&lt;/battle&gt;"},"executors":[{"trigger":"onPeriodicPulse","type":"consumeBuffStacks","sourceBuffId":"regeneration","requiredStacks":7,"maxStacks":7,"support":"common","label":"消耗7层再生，&lt;battle&gt;对敌方施加20 层禁疗&lt;/battle&gt;"},{"trigger":"onPeriodicPulse","type":"applyBuff","buffId":"antiHeal","count":20,"label":"消耗7层再生，&lt;battle&gt;对敌方施加20 层禁疗&lt;/battle&gt;","targetActor":"enemy","polarity":"detrimental","support":"battleOnly"}]},"2":{"label":"消耗7层再生，&lt;battle&gt;对敌方施加25 层禁疗&lt;/battle&gt;","periodicPulse":{"intervalSec":12,"label":"消耗7层再生，&lt;battle&gt;对敌方施加25 层禁疗&lt;/battle&gt;"},"executors":[{"trigger":"onPeriodicPulse","type":"consumeBuffStacks","sourceBuffId":"regeneration","requiredStacks":7,"maxStacks":7,"support":"common","label":"消耗7层再生，&lt;battle&gt;对敌方施加25 层禁疗&lt;/battle&gt;"},{"trigger":"onPeriodicPulse","type":"applyBuff","buffId":"antiHeal","count":25,"label":"消耗7层再生，&lt;battle&gt;对敌方施加25 层禁疗&lt;/battle&gt;","targetActor":"enemy","polarity":"detrimental","support":"battleOnly"}]},"3":{"label":"消耗7层再生，&lt;battle&gt;对敌方施加30 层禁疗&lt;/battle&gt;","periodicPulse":{"intervalSec":11,"label":"消耗7层再生，&lt;battle&gt;对敌方施加30 层禁疗&lt;/battle&gt;"},"executors":[{"trigger":"onPeriodicPulse","type":"consumeBuffStacks","sourceBuffId":"regeneration","requiredStacks":7,"maxStacks":7,"support":"common","label":"消耗7层再生，&lt;battle&gt;对敌方施加30 层禁疗&lt;/battle&gt;"},{"trigger":"onPeriodicPulse","type":"applyBuff","buffId":"antiHeal","count":30,"label":"消耗7层再生，&lt;battle&gt;对敌方施加30 层禁疗&lt;/battle&gt;","targetActor":"enemy","polarity":"detrimental","support":"battleOnly"}]}}}</t>
        </is>
      </c>
    </row>
    <row r="921" ht="32" customHeight="1">
      <c r="A921" s="8" t="n">
        <v>411801</v>
      </c>
      <c r="B921" s="8" t="inlineStr">
        <is>
          <t>砂鳞承甲</t>
        </is>
      </c>
      <c r="C921" s="8" t="inlineStr">
        <is>
          <t>法器</t>
        </is>
      </c>
      <c r="D921" s="8" t="inlineStr">
        <is>
          <t>common</t>
        </is>
      </c>
      <c r="E921" s="8" t="inlineStr">
        <is>
          <t>wood</t>
        </is>
      </c>
      <c r="F921" s="8" t="n">
        <v>1</v>
      </c>
      <c r="G921" s="8" t="inlineStr">
        <is>
          <t>基础/顶层</t>
        </is>
      </c>
      <c r="H921" s="8" t="inlineStr"/>
      <c r="I921" s="9" t="inlineStr"/>
      <c r="J921" s="8" t="inlineStr"/>
      <c r="K921" s="8" t="inlineStr"/>
      <c r="L921" s="8" t="inlineStr"/>
      <c r="M921" s="8" t="inlineStr">
        <is>
          <t>条件触发</t>
        </is>
      </c>
      <c r="N921" s="8" t="inlineStr">
        <is>
          <t>triggered</t>
        </is>
      </c>
      <c r="O921" s="9" t="inlineStr">
        <is>
          <t>每获得10层坚硬，获得 2 层再生；每获得10层坚硬，获得 4 层再生；每获得10层坚硬，获得 6 层再生；每获得10层坚硬，获得 8 层再生</t>
        </is>
      </c>
      <c r="P921" s="9" t="inlineStr">
        <is>
          <t>onBuffGain</t>
        </is>
      </c>
      <c r="Q921" s="9" t="inlineStr">
        <is>
          <t>applyBuff</t>
        </is>
      </c>
      <c r="R921" s="9" t="inlineStr">
        <is>
          <t>{"kind":"triggered","triggeredEffect":{"trigger":"onBuffGain","eventBuffId":"sturdy","type":"applyBuff","buffId":"regeneration","count":2,"targetActor":"self","charge":{"threshold":10,"source":{"trigger":"onBuffGain","buffIds":["sturdy"]}},"support":"common"},"label":"每获得10层坚硬，获得 2 层再生","starOverrides":{"1":{"label":"每获得10层坚硬，获得 4 层再生","triggeredEffect":{"count":4}},"2":{"label":"每获得10层坚硬，获得 6 层再生","triggeredEffect":{"count":6}},"3":{"label":"每获得10层坚硬，获得 8 层再生","triggeredEffect":{"count":8}}}}</t>
        </is>
      </c>
    </row>
    <row r="922" ht="32" customHeight="1">
      <c r="A922" s="8" t="n">
        <v>411802</v>
      </c>
      <c r="B922" s="8" t="inlineStr">
        <is>
          <t>草骨稳息钳</t>
        </is>
      </c>
      <c r="C922" s="8" t="inlineStr">
        <is>
          <t>法器</t>
        </is>
      </c>
      <c r="D922" s="8" t="inlineStr">
        <is>
          <t>common</t>
        </is>
      </c>
      <c r="E922" s="8" t="inlineStr">
        <is>
          <t>wood</t>
        </is>
      </c>
      <c r="F922" s="8" t="n">
        <v>1</v>
      </c>
      <c r="G922" s="8" t="inlineStr">
        <is>
          <t>基础/顶层</t>
        </is>
      </c>
      <c r="H922" s="8" t="inlineStr"/>
      <c r="I922" s="9" t="inlineStr"/>
      <c r="J922" s="8" t="inlineStr"/>
      <c r="K922" s="8" t="inlineStr"/>
      <c r="L922" s="8" t="inlineStr"/>
      <c r="M922" s="8" t="inlineStr">
        <is>
          <t>条件触发</t>
        </is>
      </c>
      <c r="N922" s="8" t="inlineStr">
        <is>
          <t>triggered</t>
        </is>
      </c>
      <c r="O922" s="9" t="inlineStr">
        <is>
          <t>累积对敌方施加10层禁疗时，恢复20点气血</t>
        </is>
      </c>
      <c r="P922" s="9" t="inlineStr">
        <is>
          <t>onBuffGain</t>
        </is>
      </c>
      <c r="Q922" s="9" t="inlineStr">
        <is>
          <t>modifyPlayerPrimaryStat</t>
        </is>
      </c>
      <c r="R922" s="9" t="inlineStr">
        <is>
          <t>{"kind":"triggered","triggeredEffect":{"trigger":"onBuffGain","type":"modifyPlayerPrimaryStat","stat":"health","delta":20,"eventActor":"enemy","eventBuffId":"antiHeal","charge":{"threshold":10},"support":"battleOnly"},"label":"&lt;battle&gt;累积对敌方施加10层禁疗时，恢复20点气血&lt;/battle&gt;"}</t>
        </is>
      </c>
    </row>
    <row r="923" ht="32" customHeight="1">
      <c r="A923" s="8" t="n">
        <v>411803</v>
      </c>
      <c r="B923" s="8" t="inlineStr">
        <is>
          <t>腹甲护元匣</t>
        </is>
      </c>
      <c r="C923" s="8" t="inlineStr">
        <is>
          <t>法器</t>
        </is>
      </c>
      <c r="D923" s="8" t="inlineStr">
        <is>
          <t>common</t>
        </is>
      </c>
      <c r="E923" s="8" t="inlineStr">
        <is>
          <t>ice</t>
        </is>
      </c>
      <c r="F923" s="8" t="n">
        <v>1</v>
      </c>
      <c r="G923" s="8" t="inlineStr">
        <is>
          <t>基础/顶层</t>
        </is>
      </c>
      <c r="H923" s="8" t="inlineStr"/>
      <c r="I923" s="9" t="inlineStr"/>
      <c r="J923" s="8" t="inlineStr"/>
      <c r="K923" s="8" t="inlineStr"/>
      <c r="L923" s="8" t="inlineStr"/>
      <c r="M923" s="8" t="inlineStr">
        <is>
          <t>条件触发</t>
        </is>
      </c>
      <c r="N923" s="8" t="inlineStr">
        <is>
          <t>triggered</t>
        </is>
      </c>
      <c r="O923" s="9" t="inlineStr">
        <is>
          <t>未贴住储物袋边缘时，我方寒冷消耗时，获得1层蓄势</t>
        </is>
      </c>
      <c r="P923" s="9" t="inlineStr">
        <is>
          <t>onBuffConsumed</t>
        </is>
      </c>
      <c r="Q923" s="9" t="inlineStr">
        <is>
          <t>applyBuff；other</t>
        </is>
      </c>
      <c r="R923" s="9" t="inlineStr">
        <is>
          <t>{"kind":"triggered","triggeredEffect":{"trigger":"onBuffConsumed","eventActor":"self","eventBuffId":"cold","type":"applyBuff","buffId":"heavy","count":1,"targetActor":"self","singletonByTemplate":true,"eventSource":{"target":{"type":"other"}},"activationRequirements":{"forbiddenEdges":["top","bottom","left","right"]},"support":"battleOnly"},"label":"未贴住储物袋边缘时，&lt;singleton&gt;我方寒冷消耗时，获得1层蓄势&lt;/singleton&gt;"}</t>
        </is>
      </c>
    </row>
    <row r="924" ht="32" customHeight="1">
      <c r="A924" s="8" t="n">
        <v>411900</v>
      </c>
      <c r="B924" s="8" t="inlineStr">
        <is>
          <t>青麟玉衣承脉披</t>
        </is>
      </c>
      <c r="C924" s="8" t="inlineStr">
        <is>
          <t>法器</t>
        </is>
      </c>
      <c r="D924" s="8" t="inlineStr">
        <is>
          <t>common</t>
        </is>
      </c>
      <c r="E924" s="8" t="inlineStr">
        <is>
          <t>fire</t>
        </is>
      </c>
      <c r="F924" s="8" t="n">
        <v>1</v>
      </c>
      <c r="G924" s="8" t="inlineStr">
        <is>
          <t>基础/顶层</t>
        </is>
      </c>
      <c r="H924" s="8" t="inlineStr"/>
      <c r="I924" s="9" t="inlineStr"/>
      <c r="J924" s="8" t="inlineStr"/>
      <c r="K924" s="8" t="inlineStr"/>
      <c r="L924" s="8" t="inlineStr"/>
      <c r="M924" s="8" t="inlineStr">
        <is>
          <t>说明/执行器</t>
        </is>
      </c>
      <c r="N924" s="8" t="inlineStr">
        <is>
          <t>effectNote</t>
        </is>
      </c>
      <c r="O924" s="9" t="inlineStr">
        <is>
          <t>其他法器消耗我方炎热时，消耗1点法力，对敌方施加 1 层裂甲；其他法器消耗我方炎热时，消耗1点法力，对敌方施加 2 层裂甲；其他法器消耗我方炎热时，消耗1点法力，对敌方施加 3 层裂甲；其他法器消耗我方炎热时，消耗1点法力，对敌方施加 4 层裂甲</t>
        </is>
      </c>
      <c r="P924" s="9" t="inlineStr">
        <is>
          <t>onBuffConsumed</t>
        </is>
      </c>
      <c r="Q924" s="9" t="inlineStr">
        <is>
          <t>modifyPlayerPrimaryStat；other；applyBuff</t>
        </is>
      </c>
      <c r="R924" s="9" t="inlineStr">
        <is>
          <t>{"kind":"effectNote","label":"&lt;battle&gt;其他法器消耗我方炎热时，消耗1点法力，对敌方施加 1 层裂甲&lt;/battle&gt;","executors":[{"trigger":"onBuffConsumed","eventActor":"self","eventBuffId":"heat","type":"modifyPlayerPrimaryStat","stat":"mana","delta":-1,"eventSource":{"target":{"type":"other"}},"activationRequirements":{"primaryStatThreshold":{"stat":"mana","comparator":"atLeast","amount":1}},"support":"battleOnly","label":"&lt;battle&gt;其他法器消耗我方炎热时，消耗1点法力，对敌方施加 1 层裂甲&lt;/battle&gt;"},{"trigger":"onBuffConsumed","eventActor":"self","eventBuffId":"heat","type":"applyBuff","buffId":"crackArmor","count":1,"targetActor":"enemy","polarity":"detrimental","eventSource":{"target":{"type":"other"}},"activationRequirements":{"primaryStatThreshold":{"stat":"mana","comparator":"atLeast","amount":1}},"support":"battleOnly","label":"&lt;battle&gt;其他法器消耗我方炎热时，消耗1点法力，对敌方施加 1 层裂甲&lt;/battle&gt;"}],"starOverrides":{"1":{"label":"&lt;battle&gt;其他法器消耗我方炎热时，消耗1点法力，对敌方施加 2 层裂甲&lt;/battle&gt;","executors":[{"delta":-1,"label":"&lt;battle&gt;其他法器消耗我方炎热时，消耗1点法力，对敌方施加 2 层裂甲&lt;/battle&gt;"},{"count":2,"label":"&lt;battle&gt;其他法器消耗我方炎热时，消耗1点法力，对敌方施加 2 层裂甲&lt;/battle&gt;"}]},"2":{"label":"&lt;battle&gt;其他法器消耗我方炎热时，消耗1点法力，对敌方施加 3 层裂甲&lt;/battle&gt;","executors":[{"delta":-1,"label":"&lt;battle&gt;其他法器消耗我方炎热时，消耗1点法力，对敌方施加 3 层裂甲&lt;/battle&gt;"},{"count":3,"label":"&lt;battle&gt;其他法器消耗我方炎热时，消耗1点法力，对敌方施加 3 层裂甲&lt;/battle&gt;"}]},"3":{"label":"&lt;battle&gt;其他法器消耗我方炎热时，消耗1点法力，对敌方施加 4 层裂甲&lt;/battle&gt;","executors":[{"delta":-1,"label":"&lt;battle&gt;其他法器消耗我方炎热时，消耗1点法力，对敌方施加 4 层裂甲&lt;/battle&gt;"},{"count":4,"label":"&lt;battle&gt;其他法器消耗我方炎热时，消耗1点法力，对敌方施加 4 层裂甲&lt;/battle&gt;"}]}}}</t>
        </is>
      </c>
    </row>
    <row r="925" ht="32" customHeight="1">
      <c r="A925" s="8" t="n">
        <v>411901</v>
      </c>
      <c r="B925" s="8" t="inlineStr">
        <is>
          <t>玉核裂髓镇息杖</t>
        </is>
      </c>
      <c r="C925" s="8" t="inlineStr">
        <is>
          <t>法器</t>
        </is>
      </c>
      <c r="D925" s="8" t="inlineStr">
        <is>
          <t>common</t>
        </is>
      </c>
      <c r="E925" s="8" t="inlineStr">
        <is>
          <t>wood</t>
        </is>
      </c>
      <c r="F925" s="8" t="n">
        <v>1</v>
      </c>
      <c r="G925" s="8" t="inlineStr">
        <is>
          <t>基础/顶层</t>
        </is>
      </c>
      <c r="H925" s="8" t="inlineStr"/>
      <c r="I925" s="9" t="inlineStr"/>
      <c r="J925" s="8" t="inlineStr"/>
      <c r="K925" s="8" t="inlineStr"/>
      <c r="L925" s="8" t="inlineStr"/>
      <c r="M925" s="8" t="inlineStr">
        <is>
          <t>条件触发</t>
        </is>
      </c>
      <c r="N925" s="8" t="inlineStr">
        <is>
          <t>triggered</t>
        </is>
      </c>
      <c r="O925" s="9" t="inlineStr">
        <is>
          <t>累计获得15点法力后，获得3层再生；累计获得15点法力后，获得6层再生；累计获得15点法力后，获得9层再生；累计获得15点法力后，获得12层再生</t>
        </is>
      </c>
      <c r="P925" s="9" t="inlineStr">
        <is>
          <t>onPrimaryStatGain</t>
        </is>
      </c>
      <c r="Q925" s="9" t="inlineStr">
        <is>
          <t>applyBuff</t>
        </is>
      </c>
      <c r="R925" s="9" t="inlineStr">
        <is>
          <t>{"kind":"triggered","triggeredEffect":{"trigger":"onPrimaryStatGain","type":"applyBuff","buffId":"regeneration","count":3,"targetActor":"self","charge":{"threshold":15,"source":{"trigger":"onPrimaryStatGain","primaryStats":["mana"]}},"support":"common"},"label":"累计获得15点法力后，获得3层再生","starOverrides":{"1":{"label":"累计获得15点法力后，获得6层再生","triggeredEffect":{"count":6}},"2":{"label":"累计获得15点法力后，获得9层再生","triggeredEffect":{"count":9}},"3":{"label":"累计获得15点法力后，获得12层再生","triggeredEffect":{"count":12}}}}</t>
        </is>
      </c>
    </row>
    <row r="926" ht="32" customHeight="1">
      <c r="A926" s="8" t="n">
        <v>411902</v>
      </c>
      <c r="B926" s="8" t="inlineStr">
        <is>
          <t>返光灵囊纳息匣</t>
        </is>
      </c>
      <c r="C926" s="8" t="inlineStr">
        <is>
          <t>法器</t>
        </is>
      </c>
      <c r="D926" s="8" t="inlineStr">
        <is>
          <t>common</t>
        </is>
      </c>
      <c r="E926" s="8" t="inlineStr">
        <is>
          <t>wood</t>
        </is>
      </c>
      <c r="F926" s="8" t="n">
        <v>1</v>
      </c>
      <c r="G926" s="8" t="inlineStr">
        <is>
          <t>基础/顶层</t>
        </is>
      </c>
      <c r="H926" s="8" t="inlineStr"/>
      <c r="I926" s="9" t="inlineStr"/>
      <c r="J926" s="8" t="inlineStr"/>
      <c r="K926" s="8" t="inlineStr"/>
      <c r="L926" s="8" t="inlineStr"/>
      <c r="M926" s="8" t="inlineStr">
        <is>
          <t>条件触发</t>
        </is>
      </c>
      <c r="N926" s="8" t="inlineStr">
        <is>
          <t>triggered</t>
        </is>
      </c>
      <c r="O926" s="9" t="inlineStr">
        <is>
          <t>累计获得50层再生后，消耗20层再生，获得100点修为；累计获得60层再生后，消耗30层再生，获得150点修为；累计获得70层再生后，消耗40层再生，获得200点修为；累计获得80层再生后，消耗50层再生，获得250点修为</t>
        </is>
      </c>
      <c r="P926" s="9" t="inlineStr">
        <is>
          <t>onBuffGain</t>
        </is>
      </c>
      <c r="Q926" s="9" t="inlineStr">
        <is>
          <t>consumeBuffStacks</t>
        </is>
      </c>
      <c r="R926" s="9" t="inlineStr">
        <is>
          <t>{"kind":"triggered","triggeredEffect":{"trigger":"onBuffGain","eventActor":"self","eventBuffId":"regeneration","type":"consumeBuffStacks","sourceBuffId":"regeneration","requiredStacks":20,"maxStacks":20,"cultivationGainPerStack":5,"charge":{"threshold":50,"source":{"trigger":"onBuffGain","buffIds":["regeneration"]}},"support":"cultivationOnly"},"label":"&lt;cultivation&gt;累计获得50层再生后，消耗20层再生，获得100点修为&lt;/cultivation&gt;","starOverrides":{"1":{"label":"&lt;cultivation&gt;累计获得60层再生后，消耗30层再生，获得150点修为&lt;/cultivation&gt;","triggeredEffect":{"requiredStacks":30,"maxStacks":30,"charge":{"threshold":60}}},"2":{"label":"&lt;cultivation&gt;累计获得70层再生后，消耗40层再生，获得200点修为&lt;/cultivation&gt;","triggeredEffect":{"requiredStacks":40,"maxStacks":40,"charge":{"threshold":70}}},"3":{"label":"&lt;cultivation&gt;累计获得80层再生后，消耗50层再生，获得250点修为&lt;/cultivation&gt;","triggeredEffect":{"requiredStacks":50,"maxStacks":50,"charge":{"threshold":80}}}}}</t>
        </is>
      </c>
    </row>
    <row r="927" ht="32" customHeight="1">
      <c r="A927" s="8" t="n">
        <v>411903</v>
      </c>
      <c r="B927" s="8" t="inlineStr">
        <is>
          <t>青麟护膜护腕</t>
        </is>
      </c>
      <c r="C927" s="8" t="inlineStr">
        <is>
          <t>法器</t>
        </is>
      </c>
      <c r="D927" s="8" t="inlineStr">
        <is>
          <t>common</t>
        </is>
      </c>
      <c r="E927" s="8" t="inlineStr">
        <is>
          <t>wood</t>
        </is>
      </c>
      <c r="F927" s="8" t="n">
        <v>1</v>
      </c>
      <c r="G927" s="8" t="inlineStr">
        <is>
          <t>基础/顶层</t>
        </is>
      </c>
      <c r="H927" s="8" t="inlineStr"/>
      <c r="I927" s="9" t="inlineStr"/>
      <c r="J927" s="8" t="inlineStr"/>
      <c r="K927" s="8" t="inlineStr"/>
      <c r="L927" s="8" t="inlineStr"/>
      <c r="M927" s="8" t="inlineStr">
        <is>
          <t>条件触发</t>
        </is>
      </c>
      <c r="N927" s="8" t="inlineStr">
        <is>
          <t>triggered</t>
        </is>
      </c>
      <c r="O927" s="9" t="inlineStr">
        <is>
          <t>右侧相邻木属性道具使用时，获得2层护甲；右侧相邻木属性道具使用时，获得3层护甲；右侧相邻木属性道具使用时，获得4层护甲；右侧相邻木属性道具使用时，获得5层护甲</t>
        </is>
      </c>
      <c r="P927" s="9" t="inlineStr">
        <is>
          <t>onItemUse</t>
        </is>
      </c>
      <c r="Q927" s="9" t="inlineStr">
        <is>
          <t>applyBuff；directional-adjacent</t>
        </is>
      </c>
      <c r="R927" s="9" t="inlineStr">
        <is>
          <t>{"kind":"triggered","triggeredEffect":{"trigger":"onItemUse","type":"applyBuff","buffId":"armor","count":2,"targetActor":"self","eventSource":{"target":{"type":"directional-adjacent","direction":"right"},"filter":{"elements":["wood"]}},"support":"common"},"label":"右侧相邻木属性道具使用时，获得2层护甲","starOverrides":{"1":{"label":"右侧相邻木属性道具使用时，获得3层护甲","triggeredEffect":{"count":3}},"2":{"label":"右侧相邻木属性道具使用时，获得4层护甲","triggeredEffect":{"count":4}},"3":{"label":"右侧相邻木属性道具使用时，获得5层护甲","triggeredEffect":{"count":5}}}}</t>
        </is>
      </c>
    </row>
    <row r="928" ht="32" customHeight="1">
      <c r="A928" s="8" t="n">
        <v>411904</v>
      </c>
      <c r="B928" s="8" t="inlineStr">
        <is>
          <t>玉台软皮承露腕</t>
        </is>
      </c>
      <c r="C928" s="8" t="inlineStr">
        <is>
          <t>法器</t>
        </is>
      </c>
      <c r="D928" s="8" t="inlineStr">
        <is>
          <t>common</t>
        </is>
      </c>
      <c r="E928" s="8" t="inlineStr">
        <is>
          <t>wood</t>
        </is>
      </c>
      <c r="F928" s="8" t="n">
        <v>1</v>
      </c>
      <c r="G928" s="8" t="inlineStr">
        <is>
          <t>基础/顶层</t>
        </is>
      </c>
      <c r="H928" s="8" t="inlineStr"/>
      <c r="I928" s="9" t="inlineStr"/>
      <c r="J928" s="8" t="inlineStr"/>
      <c r="K928" s="8" t="inlineStr"/>
      <c r="L928" s="8" t="inlineStr"/>
      <c r="M928" s="8" t="inlineStr">
        <is>
          <t>周期触发</t>
        </is>
      </c>
      <c r="N928" s="8" t="inlineStr">
        <is>
          <t>periodicPulse</t>
        </is>
      </c>
      <c r="O928" s="9" t="inlineStr">
        <is>
          <t>获得2层敏捷，如果再生层数超过30层，再获得2层敏捷；如果再生层数超过30层，再获得2层敏捷；获得3层敏捷，如果再生层数超过30层，再获得3层敏捷；如果再生层数超过30层，再获得3层敏捷；获得4层敏捷，如果再生层数超过30层，再获得4层敏捷；如果再生层数超过30层，再获得4层敏捷；获得5层敏捷，如果再生层数超过30层，再获得5层敏捷；如果再生层数超过30层，再获得5层敏捷</t>
        </is>
      </c>
      <c r="P928" s="9" t="inlineStr">
        <is>
          <t>onPeriodicPulse</t>
        </is>
      </c>
      <c r="Q928" s="9" t="inlineStr">
        <is>
          <t>applyBuff</t>
        </is>
      </c>
      <c r="R928" s="9" t="inlineStr">
        <is>
          <t>{"kind":"periodicPulse","periodicPulse":{"intervalSec":7,"buffGains":[{"buffId":"agile","count":2}],"label":"获得2层敏捷，如果再生层数超过30层，再获得2层敏捷"},"executors":[{"trigger":"onPeriodicPulse","type":"applyBuff","buffId":"agile","count":2,"targetActor":"self","activationRequirements":{"buffStackThresholds":[{"buffId":"regeneration","comparator":"atLeast","count":31}]},"support":"common","label":"如果再生层数超过30层，再获得2层敏捷"}],"label":"获得2层敏捷，如果再生层数超过30层，再获得2层敏捷","starOverrides":{"1":{"label":"获得3层敏捷，如果再生层数超过30层，再获得3层敏捷","periodicPulse":{"buffGains":[{"count":3}],"label":"获得3层敏捷，如果再生层数超过30层，再获得3层敏捷"},"executors":[{"count":3,"label":"如果再生层数超过30层，再获得3层敏捷"}]},"2":{"label":"获得4层敏捷，如果再生层数超过30层，再获得4层敏捷","periodicPulse":{"buffGains":[{"count":4}],"label":"获得4层敏捷，如果再生层数超过30层，再获得4层敏捷"},"executors":[{"count":4,"label":"如果再生层数超过30层，再获得4层敏捷"}]},"3":{"label":"获得5层敏捷，如果再生层数超过30层，再获得5层敏捷","periodicPulse":{"buffGains":[{"count":5}],"label":"获得5层敏捷，如果再生层数超过30层，再获得5层敏捷"},"executors":[{"count":5,"label":"如果再生层数超过30层，再获得5层敏捷"}]}}}</t>
        </is>
      </c>
    </row>
    <row r="929" ht="32" customHeight="1">
      <c r="A929" s="8" t="n">
        <v>411905</v>
      </c>
      <c r="B929" s="8" t="inlineStr">
        <is>
          <t>台心露核恒息炉</t>
        </is>
      </c>
      <c r="C929" s="8" t="inlineStr">
        <is>
          <t>法器</t>
        </is>
      </c>
      <c r="D929" s="8" t="inlineStr">
        <is>
          <t>common</t>
        </is>
      </c>
      <c r="E929" s="8" t="inlineStr">
        <is>
          <t>wood</t>
        </is>
      </c>
      <c r="F929" s="8" t="n">
        <v>1</v>
      </c>
      <c r="G929" s="8" t="inlineStr">
        <is>
          <t>基础/顶层</t>
        </is>
      </c>
      <c r="H929" s="8" t="inlineStr"/>
      <c r="I929" s="9" t="inlineStr"/>
      <c r="J929" s="8" t="inlineStr"/>
      <c r="K929" s="8" t="inlineStr"/>
      <c r="L929" s="8" t="inlineStr"/>
      <c r="M929" s="8" t="inlineStr">
        <is>
          <t>周期触发</t>
        </is>
      </c>
      <c r="N929" s="8" t="inlineStr">
        <is>
          <t>periodicPulse</t>
        </is>
      </c>
      <c r="O929" s="9" t="inlineStr">
        <is>
          <t>将10层再生转化为20点修为；将15层再生转化为30点修为；将20层再生转化为40点修为；将25层再生转化为50点修为</t>
        </is>
      </c>
      <c r="P929" s="9" t="inlineStr">
        <is>
          <t>onPeriodicPulse</t>
        </is>
      </c>
      <c r="Q929" s="9" t="inlineStr">
        <is>
          <t>consumeBuffStacks</t>
        </is>
      </c>
      <c r="R929" s="9" t="inlineStr">
        <is>
          <t>{"kind":"periodicPulse","periodicPulse":{"intervalSec":15,"label":"&lt;cultivation&gt;将10层再生转化为20点修为&lt;/cultivation&gt;"},"executors":[{"trigger":"onPeriodicPulse","type":"consumeBuffStacks","sourceBuffId":"regeneration","requiredStacks":10,"maxStacks":10,"cultivationGainPerStack":2,"support":"cultivationOnly","label":"&lt;cultivation&gt;将10层再生转化为20点修为&lt;/cultivation&gt;"}],"label":"&lt;cultivation&gt;将10层再生转化为20点修为&lt;/cultivation&gt;","starOverrides":{"1":{"label":"&lt;cultivation&gt;将15层再生转化为30点修为&lt;/cultivation&gt;","executors":[{"requiredStacks":15,"maxStacks":15,"label":"&lt;cultivation&gt;将15层再生转化为30点修为&lt;/cultivation&gt;"}]},"2":{"label":"&lt;cultivation&gt;将20层再生转化为40点修为&lt;/cultivation&gt;","executors":[{"requiredStacks":20,"maxStacks":20,"label":"&lt;cultivation&gt;将20层再生转化为40点修为&lt;/cultivation&gt;"}]},"3":{"label":"&lt;cultivation&gt;将25层再生转化为50点修为&lt;/cultivation&gt;","executors":[{"requiredStacks":25,"maxStacks":25,"label":"&lt;cultivation&gt;将25层再生转化为50点修为&lt;/cultivation&gt;"}]}}}</t>
        </is>
      </c>
    </row>
    <row r="930" ht="32" customHeight="1">
      <c r="A930" s="8" t="n">
        <v>411906</v>
      </c>
      <c r="B930" s="8" t="inlineStr">
        <is>
          <t>青玉根须固元杖</t>
        </is>
      </c>
      <c r="C930" s="8" t="inlineStr">
        <is>
          <t>法器</t>
        </is>
      </c>
      <c r="D930" s="8" t="inlineStr">
        <is>
          <t>common</t>
        </is>
      </c>
      <c r="E930" s="8" t="inlineStr">
        <is>
          <t>wood</t>
        </is>
      </c>
      <c r="F930" s="8" t="n">
        <v>1</v>
      </c>
      <c r="G930" s="8" t="inlineStr">
        <is>
          <t>基础/顶层</t>
        </is>
      </c>
      <c r="H930" s="8" t="inlineStr"/>
      <c r="I930" s="9" t="inlineStr"/>
      <c r="J930" s="8" t="inlineStr"/>
      <c r="K930" s="8" t="inlineStr"/>
      <c r="L930" s="8" t="inlineStr"/>
      <c r="M930" s="8" t="inlineStr">
        <is>
          <t>周期触发</t>
        </is>
      </c>
      <c r="N930" s="8" t="inlineStr">
        <is>
          <t>periodicPulse</t>
        </is>
      </c>
      <c r="O930" s="9" t="inlineStr">
        <is>
          <t>将20点气血转化为5层再生；将24点气血转化为6层再生；将28点气血转化为7层再生；将32点气血转化为8层再生</t>
        </is>
      </c>
      <c r="P930" s="9" t="inlineStr"/>
      <c r="Q930" s="9" t="inlineStr"/>
      <c r="R930" s="9" t="inlineStr">
        <is>
          <t>{"kind":"periodicPulse","periodicPulse":{"intervalSec":15,"primaryStatCosts":[{"stat":"health","amount":20}],"buffGains":[{"buffId":"regeneration","count":5}],"label":"将20点气血转化为5层再生"},"label":"将20点气血转化为5层再生","starOverrides":{"1":{"label":"将24点气血转化为6层再生","periodicPulse":{"primaryStatCosts":[{"amount":24}],"buffGains":[{"buffId":"regeneration","count":6}],"label":"将24点气血转化为6层再生"}},"2":{"label":"将28点气血转化为7层再生","periodicPulse":{"primaryStatCosts":[{"amount":28}],"buffGains":[{"buffId":"regeneration","count":7}],"label":"将28点气血转化为7层再生"}},"3":{"label":"将32点气血转化为8层再生","periodicPulse":{"primaryStatCosts":[{"amount":32}],"buffGains":[{"buffId":"regeneration","count":8}],"label":"将32点气血转化为8层再生"}}}}</t>
        </is>
      </c>
    </row>
    <row r="931" ht="32" customHeight="1">
      <c r="A931" s="8" t="n">
        <v>411907</v>
      </c>
      <c r="B931" s="8" t="inlineStr">
        <is>
          <t>青麟息芽养元杖</t>
        </is>
      </c>
      <c r="C931" s="8" t="inlineStr">
        <is>
          <t>法器</t>
        </is>
      </c>
      <c r="D931" s="8" t="inlineStr">
        <is>
          <t>common</t>
        </is>
      </c>
      <c r="E931" s="8" t="inlineStr">
        <is>
          <t>wood</t>
        </is>
      </c>
      <c r="F931" s="8" t="n">
        <v>1</v>
      </c>
      <c r="G931" s="8" t="inlineStr">
        <is>
          <t>基础/顶层</t>
        </is>
      </c>
      <c r="H931" s="8" t="inlineStr"/>
      <c r="I931" s="9" t="inlineStr"/>
      <c r="J931" s="8" t="inlineStr"/>
      <c r="K931" s="8" t="inlineStr"/>
      <c r="L931" s="8" t="inlineStr"/>
      <c r="M931" s="8" t="inlineStr">
        <is>
          <t>周期触发</t>
        </is>
      </c>
      <c r="N931" s="8" t="inlineStr">
        <is>
          <t>periodicPulse</t>
        </is>
      </c>
      <c r="O931" s="9" t="inlineStr">
        <is>
          <t>如果气血超过50%，将20点气血转化为10点法力；如果气血超过50%，将24点气血转化为12点法力；如果气血超过50%，将28点气血转化为14点法力；如果气血超过50%，将32点气血转化为16点法力</t>
        </is>
      </c>
      <c r="P931" s="9" t="inlineStr"/>
      <c r="Q931" s="9" t="inlineStr"/>
      <c r="R931" s="9" t="inlineStr">
        <is>
          <t>{"kind":"periodicPulse","periodicPulse":{"intervalSec":15,"primaryStatCosts":[{"stat":"health","amount":20}],"primaryStatGains":[{"stat":"mana","amount":10}],"activationRequirements":{"primaryStatThreshold":{"stat":"health","comparator":"greaterThan","ratio":0.5}},"label":"如果气血超过50%，将20点气血转化为10点法力"},"label":"如果气血超过50%，将20点气血转化为10点法力","starOverrides":{"1":{"label":"如果气血超过50%，将24点气血转化为12点法力","periodicPulse":{"primaryStatCosts":[{"amount":24}],"primaryStatGains":[{"amount":12}],"activationRequirements":{"primaryStatThreshold":{"stat":"health","comparator":"greaterThan","ratio":0.5}},"label":"如果气血超过50%，将24点气血转化为12点法力"}},"2":{"label":"如果气血超过50%，将28点气血转化为14点法力","periodicPulse":{"primaryStatCosts":[{"amount":28}],"primaryStatGains":[{"amount":14}],"activationRequirements":{"primaryStatThreshold":{"stat":"health","comparator":"greaterThan","ratio":0.5}},"label":"如果气血超过50%，将28点气血转化为14点法力"}},"3":{"label":"如果气血超过50%，将32点气血转化为16点法力","periodicPulse":{"primaryStatCosts":[{"amount":32}],"primaryStatGains":[{"amount":16}],"activationRequirements":{"primaryStatThreshold":{"stat":"health","comparator":"greaterThan","ratio":0.5}},"label":"如果气血超过50%，将32点气血转化为16点法力"}}}}</t>
        </is>
      </c>
    </row>
    <row r="932" ht="32" customHeight="1">
      <c r="A932" s="8" t="n">
        <v>411950</v>
      </c>
      <c r="B932" s="8" t="inlineStr">
        <is>
          <t>玉核裂髓引流图腾</t>
        </is>
      </c>
      <c r="C932" s="8" t="inlineStr">
        <is>
          <t>法器</t>
        </is>
      </c>
      <c r="D932" s="8" t="inlineStr">
        <is>
          <t>common</t>
        </is>
      </c>
      <c r="E932" s="8" t="inlineStr">
        <is>
          <t>ice</t>
        </is>
      </c>
      <c r="F932" s="8" t="n">
        <v>1</v>
      </c>
      <c r="G932" s="8" t="inlineStr">
        <is>
          <t>基础/顶层</t>
        </is>
      </c>
      <c r="H932" s="8" t="inlineStr"/>
      <c r="I932" s="9" t="inlineStr"/>
      <c r="J932" s="8" t="inlineStr"/>
      <c r="K932" s="8" t="inlineStr"/>
      <c r="L932" s="8" t="inlineStr"/>
      <c r="M932" s="8" t="inlineStr">
        <is>
          <t>说明/执行器</t>
        </is>
      </c>
      <c r="N932" s="8" t="inlineStr">
        <is>
          <t>effectNote</t>
        </is>
      </c>
      <c r="O932" s="9" t="inlineStr">
        <is>
          <t>每获得30层寒冷，将5点法力转化为8层露水；每获得28层寒冷，将5点法力转化为10层露水；每获得26层寒冷，将5点法力转化为12层露水；每获得24层寒冷，将5点法力转化为14层露水</t>
        </is>
      </c>
      <c r="P932" s="9" t="inlineStr">
        <is>
          <t>onBuffGain</t>
        </is>
      </c>
      <c r="Q932" s="9" t="inlineStr">
        <is>
          <t>modifyPlayerPrimaryStat；applyBuff</t>
        </is>
      </c>
      <c r="R932" s="9" t="inlineStr">
        <is>
          <t>{"kind":"effectNote","label":"每获得30层寒冷，将5点法力转化为8层露水","executors":[{"trigger":"onBuffGain","eventBuffId":"cold","type":"modifyPlayerPrimaryStat","stat":"mana","delta":-5,"activationRequirements":{"primaryStatThreshold":{"stat":"mana","comparator":"atLeast","amount":5}},"charge":{"threshold":30,"source":{"trigger":"onBuffGain","buffIds":["cold"]}},"support":"common","label":"每获得30层寒冷，将5点法力转化为8层露水"},{"trigger":"onBuffGain","eventBuffId":"cold","type":"applyBuff","buffId":"dew","count":8,"targetActor":"self","activationRequirements":{"primaryStatThreshold":{"stat":"mana","comparator":"atLeast","amount":5}},"charge":{"threshold":30,"source":{"trigger":"onBuffGain","buffIds":["cold"]}},"support":"common","label":"每获得30层寒冷，将5点法力转化为8层露水"}],"starOverrides":{"1":{"label":"每获得28层寒冷，将5点法力转化为10层露水","executors":[{"charge":{"threshold":28},"label":"每获得28层寒冷，将5点法力转化为10层露水"},{"count":10,"charge":{"threshold":28},"label":"每获得28层寒冷，将5点法力转化为10层露水"}]},"2":{"label":"每获得26层寒冷，将5点法力转化为12层露水","executors":[{"charge":{"threshold":26},"label":"每获得26层寒冷，将5点法力转化为12层露水"},{"count":12,"charge":{"threshold":26},"label":"每获得26层寒冷，将5点法力转化为12层露水"}]},"3":{"label":"每获得24层寒冷，将5点法力转化为14层露水","executors":[{"charge":{"threshold":24},"label":"每获得24层寒冷，将5点法力转化为14层露水"},{"count":14,"charge":{"threshold":24},"label":"每获得24层寒冷，将5点法力转化为14层露水"}]}}}</t>
        </is>
      </c>
    </row>
    <row r="933" ht="32" customHeight="1">
      <c r="A933" s="8" t="n">
        <v>411951</v>
      </c>
      <c r="B933" s="8" t="inlineStr">
        <is>
          <t>返光灵囊渡辉桥</t>
        </is>
      </c>
      <c r="C933" s="8" t="inlineStr">
        <is>
          <t>法器</t>
        </is>
      </c>
      <c r="D933" s="8" t="inlineStr">
        <is>
          <t>common</t>
        </is>
      </c>
      <c r="E933" s="8" t="inlineStr">
        <is>
          <t>ice</t>
        </is>
      </c>
      <c r="F933" s="8" t="n">
        <v>1</v>
      </c>
      <c r="G933" s="8" t="inlineStr">
        <is>
          <t>基础/顶层</t>
        </is>
      </c>
      <c r="H933" s="8" t="inlineStr"/>
      <c r="I933" s="9" t="inlineStr"/>
      <c r="J933" s="8" t="inlineStr"/>
      <c r="K933" s="8" t="inlineStr"/>
      <c r="L933" s="8" t="inlineStr"/>
      <c r="M933" s="8" t="inlineStr">
        <is>
          <t>周期触发</t>
        </is>
      </c>
      <c r="N933" s="8" t="inlineStr">
        <is>
          <t>periodicPulse</t>
        </is>
      </c>
      <c r="O933" s="9" t="inlineStr">
        <is>
          <t>左侧相邻冰属性招式、右侧相邻土属性招式时，恢复50点体力和50点法力；左侧相邻冰属性招式、右侧相邻土属性招式时，恢复60点体力和60点法力；左侧相邻冰属性招式、右侧相邻土属性招式时，恢复70点体力和70点法力；左侧相邻冰属性招式、右侧相邻土属性招式时，恢复80点体力和80点法力</t>
        </is>
      </c>
      <c r="P933" s="9" t="inlineStr"/>
      <c r="Q933" s="9" t="inlineStr"/>
      <c r="R933" s="9" t="inlineStr">
        <is>
          <t>{"kind":"periodicPulse","periodicPulse":{"intervalSec":20,"primaryStatGains":[{"stat":"stamina","amount":50},{"stat":"mana","amount":50}],"activationRequirements":{"directionalNeighbors":[{"direction":"left","categories":["spell"],"elements":["ice"]},{"direction":"right","categories":["spell"],"elements":["earth"]}]},"label":"左侧相邻冰属性招式、右侧相邻土属性招式时，恢复50点体力和50点法力"},"label":"左侧相邻冰属性招式、右侧相邻土属性招式时，恢复50点体力和50点法力","starOverrides":{"1":{"label":"左侧相邻冰属性招式、右侧相邻土属性招式时，恢复60点体力和60点法力","periodicPulse":{"primaryStatGains":[{"amount":60},{"amount":60}]}},"2":{"label":"左侧相邻冰属性招式、右侧相邻土属性招式时，恢复70点体力和70点法力","periodicPulse":{"primaryStatGains":[{"amount":70},{"amount":70}]}},"3":{"label":"左侧相邻冰属性招式、右侧相邻土属性招式时，恢复80点体力和80点法力","periodicPulse":{"primaryStatGains":[{"amount":80},{"amount":80}]}}}}</t>
        </is>
      </c>
    </row>
    <row r="934" ht="32" customHeight="1">
      <c r="A934" s="8" t="n">
        <v>411952</v>
      </c>
      <c r="B934" s="8" t="inlineStr">
        <is>
          <t>青玉根须通脉渠</t>
        </is>
      </c>
      <c r="C934" s="8" t="inlineStr">
        <is>
          <t>法器</t>
        </is>
      </c>
      <c r="D934" s="8" t="inlineStr">
        <is>
          <t>common</t>
        </is>
      </c>
      <c r="E934" s="8" t="inlineStr">
        <is>
          <t>wood</t>
        </is>
      </c>
      <c r="F934" s="8" t="n">
        <v>1</v>
      </c>
      <c r="G934" s="8" t="inlineStr">
        <is>
          <t>基础/顶层</t>
        </is>
      </c>
      <c r="H934" s="8" t="inlineStr"/>
      <c r="I934" s="9" t="inlineStr"/>
      <c r="J934" s="8" t="inlineStr"/>
      <c r="K934" s="8" t="inlineStr"/>
      <c r="L934" s="8" t="inlineStr"/>
      <c r="M934" s="8" t="inlineStr">
        <is>
          <t>周期触发</t>
        </is>
      </c>
      <c r="N934" s="8" t="inlineStr">
        <is>
          <t>periodicPulse</t>
        </is>
      </c>
      <c r="O934" s="9" t="inlineStr">
        <is>
          <t>将10点气血转化为10点修为；将10点气血转化为15点修为；将10点气血转化为20点修为；将10点气血转化为25点修为</t>
        </is>
      </c>
      <c r="P934" s="9" t="inlineStr"/>
      <c r="Q934" s="9" t="inlineStr"/>
      <c r="R934" s="9" t="inlineStr">
        <is>
          <t>{"kind":"periodicPulse","periodicPulse":{"intervalSec":12,"primaryStatCosts":[{"stat":"health","amount":10}],"cultivationGain":10,"label":"将10点气血转化为&lt;cultivation&gt;10点修为&lt;/cultivation&gt;"},"label":"将10点气血转化为&lt;cultivation&gt;10点修为&lt;/cultivation&gt;","starOverrides":{"1":{"label":"将10点气血转化为&lt;cultivation&gt;15点修为&lt;/cultivation&gt;","periodicPulse":{"cultivationGain":15,"label":"将10点气血转化为&lt;cultivation&gt;15点修为&lt;/cultivation&gt;"}},"2":{"label":"将10点气血转化为&lt;cultivation&gt;20点修为&lt;/cultivation&gt;","periodicPulse":{"cultivationGain":20,"label":"将10点气血转化为&lt;cultivation&gt;20点修为&lt;/cultivation&gt;"}},"3":{"label":"将10点气血转化为&lt;cultivation&gt;25点修为&lt;/cultivation&gt;","periodicPulse":{"cultivationGain":25,"label":"将10点气血转化为&lt;cultivation&gt;25点修为&lt;/cultivation&gt;"}}}}</t>
        </is>
      </c>
    </row>
    <row r="935" ht="32" customHeight="1">
      <c r="A935" s="8" t="n">
        <v>411953</v>
      </c>
      <c r="B935" s="8" t="inlineStr">
        <is>
          <t>青麟玉衣旋鳞扇</t>
        </is>
      </c>
      <c r="C935" s="8" t="inlineStr">
        <is>
          <t>法器</t>
        </is>
      </c>
      <c r="D935" s="8" t="inlineStr">
        <is>
          <t>common</t>
        </is>
      </c>
      <c r="E935" s="8" t="inlineStr">
        <is>
          <t>wind</t>
        </is>
      </c>
      <c r="F935" s="8" t="n">
        <v>1</v>
      </c>
      <c r="G935" s="8" t="inlineStr">
        <is>
          <t>基础/顶层</t>
        </is>
      </c>
      <c r="H935" s="8" t="inlineStr"/>
      <c r="I935" s="9" t="inlineStr"/>
      <c r="J935" s="8" t="inlineStr"/>
      <c r="K935" s="8" t="inlineStr"/>
      <c r="L935" s="8" t="inlineStr"/>
      <c r="M935" s="8" t="inlineStr">
        <is>
          <t>周期触发</t>
        </is>
      </c>
      <c r="N935" s="8" t="inlineStr">
        <is>
          <t>periodicPulse</t>
        </is>
      </c>
      <c r="O935" s="9" t="inlineStr">
        <is>
          <t>消耗5点法力，对敌方造成8点伤害，自身获得2秒加速；自身获得2秒加速；消耗5点法力，对敌方造成10点伤害，自身获得2秒加速；消耗5点法力，对敌方造成12点伤害，自身获得2秒加速；消耗5点法力，对敌方造成14点伤害，自身获得2秒加速</t>
        </is>
      </c>
      <c r="P935" s="9" t="inlineStr">
        <is>
          <t>onPeriodicPulse</t>
        </is>
      </c>
      <c r="Q935" s="9" t="inlineStr">
        <is>
          <t>itemRuntimeStatus</t>
        </is>
      </c>
      <c r="R935" s="9" t="inlineStr">
        <is>
          <t>{"kind":"periodicPulse","periodicPulse":{"intervalSec":8,"primaryStatCosts":[{"stat":"mana","amount":5}],"damageHealth":{"target":"enemy","amount":8},"label":"消耗5点法力，&lt;battle&gt;对敌方造成8点伤害，自身获得2秒加速&lt;/battle&gt;"},"executors":[{"trigger":"onPeriodicPulse","type":"itemRuntimeStatus","itemRuntimeStatus":"haste","durationSec":2,"targetActor":"self","targetScope":"self","support":"battleOnly","label":"&lt;battle&gt;自身获得2秒加速&lt;/battle&gt;"}],"label":"消耗5点法力，&lt;battle&gt;对敌方造成8点伤害，自身获得2秒加速&lt;/battle&gt;","starOverrides":{"1":{"label":"消耗5点法力，&lt;battle&gt;对敌方造成10点伤害，自身获得2秒加速&lt;/battle&gt;","periodicPulse":{"damageHealth":{"amount":10},"label":"消耗5点法力，&lt;battle&gt;对敌方造成10点伤害，自身获得2秒加速&lt;/battle&gt;"}},"2":{"label":"消耗5点法力，&lt;battle&gt;对敌方造成12点伤害，自身获得2秒加速&lt;/battle&gt;","periodicPulse":{"damageHealth":{"amount":12},"label":"消耗5点法力，&lt;battle&gt;对敌方造成12点伤害，自身获得2秒加速&lt;/battle&gt;"}},"3":{"label":"消耗5点法力，&lt;battle&gt;对敌方造成14点伤害，自身获得2秒加速&lt;/battle&gt;","periodicPulse":{"damageHealth":{"amount":14},"label":"消耗5点法力，&lt;battle&gt;对敌方造成14点伤害，自身获得2秒加速&lt;/battle&gt;"}}}}</t>
        </is>
      </c>
    </row>
    <row r="936" ht="32" customHeight="1">
      <c r="A936" s="8" t="n">
        <v>411954</v>
      </c>
      <c r="B936" s="8" t="inlineStr">
        <is>
          <t>青麟护膜回旋盘</t>
        </is>
      </c>
      <c r="C936" s="8" t="inlineStr">
        <is>
          <t>法器</t>
        </is>
      </c>
      <c r="D936" s="8" t="inlineStr">
        <is>
          <t>common</t>
        </is>
      </c>
      <c r="E936" s="8" t="inlineStr">
        <is>
          <t>wood</t>
        </is>
      </c>
      <c r="F936" s="8" t="n">
        <v>1</v>
      </c>
      <c r="G936" s="8" t="inlineStr">
        <is>
          <t>基础/顶层</t>
        </is>
      </c>
      <c r="H936" s="8" t="inlineStr"/>
      <c r="I936" s="9" t="inlineStr"/>
      <c r="J936" s="8" t="inlineStr"/>
      <c r="K936" s="8" t="inlineStr"/>
      <c r="L936" s="8" t="inlineStr"/>
      <c r="M936" s="8" t="inlineStr">
        <is>
          <t>周期触发</t>
        </is>
      </c>
      <c r="N936" s="8" t="inlineStr">
        <is>
          <t>periodicPulse</t>
        </is>
      </c>
      <c r="O936" s="9" t="inlineStr">
        <is>
          <t>消耗4点体力，获得10层敏捷和3层护甲；消耗4点体力，获得12层敏捷和4层护甲；消耗4点体力，获得14层敏捷和5层护甲；消耗4点体力，获得16层敏捷和6层护甲</t>
        </is>
      </c>
      <c r="P936" s="9" t="inlineStr"/>
      <c r="Q936" s="9" t="inlineStr"/>
      <c r="R936" s="9" t="inlineStr">
        <is>
          <t>{"kind":"periodicPulse","periodicPulse":{"startOnly":true,"primaryStatCosts":[{"stat":"stamina","amount":4}],"buffGains":[{"buffId":"agile","count":10},{"buffId":"armor","count":3}],"label":"消耗4点体力，获得10层敏捷和3层护甲"},"label":"消耗4点体力，获得10层敏捷和3层护甲","starOverrides":{"1":{"label":"消耗4点体力，获得12层敏捷和4层护甲","periodicPulse":{"buffGains":[{"count":12},{"count":4}],"label":"消耗4点体力，获得12层敏捷和4层护甲"}},"2":{"label":"消耗4点体力，获得14层敏捷和5层护甲","periodicPulse":{"buffGains":[{"count":14},{"count":5}],"label":"消耗4点体力，获得14层敏捷和5层护甲"}},"3":{"label":"消耗4点体力，获得16层敏捷和6层护甲","periodicPulse":{"buffGains":[{"count":16},{"count":6}],"label":"消耗4点体力，获得16层敏捷和6层护甲"}}}}</t>
        </is>
      </c>
    </row>
    <row r="937" ht="32" customHeight="1">
      <c r="A937" s="8" t="n">
        <v>411955</v>
      </c>
      <c r="B937" s="8" t="inlineStr">
        <is>
          <t>玉台软皮缚灵索</t>
        </is>
      </c>
      <c r="C937" s="8" t="inlineStr">
        <is>
          <t>法器</t>
        </is>
      </c>
      <c r="D937" s="8" t="inlineStr">
        <is>
          <t>common</t>
        </is>
      </c>
      <c r="E937" s="8" t="inlineStr">
        <is>
          <t>wood</t>
        </is>
      </c>
      <c r="F937" s="8" t="n">
        <v>1</v>
      </c>
      <c r="G937" s="8" t="inlineStr">
        <is>
          <t>基础/顶层</t>
        </is>
      </c>
      <c r="H937" s="8" t="inlineStr"/>
      <c r="I937" s="9" t="inlineStr"/>
      <c r="J937" s="8" t="inlineStr"/>
      <c r="K937" s="8" t="inlineStr"/>
      <c r="L937" s="8" t="inlineStr"/>
      <c r="M937" s="8" t="inlineStr">
        <is>
          <t>周期触发</t>
        </is>
      </c>
      <c r="N937" s="8" t="inlineStr">
        <is>
          <t>periodicPulse</t>
        </is>
      </c>
      <c r="O937" s="9" t="inlineStr">
        <is>
          <t>消耗3点法力，对敌方施加 3 层禁疗；消耗3点法力，对敌方施加 6 层禁疗；消耗3点法力，对敌方施加 9 层禁疗；消耗3点法力，对敌方施加 12 层禁疗</t>
        </is>
      </c>
      <c r="P937" s="9" t="inlineStr"/>
      <c r="Q937" s="9" t="inlineStr"/>
      <c r="R937" s="9" t="inlineStr">
        <is>
          <t>{"kind":"periodicPulse","periodicPulse":{"startOnly":true,"primaryStatCosts":[{"stat":"mana","amount":3}],"buffGains":[{"buffId":"antiHeal","count":3,"target":"enemy","polarity":"detrimental"}],"label":"消耗3点法力，&lt;battle&gt;对敌方施加 3 层禁疗&lt;/battle&gt;"},"label":"消耗3点法力，&lt;battle&gt;对敌方施加 3 层禁疗&lt;/battle&gt;","starOverrides":{"1":{"label":"消耗3点法力，&lt;battle&gt;对敌方施加 6 层禁疗&lt;/battle&gt;","periodicPulse":{"buffGains":[{"count":6}],"label":"消耗3点法力，&lt;battle&gt;对敌方施加 6 层禁疗&lt;/battle&gt;"}},"2":{"label":"消耗3点法力，&lt;battle&gt;对敌方施加 9 层禁疗&lt;/battle&gt;","periodicPulse":{"buffGains":[{"count":9}],"label":"消耗3点法力，&lt;battle&gt;对敌方施加 9 层禁疗&lt;/battle&gt;"}},"3":{"label":"消耗3点法力，&lt;battle&gt;对敌方施加 12 层禁疗&lt;/battle&gt;","periodicPulse":{"buffGains":[{"count":12}],"label":"消耗3点法力，&lt;battle&gt;对敌方施加 12 层禁疗&lt;/battle&gt;"}}}}</t>
        </is>
      </c>
    </row>
    <row r="938" ht="32" customHeight="1">
      <c r="A938" s="8" t="n">
        <v>411956</v>
      </c>
      <c r="B938" s="8" t="inlineStr">
        <is>
          <t>台心露核聚露珠</t>
        </is>
      </c>
      <c r="C938" s="8" t="inlineStr">
        <is>
          <t>法器</t>
        </is>
      </c>
      <c r="D938" s="8" t="inlineStr">
        <is>
          <t>common</t>
        </is>
      </c>
      <c r="E938" s="8" t="inlineStr">
        <is>
          <t>wood</t>
        </is>
      </c>
      <c r="F938" s="8" t="n">
        <v>1</v>
      </c>
      <c r="G938" s="8" t="inlineStr">
        <is>
          <t>基础/顶层</t>
        </is>
      </c>
      <c r="H938" s="8" t="inlineStr"/>
      <c r="I938" s="9" t="inlineStr"/>
      <c r="J938" s="8" t="inlineStr"/>
      <c r="K938" s="8" t="inlineStr"/>
      <c r="L938" s="8" t="inlineStr"/>
      <c r="M938" s="8" t="inlineStr">
        <is>
          <t>周期触发</t>
        </is>
      </c>
      <c r="N938" s="8" t="inlineStr">
        <is>
          <t>periodicPulse</t>
        </is>
      </c>
      <c r="O938" s="9" t="inlineStr">
        <is>
          <t>消耗20层露水，对敌方施加20层禁疗和20层乱流；消耗20层露水；对敌方施加20层禁疗和20层乱流；消耗20层露水，对敌方施加25层禁疗和25层乱流；对敌方施加25层禁疗和25层乱流；消耗20层露水，对敌方施加30层禁疗和30层乱流；对敌方施加30层禁疗和30层乱流；消耗20层露水，对敌方施加35层禁疗和35层乱流；对敌方施加35层禁疗和35层乱流</t>
        </is>
      </c>
      <c r="P938" s="9" t="inlineStr">
        <is>
          <t>onPeriodicPulse</t>
        </is>
      </c>
      <c r="Q938" s="9" t="inlineStr">
        <is>
          <t>consumeBuffStacks；applyBuff</t>
        </is>
      </c>
      <c r="R938" s="9" t="inlineStr">
        <is>
          <t>{"kind":"periodicPulse","periodicPulse":{"startOnly":true,"activationRequirements":{"buffStackThresholds":[{"buffId":"dew","comparator":"atLeast","count":20}]},"label":"消耗20层露水，&lt;battle&gt;对敌方施加20层禁疗和20层乱流&lt;/battle&gt;"},"executors":[{"trigger":"onPeriodicPulse","type":"consumeBuffStacks","sourceBuffId":"dew","requiredStacks":20,"maxStacks":20,"support":"common","label":"消耗20层露水"},{"trigger":"onPeriodicPulse","type":"applyBuff","buffId":"antiHeal","count":20,"targetActor":"enemy","polarity":"detrimental","support":"battleOnly","label":"&lt;battle&gt;对敌方施加20层禁疗和20层乱流&lt;/battle&gt;"},{"trigger":"onPeriodicPulse","type":"applyBuff","buffId":"turbulence","count":20,"targetActor":"enemy","polarity":"detrimental","support":"battleOnly","label":"&lt;battle&gt;对敌方施加20层禁疗和20层乱流&lt;/battle&gt;"}],"label":"消耗20层露水，&lt;battle&gt;对敌方施加20层禁疗和20层乱流&lt;/battle&gt;","starOverrides":{"1":{"label":"消耗20层露水，&lt;battle&gt;对敌方施加25层禁疗和25层乱流&lt;/battle&gt;","periodicPulse":{"label":"消耗20层露水，&lt;battle&gt;对敌方施加25层禁疗和25层乱流&lt;/battle&gt;"},"executors":[{"label":"消耗20层露水"},{"count":25,"label":"&lt;battle&gt;对敌方施加25层禁疗和25层乱流&lt;/battle&gt;"},{"count":25,"label":"&lt;battle&gt;对敌方施加25层禁疗和25层乱流&lt;/battle&gt;"}]},"2":{"label":"消耗20层露水，&lt;battle&gt;对敌方施加30层禁疗和30层乱流&lt;/battle&gt;","periodicPulse":{"label":"消耗20层露水，&lt;battle&gt;对敌方施加30层禁疗和30层乱流&lt;/battle&gt;"},"executors":[{"label":"消耗20层露水"},{"count":30,"label":"&lt;battle&gt;对敌方施加30层禁疗和30层乱流&lt;/battle&gt;"},{"count":30,"label":"&lt;battle&gt;对敌方施加30层禁疗和30层乱流&lt;/battle&gt;"}]},"3":{"label":"消耗20层露水，&lt;battle&gt;对敌方施加35层禁疗和35层乱流&lt;/battle&gt;","periodicPulse":{"label":"消耗20层露水，&lt;battle&gt;对敌方施加35层禁疗和35层乱流&lt;/battle&gt;"},"executors":[{"label":"消耗20层露水"},{"count":35,"label":"&lt;battle&gt;对敌方施加35层禁疗和35层乱流&lt;/battle&gt;"},{"count":35,"label":"&lt;battle&gt;对敌方施加35层禁疗和35层乱流&lt;/battle&gt;"}]}}}</t>
        </is>
      </c>
    </row>
    <row r="939" ht="32" customHeight="1">
      <c r="A939" s="8" t="n">
        <v>411957</v>
      </c>
      <c r="B939" s="8" t="inlineStr">
        <is>
          <t>青麟息芽破风针</t>
        </is>
      </c>
      <c r="C939" s="8" t="inlineStr">
        <is>
          <t>法器</t>
        </is>
      </c>
      <c r="D939" s="8" t="inlineStr">
        <is>
          <t>common</t>
        </is>
      </c>
      <c r="E939" s="8" t="inlineStr">
        <is>
          <t>poison</t>
        </is>
      </c>
      <c r="F939" s="8" t="n">
        <v>1</v>
      </c>
      <c r="G939" s="8" t="inlineStr">
        <is>
          <t>基础/顶层</t>
        </is>
      </c>
      <c r="H939" s="8" t="inlineStr"/>
      <c r="I939" s="9" t="inlineStr"/>
      <c r="J939" s="8" t="inlineStr"/>
      <c r="K939" s="8" t="inlineStr"/>
      <c r="L939" s="8" t="inlineStr"/>
      <c r="M939" s="8" t="inlineStr">
        <is>
          <t>周期触发</t>
        </is>
      </c>
      <c r="N939" s="8" t="inlineStr">
        <is>
          <t>periodicPulse</t>
        </is>
      </c>
      <c r="O939" s="9" t="inlineStr">
        <is>
          <t>对敌方施加 2 层中毒2次；对敌方施加 2 层中毒；对敌方施加 3 层中毒2次；对敌方施加 3 层中毒；对敌方施加 4 层中毒2次；对敌方施加 4 层中毒；对敌方施加 5 层中毒2次；对敌方施加 5 层中毒</t>
        </is>
      </c>
      <c r="P939" s="9" t="inlineStr">
        <is>
          <t>onPeriodicPulse</t>
        </is>
      </c>
      <c r="Q939" s="9" t="inlineStr">
        <is>
          <t>applyBuff</t>
        </is>
      </c>
      <c r="R939" s="9" t="inlineStr">
        <is>
          <t>{"kind":"periodicPulse","periodicPulse":{"intervalSec":10,"label":"&lt;battle&gt;对敌方施加 2 层中毒2次&lt;/battle&gt;"},"executors":[{"trigger":"onPeriodicPulse","type":"applyBuff","buffId":"poison","count":2,"targetActor":"enemy","polarity":"detrimental","support":"battleOnly","label":"&lt;battle&gt;对敌方施加 2 层中毒&lt;/battle&gt;"},{"trigger":"onPeriodicPulse","type":"applyBuff","buffId":"poison","count":2,"targetActor":"enemy","polarity":"detrimental","support":"battleOnly","label":"&lt;battle&gt;对敌方施加 2 层中毒&lt;/battle&gt;"}],"label":"&lt;battle&gt;对敌方施加 2 层中毒2次&lt;/battle&gt;","starOverrides":{"1":{"label":"&lt;battle&gt;对敌方施加 3 层中毒2次&lt;/battle&gt;","periodicPulse":{"label":"&lt;battle&gt;对敌方施加 3 层中毒2次&lt;/battle&gt;"},"executors":[{"count":3,"label":"&lt;battle&gt;对敌方施加 3 层中毒&lt;/battle&gt;"},{"count":3,"label":"&lt;battle&gt;对敌方施加 3 层中毒&lt;/battle&gt;"}]},"2":{"label":"&lt;battle&gt;对敌方施加 4 层中毒2次&lt;/battle&gt;","periodicPulse":{"label":"&lt;battle&gt;对敌方施加 4 层中毒2次&lt;/battle&gt;"},"executors":[{"count":4,"label":"&lt;battle&gt;对敌方施加 4 层中毒&lt;/battle&gt;"},{"count":4,"label":"&lt;battle&gt;对敌方施加 4 层中毒&lt;/battle&gt;"}]},"3":{"label":"&lt;battle&gt;对敌方施加 5 层中毒2次&lt;/battle&gt;","periodicPulse":{"label":"&lt;battle&gt;对敌方施加 5 层中毒2次&lt;/battle&gt;"},"executors":[{"count":5,"label":"&lt;battle&gt;对敌方施加 5 层中毒&lt;/battle&gt;"},{"count":5,"label":"&lt;battle&gt;对敌方施加 5 层中毒&lt;/battle&gt;"}]}}}</t>
        </is>
      </c>
    </row>
    <row r="940" ht="32" customHeight="1">
      <c r="A940" s="8" t="n">
        <v>412000</v>
      </c>
      <c r="B940" s="8" t="inlineStr">
        <is>
          <t>蛇蜕护匣</t>
        </is>
      </c>
      <c r="C940" s="8" t="inlineStr">
        <is>
          <t>法器</t>
        </is>
      </c>
      <c r="D940" s="8" t="inlineStr">
        <is>
          <t>common</t>
        </is>
      </c>
      <c r="E940" s="8" t="inlineStr">
        <is>
          <t>wood</t>
        </is>
      </c>
      <c r="F940" s="8" t="n">
        <v>1</v>
      </c>
      <c r="G940" s="8" t="inlineStr">
        <is>
          <t>基础/顶层</t>
        </is>
      </c>
      <c r="H940" s="8" t="inlineStr"/>
      <c r="I940" s="9" t="inlineStr"/>
      <c r="J940" s="8" t="inlineStr"/>
      <c r="K940" s="8" t="inlineStr"/>
      <c r="L940" s="8" t="inlineStr"/>
      <c r="M940" s="8" t="inlineStr">
        <is>
          <t>被动效果</t>
        </is>
      </c>
      <c r="N940" s="8" t="inlineStr">
        <is>
          <t>passive</t>
        </is>
      </c>
      <c r="O940" s="9" t="inlineStr">
        <is>
          <t>再生层数上限+1，每次击败境界比自己高的敌人，效果升级；再生层数上限</t>
        </is>
      </c>
      <c r="P940" s="9" t="inlineStr">
        <is>
          <t>onEnemyDefeated</t>
        </is>
      </c>
      <c r="Q940" s="9" t="inlineStr">
        <is>
          <t>buffStackCapBonus</t>
        </is>
      </c>
      <c r="R940" s="9" t="inlineStr">
        <is>
          <t>{"kind":"passive","passiveEffect":{"type":"buffStackCapBonus","buffId":"regeneration","value":1,"singletonByTemplate":true,"label":"&lt;singleton&gt;再生层数上限+1，每次击败境界比自己高的敌人，效果升级&lt;/singleton&gt;"},"label":"&lt;singleton&gt;再生层数上限+1，每次击败境界比自己高的敌人，效果升级&lt;/singleton&gt;","growth":{"lifecycle":"permanent","trigger":"onEnemyDefeated","minOpponentMajorRealmGap":1,"bindings":[{"path":"passiveEffect.value","delta":1,"maxValue":10,"label":"再生层数上限","textOccurrence":0}],"support":"battleOnly"},"starOverrides":{"1":{"label":"&lt;singleton&gt;再生层数上限+1，每次击败境界比自己高的敌人，效果升级&lt;/singleton&gt;","growth":{"lifecycle":"permanent","trigger":"onEnemyDefeated","minOpponentMajorRealmGap":1,"bindings":[{"path":"passiveEffect.value","delta":1,"maxValue":15,"label":"再生层数上限","textOccurrence":0}],"support":"battleOnly"}},"2":{"label":"&lt;singleton&gt;再生层数上限+1，每次击败境界比自己高的敌人，效果升级&lt;/singleton&gt;","growth":{"lifecycle":"permanent","trigger":"onEnemyDefeated","minOpponentMajorRealmGap":1,"bindings":[{"path":"passiveEffect.value","delta":1,"maxValue":20,"label":"再生层数上限","textOccurrence":0}],"support":"battleOnly"}},"3":{"label":"&lt;singleton&gt;再生层数上限+1，每次击败境界比自己高的敌人，效果升级&lt;/singleton&gt;","growth":{"lifecycle":"permanent","trigger":"onEnemyDefeated","minOpponentMajorRealmGap":1,"bindings":[{"path":"passiveEffect.value","delta":1,"maxValue":25,"label":"再生层数上限","textOccurrence":0}],"support":"battleOnly"}}}}</t>
        </is>
      </c>
    </row>
    <row r="941" ht="32" customHeight="1">
      <c r="A941" s="8" t="n">
        <v>412001</v>
      </c>
      <c r="B941" s="8" t="inlineStr">
        <is>
          <t>青鳞承露盏</t>
        </is>
      </c>
      <c r="C941" s="8" t="inlineStr">
        <is>
          <t>法器</t>
        </is>
      </c>
      <c r="D941" s="8" t="inlineStr">
        <is>
          <t>common</t>
        </is>
      </c>
      <c r="E941" s="8" t="inlineStr">
        <is>
          <t>wood</t>
        </is>
      </c>
      <c r="F941" s="8" t="n">
        <v>1</v>
      </c>
      <c r="G941" s="8" t="inlineStr">
        <is>
          <t>基础/顶层</t>
        </is>
      </c>
      <c r="H941" s="8" t="inlineStr"/>
      <c r="I941" s="9" t="inlineStr"/>
      <c r="J941" s="8" t="inlineStr"/>
      <c r="K941" s="8" t="inlineStr"/>
      <c r="L941" s="8" t="inlineStr"/>
      <c r="M941" s="8" t="inlineStr">
        <is>
          <t>条件触发</t>
        </is>
      </c>
      <c r="N941" s="8" t="inlineStr">
        <is>
          <t>triggered</t>
        </is>
      </c>
      <c r="O941" s="9" t="inlineStr">
        <is>
          <t>累计获得100层露水后，恢复100点气血</t>
        </is>
      </c>
      <c r="P941" s="9" t="inlineStr">
        <is>
          <t>onBuffGain</t>
        </is>
      </c>
      <c r="Q941" s="9" t="inlineStr">
        <is>
          <t>modifyPlayerPrimaryStat</t>
        </is>
      </c>
      <c r="R941" s="9" t="inlineStr">
        <is>
          <t>{"kind":"triggered","triggeredEffect":{"trigger":"onBuffGain","eventActor":"self","eventBuffId":"dew","type":"modifyPlayerPrimaryStat","stat":"health","delta":100,"singletonByTemplate":true,"charge":{"threshold":100,"source":{"trigger":"onBuffGain","buffIds":["dew"]}},"support":"battleOnly"},"label":"&lt;singleton&gt;累计获得100层露水后，恢复100点气血&lt;/singleton&gt;"}</t>
        </is>
      </c>
    </row>
    <row r="942" ht="32" customHeight="1">
      <c r="A942" s="8" t="n">
        <v>412002</v>
      </c>
      <c r="B942" s="8" t="inlineStr">
        <is>
          <t>藤骨定息架</t>
        </is>
      </c>
      <c r="C942" s="8" t="inlineStr">
        <is>
          <t>法器</t>
        </is>
      </c>
      <c r="D942" s="8" t="inlineStr">
        <is>
          <t>common</t>
        </is>
      </c>
      <c r="E942" s="8" t="inlineStr">
        <is>
          <t>wood</t>
        </is>
      </c>
      <c r="F942" s="8" t="n">
        <v>1</v>
      </c>
      <c r="G942" s="8" t="inlineStr">
        <is>
          <t>基础/顶层</t>
        </is>
      </c>
      <c r="H942" s="8" t="inlineStr"/>
      <c r="I942" s="9" t="inlineStr"/>
      <c r="J942" s="8" t="inlineStr"/>
      <c r="K942" s="8" t="inlineStr"/>
      <c r="L942" s="8" t="inlineStr"/>
      <c r="M942" s="8" t="inlineStr">
        <is>
          <t>条件触发</t>
        </is>
      </c>
      <c r="N942" s="8" t="inlineStr">
        <is>
          <t>triggered</t>
        </is>
      </c>
      <c r="O942" s="9" t="inlineStr">
        <is>
          <t>木属性道具轮转时，获得1点修为</t>
        </is>
      </c>
      <c r="P942" s="9" t="inlineStr">
        <is>
          <t>onPeriodicPulse</t>
        </is>
      </c>
      <c r="Q942" s="9" t="inlineStr">
        <is>
          <t>gainCultivation；any</t>
        </is>
      </c>
      <c r="R942" s="9" t="inlineStr">
        <is>
          <t>{"kind":"triggered","triggeredEffect":{"trigger":"onPeriodicPulse","type":"gainCultivation","amount":1,"singletonByTemplate":true,"eventSource":{"target":{"type":"any"},"filter":{"elements":["wood"]}},"support":"common"},"label":"&lt;singleton&gt;木属性道具轮转时，获得1点修为&lt;/singleton&gt;"}</t>
        </is>
      </c>
    </row>
    <row r="943" ht="32" customHeight="1">
      <c r="A943" s="8" t="n">
        <v>412003</v>
      </c>
      <c r="B943" s="8" t="inlineStr">
        <is>
          <t>冷牙封毒匣</t>
        </is>
      </c>
      <c r="C943" s="8" t="inlineStr">
        <is>
          <t>法器</t>
        </is>
      </c>
      <c r="D943" s="8" t="inlineStr">
        <is>
          <t>common</t>
        </is>
      </c>
      <c r="E943" s="8" t="inlineStr">
        <is>
          <t>poison</t>
        </is>
      </c>
      <c r="F943" s="8" t="n">
        <v>1</v>
      </c>
      <c r="G943" s="8" t="inlineStr">
        <is>
          <t>基础/顶层</t>
        </is>
      </c>
      <c r="H943" s="8" t="inlineStr"/>
      <c r="I943" s="9" t="inlineStr"/>
      <c r="J943" s="8" t="inlineStr"/>
      <c r="K943" s="8" t="inlineStr"/>
      <c r="L943" s="8" t="inlineStr"/>
      <c r="M943" s="8" t="inlineStr">
        <is>
          <t>条件触发</t>
        </is>
      </c>
      <c r="N943" s="8" t="inlineStr">
        <is>
          <t>triggered</t>
        </is>
      </c>
      <c r="O943" s="9" t="inlineStr">
        <is>
          <t>相邻冰属性法器使用时，对敌方施加 2 层中毒，触发后效果升级；中毒层数；相邻冰属性法器使用时，对敌方施加 3 层中毒，触发后效果升级；相邻冰属性法器使用时，对敌方施加 4 层中毒，触发后效果升级；相邻冰属性法器使用时，对敌方施加 5 层中毒，触发后效果升级</t>
        </is>
      </c>
      <c r="P943" s="9" t="inlineStr">
        <is>
          <t>onItemUse</t>
        </is>
      </c>
      <c r="Q943" s="9" t="inlineStr">
        <is>
          <t>applyBuff；adjacent</t>
        </is>
      </c>
      <c r="R943" s="9" t="inlineStr">
        <is>
          <t>{"kind":"triggered","label":"&lt;battle&gt;相邻冰属性法器使用时，对敌方施加 2 层中毒，触发后效果升级&lt;/battle&gt;","triggeredEffect":{"trigger":"onItemUse","type":"applyBuff","buffId":"poison","count":2,"targetActor":"enemy","polarity":"detrimental","eventSource":{"target":{"type":"adjacent"},"filter":{"categories":["implement"],"elements":["ice"]}},"support":"battleOnly"},"growth":{"lifecycle":"singleGame","trigger":"onItemUse","bindings":[{"path":"triggeredEffect.count","delta":1,"maxValue":10,"label":"中毒层数","textOccurrence":0}],"support":"battleOnly"},"starOverrides":{"1":{"label":"&lt;battle&gt;相邻冰属性法器使用时，对敌方施加 3 层中毒，触发后效果升级&lt;/battle&gt;","triggeredEffect":{"count":3}},"2":{"label":"&lt;battle&gt;相邻冰属性法器使用时，对敌方施加 4 层中毒，触发后效果升级&lt;/battle&gt;","triggeredEffect":{"count":4}},"3":{"label":"&lt;battle&gt;相邻冰属性法器使用时，对敌方施加 5 层中毒，触发后效果升级&lt;/battle&gt;","triggeredEffect":{"count":5}}}}</t>
        </is>
      </c>
    </row>
    <row r="944" ht="32" customHeight="1">
      <c r="A944" s="8" t="n">
        <v>412100</v>
      </c>
      <c r="B944" s="8" t="inlineStr">
        <is>
          <t>赤腕承骨铠</t>
        </is>
      </c>
      <c r="C944" s="8" t="inlineStr">
        <is>
          <t>法器</t>
        </is>
      </c>
      <c r="D944" s="8" t="inlineStr">
        <is>
          <t>common</t>
        </is>
      </c>
      <c r="E944" s="8" t="inlineStr">
        <is>
          <t>fire</t>
        </is>
      </c>
      <c r="F944" s="8" t="n">
        <v>1</v>
      </c>
      <c r="G944" s="8" t="inlineStr">
        <is>
          <t>基础/顶层</t>
        </is>
      </c>
      <c r="H944" s="8" t="inlineStr"/>
      <c r="I944" s="9" t="inlineStr"/>
      <c r="J944" s="8" t="inlineStr"/>
      <c r="K944" s="8" t="inlineStr"/>
      <c r="L944" s="8" t="inlineStr"/>
      <c r="M944" s="8" t="inlineStr">
        <is>
          <t>周期触发</t>
        </is>
      </c>
      <c r="N944" s="8" t="inlineStr">
        <is>
          <t>periodicPulse</t>
        </is>
      </c>
      <c r="O944" s="9" t="inlineStr">
        <is>
          <t>开局：位于储物袋左侧时，获得 13 层护甲；开局：位于储物袋左侧时，获得 17 层护甲；开局：位于储物袋左侧时，获得 20 层护甲；开局：位于储物袋左侧时，获得 23 层护甲</t>
        </is>
      </c>
      <c r="P944" s="9" t="inlineStr">
        <is>
          <t>onPeriodicPulse</t>
        </is>
      </c>
      <c r="Q944" s="9" t="inlineStr">
        <is>
          <t>applyBuff</t>
        </is>
      </c>
      <c r="R944" s="9" t="inlineStr">
        <is>
          <t>{"kind":"periodicPulse","label":"开局：位于储物袋左侧时，获得 13 层护甲","periodicPulse":{"startOnly":true,"label":"开局：位于储物袋左侧时，获得 13 层护甲"},"executors":[{"trigger":"onPeriodicPulse","type":"applyBuff","buffId":"armor","count":13,"label":"开局：位于储物袋左侧时，获得 13 层护甲"}],"activationRequirements":{"sourceEdges":["left"]},"starOverrides":{"1":{"label":"开局：位于储物袋左侧时，获得 17 层护甲","periodicPulse":{"startOnly":true,"label":"开局：位于储物袋左侧时，获得 17 层护甲"},"executors":[{"trigger":"onPeriodicPulse","type":"applyBuff","buffId":"armor","count":17,"label":"开局：位于储物袋左侧时，获得 17 层护甲"}]},"2":{"label":"开局：位于储物袋左侧时，获得 20 层护甲","periodicPulse":{"startOnly":true,"label":"开局：位于储物袋左侧时，获得 20 层护甲"},"executors":[{"trigger":"onPeriodicPulse","type":"applyBuff","buffId":"armor","count":20,"label":"开局：位于储物袋左侧时，获得 20 层护甲"}]},"3":{"label":"开局：位于储物袋左侧时，获得 23 层护甲","periodicPulse":{"startOnly":true,"label":"开局：位于储物袋左侧时，获得 23 层护甲"},"executors":[{"trigger":"onPeriodicPulse","type":"applyBuff","buffId":"armor","count":23,"label":"开局：位于储物袋左侧时，获得 23 层护甲"}]}}}</t>
        </is>
      </c>
    </row>
    <row r="945" ht="32" customHeight="1">
      <c r="A945" s="8" t="n">
        <v>412101</v>
      </c>
      <c r="B945" s="8" t="inlineStr">
        <is>
          <t>炉灰赤毫护肩</t>
        </is>
      </c>
      <c r="C945" s="8" t="inlineStr">
        <is>
          <t>法器</t>
        </is>
      </c>
      <c r="D945" s="8" t="inlineStr">
        <is>
          <t>common</t>
        </is>
      </c>
      <c r="E945" s="8" t="inlineStr">
        <is>
          <t>fire</t>
        </is>
      </c>
      <c r="F945" s="8" t="n">
        <v>1</v>
      </c>
      <c r="G945" s="8" t="inlineStr">
        <is>
          <t>基础/顶层</t>
        </is>
      </c>
      <c r="H945" s="8" t="inlineStr"/>
      <c r="I945" s="9" t="inlineStr"/>
      <c r="J945" s="8" t="inlineStr"/>
      <c r="K945" s="8" t="inlineStr"/>
      <c r="L945" s="8" t="inlineStr"/>
      <c r="M945" s="8" t="inlineStr">
        <is>
          <t>条件触发</t>
        </is>
      </c>
      <c r="N945" s="8" t="inlineStr">
        <is>
          <t>triggered</t>
        </is>
      </c>
      <c r="O945" s="9" t="inlineStr">
        <is>
          <t>相邻丹药耗尽时，获得 5 层炎热；相邻丹药耗尽时，获得 7 层炎热；相邻丹药耗尽时，获得 8 层炎热；相邻丹药耗尽时，获得 10 层炎热</t>
        </is>
      </c>
      <c r="P945" s="9" t="inlineStr">
        <is>
          <t>onConsumableExhausted</t>
        </is>
      </c>
      <c r="Q945" s="9" t="inlineStr">
        <is>
          <t>applyBuff；adjacent</t>
        </is>
      </c>
      <c r="R945" s="9" t="inlineStr">
        <is>
          <t>{"kind":"triggered","label":"相邻丹药耗尽时，获得 5 层炎热","triggeredEffect":{"trigger":"onConsumableExhausted","type":"applyBuff","buffId":"heat","count":5,"eventSource":{"target":{"type":"adjacent"},"filter":{"categories":["pill"]}}},"starOverrides":{"1":{"label":"相邻丹药耗尽时，获得 7 层炎热","triggeredEffect":{"trigger":"onConsumableExhausted","type":"applyBuff","buffId":"heat","count":7,"eventSource":{"target":{"type":"adjacent"},"filter":{"categories":["pill"]}}}},"2":{"label":"相邻丹药耗尽时，获得 8 层炎热","triggeredEffect":{"trigger":"onConsumableExhausted","type":"applyBuff","buffId":"heat","count":8,"eventSource":{"target":{"type":"adjacent"},"filter":{"categories":["pill"]}}}},"3":{"label":"相邻丹药耗尽时，获得 10 层炎热","triggeredEffect":{"trigger":"onConsumableExhausted","type":"applyBuff","buffId":"heat","count":10,"eventSource":{"target":{"type":"adjacent"},"filter":{"categories":["pill"]}}}}}}</t>
        </is>
      </c>
    </row>
    <row r="946" ht="32" customHeight="1">
      <c r="A946" s="8" t="n">
        <v>412102</v>
      </c>
      <c r="B946" s="8" t="inlineStr">
        <is>
          <t>焦爪镇炉钩</t>
        </is>
      </c>
      <c r="C946" s="8" t="inlineStr">
        <is>
          <t>法器</t>
        </is>
      </c>
      <c r="D946" s="8" t="inlineStr">
        <is>
          <t>common</t>
        </is>
      </c>
      <c r="E946" s="8" t="inlineStr">
        <is>
          <t>fire</t>
        </is>
      </c>
      <c r="F946" s="8" t="n">
        <v>1</v>
      </c>
      <c r="G946" s="8" t="inlineStr">
        <is>
          <t>基础/顶层</t>
        </is>
      </c>
      <c r="H946" s="8" t="inlineStr"/>
      <c r="I946" s="9" t="inlineStr"/>
      <c r="J946" s="8" t="inlineStr"/>
      <c r="K946" s="8" t="inlineStr"/>
      <c r="L946" s="8" t="inlineStr"/>
      <c r="M946" s="8" t="inlineStr">
        <is>
          <t>周期触发</t>
        </is>
      </c>
      <c r="N946" s="8" t="inlineStr">
        <is>
          <t>periodicPulse</t>
        </is>
      </c>
      <c r="O946" s="9" t="inlineStr">
        <is>
          <t>下方相邻炼丹炉时，获得 7 层炎热</t>
        </is>
      </c>
      <c r="P946" s="9" t="inlineStr">
        <is>
          <t>onPeriodicPulse</t>
        </is>
      </c>
      <c r="Q946" s="9" t="inlineStr">
        <is>
          <t>applyBuff</t>
        </is>
      </c>
      <c r="R946" s="9" t="inlineStr">
        <is>
          <t>{"kind":"periodicPulse","label":"下方相邻炼丹炉时，获得 7 层炎热","periodicPulse":{"intervalSec":10,"label":"下方相邻炼丹炉时，获得 7 层炎热"},"executors":[{"trigger":"onPeriodicPulse","type":"applyBuff","buffId":"heat","count":7,"label":"下方相邻炼丹炉时，获得 7 层炎热"}],"starOverrides":{"1":{"label":"下方相邻炼丹炉时，获得 7 层炎热","periodicPulse":{"intervalSec":9,"label":"下方相邻炼丹炉时，获得 7 层炎热"},"executors":[{"trigger":"onPeriodicPulse","type":"applyBuff","buffId":"heat","count":7,"label":"下方相邻炼丹炉时，获得 7 层炎热"}]},"2":{"label":"下方相邻炼丹炉时，获得 7 层炎热","periodicPulse":{"intervalSec":8,"label":"下方相邻炼丹炉时，获得 7 层炎热"},"executors":[{"trigger":"onPeriodicPulse","type":"applyBuff","buffId":"heat","count":7,"label":"下方相邻炼丹炉时，获得 7 层炎热"}]},"3":{"label":"下方相邻炼丹炉时，获得 7 层炎热","periodicPulse":{"intervalSec":7,"label":"下方相邻炼丹炉时，获得 7 层炎热"},"executors":[{"trigger":"onPeriodicPulse","type":"applyBuff","buffId":"heat","count":7,"label":"下方相邻炼丹炉时，获得 7 层炎热"}]}}}</t>
        </is>
      </c>
    </row>
    <row r="947" ht="32" customHeight="1">
      <c r="A947" s="8" t="n">
        <v>412103</v>
      </c>
      <c r="B947" s="8" t="inlineStr">
        <is>
          <t>赤颅覆火盾</t>
        </is>
      </c>
      <c r="C947" s="8" t="inlineStr">
        <is>
          <t>法器</t>
        </is>
      </c>
      <c r="D947" s="8" t="inlineStr">
        <is>
          <t>common</t>
        </is>
      </c>
      <c r="E947" s="8" t="inlineStr">
        <is>
          <t>fire</t>
        </is>
      </c>
      <c r="F947" s="8" t="n">
        <v>1</v>
      </c>
      <c r="G947" s="8" t="inlineStr">
        <is>
          <t>基础/顶层</t>
        </is>
      </c>
      <c r="H947" s="8" t="inlineStr"/>
      <c r="I947" s="9" t="inlineStr"/>
      <c r="J947" s="8" t="inlineStr"/>
      <c r="K947" s="8" t="inlineStr"/>
      <c r="L947" s="8" t="inlineStr"/>
      <c r="M947" s="8" t="inlineStr">
        <is>
          <t>被动效果</t>
        </is>
      </c>
      <c r="N947" s="8" t="inlineStr">
        <is>
          <t>passive</t>
        </is>
      </c>
      <c r="O947" s="9" t="inlineStr">
        <is>
          <t>护甲层数上限 +6；护甲层数上限 +9；护甲层数上限 +12；护甲层数上限 +15</t>
        </is>
      </c>
      <c r="P947" s="9" t="inlineStr"/>
      <c r="Q947" s="9" t="inlineStr">
        <is>
          <t>buffStackCapBonus</t>
        </is>
      </c>
      <c r="R947" s="9" t="inlineStr">
        <is>
          <t>{"kind":"passive","label":"护甲层数上限 +6","passiveEffect":{"type":"buffStackCapBonus","buffId":"armor","value":6,"label":"护甲层数上限 +6"},"starOverrides":{"1":{"label":"护甲层数上限 +9","passiveEffect":{"type":"buffStackCapBonus","buffId":"armor","value":9,"label":"护甲层数上限 +9"}},"2":{"label":"护甲层数上限 +12","passiveEffect":{"type":"buffStackCapBonus","buffId":"armor","value":12,"label":"护甲层数上限 +12"}},"3":{"label":"护甲层数上限 +15","passiveEffect":{"type":"buffStackCapBonus","buffId":"armor","value":15,"label":"护甲层数上限 +15"}}}}</t>
        </is>
      </c>
    </row>
    <row r="948" ht="32" customHeight="1">
      <c r="A948" s="8" t="n">
        <v>412104</v>
      </c>
      <c r="B948" s="8" t="inlineStr">
        <is>
          <t>火囊稳压壶</t>
        </is>
      </c>
      <c r="C948" s="8" t="inlineStr">
        <is>
          <t>法器</t>
        </is>
      </c>
      <c r="D948" s="8" t="inlineStr">
        <is>
          <t>common</t>
        </is>
      </c>
      <c r="E948" s="8" t="inlineStr">
        <is>
          <t>fire</t>
        </is>
      </c>
      <c r="F948" s="8" t="n">
        <v>1</v>
      </c>
      <c r="G948" s="8" t="inlineStr">
        <is>
          <t>基础/顶层</t>
        </is>
      </c>
      <c r="H948" s="8" t="inlineStr"/>
      <c r="I948" s="9" t="inlineStr"/>
      <c r="J948" s="8" t="inlineStr"/>
      <c r="K948" s="8" t="inlineStr"/>
      <c r="L948" s="8" t="inlineStr"/>
      <c r="M948" s="8" t="inlineStr">
        <is>
          <t>周期触发</t>
        </is>
      </c>
      <c r="N948" s="8" t="inlineStr">
        <is>
          <t>periodicPulse</t>
        </is>
      </c>
      <c r="O948" s="9" t="inlineStr">
        <is>
          <t>消耗 10 点法力，获得 16 层炎热；消耗 10 点法力，获得 20 层炎热；消耗 10 点法力，获得 24 层炎热；消耗 10 点法力，获得 28 层炎热</t>
        </is>
      </c>
      <c r="P948" s="9" t="inlineStr">
        <is>
          <t>onPeriodicPulse</t>
        </is>
      </c>
      <c r="Q948" s="9" t="inlineStr">
        <is>
          <t>modifyPlayerPrimaryStat；applyBuff</t>
        </is>
      </c>
      <c r="R948" s="9" t="inlineStr">
        <is>
          <t>{"kind":"periodicPulse","label":"消耗 10 点法力，获得 16 层炎热","periodicPulse":{"intervalSec":12,"label":"消耗 10 点法力，获得 16 层炎热"},"executors":[{"trigger":"onPeriodicPulse","type":"modifyPlayerPrimaryStat","stat":"mana","delta":-10,"label":"消耗 10 点法力，获得 16 层炎热"},{"trigger":"onPeriodicPulse","type":"applyBuff","buffId":"heat","count":16,"label":"消耗 10 点法力，获得 16 层炎热"}],"starOverrides":{"1":{"label":"消耗 10 点法力，获得 20 层炎热","periodicPulse":{"intervalSec":12,"label":"消耗 10 点法力，获得 20 层炎热"},"executors":[{"trigger":"onPeriodicPulse","type":"modifyPlayerPrimaryStat","stat":"mana","delta":-10,"label":"消耗 10 点法力，获得 20 层炎热"},{"trigger":"onPeriodicPulse","type":"applyBuff","buffId":"heat","count":20,"label":"消耗 10 点法力，获得 20 层炎热"}]},"2":{"label":"消耗 10 点法力，获得 24 层炎热","periodicPulse":{"intervalSec":12,"label":"消耗 10 点法力，获得 24 层炎热"},"executors":[{"trigger":"onPeriodicPulse","type":"modifyPlayerPrimaryStat","stat":"mana","delta":-10,"label":"消耗 10 点法力，获得 24 层炎热"},{"trigger":"onPeriodicPulse","type":"applyBuff","buffId":"heat","count":24,"label":"消耗 10 点法力，获得 24 层炎热"}]},"3":{"label":"消耗 10 点法力，获得 28 层炎热","periodicPulse":{"intervalSec":12,"label":"消耗 10 点法力，获得 28 层炎热"},"executors":[{"trigger":"onPeriodicPulse","type":"modifyPlayerPrimaryStat","stat":"mana","delta":-10,"label":"消耗 10 点法力，获得 28 层炎热"},{"trigger":"onPeriodicPulse","type":"applyBuff","buffId":"heat","count":28,"label":"消耗 10 点法力，获得 28 层炎热"}]}}}</t>
        </is>
      </c>
    </row>
    <row r="949" ht="32" customHeight="1">
      <c r="A949" s="8" t="n">
        <v>412105</v>
      </c>
      <c r="B949" s="8" t="inlineStr">
        <is>
          <t>心火镇炉杵</t>
        </is>
      </c>
      <c r="C949" s="8" t="inlineStr">
        <is>
          <t>法器</t>
        </is>
      </c>
      <c r="D949" s="8" t="inlineStr">
        <is>
          <t>common</t>
        </is>
      </c>
      <c r="E949" s="8" t="inlineStr">
        <is>
          <t>fire</t>
        </is>
      </c>
      <c r="F949" s="8" t="n">
        <v>1</v>
      </c>
      <c r="G949" s="8" t="inlineStr">
        <is>
          <t>基础/顶层</t>
        </is>
      </c>
      <c r="H949" s="8" t="inlineStr"/>
      <c r="I949" s="9" t="inlineStr"/>
      <c r="J949" s="8" t="inlineStr"/>
      <c r="K949" s="8" t="inlineStr"/>
      <c r="L949" s="8" t="inlineStr"/>
      <c r="M949" s="8" t="inlineStr">
        <is>
          <t>周期触发</t>
        </is>
      </c>
      <c r="N949" s="8" t="inlineStr">
        <is>
          <t>periodicPulse</t>
        </is>
      </c>
      <c r="O949" s="9" t="inlineStr">
        <is>
          <t>开局：将最多 8 层炎热转化为体力，每转化 1 层恢复 3 点体力；开局：将最多 8 层炎热转化为体力，每转化 1 层恢复 5 点体力；开局：将最多 8 层炎热转化为体力，每转化 1 层恢复 7 点体力；开局：将最多 8 层炎热转化为体力，每转化 1 层恢复 8 点体力</t>
        </is>
      </c>
      <c r="P949" s="9" t="inlineStr">
        <is>
          <t>onPeriodicPulse</t>
        </is>
      </c>
      <c r="Q949" s="9" t="inlineStr">
        <is>
          <t>consumeBuffStacks</t>
        </is>
      </c>
      <c r="R949" s="9" t="inlineStr">
        <is>
          <t>{"kind":"periodicPulse","label":"开局：将最多 8 层炎热转化为体力，每转化 1 层恢复 3 点体力","periodicPulse":{"startOnly":true,"label":"开局：将最多 8 层炎热转化为体力，每转化 1 层恢复 3 点体力"},"executors":[{"trigger":"onPeriodicPulse","type":"consumeBuffStacks","sourceBuffId":"heat","maxStacks":8,"consumeRatio":1,"primaryStatGainPerStack":{"stat":"stamina","amount":3},"label":"开局：将最多 8 层炎热转化为体力，每转化 1 层恢复 3 点体力"}],"starOverrides":{"1":{"label":"开局：将最多 8 层炎热转化为体力，每转化 1 层恢复 5 点体力","periodicPulse":{"startOnly":true,"label":"开局：将最多 8 层炎热转化为体力，每转化 1 层恢复 5 点体力"},"executors":[{"trigger":"onPeriodicPulse","type":"consumeBuffStacks","sourceBuffId":"heat","maxStacks":8,"consumeRatio":1,"primaryStatGainPerStack":{"stat":"stamina","amount":5},"label":"开局：将最多 8 层炎热转化为体力，每转化 1 层恢复 5 点体力"}]},"2":{"label":"开局：将最多 8 层炎热转化为体力，每转化 1 层恢复 7 点体力","periodicPulse":{"startOnly":true,"label":"开局：将最多 8 层炎热转化为体力，每转化 1 层恢复 7 点体力"},"executors":[{"trigger":"onPeriodicPulse","type":"consumeBuffStacks","sourceBuffId":"heat","maxStacks":8,"consumeRatio":1,"primaryStatGainPerStack":{"stat":"stamina","amount":7},"label":"开局：将最多 8 层炎热转化为体力，每转化 1 层恢复 7 点体力"}]},"3":{"label":"开局：将最多 8 层炎热转化为体力，每转化 1 层恢复 8 点体力","periodicPulse":{"startOnly":true,"label":"开局：将最多 8 层炎热转化为体力，每转化 1 层恢复 8 点体力"},"executors":[{"trigger":"onPeriodicPulse","type":"consumeBuffStacks","sourceBuffId":"heat","maxStacks":8,"consumeRatio":1,"primaryStatGainPerStack":{"stat":"stamina","amount":8},"label":"开局：将最多 8 层炎热转化为体力，每转化 1 层恢复 8 点体力"}]}}}</t>
        </is>
      </c>
    </row>
    <row r="950" ht="32" customHeight="1">
      <c r="A950" s="8" t="n">
        <v>412106</v>
      </c>
      <c r="B950" s="8" t="inlineStr">
        <is>
          <t>炉筋承力结</t>
        </is>
      </c>
      <c r="C950" s="8" t="inlineStr">
        <is>
          <t>法器</t>
        </is>
      </c>
      <c r="D950" s="8" t="inlineStr">
        <is>
          <t>common</t>
        </is>
      </c>
      <c r="E950" s="8" t="inlineStr">
        <is>
          <t>fire</t>
        </is>
      </c>
      <c r="F950" s="8" t="n">
        <v>1</v>
      </c>
      <c r="G950" s="8" t="inlineStr">
        <is>
          <t>基础/顶层</t>
        </is>
      </c>
      <c r="H950" s="8" t="inlineStr"/>
      <c r="I950" s="9" t="inlineStr"/>
      <c r="J950" s="8" t="inlineStr"/>
      <c r="K950" s="8" t="inlineStr"/>
      <c r="L950" s="8" t="inlineStr"/>
      <c r="M950" s="8" t="inlineStr">
        <is>
          <t>条件触发</t>
        </is>
      </c>
      <c r="N950" s="8" t="inlineStr">
        <is>
          <t>triggered</t>
        </is>
      </c>
      <c r="O950" s="9" t="inlineStr">
        <is>
          <t>相邻道具消耗体力时，每消耗 2 点体力，获得 1 层炎热，单次最多获得 6 层；相邻道具消耗体力时，每消耗 2 点体力，获得 1 层炎热，单次最多获得 8 层；相邻道具消耗体力时，每消耗 2 点体力，获得 1 层炎热，单次最多获得 10 层；相邻道具消耗体力时，每消耗 2 点体力，获得 1 层炎热，单次最多获得 11 层</t>
        </is>
      </c>
      <c r="P950" s="9" t="inlineStr">
        <is>
          <t>onPrimaryStatConsumed</t>
        </is>
      </c>
      <c r="Q950" s="9" t="inlineStr">
        <is>
          <t>applyBuff；adjacent</t>
        </is>
      </c>
      <c r="R950" s="9" t="inlineStr">
        <is>
          <t>{"kind":"triggered","label":"相邻道具消耗体力时，每消耗 2 点体力，获得 1 层炎热，单次最多获得 6 层","triggeredEffect":{"trigger":"onPrimaryStatConsumed","type":"applyBuff","buffId":"heat","countPerEventPrimaryStatConsumed":{"stat":"stamina","costPerStack":2,"maxCount":6},"eventSource":{"target":{"type":"adjacent"}}},"starOverrides":{"1":{"label":"相邻道具消耗体力时，每消耗 2 点体力，获得 1 层炎热，单次最多获得 8 层","triggeredEffect":{"trigger":"onPrimaryStatConsumed","type":"applyBuff","buffId":"heat","countPerEventPrimaryStatConsumed":{"stat":"stamina","costPerStack":2,"maxCount":8},"eventSource":{"target":{"type":"adjacent"}}}},"2":{"label":"相邻道具消耗体力时，每消耗 2 点体力，获得 1 层炎热，单次最多获得 10 层","triggeredEffect":{"trigger":"onPrimaryStatConsumed","type":"applyBuff","buffId":"heat","countPerEventPrimaryStatConsumed":{"stat":"stamina","costPerStack":2,"maxCount":10},"eventSource":{"target":{"type":"adjacent"}}}},"3":{"label":"相邻道具消耗体力时，每消耗 2 点体力，获得 1 层炎热，单次最多获得 11 层","triggeredEffect":{"trigger":"onPrimaryStatConsumed","type":"applyBuff","buffId":"heat","countPerEventPrimaryStatConsumed":{"stat":"stamina","costPerStack":2,"maxCount":11},"eventSource":{"target":{"type":"adjacent"}}}}}}</t>
        </is>
      </c>
    </row>
    <row r="951" ht="32" customHeight="1">
      <c r="A951" s="8" t="n">
        <v>412107</v>
      </c>
      <c r="B951" s="8" t="inlineStr">
        <is>
          <t>丹髓稳火盏</t>
        </is>
      </c>
      <c r="C951" s="8" t="inlineStr">
        <is>
          <t>法器</t>
        </is>
      </c>
      <c r="D951" s="8" t="inlineStr">
        <is>
          <t>common</t>
        </is>
      </c>
      <c r="E951" s="8" t="inlineStr">
        <is>
          <t>fire</t>
        </is>
      </c>
      <c r="F951" s="8" t="n">
        <v>1</v>
      </c>
      <c r="G951" s="8" t="inlineStr">
        <is>
          <t>基础/顶层</t>
        </is>
      </c>
      <c r="H951" s="8" t="inlineStr"/>
      <c r="I951" s="9" t="inlineStr"/>
      <c r="J951" s="8" t="inlineStr"/>
      <c r="K951" s="8" t="inlineStr"/>
      <c r="L951" s="8" t="inlineStr"/>
      <c r="M951" s="8" t="inlineStr">
        <is>
          <t>被动效果</t>
        </is>
      </c>
      <c r="N951" s="8" t="inlineStr">
        <is>
          <t>passive</t>
        </is>
      </c>
      <c r="O951" s="9" t="inlineStr">
        <is>
          <t>炎热层数上限 +3；炎热层数上限 +5；炎热层数上限 +6；炎热层数上限 +8</t>
        </is>
      </c>
      <c r="P951" s="9" t="inlineStr"/>
      <c r="Q951" s="9" t="inlineStr">
        <is>
          <t>buffStackCapBonus</t>
        </is>
      </c>
      <c r="R951" s="9" t="inlineStr">
        <is>
          <t>{"kind":"passive","label":"炎热层数上限 +3","passiveEffect":{"type":"buffStackCapBonus","buffId":"heat","value":3,"label":"炎热层数上限 +3"},"starOverrides":{"1":{"label":"炎热层数上限 +5","passiveEffect":{"type":"buffStackCapBonus","buffId":"heat","value":5,"label":"炎热层数上限 +5"}},"2":{"label":"炎热层数上限 +6","passiveEffect":{"type":"buffStackCapBonus","buffId":"heat","value":6,"label":"炎热层数上限 +6"}},"3":{"label":"炎热层数上限 +8","passiveEffect":{"type":"buffStackCapBonus","buffId":"heat","value":8,"label":"炎热层数上限 +8"}}}}</t>
        </is>
      </c>
    </row>
    <row r="952" ht="32" customHeight="1">
      <c r="A952" s="8" t="n">
        <v>412108</v>
      </c>
      <c r="B952" s="8" t="inlineStr">
        <is>
          <t>丹砂魈牙锥</t>
        </is>
      </c>
      <c r="C952" s="8" t="inlineStr">
        <is>
          <t>法器</t>
        </is>
      </c>
      <c r="D952" s="8" t="inlineStr">
        <is>
          <t>common</t>
        </is>
      </c>
      <c r="E952" s="8" t="inlineStr">
        <is>
          <t>fire</t>
        </is>
      </c>
      <c r="F952" s="8" t="n">
        <v>1</v>
      </c>
      <c r="G952" s="8" t="inlineStr">
        <is>
          <t>基础/顶层</t>
        </is>
      </c>
      <c r="H952" s="8" t="inlineStr"/>
      <c r="I952" s="9" t="inlineStr"/>
      <c r="J952" s="8" t="inlineStr"/>
      <c r="K952" s="8" t="inlineStr"/>
      <c r="L952" s="8" t="inlineStr"/>
      <c r="M952" s="8" t="inlineStr">
        <is>
          <t>周期触发</t>
        </is>
      </c>
      <c r="N952" s="8" t="inlineStr">
        <is>
          <t>periodicPulse</t>
        </is>
      </c>
      <c r="O952" s="9" t="inlineStr">
        <is>
          <t>最多消耗 4 层炎热；每消耗 1 层，对敌方造成 10 点伤害；最多消耗 5 层炎热；每消耗 1 层，对敌方造成 10 点伤害；最多消耗 6 层炎热；每消耗 1 层，对敌方造成 10 点伤害；最多消耗 7 层炎热；每消耗 1 层，对敌方造成 10 点伤害</t>
        </is>
      </c>
      <c r="P952" s="9" t="inlineStr">
        <is>
          <t>onPeriodicPulse</t>
        </is>
      </c>
      <c r="Q952" s="9" t="inlineStr">
        <is>
          <t>consumeBuffStacks</t>
        </is>
      </c>
      <c r="R952" s="9" t="inlineStr">
        <is>
          <t>{"kind":"periodicPulse","label":"最多消耗 4 层炎热；&lt;battle&gt;每消耗 1 层，对敌方造成 10 点伤害&lt;/battle&gt;","periodicPulse":{"intervalSec":10,"label":"最多消耗 4 层炎热；&lt;battle&gt;每消耗 1 层，对敌方造成 10 点伤害&lt;/battle&gt;"},"executors":[{"trigger":"onPeriodicPulse","type":"consumeBuffStacks","sourceBuffId":"heat","maxStacks":4,"consumeRatio":1,"battleDamageHealthPerStack":10,"support":"common","label":"最多消耗 4 层炎热；&lt;battle&gt;每消耗 1 层，对敌方造成 10 点伤害&lt;/battle&gt;"}],"starOverrides":{"1":{"label":"最多消耗 5 层炎热；&lt;battle&gt;每消耗 1 层，对敌方造成 10 点伤害&lt;/battle&gt;","periodicPulse":{"intervalSec":10,"label":"最多消耗 5 层炎热；&lt;battle&gt;每消耗 1 层，对敌方造成 10 点伤害&lt;/battle&gt;"},"executors":[{"trigger":"onPeriodicPulse","type":"consumeBuffStacks","sourceBuffId":"heat","maxStacks":5,"consumeRatio":1,"battleDamageHealthPerStack":10,"support":"common","label":"最多消耗 5 层炎热；&lt;battle&gt;每消耗 1 层，对敌方造成 10 点伤害&lt;/battle&gt;"}]},"2":{"label":"最多消耗 6 层炎热；&lt;battle&gt;每消耗 1 层，对敌方造成 10 点伤害&lt;/battle&gt;","periodicPulse":{"intervalSec":10,"label":"最多消耗 6 层炎热；&lt;battle&gt;每消耗 1 层，对敌方造成 10 点伤害&lt;/battle&gt;"},"executors":[{"trigger":"onPeriodicPulse","type":"consumeBuffStacks","sourceBuffId":"heat","maxStacks":6,"consumeRatio":1,"battleDamageHealthPerStack":10,"support":"common","label":"最多消耗 6 层炎热；&lt;battle&gt;每消耗 1 层，对敌方造成 10 点伤害&lt;/battle&gt;"}]},"3":{"label":"最多消耗 7 层炎热；&lt;battle&gt;每消耗 1 层，对敌方造成 10 点伤害&lt;/battle&gt;","periodicPulse":{"intervalSec":10,"label":"最多消耗 7 层炎热；&lt;battle&gt;每消耗 1 层，对敌方造成 10 点伤害&lt;/battle&gt;"},"executors":[{"trigger":"onPeriodicPulse","type":"consumeBuffStacks","sourceBuffId":"heat","maxStacks":7,"consumeRatio":1,"battleDamageHealthPerStack":10,"support":"common","label":"最多消耗 7 层炎热；&lt;battle&gt;每消耗 1 层，对敌方造成 10 点伤害&lt;/battle&gt;"}]}}}</t>
        </is>
      </c>
    </row>
    <row r="953" ht="32" customHeight="1">
      <c r="A953" s="8" t="n">
        <v>412109</v>
      </c>
      <c r="B953" s="8" t="inlineStr">
        <is>
          <t>炉烟听火佩</t>
        </is>
      </c>
      <c r="C953" s="8" t="inlineStr">
        <is>
          <t>法器</t>
        </is>
      </c>
      <c r="D953" s="8" t="inlineStr">
        <is>
          <t>common</t>
        </is>
      </c>
      <c r="E953" s="8" t="inlineStr">
        <is>
          <t>fire</t>
        </is>
      </c>
      <c r="F953" s="8" t="n">
        <v>1</v>
      </c>
      <c r="G953" s="8" t="inlineStr">
        <is>
          <t>基础/顶层</t>
        </is>
      </c>
      <c r="H953" s="8" t="inlineStr"/>
      <c r="I953" s="9" t="inlineStr"/>
      <c r="J953" s="8" t="inlineStr"/>
      <c r="K953" s="8" t="inlineStr"/>
      <c r="L953" s="8" t="inlineStr"/>
      <c r="M953" s="8" t="inlineStr">
        <is>
          <t>条件触发</t>
        </is>
      </c>
      <c r="N953" s="8" t="inlineStr">
        <is>
          <t>triggered</t>
        </is>
      </c>
      <c r="O953" s="9" t="inlineStr">
        <is>
          <t>其他道具的开局效果触发时，获得 3 层炎热；其他道具的开局效果触发时，获得 5 层炎热；其他道具的开局效果触发时，获得 7 层炎热；其他道具的开局效果触发时，获得 8 层炎热</t>
        </is>
      </c>
      <c r="P953" s="9" t="inlineStr">
        <is>
          <t>onOtherItemStartEffect</t>
        </is>
      </c>
      <c r="Q953" s="9" t="inlineStr">
        <is>
          <t>applyBuff；other</t>
        </is>
      </c>
      <c r="R953" s="9" t="inlineStr">
        <is>
          <t>{"kind":"triggered","label":"其他道具的开局效果触发时，获得 3 层炎热","triggeredEffect":{"trigger":"onOtherItemStartEffect","type":"applyBuff","buffId":"heat","count":3,"eventSource":{"target":{"type":"other"}}},"starOverrides":{"1":{"label":"其他道具的开局效果触发时，获得 5 层炎热","triggeredEffect":{"trigger":"onOtherItemStartEffect","type":"applyBuff","buffId":"heat","count":5,"eventSource":{"target":{"type":"other"}}}},"2":{"label":"其他道具的开局效果触发时，获得 7 层炎热","triggeredEffect":{"trigger":"onOtherItemStartEffect","type":"applyBuff","buffId":"heat","count":7,"eventSource":{"target":{"type":"other"}}}},"3":{"label":"其他道具的开局效果触发时，获得 8 层炎热","triggeredEffect":{"trigger":"onOtherItemStartEffect","type":"applyBuff","buffId":"heat","count":8,"eventSource":{"target":{"type":"other"}}}}}}</t>
        </is>
      </c>
    </row>
    <row r="954" ht="32" customHeight="1">
      <c r="A954" s="8" t="n">
        <v>412151</v>
      </c>
      <c r="B954" s="8" t="inlineStr">
        <is>
          <t>三焦穿焰牌</t>
        </is>
      </c>
      <c r="C954" s="8" t="inlineStr">
        <is>
          <t>法器</t>
        </is>
      </c>
      <c r="D954" s="8" t="inlineStr">
        <is>
          <t>common</t>
        </is>
      </c>
      <c r="E954" s="8" t="inlineStr">
        <is>
          <t>fire</t>
        </is>
      </c>
      <c r="F954" s="8" t="n">
        <v>1</v>
      </c>
      <c r="G954" s="8" t="inlineStr">
        <is>
          <t>基础/顶层</t>
        </is>
      </c>
      <c r="H954" s="8" t="inlineStr"/>
      <c r="I954" s="9" t="inlineStr"/>
      <c r="J954" s="8" t="inlineStr"/>
      <c r="K954" s="8" t="inlineStr"/>
      <c r="L954" s="8" t="inlineStr"/>
      <c r="M954" s="8" t="inlineStr">
        <is>
          <t>周期触发</t>
        </is>
      </c>
      <c r="N954" s="8" t="inlineStr">
        <is>
          <t>periodicPulse</t>
        </is>
      </c>
      <c r="O954" s="9" t="inlineStr">
        <is>
          <t>开局：每有 1 件炼丹炉，获得 5 层炎热，最多计算 3 件；开局：每有 1 件炼丹炉，获得 7 层炎热，最多计算 3 件；开局：每有 1 件炼丹炉，获得 8 层炎热，最多计算 3 件；开局：每有 1 件炼丹炉，获得 10 层炎热，最多计算 3 件</t>
        </is>
      </c>
      <c r="P954" s="9" t="inlineStr">
        <is>
          <t>onPeriodicPulse</t>
        </is>
      </c>
      <c r="Q954" s="9" t="inlineStr">
        <is>
          <t>applyBuff</t>
        </is>
      </c>
      <c r="R954" s="9" t="inlineStr">
        <is>
          <t>{"kind":"periodicPulse","label":"开局：每有 1 件炼丹炉，获得 5 层炎热，最多计算 3 件","periodicPulse":{"startOnly":true,"label":"开局：每有 1 件炼丹炉，获得 5 层炎热，最多计算 3 件"},"executors":[{"trigger":"onPeriodicPulse","type":"applyBuff","buffId":"heat","count":5,"scaling":{"mode":"count","source":"bagItems","features":["alchemyFurnace"],"maxCount":3},"label":"开局：每有 1 件炼丹炉，获得 5 层炎热，最多计算 3 件"}],"starOverrides":{"1":{"label":"开局：每有 1 件炼丹炉，获得 7 层炎热，最多计算 3 件","periodicPulse":{"startOnly":true,"label":"开局：每有 1 件炼丹炉，获得 7 层炎热，最多计算 3 件"},"executors":[{"trigger":"onPeriodicPulse","type":"applyBuff","buffId":"heat","count":7,"scaling":{"mode":"count","source":"bagItems","features":["alchemyFurnace"],"maxCount":3},"label":"开局：每有 1 件炼丹炉，获得 7 层炎热，最多计算 3 件"}]},"2":{"label":"开局：每有 1 件炼丹炉，获得 8 层炎热，最多计算 3 件","periodicPulse":{"startOnly":true,"label":"开局：每有 1 件炼丹炉，获得 8 层炎热，最多计算 3 件"},"executors":[{"trigger":"onPeriodicPulse","type":"applyBuff","buffId":"heat","count":8,"scaling":{"mode":"count","source":"bagItems","features":["alchemyFurnace"],"maxCount":3},"label":"开局：每有 1 件炼丹炉，获得 8 层炎热，最多计算 3 件"}]},"3":{"label":"开局：每有 1 件炼丹炉，获得 10 层炎热，最多计算 3 件","periodicPulse":{"startOnly":true,"label":"开局：每有 1 件炼丹炉，获得 10 层炎热，最多计算 3 件"},"executors":[{"trigger":"onPeriodicPulse","type":"applyBuff","buffId":"heat","count":10,"scaling":{"mode":"count","source":"bagItems","features":["alchemyFurnace"],"maxCount":3},"label":"开局：每有 1 件炼丹炉，获得 10 层炎热，最多计算 3 件"}]}}}</t>
        </is>
      </c>
    </row>
    <row r="955" ht="32" customHeight="1">
      <c r="A955" s="8" t="n">
        <v>412153</v>
      </c>
      <c r="B955" s="8" t="inlineStr">
        <is>
          <t>囊焰递火牌</t>
        </is>
      </c>
      <c r="C955" s="8" t="inlineStr">
        <is>
          <t>法器</t>
        </is>
      </c>
      <c r="D955" s="8" t="inlineStr">
        <is>
          <t>common</t>
        </is>
      </c>
      <c r="E955" s="8" t="inlineStr">
        <is>
          <t>fire</t>
        </is>
      </c>
      <c r="F955" s="8" t="n">
        <v>1</v>
      </c>
      <c r="G955" s="8" t="inlineStr">
        <is>
          <t>基础/顶层</t>
        </is>
      </c>
      <c r="H955" s="8" t="inlineStr"/>
      <c r="I955" s="9" t="inlineStr"/>
      <c r="J955" s="8" t="inlineStr"/>
      <c r="K955" s="8" t="inlineStr"/>
      <c r="L955" s="8" t="inlineStr"/>
      <c r="M955" s="8" t="inlineStr">
        <is>
          <t>条件触发</t>
        </is>
      </c>
      <c r="N955" s="8" t="inlineStr">
        <is>
          <t>triggered</t>
        </is>
      </c>
      <c r="O955" s="9" t="inlineStr">
        <is>
          <t>使用相邻丹药时，获得 5 层炎热；使用相邻丹药时，获得 7 层炎热；使用相邻丹药时，获得 8 层炎热；使用相邻丹药时，获得 10 层炎热</t>
        </is>
      </c>
      <c r="P955" s="9" t="inlineStr">
        <is>
          <t>onItemUse</t>
        </is>
      </c>
      <c r="Q955" s="9" t="inlineStr">
        <is>
          <t>applyBuff；adjacent</t>
        </is>
      </c>
      <c r="R955" s="9" t="inlineStr">
        <is>
          <t>{"kind":"triggered","label":"使用相邻丹药时，获得 5 层炎热","triggeredEffect":{"trigger":"onItemUse","type":"applyBuff","buffId":"heat","count":5,"eventSource":{"target":{"type":"adjacent"},"filter":{"categories":["pill"]}}},"starOverrides":{"1":{"label":"使用相邻丹药时，获得 7 层炎热","triggeredEffect":{"trigger":"onItemUse","type":"applyBuff","buffId":"heat","count":7,"eventSource":{"target":{"type":"adjacent"},"filter":{"categories":["pill"]}}}},"2":{"label":"使用相邻丹药时，获得 8 层炎热","triggeredEffect":{"trigger":"onItemUse","type":"applyBuff","buffId":"heat","count":8,"eventSource":{"target":{"type":"adjacent"},"filter":{"categories":["pill"]}}}},"3":{"label":"使用相邻丹药时，获得 10 层炎热","triggeredEffect":{"trigger":"onItemUse","type":"applyBuff","buffId":"heat","count":10,"eventSource":{"target":{"type":"adjacent"},"filter":{"categories":["pill"]}}}}}}</t>
        </is>
      </c>
    </row>
    <row r="956" ht="32" customHeight="1">
      <c r="A956" s="8" t="n">
        <v>412158</v>
      </c>
      <c r="B956" s="8" t="inlineStr">
        <is>
          <t>炉灰扬火筒</t>
        </is>
      </c>
      <c r="C956" s="8" t="inlineStr">
        <is>
          <t>法器</t>
        </is>
      </c>
      <c r="D956" s="8" t="inlineStr">
        <is>
          <t>common</t>
        </is>
      </c>
      <c r="E956" s="8" t="inlineStr">
        <is>
          <t>fire</t>
        </is>
      </c>
      <c r="F956" s="8" t="n">
        <v>1</v>
      </c>
      <c r="G956" s="8" t="inlineStr">
        <is>
          <t>基础/顶层</t>
        </is>
      </c>
      <c r="H956" s="8" t="inlineStr"/>
      <c r="I956" s="9" t="inlineStr"/>
      <c r="J956" s="8" t="inlineStr"/>
      <c r="K956" s="8" t="inlineStr"/>
      <c r="L956" s="8" t="inlineStr"/>
      <c r="M956" s="8" t="inlineStr">
        <is>
          <t>条件触发</t>
        </is>
      </c>
      <c r="N956" s="8" t="inlineStr">
        <is>
          <t>triggered</t>
        </is>
      </c>
      <c r="O956" s="9" t="inlineStr">
        <is>
          <t>相邻符箓耗尽时，对敌方施加 4 层灼烧；相邻符箓耗尽时，对敌方施加 5 层灼烧；相邻符箓耗尽时，对敌方施加 7 层灼烧；相邻符箓耗尽时，对敌方施加 8 层灼烧</t>
        </is>
      </c>
      <c r="P956" s="9" t="inlineStr">
        <is>
          <t>onConsumableExhausted</t>
        </is>
      </c>
      <c r="Q956" s="9" t="inlineStr">
        <is>
          <t>applyBuff；adjacent</t>
        </is>
      </c>
      <c r="R956" s="9" t="inlineStr">
        <is>
          <t>{"kind":"triggered","label":"相邻符箓耗尽时，&lt;battle&gt;对敌方施加 4 层灼烧&lt;/battle&gt;","triggeredEffect":{"trigger":"onConsumableExhausted","type":"applyBuff","buffId":"burning","count":4,"targetActor":"enemy","polarity":"detrimental","eventSource":{"target":{"type":"adjacent"},"filter":{"categories":["talisman"]}},"support":"battleOnly"},"starOverrides":{"1":{"label":"相邻符箓耗尽时，&lt;battle&gt;对敌方施加 5 层灼烧&lt;/battle&gt;","triggeredEffect":{"trigger":"onConsumableExhausted","type":"applyBuff","buffId":"burning","count":5,"targetActor":"enemy","polarity":"detrimental","eventSource":{"target":{"type":"adjacent"},"filter":{"categories":["talisman"]}},"support":"battleOnly"}},"2":{"label":"相邻符箓耗尽时，&lt;battle&gt;对敌方施加 7 层灼烧&lt;/battle&gt;","triggeredEffect":{"trigger":"onConsumableExhausted","type":"applyBuff","buffId":"burning","count":7,"targetActor":"enemy","polarity":"detrimental","eventSource":{"target":{"type":"adjacent"},"filter":{"categories":["talisman"]}},"support":"battleOnly"}},"3":{"label":"相邻符箓耗尽时，&lt;battle&gt;对敌方施加 8 层灼烧&lt;/battle&gt;","triggeredEffect":{"trigger":"onConsumableExhausted","type":"applyBuff","buffId":"burning","count":8,"targetActor":"enemy","polarity":"detrimental","eventSource":{"target":{"type":"adjacent"},"filter":{"categories":["talisman"]}},"support":"battleOnly"}}}}</t>
        </is>
      </c>
    </row>
    <row r="957" ht="32" customHeight="1">
      <c r="A957" s="8" t="n">
        <v>412159</v>
      </c>
      <c r="B957" s="8" t="inlineStr">
        <is>
          <t>心火破炉锥</t>
        </is>
      </c>
      <c r="C957" s="8" t="inlineStr">
        <is>
          <t>法器</t>
        </is>
      </c>
      <c r="D957" s="8" t="inlineStr">
        <is>
          <t>common</t>
        </is>
      </c>
      <c r="E957" s="8" t="inlineStr">
        <is>
          <t>fire</t>
        </is>
      </c>
      <c r="F957" s="8" t="n">
        <v>1</v>
      </c>
      <c r="G957" s="8" t="inlineStr">
        <is>
          <t>基础/顶层</t>
        </is>
      </c>
      <c r="H957" s="8" t="inlineStr"/>
      <c r="I957" s="9" t="inlineStr"/>
      <c r="J957" s="8" t="inlineStr"/>
      <c r="K957" s="8" t="inlineStr"/>
      <c r="L957" s="8" t="inlineStr"/>
      <c r="M957" s="8" t="inlineStr">
        <is>
          <t>条件触发</t>
        </is>
      </c>
      <c r="N957" s="8" t="inlineStr">
        <is>
          <t>triggered</t>
        </is>
      </c>
      <c r="O957" s="9" t="inlineStr">
        <is>
          <t>使用相邻装备时，对敌方造成 14 点伤害；使用相邻装备时，对敌方造成 17 点伤害；使用相邻装备时，对敌方造成 20 点伤害；使用相邻装备时，对敌方造成 24 点伤害</t>
        </is>
      </c>
      <c r="P957" s="9" t="inlineStr">
        <is>
          <t>onItemUse</t>
        </is>
      </c>
      <c r="Q957" s="9" t="inlineStr">
        <is>
          <t>battleDamageHealth；adjacent</t>
        </is>
      </c>
      <c r="R957" s="9" t="inlineStr">
        <is>
          <t>{"kind":"triggered","label":"使用相邻装备时，&lt;battle&gt;对敌方造成 14 点伤害&lt;/battle&gt;","triggeredEffect":{"trigger":"onItemUse","type":"battleDamageHealth","amount":14,"support":"battleOnly","eventSource":{"target":{"type":"adjacent"},"filter":{"features":["equipment"]}}},"starOverrides":{"1":{"label":"使用相邻装备时，&lt;battle&gt;对敌方造成 17 点伤害&lt;/battle&gt;","triggeredEffect":{"trigger":"onItemUse","type":"battleDamageHealth","amount":17,"support":"battleOnly","eventSource":{"target":{"type":"adjacent"},"filter":{"features":["equipment"]}}}},"2":{"label":"使用相邻装备时，&lt;battle&gt;对敌方造成 20 点伤害&lt;/battle&gt;","triggeredEffect":{"trigger":"onItemUse","type":"battleDamageHealth","amount":20,"support":"battleOnly","eventSource":{"target":{"type":"adjacent"},"filter":{"features":["equipment"]}}}},"3":{"label":"使用相邻装备时，&lt;battle&gt;对敌方造成 24 点伤害&lt;/battle&gt;","triggeredEffect":{"trigger":"onItemUse","type":"battleDamageHealth","amount":24,"support":"battleOnly","eventSource":{"target":{"type":"adjacent"},"filter":{"features":["equipment"]}}}}}}</t>
        </is>
      </c>
    </row>
    <row r="958" ht="32" customHeight="1">
      <c r="A958" s="8" t="n">
        <v>412200</v>
      </c>
      <c r="B958" s="8" t="inlineStr">
        <is>
          <t>符甲镇岳盾</t>
        </is>
      </c>
      <c r="C958" s="8" t="inlineStr">
        <is>
          <t>法器</t>
        </is>
      </c>
      <c r="D958" s="8" t="inlineStr">
        <is>
          <t>common</t>
        </is>
      </c>
      <c r="E958" s="8" t="inlineStr">
        <is>
          <t>metal</t>
        </is>
      </c>
      <c r="F958" s="8" t="n">
        <v>1</v>
      </c>
      <c r="G958" s="8" t="inlineStr">
        <is>
          <t>基础/顶层</t>
        </is>
      </c>
      <c r="H958" s="8" t="inlineStr"/>
      <c r="I958" s="9" t="inlineStr"/>
      <c r="J958" s="8" t="inlineStr"/>
      <c r="K958" s="8" t="inlineStr"/>
      <c r="L958" s="8" t="inlineStr"/>
      <c r="M958" s="8" t="inlineStr">
        <is>
          <t>被动效果</t>
        </is>
      </c>
      <c r="N958" s="8" t="inlineStr">
        <is>
          <t>passive</t>
        </is>
      </c>
      <c r="O958" s="9" t="inlineStr">
        <is>
          <t>护甲层数上限 +12；护甲层数上限 +15；护甲层数上限 +18；护甲层数上限 +21</t>
        </is>
      </c>
      <c r="P958" s="9" t="inlineStr"/>
      <c r="Q958" s="9" t="inlineStr">
        <is>
          <t>buffStackCapBonus</t>
        </is>
      </c>
      <c r="R958" s="9" t="inlineStr">
        <is>
          <t>{"kind":"passive","label":"护甲层数上限 +12","passiveEffect":{"type":"buffStackCapBonus","buffId":"armor","value":12,"label":"护甲层数上限 +12"},"starOverrides":{"1":{"label":"护甲层数上限 +15","passiveEffect":{"type":"buffStackCapBonus","buffId":"armor","value":15,"label":"护甲层数上限 +15"}},"2":{"label":"护甲层数上限 +18","passiveEffect":{"type":"buffStackCapBonus","buffId":"armor","value":18,"label":"护甲层数上限 +18"}},"3":{"label":"护甲层数上限 +21","passiveEffect":{"type":"buffStackCapBonus","buffId":"armor","value":21,"label":"护甲层数上限 +21"}}}}</t>
        </is>
      </c>
    </row>
    <row r="959" ht="32" customHeight="1">
      <c r="A959" s="8" t="n">
        <v>412201</v>
      </c>
      <c r="B959" s="8" t="inlineStr">
        <is>
          <t>角碑镇元座</t>
        </is>
      </c>
      <c r="C959" s="8" t="inlineStr">
        <is>
          <t>法器</t>
        </is>
      </c>
      <c r="D959" s="8" t="inlineStr">
        <is>
          <t>common</t>
        </is>
      </c>
      <c r="E959" s="8" t="inlineStr">
        <is>
          <t>earth</t>
        </is>
      </c>
      <c r="F959" s="8" t="n">
        <v>1</v>
      </c>
      <c r="G959" s="8" t="inlineStr">
        <is>
          <t>基础/顶层</t>
        </is>
      </c>
      <c r="H959" s="8" t="inlineStr"/>
      <c r="I959" s="9" t="inlineStr"/>
      <c r="J959" s="8" t="inlineStr"/>
      <c r="K959" s="8" t="inlineStr"/>
      <c r="L959" s="8" t="inlineStr"/>
      <c r="M959" s="8" t="inlineStr">
        <is>
          <t>周期触发</t>
        </is>
      </c>
      <c r="N959" s="8" t="inlineStr">
        <is>
          <t>periodicPulse</t>
        </is>
      </c>
      <c r="O959" s="9" t="inlineStr">
        <is>
          <t>开局：未接触储物袋边缘时，获得 13 层蓄势；开局：未接触储物袋边缘时，获得 17 层蓄势；开局：未接触储物袋边缘时，获得 20 层蓄势；开局：未接触储物袋边缘时，获得 23 层蓄势</t>
        </is>
      </c>
      <c r="P959" s="9" t="inlineStr">
        <is>
          <t>onPeriodicPulse</t>
        </is>
      </c>
      <c r="Q959" s="9" t="inlineStr">
        <is>
          <t>applyBuff</t>
        </is>
      </c>
      <c r="R959" s="9" t="inlineStr">
        <is>
          <t>{"kind":"periodicPulse","label":"开局：未接触储物袋边缘时，获得 13 层蓄势","periodicPulse":{"startOnly":true,"label":"开局：未接触储物袋边缘时，获得 13 层蓄势"},"executors":[{"trigger":"onPeriodicPulse","type":"applyBuff","buffId":"heavy","count":13,"label":"开局：未接触储物袋边缘时，获得 13 层蓄势"}],"activationRequirements":{"forbiddenEdges":["top","bottom","left","right"]},"starOverrides":{"1":{"label":"开局：未接触储物袋边缘时，获得 17 层蓄势","periodicPulse":{"startOnly":true,"label":"开局：未接触储物袋边缘时，获得 17 层蓄势"},"executors":[{"trigger":"onPeriodicPulse","type":"applyBuff","buffId":"heavy","count":17,"label":"开局：未接触储物袋边缘时，获得 17 层蓄势"}]},"2":{"label":"开局：未接触储物袋边缘时，获得 20 层蓄势","periodicPulse":{"startOnly":true,"label":"开局：未接触储物袋边缘时，获得 20 层蓄势"},"executors":[{"trigger":"onPeriodicPulse","type":"applyBuff","buffId":"heavy","count":20,"label":"开局：未接触储物袋边缘时，获得 20 层蓄势"}]},"3":{"label":"开局：未接触储物袋边缘时，获得 23 层蓄势","periodicPulse":{"startOnly":true,"label":"开局：未接触储物袋边缘时，获得 23 层蓄势"},"executors":[{"trigger":"onPeriodicPulse","type":"applyBuff","buffId":"heavy","count":23,"label":"开局：未接触储物袋边缘时，获得 23 层蓄势"}]}}}</t>
        </is>
      </c>
    </row>
    <row r="960" ht="32" customHeight="1">
      <c r="A960" s="8" t="n">
        <v>412202</v>
      </c>
      <c r="B960" s="8" t="inlineStr">
        <is>
          <t>镇骨衡旗</t>
        </is>
      </c>
      <c r="C960" s="8" t="inlineStr">
        <is>
          <t>法器</t>
        </is>
      </c>
      <c r="D960" s="8" t="inlineStr">
        <is>
          <t>common</t>
        </is>
      </c>
      <c r="E960" s="8" t="inlineStr">
        <is>
          <t>earth</t>
        </is>
      </c>
      <c r="F960" s="8" t="n">
        <v>1</v>
      </c>
      <c r="G960" s="8" t="inlineStr">
        <is>
          <t>基础/顶层</t>
        </is>
      </c>
      <c r="H960" s="8" t="inlineStr"/>
      <c r="I960" s="9" t="inlineStr"/>
      <c r="J960" s="8" t="inlineStr"/>
      <c r="K960" s="8" t="inlineStr"/>
      <c r="L960" s="8" t="inlineStr"/>
      <c r="M960" s="8" t="inlineStr">
        <is>
          <t>周期触发</t>
        </is>
      </c>
      <c r="N960" s="8" t="inlineStr">
        <is>
          <t>periodicPulse</t>
        </is>
      </c>
      <c r="O960" s="9" t="inlineStr">
        <is>
          <t>位于储物袋顶部时，获得 7 层护甲</t>
        </is>
      </c>
      <c r="P960" s="9" t="inlineStr">
        <is>
          <t>onPeriodicPulse</t>
        </is>
      </c>
      <c r="Q960" s="9" t="inlineStr">
        <is>
          <t>applyBuff</t>
        </is>
      </c>
      <c r="R960" s="9" t="inlineStr">
        <is>
          <t>{"kind":"periodicPulse","label":"位于储物袋顶部时，获得 7 层护甲","periodicPulse":{"intervalSec":10,"label":"位于储物袋顶部时，获得 7 层护甲"},"executors":[{"trigger":"onPeriodicPulse","type":"applyBuff","buffId":"armor","count":7,"label":"位于储物袋顶部时，获得 7 层护甲"}],"activationRequirements":{"sourceEdges":["top"]},"starOverrides":{"1":{"label":"位于储物袋顶部时，获得 7 层护甲","periodicPulse":{"intervalSec":9,"label":"位于储物袋顶部时，获得 7 层护甲"},"executors":[{"trigger":"onPeriodicPulse","type":"applyBuff","buffId":"armor","count":7,"label":"位于储物袋顶部时，获得 7 层护甲"}]},"2":{"label":"位于储物袋顶部时，获得 7 层护甲","periodicPulse":{"intervalSec":8,"label":"位于储物袋顶部时，获得 7 层护甲"},"executors":[{"trigger":"onPeriodicPulse","type":"applyBuff","buffId":"armor","count":7,"label":"位于储物袋顶部时，获得 7 层护甲"}]},"3":{"label":"位于储物袋顶部时，获得 7 层护甲","periodicPulse":{"intervalSec":7,"label":"位于储物袋顶部时，获得 7 层护甲"},"executors":[{"trigger":"onPeriodicPulse","type":"applyBuff","buffId":"armor","count":7,"label":"位于储物袋顶部时，获得 7 层护甲"}]}}}</t>
        </is>
      </c>
    </row>
    <row r="961" ht="32" customHeight="1">
      <c r="A961" s="8" t="n">
        <v>412203</v>
      </c>
      <c r="B961" s="8" t="inlineStr">
        <is>
          <t>符蹄定山印</t>
        </is>
      </c>
      <c r="C961" s="8" t="inlineStr">
        <is>
          <t>法器</t>
        </is>
      </c>
      <c r="D961" s="8" t="inlineStr">
        <is>
          <t>common</t>
        </is>
      </c>
      <c r="E961" s="8" t="inlineStr">
        <is>
          <t>earth</t>
        </is>
      </c>
      <c r="F961" s="8" t="n">
        <v>1</v>
      </c>
      <c r="G961" s="8" t="inlineStr">
        <is>
          <t>基础/顶层</t>
        </is>
      </c>
      <c r="H961" s="8" t="inlineStr"/>
      <c r="I961" s="9" t="inlineStr"/>
      <c r="J961" s="8" t="inlineStr"/>
      <c r="K961" s="8" t="inlineStr"/>
      <c r="L961" s="8" t="inlineStr"/>
      <c r="M961" s="8" t="inlineStr">
        <is>
          <t>周期触发</t>
        </is>
      </c>
      <c r="N961" s="8" t="inlineStr">
        <is>
          <t>periodicPulse</t>
        </is>
      </c>
      <c r="O961" s="9" t="inlineStr">
        <is>
          <t>位于储物袋底部时，获得 7 层蓄势</t>
        </is>
      </c>
      <c r="P961" s="9" t="inlineStr">
        <is>
          <t>onPeriodicPulse</t>
        </is>
      </c>
      <c r="Q961" s="9" t="inlineStr">
        <is>
          <t>applyBuff</t>
        </is>
      </c>
      <c r="R961" s="9" t="inlineStr">
        <is>
          <t>{"kind":"periodicPulse","label":"位于储物袋底部时，获得 7 层蓄势","periodicPulse":{"intervalSec":10,"label":"位于储物袋底部时，获得 7 层蓄势"},"executors":[{"trigger":"onPeriodicPulse","type":"applyBuff","buffId":"heavy","count":7,"label":"位于储物袋底部时，获得 7 层蓄势"}],"activationRequirements":{"sourceEdges":["bottom"]},"starOverrides":{"1":{"label":"位于储物袋底部时，获得 7 层蓄势","periodicPulse":{"intervalSec":9,"label":"位于储物袋底部时，获得 7 层蓄势"},"executors":[{"trigger":"onPeriodicPulse","type":"applyBuff","buffId":"heavy","count":7,"label":"位于储物袋底部时，获得 7 层蓄势"}]},"2":{"label":"位于储物袋底部时，获得 7 层蓄势","periodicPulse":{"intervalSec":8,"label":"位于储物袋底部时，获得 7 层蓄势"},"executors":[{"trigger":"onPeriodicPulse","type":"applyBuff","buffId":"heavy","count":7,"label":"位于储物袋底部时，获得 7 层蓄势"}]},"3":{"label":"位于储物袋底部时，获得 7 层蓄势","periodicPulse":{"intervalSec":7,"label":"位于储物袋底部时，获得 7 层蓄势"},"executors":[{"trigger":"onPeriodicPulse","type":"applyBuff","buffId":"heavy","count":7,"label":"位于储物袋底部时，获得 7 层蓄势"}]}}}</t>
        </is>
      </c>
    </row>
    <row r="962" ht="32" customHeight="1">
      <c r="A962" s="8" t="n">
        <v>412204</v>
      </c>
      <c r="B962" s="8" t="inlineStr">
        <is>
          <t>脊骨承山柱</t>
        </is>
      </c>
      <c r="C962" s="8" t="inlineStr">
        <is>
          <t>法器</t>
        </is>
      </c>
      <c r="D962" s="8" t="inlineStr">
        <is>
          <t>common</t>
        </is>
      </c>
      <c r="E962" s="8" t="inlineStr">
        <is>
          <t>earth</t>
        </is>
      </c>
      <c r="F962" s="8" t="n">
        <v>1</v>
      </c>
      <c r="G962" s="8" t="inlineStr">
        <is>
          <t>基础/顶层</t>
        </is>
      </c>
      <c r="H962" s="8" t="inlineStr"/>
      <c r="I962" s="9" t="inlineStr"/>
      <c r="J962" s="8" t="inlineStr"/>
      <c r="K962" s="8" t="inlineStr"/>
      <c r="L962" s="8" t="inlineStr"/>
      <c r="M962" s="8" t="inlineStr">
        <is>
          <t>被动效果</t>
        </is>
      </c>
      <c r="N962" s="8" t="inlineStr">
        <is>
          <t>passive</t>
        </is>
      </c>
      <c r="O962" s="9" t="inlineStr">
        <is>
          <t>坚硬层数上限 +3；坚硬层数上限 +5；坚硬层数上限 +6；坚硬层数上限 +8</t>
        </is>
      </c>
      <c r="P962" s="9" t="inlineStr"/>
      <c r="Q962" s="9" t="inlineStr">
        <is>
          <t>buffStackCapBonus</t>
        </is>
      </c>
      <c r="R962" s="9" t="inlineStr">
        <is>
          <t>{"kind":"passive","label":"坚硬层数上限 +3","passiveEffect":{"type":"buffStackCapBonus","buffId":"sturdy","value":3,"label":"坚硬层数上限 +3"},"starOverrides":{"1":{"label":"坚硬层数上限 +5","passiveEffect":{"type":"buffStackCapBonus","buffId":"sturdy","value":5,"label":"坚硬层数上限 +5"}},"2":{"label":"坚硬层数上限 +6","passiveEffect":{"type":"buffStackCapBonus","buffId":"sturdy","value":6,"label":"坚硬层数上限 +6"}},"3":{"label":"坚硬层数上限 +8","passiveEffect":{"type":"buffStackCapBonus","buffId":"sturdy","value":8,"label":"坚硬层数上限 +8"}}}}</t>
        </is>
      </c>
    </row>
    <row r="963" ht="32" customHeight="1">
      <c r="A963" s="8" t="n">
        <v>412205</v>
      </c>
      <c r="B963" s="8" t="inlineStr">
        <is>
          <t>青阙镇元杖</t>
        </is>
      </c>
      <c r="C963" s="8" t="inlineStr">
        <is>
          <t>法器</t>
        </is>
      </c>
      <c r="D963" s="8" t="inlineStr">
        <is>
          <t>common</t>
        </is>
      </c>
      <c r="E963" s="8" t="inlineStr">
        <is>
          <t>earth</t>
        </is>
      </c>
      <c r="F963" s="8" t="n">
        <v>1</v>
      </c>
      <c r="G963" s="8" t="inlineStr">
        <is>
          <t>基础/顶层</t>
        </is>
      </c>
      <c r="H963" s="8" t="inlineStr"/>
      <c r="I963" s="9" t="inlineStr"/>
      <c r="J963" s="8" t="inlineStr"/>
      <c r="K963" s="8" t="inlineStr"/>
      <c r="L963" s="8" t="inlineStr"/>
      <c r="M963" s="8" t="inlineStr">
        <is>
          <t>周期触发</t>
        </is>
      </c>
      <c r="N963" s="8" t="inlineStr">
        <is>
          <t>periodicPulse</t>
        </is>
      </c>
      <c r="O963" s="9" t="inlineStr">
        <is>
          <t>开局：每有 1 件符箓，获得 5 层护甲，最多计算 4 件；开局：每有 1 件符箓，获得 7 层护甲，最多计算 4 件；开局：每有 1 件符箓，获得 8 层护甲，最多计算 4 件；开局：每有 1 件符箓，获得 10 层护甲，最多计算 4 件</t>
        </is>
      </c>
      <c r="P963" s="9" t="inlineStr">
        <is>
          <t>onPeriodicPulse</t>
        </is>
      </c>
      <c r="Q963" s="9" t="inlineStr">
        <is>
          <t>applyBuff</t>
        </is>
      </c>
      <c r="R963" s="9" t="inlineStr">
        <is>
          <t>{"kind":"periodicPulse","label":"开局：每有 1 件符箓，获得 5 层护甲，最多计算 4 件","periodicPulse":{"startOnly":true,"label":"开局：每有 1 件符箓，获得 5 层护甲，最多计算 4 件"},"executors":[{"trigger":"onPeriodicPulse","type":"applyBuff","buffId":"armor","count":5,"scaling":{"mode":"count","source":"bagItems","categories":["talisman"],"maxCount":4},"label":"开局：每有 1 件符箓，获得 5 层护甲，最多计算 4 件"}],"starOverrides":{"1":{"label":"开局：每有 1 件符箓，获得 7 层护甲，最多计算 4 件","periodicPulse":{"startOnly":true,"label":"开局：每有 1 件符箓，获得 7 层护甲，最多计算 4 件"},"executors":[{"trigger":"onPeriodicPulse","type":"applyBuff","buffId":"armor","count":7,"scaling":{"mode":"count","source":"bagItems","categories":["talisman"],"maxCount":4},"label":"开局：每有 1 件符箓，获得 7 层护甲，最多计算 4 件"}]},"2":{"label":"开局：每有 1 件符箓，获得 8 层护甲，最多计算 4 件","periodicPulse":{"startOnly":true,"label":"开局：每有 1 件符箓，获得 8 层护甲，最多计算 4 件"},"executors":[{"trigger":"onPeriodicPulse","type":"applyBuff","buffId":"armor","count":8,"scaling":{"mode":"count","source":"bagItems","categories":["talisman"],"maxCount":4},"label":"开局：每有 1 件符箓，获得 8 层护甲，最多计算 4 件"}]},"3":{"label":"开局：每有 1 件符箓，获得 10 层护甲，最多计算 4 件","periodicPulse":{"startOnly":true,"label":"开局：每有 1 件符箓，获得 10 层护甲，最多计算 4 件"},"executors":[{"trigger":"onPeriodicPulse","type":"applyBuff","buffId":"armor","count":10,"scaling":{"mode":"count","source":"bagItems","categories":["talisman"],"maxCount":4},"label":"开局：每有 1 件符箓，获得 10 层护甲，最多计算 4 件"}]}}}</t>
        </is>
      </c>
    </row>
    <row r="964" ht="32" customHeight="1">
      <c r="A964" s="8" t="n">
        <v>412251</v>
      </c>
      <c r="B964" s="8" t="inlineStr">
        <is>
          <t>踏砂移势匣</t>
        </is>
      </c>
      <c r="C964" s="8" t="inlineStr">
        <is>
          <t>法器</t>
        </is>
      </c>
      <c r="D964" s="8" t="inlineStr">
        <is>
          <t>common</t>
        </is>
      </c>
      <c r="E964" s="8" t="inlineStr">
        <is>
          <t>earth</t>
        </is>
      </c>
      <c r="F964" s="8" t="n">
        <v>1</v>
      </c>
      <c r="G964" s="8" t="inlineStr">
        <is>
          <t>基础/顶层</t>
        </is>
      </c>
      <c r="H964" s="8" t="inlineStr"/>
      <c r="I964" s="9" t="inlineStr"/>
      <c r="J964" s="8" t="inlineStr"/>
      <c r="K964" s="8" t="inlineStr"/>
      <c r="L964" s="8" t="inlineStr"/>
      <c r="M964" s="8" t="inlineStr">
        <is>
          <t>条件触发</t>
        </is>
      </c>
      <c r="N964" s="8" t="inlineStr">
        <is>
          <t>triggered</t>
        </is>
      </c>
      <c r="O964" s="9" t="inlineStr">
        <is>
          <t>使用相邻投掷物时，获得 7 层护甲；使用相邻投掷物时，获得 8 层护甲；使用相邻投掷物时，获得 10 层护甲；使用相邻投掷物时，获得 12 层护甲</t>
        </is>
      </c>
      <c r="P964" s="9" t="inlineStr">
        <is>
          <t>onItemUse</t>
        </is>
      </c>
      <c r="Q964" s="9" t="inlineStr">
        <is>
          <t>applyBuff；adjacent</t>
        </is>
      </c>
      <c r="R964" s="9" t="inlineStr">
        <is>
          <t>{"kind":"triggered","label":"使用相邻投掷物时，获得 7 层护甲","triggeredEffect":{"trigger":"onItemUse","type":"applyBuff","buffId":"armor","count":7,"eventSource":{"target":{"type":"adjacent"},"filter":{"categories":["throwable"]}}},"starOverrides":{"1":{"label":"使用相邻投掷物时，获得 8 层护甲","triggeredEffect":{"trigger":"onItemUse","type":"applyBuff","buffId":"armor","count":8,"eventSource":{"target":{"type":"adjacent"},"filter":{"categories":["throwable"]}}}},"2":{"label":"使用相邻投掷物时，获得 10 层护甲","triggeredEffect":{"trigger":"onItemUse","type":"applyBuff","buffId":"armor","count":10,"eventSource":{"target":{"type":"adjacent"},"filter":{"categories":["throwable"]}}}},"3":{"label":"使用相邻投掷物时，获得 12 层护甲","triggeredEffect":{"trigger":"onItemUse","type":"applyBuff","buffId":"armor","count":12,"eventSource":{"target":{"type":"adjacent"},"filter":{"categories":["throwable"]}}}}}}</t>
        </is>
      </c>
    </row>
    <row r="965" ht="32" customHeight="1">
      <c r="A965" s="8" t="n">
        <v>412252</v>
      </c>
      <c r="B965" s="8" t="inlineStr">
        <is>
          <t>贯岳角轮</t>
        </is>
      </c>
      <c r="C965" s="8" t="inlineStr">
        <is>
          <t>法器</t>
        </is>
      </c>
      <c r="D965" s="8" t="inlineStr">
        <is>
          <t>common</t>
        </is>
      </c>
      <c r="E965" s="8" t="inlineStr">
        <is>
          <t>earth</t>
        </is>
      </c>
      <c r="F965" s="8" t="n">
        <v>1</v>
      </c>
      <c r="G965" s="8" t="inlineStr">
        <is>
          <t>基础/顶层</t>
        </is>
      </c>
      <c r="H965" s="8" t="inlineStr"/>
      <c r="I965" s="9" t="inlineStr"/>
      <c r="J965" s="8" t="inlineStr"/>
      <c r="K965" s="8" t="inlineStr"/>
      <c r="L965" s="8" t="inlineStr"/>
      <c r="M965" s="8" t="inlineStr">
        <is>
          <t>条件触发</t>
        </is>
      </c>
      <c r="N965" s="8" t="inlineStr">
        <is>
          <t>triggered</t>
        </is>
      </c>
      <c r="O965" s="9" t="inlineStr">
        <is>
          <t>使用相邻阵盘时，获得 7 层护甲；使用相邻阵盘时，获得 8 层护甲；使用相邻阵盘时，获得 10 层护甲；使用相邻阵盘时，获得 12 层护甲</t>
        </is>
      </c>
      <c r="P965" s="9" t="inlineStr">
        <is>
          <t>onItemUse</t>
        </is>
      </c>
      <c r="Q965" s="9" t="inlineStr">
        <is>
          <t>applyBuff；adjacent</t>
        </is>
      </c>
      <c r="R965" s="9" t="inlineStr">
        <is>
          <t>{"kind":"triggered","label":"使用相邻阵盘时，获得 7 层护甲","triggeredEffect":{"trigger":"onItemUse","type":"applyBuff","buffId":"armor","count":7,"eventSource":{"target":{"type":"adjacent"},"filter":{"categories":["formation"]}}},"starOverrides":{"1":{"label":"使用相邻阵盘时，获得 8 层护甲","triggeredEffect":{"trigger":"onItemUse","type":"applyBuff","buffId":"armor","count":8,"eventSource":{"target":{"type":"adjacent"},"filter":{"categories":["formation"]}}}},"2":{"label":"使用相邻阵盘时，获得 10 层护甲","triggeredEffect":{"trigger":"onItemUse","type":"applyBuff","buffId":"armor","count":10,"eventSource":{"target":{"type":"adjacent"},"filter":{"categories":["formation"]}}}},"3":{"label":"使用相邻阵盘时，获得 12 层护甲","triggeredEffect":{"trigger":"onItemUse","type":"applyBuff","buffId":"armor","count":12,"eventSource":{"target":{"type":"adjacent"},"filter":{"categories":["formation"]}}}}}}</t>
        </is>
      </c>
    </row>
    <row r="966" ht="32" customHeight="1">
      <c r="A966" s="8" t="n">
        <v>412253</v>
      </c>
      <c r="B966" s="8" t="inlineStr">
        <is>
          <t>破阵骨梭</t>
        </is>
      </c>
      <c r="C966" s="8" t="inlineStr">
        <is>
          <t>法器</t>
        </is>
      </c>
      <c r="D966" s="8" t="inlineStr">
        <is>
          <t>common</t>
        </is>
      </c>
      <c r="E966" s="8" t="inlineStr">
        <is>
          <t>earth</t>
        </is>
      </c>
      <c r="F966" s="8" t="n">
        <v>1</v>
      </c>
      <c r="G966" s="8" t="inlineStr">
        <is>
          <t>基础/顶层</t>
        </is>
      </c>
      <c r="H966" s="8" t="inlineStr"/>
      <c r="I966" s="9" t="inlineStr"/>
      <c r="J966" s="8" t="inlineStr"/>
      <c r="K966" s="8" t="inlineStr"/>
      <c r="L966" s="8" t="inlineStr"/>
      <c r="M966" s="8" t="inlineStr">
        <is>
          <t>条件触发</t>
        </is>
      </c>
      <c r="N966" s="8" t="inlineStr">
        <is>
          <t>triggered</t>
        </is>
      </c>
      <c r="O966" s="9" t="inlineStr">
        <is>
          <t>使用相邻阵盘时，对敌方造成 17 点伤害；使用相邻阵盘时，对敌方造成 20 点伤害；使用相邻阵盘时，对敌方造成 24 点伤害；使用相邻阵盘时，对敌方造成 27 点伤害</t>
        </is>
      </c>
      <c r="P966" s="9" t="inlineStr">
        <is>
          <t>onItemUse</t>
        </is>
      </c>
      <c r="Q966" s="9" t="inlineStr">
        <is>
          <t>battleDamageHealth；adjacent</t>
        </is>
      </c>
      <c r="R966" s="9" t="inlineStr">
        <is>
          <t>{"kind":"triggered","label":"使用相邻阵盘时，&lt;battle&gt;对敌方造成 17 点伤害&lt;/battle&gt;","triggeredEffect":{"trigger":"onItemUse","type":"battleDamageHealth","amount":17,"support":"battleOnly","eventSource":{"target":{"type":"adjacent"},"filter":{"categories":["formation"]}}},"starOverrides":{"1":{"label":"使用相邻阵盘时，&lt;battle&gt;对敌方造成 20 点伤害&lt;/battle&gt;","triggeredEffect":{"trigger":"onItemUse","type":"battleDamageHealth","amount":20,"support":"battleOnly","eventSource":{"target":{"type":"adjacent"},"filter":{"categories":["formation"]}}}},"2":{"label":"使用相邻阵盘时，&lt;battle&gt;对敌方造成 24 点伤害&lt;/battle&gt;","triggeredEffect":{"trigger":"onItemUse","type":"battleDamageHealth","amount":24,"support":"battleOnly","eventSource":{"target":{"type":"adjacent"},"filter":{"categories":["formation"]}}}},"3":{"label":"使用相邻阵盘时，&lt;battle&gt;对敌方造成 27 点伤害&lt;/battle&gt;","triggeredEffect":{"trigger":"onItemUse","type":"battleDamageHealth","amount":27,"support":"battleOnly","eventSource":{"target":{"type":"adjacent"},"filter":{"categories":["formation"]}}}}}}</t>
        </is>
      </c>
    </row>
    <row r="967" ht="32" customHeight="1">
      <c r="A967" s="8" t="n">
        <v>412254</v>
      </c>
      <c r="B967" s="8" t="inlineStr">
        <is>
          <t>崩阵脊矛</t>
        </is>
      </c>
      <c r="C967" s="8" t="inlineStr">
        <is>
          <t>法器</t>
        </is>
      </c>
      <c r="D967" s="8" t="inlineStr">
        <is>
          <t>common</t>
        </is>
      </c>
      <c r="E967" s="8" t="inlineStr">
        <is>
          <t>earth</t>
        </is>
      </c>
      <c r="F967" s="8" t="n">
        <v>1</v>
      </c>
      <c r="G967" s="8" t="inlineStr">
        <is>
          <t>基础/顶层</t>
        </is>
      </c>
      <c r="H967" s="8" t="inlineStr"/>
      <c r="I967" s="9" t="inlineStr"/>
      <c r="J967" s="8" t="inlineStr"/>
      <c r="K967" s="8" t="inlineStr"/>
      <c r="L967" s="8" t="inlineStr"/>
      <c r="M967" s="8" t="inlineStr">
        <is>
          <t>条件触发</t>
        </is>
      </c>
      <c r="N967" s="8" t="inlineStr">
        <is>
          <t>triggered</t>
        </is>
      </c>
      <c r="O967" s="9" t="inlineStr">
        <is>
          <t>使用相邻武器时，对敌方造成 14 点伤害；使用相邻武器时，对敌方造成 17 点伤害；使用相邻武器时，对敌方造成 20 点伤害；使用相邻武器时，对敌方造成 24 点伤害</t>
        </is>
      </c>
      <c r="P967" s="9" t="inlineStr">
        <is>
          <t>onItemUse</t>
        </is>
      </c>
      <c r="Q967" s="9" t="inlineStr">
        <is>
          <t>battleDamageHealth；adjacent</t>
        </is>
      </c>
      <c r="R967" s="9" t="inlineStr">
        <is>
          <t>{"kind":"triggered","label":"使用相邻武器时，&lt;battle&gt;对敌方造成 14 点伤害&lt;/battle&gt;","triggeredEffect":{"trigger":"onItemUse","type":"battleDamageHealth","amount":14,"support":"battleOnly","eventSource":{"target":{"type":"adjacent"},"filter":{"features":["weapon"]}}},"starOverrides":{"1":{"label":"使用相邻武器时，&lt;battle&gt;对敌方造成 17 点伤害&lt;/battle&gt;","triggeredEffect":{"trigger":"onItemUse","type":"battleDamageHealth","amount":17,"support":"battleOnly","eventSource":{"target":{"type":"adjacent"},"filter":{"features":["weapon"]}}}},"2":{"label":"使用相邻武器时，&lt;battle&gt;对敌方造成 20 点伤害&lt;/battle&gt;","triggeredEffect":{"trigger":"onItemUse","type":"battleDamageHealth","amount":20,"support":"battleOnly","eventSource":{"target":{"type":"adjacent"},"filter":{"features":["weapon"]}}}},"3":{"label":"使用相邻武器时，&lt;battle&gt;对敌方造成 24 点伤害&lt;/battle&gt;","triggeredEffect":{"trigger":"onItemUse","type":"battleDamageHealth","amount":24,"support":"battleOnly","eventSource":{"target":{"type":"adjacent"},"filter":{"features":["weapon"]}}}}}}</t>
        </is>
      </c>
    </row>
    <row r="968" ht="32" customHeight="1">
      <c r="A968" s="8" t="n">
        <v>412255</v>
      </c>
      <c r="B968" s="8" t="inlineStr">
        <is>
          <t>裂阙符锥</t>
        </is>
      </c>
      <c r="C968" s="8" t="inlineStr">
        <is>
          <t>法器</t>
        </is>
      </c>
      <c r="D968" s="8" t="inlineStr">
        <is>
          <t>common</t>
        </is>
      </c>
      <c r="E968" s="8" t="inlineStr">
        <is>
          <t>earth</t>
        </is>
      </c>
      <c r="F968" s="8" t="n">
        <v>1</v>
      </c>
      <c r="G968" s="8" t="inlineStr">
        <is>
          <t>基础/顶层</t>
        </is>
      </c>
      <c r="H968" s="8" t="inlineStr"/>
      <c r="I968" s="9" t="inlineStr"/>
      <c r="J968" s="8" t="inlineStr"/>
      <c r="K968" s="8" t="inlineStr"/>
      <c r="L968" s="8" t="inlineStr"/>
      <c r="M968" s="8" t="inlineStr">
        <is>
          <t>条件触发</t>
        </is>
      </c>
      <c r="N968" s="8" t="inlineStr">
        <is>
          <t>triggered</t>
        </is>
      </c>
      <c r="O968" s="9" t="inlineStr">
        <is>
          <t>其他道具的开局效果触发时，对敌方造成 10 点伤害；其他道具的开局效果触发时，对敌方造成 14 点伤害；其他道具的开局效果触发时，对敌方造成 17 点伤害；其他道具的开局效果触发时，对敌方造成 20 点伤害</t>
        </is>
      </c>
      <c r="P968" s="9" t="inlineStr">
        <is>
          <t>onOtherItemStartEffect</t>
        </is>
      </c>
      <c r="Q968" s="9" t="inlineStr">
        <is>
          <t>battleDamageHealth；other</t>
        </is>
      </c>
      <c r="R968" s="9" t="inlineStr">
        <is>
          <t>{"kind":"triggered","label":"其他道具的开局效果触发时，&lt;battle&gt;对敌方造成 10 点伤害&lt;/battle&gt;","triggeredEffect":{"trigger":"onOtherItemStartEffect","type":"battleDamageHealth","amount":10,"support":"battleOnly","eventSource":{"target":{"type":"other"}}},"starOverrides":{"1":{"label":"其他道具的开局效果触发时，&lt;battle&gt;对敌方造成 14 点伤害&lt;/battle&gt;","triggeredEffect":{"trigger":"onOtherItemStartEffect","type":"battleDamageHealth","amount":14,"support":"battleOnly","eventSource":{"target":{"type":"other"}}}},"2":{"label":"其他道具的开局效果触发时，&lt;battle&gt;对敌方造成 17 点伤害&lt;/battle&gt;","triggeredEffect":{"trigger":"onOtherItemStartEffect","type":"battleDamageHealth","amount":17,"support":"battleOnly","eventSource":{"target":{"type":"other"}}}},"3":{"label":"其他道具的开局效果触发时，&lt;battle&gt;对敌方造成 20 点伤害&lt;/battle&gt;","triggeredEffect":{"trigger":"onOtherItemStartEffect","type":"battleDamageHealth","amount":20,"support":"battleOnly","eventSource":{"target":{"type":"other"}}}}}}</t>
        </is>
      </c>
    </row>
    <row r="969" ht="32" customHeight="1">
      <c r="A969" s="8" t="n">
        <v>412300</v>
      </c>
      <c r="B969" s="8" t="inlineStr">
        <is>
          <t>清辉镇潮盾</t>
        </is>
      </c>
      <c r="C969" s="8" t="inlineStr">
        <is>
          <t>法器</t>
        </is>
      </c>
      <c r="D969" s="8" t="inlineStr">
        <is>
          <t>common</t>
        </is>
      </c>
      <c r="E969" s="8" t="inlineStr">
        <is>
          <t>metal</t>
        </is>
      </c>
      <c r="F969" s="8" t="n">
        <v>1</v>
      </c>
      <c r="G969" s="8" t="inlineStr">
        <is>
          <t>基础/顶层</t>
        </is>
      </c>
      <c r="H969" s="8" t="inlineStr"/>
      <c r="I969" s="9" t="inlineStr"/>
      <c r="J969" s="8" t="inlineStr"/>
      <c r="K969" s="8" t="inlineStr"/>
      <c r="L969" s="8" t="inlineStr"/>
      <c r="M969" s="8" t="inlineStr">
        <is>
          <t>被动效果</t>
        </is>
      </c>
      <c r="N969" s="8" t="inlineStr">
        <is>
          <t>passive</t>
        </is>
      </c>
      <c r="O969" s="9" t="inlineStr">
        <is>
          <t>护甲层数上限 +12；护甲层数上限 +17；护甲层数上限 +21；护甲层数上限 +26</t>
        </is>
      </c>
      <c r="P969" s="9" t="inlineStr"/>
      <c r="Q969" s="9" t="inlineStr">
        <is>
          <t>buffStackCapBonus</t>
        </is>
      </c>
      <c r="R969" s="9" t="inlineStr">
        <is>
          <t>{"kind":"passive","label":"护甲层数上限 +12","passiveEffect":{"type":"buffStackCapBonus","buffId":"armor","value":12,"label":"护甲层数上限 +12"},"starOverrides":{"1":{"label":"护甲层数上限 +17","passiveEffect":{"type":"buffStackCapBonus","buffId":"armor","value":17,"label":"护甲层数上限 +17"}},"2":{"label":"护甲层数上限 +21","passiveEffect":{"type":"buffStackCapBonus","buffId":"armor","value":21,"label":"护甲层数上限 +21"}},"3":{"label":"护甲层数上限 +26","passiveEffect":{"type":"buffStackCapBonus","buffId":"armor","value":26,"label":"护甲层数上限 +26"}}}}</t>
        </is>
      </c>
    </row>
    <row r="970" ht="32" customHeight="1">
      <c r="A970" s="8" t="n">
        <v>412301</v>
      </c>
      <c r="B970" s="8" t="inlineStr">
        <is>
          <t>凝月养元盂</t>
        </is>
      </c>
      <c r="C970" s="8" t="inlineStr">
        <is>
          <t>法器</t>
        </is>
      </c>
      <c r="D970" s="8" t="inlineStr">
        <is>
          <t>common</t>
        </is>
      </c>
      <c r="E970" s="8" t="inlineStr">
        <is>
          <t>water</t>
        </is>
      </c>
      <c r="F970" s="8" t="n">
        <v>1</v>
      </c>
      <c r="G970" s="8" t="inlineStr">
        <is>
          <t>基础/顶层</t>
        </is>
      </c>
      <c r="H970" s="8" t="inlineStr"/>
      <c r="I970" s="9" t="inlineStr"/>
      <c r="J970" s="8" t="inlineStr"/>
      <c r="K970" s="8" t="inlineStr"/>
      <c r="L970" s="8" t="inlineStr"/>
      <c r="M970" s="8" t="inlineStr">
        <is>
          <t>条件触发</t>
        </is>
      </c>
      <c r="N970" s="8" t="inlineStr">
        <is>
          <t>triggered</t>
        </is>
      </c>
      <c r="O970" s="9" t="inlineStr">
        <is>
          <t>相邻丹药耗尽时，恢复 13 点气血；相邻丹药耗尽时，恢复 17 点气血；相邻丹药耗尽时，恢复 20 点气血；相邻丹药耗尽时，恢复 23 点气血</t>
        </is>
      </c>
      <c r="P970" s="9" t="inlineStr">
        <is>
          <t>onConsumableExhausted</t>
        </is>
      </c>
      <c r="Q970" s="9" t="inlineStr">
        <is>
          <t>modifyPlayerPrimaryStat；adjacent</t>
        </is>
      </c>
      <c r="R970" s="9" t="inlineStr">
        <is>
          <t>{"kind":"triggered","label":"相邻丹药耗尽时，恢复 13 点气血","triggeredEffect":{"trigger":"onConsumableExhausted","type":"modifyPlayerPrimaryStat","stat":"health","delta":13,"eventSource":{"target":{"type":"adjacent"},"filter":{"categories":["pill"]}}},"starOverrides":{"1":{"label":"相邻丹药耗尽时，恢复 17 点气血","triggeredEffect":{"trigger":"onConsumableExhausted","type":"modifyPlayerPrimaryStat","stat":"health","delta":17,"eventSource":{"target":{"type":"adjacent"},"filter":{"categories":["pill"]}}}},"2":{"label":"相邻丹药耗尽时，恢复 20 点气血","triggeredEffect":{"trigger":"onConsumableExhausted","type":"modifyPlayerPrimaryStat","stat":"health","delta":20,"eventSource":{"target":{"type":"adjacent"},"filter":{"categories":["pill"]}}}},"3":{"label":"相邻丹药耗尽时，恢复 23 点气血","triggeredEffect":{"trigger":"onConsumableExhausted","type":"modifyPlayerPrimaryStat","stat":"health","delta":23,"eventSource":{"target":{"type":"adjacent"},"filter":{"categories":["pill"]}}}}}}</t>
        </is>
      </c>
    </row>
    <row r="971" ht="32" customHeight="1">
      <c r="A971" s="8" t="n">
        <v>412302</v>
      </c>
      <c r="B971" s="8" t="inlineStr">
        <is>
          <t>月涧柔水衣</t>
        </is>
      </c>
      <c r="C971" s="8" t="inlineStr">
        <is>
          <t>法器</t>
        </is>
      </c>
      <c r="D971" s="8" t="inlineStr">
        <is>
          <t>common</t>
        </is>
      </c>
      <c r="E971" s="8" t="inlineStr">
        <is>
          <t>water</t>
        </is>
      </c>
      <c r="F971" s="8" t="n">
        <v>1</v>
      </c>
      <c r="G971" s="8" t="inlineStr">
        <is>
          <t>基础/顶层</t>
        </is>
      </c>
      <c r="H971" s="8" t="inlineStr"/>
      <c r="I971" s="9" t="inlineStr"/>
      <c r="J971" s="8" t="inlineStr"/>
      <c r="K971" s="8" t="inlineStr"/>
      <c r="L971" s="8" t="inlineStr"/>
      <c r="M971" s="8" t="inlineStr">
        <is>
          <t>被动效果</t>
        </is>
      </c>
      <c r="N971" s="8" t="inlineStr">
        <is>
          <t>passive</t>
        </is>
      </c>
      <c r="O971" s="9" t="inlineStr">
        <is>
          <t>露水层数上限 +12；露水层数上限 +15；露水层数上限 +18；露水层数上限 +21</t>
        </is>
      </c>
      <c r="P971" s="9" t="inlineStr"/>
      <c r="Q971" s="9" t="inlineStr">
        <is>
          <t>buffStackCapBonus</t>
        </is>
      </c>
      <c r="R971" s="9" t="inlineStr">
        <is>
          <t>{"kind":"passive","label":"露水层数上限 +12","passiveEffect":{"type":"buffStackCapBonus","buffId":"dew","value":12,"label":"露水层数上限 +12"},"starOverrides":{"1":{"label":"露水层数上限 +15","passiveEffect":{"type":"buffStackCapBonus","buffId":"dew","value":15,"label":"露水层数上限 +15"}},"2":{"label":"露水层数上限 +18","passiveEffect":{"type":"buffStackCapBonus","buffId":"dew","value":18,"label":"露水层数上限 +18"}},"3":{"label":"露水层数上限 +21","passiveEffect":{"type":"buffStackCapBonus","buffId":"dew","value":21,"label":"露水层数上限 +21"}}}}</t>
        </is>
      </c>
    </row>
    <row r="972" ht="32" customHeight="1">
      <c r="A972" s="8" t="n">
        <v>412303</v>
      </c>
      <c r="B972" s="8" t="inlineStr">
        <is>
          <t>月池护珠灯</t>
        </is>
      </c>
      <c r="C972" s="8" t="inlineStr">
        <is>
          <t>法器</t>
        </is>
      </c>
      <c r="D972" s="8" t="inlineStr">
        <is>
          <t>common</t>
        </is>
      </c>
      <c r="E972" s="8" t="inlineStr">
        <is>
          <t>water</t>
        </is>
      </c>
      <c r="F972" s="8" t="n">
        <v>1</v>
      </c>
      <c r="G972" s="8" t="inlineStr">
        <is>
          <t>基础/顶层</t>
        </is>
      </c>
      <c r="H972" s="8" t="inlineStr"/>
      <c r="I972" s="9" t="inlineStr"/>
      <c r="J972" s="8" t="inlineStr"/>
      <c r="K972" s="8" t="inlineStr"/>
      <c r="L972" s="8" t="inlineStr"/>
      <c r="M972" s="8" t="inlineStr">
        <is>
          <t>周期触发</t>
        </is>
      </c>
      <c r="N972" s="8" t="inlineStr">
        <is>
          <t>periodicPulse</t>
        </is>
      </c>
      <c r="O972" s="9" t="inlineStr">
        <is>
          <t>位于储物袋边缘时，获得 5 层露水</t>
        </is>
      </c>
      <c r="P972" s="9" t="inlineStr">
        <is>
          <t>onPeriodicPulse</t>
        </is>
      </c>
      <c r="Q972" s="9" t="inlineStr">
        <is>
          <t>applyBuff</t>
        </is>
      </c>
      <c r="R972" s="9" t="inlineStr">
        <is>
          <t>{"kind":"periodicPulse","label":"位于储物袋边缘时，获得 5 层露水","periodicPulse":{"intervalSec":10,"label":"位于储物袋边缘时，获得 5 层露水"},"executors":[{"trigger":"onPeriodicPulse","type":"applyBuff","buffId":"dew","count":5,"label":"位于储物袋边缘时，获得 5 层露水"}],"activationRequirements":{"sourceEdges":["top","bottom","left","right"]},"starOverrides":{"1":{"label":"位于储物袋边缘时，获得 5 层露水","periodicPulse":{"intervalSec":9,"label":"位于储物袋边缘时，获得 5 层露水"},"executors":[{"trigger":"onPeriodicPulse","type":"applyBuff","buffId":"dew","count":5,"label":"位于储物袋边缘时，获得 5 层露水"}]},"2":{"label":"位于储物袋边缘时，获得 5 层露水","periodicPulse":{"intervalSec":8,"label":"位于储物袋边缘时，获得 5 层露水"},"executors":[{"trigger":"onPeriodicPulse","type":"applyBuff","buffId":"dew","count":5,"label":"位于储物袋边缘时，获得 5 层露水"}]},"3":{"label":"位于储物袋边缘时，获得 5 层露水","periodicPulse":{"intervalSec":7,"label":"位于储物袋边缘时，获得 5 层露水"},"executors":[{"trigger":"onPeriodicPulse","type":"applyBuff","buffId":"dew","count":5,"label":"位于储物袋边缘时，获得 5 层露水"}]}}}</t>
        </is>
      </c>
    </row>
    <row r="973" ht="32" customHeight="1">
      <c r="A973" s="8" t="n">
        <v>412304</v>
      </c>
      <c r="B973" s="8" t="inlineStr">
        <is>
          <t>月涧灵珠瓶</t>
        </is>
      </c>
      <c r="C973" s="8" t="inlineStr">
        <is>
          <t>法器</t>
        </is>
      </c>
      <c r="D973" s="8" t="inlineStr">
        <is>
          <t>common</t>
        </is>
      </c>
      <c r="E973" s="8" t="inlineStr">
        <is>
          <t>metal</t>
        </is>
      </c>
      <c r="F973" s="8" t="n">
        <v>1</v>
      </c>
      <c r="G973" s="8" t="inlineStr">
        <is>
          <t>基础/顶层</t>
        </is>
      </c>
      <c r="H973" s="8" t="inlineStr"/>
      <c r="I973" s="9" t="inlineStr"/>
      <c r="J973" s="8" t="inlineStr"/>
      <c r="K973" s="8" t="inlineStr"/>
      <c r="L973" s="8" t="inlineStr"/>
      <c r="M973" s="8" t="inlineStr">
        <is>
          <t>周期触发</t>
        </is>
      </c>
      <c r="N973" s="8" t="inlineStr">
        <is>
          <t>periodicPulse</t>
        </is>
      </c>
      <c r="O973" s="9" t="inlineStr">
        <is>
          <t>位于储物袋边缘时，最多将 6 层凝金转化为法力，每 1 层转化为 2 点法力；位于储物袋边缘时，最多将 8 层凝金转化为法力，每 1 层转化为 2 点法力；位于储物袋边缘时，最多将 10 层凝金转化为法力，每 1 层转化为 2 点法力；位于储物袋边缘时，最多将 12 层凝金转化为法力，每 1 层转化为 2 点法力</t>
        </is>
      </c>
      <c r="P973" s="9" t="inlineStr">
        <is>
          <t>onPeriodicPulse</t>
        </is>
      </c>
      <c r="Q973" s="9" t="inlineStr">
        <is>
          <t>consumeBuffStacks</t>
        </is>
      </c>
      <c r="R973" s="9" t="inlineStr">
        <is>
          <t>{"kind":"periodicPulse","label":"位于储物袋边缘时，最多将 6 层凝金转化为法力，每 1 层转化为 2 点法力","periodicPulse":{"intervalSec":12,"label":"位于储物袋边缘时，最多将 6 层凝金转化为法力，每 1 层转化为 2 点法力"},"executors":[{"trigger":"onPeriodicPulse","type":"consumeBuffStacks","sourceBuffId":"condensedMetal","maxStacks":6,"primaryStatGainPerStack":{"stat":"mana","amount":2},"activationRequirements":{"buffStackThresholds":[{"buffId":"condensedMetal","comparator":"atLeast","count":1}]},"label":"位于储物袋边缘时，最多将 6 层凝金转化为法力，每 1 层转化为 2 点法力"}],"activationRequirements":{"sourceEdges":["top","bottom","left","right"]},"starOverrides":{"1":{"label":"位于储物袋边缘时，最多将 8 层凝金转化为法力，每 1 层转化为 2 点法力","periodicPulse":{"label":"位于储物袋边缘时，最多将 8 层凝金转化为法力，每 1 层转化为 2 点法力"},"executors":[{"maxStacks":8,"label":"位于储物袋边缘时，最多将 8 层凝金转化为法力，每 1 层转化为 2 点法力"}]},"2":{"label":"位于储物袋边缘时，最多将 10 层凝金转化为法力，每 1 层转化为 2 点法力","periodicPulse":{"label":"位于储物袋边缘时，最多将 10 层凝金转化为法力，每 1 层转化为 2 点法力"},"executors":[{"maxStacks":10,"label":"位于储物袋边缘时，最多将 10 层凝金转化为法力，每 1 层转化为 2 点法力"}]},"3":{"label":"位于储物袋边缘时，最多将 12 层凝金转化为法力，每 1 层转化为 2 点法力","periodicPulse":{"label":"位于储物袋边缘时，最多将 12 层凝金转化为法力，每 1 层转化为 2 点法力"},"executors":[{"maxStacks":12,"label":"位于储物袋边缘时，最多将 12 层凝金转化为法力，每 1 层转化为 2 点法力"}]}}}</t>
        </is>
      </c>
    </row>
    <row r="974" ht="32" customHeight="1">
      <c r="A974" s="8" t="n">
        <v>412351</v>
      </c>
      <c r="B974" s="8" t="inlineStr">
        <is>
          <t>月涧引月幡</t>
        </is>
      </c>
      <c r="C974" s="8" t="inlineStr">
        <is>
          <t>法器</t>
        </is>
      </c>
      <c r="D974" s="8" t="inlineStr">
        <is>
          <t>common</t>
        </is>
      </c>
      <c r="E974" s="8" t="inlineStr">
        <is>
          <t>metal</t>
        </is>
      </c>
      <c r="F974" s="8" t="n">
        <v>1</v>
      </c>
      <c r="G974" s="8" t="inlineStr">
        <is>
          <t>基础/顶层</t>
        </is>
      </c>
      <c r="H974" s="8" t="inlineStr"/>
      <c r="I974" s="9" t="inlineStr"/>
      <c r="J974" s="8" t="inlineStr"/>
      <c r="K974" s="8" t="inlineStr"/>
      <c r="L974" s="8" t="inlineStr"/>
      <c r="M974" s="8" t="inlineStr">
        <is>
          <t>周期触发</t>
        </is>
      </c>
      <c r="N974" s="8" t="inlineStr">
        <is>
          <t>periodicPulse</t>
        </is>
      </c>
      <c r="O974" s="9" t="inlineStr">
        <is>
          <t>开局：每有 1 件符箓，获得 5 层凝金，最多计算 4 件；开局：每有 1 件符箓，获得 7 层凝金，最多计算 4 件；开局：每有 1 件符箓，获得 8 层凝金，最多计算 4 件；开局：每有 1 件符箓，获得 10 层凝金，最多计算 4 件</t>
        </is>
      </c>
      <c r="P974" s="9" t="inlineStr">
        <is>
          <t>onPeriodicPulse</t>
        </is>
      </c>
      <c r="Q974" s="9" t="inlineStr">
        <is>
          <t>applyBuff</t>
        </is>
      </c>
      <c r="R974" s="9" t="inlineStr">
        <is>
          <t>{"kind":"periodicPulse","label":"开局：每有 1 件符箓，获得 5 层凝金，最多计算 4 件","periodicPulse":{"startOnly":true,"label":"开局：每有 1 件符箓，获得 5 层凝金，最多计算 4 件"},"executors":[{"trigger":"onPeriodicPulse","type":"applyBuff","buffId":"condensedMetal","count":5,"scaling":{"mode":"count","source":"bagItems","categories":["talisman"],"maxCount":4},"label":"开局：每有 1 件符箓，获得 5 层凝金，最多计算 4 件"}],"starOverrides":{"1":{"label":"开局：每有 1 件符箓，获得 7 层凝金，最多计算 4 件","periodicPulse":{"startOnly":true,"label":"开局：每有 1 件符箓，获得 7 层凝金，最多计算 4 件"},"executors":[{"trigger":"onPeriodicPulse","type":"applyBuff","buffId":"condensedMetal","count":7,"scaling":{"mode":"count","source":"bagItems","categories":["talisman"],"maxCount":4},"label":"开局：每有 1 件符箓，获得 7 层凝金，最多计算 4 件"}]},"2":{"label":"开局：每有 1 件符箓，获得 8 层凝金，最多计算 4 件","periodicPulse":{"startOnly":true,"label":"开局：每有 1 件符箓，获得 8 层凝金，最多计算 4 件"},"executors":[{"trigger":"onPeriodicPulse","type":"applyBuff","buffId":"condensedMetal","count":8,"scaling":{"mode":"count","source":"bagItems","categories":["talisman"],"maxCount":4},"label":"开局：每有 1 件符箓，获得 8 层凝金，最多计算 4 件"}]},"3":{"label":"开局：每有 1 件符箓，获得 10 层凝金，最多计算 4 件","periodicPulse":{"startOnly":true,"label":"开局：每有 1 件符箓，获得 10 层凝金，最多计算 4 件"},"executors":[{"trigger":"onPeriodicPulse","type":"applyBuff","buffId":"condensedMetal","count":10,"scaling":{"mode":"count","source":"bagItems","categories":["talisman"],"maxCount":4},"label":"开局：每有 1 件符箓，获得 10 层凝金，最多计算 4 件"}]}}}</t>
        </is>
      </c>
    </row>
    <row r="975" ht="32" customHeight="1">
      <c r="A975" s="8" t="n">
        <v>412352</v>
      </c>
      <c r="B975" s="8" t="inlineStr">
        <is>
          <t>月池破浪矛</t>
        </is>
      </c>
      <c r="C975" s="8" t="inlineStr">
        <is>
          <t>法器</t>
        </is>
      </c>
      <c r="D975" s="8" t="inlineStr">
        <is>
          <t>common</t>
        </is>
      </c>
      <c r="E975" s="8" t="inlineStr">
        <is>
          <t>water</t>
        </is>
      </c>
      <c r="F975" s="8" t="n">
        <v>1</v>
      </c>
      <c r="G975" s="8" t="inlineStr">
        <is>
          <t>基础/顶层</t>
        </is>
      </c>
      <c r="H975" s="8" t="inlineStr"/>
      <c r="I975" s="9" t="inlineStr"/>
      <c r="J975" s="8" t="inlineStr"/>
      <c r="K975" s="8" t="inlineStr"/>
      <c r="L975" s="8" t="inlineStr"/>
      <c r="M975" s="8" t="inlineStr">
        <is>
          <t>条件触发</t>
        </is>
      </c>
      <c r="N975" s="8" t="inlineStr">
        <is>
          <t>triggered</t>
        </is>
      </c>
      <c r="O975" s="9" t="inlineStr">
        <is>
          <t>使用相邻符箓时，对敌方造成 14 点伤害；使用相邻符箓时，对敌方造成 17 点伤害；使用相邻符箓时，对敌方造成 20 点伤害；使用相邻符箓时，对敌方造成 24 点伤害</t>
        </is>
      </c>
      <c r="P975" s="9" t="inlineStr">
        <is>
          <t>onItemUse</t>
        </is>
      </c>
      <c r="Q975" s="9" t="inlineStr">
        <is>
          <t>battleDamageHealth；adjacent</t>
        </is>
      </c>
      <c r="R975" s="9" t="inlineStr">
        <is>
          <t>{"kind":"triggered","label":"使用相邻符箓时，&lt;battle&gt;对敌方造成 14 点伤害&lt;/battle&gt;","triggeredEffect":{"trigger":"onItemUse","type":"battleDamageHealth","amount":14,"support":"battleOnly","eventSource":{"target":{"type":"adjacent"},"filter":{"categories":["talisman"]}}},"starOverrides":{"1":{"label":"使用相邻符箓时，&lt;battle&gt;对敌方造成 17 点伤害&lt;/battle&gt;","triggeredEffect":{"trigger":"onItemUse","type":"battleDamageHealth","amount":17,"support":"battleOnly","eventSource":{"target":{"type":"adjacent"},"filter":{"categories":["talisman"]}}}},"2":{"label":"使用相邻符箓时，&lt;battle&gt;对敌方造成 20 点伤害&lt;/battle&gt;","triggeredEffect":{"trigger":"onItemUse","type":"battleDamageHealth","amount":20,"support":"battleOnly","eventSource":{"target":{"type":"adjacent"},"filter":{"categories":["talisman"]}}}},"3":{"label":"使用相邻符箓时，&lt;battle&gt;对敌方造成 24 点伤害&lt;/battle&gt;","triggeredEffect":{"trigger":"onItemUse","type":"battleDamageHealth","amount":24,"support":"battleOnly","eventSource":{"target":{"type":"adjacent"},"filter":{"categories":["talisman"]}}}}}}</t>
        </is>
      </c>
    </row>
    <row r="976" ht="32" customHeight="1">
      <c r="A976" s="8" t="n">
        <v>412400</v>
      </c>
      <c r="B976" s="8" t="inlineStr">
        <is>
          <t>碧筋稳脉护臂</t>
        </is>
      </c>
      <c r="C976" s="8" t="inlineStr">
        <is>
          <t>法器</t>
        </is>
      </c>
      <c r="D976" s="8" t="inlineStr">
        <is>
          <t>common</t>
        </is>
      </c>
      <c r="E976" s="8" t="inlineStr">
        <is>
          <t>wood</t>
        </is>
      </c>
      <c r="F976" s="8" t="n">
        <v>1</v>
      </c>
      <c r="G976" s="8" t="inlineStr">
        <is>
          <t>基础/顶层</t>
        </is>
      </c>
      <c r="H976" s="8" t="inlineStr"/>
      <c r="I976" s="9" t="inlineStr"/>
      <c r="J976" s="8" t="inlineStr"/>
      <c r="K976" s="8" t="inlineStr"/>
      <c r="L976" s="8" t="inlineStr"/>
      <c r="M976" s="8" t="inlineStr">
        <is>
          <t>条件触发</t>
        </is>
      </c>
      <c r="N976" s="8" t="inlineStr">
        <is>
          <t>triggered</t>
        </is>
      </c>
      <c r="O976" s="9" t="inlineStr">
        <is>
          <t>相邻道具获得坚硬时，获得1层再生；相邻道具获得坚硬时，获得2层再生；相邻道具获得坚硬时，获得3层再生；相邻道具获得坚硬时，获得4层再生</t>
        </is>
      </c>
      <c r="P976" s="9" t="inlineStr">
        <is>
          <t>onBuffGain</t>
        </is>
      </c>
      <c r="Q976" s="9" t="inlineStr">
        <is>
          <t>applyBuff；adjacent</t>
        </is>
      </c>
      <c r="R976" s="9" t="inlineStr">
        <is>
          <t>{"kind":"triggered","triggeredEffect":{"trigger":"onBuffGain","eventActor":"self","eventBuffId":"sturdy","type":"applyBuff","buffId":"regeneration","count":1,"targetActor":"self","eventSource":{"target":{"type":"adjacent"}},"support":"common"},"label":"相邻道具获得坚硬时，获得1层再生","starOverrides":{"1":{"label":"相邻道具获得坚硬时，获得2层再生","triggeredEffect":{"count":2}},"2":{"label":"相邻道具获得坚硬时，获得3层再生","triggeredEffect":{"count":3}},"3":{"label":"相邻道具获得坚硬时，获得4层再生","triggeredEffect":{"count":4}}}}</t>
        </is>
      </c>
    </row>
    <row r="977" ht="32" customHeight="1">
      <c r="A977" s="8" t="n">
        <v>412401</v>
      </c>
      <c r="B977" s="8" t="inlineStr">
        <is>
          <t>青骨镇脉短杖</t>
        </is>
      </c>
      <c r="C977" s="8" t="inlineStr">
        <is>
          <t>法器</t>
        </is>
      </c>
      <c r="D977" s="8" t="inlineStr">
        <is>
          <t>common</t>
        </is>
      </c>
      <c r="E977" s="8" t="inlineStr">
        <is>
          <t>wood</t>
        </is>
      </c>
      <c r="F977" s="8" t="n">
        <v>1</v>
      </c>
      <c r="G977" s="8" t="inlineStr">
        <is>
          <t>基础/顶层</t>
        </is>
      </c>
      <c r="H977" s="8" t="inlineStr"/>
      <c r="I977" s="9" t="inlineStr"/>
      <c r="J977" s="8" t="inlineStr"/>
      <c r="K977" s="8" t="inlineStr"/>
      <c r="L977" s="8" t="inlineStr"/>
      <c r="M977" s="8" t="inlineStr">
        <is>
          <t>条件触发</t>
        </is>
      </c>
      <c r="N977" s="8" t="inlineStr">
        <is>
          <t>triggered</t>
        </is>
      </c>
      <c r="O977" s="9" t="inlineStr">
        <is>
          <t>相邻道具消耗法力时，将3层再生转化为3点法力；相邻道具消耗法力时，将6层再生转化为6点法力；相邻道具消耗法力时，将9层再生转化为9点法力；相邻道具消耗法力时，将12层再生转化为12点法力</t>
        </is>
      </c>
      <c r="P977" s="9" t="inlineStr">
        <is>
          <t>onPrimaryStatConsumed</t>
        </is>
      </c>
      <c r="Q977" s="9" t="inlineStr">
        <is>
          <t>consumeBuffStacks；adjacent</t>
        </is>
      </c>
      <c r="R977" s="9" t="inlineStr">
        <is>
          <t>{"kind":"triggered","triggeredEffect":{"trigger":"onPrimaryStatConsumed","type":"consumeBuffStacks","sourceBuffId":"regeneration","requiredStacks":3,"maxStacks":3,"primaryStatGainPerStack":{"stat":"mana","amount":3,"stacksPerGain":3},"eventPrimaryStatConsumedFilter":["mana"],"eventSource":{"target":{"type":"adjacent"}},"support":"common"},"label":"相邻道具消耗法力时，将3层再生转化为3点法力","starOverrides":{"1":{"label":"相邻道具消耗法力时，将6层再生转化为6点法力","triggeredEffect":{"requiredStacks":6,"maxStacks":6,"primaryStatGainPerStack":{"amount":6,"stacksPerGain":6}}},"2":{"label":"相邻道具消耗法力时，将9层再生转化为9点法力","triggeredEffect":{"requiredStacks":9,"maxStacks":9,"primaryStatGainPerStack":{"amount":9,"stacksPerGain":9}}},"3":{"label":"相邻道具消耗法力时，将12层再生转化为12点法力","triggeredEffect":{"requiredStacks":12,"maxStacks":12,"primaryStatGainPerStack":{"amount":12,"stacksPerGain":12}}}}}</t>
        </is>
      </c>
    </row>
    <row r="978" ht="32" customHeight="1">
      <c r="A978" s="8" t="n">
        <v>412402</v>
      </c>
      <c r="B978" s="8" t="inlineStr">
        <is>
          <t>梧尾匿息披肩</t>
        </is>
      </c>
      <c r="C978" s="8" t="inlineStr">
        <is>
          <t>法器</t>
        </is>
      </c>
      <c r="D978" s="8" t="inlineStr">
        <is>
          <t>common</t>
        </is>
      </c>
      <c r="E978" s="8" t="inlineStr">
        <is>
          <t>wind</t>
        </is>
      </c>
      <c r="F978" s="8" t="n">
        <v>1</v>
      </c>
      <c r="G978" s="8" t="inlineStr">
        <is>
          <t>基础/顶层</t>
        </is>
      </c>
      <c r="H978" s="8" t="inlineStr"/>
      <c r="I978" s="9" t="inlineStr"/>
      <c r="J978" s="8" t="inlineStr"/>
      <c r="K978" s="8" t="inlineStr"/>
      <c r="L978" s="8" t="inlineStr"/>
      <c r="M978" s="8" t="inlineStr">
        <is>
          <t>周期触发</t>
        </is>
      </c>
      <c r="N978" s="8" t="inlineStr">
        <is>
          <t>periodicPulse</t>
        </is>
      </c>
      <c r="O978" s="9" t="inlineStr">
        <is>
          <t>开局：位于储物袋边缘时，获得 7 层敏捷；开局：位于储物袋边缘时，获得 9 层敏捷；开局：位于储物袋边缘时，获得 12 层敏捷；开局：位于储物袋边缘时，获得 15 层敏捷</t>
        </is>
      </c>
      <c r="P978" s="9" t="inlineStr">
        <is>
          <t>onPeriodicPulse</t>
        </is>
      </c>
      <c r="Q978" s="9" t="inlineStr">
        <is>
          <t>applyBuff</t>
        </is>
      </c>
      <c r="R978" s="9" t="inlineStr">
        <is>
          <t>{"kind":"periodicPulse","label":"开局：位于储物袋边缘时，获得 7 层敏捷","periodicPulse":{"startOnly":true,"label":"开局：位于储物袋边缘时，获得 7 层敏捷"},"executors":[{"trigger":"onPeriodicPulse","type":"applyBuff","buffId":"agile","count":7,"label":"开局：位于储物袋边缘时，获得 7 层敏捷"}],"activationRequirements":{"sourceEdges":["top","bottom","left","right"]},"starOverrides":{"1":{"label":"开局：位于储物袋边缘时，获得 9 层敏捷","periodicPulse":{"startOnly":true,"label":"开局：位于储物袋边缘时，获得 9 层敏捷"},"executors":[{"trigger":"onPeriodicPulse","type":"applyBuff","buffId":"agile","count":9,"label":"开局：位于储物袋边缘时，获得 9 层敏捷"}]},"2":{"label":"开局：位于储物袋边缘时，获得 12 层敏捷","periodicPulse":{"startOnly":true,"label":"开局：位于储物袋边缘时，获得 12 层敏捷"},"executors":[{"trigger":"onPeriodicPulse","type":"applyBuff","buffId":"agile","count":12,"label":"开局：位于储物袋边缘时，获得 12 层敏捷"}]},"3":{"label":"开局：位于储物袋边缘时，获得 15 层敏捷","periodicPulse":{"startOnly":true,"label":"开局：位于储物袋边缘时，获得 15 层敏捷"},"executors":[{"trigger":"onPeriodicPulse","type":"applyBuff","buffId":"agile","count":15,"label":"开局：位于储物袋边缘时，获得 15 层敏捷"}]}}}</t>
        </is>
      </c>
    </row>
    <row r="979" ht="32" customHeight="1">
      <c r="A979" s="8" t="n">
        <v>412403</v>
      </c>
      <c r="B979" s="8" t="inlineStr">
        <is>
          <t>碧梧骨镇</t>
        </is>
      </c>
      <c r="C979" s="8" t="inlineStr">
        <is>
          <t>法器</t>
        </is>
      </c>
      <c r="D979" s="8" t="inlineStr">
        <is>
          <t>common</t>
        </is>
      </c>
      <c r="E979" s="8" t="inlineStr">
        <is>
          <t>wood</t>
        </is>
      </c>
      <c r="F979" s="8" t="n">
        <v>1</v>
      </c>
      <c r="G979" s="8" t="inlineStr">
        <is>
          <t>基础/顶层</t>
        </is>
      </c>
      <c r="H979" s="8" t="inlineStr"/>
      <c r="I979" s="9" t="inlineStr"/>
      <c r="J979" s="8" t="inlineStr"/>
      <c r="K979" s="8" t="inlineStr"/>
      <c r="L979" s="8" t="inlineStr"/>
      <c r="M979" s="8" t="inlineStr">
        <is>
          <t>被动效果</t>
        </is>
      </c>
      <c r="N979" s="8" t="inlineStr">
        <is>
          <t>passive</t>
        </is>
      </c>
      <c r="O979" s="9" t="inlineStr">
        <is>
          <t>相邻所有武器视为尸骸道具</t>
        </is>
      </c>
      <c r="P979" s="9" t="inlineStr"/>
      <c r="Q979" s="9" t="inlineStr">
        <is>
          <t>adjacentItemFeatureGrant</t>
        </is>
      </c>
      <c r="R979" s="9" t="inlineStr">
        <is>
          <t>{"kind":"passive","passiveEffect":{"type":"adjacentItemFeatureGrant","feature":"corpse","targetFilter":{"features":["weapon"]},"singletonByTemplate":true,"label":"&lt;singleton&gt;相邻所有武器视为尸骸道具&lt;/singleton&gt;"},"label":"&lt;singleton&gt;相邻所有武器视为尸骸道具&lt;/singleton&gt;"}</t>
        </is>
      </c>
    </row>
    <row r="980" ht="32" customHeight="1">
      <c r="A980" s="8" t="n">
        <v>412404</v>
      </c>
      <c r="B980" s="8" t="inlineStr">
        <is>
          <t>碧梧筋索</t>
        </is>
      </c>
      <c r="C980" s="8" t="inlineStr">
        <is>
          <t>法器</t>
        </is>
      </c>
      <c r="D980" s="8" t="inlineStr">
        <is>
          <t>common</t>
        </is>
      </c>
      <c r="E980" s="8" t="inlineStr">
        <is>
          <t>wood</t>
        </is>
      </c>
      <c r="F980" s="8" t="n">
        <v>1</v>
      </c>
      <c r="G980" s="8" t="inlineStr">
        <is>
          <t>基础/顶层</t>
        </is>
      </c>
      <c r="H980" s="8" t="inlineStr"/>
      <c r="I980" s="9" t="inlineStr"/>
      <c r="J980" s="8" t="inlineStr"/>
      <c r="K980" s="8" t="inlineStr"/>
      <c r="L980" s="8" t="inlineStr"/>
      <c r="M980" s="8" t="inlineStr">
        <is>
          <t>条件触发</t>
        </is>
      </c>
      <c r="N980" s="8" t="inlineStr">
        <is>
          <t>triggered</t>
        </is>
      </c>
      <c r="O980" s="9" t="inlineStr">
        <is>
          <t>相邻道具实际消耗一级属性后，最多将 4 层再生转化为修为，每 1 层转化为 2 点修为；相邻道具实际消耗一级属性后，最多将 5 层再生转化为修为，每 1 层转化为 2 点修为；相邻道具实际消耗一级属性后，最多将 6 层再生转化为修为，每 1 层转化为 2 点修为；相邻道具实际消耗一级属性后，最多将 7 层再生转化为修为，每 1 层转化为 2 点修为</t>
        </is>
      </c>
      <c r="P980" s="9" t="inlineStr">
        <is>
          <t>onPrimaryStatConsumed</t>
        </is>
      </c>
      <c r="Q980" s="9" t="inlineStr">
        <is>
          <t>consumeBuffStacks；adjacent</t>
        </is>
      </c>
      <c r="R980" s="9" t="inlineStr">
        <is>
          <t>{"kind":"triggered","label":"相邻道具实际消耗一级属性后，最多将 4 层再生转化为修为，每 1 层转化为 2 点修为","triggeredEffect":{"trigger":"onPrimaryStatConsumed","type":"consumeBuffStacks","sourceBuffId":"regeneration","maxStacks":4,"cultivationGainPerStack":2,"eventSource":{"target":{"type":"adjacent"}},"activationRequirements":{"buffStackThresholds":[{"buffId":"regeneration","comparator":"atLeast","count":1}]}},"starOverrides":{"1":{"label":"相邻道具实际消耗一级属性后，最多将 5 层再生转化为修为，每 1 层转化为 2 点修为","triggeredEffect":{"maxStacks":5}},"2":{"label":"相邻道具实际消耗一级属性后，最多将 6 层再生转化为修为，每 1 层转化为 2 点修为","triggeredEffect":{"maxStacks":6}},"3":{"label":"相邻道具实际消耗一级属性后，最多将 7 层再生转化为修为，每 1 层转化为 2 点修为","triggeredEffect":{"maxStacks":7}}}}</t>
        </is>
      </c>
    </row>
    <row r="981" ht="32" customHeight="1">
      <c r="A981" s="8" t="n">
        <v>412405</v>
      </c>
      <c r="B981" s="8" t="inlineStr">
        <is>
          <t>木髓息灯</t>
        </is>
      </c>
      <c r="C981" s="8" t="inlineStr">
        <is>
          <t>法器</t>
        </is>
      </c>
      <c r="D981" s="8" t="inlineStr">
        <is>
          <t>common</t>
        </is>
      </c>
      <c r="E981" s="8" t="inlineStr">
        <is>
          <t>wood</t>
        </is>
      </c>
      <c r="F981" s="8" t="n">
        <v>1</v>
      </c>
      <c r="G981" s="8" t="inlineStr">
        <is>
          <t>基础/顶层</t>
        </is>
      </c>
      <c r="H981" s="8" t="inlineStr"/>
      <c r="I981" s="9" t="inlineStr"/>
      <c r="J981" s="8" t="inlineStr"/>
      <c r="K981" s="8" t="inlineStr"/>
      <c r="L981" s="8" t="inlineStr"/>
      <c r="M981" s="8" t="inlineStr">
        <is>
          <t>周期触发</t>
        </is>
      </c>
      <c r="N981" s="8" t="inlineStr">
        <is>
          <t>periodicPulse</t>
        </is>
      </c>
      <c r="O981" s="9" t="inlineStr">
        <is>
          <t>最多将 4 层再生转化为体力，每 1 层转化为 3 点体力；最多将 5 层再生转化为体力，每 1 层转化为 3 点体力；最多将 6 层再生转化为体力，每 1 层转化为 3 点体力；最多将 7 层再生转化为体力，每 1 层转化为 3 点体力</t>
        </is>
      </c>
      <c r="P981" s="9" t="inlineStr">
        <is>
          <t>onPeriodicPulse</t>
        </is>
      </c>
      <c r="Q981" s="9" t="inlineStr">
        <is>
          <t>consumeBuffStacks</t>
        </is>
      </c>
      <c r="R981" s="9" t="inlineStr">
        <is>
          <t>{"kind":"periodicPulse","label":"最多将 4 层再生转化为体力，每 1 层转化为 3 点体力","periodicPulse":{"intervalSec":12,"label":"最多将 4 层再生转化为体力，每 1 层转化为 3 点体力"},"executors":[{"trigger":"onPeriodicPulse","type":"consumeBuffStacks","sourceBuffId":"regeneration","maxStacks":4,"primaryStatGainPerStack":{"stat":"stamina","amount":3},"activationRequirements":{"buffStackThresholds":[{"buffId":"regeneration","comparator":"atLeast","count":1}]},"label":"最多将 4 层再生转化为体力，每 1 层转化为 3 点体力"}],"starOverrides":{"1":{"label":"最多将 5 层再生转化为体力，每 1 层转化为 3 点体力","periodicPulse":{"label":"最多将 5 层再生转化为体力，每 1 层转化为 3 点体力"},"executors":[{"maxStacks":5,"label":"最多将 5 层再生转化为体力，每 1 层转化为 3 点体力"}]},"2":{"label":"最多将 6 层再生转化为体力，每 1 层转化为 3 点体力","periodicPulse":{"label":"最多将 6 层再生转化为体力，每 1 层转化为 3 点体力"},"executors":[{"maxStacks":6,"label":"最多将 6 层再生转化为体力，每 1 层转化为 3 点体力"}]},"3":{"label":"最多将 7 层再生转化为体力，每 1 层转化为 3 点体力","periodicPulse":{"label":"最多将 7 层再生转化为体力，每 1 层转化为 3 点体力"},"executors":[{"maxStacks":7,"label":"最多将 7 层再生转化为体力，每 1 层转化为 3 点体力"}]}}}</t>
        </is>
      </c>
    </row>
    <row r="982" ht="32" customHeight="1">
      <c r="A982" s="8" t="n">
        <v>412406</v>
      </c>
      <c r="B982" s="8" t="inlineStr">
        <is>
          <t>鸣脉骨笛</t>
        </is>
      </c>
      <c r="C982" s="8" t="inlineStr">
        <is>
          <t>法器</t>
        </is>
      </c>
      <c r="D982" s="8" t="inlineStr">
        <is>
          <t>common</t>
        </is>
      </c>
      <c r="E982" s="8" t="inlineStr">
        <is>
          <t>wind</t>
        </is>
      </c>
      <c r="F982" s="8" t="n">
        <v>1</v>
      </c>
      <c r="G982" s="8" t="inlineStr">
        <is>
          <t>基础/顶层</t>
        </is>
      </c>
      <c r="H982" s="8" t="inlineStr"/>
      <c r="I982" s="9" t="inlineStr"/>
      <c r="J982" s="8" t="inlineStr"/>
      <c r="K982" s="8" t="inlineStr"/>
      <c r="L982" s="8" t="inlineStr"/>
      <c r="M982" s="8" t="inlineStr">
        <is>
          <t>条件触发</t>
        </is>
      </c>
      <c r="N982" s="8" t="inlineStr">
        <is>
          <t>triggered</t>
        </is>
      </c>
      <c r="O982" s="9" t="inlineStr">
        <is>
          <t>使用相邻招式时，获得 3 层敏捷；使用相邻招式时，获得 4 层敏捷；使用相邻招式时，获得 5 层敏捷；使用相邻招式时，获得 7 层敏捷</t>
        </is>
      </c>
      <c r="P982" s="9" t="inlineStr">
        <is>
          <t>onItemUse</t>
        </is>
      </c>
      <c r="Q982" s="9" t="inlineStr">
        <is>
          <t>applyBuff；adjacent</t>
        </is>
      </c>
      <c r="R982" s="9" t="inlineStr">
        <is>
          <t>{"kind":"triggered","label":"使用相邻招式时，获得 3 层敏捷","triggeredEffect":{"trigger":"onItemUse","type":"applyBuff","buffId":"agile","count":3,"eventSource":{"target":{"type":"adjacent"},"filter":{"categories":["spell"]}}},"starOverrides":{"1":{"label":"使用相邻招式时，获得 4 层敏捷","triggeredEffect":{"trigger":"onItemUse","type":"applyBuff","buffId":"agile","count":4,"eventSource":{"target":{"type":"adjacent"},"filter":{"categories":["spell"]}}}},"2":{"label":"使用相邻招式时，获得 5 层敏捷","triggeredEffect":{"trigger":"onItemUse","type":"applyBuff","buffId":"agile","count":5,"eventSource":{"target":{"type":"adjacent"},"filter":{"categories":["spell"]}}}},"3":{"label":"使用相邻招式时，获得 7 层敏捷","triggeredEffect":{"trigger":"onItemUse","type":"applyBuff","buffId":"agile","count":7,"eventSource":{"target":{"type":"adjacent"},"filter":{"categories":["spell"]}}}}}}</t>
        </is>
      </c>
    </row>
    <row r="983" ht="32" customHeight="1">
      <c r="A983" s="8" t="n">
        <v>412407</v>
      </c>
      <c r="B983" s="8" t="inlineStr">
        <is>
          <t>梧胆镇息印</t>
        </is>
      </c>
      <c r="C983" s="8" t="inlineStr">
        <is>
          <t>法器</t>
        </is>
      </c>
      <c r="D983" s="8" t="inlineStr">
        <is>
          <t>common</t>
        </is>
      </c>
      <c r="E983" s="8" t="inlineStr">
        <is>
          <t>wood</t>
        </is>
      </c>
      <c r="F983" s="8" t="n">
        <v>1</v>
      </c>
      <c r="G983" s="8" t="inlineStr">
        <is>
          <t>基础/顶层</t>
        </is>
      </c>
      <c r="H983" s="8" t="inlineStr"/>
      <c r="I983" s="9" t="inlineStr"/>
      <c r="J983" s="8" t="inlineStr"/>
      <c r="K983" s="8" t="inlineStr"/>
      <c r="L983" s="8" t="inlineStr"/>
      <c r="M983" s="8" t="inlineStr">
        <is>
          <t>被动效果</t>
        </is>
      </c>
      <c r="N983" s="8" t="inlineStr">
        <is>
          <t>passive</t>
        </is>
      </c>
      <c r="O983" s="9" t="inlineStr">
        <is>
          <t>可使用再生抵挡伤害，每层抵挡2点伤害，耐久归零后本场失效。；可使用再生抵挡伤害，每层抵挡3点伤害，耐久归零后本场失效。；可使用再生抵挡伤害，每层抵挡4点伤害，耐久归零后本场失效。；可使用再生抵挡伤害，每层抵挡5点伤害，耐久归零后本场失效。</t>
        </is>
      </c>
      <c r="P983" s="9" t="inlineStr"/>
      <c r="Q983" s="9" t="inlineStr">
        <is>
          <t>incomingHealthDamageItemDurability</t>
        </is>
      </c>
      <c r="R983" s="9" t="inlineStr">
        <is>
          <t>{"kind":"passive","label":"&lt;battle&gt;可使用再生抵挡伤害，每层抵挡2点伤害，耐久归零后本场失效。&lt;/battle&gt;","passiveEffect":{"type":"incomingHealthDamageItemDurability","maxDurability":20,"depletionBehavior":"disable","durabilityLifecycle":"battleReset","support":"battleOnly","buffId":"regeneration","amountPerStack":2,"label":"&lt;battle&gt;可使用再生抵挡伤害，每层抵挡2点伤害，耐久归零后本场失效。&lt;/battle&gt;"},"starOverrides":{"1":{"label":"&lt;battle&gt;可使用再生抵挡伤害，每层抵挡3点伤害，耐久归零后本场失效。&lt;/battle&gt;","passiveEffect":{"amountPerStack":3}},"2":{"label":"&lt;battle&gt;可使用再生抵挡伤害，每层抵挡4点伤害，耐久归零后本场失效。&lt;/battle&gt;","passiveEffect":{"amountPerStack":4}},"3":{"label":"&lt;battle&gt;可使用再生抵挡伤害，每层抵挡5点伤害，耐久归零后本场失效。&lt;/battle&gt;","passiveEffect":{"amountPerStack":5}}}}</t>
        </is>
      </c>
    </row>
    <row r="984" ht="32" customHeight="1">
      <c r="A984" s="8" t="n">
        <v>412408</v>
      </c>
      <c r="B984" s="8" t="inlineStr">
        <is>
          <t>青睛照脉镜</t>
        </is>
      </c>
      <c r="C984" s="8" t="inlineStr">
        <is>
          <t>法器</t>
        </is>
      </c>
      <c r="D984" s="8" t="inlineStr">
        <is>
          <t>common</t>
        </is>
      </c>
      <c r="E984" s="8" t="inlineStr">
        <is>
          <t>wind</t>
        </is>
      </c>
      <c r="F984" s="8" t="n">
        <v>1</v>
      </c>
      <c r="G984" s="8" t="inlineStr">
        <is>
          <t>基础/顶层</t>
        </is>
      </c>
      <c r="H984" s="8" t="inlineStr"/>
      <c r="I984" s="9" t="inlineStr"/>
      <c r="J984" s="8" t="inlineStr"/>
      <c r="K984" s="8" t="inlineStr"/>
      <c r="L984" s="8" t="inlineStr"/>
      <c r="M984" s="8" t="inlineStr">
        <is>
          <t>周期触发</t>
        </is>
      </c>
      <c r="N984" s="8" t="inlineStr">
        <is>
          <t>periodicPulse</t>
        </is>
      </c>
      <c r="O984" s="9" t="inlineStr">
        <is>
          <t>开局：未接触储物袋边缘时，获得 5 层敏捷；开局：未接触储物袋边缘时，获得 7 层敏捷；开局：未接触储物袋边缘时，获得 8 层敏捷；开局：未接触储物袋边缘时，获得 9 层敏捷</t>
        </is>
      </c>
      <c r="P984" s="9" t="inlineStr">
        <is>
          <t>onPeriodicPulse</t>
        </is>
      </c>
      <c r="Q984" s="9" t="inlineStr">
        <is>
          <t>applyBuff</t>
        </is>
      </c>
      <c r="R984" s="9" t="inlineStr">
        <is>
          <t>{"kind":"periodicPulse","label":"开局：未接触储物袋边缘时，获得 5 层敏捷","periodicPulse":{"startOnly":true,"label":"开局：未接触储物袋边缘时，获得 5 层敏捷"},"executors":[{"trigger":"onPeriodicPulse","type":"applyBuff","buffId":"agile","count":5,"label":"开局：未接触储物袋边缘时，获得 5 层敏捷"}],"activationRequirements":{"forbiddenEdges":["top","bottom","left","right"]},"starOverrides":{"1":{"label":"开局：未接触储物袋边缘时，获得 7 层敏捷","periodicPulse":{"startOnly":true,"label":"开局：未接触储物袋边缘时，获得 7 层敏捷"},"executors":[{"trigger":"onPeriodicPulse","type":"applyBuff","buffId":"agile","count":7,"label":"开局：未接触储物袋边缘时，获得 7 层敏捷"}]},"2":{"label":"开局：未接触储物袋边缘时，获得 8 层敏捷","periodicPulse":{"startOnly":true,"label":"开局：未接触储物袋边缘时，获得 8 层敏捷"},"executors":[{"trigger":"onPeriodicPulse","type":"applyBuff","buffId":"agile","count":8,"label":"开局：未接触储物袋边缘时，获得 8 层敏捷"}]},"3":{"label":"开局：未接触储物袋边缘时，获得 9 层敏捷","periodicPulse":{"startOnly":true,"label":"开局：未接触储物袋边缘时，获得 9 层敏捷"},"executors":[{"trigger":"onPeriodicPulse","type":"applyBuff","buffId":"agile","count":9,"label":"开局：未接触储物袋边缘时，获得 9 层敏捷"}]}}}</t>
        </is>
      </c>
    </row>
    <row r="985" ht="32" customHeight="1">
      <c r="A985" s="8" t="n">
        <v>412450</v>
      </c>
      <c r="B985" s="8" t="inlineStr">
        <is>
          <t>青髓续机灵匣</t>
        </is>
      </c>
      <c r="C985" s="8" t="inlineStr">
        <is>
          <t>法器</t>
        </is>
      </c>
      <c r="D985" s="8" t="inlineStr">
        <is>
          <t>common</t>
        </is>
      </c>
      <c r="E985" s="8" t="inlineStr">
        <is>
          <t>ice</t>
        </is>
      </c>
      <c r="F985" s="8" t="n">
        <v>1</v>
      </c>
      <c r="G985" s="8" t="inlineStr">
        <is>
          <t>基础/顶层</t>
        </is>
      </c>
      <c r="H985" s="8" t="inlineStr"/>
      <c r="I985" s="9" t="inlineStr"/>
      <c r="J985" s="8" t="inlineStr"/>
      <c r="K985" s="8" t="inlineStr"/>
      <c r="L985" s="8" t="inlineStr"/>
      <c r="M985" s="8" t="inlineStr">
        <is>
          <t>被动效果</t>
        </is>
      </c>
      <c r="N985" s="8" t="inlineStr">
        <is>
          <t>passive</t>
        </is>
      </c>
      <c r="O985" s="9" t="inlineStr">
        <is>
          <t>寒冷层数上限+1，每次使用冰属性道具时，本局内效果升级；寒冷层数上限</t>
        </is>
      </c>
      <c r="P985" s="9" t="inlineStr">
        <is>
          <t>onItemUse</t>
        </is>
      </c>
      <c r="Q985" s="9" t="inlineStr">
        <is>
          <t>buffStackCapBonus；any</t>
        </is>
      </c>
      <c r="R985" s="9" t="inlineStr">
        <is>
          <t>{"kind":"passive","passiveEffect":{"type":"buffStackCapBonus","buffId":"cold","value":1,"singletonByTemplate":true,"label":"&lt;singleton&gt;寒冷层数上限+1，每次使用冰属性道具时，本局内效果升级&lt;/singleton&gt;"},"label":"&lt;singleton&gt;寒冷层数上限+1，每次使用冰属性道具时，本局内效果升级&lt;/singleton&gt;","growth":{"lifecycle":"singleGame","trigger":"onItemUse","eventSource":{"target":{"type":"any"},"filter":{"elements":["ice"]}},"bindings":[{"path":"passiveEffect.value","delta":1,"maxValue":10,"label":"寒冷层数上限","textOccurrence":0}],"support":"common"},"starOverrides":{"1":{"label":"&lt;singleton&gt;寒冷层数上限+1，每次使用冰属性道具时，本局内效果升级&lt;/singleton&gt;","growth":{"lifecycle":"singleGame","trigger":"onItemUse","eventSource":{"target":{"type":"any"},"filter":{"elements":["ice"]}},"bindings":[{"path":"passiveEffect.value","delta":1,"maxValue":15,"label":"寒冷层数上限","textOccurrence":0}],"support":"common"}},"2":{"label":"&lt;singleton&gt;寒冷层数上限+1，每次使用冰属性道具时，本局内效果升级&lt;/singleton&gt;","growth":{"lifecycle":"singleGame","trigger":"onItemUse","eventSource":{"target":{"type":"any"},"filter":{"elements":["ice"]}},"bindings":[{"path":"passiveEffect.value","delta":1,"maxValue":20,"label":"寒冷层数上限","textOccurrence":0}],"support":"common"}},"3":{"label":"&lt;singleton&gt;寒冷层数上限+1，每次使用冰属性道具时，本局内效果升级&lt;/singleton&gt;","growth":{"lifecycle":"singleGame","trigger":"onItemUse","eventSource":{"target":{"type":"any"},"filter":{"elements":["ice"]}},"bindings":[{"path":"passiveEffect.value","delta":1,"maxValue":25,"label":"寒冷层数上限","textOccurrence":0}],"support":"common"}}}}</t>
        </is>
      </c>
    </row>
    <row r="986" ht="32" customHeight="1">
      <c r="A986" s="8" t="n">
        <v>412451</v>
      </c>
      <c r="B986" s="8" t="inlineStr">
        <is>
          <t>梧纹承脉匣</t>
        </is>
      </c>
      <c r="C986" s="8" t="inlineStr">
        <is>
          <t>法器</t>
        </is>
      </c>
      <c r="D986" s="8" t="inlineStr">
        <is>
          <t>common</t>
        </is>
      </c>
      <c r="E986" s="8" t="inlineStr">
        <is>
          <t>wood</t>
        </is>
      </c>
      <c r="F986" s="8" t="n">
        <v>1</v>
      </c>
      <c r="G986" s="8" t="inlineStr">
        <is>
          <t>基础/顶层</t>
        </is>
      </c>
      <c r="H986" s="8" t="inlineStr"/>
      <c r="I986" s="9" t="inlineStr"/>
      <c r="J986" s="8" t="inlineStr"/>
      <c r="K986" s="8" t="inlineStr"/>
      <c r="L986" s="8" t="inlineStr"/>
      <c r="M986" s="8" t="inlineStr">
        <is>
          <t>条件触发</t>
        </is>
      </c>
      <c r="N986" s="8" t="inlineStr">
        <is>
          <t>triggered</t>
        </is>
      </c>
      <c r="O986" s="9" t="inlineStr">
        <is>
          <t>相邻木属性法器使用时，对敌方施加 2 层中毒，触发后效果升级；中毒层数；相邻木属性法器使用时，对敌方施加 3 层中毒，触发后效果升级；相邻木属性法器使用时，对敌方施加 4 层中毒，触发后效果升级；相邻木属性法器使用时，对敌方施加 5 层中毒，触发后效果升级</t>
        </is>
      </c>
      <c r="P986" s="9" t="inlineStr">
        <is>
          <t>onItemUse</t>
        </is>
      </c>
      <c r="Q986" s="9" t="inlineStr">
        <is>
          <t>applyBuff；adjacent</t>
        </is>
      </c>
      <c r="R986" s="9" t="inlineStr">
        <is>
          <t>{"kind":"triggered","label":"&lt;battle&gt;相邻木属性法器使用时，对敌方施加 2 层中毒，触发后效果升级&lt;/battle&gt;","triggeredEffect":{"trigger":"onItemUse","type":"applyBuff","buffId":"poison","count":2,"targetActor":"enemy","polarity":"detrimental","eventSource":{"target":{"type":"adjacent"},"filter":{"categories":["implement"],"elements":["wood"]}},"support":"battleOnly"},"growth":{"lifecycle":"singleGame","trigger":"onItemUse","bindings":[{"path":"triggeredEffect.count","delta":1,"maxValue":10,"label":"中毒层数","textOccurrence":0}],"support":"battleOnly"},"starOverrides":{"1":{"label":"&lt;battle&gt;相邻木属性法器使用时，对敌方施加 3 层中毒，触发后效果升级&lt;/battle&gt;","triggeredEffect":{"count":3}},"2":{"label":"&lt;battle&gt;相邻木属性法器使用时，对敌方施加 4 层中毒，触发后效果升级&lt;/battle&gt;","triggeredEffect":{"count":4}},"3":{"label":"&lt;battle&gt;相邻木属性法器使用时，对敌方施加 5 层中毒，触发后效果升级&lt;/battle&gt;","triggeredEffect":{"count":5}}}}</t>
        </is>
      </c>
    </row>
    <row r="987" ht="32" customHeight="1">
      <c r="A987" s="8" t="n">
        <v>412452</v>
      </c>
      <c r="B987" s="8" t="inlineStr">
        <is>
          <t>生息灵髓灵柱</t>
        </is>
      </c>
      <c r="C987" s="8" t="inlineStr">
        <is>
          <t>法器</t>
        </is>
      </c>
      <c r="D987" s="8" t="inlineStr">
        <is>
          <t>common</t>
        </is>
      </c>
      <c r="E987" s="8" t="inlineStr">
        <is>
          <t>wood</t>
        </is>
      </c>
      <c r="F987" s="8" t="n">
        <v>1</v>
      </c>
      <c r="G987" s="8" t="inlineStr">
        <is>
          <t>基础/顶层</t>
        </is>
      </c>
      <c r="H987" s="8" t="inlineStr"/>
      <c r="I987" s="9" t="inlineStr"/>
      <c r="J987" s="8" t="inlineStr"/>
      <c r="K987" s="8" t="inlineStr"/>
      <c r="L987" s="8" t="inlineStr"/>
      <c r="M987" s="8" t="inlineStr">
        <is>
          <t>条件触发</t>
        </is>
      </c>
      <c r="N987" s="8" t="inlineStr">
        <is>
          <t>triggered</t>
        </is>
      </c>
      <c r="O987" s="9" t="inlineStr">
        <is>
          <t>相邻丹药耗尽时，恢复 10 点法力；相邻丹药耗尽时，恢复 13 点法力；相邻丹药耗尽时，恢复 17 点法力；相邻丹药耗尽时，恢复 20 点法力</t>
        </is>
      </c>
      <c r="P987" s="9" t="inlineStr">
        <is>
          <t>onConsumableExhausted</t>
        </is>
      </c>
      <c r="Q987" s="9" t="inlineStr">
        <is>
          <t>modifyPlayerPrimaryStat；adjacent</t>
        </is>
      </c>
      <c r="R987" s="9" t="inlineStr">
        <is>
          <t>{"kind":"triggered","label":"相邻丹药耗尽时，恢复 10 点法力","triggeredEffect":{"trigger":"onConsumableExhausted","type":"modifyPlayerPrimaryStat","stat":"mana","delta":10,"eventSource":{"target":{"type":"adjacent"},"filter":{"categories":["pill"]}}},"starOverrides":{"1":{"label":"相邻丹药耗尽时，恢复 13 点法力","triggeredEffect":{"trigger":"onConsumableExhausted","type":"modifyPlayerPrimaryStat","stat":"mana","delta":13,"eventSource":{"target":{"type":"adjacent"},"filter":{"categories":["pill"]}}}},"2":{"label":"相邻丹药耗尽时，恢复 17 点法力","triggeredEffect":{"trigger":"onConsumableExhausted","type":"modifyPlayerPrimaryStat","stat":"mana","delta":17,"eventSource":{"target":{"type":"adjacent"},"filter":{"categories":["pill"]}}}},"3":{"label":"相邻丹药耗尽时，恢复 20 点法力","triggeredEffect":{"trigger":"onConsumableExhausted","type":"modifyPlayerPrimaryStat","stat":"mana","delta":20,"eventSource":{"target":{"type":"adjacent"},"filter":{"categories":["pill"]}}}}}}</t>
        </is>
      </c>
    </row>
    <row r="988" ht="32" customHeight="1">
      <c r="A988" s="8" t="n">
        <v>412453</v>
      </c>
      <c r="B988" s="8" t="inlineStr">
        <is>
          <t>梧音转息灵柱</t>
        </is>
      </c>
      <c r="C988" s="8" t="inlineStr">
        <is>
          <t>法器</t>
        </is>
      </c>
      <c r="D988" s="8" t="inlineStr">
        <is>
          <t>common</t>
        </is>
      </c>
      <c r="E988" s="8" t="inlineStr">
        <is>
          <t>wood</t>
        </is>
      </c>
      <c r="F988" s="8" t="n">
        <v>1</v>
      </c>
      <c r="G988" s="8" t="inlineStr">
        <is>
          <t>基础/顶层</t>
        </is>
      </c>
      <c r="H988" s="8" t="inlineStr"/>
      <c r="I988" s="9" t="inlineStr"/>
      <c r="J988" s="8" t="inlineStr"/>
      <c r="K988" s="8" t="inlineStr"/>
      <c r="L988" s="8" t="inlineStr"/>
      <c r="M988" s="8" t="inlineStr">
        <is>
          <t>条件触发</t>
        </is>
      </c>
      <c r="N988" s="8" t="inlineStr">
        <is>
          <t>triggered</t>
        </is>
      </c>
      <c r="O988" s="9" t="inlineStr">
        <is>
          <t>使用相邻招式时，恢复 7 点法力；使用相邻招式时，恢复 10 点法力；使用相邻招式时，恢复 13 点法力；使用相邻招式时，恢复 17 点法力</t>
        </is>
      </c>
      <c r="P988" s="9" t="inlineStr">
        <is>
          <t>onItemUse</t>
        </is>
      </c>
      <c r="Q988" s="9" t="inlineStr">
        <is>
          <t>modifyPlayerPrimaryStat；adjacent</t>
        </is>
      </c>
      <c r="R988" s="9" t="inlineStr">
        <is>
          <t>{"kind":"triggered","label":"使用相邻招式时，恢复 7 点法力","triggeredEffect":{"trigger":"onItemUse","type":"modifyPlayerPrimaryStat","stat":"mana","delta":7,"eventSource":{"target":{"type":"adjacent"},"filter":{"categories":["spell"]}}},"starOverrides":{"1":{"label":"使用相邻招式时，恢复 10 点法力","triggeredEffect":{"trigger":"onItemUse","type":"modifyPlayerPrimaryStat","stat":"mana","delta":10,"eventSource":{"target":{"type":"adjacent"},"filter":{"categories":["spell"]}}}},"2":{"label":"使用相邻招式时，恢复 13 点法力","triggeredEffect":{"trigger":"onItemUse","type":"modifyPlayerPrimaryStat","stat":"mana","delta":13,"eventSource":{"target":{"type":"adjacent"},"filter":{"categories":["spell"]}}}},"3":{"label":"使用相邻招式时，恢复 17 点法力","triggeredEffect":{"trigger":"onItemUse","type":"modifyPlayerPrimaryStat","stat":"mana","delta":17,"eventSource":{"target":{"type":"adjacent"},"filter":{"categories":["spell"]}}}}}}</t>
        </is>
      </c>
    </row>
    <row r="989" ht="32" customHeight="1">
      <c r="A989" s="8" t="n">
        <v>412456</v>
      </c>
      <c r="B989" s="8" t="inlineStr">
        <is>
          <t>碧筋裂势飞梭</t>
        </is>
      </c>
      <c r="C989" s="8" t="inlineStr">
        <is>
          <t>法器</t>
        </is>
      </c>
      <c r="D989" s="8" t="inlineStr">
        <is>
          <t>common</t>
        </is>
      </c>
      <c r="E989" s="8" t="inlineStr">
        <is>
          <t>poison</t>
        </is>
      </c>
      <c r="F989" s="8" t="n">
        <v>1</v>
      </c>
      <c r="G989" s="8" t="inlineStr">
        <is>
          <t>基础/顶层</t>
        </is>
      </c>
      <c r="H989" s="8" t="inlineStr"/>
      <c r="I989" s="9" t="inlineStr"/>
      <c r="J989" s="8" t="inlineStr"/>
      <c r="K989" s="8" t="inlineStr"/>
      <c r="L989" s="8" t="inlineStr"/>
      <c r="M989" s="8" t="inlineStr">
        <is>
          <t>条件触发</t>
        </is>
      </c>
      <c r="N989" s="8" t="inlineStr">
        <is>
          <t>triggered</t>
        </is>
      </c>
      <c r="O989" s="9" t="inlineStr">
        <is>
          <t>其他法器使敌方获得中毒时，对其施加 1 层裂甲；其他法器使敌方获得中毒时，对其施加 2 层裂甲；其他法器使敌方获得中毒时，对其施加 3 层裂甲；其他法器使敌方获得中毒时，对其施加 4 层裂甲</t>
        </is>
      </c>
      <c r="P989" s="9" t="inlineStr">
        <is>
          <t>onBuffGain</t>
        </is>
      </c>
      <c r="Q989" s="9" t="inlineStr">
        <is>
          <t>applyBuff；other</t>
        </is>
      </c>
      <c r="R989" s="9" t="inlineStr">
        <is>
          <t>{"kind":"triggered","triggeredEffect":{"trigger":"onBuffGain","eventActor":"enemy","eventBuffId":"poison","type":"applyBuff","buffId":"crackArmor","count":1,"targetActor":"enemy","polarity":"detrimental","eventSource":{"target":{"type":"other"}},"support":"battleOnly"},"label":"&lt;battle&gt;其他法器使敌方获得中毒时，对其施加 1 层裂甲&lt;/battle&gt;","starOverrides":{"1":{"label":"&lt;battle&gt;其他法器使敌方获得中毒时，对其施加 2 层裂甲&lt;/battle&gt;","triggeredEffect":{"count":2}},"2":{"label":"&lt;battle&gt;其他法器使敌方获得中毒时，对其施加 3 层裂甲&lt;/battle&gt;","triggeredEffect":{"count":3}},"3":{"label":"&lt;battle&gt;其他法器使敌方获得中毒时，对其施加 4 层裂甲&lt;/battle&gt;","triggeredEffect":{"count":4}}}}</t>
        </is>
      </c>
    </row>
    <row r="990" ht="32" customHeight="1">
      <c r="A990" s="8" t="n">
        <v>412457</v>
      </c>
      <c r="B990" s="8" t="inlineStr">
        <is>
          <t>梧羽破风响扇</t>
        </is>
      </c>
      <c r="C990" s="8" t="inlineStr">
        <is>
          <t>法器</t>
        </is>
      </c>
      <c r="D990" s="8" t="inlineStr">
        <is>
          <t>common</t>
        </is>
      </c>
      <c r="E990" s="8" t="inlineStr">
        <is>
          <t>wind</t>
        </is>
      </c>
      <c r="F990" s="8" t="n">
        <v>1</v>
      </c>
      <c r="G990" s="8" t="inlineStr">
        <is>
          <t>基础/顶层</t>
        </is>
      </c>
      <c r="H990" s="8" t="inlineStr"/>
      <c r="I990" s="9" t="inlineStr"/>
      <c r="J990" s="8" t="inlineStr"/>
      <c r="K990" s="8" t="inlineStr"/>
      <c r="L990" s="8" t="inlineStr"/>
      <c r="M990" s="8" t="inlineStr">
        <is>
          <t>条件触发</t>
        </is>
      </c>
      <c r="N990" s="8" t="inlineStr">
        <is>
          <t>triggered</t>
        </is>
      </c>
      <c r="O990" s="9" t="inlineStr">
        <is>
          <t>使用相邻招式时，获得 4 层敏捷；使用相邻招式时，获得 5 层敏捷；使用相邻招式时，获得 7 层敏捷；使用相邻招式时，获得 8 层敏捷</t>
        </is>
      </c>
      <c r="P990" s="9" t="inlineStr">
        <is>
          <t>onItemUse</t>
        </is>
      </c>
      <c r="Q990" s="9" t="inlineStr">
        <is>
          <t>applyBuff；adjacent</t>
        </is>
      </c>
      <c r="R990" s="9" t="inlineStr">
        <is>
          <t>{"kind":"triggered","label":"使用相邻招式时，获得 4 层敏捷","triggeredEffect":{"trigger":"onItemUse","type":"applyBuff","buffId":"agile","count":4,"eventSource":{"target":{"type":"adjacent"},"filter":{"categories":["spell"]}}},"starOverrides":{"1":{"label":"使用相邻招式时，获得 5 层敏捷","triggeredEffect":{"trigger":"onItemUse","type":"applyBuff","buffId":"agile","count":5,"eventSource":{"target":{"type":"adjacent"},"filter":{"categories":["spell"]}}}},"2":{"label":"使用相邻招式时，获得 7 层敏捷","triggeredEffect":{"trigger":"onItemUse","type":"applyBuff","buffId":"agile","count":7,"eventSource":{"target":{"type":"adjacent"},"filter":{"categories":["spell"]}}}},"3":{"label":"使用相邻招式时，获得 8 层敏捷","triggeredEffect":{"trigger":"onItemUse","type":"applyBuff","buffId":"agile","count":8,"eventSource":{"target":{"type":"adjacent"},"filter":{"categories":["spell"]}}}}}}</t>
        </is>
      </c>
    </row>
    <row r="991" ht="32" customHeight="1">
      <c r="A991" s="8" t="n">
        <v>412458</v>
      </c>
      <c r="B991" s="8" t="inlineStr">
        <is>
          <t>弹枝筋枪</t>
        </is>
      </c>
      <c r="C991" s="8" t="inlineStr">
        <is>
          <t>法器</t>
        </is>
      </c>
      <c r="D991" s="8" t="inlineStr">
        <is>
          <t>common</t>
        </is>
      </c>
      <c r="E991" s="8" t="inlineStr">
        <is>
          <t>wood</t>
        </is>
      </c>
      <c r="F991" s="8" t="n">
        <v>1</v>
      </c>
      <c r="G991" s="8" t="inlineStr">
        <is>
          <t>基础/顶层</t>
        </is>
      </c>
      <c r="H991" s="8" t="inlineStr"/>
      <c r="I991" s="9" t="inlineStr"/>
      <c r="J991" s="8" t="inlineStr"/>
      <c r="K991" s="8" t="inlineStr"/>
      <c r="L991" s="8" t="inlineStr"/>
      <c r="M991" s="8" t="inlineStr">
        <is>
          <t>条件触发</t>
        </is>
      </c>
      <c r="N991" s="8" t="inlineStr">
        <is>
          <t>triggered</t>
        </is>
      </c>
      <c r="O991" s="9" t="inlineStr">
        <is>
          <t>使用相邻武器时，对敌方造成 15 点伤害；使用相邻武器时，对敌方造成 20 点伤害；使用相邻武器时，对敌方造成 25 点伤害；使用相邻武器时，对敌方造成 30 点伤害</t>
        </is>
      </c>
      <c r="P991" s="9" t="inlineStr">
        <is>
          <t>onItemUse</t>
        </is>
      </c>
      <c r="Q991" s="9" t="inlineStr">
        <is>
          <t>battleDamageHealth；adjacent</t>
        </is>
      </c>
      <c r="R991" s="9" t="inlineStr">
        <is>
          <t>{"kind":"triggered","label":"使用相邻武器时，&lt;battle&gt;对敌方造成 15 点伤害&lt;/battle&gt;","triggeredEffect":{"trigger":"onItemUse","type":"battleDamageHealth","amount":15,"support":"battleOnly","eventSource":{"target":{"type":"adjacent"},"filter":{"features":["weapon"]}}},"starOverrides":{"1":{"label":"使用相邻武器时，&lt;battle&gt;对敌方造成 20 点伤害&lt;/battle&gt;","triggeredEffect":{"trigger":"onItemUse","type":"battleDamageHealth","amount":20,"support":"battleOnly","eventSource":{"target":{"type":"adjacent"},"filter":{"features":["weapon"]}}}},"2":{"label":"使用相邻武器时，&lt;battle&gt;对敌方造成 25 点伤害&lt;/battle&gt;","triggeredEffect":{"trigger":"onItemUse","type":"battleDamageHealth","amount":25,"support":"battleOnly","eventSource":{"target":{"type":"adjacent"},"filter":{"features":["weapon"]}}}},"3":{"label":"使用相邻武器时，&lt;battle&gt;对敌方造成 30 点伤害&lt;/battle&gt;","triggeredEffect":{"trigger":"onItemUse","type":"battleDamageHealth","amount":30,"support":"battleOnly","eventSource":{"target":{"type":"adjacent"},"filter":{"features":["weapon"]}}}}}}</t>
        </is>
      </c>
    </row>
    <row r="992" ht="32" customHeight="1">
      <c r="A992" s="8" t="n">
        <v>412500</v>
      </c>
      <c r="B992" s="8" t="inlineStr">
        <is>
          <t>岩心稳炉</t>
        </is>
      </c>
      <c r="C992" s="8" t="inlineStr">
        <is>
          <t>法器</t>
        </is>
      </c>
      <c r="D992" s="8" t="inlineStr">
        <is>
          <t>common</t>
        </is>
      </c>
      <c r="E992" s="8" t="inlineStr">
        <is>
          <t>fire</t>
        </is>
      </c>
      <c r="F992" s="8" t="n">
        <v>1</v>
      </c>
      <c r="G992" s="8" t="inlineStr">
        <is>
          <t>基础/顶层</t>
        </is>
      </c>
      <c r="H992" s="8" t="inlineStr"/>
      <c r="I992" s="9" t="inlineStr"/>
      <c r="J992" s="8" t="inlineStr"/>
      <c r="K992" s="8" t="inlineStr"/>
      <c r="L992" s="8" t="inlineStr"/>
      <c r="M992" s="8" t="inlineStr">
        <is>
          <t>周期触发</t>
        </is>
      </c>
      <c r="N992" s="8" t="inlineStr">
        <is>
          <t>periodicPulse</t>
        </is>
      </c>
      <c r="O992" s="9" t="inlineStr">
        <is>
          <t>成功率 +45%，大成功率 +10%</t>
        </is>
      </c>
      <c r="P992" s="9" t="inlineStr"/>
      <c r="Q992" s="9" t="inlineStr"/>
      <c r="R992" s="9" t="inlineStr">
        <is>
          <t>{"kind":"periodicPulse","label":"成功率 +45%，大成功率 +10%","periodicPulse":{"intervalSec":24,"label":"成功率 +45%，大成功率 +10%","alchemySuccessRate":{"successRate":0.45,"greatSuccessRate":0.1}}}</t>
        </is>
      </c>
    </row>
    <row r="993" ht="32" customHeight="1">
      <c r="A993" s="8" t="n">
        <v>412500</v>
      </c>
      <c r="B993" s="8" t="inlineStr">
        <is>
          <t>岩心稳炉</t>
        </is>
      </c>
      <c r="C993" s="8" t="inlineStr">
        <is>
          <t>法器</t>
        </is>
      </c>
      <c r="D993" s="8" t="inlineStr">
        <is>
          <t>common</t>
        </is>
      </c>
      <c r="E993" s="8" t="inlineStr">
        <is>
          <t>fire</t>
        </is>
      </c>
      <c r="F993" s="8" t="n">
        <v>2</v>
      </c>
      <c r="G993" s="8" t="inlineStr">
        <is>
          <t>基础/顶层</t>
        </is>
      </c>
      <c r="H993" s="8" t="inlineStr"/>
      <c r="I993" s="9" t="inlineStr"/>
      <c r="J993" s="8" t="inlineStr"/>
      <c r="K993" s="8" t="inlineStr"/>
      <c r="L993" s="8" t="inlineStr"/>
      <c r="M993" s="8" t="inlineStr">
        <is>
          <t>周期触发</t>
        </is>
      </c>
      <c r="N993" s="8" t="inlineStr">
        <is>
          <t>periodicPulse</t>
        </is>
      </c>
      <c r="O993" s="9" t="inlineStr">
        <is>
          <t>开局：所有丹药获得 5 秒减速；开局：所有丹药获得 7 秒减速；开局：所有丹药获得 8 秒减速；开局：所有丹药获得 9 秒减速</t>
        </is>
      </c>
      <c r="P993" s="9" t="inlineStr"/>
      <c r="Q993" s="9" t="inlineStr"/>
      <c r="R993" s="9" t="inlineStr">
        <is>
          <t>{"kind":"periodicPulse","label":"开局：所有丹药获得 5 秒减速","periodicPulse":{"startOnly":true,"label":"开局：所有丹药获得 5 秒减速","itemRuntimeStatusEffects":[{"itemRuntimeStatus":"slow","durationSec":5,"targetScope":"selfAll","targetFilter":{"categories":["pill"]}}]},"starOverrides":{"1":{"label":"开局：所有丹药获得 7 秒减速","periodicPulse":{"startOnly":true,"label":"开局：所有丹药获得 7 秒减速","itemRuntimeStatusEffects":[{"durationSec":7}]}},"2":{"label":"开局：所有丹药获得 8 秒减速","periodicPulse":{"startOnly":true,"label":"开局：所有丹药获得 8 秒减速","itemRuntimeStatusEffects":[{"durationSec":8}]}},"3":{"label":"开局：所有丹药获得 9 秒减速","periodicPulse":{"startOnly":true,"label":"开局：所有丹药获得 9 秒减速","itemRuntimeStatusEffects":[{"durationSec":9}]}}}}</t>
        </is>
      </c>
    </row>
    <row r="994" ht="32" customHeight="1">
      <c r="A994" s="8" t="n">
        <v>412501</v>
      </c>
      <c r="B994" s="8" t="inlineStr">
        <is>
          <t>赤纹护臂甲</t>
        </is>
      </c>
      <c r="C994" s="8" t="inlineStr">
        <is>
          <t>法器</t>
        </is>
      </c>
      <c r="D994" s="8" t="inlineStr">
        <is>
          <t>common</t>
        </is>
      </c>
      <c r="E994" s="8" t="inlineStr">
        <is>
          <t>fire</t>
        </is>
      </c>
      <c r="F994" s="8" t="n">
        <v>1</v>
      </c>
      <c r="G994" s="8" t="inlineStr">
        <is>
          <t>基础/顶层</t>
        </is>
      </c>
      <c r="H994" s="8" t="inlineStr"/>
      <c r="I994" s="9" t="inlineStr"/>
      <c r="J994" s="8" t="inlineStr"/>
      <c r="K994" s="8" t="inlineStr"/>
      <c r="L994" s="8" t="inlineStr"/>
      <c r="M994" s="8" t="inlineStr">
        <is>
          <t>被动效果</t>
        </is>
      </c>
      <c r="N994" s="8" t="inlineStr">
        <is>
          <t>passive</t>
        </is>
      </c>
      <c r="O994" s="9" t="inlineStr">
        <is>
          <t>炎热层数上限+2；炎热层数上限+4；炎热层数上限+6；炎热层数上限+8</t>
        </is>
      </c>
      <c r="P994" s="9" t="inlineStr"/>
      <c r="Q994" s="9" t="inlineStr">
        <is>
          <t>buffStackCapBonus</t>
        </is>
      </c>
      <c r="R994" s="9" t="inlineStr">
        <is>
          <t>{"kind":"passive","passiveEffect":{"type":"buffStackCapBonus","buffId":"heat","value":2,"label":"炎热层数上限+2"},"label":"炎热层数上限+2","starOverrides":{"1":{"label":"炎热层数上限+4","passiveEffect":{"type":"buffStackCapBonus","buffId":"heat","value":4,"label":"炎热层数上限+4"}},"2":{"label":"炎热层数上限+6","passiveEffect":{"type":"buffStackCapBonus","buffId":"heat","value":6,"label":"炎热层数上限+6"}},"3":{"label":"炎热层数上限+8","passiveEffect":{"type":"buffStackCapBonus","buffId":"heat","value":8,"label":"炎热层数上限+8"}}}}</t>
        </is>
      </c>
    </row>
    <row r="995" ht="32" customHeight="1">
      <c r="A995" s="8" t="n">
        <v>412501</v>
      </c>
      <c r="B995" s="8" t="inlineStr">
        <is>
          <t>赤纹护臂甲</t>
        </is>
      </c>
      <c r="C995" s="8" t="inlineStr">
        <is>
          <t>法器</t>
        </is>
      </c>
      <c r="D995" s="8" t="inlineStr">
        <is>
          <t>common</t>
        </is>
      </c>
      <c r="E995" s="8" t="inlineStr">
        <is>
          <t>fire</t>
        </is>
      </c>
      <c r="F995" s="8" t="n">
        <v>2</v>
      </c>
      <c r="G995" s="8" t="inlineStr">
        <is>
          <t>基础/顶层</t>
        </is>
      </c>
      <c r="H995" s="8" t="inlineStr"/>
      <c r="I995" s="9" t="inlineStr"/>
      <c r="J995" s="8" t="inlineStr"/>
      <c r="K995" s="8" t="inlineStr"/>
      <c r="L995" s="8" t="inlineStr"/>
      <c r="M995" s="8" t="inlineStr">
        <is>
          <t>被动效果</t>
        </is>
      </c>
      <c r="N995" s="8" t="inlineStr">
        <is>
          <t>passive</t>
        </is>
      </c>
      <c r="O995" s="9" t="inlineStr">
        <is>
          <t>蓄势层数上限+2；蓄势层数上限+4；蓄势层数上限+6；蓄势层数上限+8</t>
        </is>
      </c>
      <c r="P995" s="9" t="inlineStr"/>
      <c r="Q995" s="9" t="inlineStr">
        <is>
          <t>buffStackCapBonus</t>
        </is>
      </c>
      <c r="R995" s="9" t="inlineStr">
        <is>
          <t>{"kind":"passive","passiveEffect":{"type":"buffStackCapBonus","buffId":"heavy","value":2,"label":"蓄势层数上限+2"},"label":"蓄势层数上限+2","starOverrides":{"1":{"label":"蓄势层数上限+4","passiveEffect":{"type":"buffStackCapBonus","buffId":"heavy","value":4,"label":"蓄势层数上限+4"}},"2":{"label":"蓄势层数上限+6","passiveEffect":{"type":"buffStackCapBonus","buffId":"heavy","value":6,"label":"蓄势层数上限+6"}},"3":{"label":"蓄势层数上限+8","passiveEffect":{"type":"buffStackCapBonus","buffId":"heavy","value":8,"label":"蓄势层数上限+8"}}}}</t>
        </is>
      </c>
    </row>
    <row r="996" ht="32" customHeight="1">
      <c r="A996" s="8" t="n">
        <v>412502</v>
      </c>
      <c r="B996" s="8" t="inlineStr">
        <is>
          <t>温岩爪扣</t>
        </is>
      </c>
      <c r="C996" s="8" t="inlineStr">
        <is>
          <t>法器</t>
        </is>
      </c>
      <c r="D996" s="8" t="inlineStr">
        <is>
          <t>common</t>
        </is>
      </c>
      <c r="E996" s="8" t="inlineStr">
        <is>
          <t>fire</t>
        </is>
      </c>
      <c r="F996" s="8" t="n">
        <v>1</v>
      </c>
      <c r="G996" s="8" t="inlineStr">
        <is>
          <t>基础/顶层</t>
        </is>
      </c>
      <c r="H996" s="8" t="inlineStr"/>
      <c r="I996" s="9" t="inlineStr"/>
      <c r="J996" s="8" t="inlineStr"/>
      <c r="K996" s="8" t="inlineStr"/>
      <c r="L996" s="8" t="inlineStr"/>
      <c r="M996" s="8" t="inlineStr">
        <is>
          <t>周期触发</t>
        </is>
      </c>
      <c r="N996" s="8" t="inlineStr">
        <is>
          <t>periodicPulse</t>
        </is>
      </c>
      <c r="O996" s="9" t="inlineStr">
        <is>
          <t>最多将 4 层炎热转化为护甲，每层获得 5 层护甲；最多将 5 层炎热转化为护甲，每层获得 5 层护甲；最多将 6 层炎热转化为护甲，每层获得 5 层护甲；最多将 7 层炎热转化为护甲，每层获得 5 层护甲</t>
        </is>
      </c>
      <c r="P996" s="9" t="inlineStr">
        <is>
          <t>onPeriodicPulse</t>
        </is>
      </c>
      <c r="Q996" s="9" t="inlineStr">
        <is>
          <t>convertBuffStacks</t>
        </is>
      </c>
      <c r="R996" s="9" t="inlineStr">
        <is>
          <t>{"kind":"periodicPulse","label":"最多将 4 层炎热转化为护甲，每层获得 5 层护甲","periodicPulse":{"intervalSec":12,"label":"最多将 4 层炎热转化为护甲，每层获得 5 层护甲"},"executors":[{"trigger":"onPeriodicPulse","type":"convertBuffStacks","sourceBuffId":"heat","targetBuffId":"armor","maxStacks":4,"consumeRatio":5,"label":"最多将 4 层炎热转化为护甲，每层获得 5 层护甲"}],"starOverrides":{"1":{"label":"最多将 5 层炎热转化为护甲，每层获得 5 层护甲","periodicPulse":{"intervalSec":12,"label":"最多将 5 层炎热转化为护甲，每层获得 5 层护甲"},"executors":[{"trigger":"onPeriodicPulse","type":"convertBuffStacks","sourceBuffId":"heat","targetBuffId":"armor","maxStacks":5,"consumeRatio":5,"label":"最多将 5 层炎热转化为护甲，每层获得 5 层护甲"}]},"2":{"label":"最多将 6 层炎热转化为护甲，每层获得 5 层护甲","periodicPulse":{"intervalSec":12,"label":"最多将 6 层炎热转化为护甲，每层获得 5 层护甲"},"executors":[{"trigger":"onPeriodicPulse","type":"convertBuffStacks","sourceBuffId":"heat","targetBuffId":"armor","maxStacks":6,"consumeRatio":5,"label":"最多将 6 层炎热转化为护甲，每层获得 5 层护甲"}]},"3":{"label":"最多将 7 层炎热转化为护甲，每层获得 5 层护甲","periodicPulse":{"intervalSec":12,"label":"最多将 7 层炎热转化为护甲，每层获得 5 层护甲"},"executors":[{"trigger":"onPeriodicPulse","type":"convertBuffStacks","sourceBuffId":"heat","targetBuffId":"armor","maxStacks":7,"consumeRatio":5,"label":"最多将 7 层炎热转化为护甲，每层获得 5 层护甲"}]}}}</t>
        </is>
      </c>
    </row>
    <row r="997" ht="32" customHeight="1">
      <c r="A997" s="8" t="n">
        <v>412503</v>
      </c>
      <c r="B997" s="8" t="inlineStr">
        <is>
          <t>炉线镇脉尺</t>
        </is>
      </c>
      <c r="C997" s="8" t="inlineStr">
        <is>
          <t>法器</t>
        </is>
      </c>
      <c r="D997" s="8" t="inlineStr">
        <is>
          <t>common</t>
        </is>
      </c>
      <c r="E997" s="8" t="inlineStr">
        <is>
          <t>fire</t>
        </is>
      </c>
      <c r="F997" s="8" t="n">
        <v>1</v>
      </c>
      <c r="G997" s="8" t="inlineStr">
        <is>
          <t>基础/顶层</t>
        </is>
      </c>
      <c r="H997" s="8" t="inlineStr"/>
      <c r="I997" s="9" t="inlineStr"/>
      <c r="J997" s="8" t="inlineStr"/>
      <c r="K997" s="8" t="inlineStr"/>
      <c r="L997" s="8" t="inlineStr"/>
      <c r="M997" s="8" t="inlineStr">
        <is>
          <t>条件触发</t>
        </is>
      </c>
      <c r="N997" s="8" t="inlineStr">
        <is>
          <t>triggered</t>
        </is>
      </c>
      <c r="O997" s="9" t="inlineStr">
        <is>
          <t>使用相邻阵盘时，获得 7 层炎热；使用相邻阵盘时，获得 8 层炎热；使用相邻阵盘时，获得 10 层炎热；使用相邻阵盘时，获得 12 层炎热</t>
        </is>
      </c>
      <c r="P997" s="9" t="inlineStr">
        <is>
          <t>onItemUse</t>
        </is>
      </c>
      <c r="Q997" s="9" t="inlineStr">
        <is>
          <t>applyBuff；adjacent</t>
        </is>
      </c>
      <c r="R997" s="9" t="inlineStr">
        <is>
          <t>{"kind":"triggered","label":"使用相邻阵盘时，获得 7 层炎热","triggeredEffect":{"trigger":"onItemUse","type":"applyBuff","buffId":"heat","count":7,"eventSource":{"target":{"type":"adjacent"},"filter":{"categories":["formation"]}}},"starOverrides":{"1":{"label":"使用相邻阵盘时，获得 8 层炎热","triggeredEffect":{"trigger":"onItemUse","type":"applyBuff","buffId":"heat","count":8,"eventSource":{"target":{"type":"adjacent"},"filter":{"categories":["formation"]}}}},"2":{"label":"使用相邻阵盘时，获得 10 层炎热","triggeredEffect":{"trigger":"onItemUse","type":"applyBuff","buffId":"heat","count":10,"eventSource":{"target":{"type":"adjacent"},"filter":{"categories":["formation"]}}}},"3":{"label":"使用相邻阵盘时，获得 12 层炎热","triggeredEffect":{"trigger":"onItemUse","type":"applyBuff","buffId":"heat","count":12,"eventSource":{"target":{"type":"adjacent"},"filter":{"categories":["formation"]}}}}}}</t>
        </is>
      </c>
    </row>
    <row r="998" ht="32" customHeight="1">
      <c r="A998" s="8" t="n">
        <v>412504</v>
      </c>
      <c r="B998" s="8" t="inlineStr">
        <is>
          <t>赤骨定火梭</t>
        </is>
      </c>
      <c r="C998" s="8" t="inlineStr">
        <is>
          <t>法器</t>
        </is>
      </c>
      <c r="D998" s="8" t="inlineStr">
        <is>
          <t>common</t>
        </is>
      </c>
      <c r="E998" s="8" t="inlineStr">
        <is>
          <t>fire</t>
        </is>
      </c>
      <c r="F998" s="8" t="n">
        <v>1</v>
      </c>
      <c r="G998" s="8" t="inlineStr">
        <is>
          <t>基础/顶层</t>
        </is>
      </c>
      <c r="H998" s="8" t="inlineStr"/>
      <c r="I998" s="9" t="inlineStr"/>
      <c r="J998" s="8" t="inlineStr"/>
      <c r="K998" s="8" t="inlineStr"/>
      <c r="L998" s="8" t="inlineStr"/>
      <c r="M998" s="8" t="inlineStr">
        <is>
          <t>条件触发</t>
        </is>
      </c>
      <c r="N998" s="8" t="inlineStr">
        <is>
          <t>triggered</t>
        </is>
      </c>
      <c r="O998" s="9" t="inlineStr">
        <is>
          <t>使用相邻投掷物时，获得 7 层炎热；使用相邻投掷物时，获得 8 层炎热；使用相邻投掷物时，获得 10 层炎热；使用相邻投掷物时，获得 12 层炎热</t>
        </is>
      </c>
      <c r="P998" s="9" t="inlineStr">
        <is>
          <t>onItemUse</t>
        </is>
      </c>
      <c r="Q998" s="9" t="inlineStr">
        <is>
          <t>applyBuff；adjacent</t>
        </is>
      </c>
      <c r="R998" s="9" t="inlineStr">
        <is>
          <t>{"kind":"triggered","label":"使用相邻投掷物时，获得 7 层炎热","triggeredEffect":{"trigger":"onItemUse","type":"applyBuff","buffId":"heat","count":7,"eventSource":{"target":{"type":"adjacent"},"filter":{"categories":["throwable"]}}},"starOverrides":{"1":{"label":"使用相邻投掷物时，获得 8 层炎热","triggeredEffect":{"trigger":"onItemUse","type":"applyBuff","buffId":"heat","count":8,"eventSource":{"target":{"type":"adjacent"},"filter":{"categories":["throwable"]}}}},"2":{"label":"使用相邻投掷物时，获得 10 层炎热","triggeredEffect":{"trigger":"onItemUse","type":"applyBuff","buffId":"heat","count":10,"eventSource":{"target":{"type":"adjacent"},"filter":{"categories":["throwable"]}}}},"3":{"label":"使用相邻投掷物时，获得 12 层炎热","triggeredEffect":{"trigger":"onItemUse","type":"applyBuff","buffId":"heat","count":12,"eventSource":{"target":{"type":"adjacent"},"filter":{"categories":["throwable"]}}}}}}</t>
        </is>
      </c>
    </row>
    <row r="999" ht="32" customHeight="1">
      <c r="A999" s="8" t="n">
        <v>412553</v>
      </c>
      <c r="B999" s="8" t="inlineStr">
        <is>
          <t>尾骨传焰匣</t>
        </is>
      </c>
      <c r="C999" s="8" t="inlineStr">
        <is>
          <t>法器</t>
        </is>
      </c>
      <c r="D999" s="8" t="inlineStr">
        <is>
          <t>common</t>
        </is>
      </c>
      <c r="E999" s="8" t="inlineStr">
        <is>
          <t>fire</t>
        </is>
      </c>
      <c r="F999" s="8" t="n">
        <v>1</v>
      </c>
      <c r="G999" s="8" t="inlineStr">
        <is>
          <t>基础/顶层</t>
        </is>
      </c>
      <c r="H999" s="8" t="inlineStr"/>
      <c r="I999" s="9" t="inlineStr"/>
      <c r="J999" s="8" t="inlineStr"/>
      <c r="K999" s="8" t="inlineStr"/>
      <c r="L999" s="8" t="inlineStr"/>
      <c r="M999" s="8" t="inlineStr">
        <is>
          <t>周期触发</t>
        </is>
      </c>
      <c r="N999" s="8" t="inlineStr">
        <is>
          <t>periodicPulse</t>
        </is>
      </c>
      <c r="O999" s="9" t="inlineStr">
        <is>
          <t>开局：位于储物袋右侧时，每有 1 件火属性道具，获得 5 层炎热，最多计算 4 件；开局：位于储物袋右侧时，每有 1 件火属性道具，获得 7 层炎热，最多计算 4 件；开局：位于储物袋右侧时，每有 1 件火属性道具，获得 8 层炎热，最多计算 4 件；开局：位于储物袋右侧时，每有 1 件火属性道具，获得 10 层炎热，最多计算 4 件</t>
        </is>
      </c>
      <c r="P999" s="9" t="inlineStr">
        <is>
          <t>onPeriodicPulse</t>
        </is>
      </c>
      <c r="Q999" s="9" t="inlineStr">
        <is>
          <t>applyBuff</t>
        </is>
      </c>
      <c r="R999" s="9" t="inlineStr">
        <is>
          <t>{"kind":"periodicPulse","label":"开局：位于储物袋右侧时，每有 1 件火属性道具，获得 5 层炎热，最多计算 4 件","periodicPulse":{"startOnly":true,"label":"开局：位于储物袋右侧时，每有 1 件火属性道具，获得 5 层炎热，最多计算 4 件"},"executors":[{"trigger":"onPeriodicPulse","type":"applyBuff","buffId":"heat","count":5,"scaling":{"mode":"count","source":"bagItems","elements":["fire"],"maxCount":4},"label":"开局：位于储物袋右侧时，每有 1 件火属性道具，获得 5 层炎热，最多计算 4 件"}],"activationRequirements":{"sourceEdges":["right"]},"starOverrides":{"1":{"label":"开局：位于储物袋右侧时，每有 1 件火属性道具，获得 7 层炎热，最多计算 4 件","periodicPulse":{"startOnly":true,"label":"开局：位于储物袋右侧时，每有 1 件火属性道具，获得 7 层炎热，最多计算 4 件"},"executors":[{"trigger":"onPeriodicPulse","type":"applyBuff","buffId":"heat","count":7,"scaling":{"mode":"count","source":"bagItems","elements":["fire"],"maxCount":4},"label":"开局：位于储物袋右侧时，每有 1 件火属性道具，获得 7 层炎热，最多计算 4 件"}]},"2":{"label":"开局：位于储物袋右侧时，每有 1 件火属性道具，获得 8 层炎热，最多计算 4 件","periodicPulse":{"startOnly":true,"label":"开局：位于储物袋右侧时，每有 1 件火属性道具，获得 8 层炎热，最多计算 4 件"},"executors":[{"trigger":"onPeriodicPulse","type":"applyBuff","buffId":"heat","count":8,"scaling":{"mode":"count","source":"bagItems","elements":["fire"],"maxCount":4},"label":"开局：位于储物袋右侧时，每有 1 件火属性道具，获得 8 层炎热，最多计算 4 件"}]},"3":{"label":"开局：位于储物袋右侧时，每有 1 件火属性道具，获得 10 层炎热，最多计算 4 件","periodicPulse":{"startOnly":true,"label":"开局：位于储物袋右侧时，每有 1 件火属性道具，获得 10 层炎热，最多计算 4 件"},"executors":[{"trigger":"onPeriodicPulse","type":"applyBuff","buffId":"heat","count":10,"scaling":{"mode":"count","source":"bagItems","elements":["fire"],"maxCount":4},"label":"开局：位于储物袋右侧时，每有 1 件火属性道具，获得 10 层炎热，最多计算 4 件"}]}}}</t>
        </is>
      </c>
    </row>
    <row r="1000" ht="32" customHeight="1">
      <c r="A1000" s="8" t="n">
        <v>412554</v>
      </c>
      <c r="B1000" s="8" t="inlineStr">
        <is>
          <t>热骨导流匣</t>
        </is>
      </c>
      <c r="C1000" s="8" t="inlineStr">
        <is>
          <t>法器</t>
        </is>
      </c>
      <c r="D1000" s="8" t="inlineStr">
        <is>
          <t>common</t>
        </is>
      </c>
      <c r="E1000" s="8" t="inlineStr">
        <is>
          <t>fire</t>
        </is>
      </c>
      <c r="F1000" s="8" t="n">
        <v>1</v>
      </c>
      <c r="G1000" s="8" t="inlineStr">
        <is>
          <t>基础/顶层</t>
        </is>
      </c>
      <c r="H1000" s="8" t="inlineStr"/>
      <c r="I1000" s="9" t="inlineStr"/>
      <c r="J1000" s="8" t="inlineStr"/>
      <c r="K1000" s="8" t="inlineStr"/>
      <c r="L1000" s="8" t="inlineStr"/>
      <c r="M1000" s="8" t="inlineStr">
        <is>
          <t>条件触发</t>
        </is>
      </c>
      <c r="N1000" s="8" t="inlineStr">
        <is>
          <t>triggered</t>
        </is>
      </c>
      <c r="O1000" s="9" t="inlineStr">
        <is>
          <t>相邻丹药耗尽时，获得 7 层炎热；相邻丹药耗尽时，获得 8 层炎热；相邻丹药耗尽时，获得 10 层炎热；相邻丹药耗尽时，获得 12 层炎热</t>
        </is>
      </c>
      <c r="P1000" s="9" t="inlineStr">
        <is>
          <t>onConsumableExhausted</t>
        </is>
      </c>
      <c r="Q1000" s="9" t="inlineStr">
        <is>
          <t>applyBuff；adjacent</t>
        </is>
      </c>
      <c r="R1000" s="9" t="inlineStr">
        <is>
          <t>{"kind":"triggered","label":"相邻丹药耗尽时，获得 7 层炎热","triggeredEffect":{"trigger":"onConsumableExhausted","type":"applyBuff","buffId":"heat","count":7,"eventSource":{"target":{"type":"adjacent"},"filter":{"categories":["pill"]}}},"starOverrides":{"1":{"label":"相邻丹药耗尽时，获得 8 层炎热","triggeredEffect":{"trigger":"onConsumableExhausted","type":"applyBuff","buffId":"heat","count":8,"eventSource":{"target":{"type":"adjacent"},"filter":{"categories":["pill"]}}}},"2":{"label":"相邻丹药耗尽时，获得 10 层炎热","triggeredEffect":{"trigger":"onConsumableExhausted","type":"applyBuff","buffId":"heat","count":10,"eventSource":{"target":{"type":"adjacent"},"filter":{"categories":["pill"]}}}},"3":{"label":"相邻丹药耗尽时，获得 12 层炎热","triggeredEffect":{"trigger":"onConsumableExhausted","type":"applyBuff","buffId":"heat","count":12,"eventSource":{"target":{"type":"adjacent"},"filter":{"categories":["pill"]}}}}}}</t>
        </is>
      </c>
    </row>
    <row r="1001" ht="32" customHeight="1">
      <c r="A1001" s="8" t="n">
        <v>412601</v>
      </c>
      <c r="B1001" s="8" t="inlineStr">
        <is>
          <t>寒雾稳脉席</t>
        </is>
      </c>
      <c r="C1001" s="8" t="inlineStr">
        <is>
          <t>法器</t>
        </is>
      </c>
      <c r="D1001" s="8" t="inlineStr">
        <is>
          <t>spirit</t>
        </is>
      </c>
      <c r="E1001" s="8" t="inlineStr">
        <is>
          <t>water</t>
        </is>
      </c>
      <c r="F1001" s="8" t="n">
        <v>1</v>
      </c>
      <c r="G1001" s="8" t="inlineStr">
        <is>
          <t>基础/顶层</t>
        </is>
      </c>
      <c r="H1001" s="8" t="inlineStr"/>
      <c r="I1001" s="9" t="inlineStr"/>
      <c r="J1001" s="8" t="inlineStr"/>
      <c r="K1001" s="8" t="inlineStr"/>
      <c r="L1001" s="8" t="inlineStr"/>
      <c r="M1001" s="8" t="inlineStr">
        <is>
          <t>被动效果</t>
        </is>
      </c>
      <c r="N1001" s="8" t="inlineStr">
        <is>
          <t>passive</t>
        </is>
      </c>
      <c r="O1001" s="9" t="inlineStr">
        <is>
          <t>寒冷层数上限 +6；寒冷层数上限 +9；寒冷层数上限 +12；寒冷层数上限 +15</t>
        </is>
      </c>
      <c r="P1001" s="9" t="inlineStr"/>
      <c r="Q1001" s="9" t="inlineStr">
        <is>
          <t>buffStackCapBonus</t>
        </is>
      </c>
      <c r="R1001" s="9" t="inlineStr">
        <is>
          <t>{"kind":"passive","label":"寒冷层数上限 +6","passiveEffect":{"type":"buffStackCapBonus","buffId":"cold","value":6,"label":"寒冷层数上限 +6"},"starOverrides":{"1":{"label":"寒冷层数上限 +9","passiveEffect":{"type":"buffStackCapBonus","buffId":"cold","value":9,"label":"寒冷层数上限 +9"}},"2":{"label":"寒冷层数上限 +12","passiveEffect":{"type":"buffStackCapBonus","buffId":"cold","value":12,"label":"寒冷层数上限 +12"}},"3":{"label":"寒冷层数上限 +15","passiveEffect":{"type":"buffStackCapBonus","buffId":"cold","value":15,"label":"寒冷层数上限 +15"}}}}</t>
        </is>
      </c>
    </row>
    <row r="1002" ht="32" customHeight="1">
      <c r="A1002" s="8" t="n">
        <v>412603</v>
      </c>
      <c r="B1002" s="8" t="inlineStr">
        <is>
          <t>霜肩骨盾</t>
        </is>
      </c>
      <c r="C1002" s="8" t="inlineStr">
        <is>
          <t>法器</t>
        </is>
      </c>
      <c r="D1002" s="8" t="inlineStr">
        <is>
          <t>spirit</t>
        </is>
      </c>
      <c r="E1002" s="8" t="inlineStr">
        <is>
          <t>water</t>
        </is>
      </c>
      <c r="F1002" s="8" t="n">
        <v>1</v>
      </c>
      <c r="G1002" s="8" t="inlineStr">
        <is>
          <t>基础/顶层</t>
        </is>
      </c>
      <c r="H1002" s="8" t="inlineStr"/>
      <c r="I1002" s="9" t="inlineStr"/>
      <c r="J1002" s="8" t="inlineStr"/>
      <c r="K1002" s="8" t="inlineStr"/>
      <c r="L1002" s="8" t="inlineStr"/>
      <c r="M1002" s="8" t="inlineStr">
        <is>
          <t>周期触发</t>
        </is>
      </c>
      <c r="N1002" s="8" t="inlineStr">
        <is>
          <t>periodicPulse</t>
        </is>
      </c>
      <c r="O1002" s="9" t="inlineStr">
        <is>
          <t>最多将 8 层寒冷转化为护甲，每层获得 5 层护甲；最多将 10 层寒冷转化为护甲，每层获得 10 层护甲；最多将 12 层寒冷转化为护甲，每层获得 10 层护甲；最多将 14 层寒冷转化为护甲，每层获得 10 层护甲</t>
        </is>
      </c>
      <c r="P1002" s="9" t="inlineStr">
        <is>
          <t>onPeriodicPulse</t>
        </is>
      </c>
      <c r="Q1002" s="9" t="inlineStr">
        <is>
          <t>convertBuffStacks</t>
        </is>
      </c>
      <c r="R1002" s="9" t="inlineStr">
        <is>
          <t>{"kind":"periodicPulse","label":"最多将 8 层寒冷转化为护甲，每层获得 5 层护甲","periodicPulse":{"intervalSec":12,"label":"最多将 8 层寒冷转化为护甲，每层获得 5 层护甲"},"executors":[{"trigger":"onPeriodicPulse","type":"convertBuffStacks","sourceBuffId":"cold","targetBuffId":"armor","maxStacks":8,"consumeRatio":5,"label":"最多将 8 层寒冷转化为护甲，每层获得 5 层护甲"}],"starOverrides":{"1":{"label":"最多将 10 层寒冷转化为护甲，每层获得 10 层护甲","periodicPulse":{"intervalSec":12,"label":"最多将 10 层寒冷转化为护甲，每层获得 10 层护甲"},"executors":[{"trigger":"onPeriodicPulse","type":"convertBuffStacks","sourceBuffId":"cold","targetBuffId":"armor","maxStacks":10,"consumeRatio":10,"label":"最多将 10 层寒冷转化为护甲，每层获得 10 层护甲"}]},"2":{"label":"最多将 12 层寒冷转化为护甲，每层获得 10 层护甲","periodicPulse":{"intervalSec":12,"label":"最多将 12 层寒冷转化为护甲，每层获得 10 层护甲"},"executors":[{"trigger":"onPeriodicPulse","type":"convertBuffStacks","sourceBuffId":"cold","targetBuffId":"armor","maxStacks":12,"consumeRatio":10,"label":"最多将 12 层寒冷转化为护甲，每层获得 10 层护甲"}]},"3":{"label":"最多将 14 层寒冷转化为护甲，每层获得 10 层护甲","periodicPulse":{"intervalSec":12,"label":"最多将 14 层寒冷转化为护甲，每层获得 10 层护甲"},"executors":[{"trigger":"onPeriodicPulse","type":"convertBuffStacks","sourceBuffId":"cold","targetBuffId":"armor","maxStacks":14,"consumeRatio":10,"label":"最多将 14 层寒冷转化为护甲，每层获得 10 层护甲"}]}}}</t>
        </is>
      </c>
    </row>
    <row r="1003" ht="32" customHeight="1">
      <c r="A1003" s="8" t="n">
        <v>412604</v>
      </c>
      <c r="B1003" s="8" t="inlineStr">
        <is>
          <t>霜枝导脉杖</t>
        </is>
      </c>
      <c r="C1003" s="8" t="inlineStr">
        <is>
          <t>法器</t>
        </is>
      </c>
      <c r="D1003" s="8" t="inlineStr">
        <is>
          <t>spirit</t>
        </is>
      </c>
      <c r="E1003" s="8" t="inlineStr">
        <is>
          <t>water</t>
        </is>
      </c>
      <c r="F1003" s="8" t="n">
        <v>1</v>
      </c>
      <c r="G1003" s="8" t="inlineStr">
        <is>
          <t>基础/顶层</t>
        </is>
      </c>
      <c r="H1003" s="8" t="inlineStr"/>
      <c r="I1003" s="9" t="inlineStr"/>
      <c r="J1003" s="8" t="inlineStr"/>
      <c r="K1003" s="8" t="inlineStr"/>
      <c r="L1003" s="8" t="inlineStr"/>
      <c r="M1003" s="8" t="inlineStr">
        <is>
          <t>周期触发</t>
        </is>
      </c>
      <c r="N1003" s="8" t="inlineStr">
        <is>
          <t>periodicPulse</t>
        </is>
      </c>
      <c r="O1003" s="9" t="inlineStr">
        <is>
          <t>每相邻 1 件水属性道具，获得 60 层寒冷，最多计算 4 件</t>
        </is>
      </c>
      <c r="P1003" s="9" t="inlineStr">
        <is>
          <t>onPeriodicPulse</t>
        </is>
      </c>
      <c r="Q1003" s="9" t="inlineStr">
        <is>
          <t>applyBuff</t>
        </is>
      </c>
      <c r="R1003" s="9" t="inlineStr">
        <is>
          <t>{"kind":"periodicPulse","label":"每相邻 1 件水属性道具，获得 60 层寒冷，最多计算 4 件","periodicPulse":{"intervalSec":10,"label":"每相邻 1 件水属性道具，获得 60 层寒冷，最多计算 4 件"},"executors":[{"trigger":"onPeriodicPulse","type":"applyBuff","buffId":"cold","count":60,"scaling":{"mode":"count","source":"adjacentItems","elements":["water"],"maxCount":4},"label":"每相邻 1 件水属性道具，获得 60 层寒冷，最多计算 4 件"}],"starOverrides":{"1":{"label":"每相邻 1 件水属性道具，获得 60 层寒冷，最多计算 4 件","periodicPulse":{"intervalSec":9,"label":"每相邻 1 件水属性道具，获得 60 层寒冷，最多计算 4 件"},"executors":[{"trigger":"onPeriodicPulse","type":"applyBuff","buffId":"cold","count":60,"scaling":{"mode":"count","source":"adjacentItems","elements":["water"],"maxCount":4},"label":"每相邻 1 件水属性道具，获得 60 层寒冷，最多计算 4 件"}]},"2":{"label":"每相邻 1 件水属性道具，获得 60 层寒冷，最多计算 4 件","periodicPulse":{"intervalSec":8,"label":"每相邻 1 件水属性道具，获得 60 层寒冷，最多计算 4 件"},"executors":[{"trigger":"onPeriodicPulse","type":"applyBuff","buffId":"cold","count":60,"scaling":{"mode":"count","source":"adjacentItems","elements":["water"],"maxCount":4},"label":"每相邻 1 件水属性道具，获得 60 层寒冷，最多计算 4 件"}]},"3":{"label":"每相邻 1 件水属性道具，获得 60 层寒冷，最多计算 4 件","periodicPulse":{"intervalSec":7,"label":"每相邻 1 件水属性道具，获得 60 层寒冷，最多计算 4 件"},"executors":[{"trigger":"onPeriodicPulse","type":"applyBuff","buffId":"cold","count":60,"scaling":{"mode":"count","source":"adjacentItems","elements":["water"],"maxCount":4},"label":"每相邻 1 件水属性道具，获得 60 层寒冷，最多计算 4 件"}]}}}</t>
        </is>
      </c>
    </row>
    <row r="1004" ht="32" customHeight="1">
      <c r="A1004" s="8" t="n">
        <v>412605</v>
      </c>
      <c r="B1004" s="8" t="inlineStr">
        <is>
          <t>寒髓凝息瓶</t>
        </is>
      </c>
      <c r="C1004" s="8" t="inlineStr">
        <is>
          <t>法器</t>
        </is>
      </c>
      <c r="D1004" s="8" t="inlineStr">
        <is>
          <t>spirit</t>
        </is>
      </c>
      <c r="E1004" s="8" t="inlineStr">
        <is>
          <t>water</t>
        </is>
      </c>
      <c r="F1004" s="8" t="n">
        <v>1</v>
      </c>
      <c r="G1004" s="8" t="inlineStr">
        <is>
          <t>基础/顶层</t>
        </is>
      </c>
      <c r="H1004" s="8" t="inlineStr"/>
      <c r="I1004" s="9" t="inlineStr"/>
      <c r="J1004" s="8" t="inlineStr"/>
      <c r="K1004" s="8" t="inlineStr"/>
      <c r="L1004" s="8" t="inlineStr"/>
      <c r="M1004" s="8" t="inlineStr">
        <is>
          <t>条件触发</t>
        </is>
      </c>
      <c r="N1004" s="8" t="inlineStr">
        <is>
          <t>triggered</t>
        </is>
      </c>
      <c r="O1004" s="9" t="inlineStr">
        <is>
          <t>相邻丹药耗尽时，获得 100 层露水；相邻丹药耗尽时，获得 140 层露水；相邻丹药耗尽时，获得 160 层露水；相邻丹药耗尽时，获得 200 层露水</t>
        </is>
      </c>
      <c r="P1004" s="9" t="inlineStr">
        <is>
          <t>onConsumableExhausted</t>
        </is>
      </c>
      <c r="Q1004" s="9" t="inlineStr">
        <is>
          <t>applyBuff；adjacent</t>
        </is>
      </c>
      <c r="R1004" s="9" t="inlineStr">
        <is>
          <t>{"kind":"triggered","label":"相邻丹药耗尽时，获得 100 层露水","triggeredEffect":{"trigger":"onConsumableExhausted","type":"applyBuff","buffId":"dew","count":100,"eventSource":{"target":{"type":"adjacent"},"filter":{"categories":["pill"]}}},"starOverrides":{"1":{"label":"相邻丹药耗尽时，获得 140 层露水","triggeredEffect":{"trigger":"onConsumableExhausted","type":"applyBuff","buffId":"dew","count":140,"eventSource":{"target":{"type":"adjacent"},"filter":{"categories":["pill"]}}}},"2":{"label":"相邻丹药耗尽时，获得 160 层露水","triggeredEffect":{"trigger":"onConsumableExhausted","type":"applyBuff","buffId":"dew","count":160,"eventSource":{"target":{"type":"adjacent"},"filter":{"categories":["pill"]}}}},"3":{"label":"相邻丹药耗尽时，获得 200 层露水","triggeredEffect":{"trigger":"onConsumableExhausted","type":"applyBuff","buffId":"dew","count":200,"eventSource":{"target":{"type":"adjacent"},"filter":{"categories":["pill"]}}}}}}</t>
        </is>
      </c>
    </row>
    <row r="1005" ht="32" customHeight="1">
      <c r="A1005" s="8" t="n">
        <v>412606</v>
      </c>
      <c r="B1005" s="8" t="inlineStr">
        <is>
          <t>霜络定脉针</t>
        </is>
      </c>
      <c r="C1005" s="8" t="inlineStr">
        <is>
          <t>法器</t>
        </is>
      </c>
      <c r="D1005" s="8" t="inlineStr">
        <is>
          <t>spirit</t>
        </is>
      </c>
      <c r="E1005" s="8" t="inlineStr">
        <is>
          <t>water</t>
        </is>
      </c>
      <c r="F1005" s="8" t="n">
        <v>1</v>
      </c>
      <c r="G1005" s="8" t="inlineStr">
        <is>
          <t>基础/顶层</t>
        </is>
      </c>
      <c r="H1005" s="8" t="inlineStr"/>
      <c r="I1005" s="9" t="inlineStr"/>
      <c r="J1005" s="8" t="inlineStr"/>
      <c r="K1005" s="8" t="inlineStr"/>
      <c r="L1005" s="8" t="inlineStr"/>
      <c r="M1005" s="8" t="inlineStr">
        <is>
          <t>条件触发</t>
        </is>
      </c>
      <c r="N1005" s="8" t="inlineStr">
        <is>
          <t>triggered</t>
        </is>
      </c>
      <c r="O1005" s="9" t="inlineStr">
        <is>
          <t>每当获得寒冷时，恢复 6 点体力；每当获得寒冷时，恢复 10 点体力；每当获得寒冷时，恢复 14 点体力；每当获得寒冷时，恢复 16 点体力</t>
        </is>
      </c>
      <c r="P1005" s="9" t="inlineStr">
        <is>
          <t>onBuffGain</t>
        </is>
      </c>
      <c r="Q1005" s="9" t="inlineStr">
        <is>
          <t>modifyPlayerPrimaryStat；other</t>
        </is>
      </c>
      <c r="R1005" s="9" t="inlineStr">
        <is>
          <t>{"kind":"triggered","label":"每当获得寒冷时，恢复 6 点体力","triggeredEffect":{"trigger":"onBuffGain","type":"modifyPlayerPrimaryStat","stat":"stamina","delta":6,"eventBuffId":"cold","eventSource":{"target":{"type":"other"}}},"starOverrides":{"1":{"label":"每当获得寒冷时，恢复 10 点体力","triggeredEffect":{"trigger":"onBuffGain","type":"modifyPlayerPrimaryStat","stat":"stamina","delta":10,"eventBuffId":"cold","eventSource":{"target":{"type":"other"}}}},"2":{"label":"每当获得寒冷时，恢复 14 点体力","triggeredEffect":{"trigger":"onBuffGain","type":"modifyPlayerPrimaryStat","stat":"stamina","delta":14,"eventBuffId":"cold","eventSource":{"target":{"type":"other"}}}},"3":{"label":"每当获得寒冷时，恢复 16 点体力","triggeredEffect":{"trigger":"onBuffGain","type":"modifyPlayerPrimaryStat","stat":"stamina","delta":16,"eventBuffId":"cold","eventSource":{"target":{"type":"other"}}}}}}</t>
        </is>
      </c>
    </row>
    <row r="1006" ht="32" customHeight="1">
      <c r="A1006" s="8" t="n">
        <v>412650</v>
      </c>
      <c r="B1006" s="8" t="inlineStr">
        <is>
          <t>寒皮引流匣</t>
        </is>
      </c>
      <c r="C1006" s="8" t="inlineStr">
        <is>
          <t>法器</t>
        </is>
      </c>
      <c r="D1006" s="8" t="inlineStr">
        <is>
          <t>spirit</t>
        </is>
      </c>
      <c r="E1006" s="8" t="inlineStr">
        <is>
          <t>water</t>
        </is>
      </c>
      <c r="F1006" s="8" t="n">
        <v>1</v>
      </c>
      <c r="G1006" s="8" t="inlineStr">
        <is>
          <t>基础/顶层</t>
        </is>
      </c>
      <c r="H1006" s="8" t="inlineStr"/>
      <c r="I1006" s="9" t="inlineStr"/>
      <c r="J1006" s="8" t="inlineStr"/>
      <c r="K1006" s="8" t="inlineStr"/>
      <c r="L1006" s="8" t="inlineStr"/>
      <c r="M1006" s="8" t="inlineStr">
        <is>
          <t>条件触发</t>
        </is>
      </c>
      <c r="N1006" s="8" t="inlineStr">
        <is>
          <t>triggered</t>
        </is>
      </c>
      <c r="O1006" s="9" t="inlineStr">
        <is>
          <t>相邻丹药耗尽时，恢复 16 点体力；相邻丹药耗尽时，恢复 24 点体力；相邻丹药耗尽时，恢复 30 点体力；相邻丹药耗尽时，恢复 36 点体力</t>
        </is>
      </c>
      <c r="P1006" s="9" t="inlineStr">
        <is>
          <t>onConsumableExhausted</t>
        </is>
      </c>
      <c r="Q1006" s="9" t="inlineStr">
        <is>
          <t>modifyPlayerPrimaryStat；adjacent</t>
        </is>
      </c>
      <c r="R1006" s="9" t="inlineStr">
        <is>
          <t>{"kind":"triggered","label":"相邻丹药耗尽时，恢复 16 点体力","triggeredEffect":{"trigger":"onConsumableExhausted","type":"modifyPlayerPrimaryStat","stat":"stamina","delta":16,"eventSource":{"target":{"type":"adjacent"},"filter":{"categories":["pill"]}}},"starOverrides":{"1":{"label":"相邻丹药耗尽时，恢复 24 点体力","triggeredEffect":{"trigger":"onConsumableExhausted","type":"modifyPlayerPrimaryStat","stat":"stamina","delta":24,"eventSource":{"target":{"type":"adjacent"},"filter":{"categories":["pill"]}}}},"2":{"label":"相邻丹药耗尽时，恢复 30 点体力","triggeredEffect":{"trigger":"onConsumableExhausted","type":"modifyPlayerPrimaryStat","stat":"stamina","delta":30,"eventSource":{"target":{"type":"adjacent"},"filter":{"categories":["pill"]}}}},"3":{"label":"相邻丹药耗尽时，恢复 36 点体力","triggeredEffect":{"trigger":"onConsumableExhausted","type":"modifyPlayerPrimaryStat","stat":"stamina","delta":36,"eventSource":{"target":{"type":"adjacent"},"filter":{"categories":["pill"]}}}}}}</t>
        </is>
      </c>
    </row>
    <row r="1007" ht="32" customHeight="1">
      <c r="A1007" s="8" t="n">
        <v>412651</v>
      </c>
      <c r="B1007" s="8" t="inlineStr">
        <is>
          <t>寒脊枢匣</t>
        </is>
      </c>
      <c r="C1007" s="8" t="inlineStr">
        <is>
          <t>法器</t>
        </is>
      </c>
      <c r="D1007" s="8" t="inlineStr">
        <is>
          <t>spirit</t>
        </is>
      </c>
      <c r="E1007" s="8" t="inlineStr">
        <is>
          <t>water</t>
        </is>
      </c>
      <c r="F1007" s="8" t="n">
        <v>1</v>
      </c>
      <c r="G1007" s="8" t="inlineStr">
        <is>
          <t>基础/顶层</t>
        </is>
      </c>
      <c r="H1007" s="8" t="inlineStr"/>
      <c r="I1007" s="9" t="inlineStr"/>
      <c r="J1007" s="8" t="inlineStr"/>
      <c r="K1007" s="8" t="inlineStr"/>
      <c r="L1007" s="8" t="inlineStr"/>
      <c r="M1007" s="8" t="inlineStr">
        <is>
          <t>周期触发</t>
        </is>
      </c>
      <c r="N1007" s="8" t="inlineStr">
        <is>
          <t>periodicPulse</t>
        </is>
      </c>
      <c r="O1007" s="9" t="inlineStr">
        <is>
          <t>开局：每有 1 件装备，获得 100 层护甲，最多计算 4 件；开局：每有 1 件装备，获得 140 层护甲，最多计算 4 件；开局：每有 1 件装备，获得 160 层护甲，最多计算 4 件；开局：每有 1 件装备，获得 200 层护甲，最多计算 4 件</t>
        </is>
      </c>
      <c r="P1007" s="9" t="inlineStr">
        <is>
          <t>onPeriodicPulse</t>
        </is>
      </c>
      <c r="Q1007" s="9" t="inlineStr">
        <is>
          <t>applyBuff</t>
        </is>
      </c>
      <c r="R1007" s="9" t="inlineStr">
        <is>
          <t>{"kind":"periodicPulse","label":"开局：每有 1 件装备，获得 100 层护甲，最多计算 4 件","periodicPulse":{"startOnly":true,"label":"开局：每有 1 件装备，获得 100 层护甲，最多计算 4 件"},"executors":[{"trigger":"onPeriodicPulse","type":"applyBuff","buffId":"armor","count":100,"scaling":{"mode":"count","source":"bagItems","features":["equipment"],"maxCount":4},"label":"开局：每有 1 件装备，获得 100 层护甲，最多计算 4 件"}],"starOverrides":{"1":{"label":"开局：每有 1 件装备，获得 140 层护甲，最多计算 4 件","periodicPulse":{"startOnly":true,"label":"开局：每有 1 件装备，获得 140 层护甲，最多计算 4 件"},"executors":[{"trigger":"onPeriodicPulse","type":"applyBuff","buffId":"armor","count":140,"scaling":{"mode":"count","source":"bagItems","features":["equipment"],"maxCount":4},"label":"开局：每有 1 件装备，获得 140 层护甲，最多计算 4 件"}]},"2":{"label":"开局：每有 1 件装备，获得 160 层护甲，最多计算 4 件","periodicPulse":{"startOnly":true,"label":"开局：每有 1 件装备，获得 160 层护甲，最多计算 4 件"},"executors":[{"trigger":"onPeriodicPulse","type":"applyBuff","buffId":"armor","count":160,"scaling":{"mode":"count","source":"bagItems","features":["equipment"],"maxCount":4},"label":"开局：每有 1 件装备，获得 160 层护甲，最多计算 4 件"}]},"3":{"label":"开局：每有 1 件装备，获得 200 层护甲，最多计算 4 件","periodicPulse":{"startOnly":true,"label":"开局：每有 1 件装备，获得 200 层护甲，最多计算 4 件"},"executors":[{"trigger":"onPeriodicPulse","type":"applyBuff","buffId":"armor","count":200,"scaling":{"mode":"count","source":"bagItems","features":["equipment"],"maxCount":4},"label":"开局：每有 1 件装备，获得 200 层护甲，最多计算 4 件"}]}}}</t>
        </is>
      </c>
    </row>
    <row r="1008" ht="32" customHeight="1">
      <c r="A1008" s="8" t="n">
        <v>412652</v>
      </c>
      <c r="B1008" s="8" t="inlineStr">
        <is>
          <t>双极髓晶牌</t>
        </is>
      </c>
      <c r="C1008" s="8" t="inlineStr">
        <is>
          <t>法器</t>
        </is>
      </c>
      <c r="D1008" s="8" t="inlineStr">
        <is>
          <t>spirit</t>
        </is>
      </c>
      <c r="E1008" s="8" t="inlineStr">
        <is>
          <t>water</t>
        </is>
      </c>
      <c r="F1008" s="8" t="n">
        <v>1</v>
      </c>
      <c r="G1008" s="8" t="inlineStr">
        <is>
          <t>基础/顶层</t>
        </is>
      </c>
      <c r="H1008" s="8" t="inlineStr"/>
      <c r="I1008" s="9" t="inlineStr"/>
      <c r="J1008" s="8" t="inlineStr"/>
      <c r="K1008" s="8" t="inlineStr"/>
      <c r="L1008" s="8" t="inlineStr"/>
      <c r="M1008" s="8" t="inlineStr">
        <is>
          <t>周期触发</t>
        </is>
      </c>
      <c r="N1008" s="8" t="inlineStr">
        <is>
          <t>periodicPulse</t>
        </is>
      </c>
      <c r="O1008" s="9" t="inlineStr">
        <is>
          <t>开局：每有 1 件水属性道具，获得 100 层寒冷，最多计算 4 件；开局：每有 1 件水属性道具，获得 140 层寒冷，最多计算 4 件；开局：每有 1 件水属性道具，获得 160 层寒冷，最多计算 4 件；开局：每有 1 件水属性道具，获得 200 层寒冷，最多计算 4 件</t>
        </is>
      </c>
      <c r="P1008" s="9" t="inlineStr">
        <is>
          <t>onPeriodicPulse</t>
        </is>
      </c>
      <c r="Q1008" s="9" t="inlineStr">
        <is>
          <t>applyBuff</t>
        </is>
      </c>
      <c r="R1008" s="9" t="inlineStr">
        <is>
          <t>{"kind":"periodicPulse","label":"开局：每有 1 件水属性道具，获得 100 层寒冷，最多计算 4 件","periodicPulse":{"startOnly":true,"label":"开局：每有 1 件水属性道具，获得 100 层寒冷，最多计算 4 件"},"executors":[{"trigger":"onPeriodicPulse","type":"applyBuff","buffId":"cold","count":100,"scaling":{"mode":"count","source":"bagItems","elements":["water"],"maxCount":4},"label":"开局：每有 1 件水属性道具，获得 100 层寒冷，最多计算 4 件"}],"starOverrides":{"1":{"label":"开局：每有 1 件水属性道具，获得 140 层寒冷，最多计算 4 件","periodicPulse":{"startOnly":true,"label":"开局：每有 1 件水属性道具，获得 140 层寒冷，最多计算 4 件"},"executors":[{"trigger":"onPeriodicPulse","type":"applyBuff","buffId":"cold","count":140,"scaling":{"mode":"count","source":"bagItems","elements":["water"],"maxCount":4},"label":"开局：每有 1 件水属性道具，获得 140 层寒冷，最多计算 4 件"}]},"2":{"label":"开局：每有 1 件水属性道具，获得 160 层寒冷，最多计算 4 件","periodicPulse":{"startOnly":true,"label":"开局：每有 1 件水属性道具，获得 160 层寒冷，最多计算 4 件"},"executors":[{"trigger":"onPeriodicPulse","type":"applyBuff","buffId":"cold","count":160,"scaling":{"mode":"count","source":"bagItems","elements":["water"],"maxCount":4},"label":"开局：每有 1 件水属性道具，获得 160 层寒冷，最多计算 4 件"}]},"3":{"label":"开局：每有 1 件水属性道具，获得 200 层寒冷，最多计算 4 件","periodicPulse":{"startOnly":true,"label":"开局：每有 1 件水属性道具，获得 200 层寒冷，最多计算 4 件"},"executors":[{"trigger":"onPeriodicPulse","type":"applyBuff","buffId":"cold","count":200,"scaling":{"mode":"count","source":"bagItems","elements":["water"],"maxCount":4},"label":"开局：每有 1 件水属性道具，获得 200 层寒冷，最多计算 4 件"}]}}}</t>
        </is>
      </c>
    </row>
    <row r="1009" ht="32" customHeight="1">
      <c r="A1009" s="8" t="n">
        <v>412653</v>
      </c>
      <c r="B1009" s="8" t="inlineStr">
        <is>
          <t>寒心络牌</t>
        </is>
      </c>
      <c r="C1009" s="8" t="inlineStr">
        <is>
          <t>法器</t>
        </is>
      </c>
      <c r="D1009" s="8" t="inlineStr">
        <is>
          <t>spirit</t>
        </is>
      </c>
      <c r="E1009" s="8" t="inlineStr">
        <is>
          <t>water</t>
        </is>
      </c>
      <c r="F1009" s="8" t="n">
        <v>1</v>
      </c>
      <c r="G1009" s="8" t="inlineStr">
        <is>
          <t>基础/顶层</t>
        </is>
      </c>
      <c r="H1009" s="8" t="inlineStr"/>
      <c r="I1009" s="9" t="inlineStr"/>
      <c r="J1009" s="8" t="inlineStr"/>
      <c r="K1009" s="8" t="inlineStr"/>
      <c r="L1009" s="8" t="inlineStr"/>
      <c r="M1009" s="8" t="inlineStr">
        <is>
          <t>被动效果</t>
        </is>
      </c>
      <c r="N1009" s="8" t="inlineStr">
        <is>
          <t>passive</t>
        </is>
      </c>
      <c r="O1009" s="9" t="inlineStr">
        <is>
          <t>露水层数上限 +6；露水层数上限 +9；露水层数上限 +12；露水层数上限 +15</t>
        </is>
      </c>
      <c r="P1009" s="9" t="inlineStr"/>
      <c r="Q1009" s="9" t="inlineStr">
        <is>
          <t>buffStackCapBonus</t>
        </is>
      </c>
      <c r="R1009" s="9" t="inlineStr">
        <is>
          <t>{"kind":"passive","label":"露水层数上限 +6","passiveEffect":{"type":"buffStackCapBonus","buffId":"dew","value":6,"label":"露水层数上限 +6"},"starOverrides":{"1":{"label":"露水层数上限 +9","passiveEffect":{"type":"buffStackCapBonus","buffId":"dew","value":9,"label":"露水层数上限 +9"}},"2":{"label":"露水层数上限 +12","passiveEffect":{"type":"buffStackCapBonus","buffId":"dew","value":12,"label":"露水层数上限 +12"}},"3":{"label":"露水层数上限 +15","passiveEffect":{"type":"buffStackCapBonus","buffId":"dew","value":15,"label":"露水层数上限 +15"}}}}</t>
        </is>
      </c>
    </row>
    <row r="1010" ht="32" customHeight="1">
      <c r="A1010" s="8" t="n">
        <v>412700</v>
      </c>
      <c r="B1010" s="8" t="inlineStr">
        <is>
          <t>玄脉镇甲</t>
        </is>
      </c>
      <c r="C1010" s="8" t="inlineStr">
        <is>
          <t>法器</t>
        </is>
      </c>
      <c r="D1010" s="8" t="inlineStr">
        <is>
          <t>common</t>
        </is>
      </c>
      <c r="E1010" s="8" t="inlineStr">
        <is>
          <t>poison</t>
        </is>
      </c>
      <c r="F1010" s="8" t="n">
        <v>1</v>
      </c>
      <c r="G1010" s="8" t="inlineStr">
        <is>
          <t>基础/顶层</t>
        </is>
      </c>
      <c r="H1010" s="8" t="inlineStr"/>
      <c r="I1010" s="9" t="inlineStr"/>
      <c r="J1010" s="8" t="inlineStr"/>
      <c r="K1010" s="8" t="inlineStr"/>
      <c r="L1010" s="8" t="inlineStr"/>
      <c r="M1010" s="8" t="inlineStr">
        <is>
          <t>周期触发</t>
        </is>
      </c>
      <c r="N1010" s="8" t="inlineStr">
        <is>
          <t>periodicPulse</t>
        </is>
      </c>
      <c r="O1010" s="9" t="inlineStr">
        <is>
          <t>每有5层护甲，对敌方施加1层中毒；每有5层护甲，对敌方施加2层中毒；每有5层护甲，对敌方施加3层中毒；每有5层护甲，对敌方施加4层中毒</t>
        </is>
      </c>
      <c r="P1010" s="9" t="inlineStr">
        <is>
          <t>onPeriodicPulse</t>
        </is>
      </c>
      <c r="Q1010" s="9" t="inlineStr">
        <is>
          <t>applyBuff</t>
        </is>
      </c>
      <c r="R1010" s="9" t="inlineStr">
        <is>
          <t>{"kind":"periodicPulse","periodicPulse":{"intervalSec":20,"label":"&lt;battle&gt;每有5层护甲，对敌方施加1层中毒&lt;/battle&gt;"},"executors":[{"trigger":"onPeriodicPulse","type":"applyBuff","buffId":"poison","count":1,"targetActor":"enemy","polarity":"detrimental","scaling":{"mode":"count","source":"buffStacks","buffId":"armor","countDivisor":5,"targetActor":"self"},"support":"battleOnly","label":"&lt;battle&gt;每有5层护甲，对敌方施加1层中毒&lt;/battle&gt;"}],"label":"&lt;battle&gt;每有5层护甲，对敌方施加1层中毒&lt;/battle&gt;","starOverrides":{"1":{"label":"&lt;battle&gt;每有5层护甲，对敌方施加2层中毒&lt;/battle&gt;","executors":[{"count":2,"label":"&lt;battle&gt;每有5层护甲，对敌方施加2层中毒&lt;/battle&gt;"}]},"2":{"label":"&lt;battle&gt;每有5层护甲，对敌方施加3层中毒&lt;/battle&gt;","executors":[{"count":3,"label":"&lt;battle&gt;每有5层护甲，对敌方施加3层中毒&lt;/battle&gt;"}]},"3":{"label":"&lt;battle&gt;每有5层护甲，对敌方施加4层中毒&lt;/battle&gt;","executors":[{"count":4,"label":"&lt;battle&gt;每有5层护甲，对敌方施加4层中毒&lt;/battle&gt;"}]}}}</t>
        </is>
      </c>
    </row>
    <row r="1011" ht="32" customHeight="1">
      <c r="A1011" s="8" t="n">
        <v>412700</v>
      </c>
      <c r="B1011" s="8" t="inlineStr">
        <is>
          <t>玄脉镇甲</t>
        </is>
      </c>
      <c r="C1011" s="8" t="inlineStr">
        <is>
          <t>法器</t>
        </is>
      </c>
      <c r="D1011" s="8" t="inlineStr">
        <is>
          <t>common</t>
        </is>
      </c>
      <c r="E1011" s="8" t="inlineStr">
        <is>
          <t>poison</t>
        </is>
      </c>
      <c r="F1011" s="8" t="n">
        <v>2</v>
      </c>
      <c r="G1011" s="8" t="inlineStr">
        <is>
          <t>基础/顶层</t>
        </is>
      </c>
      <c r="H1011" s="8" t="inlineStr"/>
      <c r="I1011" s="9" t="inlineStr"/>
      <c r="J1011" s="8" t="inlineStr"/>
      <c r="K1011" s="8" t="inlineStr"/>
      <c r="L1011" s="8" t="inlineStr"/>
      <c r="M1011" s="8" t="inlineStr">
        <is>
          <t>周期触发</t>
        </is>
      </c>
      <c r="N1011" s="8" t="inlineStr">
        <is>
          <t>periodicPulse</t>
        </is>
      </c>
      <c r="O1011" s="9" t="inlineStr">
        <is>
          <t>每有5层坚硬，对敌方施加1层中毒；每有5层坚硬，对敌方施加2层中毒；每有5层坚硬，对敌方施加3层中毒；每有5层坚硬，对敌方施加4层中毒</t>
        </is>
      </c>
      <c r="P1011" s="9" t="inlineStr">
        <is>
          <t>onPeriodicPulse</t>
        </is>
      </c>
      <c r="Q1011" s="9" t="inlineStr">
        <is>
          <t>applyBuff</t>
        </is>
      </c>
      <c r="R1011" s="9" t="inlineStr">
        <is>
          <t>{"kind":"periodicPulse","periodicPulse":{"intervalSec":20,"label":"&lt;battle&gt;每有5层坚硬，对敌方施加1层中毒&lt;/battle&gt;"},"executors":[{"trigger":"onPeriodicPulse","type":"applyBuff","buffId":"poison","count":1,"targetActor":"enemy","polarity":"detrimental","scaling":{"mode":"count","source":"buffStacks","buffId":"sturdy","countDivisor":5,"targetActor":"self"},"support":"battleOnly","label":"&lt;battle&gt;每有5层坚硬，对敌方施加1层中毒&lt;/battle&gt;"}],"label":"&lt;battle&gt;每有5层坚硬，对敌方施加1层中毒&lt;/battle&gt;","starOverrides":{"1":{"label":"&lt;battle&gt;每有5层坚硬，对敌方施加2层中毒&lt;/battle&gt;","executors":[{"count":2,"label":"&lt;battle&gt;每有5层坚硬，对敌方施加2层中毒&lt;/battle&gt;"}]},"2":{"label":"&lt;battle&gt;每有5层坚硬，对敌方施加3层中毒&lt;/battle&gt;","executors":[{"count":3,"label":"&lt;battle&gt;每有5层坚硬，对敌方施加3层中毒&lt;/battle&gt;"}]},"3":{"label":"&lt;battle&gt;每有5层坚硬，对敌方施加4层中毒&lt;/battle&gt;","executors":[{"count":4,"label":"&lt;battle&gt;每有5层坚硬，对敌方施加4层中毒&lt;/battle&gt;"}]}}}</t>
        </is>
      </c>
    </row>
    <row r="1012" ht="32" customHeight="1">
      <c r="A1012" s="8" t="n">
        <v>412701</v>
      </c>
      <c r="B1012" s="8" t="inlineStr">
        <is>
          <t>穿脉爪钩</t>
        </is>
      </c>
      <c r="C1012" s="8" t="inlineStr">
        <is>
          <t>法器</t>
        </is>
      </c>
      <c r="D1012" s="8" t="inlineStr">
        <is>
          <t>common</t>
        </is>
      </c>
      <c r="E1012" s="8" t="inlineStr">
        <is>
          <t>earth</t>
        </is>
      </c>
      <c r="F1012" s="8" t="n">
        <v>1</v>
      </c>
      <c r="G1012" s="8" t="inlineStr">
        <is>
          <t>基础/顶层</t>
        </is>
      </c>
      <c r="H1012" s="8" t="inlineStr"/>
      <c r="I1012" s="9" t="inlineStr"/>
      <c r="J1012" s="8" t="inlineStr"/>
      <c r="K1012" s="8" t="inlineStr"/>
      <c r="L1012" s="8" t="inlineStr"/>
      <c r="M1012" s="8" t="inlineStr">
        <is>
          <t>条件触发</t>
        </is>
      </c>
      <c r="N1012" s="8" t="inlineStr">
        <is>
          <t>triggered</t>
        </is>
      </c>
      <c r="O1012" s="9" t="inlineStr">
        <is>
          <t>使用相邻投掷物时，获得 8 层护甲；使用相邻投掷物时，获得 12 层护甲；使用相邻投掷物时，获得 15 层护甲；使用相邻投掷物时，获得 18 层护甲</t>
        </is>
      </c>
      <c r="P1012" s="9" t="inlineStr">
        <is>
          <t>onItemUse</t>
        </is>
      </c>
      <c r="Q1012" s="9" t="inlineStr">
        <is>
          <t>applyBuff；adjacent</t>
        </is>
      </c>
      <c r="R1012" s="9" t="inlineStr">
        <is>
          <t>{"kind":"triggered","label":"使用相邻投掷物时，获得 8 层护甲","triggeredEffect":{"trigger":"onItemUse","type":"applyBuff","buffId":"armor","count":8,"eventSource":{"target":{"type":"adjacent"},"filter":{"categories":["throwable"]}}},"starOverrides":{"1":{"label":"使用相邻投掷物时，获得 12 层护甲","triggeredEffect":{"trigger":"onItemUse","type":"applyBuff","buffId":"armor","count":12,"eventSource":{"target":{"type":"adjacent"},"filter":{"categories":["throwable"]}}}},"2":{"label":"使用相邻投掷物时，获得 15 层护甲","triggeredEffect":{"trigger":"onItemUse","type":"applyBuff","buffId":"armor","count":15,"eventSource":{"target":{"type":"adjacent"},"filter":{"categories":["throwable"]}}}},"3":{"label":"使用相邻投掷物时，获得 18 层护甲","triggeredEffect":{"trigger":"onItemUse","type":"applyBuff","buffId":"armor","count":18,"eventSource":{"target":{"type":"adjacent"},"filter":{"categories":["throwable"]}}}}}}</t>
        </is>
      </c>
    </row>
    <row r="1013" ht="32" customHeight="1">
      <c r="A1013" s="8" t="n">
        <v>412702</v>
      </c>
      <c r="B1013" s="8" t="inlineStr">
        <is>
          <t>地髓骨锤</t>
        </is>
      </c>
      <c r="C1013" s="8" t="inlineStr">
        <is>
          <t>法器</t>
        </is>
      </c>
      <c r="D1013" s="8" t="inlineStr">
        <is>
          <t>common</t>
        </is>
      </c>
      <c r="E1013" s="8" t="inlineStr">
        <is>
          <t>earth</t>
        </is>
      </c>
      <c r="F1013" s="8" t="n">
        <v>1</v>
      </c>
      <c r="G1013" s="8" t="inlineStr">
        <is>
          <t>基础/顶层</t>
        </is>
      </c>
      <c r="H1013" s="8" t="inlineStr"/>
      <c r="I1013" s="9" t="inlineStr"/>
      <c r="J1013" s="8" t="inlineStr"/>
      <c r="K1013" s="8" t="inlineStr"/>
      <c r="L1013" s="8" t="inlineStr"/>
      <c r="M1013" s="8" t="inlineStr">
        <is>
          <t>周期触发</t>
        </is>
      </c>
      <c r="N1013" s="8" t="inlineStr">
        <is>
          <t>periodicPulse</t>
        </is>
      </c>
      <c r="O1013" s="9" t="inlineStr">
        <is>
          <t>最多将 4 层蓄势转化为护甲，每层获得 5 层护甲；最多将 5 层蓄势转化为护甲，每层获得 5 层护甲；最多将 6 层蓄势转化为护甲，每层获得 5 层护甲；最多将 7 层蓄势转化为护甲，每层获得 5 层护甲</t>
        </is>
      </c>
      <c r="P1013" s="9" t="inlineStr">
        <is>
          <t>onPeriodicPulse</t>
        </is>
      </c>
      <c r="Q1013" s="9" t="inlineStr">
        <is>
          <t>convertBuffStacks</t>
        </is>
      </c>
      <c r="R1013" s="9" t="inlineStr">
        <is>
          <t>{"kind":"periodicPulse","label":"最多将 4 层蓄势转化为护甲，每层获得 5 层护甲","periodicPulse":{"intervalSec":12,"label":"最多将 4 层蓄势转化为护甲，每层获得 5 层护甲"},"executors":[{"trigger":"onPeriodicPulse","type":"convertBuffStacks","sourceBuffId":"heavy","targetBuffId":"armor","maxStacks":4,"consumeRatio":5,"label":"最多将 4 层蓄势转化为护甲，每层获得 5 层护甲"}],"starOverrides":{"1":{"label":"最多将 5 层蓄势转化为护甲，每层获得 5 层护甲","periodicPulse":{"intervalSec":12,"label":"最多将 5 层蓄势转化为护甲，每层获得 5 层护甲"},"executors":[{"trigger":"onPeriodicPulse","type":"convertBuffStacks","sourceBuffId":"heavy","targetBuffId":"armor","maxStacks":5,"consumeRatio":5,"label":"最多将 5 层蓄势转化为护甲，每层获得 5 层护甲"}]},"2":{"label":"最多将 6 层蓄势转化为护甲，每层获得 5 层护甲","periodicPulse":{"intervalSec":12,"label":"最多将 6 层蓄势转化为护甲，每层获得 5 层护甲"},"executors":[{"trigger":"onPeriodicPulse","type":"convertBuffStacks","sourceBuffId":"heavy","targetBuffId":"armor","maxStacks":6,"consumeRatio":5,"label":"最多将 6 层蓄势转化为护甲，每层获得 5 层护甲"}]},"3":{"label":"最多将 7 层蓄势转化为护甲，每层获得 5 层护甲","periodicPulse":{"intervalSec":12,"label":"最多将 7 层蓄势转化为护甲，每层获得 5 层护甲"},"executors":[{"trigger":"onPeriodicPulse","type":"convertBuffStacks","sourceBuffId":"heavy","targetBuffId":"armor","maxStacks":7,"consumeRatio":5,"label":"最多将 7 层蓄势转化为护甲，每层获得 5 层护甲"}]}}}</t>
        </is>
      </c>
    </row>
    <row r="1014" ht="32" customHeight="1">
      <c r="A1014" s="8" t="n">
        <v>412703</v>
      </c>
      <c r="B1014" s="8" t="inlineStr">
        <is>
          <t>伏地鳞腰带</t>
        </is>
      </c>
      <c r="C1014" s="8" t="inlineStr">
        <is>
          <t>法器</t>
        </is>
      </c>
      <c r="D1014" s="8" t="inlineStr">
        <is>
          <t>common</t>
        </is>
      </c>
      <c r="E1014" s="8" t="inlineStr">
        <is>
          <t>poison</t>
        </is>
      </c>
      <c r="F1014" s="8" t="n">
        <v>1</v>
      </c>
      <c r="G1014" s="8" t="inlineStr">
        <is>
          <t>基础/顶层</t>
        </is>
      </c>
      <c r="H1014" s="8" t="inlineStr"/>
      <c r="I1014" s="9" t="inlineStr"/>
      <c r="J1014" s="8" t="inlineStr"/>
      <c r="K1014" s="8" t="inlineStr"/>
      <c r="L1014" s="8" t="inlineStr"/>
      <c r="M1014" s="8" t="inlineStr">
        <is>
          <t>条件触发</t>
        </is>
      </c>
      <c r="N1014" s="8" t="inlineStr">
        <is>
          <t>triggered</t>
        </is>
      </c>
      <c r="O1014" s="9" t="inlineStr">
        <is>
          <t>未贴住储物袋边缘时，我方每层蓄势消耗时，对敌方施加1层中毒</t>
        </is>
      </c>
      <c r="P1014" s="9" t="inlineStr">
        <is>
          <t>onBuffConsumed</t>
        </is>
      </c>
      <c r="Q1014" s="9" t="inlineStr">
        <is>
          <t>applyBuff</t>
        </is>
      </c>
      <c r="R1014" s="9" t="inlineStr">
        <is>
          <t>{"kind":"triggered","triggeredEffect":{"trigger":"onBuffConsumed","eventActor":"self","eventBuffId":"heavy","type":"applyBuff","buffId":"poison","count":1,"targetActor":"enemy","polarity":"detrimental","singletonByTemplate":true,"activationRequirements":{"forbiddenEdges":["top","bottom","left","right"]},"support":"battleOnly"},"label":"未贴住储物袋边缘时，&lt;battle&gt;&lt;singleton&gt;我方每层蓄势消耗时，对敌方施加1层中毒&lt;/singleton&gt;&lt;/battle&gt;"}</t>
        </is>
      </c>
    </row>
    <row r="1015" ht="32" customHeight="1">
      <c r="A1015" s="8" t="n">
        <v>412704</v>
      </c>
      <c r="B1015" s="8" t="inlineStr">
        <is>
          <t>玄甲护心镜</t>
        </is>
      </c>
      <c r="C1015" s="8" t="inlineStr">
        <is>
          <t>法器</t>
        </is>
      </c>
      <c r="D1015" s="8" t="inlineStr">
        <is>
          <t>common</t>
        </is>
      </c>
      <c r="E1015" s="8" t="inlineStr">
        <is>
          <t>metal</t>
        </is>
      </c>
      <c r="F1015" s="8" t="n">
        <v>1</v>
      </c>
      <c r="G1015" s="8" t="inlineStr">
        <is>
          <t>基础/顶层</t>
        </is>
      </c>
      <c r="H1015" s="8" t="inlineStr"/>
      <c r="I1015" s="9" t="inlineStr"/>
      <c r="J1015" s="8" t="inlineStr"/>
      <c r="K1015" s="8" t="inlineStr"/>
      <c r="L1015" s="8" t="inlineStr"/>
      <c r="M1015" s="8" t="inlineStr">
        <is>
          <t>被动效果</t>
        </is>
      </c>
      <c r="N1015" s="8" t="inlineStr">
        <is>
          <t>passive</t>
        </is>
      </c>
      <c r="O1015" s="9" t="inlineStr">
        <is>
          <t>位于储物袋角落时，凝金层数上限+2，蓄势层数上限+1；位于储物袋角落时，凝金层数上限+4，蓄势层数上限+2；位于储物袋角落时，凝金层数上限+6，蓄势层数上限+3；位于储物袋角落时，凝金层数上限+8，蓄势层数上限+4</t>
        </is>
      </c>
      <c r="P1015" s="9" t="inlineStr"/>
      <c r="Q1015" s="9" t="inlineStr">
        <is>
          <t>buffStackCapBonus</t>
        </is>
      </c>
      <c r="R1015" s="9" t="inlineStr">
        <is>
          <t>{"kind":"passive","passiveEffect":{"type":"buffStackCapBonus","buffId":"condensedMetal","value":2,"activationRequirements":{"requireCorner":true},"label":"位于储物袋角落时，凝金层数上限+2，蓄势层数上限+1"},"label":"位于储物袋角落时，凝金层数上限+2，蓄势层数上限+1","starOverrides":{"1":{"label":"位于储物袋角落时，凝金层数上限+4，蓄势层数上限+2","passiveEffect":{"type":"buffStackCapBonus","buffId":"condensedMetal","value":4,"activationRequirements":{"requireCorner":true},"label":"位于储物袋角落时，凝金层数上限+4，蓄势层数上限+2"}},"2":{"label":"位于储物袋角落时，凝金层数上限+6，蓄势层数上限+3","passiveEffect":{"type":"buffStackCapBonus","buffId":"condensedMetal","value":6,"activationRequirements":{"requireCorner":true},"label":"位于储物袋角落时，凝金层数上限+6，蓄势层数上限+3"}},"3":{"label":"位于储物袋角落时，凝金层数上限+8，蓄势层数上限+4","passiveEffect":{"type":"buffStackCapBonus","buffId":"condensedMetal","value":8,"activationRequirements":{"requireCorner":true},"label":"位于储物袋角落时，凝金层数上限+8，蓄势层数上限+4"}}}}</t>
        </is>
      </c>
    </row>
    <row r="1016" ht="32" customHeight="1">
      <c r="A1016" s="8" t="n">
        <v>412704</v>
      </c>
      <c r="B1016" s="8" t="inlineStr">
        <is>
          <t>玄甲护心镜</t>
        </is>
      </c>
      <c r="C1016" s="8" t="inlineStr">
        <is>
          <t>法器</t>
        </is>
      </c>
      <c r="D1016" s="8" t="inlineStr">
        <is>
          <t>common</t>
        </is>
      </c>
      <c r="E1016" s="8" t="inlineStr">
        <is>
          <t>metal</t>
        </is>
      </c>
      <c r="F1016" s="8" t="n">
        <v>2</v>
      </c>
      <c r="G1016" s="8" t="inlineStr">
        <is>
          <t>基础/顶层</t>
        </is>
      </c>
      <c r="H1016" s="8" t="inlineStr"/>
      <c r="I1016" s="9" t="inlineStr"/>
      <c r="J1016" s="8" t="inlineStr"/>
      <c r="K1016" s="8" t="inlineStr"/>
      <c r="L1016" s="8" t="inlineStr"/>
      <c r="M1016" s="8" t="inlineStr">
        <is>
          <t>被动效果</t>
        </is>
      </c>
      <c r="N1016" s="8" t="inlineStr">
        <is>
          <t>passive</t>
        </is>
      </c>
      <c r="O1016" s="9" t="inlineStr">
        <is>
          <t>位于储物袋角落时，凝金层数上限+2，蓄势层数上限+1；位于储物袋角落时，凝金层数上限+4，蓄势层数上限+2；位于储物袋角落时，凝金层数上限+6，蓄势层数上限+3；位于储物袋角落时，凝金层数上限+8，蓄势层数上限+4</t>
        </is>
      </c>
      <c r="P1016" s="9" t="inlineStr"/>
      <c r="Q1016" s="9" t="inlineStr">
        <is>
          <t>buffStackCapBonus</t>
        </is>
      </c>
      <c r="R1016" s="9" t="inlineStr">
        <is>
          <t>{"kind":"passive","passiveEffect":{"type":"buffStackCapBonus","buffId":"heavy","value":1,"activationRequirements":{"requireCorner":true},"label":"位于储物袋角落时，凝金层数上限+2，蓄势层数上限+1"},"label":"位于储物袋角落时，凝金层数上限+2，蓄势层数上限+1","starOverrides":{"1":{"label":"位于储物袋角落时，凝金层数上限+4，蓄势层数上限+2","passiveEffect":{"type":"buffStackCapBonus","buffId":"heavy","value":2,"activationRequirements":{"requireCorner":true},"label":"位于储物袋角落时，凝金层数上限+4，蓄势层数上限+2"}},"2":{"label":"位于储物袋角落时，凝金层数上限+6，蓄势层数上限+3","passiveEffect":{"type":"buffStackCapBonus","buffId":"heavy","value":3,"activationRequirements":{"requireCorner":true},"label":"位于储物袋角落时，凝金层数上限+6，蓄势层数上限+3"}},"3":{"label":"位于储物袋角落时，凝金层数上限+8，蓄势层数上限+4","passiveEffect":{"type":"buffStackCapBonus","buffId":"heavy","value":4,"activationRequirements":{"requireCorner":true},"label":"位于储物袋角落时，凝金层数上限+8，蓄势层数上限+4"}}}}</t>
        </is>
      </c>
    </row>
    <row r="1017" ht="32" customHeight="1">
      <c r="A1017" s="8" t="n">
        <v>412705</v>
      </c>
      <c r="B1017" s="8" t="inlineStr">
        <is>
          <t>地脉心镜</t>
        </is>
      </c>
      <c r="C1017" s="8" t="inlineStr">
        <is>
          <t>法器</t>
        </is>
      </c>
      <c r="D1017" s="8" t="inlineStr">
        <is>
          <t>common</t>
        </is>
      </c>
      <c r="E1017" s="8" t="inlineStr">
        <is>
          <t>earth</t>
        </is>
      </c>
      <c r="F1017" s="8" t="n">
        <v>1</v>
      </c>
      <c r="G1017" s="8" t="inlineStr">
        <is>
          <t>基础/顶层</t>
        </is>
      </c>
      <c r="H1017" s="8" t="inlineStr"/>
      <c r="I1017" s="9" t="inlineStr"/>
      <c r="J1017" s="8" t="inlineStr"/>
      <c r="K1017" s="8" t="inlineStr"/>
      <c r="L1017" s="8" t="inlineStr"/>
      <c r="M1017" s="8" t="inlineStr">
        <is>
          <t>周期触发</t>
        </is>
      </c>
      <c r="N1017" s="8" t="inlineStr">
        <is>
          <t>periodicPulse</t>
        </is>
      </c>
      <c r="O1017" s="9" t="inlineStr">
        <is>
          <t>开局：未接触储物袋边缘时，获得 4 层坚硬；开局：未接触储物袋边缘时，获得 6 层坚硬；开局：未接触储物袋边缘时，获得 8 层坚硬；开局：未接触储物袋边缘时，获得 10 层坚硬</t>
        </is>
      </c>
      <c r="P1017" s="9" t="inlineStr">
        <is>
          <t>onPeriodicPulse</t>
        </is>
      </c>
      <c r="Q1017" s="9" t="inlineStr">
        <is>
          <t>applyBuff</t>
        </is>
      </c>
      <c r="R1017" s="9" t="inlineStr">
        <is>
          <t>{"kind":"periodicPulse","label":"开局：未接触储物袋边缘时，获得 4 层坚硬","periodicPulse":{"startOnly":true,"label":"开局：未接触储物袋边缘时，获得 4 层坚硬"},"executors":[{"trigger":"onPeriodicPulse","type":"applyBuff","buffId":"sturdy","count":4,"label":"开局：未接触储物袋边缘时，获得 4 层坚硬"}],"activationRequirements":{"forbiddenEdges":["top","bottom","left","right"]},"starOverrides":{"1":{"label":"开局：未接触储物袋边缘时，获得 6 层坚硬","periodicPulse":{"startOnly":true,"label":"开局：未接触储物袋边缘时，获得 6 层坚硬"},"executors":[{"trigger":"onPeriodicPulse","type":"applyBuff","buffId":"sturdy","count":6,"label":"开局：未接触储物袋边缘时，获得 6 层坚硬"}]},"2":{"label":"开局：未接触储物袋边缘时，获得 8 层坚硬","periodicPulse":{"startOnly":true,"label":"开局：未接触储物袋边缘时，获得 8 层坚硬"},"executors":[{"trigger":"onPeriodicPulse","type":"applyBuff","buffId":"sturdy","count":8,"label":"开局：未接触储物袋边缘时，获得 8 层坚硬"}]},"3":{"label":"开局：未接触储物袋边缘时，获得 10 层坚硬","periodicPulse":{"startOnly":true,"label":"开局：未接触储物袋边缘时，获得 10 层坚硬"},"executors":[{"trigger":"onPeriodicPulse","type":"applyBuff","buffId":"sturdy","count":10,"label":"开局：未接触储物袋边缘时，获得 10 层坚硬"}]}}}</t>
        </is>
      </c>
    </row>
    <row r="1018" ht="32" customHeight="1">
      <c r="A1018" s="8" t="n">
        <v>412706</v>
      </c>
      <c r="B1018" s="8" t="inlineStr">
        <is>
          <t>玄土胆炉</t>
        </is>
      </c>
      <c r="C1018" s="8" t="inlineStr">
        <is>
          <t>法器</t>
        </is>
      </c>
      <c r="D1018" s="8" t="inlineStr">
        <is>
          <t>common</t>
        </is>
      </c>
      <c r="E1018" s="8" t="inlineStr">
        <is>
          <t>earth</t>
        </is>
      </c>
      <c r="F1018" s="8" t="n">
        <v>1</v>
      </c>
      <c r="G1018" s="8" t="inlineStr">
        <is>
          <t>基础/顶层</t>
        </is>
      </c>
      <c r="H1018" s="8" t="inlineStr"/>
      <c r="I1018" s="9" t="inlineStr"/>
      <c r="J1018" s="8" t="inlineStr"/>
      <c r="K1018" s="8" t="inlineStr"/>
      <c r="L1018" s="8" t="inlineStr"/>
      <c r="M1018" s="8" t="inlineStr">
        <is>
          <t>周期触发</t>
        </is>
      </c>
      <c r="N1018" s="8" t="inlineStr">
        <is>
          <t>periodicPulse</t>
        </is>
      </c>
      <c r="O1018" s="9" t="inlineStr">
        <is>
          <t>成功率 +40%，大成功率 +15%</t>
        </is>
      </c>
      <c r="P1018" s="9" t="inlineStr"/>
      <c r="Q1018" s="9" t="inlineStr"/>
      <c r="R1018" s="9" t="inlineStr">
        <is>
          <t>{"kind":"periodicPulse","label":"成功率 +40%，大成功率 +15%","periodicPulse":{"intervalSec":22,"label":"成功率 +40%，大成功率 +15%","alchemySuccessRate":{"successRate":0.4,"greatSuccessRate":0.15}}}</t>
        </is>
      </c>
    </row>
    <row r="1019" ht="32" customHeight="1">
      <c r="A1019" s="8" t="n">
        <v>412706</v>
      </c>
      <c r="B1019" s="8" t="inlineStr">
        <is>
          <t>玄土胆炉</t>
        </is>
      </c>
      <c r="C1019" s="8" t="inlineStr">
        <is>
          <t>法器</t>
        </is>
      </c>
      <c r="D1019" s="8" t="inlineStr">
        <is>
          <t>common</t>
        </is>
      </c>
      <c r="E1019" s="8" t="inlineStr">
        <is>
          <t>earth</t>
        </is>
      </c>
      <c r="F1019" s="8" t="n">
        <v>2</v>
      </c>
      <c r="G1019" s="8" t="inlineStr">
        <is>
          <t>基础/顶层</t>
        </is>
      </c>
      <c r="H1019" s="8" t="inlineStr"/>
      <c r="I1019" s="9" t="inlineStr"/>
      <c r="J1019" s="8" t="inlineStr"/>
      <c r="K1019" s="8" t="inlineStr"/>
      <c r="L1019" s="8" t="inlineStr"/>
      <c r="M1019" s="8" t="inlineStr">
        <is>
          <t>条件触发</t>
        </is>
      </c>
      <c r="N1019" s="8" t="inlineStr">
        <is>
          <t>triggered</t>
        </is>
      </c>
      <c r="O1019" s="9" t="inlineStr">
        <is>
          <t>相邻丹药耗尽时，获得 5 层护甲；相邻丹药耗尽时，获得 7 层护甲；相邻丹药耗尽时，获得 8 层护甲；相邻丹药耗尽时，获得 10 层护甲</t>
        </is>
      </c>
      <c r="P1019" s="9" t="inlineStr">
        <is>
          <t>onConsumableExhausted</t>
        </is>
      </c>
      <c r="Q1019" s="9" t="inlineStr">
        <is>
          <t>applyBuff；adjacent</t>
        </is>
      </c>
      <c r="R1019" s="9" t="inlineStr">
        <is>
          <t>{"kind":"triggered","label":"相邻丹药耗尽时，获得 5 层护甲","triggeredEffect":{"trigger":"onConsumableExhausted","type":"applyBuff","buffId":"armor","count":5,"eventSource":{"target":{"type":"adjacent"},"filter":{"categories":["pill"]}}},"starOverrides":{"1":{"label":"相邻丹药耗尽时，获得 7 层护甲","triggeredEffect":{"trigger":"onConsumableExhausted","type":"applyBuff","buffId":"armor","count":7,"eventSource":{"target":{"type":"adjacent"},"filter":{"categories":["pill"]}}}},"2":{"label":"相邻丹药耗尽时，获得 8 层护甲","triggeredEffect":{"trigger":"onConsumableExhausted","type":"applyBuff","buffId":"armor","count":8,"eventSource":{"target":{"type":"adjacent"},"filter":{"categories":["pill"]}}}},"3":{"label":"相邻丹药耗尽时，获得 10 层护甲","triggeredEffect":{"trigger":"onConsumableExhausted","type":"applyBuff","buffId":"armor","count":10,"eventSource":{"target":{"type":"adjacent"},"filter":{"categories":["pill"]}}}}}}</t>
        </is>
      </c>
    </row>
    <row r="1020" ht="32" customHeight="1">
      <c r="A1020" s="8" t="n">
        <v>412751</v>
      </c>
      <c r="B1020" s="8" t="inlineStr">
        <is>
          <t>伏脉骨梁匣</t>
        </is>
      </c>
      <c r="C1020" s="8" t="inlineStr">
        <is>
          <t>法器</t>
        </is>
      </c>
      <c r="D1020" s="8" t="inlineStr">
        <is>
          <t>common</t>
        </is>
      </c>
      <c r="E1020" s="8" t="inlineStr">
        <is>
          <t>earth</t>
        </is>
      </c>
      <c r="F1020" s="8" t="n">
        <v>1</v>
      </c>
      <c r="G1020" s="8" t="inlineStr">
        <is>
          <t>基础/顶层</t>
        </is>
      </c>
      <c r="H1020" s="8" t="inlineStr"/>
      <c r="I1020" s="9" t="inlineStr"/>
      <c r="J1020" s="8" t="inlineStr"/>
      <c r="K1020" s="8" t="inlineStr"/>
      <c r="L1020" s="8" t="inlineStr"/>
      <c r="M1020" s="8" t="inlineStr">
        <is>
          <t>周期触发</t>
        </is>
      </c>
      <c r="N1020" s="8" t="inlineStr">
        <is>
          <t>periodicPulse</t>
        </is>
      </c>
      <c r="O1020" s="9" t="inlineStr">
        <is>
          <t>开局：每有 1 件 1×2 型道具，获得 5 层护甲，最多计算 4 件；开局：每有 1 件 1×2 型道具，获得 7 层护甲，最多计算 4 件；开局：每有 1 件 1×2 型道具，获得 8 层护甲，最多计算 4 件；开局：每有 1 件 1×2 型道具，获得 10 层护甲，最多计算 4 件</t>
        </is>
      </c>
      <c r="P1020" s="9" t="inlineStr">
        <is>
          <t>onPeriodicPulse</t>
        </is>
      </c>
      <c r="Q1020" s="9" t="inlineStr">
        <is>
          <t>applyBuff</t>
        </is>
      </c>
      <c r="R1020" s="9" t="inlineStr">
        <is>
          <t>{"kind":"periodicPulse","label":"开局：每有 1 件 1×2 型道具，获得 5 层护甲，最多计算 4 件","periodicPulse":{"startOnly":true,"label":"开局：每有 1 件 1×2 型道具，获得 5 层护甲，最多计算 4 件"},"executors":[{"trigger":"onPeriodicPulse","type":"applyBuff","buffId":"armor","count":5,"scaling":{"mode":"count","source":"bagItems","shapeSizes":["1x2"],"maxCount":4},"label":"开局：每有 1 件 1×2 型道具，获得 5 层护甲，最多计算 4 件"}],"starOverrides":{"1":{"label":"开局：每有 1 件 1×2 型道具，获得 7 层护甲，最多计算 4 件","periodicPulse":{"startOnly":true,"label":"开局：每有 1 件 1×2 型道具，获得 7 层护甲，最多计算 4 件"},"executors":[{"trigger":"onPeriodicPulse","type":"applyBuff","buffId":"armor","count":7,"scaling":{"mode":"count","source":"bagItems","shapeSizes":["1x2"],"maxCount":4},"label":"开局：每有 1 件 1×2 型道具，获得 7 层护甲，最多计算 4 件"}]},"2":{"label":"开局：每有 1 件 1×2 型道具，获得 8 层护甲，最多计算 4 件","periodicPulse":{"startOnly":true,"label":"开局：每有 1 件 1×2 型道具，获得 8 层护甲，最多计算 4 件"},"executors":[{"trigger":"onPeriodicPulse","type":"applyBuff","buffId":"armor","count":8,"scaling":{"mode":"count","source":"bagItems","shapeSizes":["1x2"],"maxCount":4},"label":"开局：每有 1 件 1×2 型道具，获得 8 层护甲，最多计算 4 件"}]},"3":{"label":"开局：每有 1 件 1×2 型道具，获得 10 层护甲，最多计算 4 件","periodicPulse":{"startOnly":true,"label":"开局：每有 1 件 1×2 型道具，获得 10 层护甲，最多计算 4 件"},"executors":[{"trigger":"onPeriodicPulse","type":"applyBuff","buffId":"armor","count":10,"scaling":{"mode":"count","source":"bagItems","shapeSizes":["1x2"],"maxCount":4},"label":"开局：每有 1 件 1×2 型道具，获得 10 层护甲，最多计算 4 件"}]}}}</t>
        </is>
      </c>
    </row>
    <row r="1021" ht="32" customHeight="1">
      <c r="A1021" s="8" t="n">
        <v>412752</v>
      </c>
      <c r="B1021" s="8" t="inlineStr">
        <is>
          <t>破岩飞爪</t>
        </is>
      </c>
      <c r="C1021" s="8" t="inlineStr">
        <is>
          <t>法器</t>
        </is>
      </c>
      <c r="D1021" s="8" t="inlineStr">
        <is>
          <t>common</t>
        </is>
      </c>
      <c r="E1021" s="8" t="inlineStr">
        <is>
          <t>earth</t>
        </is>
      </c>
      <c r="F1021" s="8" t="n">
        <v>1</v>
      </c>
      <c r="G1021" s="8" t="inlineStr">
        <is>
          <t>基础/顶层</t>
        </is>
      </c>
      <c r="H1021" s="8" t="inlineStr"/>
      <c r="I1021" s="9" t="inlineStr"/>
      <c r="J1021" s="8" t="inlineStr"/>
      <c r="K1021" s="8" t="inlineStr"/>
      <c r="L1021" s="8" t="inlineStr"/>
      <c r="M1021" s="8" t="inlineStr">
        <is>
          <t>条件触发</t>
        </is>
      </c>
      <c r="N1021" s="8" t="inlineStr">
        <is>
          <t>triggered</t>
        </is>
      </c>
      <c r="O1021" s="9" t="inlineStr">
        <is>
          <t>使用相邻投掷物时，对敌方造成 17 点伤害；使用相邻投掷物时，对敌方造成 20 点伤害；使用相邻投掷物时，对敌方造成 24 点伤害；使用相邻投掷物时，对敌方造成 27 点伤害</t>
        </is>
      </c>
      <c r="P1021" s="9" t="inlineStr">
        <is>
          <t>onItemUse</t>
        </is>
      </c>
      <c r="Q1021" s="9" t="inlineStr">
        <is>
          <t>battleDamageHealth；adjacent</t>
        </is>
      </c>
      <c r="R1021" s="9" t="inlineStr">
        <is>
          <t>{"kind":"triggered","label":"使用相邻投掷物时，&lt;battle&gt;对敌方造成 17 点伤害&lt;/battle&gt;","triggeredEffect":{"trigger":"onItemUse","type":"battleDamageHealth","amount":17,"support":"battleOnly","eventSource":{"target":{"type":"adjacent"},"filter":{"categories":["throwable"]}}},"starOverrides":{"1":{"label":"使用相邻投掷物时，&lt;battle&gt;对敌方造成 20 点伤害&lt;/battle&gt;","triggeredEffect":{"trigger":"onItemUse","type":"battleDamageHealth","amount":20,"support":"battleOnly","eventSource":{"target":{"type":"adjacent"},"filter":{"categories":["throwable"]}}}},"2":{"label":"使用相邻投掷物时，&lt;battle&gt;对敌方造成 24 点伤害&lt;/battle&gt;","triggeredEffect":{"trigger":"onItemUse","type":"battleDamageHealth","amount":24,"support":"battleOnly","eventSource":{"target":{"type":"adjacent"},"filter":{"categories":["throwable"]}}}},"3":{"label":"使用相邻投掷物时，&lt;battle&gt;对敌方造成 27 点伤害&lt;/battle&gt;","triggeredEffect":{"trigger":"onItemUse","type":"battleDamageHealth","amount":27,"support":"battleOnly","eventSource":{"target":{"type":"adjacent"},"filter":{"categories":["throwable"]}}}}}}</t>
        </is>
      </c>
    </row>
    <row r="1022" ht="32" customHeight="1">
      <c r="A1022" s="8" t="n">
        <v>412753</v>
      </c>
      <c r="B1022" s="8" t="inlineStr">
        <is>
          <t>断脉鳞鞭</t>
        </is>
      </c>
      <c r="C1022" s="8" t="inlineStr">
        <is>
          <t>法器</t>
        </is>
      </c>
      <c r="D1022" s="8" t="inlineStr">
        <is>
          <t>common</t>
        </is>
      </c>
      <c r="E1022" s="8" t="inlineStr">
        <is>
          <t>poison</t>
        </is>
      </c>
      <c r="F1022" s="8" t="n">
        <v>1</v>
      </c>
      <c r="G1022" s="8" t="inlineStr">
        <is>
          <t>基础/顶层</t>
        </is>
      </c>
      <c r="H1022" s="8" t="inlineStr"/>
      <c r="I1022" s="9" t="inlineStr"/>
      <c r="J1022" s="8" t="inlineStr"/>
      <c r="K1022" s="8" t="inlineStr"/>
      <c r="L1022" s="8" t="inlineStr"/>
      <c r="M1022" s="8" t="inlineStr">
        <is>
          <t>条件触发</t>
        </is>
      </c>
      <c r="N1022" s="8" t="inlineStr">
        <is>
          <t>triggered</t>
        </is>
      </c>
      <c r="O1022" s="9" t="inlineStr">
        <is>
          <t>敌方中毒发作时，对其施加 1 层裂甲；敌方中毒发作时，对其施加 2 层裂甲；敌方中毒发作时，对其施加 3 层裂甲；敌方中毒发作时，对其施加 4 层裂甲</t>
        </is>
      </c>
      <c r="P1022" s="9" t="inlineStr">
        <is>
          <t>onBuffConsumed</t>
        </is>
      </c>
      <c r="Q1022" s="9" t="inlineStr">
        <is>
          <t>applyBuff</t>
        </is>
      </c>
      <c r="R1022" s="9" t="inlineStr">
        <is>
          <t>{"kind":"triggered","triggeredEffect":{"trigger":"onBuffConsumed","eventActor":"enemy","eventBuffId":"poison","type":"applyBuff","buffId":"crackArmor","count":1,"targetActor":"enemy","polarity":"detrimental","support":"battleOnly"},"label":"&lt;battle&gt;敌方中毒发作时，对其施加 1 层裂甲&lt;/battle&gt;","starOverrides":{"1":{"label":"&lt;battle&gt;敌方中毒发作时，对其施加 2 层裂甲&lt;/battle&gt;","triggeredEffect":{"count":2}},"2":{"label":"&lt;battle&gt;敌方中毒发作时，对其施加 3 层裂甲&lt;/battle&gt;","triggeredEffect":{"count":3}},"3":{"label":"&lt;battle&gt;敌方中毒发作时，对其施加 4 层裂甲&lt;/battle&gt;","triggeredEffect":{"count":4}}}}</t>
        </is>
      </c>
    </row>
    <row r="1023" ht="32" customHeight="1">
      <c r="A1023" s="8" t="n">
        <v>412800</v>
      </c>
      <c r="B1023" s="8" t="inlineStr">
        <is>
          <t>金筋攀岳索</t>
        </is>
      </c>
      <c r="C1023" s="8" t="inlineStr">
        <is>
          <t>法器</t>
        </is>
      </c>
      <c r="D1023" s="8" t="inlineStr">
        <is>
          <t>common</t>
        </is>
      </c>
      <c r="E1023" s="8" t="inlineStr">
        <is>
          <t>metal</t>
        </is>
      </c>
      <c r="F1023" s="8" t="n">
        <v>1</v>
      </c>
      <c r="G1023" s="8" t="inlineStr">
        <is>
          <t>基础/顶层</t>
        </is>
      </c>
      <c r="H1023" s="8" t="inlineStr"/>
      <c r="I1023" s="9" t="inlineStr"/>
      <c r="J1023" s="8" t="inlineStr"/>
      <c r="K1023" s="8" t="inlineStr"/>
      <c r="L1023" s="8" t="inlineStr"/>
      <c r="M1023" s="8" t="inlineStr">
        <is>
          <t>周期触发</t>
        </is>
      </c>
      <c r="N1023" s="8" t="inlineStr">
        <is>
          <t>periodicPulse</t>
        </is>
      </c>
      <c r="O1023" s="9" t="inlineStr">
        <is>
          <t>将5层凝金和5层露水转化为10点体力，如果还剩余凝金和露水层数，则再恢复5点体力；消耗5层凝金；消耗5层露水；恢复10点体力；如果还剩余凝金和露水层数，再恢复5点体力；将5层凝金和5层露水转化为12点体力，如果还剩余凝金和露水层数，则再恢复6点体力；恢复12点体力；如果还剩余凝金和露水层数，再恢复6点体力；将5层凝金和5层露水转化为14点体力，如果还剩余凝金和露水层数，则再恢复7点体力；恢复14点体力；如果还剩余凝金和露水层数，再恢复7点体力；将5层凝金和5层露水转化为16点体力，如果还剩余凝金和露水层数，则再恢复8点体力；恢复16点体力；如果还剩余凝金和露水层数，再恢复8点体力</t>
        </is>
      </c>
      <c r="P1023" s="9" t="inlineStr">
        <is>
          <t>onPeriodicPulse</t>
        </is>
      </c>
      <c r="Q1023" s="9" t="inlineStr">
        <is>
          <t>consumeBuffStacks；modifyPlayerPrimaryStat</t>
        </is>
      </c>
      <c r="R1023" s="9" t="inlineStr">
        <is>
          <t>{"kind":"periodicPulse","periodicPulse":{"intervalSec":10,"activationRequirements":{"buffStackThresholds":[{"buffId":"condensedMetal","comparator":"atLeast","count":5},{"buffId":"dew","comparator":"atLeast","count":5}]},"label":"将5层凝金和5层露水转化为10点体力，如果还剩余凝金和露水层数，则再恢复5点体力"},"executors":[{"trigger":"onPeriodicPulse","type":"consumeBuffStacks","sourceBuffId":"condensedMetal","requiredStacks":5,"maxStacks":5,"support":"common","label":"消耗5层凝金"},{"trigger":"onPeriodicPulse","type":"consumeBuffStacks","sourceBuffId":"dew","requiredStacks":5,"maxStacks":5,"support":"common","label":"消耗5层露水"},{"trigger":"onPeriodicPulse","type":"modifyPlayerPrimaryStat","stat":"stamina","delta":10,"support":"common","label":"恢复10点体力"},{"trigger":"onPeriodicPulse","type":"modifyPlayerPrimaryStat","stat":"stamina","delta":5,"activationRequirements":{"buffStackThresholds":[{"buffId":"condensedMetal","comparator":"atLeast","count":6},{"buffId":"dew","comparator":"atLeast","count":6}]},"support":"common","label":"如果还剩余凝金和露水层数，再恢复5点体力"}],"label":"将5层凝金和5层露水转化为10点体力，如果还剩余凝金和露水层数，则再恢复5点体力","starOverrides":{"1":{"label":"将5层凝金和5层露水转化为12点体力，如果还剩余凝金和露水层数，则再恢复6点体力","periodicPulse":{"label":"将5层凝金和5层露水转化为12点体力，如果还剩余凝金和露水层数，则再恢复6点体力"},"executors":[{"label":"消耗5层凝金"},{"label":"消耗5层露水"},{"delta":12,"label":"恢复12点体力"},{"delta":6,"label":"如果还剩余凝金和露水层数，再恢复6点体力"}]},"2":{"label":"将5层凝金和5层露水转化为14点体力，如果还剩余凝金和露水层数，则再恢复7点体力","periodicPulse":{"label":"将5层凝金和5层露水转化为14点体力，如果还剩余凝金和露水层数，则再恢复7点体力"},"executors":[{"label":"消耗5层凝金"},{"label":"消耗5层露水"},{"delta":14,"label":"恢复14点体力"},{"delta":7,"label":"如果还剩余凝金和露水层数，再恢复7点体力"}]},"3":{"label":"将5层凝金和5层露水转化为16点体力，如果还剩余凝金和露水层数，则再恢复8点体力","periodicPulse":{"label":"将5层凝金和5层露水转化为16点体力，如果还剩余凝金和露水层数，则再恢复8点体力"},"executors":[{"label":"消耗5层凝金"},{"label":"消耗5层露水"},{"delta":16,"label":"恢复16点体力"},{"delta":8,"label":"如果还剩余凝金和露水层数，再恢复8点体力"}]}}}</t>
        </is>
      </c>
    </row>
    <row r="1024" ht="32" customHeight="1">
      <c r="A1024" s="8" t="n">
        <v>412801</v>
      </c>
      <c r="B1024" s="8" t="inlineStr">
        <is>
          <t>白锋骨扳指</t>
        </is>
      </c>
      <c r="C1024" s="8" t="inlineStr">
        <is>
          <t>法器</t>
        </is>
      </c>
      <c r="D1024" s="8" t="inlineStr">
        <is>
          <t>common</t>
        </is>
      </c>
      <c r="E1024" s="8" t="inlineStr">
        <is>
          <t>poison</t>
        </is>
      </c>
      <c r="F1024" s="8" t="n">
        <v>1</v>
      </c>
      <c r="G1024" s="8" t="inlineStr">
        <is>
          <t>基础/顶层</t>
        </is>
      </c>
      <c r="H1024" s="8" t="inlineStr"/>
      <c r="I1024" s="9" t="inlineStr"/>
      <c r="J1024" s="8" t="inlineStr"/>
      <c r="K1024" s="8" t="inlineStr"/>
      <c r="L1024" s="8" t="inlineStr"/>
      <c r="M1024" s="8" t="inlineStr">
        <is>
          <t>周期触发</t>
        </is>
      </c>
      <c r="N1024" s="8" t="inlineStr">
        <is>
          <t>periodicPulse</t>
        </is>
      </c>
      <c r="O1024" s="9" t="inlineStr">
        <is>
          <t>敌方中毒层数不少于50层时，对其施加 10 层凝滞；敌方中毒层数不少于50层时，对其施加 15 层凝滞；敌方中毒层数不少于50层时，对其施加 20 层凝滞；敌方中毒层数不少于50层时，对其施加 25 层凝滞</t>
        </is>
      </c>
      <c r="P1024" s="9" t="inlineStr"/>
      <c r="Q1024" s="9" t="inlineStr">
        <is>
          <t>targetBuffStacksGreaterThan</t>
        </is>
      </c>
      <c r="R1024" s="9" t="inlineStr">
        <is>
          <t>{"kind":"periodicPulse","periodicPulse":{"intervalSec":14,"battleCondition":{"type":"targetBuffStacksGreaterThan","buffId":"poison","count":49},"buffGains":[{"buffId":"stagnation","count":10,"target":"enemy","polarity":"detrimental"}],"label":"&lt;battle&gt;敌方中毒层数不少于50层时，对其施加 10 层凝滞&lt;/battle&gt;"},"starOverrides":{"1":{"label":"&lt;battle&gt;敌方中毒层数不少于50层时，对其施加 15 层凝滞&lt;/battle&gt;","periodicPulse":{"buffGains":[{"count":15}],"label":"&lt;battle&gt;敌方中毒层数不少于50层时，对其施加 15 层凝滞&lt;/battle&gt;"}},"2":{"label":"&lt;battle&gt;敌方中毒层数不少于50层时，对其施加 20 层凝滞&lt;/battle&gt;","periodicPulse":{"buffGains":[{"count":20}],"label":"&lt;battle&gt;敌方中毒层数不少于50层时，对其施加 20 层凝滞&lt;/battle&gt;"}},"3":{"label":"&lt;battle&gt;敌方中毒层数不少于50层时，对其施加 25 层凝滞&lt;/battle&gt;","periodicPulse":{"buffGains":[{"count":25}],"label":"&lt;battle&gt;敌方中毒层数不少于50层时，对其施加 25 层凝滞&lt;/battle&gt;"}}}}</t>
        </is>
      </c>
    </row>
    <row r="1025" ht="32" customHeight="1">
      <c r="A1025" s="8" t="n">
        <v>412802</v>
      </c>
      <c r="B1025" s="8" t="inlineStr">
        <is>
          <t>裂石牙锥</t>
        </is>
      </c>
      <c r="C1025" s="8" t="inlineStr">
        <is>
          <t>法器</t>
        </is>
      </c>
      <c r="D1025" s="8" t="inlineStr">
        <is>
          <t>common</t>
        </is>
      </c>
      <c r="E1025" s="8" t="inlineStr">
        <is>
          <t>poison</t>
        </is>
      </c>
      <c r="F1025" s="8" t="n">
        <v>1</v>
      </c>
      <c r="G1025" s="8" t="inlineStr">
        <is>
          <t>基础/顶层</t>
        </is>
      </c>
      <c r="H1025" s="8" t="inlineStr"/>
      <c r="I1025" s="9" t="inlineStr"/>
      <c r="J1025" s="8" t="inlineStr"/>
      <c r="K1025" s="8" t="inlineStr"/>
      <c r="L1025" s="8" t="inlineStr"/>
      <c r="M1025" s="8" t="inlineStr">
        <is>
          <t>周期触发</t>
        </is>
      </c>
      <c r="N1025" s="8" t="inlineStr">
        <is>
          <t>periodicPulse</t>
        </is>
      </c>
      <c r="O1025" s="9" t="inlineStr">
        <is>
          <t>消耗20层再生，对敌方造成20点伤害和5层中毒</t>
        </is>
      </c>
      <c r="P1025" s="9" t="inlineStr">
        <is>
          <t>onPeriodicPulse</t>
        </is>
      </c>
      <c r="Q1025" s="9" t="inlineStr">
        <is>
          <t>consumeBuffStacks</t>
        </is>
      </c>
      <c r="R1025" s="9" t="inlineStr">
        <is>
          <t>{"kind":"periodicPulse","periodicPulse":{"intervalSec":14,"label":"消耗20层再生，&lt;battle&gt;对敌方造成20点伤害和5层中毒&lt;/battle&gt;"},"executors":[{"trigger":"onPeriodicPulse","type":"consumeBuffStacks","sourceBuffId":"regeneration","requiredStacks":20,"maxStacks":20,"battleDamageHealthPerStack":1,"targetBuffGainPerStack":{"buffId":"poison","countPerStack":0.25},"support":"battleOnly","label":"消耗20层再生，&lt;battle&gt;对敌方造成20点伤害和5层中毒&lt;/battle&gt;"}],"label":"消耗20层再生，&lt;battle&gt;对敌方造成20点伤害和5层中毒&lt;/battle&gt;","starOverrides":{"1":{"label":"消耗20层再生，&lt;battle&gt;对敌方造成20点伤害和5层中毒&lt;/battle&gt;","periodicPulse":{"intervalSec":13}},"2":{"label":"消耗20层再生，&lt;battle&gt;对敌方造成20点伤害和5层中毒&lt;/battle&gt;","periodicPulse":{"intervalSec":12}},"3":{"label":"消耗20层再生，&lt;battle&gt;对敌方造成20点伤害和5层中毒&lt;/battle&gt;","periodicPulse":{"intervalSec":11}}}}</t>
        </is>
      </c>
    </row>
    <row r="1026" ht="32" customHeight="1">
      <c r="A1026" s="8" t="n">
        <v>412803</v>
      </c>
      <c r="B1026" s="8" t="inlineStr">
        <is>
          <t>金毫裂风扇</t>
        </is>
      </c>
      <c r="C1026" s="8" t="inlineStr">
        <is>
          <t>法器</t>
        </is>
      </c>
      <c r="D1026" s="8" t="inlineStr">
        <is>
          <t>common</t>
        </is>
      </c>
      <c r="E1026" s="8" t="inlineStr">
        <is>
          <t>metal</t>
        </is>
      </c>
      <c r="F1026" s="8" t="n">
        <v>1</v>
      </c>
      <c r="G1026" s="8" t="inlineStr">
        <is>
          <t>基础/顶层</t>
        </is>
      </c>
      <c r="H1026" s="8" t="inlineStr"/>
      <c r="I1026" s="9" t="inlineStr"/>
      <c r="J1026" s="8" t="inlineStr"/>
      <c r="K1026" s="8" t="inlineStr"/>
      <c r="L1026" s="8" t="inlineStr"/>
      <c r="M1026" s="8" t="inlineStr">
        <is>
          <t>条件触发</t>
        </is>
      </c>
      <c r="N1026" s="8" t="inlineStr">
        <is>
          <t>triggered</t>
        </is>
      </c>
      <c r="O1026" s="9" t="inlineStr">
        <is>
          <t>敌方气血首次低于 50% 时，对其施加 5 层乱流；敌方气血首次低于 60% 时，对其施加 7 层乱流；敌方气血首次低于 70% 时，对其施加 9 层乱流；敌方气血首次低于 80% 时，对其施加 11 层乱流</t>
        </is>
      </c>
      <c r="P1026" s="9" t="inlineStr">
        <is>
          <t>onEnemyHealthRatioFirstBelow</t>
        </is>
      </c>
      <c r="Q1026" s="9" t="inlineStr">
        <is>
          <t>applyBuff</t>
        </is>
      </c>
      <c r="R1026" s="9" t="inlineStr">
        <is>
          <t>{"kind":"triggered","triggeredEffect":{"trigger":"onEnemyHealthRatioFirstBelow","type":"applyBuff","buffId":"turbulence","count":5,"targetActor":"enemy","polarity":"detrimental","enemyHealthRatioThreshold":0.5,"support":"battleOnly"},"label":"&lt;battle&gt;敌方气血首次低于 50% 时，对其施加 5 层乱流&lt;/battle&gt;","starOverrides":{"1":{"label":"&lt;battle&gt;敌方气血首次低于 60% 时，对其施加 7 层乱流&lt;/battle&gt;","triggeredEffect":{"count":7,"enemyHealthRatioThreshold":0.6}},"2":{"label":"&lt;battle&gt;敌方气血首次低于 70% 时，对其施加 9 层乱流&lt;/battle&gt;","triggeredEffect":{"count":9,"enemyHealthRatioThreshold":0.7}},"3":{"label":"&lt;battle&gt;敌方气血首次低于 80% 时，对其施加 11 层乱流&lt;/battle&gt;","triggeredEffect":{"count":11,"enemyHealthRatioThreshold":0.8}}}}</t>
        </is>
      </c>
    </row>
    <row r="1027" ht="32" customHeight="1">
      <c r="A1027" s="8" t="n">
        <v>412853</v>
      </c>
      <c r="B1027" s="8" t="inlineStr">
        <is>
          <t>白锋镇背甲</t>
        </is>
      </c>
      <c r="C1027" s="8" t="inlineStr">
        <is>
          <t>法器</t>
        </is>
      </c>
      <c r="D1027" s="8" t="inlineStr">
        <is>
          <t>common</t>
        </is>
      </c>
      <c r="E1027" s="8" t="inlineStr">
        <is>
          <t>poison</t>
        </is>
      </c>
      <c r="F1027" s="8" t="n">
        <v>1</v>
      </c>
      <c r="G1027" s="8" t="inlineStr">
        <is>
          <t>基础/顶层</t>
        </is>
      </c>
      <c r="H1027" s="8" t="inlineStr"/>
      <c r="I1027" s="9" t="inlineStr"/>
      <c r="J1027" s="8" t="inlineStr"/>
      <c r="K1027" s="8" t="inlineStr"/>
      <c r="L1027" s="8" t="inlineStr"/>
      <c r="M1027" s="8" t="inlineStr">
        <is>
          <t>被动效果</t>
        </is>
      </c>
      <c r="N1027" s="8" t="inlineStr">
        <is>
          <t>passive</t>
        </is>
      </c>
      <c r="O1027" s="9" t="inlineStr">
        <is>
          <t>拥有不少于4件毒属性道具时，护甲层数上限+10；拥有不少于4件毒属性道具时，护甲层数上限+15；拥有不少于4件毒属性道具时，护甲层数上限+20；拥有不少于4件毒属性道具时，护甲层数上限+25</t>
        </is>
      </c>
      <c r="P1027" s="9" t="inlineStr"/>
      <c r="Q1027" s="9" t="inlineStr">
        <is>
          <t>buffStackCapBonus</t>
        </is>
      </c>
      <c r="R1027" s="9" t="inlineStr">
        <is>
          <t>{"kind":"passive","passiveEffect":{"type":"buffStackCapBonus","buffId":"armor","value":10,"singletonByTemplate":true,"activationRequirements":{"bagCounts":[{"minCount":4,"elements":["poison"]}]},"label":"&lt;singleton&gt;拥有不少于4件毒属性道具时，护甲层数上限+10&lt;/singleton&gt;"},"label":"&lt;singleton&gt;拥有不少于4件毒属性道具时，护甲层数上限+10&lt;/singleton&gt;","starOverrides":{"1":{"label":"&lt;singleton&gt;拥有不少于4件毒属性道具时，护甲层数上限+15&lt;/singleton&gt;","passiveEffect":{"type":"buffStackCapBonus","buffId":"armor","value":15,"singletonByTemplate":true,"activationRequirements":{"bagCounts":[{"minCount":4,"elements":["poison"]}]},"label":"&lt;singleton&gt;拥有不少于4件毒属性道具时，护甲层数上限+15&lt;/singleton&gt;"}},"2":{"label":"&lt;singleton&gt;拥有不少于4件毒属性道具时，护甲层数上限+20&lt;/singleton&gt;","passiveEffect":{"type":"buffStackCapBonus","buffId":"armor","value":20,"singletonByTemplate":true,"activationRequirements":{"bagCounts":[{"minCount":4,"elements":["poison"]}]},"label":"&lt;singleton&gt;拥有不少于4件毒属性道具时，护甲层数上限+20&lt;/singleton&gt;"}},"3":{"label":"&lt;singleton&gt;拥有不少于4件毒属性道具时，护甲层数上限+25&lt;/singleton&gt;","passiveEffect":{"type":"buffStackCapBonus","buffId":"armor","value":25,"singletonByTemplate":true,"activationRequirements":{"bagCounts":[{"minCount":4,"elements":["poison"]}]},"label":"&lt;singleton&gt;拥有不少于4件毒属性道具时，护甲层数上限+25&lt;/singleton&gt;"}}}}</t>
        </is>
      </c>
    </row>
    <row r="1028" ht="32" customHeight="1">
      <c r="A1028" s="8" t="n">
        <v>412900</v>
      </c>
      <c r="B1028" s="8" t="inlineStr">
        <is>
          <t>苍藤鹿角冠</t>
        </is>
      </c>
      <c r="C1028" s="8" t="inlineStr">
        <is>
          <t>法器</t>
        </is>
      </c>
      <c r="D1028" s="8" t="inlineStr">
        <is>
          <t>common</t>
        </is>
      </c>
      <c r="E1028" s="8" t="inlineStr">
        <is>
          <t>poison</t>
        </is>
      </c>
      <c r="F1028" s="8" t="n">
        <v>1</v>
      </c>
      <c r="G1028" s="8" t="inlineStr">
        <is>
          <t>基础/顶层</t>
        </is>
      </c>
      <c r="H1028" s="8" t="inlineStr"/>
      <c r="I1028" s="9" t="inlineStr"/>
      <c r="J1028" s="8" t="inlineStr"/>
      <c r="K1028" s="8" t="inlineStr"/>
      <c r="L1028" s="8" t="inlineStr"/>
      <c r="M1028" s="8" t="inlineStr">
        <is>
          <t>被动效果</t>
        </is>
      </c>
      <c r="N1028" s="8" t="inlineStr">
        <is>
          <t>passive</t>
        </is>
      </c>
      <c r="O1028" s="9" t="inlineStr">
        <is>
          <t>拥有不少于4件毒属性道具时，凝金层数上限+10；拥有不少于4件毒属性道具时，凝金层数上限+15；拥有不少于4件毒属性道具时，凝金层数上限+20；拥有不少于4件毒属性道具时，凝金层数上限+25</t>
        </is>
      </c>
      <c r="P1028" s="9" t="inlineStr"/>
      <c r="Q1028" s="9" t="inlineStr">
        <is>
          <t>buffStackCapBonus</t>
        </is>
      </c>
      <c r="R1028" s="9" t="inlineStr">
        <is>
          <t>{"kind":"passive","passiveEffect":{"type":"buffStackCapBonus","buffId":"condensedMetal","value":10,"singletonByTemplate":true,"activationRequirements":{"bagCounts":[{"minCount":4,"elements":["poison"]}]},"label":"&lt;singleton&gt;拥有不少于4件毒属性道具时，凝金层数上限+10&lt;/singleton&gt;"},"label":"&lt;singleton&gt;拥有不少于4件毒属性道具时，凝金层数上限+10&lt;/singleton&gt;","starOverrides":{"1":{"label":"&lt;singleton&gt;拥有不少于4件毒属性道具时，凝金层数上限+15&lt;/singleton&gt;","passiveEffect":{"type":"buffStackCapBonus","buffId":"condensedMetal","value":15,"singletonByTemplate":true,"activationRequirements":{"bagCounts":[{"minCount":4,"elements":["poison"]}]},"label":"&lt;singleton&gt;拥有不少于4件毒属性道具时，凝金层数上限+15&lt;/singleton&gt;"}},"2":{"label":"&lt;singleton&gt;拥有不少于4件毒属性道具时，凝金层数上限+20&lt;/singleton&gt;","passiveEffect":{"type":"buffStackCapBonus","buffId":"condensedMetal","value":20,"singletonByTemplate":true,"activationRequirements":{"bagCounts":[{"minCount":4,"elements":["poison"]}]},"label":"&lt;singleton&gt;拥有不少于4件毒属性道具时，凝金层数上限+20&lt;/singleton&gt;"}},"3":{"label":"&lt;singleton&gt;拥有不少于4件毒属性道具时，凝金层数上限+25&lt;/singleton&gt;","passiveEffect":{"type":"buffStackCapBonus","buffId":"condensedMetal","value":25,"singletonByTemplate":true,"activationRequirements":{"bagCounts":[{"minCount":4,"elements":["poison"]}]},"label":"&lt;singleton&gt;拥有不少于4件毒属性道具时，凝金层数上限+25&lt;/singleton&gt;"}}}}</t>
        </is>
      </c>
    </row>
    <row r="1029" ht="32" customHeight="1">
      <c r="A1029" s="8" t="n">
        <v>412901</v>
      </c>
      <c r="B1029" s="8" t="inlineStr">
        <is>
          <t>木鹿藤纹护腕</t>
        </is>
      </c>
      <c r="C1029" s="8" t="inlineStr">
        <is>
          <t>法器</t>
        </is>
      </c>
      <c r="D1029" s="8" t="inlineStr">
        <is>
          <t>common</t>
        </is>
      </c>
      <c r="E1029" s="8" t="inlineStr">
        <is>
          <t>poison</t>
        </is>
      </c>
      <c r="F1029" s="8" t="n">
        <v>1</v>
      </c>
      <c r="G1029" s="8" t="inlineStr">
        <is>
          <t>基础/顶层</t>
        </is>
      </c>
      <c r="H1029" s="8" t="inlineStr"/>
      <c r="I1029" s="9" t="inlineStr"/>
      <c r="J1029" s="8" t="inlineStr"/>
      <c r="K1029" s="8" t="inlineStr"/>
      <c r="L1029" s="8" t="inlineStr"/>
      <c r="M1029" s="8" t="inlineStr">
        <is>
          <t>被动效果</t>
        </is>
      </c>
      <c r="N1029" s="8" t="inlineStr">
        <is>
          <t>passive</t>
        </is>
      </c>
      <c r="O1029" s="9" t="inlineStr">
        <is>
          <t>再生层数上限+5，如果我方中毒，则再生层数上限额外+5；再生层数上限+7，如果我方中毒，则再生层数上限额外+7；再生层数上限+9，如果我方中毒，则再生层数上限额外+9；再生层数上限+11，如果我方中毒，则再生层数上限额外+11</t>
        </is>
      </c>
      <c r="P1029" s="9" t="inlineStr"/>
      <c r="Q1029" s="9" t="inlineStr">
        <is>
          <t>buffStackCapBonus</t>
        </is>
      </c>
      <c r="R1029" s="9" t="inlineStr">
        <is>
          <t>{"kind":"passive","passiveEffect":{"type":"buffStackCapBonus","buffId":"regeneration","value":5,"conditionalValue":5,"conditionalActivationRequirements":{"buffStackThresholds":[{"buffId":"poison","comparator":"atLeast","count":1}]},"label":"再生层数上限+5，如果我方中毒，则再生层数上限额外+5"},"label":"再生层数上限+5，如果我方中毒，则再生层数上限额外+5","starOverrides":{"1":{"label":"再生层数上限+7，如果我方中毒，则再生层数上限额外+7","passiveEffect":{"value":7,"conditionalValue":7}},"2":{"label":"再生层数上限+9，如果我方中毒，则再生层数上限额外+9","passiveEffect":{"value":9,"conditionalValue":9}},"3":{"label":"再生层数上限+11，如果我方中毒，则再生层数上限额外+11","passiveEffect":{"value":11,"conditionalValue":11}}}}</t>
        </is>
      </c>
    </row>
    <row r="1030" ht="32" customHeight="1">
      <c r="A1030" s="8" t="n">
        <v>412902</v>
      </c>
      <c r="B1030" s="8" t="inlineStr">
        <is>
          <t>青蹄踏苔靴</t>
        </is>
      </c>
      <c r="C1030" s="8" t="inlineStr">
        <is>
          <t>法器</t>
        </is>
      </c>
      <c r="D1030" s="8" t="inlineStr">
        <is>
          <t>common</t>
        </is>
      </c>
      <c r="E1030" s="8" t="inlineStr">
        <is>
          <t>poison</t>
        </is>
      </c>
      <c r="F1030" s="8" t="n">
        <v>1</v>
      </c>
      <c r="G1030" s="8" t="inlineStr">
        <is>
          <t>基础/顶层</t>
        </is>
      </c>
      <c r="H1030" s="8" t="inlineStr"/>
      <c r="I1030" s="9" t="inlineStr"/>
      <c r="J1030" s="8" t="inlineStr"/>
      <c r="K1030" s="8" t="inlineStr"/>
      <c r="L1030" s="8" t="inlineStr"/>
      <c r="M1030" s="8" t="inlineStr">
        <is>
          <t>条件触发</t>
        </is>
      </c>
      <c r="N1030" s="8" t="inlineStr">
        <is>
          <t>triggered</t>
        </is>
      </c>
      <c r="O1030" s="9" t="inlineStr">
        <is>
          <t>我方获得中毒时，获得 2 层敏捷；我方获得中毒时，获得 3 层敏捷；我方获得中毒时，获得 4 层敏捷；我方获得中毒时，获得 6 层敏捷</t>
        </is>
      </c>
      <c r="P1030" s="9" t="inlineStr">
        <is>
          <t>onBuffGain</t>
        </is>
      </c>
      <c r="Q1030" s="9" t="inlineStr">
        <is>
          <t>applyBuff；any</t>
        </is>
      </c>
      <c r="R1030" s="9" t="inlineStr">
        <is>
          <t>{"kind":"triggered","triggeredEffect":{"trigger":"onBuffGain","eventActor":"self","eventBuffId":"poison","type":"applyBuff","buffId":"agile","count":2,"targetActor":"self","eventSource":{"target":{"type":"any"}},"support":"battleOnly"},"label":"&lt;battle&gt;我方获得中毒时，获得 2 层敏捷&lt;/battle&gt;","starOverrides":{"1":{"label":"&lt;battle&gt;我方获得中毒时，获得 3 层敏捷&lt;/battle&gt;","triggeredEffect":{"count":3}},"2":{"label":"&lt;battle&gt;我方获得中毒时，获得 4 层敏捷&lt;/battle&gt;","triggeredEffect":{"count":4}},"3":{"label":"&lt;battle&gt;我方获得中毒时，获得 6 层敏捷&lt;/battle&gt;","triggeredEffect":{"count":6}}}}</t>
        </is>
      </c>
    </row>
    <row r="1031" ht="32" customHeight="1">
      <c r="A1031" s="8" t="n">
        <v>412903</v>
      </c>
      <c r="B1031" s="8" t="inlineStr">
        <is>
          <t>嫩藤髓杖</t>
        </is>
      </c>
      <c r="C1031" s="8" t="inlineStr">
        <is>
          <t>法器</t>
        </is>
      </c>
      <c r="D1031" s="8" t="inlineStr">
        <is>
          <t>common</t>
        </is>
      </c>
      <c r="E1031" s="8" t="inlineStr">
        <is>
          <t>wood</t>
        </is>
      </c>
      <c r="F1031" s="8" t="n">
        <v>1</v>
      </c>
      <c r="G1031" s="8" t="inlineStr">
        <is>
          <t>基础/顶层</t>
        </is>
      </c>
      <c r="H1031" s="8" t="inlineStr"/>
      <c r="I1031" s="9" t="inlineStr"/>
      <c r="J1031" s="8" t="inlineStr"/>
      <c r="K1031" s="8" t="inlineStr"/>
      <c r="L1031" s="8" t="inlineStr"/>
      <c r="M1031" s="8" t="inlineStr">
        <is>
          <t>说明/执行器</t>
        </is>
      </c>
      <c r="N1031" s="8" t="inlineStr">
        <is>
          <t>effectNote</t>
        </is>
      </c>
      <c r="O1031" s="9" t="inlineStr">
        <is>
          <t>所有木属性招式释放时，获得1层再生，每当境界突破时，如果此道具在储物袋内，获得再生数量永久+1；再生获得量</t>
        </is>
      </c>
      <c r="P1031" s="9" t="inlineStr">
        <is>
          <t>onItemUse；onBreakthrough</t>
        </is>
      </c>
      <c r="Q1031" s="9" t="inlineStr">
        <is>
          <t>applyBuff；any</t>
        </is>
      </c>
      <c r="R1031" s="9" t="inlineStr">
        <is>
          <t>{"kind":"effectNote","label":"所有木属性招式释放时，获得1层再生，&lt;cultivation&gt;每当境界突破时，如果此道具在储物袋内，获得再生数量永久+1&lt;/cultivation&gt;","executors":[{"trigger":"onItemUse","type":"applyBuff","buffId":"regeneration","count":1,"label":"所有木属性招式释放时，获得1层再生，&lt;cultivation&gt;每当境界突破时，如果此道具在储物袋内，获得再生数量永久+1&lt;/cultivation&gt;","eventSource":{"target":{"type":"any"},"filter":{"categories":["spell"],"elements":["wood"]}},"support":"common"}],"growth":{"lifecycle":"permanent","trigger":"onBreakthrough","bindings":[{"path":"executors.0.count","delta":1,"maxValue":5,"label":"再生获得量","textOccurrence":0}],"support":"cultivationOnly"}}</t>
        </is>
      </c>
    </row>
    <row r="1032" ht="32" customHeight="1">
      <c r="A1032" s="8" t="n">
        <v>413000</v>
      </c>
      <c r="B1032" s="8" t="inlineStr">
        <is>
          <t>焦羽火扇</t>
        </is>
      </c>
      <c r="C1032" s="8" t="inlineStr">
        <is>
          <t>法器</t>
        </is>
      </c>
      <c r="D1032" s="8" t="inlineStr">
        <is>
          <t>common</t>
        </is>
      </c>
      <c r="E1032" s="8" t="inlineStr">
        <is>
          <t>poison</t>
        </is>
      </c>
      <c r="F1032" s="8" t="n">
        <v>1</v>
      </c>
      <c r="G1032" s="8" t="inlineStr">
        <is>
          <t>基础/顶层</t>
        </is>
      </c>
      <c r="H1032" s="8" t="inlineStr"/>
      <c r="I1032" s="9" t="inlineStr"/>
      <c r="J1032" s="8" t="inlineStr"/>
      <c r="K1032" s="8" t="inlineStr"/>
      <c r="L1032" s="8" t="inlineStr"/>
      <c r="M1032" s="8" t="inlineStr">
        <is>
          <t>周期触发</t>
        </is>
      </c>
      <c r="N1032" s="8" t="inlineStr">
        <is>
          <t>periodicPulse</t>
        </is>
      </c>
      <c r="O1032" s="9" t="inlineStr">
        <is>
          <t>消耗20点法力和5层炎热，对敌方施加12层灼烧；消耗5层炎热；对敌方施加12层灼烧</t>
        </is>
      </c>
      <c r="P1032" s="9" t="inlineStr">
        <is>
          <t>onPeriodicPulse</t>
        </is>
      </c>
      <c r="Q1032" s="9" t="inlineStr">
        <is>
          <t>consumeBuffStacks；applyBuff</t>
        </is>
      </c>
      <c r="R1032" s="9" t="inlineStr">
        <is>
          <t>{"kind":"periodicPulse","periodicPulse":{"intervalSec":16,"primaryStatCosts":[{"stat":"mana","amount":20}],"activationRequirements":{"buffStackThresholds":[{"buffId":"heat","comparator":"atLeast","count":5}]},"label":"消耗20点法力和5层炎热，&lt;battle&gt;对敌方施加12层灼烧&lt;/battle&gt;"},"executors":[{"trigger":"onPeriodicPulse","type":"consumeBuffStacks","sourceBuffId":"heat","requiredStacks":5,"maxStacks":5,"support":"common","label":"消耗5层炎热"},{"trigger":"onPeriodicPulse","type":"applyBuff","buffId":"burning","count":12,"targetActor":"enemy","polarity":"detrimental","support":"battleOnly","label":"&lt;battle&gt;对敌方施加12层灼烧&lt;/battle&gt;"}],"label":"消耗20点法力和5层炎热，&lt;battle&gt;对敌方施加12层灼烧&lt;/battle&gt;"}</t>
        </is>
      </c>
    </row>
    <row r="1033" ht="32" customHeight="1">
      <c r="A1033" s="8" t="n">
        <v>413001</v>
      </c>
      <c r="B1033" s="8" t="inlineStr">
        <is>
          <t>赤喙啄火钺</t>
        </is>
      </c>
      <c r="C1033" s="8" t="inlineStr">
        <is>
          <t>法器</t>
        </is>
      </c>
      <c r="D1033" s="8" t="inlineStr">
        <is>
          <t>common</t>
        </is>
      </c>
      <c r="E1033" s="8" t="inlineStr">
        <is>
          <t>poison</t>
        </is>
      </c>
      <c r="F1033" s="8" t="n">
        <v>1</v>
      </c>
      <c r="G1033" s="8" t="inlineStr">
        <is>
          <t>基础/顶层</t>
        </is>
      </c>
      <c r="H1033" s="8" t="inlineStr"/>
      <c r="I1033" s="9" t="inlineStr"/>
      <c r="J1033" s="8" t="inlineStr"/>
      <c r="K1033" s="8" t="inlineStr"/>
      <c r="L1033" s="8" t="inlineStr"/>
      <c r="M1033" s="8" t="inlineStr">
        <is>
          <t>周期触发</t>
        </is>
      </c>
      <c r="N1033" s="8" t="inlineStr">
        <is>
          <t>periodicPulse</t>
        </is>
      </c>
      <c r="O1033" s="9" t="inlineStr">
        <is>
          <t>消耗10层炎热，使敌方的中毒立即触发一次；消耗10层炎热；使敌方的中毒立即触发一次</t>
        </is>
      </c>
      <c r="P1033" s="9" t="inlineStr">
        <is>
          <t>onPeriodicPulse</t>
        </is>
      </c>
      <c r="Q1033" s="9" t="inlineStr">
        <is>
          <t>consumeBuffStacks；triggerPoisonTick</t>
        </is>
      </c>
      <c r="R1033" s="9" t="inlineStr">
        <is>
          <t>{"kind":"periodicPulse","periodicPulse":{"intervalSec":12,"activationRequirements":{"buffStackThresholds":[{"buffId":"heat","comparator":"atLeast","count":10}]},"label":"消耗10层炎热，&lt;battle&gt;使敌方的中毒立即触发一次&lt;/battle&gt;"},"executors":[{"trigger":"onPeriodicPulse","type":"consumeBuffStacks","sourceBuffId":"heat","requiredStacks":10,"maxStacks":10,"support":"common","label":"消耗10层炎热"},{"trigger":"onPeriodicPulse","type":"triggerPoisonTick","support":"battleOnly","label":"&lt;battle&gt;使敌方的中毒立即触发一次&lt;/battle&gt;"}],"label":"消耗10层炎热，&lt;battle&gt;使敌方的中毒立即触发一次&lt;/battle&gt;"}</t>
        </is>
      </c>
    </row>
    <row r="1034" ht="32" customHeight="1">
      <c r="A1034" s="8" t="n">
        <v>413002</v>
      </c>
      <c r="B1034" s="8" t="inlineStr">
        <is>
          <t>火鸦爪戒</t>
        </is>
      </c>
      <c r="C1034" s="8" t="inlineStr">
        <is>
          <t>法器</t>
        </is>
      </c>
      <c r="D1034" s="8" t="inlineStr">
        <is>
          <t>common</t>
        </is>
      </c>
      <c r="E1034" s="8" t="inlineStr">
        <is>
          <t>poison</t>
        </is>
      </c>
      <c r="F1034" s="8" t="n">
        <v>1</v>
      </c>
      <c r="G1034" s="8" t="inlineStr">
        <is>
          <t>基础/顶层</t>
        </is>
      </c>
      <c r="H1034" s="8" t="inlineStr"/>
      <c r="I1034" s="9" t="inlineStr"/>
      <c r="J1034" s="8" t="inlineStr"/>
      <c r="K1034" s="8" t="inlineStr"/>
      <c r="L1034" s="8" t="inlineStr"/>
      <c r="M1034" s="8" t="inlineStr">
        <is>
          <t>周期触发</t>
        </is>
      </c>
      <c r="N1034" s="8" t="inlineStr">
        <is>
          <t>periodicPulse</t>
        </is>
      </c>
      <c r="O1034" s="9" t="inlineStr">
        <is>
          <t>如果敌方中毒不少于20层，我方获得 5 层炎热；如果敌方中毒不少于20层，我方获得 10 层炎热；如果敌方中毒不少于20层，我方获得 15 层炎热；如果敌方中毒不少于20层，我方获得 20 层炎热</t>
        </is>
      </c>
      <c r="P1034" s="9" t="inlineStr"/>
      <c r="Q1034" s="9" t="inlineStr">
        <is>
          <t>targetBuffStacksGreaterThan</t>
        </is>
      </c>
      <c r="R1034" s="9" t="inlineStr">
        <is>
          <t>{"kind":"periodicPulse","periodicPulse":{"intervalSec":10,"buffGains":[{"buffId":"heat","count":5}],"battleCondition":{"type":"targetBuffStacksGreaterThan","buffId":"poison","count":19},"label":"&lt;battle&gt;如果敌方中毒不少于20层，我方获得 5 层炎热&lt;/battle&gt;"},"label":"&lt;battle&gt;如果敌方中毒不少于20层，我方获得 5 层炎热&lt;/battle&gt;","starOverrides":{"1":{"label":"&lt;battle&gt;如果敌方中毒不少于20层，我方获得 10 层炎热&lt;/battle&gt;","periodicPulse":{"buffGains":[{"count":10}],"label":"&lt;battle&gt;如果敌方中毒不少于20层，我方获得 10 层炎热&lt;/battle&gt;"}},"2":{"label":"&lt;battle&gt;如果敌方中毒不少于20层，我方获得 15 层炎热&lt;/battle&gt;","periodicPulse":{"buffGains":[{"count":15}],"label":"&lt;battle&gt;如果敌方中毒不少于20层，我方获得 15 层炎热&lt;/battle&gt;"}},"3":{"label":"&lt;battle&gt;如果敌方中毒不少于20层，我方获得 20 层炎热&lt;/battle&gt;","periodicPulse":{"buffGains":[{"count":20}],"label":"&lt;battle&gt;如果敌方中毒不少于20层，我方获得 20 层炎热&lt;/battle&gt;"}}}}</t>
        </is>
      </c>
    </row>
    <row r="1035" ht="32" customHeight="1">
      <c r="A1035" s="8" t="n">
        <v>413003</v>
      </c>
      <c r="B1035" s="8" t="inlineStr">
        <is>
          <t>灼喉焰炉</t>
        </is>
      </c>
      <c r="C1035" s="8" t="inlineStr">
        <is>
          <t>法器</t>
        </is>
      </c>
      <c r="D1035" s="8" t="inlineStr">
        <is>
          <t>common</t>
        </is>
      </c>
      <c r="E1035" s="8" t="inlineStr">
        <is>
          <t>poison</t>
        </is>
      </c>
      <c r="F1035" s="8" t="n">
        <v>1</v>
      </c>
      <c r="G1035" s="8" t="inlineStr">
        <is>
          <t>基础/顶层</t>
        </is>
      </c>
      <c r="H1035" s="8" t="inlineStr"/>
      <c r="I1035" s="9" t="inlineStr"/>
      <c r="J1035" s="8" t="inlineStr"/>
      <c r="K1035" s="8" t="inlineStr"/>
      <c r="L1035" s="8" t="inlineStr"/>
      <c r="M1035" s="8" t="inlineStr">
        <is>
          <t>条件触发</t>
        </is>
      </c>
      <c r="N1035" s="8" t="inlineStr">
        <is>
          <t>triggered</t>
        </is>
      </c>
      <c r="O1035" s="9" t="inlineStr">
        <is>
          <t>我方其他法器使敌方消耗中毒时，对其施加 8 层灼烧；我方其他法器使敌方消耗中毒时，对其施加 12 层灼烧；我方其他法器使敌方消耗中毒时，对其施加 16 层灼烧；我方其他法器使敌方消耗中毒时，对其施加 20 层灼烧</t>
        </is>
      </c>
      <c r="P1035" s="9" t="inlineStr">
        <is>
          <t>onBuffConsumed</t>
        </is>
      </c>
      <c r="Q1035" s="9" t="inlineStr">
        <is>
          <t>applyBuff；other</t>
        </is>
      </c>
      <c r="R1035" s="9" t="inlineStr">
        <is>
          <t>{"kind":"triggered","triggeredEffect":{"trigger":"onBuffConsumed","eventActor":"enemy","eventBuffId":"poison","type":"applyBuff","buffId":"burning","count":8,"targetActor":"enemy","polarity":"detrimental","eventSource":{"target":{"type":"other"},"filter":{"categories":["implement"]}},"support":"battleOnly"},"label":"&lt;battle&gt;我方其他法器使敌方消耗中毒时，对其施加 8 层灼烧&lt;/battle&gt;","starOverrides":{"1":{"label":"&lt;battle&gt;我方其他法器使敌方消耗中毒时，对其施加 12 层灼烧&lt;/battle&gt;","triggeredEffect":{"count":12}},"2":{"label":"&lt;battle&gt;我方其他法器使敌方消耗中毒时，对其施加 16 层灼烧&lt;/battle&gt;","triggeredEffect":{"count":16}},"3":{"label":"&lt;battle&gt;我方其他法器使敌方消耗中毒时，对其施加 20 层灼烧&lt;/battle&gt;","triggeredEffect":{"count":20}}}}</t>
        </is>
      </c>
    </row>
    <row r="1036" ht="32" customHeight="1">
      <c r="A1036" s="8" t="n">
        <v>413100</v>
      </c>
      <c r="B1036" s="8" t="inlineStr">
        <is>
          <t>溪尾逐浪鞭</t>
        </is>
      </c>
      <c r="C1036" s="8" t="inlineStr">
        <is>
          <t>法器</t>
        </is>
      </c>
      <c r="D1036" s="8" t="inlineStr">
        <is>
          <t>common</t>
        </is>
      </c>
      <c r="E1036" s="8" t="inlineStr">
        <is>
          <t>ice</t>
        </is>
      </c>
      <c r="F1036" s="8" t="n">
        <v>1</v>
      </c>
      <c r="G1036" s="8" t="inlineStr">
        <is>
          <t>基础/顶层</t>
        </is>
      </c>
      <c r="H1036" s="8" t="inlineStr"/>
      <c r="I1036" s="9" t="inlineStr"/>
      <c r="J1036" s="8" t="inlineStr"/>
      <c r="K1036" s="8" t="inlineStr"/>
      <c r="L1036" s="8" t="inlineStr"/>
      <c r="M1036" s="8" t="inlineStr">
        <is>
          <t>周期触发</t>
        </is>
      </c>
      <c r="N1036" s="8" t="inlineStr">
        <is>
          <t>periodicPulse</t>
        </is>
      </c>
      <c r="O1036" s="9" t="inlineStr">
        <is>
          <t>下方相邻有冰或水属性法器时，获得 3 层寒冷，触发后效果升级；寒冷获得层数</t>
        </is>
      </c>
      <c r="P1036" s="9" t="inlineStr">
        <is>
          <t>onPeriodicPulse</t>
        </is>
      </c>
      <c r="Q1036" s="9" t="inlineStr"/>
      <c r="R1036" s="9" t="inlineStr">
        <is>
          <t>{"kind":"periodicPulse","periodicPulse":{"intervalSec":8,"buffGains":[{"buffId":"cold","count":3}],"activationRequirements":{"directionalNeighbors":[{"direction":"down","categories":["implement"],"elements":["ice","water"]}]},"label":"&lt;battle&gt;下方相邻有冰或水属性法器时，获得 3 层寒冷，触发后效果升级&lt;/battle&gt;"},"label":"&lt;battle&gt;下方相邻有冰或水属性法器时，获得 3 层寒冷，触发后效果升级&lt;/battle&gt;","growth":{"lifecycle":"singleGame","trigger":"onPeriodicPulse","bindings":[{"path":"periodicPulse.buffGains.0.count","delta":1,"maxValue":15,"label":"寒冷获得层数","textOccurrence":0}],"support":"battleOnly"}}</t>
        </is>
      </c>
    </row>
    <row r="1037" ht="32" customHeight="1">
      <c r="A1037" s="8" t="n">
        <v>413101</v>
      </c>
      <c r="B1037" s="8" t="inlineStr">
        <is>
          <t>青鳞避水佩</t>
        </is>
      </c>
      <c r="C1037" s="8" t="inlineStr">
        <is>
          <t>法器</t>
        </is>
      </c>
      <c r="D1037" s="8" t="inlineStr">
        <is>
          <t>common</t>
        </is>
      </c>
      <c r="E1037" s="8" t="inlineStr">
        <is>
          <t>ice</t>
        </is>
      </c>
      <c r="F1037" s="8" t="n">
        <v>1</v>
      </c>
      <c r="G1037" s="8" t="inlineStr">
        <is>
          <t>基础/顶层</t>
        </is>
      </c>
      <c r="H1037" s="8" t="inlineStr"/>
      <c r="I1037" s="9" t="inlineStr"/>
      <c r="J1037" s="8" t="inlineStr"/>
      <c r="K1037" s="8" t="inlineStr"/>
      <c r="L1037" s="8" t="inlineStr"/>
      <c r="M1037" s="8" t="inlineStr">
        <is>
          <t>条件触发</t>
        </is>
      </c>
      <c r="N1037" s="8" t="inlineStr">
        <is>
          <t>triggered</t>
        </is>
      </c>
      <c r="O1037" s="9" t="inlineStr">
        <is>
          <t>每次受到的乱流层数-1；每次受到的乱流层数-2；每次受到的乱流层数-3；每次受到的乱流层数-4</t>
        </is>
      </c>
      <c r="P1037" s="9" t="inlineStr">
        <is>
          <t>onBuffGain</t>
        </is>
      </c>
      <c r="Q1037" s="9" t="inlineStr">
        <is>
          <t>consumeBuffStacks；self</t>
        </is>
      </c>
      <c r="R1037" s="9" t="inlineStr">
        <is>
          <t>{"kind":"triggered","triggeredEffect":{"trigger":"onBuffGain","type":"consumeBuffStacks","sourceBuffId":"turbulence","requiredStacks":1,"maxStacks":1,"eventActor":"self","eventBuffId":"turbulence","eventSource":{"target":{"type":"self"}},"singletonByTemplate":true,"support":"battleOnly"},"label":"&lt;singleton&gt;&lt;battle&gt;每次受到的乱流层数-1&lt;/battle&gt;&lt;/singleton&gt;","starOverrides":{"1":{"label":"&lt;singleton&gt;&lt;battle&gt;每次受到的乱流层数-2&lt;/battle&gt;&lt;/singleton&gt;","triggeredEffect":{"trigger":"onBuffGain","type":"consumeBuffStacks","sourceBuffId":"turbulence","requiredStacks":1,"maxStacks":2,"eventActor":"self","eventBuffId":"turbulence","eventSource":{"target":{"type":"self"}},"singletonByTemplate":true,"support":"battleOnly"}},"2":{"label":"&lt;singleton&gt;&lt;battle&gt;每次受到的乱流层数-3&lt;/battle&gt;&lt;/singleton&gt;","triggeredEffect":{"trigger":"onBuffGain","type":"consumeBuffStacks","sourceBuffId":"turbulence","requiredStacks":1,"maxStacks":3,"eventActor":"self","eventBuffId":"turbulence","eventSource":{"target":{"type":"self"}},"singletonByTemplate":true,"support":"battleOnly"}},"3":{"label":"&lt;singleton&gt;&lt;battle&gt;每次受到的乱流层数-4&lt;/battle&gt;&lt;/singleton&gt;","triggeredEffect":{"trigger":"onBuffGain","type":"consumeBuffStacks","sourceBuffId":"turbulence","requiredStacks":1,"maxStacks":4,"eventActor":"self","eventBuffId":"turbulence","eventSource":{"target":{"type":"self"}},"singletonByTemplate":true,"support":"battleOnly"}}}}</t>
        </is>
      </c>
    </row>
    <row r="1038" ht="32" customHeight="1">
      <c r="A1038" s="8" t="n">
        <v>413102</v>
      </c>
      <c r="B1038" s="8" t="inlineStr">
        <is>
          <t>湿爪踏石钩</t>
        </is>
      </c>
      <c r="C1038" s="8" t="inlineStr">
        <is>
          <t>法器</t>
        </is>
      </c>
      <c r="D1038" s="8" t="inlineStr">
        <is>
          <t>common</t>
        </is>
      </c>
      <c r="E1038" s="8" t="inlineStr">
        <is>
          <t>ice</t>
        </is>
      </c>
      <c r="F1038" s="8" t="n">
        <v>1</v>
      </c>
      <c r="G1038" s="8" t="inlineStr">
        <is>
          <t>基础/顶层</t>
        </is>
      </c>
      <c r="H1038" s="8" t="inlineStr"/>
      <c r="I1038" s="9" t="inlineStr"/>
      <c r="J1038" s="8" t="inlineStr"/>
      <c r="K1038" s="8" t="inlineStr"/>
      <c r="L1038" s="8" t="inlineStr"/>
      <c r="M1038" s="8" t="inlineStr">
        <is>
          <t>周期触发</t>
        </is>
      </c>
      <c r="N1038" s="8" t="inlineStr">
        <is>
          <t>periodicPulse</t>
        </is>
      </c>
      <c r="O1038" s="9" t="inlineStr">
        <is>
          <t>敌方有乱流时，对其施加 1 层冰霜；敌方有乱流时，对其施加 2 层冰霜；敌方有乱流时，对其施加 3 层冰霜；敌方有乱流时，对其施加 4 层冰霜</t>
        </is>
      </c>
      <c r="P1038" s="9" t="inlineStr"/>
      <c r="Q1038" s="9" t="inlineStr">
        <is>
          <t>targetBuffStacksGreaterThan</t>
        </is>
      </c>
      <c r="R1038" s="9" t="inlineStr">
        <is>
          <t>{"kind":"periodicPulse","periodicPulse":{"intervalSec":6,"buffGains":[{"buffId":"frost","count":1,"target":"enemy","polarity":"detrimental"}],"battleCondition":{"type":"targetBuffStacksGreaterThan","buffId":"turbulence","count":0},"label":"&lt;battle&gt;敌方有乱流时，对其施加 1 层冰霜&lt;/battle&gt;"},"label":"&lt;battle&gt;敌方有乱流时，对其施加 1 层冰霜&lt;/battle&gt;","starOverrides":{"1":{"label":"&lt;battle&gt;敌方有乱流时，对其施加 2 层冰霜&lt;/battle&gt;","periodicPulse":{"buffGains":[{"count":2}],"label":"&lt;battle&gt;敌方有乱流时，对其施加 2 层冰霜&lt;/battle&gt;"}},"2":{"label":"&lt;battle&gt;敌方有乱流时，对其施加 3 层冰霜&lt;/battle&gt;","periodicPulse":{"buffGains":[{"count":3}],"label":"&lt;battle&gt;敌方有乱流时，对其施加 3 层冰霜&lt;/battle&gt;"}},"3":{"label":"&lt;battle&gt;敌方有乱流时，对其施加 4 层冰霜&lt;/battle&gt;","periodicPulse":{"buffGains":[{"count":4}],"label":"&lt;battle&gt;敌方有乱流时，对其施加 4 层冰霜&lt;/battle&gt;"}}}}</t>
        </is>
      </c>
    </row>
    <row r="1039" ht="32" customHeight="1">
      <c r="A1039" s="8" t="n">
        <v>413300</v>
      </c>
      <c r="B1039" s="8" t="inlineStr">
        <is>
          <t>灵狸绒耳镇纹器</t>
        </is>
      </c>
      <c r="C1039" s="8" t="inlineStr">
        <is>
          <t>法器</t>
        </is>
      </c>
      <c r="D1039" s="8" t="inlineStr">
        <is>
          <t>spirit</t>
        </is>
      </c>
      <c r="E1039" s="8" t="inlineStr">
        <is>
          <t>metal</t>
        </is>
      </c>
      <c r="F1039" s="8" t="n">
        <v>1</v>
      </c>
      <c r="G1039" s="8" t="inlineStr">
        <is>
          <t>基础/顶层</t>
        </is>
      </c>
      <c r="H1039" s="8" t="inlineStr"/>
      <c r="I1039" s="9" t="inlineStr"/>
      <c r="J1039" s="8" t="inlineStr"/>
      <c r="K1039" s="8" t="inlineStr"/>
      <c r="L1039" s="8" t="inlineStr"/>
      <c r="M1039" s="8" t="inlineStr">
        <is>
          <t>周期触发</t>
        </is>
      </c>
      <c r="N1039" s="8" t="inlineStr">
        <is>
          <t>periodicPulse</t>
        </is>
      </c>
      <c r="O1039" s="9" t="inlineStr">
        <is>
          <t>开局：每有 1 件 1×1 型道具，获得 4 层凝金，最多计算 4 件。；开局：每有 1 件 1×1 型道具，获得 6 层凝金，最多计算 4 件。；开局：每有 1 件 1×1 型道具，获得 8 层凝金，最多计算 4 件。；开局：每有 1 件 1×1 型道具，获得 10 层凝金，最多计算 4 件。</t>
        </is>
      </c>
      <c r="P1039" s="9" t="inlineStr"/>
      <c r="Q1039" s="9" t="inlineStr"/>
      <c r="R1039" s="9" t="inlineStr">
        <is>
          <t>{"kind":"periodicPulse","label":"开局：每有 1 件 1×1 型道具，获得 4 层凝金，最多计算 4 件。","periodicPulse":{"startOnly":true,"label":"开局：每有 1 件 1×1 型道具，获得 4 层凝金，最多计算 4 件。","buffGains":[{"buffId":"condensedMetal","count":4}],"scaling":{"mode":"count","source":"bagItems","shapeSizes":["1x1"],"maxCount":4}},"starOverrides":{"1":{"label":"开局：每有 1 件 1×1 型道具，获得 6 层凝金，最多计算 4 件。","periodicPulse":{"startOnly":true,"label":"开局：每有 1 件 1×1 型道具，获得 6 层凝金，最多计算 4 件。","buffGains":[{"buffId":"condensedMetal","count":6}],"scaling":{"mode":"count","source":"bagItems","shapeSizes":["1x1"],"maxCount":4}}},"2":{"label":"开局：每有 1 件 1×1 型道具，获得 8 层凝金，最多计算 4 件。","periodicPulse":{"startOnly":true,"label":"开局：每有 1 件 1×1 型道具，获得 8 层凝金，最多计算 4 件。","buffGains":[{"buffId":"condensedMetal","count":8}],"scaling":{"mode":"count","source":"bagItems","shapeSizes":["1x1"],"maxCount":4}}},"3":{"label":"开局：每有 1 件 1×1 型道具，获得 10 层凝金，最多计算 4 件。","periodicPulse":{"startOnly":true,"label":"开局：每有 1 件 1×1 型道具，获得 10 层凝金，最多计算 4 件。","buffGains":[{"buffId":"condensedMetal","count":10}],"scaling":{"mode":"count","source":"bagItems","shapeSizes":["1x1"],"maxCount":4}}}}}</t>
        </is>
      </c>
    </row>
    <row r="1040" ht="32" customHeight="1">
      <c r="A1040" s="8" t="n">
        <v>413300</v>
      </c>
      <c r="B1040" s="8" t="inlineStr">
        <is>
          <t>灵狸绒耳镇纹器</t>
        </is>
      </c>
      <c r="C1040" s="8" t="inlineStr">
        <is>
          <t>法器</t>
        </is>
      </c>
      <c r="D1040" s="8" t="inlineStr">
        <is>
          <t>spirit</t>
        </is>
      </c>
      <c r="E1040" s="8" t="inlineStr">
        <is>
          <t>metal</t>
        </is>
      </c>
      <c r="F1040" s="8" t="n">
        <v>2</v>
      </c>
      <c r="G1040" s="8" t="inlineStr">
        <is>
          <t>基础/顶层</t>
        </is>
      </c>
      <c r="H1040" s="8" t="inlineStr"/>
      <c r="I1040" s="9" t="inlineStr"/>
      <c r="J1040" s="8" t="inlineStr"/>
      <c r="K1040" s="8" t="inlineStr"/>
      <c r="L1040" s="8" t="inlineStr"/>
      <c r="M1040" s="8" t="inlineStr">
        <is>
          <t>被动效果</t>
        </is>
      </c>
      <c r="N1040" s="8" t="inlineStr">
        <is>
          <t>passive</t>
        </is>
      </c>
      <c r="O1040" s="9" t="inlineStr">
        <is>
          <t>凝金层数上限 +5；凝金层数上限 +10；凝金层数上限 +15；凝金层数上限 +20</t>
        </is>
      </c>
      <c r="P1040" s="9" t="inlineStr"/>
      <c r="Q1040" s="9" t="inlineStr">
        <is>
          <t>buffStackCapBonus</t>
        </is>
      </c>
      <c r="R1040" s="9" t="inlineStr">
        <is>
          <t>{"kind":"passive","label":"凝金层数上限 +5","passiveEffect":{"type":"buffStackCapBonus","buffId":"condensedMetal","value":5,"label":"凝金层数上限 +5"},"starOverrides":{"1":{"label":"凝金层数上限 +10","passiveEffect":{"type":"buffStackCapBonus","buffId":"condensedMetal","value":10,"label":"凝金层数上限 +10"}},"2":{"label":"凝金层数上限 +15","passiveEffect":{"type":"buffStackCapBonus","buffId":"condensedMetal","value":15,"label":"凝金层数上限 +15"}},"3":{"label":"凝金层数上限 +20","passiveEffect":{"type":"buffStackCapBonus","buffId":"condensedMetal","value":20,"label":"凝金层数上限 +20"}}}}</t>
        </is>
      </c>
    </row>
    <row r="1041" ht="32" customHeight="1">
      <c r="A1041" s="8" t="n">
        <v>413301</v>
      </c>
      <c r="B1041" s="8" t="inlineStr">
        <is>
          <t>灵狸绒耳灵枢匣</t>
        </is>
      </c>
      <c r="C1041" s="8" t="inlineStr">
        <is>
          <t>法器</t>
        </is>
      </c>
      <c r="D1041" s="8" t="inlineStr">
        <is>
          <t>spirit</t>
        </is>
      </c>
      <c r="E1041" s="8" t="inlineStr">
        <is>
          <t>metal</t>
        </is>
      </c>
      <c r="F1041" s="8" t="n">
        <v>1</v>
      </c>
      <c r="G1041" s="8" t="inlineStr">
        <is>
          <t>基础/顶层</t>
        </is>
      </c>
      <c r="H1041" s="8" t="inlineStr"/>
      <c r="I1041" s="9" t="inlineStr"/>
      <c r="J1041" s="8" t="inlineStr"/>
      <c r="K1041" s="8" t="inlineStr"/>
      <c r="L1041" s="8" t="inlineStr"/>
      <c r="M1041" s="8" t="inlineStr">
        <is>
          <t>条件触发</t>
        </is>
      </c>
      <c r="N1041" s="8" t="inlineStr">
        <is>
          <t>triggered</t>
        </is>
      </c>
      <c r="O1041" s="9" t="inlineStr">
        <is>
          <t>相邻的 2×2 型道具使用时，获得 2 层凝金；相邻的 2×2 型道具使用时，获得 4 层凝金；相邻的 2×2 型道具使用时，获得 6 层凝金；相邻的 2×2 型道具使用时，获得 8 层凝金</t>
        </is>
      </c>
      <c r="P1041" s="9" t="inlineStr">
        <is>
          <t>onItemUse</t>
        </is>
      </c>
      <c r="Q1041" s="9" t="inlineStr">
        <is>
          <t>applyBuff；adjacent</t>
        </is>
      </c>
      <c r="R1041" s="9" t="inlineStr">
        <is>
          <t>{"kind":"triggered","label":"相邻的 2×2 型道具使用时，获得 2 层凝金","triggeredEffect":{"trigger":"onItemUse","type":"applyBuff","buffId":"condensedMetal","count":2,"eventSource":{"target":{"type":"adjacent"},"filter":{"shapeSizes":["2x2"]}}},"starOverrides":{"1":{"label":"相邻的 2×2 型道具使用时，获得 4 层凝金","triggeredEffect":{"trigger":"onItemUse","type":"applyBuff","buffId":"condensedMetal","count":4,"eventSource":{"target":{"type":"adjacent"},"filter":{"shapeSizes":["2x2"]}}}},"2":{"label":"相邻的 2×2 型道具使用时，获得 6 层凝金","triggeredEffect":{"trigger":"onItemUse","type":"applyBuff","buffId":"condensedMetal","count":6,"eventSource":{"target":{"type":"adjacent"},"filter":{"shapeSizes":["2x2"]}}}},"3":{"label":"相邻的 2×2 型道具使用时，获得 8 层凝金","triggeredEffect":{"trigger":"onItemUse","type":"applyBuff","buffId":"condensedMetal","count":8,"eventSource":{"target":{"type":"adjacent"},"filter":{"shapeSizes":["2x2"]}}}}}}</t>
        </is>
      </c>
    </row>
    <row r="1042" ht="32" customHeight="1">
      <c r="A1042" s="8" t="n">
        <v>413302</v>
      </c>
      <c r="B1042" s="8" t="inlineStr">
        <is>
          <t>漆盒墨饼镇纹器</t>
        </is>
      </c>
      <c r="C1042" s="8" t="inlineStr">
        <is>
          <t>法器</t>
        </is>
      </c>
      <c r="D1042" s="8" t="inlineStr">
        <is>
          <t>spirit</t>
        </is>
      </c>
      <c r="E1042" s="8" t="inlineStr">
        <is>
          <t>earth</t>
        </is>
      </c>
      <c r="F1042" s="8" t="n">
        <v>1</v>
      </c>
      <c r="G1042" s="8" t="inlineStr">
        <is>
          <t>基础/顶层</t>
        </is>
      </c>
      <c r="H1042" s="8" t="inlineStr"/>
      <c r="I1042" s="9" t="inlineStr"/>
      <c r="J1042" s="8" t="inlineStr"/>
      <c r="K1042" s="8" t="inlineStr"/>
      <c r="L1042" s="8" t="inlineStr"/>
      <c r="M1042" s="8" t="inlineStr">
        <is>
          <t>周期触发</t>
        </is>
      </c>
      <c r="N1042" s="8" t="inlineStr">
        <is>
          <t>periodicPulse</t>
        </is>
      </c>
      <c r="O1042" s="9" t="inlineStr">
        <is>
          <t>未接触储物袋边缘时，获得 10 层蓄势；未接触储物袋边缘时，获得 16 层蓄势；未接触储物袋边缘时，获得 20 层蓄势；未接触储物袋边缘时，获得 26 层蓄势</t>
        </is>
      </c>
      <c r="P1042" s="9" t="inlineStr"/>
      <c r="Q1042" s="9" t="inlineStr"/>
      <c r="R1042" s="9" t="inlineStr">
        <is>
          <t>{"kind":"periodicPulse","label":"未接触储物袋边缘时，获得 10 层蓄势","periodicPulse":{"intervalSec":12,"label":"未接触储物袋边缘时，获得 10 层蓄势","buffGains":[{"buffId":"heavy","count":10}],"activationRequirements":{"forbiddenEdges":["top","bottom","left","right"]}},"activationRequirements":{"forbiddenEdges":["top","bottom","left","right"]},"starOverrides":{"1":{"label":"未接触储物袋边缘时，获得 16 层蓄势","periodicPulse":{"intervalSec":11,"label":"未接触储物袋边缘时，获得 16 层蓄势","buffGains":[{"buffId":"heavy","count":16}],"activationRequirements":{"forbiddenEdges":["top","bottom","left","right"]}},"activationRequirements":{"forbiddenEdges":["top","bottom","left","right"]}},"2":{"label":"未接触储物袋边缘时，获得 20 层蓄势","periodicPulse":{"intervalSec":10,"label":"未接触储物袋边缘时，获得 20 层蓄势","buffGains":[{"buffId":"heavy","count":20}],"activationRequirements":{"forbiddenEdges":["top","bottom","left","right"]}},"activationRequirements":{"forbiddenEdges":["top","bottom","left","right"]}},"3":{"label":"未接触储物袋边缘时，获得 26 层蓄势","periodicPulse":{"intervalSec":9,"label":"未接触储物袋边缘时，获得 26 层蓄势","buffGains":[{"buffId":"heavy","count":26}],"activationRequirements":{"forbiddenEdges":["top","bottom","left","right"]}},"activationRequirements":{"forbiddenEdges":["top","bottom","left","right"]}}}}</t>
        </is>
      </c>
    </row>
    <row r="1043" ht="32" customHeight="1">
      <c r="A1043" s="8" t="n">
        <v>413303</v>
      </c>
      <c r="B1043" s="8" t="inlineStr">
        <is>
          <t>漆盒墨饼灵枢匣</t>
        </is>
      </c>
      <c r="C1043" s="8" t="inlineStr">
        <is>
          <t>法器</t>
        </is>
      </c>
      <c r="D1043" s="8" t="inlineStr">
        <is>
          <t>spirit</t>
        </is>
      </c>
      <c r="E1043" s="8" t="inlineStr">
        <is>
          <t>earth</t>
        </is>
      </c>
      <c r="F1043" s="8" t="n">
        <v>1</v>
      </c>
      <c r="G1043" s="8" t="inlineStr">
        <is>
          <t>基础/顶层</t>
        </is>
      </c>
      <c r="H1043" s="8" t="inlineStr"/>
      <c r="I1043" s="9" t="inlineStr"/>
      <c r="J1043" s="8" t="inlineStr"/>
      <c r="K1043" s="8" t="inlineStr"/>
      <c r="L1043" s="8" t="inlineStr"/>
      <c r="M1043" s="8" t="inlineStr">
        <is>
          <t>条件触发</t>
        </is>
      </c>
      <c r="N1043" s="8" t="inlineStr">
        <is>
          <t>triggered</t>
        </is>
      </c>
      <c r="O1043" s="9" t="inlineStr">
        <is>
          <t>相邻法器使我方获得蓄势时，获得 10 层护甲；相邻法器使我方获得蓄势时，获得 16 层护甲；相邻法器使我方获得蓄势时，获得 20 层护甲；相邻法器使我方获得蓄势时，获得 26 层护甲</t>
        </is>
      </c>
      <c r="P1043" s="9" t="inlineStr">
        <is>
          <t>onBuffGain</t>
        </is>
      </c>
      <c r="Q1043" s="9" t="inlineStr">
        <is>
          <t>applyBuff；adjacent</t>
        </is>
      </c>
      <c r="R1043" s="9" t="inlineStr">
        <is>
          <t>{"kind":"triggered","label":"相邻法器使我方获得蓄势时，获得 10 层护甲","triggeredEffect":{"trigger":"onBuffGain","type":"applyBuff","eventBuffId":"heavy","buffId":"armor","count":10,"eventSource":{"target":{"type":"adjacent"},"filter":{"categories":["implement"]}}},"starOverrides":{"1":{"label":"相邻法器使我方获得蓄势时，获得 16 层护甲","triggeredEffect":{"trigger":"onBuffGain","type":"applyBuff","eventBuffId":"heavy","buffId":"armor","count":16,"eventSource":{"target":{"type":"adjacent"},"filter":{"categories":["implement"]}}}},"2":{"label":"相邻法器使我方获得蓄势时，获得 20 层护甲","triggeredEffect":{"trigger":"onBuffGain","type":"applyBuff","eventBuffId":"heavy","buffId":"armor","count":20,"eventSource":{"target":{"type":"adjacent"},"filter":{"categories":["implement"]}}}},"3":{"label":"相邻法器使我方获得蓄势时，获得 26 层护甲","triggeredEffect":{"trigger":"onBuffGain","type":"applyBuff","eventBuffId":"heavy","buffId":"armor","count":26,"eventSource":{"target":{"type":"adjacent"},"filter":{"categories":["implement"]}}}}}}</t>
        </is>
      </c>
    </row>
    <row r="1044" ht="32" customHeight="1">
      <c r="A1044" s="8" t="n">
        <v>413304</v>
      </c>
      <c r="B1044" s="8" t="inlineStr">
        <is>
          <t>狸背墨囊镇纹器</t>
        </is>
      </c>
      <c r="C1044" s="8" t="inlineStr">
        <is>
          <t>法器</t>
        </is>
      </c>
      <c r="D1044" s="8" t="inlineStr">
        <is>
          <t>spirit</t>
        </is>
      </c>
      <c r="E1044" s="8" t="inlineStr">
        <is>
          <t>wood</t>
        </is>
      </c>
      <c r="F1044" s="8" t="n">
        <v>1</v>
      </c>
      <c r="G1044" s="8" t="inlineStr">
        <is>
          <t>基础/顶层</t>
        </is>
      </c>
      <c r="H1044" s="8" t="inlineStr"/>
      <c r="I1044" s="9" t="inlineStr"/>
      <c r="J1044" s="8" t="inlineStr"/>
      <c r="K1044" s="8" t="inlineStr"/>
      <c r="L1044" s="8" t="inlineStr"/>
      <c r="M1044" s="8" t="inlineStr">
        <is>
          <t>周期触发</t>
        </is>
      </c>
      <c r="N1044" s="8" t="inlineStr">
        <is>
          <t>periodicPulse</t>
        </is>
      </c>
      <c r="O1044" s="9" t="inlineStr">
        <is>
          <t>位于储物袋底部时，最多将 50 层再生转化为等量露水；位于储物袋底部时，最多将 60 层再生转化为等量露水；位于储物袋底部时，最多将 70 层再生转化为等量露水；位于储物袋底部时，最多将 80 层再生转化为等量露水</t>
        </is>
      </c>
      <c r="P1044" s="9" t="inlineStr">
        <is>
          <t>onPeriodicPulse</t>
        </is>
      </c>
      <c r="Q1044" s="9" t="inlineStr">
        <is>
          <t>convertBuffStacks</t>
        </is>
      </c>
      <c r="R1044" s="9" t="inlineStr">
        <is>
          <t>{"kind":"periodicPulse","label":"位于储物袋底部时，最多将 50 层再生转化为等量露水","periodicPulse":{"intervalSec":12,"label":"位于储物袋底部时，最多将 50 层再生转化为等量露水"},"executors":[{"trigger":"onPeriodicPulse","type":"convertBuffStacks","sourceBuffId":"regeneration","targetBuffId":"dew","maxStacks":50,"consumeRatio":1,"activationRequirements":{"buffStackThresholds":[{"buffId":"regeneration","comparator":"atLeast","count":1}]},"label":"位于储物袋底部时，最多将 50 层再生转化为等量露水"}],"activationRequirements":{"sourceEdges":["bottom"]},"starOverrides":{"1":{"label":"位于储物袋底部时，最多将 60 层再生转化为等量露水","periodicPulse":{"intervalSec":11,"label":"位于储物袋底部时，最多将 60 层再生转化为等量露水"},"executors":[{"maxStacks":60,"label":"位于储物袋底部时，最多将 60 层再生转化为等量露水"}]},"2":{"label":"位于储物袋底部时，最多将 70 层再生转化为等量露水","periodicPulse":{"intervalSec":10,"label":"位于储物袋底部时，最多将 70 层再生转化为等量露水"},"executors":[{"maxStacks":70,"label":"位于储物袋底部时，最多将 70 层再生转化为等量露水"}]},"3":{"label":"位于储物袋底部时，最多将 80 层再生转化为等量露水","periodicPulse":{"intervalSec":9,"label":"位于储物袋底部时，最多将 80 层再生转化为等量露水"},"executors":[{"maxStacks":80,"label":"位于储物袋底部时，最多将 80 层再生转化为等量露水"}]}}}</t>
        </is>
      </c>
    </row>
    <row r="1045" ht="32" customHeight="1">
      <c r="A1045" s="8" t="n">
        <v>413305</v>
      </c>
      <c r="B1045" s="8" t="inlineStr">
        <is>
          <t>狸背墨囊灵枢匣</t>
        </is>
      </c>
      <c r="C1045" s="8" t="inlineStr">
        <is>
          <t>法器</t>
        </is>
      </c>
      <c r="D1045" s="8" t="inlineStr">
        <is>
          <t>spirit</t>
        </is>
      </c>
      <c r="E1045" s="8" t="inlineStr">
        <is>
          <t>wood</t>
        </is>
      </c>
      <c r="F1045" s="8" t="n">
        <v>1</v>
      </c>
      <c r="G1045" s="8" t="inlineStr">
        <is>
          <t>基础/顶层</t>
        </is>
      </c>
      <c r="H1045" s="8" t="inlineStr"/>
      <c r="I1045" s="9" t="inlineStr"/>
      <c r="J1045" s="8" t="inlineStr"/>
      <c r="K1045" s="8" t="inlineStr"/>
      <c r="L1045" s="8" t="inlineStr"/>
      <c r="M1045" s="8" t="inlineStr">
        <is>
          <t>条件触发</t>
        </is>
      </c>
      <c r="N1045" s="8" t="inlineStr">
        <is>
          <t>triggered</t>
        </is>
      </c>
      <c r="O1045" s="9" t="inlineStr">
        <is>
          <t>相邻符箓耗尽时，将 15 层再生转化为 45 点法力；再生不足时不生效；相邻符箓耗尽时，将 20 层再生转化为 60 点法力；再生不足时不生效；相邻符箓耗尽时，将 25 层再生转化为 75 点法力；再生不足时不生效；相邻符箓耗尽时，将 30 层再生转化为 90 点法力；再生不足时不生效</t>
        </is>
      </c>
      <c r="P1045" s="9" t="inlineStr">
        <is>
          <t>onConsumableExhausted</t>
        </is>
      </c>
      <c r="Q1045" s="9" t="inlineStr">
        <is>
          <t>consumeBuffStacks；adjacent</t>
        </is>
      </c>
      <c r="R1045" s="9" t="inlineStr">
        <is>
          <t>{"kind":"triggered","label":"相邻符箓耗尽时，将 15 层再生转化为 45 点法力；再生不足时不生效","triggeredEffect":{"trigger":"onConsumableExhausted","type":"consumeBuffStacks","sourceBuffId":"regeneration","requiredStacks":15,"maxStacks":15,"primaryStatGainPerStack":{"stat":"mana","amount":3},"eventSource":{"target":{"type":"adjacent"},"filter":{"categories":["talisman"]}}},"starOverrides":{"1":{"label":"相邻符箓耗尽时，将 20 层再生转化为 60 点法力；再生不足时不生效","triggeredEffect":{"requiredStacks":20,"maxStacks":20}},"2":{"label":"相邻符箓耗尽时，将 25 层再生转化为 75 点法力；再生不足时不生效","triggeredEffect":{"requiredStacks":25,"maxStacks":25}},"3":{"label":"相邻符箓耗尽时，将 30 层再生转化为 90 点法力；再生不足时不生效","triggeredEffect":{"requiredStacks":30,"maxStacks":30}}}}</t>
        </is>
      </c>
    </row>
    <row r="1046" ht="32" customHeight="1">
      <c r="A1046" s="8" t="n">
        <v>413400</v>
      </c>
      <c r="B1046" s="8" t="inlineStr">
        <is>
          <t>共鸣胸骨板铸护器</t>
        </is>
      </c>
      <c r="C1046" s="8" t="inlineStr">
        <is>
          <t>法器</t>
        </is>
      </c>
      <c r="D1046" s="8" t="inlineStr">
        <is>
          <t>spirit</t>
        </is>
      </c>
      <c r="E1046" s="8" t="inlineStr">
        <is>
          <t>metal</t>
        </is>
      </c>
      <c r="F1046" s="8" t="n">
        <v>1</v>
      </c>
      <c r="G1046" s="8" t="inlineStr">
        <is>
          <t>基础/顶层</t>
        </is>
      </c>
      <c r="H1046" s="8" t="inlineStr"/>
      <c r="I1046" s="9" t="inlineStr"/>
      <c r="J1046" s="8" t="inlineStr"/>
      <c r="K1046" s="8" t="inlineStr"/>
      <c r="L1046" s="8" t="inlineStr"/>
      <c r="M1046" s="8" t="inlineStr">
        <is>
          <t>条件触发</t>
        </is>
      </c>
      <c r="N1046" s="8" t="inlineStr">
        <is>
          <t>triggered</t>
        </is>
      </c>
      <c r="O1046" s="9" t="inlineStr">
        <is>
          <t>每当成功闪避一次，恢复 10 点法力；每当成功闪避一次，恢复 16 点法力；每当成功闪避一次，恢复 20 点法力；每当成功闪避一次，恢复 26 点法力</t>
        </is>
      </c>
      <c r="P1046" s="9" t="inlineStr">
        <is>
          <t>onDodgeSucceeded</t>
        </is>
      </c>
      <c r="Q1046" s="9" t="inlineStr">
        <is>
          <t>modifyPlayerPrimaryStat</t>
        </is>
      </c>
      <c r="R1046" s="9" t="inlineStr">
        <is>
          <t>{"kind":"triggered","label":"&lt;battle&gt;每当成功闪避一次，恢复 10 点法力&lt;/battle&gt;","triggeredEffect":{"trigger":"onDodgeSucceeded","type":"modifyPlayerPrimaryStat","stat":"mana","delta":10,"support":"battleOnly"},"starOverrides":{"1":{"label":"&lt;battle&gt;每当成功闪避一次，恢复 16 点法力&lt;/battle&gt;","triggeredEffect":{"trigger":"onDodgeSucceeded","type":"modifyPlayerPrimaryStat","stat":"mana","delta":16,"support":"battleOnly"}},"2":{"label":"&lt;battle&gt;每当成功闪避一次，恢复 20 点法力&lt;/battle&gt;","triggeredEffect":{"trigger":"onDodgeSucceeded","type":"modifyPlayerPrimaryStat","stat":"mana","delta":20,"support":"battleOnly"}},"3":{"label":"&lt;battle&gt;每当成功闪避一次，恢复 26 点法力&lt;/battle&gt;","triggeredEffect":{"trigger":"onDodgeSucceeded","type":"modifyPlayerPrimaryStat","stat":"mana","delta":26,"support":"battleOnly"}}}}</t>
        </is>
      </c>
    </row>
    <row r="1047" ht="32" customHeight="1">
      <c r="A1047" s="8" t="n">
        <v>413400</v>
      </c>
      <c r="B1047" s="8" t="inlineStr">
        <is>
          <t>共鸣胸骨板铸护器</t>
        </is>
      </c>
      <c r="C1047" s="8" t="inlineStr">
        <is>
          <t>法器</t>
        </is>
      </c>
      <c r="D1047" s="8" t="inlineStr">
        <is>
          <t>spirit</t>
        </is>
      </c>
      <c r="E1047" s="8" t="inlineStr">
        <is>
          <t>metal</t>
        </is>
      </c>
      <c r="F1047" s="8" t="n">
        <v>2</v>
      </c>
      <c r="G1047" s="8" t="inlineStr">
        <is>
          <t>基础/顶层</t>
        </is>
      </c>
      <c r="H1047" s="8" t="inlineStr"/>
      <c r="I1047" s="9" t="inlineStr"/>
      <c r="J1047" s="8" t="inlineStr"/>
      <c r="K1047" s="8" t="inlineStr"/>
      <c r="L1047" s="8" t="inlineStr"/>
      <c r="M1047" s="8" t="inlineStr">
        <is>
          <t>被动效果</t>
        </is>
      </c>
      <c r="N1047" s="8" t="inlineStr">
        <is>
          <t>passive</t>
        </is>
      </c>
      <c r="O1047" s="9" t="inlineStr">
        <is>
          <t>敏捷层数上限 +15；敏捷层数上限 +20；敏捷层数上限 +25；敏捷层数上限 +30</t>
        </is>
      </c>
      <c r="P1047" s="9" t="inlineStr"/>
      <c r="Q1047" s="9" t="inlineStr">
        <is>
          <t>buffStackCapBonus</t>
        </is>
      </c>
      <c r="R1047" s="9" t="inlineStr">
        <is>
          <t>{"kind":"passive","label":"敏捷层数上限 +15","passiveEffect":{"type":"buffStackCapBonus","buffId":"agile","value":15,"label":"敏捷层数上限 +15"},"starOverrides":{"1":{"label":"敏捷层数上限 +20","passiveEffect":{"type":"buffStackCapBonus","buffId":"agile","value":20,"label":"敏捷层数上限 +20"}},"2":{"label":"敏捷层数上限 +25","passiveEffect":{"type":"buffStackCapBonus","buffId":"agile","value":25,"label":"敏捷层数上限 +25"}},"3":{"label":"敏捷层数上限 +30","passiveEffect":{"type":"buffStackCapBonus","buffId":"agile","value":30,"label":"敏捷层数上限 +30"}}}}</t>
        </is>
      </c>
    </row>
    <row r="1048" ht="32" customHeight="1">
      <c r="A1048" s="8" t="n">
        <v>413401</v>
      </c>
      <c r="B1048" s="8" t="inlineStr">
        <is>
          <t>绷弦翼根筋铸护器</t>
        </is>
      </c>
      <c r="C1048" s="8" t="inlineStr">
        <is>
          <t>法器</t>
        </is>
      </c>
      <c r="D1048" s="8" t="inlineStr">
        <is>
          <t>spirit</t>
        </is>
      </c>
      <c r="E1048" s="8" t="inlineStr">
        <is>
          <t>wood</t>
        </is>
      </c>
      <c r="F1048" s="8" t="n">
        <v>1</v>
      </c>
      <c r="G1048" s="8" t="inlineStr">
        <is>
          <t>基础/顶层</t>
        </is>
      </c>
      <c r="H1048" s="8" t="inlineStr"/>
      <c r="I1048" s="9" t="inlineStr"/>
      <c r="J1048" s="8" t="inlineStr"/>
      <c r="K1048" s="8" t="inlineStr"/>
      <c r="L1048" s="8" t="inlineStr"/>
      <c r="M1048" s="8" t="inlineStr">
        <is>
          <t>被动效果</t>
        </is>
      </c>
      <c r="N1048" s="8" t="inlineStr">
        <is>
          <t>passive</t>
        </is>
      </c>
      <c r="O1048" s="9" t="inlineStr">
        <is>
          <t>可使用露水抵挡伤害，每层抵挡1点伤害，耐久归零后道具销毁。；可使用露水抵挡伤害，每层抵挡2点伤害，耐久归零后道具销毁。；可使用露水抵挡伤害，每层抵挡3点伤害，耐久归零后道具销毁。；可使用露水抵挡伤害，每层抵挡4点伤害，耐久归零后道具销毁。</t>
        </is>
      </c>
      <c r="P1048" s="9" t="inlineStr"/>
      <c r="Q1048" s="9" t="inlineStr">
        <is>
          <t>incomingHealthDamageItemDurability</t>
        </is>
      </c>
      <c r="R1048" s="9" t="inlineStr">
        <is>
          <t>{"kind":"passive","label":"&lt;battle&gt;可使用露水抵挡伤害，每层抵挡1点伤害，耐久归零后道具销毁。&lt;/battle&gt;","passiveEffect":{"type":"incomingHealthDamageItemDurability","maxDurability":100,"depletionBehavior":"destroy","durabilityLifecycle":"persistent","support":"battleOnly","buffId":"dew","amountPerStack":1,"label":"&lt;battle&gt;可使用露水抵挡伤害，每层抵挡1点伤害，耐久归零后道具销毁。&lt;/battle&gt;"},"starOverrides":{"1":{"label":"&lt;battle&gt;可使用露水抵挡伤害，每层抵挡2点伤害，耐久归零后道具销毁。&lt;/battle&gt;","passiveEffect":{"amountPerStack":2}},"2":{"label":"&lt;battle&gt;可使用露水抵挡伤害，每层抵挡3点伤害，耐久归零后道具销毁。&lt;/battle&gt;","passiveEffect":{"amountPerStack":3}},"3":{"label":"&lt;battle&gt;可使用露水抵挡伤害，每层抵挡4点伤害，耐久归零后道具销毁。&lt;/battle&gt;","passiveEffect":{"amountPerStack":4}}}}</t>
        </is>
      </c>
    </row>
    <row r="1049" ht="32" customHeight="1">
      <c r="A1049" s="8" t="n">
        <v>413402</v>
      </c>
      <c r="B1049" s="8" t="inlineStr">
        <is>
          <t>绷弦翼根筋回旋引势刃</t>
        </is>
      </c>
      <c r="C1049" s="8" t="inlineStr">
        <is>
          <t>法器</t>
        </is>
      </c>
      <c r="D1049" s="8" t="inlineStr">
        <is>
          <t>spirit</t>
        </is>
      </c>
      <c r="E1049" s="8" t="inlineStr">
        <is>
          <t>wood</t>
        </is>
      </c>
      <c r="F1049" s="8" t="n">
        <v>1</v>
      </c>
      <c r="G1049" s="8" t="inlineStr">
        <is>
          <t>基础/顶层</t>
        </is>
      </c>
      <c r="H1049" s="8" t="inlineStr"/>
      <c r="I1049" s="9" t="inlineStr"/>
      <c r="J1049" s="8" t="inlineStr"/>
      <c r="K1049" s="8" t="inlineStr"/>
      <c r="L1049" s="8" t="inlineStr"/>
      <c r="M1049" s="8" t="inlineStr">
        <is>
          <t>条件触发</t>
        </is>
      </c>
      <c r="N1049" s="8" t="inlineStr">
        <is>
          <t>triggered</t>
        </is>
      </c>
      <c r="O1049" s="9" t="inlineStr">
        <is>
          <t>每当成功闪避一次，对敌方施加 4 层冰霜；每当成功闪避一次，对敌方施加 8 层冰霜；每当成功闪避一次，对敌方施加 12 层冰霜；每当成功闪避一次，对敌方施加 16 层冰霜</t>
        </is>
      </c>
      <c r="P1049" s="9" t="inlineStr">
        <is>
          <t>onDodgeSucceeded</t>
        </is>
      </c>
      <c r="Q1049" s="9" t="inlineStr">
        <is>
          <t>applyBuff</t>
        </is>
      </c>
      <c r="R1049" s="9" t="inlineStr">
        <is>
          <t>{"kind":"triggered","label":"&lt;battle&gt;每当成功闪避一次，对敌方施加 4 层冰霜&lt;/battle&gt;","triggeredEffect":{"trigger":"onDodgeSucceeded","type":"applyBuff","buffId":"frost","count":4,"targetActor":"enemy","support":"battleOnly"},"starOverrides":{"1":{"label":"&lt;battle&gt;每当成功闪避一次，对敌方施加 8 层冰霜&lt;/battle&gt;","triggeredEffect":{"trigger":"onDodgeSucceeded","type":"applyBuff","buffId":"frost","count":8,"targetActor":"enemy","support":"battleOnly"}},"2":{"label":"&lt;battle&gt;每当成功闪避一次，对敌方施加 12 层冰霜&lt;/battle&gt;","triggeredEffect":{"trigger":"onDodgeSucceeded","type":"applyBuff","buffId":"frost","count":12,"targetActor":"enemy","support":"battleOnly"}},"3":{"label":"&lt;battle&gt;每当成功闪避一次，对敌方施加 16 层冰霜&lt;/battle&gt;","triggeredEffect":{"trigger":"onDodgeSucceeded","type":"applyBuff","buffId":"frost","count":16,"targetActor":"enemy","support":"battleOnly"}}}}</t>
        </is>
      </c>
    </row>
    <row r="1050" ht="32" customHeight="1">
      <c r="A1050" s="8" t="n">
        <v>413403</v>
      </c>
      <c r="B1050" s="8" t="inlineStr">
        <is>
          <t>平衡尾舵羽铸护器</t>
        </is>
      </c>
      <c r="C1050" s="8" t="inlineStr">
        <is>
          <t>法器</t>
        </is>
      </c>
      <c r="D1050" s="8" t="inlineStr">
        <is>
          <t>spirit</t>
        </is>
      </c>
      <c r="E1050" s="8" t="inlineStr">
        <is>
          <t>wood</t>
        </is>
      </c>
      <c r="F1050" s="8" t="n">
        <v>1</v>
      </c>
      <c r="G1050" s="8" t="inlineStr">
        <is>
          <t>基础/顶层</t>
        </is>
      </c>
      <c r="H1050" s="8" t="inlineStr"/>
      <c r="I1050" s="9" t="inlineStr"/>
      <c r="J1050" s="8" t="inlineStr"/>
      <c r="K1050" s="8" t="inlineStr"/>
      <c r="L1050" s="8" t="inlineStr"/>
      <c r="M1050" s="8" t="inlineStr">
        <is>
          <t>周期触发</t>
        </is>
      </c>
      <c r="N1050" s="8" t="inlineStr">
        <is>
          <t>periodicPulse</t>
        </is>
      </c>
      <c r="O1050" s="9" t="inlineStr">
        <is>
          <t>将最多 40 层再生转化为闪避，每 5 层转化为 1 层闪避；将最多 50 层再生转化为闪避，每 5 层转化为 1 层闪避；将最多 60 层再生转化为闪避，每 5 层转化为 1 层闪避；将最多 70 层再生转化为闪避，每 5 层转化为 1 层闪避</t>
        </is>
      </c>
      <c r="P1050" s="9" t="inlineStr">
        <is>
          <t>onPeriodicPulse</t>
        </is>
      </c>
      <c r="Q1050" s="9" t="inlineStr">
        <is>
          <t>convertBuffStacks</t>
        </is>
      </c>
      <c r="R1050" s="9" t="inlineStr">
        <is>
          <t>{"kind":"periodicPulse","label":"将最多 40 层再生转化为闪避，每 5 层转化为 1 层闪避","periodicPulse":{"intervalSec":14,"label":"将最多 40 层再生转化为闪避，每 5 层转化为 1 层闪避"},"executors":[{"trigger":"onPeriodicPulse","type":"convertBuffStacks","sourceBuffId":"regeneration","targetBuffId":"dodge","requiredStacks":5,"maxStacks":40,"consumeRatio":0.2,"consumeRounding":"floor","label":"将最多 40 层再生转化为闪避，每 5 层转化为 1 层闪避"}],"starOverrides":{"1":{"label":"将最多 50 层再生转化为闪避，每 5 层转化为 1 层闪避","periodicPulse":{"intervalSec":13,"label":"将最多 50 层再生转化为闪避，每 5 层转化为 1 层闪避"},"executors":[{"maxStacks":50,"label":"将最多 50 层再生转化为闪避，每 5 层转化为 1 层闪避"}]},"2":{"label":"将最多 60 层再生转化为闪避，每 5 层转化为 1 层闪避","periodicPulse":{"intervalSec":12,"label":"将最多 60 层再生转化为闪避，每 5 层转化为 1 层闪避"},"executors":[{"maxStacks":60,"label":"将最多 60 层再生转化为闪避，每 5 层转化为 1 层闪避"}]},"3":{"label":"将最多 70 层再生转化为闪避，每 5 层转化为 1 层闪避","periodicPulse":{"intervalSec":11,"label":"将最多 70 层再生转化为闪避，每 5 层转化为 1 层闪避"},"executors":[{"maxStacks":70,"label":"将最多 70 层再生转化为闪避，每 5 层转化为 1 层闪避"}]}}}</t>
        </is>
      </c>
    </row>
    <row r="1051" ht="32" customHeight="1">
      <c r="A1051" s="8" t="n">
        <v>413404</v>
      </c>
      <c r="B1051" s="8" t="inlineStr">
        <is>
          <t>平衡尾舵羽回旋引势刃</t>
        </is>
      </c>
      <c r="C1051" s="8" t="inlineStr">
        <is>
          <t>法器</t>
        </is>
      </c>
      <c r="D1051" s="8" t="inlineStr">
        <is>
          <t>spirit</t>
        </is>
      </c>
      <c r="E1051" s="8" t="inlineStr">
        <is>
          <t>wood</t>
        </is>
      </c>
      <c r="F1051" s="8" t="n">
        <v>1</v>
      </c>
      <c r="G1051" s="8" t="inlineStr">
        <is>
          <t>基础/顶层</t>
        </is>
      </c>
      <c r="H1051" s="8" t="inlineStr"/>
      <c r="I1051" s="9" t="inlineStr"/>
      <c r="J1051" s="8" t="inlineStr"/>
      <c r="K1051" s="8" t="inlineStr"/>
      <c r="L1051" s="8" t="inlineStr"/>
      <c r="M1051" s="8" t="inlineStr">
        <is>
          <t>条件触发</t>
        </is>
      </c>
      <c r="N1051" s="8" t="inlineStr">
        <is>
          <t>triggered</t>
        </is>
      </c>
      <c r="O1051" s="9" t="inlineStr">
        <is>
          <t>每当成功闪避一次，最多消耗 20 层再生，每层追加 8 点伤害；每当成功闪避一次，最多消耗 24 层再生，每层追加 8 点伤害；每当成功闪避一次，最多消耗 28 层再生，每层追加 8 点伤害；每当成功闪避一次，最多消耗 32 层再生，每层追加 8 点伤害</t>
        </is>
      </c>
      <c r="P1051" s="9" t="inlineStr">
        <is>
          <t>onDodgeSucceeded</t>
        </is>
      </c>
      <c r="Q1051" s="9" t="inlineStr">
        <is>
          <t>consumeBuffStacks</t>
        </is>
      </c>
      <c r="R1051" s="9" t="inlineStr">
        <is>
          <t>{"kind":"triggered","label":"&lt;battle&gt;每当成功闪避一次，最多消耗 20 层再生，每层追加 8 点伤害&lt;/battle&gt;","triggeredEffect":{"trigger":"onDodgeSucceeded","type":"consumeBuffStacks","sourceBuffId":"regeneration","maxStacks":20,"battleDamageHealthPerStack":8,"support":"battleOnly","activationRequirements":{"buffStackThresholds":[{"buffId":"regeneration","comparator":"atLeast","count":1}]}},"starOverrides":{"1":{"label":"&lt;battle&gt;每当成功闪避一次，最多消耗 24 层再生，每层追加 8 点伤害&lt;/battle&gt;","triggeredEffect":{"maxStacks":24}},"2":{"label":"&lt;battle&gt;每当成功闪避一次，最多消耗 28 层再生，每层追加 8 点伤害&lt;/battle&gt;","triggeredEffect":{"maxStacks":28}},"3":{"label":"&lt;battle&gt;每当成功闪避一次，最多消耗 32 层再生，每层追加 8 点伤害&lt;/battle&gt;","triggeredEffect":{"maxStacks":32}}}}</t>
        </is>
      </c>
    </row>
    <row r="1052" ht="32" customHeight="1">
      <c r="A1052" s="8" t="n">
        <v>413600</v>
      </c>
      <c r="B1052" s="8" t="inlineStr">
        <is>
          <t>羚蹄锁链镇纹器</t>
        </is>
      </c>
      <c r="C1052" s="8" t="inlineStr">
        <is>
          <t>法器</t>
        </is>
      </c>
      <c r="D1052" s="8" t="inlineStr">
        <is>
          <t>spirit</t>
        </is>
      </c>
      <c r="E1052" s="8" t="inlineStr">
        <is>
          <t>metal</t>
        </is>
      </c>
      <c r="F1052" s="8" t="n">
        <v>1</v>
      </c>
      <c r="G1052" s="8" t="inlineStr">
        <is>
          <t>基础/顶层</t>
        </is>
      </c>
      <c r="H1052" s="8" t="inlineStr"/>
      <c r="I1052" s="9" t="inlineStr"/>
      <c r="J1052" s="8" t="inlineStr"/>
      <c r="K1052" s="8" t="inlineStr"/>
      <c r="L1052" s="8" t="inlineStr"/>
      <c r="M1052" s="8" t="inlineStr">
        <is>
          <t>条件触发</t>
        </is>
      </c>
      <c r="N1052" s="8" t="inlineStr">
        <is>
          <t>triggered</t>
        </is>
      </c>
      <c r="O1052" s="9" t="inlineStr">
        <is>
          <t>左侧相邻法器使用时，获得 6 层凝金；左侧相邻法器使用时，获得 10 层凝金；左侧相邻法器使用时，获得 16 层凝金；左侧相邻法器使用时，获得 20 层凝金</t>
        </is>
      </c>
      <c r="P1052" s="9" t="inlineStr">
        <is>
          <t>onItemUse</t>
        </is>
      </c>
      <c r="Q1052" s="9" t="inlineStr">
        <is>
          <t>applyBuff；directional-adjacent</t>
        </is>
      </c>
      <c r="R1052" s="9" t="inlineStr">
        <is>
          <t>{"kind":"triggered","label":"左侧相邻法器使用时，获得 6 层凝金","triggeredEffect":{"trigger":"onItemUse","type":"applyBuff","buffId":"condensedMetal","count":6,"eventSource":{"target":{"type":"directional-adjacent","direction":"left"},"filter":{"categories":["implement"]}}},"starOverrides":{"1":{"label":"左侧相邻法器使用时，获得 10 层凝金","triggeredEffect":{"trigger":"onItemUse","type":"applyBuff","buffId":"condensedMetal","count":10,"eventSource":{"target":{"type":"directional-adjacent","direction":"left"},"filter":{"categories":["implement"]}}}},"2":{"label":"左侧相邻法器使用时，获得 16 层凝金","triggeredEffect":{"trigger":"onItemUse","type":"applyBuff","buffId":"condensedMetal","count":16,"eventSource":{"target":{"type":"directional-adjacent","direction":"left"},"filter":{"categories":["implement"]}}}},"3":{"label":"左侧相邻法器使用时，获得 20 层凝金","triggeredEffect":{"trigger":"onItemUse","type":"applyBuff","buffId":"condensedMetal","count":20,"eventSource":{"target":{"type":"directional-adjacent","direction":"left"},"filter":{"categories":["implement"]}}}}}}</t>
        </is>
      </c>
    </row>
    <row r="1053" ht="32" customHeight="1">
      <c r="A1053" s="8" t="n">
        <v>413600</v>
      </c>
      <c r="B1053" s="8" t="inlineStr">
        <is>
          <t>羚蹄锁链镇纹器</t>
        </is>
      </c>
      <c r="C1053" s="8" t="inlineStr">
        <is>
          <t>法器</t>
        </is>
      </c>
      <c r="D1053" s="8" t="inlineStr">
        <is>
          <t>spirit</t>
        </is>
      </c>
      <c r="E1053" s="8" t="inlineStr">
        <is>
          <t>metal</t>
        </is>
      </c>
      <c r="F1053" s="8" t="n">
        <v>2</v>
      </c>
      <c r="G1053" s="8" t="inlineStr">
        <is>
          <t>基础/顶层</t>
        </is>
      </c>
      <c r="H1053" s="8" t="inlineStr"/>
      <c r="I1053" s="9" t="inlineStr"/>
      <c r="J1053" s="8" t="inlineStr"/>
      <c r="K1053" s="8" t="inlineStr"/>
      <c r="L1053" s="8" t="inlineStr"/>
      <c r="M1053" s="8" t="inlineStr">
        <is>
          <t>条件触发</t>
        </is>
      </c>
      <c r="N1053" s="8" t="inlineStr">
        <is>
          <t>triggered</t>
        </is>
      </c>
      <c r="O1053" s="9" t="inlineStr">
        <is>
          <t>右侧相邻法器使用时，获得 6 层敏捷；右侧相邻法器使用时，获得 10 层敏捷；右侧相邻法器使用时，获得 16 层敏捷；右侧相邻法器使用时，获得 20 层敏捷</t>
        </is>
      </c>
      <c r="P1053" s="9" t="inlineStr">
        <is>
          <t>onItemUse</t>
        </is>
      </c>
      <c r="Q1053" s="9" t="inlineStr">
        <is>
          <t>applyBuff；directional-adjacent</t>
        </is>
      </c>
      <c r="R1053" s="9" t="inlineStr">
        <is>
          <t>{"kind":"triggered","label":"右侧相邻法器使用时，获得 6 层敏捷","triggeredEffect":{"trigger":"onItemUse","type":"applyBuff","buffId":"agile","count":6,"eventSource":{"target":{"type":"directional-adjacent","direction":"right"},"filter":{"categories":["implement"]}}},"starOverrides":{"1":{"label":"右侧相邻法器使用时，获得 10 层敏捷","triggeredEffect":{"trigger":"onItemUse","type":"applyBuff","buffId":"agile","count":10,"eventSource":{"target":{"type":"directional-adjacent","direction":"right"},"filter":{"categories":["implement"]}}}},"2":{"label":"右侧相邻法器使用时，获得 16 层敏捷","triggeredEffect":{"trigger":"onItemUse","type":"applyBuff","buffId":"agile","count":16,"eventSource":{"target":{"type":"directional-adjacent","direction":"right"},"filter":{"categories":["implement"]}}}},"3":{"label":"右侧相邻法器使用时，获得 20 层敏捷","triggeredEffect":{"trigger":"onItemUse","type":"applyBuff","buffId":"agile","count":20,"eventSource":{"target":{"type":"directional-adjacent","direction":"right"},"filter":{"categories":["implement"]}}}}}}</t>
        </is>
      </c>
    </row>
    <row r="1054" ht="32" customHeight="1">
      <c r="A1054" s="8" t="n">
        <v>413601</v>
      </c>
      <c r="B1054" s="8" t="inlineStr">
        <is>
          <t>羚蹄锁链灵枢匣</t>
        </is>
      </c>
      <c r="C1054" s="8" t="inlineStr">
        <is>
          <t>法器</t>
        </is>
      </c>
      <c r="D1054" s="8" t="inlineStr">
        <is>
          <t>spirit</t>
        </is>
      </c>
      <c r="E1054" s="8" t="inlineStr">
        <is>
          <t>metal</t>
        </is>
      </c>
      <c r="F1054" s="8" t="n">
        <v>1</v>
      </c>
      <c r="G1054" s="8" t="inlineStr">
        <is>
          <t>基础/顶层</t>
        </is>
      </c>
      <c r="H1054" s="8" t="inlineStr"/>
      <c r="I1054" s="9" t="inlineStr"/>
      <c r="J1054" s="8" t="inlineStr"/>
      <c r="K1054" s="8" t="inlineStr"/>
      <c r="L1054" s="8" t="inlineStr"/>
      <c r="M1054" s="8" t="inlineStr">
        <is>
          <t>周期触发</t>
        </is>
      </c>
      <c r="N1054" s="8" t="inlineStr">
        <is>
          <t>periodicPulse</t>
        </is>
      </c>
      <c r="O1054" s="9" t="inlineStr">
        <is>
          <t>最多将 4 层凝金转化为 3 倍层数的敏捷；最多将 6 层凝金转化为 3 倍层数的敏捷；最多将 8 层凝金转化为 3 倍层数的敏捷；最多将 10 层凝金转化为 3 倍层数的敏捷</t>
        </is>
      </c>
      <c r="P1054" s="9" t="inlineStr">
        <is>
          <t>onPeriodicPulse</t>
        </is>
      </c>
      <c r="Q1054" s="9" t="inlineStr">
        <is>
          <t>convertBuffStacks</t>
        </is>
      </c>
      <c r="R1054" s="9" t="inlineStr">
        <is>
          <t>{"kind":"periodicPulse","label":"最多将 4 层凝金转化为 3 倍层数的敏捷","periodicPulse":{"intervalSec":12,"label":"最多将 4 层凝金转化为 3 倍层数的敏捷"},"executors":[{"trigger":"onPeriodicPulse","type":"convertBuffStacks","sourceBuffId":"condensedMetal","targetBuffId":"agile","maxStacks":4,"consumeRatio":3,"label":"最多将 4 层凝金转化为 3 倍层数的敏捷"}],"starOverrides":{"1":{"label":"最多将 6 层凝金转化为 3 倍层数的敏捷","periodicPulse":{"intervalSec":12,"label":"最多将 6 层凝金转化为 3 倍层数的敏捷"},"executors":[{"trigger":"onPeriodicPulse","type":"convertBuffStacks","sourceBuffId":"condensedMetal","targetBuffId":"agile","maxStacks":6,"consumeRatio":3,"label":"最多将 6 层凝金转化为 3 倍层数的敏捷"}]},"2":{"label":"最多将 8 层凝金转化为 3 倍层数的敏捷","periodicPulse":{"intervalSec":12,"label":"最多将 8 层凝金转化为 3 倍层数的敏捷"},"executors":[{"trigger":"onPeriodicPulse","type":"convertBuffStacks","sourceBuffId":"condensedMetal","targetBuffId":"agile","maxStacks":8,"consumeRatio":3,"label":"最多将 8 层凝金转化为 3 倍层数的敏捷"}]},"3":{"label":"最多将 10 层凝金转化为 3 倍层数的敏捷","periodicPulse":{"intervalSec":12,"label":"最多将 10 层凝金转化为 3 倍层数的敏捷"},"executors":[{"trigger":"onPeriodicPulse","type":"convertBuffStacks","sourceBuffId":"condensedMetal","targetBuffId":"agile","maxStacks":10,"consumeRatio":3,"label":"最多将 10 层凝金转化为 3 倍层数的敏捷"}]}}}</t>
        </is>
      </c>
    </row>
    <row r="1055" ht="32" customHeight="1">
      <c r="A1055" s="8" t="n">
        <v>413602</v>
      </c>
      <c r="B1055" s="8" t="inlineStr">
        <is>
          <t>对极铁砂镇纹器</t>
        </is>
      </c>
      <c r="C1055" s="8" t="inlineStr">
        <is>
          <t>法器</t>
        </is>
      </c>
      <c r="D1055" s="8" t="inlineStr">
        <is>
          <t>spirit</t>
        </is>
      </c>
      <c r="E1055" s="8" t="inlineStr">
        <is>
          <t>metal</t>
        </is>
      </c>
      <c r="F1055" s="8" t="n">
        <v>1</v>
      </c>
      <c r="G1055" s="8" t="inlineStr">
        <is>
          <t>基础/顶层</t>
        </is>
      </c>
      <c r="H1055" s="8" t="inlineStr"/>
      <c r="I1055" s="9" t="inlineStr"/>
      <c r="J1055" s="8" t="inlineStr"/>
      <c r="K1055" s="8" t="inlineStr"/>
      <c r="L1055" s="8" t="inlineStr"/>
      <c r="M1055" s="8" t="inlineStr">
        <is>
          <t>周期触发</t>
        </is>
      </c>
      <c r="N1055" s="8" t="inlineStr">
        <is>
          <t>periodicPulse</t>
        </is>
      </c>
      <c r="O1055" s="9" t="inlineStr">
        <is>
          <t>开局：位于储物袋顶部时，获得 30 层凝金；开局：位于储物袋顶部时，获得 40 层凝金；开局：位于储物袋顶部时，获得 50 层凝金；开局：位于储物袋顶部时，获得 60 层凝金</t>
        </is>
      </c>
      <c r="P1055" s="9" t="inlineStr"/>
      <c r="Q1055" s="9" t="inlineStr"/>
      <c r="R1055" s="9" t="inlineStr">
        <is>
          <t>{"kind":"periodicPulse","label":"开局：位于储物袋顶部时，获得 30 层凝金","periodicPulse":{"startOnly":true,"label":"开局：位于储物袋顶部时，获得 30 层凝金","buffGains":[{"buffId":"condensedMetal","count":30}]},"activationRequirements":{"sourceEdges":["top"]},"starOverrides":{"1":{"label":"开局：位于储物袋顶部时，获得 40 层凝金","periodicPulse":{"startOnly":true,"label":"开局：位于储物袋顶部时，获得 40 层凝金","buffGains":[{"buffId":"condensedMetal","count":40}]},"activationRequirements":{"sourceEdges":["top"]}},"2":{"label":"开局：位于储物袋顶部时，获得 50 层凝金","periodicPulse":{"startOnly":true,"label":"开局：位于储物袋顶部时，获得 50 层凝金","buffGains":[{"buffId":"condensedMetal","count":50}]},"activationRequirements":{"sourceEdges":["top"]}},"3":{"label":"开局：位于储物袋顶部时，获得 60 层凝金","periodicPulse":{"startOnly":true,"label":"开局：位于储物袋顶部时，获得 60 层凝金","buffGains":[{"buffId":"condensedMetal","count":60}]},"activationRequirements":{"sourceEdges":["top"]}}}}</t>
        </is>
      </c>
    </row>
    <row r="1056" ht="32" customHeight="1">
      <c r="A1056" s="8" t="n">
        <v>413602</v>
      </c>
      <c r="B1056" s="8" t="inlineStr">
        <is>
          <t>对极铁砂镇纹器</t>
        </is>
      </c>
      <c r="C1056" s="8" t="inlineStr">
        <is>
          <t>法器</t>
        </is>
      </c>
      <c r="D1056" s="8" t="inlineStr">
        <is>
          <t>spirit</t>
        </is>
      </c>
      <c r="E1056" s="8" t="inlineStr">
        <is>
          <t>metal</t>
        </is>
      </c>
      <c r="F1056" s="8" t="n">
        <v>2</v>
      </c>
      <c r="G1056" s="8" t="inlineStr">
        <is>
          <t>基础/顶层</t>
        </is>
      </c>
      <c r="H1056" s="8" t="inlineStr"/>
      <c r="I1056" s="9" t="inlineStr"/>
      <c r="J1056" s="8" t="inlineStr"/>
      <c r="K1056" s="8" t="inlineStr"/>
      <c r="L1056" s="8" t="inlineStr"/>
      <c r="M1056" s="8" t="inlineStr">
        <is>
          <t>周期触发</t>
        </is>
      </c>
      <c r="N1056" s="8" t="inlineStr">
        <is>
          <t>periodicPulse</t>
        </is>
      </c>
      <c r="O1056" s="9" t="inlineStr">
        <is>
          <t>开局：位于储物袋底部时，获得 30 层蓄势；开局：位于储物袋底部时，获得 40 层蓄势；开局：位于储物袋底部时，获得 50 层蓄势；开局：位于储物袋底部时，获得 60 层蓄势</t>
        </is>
      </c>
      <c r="P1056" s="9" t="inlineStr"/>
      <c r="Q1056" s="9" t="inlineStr"/>
      <c r="R1056" s="9" t="inlineStr">
        <is>
          <t>{"kind":"periodicPulse","label":"开局：位于储物袋底部时，获得 30 层蓄势","periodicPulse":{"startOnly":true,"label":"开局：位于储物袋底部时，获得 30 层蓄势","buffGains":[{"buffId":"heavy","count":30}]},"activationRequirements":{"sourceEdges":["bottom"]},"starOverrides":{"1":{"label":"开局：位于储物袋底部时，获得 40 层蓄势","periodicPulse":{"startOnly":true,"label":"开局：位于储物袋底部时，获得 40 层蓄势","buffGains":[{"buffId":"heavy","count":40}]},"activationRequirements":{"sourceEdges":["bottom"]}},"2":{"label":"开局：位于储物袋底部时，获得 50 层蓄势","periodicPulse":{"startOnly":true,"label":"开局：位于储物袋底部时，获得 50 层蓄势","buffGains":[{"buffId":"heavy","count":50}]},"activationRequirements":{"sourceEdges":["bottom"]}},"3":{"label":"开局：位于储物袋底部时，获得 60 层蓄势","periodicPulse":{"startOnly":true,"label":"开局：位于储物袋底部时，获得 60 层蓄势","buffGains":[{"buffId":"heavy","count":60}]},"activationRequirements":{"sourceEdges":["bottom"]}}}}</t>
        </is>
      </c>
    </row>
    <row r="1057" ht="32" customHeight="1">
      <c r="A1057" s="8" t="n">
        <v>413603</v>
      </c>
      <c r="B1057" s="8" t="inlineStr">
        <is>
          <t>对极铁砂灵枢匣</t>
        </is>
      </c>
      <c r="C1057" s="8" t="inlineStr">
        <is>
          <t>法器</t>
        </is>
      </c>
      <c r="D1057" s="8" t="inlineStr">
        <is>
          <t>spirit</t>
        </is>
      </c>
      <c r="E1057" s="8" t="inlineStr">
        <is>
          <t>metal</t>
        </is>
      </c>
      <c r="F1057" s="8" t="n">
        <v>1</v>
      </c>
      <c r="G1057" s="8" t="inlineStr">
        <is>
          <t>基础/顶层</t>
        </is>
      </c>
      <c r="H1057" s="8" t="inlineStr"/>
      <c r="I1057" s="9" t="inlineStr"/>
      <c r="J1057" s="8" t="inlineStr"/>
      <c r="K1057" s="8" t="inlineStr"/>
      <c r="L1057" s="8" t="inlineStr"/>
      <c r="M1057" s="8" t="inlineStr">
        <is>
          <t>周期触发</t>
        </is>
      </c>
      <c r="N1057" s="8" t="inlineStr">
        <is>
          <t>periodicPulse</t>
        </is>
      </c>
      <c r="O1057" s="9" t="inlineStr">
        <is>
          <t>每有 1 件相邻的金或土属性道具，获得 8 层敏捷，最多计算 3 件；每有 1 件相邻的金或土属性道具，获得 12 层敏捷，最多计算 3 件；每有 1 件相邻的金或土属性道具，获得 16 层敏捷，最多计算 3 件；每有 1 件相邻的金或土属性道具，获得 20 层敏捷，最多计算 3 件</t>
        </is>
      </c>
      <c r="P1057" s="9" t="inlineStr"/>
      <c r="Q1057" s="9" t="inlineStr"/>
      <c r="R1057" s="9" t="inlineStr">
        <is>
          <t>{"kind":"periodicPulse","label":"每有 1 件相邻的金或土属性道具，获得 8 层敏捷，最多计算 3 件","periodicPulse":{"intervalSec":12,"label":"每有 1 件相邻的金或土属性道具，获得 8 层敏捷，最多计算 3 件","buffGains":[{"buffId":"agile","count":8}],"scaling":{"mode":"count","source":"adjacentItems","elements":["metal","earth"],"maxCount":3}},"starOverrides":{"1":{"label":"每有 1 件相邻的金或土属性道具，获得 12 层敏捷，最多计算 3 件","periodicPulse":{"intervalSec":12,"label":"每有 1 件相邻的金或土属性道具，获得 12 层敏捷，最多计算 3 件","buffGains":[{"buffId":"agile","count":12}],"scaling":{"mode":"count","source":"adjacentItems","elements":["metal","earth"],"maxCount":3}}},"2":{"label":"每有 1 件相邻的金或土属性道具，获得 16 层敏捷，最多计算 3 件","periodicPulse":{"intervalSec":12,"label":"每有 1 件相邻的金或土属性道具，获得 16 层敏捷，最多计算 3 件","buffGains":[{"buffId":"agile","count":16}],"scaling":{"mode":"count","source":"adjacentItems","elements":["metal","earth"],"maxCount":3}}},"3":{"label":"每有 1 件相邻的金或土属性道具，获得 20 层敏捷，最多计算 3 件","periodicPulse":{"intervalSec":12,"label":"每有 1 件相邻的金或土属性道具，获得 20 层敏捷，最多计算 3 件","buffGains":[{"buffId":"agile","count":20}],"scaling":{"mode":"count","source":"adjacentItems","elements":["metal","earth"],"maxCount":3}}}}}</t>
        </is>
      </c>
    </row>
    <row r="1058" ht="32" customHeight="1">
      <c r="A1058" s="8" t="n">
        <v>413604</v>
      </c>
      <c r="B1058" s="8" t="inlineStr">
        <is>
          <t>铁扣羚心镇纹器</t>
        </is>
      </c>
      <c r="C1058" s="8" t="inlineStr">
        <is>
          <t>法器</t>
        </is>
      </c>
      <c r="D1058" s="8" t="inlineStr">
        <is>
          <t>spirit</t>
        </is>
      </c>
      <c r="E1058" s="8" t="inlineStr">
        <is>
          <t>fire</t>
        </is>
      </c>
      <c r="F1058" s="8" t="n">
        <v>1</v>
      </c>
      <c r="G1058" s="8" t="inlineStr">
        <is>
          <t>基础/顶层</t>
        </is>
      </c>
      <c r="H1058" s="8" t="inlineStr"/>
      <c r="I1058" s="9" t="inlineStr"/>
      <c r="J1058" s="8" t="inlineStr"/>
      <c r="K1058" s="8" t="inlineStr"/>
      <c r="L1058" s="8" t="inlineStr"/>
      <c r="M1058" s="8" t="inlineStr">
        <is>
          <t>周期触发</t>
        </is>
      </c>
      <c r="N1058" s="8" t="inlineStr">
        <is>
          <t>periodicPulse</t>
        </is>
      </c>
      <c r="O1058" s="9" t="inlineStr">
        <is>
          <t>将 80 点体力转化为 40 层炎热；将 80 点体力转化为 50 层炎热；将 80 点体力转化为 60 层炎热；将 80 点体力转化为 70 层炎热</t>
        </is>
      </c>
      <c r="P1058" s="9" t="inlineStr"/>
      <c r="Q1058" s="9" t="inlineStr"/>
      <c r="R1058" s="9" t="inlineStr">
        <is>
          <t>{"kind":"periodicPulse","label":"将 80 点体力转化为 40 层炎热","periodicPulse":{"intervalSec":12,"label":"将 80 点体力转化为 40 层炎热","primaryStatCosts":[{"stat":"stamina","amount":80}],"buffGains":[{"buffId":"heat","count":40}]},"starOverrides":{"1":{"label":"将 80 点体力转化为 50 层炎热","periodicPulse":{"intervalSec":11,"label":"将 80 点体力转化为 50 层炎热","primaryStatCosts":[{"stat":"stamina","amount":80}],"buffGains":[{"buffId":"heat","count":50}]}},"2":{"label":"将 80 点体力转化为 60 层炎热","periodicPulse":{"intervalSec":10,"label":"将 80 点体力转化为 60 层炎热","primaryStatCosts":[{"stat":"stamina","amount":80}],"buffGains":[{"buffId":"heat","count":60}]}},"3":{"label":"将 80 点体力转化为 70 层炎热","periodicPulse":{"intervalSec":9,"label":"将 80 点体力转化为 70 层炎热","primaryStatCosts":[{"stat":"stamina","amount":80}],"buffGains":[{"buffId":"heat","count":70}]}}}}</t>
        </is>
      </c>
    </row>
    <row r="1059" ht="32" customHeight="1">
      <c r="A1059" s="8" t="n">
        <v>413605</v>
      </c>
      <c r="B1059" s="8" t="inlineStr">
        <is>
          <t>铁扣羚心灵枢匣</t>
        </is>
      </c>
      <c r="C1059" s="8" t="inlineStr">
        <is>
          <t>法器</t>
        </is>
      </c>
      <c r="D1059" s="8" t="inlineStr">
        <is>
          <t>spirit</t>
        </is>
      </c>
      <c r="E1059" s="8" t="inlineStr">
        <is>
          <t>fire</t>
        </is>
      </c>
      <c r="F1059" s="8" t="n">
        <v>1</v>
      </c>
      <c r="G1059" s="8" t="inlineStr">
        <is>
          <t>基础/顶层</t>
        </is>
      </c>
      <c r="H1059" s="8" t="inlineStr"/>
      <c r="I1059" s="9" t="inlineStr"/>
      <c r="J1059" s="8" t="inlineStr"/>
      <c r="K1059" s="8" t="inlineStr"/>
      <c r="L1059" s="8" t="inlineStr"/>
      <c r="M1059" s="8" t="inlineStr">
        <is>
          <t>周期触发</t>
        </is>
      </c>
      <c r="N1059" s="8" t="inlineStr">
        <is>
          <t>periodicPulse</t>
        </is>
      </c>
      <c r="O1059" s="9" t="inlineStr">
        <is>
          <t>每有 1 层炎热，使相邻法器获得 0.5 秒加速，最多计算 6 层；每有 1 层炎热，使相邻法器获得 0.5 秒加速，最多计算 8 层；每有 1 层炎热，使相邻法器获得 0.5 秒加速，最多计算 10 层；每有 1 层炎热，使相邻法器获得 0.5 秒加速，最多计算 12 层</t>
        </is>
      </c>
      <c r="P1059" s="9" t="inlineStr"/>
      <c r="Q1059" s="9" t="inlineStr"/>
      <c r="R1059" s="9" t="inlineStr">
        <is>
          <t>{"kind":"periodicPulse","label":"每有 1 层炎热，使相邻法器获得 0.5 秒加速，最多计算 6 层","periodicPulse":{"intervalSec":15,"label":"每有 1 层炎热，使相邻法器获得 0.5 秒加速，最多计算 6 层","itemRuntimeStatusEffects":[{"itemRuntimeStatus":"haste","durationSec":0,"targetScope":"adjacent","targetFilter":{"categories":["implement"]},"durationPerSourceBuffStack":{"buffId":"heat","valuePerStack":0.5,"maxStacks":6}}]},"starOverrides":{"1":{"label":"每有 1 层炎热，使相邻法器获得 0.5 秒加速，最多计算 8 层","periodicPulse":{"intervalSec":15,"label":"每有 1 层炎热，使相邻法器获得 0.5 秒加速，最多计算 8 层","itemRuntimeStatusEffects":[{"itemRuntimeStatus":"haste","durationSec":0,"targetScope":"adjacent","targetFilter":{"categories":["implement"]},"durationPerSourceBuffStack":{"buffId":"heat","valuePerStack":0.5,"maxStacks":8}}]}},"2":{"label":"每有 1 层炎热，使相邻法器获得 0.5 秒加速，最多计算 10 层","periodicPulse":{"intervalSec":15,"label":"每有 1 层炎热，使相邻法器获得 0.5 秒加速，最多计算 10 层","itemRuntimeStatusEffects":[{"itemRuntimeStatus":"haste","durationSec":0,"targetScope":"adjacent","targetFilter":{"categories":["implement"]},"durationPerSourceBuffStack":{"buffId":"heat","valuePerStack":0.5,"maxStacks":10}}]}},"3":{"label":"每有 1 层炎热，使相邻法器获得 0.5 秒加速，最多计算 12 层","periodicPulse":{"intervalSec":15,"label":"每有 1 层炎热，使相邻法器获得 0.5 秒加速，最多计算 12 层","itemRuntimeStatusEffects":[{"itemRuntimeStatus":"haste","durationSec":0,"targetScope":"adjacent","targetFilter":{"categories":["implement"]},"durationPerSourceBuffStack":{"buffId":"heat","valuePerStack":0.5,"maxStacks":12}}]}}}}</t>
        </is>
      </c>
    </row>
    <row r="1060" ht="32" customHeight="1">
      <c r="A1060" s="8" t="n">
        <v>414100</v>
      </c>
      <c r="B1060" s="8" t="inlineStr">
        <is>
          <t>盘卷腰筋铸护器</t>
        </is>
      </c>
      <c r="C1060" s="8" t="inlineStr">
        <is>
          <t>法器</t>
        </is>
      </c>
      <c r="D1060" s="8" t="inlineStr">
        <is>
          <t>spirit</t>
        </is>
      </c>
      <c r="E1060" s="8" t="inlineStr">
        <is>
          <t>fire</t>
        </is>
      </c>
      <c r="F1060" s="8" t="n">
        <v>1</v>
      </c>
      <c r="G1060" s="8" t="inlineStr">
        <is>
          <t>基础/顶层</t>
        </is>
      </c>
      <c r="H1060" s="8" t="inlineStr"/>
      <c r="I1060" s="9" t="inlineStr"/>
      <c r="J1060" s="8" t="inlineStr"/>
      <c r="K1060" s="8" t="inlineStr"/>
      <c r="L1060" s="8" t="inlineStr"/>
      <c r="M1060" s="8" t="inlineStr">
        <is>
          <t>条件触发</t>
        </is>
      </c>
      <c r="N1060" s="8" t="inlineStr">
        <is>
          <t>triggered</t>
        </is>
      </c>
      <c r="O1060" s="9" t="inlineStr">
        <is>
          <t>单次消耗不少于 30 点体力时，获得 20 层护甲；单次消耗不少于 60 点体力时，获得 26 层护甲；单次消耗不少于 60 点体力时，获得 30 层护甲；单次消耗不少于 60 点体力时，获得 36 层护甲</t>
        </is>
      </c>
      <c r="P1060" s="9" t="inlineStr">
        <is>
          <t>onPrimaryStatConsumed</t>
        </is>
      </c>
      <c r="Q1060" s="9" t="inlineStr">
        <is>
          <t>applyBuff</t>
        </is>
      </c>
      <c r="R1060" s="9" t="inlineStr">
        <is>
          <t>{"kind":"triggered","label":"单次消耗不少于 30 点体力时，获得 20 层护甲","triggeredEffect":{"trigger":"onPrimaryStatConsumed","type":"applyBuff","buffId":"armor","count":20,"minEventPrimaryStatConsumed":{"stat":"stamina","amount":30}},"starOverrides":{"1":{"label":"单次消耗不少于 60 点体力时，获得 26 层护甲","triggeredEffect":{"trigger":"onPrimaryStatConsumed","type":"applyBuff","buffId":"armor","count":26,"minEventPrimaryStatConsumed":{"stat":"stamina","amount":60}}},"2":{"label":"单次消耗不少于 60 点体力时，获得 30 层护甲","triggeredEffect":{"trigger":"onPrimaryStatConsumed","type":"applyBuff","buffId":"armor","count":30,"minEventPrimaryStatConsumed":{"stat":"stamina","amount":60}}},"3":{"label":"单次消耗不少于 60 点体力时，获得 36 层护甲","triggeredEffect":{"trigger":"onPrimaryStatConsumed","type":"applyBuff","buffId":"armor","count":36,"minEventPrimaryStatConsumed":{"stat":"stamina","amount":60}}}}}</t>
        </is>
      </c>
    </row>
    <row r="1061" ht="32" customHeight="1">
      <c r="A1061" s="8" t="n">
        <v>414100</v>
      </c>
      <c r="B1061" s="8" t="inlineStr">
        <is>
          <t>盘卷腰筋铸护器</t>
        </is>
      </c>
      <c r="C1061" s="8" t="inlineStr">
        <is>
          <t>法器</t>
        </is>
      </c>
      <c r="D1061" s="8" t="inlineStr">
        <is>
          <t>spirit</t>
        </is>
      </c>
      <c r="E1061" s="8" t="inlineStr">
        <is>
          <t>fire</t>
        </is>
      </c>
      <c r="F1061" s="8" t="n">
        <v>2</v>
      </c>
      <c r="G1061" s="8" t="inlineStr">
        <is>
          <t>基础/顶层</t>
        </is>
      </c>
      <c r="H1061" s="8" t="inlineStr"/>
      <c r="I1061" s="9" t="inlineStr"/>
      <c r="J1061" s="8" t="inlineStr"/>
      <c r="K1061" s="8" t="inlineStr"/>
      <c r="L1061" s="8" t="inlineStr"/>
      <c r="M1061" s="8" t="inlineStr">
        <is>
          <t>被动效果</t>
        </is>
      </c>
      <c r="N1061" s="8" t="inlineStr">
        <is>
          <t>passive</t>
        </is>
      </c>
      <c r="O1061" s="9" t="inlineStr">
        <is>
          <t>体力上限 +40；体力上限 +50；体力上限 +60；体力上限 +70</t>
        </is>
      </c>
      <c r="P1061" s="9" t="inlineStr"/>
      <c r="Q1061" s="9" t="inlineStr">
        <is>
          <t>primaryStatMaxFlatBonuses</t>
        </is>
      </c>
      <c r="R1061" s="9" t="inlineStr">
        <is>
          <t>{"kind":"passive","label":"体力上限 +40","passiveEffect":{"type":"primaryStatMaxFlatBonuses","bonuses":[{"stat":"stamina","value":40}],"label":"体力上限 +40"},"starOverrides":{"1":{"label":"体力上限 +50","passiveEffect":{"type":"primaryStatMaxFlatBonuses","bonuses":[{"stat":"stamina","value":50}],"label":"体力上限 +50"}},"2":{"label":"体力上限 +60","passiveEffect":{"type":"primaryStatMaxFlatBonuses","bonuses":[{"stat":"stamina","value":60}],"label":"体力上限 +60"}},"3":{"label":"体力上限 +70","passiveEffect":{"type":"primaryStatMaxFlatBonuses","bonuses":[{"stat":"stamina","value":70}],"label":"体力上限 +70"}}}}</t>
        </is>
      </c>
    </row>
    <row r="1062" ht="32" customHeight="1">
      <c r="A1062" s="8" t="n">
        <v>414101</v>
      </c>
      <c r="B1062" s="8" t="inlineStr">
        <is>
          <t>滚压髋骨铸护器</t>
        </is>
      </c>
      <c r="C1062" s="8" t="inlineStr">
        <is>
          <t>法器</t>
        </is>
      </c>
      <c r="D1062" s="8" t="inlineStr">
        <is>
          <t>spirit</t>
        </is>
      </c>
      <c r="E1062" s="8" t="inlineStr">
        <is>
          <t>earth</t>
        </is>
      </c>
      <c r="F1062" s="8" t="n">
        <v>1</v>
      </c>
      <c r="G1062" s="8" t="inlineStr">
        <is>
          <t>基础/顶层</t>
        </is>
      </c>
      <c r="H1062" s="8" t="inlineStr"/>
      <c r="I1062" s="9" t="inlineStr"/>
      <c r="J1062" s="8" t="inlineStr"/>
      <c r="K1062" s="8" t="inlineStr"/>
      <c r="L1062" s="8" t="inlineStr"/>
      <c r="M1062" s="8" t="inlineStr">
        <is>
          <t>周期触发</t>
        </is>
      </c>
      <c r="N1062" s="8" t="inlineStr">
        <is>
          <t>periodicPulse</t>
        </is>
      </c>
      <c r="O1062" s="9" t="inlineStr">
        <is>
          <t>自身每有 1 层蓄势，对敌方造成 5 点伤害，最多计算 20 层；自身每有 1 层蓄势，对敌方造成 5 点伤害，最多计算 24 层；自身每有 1 层蓄势，对敌方造成 5 点伤害，最多计算 28 层；自身每有 1 层蓄势，对敌方造成 5 点伤害，最多计算 32 层</t>
        </is>
      </c>
      <c r="P1062" s="9" t="inlineStr"/>
      <c r="Q1062" s="9" t="inlineStr"/>
      <c r="R1062" s="9" t="inlineStr">
        <is>
          <t>{"kind":"periodicPulse","label":"&lt;battle&gt;自身每有 1 层蓄势，对敌方造成 5 点伤害，最多计算 20 层&lt;/battle&gt;","periodicPulse":{"intervalSec":12,"label":"&lt;battle&gt;自身每有 1 层蓄势，对敌方造成 5 点伤害，最多计算 20 层&lt;/battle&gt;","damageHealth":{"target":"enemy","amount":0,"amountPerSourceBuffStack":{"buffId":"heavy","valuePerStack":5,"maxStacks":20}}},"starOverrides":{"1":{"label":"&lt;battle&gt;自身每有 1 层蓄势，对敌方造成 5 点伤害，最多计算 24 层&lt;/battle&gt;","periodicPulse":{"intervalSec":12,"label":"&lt;battle&gt;自身每有 1 层蓄势，对敌方造成 5 点伤害，最多计算 24 层&lt;/battle&gt;","damageHealth":{"target":"enemy","amount":0,"amountPerSourceBuffStack":{"buffId":"heavy","valuePerStack":5,"maxStacks":24}}}},"2":{"label":"&lt;battle&gt;自身每有 1 层蓄势，对敌方造成 5 点伤害，最多计算 28 层&lt;/battle&gt;","periodicPulse":{"intervalSec":12,"label":"&lt;battle&gt;自身每有 1 层蓄势，对敌方造成 5 点伤害，最多计算 28 层&lt;/battle&gt;","damageHealth":{"target":"enemy","amount":0,"amountPerSourceBuffStack":{"buffId":"heavy","valuePerStack":5,"maxStacks":28}}}},"3":{"label":"&lt;battle&gt;自身每有 1 层蓄势，对敌方造成 5 点伤害，最多计算 32 层&lt;/battle&gt;","periodicPulse":{"intervalSec":12,"label":"&lt;battle&gt;自身每有 1 层蓄势，对敌方造成 5 点伤害，最多计算 32 层&lt;/battle&gt;","damageHealth":{"target":"enemy","amount":0,"amountPerSourceBuffStack":{"buffId":"heavy","valuePerStack":5,"maxStacks":32}}}}}}</t>
        </is>
      </c>
    </row>
    <row r="1063" ht="32" customHeight="1">
      <c r="A1063" s="8" t="n">
        <v>414101</v>
      </c>
      <c r="B1063" s="8" t="inlineStr">
        <is>
          <t>滚压髋骨铸护器</t>
        </is>
      </c>
      <c r="C1063" s="8" t="inlineStr">
        <is>
          <t>法器</t>
        </is>
      </c>
      <c r="D1063" s="8" t="inlineStr">
        <is>
          <t>spirit</t>
        </is>
      </c>
      <c r="E1063" s="8" t="inlineStr">
        <is>
          <t>earth</t>
        </is>
      </c>
      <c r="F1063" s="8" t="n">
        <v>2</v>
      </c>
      <c r="G1063" s="8" t="inlineStr">
        <is>
          <t>基础/顶层</t>
        </is>
      </c>
      <c r="H1063" s="8" t="inlineStr"/>
      <c r="I1063" s="9" t="inlineStr"/>
      <c r="J1063" s="8" t="inlineStr"/>
      <c r="K1063" s="8" t="inlineStr"/>
      <c r="L1063" s="8" t="inlineStr"/>
      <c r="M1063" s="8" t="inlineStr">
        <is>
          <t>被动效果</t>
        </is>
      </c>
      <c r="N1063" s="8" t="inlineStr">
        <is>
          <t>passive</t>
        </is>
      </c>
      <c r="O1063" s="9" t="inlineStr">
        <is>
          <t>蓄势层数上限 +20；蓄势层数上限 +25；蓄势层数上限 +30；蓄势层数上限 +35</t>
        </is>
      </c>
      <c r="P1063" s="9" t="inlineStr"/>
      <c r="Q1063" s="9" t="inlineStr">
        <is>
          <t>buffStackCapBonus</t>
        </is>
      </c>
      <c r="R1063" s="9" t="inlineStr">
        <is>
          <t>{"kind":"passive","label":"蓄势层数上限 +20","passiveEffect":{"type":"buffStackCapBonus","buffId":"heavy","value":20,"label":"蓄势层数上限 +20"},"starOverrides":{"1":{"label":"蓄势层数上限 +25","passiveEffect":{"type":"buffStackCapBonus","buffId":"heavy","value":25,"label":"蓄势层数上限 +25"}},"2":{"label":"蓄势层数上限 +30","passiveEffect":{"type":"buffStackCapBonus","buffId":"heavy","value":30,"label":"蓄势层数上限 +30"}},"3":{"label":"蓄势层数上限 +35","passiveEffect":{"type":"buffStackCapBonus","buffId":"heavy","value":35,"label":"蓄势层数上限 +35"}}}}</t>
        </is>
      </c>
    </row>
    <row r="1064" ht="32" customHeight="1">
      <c r="A1064" s="8" t="n">
        <v>414102</v>
      </c>
      <c r="B1064" s="8" t="inlineStr">
        <is>
          <t>赤纹鼻甲铸护器</t>
        </is>
      </c>
      <c r="C1064" s="8" t="inlineStr">
        <is>
          <t>法器</t>
        </is>
      </c>
      <c r="D1064" s="8" t="inlineStr">
        <is>
          <t>spirit</t>
        </is>
      </c>
      <c r="E1064" s="8" t="inlineStr">
        <is>
          <t>fire</t>
        </is>
      </c>
      <c r="F1064" s="8" t="n">
        <v>1</v>
      </c>
      <c r="G1064" s="8" t="inlineStr">
        <is>
          <t>基础/顶层</t>
        </is>
      </c>
      <c r="H1064" s="8" t="inlineStr"/>
      <c r="I1064" s="9" t="inlineStr"/>
      <c r="J1064" s="8" t="inlineStr"/>
      <c r="K1064" s="8" t="inlineStr"/>
      <c r="L1064" s="8" t="inlineStr"/>
      <c r="M1064" s="8" t="inlineStr">
        <is>
          <t>周期触发</t>
        </is>
      </c>
      <c r="N1064" s="8" t="inlineStr">
        <is>
          <t>periodicPulse</t>
        </is>
      </c>
      <c r="O1064" s="9" t="inlineStr">
        <is>
          <t>当敏捷层数不少于 30 层时，将 60 点法力转化为 15 层炎热；当敏捷层数不少于 30 层时，将 60 点法力转化为 40 层炎热；当敏捷层数不少于 30 层时，将 60 点法力转化为 50 层炎热；当敏捷层数不少于 30 层时，将 60 点法力转化为 60 层炎热</t>
        </is>
      </c>
      <c r="P1064" s="9" t="inlineStr"/>
      <c r="Q1064" s="9" t="inlineStr"/>
      <c r="R1064" s="9" t="inlineStr">
        <is>
          <t>{"kind":"periodicPulse","label":"当敏捷层数不少于 30 层时，将 60 点法力转化为 15 层炎热","periodicPulse":{"intervalSec":10,"label":"当敏捷层数不少于 30 层时，将 60 点法力转化为 15 层炎热","primaryStatCosts":[{"stat":"mana","amount":60}],"buffGains":[{"buffId":"heat","count":15}],"activationRequirements":{"buffStackThresholds":[{"buffId":"agile","comparator":"atLeast","count":30}]}},"starOverrides":{"1":{"label":"当敏捷层数不少于 30 层时，将 60 点法力转化为 40 层炎热","periodicPulse":{"intervalSec":10,"label":"当敏捷层数不少于 30 层时，将 60 点法力转化为 40 层炎热","primaryStatCosts":[{"stat":"mana","amount":60}],"buffGains":[{"buffId":"heat","count":40}],"activationRequirements":{"buffStackThresholds":[{"buffId":"agile","comparator":"atLeast","count":30}]}},"activationRequirements":{"buffStackThresholds":[{"buffId":"agile","comparator":"atLeast","count":30}]}},"2":{"label":"当敏捷层数不少于 30 层时，将 60 点法力转化为 50 层炎热","periodicPulse":{"intervalSec":10,"label":"当敏捷层数不少于 30 层时，将 60 点法力转化为 50 层炎热","primaryStatCosts":[{"stat":"mana","amount":60}],"buffGains":[{"buffId":"heat","count":50}],"activationRequirements":{"buffStackThresholds":[{"buffId":"agile","comparator":"atLeast","count":30}]}},"activationRequirements":{"buffStackThresholds":[{"buffId":"agile","comparator":"atLeast","count":30}]}},"3":{"label":"当敏捷层数不少于 30 层时，将 60 点法力转化为 60 层炎热","periodicPulse":{"intervalSec":10,"label":"当敏捷层数不少于 30 层时，将 60 点法力转化为 60 层炎热","primaryStatCosts":[{"stat":"mana","amount":60}],"buffGains":[{"buffId":"heat","count":60}],"activationRequirements":{"buffStackThresholds":[{"buffId":"agile","comparator":"atLeast","count":30}]}},"activationRequirements":{"buffStackThresholds":[{"buffId":"agile","comparator":"atLeast","count":30}]}}},"activationRequirements":{"buffStackThresholds":[{"buffId":"agile","comparator":"atLeast","count":30}]}}</t>
        </is>
      </c>
    </row>
    <row r="1065" ht="32" customHeight="1">
      <c r="A1065" s="8" t="n">
        <v>414103</v>
      </c>
      <c r="B1065" s="8" t="inlineStr">
        <is>
          <t>赤纹鼻甲回旋引势刃</t>
        </is>
      </c>
      <c r="C1065" s="8" t="inlineStr">
        <is>
          <t>法器</t>
        </is>
      </c>
      <c r="D1065" s="8" t="inlineStr">
        <is>
          <t>spirit</t>
        </is>
      </c>
      <c r="E1065" s="8" t="inlineStr">
        <is>
          <t>fire</t>
        </is>
      </c>
      <c r="F1065" s="8" t="n">
        <v>1</v>
      </c>
      <c r="G1065" s="8" t="inlineStr">
        <is>
          <t>基础/顶层</t>
        </is>
      </c>
      <c r="H1065" s="8" t="inlineStr"/>
      <c r="I1065" s="9" t="inlineStr"/>
      <c r="J1065" s="8" t="inlineStr"/>
      <c r="K1065" s="8" t="inlineStr"/>
      <c r="L1065" s="8" t="inlineStr"/>
      <c r="M1065" s="8" t="inlineStr">
        <is>
          <t>条件触发</t>
        </is>
      </c>
      <c r="N1065" s="8" t="inlineStr">
        <is>
          <t>triggered</t>
        </is>
      </c>
      <c r="O1065" s="9" t="inlineStr">
        <is>
          <t>相邻符箓耗尽时，对敌方施加 16 层灼烧，如果敌方炎热层数超过 30 层，则效果翻倍；相邻符箓耗尽时，对敌方施加 20 层灼烧，如果敌方炎热层数超过 30 层，则效果翻倍；相邻符箓耗尽时，对敌方施加 26 层灼烧，如果敌方炎热层数超过 30 层，则效果翻倍；相邻符箓耗尽时，对敌方施加 30 层灼烧，如果敌方炎热层数超过 30 层，则效果翻倍</t>
        </is>
      </c>
      <c r="P1065" s="9" t="inlineStr">
        <is>
          <t>onConsumableExhausted</t>
        </is>
      </c>
      <c r="Q1065" s="9" t="inlineStr">
        <is>
          <t>applyBuff；adjacent；targetBuffStacksGreaterThan</t>
        </is>
      </c>
      <c r="R1065" s="9" t="inlineStr">
        <is>
          <t>{"kind":"triggered","label":"&lt;battle&gt;相邻符箓耗尽时，对敌方施加 16 层灼烧，如果敌方炎热层数超过 30 层，则效果翻倍&lt;/battle&gt;","triggeredEffect":{"trigger":"onConsumableExhausted","type":"applyBuff","buffId":"burning","count":16,"targetActor":"enemy","eventSource":{"target":{"type":"adjacent"},"filter":{"categories":["talisman"]}},"support":"battleOnly","conditionalCountMultiplier":{"type":"targetBuffStacksGreaterThan","buffId":"heat","count":30,"multiplier":2}},"starOverrides":{"1":{"label":"&lt;battle&gt;相邻符箓耗尽时，对敌方施加 20 层灼烧，如果敌方炎热层数超过 30 层，则效果翻倍&lt;/battle&gt;","triggeredEffect":{"trigger":"onConsumableExhausted","type":"applyBuff","buffId":"burning","count":20,"targetActor":"enemy","eventSource":{"target":{"type":"adjacent"},"filter":{"categories":["talisman"]}},"support":"battleOnly","conditionalCountMultiplier":{"type":"targetBuffStacksGreaterThan","buffId":"heat","count":30,"multiplier":2}}},"2":{"label":"&lt;battle&gt;相邻符箓耗尽时，对敌方施加 26 层灼烧，如果敌方炎热层数超过 30 层，则效果翻倍&lt;/battle&gt;","triggeredEffect":{"trigger":"onConsumableExhausted","type":"applyBuff","buffId":"burning","count":26,"targetActor":"enemy","eventSource":{"target":{"type":"adjacent"},"filter":{"categories":["talisman"]}},"support":"battleOnly","conditionalCountMultiplier":{"type":"targetBuffStacksGreaterThan","buffId":"heat","count":30,"multiplier":2}}},"3":{"label":"&lt;battle&gt;相邻符箓耗尽时，对敌方施加 30 层灼烧，如果敌方炎热层数超过 30 层，则效果翻倍&lt;/battle&gt;","triggeredEffect":{"trigger":"onConsumableExhausted","type":"applyBuff","buffId":"burning","count":30,"targetActor":"enemy","eventSource":{"target":{"type":"adjacent"},"filter":{"categories":["talisman"]}},"support":"battleOnly","conditionalCountMultiplier":{"type":"targetBuffStacksGreaterThan","buffId":"heat","count":30,"multiplier":2}}}}}</t>
        </is>
      </c>
    </row>
    <row r="1066" ht="32" customHeight="1">
      <c r="A1066" s="8" t="n">
        <v>414500</v>
      </c>
      <c r="B1066" s="8" t="inlineStr">
        <is>
          <t>风听耳羽铸护器</t>
        </is>
      </c>
      <c r="C1066" s="8" t="inlineStr">
        <is>
          <t>法器</t>
        </is>
      </c>
      <c r="D1066" s="8" t="inlineStr">
        <is>
          <t>spirit</t>
        </is>
      </c>
      <c r="E1066" s="8" t="inlineStr">
        <is>
          <t>none</t>
        </is>
      </c>
      <c r="F1066" s="8" t="n">
        <v>1</v>
      </c>
      <c r="G1066" s="8" t="inlineStr">
        <is>
          <t>基础/顶层</t>
        </is>
      </c>
      <c r="H1066" s="8" t="inlineStr"/>
      <c r="I1066" s="9" t="inlineStr"/>
      <c r="J1066" s="8" t="inlineStr"/>
      <c r="K1066" s="8" t="inlineStr"/>
      <c r="L1066" s="8" t="inlineStr"/>
      <c r="M1066" s="8" t="inlineStr">
        <is>
          <t>周期触发</t>
        </is>
      </c>
      <c r="N1066" s="8" t="inlineStr">
        <is>
          <t>periodicPulse</t>
        </is>
      </c>
      <c r="O1066" s="9" t="inlineStr">
        <is>
          <t>开局：如果闪避层数不少于 20 层，则获得 10 层敏捷；开局：如果闪避层数不少于 20 层，则获得 26 层敏捷；开局：如果闪避层数不少于 20 层，则获得 30 层敏捷；开局：如果闪避层数不少于 20 层，则获得 36 层敏捷</t>
        </is>
      </c>
      <c r="P1066" s="9" t="inlineStr"/>
      <c r="Q1066" s="9" t="inlineStr"/>
      <c r="R1066" s="9" t="inlineStr">
        <is>
          <t>{"kind":"periodicPulse","label":"开局：如果闪避层数不少于 20 层，则获得 10 层敏捷","periodicPulse":{"startOnly":true,"label":"开局：如果闪避层数不少于 20 层，则获得 10 层敏捷","buffGains":[{"buffId":"agile","count":10}],"activationRequirements":{"buffStackThresholds":[{"buffId":"dodge","comparator":"atLeast","count":20}]}},"starOverrides":{"1":{"label":"开局：如果闪避层数不少于 20 层，则获得 26 层敏捷","periodicPulse":{"startOnly":true,"label":"开局：如果闪避层数不少于 20 层，则获得 26 层敏捷","buffGains":[{"buffId":"agile","count":26}],"activationRequirements":{"buffStackThresholds":[{"buffId":"dodge","comparator":"atLeast","count":20}]}},"activationRequirements":{"buffStackThresholds":[{"buffId":"dodge","comparator":"atLeast","count":20}]}},"2":{"label":"开局：如果闪避层数不少于 20 层，则获得 30 层敏捷","periodicPulse":{"startOnly":true,"label":"开局：如果闪避层数不少于 20 层，则获得 30 层敏捷","buffGains":[{"buffId":"agile","count":30}],"activationRequirements":{"buffStackThresholds":[{"buffId":"dodge","comparator":"atLeast","count":20}]}},"activationRequirements":{"buffStackThresholds":[{"buffId":"dodge","comparator":"atLeast","count":20}]}},"3":{"label":"开局：如果闪避层数不少于 20 层，则获得 36 层敏捷","periodicPulse":{"startOnly":true,"label":"开局：如果闪避层数不少于 20 层，则获得 36 层敏捷","buffGains":[{"buffId":"agile","count":36}],"activationRequirements":{"buffStackThresholds":[{"buffId":"dodge","comparator":"atLeast","count":20}]}},"activationRequirements":{"buffStackThresholds":[{"buffId":"dodge","comparator":"atLeast","count":20}]}}},"activationRequirements":{"buffStackThresholds":[{"buffId":"dodge","comparator":"atLeast","count":20}]}}</t>
        </is>
      </c>
    </row>
    <row r="1067" ht="32" customHeight="1">
      <c r="A1067" s="8" t="n">
        <v>414500</v>
      </c>
      <c r="B1067" s="8" t="inlineStr">
        <is>
          <t>风听耳羽铸护器</t>
        </is>
      </c>
      <c r="C1067" s="8" t="inlineStr">
        <is>
          <t>法器</t>
        </is>
      </c>
      <c r="D1067" s="8" t="inlineStr">
        <is>
          <t>spirit</t>
        </is>
      </c>
      <c r="E1067" s="8" t="inlineStr">
        <is>
          <t>none</t>
        </is>
      </c>
      <c r="F1067" s="8" t="n">
        <v>2</v>
      </c>
      <c r="G1067" s="8" t="inlineStr">
        <is>
          <t>基础/顶层</t>
        </is>
      </c>
      <c r="H1067" s="8" t="inlineStr"/>
      <c r="I1067" s="9" t="inlineStr"/>
      <c r="J1067" s="8" t="inlineStr"/>
      <c r="K1067" s="8" t="inlineStr"/>
      <c r="L1067" s="8" t="inlineStr"/>
      <c r="M1067" s="8" t="inlineStr">
        <is>
          <t>被动效果</t>
        </is>
      </c>
      <c r="N1067" s="8" t="inlineStr">
        <is>
          <t>passive</t>
        </is>
      </c>
      <c r="O1067" s="9" t="inlineStr">
        <is>
          <t>闪避层数上限 +15；闪避层数上限 +20；闪避层数上限 +25；闪避层数上限 +30</t>
        </is>
      </c>
      <c r="P1067" s="9" t="inlineStr"/>
      <c r="Q1067" s="9" t="inlineStr">
        <is>
          <t>buffStackCapBonus</t>
        </is>
      </c>
      <c r="R1067" s="9" t="inlineStr">
        <is>
          <t>{"kind":"passive","label":"闪避层数上限 +15","passiveEffect":{"type":"buffStackCapBonus","buffId":"dodge","value":15,"label":"闪避层数上限 +15"},"starOverrides":{"1":{"label":"闪避层数上限 +20","passiveEffect":{"type":"buffStackCapBonus","buffId":"dodge","value":20,"label":"闪避层数上限 +20"}},"2":{"label":"闪避层数上限 +25","passiveEffect":{"type":"buffStackCapBonus","buffId":"dodge","value":25,"label":"闪避层数上限 +25"}},"3":{"label":"闪避层数上限 +30","passiveEffect":{"type":"buffStackCapBonus","buffId":"dodge","value":30,"label":"闪避层数上限 +30"}}}}</t>
        </is>
      </c>
    </row>
    <row r="1068" ht="32" customHeight="1">
      <c r="A1068" s="8" t="n">
        <v>414501</v>
      </c>
      <c r="B1068" s="8" t="inlineStr">
        <is>
          <t>风听耳羽回旋引势刃</t>
        </is>
      </c>
      <c r="C1068" s="8" t="inlineStr">
        <is>
          <t>法器</t>
        </is>
      </c>
      <c r="D1068" s="8" t="inlineStr">
        <is>
          <t>spirit</t>
        </is>
      </c>
      <c r="E1068" s="8" t="inlineStr">
        <is>
          <t>none</t>
        </is>
      </c>
      <c r="F1068" s="8" t="n">
        <v>1</v>
      </c>
      <c r="G1068" s="8" t="inlineStr">
        <is>
          <t>基础/顶层</t>
        </is>
      </c>
      <c r="H1068" s="8" t="inlineStr"/>
      <c r="I1068" s="9" t="inlineStr"/>
      <c r="J1068" s="8" t="inlineStr"/>
      <c r="K1068" s="8" t="inlineStr"/>
      <c r="L1068" s="8" t="inlineStr"/>
      <c r="M1068" s="8" t="inlineStr">
        <is>
          <t>条件触发</t>
        </is>
      </c>
      <c r="N1068" s="8" t="inlineStr">
        <is>
          <t>triggered</t>
        </is>
      </c>
      <c r="O1068" s="9" t="inlineStr">
        <is>
          <t>每当成功闪避一次，敌方随机 1 件道具获得 8 秒减速；每当成功闪避一次，敌方随机 1 件道具获得 10 秒减速；每当成功闪避一次，敌方随机 1 件道具获得 13 秒减速；每当成功闪避一次，敌方随机 1 件道具获得 15 秒减速</t>
        </is>
      </c>
      <c r="P1068" s="9" t="inlineStr">
        <is>
          <t>onDodgeSucceeded</t>
        </is>
      </c>
      <c r="Q1068" s="9" t="inlineStr">
        <is>
          <t>itemRuntimeStatus</t>
        </is>
      </c>
      <c r="R1068" s="9" t="inlineStr">
        <is>
          <t>{"kind":"triggered","label":"&lt;battle&gt;每当成功闪避一次，敌方随机 1 件道具获得 8 秒减速&lt;/battle&gt;","triggeredEffect":{"trigger":"onDodgeSucceeded","type":"itemRuntimeStatus","itemRuntimeStatus":"slow","durationSec":8,"targetActor":"enemy","targetScope":"enemyRandom","amount":1,"support":"battleOnly"},"starOverrides":{"1":{"label":"&lt;battle&gt;每当成功闪避一次，敌方随机 1 件道具获得 10 秒减速&lt;/battle&gt;","triggeredEffect":{"trigger":"onDodgeSucceeded","type":"itemRuntimeStatus","itemRuntimeStatus":"slow","durationSec":10,"targetActor":"enemy","targetScope":"enemyRandom","amount":1,"support":"battleOnly"}},"2":{"label":"&lt;battle&gt;每当成功闪避一次，敌方随机 1 件道具获得 13 秒减速&lt;/battle&gt;","triggeredEffect":{"trigger":"onDodgeSucceeded","type":"itemRuntimeStatus","itemRuntimeStatus":"slow","durationSec":13,"targetActor":"enemy","targetScope":"enemyRandom","amount":1,"support":"battleOnly"}},"3":{"label":"&lt;battle&gt;每当成功闪避一次，敌方随机 1 件道具获得 15 秒减速&lt;/battle&gt;","triggeredEffect":{"trigger":"onDodgeSucceeded","type":"itemRuntimeStatus","itemRuntimeStatus":"slow","durationSec":15,"targetActor":"enemy","targetScope":"enemyRandom","amount":1,"support":"battleOnly"}}}}</t>
        </is>
      </c>
    </row>
    <row r="1069" ht="32" customHeight="1">
      <c r="A1069" s="8" t="n">
        <v>414502</v>
      </c>
      <c r="B1069" s="8" t="inlineStr">
        <is>
          <t>踏震踝核铸护器</t>
        </is>
      </c>
      <c r="C1069" s="8" t="inlineStr">
        <is>
          <t>法器</t>
        </is>
      </c>
      <c r="D1069" s="8" t="inlineStr">
        <is>
          <t>spirit</t>
        </is>
      </c>
      <c r="E1069" s="8" t="inlineStr">
        <is>
          <t>metal</t>
        </is>
      </c>
      <c r="F1069" s="8" t="n">
        <v>1</v>
      </c>
      <c r="G1069" s="8" t="inlineStr">
        <is>
          <t>基础/顶层</t>
        </is>
      </c>
      <c r="H1069" s="8" t="inlineStr"/>
      <c r="I1069" s="9" t="inlineStr"/>
      <c r="J1069" s="8" t="inlineStr"/>
      <c r="K1069" s="8" t="inlineStr"/>
      <c r="L1069" s="8" t="inlineStr"/>
      <c r="M1069" s="8" t="inlineStr">
        <is>
          <t>周期触发</t>
        </is>
      </c>
      <c r="N1069" s="8" t="inlineStr">
        <is>
          <t>periodicPulse</t>
        </is>
      </c>
      <c r="O1069" s="9" t="inlineStr">
        <is>
          <t>对敌方施加 10 层冰霜；对敌方施加 16 层冰霜；对敌方施加 20 层冰霜；对敌方施加 26 层冰霜</t>
        </is>
      </c>
      <c r="P1069" s="9" t="inlineStr"/>
      <c r="Q1069" s="9" t="inlineStr"/>
      <c r="R1069" s="9" t="inlineStr">
        <is>
          <t>{"kind":"periodicPulse","label":"&lt;battle&gt;对敌方施加 10 层冰霜&lt;/battle&gt;","periodicPulse":{"intervalSec":10,"label":"&lt;battle&gt;对敌方施加 10 层冰霜&lt;/battle&gt;","buffGains":[{"buffId":"frost","count":10,"target":"enemy"}]},"starOverrides":{"1":{"label":"&lt;battle&gt;对敌方施加 16 层冰霜&lt;/battle&gt;","periodicPulse":{"intervalSec":10,"label":"&lt;battle&gt;对敌方施加 16 层冰霜&lt;/battle&gt;","buffGains":[{"buffId":"frost","count":16,"target":"enemy"}]}},"2":{"label":"&lt;battle&gt;对敌方施加 20 层冰霜&lt;/battle&gt;","periodicPulse":{"intervalSec":10,"label":"&lt;battle&gt;对敌方施加 20 层冰霜&lt;/battle&gt;","buffGains":[{"buffId":"frost","count":20,"target":"enemy"}]}},"3":{"label":"&lt;battle&gt;对敌方施加 26 层冰霜&lt;/battle&gt;","periodicPulse":{"intervalSec":10,"label":"&lt;battle&gt;对敌方施加 26 层冰霜&lt;/battle&gt;","buffGains":[{"buffId":"frost","count":26,"target":"enemy"}]}}}}</t>
        </is>
      </c>
    </row>
    <row r="1070" ht="32" customHeight="1">
      <c r="A1070" s="8" t="n">
        <v>414502</v>
      </c>
      <c r="B1070" s="8" t="inlineStr">
        <is>
          <t>踏震踝核铸护器</t>
        </is>
      </c>
      <c r="C1070" s="8" t="inlineStr">
        <is>
          <t>法器</t>
        </is>
      </c>
      <c r="D1070" s="8" t="inlineStr">
        <is>
          <t>spirit</t>
        </is>
      </c>
      <c r="E1070" s="8" t="inlineStr">
        <is>
          <t>metal</t>
        </is>
      </c>
      <c r="F1070" s="8" t="n">
        <v>2</v>
      </c>
      <c r="G1070" s="8" t="inlineStr">
        <is>
          <t>基础/顶层</t>
        </is>
      </c>
      <c r="H1070" s="8" t="inlineStr"/>
      <c r="I1070" s="9" t="inlineStr"/>
      <c r="J1070" s="8" t="inlineStr"/>
      <c r="K1070" s="8" t="inlineStr"/>
      <c r="L1070" s="8" t="inlineStr"/>
      <c r="M1070" s="8" t="inlineStr">
        <is>
          <t>被动效果</t>
        </is>
      </c>
      <c r="N1070" s="8" t="inlineStr">
        <is>
          <t>passive</t>
        </is>
      </c>
      <c r="O1070" s="9" t="inlineStr">
        <is>
          <t>凝金层数上限 +20；凝金层数上限 +25；凝金层数上限 +30；凝金层数上限 +35</t>
        </is>
      </c>
      <c r="P1070" s="9" t="inlineStr"/>
      <c r="Q1070" s="9" t="inlineStr">
        <is>
          <t>buffStackCapBonus</t>
        </is>
      </c>
      <c r="R1070" s="9" t="inlineStr">
        <is>
          <t>{"kind":"passive","label":"凝金层数上限 +20","passiveEffect":{"type":"buffStackCapBonus","buffId":"condensedMetal","value":20,"label":"凝金层数上限 +20"},"starOverrides":{"1":{"label":"凝金层数上限 +25","passiveEffect":{"type":"buffStackCapBonus","buffId":"condensedMetal","value":25,"label":"凝金层数上限 +25"}},"2":{"label":"凝金层数上限 +30","passiveEffect":{"type":"buffStackCapBonus","buffId":"condensedMetal","value":30,"label":"凝金层数上限 +30"}},"3":{"label":"凝金层数上限 +35","passiveEffect":{"type":"buffStackCapBonus","buffId":"condensedMetal","value":35,"label":"凝金层数上限 +35"}}}}</t>
        </is>
      </c>
    </row>
    <row r="1071" ht="32" customHeight="1">
      <c r="A1071" s="8" t="n">
        <v>414503</v>
      </c>
      <c r="B1071" s="8" t="inlineStr">
        <is>
          <t>踏震踝核回旋引势刃</t>
        </is>
      </c>
      <c r="C1071" s="8" t="inlineStr">
        <is>
          <t>法器</t>
        </is>
      </c>
      <c r="D1071" s="8" t="inlineStr">
        <is>
          <t>spirit</t>
        </is>
      </c>
      <c r="E1071" s="8" t="inlineStr">
        <is>
          <t>metal</t>
        </is>
      </c>
      <c r="F1071" s="8" t="n">
        <v>1</v>
      </c>
      <c r="G1071" s="8" t="inlineStr">
        <is>
          <t>基础/顶层</t>
        </is>
      </c>
      <c r="H1071" s="8" t="inlineStr"/>
      <c r="I1071" s="9" t="inlineStr"/>
      <c r="J1071" s="8" t="inlineStr"/>
      <c r="K1071" s="8" t="inlineStr"/>
      <c r="L1071" s="8" t="inlineStr"/>
      <c r="M1071" s="8" t="inlineStr">
        <is>
          <t>周期触发</t>
        </is>
      </c>
      <c r="N1071" s="8" t="inlineStr">
        <is>
          <t>periodicPulse</t>
        </is>
      </c>
      <c r="O1071" s="9" t="inlineStr">
        <is>
          <t>最多消耗敌方 6 层冰霜；每消耗 1 层，对敌方造成 15 点伤害；最多消耗敌方 8 层冰霜；每消耗 1 层，对敌方造成 15 点伤害；最多消耗敌方 10 层冰霜；每消耗 1 层，对敌方造成 15 点伤害；最多消耗敌方 12 层冰霜；每消耗 1 层，对敌方造成 15 点伤害</t>
        </is>
      </c>
      <c r="P1071" s="9" t="inlineStr">
        <is>
          <t>onPeriodicPulse</t>
        </is>
      </c>
      <c r="Q1071" s="9" t="inlineStr">
        <is>
          <t>consumeBuffStacks</t>
        </is>
      </c>
      <c r="R1071" s="9" t="inlineStr">
        <is>
          <t>{"kind":"periodicPulse","label":"&lt;battle&gt;最多消耗敌方 6 层冰霜；每消耗 1 层，对敌方造成 15 点伤害&lt;/battle&gt;","periodicPulse":{"intervalSec":10,"label":"&lt;battle&gt;最多消耗敌方 6 层冰霜；每消耗 1 层，对敌方造成 15 点伤害&lt;/battle&gt;"},"executors":[{"trigger":"onPeriodicPulse","type":"consumeBuffStacks","sourceBuffId":"frost","consumeTargetActor":"enemy","maxStacks":6,"battleDamageHealthPerStack":15,"label":"&lt;battle&gt;最多消耗敌方 6 层冰霜；每消耗 1 层，对敌方造成 15 点伤害&lt;/battle&gt;","support":"battleOnly"}],"starOverrides":{"1":{"label":"&lt;battle&gt;最多消耗敌方 8 层冰霜；每消耗 1 层，对敌方造成 15 点伤害&lt;/battle&gt;","periodicPulse":{"intervalSec":10,"label":"&lt;battle&gt;最多消耗敌方 8 层冰霜；每消耗 1 层，对敌方造成 15 点伤害&lt;/battle&gt;"},"executors":[{"trigger":"onPeriodicPulse","type":"consumeBuffStacks","sourceBuffId":"frost","consumeTargetActor":"enemy","maxStacks":8,"battleDamageHealthPerStack":15,"label":"&lt;battle&gt;最多消耗敌方 8 层冰霜；每消耗 1 层，对敌方造成 15 点伤害&lt;/battle&gt;","support":"battleOnly"}]},"2":{"label":"&lt;battle&gt;最多消耗敌方 10 层冰霜；每消耗 1 层，对敌方造成 15 点伤害&lt;/battle&gt;","periodicPulse":{"intervalSec":10,"label":"&lt;battle&gt;最多消耗敌方 10 层冰霜；每消耗 1 层，对敌方造成 15 点伤害&lt;/battle&gt;"},"executors":[{"trigger":"onPeriodicPulse","type":"consumeBuffStacks","sourceBuffId":"frost","consumeTargetActor":"enemy","maxStacks":10,"battleDamageHealthPerStack":15,"label":"&lt;battle&gt;最多消耗敌方 10 层冰霜；每消耗 1 层，对敌方造成 15 点伤害&lt;/battle&gt;","support":"battleOnly"}]},"3":{"label":"&lt;battle&gt;最多消耗敌方 12 层冰霜；每消耗 1 层，对敌方造成 15 点伤害&lt;/battle&gt;","periodicPulse":{"intervalSec":10,"label":"&lt;battle&gt;最多消耗敌方 12 层冰霜；每消耗 1 层，对敌方造成 15 点伤害&lt;/battle&gt;"},"executors":[{"trigger":"onPeriodicPulse","type":"consumeBuffStacks","sourceBuffId":"frost","consumeTargetActor":"enemy","maxStacks":12,"battleDamageHealthPerStack":15,"label":"&lt;battle&gt;最多消耗敌方 12 层冰霜；每消耗 1 层，对敌方造成 15 点伤害&lt;/battle&gt;","support":"battleOnly"}]}}}</t>
        </is>
      </c>
    </row>
    <row r="1072" ht="32" customHeight="1">
      <c r="A1072" s="8" t="n">
        <v>414504</v>
      </c>
      <c r="B1072" s="8" t="inlineStr">
        <is>
          <t>回弹颈侧筋铸护器</t>
        </is>
      </c>
      <c r="C1072" s="8" t="inlineStr">
        <is>
          <t>法器</t>
        </is>
      </c>
      <c r="D1072" s="8" t="inlineStr">
        <is>
          <t>spirit</t>
        </is>
      </c>
      <c r="E1072" s="8" t="inlineStr">
        <is>
          <t>wood</t>
        </is>
      </c>
      <c r="F1072" s="8" t="n">
        <v>1</v>
      </c>
      <c r="G1072" s="8" t="inlineStr">
        <is>
          <t>基础/顶层</t>
        </is>
      </c>
      <c r="H1072" s="8" t="inlineStr"/>
      <c r="I1072" s="9" t="inlineStr"/>
      <c r="J1072" s="8" t="inlineStr"/>
      <c r="K1072" s="8" t="inlineStr"/>
      <c r="L1072" s="8" t="inlineStr"/>
      <c r="M1072" s="8" t="inlineStr">
        <is>
          <t>周期触发</t>
        </is>
      </c>
      <c r="N1072" s="8" t="inlineStr">
        <is>
          <t>periodicPulse</t>
        </is>
      </c>
      <c r="O1072" s="9" t="inlineStr">
        <is>
          <t>如果护甲层数不少于 40 层，则恢复 20 点体力；如果护甲层数不少于 40 层，则恢复 60 点体力；如果护甲层数不少于 40 层，则恢复 80 点体力；如果护甲层数不少于 40 层，则恢复 100 点体力</t>
        </is>
      </c>
      <c r="P1072" s="9" t="inlineStr"/>
      <c r="Q1072" s="9" t="inlineStr"/>
      <c r="R1072" s="9" t="inlineStr">
        <is>
          <t>{"kind":"periodicPulse","label":"如果护甲层数不少于 40 层，则恢复 20 点体力","periodicPulse":{"intervalSec":10,"label":"如果护甲层数不少于 40 层，则恢复 20 点体力","primaryStatGains":[{"stat":"stamina","amount":20}],"activationRequirements":{"buffStackThresholds":[{"buffId":"armor","comparator":"atLeast","count":40}]}},"starOverrides":{"1":{"label":"如果护甲层数不少于 40 层，则恢复 60 点体力","periodicPulse":{"intervalSec":12,"label":"如果护甲层数不少于 40 层，则恢复 60 点体力","primaryStatGains":[{"stat":"stamina","amount":60}],"activationRequirements":{"buffStackThresholds":[{"buffId":"armor","comparator":"atLeast","count":40}]}},"activationRequirements":{"buffStackThresholds":[{"buffId":"armor","comparator":"atLeast","count":40}]}},"2":{"label":"如果护甲层数不少于 40 层，则恢复 80 点体力","periodicPulse":{"intervalSec":14,"label":"如果护甲层数不少于 40 层，则恢复 80 点体力","primaryStatGains":[{"stat":"stamina","amount":80}],"activationRequirements":{"buffStackThresholds":[{"buffId":"armor","comparator":"atLeast","count":40}]}},"activationRequirements":{"buffStackThresholds":[{"buffId":"armor","comparator":"atLeast","count":40}]}},"3":{"label":"如果护甲层数不少于 40 层，则恢复 100 点体力","periodicPulse":{"intervalSec":16,"label":"如果护甲层数不少于 40 层，则恢复 100 点体力","primaryStatGains":[{"stat":"stamina","amount":100}],"activationRequirements":{"buffStackThresholds":[{"buffId":"armor","comparator":"atLeast","count":40}]}},"activationRequirements":{"buffStackThresholds":[{"buffId":"armor","comparator":"atLeast","count":40}]}}},"activationRequirements":{"buffStackThresholds":[{"buffId":"armor","comparator":"atLeast","count":40}]}}</t>
        </is>
      </c>
    </row>
    <row r="1073" ht="32" customHeight="1">
      <c r="A1073" s="8" t="n">
        <v>414505</v>
      </c>
      <c r="B1073" s="8" t="inlineStr">
        <is>
          <t>回弹颈侧筋回旋引势刃</t>
        </is>
      </c>
      <c r="C1073" s="8" t="inlineStr">
        <is>
          <t>法器</t>
        </is>
      </c>
      <c r="D1073" s="8" t="inlineStr">
        <is>
          <t>spirit</t>
        </is>
      </c>
      <c r="E1073" s="8" t="inlineStr">
        <is>
          <t>wind</t>
        </is>
      </c>
      <c r="F1073" s="8" t="n">
        <v>1</v>
      </c>
      <c r="G1073" s="8" t="inlineStr">
        <is>
          <t>基础/顶层</t>
        </is>
      </c>
      <c r="H1073" s="8" t="inlineStr"/>
      <c r="I1073" s="9" t="inlineStr"/>
      <c r="J1073" s="8" t="inlineStr"/>
      <c r="K1073" s="8" t="inlineStr"/>
      <c r="L1073" s="8" t="inlineStr"/>
      <c r="M1073" s="8" t="inlineStr">
        <is>
          <t>条件触发</t>
        </is>
      </c>
      <c r="N1073" s="8" t="inlineStr">
        <is>
          <t>triggered</t>
        </is>
      </c>
      <c r="O1073" s="9" t="inlineStr">
        <is>
          <t>左右相邻武器造成伤害时，获得 6 层敏捷；左右相邻武器造成伤害时，获得 10 层敏捷；左右相邻武器造成伤害时，获得 16 层敏捷；左右相邻武器造成伤害时，获得 20 层敏捷</t>
        </is>
      </c>
      <c r="P1073" s="9" t="inlineStr">
        <is>
          <t>onBattleHealthDamageDealt</t>
        </is>
      </c>
      <c r="Q1073" s="9" t="inlineStr">
        <is>
          <t>applyBuff；directional-adjacent</t>
        </is>
      </c>
      <c r="R1073" s="9" t="inlineStr">
        <is>
          <t>{"kind":"triggered","label":"左右相邻武器造成伤害时，获得 6 层敏捷","triggeredEffect":{"trigger":"onBattleHealthDamageDealt","type":"applyBuff","buffId":"agile","count":6,"eventSource":{"target":{"type":"directional-adjacent","direction":"both-horizontal"},"filter":{"features":["weapon"]}}},"starOverrides":{"1":{"label":"左右相邻武器造成伤害时，获得 10 层敏捷","triggeredEffect":{"trigger":"onBattleHealthDamageDealt","type":"applyBuff","buffId":"agile","count":10,"eventSource":{"target":{"type":"directional-adjacent","direction":"both-horizontal"},"filter":{"features":["weapon"]}}}},"2":{"label":"左右相邻武器造成伤害时，获得 16 层敏捷","triggeredEffect":{"trigger":"onBattleHealthDamageDealt","type":"applyBuff","buffId":"agile","count":16,"eventSource":{"target":{"type":"directional-adjacent","direction":"both-horizontal"},"filter":{"features":["weapon"]}}}},"3":{"label":"左右相邻武器造成伤害时，获得 20 层敏捷","triggeredEffect":{"trigger":"onBattleHealthDamageDealt","type":"applyBuff","buffId":"agile","count":20,"eventSource":{"target":{"type":"directional-adjacent","direction":"both-horizontal"},"filter":{"features":["weapon"]}}}}}}</t>
        </is>
      </c>
    </row>
    <row r="1074" ht="32" customHeight="1">
      <c r="A1074" s="8" t="n">
        <v>414800</v>
      </c>
      <c r="B1074" s="8" t="inlineStr">
        <is>
          <t>盔角髓晶铸护器</t>
        </is>
      </c>
      <c r="C1074" s="8" t="inlineStr">
        <is>
          <t>法器</t>
        </is>
      </c>
      <c r="D1074" s="8" t="inlineStr">
        <is>
          <t>spirit</t>
        </is>
      </c>
      <c r="E1074" s="8" t="inlineStr">
        <is>
          <t>metal</t>
        </is>
      </c>
      <c r="F1074" s="8" t="n">
        <v>1</v>
      </c>
      <c r="G1074" s="8" t="inlineStr">
        <is>
          <t>基础/顶层</t>
        </is>
      </c>
      <c r="H1074" s="8" t="inlineStr"/>
      <c r="I1074" s="9" t="inlineStr"/>
      <c r="J1074" s="8" t="inlineStr"/>
      <c r="K1074" s="8" t="inlineStr"/>
      <c r="L1074" s="8" t="inlineStr"/>
      <c r="M1074" s="8" t="inlineStr">
        <is>
          <t>周期触发</t>
        </is>
      </c>
      <c r="N1074" s="8" t="inlineStr">
        <is>
          <t>periodicPulse</t>
        </is>
      </c>
      <c r="O1074" s="9" t="inlineStr">
        <is>
          <t>开局：获得 30 层护甲；开局：获得 40 层护甲；开局：获得 50 层护甲；开局：获得 60 层护甲</t>
        </is>
      </c>
      <c r="P1074" s="9" t="inlineStr"/>
      <c r="Q1074" s="9" t="inlineStr"/>
      <c r="R1074" s="9" t="inlineStr">
        <is>
          <t>{"kind":"periodicPulse","label":"开局：获得 30 层护甲","periodicPulse":{"startOnly":true,"label":"开局：获得 30 层护甲","buffGains":[{"buffId":"armor","count":30}]},"starOverrides":{"1":{"label":"开局：获得 40 层护甲","periodicPulse":{"startOnly":true,"label":"开局：获得 40 层护甲","buffGains":[{"buffId":"armor","count":40}]}},"2":{"label":"开局：获得 50 层护甲","periodicPulse":{"startOnly":true,"label":"开局：获得 50 层护甲","buffGains":[{"buffId":"armor","count":50}]}},"3":{"label":"开局：获得 60 层护甲","periodicPulse":{"startOnly":true,"label":"开局：获得 60 层护甲","buffGains":[{"buffId":"armor","count":60}]}}}}</t>
        </is>
      </c>
    </row>
    <row r="1075" ht="32" customHeight="1">
      <c r="A1075" s="8" t="n">
        <v>414800</v>
      </c>
      <c r="B1075" s="8" t="inlineStr">
        <is>
          <t>盔角髓晶铸护器</t>
        </is>
      </c>
      <c r="C1075" s="8" t="inlineStr">
        <is>
          <t>法器</t>
        </is>
      </c>
      <c r="D1075" s="8" t="inlineStr">
        <is>
          <t>spirit</t>
        </is>
      </c>
      <c r="E1075" s="8" t="inlineStr">
        <is>
          <t>metal</t>
        </is>
      </c>
      <c r="F1075" s="8" t="n">
        <v>2</v>
      </c>
      <c r="G1075" s="8" t="inlineStr">
        <is>
          <t>基础/顶层</t>
        </is>
      </c>
      <c r="H1075" s="8" t="inlineStr"/>
      <c r="I1075" s="9" t="inlineStr"/>
      <c r="J1075" s="8" t="inlineStr"/>
      <c r="K1075" s="8" t="inlineStr"/>
      <c r="L1075" s="8" t="inlineStr"/>
      <c r="M1075" s="8" t="inlineStr">
        <is>
          <t>被动效果</t>
        </is>
      </c>
      <c r="N1075" s="8" t="inlineStr">
        <is>
          <t>passive</t>
        </is>
      </c>
      <c r="O1075" s="9" t="inlineStr">
        <is>
          <t>护甲层数上限 +10；护甲层数上限 +15；护甲层数上限 +20；护甲层数上限 +25</t>
        </is>
      </c>
      <c r="P1075" s="9" t="inlineStr"/>
      <c r="Q1075" s="9" t="inlineStr">
        <is>
          <t>buffStackCapBonus</t>
        </is>
      </c>
      <c r="R1075" s="9" t="inlineStr">
        <is>
          <t>{"kind":"passive","label":"护甲层数上限 +10","passiveEffect":{"type":"buffStackCapBonus","buffId":"armor","value":10,"label":"护甲层数上限 +10"},"starOverrides":{"1":{"label":"护甲层数上限 +15","passiveEffect":{"type":"buffStackCapBonus","buffId":"armor","value":15,"label":"护甲层数上限 +15"}},"2":{"label":"护甲层数上限 +20","passiveEffect":{"type":"buffStackCapBonus","buffId":"armor","value":20,"label":"护甲层数上限 +20"}},"3":{"label":"护甲层数上限 +25","passiveEffect":{"type":"buffStackCapBonus","buffId":"armor","value":25,"label":"护甲层数上限 +25"}}}}</t>
        </is>
      </c>
    </row>
    <row r="1076" ht="32" customHeight="1">
      <c r="A1076" s="8" t="n">
        <v>414801</v>
      </c>
      <c r="B1076" s="8" t="inlineStr">
        <is>
          <t>节足韧筋铸护器</t>
        </is>
      </c>
      <c r="C1076" s="8" t="inlineStr">
        <is>
          <t>法器</t>
        </is>
      </c>
      <c r="D1076" s="8" t="inlineStr">
        <is>
          <t>spirit</t>
        </is>
      </c>
      <c r="E1076" s="8" t="inlineStr">
        <is>
          <t>wind</t>
        </is>
      </c>
      <c r="F1076" s="8" t="n">
        <v>1</v>
      </c>
      <c r="G1076" s="8" t="inlineStr">
        <is>
          <t>基础/顶层</t>
        </is>
      </c>
      <c r="H1076" s="8" t="inlineStr"/>
      <c r="I1076" s="9" t="inlineStr"/>
      <c r="J1076" s="8" t="inlineStr"/>
      <c r="K1076" s="8" t="inlineStr"/>
      <c r="L1076" s="8" t="inlineStr"/>
      <c r="M1076" s="8" t="inlineStr">
        <is>
          <t>条件触发</t>
        </is>
      </c>
      <c r="N1076" s="8" t="inlineStr">
        <is>
          <t>triggered</t>
        </is>
      </c>
      <c r="O1076" s="9" t="inlineStr">
        <is>
          <t>相邻道具消耗体力时，获得 6 层敏捷；相邻道具消耗体力时，获得 10 层敏捷；相邻道具消耗体力时，获得 16 层敏捷；相邻道具消耗体力时，获得 20 层敏捷</t>
        </is>
      </c>
      <c r="P1076" s="9" t="inlineStr">
        <is>
          <t>onPrimaryStatConsumed</t>
        </is>
      </c>
      <c r="Q1076" s="9" t="inlineStr">
        <is>
          <t>applyBuff；adjacent</t>
        </is>
      </c>
      <c r="R1076" s="9" t="inlineStr">
        <is>
          <t>{"kind":"triggered","label":"相邻道具消耗体力时，获得 6 层敏捷","triggeredEffect":{"trigger":"onPrimaryStatConsumed","type":"applyBuff","buffId":"agile","count":6,"eventSource":{"target":{"type":"adjacent"}}},"starOverrides":{"1":{"label":"相邻道具消耗体力时，获得 10 层敏捷","triggeredEffect":{"trigger":"onPrimaryStatConsumed","type":"applyBuff","buffId":"agile","count":10,"eventSource":{"target":{"type":"adjacent"}}}},"2":{"label":"相邻道具消耗体力时，获得 16 层敏捷","triggeredEffect":{"trigger":"onPrimaryStatConsumed","type":"applyBuff","buffId":"agile","count":16,"eventSource":{"target":{"type":"adjacent"}}}},"3":{"label":"相邻道具消耗体力时，获得 20 层敏捷","triggeredEffect":{"trigger":"onPrimaryStatConsumed","type":"applyBuff","buffId":"agile","count":20,"eventSource":{"target":{"type":"adjacent"}}}}}}</t>
        </is>
      </c>
    </row>
    <row r="1077" ht="32" customHeight="1">
      <c r="A1077" s="8" t="n">
        <v>414801</v>
      </c>
      <c r="B1077" s="8" t="inlineStr">
        <is>
          <t>节足韧筋铸护器</t>
        </is>
      </c>
      <c r="C1077" s="8" t="inlineStr">
        <is>
          <t>法器</t>
        </is>
      </c>
      <c r="D1077" s="8" t="inlineStr">
        <is>
          <t>spirit</t>
        </is>
      </c>
      <c r="E1077" s="8" t="inlineStr">
        <is>
          <t>wind</t>
        </is>
      </c>
      <c r="F1077" s="8" t="n">
        <v>2</v>
      </c>
      <c r="G1077" s="8" t="inlineStr">
        <is>
          <t>基础/顶层</t>
        </is>
      </c>
      <c r="H1077" s="8" t="inlineStr"/>
      <c r="I1077" s="9" t="inlineStr"/>
      <c r="J1077" s="8" t="inlineStr"/>
      <c r="K1077" s="8" t="inlineStr"/>
      <c r="L1077" s="8" t="inlineStr"/>
      <c r="M1077" s="8" t="inlineStr">
        <is>
          <t>被动效果</t>
        </is>
      </c>
      <c r="N1077" s="8" t="inlineStr">
        <is>
          <t>passive</t>
        </is>
      </c>
      <c r="O1077" s="9" t="inlineStr">
        <is>
          <t>体力上限 +40；体力上限 +50；体力上限 +60；体力上限 +70</t>
        </is>
      </c>
      <c r="P1077" s="9" t="inlineStr"/>
      <c r="Q1077" s="9" t="inlineStr">
        <is>
          <t>primaryStatMaxFlatBonuses</t>
        </is>
      </c>
      <c r="R1077" s="9" t="inlineStr">
        <is>
          <t>{"kind":"passive","label":"体力上限 +40","passiveEffect":{"type":"primaryStatMaxFlatBonuses","bonuses":[{"stat":"stamina","value":40}],"label":"体力上限 +40"},"starOverrides":{"1":{"label":"体力上限 +50","passiveEffect":{"type":"primaryStatMaxFlatBonuses","bonuses":[{"stat":"stamina","value":50}],"label":"体力上限 +50"}},"2":{"label":"体力上限 +60","passiveEffect":{"type":"primaryStatMaxFlatBonuses","bonuses":[{"stat":"stamina","value":60}],"label":"体力上限 +60"}},"3":{"label":"体力上限 +70","passiveEffect":{"type":"primaryStatMaxFlatBonuses","bonuses":[{"stat":"stamina","value":70}],"label":"体力上限 +70"}}}}</t>
        </is>
      </c>
    </row>
    <row r="1078" ht="32" customHeight="1">
      <c r="A1078" s="8" t="n">
        <v>414802</v>
      </c>
      <c r="B1078" s="8" t="inlineStr">
        <is>
          <t>胸腔鸣膜铸护器</t>
        </is>
      </c>
      <c r="C1078" s="8" t="inlineStr">
        <is>
          <t>法器</t>
        </is>
      </c>
      <c r="D1078" s="8" t="inlineStr">
        <is>
          <t>spirit</t>
        </is>
      </c>
      <c r="E1078" s="8" t="inlineStr">
        <is>
          <t>fire</t>
        </is>
      </c>
      <c r="F1078" s="8" t="n">
        <v>1</v>
      </c>
      <c r="G1078" s="8" t="inlineStr">
        <is>
          <t>基础/顶层</t>
        </is>
      </c>
      <c r="H1078" s="8" t="inlineStr"/>
      <c r="I1078" s="9" t="inlineStr"/>
      <c r="J1078" s="8" t="inlineStr"/>
      <c r="K1078" s="8" t="inlineStr"/>
      <c r="L1078" s="8" t="inlineStr"/>
      <c r="M1078" s="8" t="inlineStr">
        <is>
          <t>周期触发</t>
        </is>
      </c>
      <c r="N1078" s="8" t="inlineStr">
        <is>
          <t>periodicPulse</t>
        </is>
      </c>
      <c r="O1078" s="9" t="inlineStr">
        <is>
          <t>如果炎热层数不少于 20 层，恢复 30 点法力；如果炎热层数不少于 20 层，恢复 50 点法力；如果炎热层数不少于 20 层，恢复 70 点法力；如果炎热层数不少于 20 层，恢复 90 点法力</t>
        </is>
      </c>
      <c r="P1078" s="9" t="inlineStr"/>
      <c r="Q1078" s="9" t="inlineStr"/>
      <c r="R1078" s="9" t="inlineStr">
        <is>
          <t>{"kind":"periodicPulse","label":"如果炎热层数不少于 20 层，恢复 30 点法力","periodicPulse":{"intervalSec":12,"label":"如果炎热层数不少于 20 层，恢复 30 点法力","primaryStatGains":[{"stat":"mana","amount":30}],"activationRequirements":{"buffStackThresholds":[{"buffId":"heat","comparator":"atLeast","count":20}]}},"starOverrides":{"1":{"label":"如果炎热层数不少于 20 层，恢复 50 点法力","periodicPulse":{"intervalSec":14,"label":"如果炎热层数不少于 20 层，恢复 50 点法力","primaryStatGains":[{"stat":"mana","amount":50}],"activationRequirements":{"buffStackThresholds":[{"buffId":"heat","comparator":"atLeast","count":20}]}},"activationRequirements":{"buffStackThresholds":[{"buffId":"heat","comparator":"atLeast","count":20}]}},"2":{"label":"如果炎热层数不少于 20 层，恢复 70 点法力","periodicPulse":{"intervalSec":16,"label":"如果炎热层数不少于 20 层，恢复 70 点法力","primaryStatGains":[{"stat":"mana","amount":70}],"activationRequirements":{"buffStackThresholds":[{"buffId":"heat","comparator":"atLeast","count":20}]}},"activationRequirements":{"buffStackThresholds":[{"buffId":"heat","comparator":"atLeast","count":20}]}},"3":{"label":"如果炎热层数不少于 20 层，恢复 90 点法力","periodicPulse":{"intervalSec":18,"label":"如果炎热层数不少于 20 层，恢复 90 点法力","primaryStatGains":[{"stat":"mana","amount":90}],"activationRequirements":{"buffStackThresholds":[{"buffId":"heat","comparator":"atLeast","count":20}]}},"activationRequirements":{"buffStackThresholds":[{"buffId":"heat","comparator":"atLeast","count":20}]}}},"activationRequirements":{"buffStackThresholds":[{"buffId":"heat","comparator":"atLeast","count":20}]}}</t>
        </is>
      </c>
    </row>
    <row r="1079" ht="32" customHeight="1">
      <c r="A1079" s="8" t="n">
        <v>415000</v>
      </c>
      <c r="B1079" s="8" t="inlineStr">
        <is>
          <t>青铜钩杆节铸护器</t>
        </is>
      </c>
      <c r="C1079" s="8" t="inlineStr">
        <is>
          <t>法器</t>
        </is>
      </c>
      <c r="D1079" s="8" t="inlineStr">
        <is>
          <t>spirit</t>
        </is>
      </c>
      <c r="E1079" s="8" t="inlineStr">
        <is>
          <t>metal</t>
        </is>
      </c>
      <c r="F1079" s="8" t="n">
        <v>1</v>
      </c>
      <c r="G1079" s="8" t="inlineStr">
        <is>
          <t>基础/顶层</t>
        </is>
      </c>
      <c r="H1079" s="8" t="inlineStr"/>
      <c r="I1079" s="9" t="inlineStr"/>
      <c r="J1079" s="8" t="inlineStr"/>
      <c r="K1079" s="8" t="inlineStr"/>
      <c r="L1079" s="8" t="inlineStr"/>
      <c r="M1079" s="8" t="inlineStr">
        <is>
          <t>周期触发</t>
        </is>
      </c>
      <c r="N1079" s="8" t="inlineStr">
        <is>
          <t>periodicPulse</t>
        </is>
      </c>
      <c r="O1079" s="9" t="inlineStr">
        <is>
          <t>如果敌方冰霜层数不少于 10 层，敌方占格面积最大的道具获得 4 秒减速；如果敌方冰霜层数不少于 10 层，敌方占格面积最大的道具获得 6 秒减速；如果敌方冰霜层数不少于 10 层，敌方占格面积最大的道具获得 8 秒减速；如果敌方冰霜层数不少于 10 层，敌方占格面积最大的道具获得 10 秒减速</t>
        </is>
      </c>
      <c r="P1079" s="9" t="inlineStr"/>
      <c r="Q1079" s="9" t="inlineStr">
        <is>
          <t>targetBuffStacksGreaterThan</t>
        </is>
      </c>
      <c r="R1079" s="9" t="inlineStr">
        <is>
          <t>{"kind":"periodicPulse","label":"&lt;battle&gt;如果敌方冰霜层数不少于 10 层，敌方占格面积最大的道具获得 4 秒减速&lt;/battle&gt;","periodicPulse":{"intervalSec":10,"label":"&lt;battle&gt;如果敌方冰霜层数不少于 10 层，敌方占格面积最大的道具获得 4 秒减速&lt;/battle&gt;","itemRuntimeStatusEffects":[{"itemRuntimeStatus":"slow","durationSec":4,"targetScope":"enemyLargest"}],"battleCondition":{"type":"targetBuffStacksGreaterThan","buffId":"frost","count":9}},"starOverrides":{"1":{"label":"&lt;battle&gt;如果敌方冰霜层数不少于 10 层，敌方占格面积最大的道具获得 6 秒减速&lt;/battle&gt;","periodicPulse":{"intervalSec":10,"label":"&lt;battle&gt;如果敌方冰霜层数不少于 10 层，敌方占格面积最大的道具获得 6 秒减速&lt;/battle&gt;","itemRuntimeStatusEffects":[{"itemRuntimeStatus":"slow","durationSec":6,"targetScope":"enemyLargest"}],"battleCondition":{"type":"targetBuffStacksGreaterThan","buffId":"frost","count":9}}},"2":{"label":"&lt;battle&gt;如果敌方冰霜层数不少于 10 层，敌方占格面积最大的道具获得 8 秒减速&lt;/battle&gt;","periodicPulse":{"intervalSec":10,"label":"&lt;battle&gt;如果敌方冰霜层数不少于 10 层，敌方占格面积最大的道具获得 8 秒减速&lt;/battle&gt;","itemRuntimeStatusEffects":[{"itemRuntimeStatus":"slow","durationSec":8,"targetScope":"enemyLargest"}],"battleCondition":{"type":"targetBuffStacksGreaterThan","buffId":"frost","count":9}}},"3":{"label":"&lt;battle&gt;如果敌方冰霜层数不少于 10 层，敌方占格面积最大的道具获得 10 秒减速&lt;/battle&gt;","periodicPulse":{"intervalSec":10,"label":"&lt;battle&gt;如果敌方冰霜层数不少于 10 层，敌方占格面积最大的道具获得 10 秒减速&lt;/battle&gt;","itemRuntimeStatusEffects":[{"itemRuntimeStatus":"slow","durationSec":10,"targetScope":"enemyLargest"}],"battleCondition":{"type":"targetBuffStacksGreaterThan","buffId":"frost","count":9}}}}}</t>
        </is>
      </c>
    </row>
    <row r="1080" ht="32" customHeight="1">
      <c r="A1080" s="8" t="n">
        <v>415000</v>
      </c>
      <c r="B1080" s="8" t="inlineStr">
        <is>
          <t>青铜钩杆节铸护器</t>
        </is>
      </c>
      <c r="C1080" s="8" t="inlineStr">
        <is>
          <t>法器</t>
        </is>
      </c>
      <c r="D1080" s="8" t="inlineStr">
        <is>
          <t>spirit</t>
        </is>
      </c>
      <c r="E1080" s="8" t="inlineStr">
        <is>
          <t>metal</t>
        </is>
      </c>
      <c r="F1080" s="8" t="n">
        <v>2</v>
      </c>
      <c r="G1080" s="8" t="inlineStr">
        <is>
          <t>基础/顶层</t>
        </is>
      </c>
      <c r="H1080" s="8" t="inlineStr"/>
      <c r="I1080" s="9" t="inlineStr"/>
      <c r="J1080" s="8" t="inlineStr"/>
      <c r="K1080" s="8" t="inlineStr"/>
      <c r="L1080" s="8" t="inlineStr"/>
      <c r="M1080" s="8" t="inlineStr">
        <is>
          <t>被动效果</t>
        </is>
      </c>
      <c r="N1080" s="8" t="inlineStr">
        <is>
          <t>passive</t>
        </is>
      </c>
      <c r="O1080" s="9" t="inlineStr">
        <is>
          <t>凝金层数上限 +20；凝金层数上限 +25；凝金层数上限 +30；凝金层数上限 +35</t>
        </is>
      </c>
      <c r="P1080" s="9" t="inlineStr"/>
      <c r="Q1080" s="9" t="inlineStr">
        <is>
          <t>buffStackCapBonus</t>
        </is>
      </c>
      <c r="R1080" s="9" t="inlineStr">
        <is>
          <t>{"kind":"passive","label":"凝金层数上限 +20","passiveEffect":{"type":"buffStackCapBonus","buffId":"condensedMetal","value":20,"label":"凝金层数上限 +20"},"starOverrides":{"1":{"label":"凝金层数上限 +25","passiveEffect":{"type":"buffStackCapBonus","buffId":"condensedMetal","value":25,"label":"凝金层数上限 +25"}},"2":{"label":"凝金层数上限 +30","passiveEffect":{"type":"buffStackCapBonus","buffId":"condensedMetal","value":30,"label":"凝金层数上限 +30"}},"3":{"label":"凝金层数上限 +35","passiveEffect":{"type":"buffStackCapBonus","buffId":"condensedMetal","value":35,"label":"凝金层数上限 +35"}}}}</t>
        </is>
      </c>
    </row>
    <row r="1081" ht="32" customHeight="1">
      <c r="A1081" s="8" t="n">
        <v>415001</v>
      </c>
      <c r="B1081" s="8" t="inlineStr">
        <is>
          <t>青铜钩杆节回旋引势刃</t>
        </is>
      </c>
      <c r="C1081" s="8" t="inlineStr">
        <is>
          <t>法器</t>
        </is>
      </c>
      <c r="D1081" s="8" t="inlineStr">
        <is>
          <t>spirit</t>
        </is>
      </c>
      <c r="E1081" s="8" t="inlineStr">
        <is>
          <t>metal</t>
        </is>
      </c>
      <c r="F1081" s="8" t="n">
        <v>1</v>
      </c>
      <c r="G1081" s="8" t="inlineStr">
        <is>
          <t>基础/顶层</t>
        </is>
      </c>
      <c r="H1081" s="8" t="inlineStr"/>
      <c r="I1081" s="9" t="inlineStr"/>
      <c r="J1081" s="8" t="inlineStr"/>
      <c r="K1081" s="8" t="inlineStr"/>
      <c r="L1081" s="8" t="inlineStr"/>
      <c r="M1081" s="8" t="inlineStr">
        <is>
          <t>周期触发</t>
        </is>
      </c>
      <c r="N1081" s="8" t="inlineStr">
        <is>
          <t>periodicPulse</t>
        </is>
      </c>
      <c r="O1081" s="9" t="inlineStr">
        <is>
          <t>相邻 4 件武器时，获得 40 层凝金；相邻 4 件武器时，获得 52 层凝金；相邻 4 件武器时，获得 64 层凝金；相邻 4 件武器时，获得 76 层凝金</t>
        </is>
      </c>
      <c r="P1081" s="9" t="inlineStr"/>
      <c r="Q1081" s="9" t="inlineStr"/>
      <c r="R1081" s="9" t="inlineStr">
        <is>
          <t>{"kind":"periodicPulse","label":"相邻 4 件武器时，获得 40 层凝金","periodicPulse":{"intervalSec":10,"label":"相邻 4 件武器时，获得 40 层凝金","buffGains":[{"buffId":"condensedMetal","count":40}],"activationRequirements":{"neighborCounts":[{"minCount":4,"features":["weapon"]}]}},"activationRequirements":{"neighborCounts":[{"minCount":4,"features":["weapon"]}]},"starOverrides":{"1":{"label":"相邻 4 件武器时，获得 52 层凝金","periodicPulse":{"intervalSec":9,"label":"相邻 4 件武器时，获得 52 层凝金","buffGains":[{"buffId":"condensedMetal","count":52}],"activationRequirements":{"neighborCounts":[{"minCount":4,"features":["weapon"]}]}},"activationRequirements":{"neighborCounts":[{"minCount":4,"features":["weapon"]}]}},"2":{"label":"相邻 4 件武器时，获得 64 层凝金","periodicPulse":{"intervalSec":8,"label":"相邻 4 件武器时，获得 64 层凝金","buffGains":[{"buffId":"condensedMetal","count":64}],"activationRequirements":{"neighborCounts":[{"minCount":4,"features":["weapon"]}]}},"activationRequirements":{"neighborCounts":[{"minCount":4,"features":["weapon"]}]}},"3":{"label":"相邻 4 件武器时，获得 76 层凝金","periodicPulse":{"intervalSec":7,"label":"相邻 4 件武器时，获得 76 层凝金","buffGains":[{"buffId":"condensedMetal","count":76}],"activationRequirements":{"neighborCounts":[{"minCount":4,"features":["weapon"]}]}},"activationRequirements":{"neighborCounts":[{"minCount":4,"features":["weapon"]}]}}}}</t>
        </is>
      </c>
    </row>
    <row r="1082" ht="32" customHeight="1">
      <c r="A1082" s="8" t="n">
        <v>415002</v>
      </c>
      <c r="B1082" s="8" t="inlineStr">
        <is>
          <t>束胸眼腺铸护器</t>
        </is>
      </c>
      <c r="C1082" s="8" t="inlineStr">
        <is>
          <t>法器</t>
        </is>
      </c>
      <c r="D1082" s="8" t="inlineStr">
        <is>
          <t>spirit</t>
        </is>
      </c>
      <c r="E1082" s="8" t="inlineStr">
        <is>
          <t>water</t>
        </is>
      </c>
      <c r="F1082" s="8" t="n">
        <v>1</v>
      </c>
      <c r="G1082" s="8" t="inlineStr">
        <is>
          <t>基础/顶层</t>
        </is>
      </c>
      <c r="H1082" s="8" t="inlineStr"/>
      <c r="I1082" s="9" t="inlineStr"/>
      <c r="J1082" s="8" t="inlineStr"/>
      <c r="K1082" s="8" t="inlineStr"/>
      <c r="L1082" s="8" t="inlineStr"/>
      <c r="M1082" s="8" t="inlineStr">
        <is>
          <t>周期触发</t>
        </is>
      </c>
      <c r="N1082" s="8" t="inlineStr">
        <is>
          <t>periodicPulse</t>
        </is>
      </c>
      <c r="O1082" s="9" t="inlineStr">
        <is>
          <t>消耗 10 点神识如果敏捷和寒冷层数均不少于 15 层，吸取敌方 160 点气血；消耗 20 点神识如果敏捷和寒冷层数均不少于 30 层，吸取敌方 240 点气血；消耗 30 点神识如果敏捷和寒冷层数均不少于 30 层，吸取敌方 320 点气血；消耗 40 点神识如果敏捷和寒冷层数均不少于 30 层，吸取敌方 400 点气血</t>
        </is>
      </c>
      <c r="P1082" s="9" t="inlineStr"/>
      <c r="Q1082" s="9" t="inlineStr"/>
      <c r="R1082" s="9" t="inlineStr">
        <is>
          <t>{"kind":"periodicPulse","label":"消耗 10 点神识&lt;battle&gt;如果敏捷和寒冷层数均不少于 15 层，吸取敌方 160 点气血&lt;/battle&gt;","periodicPulse":{"intervalSec":30,"label":"消耗 10 点神识&lt;battle&gt;如果敏捷和寒冷层数均不少于 15 层，吸取敌方 160 点气血&lt;/battle&gt;","primaryStatCosts":[{"stat":"spiritSense","amount":10}],"drainPrimaryStat":{"target":"enemy","stat":"health","amount":160,"gainAmount":160},"activationRequirements":{"buffStackThresholds":[{"buffId":"agile","comparator":"atLeast","count":15},{"buffId":"cold","comparator":"atLeast","count":15}]}},"starOverrides":{"1":{"label":"消耗 20 点神识&lt;battle&gt;如果敏捷和寒冷层数均不少于 30 层，吸取敌方 240 点气血&lt;/battle&gt;","periodicPulse":{"intervalSec":30,"label":"消耗 20 点神识&lt;battle&gt;如果敏捷和寒冷层数均不少于 30 层，吸取敌方 240 点气血&lt;/battle&gt;","primaryStatCosts":[{"stat":"spiritSense","amount":20}],"drainPrimaryStat":{"target":"enemy","stat":"health","amount":240,"gainAmount":240},"activationRequirements":{"buffStackThresholds":[{"buffId":"agile","comparator":"atLeast","count":30},{"buffId":"cold","comparator":"atLeast","count":30}]}},"activationRequirements":{"buffStackThresholds":[{"buffId":"agile","comparator":"atLeast","count":30},{"buffId":"cold","comparator":"atLeast","count":30}]}},"2":{"label":"消耗 30 点神识&lt;battle&gt;如果敏捷和寒冷层数均不少于 30 层，吸取敌方 320 点气血&lt;/battle&gt;","periodicPulse":{"intervalSec":30,"label":"消耗 30 点神识&lt;battle&gt;如果敏捷和寒冷层数均不少于 30 层，吸取敌方 320 点气血&lt;/battle&gt;","primaryStatCosts":[{"stat":"spiritSense","amount":30}],"drainPrimaryStat":{"target":"enemy","stat":"health","amount":320,"gainAmount":320},"activationRequirements":{"buffStackThresholds":[{"buffId":"agile","comparator":"atLeast","count":30},{"buffId":"cold","comparator":"atLeast","count":30}]}},"activationRequirements":{"buffStackThresholds":[{"buffId":"agile","comparator":"atLeast","count":30},{"buffId":"cold","comparator":"atLeast","count":30}]}},"3":{"label":"消耗 40 点神识&lt;battle&gt;如果敏捷和寒冷层数均不少于 30 层，吸取敌方 400 点气血&lt;/battle&gt;","periodicPulse":{"intervalSec":30,"label":"消耗 40 点神识&lt;battle&gt;如果敏捷和寒冷层数均不少于 30 层，吸取敌方 400 点气血&lt;/battle&gt;","primaryStatCosts":[{"stat":"spiritSense","amount":40}],"drainPrimaryStat":{"target":"enemy","stat":"health","amount":400,"gainAmount":400},"activationRequirements":{"buffStackThresholds":[{"buffId":"agile","comparator":"atLeast","count":30},{"buffId":"cold","comparator":"atLeast","count":30}]}},"activationRequirements":{"buffStackThresholds":[{"buffId":"agile","comparator":"atLeast","count":30},{"buffId":"cold","comparator":"atLeast","count":30}]}}},"activationRequirements":{"buffStackThresholds":[{"buffId":"agile","comparator":"atLeast","count":15},{"buffId":"cold","comparator":"atLeast","count":15}]}}</t>
        </is>
      </c>
    </row>
    <row r="1083" ht="32" customHeight="1">
      <c r="A1083" s="8" t="n">
        <v>415002</v>
      </c>
      <c r="B1083" s="8" t="inlineStr">
        <is>
          <t>束胸眼腺铸护器</t>
        </is>
      </c>
      <c r="C1083" s="8" t="inlineStr">
        <is>
          <t>法器</t>
        </is>
      </c>
      <c r="D1083" s="8" t="inlineStr">
        <is>
          <t>spirit</t>
        </is>
      </c>
      <c r="E1083" s="8" t="inlineStr">
        <is>
          <t>water</t>
        </is>
      </c>
      <c r="F1083" s="8" t="n">
        <v>2</v>
      </c>
      <c r="G1083" s="8" t="inlineStr">
        <is>
          <t>基础/顶层</t>
        </is>
      </c>
      <c r="H1083" s="8" t="inlineStr"/>
      <c r="I1083" s="9" t="inlineStr"/>
      <c r="J1083" s="8" t="inlineStr"/>
      <c r="K1083" s="8" t="inlineStr"/>
      <c r="L1083" s="8" t="inlineStr"/>
      <c r="M1083" s="8" t="inlineStr">
        <is>
          <t>被动效果</t>
        </is>
      </c>
      <c r="N1083" s="8" t="inlineStr">
        <is>
          <t>passive</t>
        </is>
      </c>
      <c r="O1083" s="9" t="inlineStr">
        <is>
          <t>法力上限 +40；法力上限 +50；法力上限 +60；法力上限 +70</t>
        </is>
      </c>
      <c r="P1083" s="9" t="inlineStr"/>
      <c r="Q1083" s="9" t="inlineStr">
        <is>
          <t>primaryStatMaxFlatBonuses</t>
        </is>
      </c>
      <c r="R1083" s="9" t="inlineStr">
        <is>
          <t>{"kind":"passive","label":"法力上限 +40","passiveEffect":{"type":"primaryStatMaxFlatBonuses","bonuses":[{"stat":"mana","value":40}],"label":"法力上限 +40"},"starOverrides":{"1":{"label":"法力上限 +50","passiveEffect":{"type":"primaryStatMaxFlatBonuses","bonuses":[{"stat":"mana","value":50}],"label":"法力上限 +50"}},"2":{"label":"法力上限 +60","passiveEffect":{"type":"primaryStatMaxFlatBonuses","bonuses":[{"stat":"mana","value":60}],"label":"法力上限 +60"}},"3":{"label":"法力上限 +70","passiveEffect":{"type":"primaryStatMaxFlatBonuses","bonuses":[{"stat":"mana","value":70}],"label":"法力上限 +70"}}}}</t>
        </is>
      </c>
    </row>
    <row r="1084" ht="32" customHeight="1">
      <c r="A1084" s="8" t="n">
        <v>415003</v>
      </c>
      <c r="B1084" s="8" t="inlineStr">
        <is>
          <t>束胸眼腺回旋引势刃</t>
        </is>
      </c>
      <c r="C1084" s="8" t="inlineStr">
        <is>
          <t>法器</t>
        </is>
      </c>
      <c r="D1084" s="8" t="inlineStr">
        <is>
          <t>spirit</t>
        </is>
      </c>
      <c r="E1084" s="8" t="inlineStr">
        <is>
          <t>water</t>
        </is>
      </c>
      <c r="F1084" s="8" t="n">
        <v>1</v>
      </c>
      <c r="G1084" s="8" t="inlineStr">
        <is>
          <t>基础/顶层</t>
        </is>
      </c>
      <c r="H1084" s="8" t="inlineStr"/>
      <c r="I1084" s="9" t="inlineStr"/>
      <c r="J1084" s="8" t="inlineStr"/>
      <c r="K1084" s="8" t="inlineStr"/>
      <c r="L1084" s="8" t="inlineStr"/>
      <c r="M1084" s="8" t="inlineStr">
        <is>
          <t>周期触发</t>
        </is>
      </c>
      <c r="N1084" s="8" t="inlineStr">
        <is>
          <t>periodicPulse</t>
        </is>
      </c>
      <c r="O1084" s="9" t="inlineStr">
        <is>
          <t>消耗 2 点神识，将最多 8 层露水转化为气血，每层恢复 5 点；将最多 8 层露水转化为气血，每层恢复 5 点；消耗 4 点神识，将最多 12 层露水转化为气血，每层恢复 5 点；将最多 12 层露水转化为气血，每层恢复 5 点；消耗 6 点神识，将最多 16 层露水转化为气血，每层恢复 5 点；将最多 16 层露水转化为气血，每层恢复 5 点；消耗 8 点神识，将最多 20 层露水转化为气血，每层恢复 5 点；将最多 20 层露水转化为气血，每层恢复 5 点</t>
        </is>
      </c>
      <c r="P1084" s="9" t="inlineStr">
        <is>
          <t>onPeriodicPulse</t>
        </is>
      </c>
      <c r="Q1084" s="9" t="inlineStr">
        <is>
          <t>consumeBuffStacks</t>
        </is>
      </c>
      <c r="R1084" s="9" t="inlineStr">
        <is>
          <t>{"kind":"periodicPulse","label":"消耗 2 点神识，将最多 8 层露水转化为气血，每层恢复 5 点","periodicPulse":{"intervalSec":12,"label":"消耗 2 点神识，将最多 8 层露水转化为气血，每层恢复 5 点","primaryStatCosts":[{"stat":"spiritSense","amount":2}]},"executors":[{"trigger":"onPeriodicPulse","type":"consumeBuffStacks","sourceBuffId":"dew","maxStacks":8,"primaryStatGainPerStack":{"stat":"health","amount":5},"label":"将最多 8 层露水转化为气血，每层恢复 5 点"}],"starOverrides":{"1":{"label":"消耗 4 点神识，将最多 12 层露水转化为气血，每层恢复 5 点","periodicPulse":{"intervalSec":12,"label":"消耗 4 点神识，将最多 12 层露水转化为气血，每层恢复 5 点","primaryStatCosts":[{"stat":"spiritSense","amount":4}]},"executors":[{"trigger":"onPeriodicPulse","type":"consumeBuffStacks","sourceBuffId":"dew","maxStacks":12,"primaryStatGainPerStack":{"stat":"health","amount":5},"label":"将最多 12 层露水转化为气血，每层恢复 5 点"}]},"2":{"label":"消耗 6 点神识，将最多 16 层露水转化为气血，每层恢复 5 点","periodicPulse":{"intervalSec":12,"label":"消耗 6 点神识，将最多 16 层露水转化为气血，每层恢复 5 点","primaryStatCosts":[{"stat":"spiritSense","amount":6}]},"executors":[{"trigger":"onPeriodicPulse","type":"consumeBuffStacks","sourceBuffId":"dew","maxStacks":16,"primaryStatGainPerStack":{"stat":"health","amount":5},"label":"将最多 16 层露水转化为气血，每层恢复 5 点"}]},"3":{"label":"消耗 8 点神识，将最多 20 层露水转化为气血，每层恢复 5 点","periodicPulse":{"intervalSec":12,"label":"消耗 8 点神识，将最多 20 层露水转化为气血，每层恢复 5 点","primaryStatCosts":[{"stat":"spiritSense","amount":8}]},"executors":[{"trigger":"onPeriodicPulse","type":"consumeBuffStacks","sourceBuffId":"dew","maxStacks":20,"primaryStatGainPerStack":{"stat":"health","amount":5},"label":"将最多 20 层露水转化为气血，每层恢复 5 点"}]}}}</t>
        </is>
      </c>
    </row>
    <row r="1085" ht="32" customHeight="1">
      <c r="A1085" s="8" t="n">
        <v>415004</v>
      </c>
      <c r="B1085" s="8" t="inlineStr">
        <is>
          <t>鳞尾节鞭铸护器</t>
        </is>
      </c>
      <c r="C1085" s="8" t="inlineStr">
        <is>
          <t>法器</t>
        </is>
      </c>
      <c r="D1085" s="8" t="inlineStr">
        <is>
          <t>spirit</t>
        </is>
      </c>
      <c r="E1085" s="8" t="inlineStr">
        <is>
          <t>wood</t>
        </is>
      </c>
      <c r="F1085" s="8" t="n">
        <v>1</v>
      </c>
      <c r="G1085" s="8" t="inlineStr">
        <is>
          <t>基础/顶层</t>
        </is>
      </c>
      <c r="H1085" s="8" t="inlineStr"/>
      <c r="I1085" s="9" t="inlineStr"/>
      <c r="J1085" s="8" t="inlineStr"/>
      <c r="K1085" s="8" t="inlineStr"/>
      <c r="L1085" s="8" t="inlineStr"/>
      <c r="M1085" s="8" t="inlineStr">
        <is>
          <t>周期触发</t>
        </is>
      </c>
      <c r="N1085" s="8" t="inlineStr">
        <is>
          <t>periodicPulse</t>
        </is>
      </c>
      <c r="O1085" s="9" t="inlineStr">
        <is>
          <t>消耗 120 点体力，对敌方造成 60 点伤害 3 次；消耗 160 点体力，对敌方造成 80 点伤害 3 次；消耗 200 点体力，对敌方造成 100 点伤害 3 次；消耗 240 点体力，对敌方造成 120 点伤害 3 次</t>
        </is>
      </c>
      <c r="P1085" s="9" t="inlineStr"/>
      <c r="Q1085" s="9" t="inlineStr"/>
      <c r="R1085" s="9" t="inlineStr">
        <is>
          <t>{"kind":"periodicPulse","label":"&lt;battle&gt;消耗 120 点体力，对敌方造成 60 点伤害 3 次&lt;/battle&gt;","periodicPulse":{"intervalSec":35,"label":"&lt;battle&gt;消耗 120 点体力，对敌方造成 60 点伤害 3 次&lt;/battle&gt;","damageHealth":{"target":"enemy","amount":60,"repeatCount":3},"primaryStatCosts":[{"stat":"stamina","amount":120}]},"starOverrides":{"1":{"label":"&lt;battle&gt;消耗 160 点体力，对敌方造成 80 点伤害 3 次&lt;/battle&gt;","periodicPulse":{"intervalSec":35,"label":"&lt;battle&gt;消耗 160 点体力，对敌方造成 80 点伤害 3 次&lt;/battle&gt;","damageHealth":{"target":"enemy","amount":80,"repeatCount":3},"primaryStatCosts":[{"stat":"stamina","amount":160}]}},"2":{"label":"&lt;battle&gt;消耗 200 点体力，对敌方造成 100 点伤害 3 次&lt;/battle&gt;","periodicPulse":{"intervalSec":35,"label":"&lt;battle&gt;消耗 200 点体力，对敌方造成 100 点伤害 3 次&lt;/battle&gt;","damageHealth":{"target":"enemy","amount":100,"repeatCount":3},"primaryStatCosts":[{"stat":"stamina","amount":200}]}},"3":{"label":"&lt;battle&gt;消耗 240 点体力，对敌方造成 120 点伤害 3 次&lt;/battle&gt;","periodicPulse":{"intervalSec":35,"label":"&lt;battle&gt;消耗 240 点体力，对敌方造成 120 点伤害 3 次&lt;/battle&gt;","damageHealth":{"target":"enemy","amount":120,"repeatCount":3},"primaryStatCosts":[{"stat":"stamina","amount":240}]}}}}</t>
        </is>
      </c>
    </row>
    <row r="1086" ht="32" customHeight="1">
      <c r="A1086" s="8" t="n">
        <v>415005</v>
      </c>
      <c r="B1086" s="8" t="inlineStr">
        <is>
          <t>鳞尾节鞭回旋引势刃</t>
        </is>
      </c>
      <c r="C1086" s="8" t="inlineStr">
        <is>
          <t>法器</t>
        </is>
      </c>
      <c r="D1086" s="8" t="inlineStr">
        <is>
          <t>spirit</t>
        </is>
      </c>
      <c r="E1086" s="8" t="inlineStr">
        <is>
          <t>wood</t>
        </is>
      </c>
      <c r="F1086" s="8" t="n">
        <v>1</v>
      </c>
      <c r="G1086" s="8" t="inlineStr">
        <is>
          <t>基础/顶层</t>
        </is>
      </c>
      <c r="H1086" s="8" t="inlineStr"/>
      <c r="I1086" s="9" t="inlineStr"/>
      <c r="J1086" s="8" t="inlineStr"/>
      <c r="K1086" s="8" t="inlineStr"/>
      <c r="L1086" s="8" t="inlineStr"/>
      <c r="M1086" s="8" t="inlineStr">
        <is>
          <t>条件触发</t>
        </is>
      </c>
      <c r="N1086" s="8" t="inlineStr">
        <is>
          <t>triggered</t>
        </is>
      </c>
      <c r="O1086" s="9" t="inlineStr">
        <is>
          <t>左右相邻武器对敌方造成伤害时，对敌方施加 4 层中毒；左右相邻武器对敌方造成伤害时，对敌方施加 6 层中毒；左右相邻武器对敌方造成伤害时，对敌方施加 10 层中毒；左右相邻武器对敌方造成伤害时，对敌方施加 12 层中毒</t>
        </is>
      </c>
      <c r="P1086" s="9" t="inlineStr">
        <is>
          <t>onBattleHealthDamageDealt</t>
        </is>
      </c>
      <c r="Q1086" s="9" t="inlineStr">
        <is>
          <t>applyBuff；directional-adjacent</t>
        </is>
      </c>
      <c r="R1086" s="9" t="inlineStr">
        <is>
          <t>{"kind":"triggered","label":"&lt;battle&gt;左右相邻武器对敌方造成伤害时，对敌方施加 4 层中毒&lt;/battle&gt;","triggeredEffect":{"trigger":"onBattleHealthDamageDealt","type":"applyBuff","buffId":"poison","count":4,"targetActor":"enemy","eventSource":{"target":{"type":"directional-adjacent","direction":"both-horizontal"},"filter":{"features":["weapon"]}},"support":"battleOnly"},"starOverrides":{"1":{"label":"&lt;battle&gt;左右相邻武器对敌方造成伤害时，对敌方施加 6 层中毒&lt;/battle&gt;","triggeredEffect":{"trigger":"onBattleHealthDamageDealt","type":"applyBuff","buffId":"poison","count":6,"targetActor":"enemy","eventSource":{"target":{"type":"directional-adjacent","direction":"both-horizontal"},"filter":{"features":["weapon"]}},"support":"battleOnly"}},"2":{"label":"&lt;battle&gt;左右相邻武器对敌方造成伤害时，对敌方施加 10 层中毒&lt;/battle&gt;","triggeredEffect":{"trigger":"onBattleHealthDamageDealt","type":"applyBuff","buffId":"poison","count":10,"targetActor":"enemy","eventSource":{"target":{"type":"directional-adjacent","direction":"both-horizontal"},"filter":{"features":["weapon"]}},"support":"battleOnly"}},"3":{"label":"&lt;battle&gt;左右相邻武器对敌方造成伤害时，对敌方施加 12 层中毒&lt;/battle&gt;","triggeredEffect":{"trigger":"onBattleHealthDamageDealt","type":"applyBuff","buffId":"poison","count":12,"targetActor":"enemy","eventSource":{"target":{"type":"directional-adjacent","direction":"both-horizontal"},"filter":{"features":["weapon"]}},"support":"battleOnly"}}}}</t>
        </is>
      </c>
    </row>
    <row r="1087" ht="32" customHeight="1">
      <c r="A1087" s="8" t="n">
        <v>415200</v>
      </c>
      <c r="B1087" s="8" t="inlineStr">
        <is>
          <t>铜环鸣囊镇纹器</t>
        </is>
      </c>
      <c r="C1087" s="8" t="inlineStr">
        <is>
          <t>法器</t>
        </is>
      </c>
      <c r="D1087" s="8" t="inlineStr">
        <is>
          <t>spirit</t>
        </is>
      </c>
      <c r="E1087" s="8" t="inlineStr">
        <is>
          <t>fire</t>
        </is>
      </c>
      <c r="F1087" s="8" t="n">
        <v>1</v>
      </c>
      <c r="G1087" s="8" t="inlineStr">
        <is>
          <t>基础/顶层</t>
        </is>
      </c>
      <c r="H1087" s="8" t="inlineStr"/>
      <c r="I1087" s="9" t="inlineStr"/>
      <c r="J1087" s="8" t="inlineStr"/>
      <c r="K1087" s="8" t="inlineStr"/>
      <c r="L1087" s="8" t="inlineStr"/>
      <c r="M1087" s="8" t="inlineStr">
        <is>
          <t>周期触发</t>
        </is>
      </c>
      <c r="N1087" s="8" t="inlineStr">
        <is>
          <t>periodicPulse</t>
        </is>
      </c>
      <c r="O1087" s="9" t="inlineStr">
        <is>
          <t>开局：如果凝金层数不少于 80 层，获得 160 层护甲；开局：如果凝金层数不少于 80 层，获得 240 层护甲；开局：如果凝金层数不少于 80 层，获得 320 层护甲；开局：如果凝金层数不少于 80 层，获得 400 层护甲</t>
        </is>
      </c>
      <c r="P1087" s="9" t="inlineStr"/>
      <c r="Q1087" s="9" t="inlineStr"/>
      <c r="R1087" s="9" t="inlineStr">
        <is>
          <t>{"kind":"periodicPulse","label":"开局：如果凝金层数不少于 80 层，获得 160 层护甲","periodicPulse":{"startOnly":true,"label":"开局：如果凝金层数不少于 80 层，获得 160 层护甲","buffGains":[{"buffId":"armor","count":160}],"activationRequirements":{"buffStackThresholds":[{"buffId":"condensedMetal","comparator":"atLeast","count":80}]}},"starOverrides":{"1":{"label":"开局：如果凝金层数不少于 80 层，获得 240 层护甲","periodicPulse":{"startOnly":true,"label":"开局：如果凝金层数不少于 80 层，获得 240 层护甲","buffGains":[{"buffId":"armor","count":240}],"activationRequirements":{"buffStackThresholds":[{"buffId":"condensedMetal","comparator":"atLeast","count":80}]}},"activationRequirements":{"buffStackThresholds":[{"buffId":"condensedMetal","comparator":"atLeast","count":80}]}},"2":{"label":"开局：如果凝金层数不少于 80 层，获得 320 层护甲","periodicPulse":{"startOnly":true,"label":"开局：如果凝金层数不少于 80 层，获得 320 层护甲","buffGains":[{"buffId":"armor","count":320}],"activationRequirements":{"buffStackThresholds":[{"buffId":"condensedMetal","comparator":"atLeast","count":80}]}},"activationRequirements":{"buffStackThresholds":[{"buffId":"condensedMetal","comparator":"atLeast","count":80}]}},"3":{"label":"开局：如果凝金层数不少于 80 层，获得 400 层护甲","periodicPulse":{"startOnly":true,"label":"开局：如果凝金层数不少于 80 层，获得 400 层护甲","buffGains":[{"buffId":"armor","count":400}],"activationRequirements":{"buffStackThresholds":[{"buffId":"condensedMetal","comparator":"atLeast","count":80}]}},"activationRequirements":{"buffStackThresholds":[{"buffId":"condensedMetal","comparator":"atLeast","count":80}]}}},"activationRequirements":{"buffStackThresholds":[{"buffId":"condensedMetal","comparator":"atLeast","count":80}]}}</t>
        </is>
      </c>
    </row>
    <row r="1088" ht="32" customHeight="1">
      <c r="A1088" s="8" t="n">
        <v>415200</v>
      </c>
      <c r="B1088" s="8" t="inlineStr">
        <is>
          <t>铜环鸣囊镇纹器</t>
        </is>
      </c>
      <c r="C1088" s="8" t="inlineStr">
        <is>
          <t>法器</t>
        </is>
      </c>
      <c r="D1088" s="8" t="inlineStr">
        <is>
          <t>spirit</t>
        </is>
      </c>
      <c r="E1088" s="8" t="inlineStr">
        <is>
          <t>fire</t>
        </is>
      </c>
      <c r="F1088" s="8" t="n">
        <v>2</v>
      </c>
      <c r="G1088" s="8" t="inlineStr">
        <is>
          <t>基础/顶层</t>
        </is>
      </c>
      <c r="H1088" s="8" t="inlineStr"/>
      <c r="I1088" s="9" t="inlineStr"/>
      <c r="J1088" s="8" t="inlineStr"/>
      <c r="K1088" s="8" t="inlineStr"/>
      <c r="L1088" s="8" t="inlineStr"/>
      <c r="M1088" s="8" t="inlineStr">
        <is>
          <t>被动效果</t>
        </is>
      </c>
      <c r="N1088" s="8" t="inlineStr">
        <is>
          <t>passive</t>
        </is>
      </c>
      <c r="O1088" s="9" t="inlineStr">
        <is>
          <t>护甲层数上限 +20；护甲层数上限 +25；护甲层数上限 +30；护甲层数上限 +35</t>
        </is>
      </c>
      <c r="P1088" s="9" t="inlineStr"/>
      <c r="Q1088" s="9" t="inlineStr">
        <is>
          <t>buffStackCapBonus</t>
        </is>
      </c>
      <c r="R1088" s="9" t="inlineStr">
        <is>
          <t>{"kind":"passive","label":"护甲层数上限 +20","passiveEffect":{"type":"buffStackCapBonus","buffId":"armor","value":20,"label":"护甲层数上限 +20"},"starOverrides":{"1":{"label":"护甲层数上限 +25","passiveEffect":{"type":"buffStackCapBonus","buffId":"armor","value":25,"label":"护甲层数上限 +25"}},"2":{"label":"护甲层数上限 +30","passiveEffect":{"type":"buffStackCapBonus","buffId":"armor","value":30,"label":"护甲层数上限 +30"}},"3":{"label":"护甲层数上限 +35","passiveEffect":{"type":"buffStackCapBonus","buffId":"armor","value":35,"label":"护甲层数上限 +35"}}}}</t>
        </is>
      </c>
    </row>
    <row r="1089" ht="32" customHeight="1">
      <c r="A1089" s="8" t="n">
        <v>415201</v>
      </c>
      <c r="B1089" s="8" t="inlineStr">
        <is>
          <t>厚蹼尾皮镇纹器</t>
        </is>
      </c>
      <c r="C1089" s="8" t="inlineStr">
        <is>
          <t>法器</t>
        </is>
      </c>
      <c r="D1089" s="8" t="inlineStr">
        <is>
          <t>spirit</t>
        </is>
      </c>
      <c r="E1089" s="8" t="inlineStr">
        <is>
          <t>water</t>
        </is>
      </c>
      <c r="F1089" s="8" t="n">
        <v>1</v>
      </c>
      <c r="G1089" s="8" t="inlineStr">
        <is>
          <t>基础/顶层</t>
        </is>
      </c>
      <c r="H1089" s="8" t="inlineStr"/>
      <c r="I1089" s="9" t="inlineStr"/>
      <c r="J1089" s="8" t="inlineStr"/>
      <c r="K1089" s="8" t="inlineStr"/>
      <c r="L1089" s="8" t="inlineStr"/>
      <c r="M1089" s="8" t="inlineStr">
        <is>
          <t>周期触发</t>
        </is>
      </c>
      <c r="N1089" s="8" t="inlineStr">
        <is>
          <t>periodicPulse</t>
        </is>
      </c>
      <c r="O1089" s="9" t="inlineStr">
        <is>
          <t>获得 10 层坚硬和敏捷；获得 16 层坚硬和敏捷；获得 20 层坚硬和敏捷；获得 26 层坚硬和敏捷</t>
        </is>
      </c>
      <c r="P1089" s="9" t="inlineStr"/>
      <c r="Q1089" s="9" t="inlineStr"/>
      <c r="R1089" s="9" t="inlineStr">
        <is>
          <t>{"kind":"periodicPulse","label":"获得 10 层坚硬和敏捷","periodicPulse":{"intervalSec":14,"label":"获得 10 层坚硬和敏捷","buffGains":[{"buffId":"sturdy","count":10},{"buffId":"agile","count":10}]},"starOverrides":{"1":{"label":"获得 16 层坚硬和敏捷","periodicPulse":{"intervalSec":13,"label":"获得 16 层坚硬和敏捷","buffGains":[{"buffId":"sturdy","count":16},{"buffId":"agile","count":16}]}},"2":{"label":"获得 20 层坚硬和敏捷","periodicPulse":{"intervalSec":12,"label":"获得 20 层坚硬和敏捷","buffGains":[{"buffId":"sturdy","count":20},{"buffId":"agile","count":20}]}},"3":{"label":"获得 26 层坚硬和敏捷","periodicPulse":{"intervalSec":11,"label":"获得 26 层坚硬和敏捷","buffGains":[{"buffId":"sturdy","count":26},{"buffId":"agile","count":26}]}}}}</t>
        </is>
      </c>
    </row>
    <row r="1090" ht="32" customHeight="1">
      <c r="A1090" s="8" t="n">
        <v>415202</v>
      </c>
      <c r="B1090" s="8" t="inlineStr">
        <is>
          <t>负炉铜扣束带镇纹器</t>
        </is>
      </c>
      <c r="C1090" s="8" t="inlineStr">
        <is>
          <t>法器</t>
        </is>
      </c>
      <c r="D1090" s="8" t="inlineStr">
        <is>
          <t>spirit</t>
        </is>
      </c>
      <c r="E1090" s="8" t="inlineStr">
        <is>
          <t>metal</t>
        </is>
      </c>
      <c r="F1090" s="8" t="n">
        <v>1</v>
      </c>
      <c r="G1090" s="8" t="inlineStr">
        <is>
          <t>基础/顶层</t>
        </is>
      </c>
      <c r="H1090" s="8" t="inlineStr"/>
      <c r="I1090" s="9" t="inlineStr"/>
      <c r="J1090" s="8" t="inlineStr"/>
      <c r="K1090" s="8" t="inlineStr"/>
      <c r="L1090" s="8" t="inlineStr"/>
      <c r="M1090" s="8" t="inlineStr">
        <is>
          <t>周期触发</t>
        </is>
      </c>
      <c r="N1090" s="8" t="inlineStr">
        <is>
          <t>periodicPulse</t>
        </is>
      </c>
      <c r="O1090" s="9" t="inlineStr">
        <is>
          <t>位于储物袋左侧时，获得 20 层护甲；位于储物袋左侧时，获得 26 层护甲；位于储物袋左侧时，获得 30 层护甲；位于储物袋左侧时，获得 36 层护甲</t>
        </is>
      </c>
      <c r="P1090" s="9" t="inlineStr"/>
      <c r="Q1090" s="9" t="inlineStr"/>
      <c r="R1090" s="9" t="inlineStr">
        <is>
          <t>{"kind":"periodicPulse","label":"位于储物袋左侧时，获得 20 层护甲","periodicPulse":{"intervalSec":12,"label":"位于储物袋左侧时，获得 20 层护甲","buffGains":[{"buffId":"armor","count":20}],"activationRequirements":{"sourceEdges":["left"]}},"activationRequirements":{"sourceEdges":["left"]},"starOverrides":{"1":{"label":"位于储物袋左侧时，获得 26 层护甲","periodicPulse":{"intervalSec":11,"label":"位于储物袋左侧时，获得 26 层护甲","buffGains":[{"buffId":"armor","count":26}],"activationRequirements":{"sourceEdges":["left"]}},"activationRequirements":{"sourceEdges":["left"]}},"2":{"label":"位于储物袋左侧时，获得 30 层护甲","periodicPulse":{"intervalSec":10,"label":"位于储物袋左侧时，获得 30 层护甲","buffGains":[{"buffId":"armor","count":30}],"activationRequirements":{"sourceEdges":["left"]}},"activationRequirements":{"sourceEdges":["left"]}},"3":{"label":"位于储物袋左侧时，获得 36 层护甲","periodicPulse":{"intervalSec":9,"label":"位于储物袋左侧时，获得 36 层护甲","buffGains":[{"buffId":"armor","count":36}],"activationRequirements":{"sourceEdges":["left"]}},"activationRequirements":{"sourceEdges":["left"]}}}}</t>
        </is>
      </c>
    </row>
    <row r="1091" ht="32" customHeight="1">
      <c r="A1091" s="8" t="n">
        <v>415500</v>
      </c>
      <c r="B1091" s="8" t="inlineStr">
        <is>
          <t>琥珀眼珠镇纹器</t>
        </is>
      </c>
      <c r="C1091" s="8" t="inlineStr">
        <is>
          <t>法器</t>
        </is>
      </c>
      <c r="D1091" s="8" t="inlineStr">
        <is>
          <t>spirit</t>
        </is>
      </c>
      <c r="E1091" s="8" t="inlineStr">
        <is>
          <t>fire</t>
        </is>
      </c>
      <c r="F1091" s="8" t="n">
        <v>1</v>
      </c>
      <c r="G1091" s="8" t="inlineStr">
        <is>
          <t>基础/顶层</t>
        </is>
      </c>
      <c r="H1091" s="8" t="inlineStr"/>
      <c r="I1091" s="9" t="inlineStr"/>
      <c r="J1091" s="8" t="inlineStr"/>
      <c r="K1091" s="8" t="inlineStr"/>
      <c r="L1091" s="8" t="inlineStr"/>
      <c r="M1091" s="8" t="inlineStr">
        <is>
          <t>被动效果</t>
        </is>
      </c>
      <c r="N1091" s="8" t="inlineStr">
        <is>
          <t>passive</t>
        </is>
      </c>
      <c r="O1091" s="9" t="inlineStr">
        <is>
          <t>神识上限 +6；神识上限 +10；神识上限 +16；神识上限 +20</t>
        </is>
      </c>
      <c r="P1091" s="9" t="inlineStr"/>
      <c r="Q1091" s="9" t="inlineStr">
        <is>
          <t>primaryStatMaxFlatBonuses</t>
        </is>
      </c>
      <c r="R1091" s="9" t="inlineStr">
        <is>
          <t>{"kind":"passive","label":"神识上限 +6","passiveEffect":{"type":"primaryStatMaxFlatBonuses","bonuses":[{"stat":"spiritSense","value":6}],"label":"神识上限 +6"},"starOverrides":{"1":{"label":"神识上限 +10","passiveEffect":{"type":"primaryStatMaxFlatBonuses","bonuses":[{"stat":"spiritSense","value":10}],"label":"神识上限 +10"}},"2":{"label":"神识上限 +16","passiveEffect":{"type":"primaryStatMaxFlatBonuses","bonuses":[{"stat":"spiritSense","value":16}],"label":"神识上限 +16"}},"3":{"label":"神识上限 +20","passiveEffect":{"type":"primaryStatMaxFlatBonuses","bonuses":[{"stat":"spiritSense","value":20}],"label":"神识上限 +20"}}}}</t>
        </is>
      </c>
    </row>
    <row r="1092" ht="32" customHeight="1">
      <c r="A1092" s="8" t="n">
        <v>415500</v>
      </c>
      <c r="B1092" s="8" t="inlineStr">
        <is>
          <t>琥珀眼珠镇纹器</t>
        </is>
      </c>
      <c r="C1092" s="8" t="inlineStr">
        <is>
          <t>法器</t>
        </is>
      </c>
      <c r="D1092" s="8" t="inlineStr">
        <is>
          <t>spirit</t>
        </is>
      </c>
      <c r="E1092" s="8" t="inlineStr">
        <is>
          <t>fire</t>
        </is>
      </c>
      <c r="F1092" s="8" t="n">
        <v>2</v>
      </c>
      <c r="G1092" s="8" t="inlineStr">
        <is>
          <t>基础/顶层</t>
        </is>
      </c>
      <c r="H1092" s="8" t="inlineStr"/>
      <c r="I1092" s="9" t="inlineStr"/>
      <c r="J1092" s="8" t="inlineStr"/>
      <c r="K1092" s="8" t="inlineStr"/>
      <c r="L1092" s="8" t="inlineStr"/>
      <c r="M1092" s="8" t="inlineStr">
        <is>
          <t>周期触发</t>
        </is>
      </c>
      <c r="N1092" s="8" t="inlineStr">
        <is>
          <t>periodicPulse</t>
        </is>
      </c>
      <c r="O1092" s="9" t="inlineStr">
        <is>
          <t>消耗 6 点神识，对敌方造成 100 点伤害；消耗 8 点神识，对敌方造成 160 点伤害；消耗 10 点神识，对敌方造成 240 点伤害；消耗 12 点神识，对敌方造成 320 点伤害</t>
        </is>
      </c>
      <c r="P1092" s="9" t="inlineStr"/>
      <c r="Q1092" s="9" t="inlineStr"/>
      <c r="R1092" s="9" t="inlineStr">
        <is>
          <t>{"kind":"periodicPulse","label":"&lt;battle&gt;消耗 6 点神识，对敌方造成 100 点伤害&lt;/battle&gt;","periodicPulse":{"intervalSec":15,"label":"&lt;battle&gt;消耗 6 点神识，对敌方造成 100 点伤害&lt;/battle&gt;","damageHealth":{"target":"enemy","amount":100},"primaryStatCosts":[{"stat":"spiritSense","amount":6}]},"starOverrides":{"1":{"label":"&lt;battle&gt;消耗 8 点神识，对敌方造成 160 点伤害&lt;/battle&gt;","periodicPulse":{"intervalSec":15,"label":"&lt;battle&gt;消耗 8 点神识，对敌方造成 160 点伤害&lt;/battle&gt;","damageHealth":{"target":"enemy","amount":160},"primaryStatCosts":[{"stat":"spiritSense","amount":8}]}},"2":{"label":"&lt;battle&gt;消耗 10 点神识，对敌方造成 240 点伤害&lt;/battle&gt;","periodicPulse":{"intervalSec":15,"label":"&lt;battle&gt;消耗 10 点神识，对敌方造成 240 点伤害&lt;/battle&gt;","damageHealth":{"target":"enemy","amount":240},"primaryStatCosts":[{"stat":"spiritSense","amount":10}]}},"3":{"label":"&lt;battle&gt;消耗 12 点神识，对敌方造成 320 点伤害&lt;/battle&gt;","periodicPulse":{"intervalSec":15,"label":"&lt;battle&gt;消耗 12 点神识，对敌方造成 320 点伤害&lt;/battle&gt;","damageHealth":{"target":"enemy","amount":320},"primaryStatCosts":[{"stat":"spiritSense","amount":12}]}}}}</t>
        </is>
      </c>
    </row>
    <row r="1093" ht="32" customHeight="1">
      <c r="A1093" s="8" t="n">
        <v>415501</v>
      </c>
      <c r="B1093" s="8" t="inlineStr">
        <is>
          <t>张褶棘镇纹器</t>
        </is>
      </c>
      <c r="C1093" s="8" t="inlineStr">
        <is>
          <t>法器</t>
        </is>
      </c>
      <c r="D1093" s="8" t="inlineStr">
        <is>
          <t>spirit</t>
        </is>
      </c>
      <c r="E1093" s="8" t="inlineStr">
        <is>
          <t>metal</t>
        </is>
      </c>
      <c r="F1093" s="8" t="n">
        <v>1</v>
      </c>
      <c r="G1093" s="8" t="inlineStr">
        <is>
          <t>基础/顶层</t>
        </is>
      </c>
      <c r="H1093" s="8" t="inlineStr"/>
      <c r="I1093" s="9" t="inlineStr"/>
      <c r="J1093" s="8" t="inlineStr"/>
      <c r="K1093" s="8" t="inlineStr"/>
      <c r="L1093" s="8" t="inlineStr"/>
      <c r="M1093" s="8" t="inlineStr">
        <is>
          <t>周期触发</t>
        </is>
      </c>
      <c r="N1093" s="8" t="inlineStr">
        <is>
          <t>periodicPulse</t>
        </is>
      </c>
      <c r="O1093" s="9" t="inlineStr">
        <is>
          <t>开局：消耗 60 点法力和 5 层凝金，对敌方施加 40 层中毒；消耗 5 层凝金；开局：消耗 60 点法力和 10 层凝金，对敌方施加 50 层中毒；消耗 10 层凝金；开局：消耗 60 点法力和 10 层凝金，对敌方施加 60 层中毒；开局：消耗 60 点法力和 10 层凝金，对敌方施加 70 层中毒</t>
        </is>
      </c>
      <c r="P1093" s="9" t="inlineStr">
        <is>
          <t>onPeriodicPulse</t>
        </is>
      </c>
      <c r="Q1093" s="9" t="inlineStr">
        <is>
          <t>consumeBuffStacks</t>
        </is>
      </c>
      <c r="R1093" s="9" t="inlineStr">
        <is>
          <t>{"kind":"periodicPulse","label":"开局：&lt;battle&gt;消耗 60 点法力和 5 层凝金，对敌方施加 40 层中毒&lt;/battle&gt;","periodicPulse":{"startOnly":true,"label":"开局：&lt;battle&gt;消耗 60 点法力和 5 层凝金，对敌方施加 40 层中毒&lt;/battle&gt;","primaryStatCosts":[{"stat":"mana","amount":60}],"buffGains":[{"buffId":"poison","count":40,"target":"enemy"}]},"executors":[{"trigger":"onPeriodicPulse","type":"consumeBuffStacks","sourceBuffId":"condensedMetal","requiredStacks":5,"maxStacks":5,"label":"消耗 5 层凝金"}],"starOverrides":{"1":{"periodicPulse":{"buffGains":[{"buffId":"poison","count":50,"target":"enemy"}],"label":"开局：&lt;battle&gt;消耗 60 点法力和 10 层凝金，对敌方施加 50 层中毒&lt;/battle&gt;"},"label":"开局：&lt;battle&gt;消耗 60 点法力和 10 层凝金，对敌方施加 50 层中毒&lt;/battle&gt;","executors":[{"trigger":"onPeriodicPulse","type":"consumeBuffStacks","sourceBuffId":"condensedMetal","requiredStacks":5,"maxStacks":10,"label":"消耗 10 层凝金"}]},"2":{"periodicPulse":{"buffGains":[{"buffId":"poison","count":60,"target":"enemy"}],"label":"开局：&lt;battle&gt;消耗 60 点法力和 10 层凝金，对敌方施加 60 层中毒&lt;/battle&gt;"},"label":"开局：&lt;battle&gt;消耗 60 点法力和 10 层凝金，对敌方施加 60 层中毒&lt;/battle&gt;","executors":[{"trigger":"onPeriodicPulse","type":"consumeBuffStacks","sourceBuffId":"condensedMetal","requiredStacks":5,"maxStacks":10,"label":"消耗 10 层凝金"}]},"3":{"periodicPulse":{"buffGains":[{"buffId":"poison","count":70,"target":"enemy"}],"label":"开局：&lt;battle&gt;消耗 60 点法力和 10 层凝金，对敌方施加 70 层中毒&lt;/battle&gt;"},"label":"开局：&lt;battle&gt;消耗 60 点法力和 10 层凝金，对敌方施加 70 层中毒&lt;/battle&gt;","executors":[{"trigger":"onPeriodicPulse","type":"consumeBuffStacks","sourceBuffId":"condensedMetal","requiredStacks":5,"maxStacks":10,"label":"消耗 10 层凝金"}]}}}</t>
        </is>
      </c>
    </row>
    <row r="1094" ht="32" customHeight="1">
      <c r="A1094" s="8" t="n">
        <v>416000</v>
      </c>
      <c r="B1094" s="8" t="inlineStr">
        <is>
          <t>潮痕鳄齿铸护器</t>
        </is>
      </c>
      <c r="C1094" s="8" t="inlineStr">
        <is>
          <t>法器</t>
        </is>
      </c>
      <c r="D1094" s="8" t="inlineStr">
        <is>
          <t>spirit</t>
        </is>
      </c>
      <c r="E1094" s="8" t="inlineStr">
        <is>
          <t>metal</t>
        </is>
      </c>
      <c r="F1094" s="8" t="n">
        <v>1</v>
      </c>
      <c r="G1094" s="8" t="inlineStr">
        <is>
          <t>基础/顶层</t>
        </is>
      </c>
      <c r="H1094" s="8" t="inlineStr"/>
      <c r="I1094" s="9" t="inlineStr"/>
      <c r="J1094" s="8" t="inlineStr"/>
      <c r="K1094" s="8" t="inlineStr"/>
      <c r="L1094" s="8" t="inlineStr"/>
      <c r="M1094" s="8" t="inlineStr">
        <is>
          <t>条件触发</t>
        </is>
      </c>
      <c r="N1094" s="8" t="inlineStr">
        <is>
          <t>triggered</t>
        </is>
      </c>
      <c r="O1094" s="9" t="inlineStr">
        <is>
          <t>每当消耗体力时，每实际消耗 5 点获得 1 层护甲；每当消耗体力时，每实际消耗 4 点获得 1 层护甲；每当消耗体力时，每实际消耗 3 点获得 1 层护甲；每当消耗体力时，每实际消耗 2 点获得 1 层护甲</t>
        </is>
      </c>
      <c r="P1094" s="9" t="inlineStr">
        <is>
          <t>onPrimaryStatConsumed</t>
        </is>
      </c>
      <c r="Q1094" s="9" t="inlineStr">
        <is>
          <t>applyBuff</t>
        </is>
      </c>
      <c r="R1094" s="9" t="inlineStr">
        <is>
          <t>{"kind":"triggered","label":"每当消耗体力时，每实际消耗 5 点获得 1 层护甲","triggeredEffect":{"trigger":"onPrimaryStatConsumed","type":"applyBuff","buffId":"armor","countPerEventPrimaryStatConsumed":{"stat":"stamina","costPerStack":5}},"starOverrides":{"1":{"triggeredEffect":{"countPerEventPrimaryStatConsumed":{"costPerStack":4}},"label":"每当消耗体力时，每实际消耗 4 点获得 1 层护甲"},"2":{"triggeredEffect":{"countPerEventPrimaryStatConsumed":{"costPerStack":3}},"label":"每当消耗体力时，每实际消耗 3 点获得 1 层护甲"},"3":{"triggeredEffect":{"countPerEventPrimaryStatConsumed":{"costPerStack":2}},"label":"每当消耗体力时，每实际消耗 2 点获得 1 层护甲"}}}</t>
        </is>
      </c>
    </row>
    <row r="1095" ht="32" customHeight="1">
      <c r="A1095" s="8" t="n">
        <v>416001</v>
      </c>
      <c r="B1095" s="8" t="inlineStr">
        <is>
          <t>闭水鼻阀骨铸护器</t>
        </is>
      </c>
      <c r="C1095" s="8" t="inlineStr">
        <is>
          <t>法器</t>
        </is>
      </c>
      <c r="D1095" s="8" t="inlineStr">
        <is>
          <t>spirit</t>
        </is>
      </c>
      <c r="E1095" s="8" t="inlineStr">
        <is>
          <t>water</t>
        </is>
      </c>
      <c r="F1095" s="8" t="n">
        <v>1</v>
      </c>
      <c r="G1095" s="8" t="inlineStr">
        <is>
          <t>基础/顶层</t>
        </is>
      </c>
      <c r="H1095" s="8" t="inlineStr"/>
      <c r="I1095" s="9" t="inlineStr"/>
      <c r="J1095" s="8" t="inlineStr"/>
      <c r="K1095" s="8" t="inlineStr"/>
      <c r="L1095" s="8" t="inlineStr"/>
      <c r="M1095" s="8" t="inlineStr">
        <is>
          <t>周期触发</t>
        </is>
      </c>
      <c r="N1095" s="8" t="inlineStr">
        <is>
          <t>periodicPulse</t>
        </is>
      </c>
      <c r="O1095" s="9" t="inlineStr">
        <is>
          <t>当前气血低于 80% 时，恢复 80 点气血并获得 40 层露水；当前气血低于 40% 时，恢复 100 点气血并获得 50 层露水；当前气血低于 40% 时，恢复 120 点气血并获得 60 层露水；当前气血低于 40% 时，恢复 140 点气血并获得 70 层露水</t>
        </is>
      </c>
      <c r="P1095" s="9" t="inlineStr"/>
      <c r="Q1095" s="9" t="inlineStr"/>
      <c r="R1095" s="9" t="inlineStr">
        <is>
          <t>{"kind":"periodicPulse","label":"当前气血低于 80% 时，恢复 80 点气血并获得 40 层露水","periodicPulse":{"intervalSec":12,"label":"当前气血低于 80% 时，恢复 80 点气血并获得 40 层露水","primaryStatGains":[{"stat":"health","amount":80}],"buffGains":[{"buffId":"dew","count":40}],"activationRequirements":{"primaryStatThreshold":{"stat":"health","comparator":"lessThan","ratio":0.8}}},"activationRequirements":{"primaryStatThreshold":{"stat":"health","comparator":"lessThan","ratio":0.8}},"starOverrides":{"1":{"periodicPulse":{"buffGains":[{"buffId":"dew","count":50}],"primaryStatGains":[{"stat":"health","amount":100}],"label":"当前气血低于 40% 时，恢复 100 点气血并获得 50 层露水","activationRequirements":{"primaryStatThreshold":{"stat":"health","comparator":"lessThan","ratio":0.4}}},"activationRequirements":{"primaryStatThreshold":{"stat":"health","comparator":"lessThan","ratio":0.4}},"label":"当前气血低于 40% 时，恢复 100 点气血并获得 50 层露水"},"2":{"periodicPulse":{"buffGains":[{"buffId":"dew","count":60}],"primaryStatGains":[{"stat":"health","amount":120}],"label":"当前气血低于 40% 时，恢复 120 点气血并获得 60 层露水","activationRequirements":{"primaryStatThreshold":{"stat":"health","comparator":"lessThan","ratio":0.4}}},"activationRequirements":{"primaryStatThreshold":{"stat":"health","comparator":"lessThan","ratio":0.4}},"label":"当前气血低于 40% 时，恢复 120 点气血并获得 60 层露水"},"3":{"periodicPulse":{"buffGains":[{"buffId":"dew","count":70}],"primaryStatGains":[{"stat":"health","amount":140}],"label":"当前气血低于 40% 时，恢复 140 点气血并获得 70 层露水","activationRequirements":{"primaryStatThreshold":{"stat":"health","comparator":"lessThan","ratio":0.4}}},"activationRequirements":{"primaryStatThreshold":{"stat":"health","comparator":"lessThan","ratio":0.4}},"label":"当前气血低于 40% 时，恢复 140 点气血并获得 70 层露水"}}}</t>
        </is>
      </c>
    </row>
    <row r="1096" ht="32" customHeight="1">
      <c r="A1096" s="8" t="n">
        <v>416001</v>
      </c>
      <c r="B1096" s="8" t="inlineStr">
        <is>
          <t>闭水鼻阀骨铸护器</t>
        </is>
      </c>
      <c r="C1096" s="8" t="inlineStr">
        <is>
          <t>法器</t>
        </is>
      </c>
      <c r="D1096" s="8" t="inlineStr">
        <is>
          <t>spirit</t>
        </is>
      </c>
      <c r="E1096" s="8" t="inlineStr">
        <is>
          <t>water</t>
        </is>
      </c>
      <c r="F1096" s="8" t="n">
        <v>2</v>
      </c>
      <c r="G1096" s="8" t="inlineStr">
        <is>
          <t>基础/顶层</t>
        </is>
      </c>
      <c r="H1096" s="8" t="inlineStr"/>
      <c r="I1096" s="9" t="inlineStr"/>
      <c r="J1096" s="8" t="inlineStr"/>
      <c r="K1096" s="8" t="inlineStr"/>
      <c r="L1096" s="8" t="inlineStr"/>
      <c r="M1096" s="8" t="inlineStr">
        <is>
          <t>被动效果</t>
        </is>
      </c>
      <c r="N1096" s="8" t="inlineStr">
        <is>
          <t>passive</t>
        </is>
      </c>
      <c r="O1096" s="9" t="inlineStr">
        <is>
          <t>气血上限 +50；气血上限 +60；气血上限 +70；气血上限 +80</t>
        </is>
      </c>
      <c r="P1096" s="9" t="inlineStr"/>
      <c r="Q1096" s="9" t="inlineStr">
        <is>
          <t>primaryStatMaxFlatBonuses</t>
        </is>
      </c>
      <c r="R1096" s="9" t="inlineStr">
        <is>
          <t>{"kind":"passive","label":"气血上限 +50","passiveEffect":{"type":"primaryStatMaxFlatBonuses","bonuses":[{"stat":"health","value":50}],"label":"气血上限 +50"},"starOverrides":{"1":{"label":"气血上限 +60","passiveEffect":{"type":"primaryStatMaxFlatBonuses","bonuses":[{"stat":"health","value":60}],"label":"气血上限 +60"}},"2":{"label":"气血上限 +70","passiveEffect":{"type":"primaryStatMaxFlatBonuses","bonuses":[{"stat":"health","value":70}],"label":"气血上限 +70"}},"3":{"label":"气血上限 +80","passiveEffect":{"type":"primaryStatMaxFlatBonuses","bonuses":[{"stat":"health","value":80}],"label":"气血上限 +80"}}}}</t>
        </is>
      </c>
    </row>
    <row r="1097" ht="32" customHeight="1">
      <c r="A1097" s="8" t="n">
        <v>416002</v>
      </c>
      <c r="B1097" s="8" t="inlineStr">
        <is>
          <t>潭息喉囊铸护器</t>
        </is>
      </c>
      <c r="C1097" s="8" t="inlineStr">
        <is>
          <t>法器</t>
        </is>
      </c>
      <c r="D1097" s="8" t="inlineStr">
        <is>
          <t>spirit</t>
        </is>
      </c>
      <c r="E1097" s="8" t="inlineStr">
        <is>
          <t>water</t>
        </is>
      </c>
      <c r="F1097" s="8" t="n">
        <v>1</v>
      </c>
      <c r="G1097" s="8" t="inlineStr">
        <is>
          <t>基础/顶层</t>
        </is>
      </c>
      <c r="H1097" s="8" t="inlineStr"/>
      <c r="I1097" s="9" t="inlineStr"/>
      <c r="J1097" s="8" t="inlineStr"/>
      <c r="K1097" s="8" t="inlineStr"/>
      <c r="L1097" s="8" t="inlineStr"/>
      <c r="M1097" s="8" t="inlineStr">
        <is>
          <t>周期触发</t>
        </is>
      </c>
      <c r="N1097" s="8" t="inlineStr">
        <is>
          <t>periodicPulse</t>
        </is>
      </c>
      <c r="O1097" s="9" t="inlineStr">
        <is>
          <t>开局：拥有不少于 10 件水属性道具时，获得 100 层露水；开局：拥有不少于 10 件水属性道具时，获得 126 层露水；开局：拥有不少于 10 件水属性道具时，获得 150 层露水；开局：拥有不少于 10 件水属性道具时，获得 176 层露水</t>
        </is>
      </c>
      <c r="P1097" s="9" t="inlineStr"/>
      <c r="Q1097" s="9" t="inlineStr"/>
      <c r="R1097" s="9" t="inlineStr">
        <is>
          <t>{"kind":"periodicPulse","label":"开局：拥有不少于 10 件水属性道具时，获得 100 层露水","periodicPulse":{"startOnly":true,"label":"开局：拥有不少于 10 件水属性道具时，获得 100 层露水","buffGains":[{"buffId":"dew","count":100}],"activationRequirements":{"bagCounts":[{"minCount":10,"elements":["water"]}]}},"activationRequirements":{"bagCounts":[{"minCount":10,"elements":["water"]}]},"starOverrides":{"1":{"periodicPulse":{"buffGains":[{"buffId":"dew","count":126}],"label":"开局：拥有不少于 10 件水属性道具时，获得 126 层露水"},"label":"开局：拥有不少于 10 件水属性道具时，获得 126 层露水"},"2":{"periodicPulse":{"buffGains":[{"buffId":"dew","count":150}],"label":"开局：拥有不少于 10 件水属性道具时，获得 150 层露水"},"label":"开局：拥有不少于 10 件水属性道具时，获得 150 层露水"},"3":{"periodicPulse":{"buffGains":[{"buffId":"dew","count":176}],"label":"开局：拥有不少于 10 件水属性道具时，获得 176 层露水"},"label":"开局：拥有不少于 10 件水属性道具时，获得 176 层露水"}}}</t>
        </is>
      </c>
    </row>
    <row r="1098" ht="32" customHeight="1">
      <c r="A1098" s="8" t="n">
        <v>416300</v>
      </c>
      <c r="B1098" s="8" t="inlineStr">
        <is>
          <t>重踏后掌镇纹器</t>
        </is>
      </c>
      <c r="C1098" s="8" t="inlineStr">
        <is>
          <t>法器</t>
        </is>
      </c>
      <c r="D1098" s="8" t="inlineStr">
        <is>
          <t>spirit</t>
        </is>
      </c>
      <c r="E1098" s="8" t="inlineStr">
        <is>
          <t>earth</t>
        </is>
      </c>
      <c r="F1098" s="8" t="n">
        <v>1</v>
      </c>
      <c r="G1098" s="8" t="inlineStr">
        <is>
          <t>基础/顶层</t>
        </is>
      </c>
      <c r="H1098" s="8" t="inlineStr"/>
      <c r="I1098" s="9" t="inlineStr"/>
      <c r="J1098" s="8" t="inlineStr"/>
      <c r="K1098" s="8" t="inlineStr"/>
      <c r="L1098" s="8" t="inlineStr"/>
      <c r="M1098" s="8" t="inlineStr">
        <is>
          <t>条件触发</t>
        </is>
      </c>
      <c r="N1098" s="8" t="inlineStr">
        <is>
          <t>triggered</t>
        </is>
      </c>
      <c r="O1098" s="9" t="inlineStr">
        <is>
          <t>受到伤害时，若实际伤害不少于 20 点，获得 10 层蓄势；受到伤害时，若实际伤害不少于 20 点，获得 16 层蓄势；受到伤害时，若实际伤害不少于 20 点，获得 20 层蓄势；受到伤害时，若实际伤害不少于 20 点，获得 26 层蓄势</t>
        </is>
      </c>
      <c r="P1098" s="9" t="inlineStr">
        <is>
          <t>onIncomingHealthDamage</t>
        </is>
      </c>
      <c r="Q1098" s="9" t="inlineStr">
        <is>
          <t>applyBuff</t>
        </is>
      </c>
      <c r="R1098" s="9" t="inlineStr">
        <is>
          <t>{"kind":"triggered","label":"&lt;battle&gt;受到伤害时，若实际伤害不少于 20 点，获得 10 层蓄势&lt;/battle&gt;","triggeredEffect":{"trigger":"onIncomingHealthDamage","type":"applyBuff","buffId":"heavy","count":10,"minActualDamage":20,"support":"battleOnly"},"starOverrides":{"1":{"label":"&lt;battle&gt;受到伤害时，若实际伤害不少于 20 点，获得 16 层蓄势&lt;/battle&gt;","triggeredEffect":{"trigger":"onIncomingHealthDamage","type":"applyBuff","buffId":"heavy","count":16,"minActualDamage":20,"support":"battleOnly"}},"2":{"label":"&lt;battle&gt;受到伤害时，若实际伤害不少于 20 点，获得 20 层蓄势&lt;/battle&gt;","triggeredEffect":{"trigger":"onIncomingHealthDamage","type":"applyBuff","buffId":"heavy","count":20,"minActualDamage":20,"support":"battleOnly"}},"3":{"label":"&lt;battle&gt;受到伤害时，若实际伤害不少于 20 点，获得 26 层蓄势&lt;/battle&gt;","triggeredEffect":{"trigger":"onIncomingHealthDamage","type":"applyBuff","buffId":"heavy","count":26,"minActualDamage":20,"support":"battleOnly"}}}}</t>
        </is>
      </c>
    </row>
    <row r="1099" ht="32" customHeight="1">
      <c r="A1099" s="8" t="n">
        <v>416300</v>
      </c>
      <c r="B1099" s="8" t="inlineStr">
        <is>
          <t>重踏后掌镇纹器</t>
        </is>
      </c>
      <c r="C1099" s="8" t="inlineStr">
        <is>
          <t>法器</t>
        </is>
      </c>
      <c r="D1099" s="8" t="inlineStr">
        <is>
          <t>spirit</t>
        </is>
      </c>
      <c r="E1099" s="8" t="inlineStr">
        <is>
          <t>earth</t>
        </is>
      </c>
      <c r="F1099" s="8" t="n">
        <v>2</v>
      </c>
      <c r="G1099" s="8" t="inlineStr">
        <is>
          <t>基础/顶层</t>
        </is>
      </c>
      <c r="H1099" s="8" t="inlineStr"/>
      <c r="I1099" s="9" t="inlineStr"/>
      <c r="J1099" s="8" t="inlineStr"/>
      <c r="K1099" s="8" t="inlineStr"/>
      <c r="L1099" s="8" t="inlineStr"/>
      <c r="M1099" s="8" t="inlineStr">
        <is>
          <t>被动效果</t>
        </is>
      </c>
      <c r="N1099" s="8" t="inlineStr">
        <is>
          <t>passive</t>
        </is>
      </c>
      <c r="O1099" s="9" t="inlineStr">
        <is>
          <t>蓄势层数上限 +25；蓄势层数上限 +30；蓄势层数上限 +35；蓄势层数上限 +40</t>
        </is>
      </c>
      <c r="P1099" s="9" t="inlineStr"/>
      <c r="Q1099" s="9" t="inlineStr">
        <is>
          <t>buffStackCapBonus</t>
        </is>
      </c>
      <c r="R1099" s="9" t="inlineStr">
        <is>
          <t>{"kind":"passive","label":"蓄势层数上限 +25","passiveEffect":{"type":"buffStackCapBonus","buffId":"heavy","value":25,"label":"蓄势层数上限 +25"},"starOverrides":{"1":{"label":"蓄势层数上限 +30","passiveEffect":{"type":"buffStackCapBonus","buffId":"heavy","value":30,"label":"蓄势层数上限 +30"}},"2":{"label":"蓄势层数上限 +35","passiveEffect":{"type":"buffStackCapBonus","buffId":"heavy","value":35,"label":"蓄势层数上限 +35"}},"3":{"label":"蓄势层数上限 +40","passiveEffect":{"type":"buffStackCapBonus","buffId":"heavy","value":40,"label":"蓄势层数上限 +40"}}}}</t>
        </is>
      </c>
    </row>
    <row r="1100" ht="32" customHeight="1">
      <c r="A1100" s="8" t="n">
        <v>416301</v>
      </c>
      <c r="B1100" s="8" t="inlineStr">
        <is>
          <t>重踏后掌灵枢匣</t>
        </is>
      </c>
      <c r="C1100" s="8" t="inlineStr">
        <is>
          <t>法器</t>
        </is>
      </c>
      <c r="D1100" s="8" t="inlineStr">
        <is>
          <t>spirit</t>
        </is>
      </c>
      <c r="E1100" s="8" t="inlineStr">
        <is>
          <t>earth</t>
        </is>
      </c>
      <c r="F1100" s="8" t="n">
        <v>1</v>
      </c>
      <c r="G1100" s="8" t="inlineStr">
        <is>
          <t>基础/顶层</t>
        </is>
      </c>
      <c r="H1100" s="8" t="inlineStr"/>
      <c r="I1100" s="9" t="inlineStr"/>
      <c r="J1100" s="8" t="inlineStr"/>
      <c r="K1100" s="8" t="inlineStr"/>
      <c r="L1100" s="8" t="inlineStr"/>
      <c r="M1100" s="8" t="inlineStr">
        <is>
          <t>周期触发</t>
        </is>
      </c>
      <c r="N1100" s="8" t="inlineStr">
        <is>
          <t>periodicPulse</t>
        </is>
      </c>
      <c r="O1100" s="9" t="inlineStr">
        <is>
          <t>最多将 12 层蓄势转化为 5 倍层数的护甲；最多将 20 层蓄势转化为 5 倍层数的护甲；最多将 28 层蓄势转化为 5 倍层数的护甲；最多将 36 层蓄势转化为 5 倍层数的护甲</t>
        </is>
      </c>
      <c r="P1100" s="9" t="inlineStr">
        <is>
          <t>onPeriodicPulse</t>
        </is>
      </c>
      <c r="Q1100" s="9" t="inlineStr">
        <is>
          <t>convertBuffStacks</t>
        </is>
      </c>
      <c r="R1100" s="9" t="inlineStr">
        <is>
          <t>{"kind":"periodicPulse","label":"最多将 12 层蓄势转化为 5 倍层数的护甲","periodicPulse":{"intervalSec":12,"label":"最多将 12 层蓄势转化为 5 倍层数的护甲"},"executors":[{"trigger":"onPeriodicPulse","type":"convertBuffStacks","sourceBuffId":"heavy","targetBuffId":"armor","maxStacks":12,"consumeRatio":5,"label":"最多将 12 层蓄势转化为 5 倍层数的护甲"}],"starOverrides":{"1":{"label":"最多将 20 层蓄势转化为 5 倍层数的护甲","periodicPulse":{"intervalSec":12,"label":"最多将 20 层蓄势转化为 5 倍层数的护甲"},"executors":[{"trigger":"onPeriodicPulse","type":"convertBuffStacks","sourceBuffId":"heavy","targetBuffId":"armor","maxStacks":20,"consumeRatio":5,"label":"最多将 20 层蓄势转化为 5 倍层数的护甲"}]},"2":{"label":"最多将 28 层蓄势转化为 5 倍层数的护甲","periodicPulse":{"intervalSec":12,"label":"最多将 28 层蓄势转化为 5 倍层数的护甲"},"executors":[{"trigger":"onPeriodicPulse","type":"convertBuffStacks","sourceBuffId":"heavy","targetBuffId":"armor","maxStacks":28,"consumeRatio":5,"label":"最多将 28 层蓄势转化为 5 倍层数的护甲"}]},"3":{"label":"最多将 36 层蓄势转化为 5 倍层数的护甲","periodicPulse":{"intervalSec":12,"label":"最多将 36 层蓄势转化为 5 倍层数的护甲"},"executors":[{"trigger":"onPeriodicPulse","type":"convertBuffStacks","sourceBuffId":"heavy","targetBuffId":"armor","maxStacks":36,"consumeRatio":5,"label":"最多将 36 层蓄势转化为 5 倍层数的护甲"}]}}}</t>
        </is>
      </c>
    </row>
    <row r="1101" ht="32" customHeight="1">
      <c r="A1101" s="8" t="n">
        <v>416302</v>
      </c>
      <c r="B1101" s="8" t="inlineStr">
        <is>
          <t>风箱喉囊镇纹器</t>
        </is>
      </c>
      <c r="C1101" s="8" t="inlineStr">
        <is>
          <t>法器</t>
        </is>
      </c>
      <c r="D1101" s="8" t="inlineStr">
        <is>
          <t>spirit</t>
        </is>
      </c>
      <c r="E1101" s="8" t="inlineStr">
        <is>
          <t>fire</t>
        </is>
      </c>
      <c r="F1101" s="8" t="n">
        <v>1</v>
      </c>
      <c r="G1101" s="8" t="inlineStr">
        <is>
          <t>基础/顶层</t>
        </is>
      </c>
      <c r="H1101" s="8" t="inlineStr"/>
      <c r="I1101" s="9" t="inlineStr"/>
      <c r="J1101" s="8" t="inlineStr"/>
      <c r="K1101" s="8" t="inlineStr"/>
      <c r="L1101" s="8" t="inlineStr"/>
      <c r="M1101" s="8" t="inlineStr">
        <is>
          <t>被动效果</t>
        </is>
      </c>
      <c r="N1101" s="8" t="inlineStr">
        <is>
          <t>passive</t>
        </is>
      </c>
      <c r="O1101" s="9" t="inlineStr">
        <is>
          <t>每当获得敏捷时，获得相同层数的炎热，单次最多获得 5 层；每当获得敏捷时，获得相同层数的炎热，单次最多获得 6 层；每当获得敏捷时，获得相同层数的炎热，单次最多获得 8 层；每当获得敏捷时，获得相同层数的炎热，单次最多获得 9 层</t>
        </is>
      </c>
      <c r="P1101" s="9" t="inlineStr"/>
      <c r="Q1101" s="9" t="inlineStr">
        <is>
          <t>buffGainMirror；self</t>
        </is>
      </c>
      <c r="R1101" s="9" t="inlineStr">
        <is>
          <t>{"kind":"passive","label":"每当获得敏捷时，获得相同层数的炎热，单次最多获得 5 层","passiveEffect":{"type":"buffGainMirror","sourceBuffId":"agile","targetBuffId":"heat","countPerSourceStack":1,"maxCount":5,"sourceTarget":{"type":"self"},"label":"每当获得敏捷时，获得相同层数的炎热，单次最多获得 5 层"},"starOverrides":{"1":{"passiveEffect":{"maxCount":6,"label":"每当获得敏捷时，获得相同层数的炎热，单次最多获得 6 层"},"label":"每当获得敏捷时，获得相同层数的炎热，单次最多获得 6 层"},"2":{"passiveEffect":{"maxCount":8,"label":"每当获得敏捷时，获得相同层数的炎热，单次最多获得 8 层"},"label":"每当获得敏捷时，获得相同层数的炎热，单次最多获得 8 层"},"3":{"passiveEffect":{"maxCount":9,"label":"每当获得敏捷时，获得相同层数的炎热，单次最多获得 9 层"},"label":"每当获得敏捷时，获得相同层数的炎热，单次最多获得 9 层"}}}</t>
        </is>
      </c>
    </row>
    <row r="1102" ht="32" customHeight="1">
      <c r="A1102" s="8" t="n">
        <v>416303</v>
      </c>
      <c r="B1102" s="8" t="inlineStr">
        <is>
          <t>风箱喉囊灵枢匣</t>
        </is>
      </c>
      <c r="C1102" s="8" t="inlineStr">
        <is>
          <t>法器</t>
        </is>
      </c>
      <c r="D1102" s="8" t="inlineStr">
        <is>
          <t>spirit</t>
        </is>
      </c>
      <c r="E1102" s="8" t="inlineStr">
        <is>
          <t>fire</t>
        </is>
      </c>
      <c r="F1102" s="8" t="n">
        <v>1</v>
      </c>
      <c r="G1102" s="8" t="inlineStr">
        <is>
          <t>基础/顶层</t>
        </is>
      </c>
      <c r="H1102" s="8" t="inlineStr"/>
      <c r="I1102" s="9" t="inlineStr"/>
      <c r="J1102" s="8" t="inlineStr"/>
      <c r="K1102" s="8" t="inlineStr"/>
      <c r="L1102" s="8" t="inlineStr"/>
      <c r="M1102" s="8" t="inlineStr">
        <is>
          <t>条件触发</t>
        </is>
      </c>
      <c r="N1102" s="8" t="inlineStr">
        <is>
          <t>triggered</t>
        </is>
      </c>
      <c r="O1102" s="9" t="inlineStr">
        <is>
          <t>相邻法器消耗体力时，每消耗 2 点体力，获得 1 层敏捷，单次最多获得 8 层；相邻法器消耗体力时，每消耗 2 点体力，获得 1 层敏捷，单次最多获得 10 层；相邻法器消耗体力时，每消耗 2 点体力，获得 1 层敏捷，单次最多获得 12 层；相邻法器消耗体力时，每消耗 2 点体力，获得 1 层敏捷，单次最多获得 14 层</t>
        </is>
      </c>
      <c r="P1102" s="9" t="inlineStr">
        <is>
          <t>onPrimaryStatConsumed</t>
        </is>
      </c>
      <c r="Q1102" s="9" t="inlineStr">
        <is>
          <t>applyBuff；adjacent</t>
        </is>
      </c>
      <c r="R1102" s="9" t="inlineStr">
        <is>
          <t>{"kind":"triggered","label":"相邻法器消耗体力时，每消耗 2 点体力，获得 1 层敏捷，单次最多获得 8 层","triggeredEffect":{"trigger":"onPrimaryStatConsumed","type":"applyBuff","buffId":"agile","countPerEventPrimaryStatConsumed":{"stat":"stamina","costPerStack":2,"maxCount":8},"eventSource":{"target":{"type":"adjacent"},"filter":{"categories":["implement"]}}},"starOverrides":{"1":{"label":"相邻法器消耗体力时，每消耗 2 点体力，获得 1 层敏捷，单次最多获得 10 层","triggeredEffect":{"trigger":"onPrimaryStatConsumed","type":"applyBuff","buffId":"agile","countPerEventPrimaryStatConsumed":{"stat":"stamina","costPerStack":2,"maxCount":10},"eventSource":{"target":{"type":"adjacent"},"filter":{"categories":["implement"]}}}},"2":{"label":"相邻法器消耗体力时，每消耗 2 点体力，获得 1 层敏捷，单次最多获得 12 层","triggeredEffect":{"trigger":"onPrimaryStatConsumed","type":"applyBuff","buffId":"agile","countPerEventPrimaryStatConsumed":{"stat":"stamina","costPerStack":2,"maxCount":12},"eventSource":{"target":{"type":"adjacent"},"filter":{"categories":["implement"]}}}},"3":{"label":"相邻法器消耗体力时，每消耗 2 点体力，获得 1 层敏捷，单次最多获得 14 层","triggeredEffect":{"trigger":"onPrimaryStatConsumed","type":"applyBuff","buffId":"agile","countPerEventPrimaryStatConsumed":{"stat":"stamina","costPerStack":2,"maxCount":14},"eventSource":{"target":{"type":"adjacent"},"filter":{"categories":["implement"]}}}}}}</t>
        </is>
      </c>
    </row>
    <row r="1103" ht="32" customHeight="1">
      <c r="A1103" s="8" t="n">
        <v>416304</v>
      </c>
      <c r="B1103" s="8" t="inlineStr">
        <is>
          <t>淬铁短獠镇纹器</t>
        </is>
      </c>
      <c r="C1103" s="8" t="inlineStr">
        <is>
          <t>法器</t>
        </is>
      </c>
      <c r="D1103" s="8" t="inlineStr">
        <is>
          <t>spirit</t>
        </is>
      </c>
      <c r="E1103" s="8" t="inlineStr">
        <is>
          <t>metal</t>
        </is>
      </c>
      <c r="F1103" s="8" t="n">
        <v>1</v>
      </c>
      <c r="G1103" s="8" t="inlineStr">
        <is>
          <t>基础/顶层</t>
        </is>
      </c>
      <c r="H1103" s="8" t="inlineStr"/>
      <c r="I1103" s="9" t="inlineStr"/>
      <c r="J1103" s="8" t="inlineStr"/>
      <c r="K1103" s="8" t="inlineStr"/>
      <c r="L1103" s="8" t="inlineStr"/>
      <c r="M1103" s="8" t="inlineStr">
        <is>
          <t>条件触发</t>
        </is>
      </c>
      <c r="N1103" s="8" t="inlineStr">
        <is>
          <t>triggered</t>
        </is>
      </c>
      <c r="O1103" s="9" t="inlineStr">
        <is>
          <t>下方相邻道具获得凝金时，对敌方造成等同于下方相邻道具获得凝金层数的伤害，单次最多 100 点；下方相邻道具获得凝金时，对敌方造成等同于下方相邻道具获得凝金层数的伤害，单次最多 126 点；下方相邻道具获得凝金时，对敌方造成等同于下方相邻道具获得凝金层数的伤害，单次最多 150 点；下方相邻道具获得凝金时，对敌方造成等同于下方相邻道具获得凝金层数的伤害，单次最多 176 点</t>
        </is>
      </c>
      <c r="P1103" s="9" t="inlineStr">
        <is>
          <t>onBuffGain</t>
        </is>
      </c>
      <c r="Q1103" s="9" t="inlineStr">
        <is>
          <t>battleDamageHealth；directional-adjacent</t>
        </is>
      </c>
      <c r="R1103" s="9" t="inlineStr">
        <is>
          <t>{"kind":"triggered","label":"&lt;battle&gt;下方相邻道具获得凝金时，对敌方造成等同于下方相邻道具获得凝金层数的伤害，单次最多 100 点&lt;/battle&gt;","triggeredEffect":{"trigger":"onBuffGain","eventBuffId":"condensedMetal","type":"battleDamageHealth","amount":0,"amountPerEventBuffStack":1,"maxAmount":100,"eventSource":{"target":{"type":"directional-adjacent","direction":"down"}}},"starOverrides":{"1":{"triggeredEffect":{"maxAmount":126},"label":"&lt;battle&gt;下方相邻道具获得凝金时，对敌方造成等同于下方相邻道具获得凝金层数的伤害，单次最多 126 点&lt;/battle&gt;"},"2":{"triggeredEffect":{"maxAmount":150},"label":"&lt;battle&gt;下方相邻道具获得凝金时，对敌方造成等同于下方相邻道具获得凝金层数的伤害，单次最多 150 点&lt;/battle&gt;"},"3":{"triggeredEffect":{"maxAmount":176},"label":"&lt;battle&gt;下方相邻道具获得凝金时，对敌方造成等同于下方相邻道具获得凝金层数的伤害，单次最多 176 点&lt;/battle&gt;"}}}</t>
        </is>
      </c>
    </row>
    <row r="1104" ht="32" customHeight="1">
      <c r="A1104" s="8" t="n">
        <v>416305</v>
      </c>
      <c r="B1104" s="8" t="inlineStr">
        <is>
          <t>淬铁短獠灵枢匣</t>
        </is>
      </c>
      <c r="C1104" s="8" t="inlineStr">
        <is>
          <t>法器</t>
        </is>
      </c>
      <c r="D1104" s="8" t="inlineStr">
        <is>
          <t>spirit</t>
        </is>
      </c>
      <c r="E1104" s="8" t="inlineStr">
        <is>
          <t>metal</t>
        </is>
      </c>
      <c r="F1104" s="8" t="n">
        <v>1</v>
      </c>
      <c r="G1104" s="8" t="inlineStr">
        <is>
          <t>基础/顶层</t>
        </is>
      </c>
      <c r="H1104" s="8" t="inlineStr"/>
      <c r="I1104" s="9" t="inlineStr"/>
      <c r="J1104" s="8" t="inlineStr"/>
      <c r="K1104" s="8" t="inlineStr"/>
      <c r="L1104" s="8" t="inlineStr"/>
      <c r="M1104" s="8" t="inlineStr">
        <is>
          <t>条件触发</t>
        </is>
      </c>
      <c r="N1104" s="8" t="inlineStr">
        <is>
          <t>triggered</t>
        </is>
      </c>
      <c r="O1104" s="9" t="inlineStr">
        <is>
          <t>左右相邻法器消耗凝金时，每消耗 1 层凝金，对敌方造成 1 点伤害，单次最多 40 点；左右相邻法器消耗凝金时，每消耗 1 层凝金，对敌方造成 1 点伤害，单次最多 50 点；左右相邻法器消耗凝金时，每消耗 1 层凝金，对敌方造成 1 点伤害，单次最多 60 点；左右相邻法器消耗凝金时，每消耗 1 层凝金，对敌方造成 1 点伤害，单次最多 70 点</t>
        </is>
      </c>
      <c r="P1104" s="9" t="inlineStr">
        <is>
          <t>onBuffConsumed</t>
        </is>
      </c>
      <c r="Q1104" s="9" t="inlineStr">
        <is>
          <t>battleDamageHealth；directional-adjacent</t>
        </is>
      </c>
      <c r="R1104" s="9" t="inlineStr">
        <is>
          <t>{"kind":"triggered","label":"&lt;battle&gt;左右相邻法器消耗凝金时，每消耗 1 层凝金，对敌方造成 1 点伤害，单次最多 40 点&lt;/battle&gt;","triggeredEffect":{"trigger":"onBuffConsumed","eventBuffId":"condensedMetal","type":"battleDamageHealth","amount":0,"amountPerEventBuffStack":1,"maxAmount":40,"eventSource":{"target":{"type":"directional-adjacent","direction":"both-horizontal"},"filter":{"categories":["implement"]}}},"starOverrides":{"1":{"triggeredEffect":{"maxAmount":50},"label":"&lt;battle&gt;左右相邻法器消耗凝金时，每消耗 1 层凝金，对敌方造成 1 点伤害，单次最多 50 点&lt;/battle&gt;"},"2":{"triggeredEffect":{"maxAmount":60},"label":"&lt;battle&gt;左右相邻法器消耗凝金时，每消耗 1 层凝金，对敌方造成 1 点伤害，单次最多 60 点&lt;/battle&gt;"},"3":{"triggeredEffect":{"maxAmount":70},"label":"&lt;battle&gt;左右相邻法器消耗凝金时，每消耗 1 层凝金，对敌方造成 1 点伤害，单次最多 70 点&lt;/battle&gt;"}}}</t>
        </is>
      </c>
    </row>
    <row r="1105" ht="32" customHeight="1">
      <c r="A1105" s="8" t="n">
        <v>416400</v>
      </c>
      <c r="B1105" s="8" t="inlineStr">
        <is>
          <t>丹睛环羽镇息器</t>
        </is>
      </c>
      <c r="C1105" s="8" t="inlineStr">
        <is>
          <t>法器</t>
        </is>
      </c>
      <c r="D1105" s="8" t="inlineStr">
        <is>
          <t>spirit</t>
        </is>
      </c>
      <c r="E1105" s="8" t="inlineStr">
        <is>
          <t>fire</t>
        </is>
      </c>
      <c r="F1105" s="8" t="n">
        <v>1</v>
      </c>
      <c r="G1105" s="8" t="inlineStr">
        <is>
          <t>基础/顶层</t>
        </is>
      </c>
      <c r="H1105" s="8" t="inlineStr"/>
      <c r="I1105" s="9" t="inlineStr"/>
      <c r="J1105" s="8" t="inlineStr"/>
      <c r="K1105" s="8" t="inlineStr"/>
      <c r="L1105" s="8" t="inlineStr"/>
      <c r="M1105" s="8" t="inlineStr">
        <is>
          <t>周期触发</t>
        </is>
      </c>
      <c r="N1105" s="8" t="inlineStr">
        <is>
          <t>periodicPulse</t>
        </is>
      </c>
      <c r="O1105" s="9" t="inlineStr">
        <is>
          <t>位于储物袋顶部时，如果炎热层数超过 80 层，获得 40 层炎热；位于储物袋顶部时，如果炎热层数超过 80 层，获得 52 层炎热；位于储物袋顶部时，如果炎热层数超过 80 层，获得 64 层炎热；位于储物袋顶部时，如果炎热层数超过 80 层，获得 76 层炎热</t>
        </is>
      </c>
      <c r="P1105" s="9" t="inlineStr"/>
      <c r="Q1105" s="9" t="inlineStr"/>
      <c r="R1105" s="9" t="inlineStr">
        <is>
          <t>{"kind":"periodicPulse","label":"位于储物袋顶部时，如果炎热层数超过 80 层，获得 40 层炎热","periodicPulse":{"intervalSec":20,"label":"位于储物袋顶部时，如果炎热层数超过 80 层，获得 40 层炎热","buffGains":[{"buffId":"heat","count":40}],"activationRequirements":{"sourceEdges":["top"],"buffStackThresholds":[{"buffId":"heat","comparator":"atLeast","count":81}]}},"activationRequirements":{"sourceEdges":["top"],"buffStackThresholds":[{"buffId":"heat","comparator":"atLeast","count":81}]},"starOverrides":{"1":{"label":"位于储物袋顶部时，如果炎热层数超过 80 层，获得 52 层炎热","periodicPulse":{"intervalSec":20,"label":"位于储物袋顶部时，如果炎热层数超过 80 层，获得 52 层炎热","buffGains":[{"buffId":"heat","count":52}],"activationRequirements":{"sourceEdges":["top"],"buffStackThresholds":[{"buffId":"heat","comparator":"atLeast","count":81}]}},"activationRequirements":{"sourceEdges":["top"],"buffStackThresholds":[{"buffId":"heat","comparator":"atLeast","count":81}]}},"2":{"label":"位于储物袋顶部时，如果炎热层数超过 80 层，获得 64 层炎热","periodicPulse":{"intervalSec":20,"label":"位于储物袋顶部时，如果炎热层数超过 80 层，获得 64 层炎热","buffGains":[{"buffId":"heat","count":64}],"activationRequirements":{"sourceEdges":["top"],"buffStackThresholds":[{"buffId":"heat","comparator":"atLeast","count":81}]}},"activationRequirements":{"sourceEdges":["top"],"buffStackThresholds":[{"buffId":"heat","comparator":"atLeast","count":81}]}},"3":{"label":"位于储物袋顶部时，如果炎热层数超过 80 层，获得 76 层炎热","periodicPulse":{"intervalSec":20,"label":"位于储物袋顶部时，如果炎热层数超过 80 层，获得 76 层炎热","buffGains":[{"buffId":"heat","count":76}],"activationRequirements":{"sourceEdges":["top"],"buffStackThresholds":[{"buffId":"heat","comparator":"atLeast","count":81}]}},"activationRequirements":{"sourceEdges":["top"],"buffStackThresholds":[{"buffId":"heat","comparator":"atLeast","count":81}]}}}}</t>
        </is>
      </c>
    </row>
    <row r="1106" ht="32" customHeight="1">
      <c r="A1106" s="8" t="n">
        <v>416401</v>
      </c>
      <c r="B1106" s="8" t="inlineStr">
        <is>
          <t>长趾绳腱引机匣</t>
        </is>
      </c>
      <c r="C1106" s="8" t="inlineStr">
        <is>
          <t>法器</t>
        </is>
      </c>
      <c r="D1106" s="8" t="inlineStr">
        <is>
          <t>spirit</t>
        </is>
      </c>
      <c r="E1106" s="8" t="inlineStr">
        <is>
          <t>fire</t>
        </is>
      </c>
      <c r="F1106" s="8" t="n">
        <v>1</v>
      </c>
      <c r="G1106" s="8" t="inlineStr">
        <is>
          <t>基础/顶层</t>
        </is>
      </c>
      <c r="H1106" s="8" t="inlineStr"/>
      <c r="I1106" s="9" t="inlineStr"/>
      <c r="J1106" s="8" t="inlineStr"/>
      <c r="K1106" s="8" t="inlineStr"/>
      <c r="L1106" s="8" t="inlineStr"/>
      <c r="M1106" s="8" t="inlineStr">
        <is>
          <t>条件触发</t>
        </is>
      </c>
      <c r="N1106" s="8" t="inlineStr">
        <is>
          <t>triggered</t>
        </is>
      </c>
      <c r="O1106" s="9" t="inlineStr">
        <is>
          <t>相邻符箓耗尽时，获得 10 层炎热、凝金、护甲和坚硬。；相邻符箓耗尽时，获得 16 层炎热、凝金、护甲和坚硬。；相邻符箓耗尽时，获得 20 层炎热、凝金、护甲和坚硬。；相邻符箓耗尽时，获得 26 层炎热、凝金、护甲和坚硬。</t>
        </is>
      </c>
      <c r="P1106" s="9" t="inlineStr">
        <is>
          <t>onConsumableExhausted</t>
        </is>
      </c>
      <c r="Q1106" s="9" t="inlineStr">
        <is>
          <t>grantResources；adjacent；buff</t>
        </is>
      </c>
      <c r="R1106" s="9" t="inlineStr">
        <is>
          <t>{"kind":"triggered","label":"相邻符箓耗尽时，获得 10 层炎热、凝金、护甲和坚硬。","triggeredEffect":{"trigger":"onConsumableExhausted","type":"grantResources","eventSource":{"target":{"type":"adjacent"},"filter":{"categories":["talisman"]}},"grants":[{"type":"buff","buffId":"heat","count":10},{"type":"buff","buffId":"condensedMetal","count":10},{"type":"buff","buffId":"armor","count":10},{"type":"buff","buffId":"sturdy","count":10}]},"starOverrides":{"1":{"label":"相邻符箓耗尽时，获得 16 层炎热、凝金、护甲和坚硬。","triggeredEffect":{"trigger":"onConsumableExhausted","type":"grantResources","eventSource":{"target":{"type":"adjacent"},"filter":{"categories":["talisman"]}},"grants":[{"type":"buff","buffId":"heat","count":16},{"type":"buff","buffId":"condensedMetal","count":16},{"type":"buff","buffId":"armor","count":16},{"type":"buff","buffId":"sturdy","count":16}]}},"2":{"label":"相邻符箓耗尽时，获得 20 层炎热、凝金、护甲和坚硬。","triggeredEffect":{"trigger":"onConsumableExhausted","type":"grantResources","eventSource":{"target":{"type":"adjacent"},"filter":{"categories":["talisman"]}},"grants":[{"type":"buff","buffId":"heat","count":20},{"type":"buff","buffId":"condensedMetal","count":20},{"type":"buff","buffId":"armor","count":20},{"type":"buff","buffId":"sturdy","count":20}]}},"3":{"label":"相邻符箓耗尽时，获得 26 层炎热、凝金、护甲和坚硬。","triggeredEffect":{"trigger":"onConsumableExhausted","type":"grantResources","eventSource":{"target":{"type":"adjacent"},"filter":{"categories":["talisman"]}},"grants":[{"type":"buff","buffId":"heat","count":26},{"type":"buff","buffId":"condensedMetal","count":26},{"type":"buff","buffId":"armor","count":26},{"type":"buff","buffId":"sturdy","count":26}]}}}}</t>
        </is>
      </c>
    </row>
    <row r="1107" ht="32" customHeight="1">
      <c r="A1107" s="8" t="n">
        <v>416500</v>
      </c>
      <c r="B1107" s="8" t="inlineStr">
        <is>
          <t>镇步四蹄铃镇纹器</t>
        </is>
      </c>
      <c r="C1107" s="8" t="inlineStr">
        <is>
          <t>法器</t>
        </is>
      </c>
      <c r="D1107" s="8" t="inlineStr">
        <is>
          <t>spirit</t>
        </is>
      </c>
      <c r="E1107" s="8" t="inlineStr">
        <is>
          <t>metal</t>
        </is>
      </c>
      <c r="F1107" s="8" t="n">
        <v>1</v>
      </c>
      <c r="G1107" s="8" t="inlineStr">
        <is>
          <t>基础/顶层</t>
        </is>
      </c>
      <c r="H1107" s="8" t="inlineStr"/>
      <c r="I1107" s="9" t="inlineStr"/>
      <c r="J1107" s="8" t="inlineStr"/>
      <c r="K1107" s="8" t="inlineStr"/>
      <c r="L1107" s="8" t="inlineStr"/>
      <c r="M1107" s="8" t="inlineStr">
        <is>
          <t>周期触发</t>
        </is>
      </c>
      <c r="N1107" s="8" t="inlineStr">
        <is>
          <t>periodicPulse</t>
        </is>
      </c>
      <c r="O1107" s="9" t="inlineStr">
        <is>
          <t>开局：如果凝金层数不少于 20 层，消耗 6 点神识，获得 60 层蓄势；开局：如果凝金层数不少于 20 层，消耗 6 点神识，获得 80 层蓄势；开局：如果凝金层数不少于 20 层，消耗 6 点神识，获得 100 层蓄势；开局：如果凝金层数不少于 20 层，消耗 6 点神识，获得 120 层蓄势</t>
        </is>
      </c>
      <c r="P1107" s="9" t="inlineStr"/>
      <c r="Q1107" s="9" t="inlineStr"/>
      <c r="R1107" s="9" t="inlineStr">
        <is>
          <t>{"kind":"periodicPulse","label":"开局：如果凝金层数不少于 20 层，消耗 6 点神识，获得 60 层蓄势","periodicPulse":{"startOnly":true,"label":"开局：如果凝金层数不少于 20 层，消耗 6 点神识，获得 60 层蓄势","buffGains":[{"buffId":"heavy","count":60}],"primaryStatCosts":[{"stat":"spiritSense","amount":6}],"activationRequirements":{"buffStackThresholds":[{"buffId":"condensedMetal","comparator":"atLeast","count":20}]}},"starOverrides":{"1":{"label":"开局：如果凝金层数不少于 20 层，消耗 6 点神识，获得 80 层蓄势","periodicPulse":{"startOnly":true,"label":"开局：如果凝金层数不少于 20 层，消耗 6 点神识，获得 80 层蓄势","buffGains":[{"buffId":"heavy","count":80}],"primaryStatCosts":[{"stat":"spiritSense","amount":6}],"activationRequirements":{"buffStackThresholds":[{"buffId":"condensedMetal","comparator":"atLeast","count":20}]}},"activationRequirements":{"buffStackThresholds":[{"buffId":"condensedMetal","comparator":"atLeast","count":20}]}},"2":{"label":"开局：如果凝金层数不少于 20 层，消耗 6 点神识，获得 100 层蓄势","periodicPulse":{"startOnly":true,"label":"开局：如果凝金层数不少于 20 层，消耗 6 点神识，获得 100 层蓄势","buffGains":[{"buffId":"heavy","count":100}],"primaryStatCosts":[{"stat":"spiritSense","amount":6}],"activationRequirements":{"buffStackThresholds":[{"buffId":"condensedMetal","comparator":"atLeast","count":20}]}},"activationRequirements":{"buffStackThresholds":[{"buffId":"condensedMetal","comparator":"atLeast","count":20}]}},"3":{"label":"开局：如果凝金层数不少于 20 层，消耗 6 点神识，获得 120 层蓄势","periodicPulse":{"startOnly":true,"label":"开局：如果凝金层数不少于 20 层，消耗 6 点神识，获得 120 层蓄势","buffGains":[{"buffId":"heavy","count":120}],"primaryStatCosts":[{"stat":"spiritSense","amount":6}],"activationRequirements":{"buffStackThresholds":[{"buffId":"condensedMetal","comparator":"atLeast","count":20}]}},"activationRequirements":{"buffStackThresholds":[{"buffId":"condensedMetal","comparator":"atLeast","count":20}]}}},"activationRequirements":{"buffStackThresholds":[{"buffId":"condensedMetal","comparator":"atLeast","count":20}]}}</t>
        </is>
      </c>
    </row>
    <row r="1108" ht="32" customHeight="1">
      <c r="A1108" s="8" t="n">
        <v>416500</v>
      </c>
      <c r="B1108" s="8" t="inlineStr">
        <is>
          <t>镇步四蹄铃镇纹器</t>
        </is>
      </c>
      <c r="C1108" s="8" t="inlineStr">
        <is>
          <t>法器</t>
        </is>
      </c>
      <c r="D1108" s="8" t="inlineStr">
        <is>
          <t>spirit</t>
        </is>
      </c>
      <c r="E1108" s="8" t="inlineStr">
        <is>
          <t>metal</t>
        </is>
      </c>
      <c r="F1108" s="8" t="n">
        <v>2</v>
      </c>
      <c r="G1108" s="8" t="inlineStr">
        <is>
          <t>基础/顶层</t>
        </is>
      </c>
      <c r="H1108" s="8" t="inlineStr"/>
      <c r="I1108" s="9" t="inlineStr"/>
      <c r="J1108" s="8" t="inlineStr"/>
      <c r="K1108" s="8" t="inlineStr"/>
      <c r="L1108" s="8" t="inlineStr"/>
      <c r="M1108" s="8" t="inlineStr">
        <is>
          <t>被动效果</t>
        </is>
      </c>
      <c r="N1108" s="8" t="inlineStr">
        <is>
          <t>passive</t>
        </is>
      </c>
      <c r="O1108" s="9" t="inlineStr">
        <is>
          <t>蓄势层数上限 +20；蓄势层数上限 +25；蓄势层数上限 +30；蓄势层数上限 +35</t>
        </is>
      </c>
      <c r="P1108" s="9" t="inlineStr"/>
      <c r="Q1108" s="9" t="inlineStr">
        <is>
          <t>buffStackCapBonus</t>
        </is>
      </c>
      <c r="R1108" s="9" t="inlineStr">
        <is>
          <t>{"kind":"passive","label":"蓄势层数上限 +20","passiveEffect":{"type":"buffStackCapBonus","buffId":"heavy","value":20,"label":"蓄势层数上限 +20"},"starOverrides":{"1":{"label":"蓄势层数上限 +25","passiveEffect":{"type":"buffStackCapBonus","buffId":"heavy","value":25,"label":"蓄势层数上限 +25"}},"2":{"label":"蓄势层数上限 +30","passiveEffect":{"type":"buffStackCapBonus","buffId":"heavy","value":30,"label":"蓄势层数上限 +30"}},"3":{"label":"蓄势层数上限 +35","passiveEffect":{"type":"buffStackCapBonus","buffId":"heavy","value":35,"label":"蓄势层数上限 +35"}}}}</t>
        </is>
      </c>
    </row>
    <row r="1109" ht="32" customHeight="1">
      <c r="A1109" s="8" t="n">
        <v>416501</v>
      </c>
      <c r="B1109" s="8" t="inlineStr">
        <is>
          <t>镇步四蹄铃灵枢匣</t>
        </is>
      </c>
      <c r="C1109" s="8" t="inlineStr">
        <is>
          <t>法器</t>
        </is>
      </c>
      <c r="D1109" s="8" t="inlineStr">
        <is>
          <t>spirit</t>
        </is>
      </c>
      <c r="E1109" s="8" t="inlineStr">
        <is>
          <t>metal</t>
        </is>
      </c>
      <c r="F1109" s="8" t="n">
        <v>1</v>
      </c>
      <c r="G1109" s="8" t="inlineStr">
        <is>
          <t>基础/顶层</t>
        </is>
      </c>
      <c r="H1109" s="8" t="inlineStr"/>
      <c r="I1109" s="9" t="inlineStr"/>
      <c r="J1109" s="8" t="inlineStr"/>
      <c r="K1109" s="8" t="inlineStr"/>
      <c r="L1109" s="8" t="inlineStr"/>
      <c r="M1109" s="8" t="inlineStr">
        <is>
          <t>条件触发</t>
        </is>
      </c>
      <c r="N1109" s="8" t="inlineStr">
        <is>
          <t>triggered</t>
        </is>
      </c>
      <c r="O1109" s="9" t="inlineStr">
        <is>
          <t>使用相邻法器时，消耗 3 点神识，获得 20 层凝金；使用相邻法器时，消耗 3 点神识，获得 30 层凝金；使用相邻法器时，消耗 3 点神识，获得 40 层凝金；使用相邻法器时，消耗 3 点神识，获得 50 层凝金</t>
        </is>
      </c>
      <c r="P1109" s="9" t="inlineStr">
        <is>
          <t>onItemUse</t>
        </is>
      </c>
      <c r="Q1109" s="9" t="inlineStr">
        <is>
          <t>grantResources；adjacent；primaryStat；buff</t>
        </is>
      </c>
      <c r="R1109" s="9" t="inlineStr">
        <is>
          <t>{"kind":"triggered","label":"使用相邻法器时，消耗 3 点神识，获得 20 层凝金","triggeredEffect":{"trigger":"onItemUse","type":"grantResources","eventSource":{"target":{"type":"adjacent"},"filter":{"categories":["implement"]}},"activationRequirements":{"primaryStatThreshold":{"stat":"spiritSense","comparator":"atLeast","amount":3}},"grants":[{"type":"primaryStat","stat":"spiritSense","delta":-3},{"type":"buff","buffId":"condensedMetal","count":20}]},"starOverrides":{"1":{"label":"使用相邻法器时，消耗 3 点神识，获得 30 层凝金","triggeredEffect":{"trigger":"onItemUse","type":"grantResources","eventSource":{"target":{"type":"adjacent"},"filter":{"categories":["implement"]}},"activationRequirements":{"primaryStatThreshold":{"stat":"spiritSense","comparator":"atLeast","amount":3}},"grants":[{"type":"primaryStat","stat":"spiritSense","delta":-3},{"type":"buff","buffId":"condensedMetal","count":30}]}},"2":{"label":"使用相邻法器时，消耗 3 点神识，获得 40 层凝金","triggeredEffect":{"trigger":"onItemUse","type":"grantResources","eventSource":{"target":{"type":"adjacent"},"filter":{"categories":["implement"]}},"activationRequirements":{"primaryStatThreshold":{"stat":"spiritSense","comparator":"atLeast","amount":3}},"grants":[{"type":"primaryStat","stat":"spiritSense","delta":-3},{"type":"buff","buffId":"condensedMetal","count":40}]}},"3":{"label":"使用相邻法器时，消耗 3 点神识，获得 50 层凝金","triggeredEffect":{"trigger":"onItemUse","type":"grantResources","eventSource":{"target":{"type":"adjacent"},"filter":{"categories":["implement"]}},"activationRequirements":{"primaryStatThreshold":{"stat":"spiritSense","comparator":"atLeast","amount":3}},"grants":[{"type":"primaryStat","stat":"spiritSense","delta":-3},{"type":"buff","buffId":"condensedMetal","count":50}]}}}}</t>
        </is>
      </c>
    </row>
    <row r="1110" ht="32" customHeight="1">
      <c r="A1110" s="8" t="n">
        <v>416502</v>
      </c>
      <c r="B1110" s="8" t="inlineStr">
        <is>
          <t>崩岩獠牙铜套镇纹器</t>
        </is>
      </c>
      <c r="C1110" s="8" t="inlineStr">
        <is>
          <t>法器</t>
        </is>
      </c>
      <c r="D1110" s="8" t="inlineStr">
        <is>
          <t>spirit</t>
        </is>
      </c>
      <c r="E1110" s="8" t="inlineStr">
        <is>
          <t>metal</t>
        </is>
      </c>
      <c r="F1110" s="8" t="n">
        <v>1</v>
      </c>
      <c r="G1110" s="8" t="inlineStr">
        <is>
          <t>基础/顶层</t>
        </is>
      </c>
      <c r="H1110" s="8" t="inlineStr"/>
      <c r="I1110" s="9" t="inlineStr"/>
      <c r="J1110" s="8" t="inlineStr"/>
      <c r="K1110" s="8" t="inlineStr"/>
      <c r="L1110" s="8" t="inlineStr"/>
      <c r="M1110" s="8" t="inlineStr">
        <is>
          <t>被动效果</t>
        </is>
      </c>
      <c r="N1110" s="8" t="inlineStr">
        <is>
          <t>passive</t>
        </is>
      </c>
      <c r="O1110" s="9" t="inlineStr">
        <is>
          <t>开局：位于储物袋左侧时，免疫受到的首次法器伤害</t>
        </is>
      </c>
      <c r="P1110" s="9" t="inlineStr"/>
      <c r="Q1110" s="9" t="inlineStr">
        <is>
          <t>firstIncomingItemDamageImmunity</t>
        </is>
      </c>
      <c r="R1110" s="9" t="inlineStr">
        <is>
          <t>{"kind":"passive","label":"开局：位于储物袋左侧时，免疫受到的首次法器伤害","passiveEffect":{"type":"firstIncomingItemDamageImmunity","sourceFilter":{"categories":["implement"]},"label":"开局：位于储物袋左侧时，免疫受到的首次法器伤害","activationRequirements":{"sourceEdges":["left"]}}}</t>
        </is>
      </c>
    </row>
    <row r="1111" ht="32" customHeight="1">
      <c r="A1111" s="8" t="n">
        <v>416503</v>
      </c>
      <c r="B1111" s="8" t="inlineStr">
        <is>
          <t>崩岩獠牙铜套灵枢匣</t>
        </is>
      </c>
      <c r="C1111" s="8" t="inlineStr">
        <is>
          <t>法器</t>
        </is>
      </c>
      <c r="D1111" s="8" t="inlineStr">
        <is>
          <t>spirit</t>
        </is>
      </c>
      <c r="E1111" s="8" t="inlineStr">
        <is>
          <t>metal</t>
        </is>
      </c>
      <c r="F1111" s="8" t="n">
        <v>1</v>
      </c>
      <c r="G1111" s="8" t="inlineStr">
        <is>
          <t>基础/顶层</t>
        </is>
      </c>
      <c r="H1111" s="8" t="inlineStr"/>
      <c r="I1111" s="9" t="inlineStr"/>
      <c r="J1111" s="8" t="inlineStr"/>
      <c r="K1111" s="8" t="inlineStr"/>
      <c r="L1111" s="8" t="inlineStr"/>
      <c r="M1111" s="8" t="inlineStr">
        <is>
          <t>被动效果</t>
        </is>
      </c>
      <c r="N1111" s="8" t="inlineStr">
        <is>
          <t>passive</t>
        </is>
      </c>
      <c r="O1111" s="9" t="inlineStr">
        <is>
          <t>开局：位于储物袋右侧时，免疫受到的首次符箓伤害</t>
        </is>
      </c>
      <c r="P1111" s="9" t="inlineStr"/>
      <c r="Q1111" s="9" t="inlineStr">
        <is>
          <t>firstIncomingItemDamageImmunity</t>
        </is>
      </c>
      <c r="R1111" s="9" t="inlineStr">
        <is>
          <t>{"kind":"passive","label":"开局：位于储物袋右侧时，免疫受到的首次符箓伤害","passiveEffect":{"type":"firstIncomingItemDamageImmunity","sourceFilter":{"categories":["talisman"]},"label":"开局：位于储物袋右侧时，免疫受到的首次符箓伤害","activationRequirements":{"sourceEdges":["right"]}}}</t>
        </is>
      </c>
    </row>
    <row r="1112" ht="32" customHeight="1">
      <c r="A1112" s="8" t="n">
        <v>416504</v>
      </c>
      <c r="B1112" s="8" t="inlineStr">
        <is>
          <t>旧铜护鼻铠镇纹器</t>
        </is>
      </c>
      <c r="C1112" s="8" t="inlineStr">
        <is>
          <t>法器</t>
        </is>
      </c>
      <c r="D1112" s="8" t="inlineStr">
        <is>
          <t>spirit</t>
        </is>
      </c>
      <c r="E1112" s="8" t="inlineStr">
        <is>
          <t>metal</t>
        </is>
      </c>
      <c r="F1112" s="8" t="n">
        <v>1</v>
      </c>
      <c r="G1112" s="8" t="inlineStr">
        <is>
          <t>基础/顶层</t>
        </is>
      </c>
      <c r="H1112" s="8" t="inlineStr"/>
      <c r="I1112" s="9" t="inlineStr"/>
      <c r="J1112" s="8" t="inlineStr"/>
      <c r="K1112" s="8" t="inlineStr"/>
      <c r="L1112" s="8" t="inlineStr"/>
      <c r="M1112" s="8" t="inlineStr">
        <is>
          <t>被动效果</t>
        </is>
      </c>
      <c r="N1112" s="8" t="inlineStr">
        <is>
          <t>passive</t>
        </is>
      </c>
      <c r="O1112" s="9" t="inlineStr">
        <is>
          <t>开局：未处于储物袋边缘时，免疫受到的首次武器伤害</t>
        </is>
      </c>
      <c r="P1112" s="9" t="inlineStr"/>
      <c r="Q1112" s="9" t="inlineStr">
        <is>
          <t>firstIncomingItemDamageImmunity</t>
        </is>
      </c>
      <c r="R1112" s="9" t="inlineStr">
        <is>
          <t>{"kind":"passive","label":"开局：未处于储物袋边缘时，免疫受到的首次武器伤害","passiveEffect":{"type":"firstIncomingItemDamageImmunity","sourceFilter":{"features":["weapon"]},"label":"开局：未处于储物袋边缘时，免疫受到的首次武器伤害","activationRequirements":{"forbiddenEdges":["top","bottom","left","right"]}}}</t>
        </is>
      </c>
    </row>
    <row r="1113" ht="32" customHeight="1">
      <c r="A1113" s="8" t="n">
        <v>416505</v>
      </c>
      <c r="B1113" s="8" t="inlineStr">
        <is>
          <t>旧铜护鼻铠灵枢匣</t>
        </is>
      </c>
      <c r="C1113" s="8" t="inlineStr">
        <is>
          <t>法器</t>
        </is>
      </c>
      <c r="D1113" s="8" t="inlineStr">
        <is>
          <t>spirit</t>
        </is>
      </c>
      <c r="E1113" s="8" t="inlineStr">
        <is>
          <t>metal</t>
        </is>
      </c>
      <c r="F1113" s="8" t="n">
        <v>1</v>
      </c>
      <c r="G1113" s="8" t="inlineStr">
        <is>
          <t>基础/顶层</t>
        </is>
      </c>
      <c r="H1113" s="8" t="inlineStr"/>
      <c r="I1113" s="9" t="inlineStr"/>
      <c r="J1113" s="8" t="inlineStr"/>
      <c r="K1113" s="8" t="inlineStr"/>
      <c r="L1113" s="8" t="inlineStr"/>
      <c r="M1113" s="8" t="inlineStr">
        <is>
          <t>被动效果</t>
        </is>
      </c>
      <c r="N1113" s="8" t="inlineStr">
        <is>
          <t>passive</t>
        </is>
      </c>
      <c r="O1113" s="9" t="inlineStr">
        <is>
          <t>开局：未处于储物袋边缘时，免疫受到的首次阵盘伤害</t>
        </is>
      </c>
      <c r="P1113" s="9" t="inlineStr"/>
      <c r="Q1113" s="9" t="inlineStr">
        <is>
          <t>firstIncomingItemDamageImmunity</t>
        </is>
      </c>
      <c r="R1113" s="9" t="inlineStr">
        <is>
          <t>{"kind":"passive","label":"开局：未处于储物袋边缘时，免疫受到的首次阵盘伤害","passiveEffect":{"type":"firstIncomingItemDamageImmunity","sourceFilter":{"categories":["formation"]},"label":"开局：未处于储物袋边缘时，免疫受到的首次阵盘伤害","activationRequirements":{"forbiddenEdges":["top","bottom","left","right"]}}}</t>
        </is>
      </c>
    </row>
    <row r="1114" ht="32" customHeight="1">
      <c r="A1114" s="8" t="n">
        <v>416600</v>
      </c>
      <c r="B1114" s="8" t="inlineStr">
        <is>
          <t>悬铃翼骨镇纹器</t>
        </is>
      </c>
      <c r="C1114" s="8" t="inlineStr">
        <is>
          <t>法器</t>
        </is>
      </c>
      <c r="D1114" s="8" t="inlineStr">
        <is>
          <t>spirit</t>
        </is>
      </c>
      <c r="E1114" s="8" t="inlineStr">
        <is>
          <t>metal</t>
        </is>
      </c>
      <c r="F1114" s="8" t="n">
        <v>1</v>
      </c>
      <c r="G1114" s="8" t="inlineStr">
        <is>
          <t>基础/顶层</t>
        </is>
      </c>
      <c r="H1114" s="8" t="inlineStr"/>
      <c r="I1114" s="9" t="inlineStr"/>
      <c r="J1114" s="8" t="inlineStr"/>
      <c r="K1114" s="8" t="inlineStr"/>
      <c r="L1114" s="8" t="inlineStr"/>
      <c r="M1114" s="8" t="inlineStr">
        <is>
          <t>周期触发</t>
        </is>
      </c>
      <c r="N1114" s="8" t="inlineStr">
        <is>
          <t>periodicPulse</t>
        </is>
      </c>
      <c r="O1114" s="9" t="inlineStr">
        <is>
          <t>开局：消耗全部凝金，对敌方造成等同于该层数的伤害，消耗敌方等同于该层数的体力和法力；开局：消耗全部凝金，每消耗 1 层，对敌方造成 2 点伤害，并消耗敌方 2 点体力和法力；开局：消耗全部凝金，每消耗 1 层，对敌方造成 3 点伤害，并消耗敌方 3 点体力和法力；开局：消耗全部凝金，每消耗 1 层，对敌方造成 4 点伤害，并消耗敌方 4 点体力和法力</t>
        </is>
      </c>
      <c r="P1114" s="9" t="inlineStr"/>
      <c r="Q1114" s="9" t="inlineStr"/>
      <c r="R1114" s="9" t="inlineStr">
        <is>
          <t>{"kind":"periodicPulse","label":"开局：消耗全部凝金，&lt;battle&gt;对敌方造成等同于该层数的伤害，消耗敌方等同于该层数的体力和法力&lt;/battle&gt;","periodicPulse":{"startOnly":true,"label":"开局：消耗全部凝金，&lt;battle&gt;对敌方造成等同于该层数的伤害，消耗敌方等同于该层数的体力和法力&lt;/battle&gt;","damageHealth":{"target":"enemy","amount":0,"amountPerSourceBuffStack":{"buffId":"condensedMetal","valuePerStack":1,"maxStacks":999},"removeSourceBuffStacksAfterDamage":{"buffId":"condensedMetal","count":999}},"primaryStatDamages":[{"target":"enemy","stat":"stamina","amount":0,"amountPerSourceBuffStack":{"buffId":"condensedMetal","valuePerStack":1,"maxStacks":999}},{"target":"enemy","stat":"mana","amount":0,"amountPerSourceBuffStack":{"buffId":"condensedMetal","valuePerStack":1,"maxStacks":999}}]},"starOverrides":{"1":{"periodicPulse":{"damageHealth":{"amountPerSourceBuffStack":{"valuePerStack":2}},"primaryStatDamages":[{"target":"enemy","stat":"stamina","amount":0,"amountPerSourceBuffStack":{"buffId":"condensedMetal","valuePerStack":2,"maxStacks":999}},{"target":"enemy","stat":"mana","amount":0,"amountPerSourceBuffStack":{"buffId":"condensedMetal","valuePerStack":2,"maxStacks":999}}],"label":"开局：消耗全部凝金，&lt;battle&gt;每消耗 1 层，对敌方造成 2 点伤害，并消耗敌方 2 点体力和法力&lt;/battle&gt;"},"label":"开局：消耗全部凝金，&lt;battle&gt;每消耗 1 层，对敌方造成 2 点伤害，并消耗敌方 2 点体力和法力&lt;/battle&gt;"},"2":{"periodicPulse":{"damageHealth":{"amountPerSourceBuffStack":{"valuePerStack":3}},"primaryStatDamages":[{"target":"enemy","stat":"stamina","amount":0,"amountPerSourceBuffStack":{"buffId":"condensedMetal","valuePerStack":3,"maxStacks":999}},{"target":"enemy","stat":"mana","amount":0,"amountPerSourceBuffStack":{"buffId":"condensedMetal","valuePerStack":3,"maxStacks":999}}],"label":"开局：消耗全部凝金，&lt;battle&gt;每消耗 1 层，对敌方造成 3 点伤害，并消耗敌方 3 点体力和法力&lt;/battle&gt;"},"label":"开局：消耗全部凝金，&lt;battle&gt;每消耗 1 层，对敌方造成 3 点伤害，并消耗敌方 3 点体力和法力&lt;/battle&gt;"},"3":{"periodicPulse":{"damageHealth":{"amountPerSourceBuffStack":{"valuePerStack":4}},"primaryStatDamages":[{"target":"enemy","stat":"stamina","amount":0,"amountPerSourceBuffStack":{"buffId":"condensedMetal","valuePerStack":4,"maxStacks":999}},{"target":"enemy","stat":"mana","amount":0,"amountPerSourceBuffStack":{"buffId":"condensedMetal","valuePerStack":4,"maxStacks":999}}],"label":"开局：消耗全部凝金，&lt;battle&gt;每消耗 1 层，对敌方造成 4 点伤害，并消耗敌方 4 点体力和法力&lt;/battle&gt;"},"label":"开局：消耗全部凝金，&lt;battle&gt;每消耗 1 层，对敌方造成 4 点伤害，并消耗敌方 4 点体力和法力&lt;/battle&gt;"}}}</t>
        </is>
      </c>
    </row>
    <row r="1115" ht="32" customHeight="1">
      <c r="A1115" s="8" t="n">
        <v>416600</v>
      </c>
      <c r="B1115" s="8" t="inlineStr">
        <is>
          <t>悬铃翼骨镇纹器</t>
        </is>
      </c>
      <c r="C1115" s="8" t="inlineStr">
        <is>
          <t>法器</t>
        </is>
      </c>
      <c r="D1115" s="8" t="inlineStr">
        <is>
          <t>spirit</t>
        </is>
      </c>
      <c r="E1115" s="8" t="inlineStr">
        <is>
          <t>metal</t>
        </is>
      </c>
      <c r="F1115" s="8" t="n">
        <v>2</v>
      </c>
      <c r="G1115" s="8" t="inlineStr">
        <is>
          <t>基础/顶层</t>
        </is>
      </c>
      <c r="H1115" s="8" t="inlineStr"/>
      <c r="I1115" s="9" t="inlineStr"/>
      <c r="J1115" s="8" t="inlineStr"/>
      <c r="K1115" s="8" t="inlineStr"/>
      <c r="L1115" s="8" t="inlineStr"/>
      <c r="M1115" s="8" t="inlineStr">
        <is>
          <t>被动效果</t>
        </is>
      </c>
      <c r="N1115" s="8" t="inlineStr">
        <is>
          <t>passive</t>
        </is>
      </c>
      <c r="O1115" s="9" t="inlineStr">
        <is>
          <t>凝金层数上限 +20；凝金层数上限 +25；凝金层数上限 +30；凝金层数上限 +35</t>
        </is>
      </c>
      <c r="P1115" s="9" t="inlineStr"/>
      <c r="Q1115" s="9" t="inlineStr">
        <is>
          <t>buffStackCapBonus</t>
        </is>
      </c>
      <c r="R1115" s="9" t="inlineStr">
        <is>
          <t>{"kind":"passive","label":"凝金层数上限 +20","passiveEffect":{"type":"buffStackCapBonus","buffId":"condensedMetal","value":20,"label":"凝金层数上限 +20"},"starOverrides":{"1":{"label":"凝金层数上限 +25","passiveEffect":{"type":"buffStackCapBonus","buffId":"condensedMetal","value":25,"label":"凝金层数上限 +25"}},"2":{"label":"凝金层数上限 +30","passiveEffect":{"type":"buffStackCapBonus","buffId":"condensedMetal","value":30,"label":"凝金层数上限 +30"}},"3":{"label":"凝金层数上限 +35","passiveEffect":{"type":"buffStackCapBonus","buffId":"condensedMetal","value":35,"label":"凝金层数上限 +35"}}}}</t>
        </is>
      </c>
    </row>
    <row r="1116" ht="32" customHeight="1">
      <c r="A1116" s="8" t="n">
        <v>416601</v>
      </c>
      <c r="B1116" s="8" t="inlineStr">
        <is>
          <t>钟钉嗉囊镇纹器</t>
        </is>
      </c>
      <c r="C1116" s="8" t="inlineStr">
        <is>
          <t>法器</t>
        </is>
      </c>
      <c r="D1116" s="8" t="inlineStr">
        <is>
          <t>spirit</t>
        </is>
      </c>
      <c r="E1116" s="8" t="inlineStr">
        <is>
          <t>wood</t>
        </is>
      </c>
      <c r="F1116" s="8" t="n">
        <v>1</v>
      </c>
      <c r="G1116" s="8" t="inlineStr">
        <is>
          <t>基础/顶层</t>
        </is>
      </c>
      <c r="H1116" s="8" t="inlineStr"/>
      <c r="I1116" s="9" t="inlineStr"/>
      <c r="J1116" s="8" t="inlineStr"/>
      <c r="K1116" s="8" t="inlineStr"/>
      <c r="L1116" s="8" t="inlineStr"/>
      <c r="M1116" s="8" t="inlineStr">
        <is>
          <t>周期触发</t>
        </is>
      </c>
      <c r="N1116" s="8" t="inlineStr">
        <is>
          <t>periodicPulse</t>
        </is>
      </c>
      <c r="O1116" s="9" t="inlineStr">
        <is>
          <t>消耗 2 点神识和 20 块灵石，获得 80 层护甲；消耗 4 点神识和 40 块灵石，获得 160 层护甲；消耗 6 点神识和 60 块灵石，获得 240 层护甲；消耗 8 点神识和 80 块灵石，获得 320 层护甲</t>
        </is>
      </c>
      <c r="P1116" s="9" t="inlineStr"/>
      <c r="Q1116" s="9" t="inlineStr"/>
      <c r="R1116" s="9" t="inlineStr">
        <is>
          <t>{"kind":"periodicPulse","label":"&lt;cultivation&gt;消耗 2 点神识和 20 块灵石&lt;/cultivation&gt;，获得 80 层护甲","periodicPulse":{"intervalSec":20,"label":"&lt;cultivation&gt;消耗 2 点神识和 20 块灵石&lt;/cultivation&gt;，获得 80 层护甲","primaryStatCosts":[{"stat":"spiritSense","amount":2}],"spiritStoneCost":20,"buffGains":[{"buffId":"armor","count":80}]},"starOverrides":{"1":{"label":"&lt;cultivation&gt;消耗 4 点神识和 40 块灵石&lt;/cultivation&gt;，获得 160 层护甲","periodicPulse":{"intervalSec":20,"label":"&lt;cultivation&gt;消耗 4 点神识和 40 块灵石&lt;/cultivation&gt;，获得 160 层护甲","primaryStatCosts":[{"stat":"spiritSense","amount":4}],"spiritStoneCost":40,"buffGains":[{"buffId":"armor","count":160}]}},"2":{"label":"&lt;cultivation&gt;消耗 6 点神识和 60 块灵石&lt;/cultivation&gt;，获得 240 层护甲","periodicPulse":{"intervalSec":20,"label":"&lt;cultivation&gt;消耗 6 点神识和 60 块灵石&lt;/cultivation&gt;，获得 240 层护甲","primaryStatCosts":[{"stat":"spiritSense","amount":6}],"spiritStoneCost":60,"buffGains":[{"buffId":"armor","count":240}]}},"3":{"label":"&lt;cultivation&gt;消耗 8 点神识和 80 块灵石&lt;/cultivation&gt;，获得 320 层护甲","periodicPulse":{"intervalSec":20,"label":"&lt;cultivation&gt;消耗 8 点神识和 80 块灵石&lt;/cultivation&gt;，获得 320 层护甲","primaryStatCosts":[{"stat":"spiritSense","amount":8}],"spiritStoneCost":80,"buffGains":[{"buffId":"armor","count":320}]}}}}</t>
        </is>
      </c>
    </row>
    <row r="1117" ht="32" customHeight="1">
      <c r="A1117" s="8" t="n">
        <v>416602</v>
      </c>
      <c r="B1117" s="8" t="inlineStr">
        <is>
          <t>俯冲长翎镇纹器</t>
        </is>
      </c>
      <c r="C1117" s="8" t="inlineStr">
        <is>
          <t>法器</t>
        </is>
      </c>
      <c r="D1117" s="8" t="inlineStr">
        <is>
          <t>spirit</t>
        </is>
      </c>
      <c r="E1117" s="8" t="inlineStr">
        <is>
          <t>wind</t>
        </is>
      </c>
      <c r="F1117" s="8" t="n">
        <v>1</v>
      </c>
      <c r="G1117" s="8" t="inlineStr">
        <is>
          <t>基础/顶层</t>
        </is>
      </c>
      <c r="H1117" s="8" t="inlineStr"/>
      <c r="I1117" s="9" t="inlineStr"/>
      <c r="J1117" s="8" t="inlineStr"/>
      <c r="K1117" s="8" t="inlineStr"/>
      <c r="L1117" s="8" t="inlineStr"/>
      <c r="M1117" s="8" t="inlineStr">
        <is>
          <t>周期触发</t>
        </is>
      </c>
      <c r="N1117" s="8" t="inlineStr">
        <is>
          <t>periodicPulse</t>
        </is>
      </c>
      <c r="O1117" s="9" t="inlineStr">
        <is>
          <t>开局：位于储物袋顶部时，获得 60 层敏捷；开局：位于储物袋顶部时，获得 90 层敏捷；开局：位于储物袋顶部时，获得 120 层敏捷；开局：位于储物袋顶部时，获得 150 层敏捷</t>
        </is>
      </c>
      <c r="P1117" s="9" t="inlineStr"/>
      <c r="Q1117" s="9" t="inlineStr"/>
      <c r="R1117" s="9" t="inlineStr">
        <is>
          <t>{"kind":"periodicPulse","label":"开局：位于储物袋顶部时，获得 60 层敏捷","periodicPulse":{"label":"开局：位于储物袋顶部时，获得 60 层敏捷","buffGains":[{"buffId":"agile","count":60}],"activationRequirements":{"sourceEdges":["top"]},"startOnly":true},"activationRequirements":{"sourceEdges":["top"]},"starOverrides":{"1":{"label":"开局：位于储物袋顶部时，获得 90 层敏捷","periodicPulse":{"label":"开局：位于储物袋顶部时，获得 90 层敏捷","buffGains":[{"buffId":"agile","count":90}],"activationRequirements":{"sourceEdges":["top"]},"startOnly":true},"activationRequirements":{"sourceEdges":["top"]}},"2":{"label":"开局：位于储物袋顶部时，获得 120 层敏捷","periodicPulse":{"label":"开局：位于储物袋顶部时，获得 120 层敏捷","buffGains":[{"buffId":"agile","count":120}],"activationRequirements":{"sourceEdges":["top"]},"startOnly":true},"activationRequirements":{"sourceEdges":["top"]}},"3":{"label":"开局：位于储物袋顶部时，获得 150 层敏捷","periodicPulse":{"label":"开局：位于储物袋顶部时，获得 150 层敏捷","buffGains":[{"buffId":"agile","count":150}],"activationRequirements":{"sourceEdges":["top"]},"startOnly":true},"activationRequirements":{"sourceEdges":["top"]}}}}</t>
        </is>
      </c>
    </row>
    <row r="1118" ht="32" customHeight="1">
      <c r="A1118" s="8" t="n">
        <v>417000</v>
      </c>
      <c r="B1118" s="8" t="inlineStr">
        <is>
          <t>霜索听潮剑</t>
        </is>
      </c>
      <c r="C1118" s="8" t="inlineStr">
        <is>
          <t>法器</t>
        </is>
      </c>
      <c r="D1118" s="8" t="inlineStr">
        <is>
          <t>common</t>
        </is>
      </c>
      <c r="E1118" s="8" t="inlineStr">
        <is>
          <t>water</t>
        </is>
      </c>
      <c r="F1118" s="8" t="n">
        <v>1</v>
      </c>
      <c r="G1118" s="8" t="inlineStr">
        <is>
          <t>基础/顶层</t>
        </is>
      </c>
      <c r="H1118" s="8" t="inlineStr"/>
      <c r="I1118" s="9" t="inlineStr"/>
      <c r="J1118" s="8" t="inlineStr"/>
      <c r="K1118" s="8" t="inlineStr"/>
      <c r="L1118" s="8" t="inlineStr"/>
      <c r="M1118" s="8" t="inlineStr">
        <is>
          <t>周期触发</t>
        </is>
      </c>
      <c r="N1118" s="8" t="inlineStr">
        <is>
          <t>periodicPulse</t>
        </is>
      </c>
      <c r="O1118" s="9" t="inlineStr">
        <is>
          <t>消耗 2 点体力，对敌方施加 4 层冰霜并造成 26 点伤害；消耗 2 点体力，对敌方施加 5 层冰霜并造成 33 点伤害；消耗 2 点体力，对敌方施加 6 层冰霜并造成 39 点伤害；消耗 2 点体力，对敌方施加 7 层冰霜并造成 46 点伤害</t>
        </is>
      </c>
      <c r="P1118" s="9" t="inlineStr"/>
      <c r="Q1118" s="9" t="inlineStr"/>
      <c r="R1118" s="9" t="inlineStr">
        <is>
          <t>{"kind":"periodicPulse","periodicPulse":{"intervalSec":7,"label":"消耗 2 点体力，&lt;battle&gt;对敌方施加 4 层冰霜并造成 26 点伤害&lt;/battle&gt;","primaryStatCosts":[{"stat":"stamina","amount":2}],"buffGains":[{"buffId":"frost","count":4,"target":"enemy"}],"damageHealth":{"target":"enemy","amount":26}},"starOverrides":{"1":{"periodicPulse":{"label":"消耗 2 点体力，&lt;battle&gt;对敌方施加 5 层冰霜并造成 33 点伤害&lt;/battle&gt;","buffGains":[{"buffId":"frost","count":5,"target":"enemy"}],"damageHealth":{"amount":33}},"label":"消耗 2 点体力，&lt;battle&gt;对敌方施加 5 层冰霜并造成 33 点伤害&lt;/battle&gt;"},"2":{"periodicPulse":{"label":"消耗 2 点体力，&lt;battle&gt;对敌方施加 6 层冰霜并造成 39 点伤害&lt;/battle&gt;","buffGains":[{"buffId":"frost","count":6,"target":"enemy"}],"damageHealth":{"amount":39}},"label":"消耗 2 点体力，&lt;battle&gt;对敌方施加 6 层冰霜并造成 39 点伤害&lt;/battle&gt;"},"3":{"periodicPulse":{"label":"消耗 2 点体力，&lt;battle&gt;对敌方施加 7 层冰霜并造成 46 点伤害&lt;/battle&gt;","buffGains":[{"buffId":"frost","count":7,"target":"enemy"}],"damageHealth":{"amount":46}},"label":"消耗 2 点体力，&lt;battle&gt;对敌方施加 7 层冰霜并造成 46 点伤害&lt;/battle&gt;"}}}</t>
        </is>
      </c>
    </row>
    <row r="1119" ht="32" customHeight="1">
      <c r="A1119" s="8" t="n">
        <v>417000</v>
      </c>
      <c r="B1119" s="8" t="inlineStr">
        <is>
          <t>霜索听潮剑</t>
        </is>
      </c>
      <c r="C1119" s="8" t="inlineStr">
        <is>
          <t>法器</t>
        </is>
      </c>
      <c r="D1119" s="8" t="inlineStr">
        <is>
          <t>common</t>
        </is>
      </c>
      <c r="E1119" s="8" t="inlineStr">
        <is>
          <t>water</t>
        </is>
      </c>
      <c r="F1119" s="8" t="n">
        <v>2</v>
      </c>
      <c r="G1119" s="8" t="inlineStr">
        <is>
          <t>基础/顶层</t>
        </is>
      </c>
      <c r="H1119" s="8" t="inlineStr"/>
      <c r="I1119" s="9" t="inlineStr"/>
      <c r="J1119" s="8" t="inlineStr"/>
      <c r="K1119" s="8" t="inlineStr"/>
      <c r="L1119" s="8" t="inlineStr"/>
      <c r="M1119" s="8" t="inlineStr">
        <is>
          <t>周期触发</t>
        </is>
      </c>
      <c r="N1119" s="8" t="inlineStr">
        <is>
          <t>periodicPulse</t>
        </is>
      </c>
      <c r="O1119" s="9" t="inlineStr">
        <is>
          <t>开局获得 3 层寒冷；开局获得 4 层寒冷；开局获得 5 层寒冷；开局获得 6 层寒冷</t>
        </is>
      </c>
      <c r="P1119" s="9" t="inlineStr"/>
      <c r="Q1119" s="9" t="inlineStr"/>
      <c r="R1119" s="9" t="inlineStr">
        <is>
          <t>{"kind":"periodicPulse","periodicPulse":{"startOnly":true,"label":"开局获得 3 层寒冷","buffGains":[{"buffId":"cold","count":3}]},"starOverrides":{"1":{"periodicPulse":{"label":"开局获得 4 层寒冷","buffGains":[{"buffId":"cold","count":4}]},"label":"开局获得 4 层寒冷"},"2":{"periodicPulse":{"label":"开局获得 5 层寒冷","buffGains":[{"buffId":"cold","count":5}]},"label":"开局获得 5 层寒冷"},"3":{"periodicPulse":{"label":"开局获得 6 层寒冷","buffGains":[{"buffId":"cold","count":6}]},"label":"开局获得 6 层寒冷"}}}</t>
        </is>
      </c>
    </row>
    <row r="1120" ht="32" customHeight="1">
      <c r="A1120" s="8" t="n">
        <v>417001</v>
      </c>
      <c r="B1120" s="8" t="inlineStr">
        <is>
          <t>镇浪短戟</t>
        </is>
      </c>
      <c r="C1120" s="8" t="inlineStr">
        <is>
          <t>法器</t>
        </is>
      </c>
      <c r="D1120" s="8" t="inlineStr">
        <is>
          <t>common</t>
        </is>
      </c>
      <c r="E1120" s="8" t="inlineStr">
        <is>
          <t>water</t>
        </is>
      </c>
      <c r="F1120" s="8" t="n">
        <v>1</v>
      </c>
      <c r="G1120" s="8" t="inlineStr">
        <is>
          <t>基础/顶层</t>
        </is>
      </c>
      <c r="H1120" s="8" t="inlineStr"/>
      <c r="I1120" s="9" t="inlineStr"/>
      <c r="J1120" s="8" t="inlineStr"/>
      <c r="K1120" s="8" t="inlineStr"/>
      <c r="L1120" s="8" t="inlineStr"/>
      <c r="M1120" s="8" t="inlineStr">
        <is>
          <t>周期触发</t>
        </is>
      </c>
      <c r="N1120" s="8" t="inlineStr">
        <is>
          <t>periodicPulse</t>
        </is>
      </c>
      <c r="O1120" s="9" t="inlineStr">
        <is>
          <t>消耗敌方 4 层冰霜，造成 18 点伤害；消耗敌方 4 层冰霜，造成 23 点伤害；消耗敌方 4 层冰霜，造成 27 点伤害；消耗敌方 4 层冰霜，造成 32 点伤害</t>
        </is>
      </c>
      <c r="P1120" s="9" t="inlineStr"/>
      <c r="Q1120" s="9" t="inlineStr">
        <is>
          <t>targetBuffStacksGreaterThan</t>
        </is>
      </c>
      <c r="R1120" s="9" t="inlineStr">
        <is>
          <t>{"kind":"periodicPulse","periodicPulse":{"intervalSec":7,"label":"&lt;battle&gt;消耗敌方 4 层冰霜，造成 18 点伤害&lt;/battle&gt;","battleCondition":{"type":"targetBuffStacksGreaterThan","buffId":"frost","count":3},"removeBuffStacks":[{"target":"enemy","buffId":"frost","count":4}],"damageHealth":{"target":"enemy","amount":18}},"starOverrides":{"1":{"periodicPulse":{"label":"&lt;battle&gt;消耗敌方 4 层冰霜，造成 23 点伤害&lt;/battle&gt;","damageHealth":{"amount":23}},"label":"&lt;battle&gt;消耗敌方 4 层冰霜，造成 23 点伤害&lt;/battle&gt;"},"2":{"periodicPulse":{"label":"&lt;battle&gt;消耗敌方 4 层冰霜，造成 27 点伤害&lt;/battle&gt;","damageHealth":{"amount":27}},"label":"&lt;battle&gt;消耗敌方 4 层冰霜，造成 27 点伤害&lt;/battle&gt;"},"3":{"periodicPulse":{"label":"&lt;battle&gt;消耗敌方 4 层冰霜，造成 32 点伤害&lt;/battle&gt;","damageHealth":{"amount":32}},"label":"&lt;battle&gt;消耗敌方 4 层冰霜，造成 32 点伤害&lt;/battle&gt;"}}}</t>
        </is>
      </c>
    </row>
    <row r="1121" ht="32" customHeight="1">
      <c r="A1121" s="8" t="n">
        <v>417001</v>
      </c>
      <c r="B1121" s="8" t="inlineStr">
        <is>
          <t>镇浪短戟</t>
        </is>
      </c>
      <c r="C1121" s="8" t="inlineStr">
        <is>
          <t>法器</t>
        </is>
      </c>
      <c r="D1121" s="8" t="inlineStr">
        <is>
          <t>common</t>
        </is>
      </c>
      <c r="E1121" s="8" t="inlineStr">
        <is>
          <t>water</t>
        </is>
      </c>
      <c r="F1121" s="8" t="n">
        <v>2</v>
      </c>
      <c r="G1121" s="8" t="inlineStr">
        <is>
          <t>基础/顶层</t>
        </is>
      </c>
      <c r="H1121" s="8" t="inlineStr"/>
      <c r="I1121" s="9" t="inlineStr"/>
      <c r="J1121" s="8" t="inlineStr"/>
      <c r="K1121" s="8" t="inlineStr"/>
      <c r="L1121" s="8" t="inlineStr"/>
      <c r="M1121" s="8" t="inlineStr">
        <is>
          <t>周期触发</t>
        </is>
      </c>
      <c r="N1121" s="8" t="inlineStr">
        <is>
          <t>periodicPulse</t>
        </is>
      </c>
      <c r="O1121" s="9" t="inlineStr">
        <is>
          <t>开局获得 3 层闪避；开局获得 4 层闪避；开局获得 5 层闪避；开局获得 6 层闪避</t>
        </is>
      </c>
      <c r="P1121" s="9" t="inlineStr"/>
      <c r="Q1121" s="9" t="inlineStr"/>
      <c r="R1121" s="9" t="inlineStr">
        <is>
          <t>{"kind":"periodicPulse","periodicPulse":{"startOnly":true,"label":"开局获得 3 层闪避","buffGains":[{"buffId":"dodge","count":3}]},"starOverrides":{"1":{"periodicPulse":{"label":"开局获得 4 层闪避","buffGains":[{"buffId":"dodge","count":4}]},"label":"开局获得 4 层闪避"},"2":{"periodicPulse":{"label":"开局获得 5 层闪避","buffGains":[{"buffId":"dodge","count":5}]},"label":"开局获得 5 层闪避"},"3":{"periodicPulse":{"label":"开局获得 6 层闪避","buffGains":[{"buffId":"dodge","count":6}]},"label":"开局获得 6 层闪避"}}}</t>
        </is>
      </c>
    </row>
    <row r="1122" ht="32" customHeight="1">
      <c r="A1122" s="8" t="n">
        <v>417002</v>
      </c>
      <c r="B1122" s="8" t="inlineStr">
        <is>
          <t>苇露净瓶</t>
        </is>
      </c>
      <c r="C1122" s="8" t="inlineStr">
        <is>
          <t>法器</t>
        </is>
      </c>
      <c r="D1122" s="8" t="inlineStr">
        <is>
          <t>common</t>
        </is>
      </c>
      <c r="E1122" s="8" t="inlineStr">
        <is>
          <t>water</t>
        </is>
      </c>
      <c r="F1122" s="8" t="n">
        <v>1</v>
      </c>
      <c r="G1122" s="8" t="inlineStr">
        <is>
          <t>基础/顶层</t>
        </is>
      </c>
      <c r="H1122" s="8" t="inlineStr"/>
      <c r="I1122" s="9" t="inlineStr"/>
      <c r="J1122" s="8" t="inlineStr"/>
      <c r="K1122" s="8" t="inlineStr"/>
      <c r="L1122" s="8" t="inlineStr"/>
      <c r="M1122" s="8" t="inlineStr">
        <is>
          <t>周期触发</t>
        </is>
      </c>
      <c r="N1122" s="8" t="inlineStr">
        <is>
          <t>periodicPulse</t>
        </is>
      </c>
      <c r="O1122" s="9" t="inlineStr">
        <is>
          <t>恢复 2 点气血和法力，获得 2 层露水与 1 层再生；恢复 3 点气血和法力，获得 3 层露水与 2 层再生；恢复 4 点气血和法力，获得 4 层露水与 3 层再生；恢复 5 点气血和法力，获得 5 层露水与 4 层再生</t>
        </is>
      </c>
      <c r="P1122" s="9" t="inlineStr"/>
      <c r="Q1122" s="9" t="inlineStr"/>
      <c r="R1122" s="9" t="inlineStr">
        <is>
          <t>{"kind":"periodicPulse","periodicPulse":{"intervalSec":6,"label":"恢复 2 点气血和法力，获得 2 层露水与 1 层再生","primaryStatGains":[{"stat":"health","amount":2},{"stat":"mana","amount":2}],"buffGains":[{"buffId":"dew","count":2},{"buffId":"regeneration","count":1}]},"starOverrides":{"1":{"periodicPulse":{"label":"恢复 3 点气血和法力，获得 3 层露水与 2 层再生","primaryStatGains":[{"stat":"health","amount":3},{"stat":"mana","amount":3}],"buffGains":[{"buffId":"dew","count":3},{"buffId":"regeneration","count":2}]},"label":"恢复 3 点气血和法力，获得 3 层露水与 2 层再生"},"2":{"periodicPulse":{"label":"恢复 4 点气血和法力，获得 4 层露水与 3 层再生","primaryStatGains":[{"stat":"health","amount":4},{"stat":"mana","amount":4}],"buffGains":[{"buffId":"dew","count":4},{"buffId":"regeneration","count":3}]},"label":"恢复 4 点气血和法力，获得 4 层露水与 3 层再生"},"3":{"periodicPulse":{"label":"恢复 5 点气血和法力，获得 5 层露水与 4 层再生","primaryStatGains":[{"stat":"health","amount":5},{"stat":"mana","amount":5}],"buffGains":[{"buffId":"dew","count":5},{"buffId":"regeneration","count":4}]},"label":"恢复 5 点气血和法力，获得 5 层露水与 4 层再生"}}}</t>
        </is>
      </c>
    </row>
    <row r="1123" ht="32" customHeight="1">
      <c r="A1123" s="8" t="n">
        <v>417002</v>
      </c>
      <c r="B1123" s="8" t="inlineStr">
        <is>
          <t>苇露净瓶</t>
        </is>
      </c>
      <c r="C1123" s="8" t="inlineStr">
        <is>
          <t>法器</t>
        </is>
      </c>
      <c r="D1123" s="8" t="inlineStr">
        <is>
          <t>common</t>
        </is>
      </c>
      <c r="E1123" s="8" t="inlineStr">
        <is>
          <t>water</t>
        </is>
      </c>
      <c r="F1123" s="8" t="n">
        <v>2</v>
      </c>
      <c r="G1123" s="8" t="inlineStr">
        <is>
          <t>基础/顶层</t>
        </is>
      </c>
      <c r="H1123" s="8" t="inlineStr"/>
      <c r="I1123" s="9" t="inlineStr"/>
      <c r="J1123" s="8" t="inlineStr"/>
      <c r="K1123" s="8" t="inlineStr"/>
      <c r="L1123" s="8" t="inlineStr"/>
      <c r="M1123" s="8" t="inlineStr">
        <is>
          <t>周期触发</t>
        </is>
      </c>
      <c r="N1123" s="8" t="inlineStr">
        <is>
          <t>periodicPulse</t>
        </is>
      </c>
      <c r="O1123" s="9" t="inlineStr">
        <is>
          <t>开局获得 2 层露水；开局获得 3 层露水；开局获得 4 层露水；开局获得 5 层露水</t>
        </is>
      </c>
      <c r="P1123" s="9" t="inlineStr"/>
      <c r="Q1123" s="9" t="inlineStr"/>
      <c r="R1123" s="9" t="inlineStr">
        <is>
          <t>{"kind":"periodicPulse","periodicPulse":{"startOnly":true,"label":"开局获得 2 层露水","buffGains":[{"buffId":"dew","count":2}]},"starOverrides":{"1":{"periodicPulse":{"label":"开局获得 3 层露水","buffGains":[{"buffId":"dew","count":3}]},"label":"开局获得 3 层露水"},"2":{"periodicPulse":{"label":"开局获得 4 层露水","buffGains":[{"buffId":"dew","count":4}]},"label":"开局获得 4 层露水"},"3":{"periodicPulse":{"label":"开局获得 5 层露水","buffGains":[{"buffId":"dew","count":5}]},"label":"开局获得 5 层露水"}}}</t>
        </is>
      </c>
    </row>
    <row r="1124" ht="32" customHeight="1">
      <c r="A1124" s="8" t="n">
        <v>417003</v>
      </c>
      <c r="B1124" s="8" t="inlineStr">
        <is>
          <t>校潮信火</t>
        </is>
      </c>
      <c r="C1124" s="8" t="inlineStr">
        <is>
          <t>法器</t>
        </is>
      </c>
      <c r="D1124" s="8" t="inlineStr">
        <is>
          <t>common</t>
        </is>
      </c>
      <c r="E1124" s="8" t="inlineStr">
        <is>
          <t>water</t>
        </is>
      </c>
      <c r="F1124" s="8" t="n">
        <v>1</v>
      </c>
      <c r="G1124" s="8" t="inlineStr">
        <is>
          <t>基础/顶层</t>
        </is>
      </c>
      <c r="H1124" s="8" t="inlineStr"/>
      <c r="I1124" s="9" t="inlineStr"/>
      <c r="J1124" s="8" t="inlineStr"/>
      <c r="K1124" s="8" t="inlineStr"/>
      <c r="L1124" s="8" t="inlineStr"/>
      <c r="M1124" s="8" t="inlineStr">
        <is>
          <t>周期触发</t>
        </is>
      </c>
      <c r="N1124" s="8" t="inlineStr">
        <is>
          <t>periodicPulse</t>
        </is>
      </c>
      <c r="O1124" s="9" t="inlineStr">
        <is>
          <t>消耗 20 点法力，对敌方施加 4 层冰霜并造成 32 点伤害；消耗 20 点法力，对敌方施加 5 层冰霜并造成 40 点伤害；消耗 20 点法力，对敌方施加 6 层冰霜并造成 48 点伤害；消耗 20 点法力，对敌方施加 7 层冰霜并造成 56 点伤害</t>
        </is>
      </c>
      <c r="P1124" s="9" t="inlineStr"/>
      <c r="Q1124" s="9" t="inlineStr"/>
      <c r="R1124" s="9" t="inlineStr">
        <is>
          <t>{"kind":"periodicPulse","periodicPulse":{"intervalSec":7,"label":"消耗 20 点法力，&lt;battle&gt;对敌方施加 4 层冰霜并造成 32 点伤害&lt;/battle&gt;","primaryStatCosts":[{"stat":"mana","amount":20}],"buffGains":[{"buffId":"frost","count":4,"target":"enemy"}],"damageHealth":{"target":"enemy","amount":32}},"starOverrides":{"1":{"periodicPulse":{"label":"消耗 20 点法力，&lt;battle&gt;对敌方施加 5 层冰霜并造成 40 点伤害&lt;/battle&gt;","buffGains":[{"buffId":"frost","count":5,"target":"enemy"}],"damageHealth":{"amount":40}},"label":"消耗 20 点法力，&lt;battle&gt;对敌方施加 5 层冰霜并造成 40 点伤害&lt;/battle&gt;"},"2":{"periodicPulse":{"label":"消耗 20 点法力，&lt;battle&gt;对敌方施加 6 层冰霜并造成 48 点伤害&lt;/battle&gt;","buffGains":[{"buffId":"frost","count":6,"target":"enemy"}],"damageHealth":{"amount":48}},"label":"消耗 20 点法力，&lt;battle&gt;对敌方施加 6 层冰霜并造成 48 点伤害&lt;/battle&gt;"},"3":{"periodicPulse":{"label":"消耗 20 点法力，&lt;battle&gt;对敌方施加 7 层冰霜并造成 56 点伤害&lt;/battle&gt;","buffGains":[{"buffId":"frost","count":7,"target":"enemy"}],"damageHealth":{"amount":56}},"label":"消耗 20 点法力，&lt;battle&gt;对敌方施加 7 层冰霜并造成 56 点伤害&lt;/battle&gt;"}}}</t>
        </is>
      </c>
    </row>
    <row r="1125" ht="32" customHeight="1">
      <c r="A1125" s="8" t="n">
        <v>417003</v>
      </c>
      <c r="B1125" s="8" t="inlineStr">
        <is>
          <t>校潮信火</t>
        </is>
      </c>
      <c r="C1125" s="8" t="inlineStr">
        <is>
          <t>法器</t>
        </is>
      </c>
      <c r="D1125" s="8" t="inlineStr">
        <is>
          <t>common</t>
        </is>
      </c>
      <c r="E1125" s="8" t="inlineStr">
        <is>
          <t>water</t>
        </is>
      </c>
      <c r="F1125" s="8" t="n">
        <v>2</v>
      </c>
      <c r="G1125" s="8" t="inlineStr">
        <is>
          <t>基础/顶层</t>
        </is>
      </c>
      <c r="H1125" s="8" t="inlineStr"/>
      <c r="I1125" s="9" t="inlineStr"/>
      <c r="J1125" s="8" t="inlineStr"/>
      <c r="K1125" s="8" t="inlineStr"/>
      <c r="L1125" s="8" t="inlineStr"/>
      <c r="M1125" s="8" t="inlineStr">
        <is>
          <t>周期触发</t>
        </is>
      </c>
      <c r="N1125" s="8" t="inlineStr">
        <is>
          <t>periodicPulse</t>
        </is>
      </c>
      <c r="O1125" s="9" t="inlineStr">
        <is>
          <t>开局获得 3 层寒冷；开局获得 4 层寒冷；开局获得 5 层寒冷；开局获得 6 层寒冷</t>
        </is>
      </c>
      <c r="P1125" s="9" t="inlineStr"/>
      <c r="Q1125" s="9" t="inlineStr"/>
      <c r="R1125" s="9" t="inlineStr">
        <is>
          <t>{"kind":"periodicPulse","periodicPulse":{"startOnly":true,"label":"开局获得 3 层寒冷","buffGains":[{"buffId":"cold","count":3}]},"starOverrides":{"1":{"periodicPulse":{"label":"开局获得 4 层寒冷","buffGains":[{"buffId":"cold","count":4}]},"label":"开局获得 4 层寒冷"},"2":{"periodicPulse":{"label":"开局获得 5 层寒冷","buffGains":[{"buffId":"cold","count":5}]},"label":"开局获得 5 层寒冷"},"3":{"periodicPulse":{"label":"开局获得 6 层寒冷","buffGains":[{"buffId":"cold","count":6}]},"label":"开局获得 6 层寒冷"}}}</t>
        </is>
      </c>
    </row>
    <row r="1126" ht="32" customHeight="1">
      <c r="A1126" s="8" t="n">
        <v>417004</v>
      </c>
      <c r="B1126" s="8" t="inlineStr">
        <is>
          <t>山门护阵牌</t>
        </is>
      </c>
      <c r="C1126" s="8" t="inlineStr">
        <is>
          <t>法器</t>
        </is>
      </c>
      <c r="D1126" s="8" t="inlineStr">
        <is>
          <t>common</t>
        </is>
      </c>
      <c r="E1126" s="8" t="inlineStr">
        <is>
          <t>water</t>
        </is>
      </c>
      <c r="F1126" s="8" t="n">
        <v>1</v>
      </c>
      <c r="G1126" s="8" t="inlineStr">
        <is>
          <t>基础/顶层</t>
        </is>
      </c>
      <c r="H1126" s="8" t="inlineStr"/>
      <c r="I1126" s="9" t="inlineStr"/>
      <c r="J1126" s="8" t="inlineStr"/>
      <c r="K1126" s="8" t="inlineStr"/>
      <c r="L1126" s="8" t="inlineStr"/>
      <c r="M1126" s="8" t="inlineStr">
        <is>
          <t>周期触发</t>
        </is>
      </c>
      <c r="N1126" s="8" t="inlineStr">
        <is>
          <t>periodicPulse</t>
        </is>
      </c>
      <c r="O1126" s="9" t="inlineStr">
        <is>
          <t>获得 3 层护甲和 2 层坚硬；受到伤害时，消耗 3 层露水，对敌方造成 3 点伤害；受到伤害时，消耗 3 层露水，对敌方造成 3 点伤害；获得 4 层护甲和 3 层坚硬；受到伤害时，消耗 3 层露水，对敌方造成 4 点伤害；受到伤害时，消耗 3 层露水，对敌方造成 4 点伤害；获得 5 层护甲和 4 层坚硬；受到伤害时，消耗 3 层露水，对敌方造成 5 点伤害；受到伤害时，消耗 3 层露水，对敌方造成 5 点伤害；获得 6 层护甲和 5 层坚硬；受到伤害时，消耗 3 层露水，对敌方造成 6 点伤害；受到伤害时，消耗 3 层露水，对敌方造成 6 点伤害</t>
        </is>
      </c>
      <c r="P1126" s="9" t="inlineStr">
        <is>
          <t>onIncomingHealthDamage</t>
        </is>
      </c>
      <c r="Q1126" s="9" t="inlineStr">
        <is>
          <t>battleDamageHealth</t>
        </is>
      </c>
      <c r="R1126" s="9" t="inlineStr">
        <is>
          <t>{"kind":"periodicPulse","periodicPulse":{"intervalSec":6,"label":"获得 3 层护甲和 2 层坚硬；&lt;battle&gt;受到伤害时，消耗 3 层露水，对敌方造成 3 点伤害&lt;/battle&gt;","buffGains":[{"buffId":"armor","count":3},{"buffId":"sturdy","count":2}]},"executors":[{"trigger":"onIncomingHealthDamage","type":"battleDamageHealth","amount":3,"consumeSourceBuffStacks":{"buffId":"dew","requiredStacks":3,"maxStacks":3},"support":"battleOnly","label":"&lt;battle&gt;受到伤害时，消耗 3 层露水，对敌方造成 3 点伤害&lt;/battle&gt;"}],"starOverrides":{"1":{"periodicPulse":{"label":"获得 4 层护甲和 3 层坚硬；&lt;battle&gt;受到伤害时，消耗 3 层露水，对敌方造成 4 点伤害&lt;/battle&gt;","buffGains":[{"buffId":"armor","count":4},{"buffId":"sturdy","count":3}]},"executors":[{"trigger":"onIncomingHealthDamage","type":"battleDamageHealth","amount":4,"consumeSourceBuffStacks":{"buffId":"dew","requiredStacks":3,"maxStacks":3},"support":"battleOnly","label":"&lt;battle&gt;受到伤害时，消耗 3 层露水，对敌方造成 4 点伤害&lt;/battle&gt;"}],"label":"获得 4 层护甲和 3 层坚硬；&lt;battle&gt;受到伤害时，消耗 3 层露水，对敌方造成 4 点伤害&lt;/battle&gt;"},"2":{"periodicPulse":{"label":"获得 5 层护甲和 4 层坚硬；&lt;battle&gt;受到伤害时，消耗 3 层露水，对敌方造成 5 点伤害&lt;/battle&gt;","buffGains":[{"buffId":"armor","count":5},{"buffId":"sturdy","count":4}]},"executors":[{"trigger":"onIncomingHealthDamage","type":"battleDamageHealth","amount":5,"consumeSourceBuffStacks":{"buffId":"dew","requiredStacks":3,"maxStacks":3},"support":"battleOnly","label":"&lt;battle&gt;受到伤害时，消耗 3 层露水，对敌方造成 5 点伤害&lt;/battle&gt;"}],"label":"获得 5 层护甲和 4 层坚硬；&lt;battle&gt;受到伤害时，消耗 3 层露水，对敌方造成 5 点伤害&lt;/battle&gt;"},"3":{"periodicPulse":{"label":"获得 6 层护甲和 5 层坚硬；&lt;battle&gt;受到伤害时，消耗 3 层露水，对敌方造成 6 点伤害&lt;/battle&gt;","buffGains":[{"buffId":"armor","count":6},{"buffId":"sturdy","count":5}]},"executors":[{"trigger":"onIncomingHealthDamage","type":"battleDamageHealth","amount":6,"consumeSourceBuffStacks":{"buffId":"dew","requiredStacks":3,"maxStacks":3},"support":"battleOnly","label":"&lt;battle&gt;受到伤害时，消耗 3 层露水，对敌方造成 6 点伤害&lt;/battle&gt;"}],"label":"获得 6 层护甲和 5 层坚硬；&lt;battle&gt;受到伤害时，消耗 3 层露水，对敌方造成 6 点伤害&lt;/battle&gt;"}}}</t>
        </is>
      </c>
    </row>
    <row r="1127" ht="32" customHeight="1">
      <c r="A1127" s="8" t="n">
        <v>417004</v>
      </c>
      <c r="B1127" s="8" t="inlineStr">
        <is>
          <t>山门护阵牌</t>
        </is>
      </c>
      <c r="C1127" s="8" t="inlineStr">
        <is>
          <t>法器</t>
        </is>
      </c>
      <c r="D1127" s="8" t="inlineStr">
        <is>
          <t>common</t>
        </is>
      </c>
      <c r="E1127" s="8" t="inlineStr">
        <is>
          <t>water</t>
        </is>
      </c>
      <c r="F1127" s="8" t="n">
        <v>2</v>
      </c>
      <c r="G1127" s="8" t="inlineStr">
        <is>
          <t>基础/顶层</t>
        </is>
      </c>
      <c r="H1127" s="8" t="inlineStr"/>
      <c r="I1127" s="9" t="inlineStr"/>
      <c r="J1127" s="8" t="inlineStr"/>
      <c r="K1127" s="8" t="inlineStr"/>
      <c r="L1127" s="8" t="inlineStr"/>
      <c r="M1127" s="8" t="inlineStr">
        <is>
          <t>周期触发</t>
        </is>
      </c>
      <c r="N1127" s="8" t="inlineStr">
        <is>
          <t>periodicPulse</t>
        </is>
      </c>
      <c r="O1127" s="9" t="inlineStr">
        <is>
          <t>开局获得 3 层护甲；开局获得 4 层护甲；开局获得 5 层护甲；开局获得 6 层护甲</t>
        </is>
      </c>
      <c r="P1127" s="9" t="inlineStr"/>
      <c r="Q1127" s="9" t="inlineStr"/>
      <c r="R1127" s="9" t="inlineStr">
        <is>
          <t>{"kind":"periodicPulse","periodicPulse":{"startOnly":true,"label":"开局获得 3 层护甲","buffGains":[{"buffId":"armor","count":3}]},"starOverrides":{"1":{"periodicPulse":{"label":"开局获得 4 层护甲","buffGains":[{"buffId":"armor","count":4}]},"label":"开局获得 4 层护甲"},"2":{"periodicPulse":{"label":"开局获得 5 层护甲","buffGains":[{"buffId":"armor","count":5}]},"label":"开局获得 5 层护甲"},"3":{"periodicPulse":{"label":"开局获得 6 层护甲","buffGains":[{"buffId":"armor","count":6}]},"label":"开局获得 6 层护甲"}}}</t>
        </is>
      </c>
    </row>
    <row r="1128" ht="32" customHeight="1">
      <c r="A1128" s="8" t="n">
        <v>417005</v>
      </c>
      <c r="B1128" s="8" t="inlineStr">
        <is>
          <t>客舍传声铃</t>
        </is>
      </c>
      <c r="C1128" s="8" t="inlineStr">
        <is>
          <t>法器</t>
        </is>
      </c>
      <c r="D1128" s="8" t="inlineStr">
        <is>
          <t>common</t>
        </is>
      </c>
      <c r="E1128" s="8" t="inlineStr">
        <is>
          <t>water</t>
        </is>
      </c>
      <c r="F1128" s="8" t="n">
        <v>1</v>
      </c>
      <c r="G1128" s="8" t="inlineStr">
        <is>
          <t>基础/顶层</t>
        </is>
      </c>
      <c r="H1128" s="8" t="inlineStr"/>
      <c r="I1128" s="9" t="inlineStr"/>
      <c r="J1128" s="8" t="inlineStr"/>
      <c r="K1128" s="8" t="inlineStr"/>
      <c r="L1128" s="8" t="inlineStr"/>
      <c r="M1128" s="8" t="inlineStr">
        <is>
          <t>周期触发</t>
        </is>
      </c>
      <c r="N1128" s="8" t="inlineStr">
        <is>
          <t>periodicPulse</t>
        </is>
      </c>
      <c r="O1128" s="9" t="inlineStr">
        <is>
          <t>消耗 10 点法力，对敌方施加 2 层冰霜，并使随机 1 件道具减速 2 秒；消耗 10 点法力，对敌方施加 3 层冰霜，并使随机 1 件道具减速 3 秒；消耗 10 点法力，对敌方施加 4 层冰霜，并使随机 1 件道具减速 4 秒；消耗 10 点法力，对敌方施加 5 层冰霜，并使随机 1 件道具减速 5 秒</t>
        </is>
      </c>
      <c r="P1128" s="9" t="inlineStr"/>
      <c r="Q1128" s="9" t="inlineStr"/>
      <c r="R1128" s="9" t="inlineStr">
        <is>
          <t>{"kind":"periodicPulse","periodicPulse":{"intervalSec":5,"label":"消耗 10 点法力，&lt;battle&gt;对敌方施加 2 层冰霜，并使随机 1 件道具减速 2 秒&lt;/battle&gt;","primaryStatCosts":[{"stat":"mana","amount":10}],"buffGains":[{"buffId":"frost","count":2,"target":"enemy"}],"itemRuntimeStatusEffects":[{"itemRuntimeStatus":"slow","durationSec":2,"targetScope":"enemyRandom","amount":1}]},"starOverrides":{"1":{"periodicPulse":{"label":"消耗 10 点法力，&lt;battle&gt;对敌方施加 3 层冰霜，并使随机 1 件道具减速 3 秒&lt;/battle&gt;","buffGains":[{"buffId":"frost","count":3,"target":"enemy"}],"itemRuntimeStatusEffects":[{"itemRuntimeStatus":"slow","durationSec":3,"targetScope":"enemyRandom","amount":1}]},"label":"消耗 10 点法力，&lt;battle&gt;对敌方施加 3 层冰霜，并使随机 1 件道具减速 3 秒&lt;/battle&gt;"},"2":{"periodicPulse":{"label":"消耗 10 点法力，&lt;battle&gt;对敌方施加 4 层冰霜，并使随机 1 件道具减速 4 秒&lt;/battle&gt;","buffGains":[{"buffId":"frost","count":4,"target":"enemy"}],"itemRuntimeStatusEffects":[{"itemRuntimeStatus":"slow","durationSec":4,"targetScope":"enemyRandom","amount":1}]},"label":"消耗 10 点法力，&lt;battle&gt;对敌方施加 4 层冰霜，并使随机 1 件道具减速 4 秒&lt;/battle&gt;"},"3":{"periodicPulse":{"label":"消耗 10 点法力，&lt;battle&gt;对敌方施加 5 层冰霜，并使随机 1 件道具减速 5 秒&lt;/battle&gt;","buffGains":[{"buffId":"frost","count":5,"target":"enemy"}],"itemRuntimeStatusEffects":[{"itemRuntimeStatus":"slow","durationSec":5,"targetScope":"enemyRandom","amount":1}]},"label":"消耗 10 点法力，&lt;battle&gt;对敌方施加 5 层冰霜，并使随机 1 件道具减速 5 秒&lt;/battle&gt;"}}}</t>
        </is>
      </c>
    </row>
    <row r="1129" ht="32" customHeight="1">
      <c r="A1129" s="8" t="n">
        <v>417051</v>
      </c>
      <c r="B1129" s="8" t="inlineStr">
        <is>
          <t>青河镇脉玉璧</t>
        </is>
      </c>
      <c r="C1129" s="8" t="inlineStr">
        <is>
          <t>法器</t>
        </is>
      </c>
      <c r="D1129" s="8" t="inlineStr">
        <is>
          <t>mystic</t>
        </is>
      </c>
      <c r="E1129" s="8" t="inlineStr">
        <is>
          <t>water</t>
        </is>
      </c>
      <c r="F1129" s="8" t="n">
        <v>1</v>
      </c>
      <c r="G1129" s="8" t="inlineStr">
        <is>
          <t>基础/顶层</t>
        </is>
      </c>
      <c r="H1129" s="8" t="inlineStr"/>
      <c r="I1129" s="9" t="inlineStr"/>
      <c r="J1129" s="8" t="inlineStr"/>
      <c r="K1129" s="8" t="inlineStr"/>
      <c r="L1129" s="8" t="inlineStr"/>
      <c r="M1129" s="8" t="inlineStr">
        <is>
          <t>周期触发</t>
        </is>
      </c>
      <c r="N1129" s="8" t="inlineStr">
        <is>
          <t>periodicPulse</t>
        </is>
      </c>
      <c r="O1129" s="9" t="inlineStr">
        <is>
          <t>吸取敌人 40 点法力</t>
        </is>
      </c>
      <c r="P1129" s="9" t="inlineStr"/>
      <c r="Q1129" s="9" t="inlineStr"/>
      <c r="R1129" s="9" t="inlineStr">
        <is>
          <t>{"kind":"periodicPulse","periodicPulse":{"intervalSec":8,"label":"&lt;battle&gt;吸取敌人 40 点法力&lt;/battle&gt;","drainPrimaryStat":{"target":"enemy","stat":"mana","amount":40,"gainAmount":40}}}</t>
        </is>
      </c>
    </row>
    <row r="1130" ht="32" customHeight="1">
      <c r="A1130" s="8" t="n">
        <v>417051</v>
      </c>
      <c r="B1130" s="8" t="inlineStr">
        <is>
          <t>青河镇脉玉璧</t>
        </is>
      </c>
      <c r="C1130" s="8" t="inlineStr">
        <is>
          <t>法器</t>
        </is>
      </c>
      <c r="D1130" s="8" t="inlineStr">
        <is>
          <t>mystic</t>
        </is>
      </c>
      <c r="E1130" s="8" t="inlineStr">
        <is>
          <t>water</t>
        </is>
      </c>
      <c r="F1130" s="8" t="n">
        <v>2</v>
      </c>
      <c r="G1130" s="8" t="inlineStr">
        <is>
          <t>基础/顶层</t>
        </is>
      </c>
      <c r="H1130" s="8" t="inlineStr"/>
      <c r="I1130" s="9" t="inlineStr"/>
      <c r="J1130" s="8" t="inlineStr"/>
      <c r="K1130" s="8" t="inlineStr"/>
      <c r="L1130" s="8" t="inlineStr"/>
      <c r="M1130" s="8" t="inlineStr">
        <is>
          <t>周期触发</t>
        </is>
      </c>
      <c r="N1130" s="8" t="inlineStr">
        <is>
          <t>periodicPulse</t>
        </is>
      </c>
      <c r="O1130" s="9" t="inlineStr">
        <is>
          <t>开局：消耗 96 点法力，获得 96 层护甲</t>
        </is>
      </c>
      <c r="P1130" s="9" t="inlineStr"/>
      <c r="Q1130" s="9" t="inlineStr"/>
      <c r="R1130" s="9" t="inlineStr">
        <is>
          <t>{"kind":"periodicPulse","periodicPulse":{"startOnly":true,"label":"开局：消耗 96 点法力，获得 96 层护甲","primaryStatCosts":[{"stat":"mana","amount":96}],"buffGains":[{"buffId":"armor","count":96}]}}</t>
        </is>
      </c>
    </row>
    <row r="1131" ht="32" customHeight="1">
      <c r="A1131" s="8" t="n">
        <v>417058</v>
      </c>
      <c r="B1131" s="8" t="inlineStr">
        <is>
          <t>青河引泉珠</t>
        </is>
      </c>
      <c r="C1131" s="8" t="inlineStr">
        <is>
          <t>法器</t>
        </is>
      </c>
      <c r="D1131" s="8" t="inlineStr">
        <is>
          <t>spirit</t>
        </is>
      </c>
      <c r="E1131" s="8" t="inlineStr">
        <is>
          <t>water</t>
        </is>
      </c>
      <c r="F1131" s="8" t="n">
        <v>1</v>
      </c>
      <c r="G1131" s="8" t="inlineStr">
        <is>
          <t>基础/顶层</t>
        </is>
      </c>
      <c r="H1131" s="8" t="inlineStr"/>
      <c r="I1131" s="9" t="inlineStr"/>
      <c r="J1131" s="8" t="inlineStr"/>
      <c r="K1131" s="8" t="inlineStr"/>
      <c r="L1131" s="8" t="inlineStr"/>
      <c r="M1131" s="8" t="inlineStr">
        <is>
          <t>被动效果</t>
        </is>
      </c>
      <c r="N1131" s="8" t="inlineStr">
        <is>
          <t>passive</t>
        </is>
      </c>
      <c r="O1131" s="9" t="inlineStr">
        <is>
          <t>所有道具获得露水时，额外获得 1 层露水；所有道具获得露水时，额外获得 2 层露水；所有道具获得露水时，额外获得 3 层露水；所有道具获得露水时，额外获得 4 层露水</t>
        </is>
      </c>
      <c r="P1131" s="9" t="inlineStr"/>
      <c r="Q1131" s="9" t="inlineStr">
        <is>
          <t>buffGainMirror；any</t>
        </is>
      </c>
      <c r="R1131" s="9" t="inlineStr">
        <is>
          <t>{"kind":"passive","label":"所有道具获得露水时，额外获得 1 层露水","passiveEffect":{"type":"buffGainMirror","sourceBuffId":"dew","targetBuffId":"dew","countPerGain":1,"sourceTarget":{"type":"any"},"label":"所有道具获得露水时，额外获得 1 层露水"},"starOverrides":{"1":{"passiveEffect":{"countPerGain":2,"label":"所有道具获得露水时，额外获得 2 层露水"},"label":"所有道具获得露水时，额外获得 2 层露水"},"2":{"passiveEffect":{"countPerGain":3,"label":"所有道具获得露水时，额外获得 3 层露水"},"label":"所有道具获得露水时，额外获得 3 层露水"},"3":{"passiveEffect":{"countPerGain":4,"label":"所有道具获得露水时，额外获得 4 层露水"},"label":"所有道具获得露水时，额外获得 4 层露水"}}}</t>
        </is>
      </c>
    </row>
    <row r="1132" ht="32" customHeight="1">
      <c r="A1132" s="8" t="n">
        <v>418000</v>
      </c>
      <c r="B1132" s="8" t="inlineStr">
        <is>
          <t>温药铜环</t>
        </is>
      </c>
      <c r="C1132" s="8" t="inlineStr">
        <is>
          <t>法器</t>
        </is>
      </c>
      <c r="D1132" s="8" t="inlineStr">
        <is>
          <t>common</t>
        </is>
      </c>
      <c r="E1132" s="8" t="inlineStr">
        <is>
          <t>fire</t>
        </is>
      </c>
      <c r="F1132" s="8" t="n">
        <v>1</v>
      </c>
      <c r="G1132" s="8" t="inlineStr">
        <is>
          <t>基础/顶层</t>
        </is>
      </c>
      <c r="H1132" s="8" t="inlineStr"/>
      <c r="I1132" s="9" t="inlineStr"/>
      <c r="J1132" s="8" t="inlineStr"/>
      <c r="K1132" s="8" t="inlineStr"/>
      <c r="L1132" s="8" t="inlineStr"/>
      <c r="M1132" s="8" t="inlineStr">
        <is>
          <t>周期触发</t>
        </is>
      </c>
      <c r="N1132" s="8" t="inlineStr">
        <is>
          <t>periodicPulse</t>
        </is>
      </c>
      <c r="O1132" s="9" t="inlineStr">
        <is>
          <t>开局时，获得 4 层炎热并恢复 4 点法力；开局时，获得 5 层炎热并恢复 5 点法力；开局时，获得 6 层炎热并恢复 6 点法力；开局时，获得 7 层炎热并恢复 7 点法力</t>
        </is>
      </c>
      <c r="P1132" s="9" t="inlineStr"/>
      <c r="Q1132" s="9" t="inlineStr"/>
      <c r="R1132" s="9" t="inlineStr">
        <is>
          <t>{"kind":"periodicPulse","periodicPulse":{"startOnly":true,"label":"开局时，获得 4 层炎热并恢复 4 点法力","buffGains":[{"buffId":"heat","count":4}],"primaryStatGains":[{"stat":"mana","amount":4}]},"starOverrides":{"1":{"periodicPulse":{"label":"开局时，获得 5 层炎热并恢复 5 点法力","buffGains":[{"buffId":"heat","count":5}],"primaryStatGains":[{"stat":"mana","amount":5}]},"label":"开局时，获得 5 层炎热并恢复 5 点法力"},"2":{"periodicPulse":{"label":"开局时，获得 6 层炎热并恢复 6 点法力","buffGains":[{"buffId":"heat","count":6}],"primaryStatGains":[{"stat":"mana","amount":6}]},"label":"开局时，获得 6 层炎热并恢复 6 点法力"},"3":{"periodicPulse":{"label":"开局时，获得 7 层炎热并恢复 7 点法力","buffGains":[{"buffId":"heat","count":7}],"primaryStatGains":[{"stat":"mana","amount":7}]},"label":"开局时，获得 7 层炎热并恢复 7 点法力"}}}</t>
        </is>
      </c>
    </row>
    <row r="1133" ht="32" customHeight="1">
      <c r="A1133" s="8" t="n">
        <v>418000</v>
      </c>
      <c r="B1133" s="8" t="inlineStr">
        <is>
          <t>温药铜环</t>
        </is>
      </c>
      <c r="C1133" s="8" t="inlineStr">
        <is>
          <t>法器</t>
        </is>
      </c>
      <c r="D1133" s="8" t="inlineStr">
        <is>
          <t>common</t>
        </is>
      </c>
      <c r="E1133" s="8" t="inlineStr">
        <is>
          <t>fire</t>
        </is>
      </c>
      <c r="F1133" s="8" t="n">
        <v>2</v>
      </c>
      <c r="G1133" s="8" t="inlineStr">
        <is>
          <t>基础/顶层</t>
        </is>
      </c>
      <c r="H1133" s="8" t="inlineStr"/>
      <c r="I1133" s="9" t="inlineStr"/>
      <c r="J1133" s="8" t="inlineStr"/>
      <c r="K1133" s="8" t="inlineStr"/>
      <c r="L1133" s="8" t="inlineStr"/>
      <c r="M1133" s="8" t="inlineStr">
        <is>
          <t>周期触发</t>
        </is>
      </c>
      <c r="N1133" s="8" t="inlineStr">
        <is>
          <t>periodicPulse</t>
        </is>
      </c>
      <c r="O1133" s="9" t="inlineStr">
        <is>
          <t>最多消耗 4 层炎热；每消耗 1 层，恢复 1 点气血，并对敌方造成 2 点伤害；最多消耗 4 层炎热；每消耗 1 层，恢复 2 点气血，并对敌方造成 3 点伤害；最多消耗 4 层炎热；每消耗 1 层，恢复 3 点气血，并对敌方造成 4 点伤害；最多消耗 4 层炎热；每消耗 1 层，恢复 4 点气血，并对敌方造成 5 点伤害</t>
        </is>
      </c>
      <c r="P1133" s="9" t="inlineStr">
        <is>
          <t>onPeriodicPulse</t>
        </is>
      </c>
      <c r="Q1133" s="9" t="inlineStr">
        <is>
          <t>consumeBuffStacks</t>
        </is>
      </c>
      <c r="R1133" s="9" t="inlineStr">
        <is>
          <t>{"kind":"periodicPulse","periodicPulse":{"intervalSec":8,"label":"最多消耗 4 层炎热；每消耗 1 层，恢复 1 点气血，&lt;battle&gt;并对敌方造成 2 点伤害&lt;/battle&gt;"},"executors":[{"trigger":"onPeriodicPulse","type":"consumeBuffStacks","sourceBuffId":"heat","maxStacks":4,"battleDamageHealthPerStack":2,"primaryStatGainPerStack":{"stat":"health","amount":1},"support":"common","label":"最多消耗 4 层炎热；每消耗 1 层，恢复 1 点气血，&lt;battle&gt;并对敌方造成 2 点伤害&lt;/battle&gt;"}],"starOverrides":{"1":{"periodicPulse":{"label":"最多消耗 4 层炎热；每消耗 1 层，恢复 2 点气血，&lt;battle&gt;并对敌方造成 3 点伤害&lt;/battle&gt;"},"executors":[{"trigger":"onPeriodicPulse","type":"consumeBuffStacks","sourceBuffId":"heat","maxStacks":4,"battleDamageHealthPerStack":3,"primaryStatGainPerStack":{"stat":"health","amount":2},"support":"common","label":"最多消耗 4 层炎热；每消耗 1 层，恢复 2 点气血，&lt;battle&gt;并对敌方造成 3 点伤害&lt;/battle&gt;"}],"label":"最多消耗 4 层炎热；每消耗 1 层，恢复 2 点气血，&lt;battle&gt;并对敌方造成 3 点伤害&lt;/battle&gt;"},"2":{"periodicPulse":{"label":"最多消耗 4 层炎热；每消耗 1 层，恢复 3 点气血，&lt;battle&gt;并对敌方造成 4 点伤害&lt;/battle&gt;"},"executors":[{"trigger":"onPeriodicPulse","type":"consumeBuffStacks","sourceBuffId":"heat","maxStacks":4,"battleDamageHealthPerStack":4,"primaryStatGainPerStack":{"stat":"health","amount":3},"support":"common","label":"最多消耗 4 层炎热；每消耗 1 层，恢复 3 点气血，&lt;battle&gt;并对敌方造成 4 点伤害&lt;/battle&gt;"}],"label":"最多消耗 4 层炎热；每消耗 1 层，恢复 3 点气血，&lt;battle&gt;并对敌方造成 4 点伤害&lt;/battle&gt;"},"3":{"periodicPulse":{"label":"最多消耗 4 层炎热；每消耗 1 层，恢复 4 点气血，&lt;battle&gt;并对敌方造成 5 点伤害&lt;/battle&gt;"},"executors":[{"trigger":"onPeriodicPulse","type":"consumeBuffStacks","sourceBuffId":"heat","maxStacks":4,"battleDamageHealthPerStack":5,"primaryStatGainPerStack":{"stat":"health","amount":4},"support":"common","label":"最多消耗 4 层炎热；每消耗 1 层，恢复 4 点气血，&lt;battle&gt;并对敌方造成 5 点伤害&lt;/battle&gt;"}],"label":"最多消耗 4 层炎热；每消耗 1 层，恢复 4 点气血，&lt;battle&gt;并对敌方造成 5 点伤害&lt;/battle&gt;"}}}</t>
        </is>
      </c>
    </row>
    <row r="1134" ht="32" customHeight="1">
      <c r="A1134" s="8" t="n">
        <v>418001</v>
      </c>
      <c r="B1134" s="8" t="inlineStr">
        <is>
          <t>收灰铲</t>
        </is>
      </c>
      <c r="C1134" s="8" t="inlineStr">
        <is>
          <t>法器</t>
        </is>
      </c>
      <c r="D1134" s="8" t="inlineStr">
        <is>
          <t>common</t>
        </is>
      </c>
      <c r="E1134" s="8" t="inlineStr">
        <is>
          <t>fire</t>
        </is>
      </c>
      <c r="F1134" s="8" t="n">
        <v>1</v>
      </c>
      <c r="G1134" s="8" t="inlineStr">
        <is>
          <t>基础/顶层</t>
        </is>
      </c>
      <c r="H1134" s="8" t="inlineStr"/>
      <c r="I1134" s="9" t="inlineStr"/>
      <c r="J1134" s="8" t="inlineStr"/>
      <c r="K1134" s="8" t="inlineStr"/>
      <c r="L1134" s="8" t="inlineStr"/>
      <c r="M1134" s="8" t="inlineStr">
        <is>
          <t>条件触发</t>
        </is>
      </c>
      <c r="N1134" s="8" t="inlineStr">
        <is>
          <t>triggered</t>
        </is>
      </c>
      <c r="O1134" s="9" t="inlineStr">
        <is>
          <t>受到伤害时，最多消耗 3 层炎热，每消耗 1 层，对敌方造成 3 点伤害；受到伤害时，最多消耗 3 层炎热，每消耗 1 层，对敌方造成 4 点伤害；受到伤害时，最多消耗 3 层炎热，每消耗 1 层，对敌方造成 5 点伤害；受到伤害时，最多消耗 3 层炎热，每消耗 1 层，对敌方造成 6 点伤害</t>
        </is>
      </c>
      <c r="P1134" s="9" t="inlineStr">
        <is>
          <t>onIncomingHealthDamage</t>
        </is>
      </c>
      <c r="Q1134" s="9" t="inlineStr">
        <is>
          <t>consumeBuffStacks</t>
        </is>
      </c>
      <c r="R1134" s="9" t="inlineStr">
        <is>
          <t>{"kind":"triggered","label":"&lt;battle&gt;受到伤害时，最多消耗 3 层炎热，每消耗 1 层，对敌方造成 3 点伤害&lt;/battle&gt;","triggeredEffect":{"trigger":"onIncomingHealthDamage","type":"consumeBuffStacks","sourceBuffId":"heat","maxStacks":3,"battleDamageHealthPerStack":3},"starOverrides":{"1":{"label":"&lt;battle&gt;受到伤害时，最多消耗 3 层炎热，每消耗 1 层，对敌方造成 4 点伤害&lt;/battle&gt;","triggeredEffect":{"battleDamageHealthPerStack":4}},"2":{"label":"&lt;battle&gt;受到伤害时，最多消耗 3 层炎热，每消耗 1 层，对敌方造成 5 点伤害&lt;/battle&gt;","triggeredEffect":{"battleDamageHealthPerStack":5}},"3":{"label":"&lt;battle&gt;受到伤害时，最多消耗 3 层炎热，每消耗 1 层，对敌方造成 6 点伤害&lt;/battle&gt;","triggeredEffect":{"battleDamageHealthPerStack":6}}}}</t>
        </is>
      </c>
    </row>
    <row r="1135" ht="32" customHeight="1">
      <c r="A1135" s="8" t="n">
        <v>418002</v>
      </c>
      <c r="B1135" s="8" t="inlineStr">
        <is>
          <t>双盘灵秤</t>
        </is>
      </c>
      <c r="C1135" s="8" t="inlineStr">
        <is>
          <t>法器</t>
        </is>
      </c>
      <c r="D1135" s="8" t="inlineStr">
        <is>
          <t>common</t>
        </is>
      </c>
      <c r="E1135" s="8" t="inlineStr">
        <is>
          <t>fire</t>
        </is>
      </c>
      <c r="F1135" s="8" t="n">
        <v>1</v>
      </c>
      <c r="G1135" s="8" t="inlineStr">
        <is>
          <t>基础/顶层</t>
        </is>
      </c>
      <c r="H1135" s="8" t="inlineStr"/>
      <c r="I1135" s="9" t="inlineStr"/>
      <c r="J1135" s="8" t="inlineStr"/>
      <c r="K1135" s="8" t="inlineStr"/>
      <c r="L1135" s="8" t="inlineStr"/>
      <c r="M1135" s="8" t="inlineStr">
        <is>
          <t>周期触发</t>
        </is>
      </c>
      <c r="N1135" s="8" t="inlineStr">
        <is>
          <t>periodicPulse</t>
        </is>
      </c>
      <c r="O1135" s="9" t="inlineStr">
        <is>
          <t>消耗 20 点法力，对敌方施加 4 层灼烧；消耗 20 点法力，对敌方施加 5 层灼烧；消耗 20 点法力，对敌方施加 6 层灼烧；消耗 20 点法力，对敌方施加 7 层灼烧</t>
        </is>
      </c>
      <c r="P1135" s="9" t="inlineStr"/>
      <c r="Q1135" s="9" t="inlineStr"/>
      <c r="R1135" s="9" t="inlineStr">
        <is>
          <t>{"kind":"periodicPulse","periodicPulse":{"intervalSec":7,"label":"消耗 20 点法力，&lt;battle&gt;对敌方施加 4 层灼烧&lt;/battle&gt;","primaryStatCosts":[{"stat":"mana","amount":20}],"buffGains":[{"buffId":"burning","count":4,"target":"enemy"}]},"starOverrides":{"1":{"periodicPulse":{"label":"消耗 20 点法力，&lt;battle&gt;对敌方施加 5 层灼烧&lt;/battle&gt;","buffGains":[{"buffId":"burning","count":5,"target":"enemy"}]},"label":"消耗 20 点法力，&lt;battle&gt;对敌方施加 5 层灼烧&lt;/battle&gt;"},"2":{"periodicPulse":{"label":"消耗 20 点法力，&lt;battle&gt;对敌方施加 6 层灼烧&lt;/battle&gt;","buffGains":[{"buffId":"burning","count":6,"target":"enemy"}]},"label":"消耗 20 点法力，&lt;battle&gt;对敌方施加 6 层灼烧&lt;/battle&gt;"},"3":{"periodicPulse":{"label":"消耗 20 点法力，&lt;battle&gt;对敌方施加 7 层灼烧&lt;/battle&gt;","buffGains":[{"buffId":"burning","count":7,"target":"enemy"}]},"label":"消耗 20 点法力，&lt;battle&gt;对敌方施加 7 层灼烧&lt;/battle&gt;"}}}</t>
        </is>
      </c>
    </row>
    <row r="1136" ht="32" customHeight="1">
      <c r="A1136" s="8" t="n">
        <v>418002</v>
      </c>
      <c r="B1136" s="8" t="inlineStr">
        <is>
          <t>双盘灵秤</t>
        </is>
      </c>
      <c r="C1136" s="8" t="inlineStr">
        <is>
          <t>法器</t>
        </is>
      </c>
      <c r="D1136" s="8" t="inlineStr">
        <is>
          <t>common</t>
        </is>
      </c>
      <c r="E1136" s="8" t="inlineStr">
        <is>
          <t>fire</t>
        </is>
      </c>
      <c r="F1136" s="8" t="n">
        <v>2</v>
      </c>
      <c r="G1136" s="8" t="inlineStr">
        <is>
          <t>基础/顶层</t>
        </is>
      </c>
      <c r="H1136" s="8" t="inlineStr"/>
      <c r="I1136" s="9" t="inlineStr"/>
      <c r="J1136" s="8" t="inlineStr"/>
      <c r="K1136" s="8" t="inlineStr"/>
      <c r="L1136" s="8" t="inlineStr"/>
      <c r="M1136" s="8" t="inlineStr">
        <is>
          <t>周期触发</t>
        </is>
      </c>
      <c r="N1136" s="8" t="inlineStr">
        <is>
          <t>periodicPulse</t>
        </is>
      </c>
      <c r="O1136" s="9" t="inlineStr">
        <is>
          <t>敌方有不少于 2 层灼烧时，消耗其 2 层并造成 6 点伤害；敌方有不少于 2 层灼烧时，消耗其 2 层并造成 8 点伤害；敌方有不少于 2 层灼烧时，消耗其 2 层并造成 9 点伤害；敌方有不少于 2 层灼烧时，消耗其 2 层并造成 11 点伤害</t>
        </is>
      </c>
      <c r="P1136" s="9" t="inlineStr"/>
      <c r="Q1136" s="9" t="inlineStr">
        <is>
          <t>targetBuffStacksGreaterThan</t>
        </is>
      </c>
      <c r="R1136" s="9" t="inlineStr">
        <is>
          <t>{"kind":"periodicPulse","periodicPulse":{"intervalSec":7,"label":"&lt;battle&gt;敌方有不少于 2 层灼烧时，消耗其 2 层并造成 6 点伤害&lt;/battle&gt;","battleCondition":{"type":"targetBuffStacksGreaterThan","buffId":"burning","count":1},"removeBuffStacks":[{"target":"enemy","buffId":"burning","count":2}],"damageHealth":{"target":"enemy","amount":6}},"starOverrides":{"1":{"periodicPulse":{"label":"&lt;battle&gt;敌方有不少于 2 层灼烧时，消耗其 2 层并造成 8 点伤害&lt;/battle&gt;","damageHealth":{"amount":8}},"label":"&lt;battle&gt;敌方有不少于 2 层灼烧时，消耗其 2 层并造成 8 点伤害&lt;/battle&gt;"},"2":{"periodicPulse":{"label":"&lt;battle&gt;敌方有不少于 2 层灼烧时，消耗其 2 层并造成 9 点伤害&lt;/battle&gt;","damageHealth":{"amount":9}},"label":"&lt;battle&gt;敌方有不少于 2 层灼烧时，消耗其 2 层并造成 9 点伤害&lt;/battle&gt;"},"3":{"periodicPulse":{"label":"&lt;battle&gt;敌方有不少于 2 层灼烧时，消耗其 2 层并造成 11 点伤害&lt;/battle&gt;","damageHealth":{"amount":11}},"label":"&lt;battle&gt;敌方有不少于 2 层灼烧时，消耗其 2 层并造成 11 点伤害&lt;/battle&gt;"}}}</t>
        </is>
      </c>
    </row>
    <row r="1137" ht="32" customHeight="1">
      <c r="A1137" s="8" t="n">
        <v>418003</v>
      </c>
      <c r="B1137" s="8" t="inlineStr">
        <is>
          <t>分炉火尺</t>
        </is>
      </c>
      <c r="C1137" s="8" t="inlineStr">
        <is>
          <t>法器</t>
        </is>
      </c>
      <c r="D1137" s="8" t="inlineStr">
        <is>
          <t>spirit</t>
        </is>
      </c>
      <c r="E1137" s="8" t="inlineStr">
        <is>
          <t>fire</t>
        </is>
      </c>
      <c r="F1137" s="8" t="n">
        <v>1</v>
      </c>
      <c r="G1137" s="8" t="inlineStr">
        <is>
          <t>基础/顶层</t>
        </is>
      </c>
      <c r="H1137" s="8" t="inlineStr"/>
      <c r="I1137" s="9" t="inlineStr"/>
      <c r="J1137" s="8" t="inlineStr"/>
      <c r="K1137" s="8" t="inlineStr"/>
      <c r="L1137" s="8" t="inlineStr"/>
      <c r="M1137" s="8" t="inlineStr">
        <is>
          <t>周期触发</t>
        </is>
      </c>
      <c r="N1137" s="8" t="inlineStr">
        <is>
          <t>periodicPulse</t>
        </is>
      </c>
      <c r="O1137" s="9" t="inlineStr">
        <is>
          <t>将我方全部灼烧转移给敌方；消耗我方全部灼烧，每消耗 1 层使敌方获得 2 层灼烧；消耗我方全部灼烧，每消耗 1 层使敌方获得 3 层灼烧；消耗我方全部灼烧，每消耗 1 层使敌方获得 4 层灼烧</t>
        </is>
      </c>
      <c r="P1137" s="9" t="inlineStr">
        <is>
          <t>onPeriodicPulse</t>
        </is>
      </c>
      <c r="Q1137" s="9" t="inlineStr">
        <is>
          <t>consumeBuffStacks</t>
        </is>
      </c>
      <c r="R1137" s="9" t="inlineStr">
        <is>
          <t>{"kind":"periodicPulse","label":"&lt;battle&gt;将我方全部灼烧转移给敌方&lt;/battle&gt;","periodicPulse":{"intervalSec":20,"label":"&lt;battle&gt;将我方全部灼烧转移给敌方&lt;/battle&gt;"},"executors":[{"trigger":"onPeriodicPulse","type":"consumeBuffStacks","sourceBuffId":"burning","consumeRatio":1,"targetBuffGainPerStack":{"buffId":"burning","countPerStack":1},"support":"battleOnly"}],"starOverrides":{"1":{"executors":[{"trigger":"onPeriodicPulse","type":"consumeBuffStacks","sourceBuffId":"burning","consumeRatio":1,"targetBuffGainPerStack":{"buffId":"burning","countPerStack":2},"support":"battleOnly"}],"label":"&lt;battle&gt;消耗我方全部灼烧，每消耗 1 层使敌方获得 2 层灼烧&lt;/battle&gt;","periodicPulse":{"label":"&lt;battle&gt;消耗我方全部灼烧，每消耗 1 层使敌方获得 2 层灼烧&lt;/battle&gt;"}},"2":{"executors":[{"trigger":"onPeriodicPulse","type":"consumeBuffStacks","sourceBuffId":"burning","consumeRatio":1,"targetBuffGainPerStack":{"buffId":"burning","countPerStack":3},"support":"battleOnly"}],"label":"&lt;battle&gt;消耗我方全部灼烧，每消耗 1 层使敌方获得 3 层灼烧&lt;/battle&gt;","periodicPulse":{"label":"&lt;battle&gt;消耗我方全部灼烧，每消耗 1 层使敌方获得 3 层灼烧&lt;/battle&gt;"}},"3":{"executors":[{"trigger":"onPeriodicPulse","type":"consumeBuffStacks","sourceBuffId":"burning","consumeRatio":1,"targetBuffGainPerStack":{"buffId":"burning","countPerStack":4},"support":"battleOnly"}],"label":"&lt;battle&gt;消耗我方全部灼烧，每消耗 1 层使敌方获得 4 层灼烧&lt;/battle&gt;","periodicPulse":{"label":"&lt;battle&gt;消耗我方全部灼烧，每消耗 1 层使敌方获得 4 层灼烧&lt;/battle&gt;"}}}}</t>
        </is>
      </c>
    </row>
    <row r="1138" ht="32" customHeight="1">
      <c r="A1138" s="8" t="n">
        <v>418004</v>
      </c>
      <c r="B1138" s="8" t="inlineStr">
        <is>
          <t>黑铜耐热护臂</t>
        </is>
      </c>
      <c r="C1138" s="8" t="inlineStr">
        <is>
          <t>法器</t>
        </is>
      </c>
      <c r="D1138" s="8" t="inlineStr">
        <is>
          <t>spirit</t>
        </is>
      </c>
      <c r="E1138" s="8" t="inlineStr">
        <is>
          <t>fire</t>
        </is>
      </c>
      <c r="F1138" s="8" t="n">
        <v>1</v>
      </c>
      <c r="G1138" s="8" t="inlineStr">
        <is>
          <t>基础/顶层</t>
        </is>
      </c>
      <c r="H1138" s="8" t="inlineStr"/>
      <c r="I1138" s="9" t="inlineStr"/>
      <c r="J1138" s="8" t="inlineStr"/>
      <c r="K1138" s="8" t="inlineStr"/>
      <c r="L1138" s="8" t="inlineStr"/>
      <c r="M1138" s="8" t="inlineStr">
        <is>
          <t>条件触发</t>
        </is>
      </c>
      <c r="N1138" s="8" t="inlineStr">
        <is>
          <t>triggered</t>
        </is>
      </c>
      <c r="O1138" s="9" t="inlineStr">
        <is>
          <t>受到伤害时，若本次伤害不少于 30 点，最多消耗 8 层炎热，每层对敌方造成 10 点伤害；受到伤害时，若本次伤害不少于 30 点，最多消耗 10 层炎热，每层对敌方造成 10 点伤害；受到伤害时，若本次伤害不少于 30 点，最多消耗 12 层炎热，每层对敌方造成 10 点伤害；受到伤害时，若本次伤害不少于 30 点，最多消耗 14 层炎热，每层对敌方造成 10 点伤害</t>
        </is>
      </c>
      <c r="P1138" s="9" t="inlineStr">
        <is>
          <t>onIncomingHealthDamage</t>
        </is>
      </c>
      <c r="Q1138" s="9" t="inlineStr">
        <is>
          <t>consumeBuffStacks</t>
        </is>
      </c>
      <c r="R1138" s="9" t="inlineStr">
        <is>
          <t>{"kind":"triggered","label":"&lt;battle&gt;受到伤害时，若本次伤害不少于 30 点，最多消耗 8 层炎热，每层对敌方造成 10 点伤害&lt;/battle&gt;","triggeredEffect":{"trigger":"onIncomingHealthDamage","type":"consumeBuffStacks","sourceBuffId":"heat","maxStacks":8,"battleDamageHealthPerStack":10,"minActualDamage":30},"starOverrides":{"1":{"label":"&lt;battle&gt;受到伤害时，若本次伤害不少于 30 点，最多消耗 10 层炎热，每层对敌方造成 10 点伤害&lt;/battle&gt;","triggeredEffect":{"maxStacks":10}},"2":{"label":"&lt;battle&gt;受到伤害时，若本次伤害不少于 30 点，最多消耗 12 层炎热，每层对敌方造成 10 点伤害&lt;/battle&gt;","triggeredEffect":{"maxStacks":12}},"3":{"label":"&lt;battle&gt;受到伤害时，若本次伤害不少于 30 点，最多消耗 14 层炎热，每层对敌方造成 10 点伤害&lt;/battle&gt;","triggeredEffect":{"maxStacks":14}}}}</t>
        </is>
      </c>
    </row>
    <row r="1139" ht="32" customHeight="1">
      <c r="A1139" s="8" t="n">
        <v>418005</v>
      </c>
      <c r="B1139" s="8" t="inlineStr">
        <is>
          <t>铜页丹匣</t>
        </is>
      </c>
      <c r="C1139" s="8" t="inlineStr">
        <is>
          <t>法器</t>
        </is>
      </c>
      <c r="D1139" s="8" t="inlineStr">
        <is>
          <t>spirit</t>
        </is>
      </c>
      <c r="E1139" s="8" t="inlineStr">
        <is>
          <t>fire</t>
        </is>
      </c>
      <c r="F1139" s="8" t="n">
        <v>1</v>
      </c>
      <c r="G1139" s="8" t="inlineStr">
        <is>
          <t>基础/顶层</t>
        </is>
      </c>
      <c r="H1139" s="8" t="inlineStr"/>
      <c r="I1139" s="9" t="inlineStr"/>
      <c r="J1139" s="8" t="inlineStr"/>
      <c r="K1139" s="8" t="inlineStr"/>
      <c r="L1139" s="8" t="inlineStr"/>
      <c r="M1139" s="8" t="inlineStr">
        <is>
          <t>周期触发</t>
        </is>
      </c>
      <c r="N1139" s="8" t="inlineStr">
        <is>
          <t>periodicPulse</t>
        </is>
      </c>
      <c r="O1139" s="9" t="inlineStr">
        <is>
          <t>敌方灼烧不少于 20 层时，消耗 20 层并造成 70 点伤害；敌方灼烧不少于 20 层时，消耗 20 层并造成 90 点伤害；敌方灼烧不少于 20 层时，消耗 20 层并造成 110 点伤害；敌方灼烧不少于 20 层时，消耗 20 层并造成 130 点伤害</t>
        </is>
      </c>
      <c r="P1139" s="9" t="inlineStr"/>
      <c r="Q1139" s="9" t="inlineStr">
        <is>
          <t>targetBuffStacksGreaterThan</t>
        </is>
      </c>
      <c r="R1139" s="9" t="inlineStr">
        <is>
          <t>{"kind":"periodicPulse","label":"&lt;battle&gt;敌方灼烧不少于 20 层时，消耗 20 层并造成 70 点伤害&lt;/battle&gt;","periodicPulse":{"intervalSec":12,"battleCondition":{"type":"targetBuffStacksGreaterThan","buffId":"burning","count":19},"removeBuffStacks":[{"target":"enemy","buffId":"burning","count":20}],"damageHealth":{"target":"enemy","amount":70},"label":"&lt;battle&gt;敌方灼烧不少于 20 层时，消耗 20 层并造成 70 点伤害&lt;/battle&gt;"},"starOverrides":{"1":{"label":"&lt;battle&gt;敌方灼烧不少于 20 层时，消耗 20 层并造成 90 点伤害&lt;/battle&gt;","periodicPulse":{"label":"&lt;battle&gt;敌方灼烧不少于 20 层时，消耗 20 层并造成 90 点伤害&lt;/battle&gt;","damageHealth":{"amount":90}}},"2":{"label":"&lt;battle&gt;敌方灼烧不少于 20 层时，消耗 20 层并造成 110 点伤害&lt;/battle&gt;","periodicPulse":{"label":"&lt;battle&gt;敌方灼烧不少于 20 层时，消耗 20 层并造成 110 点伤害&lt;/battle&gt;","damageHealth":{"amount":110}}},"3":{"label":"&lt;battle&gt;敌方灼烧不少于 20 层时，消耗 20 层并造成 130 点伤害&lt;/battle&gt;","periodicPulse":{"label":"&lt;battle&gt;敌方灼烧不少于 20 层时，消耗 20 层并造成 130 点伤害&lt;/battle&gt;","damageHealth":{"amount":130}}}}}</t>
        </is>
      </c>
    </row>
    <row r="1140" ht="32" customHeight="1">
      <c r="A1140" s="8" t="n">
        <v>418006</v>
      </c>
      <c r="B1140" s="8" t="inlineStr">
        <is>
          <t>方库封签</t>
        </is>
      </c>
      <c r="C1140" s="8" t="inlineStr">
        <is>
          <t>法器</t>
        </is>
      </c>
      <c r="D1140" s="8" t="inlineStr">
        <is>
          <t>spirit</t>
        </is>
      </c>
      <c r="E1140" s="8" t="inlineStr">
        <is>
          <t>fire</t>
        </is>
      </c>
      <c r="F1140" s="8" t="n">
        <v>1</v>
      </c>
      <c r="G1140" s="8" t="inlineStr">
        <is>
          <t>基础/顶层</t>
        </is>
      </c>
      <c r="H1140" s="8" t="inlineStr"/>
      <c r="I1140" s="9" t="inlineStr"/>
      <c r="J1140" s="8" t="inlineStr"/>
      <c r="K1140" s="8" t="inlineStr"/>
      <c r="L1140" s="8" t="inlineStr"/>
      <c r="M1140" s="8" t="inlineStr">
        <is>
          <t>周期触发</t>
        </is>
      </c>
      <c r="N1140" s="8" t="inlineStr">
        <is>
          <t>periodicPulse</t>
        </is>
      </c>
      <c r="O1140" s="9" t="inlineStr">
        <is>
          <t>获得 20 层炎热，对敌方施加 16 层灼烧；获得 26 层炎热，对敌方施加 20 层灼烧；获得 30 层炎热，对敌方施加 26 层灼烧；获得 36 层炎热，对敌方施加 30 层灼烧</t>
        </is>
      </c>
      <c r="P1140" s="9" t="inlineStr"/>
      <c r="Q1140" s="9" t="inlineStr"/>
      <c r="R1140" s="9" t="inlineStr">
        <is>
          <t>{"kind":"periodicPulse","label":"获得 20 层炎热，&lt;battle&gt;对敌方施加 16 层灼烧&lt;/battle&gt;","periodicPulse":{"intervalSec":15,"buffGains":[{"buffId":"heat","count":20},{"buffId":"burning","count":16,"target":"enemy"}],"label":"获得 20 层炎热，&lt;battle&gt;对敌方施加 16 层灼烧&lt;/battle&gt;"},"starOverrides":{"1":{"label":"获得 26 层炎热，&lt;battle&gt;对敌方施加 20 层灼烧&lt;/battle&gt;","periodicPulse":{"label":"获得 26 层炎热，&lt;battle&gt;对敌方施加 20 层灼烧&lt;/battle&gt;","buffGains":[{"buffId":"heat","count":26},{"buffId":"burning","count":20,"target":"enemy"}]}},"2":{"label":"获得 30 层炎热，&lt;battle&gt;对敌方施加 26 层灼烧&lt;/battle&gt;","periodicPulse":{"label":"获得 30 层炎热，&lt;battle&gt;对敌方施加 26 层灼烧&lt;/battle&gt;","buffGains":[{"buffId":"heat","count":30},{"buffId":"burning","count":26,"target":"enemy"}]}},"3":{"label":"获得 36 层炎热，&lt;battle&gt;对敌方施加 30 层灼烧&lt;/battle&gt;","periodicPulse":{"label":"获得 36 层炎热，&lt;battle&gt;对敌方施加 30 层灼烧&lt;/battle&gt;","buffGains":[{"buffId":"heat","count":36},{"buffId":"burning","count":30,"target":"enemy"}]}}}}</t>
        </is>
      </c>
    </row>
    <row r="1141" ht="32" customHeight="1">
      <c r="A1141" s="8" t="n">
        <v>418007</v>
      </c>
      <c r="B1141" s="8" t="inlineStr">
        <is>
          <t>折叠火线枪</t>
        </is>
      </c>
      <c r="C1141" s="8" t="inlineStr">
        <is>
          <t>法器</t>
        </is>
      </c>
      <c r="D1141" s="8" t="inlineStr">
        <is>
          <t>spirit</t>
        </is>
      </c>
      <c r="E1141" s="8" t="inlineStr">
        <is>
          <t>fire</t>
        </is>
      </c>
      <c r="F1141" s="8" t="n">
        <v>1</v>
      </c>
      <c r="G1141" s="8" t="inlineStr">
        <is>
          <t>基础/顶层</t>
        </is>
      </c>
      <c r="H1141" s="8" t="inlineStr"/>
      <c r="I1141" s="9" t="inlineStr"/>
      <c r="J1141" s="8" t="inlineStr"/>
      <c r="K1141" s="8" t="inlineStr"/>
      <c r="L1141" s="8" t="inlineStr"/>
      <c r="M1141" s="8" t="inlineStr">
        <is>
          <t>周期触发</t>
        </is>
      </c>
      <c r="N1141" s="8" t="inlineStr">
        <is>
          <t>periodicPulse</t>
        </is>
      </c>
      <c r="O1141" s="9" t="inlineStr">
        <is>
          <t>消耗自身一半灼烧，层数向上取整；每消耗 1 层，对敌方造成 5 点伤害；消耗自身一半灼烧，层数向上取整；每消耗 1 层，对敌方造成 6 点伤害；消耗自身一半灼烧，层数向上取整；每消耗 1 层，对敌方造成 8 点伤害；消耗自身一半灼烧，层数向上取整；每消耗 1 层，对敌方造成 9 点伤害</t>
        </is>
      </c>
      <c r="P1141" s="9" t="inlineStr">
        <is>
          <t>onPeriodicPulse</t>
        </is>
      </c>
      <c r="Q1141" s="9" t="inlineStr">
        <is>
          <t>consumeBuffStacks</t>
        </is>
      </c>
      <c r="R1141" s="9" t="inlineStr">
        <is>
          <t>{"kind":"periodicPulse","label":"消耗自身一半灼烧，层数向上取整；&lt;battle&gt;每消耗 1 层，对敌方造成 5 点伤害&lt;/battle&gt;","periodicPulse":{"intervalSec":20,"label":"消耗自身一半灼烧，层数向上取整；&lt;battle&gt;每消耗 1 层，对敌方造成 5 点伤害&lt;/battle&gt;"},"executors":[{"trigger":"onPeriodicPulse","type":"consumeBuffStacks","sourceBuffId":"burning","consumeRatio":0.5,"consumeRounding":"ceil","battleDamageHealthPerStack":5,"support":"common"}],"starOverrides":{"1":{"executors":[{"trigger":"onPeriodicPulse","type":"consumeBuffStacks","sourceBuffId":"burning","consumeRatio":0.5,"consumeRounding":"ceil","battleDamageHealthPerStack":6,"support":"common"}],"label":"消耗自身一半灼烧，层数向上取整；&lt;battle&gt;每消耗 1 层，对敌方造成 6 点伤害&lt;/battle&gt;","periodicPulse":{"label":"消耗自身一半灼烧，层数向上取整；&lt;battle&gt;每消耗 1 层，对敌方造成 6 点伤害&lt;/battle&gt;"}},"2":{"executors":[{"trigger":"onPeriodicPulse","type":"consumeBuffStacks","sourceBuffId":"burning","consumeRatio":0.5,"consumeRounding":"ceil","battleDamageHealthPerStack":8,"support":"common"}],"label":"消耗自身一半灼烧，层数向上取整；&lt;battle&gt;每消耗 1 层，对敌方造成 8 点伤害&lt;/battle&gt;","periodicPulse":{"label":"消耗自身一半灼烧，层数向上取整；&lt;battle&gt;每消耗 1 层，对敌方造成 8 点伤害&lt;/battle&gt;"}},"3":{"executors":[{"trigger":"onPeriodicPulse","type":"consumeBuffStacks","sourceBuffId":"burning","consumeRatio":0.5,"consumeRounding":"ceil","battleDamageHealthPerStack":9,"support":"common"}],"label":"消耗自身一半灼烧，层数向上取整；&lt;battle&gt;每消耗 1 层，对敌方造成 9 点伤害&lt;/battle&gt;","periodicPulse":{"label":"消耗自身一半灼烧，层数向上取整；&lt;battle&gt;每消耗 1 层，对敌方造成 9 点伤害&lt;/battle&gt;"}}}}</t>
        </is>
      </c>
    </row>
    <row r="1142" ht="32" customHeight="1">
      <c r="A1142" s="8" t="n">
        <v>418008</v>
      </c>
      <c r="B1142" s="8" t="inlineStr">
        <is>
          <t>巡火披肩</t>
        </is>
      </c>
      <c r="C1142" s="8" t="inlineStr">
        <is>
          <t>法器</t>
        </is>
      </c>
      <c r="D1142" s="8" t="inlineStr">
        <is>
          <t>spirit</t>
        </is>
      </c>
      <c r="E1142" s="8" t="inlineStr">
        <is>
          <t>fire</t>
        </is>
      </c>
      <c r="F1142" s="8" t="n">
        <v>1</v>
      </c>
      <c r="G1142" s="8" t="inlineStr">
        <is>
          <t>基础/顶层</t>
        </is>
      </c>
      <c r="H1142" s="8" t="inlineStr"/>
      <c r="I1142" s="9" t="inlineStr"/>
      <c r="J1142" s="8" t="inlineStr"/>
      <c r="K1142" s="8" t="inlineStr"/>
      <c r="L1142" s="8" t="inlineStr"/>
      <c r="M1142" s="8" t="inlineStr">
        <is>
          <t>条件触发</t>
        </is>
      </c>
      <c r="N1142" s="8" t="inlineStr">
        <is>
          <t>triggered</t>
        </is>
      </c>
      <c r="O1142" s="9" t="inlineStr">
        <is>
          <t>受到伤害时，若本次伤害不少于 10 点，最多消耗 8 层灼烧，每层对敌方造成 10 点伤害；受到伤害时，若本次伤害不少于 10 点，最多消耗 10 层灼烧，每层对敌方造成 10 点伤害；受到伤害时，若本次伤害不少于 10 点，最多消耗 12 层灼烧，每层对敌方造成 10 点伤害；受到伤害时，若本次伤害不少于 10 点，最多消耗 14 层灼烧，每层对敌方造成 10 点伤害</t>
        </is>
      </c>
      <c r="P1142" s="9" t="inlineStr">
        <is>
          <t>onIncomingHealthDamage</t>
        </is>
      </c>
      <c r="Q1142" s="9" t="inlineStr">
        <is>
          <t>consumeBuffStacks</t>
        </is>
      </c>
      <c r="R1142" s="9" t="inlineStr">
        <is>
          <t>{"kind":"triggered","label":"&lt;battle&gt;受到伤害时，若本次伤害不少于 10 点，最多消耗 8 层灼烧，每层对敌方造成 10 点伤害&lt;/battle&gt;","triggeredEffect":{"trigger":"onIncomingHealthDamage","type":"consumeBuffStacks","sourceBuffId":"burning","maxStacks":8,"battleDamageHealthPerStack":10,"minActualDamage":10},"starOverrides":{"1":{"label":"&lt;battle&gt;受到伤害时，若本次伤害不少于 10 点，最多消耗 10 层灼烧，每层对敌方造成 10 点伤害&lt;/battle&gt;","triggeredEffect":{"maxStacks":10}},"2":{"label":"&lt;battle&gt;受到伤害时，若本次伤害不少于 10 点，最多消耗 12 层灼烧，每层对敌方造成 10 点伤害&lt;/battle&gt;","triggeredEffect":{"maxStacks":12}},"3":{"label":"&lt;battle&gt;受到伤害时，若本次伤害不少于 10 点，最多消耗 14 层灼烧，每层对敌方造成 10 点伤害&lt;/battle&gt;","triggeredEffect":{"maxStacks":14}}}}</t>
        </is>
      </c>
    </row>
    <row r="1143" ht="32" customHeight="1">
      <c r="A1143" s="8" t="n">
        <v>418009</v>
      </c>
      <c r="B1143" s="8" t="inlineStr">
        <is>
          <t>守烬灯</t>
        </is>
      </c>
      <c r="C1143" s="8" t="inlineStr">
        <is>
          <t>法器</t>
        </is>
      </c>
      <c r="D1143" s="8" t="inlineStr">
        <is>
          <t>mystic</t>
        </is>
      </c>
      <c r="E1143" s="8" t="inlineStr">
        <is>
          <t>fire</t>
        </is>
      </c>
      <c r="F1143" s="8" t="n">
        <v>1</v>
      </c>
      <c r="G1143" s="8" t="inlineStr">
        <is>
          <t>基础/顶层</t>
        </is>
      </c>
      <c r="H1143" s="8" t="inlineStr"/>
      <c r="I1143" s="9" t="inlineStr"/>
      <c r="J1143" s="8" t="inlineStr"/>
      <c r="K1143" s="8" t="inlineStr"/>
      <c r="L1143" s="8" t="inlineStr"/>
      <c r="M1143" s="8" t="inlineStr">
        <is>
          <t>周期触发</t>
        </is>
      </c>
      <c r="N1143" s="8" t="inlineStr">
        <is>
          <t>periodicPulse</t>
        </is>
      </c>
      <c r="O1143" s="9" t="inlineStr">
        <is>
          <t>获得 56 层炎热、16 层护甲并恢复 56 点法力；获得 72 层炎热、20 层护甲并恢复 72 点法力；获得 88 层炎热、24 层护甲并恢复 88 点法力；获得 104 层炎热、28 层护甲并恢复 104 点法力</t>
        </is>
      </c>
      <c r="P1143" s="9" t="inlineStr"/>
      <c r="Q1143" s="9" t="inlineStr"/>
      <c r="R1143" s="9" t="inlineStr">
        <is>
          <t>{"kind":"periodicPulse","periodicPulse":{"intervalSec":4,"label":"获得 56 层炎热、16 层护甲并恢复 56 点法力","buffGains":[{"buffId":"heat","count":56},{"buffId":"armor","count":16}],"primaryStatGains":[{"stat":"mana","amount":56}]},"starOverrides":{"1":{"periodicPulse":{"label":"获得 72 层炎热、20 层护甲并恢复 72 点法力","buffGains":[{"buffId":"heat","count":72},{"buffId":"armor","count":20}],"primaryStatGains":[{"stat":"mana","amount":72}]},"label":"获得 72 层炎热、20 层护甲并恢复 72 点法力"},"2":{"periodicPulse":{"label":"获得 88 层炎热、24 层护甲并恢复 88 点法力","buffGains":[{"buffId":"heat","count":88},{"buffId":"armor","count":24}],"primaryStatGains":[{"stat":"mana","amount":88}]},"label":"获得 88 层炎热、24 层护甲并恢复 88 点法力"},"3":{"periodicPulse":{"label":"获得 104 层炎热、28 层护甲并恢复 104 点法力","buffGains":[{"buffId":"heat","count":104},{"buffId":"armor","count":28}],"primaryStatGains":[{"stat":"mana","amount":104}]},"label":"获得 104 层炎热、28 层护甲并恢复 104 点法力"}}}</t>
        </is>
      </c>
    </row>
    <row r="1144" ht="32" customHeight="1">
      <c r="A1144" s="8" t="n">
        <v>418010</v>
      </c>
      <c r="B1144" s="8" t="inlineStr">
        <is>
          <t>三候印</t>
        </is>
      </c>
      <c r="C1144" s="8" t="inlineStr">
        <is>
          <t>法器</t>
        </is>
      </c>
      <c r="D1144" s="8" t="inlineStr">
        <is>
          <t>mystic</t>
        </is>
      </c>
      <c r="E1144" s="8" t="inlineStr">
        <is>
          <t>fire</t>
        </is>
      </c>
      <c r="F1144" s="8" t="n">
        <v>1</v>
      </c>
      <c r="G1144" s="8" t="inlineStr">
        <is>
          <t>基础/顶层</t>
        </is>
      </c>
      <c r="H1144" s="8" t="inlineStr"/>
      <c r="I1144" s="9" t="inlineStr"/>
      <c r="J1144" s="8" t="inlineStr"/>
      <c r="K1144" s="8" t="inlineStr"/>
      <c r="L1144" s="8" t="inlineStr"/>
      <c r="M1144" s="8" t="inlineStr">
        <is>
          <t>周期触发</t>
        </is>
      </c>
      <c r="N1144" s="8" t="inlineStr">
        <is>
          <t>periodicPulse</t>
        </is>
      </c>
      <c r="O1144" s="9" t="inlineStr">
        <is>
          <t>获得 20 层炎热；对敌方施加 20 层灼烧；获得 24 层炎热；对敌方施加 24 层灼烧；获得 28 层炎热；对敌方施加 28 层灼烧；获得 32 层炎热；对敌方施加 32 层灼烧</t>
        </is>
      </c>
      <c r="P1144" s="9" t="inlineStr"/>
      <c r="Q1144" s="9" t="inlineStr"/>
      <c r="R1144" s="9" t="inlineStr">
        <is>
          <t>{"kind":"periodicPulse","periodicPulse":{"intervalSec":4,"label":"获得 20 层炎热；&lt;battle&gt;对敌方施加 20 层灼烧&lt;/battle&gt;","buffGains":[{"buffId":"heat","count":20},{"buffId":"burning","count":20,"target":"enemy"}]},"starOverrides":{"1":{"periodicPulse":{"label":"获得 24 层炎热；&lt;battle&gt;对敌方施加 24 层灼烧&lt;/battle&gt;","buffGains":[{"buffId":"heat","count":24},{"buffId":"burning","count":24,"target":"enemy"}]},"label":"获得 24 层炎热；&lt;battle&gt;对敌方施加 24 层灼烧&lt;/battle&gt;"},"2":{"periodicPulse":{"label":"获得 28 层炎热；&lt;battle&gt;对敌方施加 28 层灼烧&lt;/battle&gt;","buffGains":[{"buffId":"heat","count":28},{"buffId":"burning","count":28,"target":"enemy"}]},"label":"获得 28 层炎热；&lt;battle&gt;对敌方施加 28 层灼烧&lt;/battle&gt;"},"3":{"periodicPulse":{"label":"获得 32 层炎热；&lt;battle&gt;对敌方施加 32 层灼烧&lt;/battle&gt;","buffGains":[{"buffId":"heat","count":32},{"buffId":"burning","count":32,"target":"enemy"}]},"label":"获得 32 层炎热；&lt;battle&gt;对敌方施加 32 层灼烧&lt;/battle&gt;"}}}</t>
        </is>
      </c>
    </row>
    <row r="1145" ht="32" customHeight="1">
      <c r="A1145" s="8" t="n">
        <v>418010</v>
      </c>
      <c r="B1145" s="8" t="inlineStr">
        <is>
          <t>三候印</t>
        </is>
      </c>
      <c r="C1145" s="8" t="inlineStr">
        <is>
          <t>法器</t>
        </is>
      </c>
      <c r="D1145" s="8" t="inlineStr">
        <is>
          <t>mystic</t>
        </is>
      </c>
      <c r="E1145" s="8" t="inlineStr">
        <is>
          <t>fire</t>
        </is>
      </c>
      <c r="F1145" s="8" t="n">
        <v>2</v>
      </c>
      <c r="G1145" s="8" t="inlineStr">
        <is>
          <t>基础/顶层</t>
        </is>
      </c>
      <c r="H1145" s="8" t="inlineStr"/>
      <c r="I1145" s="9" t="inlineStr"/>
      <c r="J1145" s="8" t="inlineStr"/>
      <c r="K1145" s="8" t="inlineStr"/>
      <c r="L1145" s="8" t="inlineStr"/>
      <c r="M1145" s="8" t="inlineStr">
        <is>
          <t>周期触发</t>
        </is>
      </c>
      <c r="N1145" s="8" t="inlineStr">
        <is>
          <t>periodicPulse</t>
        </is>
      </c>
      <c r="O1145" s="9" t="inlineStr">
        <is>
          <t>最多消耗敌方 20 层灼烧，每层造成 40 点伤害；最多消耗敌方 24 层灼烧，每层造成 42 点伤害；最多消耗敌方 28 层灼烧，每层造成 43 点伤害；最多消耗敌方 32 层灼烧，每层造成 40 点伤害</t>
        </is>
      </c>
      <c r="P1145" s="9" t="inlineStr">
        <is>
          <t>onPeriodicPulse</t>
        </is>
      </c>
      <c r="Q1145" s="9" t="inlineStr">
        <is>
          <t>consumeBuffStacks</t>
        </is>
      </c>
      <c r="R1145" s="9" t="inlineStr">
        <is>
          <t>{"kind":"periodicPulse","label":"&lt;battle&gt;最多消耗敌方 20 层灼烧，每层造成 40 点伤害&lt;/battle&gt;","periodicPulse":{"intervalSec":4,"label":"&lt;battle&gt;最多消耗敌方 20 层灼烧，每层造成 40 点伤害&lt;/battle&gt;"},"executors":[{"trigger":"onPeriodicPulse","type":"consumeBuffStacks","sourceBuffId":"burning","consumeTargetActor":"enemy","maxStacks":20,"battleDamageHealthPerStack":40,"support":"battleOnly"}],"starOverrides":{"1":{"label":"&lt;battle&gt;最多消耗敌方 24 层灼烧，每层造成 42 点伤害&lt;/battle&gt;","executors":[{"maxStacks":24,"battleDamageHealthPerStack":42}]},"2":{"label":"&lt;battle&gt;最多消耗敌方 28 层灼烧，每层造成 43 点伤害&lt;/battle&gt;","executors":[{"maxStacks":28,"battleDamageHealthPerStack":43}]},"3":{"label":"&lt;battle&gt;最多消耗敌方 32 层灼烧，每层造成 40 点伤害&lt;/battle&gt;","executors":[{"maxStacks":32,"battleDamageHealthPerStack":40}]}}}</t>
        </is>
      </c>
    </row>
    <row r="1146" ht="32" customHeight="1">
      <c r="A1146" s="8" t="n">
        <v>418011</v>
      </c>
      <c r="B1146" s="8" t="inlineStr">
        <is>
          <t>地火炉肩</t>
        </is>
      </c>
      <c r="C1146" s="8" t="inlineStr">
        <is>
          <t>法器</t>
        </is>
      </c>
      <c r="D1146" s="8" t="inlineStr">
        <is>
          <t>mystic</t>
        </is>
      </c>
      <c r="E1146" s="8" t="inlineStr">
        <is>
          <t>fire</t>
        </is>
      </c>
      <c r="F1146" s="8" t="n">
        <v>1</v>
      </c>
      <c r="G1146" s="8" t="inlineStr">
        <is>
          <t>基础/顶层</t>
        </is>
      </c>
      <c r="H1146" s="8" t="inlineStr"/>
      <c r="I1146" s="9" t="inlineStr"/>
      <c r="J1146" s="8" t="inlineStr"/>
      <c r="K1146" s="8" t="inlineStr"/>
      <c r="L1146" s="8" t="inlineStr"/>
      <c r="M1146" s="8" t="inlineStr">
        <is>
          <t>条件触发</t>
        </is>
      </c>
      <c r="N1146" s="8" t="inlineStr">
        <is>
          <t>triggered</t>
        </is>
      </c>
      <c r="O1146" s="9" t="inlineStr">
        <is>
          <t>受到伤害时，最多消耗 24 层炎热，每消耗 1 层，对敌方造成 30 点伤害；受到伤害时，最多消耗 32 层炎热，每消耗 1 层，对敌方造成 30 点伤害；受到伤害时，最多消耗 40 层炎热，每消耗 1 层，对敌方造成 30 点伤害；受到伤害时，最多消耗 48 层炎热，每消耗 1 层，对敌方造成 27 点伤害</t>
        </is>
      </c>
      <c r="P1146" s="9" t="inlineStr">
        <is>
          <t>onIncomingHealthDamage</t>
        </is>
      </c>
      <c r="Q1146" s="9" t="inlineStr">
        <is>
          <t>consumeBuffStacks</t>
        </is>
      </c>
      <c r="R1146" s="9" t="inlineStr">
        <is>
          <t>{"kind":"triggered","label":"&lt;battle&gt;受到伤害时，最多消耗 24 层炎热，每消耗 1 层，对敌方造成 30 点伤害&lt;/battle&gt;","triggeredEffect":{"trigger":"onIncomingHealthDamage","type":"consumeBuffStacks","sourceBuffId":"heat","maxStacks":24,"battleDamageHealthPerStack":30},"starOverrides":{"1":{"label":"&lt;battle&gt;受到伤害时，最多消耗 32 层炎热，每消耗 1 层，对敌方造成 30 点伤害&lt;/battle&gt;","triggeredEffect":{"maxStacks":32,"battleDamageHealthPerStack":30}},"2":{"label":"&lt;battle&gt;受到伤害时，最多消耗 40 层炎热，每消耗 1 层，对敌方造成 30 点伤害&lt;/battle&gt;","triggeredEffect":{"maxStacks":40,"battleDamageHealthPerStack":30}},"3":{"label":"&lt;battle&gt;受到伤害时，最多消耗 48 层炎热，每消耗 1 层，对敌方造成 27 点伤害&lt;/battle&gt;","triggeredEffect":{"maxStacks":48,"battleDamageHealthPerStack":27}}}}</t>
        </is>
      </c>
    </row>
    <row r="1147" ht="32" customHeight="1">
      <c r="A1147" s="8" t="n">
        <v>418012</v>
      </c>
      <c r="B1147" s="8" t="inlineStr">
        <is>
          <t>定旗双锤</t>
        </is>
      </c>
      <c r="C1147" s="8" t="inlineStr">
        <is>
          <t>法器</t>
        </is>
      </c>
      <c r="D1147" s="8" t="inlineStr">
        <is>
          <t>common</t>
        </is>
      </c>
      <c r="E1147" s="8" t="inlineStr">
        <is>
          <t>earth</t>
        </is>
      </c>
      <c r="F1147" s="8" t="n">
        <v>1</v>
      </c>
      <c r="G1147" s="8" t="inlineStr">
        <is>
          <t>基础/顶层</t>
        </is>
      </c>
      <c r="H1147" s="8" t="inlineStr"/>
      <c r="I1147" s="9" t="inlineStr"/>
      <c r="J1147" s="8" t="inlineStr"/>
      <c r="K1147" s="8" t="inlineStr"/>
      <c r="L1147" s="8" t="inlineStr"/>
      <c r="M1147" s="8" t="inlineStr">
        <is>
          <t>周期触发</t>
        </is>
      </c>
      <c r="N1147" s="8" t="inlineStr">
        <is>
          <t>periodicPulse</t>
        </is>
      </c>
      <c r="O1147" s="9" t="inlineStr">
        <is>
          <t>开局时，获得 4 层坚硬并恢复 3 点法力；开局时，获得 5 层坚硬并恢复 4 点法力；开局时，获得 6 层坚硬并恢复 5 点法力；开局时，获得 7 层坚硬并恢复 6 点法力</t>
        </is>
      </c>
      <c r="P1147" s="9" t="inlineStr"/>
      <c r="Q1147" s="9" t="inlineStr"/>
      <c r="R1147" s="9" t="inlineStr">
        <is>
          <t>{"kind":"periodicPulse","periodicPulse":{"startOnly":true,"label":"开局时，获得 4 层坚硬并恢复 3 点法力","buffGains":[{"buffId":"sturdy","count":4}],"primaryStatGains":[{"stat":"mana","amount":3}]},"starOverrides":{"1":{"periodicPulse":{"label":"开局时，获得 5 层坚硬并恢复 4 点法力","buffGains":[{"buffId":"sturdy","count":5}],"primaryStatGains":[{"stat":"mana","amount":4}]},"label":"开局时，获得 5 层坚硬并恢复 4 点法力"},"2":{"periodicPulse":{"label":"开局时，获得 6 层坚硬并恢复 5 点法力","buffGains":[{"buffId":"sturdy","count":6}],"primaryStatGains":[{"stat":"mana","amount":5}]},"label":"开局时，获得 6 层坚硬并恢复 5 点法力"},"3":{"periodicPulse":{"label":"开局时，获得 7 层坚硬并恢复 6 点法力","buffGains":[{"buffId":"sturdy","count":7}],"primaryStatGains":[{"stat":"mana","amount":6}]},"label":"开局时，获得 7 层坚硬并恢复 6 点法力"}}}</t>
        </is>
      </c>
    </row>
    <row r="1148" ht="32" customHeight="1">
      <c r="A1148" s="8" t="n">
        <v>418012</v>
      </c>
      <c r="B1148" s="8" t="inlineStr">
        <is>
          <t>定旗双锤</t>
        </is>
      </c>
      <c r="C1148" s="8" t="inlineStr">
        <is>
          <t>法器</t>
        </is>
      </c>
      <c r="D1148" s="8" t="inlineStr">
        <is>
          <t>common</t>
        </is>
      </c>
      <c r="E1148" s="8" t="inlineStr">
        <is>
          <t>earth</t>
        </is>
      </c>
      <c r="F1148" s="8" t="n">
        <v>2</v>
      </c>
      <c r="G1148" s="8" t="inlineStr">
        <is>
          <t>基础/顶层</t>
        </is>
      </c>
      <c r="H1148" s="8" t="inlineStr"/>
      <c r="I1148" s="9" t="inlineStr"/>
      <c r="J1148" s="8" t="inlineStr"/>
      <c r="K1148" s="8" t="inlineStr"/>
      <c r="L1148" s="8" t="inlineStr"/>
      <c r="M1148" s="8" t="inlineStr">
        <is>
          <t>周期触发</t>
        </is>
      </c>
      <c r="N1148" s="8" t="inlineStr">
        <is>
          <t>periodicPulse</t>
        </is>
      </c>
      <c r="O1148" s="9" t="inlineStr">
        <is>
          <t>获得 3 层坚硬；获得 4 层坚硬；获得 5 层坚硬；获得 6 层坚硬</t>
        </is>
      </c>
      <c r="P1148" s="9" t="inlineStr"/>
      <c r="Q1148" s="9" t="inlineStr"/>
      <c r="R1148" s="9" t="inlineStr">
        <is>
          <t>{"kind":"periodicPulse","periodicPulse":{"intervalSec":5,"label":"获得 3 层坚硬","buffGains":[{"buffId":"sturdy","count":3}]},"starOverrides":{"1":{"periodicPulse":{"label":"获得 4 层坚硬","buffGains":[{"buffId":"sturdy","count":4}]},"label":"获得 4 层坚硬"},"2":{"periodicPulse":{"label":"获得 5 层坚硬","buffGains":[{"buffId":"sturdy","count":5}]},"label":"获得 5 层坚硬"},"3":{"periodicPulse":{"label":"获得 6 层坚硬","buffGains":[{"buffId":"sturdy","count":6}]},"label":"获得 6 层坚硬"}}}</t>
        </is>
      </c>
    </row>
    <row r="1149" ht="32" customHeight="1">
      <c r="A1149" s="8" t="n">
        <v>418013</v>
      </c>
      <c r="B1149" s="8" t="inlineStr">
        <is>
          <t>湿候纸翼夹</t>
        </is>
      </c>
      <c r="C1149" s="8" t="inlineStr">
        <is>
          <t>法器</t>
        </is>
      </c>
      <c r="D1149" s="8" t="inlineStr">
        <is>
          <t>common</t>
        </is>
      </c>
      <c r="E1149" s="8" t="inlineStr">
        <is>
          <t>wind</t>
        </is>
      </c>
      <c r="F1149" s="8" t="n">
        <v>1</v>
      </c>
      <c r="G1149" s="8" t="inlineStr">
        <is>
          <t>基础/顶层</t>
        </is>
      </c>
      <c r="H1149" s="8" t="inlineStr"/>
      <c r="I1149" s="9" t="inlineStr"/>
      <c r="J1149" s="8" t="inlineStr"/>
      <c r="K1149" s="8" t="inlineStr"/>
      <c r="L1149" s="8" t="inlineStr"/>
      <c r="M1149" s="8" t="inlineStr">
        <is>
          <t>周期触发</t>
        </is>
      </c>
      <c r="N1149" s="8" t="inlineStr">
        <is>
          <t>periodicPulse</t>
        </is>
      </c>
      <c r="O1149" s="9" t="inlineStr">
        <is>
          <t>获得 4 层敏捷；获得 5 层敏捷；获得 6 层敏捷；获得 7 层敏捷</t>
        </is>
      </c>
      <c r="P1149" s="9" t="inlineStr"/>
      <c r="Q1149" s="9" t="inlineStr"/>
      <c r="R1149" s="9" t="inlineStr">
        <is>
          <t>{"kind":"periodicPulse","periodicPulse":{"intervalSec":6,"label":"获得 4 层敏捷","buffGains":[{"buffId":"agile","count":4}]},"starOverrides":{"1":{"periodicPulse":{"label":"获得 5 层敏捷","buffGains":[{"buffId":"agile","count":5}]},"label":"获得 5 层敏捷"},"2":{"periodicPulse":{"label":"获得 6 层敏捷","buffGains":[{"buffId":"agile","count":6}]},"label":"获得 6 层敏捷"},"3":{"periodicPulse":{"label":"获得 7 层敏捷","buffGains":[{"buffId":"agile","count":7}]},"label":"获得 7 层敏捷"}}}</t>
        </is>
      </c>
    </row>
    <row r="1150" ht="32" customHeight="1">
      <c r="A1150" s="8" t="n">
        <v>418014</v>
      </c>
      <c r="B1150" s="8" t="inlineStr">
        <is>
          <t>镇犀符铃索</t>
        </is>
      </c>
      <c r="C1150" s="8" t="inlineStr">
        <is>
          <t>法器</t>
        </is>
      </c>
      <c r="D1150" s="8" t="inlineStr">
        <is>
          <t>common</t>
        </is>
      </c>
      <c r="E1150" s="8" t="inlineStr">
        <is>
          <t>earth</t>
        </is>
      </c>
      <c r="F1150" s="8" t="n">
        <v>1</v>
      </c>
      <c r="G1150" s="8" t="inlineStr">
        <is>
          <t>基础/顶层</t>
        </is>
      </c>
      <c r="H1150" s="8" t="inlineStr"/>
      <c r="I1150" s="9" t="inlineStr"/>
      <c r="J1150" s="8" t="inlineStr"/>
      <c r="K1150" s="8" t="inlineStr"/>
      <c r="L1150" s="8" t="inlineStr"/>
      <c r="M1150" s="8" t="inlineStr">
        <is>
          <t>周期触发</t>
        </is>
      </c>
      <c r="N1150" s="8" t="inlineStr">
        <is>
          <t>periodicPulse</t>
        </is>
      </c>
      <c r="O1150" s="9" t="inlineStr">
        <is>
          <t>消耗 10 点体力，对敌方施加 4 层冰霜；消耗 10 点体力，对敌方施加 5 层冰霜；消耗 10 点体力，对敌方施加 6 层冰霜；消耗 10 点体力，对敌方施加 7 层冰霜</t>
        </is>
      </c>
      <c r="P1150" s="9" t="inlineStr"/>
      <c r="Q1150" s="9" t="inlineStr"/>
      <c r="R1150" s="9" t="inlineStr">
        <is>
          <t>{"kind":"periodicPulse","periodicPulse":{"intervalSec":7,"label":"消耗 10 点体力，&lt;battle&gt;对敌方施加 4 层冰霜&lt;/battle&gt;","primaryStatCosts":[{"stat":"stamina","amount":10}],"buffGains":[{"buffId":"frost","count":4,"target":"enemy"}]},"starOverrides":{"1":{"periodicPulse":{"label":"消耗 10 点体力，&lt;battle&gt;对敌方施加 5 层冰霜&lt;/battle&gt;","buffGains":[{"buffId":"frost","count":5,"target":"enemy"}]},"label":"消耗 10 点体力，&lt;battle&gt;对敌方施加 5 层冰霜&lt;/battle&gt;"},"2":{"periodicPulse":{"label":"消耗 10 点体力，&lt;battle&gt;对敌方施加 6 层冰霜&lt;/battle&gt;","buffGains":[{"buffId":"frost","count":6,"target":"enemy"}]},"label":"消耗 10 点体力，&lt;battle&gt;对敌方施加 6 层冰霜&lt;/battle&gt;"},"3":{"periodicPulse":{"label":"消耗 10 点体力，&lt;battle&gt;对敌方施加 7 层冰霜&lt;/battle&gt;","buffGains":[{"buffId":"frost","count":7,"target":"enemy"}]},"label":"消耗 10 点体力，&lt;battle&gt;对敌方施加 7 层冰霜&lt;/battle&gt;"}}}</t>
        </is>
      </c>
    </row>
    <row r="1151" ht="32" customHeight="1">
      <c r="A1151" s="8" t="n">
        <v>418014</v>
      </c>
      <c r="B1151" s="8" t="inlineStr">
        <is>
          <t>镇犀符铃索</t>
        </is>
      </c>
      <c r="C1151" s="8" t="inlineStr">
        <is>
          <t>法器</t>
        </is>
      </c>
      <c r="D1151" s="8" t="inlineStr">
        <is>
          <t>common</t>
        </is>
      </c>
      <c r="E1151" s="8" t="inlineStr">
        <is>
          <t>earth</t>
        </is>
      </c>
      <c r="F1151" s="8" t="n">
        <v>2</v>
      </c>
      <c r="G1151" s="8" t="inlineStr">
        <is>
          <t>基础/顶层</t>
        </is>
      </c>
      <c r="H1151" s="8" t="inlineStr"/>
      <c r="I1151" s="9" t="inlineStr"/>
      <c r="J1151" s="8" t="inlineStr"/>
      <c r="K1151" s="8" t="inlineStr"/>
      <c r="L1151" s="8" t="inlineStr"/>
      <c r="M1151" s="8" t="inlineStr">
        <is>
          <t>周期触发</t>
        </is>
      </c>
      <c r="N1151" s="8" t="inlineStr">
        <is>
          <t>periodicPulse</t>
        </is>
      </c>
      <c r="O1151" s="9" t="inlineStr">
        <is>
          <t>消耗敌方 4 层冰霜，造成 24 点伤害；消耗敌方 4 层冰霜，造成 30 点伤害；消耗敌方 4 层冰霜，造成 36 点伤害；消耗敌方 4 层冰霜，造成 42 点伤害</t>
        </is>
      </c>
      <c r="P1151" s="9" t="inlineStr"/>
      <c r="Q1151" s="9" t="inlineStr">
        <is>
          <t>targetBuffStacksGreaterThan</t>
        </is>
      </c>
      <c r="R1151" s="9" t="inlineStr">
        <is>
          <t>{"kind":"periodicPulse","periodicPulse":{"intervalSec":7,"label":"&lt;battle&gt;消耗敌方 4 层冰霜，造成 24 点伤害&lt;/battle&gt;","battleCondition":{"type":"targetBuffStacksGreaterThan","buffId":"frost","count":3},"removeBuffStacks":[{"target":"enemy","buffId":"frost","count":4}],"damageHealth":{"target":"enemy","amount":24}},"starOverrides":{"1":{"periodicPulse":{"label":"&lt;battle&gt;消耗敌方 4 层冰霜，造成 30 点伤害&lt;/battle&gt;","damageHealth":{"amount":30}},"label":"&lt;battle&gt;消耗敌方 4 层冰霜，造成 30 点伤害&lt;/battle&gt;"},"2":{"periodicPulse":{"label":"&lt;battle&gt;消耗敌方 4 层冰霜，造成 36 点伤害&lt;/battle&gt;","damageHealth":{"amount":36}},"label":"&lt;battle&gt;消耗敌方 4 层冰霜，造成 36 点伤害&lt;/battle&gt;"},"3":{"periodicPulse":{"label":"&lt;battle&gt;消耗敌方 4 层冰霜，造成 42 点伤害&lt;/battle&gt;","damageHealth":{"amount":42}},"label":"&lt;battle&gt;消耗敌方 4 层冰霜，造成 42 点伤害&lt;/battle&gt;"}}}</t>
        </is>
      </c>
    </row>
    <row r="1152" ht="32" customHeight="1">
      <c r="A1152" s="8" t="n">
        <v>418015</v>
      </c>
      <c r="B1152" s="8" t="inlineStr">
        <is>
          <t>辨伪墨线针</t>
        </is>
      </c>
      <c r="C1152" s="8" t="inlineStr">
        <is>
          <t>法器</t>
        </is>
      </c>
      <c r="D1152" s="8" t="inlineStr">
        <is>
          <t>common</t>
        </is>
      </c>
      <c r="E1152" s="8" t="inlineStr">
        <is>
          <t>metal</t>
        </is>
      </c>
      <c r="F1152" s="8" t="n">
        <v>1</v>
      </c>
      <c r="G1152" s="8" t="inlineStr">
        <is>
          <t>基础/顶层</t>
        </is>
      </c>
      <c r="H1152" s="8" t="inlineStr"/>
      <c r="I1152" s="9" t="inlineStr"/>
      <c r="J1152" s="8" t="inlineStr"/>
      <c r="K1152" s="8" t="inlineStr"/>
      <c r="L1152" s="8" t="inlineStr"/>
      <c r="M1152" s="8" t="inlineStr">
        <is>
          <t>周期触发</t>
        </is>
      </c>
      <c r="N1152" s="8" t="inlineStr">
        <is>
          <t>periodicPulse</t>
        </is>
      </c>
      <c r="O1152" s="9" t="inlineStr">
        <is>
          <t>消耗 10 点法力，对敌方施加 4 层冰霜；消耗 10 点法力，对敌方施加 5 层冰霜；消耗 10 点法力，对敌方施加 6 层冰霜；消耗 10 点法力，对敌方施加 7 层冰霜</t>
        </is>
      </c>
      <c r="P1152" s="9" t="inlineStr"/>
      <c r="Q1152" s="9" t="inlineStr"/>
      <c r="R1152" s="9" t="inlineStr">
        <is>
          <t>{"kind":"periodicPulse","periodicPulse":{"intervalSec":7,"label":"消耗 10 点法力，&lt;battle&gt;对敌方施加 4 层冰霜&lt;/battle&gt;","primaryStatCosts":[{"stat":"mana","amount":10}],"buffGains":[{"buffId":"frost","count":4,"target":"enemy"}]},"starOverrides":{"1":{"periodicPulse":{"label":"消耗 10 点法力，&lt;battle&gt;对敌方施加 5 层冰霜&lt;/battle&gt;","buffGains":[{"buffId":"frost","count":5,"target":"enemy"}]},"label":"消耗 10 点法力，&lt;battle&gt;对敌方施加 5 层冰霜&lt;/battle&gt;"},"2":{"periodicPulse":{"label":"消耗 10 点法力，&lt;battle&gt;对敌方施加 6 层冰霜&lt;/battle&gt;","buffGains":[{"buffId":"frost","count":6,"target":"enemy"}]},"label":"消耗 10 点法力，&lt;battle&gt;对敌方施加 6 层冰霜&lt;/battle&gt;"},"3":{"periodicPulse":{"label":"消耗 10 点法力，&lt;battle&gt;对敌方施加 7 层冰霜&lt;/battle&gt;","buffGains":[{"buffId":"frost","count":7,"target":"enemy"}]},"label":"消耗 10 点法力，&lt;battle&gt;对敌方施加 7 层冰霜&lt;/battle&gt;"}}}</t>
        </is>
      </c>
    </row>
    <row r="1153" ht="32" customHeight="1">
      <c r="A1153" s="8" t="n">
        <v>418015</v>
      </c>
      <c r="B1153" s="8" t="inlineStr">
        <is>
          <t>辨伪墨线针</t>
        </is>
      </c>
      <c r="C1153" s="8" t="inlineStr">
        <is>
          <t>法器</t>
        </is>
      </c>
      <c r="D1153" s="8" t="inlineStr">
        <is>
          <t>common</t>
        </is>
      </c>
      <c r="E1153" s="8" t="inlineStr">
        <is>
          <t>metal</t>
        </is>
      </c>
      <c r="F1153" s="8" t="n">
        <v>2</v>
      </c>
      <c r="G1153" s="8" t="inlineStr">
        <is>
          <t>基础/顶层</t>
        </is>
      </c>
      <c r="H1153" s="8" t="inlineStr"/>
      <c r="I1153" s="9" t="inlineStr"/>
      <c r="J1153" s="8" t="inlineStr"/>
      <c r="K1153" s="8" t="inlineStr"/>
      <c r="L1153" s="8" t="inlineStr"/>
      <c r="M1153" s="8" t="inlineStr">
        <is>
          <t>周期触发</t>
        </is>
      </c>
      <c r="N1153" s="8" t="inlineStr">
        <is>
          <t>periodicPulse</t>
        </is>
      </c>
      <c r="O1153" s="9" t="inlineStr">
        <is>
          <t>敌方有不少于 4 层冰霜时，消耗其 4 层并造成 16 点伤害；敌方有不少于 4 层冰霜时，消耗其 4 层并造成 20 点伤害；敌方有不少于 4 层冰霜时，消耗其 4 层并造成 24 点伤害；敌方有不少于 4 层冰霜时，消耗其 4 层并造成 28 点伤害</t>
        </is>
      </c>
      <c r="P1153" s="9" t="inlineStr"/>
      <c r="Q1153" s="9" t="inlineStr">
        <is>
          <t>targetBuffStacksGreaterThan</t>
        </is>
      </c>
      <c r="R1153" s="9" t="inlineStr">
        <is>
          <t>{"kind":"periodicPulse","periodicPulse":{"intervalSec":7,"label":"&lt;battle&gt;敌方有不少于 4 层冰霜时，消耗其 4 层并造成 16 点伤害&lt;/battle&gt;","battleCondition":{"type":"targetBuffStacksGreaterThan","buffId":"frost","count":3},"removeBuffStacks":[{"target":"enemy","buffId":"frost","count":4}],"damageHealth":{"target":"enemy","amount":16}},"starOverrides":{"1":{"periodicPulse":{"label":"&lt;battle&gt;敌方有不少于 4 层冰霜时，消耗其 4 层并造成 20 点伤害&lt;/battle&gt;","damageHealth":{"amount":20}},"label":"&lt;battle&gt;敌方有不少于 4 层冰霜时，消耗其 4 层并造成 20 点伤害&lt;/battle&gt;"},"2":{"periodicPulse":{"label":"&lt;battle&gt;敌方有不少于 4 层冰霜时，消耗其 4 层并造成 24 点伤害&lt;/battle&gt;","damageHealth":{"amount":24}},"label":"&lt;battle&gt;敌方有不少于 4 层冰霜时，消耗其 4 层并造成 24 点伤害&lt;/battle&gt;"},"3":{"periodicPulse":{"label":"&lt;battle&gt;敌方有不少于 4 层冰霜时，消耗其 4 层并造成 28 点伤害&lt;/battle&gt;","damageHealth":{"amount":28}},"label":"&lt;battle&gt;敌方有不少于 4 层冰霜时，消耗其 4 层并造成 28 点伤害&lt;/battle&gt;"}}}</t>
        </is>
      </c>
    </row>
    <row r="1154" ht="32" customHeight="1">
      <c r="A1154" s="8" t="n">
        <v>418016</v>
      </c>
      <c r="B1154" s="8" t="inlineStr">
        <is>
          <t>地听石尺</t>
        </is>
      </c>
      <c r="C1154" s="8" t="inlineStr">
        <is>
          <t>法器</t>
        </is>
      </c>
      <c r="D1154" s="8" t="inlineStr">
        <is>
          <t>common</t>
        </is>
      </c>
      <c r="E1154" s="8" t="inlineStr">
        <is>
          <t>earth</t>
        </is>
      </c>
      <c r="F1154" s="8" t="n">
        <v>1</v>
      </c>
      <c r="G1154" s="8" t="inlineStr">
        <is>
          <t>基础/顶层</t>
        </is>
      </c>
      <c r="H1154" s="8" t="inlineStr"/>
      <c r="I1154" s="9" t="inlineStr"/>
      <c r="J1154" s="8" t="inlineStr"/>
      <c r="K1154" s="8" t="inlineStr"/>
      <c r="L1154" s="8" t="inlineStr"/>
      <c r="M1154" s="8" t="inlineStr">
        <is>
          <t>周期触发</t>
        </is>
      </c>
      <c r="N1154" s="8" t="inlineStr">
        <is>
          <t>periodicPulse</t>
        </is>
      </c>
      <c r="O1154" s="9" t="inlineStr">
        <is>
          <t>获得 5 层坚硬并恢复自身 5 点体力；获得 6 层坚硬并恢复自身 6 点体力；获得 8 层坚硬并恢复自身 8 点体力；获得 9 层坚硬并恢复自身 9 点体力</t>
        </is>
      </c>
      <c r="P1154" s="9" t="inlineStr"/>
      <c r="Q1154" s="9" t="inlineStr"/>
      <c r="R1154" s="9" t="inlineStr">
        <is>
          <t>{"kind":"periodicPulse","periodicPulse":{"intervalSec":6,"label":"获得 5 层坚硬并恢复自身 5 点体力","buffGains":[{"buffId":"sturdy","count":5}],"primaryStatGains":[{"stat":"stamina","amount":5}]},"starOverrides":{"1":{"periodicPulse":{"label":"获得 6 层坚硬并恢复自身 6 点体力","buffGains":[{"buffId":"sturdy","count":6}],"primaryStatGains":[{"stat":"stamina","amount":6}]},"label":"获得 6 层坚硬并恢复自身 6 点体力"},"2":{"periodicPulse":{"label":"获得 8 层坚硬并恢复自身 8 点体力","buffGains":[{"buffId":"sturdy","count":8}],"primaryStatGains":[{"stat":"stamina","amount":8}]},"label":"获得 8 层坚硬并恢复自身 8 点体力"},"3":{"periodicPulse":{"label":"获得 9 层坚硬并恢复自身 9 点体力","buffGains":[{"buffId":"sturdy","count":9}],"primaryStatGains":[{"stat":"stamina","amount":9}]},"label":"获得 9 层坚硬并恢复自身 9 点体力"}}}</t>
        </is>
      </c>
    </row>
    <row r="1155" ht="32" customHeight="1">
      <c r="A1155" s="8" t="n">
        <v>418017</v>
      </c>
      <c r="B1155" s="8" t="inlineStr">
        <is>
          <t>三阙折阵旗</t>
        </is>
      </c>
      <c r="C1155" s="8" t="inlineStr">
        <is>
          <t>法器</t>
        </is>
      </c>
      <c r="D1155" s="8" t="inlineStr">
        <is>
          <t>spirit</t>
        </is>
      </c>
      <c r="E1155" s="8" t="inlineStr">
        <is>
          <t>earth</t>
        </is>
      </c>
      <c r="F1155" s="8" t="n">
        <v>1</v>
      </c>
      <c r="G1155" s="8" t="inlineStr">
        <is>
          <t>基础/顶层</t>
        </is>
      </c>
      <c r="H1155" s="8" t="inlineStr"/>
      <c r="I1155" s="9" t="inlineStr"/>
      <c r="J1155" s="8" t="inlineStr"/>
      <c r="K1155" s="8" t="inlineStr"/>
      <c r="L1155" s="8" t="inlineStr"/>
      <c r="M1155" s="8" t="inlineStr">
        <is>
          <t>被动效果</t>
        </is>
      </c>
      <c r="N1155" s="8" t="inlineStr">
        <is>
          <t>passive</t>
        </is>
      </c>
      <c r="O1155" s="9" t="inlineStr">
        <is>
          <t>上方及左右相邻符箓释放时，其施加的减益层数 +3；上方及左右相邻符箓释放时，其施加的减益层数 +4；上方及左右相邻符箓释放时，其施加的减益层数 +5；上方及左右相邻符箓释放时，其施加的减益层数 +6</t>
        </is>
      </c>
      <c r="P1155" s="9" t="inlineStr"/>
      <c r="Q1155" s="9" t="inlineStr">
        <is>
          <t>talismanUseBuffGainModifier</t>
        </is>
      </c>
      <c r="R1155" s="9" t="inlineStr">
        <is>
          <t>{"kind":"passive","label":"&lt;battle&gt;上方及左右相邻符箓释放时，其施加的减益层数 +3&lt;/battle&gt;","passiveEffect":{"type":"talismanUseBuffGainModifier","value":3,"polarity":"detrimental","sourceDirections":["up","left","right"],"label":"&lt;battle&gt;上方及左右相邻符箓释放时，其施加的减益层数 +3&lt;/battle&gt;"},"starOverrides":{"1":{"passiveEffect":{"value":4,"label":"&lt;battle&gt;上方及左右相邻符箓释放时，其施加的减益层数 +4&lt;/battle&gt;"},"label":"&lt;battle&gt;上方及左右相邻符箓释放时，其施加的减益层数 +4&lt;/battle&gt;"},"2":{"passiveEffect":{"value":5,"label":"&lt;battle&gt;上方及左右相邻符箓释放时，其施加的减益层数 +5&lt;/battle&gt;"},"label":"&lt;battle&gt;上方及左右相邻符箓释放时，其施加的减益层数 +5&lt;/battle&gt;"},"3":{"passiveEffect":{"value":6,"label":"&lt;battle&gt;上方及左右相邻符箓释放时，其施加的减益层数 +6&lt;/battle&gt;"},"label":"&lt;battle&gt;上方及左右相邻符箓释放时，其施加的减益层数 +6&lt;/battle&gt;"}}}</t>
        </is>
      </c>
    </row>
    <row r="1156" ht="32" customHeight="1">
      <c r="A1156" s="8" t="n">
        <v>418018</v>
      </c>
      <c r="B1156" s="8" t="inlineStr">
        <is>
          <t>替路双刻牌</t>
        </is>
      </c>
      <c r="C1156" s="8" t="inlineStr">
        <is>
          <t>法器</t>
        </is>
      </c>
      <c r="D1156" s="8" t="inlineStr">
        <is>
          <t>spirit</t>
        </is>
      </c>
      <c r="E1156" s="8" t="inlineStr">
        <is>
          <t>metal</t>
        </is>
      </c>
      <c r="F1156" s="8" t="n">
        <v>1</v>
      </c>
      <c r="G1156" s="8" t="inlineStr">
        <is>
          <t>基础/顶层</t>
        </is>
      </c>
      <c r="H1156" s="8" t="inlineStr"/>
      <c r="I1156" s="9" t="inlineStr"/>
      <c r="J1156" s="8" t="inlineStr"/>
      <c r="K1156" s="8" t="inlineStr"/>
      <c r="L1156" s="8" t="inlineStr"/>
      <c r="M1156" s="8" t="inlineStr">
        <is>
          <t>被动效果</t>
        </is>
      </c>
      <c r="N1156" s="8" t="inlineStr">
        <is>
          <t>passive</t>
        </is>
      </c>
      <c r="O1156" s="9" t="inlineStr">
        <is>
          <t>同列符箓释放时，使敌方随机 1 件法器减速 3 秒；同列符箓释放时，使敌方随机 1 件法器减速 4 秒；同列符箓释放时，使敌方随机 1 件法器减速 5 秒；同列符箓释放时，使敌方随机 1 件法器减速 6 秒</t>
        </is>
      </c>
      <c r="P1156" s="9" t="inlineStr"/>
      <c r="Q1156" s="9" t="inlineStr">
        <is>
          <t>talismanUseItemRuntimeStatus</t>
        </is>
      </c>
      <c r="R1156" s="9" t="inlineStr">
        <is>
          <t>{"kind":"passive","label":"&lt;battle&gt;同列符箓释放时，使敌方随机 1 件法器减速 3 秒&lt;/battle&gt;","passiveEffect":{"type":"talismanUseItemRuntimeStatus","alignment":"column","status":"slow","durationSec":3,"targetActor":"enemy","targetScope":"random","amount":1,"targetFilter":{"categories":["implement"]},"label":"&lt;battle&gt;同列符箓释放时，使敌方随机 1 件法器减速 3 秒&lt;/battle&gt;"},"starOverrides":{"1":{"passiveEffect":{"durationSec":4,"label":"&lt;battle&gt;同列符箓释放时，使敌方随机 1 件法器减速 4 秒&lt;/battle&gt;"},"label":"&lt;battle&gt;同列符箓释放时，使敌方随机 1 件法器减速 4 秒&lt;/battle&gt;"},"2":{"passiveEffect":{"durationSec":5,"label":"&lt;battle&gt;同列符箓释放时，使敌方随机 1 件法器减速 5 秒&lt;/battle&gt;"},"label":"&lt;battle&gt;同列符箓释放时，使敌方随机 1 件法器减速 5 秒&lt;/battle&gt;"},"3":{"passiveEffect":{"durationSec":6,"label":"&lt;battle&gt;同列符箓释放时，使敌方随机 1 件法器减速 6 秒&lt;/battle&gt;"},"label":"&lt;battle&gt;同列符箓释放时，使敌方随机 1 件法器减速 6 秒&lt;/battle&gt;"}}}</t>
        </is>
      </c>
    </row>
    <row r="1157" ht="32" customHeight="1">
      <c r="A1157" s="8" t="n">
        <v>418019</v>
      </c>
      <c r="B1157" s="8" t="inlineStr">
        <is>
          <t>五向藏符匣</t>
        </is>
      </c>
      <c r="C1157" s="8" t="inlineStr">
        <is>
          <t>法器</t>
        </is>
      </c>
      <c r="D1157" s="8" t="inlineStr">
        <is>
          <t>spirit</t>
        </is>
      </c>
      <c r="E1157" s="8" t="inlineStr">
        <is>
          <t>wood</t>
        </is>
      </c>
      <c r="F1157" s="8" t="n">
        <v>1</v>
      </c>
      <c r="G1157" s="8" t="inlineStr">
        <is>
          <t>基础/顶层</t>
        </is>
      </c>
      <c r="H1157" s="8" t="inlineStr"/>
      <c r="I1157" s="9" t="inlineStr"/>
      <c r="J1157" s="8" t="inlineStr"/>
      <c r="K1157" s="8" t="inlineStr"/>
      <c r="L1157" s="8" t="inlineStr"/>
      <c r="M1157" s="8" t="inlineStr">
        <is>
          <t>周期触发</t>
        </is>
      </c>
      <c r="N1157" s="8" t="inlineStr">
        <is>
          <t>periodicPulse</t>
        </is>
      </c>
      <c r="O1157" s="9" t="inlineStr">
        <is>
          <t>有空位时生成 1 张随机凡品符箓，3 秒后自动使用；有空位时生成 1 张随机凡品符箓，2.5 秒后自动使用；有空位时生成 1 张随机凡品符箓，2 秒后自动使用；有空位时生成 1 张随机凡品符箓，1.5 秒后自动使用</t>
        </is>
      </c>
      <c r="P1157" s="9" t="inlineStr"/>
      <c r="Q1157" s="9" t="inlineStr"/>
      <c r="R1157" s="9" t="inlineStr">
        <is>
          <t>{"kind":"periodicPulse","label":"有空位时生成 1 张随机凡品符箓，3 秒后自动使用","periodicPulse":{"intervalSec":10,"temporaryItemGeneration":{"filter":{"categories":["talisman"],"grades":["common"]},"count":1,"star":0,"autoUseAfterSec":3,"placement":"firstStable"},"label":"有空位时生成 1 张随机凡品符箓，3 秒后自动使用"},"starOverrides":{"1":{"periodicPulse":{"temporaryItemGeneration":{"autoUseAfterSec":2.5},"label":"有空位时生成 1 张随机凡品符箓，2.5 秒后自动使用"},"label":"有空位时生成 1 张随机凡品符箓，2.5 秒后自动使用"},"2":{"periodicPulse":{"temporaryItemGeneration":{"autoUseAfterSec":2},"label":"有空位时生成 1 张随机凡品符箓，2 秒后自动使用"},"label":"有空位时生成 1 张随机凡品符箓，2 秒后自动使用"},"3":{"periodicPulse":{"temporaryItemGeneration":{"autoUseAfterSec":1.5},"label":"有空位时生成 1 张随机凡品符箓，1.5 秒后自动使用"},"label":"有空位时生成 1 张随机凡品符箓，1.5 秒后自动使用"}}}</t>
        </is>
      </c>
    </row>
    <row r="1158" ht="32" customHeight="1">
      <c r="A1158" s="8" t="n">
        <v>418020</v>
      </c>
      <c r="B1158" s="8" t="inlineStr">
        <is>
          <t>回环择符轮</t>
        </is>
      </c>
      <c r="C1158" s="8" t="inlineStr">
        <is>
          <t>法器</t>
        </is>
      </c>
      <c r="D1158" s="8" t="inlineStr">
        <is>
          <t>spirit</t>
        </is>
      </c>
      <c r="E1158" s="8" t="inlineStr">
        <is>
          <t>wind</t>
        </is>
      </c>
      <c r="F1158" s="8" t="n">
        <v>1</v>
      </c>
      <c r="G1158" s="8" t="inlineStr">
        <is>
          <t>基础/顶层</t>
        </is>
      </c>
      <c r="H1158" s="8" t="inlineStr"/>
      <c r="I1158" s="9" t="inlineStr"/>
      <c r="J1158" s="8" t="inlineStr"/>
      <c r="K1158" s="8" t="inlineStr"/>
      <c r="L1158" s="8" t="inlineStr"/>
      <c r="M1158" s="8" t="inlineStr">
        <is>
          <t>周期触发</t>
        </is>
      </c>
      <c r="N1158" s="8" t="inlineStr">
        <is>
          <t>periodicPulse</t>
        </is>
      </c>
      <c r="O1158" s="9" t="inlineStr">
        <is>
          <t>相邻至少 4 种符箓时，消耗 10 层敏捷，随机使用 1 张相邻符箓并使数值效果翻倍；相邻至少 4 种符箓时，消耗 12 层敏捷，随机使用 1 张相邻符箓并使数值效果翻倍；相邻至少 4 种符箓时，消耗 14 层敏捷，随机使用 1 张相邻符箓并使数值效果翻倍；相邻至少 4 种符箓时，消耗 16 层敏捷，随机使用 1 张相邻符箓并使数值效果翻倍</t>
        </is>
      </c>
      <c r="P1158" s="9" t="inlineStr"/>
      <c r="Q1158" s="9" t="inlineStr"/>
      <c r="R1158" s="9" t="inlineStr">
        <is>
          <t>{"kind":"periodicPulse","label":"&lt;battle&gt;相邻至少 4 种符箓时，消耗 10 层敏捷，随机使用 1 张相邻符箓并使数值效果翻倍&lt;/battle&gt;","periodicPulse":{"intervalSec":14,"randomAdjacentConsumableUse":{"categories":["talisman"],"buffCost":{"buffId":"agile","amount":10},"numericEffectMultiplier":2,"minDistinctTemplates":4},"label":"&lt;battle&gt;相邻至少 4 种符箓时，消耗 10 层敏捷，随机使用 1 张相邻符箓并使数值效果翻倍&lt;/battle&gt;"},"starOverrides":{"1":{"label":"&lt;battle&gt;相邻至少 4 种符箓时，消耗 12 层敏捷，随机使用 1 张相邻符箓并使数值效果翻倍&lt;/battle&gt;","periodicPulse":{"label":"&lt;battle&gt;相邻至少 4 种符箓时，消耗 12 层敏捷，随机使用 1 张相邻符箓并使数值效果翻倍&lt;/battle&gt;","randomAdjacentConsumableUse":{"buffCost":{"amount":12}}}},"2":{"label":"&lt;battle&gt;相邻至少 4 种符箓时，消耗 14 层敏捷，随机使用 1 张相邻符箓并使数值效果翻倍&lt;/battle&gt;","periodicPulse":{"label":"&lt;battle&gt;相邻至少 4 种符箓时，消耗 14 层敏捷，随机使用 1 张相邻符箓并使数值效果翻倍&lt;/battle&gt;","randomAdjacentConsumableUse":{"buffCost":{"amount":14}}}},"3":{"label":"&lt;battle&gt;相邻至少 4 种符箓时，消耗 16 层敏捷，随机使用 1 张相邻符箓并使数值效果翻倍&lt;/battle&gt;","periodicPulse":{"label":"&lt;battle&gt;相邻至少 4 种符箓时，消耗 16 层敏捷，随机使用 1 张相邻符箓并使数值效果翻倍&lt;/battle&gt;","randomAdjacentConsumableUse":{"buffCost":{"amount":16}}}}}}</t>
        </is>
      </c>
    </row>
    <row r="1159" ht="32" customHeight="1">
      <c r="A1159" s="8" t="n">
        <v>418021</v>
      </c>
      <c r="B1159" s="8" t="inlineStr">
        <is>
          <t>阙门戒尺</t>
        </is>
      </c>
      <c r="C1159" s="8" t="inlineStr">
        <is>
          <t>法器</t>
        </is>
      </c>
      <c r="D1159" s="8" t="inlineStr">
        <is>
          <t>spirit</t>
        </is>
      </c>
      <c r="E1159" s="8" t="inlineStr">
        <is>
          <t>earth</t>
        </is>
      </c>
      <c r="F1159" s="8" t="n">
        <v>1</v>
      </c>
      <c r="G1159" s="8" t="inlineStr">
        <is>
          <t>基础/顶层</t>
        </is>
      </c>
      <c r="H1159" s="8" t="inlineStr"/>
      <c r="I1159" s="9" t="inlineStr"/>
      <c r="J1159" s="8" t="inlineStr"/>
      <c r="K1159" s="8" t="inlineStr"/>
      <c r="L1159" s="8" t="inlineStr"/>
      <c r="M1159" s="8" t="inlineStr">
        <is>
          <t>周期触发</t>
        </is>
      </c>
      <c r="N1159" s="8" t="inlineStr">
        <is>
          <t>periodicPulse</t>
        </is>
      </c>
      <c r="O1159" s="9" t="inlineStr">
        <is>
          <t>使敌方所有基础轮转时间低于 7 秒的道具冻结 10 秒；使敌方所有基础轮转时间低于 7 秒的道具冻结 13 秒；使敌方所有基础轮转时间低于 7 秒的道具冻结 15 秒；使敌方所有基础轮转时间低于 7 秒的道具冻结 18 秒</t>
        </is>
      </c>
      <c r="P1159" s="9" t="inlineStr"/>
      <c r="Q1159" s="9" t="inlineStr"/>
      <c r="R1159" s="9" t="inlineStr">
        <is>
          <t>{"kind":"periodicPulse","label":"&lt;battle&gt;&lt;singleton&gt;使敌方所有基础轮转时间低于 7 秒的道具冻结 10 秒&lt;/singleton&gt;&lt;/battle&gt;","periodicPulse":{"intervalSec":20,"itemRuntimeStatusEffects":[{"itemRuntimeStatus":"freeze","durationSec":10,"targetScope":"enemyAll","singletonByTemplate":true,"targetFilter":{"maxBasePeriodicIntervalSecExclusive":7}}],"label":"&lt;battle&gt;&lt;singleton&gt;使敌方所有基础轮转时间低于 7 秒的道具冻结 10 秒&lt;/singleton&gt;&lt;/battle&gt;"},"starOverrides":{"1":{"periodicPulse":{"itemRuntimeStatusEffects":[{"itemRuntimeStatus":"freeze","durationSec":13,"targetScope":"enemyAll","targetFilter":{"maxBasePeriodicIntervalSecExclusive":7}}],"label":"&lt;battle&gt;&lt;singleton&gt;使敌方所有基础轮转时间低于 7 秒的道具冻结 13 秒&lt;/singleton&gt;&lt;/battle&gt;"},"label":"&lt;battle&gt;&lt;singleton&gt;使敌方所有基础轮转时间低于 7 秒的道具冻结 13 秒&lt;/singleton&gt;&lt;/battle&gt;"},"2":{"periodicPulse":{"itemRuntimeStatusEffects":[{"itemRuntimeStatus":"freeze","durationSec":15,"targetScope":"enemyAll","targetFilter":{"maxBasePeriodicIntervalSecExclusive":7}}],"label":"&lt;battle&gt;&lt;singleton&gt;使敌方所有基础轮转时间低于 7 秒的道具冻结 15 秒&lt;/singleton&gt;&lt;/battle&gt;"},"label":"&lt;battle&gt;&lt;singleton&gt;使敌方所有基础轮转时间低于 7 秒的道具冻结 15 秒&lt;/singleton&gt;&lt;/battle&gt;"},"3":{"periodicPulse":{"itemRuntimeStatusEffects":[{"itemRuntimeStatus":"freeze","durationSec":18,"targetScope":"enemyAll","targetFilter":{"maxBasePeriodicIntervalSecExclusive":7}}],"label":"&lt;battle&gt;&lt;singleton&gt;使敌方所有基础轮转时间低于 7 秒的道具冻结 18 秒&lt;/singleton&gt;&lt;/battle&gt;"},"label":"&lt;battle&gt;&lt;singleton&gt;使敌方所有基础轮转时间低于 7 秒的道具冻结 18 秒&lt;/singleton&gt;&lt;/battle&gt;"}}}</t>
        </is>
      </c>
    </row>
    <row r="1160" ht="32" customHeight="1">
      <c r="A1160" s="8" t="n">
        <v>418022</v>
      </c>
      <c r="B1160" s="8" t="inlineStr">
        <is>
          <t>封阵锁牌</t>
        </is>
      </c>
      <c r="C1160" s="8" t="inlineStr">
        <is>
          <t>法器</t>
        </is>
      </c>
      <c r="D1160" s="8" t="inlineStr">
        <is>
          <t>spirit</t>
        </is>
      </c>
      <c r="E1160" s="8" t="inlineStr">
        <is>
          <t>metal</t>
        </is>
      </c>
      <c r="F1160" s="8" t="n">
        <v>1</v>
      </c>
      <c r="G1160" s="8" t="inlineStr">
        <is>
          <t>基础/顶层</t>
        </is>
      </c>
      <c r="H1160" s="8" t="inlineStr"/>
      <c r="I1160" s="9" t="inlineStr"/>
      <c r="J1160" s="8" t="inlineStr"/>
      <c r="K1160" s="8" t="inlineStr"/>
      <c r="L1160" s="8" t="inlineStr"/>
      <c r="M1160" s="8" t="inlineStr">
        <is>
          <t>周期触发</t>
        </is>
      </c>
      <c r="N1160" s="8" t="inlineStr">
        <is>
          <t>periodicPulse</t>
        </is>
      </c>
      <c r="O1160" s="9" t="inlineStr">
        <is>
          <t>开局时，敌方每有 1 件法器，获得 40 层护甲和 4 层坚硬；开局时，敌方每有 1 件法器，获得 50 层护甲和 6 层坚硬；开局时，敌方每有 1 件法器，获得 60 层护甲和 8 层坚硬；开局时，敌方每有 1 件法器，获得 70 层护甲和 10 层坚硬</t>
        </is>
      </c>
      <c r="P1160" s="9" t="inlineStr"/>
      <c r="Q1160" s="9" t="inlineStr"/>
      <c r="R1160" s="9" t="inlineStr">
        <is>
          <t>{"kind":"periodicPulse","label":"&lt;battle&gt;开局时，敌方每有 1 件法器，获得 40 层护甲和 4 层坚硬&lt;/battle&gt;","periodicPulse":{"startOnly":true,"scaling":{"mode":"count","source":"bagItems","targetActor":"enemy","categories":["implement"]},"buffGains":[{"buffId":"armor","count":40},{"buffId":"sturdy","count":4}],"label":"&lt;battle&gt;开局时，敌方每有 1 件法器，获得 40 层护甲和 4 层坚硬&lt;/battle&gt;"},"starOverrides":{"1":{"periodicPulse":{"buffGains":[{"buffId":"armor","count":50},{"buffId":"sturdy","count":6}],"label":"&lt;battle&gt;开局时，敌方每有 1 件法器，获得 50 层护甲和 6 层坚硬&lt;/battle&gt;"},"label":"&lt;battle&gt;开局时，敌方每有 1 件法器，获得 50 层护甲和 6 层坚硬&lt;/battle&gt;"},"2":{"periodicPulse":{"buffGains":[{"buffId":"armor","count":60},{"buffId":"sturdy","count":8}],"label":"&lt;battle&gt;开局时，敌方每有 1 件法器，获得 60 层护甲和 8 层坚硬&lt;/battle&gt;"},"label":"&lt;battle&gt;开局时，敌方每有 1 件法器，获得 60 层护甲和 8 层坚硬&lt;/battle&gt;"},"3":{"periodicPulse":{"buffGains":[{"buffId":"armor","count":70},{"buffId":"sturdy","count":10}],"label":"&lt;battle&gt;开局时，敌方每有 1 件法器，获得 70 层护甲和 10 层坚硬&lt;/battle&gt;"},"label":"&lt;battle&gt;开局时，敌方每有 1 件法器，获得 70 层护甲和 10 层坚硬&lt;/battle&gt;"}}}</t>
        </is>
      </c>
    </row>
    <row r="1161" ht="32" customHeight="1">
      <c r="A1161" s="8" t="n">
        <v>418023</v>
      </c>
      <c r="B1161" s="8" t="inlineStr">
        <is>
          <t>地脉共振环杖</t>
        </is>
      </c>
      <c r="C1161" s="8" t="inlineStr">
        <is>
          <t>法器</t>
        </is>
      </c>
      <c r="D1161" s="8" t="inlineStr">
        <is>
          <t>spirit</t>
        </is>
      </c>
      <c r="E1161" s="8" t="inlineStr">
        <is>
          <t>earth</t>
        </is>
      </c>
      <c r="F1161" s="8" t="n">
        <v>1</v>
      </c>
      <c r="G1161" s="8" t="inlineStr">
        <is>
          <t>基础/顶层</t>
        </is>
      </c>
      <c r="H1161" s="8" t="inlineStr"/>
      <c r="I1161" s="9" t="inlineStr"/>
      <c r="J1161" s="8" t="inlineStr"/>
      <c r="K1161" s="8" t="inlineStr"/>
      <c r="L1161" s="8" t="inlineStr"/>
      <c r="M1161" s="8" t="inlineStr">
        <is>
          <t>条件触发</t>
        </is>
      </c>
      <c r="N1161" s="8" t="inlineStr">
        <is>
          <t>triggered</t>
        </is>
      </c>
      <c r="O1161" s="9" t="inlineStr">
        <is>
          <t>使用其他法杖时，获得 20 层凝金；使用其他法杖时，获得 26 层凝金；使用其他法杖时，获得 30 层凝金；使用其他法杖时，获得 36 层凝金</t>
        </is>
      </c>
      <c r="P1161" s="9" t="inlineStr">
        <is>
          <t>onItemUse</t>
        </is>
      </c>
      <c r="Q1161" s="9" t="inlineStr">
        <is>
          <t>applyBuff；other</t>
        </is>
      </c>
      <c r="R1161" s="9" t="inlineStr">
        <is>
          <t>{"kind":"triggered","label":"使用其他法杖时，获得 20 层凝金","triggeredEffect":{"trigger":"onItemUse","type":"applyBuff","buffId":"condensedMetal","count":20,"eventSource":{"target":{"type":"other"},"filter":{"features":["staff"]}}},"starOverrides":{"1":{"triggeredEffect":{"count":26},"label":"使用其他法杖时，获得 26 层凝金"},"2":{"triggeredEffect":{"count":30},"label":"使用其他法杖时，获得 30 层凝金"},"3":{"triggeredEffect":{"count":36},"label":"使用其他法杖时，获得 36 层凝金"}}}</t>
        </is>
      </c>
    </row>
    <row r="1162" ht="32" customHeight="1">
      <c r="A1162" s="8" t="n">
        <v>418024</v>
      </c>
      <c r="B1162" s="8" t="inlineStr">
        <is>
          <t>分层听地铜片</t>
        </is>
      </c>
      <c r="C1162" s="8" t="inlineStr">
        <is>
          <t>法器</t>
        </is>
      </c>
      <c r="D1162" s="8" t="inlineStr">
        <is>
          <t>spirit</t>
        </is>
      </c>
      <c r="E1162" s="8" t="inlineStr">
        <is>
          <t>metal</t>
        </is>
      </c>
      <c r="F1162" s="8" t="n">
        <v>1</v>
      </c>
      <c r="G1162" s="8" t="inlineStr">
        <is>
          <t>基础/顶层</t>
        </is>
      </c>
      <c r="H1162" s="8" t="inlineStr"/>
      <c r="I1162" s="9" t="inlineStr"/>
      <c r="J1162" s="8" t="inlineStr"/>
      <c r="K1162" s="8" t="inlineStr"/>
      <c r="L1162" s="8" t="inlineStr"/>
      <c r="M1162" s="8" t="inlineStr">
        <is>
          <t>条件触发</t>
        </is>
      </c>
      <c r="N1162" s="8" t="inlineStr">
        <is>
          <t>triggered</t>
        </is>
      </c>
      <c r="O1162" s="9" t="inlineStr">
        <is>
          <t>敌方每次获得蓄势或凝金时，恢复 60 点气血、20 点体力和 20 点法力；敌方每次获得蓄势或凝金时，恢复 76 点气血、26 点体力和 26 点法力；敌方每次获得蓄势或凝金时，恢复 90 点气血、30 点体力和 30 点法力；敌方每次获得蓄势或凝金时，恢复 106 点气血、36 点体力和 36 点法力</t>
        </is>
      </c>
      <c r="P1162" s="9" t="inlineStr">
        <is>
          <t>onBuffGain</t>
        </is>
      </c>
      <c r="Q1162" s="9" t="inlineStr">
        <is>
          <t>grantResources；primaryStat</t>
        </is>
      </c>
      <c r="R1162" s="9" t="inlineStr">
        <is>
          <t>{"kind":"triggered","label":"&lt;battle&gt;敌方每次获得蓄势或凝金时，恢复 60 点气血、20 点体力和 20 点法力&lt;/battle&gt;","triggeredEffect":{"trigger":"onBuffGain","type":"grantResources","eventActor":"enemy","eventBuffIds":["heavy","condensedMetal"],"grants":[{"type":"primaryStat","stat":"health","delta":60},{"type":"primaryStat","stat":"stamina","delta":20},{"type":"primaryStat","stat":"mana","delta":20}]},"starOverrides":{"1":{"triggeredEffect":{"grants":[{"type":"primaryStat","stat":"health","delta":76},{"type":"primaryStat","stat":"stamina","delta":26},{"type":"primaryStat","stat":"mana","delta":26}]},"label":"&lt;battle&gt;敌方每次获得蓄势或凝金时，恢复 76 点气血、26 点体力和 26 点法力&lt;/battle&gt;"},"2":{"triggeredEffect":{"grants":[{"type":"primaryStat","stat":"health","delta":90},{"type":"primaryStat","stat":"stamina","delta":30},{"type":"primaryStat","stat":"mana","delta":30}]},"label":"&lt;battle&gt;敌方每次获得蓄势或凝金时，恢复 90 点气血、30 点体力和 30 点法力&lt;/battle&gt;"},"3":{"triggeredEffect":{"grants":[{"type":"primaryStat","stat":"health","delta":106},{"type":"primaryStat","stat":"stamina","delta":36},{"type":"primaryStat","stat":"mana","delta":36}]},"label":"&lt;battle&gt;敌方每次获得蓄势或凝金时，恢复 106 点气血、36 点体力和 36 点法力&lt;/battle&gt;"}}}</t>
        </is>
      </c>
    </row>
    <row r="1163" ht="32" customHeight="1">
      <c r="A1163" s="8" t="n">
        <v>418025</v>
      </c>
      <c r="B1163" s="8" t="inlineStr">
        <is>
          <t>契文阵板</t>
        </is>
      </c>
      <c r="C1163" s="8" t="inlineStr">
        <is>
          <t>法器</t>
        </is>
      </c>
      <c r="D1163" s="8" t="inlineStr">
        <is>
          <t>spirit</t>
        </is>
      </c>
      <c r="E1163" s="8" t="inlineStr">
        <is>
          <t>earth</t>
        </is>
      </c>
      <c r="F1163" s="8" t="n">
        <v>1</v>
      </c>
      <c r="G1163" s="8" t="inlineStr">
        <is>
          <t>基础/顶层</t>
        </is>
      </c>
      <c r="H1163" s="8" t="inlineStr"/>
      <c r="I1163" s="9" t="inlineStr"/>
      <c r="J1163" s="8" t="inlineStr"/>
      <c r="K1163" s="8" t="inlineStr"/>
      <c r="L1163" s="8" t="inlineStr"/>
      <c r="M1163" s="8" t="inlineStr">
        <is>
          <t>被动效果</t>
        </is>
      </c>
      <c r="N1163" s="8" t="inlineStr">
        <is>
          <t>passive</t>
        </is>
      </c>
      <c r="O1163" s="9" t="inlineStr">
        <is>
          <t>上方阵盘的变阵效果触发时，会额外触发一次</t>
        </is>
      </c>
      <c r="P1163" s="9" t="inlineStr"/>
      <c r="Q1163" s="9" t="inlineStr">
        <is>
          <t>formationSwitchRepeat；directional-adjacent</t>
        </is>
      </c>
      <c r="R1163" s="9" t="inlineStr">
        <is>
          <t>{"kind":"passive","label":"上方阵盘的变阵效果触发时，会额外触发一次","passiveEffect":{"type":"formationSwitchRepeat","repeatCount":2,"targetScope":{"type":"directional-adjacent","direction":"up"},"targetFilter":{"categories":["formation"]},"label":"上方阵盘的变阵效果触发时，会额外触发一次"}}</t>
        </is>
      </c>
    </row>
    <row r="1164" ht="32" customHeight="1">
      <c r="A1164" s="8" t="n">
        <v>418026</v>
      </c>
      <c r="B1164" s="8" t="inlineStr">
        <is>
          <t>外契封印匣</t>
        </is>
      </c>
      <c r="C1164" s="8" t="inlineStr">
        <is>
          <t>法器</t>
        </is>
      </c>
      <c r="D1164" s="8" t="inlineStr">
        <is>
          <t>spirit</t>
        </is>
      </c>
      <c r="E1164" s="8" t="inlineStr">
        <is>
          <t>metal</t>
        </is>
      </c>
      <c r="F1164" s="8" t="n">
        <v>1</v>
      </c>
      <c r="G1164" s="8" t="inlineStr">
        <is>
          <t>基础/顶层</t>
        </is>
      </c>
      <c r="H1164" s="8" t="inlineStr"/>
      <c r="I1164" s="9" t="inlineStr"/>
      <c r="J1164" s="8" t="inlineStr"/>
      <c r="K1164" s="8" t="inlineStr"/>
      <c r="L1164" s="8" t="inlineStr"/>
      <c r="M1164" s="8" t="inlineStr">
        <is>
          <t>周期触发</t>
        </is>
      </c>
      <c r="N1164" s="8" t="inlineStr">
        <is>
          <t>periodicPulse</t>
        </is>
      </c>
      <c r="O1164" s="9" t="inlineStr">
        <is>
          <t>随机冻结敌方 2 件道具 60 秒；随机冻结敌方 2 件道具 75 秒；随机冻结敌方 2 件道具 90 秒；随机冻结敌方 2 件道具 105 秒</t>
        </is>
      </c>
      <c r="P1164" s="9" t="inlineStr"/>
      <c r="Q1164" s="9" t="inlineStr"/>
      <c r="R1164" s="9" t="inlineStr">
        <is>
          <t>{"kind":"periodicPulse","label":"&lt;battle&gt;&lt;singleton&gt;随机冻结敌方 2 件道具 60 秒&lt;/singleton&gt;&lt;/battle&gt;","periodicPulse":{"startOnly":true,"itemRuntimeStatusEffects":[{"itemRuntimeStatus":"freeze","durationSec":60,"targetScope":"enemyRandom","amount":2,"singletonByTemplate":true}],"label":"&lt;battle&gt;&lt;singleton&gt;随机冻结敌方 2 件道具 60 秒&lt;/singleton&gt;&lt;/battle&gt;"},"starOverrides":{"1":{"periodicPulse":{"itemRuntimeStatusEffects":[{"itemRuntimeStatus":"freeze","durationSec":75,"targetScope":"enemyRandom","amount":2}],"label":"&lt;battle&gt;&lt;singleton&gt;随机冻结敌方 2 件道具 75 秒&lt;/singleton&gt;&lt;/battle&gt;"},"label":"&lt;battle&gt;&lt;singleton&gt;随机冻结敌方 2 件道具 75 秒&lt;/singleton&gt;&lt;/battle&gt;"},"2":{"periodicPulse":{"itemRuntimeStatusEffects":[{"itemRuntimeStatus":"freeze","durationSec":90,"targetScope":"enemyRandom","amount":2}],"label":"&lt;battle&gt;&lt;singleton&gt;随机冻结敌方 2 件道具 90 秒&lt;/singleton&gt;&lt;/battle&gt;"},"label":"&lt;battle&gt;&lt;singleton&gt;随机冻结敌方 2 件道具 90 秒&lt;/singleton&gt;&lt;/battle&gt;"},"3":{"periodicPulse":{"itemRuntimeStatusEffects":[{"itemRuntimeStatus":"freeze","durationSec":105,"targetScope":"enemyRandom","amount":2}],"label":"&lt;battle&gt;&lt;singleton&gt;随机冻结敌方 2 件道具 105 秒&lt;/singleton&gt;&lt;/battle&gt;"},"label":"&lt;battle&gt;&lt;singleton&gt;随机冻结敌方 2 件道具 105 秒&lt;/singleton&gt;&lt;/battle&gt;"}}}</t>
        </is>
      </c>
    </row>
    <row r="1165" ht="32" customHeight="1">
      <c r="A1165" s="8" t="n">
        <v>418027</v>
      </c>
      <c r="B1165" s="8" t="inlineStr">
        <is>
          <t>定阙本命长旗</t>
        </is>
      </c>
      <c r="C1165" s="8" t="inlineStr">
        <is>
          <t>法器</t>
        </is>
      </c>
      <c r="D1165" s="8" t="inlineStr">
        <is>
          <t>mystic</t>
        </is>
      </c>
      <c r="E1165" s="8" t="inlineStr">
        <is>
          <t>earth</t>
        </is>
      </c>
      <c r="F1165" s="8" t="n">
        <v>1</v>
      </c>
      <c r="G1165" s="8" t="inlineStr">
        <is>
          <t>基础/顶层</t>
        </is>
      </c>
      <c r="H1165" s="8" t="inlineStr"/>
      <c r="I1165" s="9" t="inlineStr"/>
      <c r="J1165" s="8" t="inlineStr"/>
      <c r="K1165" s="8" t="inlineStr"/>
      <c r="L1165" s="8" t="inlineStr"/>
      <c r="M1165" s="8" t="inlineStr">
        <is>
          <t>周期触发</t>
        </is>
      </c>
      <c r="N1165" s="8" t="inlineStr">
        <is>
          <t>periodicPulse</t>
        </is>
      </c>
      <c r="O1165" s="9" t="inlineStr">
        <is>
          <t>最多消耗 40 层坚硬；每消耗 1 层，对敌方造成 25 点伤害；最多消耗 48 层坚硬；每消耗 1 层，对敌方造成 25 点伤害；最多消耗 56 层坚硬；每消耗 1 层，对敌方造成 23 点伤害；最多消耗 64 层坚硬；每消耗 1 层，对敌方造成 20 点伤害</t>
        </is>
      </c>
      <c r="P1165" s="9" t="inlineStr">
        <is>
          <t>onPeriodicPulse</t>
        </is>
      </c>
      <c r="Q1165" s="9" t="inlineStr">
        <is>
          <t>consumeBuffStacks</t>
        </is>
      </c>
      <c r="R1165" s="9" t="inlineStr">
        <is>
          <t>{"kind":"periodicPulse","label":"最多消耗 40 层坚硬；&lt;battle&gt;每消耗 1 层，对敌方造成 25 点伤害&lt;/battle&gt;","periodicPulse":{"intervalSec":3,"label":"最多消耗 40 层坚硬；&lt;battle&gt;每消耗 1 层，对敌方造成 25 点伤害&lt;/battle&gt;"},"executors":[{"trigger":"onPeriodicPulse","type":"consumeBuffStacks","support":"common","sourceBuffId":"sturdy","maxStacks":40,"battleDamageHealthPerStack":25,"label":"最多消耗 40 层坚硬；&lt;battle&gt;每消耗 1 层，对敌方造成 25 点伤害&lt;/battle&gt;"}],"starOverrides":{"1":{"label":"最多消耗 48 层坚硬；&lt;battle&gt;每消耗 1 层，对敌方造成 25 点伤害&lt;/battle&gt;","periodicPulse":{"label":"最多消耗 48 层坚硬；&lt;battle&gt;每消耗 1 层，对敌方造成 25 点伤害&lt;/battle&gt;"},"executors":[{"trigger":"onPeriodicPulse","type":"consumeBuffStacks","support":"common","sourceBuffId":"sturdy","maxStacks":48,"battleDamageHealthPerStack":25}]},"2":{"label":"最多消耗 56 层坚硬；&lt;battle&gt;每消耗 1 层，对敌方造成 23 点伤害&lt;/battle&gt;","periodicPulse":{"label":"最多消耗 56 层坚硬；&lt;battle&gt;每消耗 1 层，对敌方造成 23 点伤害&lt;/battle&gt;"},"executors":[{"trigger":"onPeriodicPulse","type":"consumeBuffStacks","support":"common","sourceBuffId":"sturdy","maxStacks":56,"battleDamageHealthPerStack":23}]},"3":{"label":"最多消耗 64 层坚硬；&lt;battle&gt;每消耗 1 层，对敌方造成 20 点伤害&lt;/battle&gt;","periodicPulse":{"label":"最多消耗 64 层坚硬；&lt;battle&gt;每消耗 1 层，对敌方造成 20 点伤害&lt;/battle&gt;"},"executors":[{"trigger":"onPeriodicPulse","type":"consumeBuffStacks","support":"common","sourceBuffId":"sturdy","maxStacks":64,"battleDamageHealthPerStack":20}]}}}</t>
        </is>
      </c>
    </row>
    <row r="1166" ht="32" customHeight="1">
      <c r="A1166" s="8" t="n">
        <v>418028</v>
      </c>
      <c r="B1166" s="8" t="inlineStr">
        <is>
          <t>五阙石旗环</t>
        </is>
      </c>
      <c r="C1166" s="8" t="inlineStr">
        <is>
          <t>法器</t>
        </is>
      </c>
      <c r="D1166" s="8" t="inlineStr">
        <is>
          <t>mystic</t>
        </is>
      </c>
      <c r="E1166" s="8" t="inlineStr">
        <is>
          <t>earth</t>
        </is>
      </c>
      <c r="F1166" s="8" t="n">
        <v>1</v>
      </c>
      <c r="G1166" s="8" t="inlineStr">
        <is>
          <t>基础/顶层</t>
        </is>
      </c>
      <c r="H1166" s="8" t="inlineStr"/>
      <c r="I1166" s="9" t="inlineStr"/>
      <c r="J1166" s="8" t="inlineStr"/>
      <c r="K1166" s="8" t="inlineStr"/>
      <c r="L1166" s="8" t="inlineStr"/>
      <c r="M1166" s="8" t="inlineStr">
        <is>
          <t>周期触发</t>
        </is>
      </c>
      <c r="N1166" s="8" t="inlineStr">
        <is>
          <t>periodicPulse</t>
        </is>
      </c>
      <c r="O1166" s="9" t="inlineStr">
        <is>
          <t>开局时，获得 32 层坚硬并恢复 32 点法力；开局时，获得 40 层坚硬并恢复 40 点法力；开局时，获得 48 层坚硬并恢复 48 点法力；开局时，获得 56 层坚硬并恢复 56 点法力</t>
        </is>
      </c>
      <c r="P1166" s="9" t="inlineStr"/>
      <c r="Q1166" s="9" t="inlineStr"/>
      <c r="R1166" s="9" t="inlineStr">
        <is>
          <t>{"kind":"periodicPulse","periodicPulse":{"startOnly":true,"label":"开局时，获得 32 层坚硬并恢复 32 点法力","buffGains":[{"buffId":"sturdy","count":32}],"primaryStatGains":[{"stat":"mana","amount":32}]},"starOverrides":{"1":{"periodicPulse":{"label":"开局时，获得 40 层坚硬并恢复 40 点法力","buffGains":[{"buffId":"sturdy","count":40}],"primaryStatGains":[{"stat":"mana","amount":40}]},"label":"开局时，获得 40 层坚硬并恢复 40 点法力"},"2":{"periodicPulse":{"label":"开局时，获得 48 层坚硬并恢复 48 点法力","buffGains":[{"buffId":"sturdy","count":48}],"primaryStatGains":[{"stat":"mana","amount":48}]},"label":"开局时，获得 48 层坚硬并恢复 48 点法力"},"3":{"periodicPulse":{"label":"开局时，获得 56 层坚硬并恢复 56 点法力","buffGains":[{"buffId":"sturdy","count":56}],"primaryStatGains":[{"stat":"mana","amount":56}]},"label":"开局时，获得 56 层坚硬并恢复 56 点法力"}}}</t>
        </is>
      </c>
    </row>
    <row r="1167" ht="32" customHeight="1">
      <c r="A1167" s="8" t="n">
        <v>418029</v>
      </c>
      <c r="B1167" s="8" t="inlineStr">
        <is>
          <t>三重定阙印</t>
        </is>
      </c>
      <c r="C1167" s="8" t="inlineStr">
        <is>
          <t>法器</t>
        </is>
      </c>
      <c r="D1167" s="8" t="inlineStr">
        <is>
          <t>mystic</t>
        </is>
      </c>
      <c r="E1167" s="8" t="inlineStr">
        <is>
          <t>earth</t>
        </is>
      </c>
      <c r="F1167" s="8" t="n">
        <v>1</v>
      </c>
      <c r="G1167" s="8" t="inlineStr">
        <is>
          <t>基础/顶层</t>
        </is>
      </c>
      <c r="H1167" s="8" t="inlineStr"/>
      <c r="I1167" s="9" t="inlineStr"/>
      <c r="J1167" s="8" t="inlineStr"/>
      <c r="K1167" s="8" t="inlineStr"/>
      <c r="L1167" s="8" t="inlineStr"/>
      <c r="M1167" s="8" t="inlineStr">
        <is>
          <t>周期触发</t>
        </is>
      </c>
      <c r="N1167" s="8" t="inlineStr">
        <is>
          <t>periodicPulse</t>
        </is>
      </c>
      <c r="O1167" s="9" t="inlineStr">
        <is>
          <t>获得 24 层坚硬和 20 层护甲；获得 32 层坚硬和 24 层护甲；获得 40 层坚硬和 28 层护甲；获得 48 层坚硬和 32 层护甲</t>
        </is>
      </c>
      <c r="P1167" s="9" t="inlineStr"/>
      <c r="Q1167" s="9" t="inlineStr"/>
      <c r="R1167" s="9" t="inlineStr">
        <is>
          <t>{"kind":"periodicPulse","periodicPulse":{"intervalSec":6,"label":"获得 24 层坚硬和 20 层护甲","buffGains":[{"buffId":"sturdy","count":24},{"buffId":"armor","count":20}]},"starOverrides":{"1":{"periodicPulse":{"label":"获得 32 层坚硬和 24 层护甲","buffGains":[{"buffId":"sturdy","count":32},{"buffId":"armor","count":24}]},"label":"获得 32 层坚硬和 24 层护甲"},"2":{"periodicPulse":{"label":"获得 40 层坚硬和 28 层护甲","buffGains":[{"buffId":"sturdy","count":40},{"buffId":"armor","count":28}]},"label":"获得 40 层坚硬和 28 层护甲"},"3":{"periodicPulse":{"label":"获得 48 层坚硬和 32 层护甲","buffGains":[{"buffId":"sturdy","count":48},{"buffId":"armor","count":32}]},"label":"获得 48 层坚硬和 32 层护甲"}}}</t>
        </is>
      </c>
    </row>
    <row r="1168" ht="32" customHeight="1">
      <c r="A1168" s="8" t="n">
        <v>418030</v>
      </c>
      <c r="B1168" s="8" t="inlineStr">
        <is>
          <t>苔纹凝露盘</t>
        </is>
      </c>
      <c r="C1168" s="8" t="inlineStr">
        <is>
          <t>法器</t>
        </is>
      </c>
      <c r="D1168" s="8" t="inlineStr">
        <is>
          <t>common</t>
        </is>
      </c>
      <c r="E1168" s="8" t="inlineStr">
        <is>
          <t>water</t>
        </is>
      </c>
      <c r="F1168" s="8" t="n">
        <v>1</v>
      </c>
      <c r="G1168" s="8" t="inlineStr">
        <is>
          <t>基础/顶层</t>
        </is>
      </c>
      <c r="H1168" s="8" t="inlineStr"/>
      <c r="I1168" s="9" t="inlineStr"/>
      <c r="J1168" s="8" t="inlineStr"/>
      <c r="K1168" s="8" t="inlineStr"/>
      <c r="L1168" s="8" t="inlineStr"/>
      <c r="M1168" s="8" t="inlineStr">
        <is>
          <t>周期触发</t>
        </is>
      </c>
      <c r="N1168" s="8" t="inlineStr">
        <is>
          <t>periodicPulse</t>
        </is>
      </c>
      <c r="O1168" s="9" t="inlineStr">
        <is>
          <t>消耗 20 点法力，获得 4 层露水和 3 层再生；消耗 20 点法力，获得 5 层露水和 4 层再生；消耗 20 点法力，获得 6 层露水和 5 层再生；消耗 20 点法力，获得 7 层露水和 6 层再生</t>
        </is>
      </c>
      <c r="P1168" s="9" t="inlineStr"/>
      <c r="Q1168" s="9" t="inlineStr"/>
      <c r="R1168" s="9" t="inlineStr">
        <is>
          <t>{"kind":"periodicPulse","periodicPulse":{"intervalSec":6,"label":"消耗 20 点法力，获得 4 层露水和 3 层再生","buffGains":[{"buffId":"dew","count":4},{"buffId":"regeneration","count":3}],"primaryStatCosts":[{"stat":"mana","amount":20}]},"starOverrides":{"1":{"periodicPulse":{"label":"消耗 20 点法力，获得 5 层露水和 4 层再生","buffGains":[{"buffId":"dew","count":5},{"buffId":"regeneration","count":4}]},"label":"消耗 20 点法力，获得 5 层露水和 4 层再生"},"2":{"periodicPulse":{"label":"消耗 20 点法力，获得 6 层露水和 5 层再生","buffGains":[{"buffId":"dew","count":6},{"buffId":"regeneration","count":5}]},"label":"消耗 20 点法力，获得 6 层露水和 5 层再生"},"3":{"periodicPulse":{"label":"消耗 20 点法力，获得 7 层露水和 6 层再生","buffGains":[{"buffId":"dew","count":7},{"buffId":"regeneration","count":6}]},"label":"消耗 20 点法力，获得 7 层露水和 6 层再生"}}}</t>
        </is>
      </c>
    </row>
    <row r="1169" ht="32" customHeight="1">
      <c r="A1169" s="8" t="n">
        <v>418031</v>
      </c>
      <c r="B1169" s="8" t="inlineStr">
        <is>
          <t>双汀净水桶</t>
        </is>
      </c>
      <c r="C1169" s="8" t="inlineStr">
        <is>
          <t>法器</t>
        </is>
      </c>
      <c r="D1169" s="8" t="inlineStr">
        <is>
          <t>common</t>
        </is>
      </c>
      <c r="E1169" s="8" t="inlineStr">
        <is>
          <t>water</t>
        </is>
      </c>
      <c r="F1169" s="8" t="n">
        <v>1</v>
      </c>
      <c r="G1169" s="8" t="inlineStr">
        <is>
          <t>基础/顶层</t>
        </is>
      </c>
      <c r="H1169" s="8" t="inlineStr"/>
      <c r="I1169" s="9" t="inlineStr"/>
      <c r="J1169" s="8" t="inlineStr"/>
      <c r="K1169" s="8" t="inlineStr"/>
      <c r="L1169" s="8" t="inlineStr"/>
      <c r="M1169" s="8" t="inlineStr">
        <is>
          <t>周期触发</t>
        </is>
      </c>
      <c r="N1169" s="8" t="inlineStr">
        <is>
          <t>periodicPulse</t>
        </is>
      </c>
      <c r="O1169" s="9" t="inlineStr">
        <is>
          <t>获得 3 层露水；对敌方施加 4 层冰霜；消耗自身最多 10 层露水，每层造成 9 点伤害；获得 4 层露水；对敌方施加 5 层冰霜；消耗自身最多 10 层露水，每层造成 11 点伤害；获得 5 层露水；对敌方施加 6 层冰霜；消耗自身最多 10 层露水，每层造成 14 点伤害；获得 6 层露水；对敌方施加 7 层冰霜；消耗自身最多 10 层露水，每层造成 16 点伤害</t>
        </is>
      </c>
      <c r="P1169" s="9" t="inlineStr"/>
      <c r="Q1169" s="9" t="inlineStr"/>
      <c r="R1169" s="9" t="inlineStr">
        <is>
          <t>{"kind":"periodicPulse","periodicPulse":{"intervalSec":9,"label":"获得 3 层露水；&lt;battle&gt;对敌方施加 4 层冰霜；消耗自身最多 10 层露水，每层造成 9 点伤害&lt;/battle&gt;","buffGains":[{"buffId":"dew","count":3},{"buffId":"frost","count":4,"target":"enemy"}],"damageHealth":{"target":"enemy","amount":0,"amountPerSourceBuffStack":{"buffId":"dew","valuePerStack":9,"maxStacks":10},"removeSourceBuffStacksAfterDamage":{"buffId":"dew","count":10}}},"starOverrides":{"1":{"periodicPulse":{"label":"获得 4 层露水；&lt;battle&gt;对敌方施加 5 层冰霜；消耗自身最多 10 层露水，每层造成 11 点伤害&lt;/battle&gt;","buffGains":[{"buffId":"dew","count":4},{"buffId":"frost","count":5,"target":"enemy"}],"damageHealth":{"amountPerSourceBuffStack":{"valuePerStack":11}}},"label":"获得 4 层露水；&lt;battle&gt;对敌方施加 5 层冰霜；消耗自身最多 10 层露水，每层造成 11 点伤害&lt;/battle&gt;"},"2":{"periodicPulse":{"label":"获得 5 层露水；&lt;battle&gt;对敌方施加 6 层冰霜；消耗自身最多 10 层露水，每层造成 14 点伤害&lt;/battle&gt;","buffGains":[{"buffId":"dew","count":5},{"buffId":"frost","count":6,"target":"enemy"}],"damageHealth":{"amountPerSourceBuffStack":{"valuePerStack":14}}},"label":"获得 5 层露水；&lt;battle&gt;对敌方施加 6 层冰霜；消耗自身最多 10 层露水，每层造成 14 点伤害&lt;/battle&gt;"},"3":{"periodicPulse":{"label":"获得 6 层露水；&lt;battle&gt;对敌方施加 7 层冰霜；消耗自身最多 10 层露水，每层造成 16 点伤害&lt;/battle&gt;","buffGains":[{"buffId":"dew","count":6},{"buffId":"frost","count":7,"target":"enemy"}],"damageHealth":{"amountPerSourceBuffStack":{"valuePerStack":16}}},"label":"获得 6 层露水；&lt;battle&gt;对敌方施加 7 层冰霜；消耗自身最多 10 层露水，每层造成 16 点伤害&lt;/battle&gt;"}}}</t>
        </is>
      </c>
    </row>
    <row r="1170" ht="32" customHeight="1">
      <c r="A1170" s="8" t="n">
        <v>418031</v>
      </c>
      <c r="B1170" s="8" t="inlineStr">
        <is>
          <t>双汀净水桶</t>
        </is>
      </c>
      <c r="C1170" s="8" t="inlineStr">
        <is>
          <t>法器</t>
        </is>
      </c>
      <c r="D1170" s="8" t="inlineStr">
        <is>
          <t>common</t>
        </is>
      </c>
      <c r="E1170" s="8" t="inlineStr">
        <is>
          <t>water</t>
        </is>
      </c>
      <c r="F1170" s="8" t="n">
        <v>2</v>
      </c>
      <c r="G1170" s="8" t="inlineStr">
        <is>
          <t>基础/顶层</t>
        </is>
      </c>
      <c r="H1170" s="8" t="inlineStr"/>
      <c r="I1170" s="9" t="inlineStr"/>
      <c r="J1170" s="8" t="inlineStr"/>
      <c r="K1170" s="8" t="inlineStr"/>
      <c r="L1170" s="8" t="inlineStr"/>
      <c r="M1170" s="8" t="inlineStr">
        <is>
          <t>周期触发</t>
        </is>
      </c>
      <c r="N1170" s="8" t="inlineStr">
        <is>
          <t>periodicPulse</t>
        </is>
      </c>
      <c r="O1170" s="9" t="inlineStr">
        <is>
          <t>开局时，获得 5 层露水并恢复 5 点法力；开局时，获得 6 层露水并恢复 6 点法力；开局时，获得 8 层露水并恢复 8 点法力；开局时，获得 9 层露水并恢复 9 点法力</t>
        </is>
      </c>
      <c r="P1170" s="9" t="inlineStr"/>
      <c r="Q1170" s="9" t="inlineStr"/>
      <c r="R1170" s="9" t="inlineStr">
        <is>
          <t>{"kind":"periodicPulse","periodicPulse":{"startOnly":true,"label":"开局时，获得 5 层露水并恢复 5 点法力","buffGains":[{"buffId":"dew","count":5}],"primaryStatGains":[{"stat":"mana","amount":5}]},"starOverrides":{"1":{"periodicPulse":{"label":"开局时，获得 6 层露水并恢复 6 点法力","buffGains":[{"buffId":"dew","count":6}],"primaryStatGains":[{"stat":"mana","amount":6}]},"label":"开局时，获得 6 层露水并恢复 6 点法力"},"2":{"periodicPulse":{"label":"开局时，获得 8 层露水并恢复 8 点法力","buffGains":[{"buffId":"dew","count":8}],"primaryStatGains":[{"stat":"mana","amount":8}]},"label":"开局时，获得 8 层露水并恢复 8 点法力"},"3":{"periodicPulse":{"label":"开局时，获得 9 层露水并恢复 9 点法力","buffGains":[{"buffId":"dew","count":9}],"primaryStatGains":[{"stat":"mana","amount":9}]},"label":"开局时，获得 9 层露水并恢复 9 点法力"}}}</t>
        </is>
      </c>
    </row>
    <row r="1171" ht="32" customHeight="1">
      <c r="A1171" s="8" t="n">
        <v>418032</v>
      </c>
      <c r="B1171" s="8" t="inlineStr">
        <is>
          <t>漱玉净水针匣</t>
        </is>
      </c>
      <c r="C1171" s="8" t="inlineStr">
        <is>
          <t>法器</t>
        </is>
      </c>
      <c r="D1171" s="8" t="inlineStr">
        <is>
          <t>common</t>
        </is>
      </c>
      <c r="E1171" s="8" t="inlineStr">
        <is>
          <t>water</t>
        </is>
      </c>
      <c r="F1171" s="8" t="n">
        <v>1</v>
      </c>
      <c r="G1171" s="8" t="inlineStr">
        <is>
          <t>基础/顶层</t>
        </is>
      </c>
      <c r="H1171" s="8" t="inlineStr"/>
      <c r="I1171" s="9" t="inlineStr"/>
      <c r="J1171" s="8" t="inlineStr"/>
      <c r="K1171" s="8" t="inlineStr"/>
      <c r="L1171" s="8" t="inlineStr"/>
      <c r="M1171" s="8" t="inlineStr">
        <is>
          <t>周期触发</t>
        </is>
      </c>
      <c r="N1171" s="8" t="inlineStr">
        <is>
          <t>periodicPulse</t>
        </is>
      </c>
      <c r="O1171" s="9" t="inlineStr">
        <is>
          <t>消耗 10 点法力，发针攻击并对敌方造成 12 点伤害；消耗 10 点法力，发针攻击并对敌方造成 15 点伤害；消耗 10 点法力，发针攻击并对敌方造成 18 点伤害；消耗 10 点法力，发针攻击并对敌方造成 21 点伤害</t>
        </is>
      </c>
      <c r="P1171" s="9" t="inlineStr"/>
      <c r="Q1171" s="9" t="inlineStr"/>
      <c r="R1171" s="9" t="inlineStr">
        <is>
          <t>{"kind":"periodicPulse","periodicPulse":{"intervalSec":8,"label":"消耗 10 点法力，&lt;battle&gt;发针攻击并对敌方造成 12 点伤害&lt;/battle&gt;","primaryStatCosts":[{"stat":"mana","amount":10}],"damageHealth":{"target":"enemy","amount":12}},"starOverrides":{"1":{"periodicPulse":{"label":"消耗 10 点法力，&lt;battle&gt;发针攻击并对敌方造成 15 点伤害&lt;/battle&gt;","damageHealth":{"amount":15}},"label":"消耗 10 点法力，&lt;battle&gt;发针攻击并对敌方造成 15 点伤害&lt;/battle&gt;"},"2":{"periodicPulse":{"label":"消耗 10 点法力，&lt;battle&gt;发针攻击并对敌方造成 18 点伤害&lt;/battle&gt;","damageHealth":{"amount":18}},"label":"消耗 10 点法力，&lt;battle&gt;发针攻击并对敌方造成 18 点伤害&lt;/battle&gt;"},"3":{"periodicPulse":{"label":"消耗 10 点法力，&lt;battle&gt;发针攻击并对敌方造成 21 点伤害&lt;/battle&gt;","damageHealth":{"amount":21}},"label":"消耗 10 点法力，&lt;battle&gt;发针攻击并对敌方造成 21 点伤害&lt;/battle&gt;"}}}</t>
        </is>
      </c>
    </row>
    <row r="1172" ht="32" customHeight="1">
      <c r="A1172" s="8" t="n">
        <v>418032</v>
      </c>
      <c r="B1172" s="8" t="inlineStr">
        <is>
          <t>漱玉净水针匣</t>
        </is>
      </c>
      <c r="C1172" s="8" t="inlineStr">
        <is>
          <t>法器</t>
        </is>
      </c>
      <c r="D1172" s="8" t="inlineStr">
        <is>
          <t>common</t>
        </is>
      </c>
      <c r="E1172" s="8" t="inlineStr">
        <is>
          <t>water</t>
        </is>
      </c>
      <c r="F1172" s="8" t="n">
        <v>2</v>
      </c>
      <c r="G1172" s="8" t="inlineStr">
        <is>
          <t>基础/顶层</t>
        </is>
      </c>
      <c r="H1172" s="8" t="inlineStr"/>
      <c r="I1172" s="9" t="inlineStr"/>
      <c r="J1172" s="8" t="inlineStr"/>
      <c r="K1172" s="8" t="inlineStr"/>
      <c r="L1172" s="8" t="inlineStr"/>
      <c r="M1172" s="8" t="inlineStr">
        <is>
          <t>周期触发</t>
        </is>
      </c>
      <c r="N1172" s="8" t="inlineStr">
        <is>
          <t>periodicPulse</t>
        </is>
      </c>
      <c r="O1172" s="9" t="inlineStr">
        <is>
          <t>最多将 4 层露水转化为气血，每层恢复 3 点；最多将 5 层露水转化为气血，每层恢复 3 点；最多将 6 层露水转化为气血，每层恢复 3 点；最多将 7 层露水转化为气血，每层恢复 3 点</t>
        </is>
      </c>
      <c r="P1172" s="9" t="inlineStr">
        <is>
          <t>onPeriodicPulse</t>
        </is>
      </c>
      <c r="Q1172" s="9" t="inlineStr">
        <is>
          <t>consumeBuffStacks</t>
        </is>
      </c>
      <c r="R1172" s="9" t="inlineStr">
        <is>
          <t>{"kind":"periodicPulse","periodicPulse":{"intervalSec":8,"label":"最多将 4 层露水转化为气血，每层恢复 3 点"},"executors":[{"trigger":"onPeriodicPulse","type":"consumeBuffStacks","sourceBuffId":"dew","maxStacks":4,"primaryStatGainPerStack":{"stat":"health","amount":3},"activationRequirements":{"buffStackThresholds":[{"buffId":"dew","comparator":"atLeast","count":1}]},"label":"最多将 4 层露水转化为气血，每层恢复 3 点"}],"starOverrides":{"1":{"periodicPulse":{"label":"最多将 5 层露水转化为气血，每层恢复 3 点"},"executors":[{"trigger":"onPeriodicPulse","type":"consumeBuffStacks","sourceBuffId":"dew","maxStacks":5,"primaryStatGainPerStack":{"stat":"health","amount":3},"activationRequirements":{"buffStackThresholds":[{"buffId":"dew","comparator":"atLeast","count":1}]},"label":"最多将 5 层露水转化为气血，每层恢复 3 点"}],"label":"最多将 5 层露水转化为气血，每层恢复 3 点"},"2":{"periodicPulse":{"label":"最多将 6 层露水转化为气血，每层恢复 3 点"},"executors":[{"trigger":"onPeriodicPulse","type":"consumeBuffStacks","sourceBuffId":"dew","maxStacks":6,"primaryStatGainPerStack":{"stat":"health","amount":3},"activationRequirements":{"buffStackThresholds":[{"buffId":"dew","comparator":"atLeast","count":1}]},"label":"最多将 6 层露水转化为气血，每层恢复 3 点"}],"label":"最多将 6 层露水转化为气血，每层恢复 3 点"},"3":{"periodicPulse":{"label":"最多将 7 层露水转化为气血，每层恢复 3 点"},"executors":[{"trigger":"onPeriodicPulse","type":"consumeBuffStacks","sourceBuffId":"dew","maxStacks":7,"primaryStatGainPerStack":{"stat":"health","amount":3},"activationRequirements":{"buffStackThresholds":[{"buffId":"dew","comparator":"atLeast","count":1}]},"label":"最多将 7 层露水转化为气血，每层恢复 3 点"}],"label":"最多将 7 层露水转化为气血，每层恢复 3 点"}}}</t>
        </is>
      </c>
    </row>
    <row r="1173" ht="32" customHeight="1">
      <c r="A1173" s="8" t="n">
        <v>418033</v>
      </c>
      <c r="B1173" s="8" t="inlineStr">
        <is>
          <t>听竹节剑</t>
        </is>
      </c>
      <c r="C1173" s="8" t="inlineStr">
        <is>
          <t>法器</t>
        </is>
      </c>
      <c r="D1173" s="8" t="inlineStr">
        <is>
          <t>common</t>
        </is>
      </c>
      <c r="E1173" s="8" t="inlineStr">
        <is>
          <t>water</t>
        </is>
      </c>
      <c r="F1173" s="8" t="n">
        <v>1</v>
      </c>
      <c r="G1173" s="8" t="inlineStr">
        <is>
          <t>基础/顶层</t>
        </is>
      </c>
      <c r="H1173" s="8" t="inlineStr"/>
      <c r="I1173" s="9" t="inlineStr"/>
      <c r="J1173" s="8" t="inlineStr"/>
      <c r="K1173" s="8" t="inlineStr"/>
      <c r="L1173" s="8" t="inlineStr"/>
      <c r="M1173" s="8" t="inlineStr">
        <is>
          <t>周期触发</t>
        </is>
      </c>
      <c r="N1173" s="8" t="inlineStr">
        <is>
          <t>periodicPulse</t>
        </is>
      </c>
      <c r="O1173" s="9" t="inlineStr">
        <is>
          <t>消耗 10 点体力，对敌方施加 3 层寒冷；消耗 10 点体力，对敌方施加 4 层寒冷；消耗 10 点体力，对敌方施加 5 层寒冷；消耗 10 点体力，对敌方施加 6 层寒冷</t>
        </is>
      </c>
      <c r="P1173" s="9" t="inlineStr"/>
      <c r="Q1173" s="9" t="inlineStr"/>
      <c r="R1173" s="9" t="inlineStr">
        <is>
          <t>{"kind":"periodicPulse","periodicPulse":{"intervalSec":8,"label":"消耗 10 点体力，&lt;battle&gt;对敌方施加 3 层寒冷&lt;/battle&gt;","primaryStatCosts":[{"stat":"stamina","amount":10}],"buffGains":[{"buffId":"cold","count":3,"target":"enemy","polarity":"detrimental"}]},"starOverrides":{"1":{"periodicPulse":{"label":"消耗 10 点体力，&lt;battle&gt;对敌方施加 4 层寒冷&lt;/battle&gt;","buffGains":[{"buffId":"cold","count":4,"target":"enemy","polarity":"detrimental"}]},"label":"消耗 10 点体力，&lt;battle&gt;对敌方施加 4 层寒冷&lt;/battle&gt;"},"2":{"periodicPulse":{"label":"消耗 10 点体力，&lt;battle&gt;对敌方施加 5 层寒冷&lt;/battle&gt;","buffGains":[{"buffId":"cold","count":5,"target":"enemy","polarity":"detrimental"}]},"label":"消耗 10 点体力，&lt;battle&gt;对敌方施加 5 层寒冷&lt;/battle&gt;"},"3":{"periodicPulse":{"label":"消耗 10 点体力，&lt;battle&gt;对敌方施加 6 层寒冷&lt;/battle&gt;","buffGains":[{"buffId":"cold","count":6,"target":"enemy","polarity":"detrimental"}]},"label":"消耗 10 点体力，&lt;battle&gt;对敌方施加 6 层寒冷&lt;/battle&gt;"}}}</t>
        </is>
      </c>
    </row>
    <row r="1174" ht="32" customHeight="1">
      <c r="A1174" s="8" t="n">
        <v>418033</v>
      </c>
      <c r="B1174" s="8" t="inlineStr">
        <is>
          <t>听竹节剑</t>
        </is>
      </c>
      <c r="C1174" s="8" t="inlineStr">
        <is>
          <t>法器</t>
        </is>
      </c>
      <c r="D1174" s="8" t="inlineStr">
        <is>
          <t>common</t>
        </is>
      </c>
      <c r="E1174" s="8" t="inlineStr">
        <is>
          <t>water</t>
        </is>
      </c>
      <c r="F1174" s="8" t="n">
        <v>2</v>
      </c>
      <c r="G1174" s="8" t="inlineStr">
        <is>
          <t>基础/顶层</t>
        </is>
      </c>
      <c r="H1174" s="8" t="inlineStr"/>
      <c r="I1174" s="9" t="inlineStr"/>
      <c r="J1174" s="8" t="inlineStr"/>
      <c r="K1174" s="8" t="inlineStr"/>
      <c r="L1174" s="8" t="inlineStr"/>
      <c r="M1174" s="8" t="inlineStr">
        <is>
          <t>周期触发</t>
        </is>
      </c>
      <c r="N1174" s="8" t="inlineStr">
        <is>
          <t>periodicPulse</t>
        </is>
      </c>
      <c r="O1174" s="9" t="inlineStr">
        <is>
          <t>敌方有不少于 3 层寒冷时，消耗其 3 层并造成 9 点伤害；敌方有不少于 3 层寒冷时，消耗其 3 层并造成 11 点伤害；敌方有不少于 3 层寒冷时，消耗其 3 层并造成 14 点伤害；敌方有不少于 3 层寒冷时，消耗其 3 层并造成 16 点伤害</t>
        </is>
      </c>
      <c r="P1174" s="9" t="inlineStr"/>
      <c r="Q1174" s="9" t="inlineStr">
        <is>
          <t>targetBuffStacksGreaterThan</t>
        </is>
      </c>
      <c r="R1174" s="9" t="inlineStr">
        <is>
          <t>{"kind":"periodicPulse","periodicPulse":{"intervalSec":8,"label":"&lt;battle&gt;敌方有不少于 3 层寒冷时，消耗其 3 层并造成 9 点伤害&lt;/battle&gt;","battleCondition":{"type":"targetBuffStacksGreaterThan","buffId":"cold","count":2},"removeBuffStacks":[{"target":"enemy","buffId":"cold","count":3}],"damageHealth":{"target":"enemy","amount":9}},"starOverrides":{"1":{"periodicPulse":{"label":"&lt;battle&gt;敌方有不少于 3 层寒冷时，消耗其 3 层并造成 11 点伤害&lt;/battle&gt;","damageHealth":{"amount":11}},"label":"&lt;battle&gt;敌方有不少于 3 层寒冷时，消耗其 3 层并造成 11 点伤害&lt;/battle&gt;"},"2":{"periodicPulse":{"label":"&lt;battle&gt;敌方有不少于 3 层寒冷时，消耗其 3 层并造成 14 点伤害&lt;/battle&gt;","damageHealth":{"amount":14}},"label":"&lt;battle&gt;敌方有不少于 3 层寒冷时，消耗其 3 层并造成 14 点伤害&lt;/battle&gt;"},"3":{"periodicPulse":{"label":"&lt;battle&gt;敌方有不少于 3 层寒冷时，消耗其 3 层并造成 16 点伤害&lt;/battle&gt;","damageHealth":{"amount":16}},"label":"&lt;battle&gt;敌方有不少于 3 层寒冷时，消耗其 3 层并造成 16 点伤害&lt;/battle&gt;"}}}</t>
        </is>
      </c>
    </row>
    <row r="1175" ht="32" customHeight="1">
      <c r="A1175" s="8" t="n">
        <v>418034</v>
      </c>
      <c r="B1175" s="8" t="inlineStr">
        <is>
          <t>分泉荷盘</t>
        </is>
      </c>
      <c r="C1175" s="8" t="inlineStr">
        <is>
          <t>法器</t>
        </is>
      </c>
      <c r="D1175" s="8" t="inlineStr">
        <is>
          <t>spirit</t>
        </is>
      </c>
      <c r="E1175" s="8" t="inlineStr">
        <is>
          <t>water</t>
        </is>
      </c>
      <c r="F1175" s="8" t="n">
        <v>1</v>
      </c>
      <c r="G1175" s="8" t="inlineStr">
        <is>
          <t>基础/顶层</t>
        </is>
      </c>
      <c r="H1175" s="8" t="inlineStr"/>
      <c r="I1175" s="9" t="inlineStr"/>
      <c r="J1175" s="8" t="inlineStr"/>
      <c r="K1175" s="8" t="inlineStr"/>
      <c r="L1175" s="8" t="inlineStr"/>
      <c r="M1175" s="8" t="inlineStr">
        <is>
          <t>被动效果</t>
        </is>
      </c>
      <c r="N1175" s="8" t="inlineStr">
        <is>
          <t>passive</t>
        </is>
      </c>
      <c r="O1175" s="9" t="inlineStr">
        <is>
          <t>敌方生成的露水有一半分给己方；敌方生成的露水有 67% 分给己方；敌方生成的露水有 83% 分给己方；敌方生成的露水有 100% 分给己方</t>
        </is>
      </c>
      <c r="P1175" s="9" t="inlineStr"/>
      <c r="Q1175" s="9" t="inlineStr">
        <is>
          <t>buffGainRedirect</t>
        </is>
      </c>
      <c r="R1175" s="9" t="inlineStr">
        <is>
          <t>{"kind":"passive","label":"&lt;battle&gt;敌方生成的露水有一半分给己方&lt;/battle&gt;","passiveEffect":{"type":"buffGainRedirect","buffId":"dew","ratio":0.5,"rounding":"floor","sourceActor":"enemy","targetActor":"self","label":"&lt;battle&gt;敌方生成的露水有一半分给己方&lt;/battle&gt;"},"starOverrides":{"1":{"passiveEffect":{"ratio":0.67,"label":"&lt;battle&gt;敌方生成的露水有 67% 分给己方&lt;/battle&gt;"},"label":"&lt;battle&gt;敌方生成的露水有 67% 分给己方&lt;/battle&gt;"},"2":{"passiveEffect":{"ratio":0.83,"label":"&lt;battle&gt;敌方生成的露水有 83% 分给己方&lt;/battle&gt;"},"label":"&lt;battle&gt;敌方生成的露水有 83% 分给己方&lt;/battle&gt;"},"3":{"passiveEffect":{"ratio":1,"label":"&lt;battle&gt;敌方生成的露水有 100% 分给己方&lt;/battle&gt;"},"label":"&lt;battle&gt;敌方生成的露水有 100% 分给己方&lt;/battle&gt;"}}}</t>
        </is>
      </c>
    </row>
    <row r="1176" ht="32" customHeight="1">
      <c r="A1176" s="8" t="n">
        <v>418035</v>
      </c>
      <c r="B1176" s="8" t="inlineStr">
        <is>
          <t>冷银水位尺</t>
        </is>
      </c>
      <c r="C1176" s="8" t="inlineStr">
        <is>
          <t>法器</t>
        </is>
      </c>
      <c r="D1176" s="8" t="inlineStr">
        <is>
          <t>spirit</t>
        </is>
      </c>
      <c r="E1176" s="8" t="inlineStr">
        <is>
          <t>water</t>
        </is>
      </c>
      <c r="F1176" s="8" t="n">
        <v>1</v>
      </c>
      <c r="G1176" s="8" t="inlineStr">
        <is>
          <t>基础/顶层</t>
        </is>
      </c>
      <c r="H1176" s="8" t="inlineStr"/>
      <c r="I1176" s="9" t="inlineStr"/>
      <c r="J1176" s="8" t="inlineStr"/>
      <c r="K1176" s="8" t="inlineStr"/>
      <c r="L1176" s="8" t="inlineStr"/>
      <c r="M1176" s="8" t="inlineStr">
        <is>
          <t>条件触发</t>
        </is>
      </c>
      <c r="N1176" s="8" t="inlineStr">
        <is>
          <t>triggered</t>
        </is>
      </c>
      <c r="O1176" s="9" t="inlineStr">
        <is>
          <t>充能：累计生成 100 层露水后，对敌方造成 360 点伤害；充能：累计生成 100 层露水后，对敌方造成 450 点伤害；充能：累计生成 100 层露水后，对敌方造成 540 点伤害；充能：累计生成 100 层露水后，对敌方造成 630 点伤害</t>
        </is>
      </c>
      <c r="P1176" s="9" t="inlineStr">
        <is>
          <t>onBuffGain</t>
        </is>
      </c>
      <c r="Q1176" s="9" t="inlineStr">
        <is>
          <t>battleDamageHealth</t>
        </is>
      </c>
      <c r="R1176" s="9" t="inlineStr">
        <is>
          <t>{"kind":"triggered","label":"充能：累计生成 100 层露水后，&lt;battle&gt;对敌方造成 360 点伤害&lt;/battle&gt;","triggeredEffect":{"trigger":"onBuffGain","eventBuffId":"dew","type":"battleDamageHealth","amount":360,"charge":{"threshold":100,"source":{"trigger":"onBuffGain","buffIds":["dew"]}}},"starOverrides":{"1":{"triggeredEffect":{"amount":450},"label":"充能：累计生成 100 层露水后，&lt;battle&gt;对敌方造成 450 点伤害&lt;/battle&gt;"},"2":{"triggeredEffect":{"amount":540},"label":"充能：累计生成 100 层露水后，&lt;battle&gt;对敌方造成 540 点伤害&lt;/battle&gt;"},"3":{"triggeredEffect":{"amount":630},"label":"充能：累计生成 100 层露水后，&lt;battle&gt;对敌方造成 630 点伤害&lt;/battle&gt;"}}}</t>
        </is>
      </c>
    </row>
    <row r="1177" ht="32" customHeight="1">
      <c r="A1177" s="8" t="n">
        <v>418036</v>
      </c>
      <c r="B1177" s="8" t="inlineStr">
        <is>
          <t>回澜疗契卷</t>
        </is>
      </c>
      <c r="C1177" s="8" t="inlineStr">
        <is>
          <t>法器</t>
        </is>
      </c>
      <c r="D1177" s="8" t="inlineStr">
        <is>
          <t>spirit</t>
        </is>
      </c>
      <c r="E1177" s="8" t="inlineStr">
        <is>
          <t>water</t>
        </is>
      </c>
      <c r="F1177" s="8" t="n">
        <v>1</v>
      </c>
      <c r="G1177" s="8" t="inlineStr">
        <is>
          <t>基础/顶层</t>
        </is>
      </c>
      <c r="H1177" s="8" t="inlineStr"/>
      <c r="I1177" s="9" t="inlineStr"/>
      <c r="J1177" s="8" t="inlineStr"/>
      <c r="K1177" s="8" t="inlineStr"/>
      <c r="L1177" s="8" t="inlineStr"/>
      <c r="M1177" s="8" t="inlineStr">
        <is>
          <t>周期触发</t>
        </is>
      </c>
      <c r="N1177" s="8" t="inlineStr">
        <is>
          <t>periodicPulse</t>
        </is>
      </c>
      <c r="O1177" s="9" t="inlineStr">
        <is>
          <t>消耗 4 点精血，恢复 600 点气血；消耗 4 点精血，恢复 750 点气血；消耗 4 点精血，恢复 900 点气血；消耗 4 点精血，恢复 1050 点气血</t>
        </is>
      </c>
      <c r="P1177" s="9" t="inlineStr"/>
      <c r="Q1177" s="9" t="inlineStr"/>
      <c r="R1177" s="9" t="inlineStr">
        <is>
          <t>{"kind":"periodicPulse","label":"消耗 4 点精血，恢复 600 点气血","periodicPulse":{"intervalSec":20,"primaryStatCosts":[{"stat":"bloodEssence","amount":4}],"primaryStatGains":[{"stat":"health","amount":600}],"label":"消耗 4 点精血，恢复 600 点气血"},"starOverrides":{"1":{"periodicPulse":{"primaryStatGains":[{"stat":"health","amount":750}],"label":"消耗 4 点精血，恢复 750 点气血"},"label":"消耗 4 点精血，恢复 750 点气血"},"2":{"periodicPulse":{"primaryStatGains":[{"stat":"health","amount":900}],"label":"消耗 4 点精血，恢复 900 点气血"},"label":"消耗 4 点精血，恢复 900 点气血"},"3":{"periodicPulse":{"primaryStatGains":[{"stat":"health","amount":1050}],"label":"消耗 4 点精血，恢复 1050 点气血"},"label":"消耗 4 点精血，恢复 1050 点气血"}}}</t>
        </is>
      </c>
    </row>
    <row r="1178" ht="32" customHeight="1">
      <c r="A1178" s="8" t="n">
        <v>418037</v>
      </c>
      <c r="B1178" s="8" t="inlineStr">
        <is>
          <t>月白收伤肩契</t>
        </is>
      </c>
      <c r="C1178" s="8" t="inlineStr">
        <is>
          <t>法器</t>
        </is>
      </c>
      <c r="D1178" s="8" t="inlineStr">
        <is>
          <t>spirit</t>
        </is>
      </c>
      <c r="E1178" s="8" t="inlineStr">
        <is>
          <t>water</t>
        </is>
      </c>
      <c r="F1178" s="8" t="n">
        <v>1</v>
      </c>
      <c r="G1178" s="8" t="inlineStr">
        <is>
          <t>基础/顶层</t>
        </is>
      </c>
      <c r="H1178" s="8" t="inlineStr"/>
      <c r="I1178" s="9" t="inlineStr"/>
      <c r="J1178" s="8" t="inlineStr"/>
      <c r="K1178" s="8" t="inlineStr"/>
      <c r="L1178" s="8" t="inlineStr"/>
      <c r="M1178" s="8" t="inlineStr">
        <is>
          <t>被动效果</t>
        </is>
      </c>
      <c r="N1178" s="8" t="inlineStr">
        <is>
          <t>passive</t>
        </is>
      </c>
      <c r="O1178" s="9" t="inlineStr">
        <is>
          <t>气血上限 +0，受到伤害后效果升级。；气血上限</t>
        </is>
      </c>
      <c r="P1178" s="9" t="inlineStr">
        <is>
          <t>onIncomingHealthDamage</t>
        </is>
      </c>
      <c r="Q1178" s="9" t="inlineStr">
        <is>
          <t>primaryStatMaxFlatBonus</t>
        </is>
      </c>
      <c r="R1178" s="9" t="inlineStr">
        <is>
          <t>{"kind":"passive","label":"&lt;battle&gt;气血上限 +0，受到伤害后效果升级&lt;/battle&gt;。","passiveEffect":{"type":"primaryStatMaxFlatBonus","stat":"health","value":0,"label":"&lt;battle&gt;气血上限 +0，受到伤害后效果升级&lt;/battle&gt;。"},"growth":{"lifecycle":"singleGame","trigger":"onIncomingHealthDamage","bindings":[{"path":"passiveEffect.value","delta":40,"maxValue":400,"label":"气血上限","textOccurrence":0}],"support":"battleOnly"},"starOverrides":{"1":{"growth":{"bindings":[{"delta":50,"maxValue":500}]}},"2":{"growth":{"bindings":[{"delta":60,"maxValue":600}]}},"3":{"growth":{"bindings":[{"delta":70,"maxValue":700}]}}}}</t>
        </is>
      </c>
    </row>
    <row r="1179" ht="32" customHeight="1">
      <c r="A1179" s="8" t="n">
        <v>418038</v>
      </c>
      <c r="B1179" s="8" t="inlineStr">
        <is>
          <t>沉息石枕</t>
        </is>
      </c>
      <c r="C1179" s="8" t="inlineStr">
        <is>
          <t>法器</t>
        </is>
      </c>
      <c r="D1179" s="8" t="inlineStr">
        <is>
          <t>spirit</t>
        </is>
      </c>
      <c r="E1179" s="8" t="inlineStr">
        <is>
          <t>water</t>
        </is>
      </c>
      <c r="F1179" s="8" t="n">
        <v>1</v>
      </c>
      <c r="G1179" s="8" t="inlineStr">
        <is>
          <t>基础/顶层</t>
        </is>
      </c>
      <c r="H1179" s="8" t="inlineStr"/>
      <c r="I1179" s="9" t="inlineStr"/>
      <c r="J1179" s="8" t="inlineStr"/>
      <c r="K1179" s="8" t="inlineStr"/>
      <c r="L1179" s="8" t="inlineStr"/>
      <c r="M1179" s="8" t="inlineStr">
        <is>
          <t>条件触发</t>
        </is>
      </c>
      <c r="N1179" s="8" t="inlineStr">
        <is>
          <t>triggered</t>
        </is>
      </c>
      <c r="O1179" s="9" t="inlineStr">
        <is>
          <t>充能：累计生成 50 层蓄势后，恢复 600 点气血；充能：累计生成 50 层蓄势后，恢复 750 点气血；充能：累计生成 50 层蓄势后，恢复 900 点气血；充能：累计生成 50 层蓄势后，恢复 1050 点气血</t>
        </is>
      </c>
      <c r="P1179" s="9" t="inlineStr">
        <is>
          <t>onBuffGain</t>
        </is>
      </c>
      <c r="Q1179" s="9" t="inlineStr">
        <is>
          <t>modifyPlayerPrimaryStat</t>
        </is>
      </c>
      <c r="R1179" s="9" t="inlineStr">
        <is>
          <t>{"kind":"triggered","label":"充能：累计生成 50 层蓄势后，恢复 600 点气血","triggeredEffect":{"trigger":"onBuffGain","eventBuffId":"heavy","type":"modifyPlayerPrimaryStat","stat":"health","delta":600,"charge":{"threshold":50,"source":{"trigger":"onBuffGain","buffIds":["heavy"]}}},"starOverrides":{"1":{"triggeredEffect":{"delta":750},"label":"充能：累计生成 50 层蓄势后，恢复 750 点气血"},"2":{"triggeredEffect":{"delta":900},"label":"充能：累计生成 50 层蓄势后，恢复 900 点气血"},"3":{"triggeredEffect":{"delta":1050},"label":"充能：累计生成 50 层蓄势后，恢复 1050 点气血"}}}</t>
        </is>
      </c>
    </row>
    <row r="1180" ht="32" customHeight="1">
      <c r="A1180" s="8" t="n">
        <v>418039</v>
      </c>
      <c r="B1180" s="8" t="inlineStr">
        <is>
          <t>调息竹短杖</t>
        </is>
      </c>
      <c r="C1180" s="8" t="inlineStr">
        <is>
          <t>法器</t>
        </is>
      </c>
      <c r="D1180" s="8" t="inlineStr">
        <is>
          <t>spirit</t>
        </is>
      </c>
      <c r="E1180" s="8" t="inlineStr">
        <is>
          <t>water</t>
        </is>
      </c>
      <c r="F1180" s="8" t="n">
        <v>1</v>
      </c>
      <c r="G1180" s="8" t="inlineStr">
        <is>
          <t>基础/顶层</t>
        </is>
      </c>
      <c r="H1180" s="8" t="inlineStr"/>
      <c r="I1180" s="9" t="inlineStr"/>
      <c r="J1180" s="8" t="inlineStr"/>
      <c r="K1180" s="8" t="inlineStr"/>
      <c r="L1180" s="8" t="inlineStr"/>
      <c r="M1180" s="8" t="inlineStr">
        <is>
          <t>周期触发</t>
        </is>
      </c>
      <c r="N1180" s="8" t="inlineStr">
        <is>
          <t>periodicPulse</t>
        </is>
      </c>
      <c r="O1180" s="9" t="inlineStr">
        <is>
          <t>最多消耗 10 层露水；每消耗 1 层，恢复 5 点气血，并对敌方造成 15 点伤害；最多消耗 12 层露水；每消耗 1 层，恢复 10 点气血，并对敌方造成 15 点伤害；最多消耗 14 层露水；每消耗 1 层，恢复 10 点气血，并对敌方造成 15 点伤害；最多消耗 16 层露水；每消耗 1 层，恢复 10 点气血，并对敌方造成 15 点伤害</t>
        </is>
      </c>
      <c r="P1180" s="9" t="inlineStr">
        <is>
          <t>onPeriodicPulse</t>
        </is>
      </c>
      <c r="Q1180" s="9" t="inlineStr">
        <is>
          <t>consumeBuffStacks</t>
        </is>
      </c>
      <c r="R1180" s="9" t="inlineStr">
        <is>
          <t>{"kind":"periodicPulse","periodicPulse":{"intervalSec":5,"label":"最多消耗 10 层露水；每消耗 1 层，恢复 5 点气血，&lt;battle&gt;并对敌方造成 15 点伤害&lt;/battle&gt;"},"executors":[{"trigger":"onPeriodicPulse","type":"consumeBuffStacks","sourceBuffId":"dew","maxStacks":10,"primaryStatGainPerStack":{"stat":"health","amount":5},"battleDamageHealthPerStack":15,"support":"common","activationRequirements":{"buffStackThresholds":[{"buffId":"dew","comparator":"atLeast","count":1}]},"label":"最多消耗 10 层露水；每消耗 1 层，恢复 5 点气血，&lt;battle&gt;并对敌方造成 15 点伤害&lt;/battle&gt;"}],"starOverrides":{"1":{"periodicPulse":{"label":"最多消耗 12 层露水；每消耗 1 层，恢复 10 点气血，&lt;battle&gt;并对敌方造成 15 点伤害&lt;/battle&gt;"},"executors":[{"trigger":"onPeriodicPulse","type":"consumeBuffStacks","sourceBuffId":"dew","maxStacks":12,"primaryStatGainPerStack":{"stat":"health","amount":5},"battleDamageHealthPerStack":15,"support":"common","activationRequirements":{"buffStackThresholds":[{"buffId":"dew","comparator":"atLeast","count":1}]},"label":"最多消耗 12 层露水；每消耗 1 层，恢复 10 点气血，&lt;battle&gt;并对敌方造成 15 点伤害&lt;/battle&gt;"}],"label":"最多消耗 12 层露水；每消耗 1 层，恢复 10 点气血，&lt;battle&gt;并对敌方造成 15 点伤害&lt;/battle&gt;"},"2":{"periodicPulse":{"label":"最多消耗 14 层露水；每消耗 1 层，恢复 10 点气血，&lt;battle&gt;并对敌方造成 15 点伤害&lt;/battle&gt;"},"executors":[{"trigger":"onPeriodicPulse","type":"consumeBuffStacks","sourceBuffId":"dew","maxStacks":14,"primaryStatGainPerStack":{"stat":"health","amount":5},"battleDamageHealthPerStack":15,"support":"common","activationRequirements":{"buffStackThresholds":[{"buffId":"dew","comparator":"atLeast","count":1}]},"label":"最多消耗 14 层露水；每消耗 1 层，恢复 10 点气血，&lt;battle&gt;并对敌方造成 15 点伤害&lt;/battle&gt;"}],"label":"最多消耗 14 层露水；每消耗 1 层，恢复 10 点气血，&lt;battle&gt;并对敌方造成 15 点伤害&lt;/battle&gt;"},"3":{"periodicPulse":{"label":"最多消耗 16 层露水；每消耗 1 层，恢复 10 点气血，&lt;battle&gt;并对敌方造成 15 点伤害&lt;/battle&gt;"},"executors":[{"trigger":"onPeriodicPulse","type":"consumeBuffStacks","sourceBuffId":"dew","maxStacks":16,"primaryStatGainPerStack":{"stat":"health","amount":5},"battleDamageHealthPerStack":15,"support":"common","activationRequirements":{"buffStackThresholds":[{"buffId":"dew","comparator":"atLeast","count":1}]},"label":"最多消耗 16 层露水；每消耗 1 层，恢复 10 点气血，&lt;battle&gt;并对敌方造成 15 点伤害&lt;/battle&gt;"}],"label":"最多消耗 16 层露水；每消耗 1 层，恢复 10 点气血，&lt;battle&gt;并对敌方造成 15 点伤害&lt;/battle&gt;"}}}</t>
        </is>
      </c>
    </row>
    <row r="1181" ht="32" customHeight="1">
      <c r="A1181" s="8" t="n">
        <v>418040</v>
      </c>
      <c r="B1181" s="8" t="inlineStr">
        <is>
          <t>澄月缺镜</t>
        </is>
      </c>
      <c r="C1181" s="8" t="inlineStr">
        <is>
          <t>法器</t>
        </is>
      </c>
      <c r="D1181" s="8" t="inlineStr">
        <is>
          <t>mystic</t>
        </is>
      </c>
      <c r="E1181" s="8" t="inlineStr">
        <is>
          <t>water</t>
        </is>
      </c>
      <c r="F1181" s="8" t="n">
        <v>1</v>
      </c>
      <c r="G1181" s="8" t="inlineStr">
        <is>
          <t>基础/顶层</t>
        </is>
      </c>
      <c r="H1181" s="8" t="inlineStr"/>
      <c r="I1181" s="9" t="inlineStr"/>
      <c r="J1181" s="8" t="inlineStr"/>
      <c r="K1181" s="8" t="inlineStr"/>
      <c r="L1181" s="8" t="inlineStr"/>
      <c r="M1181" s="8" t="inlineStr">
        <is>
          <t>条件触发</t>
        </is>
      </c>
      <c r="N1181" s="8" t="inlineStr">
        <is>
          <t>triggered</t>
        </is>
      </c>
      <c r="O1181" s="9" t="inlineStr">
        <is>
          <t>受到伤害时，获得 20 层露水；受到伤害时，获得 24 层露水；受到伤害时，获得 28 层露水；受到伤害时，获得 32 层露水</t>
        </is>
      </c>
      <c r="P1181" s="9" t="inlineStr">
        <is>
          <t>onIncomingHealthDamage</t>
        </is>
      </c>
      <c r="Q1181" s="9" t="inlineStr">
        <is>
          <t>applyBuff</t>
        </is>
      </c>
      <c r="R1181" s="9" t="inlineStr">
        <is>
          <t>{"kind":"triggered","label":"&lt;battle&gt;受到伤害时，获得 20 层露水&lt;/battle&gt;","triggeredEffect":{"trigger":"onIncomingHealthDamage","type":"applyBuff","buffId":"dew","count":20,"support":"battleOnly"},"starOverrides":{"1":{"label":"&lt;battle&gt;受到伤害时，获得 24 层露水&lt;/battle&gt;","triggeredEffect":{"count":24}},"2":{"label":"&lt;battle&gt;受到伤害时，获得 28 层露水&lt;/battle&gt;","triggeredEffect":{"count":28}},"3":{"label":"&lt;battle&gt;受到伤害时，获得 32 层露水&lt;/battle&gt;","triggeredEffect":{"count":32}}}}</t>
        </is>
      </c>
    </row>
    <row r="1182" ht="32" customHeight="1">
      <c r="A1182" s="8" t="n">
        <v>418040</v>
      </c>
      <c r="B1182" s="8" t="inlineStr">
        <is>
          <t>澄月缺镜</t>
        </is>
      </c>
      <c r="C1182" s="8" t="inlineStr">
        <is>
          <t>法器</t>
        </is>
      </c>
      <c r="D1182" s="8" t="inlineStr">
        <is>
          <t>mystic</t>
        </is>
      </c>
      <c r="E1182" s="8" t="inlineStr">
        <is>
          <t>water</t>
        </is>
      </c>
      <c r="F1182" s="8" t="n">
        <v>2</v>
      </c>
      <c r="G1182" s="8" t="inlineStr">
        <is>
          <t>基础/顶层</t>
        </is>
      </c>
      <c r="H1182" s="8" t="inlineStr"/>
      <c r="I1182" s="9" t="inlineStr"/>
      <c r="J1182" s="8" t="inlineStr"/>
      <c r="K1182" s="8" t="inlineStr"/>
      <c r="L1182" s="8" t="inlineStr"/>
      <c r="M1182" s="8" t="inlineStr">
        <is>
          <t>周期触发</t>
        </is>
      </c>
      <c r="N1182" s="8" t="inlineStr">
        <is>
          <t>periodicPulse</t>
        </is>
      </c>
      <c r="O1182" s="9" t="inlineStr">
        <is>
          <t>对敌方施加 40 层冰霜；对敌方施加 48 层冰霜；对敌方施加 56 层冰霜；对敌方施加 64 层冰霜</t>
        </is>
      </c>
      <c r="P1182" s="9" t="inlineStr"/>
      <c r="Q1182" s="9" t="inlineStr"/>
      <c r="R1182" s="9" t="inlineStr">
        <is>
          <t>{"kind":"periodicPulse","periodicPulse":{"intervalSec":5,"label":"&lt;battle&gt;对敌方施加 40 层冰霜&lt;/battle&gt;","buffGains":[{"buffId":"frost","count":40,"target":"enemy"}]},"starOverrides":{"1":{"periodicPulse":{"label":"&lt;battle&gt;对敌方施加 48 层冰霜&lt;/battle&gt;","buffGains":[{"buffId":"frost","count":48,"target":"enemy"}]},"label":"&lt;battle&gt;对敌方施加 48 层冰霜&lt;/battle&gt;"},"2":{"periodicPulse":{"label":"&lt;battle&gt;对敌方施加 56 层冰霜&lt;/battle&gt;","buffGains":[{"buffId":"frost","count":56,"target":"enemy"}]},"label":"&lt;battle&gt;对敌方施加 56 层冰霜&lt;/battle&gt;"},"3":{"periodicPulse":{"label":"&lt;battle&gt;对敌方施加 64 层冰霜&lt;/battle&gt;","buffGains":[{"buffId":"frost","count":64,"target":"enemy"}]},"label":"&lt;battle&gt;对敌方施加 64 层冰霜&lt;/battle&gt;"}}}</t>
        </is>
      </c>
    </row>
    <row r="1183" ht="32" customHeight="1">
      <c r="A1183" s="8" t="n">
        <v>418041</v>
      </c>
      <c r="B1183" s="8" t="inlineStr">
        <is>
          <t>三环分水仪</t>
        </is>
      </c>
      <c r="C1183" s="8" t="inlineStr">
        <is>
          <t>法器</t>
        </is>
      </c>
      <c r="D1183" s="8" t="inlineStr">
        <is>
          <t>mystic</t>
        </is>
      </c>
      <c r="E1183" s="8" t="inlineStr">
        <is>
          <t>water</t>
        </is>
      </c>
      <c r="F1183" s="8" t="n">
        <v>1</v>
      </c>
      <c r="G1183" s="8" t="inlineStr">
        <is>
          <t>基础/顶层</t>
        </is>
      </c>
      <c r="H1183" s="8" t="inlineStr"/>
      <c r="I1183" s="9" t="inlineStr"/>
      <c r="J1183" s="8" t="inlineStr"/>
      <c r="K1183" s="8" t="inlineStr"/>
      <c r="L1183" s="8" t="inlineStr"/>
      <c r="M1183" s="8" t="inlineStr">
        <is>
          <t>周期触发</t>
        </is>
      </c>
      <c r="N1183" s="8" t="inlineStr">
        <is>
          <t>periodicPulse</t>
        </is>
      </c>
      <c r="O1183" s="9" t="inlineStr">
        <is>
          <t>开局时，获得 48 层露水并恢复 48 点法力；开局时，获得 60 层露水并恢复 60 点法力；开局时，获得 72 层露水并恢复 72 点法力；开局时，获得 84 层露水并恢复 84 点法力</t>
        </is>
      </c>
      <c r="P1183" s="9" t="inlineStr"/>
      <c r="Q1183" s="9" t="inlineStr"/>
      <c r="R1183" s="9" t="inlineStr">
        <is>
          <t>{"kind":"periodicPulse","periodicPulse":{"startOnly":true,"label":"开局时，获得 48 层露水并恢复 48 点法力","buffGains":[{"buffId":"dew","count":48}],"primaryStatGains":[{"stat":"mana","amount":48}]},"starOverrides":{"1":{"periodicPulse":{"label":"开局时，获得 60 层露水并恢复 60 点法力","buffGains":[{"buffId":"dew","count":60}],"primaryStatGains":[{"stat":"mana","amount":60}]},"label":"开局时，获得 60 层露水并恢复 60 点法力"},"2":{"periodicPulse":{"label":"开局时，获得 72 层露水并恢复 72 点法力","buffGains":[{"buffId":"dew","count":72}],"primaryStatGains":[{"stat":"mana","amount":72}]},"label":"开局时，获得 72 层露水并恢复 72 点法力"},"3":{"periodicPulse":{"label":"开局时，获得 84 层露水并恢复 84 点法力","buffGains":[{"buffId":"dew","count":84}],"primaryStatGains":[{"stat":"mana","amount":84}]},"label":"开局时，获得 84 层露水并恢复 84 点法力"}}}</t>
        </is>
      </c>
    </row>
    <row r="1184" ht="32" customHeight="1">
      <c r="A1184" s="8" t="n">
        <v>418042</v>
      </c>
      <c r="B1184" s="8" t="inlineStr">
        <is>
          <t>静海裁量印</t>
        </is>
      </c>
      <c r="C1184" s="8" t="inlineStr">
        <is>
          <t>法器</t>
        </is>
      </c>
      <c r="D1184" s="8" t="inlineStr">
        <is>
          <t>mystic</t>
        </is>
      </c>
      <c r="E1184" s="8" t="inlineStr">
        <is>
          <t>water</t>
        </is>
      </c>
      <c r="F1184" s="8" t="n">
        <v>1</v>
      </c>
      <c r="G1184" s="8" t="inlineStr">
        <is>
          <t>基础/顶层</t>
        </is>
      </c>
      <c r="H1184" s="8" t="inlineStr"/>
      <c r="I1184" s="9" t="inlineStr"/>
      <c r="J1184" s="8" t="inlineStr"/>
      <c r="K1184" s="8" t="inlineStr"/>
      <c r="L1184" s="8" t="inlineStr"/>
      <c r="M1184" s="8" t="inlineStr">
        <is>
          <t>周期触发</t>
        </is>
      </c>
      <c r="N1184" s="8" t="inlineStr">
        <is>
          <t>periodicPulse</t>
        </is>
      </c>
      <c r="O1184" s="9" t="inlineStr">
        <is>
          <t>消耗 176 点法力，消耗至多 32 层寒冷，造成 160 点伤害并按每层寒冷追加 15 点伤害，使敌方一件最大道具冻结 2 秒；消耗 192 点法力，消耗至多 10 层寒冷，造成 200 点伤害并按每层寒冷追加 15 点伤害，使敌方一件最大道具冻结 3 秒；消耗 208 点法力，消耗至多 12 层寒冷，造成 240 点伤害并按每层寒冷追加 15 点伤害，使敌方一件最大道具冻结 4 秒；消耗 224 点法力，消耗至多 14 层寒冷，造成 280 点伤害并按每层寒冷追加 18 点伤害，使敌方一件最大道具冻结 5 秒</t>
        </is>
      </c>
      <c r="P1184" s="9" t="inlineStr"/>
      <c r="Q1184" s="9" t="inlineStr"/>
      <c r="R1184" s="9" t="inlineStr">
        <is>
          <t>{"kind":"periodicPulse","label":"消耗 176 点法力，消耗至多 32 层寒冷，&lt;battle&gt;造成 160 点伤害并按每层寒冷追加 15 点伤害，使敌方一件最大道具冻结 2 秒&lt;/battle&gt;","periodicPulse":{"intervalSec":7,"label":"消耗 176 点法力，消耗至多 32 层寒冷，&lt;battle&gt;造成 160 点伤害并按每层寒冷追加 15 点伤害，使敌方一件最大道具冻结 2 秒&lt;/battle&gt;","primaryStatCosts":[{"stat":"mana","amount":176}],"damageHealth":{"target":"enemy","amount":160,"amountPerTargetBuffStack":{"buffId":"cold","valuePerStack":15,"maxStacks":32},"removeTargetBuffStacksAfterDamage":{"buffId":"cold","count":32}},"itemRuntimeStatusEffects":[{"itemRuntimeStatus":"freeze","durationSec":2,"targetScope":"enemyLargest"}]},"starOverrides":{"1":{"label":"消耗 192 点法力，消耗至多 10 层寒冷，&lt;battle&gt;造成 200 点伤害并按每层寒冷追加 15 点伤害，使敌方一件最大道具冻结 3 秒&lt;/battle&gt;","periodicPulse":{"label":"消耗 192 点法力，消耗至多 10 层寒冷，&lt;battle&gt;造成 200 点伤害并按每层寒冷追加 15 点伤害，使敌方一件最大道具冻结 3 秒&lt;/battle&gt;","primaryStatCosts":[{"amount":192}],"damageHealth":{"amount":200,"amountPerTargetBuffStack":{"maxStacks":10},"removeTargetBuffStacksAfterDamage":{"count":10}},"itemRuntimeStatusEffects":[{"itemRuntimeStatus":"freeze","durationSec":3,"targetScope":"enemyLargest"}]}},"2":{"label":"消耗 208 点法力，消耗至多 12 层寒冷，&lt;battle&gt;造成 240 点伤害并按每层寒冷追加 15 点伤害，使敌方一件最大道具冻结 4 秒&lt;/battle&gt;","periodicPulse":{"label":"消耗 208 点法力，消耗至多 12 层寒冷，&lt;battle&gt;造成 240 点伤害并按每层寒冷追加 15 点伤害，使敌方一件最大道具冻结 4 秒&lt;/battle&gt;","primaryStatCosts":[{"amount":208}],"damageHealth":{"amount":240,"amountPerTargetBuffStack":{"maxStacks":12},"removeTargetBuffStacksAfterDamage":{"count":12}},"itemRuntimeStatusEffects":[{"itemRuntimeStatus":"freeze","durationSec":4,"targetScope":"enemyLargest"}]}},"3":{"label":"消耗 224 点法力，消耗至多 14 层寒冷，&lt;battle&gt;造成 280 点伤害并按每层寒冷追加 18 点伤害，使敌方一件最大道具冻结 5 秒&lt;/battle&gt;","periodicPulse":{"label":"消耗 224 点法力，消耗至多 14 层寒冷，&lt;battle&gt;造成 280 点伤害并按每层寒冷追加 18 点伤害，使敌方一件最大道具冻结 5 秒&lt;/battle&gt;","primaryStatCosts":[{"amount":224}],"damageHealth":{"amount":280,"amountPerTargetBuffStack":{"valuePerStack":18,"maxStacks":14},"removeTargetBuffStacksAfterDamage":{"count":14}},"itemRuntimeStatusEffects":[{"itemRuntimeStatus":"freeze","durationSec":5,"targetScope":"enemyLargest"}]}}}}</t>
        </is>
      </c>
    </row>
    <row r="1185" ht="32" customHeight="1">
      <c r="A1185" s="8" t="n">
        <v>418043</v>
      </c>
      <c r="B1185" s="8" t="inlineStr">
        <is>
          <t>镇脉玄炉</t>
        </is>
      </c>
      <c r="C1185" s="8" t="inlineStr">
        <is>
          <t>法器</t>
        </is>
      </c>
      <c r="D1185" s="8" t="inlineStr">
        <is>
          <t>mystic</t>
        </is>
      </c>
      <c r="E1185" s="8" t="inlineStr">
        <is>
          <t>fire</t>
        </is>
      </c>
      <c r="F1185" s="8" t="n">
        <v>1</v>
      </c>
      <c r="G1185" s="8" t="inlineStr">
        <is>
          <t>基础/顶层</t>
        </is>
      </c>
      <c r="H1185" s="8" t="inlineStr"/>
      <c r="I1185" s="9" t="inlineStr"/>
      <c r="J1185" s="8" t="inlineStr"/>
      <c r="K1185" s="8" t="inlineStr"/>
      <c r="L1185" s="8" t="inlineStr"/>
      <c r="M1185" s="8" t="inlineStr">
        <is>
          <t>周期触发</t>
        </is>
      </c>
      <c r="N1185" s="8" t="inlineStr">
        <is>
          <t>periodicPulse</t>
        </is>
      </c>
      <c r="O1185" s="9" t="inlineStr">
        <is>
          <t>消耗 240 点法力，敌方有不少于 40 层灼烧时，消耗 40 层灼烧并造成 1320 点伤害</t>
        </is>
      </c>
      <c r="P1185" s="9" t="inlineStr"/>
      <c r="Q1185" s="9" t="inlineStr">
        <is>
          <t>targetBuffStacksGreaterThan</t>
        </is>
      </c>
      <c r="R1185" s="9" t="inlineStr">
        <is>
          <t>{"kind":"periodicPulse","periodicPulse":{"intervalSec":6,"label":"消耗 240 点法力，&lt;battle&gt;敌方有不少于 40 层灼烧时，消耗 40 层灼烧并造成 1320 点伤害&lt;/battle&gt;","primaryStatCosts":[{"stat":"mana","amount":240}],"battleCondition":{"type":"targetBuffStacksGreaterThan","buffId":"burning","count":9},"removeBuffStacks":[{"target":"enemy","buffId":"burning","count":40}],"damageHealth":{"target":"enemy","amount":1320}}}</t>
        </is>
      </c>
    </row>
    <row r="1186" ht="32" customHeight="1">
      <c r="A1186" s="8" t="n">
        <v>418044</v>
      </c>
      <c r="B1186" s="8" t="inlineStr">
        <is>
          <t>丹霞地火鉴</t>
        </is>
      </c>
      <c r="C1186" s="8" t="inlineStr">
        <is>
          <t>法器</t>
        </is>
      </c>
      <c r="D1186" s="8" t="inlineStr">
        <is>
          <t>mystic</t>
        </is>
      </c>
      <c r="E1186" s="8" t="inlineStr">
        <is>
          <t>fire</t>
        </is>
      </c>
      <c r="F1186" s="8" t="n">
        <v>1</v>
      </c>
      <c r="G1186" s="8" t="inlineStr">
        <is>
          <t>基础/顶层</t>
        </is>
      </c>
      <c r="H1186" s="8" t="inlineStr"/>
      <c r="I1186" s="9" t="inlineStr"/>
      <c r="J1186" s="8" t="inlineStr"/>
      <c r="K1186" s="8" t="inlineStr"/>
      <c r="L1186" s="8" t="inlineStr"/>
      <c r="M1186" s="8" t="inlineStr">
        <is>
          <t>周期触发</t>
        </is>
      </c>
      <c r="N1186" s="8" t="inlineStr">
        <is>
          <t>periodicPulse</t>
        </is>
      </c>
      <c r="O1186" s="9" t="inlineStr">
        <is>
          <t>开局时，消耗 168 点法力并获得 168 层炎热</t>
        </is>
      </c>
      <c r="P1186" s="9" t="inlineStr"/>
      <c r="Q1186" s="9" t="inlineStr"/>
      <c r="R1186" s="9" t="inlineStr">
        <is>
          <t>{"kind":"periodicPulse","periodicPulse":{"startOnly":true,"label":"开局时，消耗 168 点法力并获得 168 层炎热","primaryStatCosts":[{"stat":"mana","amount":168}],"buffGains":[{"buffId":"heat","count":168}]}}</t>
        </is>
      </c>
    </row>
    <row r="1187" ht="32" customHeight="1">
      <c r="A1187" s="8" t="n">
        <v>418046</v>
      </c>
      <c r="B1187" s="8" t="inlineStr">
        <is>
          <t>归火铜环</t>
        </is>
      </c>
      <c r="C1187" s="8" t="inlineStr">
        <is>
          <t>法器</t>
        </is>
      </c>
      <c r="D1187" s="8" t="inlineStr">
        <is>
          <t>spirit</t>
        </is>
      </c>
      <c r="E1187" s="8" t="inlineStr">
        <is>
          <t>fire</t>
        </is>
      </c>
      <c r="F1187" s="8" t="n">
        <v>1</v>
      </c>
      <c r="G1187" s="8" t="inlineStr">
        <is>
          <t>基础/顶层</t>
        </is>
      </c>
      <c r="H1187" s="8" t="inlineStr"/>
      <c r="I1187" s="9" t="inlineStr"/>
      <c r="J1187" s="8" t="inlineStr"/>
      <c r="K1187" s="8" t="inlineStr"/>
      <c r="L1187" s="8" t="inlineStr"/>
      <c r="M1187" s="8" t="inlineStr">
        <is>
          <t>被动效果</t>
        </is>
      </c>
      <c r="N1187" s="8" t="inlineStr">
        <is>
          <t>passive</t>
        </is>
      </c>
      <c r="O1187" s="9" t="inlineStr">
        <is>
          <t>凝金不少于 30 层时，免疫灵品以下火属性道具造成的伤害和灼烧；凝金不少于 27 层时，免疫灵品以下火属性道具造成的伤害和灼烧；凝金不少于 24 层时，免疫灵品以下火属性道具造成的伤害和灼烧；凝金不少于 21 层时，免疫灵品以下火属性道具造成的伤害和灼烧</t>
        </is>
      </c>
      <c r="P1187" s="9" t="inlineStr"/>
      <c r="Q1187" s="9" t="inlineStr">
        <is>
          <t>incomingItemEffectImmunity</t>
        </is>
      </c>
      <c r="R1187" s="9" t="inlineStr">
        <is>
          <t>{"kind":"passive","label":"&lt;battle&gt;凝金不少于 30 层时，免疫灵品以下火属性道具造成的伤害和灼烧&lt;/battle&gt;","passiveEffect":{"type":"incomingItemEffectImmunity","sourceFilter":{"elements":["fire"],"grades":["common","spirit"]},"immuneHealthDamage":true,"immuneBuffIds":["burning"],"activationRequirements":{"buffStackThresholds":[{"buffId":"condensedMetal","comparator":"atLeast","count":30}]},"label":"&lt;battle&gt;凝金不少于 30 层时，免疫灵品以下火属性道具造成的伤害和灼烧&lt;/battle&gt;"},"starOverrides":{"1":{"label":"&lt;battle&gt;凝金不少于 27 层时，免疫灵品以下火属性道具造成的伤害和灼烧&lt;/battle&gt;","passiveEffect":{"activationRequirements":{"buffStackThresholds":[{"buffId":"condensedMetal","comparator":"atLeast","count":27}]},"label":"&lt;battle&gt;凝金不少于 27 层时，免疫灵品以下火属性道具造成的伤害和灼烧&lt;/battle&gt;"}},"2":{"label":"&lt;battle&gt;凝金不少于 24 层时，免疫灵品以下火属性道具造成的伤害和灼烧&lt;/battle&gt;","passiveEffect":{"activationRequirements":{"buffStackThresholds":[{"buffId":"condensedMetal","comparator":"atLeast","count":24}]},"label":"&lt;battle&gt;凝金不少于 24 层时，免疫灵品以下火属性道具造成的伤害和灼烧&lt;/battle&gt;"}},"3":{"label":"&lt;battle&gt;凝金不少于 21 层时，免疫灵品以下火属性道具造成的伤害和灼烧&lt;/battle&gt;","passiveEffect":{"activationRequirements":{"buffStackThresholds":[{"buffId":"condensedMetal","comparator":"atLeast","count":21}]},"label":"&lt;battle&gt;凝金不少于 21 层时，免疫灵品以下火属性道具造成的伤害和灼烧&lt;/battle&gt;"}}}}</t>
        </is>
      </c>
    </row>
    <row r="1188" ht="32" customHeight="1">
      <c r="A1188" s="8" t="n">
        <v>418047</v>
      </c>
      <c r="B1188" s="8" t="inlineStr">
        <is>
          <t>主阵定脉玺</t>
        </is>
      </c>
      <c r="C1188" s="8" t="inlineStr">
        <is>
          <t>法器</t>
        </is>
      </c>
      <c r="D1188" s="8" t="inlineStr">
        <is>
          <t>mystic</t>
        </is>
      </c>
      <c r="E1188" s="8" t="inlineStr">
        <is>
          <t>earth</t>
        </is>
      </c>
      <c r="F1188" s="8" t="n">
        <v>1</v>
      </c>
      <c r="G1188" s="8" t="inlineStr">
        <is>
          <t>基础/顶层</t>
        </is>
      </c>
      <c r="H1188" s="8" t="inlineStr"/>
      <c r="I1188" s="9" t="inlineStr"/>
      <c r="J1188" s="8" t="inlineStr"/>
      <c r="K1188" s="8" t="inlineStr"/>
      <c r="L1188" s="8" t="inlineStr"/>
      <c r="M1188" s="8" t="inlineStr">
        <is>
          <t>周期触发</t>
        </is>
      </c>
      <c r="N1188" s="8" t="inlineStr">
        <is>
          <t>periodicPulse</t>
        </is>
      </c>
      <c r="O1188" s="9" t="inlineStr">
        <is>
          <t>开局时，消耗 112 点法力并获得 112 层坚硬</t>
        </is>
      </c>
      <c r="P1188" s="9" t="inlineStr"/>
      <c r="Q1188" s="9" t="inlineStr"/>
      <c r="R1188" s="9" t="inlineStr">
        <is>
          <t>{"kind":"periodicPulse","periodicPulse":{"startOnly":true,"label":"开局时，消耗 112 点法力并获得 112 层坚硬","primaryStatCosts":[{"stat":"mana","amount":112}],"buffGains":[{"buffId":"sturdy","count":112}]}}</t>
        </is>
      </c>
    </row>
    <row r="1189" ht="32" customHeight="1">
      <c r="A1189" s="8" t="n">
        <v>418048</v>
      </c>
      <c r="B1189" s="8" t="inlineStr">
        <is>
          <t>五阙归元盘</t>
        </is>
      </c>
      <c r="C1189" s="8" t="inlineStr">
        <is>
          <t>法器</t>
        </is>
      </c>
      <c r="D1189" s="8" t="inlineStr">
        <is>
          <t>mystic</t>
        </is>
      </c>
      <c r="E1189" s="8" t="inlineStr">
        <is>
          <t>earth</t>
        </is>
      </c>
      <c r="F1189" s="8" t="n">
        <v>1</v>
      </c>
      <c r="G1189" s="8" t="inlineStr">
        <is>
          <t>基础/顶层</t>
        </is>
      </c>
      <c r="H1189" s="8" t="inlineStr"/>
      <c r="I1189" s="9" t="inlineStr"/>
      <c r="J1189" s="8" t="inlineStr"/>
      <c r="K1189" s="8" t="inlineStr"/>
      <c r="L1189" s="8" t="inlineStr"/>
      <c r="M1189" s="8" t="inlineStr">
        <is>
          <t>周期触发</t>
        </is>
      </c>
      <c r="N1189" s="8" t="inlineStr">
        <is>
          <t>periodicPulse</t>
        </is>
      </c>
      <c r="O1189" s="9" t="inlineStr">
        <is>
          <t>获得 32 层坚硬和 32 层护甲</t>
        </is>
      </c>
      <c r="P1189" s="9" t="inlineStr"/>
      <c r="Q1189" s="9" t="inlineStr"/>
      <c r="R1189" s="9" t="inlineStr">
        <is>
          <t>{"kind":"periodicPulse","periodicPulse":{"intervalSec":5,"label":"获得 32 层坚硬和 32 层护甲","buffGains":[{"buffId":"sturdy","count":32},{"buffId":"armor","count":32}]}}</t>
        </is>
      </c>
    </row>
    <row r="1190" ht="32" customHeight="1">
      <c r="A1190" s="8" t="n">
        <v>418049</v>
      </c>
      <c r="B1190" s="8" t="inlineStr">
        <is>
          <t>青阙定息符佩</t>
        </is>
      </c>
      <c r="C1190" s="8" t="inlineStr">
        <is>
          <t>法器</t>
        </is>
      </c>
      <c r="D1190" s="8" t="inlineStr">
        <is>
          <t>spirit</t>
        </is>
      </c>
      <c r="E1190" s="8" t="inlineStr">
        <is>
          <t>earth</t>
        </is>
      </c>
      <c r="F1190" s="8" t="n">
        <v>1</v>
      </c>
      <c r="G1190" s="8" t="inlineStr">
        <is>
          <t>基础/顶层</t>
        </is>
      </c>
      <c r="H1190" s="8" t="inlineStr"/>
      <c r="I1190" s="9" t="inlineStr"/>
      <c r="J1190" s="8" t="inlineStr"/>
      <c r="K1190" s="8" t="inlineStr"/>
      <c r="L1190" s="8" t="inlineStr"/>
      <c r="M1190" s="8" t="inlineStr">
        <is>
          <t>周期触发</t>
        </is>
      </c>
      <c r="N1190" s="8" t="inlineStr">
        <is>
          <t>periodicPulse</t>
        </is>
      </c>
      <c r="O1190" s="9" t="inlineStr">
        <is>
          <t>消耗 2 点神识，双方所有轮转道具冻结 3 秒；消耗 2 点神识，双方所有轮转道具冻结 4 秒；消耗 2 点神识，双方所有轮转道具冻结 5 秒；消耗 2 点神识，双方所有轮转道具冻结 6 秒</t>
        </is>
      </c>
      <c r="P1190" s="9" t="inlineStr"/>
      <c r="Q1190" s="9" t="inlineStr"/>
      <c r="R1190" s="9" t="inlineStr">
        <is>
          <t>{"kind":"periodicPulse","label":"消耗 2 点神识，&lt;battle&gt;&lt;singleton&gt;双方所有轮转道具冻结 3 秒&lt;/singleton&gt;&lt;/battle&gt;","periodicPulse":{"intervalSec":10,"label":"消耗 2 点神识，&lt;battle&gt;&lt;singleton&gt;双方所有轮转道具冻结 3 秒&lt;/singleton&gt;&lt;/battle&gt;","primaryStatCosts":[{"stat":"spiritSense","amount":2}],"itemRuntimeStatusEffects":[{"itemRuntimeStatus":"freeze","durationSec":3,"targetScope":"bothAll","singletonByTemplate":true,"targetFilter":{"maxBasePeriodicIntervalSecExclusive":999999}}]},"starOverrides":{"1":{"periodicPulse":{"itemRuntimeStatusEffects":[{"itemRuntimeStatus":"freeze","durationSec":4,"targetScope":"bothAll","targetFilter":{"maxBasePeriodicIntervalSecExclusive":999999}}],"label":"消耗 2 点神识，&lt;battle&gt;&lt;singleton&gt;双方所有轮转道具冻结 4 秒&lt;/singleton&gt;&lt;/battle&gt;"},"label":"消耗 2 点神识，&lt;battle&gt;&lt;singleton&gt;双方所有轮转道具冻结 4 秒&lt;/singleton&gt;&lt;/battle&gt;"},"2":{"periodicPulse":{"itemRuntimeStatusEffects":[{"itemRuntimeStatus":"freeze","durationSec":5,"targetScope":"bothAll","targetFilter":{"maxBasePeriodicIntervalSecExclusive":999999}}],"label":"消耗 2 点神识，&lt;battle&gt;&lt;singleton&gt;双方所有轮转道具冻结 5 秒&lt;/singleton&gt;&lt;/battle&gt;"},"label":"消耗 2 点神识，&lt;battle&gt;&lt;singleton&gt;双方所有轮转道具冻结 5 秒&lt;/singleton&gt;&lt;/battle&gt;"},"3":{"periodicPulse":{"itemRuntimeStatusEffects":[{"itemRuntimeStatus":"freeze","durationSec":6,"targetScope":"bothAll","targetFilter":{"maxBasePeriodicIntervalSecExclusive":999999}}],"label":"消耗 2 点神识，&lt;battle&gt;&lt;singleton&gt;双方所有轮转道具冻结 6 秒&lt;/singleton&gt;&lt;/battle&gt;"},"label":"消耗 2 点神识，&lt;battle&gt;&lt;singleton&gt;双方所有轮转道具冻结 6 秒&lt;/singleton&gt;&lt;/battle&gt;"}}}</t>
        </is>
      </c>
    </row>
    <row r="1191" ht="32" customHeight="1">
      <c r="A1191" s="8" t="n">
        <v>418051</v>
      </c>
      <c r="B1191" s="8" t="inlineStr">
        <is>
          <t>返照归衡镜</t>
        </is>
      </c>
      <c r="C1191" s="8" t="inlineStr">
        <is>
          <t>法器</t>
        </is>
      </c>
      <c r="D1191" s="8" t="inlineStr">
        <is>
          <t>mystic</t>
        </is>
      </c>
      <c r="E1191" s="8" t="inlineStr">
        <is>
          <t>water</t>
        </is>
      </c>
      <c r="F1191" s="8" t="n">
        <v>1</v>
      </c>
      <c r="G1191" s="8" t="inlineStr">
        <is>
          <t>基础/顶层</t>
        </is>
      </c>
      <c r="H1191" s="8" t="inlineStr"/>
      <c r="I1191" s="9" t="inlineStr"/>
      <c r="J1191" s="8" t="inlineStr"/>
      <c r="K1191" s="8" t="inlineStr"/>
      <c r="L1191" s="8" t="inlineStr"/>
      <c r="M1191" s="8" t="inlineStr">
        <is>
          <t>条件触发</t>
        </is>
      </c>
      <c r="N1191" s="8" t="inlineStr">
        <is>
          <t>triggered</t>
        </is>
      </c>
      <c r="O1191" s="9" t="inlineStr">
        <is>
          <t>受到伤害时，获得 56 层露水</t>
        </is>
      </c>
      <c r="P1191" s="9" t="inlineStr">
        <is>
          <t>onIncomingHealthDamage</t>
        </is>
      </c>
      <c r="Q1191" s="9" t="inlineStr">
        <is>
          <t>applyBuff</t>
        </is>
      </c>
      <c r="R1191" s="9" t="inlineStr">
        <is>
          <t>{"kind":"triggered","label":"&lt;battle&gt;受到伤害时，获得 56 层露水&lt;/battle&gt;","triggeredEffect":{"trigger":"onIncomingHealthDamage","type":"applyBuff","buffId":"dew","count":56,"support":"battleOnly"}}</t>
        </is>
      </c>
    </row>
    <row r="1192" ht="32" customHeight="1">
      <c r="A1192" s="8" t="n">
        <v>418051</v>
      </c>
      <c r="B1192" s="8" t="inlineStr">
        <is>
          <t>返照归衡镜</t>
        </is>
      </c>
      <c r="C1192" s="8" t="inlineStr">
        <is>
          <t>法器</t>
        </is>
      </c>
      <c r="D1192" s="8" t="inlineStr">
        <is>
          <t>mystic</t>
        </is>
      </c>
      <c r="E1192" s="8" t="inlineStr">
        <is>
          <t>water</t>
        </is>
      </c>
      <c r="F1192" s="8" t="n">
        <v>2</v>
      </c>
      <c r="G1192" s="8" t="inlineStr">
        <is>
          <t>基础/顶层</t>
        </is>
      </c>
      <c r="H1192" s="8" t="inlineStr"/>
      <c r="I1192" s="9" t="inlineStr"/>
      <c r="J1192" s="8" t="inlineStr"/>
      <c r="K1192" s="8" t="inlineStr"/>
      <c r="L1192" s="8" t="inlineStr"/>
      <c r="M1192" s="8" t="inlineStr">
        <is>
          <t>周期触发</t>
        </is>
      </c>
      <c r="N1192" s="8" t="inlineStr">
        <is>
          <t>periodicPulse</t>
        </is>
      </c>
      <c r="O1192" s="9" t="inlineStr">
        <is>
          <t>消耗 96 点法力，获得 56 层护甲</t>
        </is>
      </c>
      <c r="P1192" s="9" t="inlineStr"/>
      <c r="Q1192" s="9" t="inlineStr"/>
      <c r="R1192" s="9" t="inlineStr">
        <is>
          <t>{"kind":"periodicPulse","periodicPulse":{"intervalSec":7,"label":"消耗 96 点法力，获得 56 层护甲","primaryStatCosts":[{"stat":"mana","amount":96}],"buffGains":[{"buffId":"armor","count":56}]}}</t>
        </is>
      </c>
    </row>
    <row r="1193" ht="32" customHeight="1">
      <c r="A1193" s="8" t="n">
        <v>418052</v>
      </c>
      <c r="B1193" s="8" t="inlineStr">
        <is>
          <t>三潮承露盏</t>
        </is>
      </c>
      <c r="C1193" s="8" t="inlineStr">
        <is>
          <t>法器</t>
        </is>
      </c>
      <c r="D1193" s="8" t="inlineStr">
        <is>
          <t>mystic</t>
        </is>
      </c>
      <c r="E1193" s="8" t="inlineStr">
        <is>
          <t>water</t>
        </is>
      </c>
      <c r="F1193" s="8" t="n">
        <v>1</v>
      </c>
      <c r="G1193" s="8" t="inlineStr">
        <is>
          <t>基础/顶层</t>
        </is>
      </c>
      <c r="H1193" s="8" t="inlineStr"/>
      <c r="I1193" s="9" t="inlineStr"/>
      <c r="J1193" s="8" t="inlineStr"/>
      <c r="K1193" s="8" t="inlineStr"/>
      <c r="L1193" s="8" t="inlineStr"/>
      <c r="M1193" s="8" t="inlineStr">
        <is>
          <t>周期触发</t>
        </is>
      </c>
      <c r="N1193" s="8" t="inlineStr">
        <is>
          <t>periodicPulse</t>
        </is>
      </c>
      <c r="O1193" s="9" t="inlineStr">
        <is>
          <t>获得 32 层露水和 24 层再生</t>
        </is>
      </c>
      <c r="P1193" s="9" t="inlineStr"/>
      <c r="Q1193" s="9" t="inlineStr"/>
      <c r="R1193" s="9" t="inlineStr">
        <is>
          <t>{"kind":"periodicPulse","periodicPulse":{"intervalSec":6,"label":"获得 32 层露水和 24 层再生","buffGains":[{"buffId":"dew","count":32},{"buffId":"regeneration","count":24}]}}</t>
        </is>
      </c>
    </row>
    <row r="1194" ht="32" customHeight="1">
      <c r="A1194" s="8" t="n">
        <v>418054</v>
      </c>
      <c r="B1194" s="8" t="inlineStr">
        <is>
          <t>澄心引泉珠</t>
        </is>
      </c>
      <c r="C1194" s="8" t="inlineStr">
        <is>
          <t>法器</t>
        </is>
      </c>
      <c r="D1194" s="8" t="inlineStr">
        <is>
          <t>spirit</t>
        </is>
      </c>
      <c r="E1194" s="8" t="inlineStr">
        <is>
          <t>water</t>
        </is>
      </c>
      <c r="F1194" s="8" t="n">
        <v>1</v>
      </c>
      <c r="G1194" s="8" t="inlineStr">
        <is>
          <t>基础/顶层</t>
        </is>
      </c>
      <c r="H1194" s="8" t="inlineStr"/>
      <c r="I1194" s="9" t="inlineStr"/>
      <c r="J1194" s="8" t="inlineStr"/>
      <c r="K1194" s="8" t="inlineStr"/>
      <c r="L1194" s="8" t="inlineStr"/>
      <c r="M1194" s="8" t="inlineStr">
        <is>
          <t>条件触发</t>
        </is>
      </c>
      <c r="N1194" s="8" t="inlineStr">
        <is>
          <t>triggered</t>
        </is>
      </c>
      <c r="O1194" s="9" t="inlineStr">
        <is>
          <t>每当神识被消耗时，获得 10 层露水；每当神识被消耗时，获得 12 层露水；每当神识被消耗时，获得 16 层露水；每当神识被消耗时，获得 18 层露水</t>
        </is>
      </c>
      <c r="P1194" s="9" t="inlineStr">
        <is>
          <t>onPrimaryStatConsumed</t>
        </is>
      </c>
      <c r="Q1194" s="9" t="inlineStr">
        <is>
          <t>applyBuff</t>
        </is>
      </c>
      <c r="R1194" s="9" t="inlineStr">
        <is>
          <t>{"kind":"triggered","label":"每当神识被消耗时，获得 10 层露水","triggeredEffect":{"trigger":"onPrimaryStatConsumed","type":"applyBuff","buffId":"dew","count":10,"minEventPrimaryStatConsumed":{"stat":"spiritSense","amount":1}},"starOverrides":{"1":{"triggeredEffect":{"count":12},"label":"每当神识被消耗时，获得 12 层露水"},"2":{"triggeredEffect":{"count":16},"label":"每当神识被消耗时，获得 16 层露水"},"3":{"triggeredEffect":{"count":18},"label":"每当神识被消耗时，获得 18 层露水"}}}</t>
        </is>
      </c>
    </row>
    <row r="1195" ht="32" customHeight="1">
      <c r="A1195" s="8" t="n">
        <v>418055</v>
      </c>
      <c r="B1195" s="8" t="inlineStr">
        <is>
          <t>山门验材牌</t>
        </is>
      </c>
      <c r="C1195" s="8" t="inlineStr">
        <is>
          <t>法器</t>
        </is>
      </c>
      <c r="D1195" s="8" t="inlineStr">
        <is>
          <t>common</t>
        </is>
      </c>
      <c r="E1195" s="8" t="inlineStr">
        <is>
          <t>fire</t>
        </is>
      </c>
      <c r="F1195" s="8" t="n">
        <v>1</v>
      </c>
      <c r="G1195" s="8" t="inlineStr">
        <is>
          <t>基础/顶层</t>
        </is>
      </c>
      <c r="H1195" s="8" t="inlineStr"/>
      <c r="I1195" s="9" t="inlineStr"/>
      <c r="J1195" s="8" t="inlineStr"/>
      <c r="K1195" s="8" t="inlineStr"/>
      <c r="L1195" s="8" t="inlineStr"/>
      <c r="M1195" s="8" t="inlineStr">
        <is>
          <t>周期触发</t>
        </is>
      </c>
      <c r="N1195" s="8" t="inlineStr">
        <is>
          <t>periodicPulse</t>
        </is>
      </c>
      <c r="O1195" s="9" t="inlineStr">
        <is>
          <t>开局时，获得 3 层护甲；开局时，获得 6 层护甲；开局时，获得 9 层护甲；开局时，获得 12 层护甲</t>
        </is>
      </c>
      <c r="P1195" s="9" t="inlineStr"/>
      <c r="Q1195" s="9" t="inlineStr"/>
      <c r="R1195" s="9" t="inlineStr">
        <is>
          <t>{"kind":"periodicPulse","periodicPulse":{"startOnly":true,"label":"开局时，获得 3 层护甲","buffGains":[{"buffId":"armor","count":3}]},"label":"开局时，获得 3 层护甲","starOverrides":{"1":{"periodicPulse":{"label":"开局时，获得 6 层护甲","buffGains":[{"buffId":"armor","count":6}]},"label":"开局时，获得 6 层护甲"},"2":{"periodicPulse":{"label":"开局时，获得 9 层护甲","buffGains":[{"buffId":"armor","count":9}]},"label":"开局时，获得 9 层护甲"},"3":{"periodicPulse":{"label":"开局时，获得 12 层护甲","buffGains":[{"buffId":"armor","count":12}]},"label":"开局时，获得 12 层护甲"}}}</t>
        </is>
      </c>
    </row>
    <row r="1196" ht="32" customHeight="1">
      <c r="A1196" s="8" t="n">
        <v>418055</v>
      </c>
      <c r="B1196" s="8" t="inlineStr">
        <is>
          <t>山门验材牌</t>
        </is>
      </c>
      <c r="C1196" s="8" t="inlineStr">
        <is>
          <t>法器</t>
        </is>
      </c>
      <c r="D1196" s="8" t="inlineStr">
        <is>
          <t>common</t>
        </is>
      </c>
      <c r="E1196" s="8" t="inlineStr">
        <is>
          <t>fire</t>
        </is>
      </c>
      <c r="F1196" s="8" t="n">
        <v>2</v>
      </c>
      <c r="G1196" s="8" t="inlineStr">
        <is>
          <t>基础/顶层</t>
        </is>
      </c>
      <c r="H1196" s="8" t="inlineStr"/>
      <c r="I1196" s="9" t="inlineStr"/>
      <c r="J1196" s="8" t="inlineStr"/>
      <c r="K1196" s="8" t="inlineStr"/>
      <c r="L1196" s="8" t="inlineStr"/>
      <c r="M1196" s="8" t="inlineStr">
        <is>
          <t>周期触发</t>
        </is>
      </c>
      <c r="N1196" s="8" t="inlineStr">
        <is>
          <t>periodicPulse</t>
        </is>
      </c>
      <c r="O1196" s="9" t="inlineStr">
        <is>
          <t>消耗 2 点体力，对敌方施加 2 层冰霜；消耗 4 点体力，对敌方施加 4 层冰霜；消耗 6 点体力，对敌方施加 6 层冰霜；消耗 8 点体力，对敌方施加 8 层冰霜</t>
        </is>
      </c>
      <c r="P1196" s="9" t="inlineStr"/>
      <c r="Q1196" s="9" t="inlineStr"/>
      <c r="R1196" s="9" t="inlineStr">
        <is>
          <t>{"kind":"periodicPulse","periodicPulse":{"intervalSec":6,"label":"消耗 2 点体力，&lt;battle&gt;对敌方施加 2 层冰霜&lt;/battle&gt;","primaryStatCosts":[{"stat":"stamina","amount":2}],"buffGains":[{"buffId":"frost","count":2,"target":"enemy"}]},"label":"消耗 2 点体力，&lt;battle&gt;对敌方施加 2 层冰霜&lt;/battle&gt;","starOverrides":{"1":{"periodicPulse":{"label":"消耗 4 点体力，&lt;battle&gt;对敌方施加 4 层冰霜&lt;/battle&gt;","primaryStatCosts":[{"stat":"stamina","amount":4}],"buffGains":[{"buffId":"frost","count":4,"target":"enemy"}]},"label":"消耗 4 点体力，&lt;battle&gt;对敌方施加 4 层冰霜&lt;/battle&gt;"},"2":{"periodicPulse":{"label":"消耗 6 点体力，&lt;battle&gt;对敌方施加 6 层冰霜&lt;/battle&gt;","primaryStatCosts":[{"stat":"stamina","amount":6}],"buffGains":[{"buffId":"frost","count":6,"target":"enemy"}]},"label":"消耗 6 点体力，&lt;battle&gt;对敌方施加 6 层冰霜&lt;/battle&gt;"},"3":{"periodicPulse":{"label":"消耗 8 点体力，&lt;battle&gt;对敌方施加 8 层冰霜&lt;/battle&gt;","primaryStatCosts":[{"stat":"stamina","amount":8}],"buffGains":[{"buffId":"frost","count":8,"target":"enemy"}]},"label":"消耗 8 点体力，&lt;battle&gt;对敌方施加 8 层冰霜&lt;/battle&gt;"}}}</t>
        </is>
      </c>
    </row>
    <row r="1197" ht="32" customHeight="1">
      <c r="A1197" s="8" t="n">
        <v>418056</v>
      </c>
      <c r="B1197" s="8" t="inlineStr">
        <is>
          <t>练手炉火签</t>
        </is>
      </c>
      <c r="C1197" s="8" t="inlineStr">
        <is>
          <t>法器</t>
        </is>
      </c>
      <c r="D1197" s="8" t="inlineStr">
        <is>
          <t>common</t>
        </is>
      </c>
      <c r="E1197" s="8" t="inlineStr">
        <is>
          <t>fire</t>
        </is>
      </c>
      <c r="F1197" s="8" t="n">
        <v>1</v>
      </c>
      <c r="G1197" s="8" t="inlineStr">
        <is>
          <t>基础/顶层</t>
        </is>
      </c>
      <c r="H1197" s="8" t="inlineStr"/>
      <c r="I1197" s="9" t="inlineStr"/>
      <c r="J1197" s="8" t="inlineStr"/>
      <c r="K1197" s="8" t="inlineStr"/>
      <c r="L1197" s="8" t="inlineStr"/>
      <c r="M1197" s="8" t="inlineStr">
        <is>
          <t>周期触发</t>
        </is>
      </c>
      <c r="N1197" s="8" t="inlineStr">
        <is>
          <t>periodicPulse</t>
        </is>
      </c>
      <c r="O1197" s="9" t="inlineStr">
        <is>
          <t>获得 2 层炎热；获得 4 层炎热；获得 6 层炎热；获得 8 层炎热</t>
        </is>
      </c>
      <c r="P1197" s="9" t="inlineStr"/>
      <c r="Q1197" s="9" t="inlineStr"/>
      <c r="R1197" s="9" t="inlineStr">
        <is>
          <t>{"kind":"periodicPulse","periodicPulse":{"intervalSec":4,"label":"获得 2 层炎热","buffGains":[{"buffId":"heat","count":2}]},"label":"获得 2 层炎热","starOverrides":{"1":{"periodicPulse":{"label":"获得 4 层炎热","buffGains":[{"buffId":"heat","count":4}]},"label":"获得 4 层炎热"},"2":{"periodicPulse":{"label":"获得 6 层炎热","buffGains":[{"buffId":"heat","count":6}]},"label":"获得 6 层炎热"},"3":{"periodicPulse":{"label":"获得 8 层炎热","buffGains":[{"buffId":"heat","count":8}]},"label":"获得 8 层炎热"}}}</t>
        </is>
      </c>
    </row>
    <row r="1198" ht="32" customHeight="1">
      <c r="A1198" s="8" t="n">
        <v>418057</v>
      </c>
      <c r="B1198" s="8" t="inlineStr">
        <is>
          <t>巡山火绳</t>
        </is>
      </c>
      <c r="C1198" s="8" t="inlineStr">
        <is>
          <t>法器</t>
        </is>
      </c>
      <c r="D1198" s="8" t="inlineStr">
        <is>
          <t>common</t>
        </is>
      </c>
      <c r="E1198" s="8" t="inlineStr">
        <is>
          <t>fire</t>
        </is>
      </c>
      <c r="F1198" s="8" t="n">
        <v>1</v>
      </c>
      <c r="G1198" s="8" t="inlineStr">
        <is>
          <t>基础/顶层</t>
        </is>
      </c>
      <c r="H1198" s="8" t="inlineStr"/>
      <c r="I1198" s="9" t="inlineStr"/>
      <c r="J1198" s="8" t="inlineStr"/>
      <c r="K1198" s="8" t="inlineStr"/>
      <c r="L1198" s="8" t="inlineStr"/>
      <c r="M1198" s="8" t="inlineStr">
        <is>
          <t>周期触发</t>
        </is>
      </c>
      <c r="N1198" s="8" t="inlineStr">
        <is>
          <t>periodicPulse</t>
        </is>
      </c>
      <c r="O1198" s="9" t="inlineStr">
        <is>
          <t>消耗 5 点体力，对敌方施加 2 层灼烧；消耗 10 点体力，对敌方施加 3 层灼烧；消耗 15 点体力，对敌方施加 4 层灼烧；消耗 20 点体力，对敌方施加 5 层灼烧</t>
        </is>
      </c>
      <c r="P1198" s="9" t="inlineStr"/>
      <c r="Q1198" s="9" t="inlineStr"/>
      <c r="R1198" s="9" t="inlineStr">
        <is>
          <t>{"kind":"periodicPulse","periodicPulse":{"intervalSec":6,"label":"消耗 5 点体力，&lt;battle&gt;对敌方施加 2 层灼烧&lt;/battle&gt;","primaryStatCosts":[{"stat":"stamina","amount":5}],"buffGains":[{"buffId":"burning","count":2,"target":"enemy"}]},"label":"消耗 5 点体力，&lt;battle&gt;对敌方施加 2 层灼烧&lt;/battle&gt;","starOverrides":{"1":{"periodicPulse":{"label":"消耗 10 点体力，&lt;battle&gt;对敌方施加 3 层灼烧&lt;/battle&gt;","primaryStatCosts":[{"stat":"stamina","amount":10}],"buffGains":[{"buffId":"burning","count":3,"target":"enemy"}]},"label":"消耗 10 点体力，&lt;battle&gt;对敌方施加 3 层灼烧&lt;/battle&gt;"},"2":{"periodicPulse":{"label":"消耗 15 点体力，&lt;battle&gt;对敌方施加 4 层灼烧&lt;/battle&gt;","primaryStatCosts":[{"stat":"stamina","amount":15}],"buffGains":[{"buffId":"burning","count":4,"target":"enemy"}]},"label":"消耗 15 点体力，&lt;battle&gt;对敌方施加 4 层灼烧&lt;/battle&gt;"},"3":{"periodicPulse":{"label":"消耗 20 点体力，&lt;battle&gt;对敌方施加 5 层灼烧&lt;/battle&gt;","primaryStatCosts":[{"stat":"stamina","amount":20}],"buffGains":[{"buffId":"burning","count":5,"target":"enemy"}]},"label":"消耗 20 点体力，&lt;battle&gt;对敌方施加 5 层灼烧&lt;/battle&gt;"}}}</t>
        </is>
      </c>
    </row>
    <row r="1199" ht="32" customHeight="1">
      <c r="A1199" s="8" t="n">
        <v>418058</v>
      </c>
      <c r="B1199" s="8" t="inlineStr">
        <is>
          <t>收火执牌</t>
        </is>
      </c>
      <c r="C1199" s="8" t="inlineStr">
        <is>
          <t>法器</t>
        </is>
      </c>
      <c r="D1199" s="8" t="inlineStr">
        <is>
          <t>common</t>
        </is>
      </c>
      <c r="E1199" s="8" t="inlineStr">
        <is>
          <t>fire</t>
        </is>
      </c>
      <c r="F1199" s="8" t="n">
        <v>1</v>
      </c>
      <c r="G1199" s="8" t="inlineStr">
        <is>
          <t>基础/顶层</t>
        </is>
      </c>
      <c r="H1199" s="8" t="inlineStr"/>
      <c r="I1199" s="9" t="inlineStr"/>
      <c r="J1199" s="8" t="inlineStr"/>
      <c r="K1199" s="8" t="inlineStr"/>
      <c r="L1199" s="8" t="inlineStr"/>
      <c r="M1199" s="8" t="inlineStr">
        <is>
          <t>周期触发</t>
        </is>
      </c>
      <c r="N1199" s="8" t="inlineStr">
        <is>
          <t>periodicPulse</t>
        </is>
      </c>
      <c r="O1199" s="9" t="inlineStr">
        <is>
          <t>将自身最多 4 层炎热转化为等量体力，并对敌方造成每层 2 点伤害；将自身最多 6 层炎热转化为等量体力，并对敌方造成每层 2 点伤害；将自身最多 8 层炎热转化为等量体力，并对敌方造成每层 2 点伤害；将自身最多 10 层炎热转化为等量体力，并对敌方造成每层 2 点伤害</t>
        </is>
      </c>
      <c r="P1199" s="9" t="inlineStr">
        <is>
          <t>onPeriodicPulse</t>
        </is>
      </c>
      <c r="Q1199" s="9" t="inlineStr">
        <is>
          <t>consumeBuffStacks</t>
        </is>
      </c>
      <c r="R1199" s="9" t="inlineStr">
        <is>
          <t>{"kind":"periodicPulse","periodicPulse":{"intervalSec":6,"label":"将自身最多 4 层炎热转化为等量体力，&lt;battle&gt;并对敌方造成每层 2 点伤害&lt;/battle&gt;"},"executors":[{"trigger":"onPeriodicPulse","type":"consumeBuffStacks","sourceBuffId":"heat","maxStacks":4,"battleDamageHealthPerStack":2,"primaryStatGainPerStack":{"stat":"stamina","amount":1},"activationRequirements":{"buffStackThresholds":[{"buffId":"heat","comparator":"atLeast","count":1}]},"label":"将自身最多 4 层炎热转化为等量体力，&lt;battle&gt;并对敌方造成每层 2 点伤害&lt;/battle&gt;"}],"label":"将自身最多 4 层炎热转化为等量体力，&lt;battle&gt;并对敌方造成每层 2 点伤害&lt;/battle&gt;","starOverrides":{"1":{"periodicPulse":{"label":"将自身最多 6 层炎热转化为等量体力，&lt;battle&gt;并对敌方造成每层 2 点伤害&lt;/battle&gt;"},"executors":[{"trigger":"onPeriodicPulse","type":"consumeBuffStacks","sourceBuffId":"heat","maxStacks":6,"battleDamageHealthPerStack":2,"primaryStatGainPerStack":{"stat":"stamina","amount":1},"activationRequirements":{"buffStackThresholds":[{"buffId":"heat","comparator":"atLeast","count":1}]},"label":"将自身最多 6 层炎热转化为等量体力，&lt;battle&gt;并对敌方造成每层 2 点伤害&lt;/battle&gt;"}],"label":"将自身最多 6 层炎热转化为等量体力，&lt;battle&gt;并对敌方造成每层 2 点伤害&lt;/battle&gt;"},"2":{"periodicPulse":{"label":"将自身最多 8 层炎热转化为等量体力，&lt;battle&gt;并对敌方造成每层 2 点伤害&lt;/battle&gt;"},"executors":[{"trigger":"onPeriodicPulse","type":"consumeBuffStacks","sourceBuffId":"heat","maxStacks":8,"battleDamageHealthPerStack":2,"primaryStatGainPerStack":{"stat":"stamina","amount":1},"activationRequirements":{"buffStackThresholds":[{"buffId":"heat","comparator":"atLeast","count":1}]},"label":"将自身最多 8 层炎热转化为等量体力，&lt;battle&gt;并对敌方造成每层 2 点伤害&lt;/battle&gt;"}],"label":"将自身最多 8 层炎热转化为等量体力，&lt;battle&gt;并对敌方造成每层 2 点伤害&lt;/battle&gt;"},"3":{"periodicPulse":{"label":"将自身最多 10 层炎热转化为等量体力，&lt;battle&gt;并对敌方造成每层 2 点伤害&lt;/battle&gt;"},"executors":[{"trigger":"onPeriodicPulse","type":"consumeBuffStacks","sourceBuffId":"heat","maxStacks":10,"battleDamageHealthPerStack":2,"primaryStatGainPerStack":{"stat":"stamina","amount":1},"activationRequirements":{"buffStackThresholds":[{"buffId":"heat","comparator":"atLeast","count":1}]},"label":"将自身最多 10 层炎热转化为等量体力，&lt;battle&gt;并对敌方造成每层 2 点伤害&lt;/battle&gt;"}],"label":"将自身最多 10 层炎热转化为等量体力，&lt;battle&gt;并对敌方造成每层 2 点伤害&lt;/battle&gt;"}}}</t>
        </is>
      </c>
    </row>
    <row r="1200" ht="32" customHeight="1">
      <c r="A1200" s="8" t="n">
        <v>418059</v>
      </c>
      <c r="B1200" s="8" t="inlineStr">
        <is>
          <t>山门准验符册</t>
        </is>
      </c>
      <c r="C1200" s="8" t="inlineStr">
        <is>
          <t>法器</t>
        </is>
      </c>
      <c r="D1200" s="8" t="inlineStr">
        <is>
          <t>common</t>
        </is>
      </c>
      <c r="E1200" s="8" t="inlineStr">
        <is>
          <t>earth</t>
        </is>
      </c>
      <c r="F1200" s="8" t="n">
        <v>1</v>
      </c>
      <c r="G1200" s="8" t="inlineStr">
        <is>
          <t>基础/顶层</t>
        </is>
      </c>
      <c r="H1200" s="8" t="inlineStr"/>
      <c r="I1200" s="9" t="inlineStr"/>
      <c r="J1200" s="8" t="inlineStr"/>
      <c r="K1200" s="8" t="inlineStr"/>
      <c r="L1200" s="8" t="inlineStr"/>
      <c r="M1200" s="8" t="inlineStr">
        <is>
          <t>周期触发</t>
        </is>
      </c>
      <c r="N1200" s="8" t="inlineStr">
        <is>
          <t>periodicPulse</t>
        </is>
      </c>
      <c r="O1200" s="9" t="inlineStr">
        <is>
          <t>开局时，获得 8 层坚硬</t>
        </is>
      </c>
      <c r="P1200" s="9" t="inlineStr"/>
      <c r="Q1200" s="9" t="inlineStr"/>
      <c r="R1200" s="9" t="inlineStr">
        <is>
          <t>{"kind":"periodicPulse","periodicPulse":{"startOnly":true,"label":"开局时，获得 8 层坚硬","buffGains":[{"buffId":"sturdy","count":8}]}}</t>
        </is>
      </c>
    </row>
    <row r="1201" ht="32" customHeight="1">
      <c r="A1201" s="8" t="n">
        <v>418059</v>
      </c>
      <c r="B1201" s="8" t="inlineStr">
        <is>
          <t>山门准验符册</t>
        </is>
      </c>
      <c r="C1201" s="8" t="inlineStr">
        <is>
          <t>法器</t>
        </is>
      </c>
      <c r="D1201" s="8" t="inlineStr">
        <is>
          <t>common</t>
        </is>
      </c>
      <c r="E1201" s="8" t="inlineStr">
        <is>
          <t>earth</t>
        </is>
      </c>
      <c r="F1201" s="8" t="n">
        <v>2</v>
      </c>
      <c r="G1201" s="8" t="inlineStr">
        <is>
          <t>基础/顶层</t>
        </is>
      </c>
      <c r="H1201" s="8" t="inlineStr"/>
      <c r="I1201" s="9" t="inlineStr"/>
      <c r="J1201" s="8" t="inlineStr"/>
      <c r="K1201" s="8" t="inlineStr"/>
      <c r="L1201" s="8" t="inlineStr"/>
      <c r="M1201" s="8" t="inlineStr">
        <is>
          <t>周期触发</t>
        </is>
      </c>
      <c r="N1201" s="8" t="inlineStr">
        <is>
          <t>periodicPulse</t>
        </is>
      </c>
      <c r="O1201" s="9" t="inlineStr">
        <is>
          <t>消耗 5 点体力，对敌方施加 4 层冰霜；消耗 10 点体力，对敌方施加 6 层冰霜；消耗 15 点体力，对敌方施加 8 层冰霜；消耗 20 点体力，对敌方施加 10 层冰霜</t>
        </is>
      </c>
      <c r="P1201" s="9" t="inlineStr"/>
      <c r="Q1201" s="9" t="inlineStr"/>
      <c r="R1201" s="9" t="inlineStr">
        <is>
          <t>{"kind":"periodicPulse","periodicPulse":{"intervalSec":8,"label":"消耗 5 点体力，&lt;battle&gt;对敌方施加 4 层冰霜&lt;/battle&gt;","primaryStatCosts":[{"stat":"stamina","amount":5}],"buffGains":[{"buffId":"frost","count":4,"target":"enemy"}]},"label":"消耗 5 点体力，&lt;battle&gt;对敌方施加 4 层冰霜&lt;/battle&gt;","starOverrides":{"1":{"periodicPulse":{"label":"消耗 10 点体力，&lt;battle&gt;对敌方施加 6 层冰霜&lt;/battle&gt;","primaryStatCosts":[{"stat":"stamina","amount":10}],"buffGains":[{"buffId":"frost","count":6,"target":"enemy"}]},"label":"消耗 10 点体力，&lt;battle&gt;对敌方施加 6 层冰霜&lt;/battle&gt;"},"2":{"periodicPulse":{"label":"消耗 15 点体力，&lt;battle&gt;对敌方施加 8 层冰霜&lt;/battle&gt;","primaryStatCosts":[{"stat":"stamina","amount":15}],"buffGains":[{"buffId":"frost","count":8,"target":"enemy"}]},"label":"消耗 15 点体力，&lt;battle&gt;对敌方施加 8 层冰霜&lt;/battle&gt;"},"3":{"periodicPulse":{"label":"消耗 20 点体力，&lt;battle&gt;对敌方施加 10 层冰霜&lt;/battle&gt;","primaryStatCosts":[{"stat":"stamina","amount":20}],"buffGains":[{"buffId":"frost","count":10,"target":"enemy"}]},"label":"消耗 20 点体力，&lt;battle&gt;对敌方施加 10 层冰霜&lt;/battle&gt;"}}}</t>
        </is>
      </c>
    </row>
    <row r="1202" ht="32" customHeight="1">
      <c r="A1202" s="8" t="n">
        <v>418060</v>
      </c>
      <c r="B1202" s="8" t="inlineStr">
        <is>
          <t>听澜验材简</t>
        </is>
      </c>
      <c r="C1202" s="8" t="inlineStr">
        <is>
          <t>法器</t>
        </is>
      </c>
      <c r="D1202" s="8" t="inlineStr">
        <is>
          <t>common</t>
        </is>
      </c>
      <c r="E1202" s="8" t="inlineStr">
        <is>
          <t>water</t>
        </is>
      </c>
      <c r="F1202" s="8" t="n">
        <v>1</v>
      </c>
      <c r="G1202" s="8" t="inlineStr">
        <is>
          <t>基础/顶层</t>
        </is>
      </c>
      <c r="H1202" s="8" t="inlineStr"/>
      <c r="I1202" s="9" t="inlineStr"/>
      <c r="J1202" s="8" t="inlineStr"/>
      <c r="K1202" s="8" t="inlineStr"/>
      <c r="L1202" s="8" t="inlineStr"/>
      <c r="M1202" s="8" t="inlineStr">
        <is>
          <t>周期触发</t>
        </is>
      </c>
      <c r="N1202" s="8" t="inlineStr">
        <is>
          <t>periodicPulse</t>
        </is>
      </c>
      <c r="O1202" s="9" t="inlineStr">
        <is>
          <t>消耗敌方 3 层寒冷，对敌方造成 12 点伤害；消耗敌方 6 层寒冷，对敌方造成 24 点伤害；消耗敌方 9 层寒冷，对敌方造成 36 点伤害；消耗敌方 12 层寒冷，对敌方造成 48 点伤害</t>
        </is>
      </c>
      <c r="P1202" s="9" t="inlineStr"/>
      <c r="Q1202" s="9" t="inlineStr">
        <is>
          <t>targetBuffStacksGreaterThan</t>
        </is>
      </c>
      <c r="R1202" s="9" t="inlineStr">
        <is>
          <t>{"kind":"periodicPulse","label":"&lt;battle&gt;消耗敌方 3 层寒冷，对敌方造成 12 点伤害&lt;/battle&gt;","periodicPulse":{"intervalSec":15,"label":"&lt;battle&gt;消耗敌方 3 层寒冷，对敌方造成 12 点伤害&lt;/battle&gt;","battleCondition":{"type":"targetBuffStacksGreaterThan","buffId":"cold","count":2},"removeBuffStacks":[{"target":"enemy","buffId":"cold","count":3}],"damageHealth":{"target":"enemy","amount":12}},"starOverrides":{"1":{"label":"&lt;battle&gt;消耗敌方 6 层寒冷，对敌方造成 24 点伤害&lt;/battle&gt;","periodicPulse":{"label":"&lt;battle&gt;消耗敌方 6 层寒冷，对敌方造成 24 点伤害&lt;/battle&gt;","battleCondition":{"type":"targetBuffStacksGreaterThan","buffId":"cold","count":5},"removeBuffStacks":[{"target":"enemy","buffId":"cold","count":6}],"damageHealth":{"target":"enemy","amount":24}}},"2":{"label":"&lt;battle&gt;消耗敌方 9 层寒冷，对敌方造成 36 点伤害&lt;/battle&gt;","periodicPulse":{"label":"&lt;battle&gt;消耗敌方 9 层寒冷，对敌方造成 36 点伤害&lt;/battle&gt;","battleCondition":{"type":"targetBuffStacksGreaterThan","buffId":"cold","count":8},"removeBuffStacks":[{"target":"enemy","buffId":"cold","count":9}],"damageHealth":{"target":"enemy","amount":36}}},"3":{"label":"&lt;battle&gt;消耗敌方 12 层寒冷，对敌方造成 48 点伤害&lt;/battle&gt;","periodicPulse":{"label":"&lt;battle&gt;消耗敌方 12 层寒冷，对敌方造成 48 点伤害&lt;/battle&gt;","battleCondition":{"type":"targetBuffStacksGreaterThan","buffId":"cold","count":11},"removeBuffStacks":[{"target":"enemy","buffId":"cold","count":12}],"damageHealth":{"target":"enemy","amount":48}}}}}</t>
        </is>
      </c>
    </row>
    <row r="1203" ht="32" customHeight="1">
      <c r="A1203" s="8" t="n">
        <v>418061</v>
      </c>
      <c r="B1203" s="8" t="inlineStr">
        <is>
          <t>问心月册</t>
        </is>
      </c>
      <c r="C1203" s="8" t="inlineStr">
        <is>
          <t>法器</t>
        </is>
      </c>
      <c r="D1203" s="8" t="inlineStr">
        <is>
          <t>spirit</t>
        </is>
      </c>
      <c r="E1203" s="8" t="inlineStr">
        <is>
          <t>water</t>
        </is>
      </c>
      <c r="F1203" s="8" t="n">
        <v>1</v>
      </c>
      <c r="G1203" s="8" t="inlineStr">
        <is>
          <t>基础/顶层</t>
        </is>
      </c>
      <c r="H1203" s="8" t="inlineStr"/>
      <c r="I1203" s="9" t="inlineStr"/>
      <c r="J1203" s="8" t="inlineStr"/>
      <c r="K1203" s="8" t="inlineStr"/>
      <c r="L1203" s="8" t="inlineStr"/>
      <c r="M1203" s="8" t="inlineStr">
        <is>
          <t>周期触发</t>
        </is>
      </c>
      <c r="N1203" s="8" t="inlineStr">
        <is>
          <t>periodicPulse</t>
        </is>
      </c>
      <c r="O1203" s="9" t="inlineStr">
        <is>
          <t>最多将 8 层露水转化为气血，每层恢复 8 点，并对敌方造成 8 点伤害；最多将 10 层露水转化为气血，每层恢复 8 点，并对敌方造成 8 点伤害；最多将 12 层露水转化为气血，每层恢复 8 点，并对敌方造成 8 点伤害；最多将 14 层露水转化为气血，每层恢复 8 点，并对敌方造成 8 点伤害</t>
        </is>
      </c>
      <c r="P1203" s="9" t="inlineStr">
        <is>
          <t>onPeriodicPulse</t>
        </is>
      </c>
      <c r="Q1203" s="9" t="inlineStr">
        <is>
          <t>consumeBuffStacks</t>
        </is>
      </c>
      <c r="R1203" s="9" t="inlineStr">
        <is>
          <t>{"kind":"periodicPulse","periodicPulse":{"intervalSec":6,"label":"最多将 8 层露水转化为气血，每层恢复 8 点，&lt;battle&gt;并对敌方造成 8 点伤害&lt;/battle&gt;"},"executors":[{"trigger":"onPeriodicPulse","type":"consumeBuffStacks","sourceBuffId":"dew","maxStacks":8,"primaryStatGainPerStack":{"stat":"health","amount":8},"battleDamageHealthPerStack":8,"activationRequirements":{"buffStackThresholds":[{"buffId":"dew","comparator":"atLeast","count":1}]},"label":"最多将 8 层露水转化为气血，每层恢复 8 点，&lt;battle&gt;并对敌方造成 8 点伤害&lt;/battle&gt;"}],"starOverrides":{"1":{"periodicPulse":{"label":"最多将 10 层露水转化为气血，每层恢复 8 点，&lt;battle&gt;并对敌方造成 8 点伤害&lt;/battle&gt;"},"executors":[{"trigger":"onPeriodicPulse","type":"consumeBuffStacks","sourceBuffId":"dew","maxStacks":10,"primaryStatGainPerStack":{"stat":"health","amount":8},"battleDamageHealthPerStack":8,"activationRequirements":{"buffStackThresholds":[{"buffId":"dew","comparator":"atLeast","count":1}]},"label":"最多将 10 层露水转化为气血，每层恢复 8 点，&lt;battle&gt;并对敌方造成 8 点伤害&lt;/battle&gt;"}],"label":"最多将 10 层露水转化为气血，每层恢复 8 点，&lt;battle&gt;并对敌方造成 8 点伤害&lt;/battle&gt;"},"2":{"periodicPulse":{"label":"最多将 12 层露水转化为气血，每层恢复 8 点，&lt;battle&gt;并对敌方造成 8 点伤害&lt;/battle&gt;"},"executors":[{"trigger":"onPeriodicPulse","type":"consumeBuffStacks","sourceBuffId":"dew","maxStacks":12,"primaryStatGainPerStack":{"stat":"health","amount":8},"battleDamageHealthPerStack":8,"activationRequirements":{"buffStackThresholds":[{"buffId":"dew","comparator":"atLeast","count":1}]},"label":"最多将 12 层露水转化为气血，每层恢复 8 点，&lt;battle&gt;并对敌方造成 8 点伤害&lt;/battle&gt;"}],"label":"最多将 12 层露水转化为气血，每层恢复 8 点，&lt;battle&gt;并对敌方造成 8 点伤害&lt;/battle&gt;"},"3":{"periodicPulse":{"label":"最多将 14 层露水转化为气血，每层恢复 8 点，&lt;battle&gt;并对敌方造成 8 点伤害&lt;/battle&gt;"},"executors":[{"trigger":"onPeriodicPulse","type":"consumeBuffStacks","sourceBuffId":"dew","maxStacks":14,"primaryStatGainPerStack":{"stat":"health","amount":8},"battleDamageHealthPerStack":8,"activationRequirements":{"buffStackThresholds":[{"buffId":"dew","comparator":"atLeast","count":1}]},"label":"最多将 14 层露水转化为气血，每层恢复 8 点，&lt;battle&gt;并对敌方造成 8 点伤害&lt;/battle&gt;"}],"label":"最多将 14 层露水转化为气血，每层恢复 8 点，&lt;battle&gt;并对敌方造成 8 点伤害&lt;/battle&gt;"}}}</t>
        </is>
      </c>
    </row>
    <row r="1204" ht="32" customHeight="1">
      <c r="A1204" s="8" t="n">
        <v>418061</v>
      </c>
      <c r="B1204" s="8" t="inlineStr">
        <is>
          <t>问心月册</t>
        </is>
      </c>
      <c r="C1204" s="8" t="inlineStr">
        <is>
          <t>法器</t>
        </is>
      </c>
      <c r="D1204" s="8" t="inlineStr">
        <is>
          <t>spirit</t>
        </is>
      </c>
      <c r="E1204" s="8" t="inlineStr">
        <is>
          <t>water</t>
        </is>
      </c>
      <c r="F1204" s="8" t="n">
        <v>2</v>
      </c>
      <c r="G1204" s="8" t="inlineStr">
        <is>
          <t>基础/顶层</t>
        </is>
      </c>
      <c r="H1204" s="8" t="inlineStr"/>
      <c r="I1204" s="9" t="inlineStr"/>
      <c r="J1204" s="8" t="inlineStr"/>
      <c r="K1204" s="8" t="inlineStr"/>
      <c r="L1204" s="8" t="inlineStr"/>
      <c r="M1204" s="8" t="inlineStr">
        <is>
          <t>周期触发</t>
        </is>
      </c>
      <c r="N1204" s="8" t="inlineStr">
        <is>
          <t>periodicPulse</t>
        </is>
      </c>
      <c r="O1204" s="9" t="inlineStr">
        <is>
          <t>获得 20 层露水；获得 26 层露水；获得 30 层露水；获得 36 层露水</t>
        </is>
      </c>
      <c r="P1204" s="9" t="inlineStr"/>
      <c r="Q1204" s="9" t="inlineStr"/>
      <c r="R1204" s="9" t="inlineStr">
        <is>
          <t>{"kind":"periodicPulse","periodicPulse":{"intervalSec":6,"label":"获得 20 层露水","buffGains":[{"buffId":"dew","count":20}]},"starOverrides":{"1":{"periodicPulse":{"label":"获得 26 层露水","buffGains":[{"buffId":"dew","count":26}]},"label":"获得 26 层露水"},"2":{"periodicPulse":{"label":"获得 30 层露水","buffGains":[{"buffId":"dew","count":30}]},"label":"获得 30 层露水"},"3":{"periodicPulse":{"label":"获得 36 层露水","buffGains":[{"buffId":"dew","count":36}]},"label":"获得 36 层露水"}}}</t>
        </is>
      </c>
    </row>
    <row r="1205" ht="32" customHeight="1">
      <c r="A1205" s="8" t="n">
        <v>418062</v>
      </c>
      <c r="B1205" s="8" t="inlineStr">
        <is>
          <t>镜月守神簪</t>
        </is>
      </c>
      <c r="C1205" s="8" t="inlineStr">
        <is>
          <t>法器</t>
        </is>
      </c>
      <c r="D1205" s="8" t="inlineStr">
        <is>
          <t>spirit</t>
        </is>
      </c>
      <c r="E1205" s="8" t="inlineStr">
        <is>
          <t>water</t>
        </is>
      </c>
      <c r="F1205" s="8" t="n">
        <v>1</v>
      </c>
      <c r="G1205" s="8" t="inlineStr">
        <is>
          <t>基础/顶层</t>
        </is>
      </c>
      <c r="H1205" s="8" t="inlineStr"/>
      <c r="I1205" s="9" t="inlineStr"/>
      <c r="J1205" s="8" t="inlineStr"/>
      <c r="K1205" s="8" t="inlineStr"/>
      <c r="L1205" s="8" t="inlineStr"/>
      <c r="M1205" s="8" t="inlineStr">
        <is>
          <t>周期触发</t>
        </is>
      </c>
      <c r="N1205" s="8" t="inlineStr">
        <is>
          <t>periodicPulse</t>
        </is>
      </c>
      <c r="O1205" s="9" t="inlineStr">
        <is>
          <t>消耗 4 点神识，获得 80 层护甲和 10 层闪避；消耗 4 点神识，获得 100 层护甲和 12 层闪避；消耗 4 点神识，获得 120 层护甲和 16 层闪避；消耗 4 点神识，获得 140 层护甲和 18 层闪避</t>
        </is>
      </c>
      <c r="P1205" s="9" t="inlineStr"/>
      <c r="Q1205" s="9" t="inlineStr"/>
      <c r="R1205" s="9" t="inlineStr">
        <is>
          <t>{"kind":"periodicPulse","label":"消耗 4 点神识，获得 80 层护甲和 10 层闪避","periodicPulse":{"intervalSec":18,"label":"消耗 4 点神识，获得 80 层护甲和 10 层闪避","primaryStatCosts":[{"stat":"spiritSense","amount":4}],"buffGains":[{"buffId":"armor","count":80},{"buffId":"dodge","count":10}]},"starOverrides":{"1":{"periodicPulse":{"buffGains":[{"buffId":"armor","count":100},{"buffId":"dodge","count":12}],"label":"消耗 4 点神识，获得 100 层护甲和 12 层闪避"},"label":"消耗 4 点神识，获得 100 层护甲和 12 层闪避"},"2":{"periodicPulse":{"buffGains":[{"buffId":"armor","count":120},{"buffId":"dodge","count":16}],"label":"消耗 4 点神识，获得 120 层护甲和 16 层闪避"},"label":"消耗 4 点神识，获得 120 层护甲和 16 层闪避"},"3":{"periodicPulse":{"buffGains":[{"buffId":"armor","count":140},{"buffId":"dodge","count":18}],"label":"消耗 4 点神识，获得 140 层护甲和 18 层闪避"},"label":"消耗 4 点神识，获得 140 层护甲和 18 层闪避"}}}</t>
        </is>
      </c>
    </row>
    <row r="1206" ht="32" customHeight="1">
      <c r="A1206" s="8" t="n">
        <v>418063</v>
      </c>
      <c r="B1206" s="8" t="inlineStr">
        <is>
          <t>铜缆灵梭</t>
        </is>
      </c>
      <c r="C1206" s="8" t="inlineStr">
        <is>
          <t>法器</t>
        </is>
      </c>
      <c r="D1206" s="8" t="inlineStr">
        <is>
          <t>common</t>
        </is>
      </c>
      <c r="E1206" s="8" t="inlineStr">
        <is>
          <t>water</t>
        </is>
      </c>
      <c r="F1206" s="8" t="n">
        <v>1</v>
      </c>
      <c r="G1206" s="8" t="inlineStr">
        <is>
          <t>基础/顶层</t>
        </is>
      </c>
      <c r="H1206" s="8" t="inlineStr"/>
      <c r="I1206" s="9" t="inlineStr"/>
      <c r="J1206" s="8" t="inlineStr"/>
      <c r="K1206" s="8" t="inlineStr"/>
      <c r="L1206" s="8" t="inlineStr"/>
      <c r="M1206" s="8" t="inlineStr">
        <is>
          <t>周期触发</t>
        </is>
      </c>
      <c r="N1206" s="8" t="inlineStr">
        <is>
          <t>periodicPulse</t>
        </is>
      </c>
      <c r="O1206" s="9" t="inlineStr">
        <is>
          <t>获得 3 层敏捷；获得 4 层敏捷；获得 5 层敏捷；获得 6 层敏捷</t>
        </is>
      </c>
      <c r="P1206" s="9" t="inlineStr"/>
      <c r="Q1206" s="9" t="inlineStr"/>
      <c r="R1206" s="9" t="inlineStr">
        <is>
          <t>{"kind":"periodicPulse","label":"获得 3 层敏捷","periodicPulse":{"intervalSec":9,"label":"获得 3 层敏捷","buffGains":[{"buffId":"agile","count":3}]},"starOverrides":{"1":{"label":"获得 4 层敏捷","periodicPulse":{"label":"获得 4 层敏捷","buffGains":[{"buffId":"agile","count":4}]}},"2":{"label":"获得 5 层敏捷","periodicPulse":{"label":"获得 5 层敏捷","buffGains":[{"buffId":"agile","count":5}]}},"3":{"label":"获得 6 层敏捷","periodicPulse":{"label":"获得 6 层敏捷","buffGains":[{"buffId":"agile","count":6}]}}}}</t>
        </is>
      </c>
    </row>
    <row r="1207" ht="32" customHeight="1">
      <c r="A1207" s="8" t="n">
        <v>418064</v>
      </c>
      <c r="B1207" s="8" t="inlineStr">
        <is>
          <t>双叶分水桨</t>
        </is>
      </c>
      <c r="C1207" s="8" t="inlineStr">
        <is>
          <t>法器</t>
        </is>
      </c>
      <c r="D1207" s="8" t="inlineStr">
        <is>
          <t>common</t>
        </is>
      </c>
      <c r="E1207" s="8" t="inlineStr">
        <is>
          <t>water</t>
        </is>
      </c>
      <c r="F1207" s="8" t="n">
        <v>1</v>
      </c>
      <c r="G1207" s="8" t="inlineStr">
        <is>
          <t>基础/顶层</t>
        </is>
      </c>
      <c r="H1207" s="8" t="inlineStr"/>
      <c r="I1207" s="9" t="inlineStr"/>
      <c r="J1207" s="8" t="inlineStr"/>
      <c r="K1207" s="8" t="inlineStr"/>
      <c r="L1207" s="8" t="inlineStr"/>
      <c r="M1207" s="8" t="inlineStr">
        <is>
          <t>周期触发</t>
        </is>
      </c>
      <c r="N1207" s="8" t="inlineStr">
        <is>
          <t>periodicPulse</t>
        </is>
      </c>
      <c r="O1207" s="9" t="inlineStr">
        <is>
          <t>获得 2 层敏捷，造成 10 点伤害；获得 3 层敏捷，造成 12 点伤害；获得 4 层敏捷，造成 14 点伤害；获得 5 层敏捷，造成 16 点伤害</t>
        </is>
      </c>
      <c r="P1207" s="9" t="inlineStr"/>
      <c r="Q1207" s="9" t="inlineStr"/>
      <c r="R1207" s="9" t="inlineStr">
        <is>
          <t>{"kind":"periodicPulse","label":"获得 2 层敏捷，&lt;battle&gt;造成 10 点伤害&lt;/battle&gt;","periodicPulse":{"intervalSec":6,"label":"获得 2 层敏捷，&lt;battle&gt;造成 10 点伤害&lt;/battle&gt;","damageHealth":{"target":"enemy","amount":10},"buffGains":[{"buffId":"agile","count":2}]},"starOverrides":{"1":{"label":"获得 3 层敏捷，&lt;battle&gt;造成 12 点伤害&lt;/battle&gt;","periodicPulse":{"label":"获得 3 层敏捷，&lt;battle&gt;造成 12 点伤害&lt;/battle&gt;","damageHealth":{"amount":12},"buffGains":[{"buffId":"agile","count":3}]}},"2":{"label":"获得 4 层敏捷，&lt;battle&gt;造成 14 点伤害&lt;/battle&gt;","periodicPulse":{"label":"获得 4 层敏捷，&lt;battle&gt;造成 14 点伤害&lt;/battle&gt;","damageHealth":{"amount":14},"buffGains":[{"buffId":"agile","count":4}]}},"3":{"label":"获得 5 层敏捷，&lt;battle&gt;造成 16 点伤害&lt;/battle&gt;","periodicPulse":{"label":"获得 5 层敏捷，&lt;battle&gt;造成 16 点伤害&lt;/battle&gt;","damageHealth":{"amount":16},"buffGains":[{"buffId":"agile","count":5}]}}}}</t>
        </is>
      </c>
    </row>
    <row r="1208" ht="32" customHeight="1">
      <c r="A1208" s="8" t="n">
        <v>418065</v>
      </c>
      <c r="B1208" s="8" t="inlineStr">
        <is>
          <t>水珠契算盘</t>
        </is>
      </c>
      <c r="C1208" s="8" t="inlineStr">
        <is>
          <t>法器</t>
        </is>
      </c>
      <c r="D1208" s="8" t="inlineStr">
        <is>
          <t>common</t>
        </is>
      </c>
      <c r="E1208" s="8" t="inlineStr">
        <is>
          <t>water</t>
        </is>
      </c>
      <c r="F1208" s="8" t="n">
        <v>1</v>
      </c>
      <c r="G1208" s="8" t="inlineStr">
        <is>
          <t>基础/顶层</t>
        </is>
      </c>
      <c r="H1208" s="8" t="inlineStr"/>
      <c r="I1208" s="9" t="inlineStr"/>
      <c r="J1208" s="8" t="inlineStr"/>
      <c r="K1208" s="8" t="inlineStr"/>
      <c r="L1208" s="8" t="inlineStr"/>
      <c r="M1208" s="8" t="inlineStr">
        <is>
          <t>周期触发</t>
        </is>
      </c>
      <c r="N1208" s="8" t="inlineStr">
        <is>
          <t>periodicPulse</t>
        </is>
      </c>
      <c r="O1208" s="9" t="inlineStr">
        <is>
          <t>获得 2 层凝金；获得 4 层凝金；获得 6 层凝金；获得 8 层凝金</t>
        </is>
      </c>
      <c r="P1208" s="9" t="inlineStr"/>
      <c r="Q1208" s="9" t="inlineStr"/>
      <c r="R1208" s="9" t="inlineStr">
        <is>
          <t>{"kind":"periodicPulse","label":"获得 2 层凝金","periodicPulse":{"intervalSec":7,"label":"获得 2 层凝金","buffGains":[{"buffId":"condensedMetal","count":2}]},"starOverrides":{"1":{"label":"获得 4 层凝金","periodicPulse":{"label":"获得 4 层凝金","buffGains":[{"buffId":"condensedMetal","count":4}]}},"2":{"label":"获得 6 层凝金","periodicPulse":{"label":"获得 6 层凝金","buffGains":[{"buffId":"condensedMetal","count":6}]}},"3":{"label":"获得 8 层凝金","periodicPulse":{"label":"获得 8 层凝金","buffGains":[{"buffId":"condensedMetal","count":8}]}}}}</t>
        </is>
      </c>
    </row>
    <row r="1209" ht="32" customHeight="1">
      <c r="A1209" s="8" t="n">
        <v>418066</v>
      </c>
      <c r="B1209" s="8" t="inlineStr">
        <is>
          <t>沉铜水冷炉轮</t>
        </is>
      </c>
      <c r="C1209" s="8" t="inlineStr">
        <is>
          <t>法器</t>
        </is>
      </c>
      <c r="D1209" s="8" t="inlineStr">
        <is>
          <t>common</t>
        </is>
      </c>
      <c r="E1209" s="8" t="inlineStr">
        <is>
          <t>fire</t>
        </is>
      </c>
      <c r="F1209" s="8" t="n">
        <v>1</v>
      </c>
      <c r="G1209" s="8" t="inlineStr">
        <is>
          <t>基础/顶层</t>
        </is>
      </c>
      <c r="H1209" s="8" t="inlineStr"/>
      <c r="I1209" s="9" t="inlineStr"/>
      <c r="J1209" s="8" t="inlineStr"/>
      <c r="K1209" s="8" t="inlineStr"/>
      <c r="L1209" s="8" t="inlineStr"/>
      <c r="M1209" s="8" t="inlineStr">
        <is>
          <t>周期触发</t>
        </is>
      </c>
      <c r="N1209" s="8" t="inlineStr">
        <is>
          <t>periodicPulse</t>
        </is>
      </c>
      <c r="O1209" s="9" t="inlineStr">
        <is>
          <t>获得 3 层炎热和 3 层护甲；获得 4 层炎热和 4 层护甲；获得 5 层炎热和 5 层护甲；获得 6 层炎热和 6 层护甲</t>
        </is>
      </c>
      <c r="P1209" s="9" t="inlineStr"/>
      <c r="Q1209" s="9" t="inlineStr"/>
      <c r="R1209" s="9" t="inlineStr">
        <is>
          <t>{"kind":"periodicPulse","label":"获得 3 层炎热和 3 层护甲","periodicPulse":{"intervalSec":8,"label":"获得 3 层炎热和 3 层护甲","buffGains":[{"buffId":"heat","count":3},{"buffId":"armor","count":3}]},"starOverrides":{"1":{"label":"获得 4 层炎热和 4 层护甲","periodicPulse":{"label":"获得 4 层炎热和 4 层护甲","buffGains":[{"buffId":"heat","count":4},{"buffId":"armor","count":4}]}},"2":{"label":"获得 5 层炎热和 5 层护甲","periodicPulse":{"label":"获得 5 层炎热和 5 层护甲","buffGains":[{"buffId":"heat","count":5},{"buffId":"armor","count":5}]}},"3":{"label":"获得 6 层炎热和 6 层护甲","periodicPulse":{"label":"获得 6 层炎热和 6 层护甲","buffGains":[{"buffId":"heat","count":6},{"buffId":"armor","count":6}]}}}}</t>
        </is>
      </c>
    </row>
    <row r="1210" ht="32" customHeight="1">
      <c r="A1210" s="8" t="n">
        <v>418067</v>
      </c>
      <c r="B1210" s="8" t="inlineStr">
        <is>
          <t>折叠水门盾</t>
        </is>
      </c>
      <c r="C1210" s="8" t="inlineStr">
        <is>
          <t>法器</t>
        </is>
      </c>
      <c r="D1210" s="8" t="inlineStr">
        <is>
          <t>common</t>
        </is>
      </c>
      <c r="E1210" s="8" t="inlineStr">
        <is>
          <t>water</t>
        </is>
      </c>
      <c r="F1210" s="8" t="n">
        <v>1</v>
      </c>
      <c r="G1210" s="8" t="inlineStr">
        <is>
          <t>基础/顶层</t>
        </is>
      </c>
      <c r="H1210" s="8" t="inlineStr"/>
      <c r="I1210" s="9" t="inlineStr"/>
      <c r="J1210" s="8" t="inlineStr"/>
      <c r="K1210" s="8" t="inlineStr"/>
      <c r="L1210" s="8" t="inlineStr"/>
      <c r="M1210" s="8" t="inlineStr">
        <is>
          <t>周期触发</t>
        </is>
      </c>
      <c r="N1210" s="8" t="inlineStr">
        <is>
          <t>periodicPulse</t>
        </is>
      </c>
      <c r="O1210" s="9" t="inlineStr">
        <is>
          <t>获得 4 层蓄势和 8 层护甲，并造成 20 点伤害；获得 5 层蓄势和 10 层护甲，并造成 22 点伤害；获得 6 层蓄势和 12 层护甲，并造成 24 点伤害；获得 7 层蓄势和 14 层护甲，并造成 26 点伤害</t>
        </is>
      </c>
      <c r="P1210" s="9" t="inlineStr"/>
      <c r="Q1210" s="9" t="inlineStr"/>
      <c r="R1210" s="9" t="inlineStr">
        <is>
          <t>{"kind":"periodicPulse","label":"获得 4 层蓄势和 8 层护甲，&lt;battle&gt;并造成 20 点伤害&lt;/battle&gt;","periodicPulse":{"intervalSec":9,"label":"获得 4 层蓄势和 8 层护甲，&lt;battle&gt;并造成 20 点伤害&lt;/battle&gt;","damageHealth":{"target":"enemy","amount":20},"buffGains":[{"buffId":"heavy","count":4},{"buffId":"armor","count":8}]},"starOverrides":{"1":{"label":"获得 5 层蓄势和 10 层护甲，&lt;battle&gt;并造成 22 点伤害&lt;/battle&gt;","periodicPulse":{"label":"获得 5 层蓄势和 10 层护甲，&lt;battle&gt;并造成 22 点伤害&lt;/battle&gt;","damageHealth":{"amount":22},"buffGains":[{"buffId":"heavy","count":5},{"buffId":"armor","count":10}]}},"2":{"label":"获得 6 层蓄势和 12 层护甲，&lt;battle&gt;并造成 24 点伤害&lt;/battle&gt;","periodicPulse":{"label":"获得 6 层蓄势和 12 层护甲，&lt;battle&gt;并造成 24 点伤害&lt;/battle&gt;","damageHealth":{"amount":24},"buffGains":[{"buffId":"heavy","count":6},{"buffId":"armor","count":12}]}},"3":{"label":"获得 7 层蓄势和 14 层护甲，&lt;battle&gt;并造成 26 点伤害&lt;/battle&gt;","periodicPulse":{"label":"获得 7 层蓄势和 14 层护甲，&lt;battle&gt;并造成 26 点伤害&lt;/battle&gt;","damageHealth":{"amount":26},"buffGains":[{"buffId":"heavy","count":7},{"buffId":"armor","count":14}]}}}}</t>
        </is>
      </c>
    </row>
    <row r="1211" ht="32" customHeight="1">
      <c r="A1211" s="8" t="n">
        <v>418068</v>
      </c>
      <c r="B1211" s="8" t="inlineStr">
        <is>
          <t>紫焰照契盏</t>
        </is>
      </c>
      <c r="C1211" s="8" t="inlineStr">
        <is>
          <t>法器</t>
        </is>
      </c>
      <c r="D1211" s="8" t="inlineStr">
        <is>
          <t>common</t>
        </is>
      </c>
      <c r="E1211" s="8" t="inlineStr">
        <is>
          <t>water</t>
        </is>
      </c>
      <c r="F1211" s="8" t="n">
        <v>1</v>
      </c>
      <c r="G1211" s="8" t="inlineStr">
        <is>
          <t>基础/顶层</t>
        </is>
      </c>
      <c r="H1211" s="8" t="inlineStr"/>
      <c r="I1211" s="9" t="inlineStr"/>
      <c r="J1211" s="8" t="inlineStr"/>
      <c r="K1211" s="8" t="inlineStr"/>
      <c r="L1211" s="8" t="inlineStr"/>
      <c r="M1211" s="8" t="inlineStr">
        <is>
          <t>周期触发</t>
        </is>
      </c>
      <c r="N1211" s="8" t="inlineStr">
        <is>
          <t>periodicPulse</t>
        </is>
      </c>
      <c r="O1211" s="9" t="inlineStr">
        <is>
          <t>获得 2 层炎热；获得 3 层炎热；获得 4 层炎热；获得 5 层炎热</t>
        </is>
      </c>
      <c r="P1211" s="9" t="inlineStr"/>
      <c r="Q1211" s="9" t="inlineStr"/>
      <c r="R1211" s="9" t="inlineStr">
        <is>
          <t>{"kind":"periodicPulse","label":"获得 2 层炎热","periodicPulse":{"intervalSec":6,"label":"获得 2 层炎热","buffGains":[{"buffId":"heat","count":2}]},"starOverrides":{"1":{"label":"获得 3 层炎热","periodicPulse":{"label":"获得 3 层炎热","buffGains":[{"buffId":"heat","count":3}]}},"2":{"label":"获得 4 层炎热","periodicPulse":{"label":"获得 4 层炎热","buffGains":[{"buffId":"heat","count":4}]}},"3":{"label":"获得 5 层炎热","periodicPulse":{"label":"获得 5 层炎热","buffGains":[{"buffId":"heat","count":5}]}}}}</t>
        </is>
      </c>
    </row>
    <row r="1212" ht="32" customHeight="1">
      <c r="A1212" s="8" t="n">
        <v>418069</v>
      </c>
      <c r="B1212" s="8" t="inlineStr">
        <is>
          <t>三契条款珠</t>
        </is>
      </c>
      <c r="C1212" s="8" t="inlineStr">
        <is>
          <t>法器</t>
        </is>
      </c>
      <c r="D1212" s="8" t="inlineStr">
        <is>
          <t>common</t>
        </is>
      </c>
      <c r="E1212" s="8" t="inlineStr">
        <is>
          <t>water</t>
        </is>
      </c>
      <c r="F1212" s="8" t="n">
        <v>1</v>
      </c>
      <c r="G1212" s="8" t="inlineStr">
        <is>
          <t>基础/顶层</t>
        </is>
      </c>
      <c r="H1212" s="8" t="inlineStr"/>
      <c r="I1212" s="9" t="inlineStr"/>
      <c r="J1212" s="8" t="inlineStr"/>
      <c r="K1212" s="8" t="inlineStr"/>
      <c r="L1212" s="8" t="inlineStr"/>
      <c r="M1212" s="8" t="inlineStr">
        <is>
          <t>周期触发</t>
        </is>
      </c>
      <c r="N1212" s="8" t="inlineStr">
        <is>
          <t>periodicPulse</t>
        </is>
      </c>
      <c r="O1212" s="9" t="inlineStr">
        <is>
          <t>获得 3 层凝金；获得 5 层凝金；获得 7 层凝金；获得 9 层凝金</t>
        </is>
      </c>
      <c r="P1212" s="9" t="inlineStr"/>
      <c r="Q1212" s="9" t="inlineStr"/>
      <c r="R1212" s="9" t="inlineStr">
        <is>
          <t>{"kind":"periodicPulse","label":"获得 3 层凝金","periodicPulse":{"intervalSec":7,"label":"获得 3 层凝金","buffGains":[{"buffId":"condensedMetal","count":3}]},"starOverrides":{"1":{"label":"获得 5 层凝金","periodicPulse":{"label":"获得 5 层凝金","buffGains":[{"buffId":"condensedMetal","count":5}]}},"2":{"label":"获得 7 层凝金","periodicPulse":{"label":"获得 7 层凝金","buffGains":[{"buffId":"condensedMetal","count":7}]}},"3":{"label":"获得 9 层凝金","periodicPulse":{"label":"获得 9 层凝金","buffGains":[{"buffId":"condensedMetal","count":9}]}}}}</t>
        </is>
      </c>
    </row>
    <row r="1213" ht="32" customHeight="1">
      <c r="A1213" s="8" t="n">
        <v>418070</v>
      </c>
      <c r="B1213" s="8" t="inlineStr">
        <is>
          <t>白鳞潮针盘</t>
        </is>
      </c>
      <c r="C1213" s="8" t="inlineStr">
        <is>
          <t>法器</t>
        </is>
      </c>
      <c r="D1213" s="8" t="inlineStr">
        <is>
          <t>common</t>
        </is>
      </c>
      <c r="E1213" s="8" t="inlineStr">
        <is>
          <t>water</t>
        </is>
      </c>
      <c r="F1213" s="8" t="n">
        <v>1</v>
      </c>
      <c r="G1213" s="8" t="inlineStr">
        <is>
          <t>基础/顶层</t>
        </is>
      </c>
      <c r="H1213" s="8" t="inlineStr"/>
      <c r="I1213" s="9" t="inlineStr"/>
      <c r="J1213" s="8" t="inlineStr"/>
      <c r="K1213" s="8" t="inlineStr"/>
      <c r="L1213" s="8" t="inlineStr"/>
      <c r="M1213" s="8" t="inlineStr">
        <is>
          <t>周期触发</t>
        </is>
      </c>
      <c r="N1213" s="8" t="inlineStr">
        <is>
          <t>periodicPulse</t>
        </is>
      </c>
      <c r="O1213" s="9" t="inlineStr">
        <is>
          <t>获得 4 层露水；获得 6 层露水；获得 8 层露水；获得 10 层露水</t>
        </is>
      </c>
      <c r="P1213" s="9" t="inlineStr"/>
      <c r="Q1213" s="9" t="inlineStr"/>
      <c r="R1213" s="9" t="inlineStr">
        <is>
          <t>{"kind":"periodicPulse","label":"获得 4 层露水","periodicPulse":{"intervalSec":8,"label":"获得 4 层露水","buffGains":[{"buffId":"dew","count":4}]},"starOverrides":{"1":{"label":"获得 6 层露水","periodicPulse":{"label":"获得 6 层露水","buffGains":[{"buffId":"dew","count":6}]}},"2":{"label":"获得 8 层露水","periodicPulse":{"label":"获得 8 层露水","buffGains":[{"buffId":"dew","count":8}]}},"3":{"label":"获得 10 层露水","periodicPulse":{"label":"获得 10 层露水","buffGains":[{"buffId":"dew","count":10}]}}}}</t>
        </is>
      </c>
    </row>
    <row r="1214" ht="32" customHeight="1">
      <c r="A1214" s="8" t="n">
        <v>418142</v>
      </c>
      <c r="B1214" s="8" t="inlineStr">
        <is>
          <t>十二渡回澜玉衡盘</t>
        </is>
      </c>
      <c r="C1214" s="8" t="inlineStr">
        <is>
          <t>法器</t>
        </is>
      </c>
      <c r="D1214" s="8" t="inlineStr">
        <is>
          <t>earth</t>
        </is>
      </c>
      <c r="E1214" s="8" t="inlineStr">
        <is>
          <t>water</t>
        </is>
      </c>
      <c r="F1214" s="8" t="n">
        <v>1</v>
      </c>
      <c r="G1214" s="8" t="inlineStr">
        <is>
          <t>基础/顶层</t>
        </is>
      </c>
      <c r="H1214" s="8" t="inlineStr"/>
      <c r="I1214" s="9" t="inlineStr"/>
      <c r="J1214" s="8" t="inlineStr"/>
      <c r="K1214" s="8" t="inlineStr"/>
      <c r="L1214" s="8" t="inlineStr"/>
      <c r="M1214" s="8" t="inlineStr">
        <is>
          <t>周期触发</t>
        </is>
      </c>
      <c r="N1214" s="8" t="inlineStr">
        <is>
          <t>periodicPulse</t>
        </is>
      </c>
      <c r="O1214" s="9" t="inlineStr">
        <is>
          <t>消耗 6000 点法力，引十二渡总阵冲刷敌方，连续 8 次造成 18000 点伤害</t>
        </is>
      </c>
      <c r="P1214" s="9" t="inlineStr"/>
      <c r="Q1214" s="9" t="inlineStr"/>
      <c r="R1214" s="9" t="inlineStr">
        <is>
          <t>{"kind":"periodicPulse","periodicPulse":{"intervalSec":10,"label":"消耗 6000 点法力，&lt;battle&gt;引十二渡总阵冲刷敌方，连续 8 次造成 18000 点伤害&lt;/battle&gt;","primaryStatCosts":[{"stat":"mana","amount":6000}],"damageHealth":{"target":"enemy","amount":18000,"repeatCount":8}},"label":"消耗 6000 点法力，&lt;battle&gt;引十二渡总阵冲刷敌方，连续 8 次造成 18000 点伤害&lt;/battle&gt;"}</t>
        </is>
      </c>
    </row>
    <row r="1215" ht="32" customHeight="1">
      <c r="A1215" s="8" t="n">
        <v>418142</v>
      </c>
      <c r="B1215" s="8" t="inlineStr">
        <is>
          <t>十二渡回澜玉衡盘</t>
        </is>
      </c>
      <c r="C1215" s="8" t="inlineStr">
        <is>
          <t>法器</t>
        </is>
      </c>
      <c r="D1215" s="8" t="inlineStr">
        <is>
          <t>earth</t>
        </is>
      </c>
      <c r="E1215" s="8" t="inlineStr">
        <is>
          <t>water</t>
        </is>
      </c>
      <c r="F1215" s="8" t="n">
        <v>2</v>
      </c>
      <c r="G1215" s="8" t="inlineStr">
        <is>
          <t>基础/顶层</t>
        </is>
      </c>
      <c r="H1215" s="8" t="inlineStr"/>
      <c r="I1215" s="9" t="inlineStr"/>
      <c r="J1215" s="8" t="inlineStr"/>
      <c r="K1215" s="8" t="inlineStr"/>
      <c r="L1215" s="8" t="inlineStr"/>
      <c r="M1215" s="8" t="inlineStr">
        <is>
          <t>周期触发</t>
        </is>
      </c>
      <c r="N1215" s="8" t="inlineStr">
        <is>
          <t>periodicPulse</t>
        </is>
      </c>
      <c r="O1215" s="9" t="inlineStr">
        <is>
          <t>开局：获得 320 层露水和 180 层护甲</t>
        </is>
      </c>
      <c r="P1215" s="9" t="inlineStr"/>
      <c r="Q1215" s="9" t="inlineStr"/>
      <c r="R1215" s="9" t="inlineStr">
        <is>
          <t>{"kind":"periodicPulse","periodicPulse":{"startOnly":true,"label":"开局：获得 320 层露水和 180 层护甲","buffGains":[{"buffId":"dew","count":320},{"buffId":"armor","count":180}]}}</t>
        </is>
      </c>
    </row>
    <row r="1216" ht="32" customHeight="1">
      <c r="A1216" s="8" t="n">
        <v>418142</v>
      </c>
      <c r="B1216" s="8" t="inlineStr">
        <is>
          <t>十二渡回澜玉衡盘</t>
        </is>
      </c>
      <c r="C1216" s="8" t="inlineStr">
        <is>
          <t>法器</t>
        </is>
      </c>
      <c r="D1216" s="8" t="inlineStr">
        <is>
          <t>earth</t>
        </is>
      </c>
      <c r="E1216" s="8" t="inlineStr">
        <is>
          <t>water</t>
        </is>
      </c>
      <c r="F1216" s="8" t="n">
        <v>3</v>
      </c>
      <c r="G1216" s="8" t="inlineStr">
        <is>
          <t>基础/顶层</t>
        </is>
      </c>
      <c r="H1216" s="8" t="inlineStr"/>
      <c r="I1216" s="9" t="inlineStr"/>
      <c r="J1216" s="8" t="inlineStr"/>
      <c r="K1216" s="8" t="inlineStr"/>
      <c r="L1216" s="8" t="inlineStr"/>
      <c r="M1216" s="8" t="inlineStr">
        <is>
          <t>周期触发</t>
        </is>
      </c>
      <c r="N1216" s="8" t="inlineStr">
        <is>
          <t>periodicPulse</t>
        </is>
      </c>
      <c r="O1216" s="9" t="inlineStr">
        <is>
          <t>最多将 200 层露水转化为寒冷</t>
        </is>
      </c>
      <c r="P1216" s="9" t="inlineStr">
        <is>
          <t>onPeriodicPulse</t>
        </is>
      </c>
      <c r="Q1216" s="9" t="inlineStr">
        <is>
          <t>convertBuffStacks</t>
        </is>
      </c>
      <c r="R1216" s="9" t="inlineStr">
        <is>
          <t>{"kind":"periodicPulse","periodicPulse":{"intervalSec":8,"label":"最多将 200 层露水转化为寒冷"},"executors":[{"trigger":"onPeriodicPulse","type":"convertBuffStacks","sourceBuffId":"dew","targetBuffId":"cold","maxStacks":200,"label":"最多将 200 层露水转化为寒冷"}]}</t>
        </is>
      </c>
    </row>
    <row r="1217" ht="32" customHeight="1">
      <c r="A1217" s="8" t="n">
        <v>418143</v>
      </c>
      <c r="B1217" s="8" t="inlineStr">
        <is>
          <t>天河定标玄尺</t>
        </is>
      </c>
      <c r="C1217" s="8" t="inlineStr">
        <is>
          <t>法器</t>
        </is>
      </c>
      <c r="D1217" s="8" t="inlineStr">
        <is>
          <t>earth</t>
        </is>
      </c>
      <c r="E1217" s="8" t="inlineStr">
        <is>
          <t>water</t>
        </is>
      </c>
      <c r="F1217" s="8" t="n">
        <v>1</v>
      </c>
      <c r="G1217" s="8" t="inlineStr">
        <is>
          <t>基础/顶层</t>
        </is>
      </c>
      <c r="H1217" s="8" t="inlineStr"/>
      <c r="I1217" s="9" t="inlineStr"/>
      <c r="J1217" s="8" t="inlineStr"/>
      <c r="K1217" s="8" t="inlineStr"/>
      <c r="L1217" s="8" t="inlineStr"/>
      <c r="M1217" s="8" t="inlineStr">
        <is>
          <t>周期触发</t>
        </is>
      </c>
      <c r="N1217" s="8" t="inlineStr">
        <is>
          <t>periodicPulse</t>
        </is>
      </c>
      <c r="O1217" s="9" t="inlineStr">
        <is>
          <t>消耗自身 12 层寒冷，对敌方造成 70 点伤害；消耗自身 12 层寒冷，对敌方造成 88 点伤害；消耗自身 12 层寒冷，对敌方造成 105 点伤害；消耗自身 12 层寒冷，对敌方造成 123 点伤害</t>
        </is>
      </c>
      <c r="P1217" s="9" t="inlineStr"/>
      <c r="Q1217" s="9" t="inlineStr"/>
      <c r="R1217" s="9" t="inlineStr">
        <is>
          <t>{"kind":"periodicPulse","periodicPulse":{"intervalSec":6,"label":"&lt;battle&gt;消耗自身 12 层寒冷，对敌方造成 70 点伤害&lt;/battle&gt;","damageHealth":{"target":"enemy","amount":70,"removeSourceBuffStacksAfterDamage":{"buffId":"cold","count":12}}},"starOverrides":{"1":{"periodicPulse":{"label":"&lt;battle&gt;消耗自身 12 层寒冷，对敌方造成 88 点伤害&lt;/battle&gt;","damageHealth":{"amount":88}},"label":"&lt;battle&gt;消耗自身 12 层寒冷，对敌方造成 88 点伤害&lt;/battle&gt;"},"2":{"periodicPulse":{"label":"&lt;battle&gt;消耗自身 12 层寒冷，对敌方造成 105 点伤害&lt;/battle&gt;","damageHealth":{"amount":105}},"label":"&lt;battle&gt;消耗自身 12 层寒冷，对敌方造成 105 点伤害&lt;/battle&gt;"},"3":{"periodicPulse":{"label":"&lt;battle&gt;消耗自身 12 层寒冷，对敌方造成 123 点伤害&lt;/battle&gt;","damageHealth":{"amount":123}},"label":"&lt;battle&gt;消耗自身 12 层寒冷，对敌方造成 123 点伤害&lt;/battle&gt;"}}}</t>
        </is>
      </c>
    </row>
    <row r="1218" ht="32" customHeight="1">
      <c r="A1218" s="8" t="n">
        <v>418144</v>
      </c>
      <c r="B1218" s="8" t="inlineStr">
        <is>
          <t>三江定流玉圭</t>
        </is>
      </c>
      <c r="C1218" s="8" t="inlineStr">
        <is>
          <t>法器</t>
        </is>
      </c>
      <c r="D1218" s="8" t="inlineStr">
        <is>
          <t>earth</t>
        </is>
      </c>
      <c r="E1218" s="8" t="inlineStr">
        <is>
          <t>water</t>
        </is>
      </c>
      <c r="F1218" s="8" t="n">
        <v>1</v>
      </c>
      <c r="G1218" s="8" t="inlineStr">
        <is>
          <t>基础/顶层</t>
        </is>
      </c>
      <c r="H1218" s="8" t="inlineStr"/>
      <c r="I1218" s="9" t="inlineStr"/>
      <c r="J1218" s="8" t="inlineStr"/>
      <c r="K1218" s="8" t="inlineStr"/>
      <c r="L1218" s="8" t="inlineStr"/>
      <c r="M1218" s="8" t="inlineStr">
        <is>
          <t>周期触发</t>
        </is>
      </c>
      <c r="N1218" s="8" t="inlineStr">
        <is>
          <t>periodicPulse</t>
        </is>
      </c>
      <c r="O1218" s="9" t="inlineStr">
        <is>
          <t>开局：获得 24 层护甲；开局：获得 30 层护甲；开局：获得 36 层护甲；开局：获得 42 层护甲</t>
        </is>
      </c>
      <c r="P1218" s="9" t="inlineStr"/>
      <c r="Q1218" s="9" t="inlineStr"/>
      <c r="R1218" s="9" t="inlineStr">
        <is>
          <t>{"kind":"periodicPulse","periodicPulse":{"startOnly":true,"label":"开局：获得 24 层护甲","buffGains":[{"buffId":"armor","count":24}]},"starOverrides":{"1":{"periodicPulse":{"label":"开局：获得 30 层护甲","buffGains":[{"buffId":"armor","count":30}]},"label":"开局：获得 30 层护甲"},"2":{"periodicPulse":{"label":"开局：获得 36 层护甲","buffGains":[{"buffId":"armor","count":36}]},"label":"开局：获得 36 层护甲"},"3":{"periodicPulse":{"label":"开局：获得 42 层护甲","buffGains":[{"buffId":"armor","count":42}]},"label":"开局：获得 42 层护甲"}}}</t>
        </is>
      </c>
    </row>
    <row r="1219" ht="32" customHeight="1">
      <c r="A1219" s="8" t="n">
        <v>418144</v>
      </c>
      <c r="B1219" s="8" t="inlineStr">
        <is>
          <t>三江定流玉圭</t>
        </is>
      </c>
      <c r="C1219" s="8" t="inlineStr">
        <is>
          <t>法器</t>
        </is>
      </c>
      <c r="D1219" s="8" t="inlineStr">
        <is>
          <t>earth</t>
        </is>
      </c>
      <c r="E1219" s="8" t="inlineStr">
        <is>
          <t>water</t>
        </is>
      </c>
      <c r="F1219" s="8" t="n">
        <v>2</v>
      </c>
      <c r="G1219" s="8" t="inlineStr">
        <is>
          <t>基础/顶层</t>
        </is>
      </c>
      <c r="H1219" s="8" t="inlineStr"/>
      <c r="I1219" s="9" t="inlineStr"/>
      <c r="J1219" s="8" t="inlineStr"/>
      <c r="K1219" s="8" t="inlineStr"/>
      <c r="L1219" s="8" t="inlineStr"/>
      <c r="M1219" s="8" t="inlineStr">
        <is>
          <t>周期触发</t>
        </is>
      </c>
      <c r="N1219" s="8" t="inlineStr">
        <is>
          <t>periodicPulse</t>
        </is>
      </c>
      <c r="O1219" s="9" t="inlineStr">
        <is>
          <t>将 12 层寒冷转化为 12 层坚硬；将 15 层寒冷转化为 30 层坚硬；将 18 层寒冷转化为 54 层坚硬；将 21 层寒冷转化为 84 层坚硬</t>
        </is>
      </c>
      <c r="P1219" s="9" t="inlineStr">
        <is>
          <t>onPeriodicPulse</t>
        </is>
      </c>
      <c r="Q1219" s="9" t="inlineStr">
        <is>
          <t>consumeBuffStacks</t>
        </is>
      </c>
      <c r="R1219" s="9" t="inlineStr">
        <is>
          <t>{"kind":"periodicPulse","periodicPulse":{"intervalSec":8,"label":"将 12 层寒冷转化为 12 层坚硬"},"executors":[{"trigger":"onPeriodicPulse","type":"consumeBuffStacks","sourceBuffId":"cold","requiredStacks":12,"maxStacks":12,"targetBuffGainPerStack":{"buffId":"sturdy","countPerStack":1},"activationRequirements":{"buffStackThresholds":[{"buffId":"cold","comparator":"atLeast","count":12}]},"label":"将 12 层寒冷转化为 12 层坚硬"}],"starOverrides":{"1":{"periodicPulse":{"label":"将 15 层寒冷转化为 30 层坚硬"},"executors":[{"trigger":"onPeriodicPulse","type":"consumeBuffStacks","sourceBuffId":"cold","requiredStacks":15,"maxStacks":15,"targetBuffGainPerStack":{"buffId":"sturdy","countPerStack":2},"activationRequirements":{"buffStackThresholds":[{"buffId":"cold","comparator":"atLeast","count":15}]},"label":"将 15 层寒冷转化为 30 层坚硬"}],"label":"将 15 层寒冷转化为 30 层坚硬"},"2":{"periodicPulse":{"label":"将 18 层寒冷转化为 54 层坚硬"},"executors":[{"trigger":"onPeriodicPulse","type":"consumeBuffStacks","sourceBuffId":"cold","requiredStacks":18,"maxStacks":18,"targetBuffGainPerStack":{"buffId":"sturdy","countPerStack":3},"activationRequirements":{"buffStackThresholds":[{"buffId":"cold","comparator":"atLeast","count":18}]},"label":"将 18 层寒冷转化为 54 层坚硬"}],"label":"将 18 层寒冷转化为 54 层坚硬"},"3":{"periodicPulse":{"label":"将 21 层寒冷转化为 84 层坚硬"},"executors":[{"trigger":"onPeriodicPulse","type":"consumeBuffStacks","sourceBuffId":"cold","requiredStacks":21,"maxStacks":21,"targetBuffGainPerStack":{"buffId":"sturdy","countPerStack":4},"activationRequirements":{"buffStackThresholds":[{"buffId":"cold","comparator":"atLeast","count":21}]},"label":"将 21 层寒冷转化为 84 层坚硬"}],"label":"将 21 层寒冷转化为 84 层坚硬"}}}</t>
        </is>
      </c>
    </row>
    <row r="1220" ht="32" customHeight="1">
      <c r="A1220" s="8" t="n">
        <v>418145</v>
      </c>
      <c r="B1220" s="8" t="inlineStr">
        <is>
          <t>万流朝宗璧</t>
        </is>
      </c>
      <c r="C1220" s="8" t="inlineStr">
        <is>
          <t>法器</t>
        </is>
      </c>
      <c r="D1220" s="8" t="inlineStr">
        <is>
          <t>earth</t>
        </is>
      </c>
      <c r="E1220" s="8" t="inlineStr">
        <is>
          <t>water</t>
        </is>
      </c>
      <c r="F1220" s="8" t="n">
        <v>1</v>
      </c>
      <c r="G1220" s="8" t="inlineStr">
        <is>
          <t>基础/顶层</t>
        </is>
      </c>
      <c r="H1220" s="8" t="inlineStr"/>
      <c r="I1220" s="9" t="inlineStr"/>
      <c r="J1220" s="8" t="inlineStr"/>
      <c r="K1220" s="8" t="inlineStr"/>
      <c r="L1220" s="8" t="inlineStr"/>
      <c r="M1220" s="8" t="inlineStr">
        <is>
          <t>被动效果</t>
        </is>
      </c>
      <c r="N1220" s="8" t="inlineStr">
        <is>
          <t>passive</t>
        </is>
      </c>
      <c r="O1220" s="9" t="inlineStr">
        <is>
          <t>露水层数上限 +24</t>
        </is>
      </c>
      <c r="P1220" s="9" t="inlineStr"/>
      <c r="Q1220" s="9" t="inlineStr">
        <is>
          <t>buffStackCapBonus</t>
        </is>
      </c>
      <c r="R1220" s="9" t="inlineStr">
        <is>
          <t>{"kind":"passive","passiveEffect":{"type":"buffStackCapBonus","buffId":"dew","value":24,"label":"露水层数上限 +24"}}</t>
        </is>
      </c>
    </row>
    <row r="1221" ht="32" customHeight="1">
      <c r="A1221" s="8" t="n">
        <v>418145</v>
      </c>
      <c r="B1221" s="8" t="inlineStr">
        <is>
          <t>万流朝宗璧</t>
        </is>
      </c>
      <c r="C1221" s="8" t="inlineStr">
        <is>
          <t>法器</t>
        </is>
      </c>
      <c r="D1221" s="8" t="inlineStr">
        <is>
          <t>earth</t>
        </is>
      </c>
      <c r="E1221" s="8" t="inlineStr">
        <is>
          <t>water</t>
        </is>
      </c>
      <c r="F1221" s="8" t="n">
        <v>2</v>
      </c>
      <c r="G1221" s="8" t="inlineStr">
        <is>
          <t>基础/顶层</t>
        </is>
      </c>
      <c r="H1221" s="8" t="inlineStr"/>
      <c r="I1221" s="9" t="inlineStr"/>
      <c r="J1221" s="8" t="inlineStr"/>
      <c r="K1221" s="8" t="inlineStr"/>
      <c r="L1221" s="8" t="inlineStr"/>
      <c r="M1221" s="8" t="inlineStr">
        <is>
          <t>被动效果</t>
        </is>
      </c>
      <c r="N1221" s="8" t="inlineStr">
        <is>
          <t>passive</t>
        </is>
      </c>
      <c r="O1221" s="9" t="inlineStr">
        <is>
          <t>寒冷层数上限 +24</t>
        </is>
      </c>
      <c r="P1221" s="9" t="inlineStr"/>
      <c r="Q1221" s="9" t="inlineStr">
        <is>
          <t>buffStackCapBonus</t>
        </is>
      </c>
      <c r="R1221" s="9" t="inlineStr">
        <is>
          <t>{"kind":"passive","passiveEffect":{"type":"buffStackCapBonus","buffId":"cold","value":24,"label":"寒冷层数上限 +24"}}</t>
        </is>
      </c>
    </row>
    <row r="1222" ht="32" customHeight="1">
      <c r="A1222" s="8" t="n">
        <v>418145</v>
      </c>
      <c r="B1222" s="8" t="inlineStr">
        <is>
          <t>万流朝宗璧</t>
        </is>
      </c>
      <c r="C1222" s="8" t="inlineStr">
        <is>
          <t>法器</t>
        </is>
      </c>
      <c r="D1222" s="8" t="inlineStr">
        <is>
          <t>earth</t>
        </is>
      </c>
      <c r="E1222" s="8" t="inlineStr">
        <is>
          <t>water</t>
        </is>
      </c>
      <c r="F1222" s="8" t="n">
        <v>3</v>
      </c>
      <c r="G1222" s="8" t="inlineStr">
        <is>
          <t>基础/顶层</t>
        </is>
      </c>
      <c r="H1222" s="8" t="inlineStr"/>
      <c r="I1222" s="9" t="inlineStr"/>
      <c r="J1222" s="8" t="inlineStr"/>
      <c r="K1222" s="8" t="inlineStr"/>
      <c r="L1222" s="8" t="inlineStr"/>
      <c r="M1222" s="8" t="inlineStr">
        <is>
          <t>周期触发</t>
        </is>
      </c>
      <c r="N1222" s="8" t="inlineStr">
        <is>
          <t>periodicPulse</t>
        </is>
      </c>
      <c r="O1222" s="9" t="inlineStr">
        <is>
          <t>开局：获得 24 层寒冷、32 层露水和 24 层护甲</t>
        </is>
      </c>
      <c r="P1222" s="9" t="inlineStr"/>
      <c r="Q1222" s="9" t="inlineStr"/>
      <c r="R1222" s="9" t="inlineStr">
        <is>
          <t>{"kind":"periodicPulse","periodicPulse":{"startOnly":true,"label":"开局：获得 24 层寒冷、32 层露水和 24 层护甲","buffGains":[{"buffId":"cold","count":24},{"buffId":"dew","count":32},{"buffId":"armor","count":24}]}}</t>
        </is>
      </c>
    </row>
    <row r="1223" ht="32" customHeight="1">
      <c r="A1223" s="8" t="n">
        <v>418145</v>
      </c>
      <c r="B1223" s="8" t="inlineStr">
        <is>
          <t>万流朝宗璧</t>
        </is>
      </c>
      <c r="C1223" s="8" t="inlineStr">
        <is>
          <t>法器</t>
        </is>
      </c>
      <c r="D1223" s="8" t="inlineStr">
        <is>
          <t>earth</t>
        </is>
      </c>
      <c r="E1223" s="8" t="inlineStr">
        <is>
          <t>water</t>
        </is>
      </c>
      <c r="F1223" s="8" t="n">
        <v>4</v>
      </c>
      <c r="G1223" s="8" t="inlineStr">
        <is>
          <t>基础/顶层</t>
        </is>
      </c>
      <c r="H1223" s="8" t="inlineStr"/>
      <c r="I1223" s="9" t="inlineStr"/>
      <c r="J1223" s="8" t="inlineStr"/>
      <c r="K1223" s="8" t="inlineStr"/>
      <c r="L1223" s="8" t="inlineStr"/>
      <c r="M1223" s="8" t="inlineStr">
        <is>
          <t>周期触发</t>
        </is>
      </c>
      <c r="N1223" s="8" t="inlineStr">
        <is>
          <t>periodicPulse</t>
        </is>
      </c>
      <c r="O1223" s="9" t="inlineStr">
        <is>
          <t>恢复 18 点气血和 12 点法力</t>
        </is>
      </c>
      <c r="P1223" s="9" t="inlineStr"/>
      <c r="Q1223" s="9" t="inlineStr"/>
      <c r="R1223" s="9" t="inlineStr">
        <is>
          <t>{"kind":"periodicPulse","periodicPulse":{"intervalSec":8,"label":"恢复 18 点气血和 12 点法力","primaryStatGains":[{"stat":"health","amount":18},{"stat":"mana","amount":12}]}}</t>
        </is>
      </c>
    </row>
    <row r="1224" ht="32" customHeight="1">
      <c r="A1224" s="8" t="n">
        <v>418146</v>
      </c>
      <c r="B1224" s="8" t="inlineStr">
        <is>
          <t>沧溟贯虹针</t>
        </is>
      </c>
      <c r="C1224" s="8" t="inlineStr">
        <is>
          <t>法器</t>
        </is>
      </c>
      <c r="D1224" s="8" t="inlineStr">
        <is>
          <t>spirit</t>
        </is>
      </c>
      <c r="E1224" s="8" t="inlineStr">
        <is>
          <t>water</t>
        </is>
      </c>
      <c r="F1224" s="8" t="n">
        <v>1</v>
      </c>
      <c r="G1224" s="8" t="inlineStr">
        <is>
          <t>基础/顶层</t>
        </is>
      </c>
      <c r="H1224" s="8" t="inlineStr"/>
      <c r="I1224" s="9" t="inlineStr"/>
      <c r="J1224" s="8" t="inlineStr"/>
      <c r="K1224" s="8" t="inlineStr"/>
      <c r="L1224" s="8" t="inlineStr"/>
      <c r="M1224" s="8" t="inlineStr">
        <is>
          <t>条件触发</t>
        </is>
      </c>
      <c r="N1224" s="8" t="inlineStr">
        <is>
          <t>triggered</t>
        </is>
      </c>
      <c r="O1224" s="9" t="inlineStr">
        <is>
          <t>使用左侧相邻武器时，消耗 1 层露水，对敌方造成 12 点伤害；使用左侧相邻武器时，消耗 1 层露水，对敌方造成 16 点伤害；使用左侧相邻武器时，消耗 1 层露水，对敌方造成 18 点伤害；使用左侧相邻武器时，消耗 1 层露水，对敌方造成 22 点伤害</t>
        </is>
      </c>
      <c r="P1224" s="9" t="inlineStr">
        <is>
          <t>onItemUse</t>
        </is>
      </c>
      <c r="Q1224" s="9" t="inlineStr">
        <is>
          <t>battleDamageHealth；directional-adjacent</t>
        </is>
      </c>
      <c r="R1224" s="9" t="inlineStr">
        <is>
          <t>{"kind":"triggered","label":"使用左侧相邻武器时，消耗 1 层露水，&lt;battle&gt;对敌方造成 12 点伤害&lt;/battle&gt;","triggeredEffect":{"trigger":"onItemUse","type":"battleDamageHealth","amount":12,"support":"battleOnly","consumeSourceBuffStacks":{"buffId":"dew","requiredStacks":1,"maxStacks":1},"eventSource":{"target":{"type":"directional-adjacent","direction":"left"},"filter":{"features":["weapon"]}}},"starOverrides":{"1":{"label":"使用左侧相邻武器时，消耗 1 层露水，&lt;battle&gt;对敌方造成 16 点伤害&lt;/battle&gt;","triggeredEffect":{"amount":16}},"2":{"label":"使用左侧相邻武器时，消耗 1 层露水，&lt;battle&gt;对敌方造成 18 点伤害&lt;/battle&gt;","triggeredEffect":{"amount":18}},"3":{"label":"使用左侧相邻武器时，消耗 1 层露水，&lt;battle&gt;对敌方造成 22 点伤害&lt;/battle&gt;","triggeredEffect":{"amount":22}}}}</t>
        </is>
      </c>
    </row>
    <row r="1225" ht="32" customHeight="1">
      <c r="A1225" s="8" t="n">
        <v>418147</v>
      </c>
      <c r="B1225" s="8" t="inlineStr">
        <is>
          <t>百川断潮剑</t>
        </is>
      </c>
      <c r="C1225" s="8" t="inlineStr">
        <is>
          <t>法器</t>
        </is>
      </c>
      <c r="D1225" s="8" t="inlineStr">
        <is>
          <t>spirit</t>
        </is>
      </c>
      <c r="E1225" s="8" t="inlineStr">
        <is>
          <t>water</t>
        </is>
      </c>
      <c r="F1225" s="8" t="n">
        <v>1</v>
      </c>
      <c r="G1225" s="8" t="inlineStr">
        <is>
          <t>基础/顶层</t>
        </is>
      </c>
      <c r="H1225" s="8" t="inlineStr"/>
      <c r="I1225" s="9" t="inlineStr"/>
      <c r="J1225" s="8" t="inlineStr"/>
      <c r="K1225" s="8" t="inlineStr"/>
      <c r="L1225" s="8" t="inlineStr"/>
      <c r="M1225" s="8" t="inlineStr">
        <is>
          <t>条件触发</t>
        </is>
      </c>
      <c r="N1225" s="8" t="inlineStr">
        <is>
          <t>triggered</t>
        </is>
      </c>
      <c r="O1225" s="9" t="inlineStr">
        <is>
          <t>使用右侧相邻剑时，消耗 1 层露水，对敌方造成 12 点伤害；使用右侧相邻剑时，消耗 1 层露水，对敌方造成 16 点伤害；使用右侧相邻剑时，消耗 1 层露水，对敌方造成 18 点伤害；使用右侧相邻剑时，消耗 1 层露水，对敌方造成 22 点伤害</t>
        </is>
      </c>
      <c r="P1225" s="9" t="inlineStr">
        <is>
          <t>onItemUse</t>
        </is>
      </c>
      <c r="Q1225" s="9" t="inlineStr">
        <is>
          <t>battleDamageHealth；directional-adjacent</t>
        </is>
      </c>
      <c r="R1225" s="9" t="inlineStr">
        <is>
          <t>{"kind":"triggered","label":"使用右侧相邻剑时，消耗 1 层露水，&lt;battle&gt;对敌方造成 12 点伤害&lt;/battle&gt;","triggeredEffect":{"trigger":"onItemUse","type":"battleDamageHealth","amount":12,"support":"battleOnly","consumeSourceBuffStacks":{"buffId":"dew","requiredStacks":1,"maxStacks":1},"eventSource":{"target":{"type":"directional-adjacent","direction":"right"},"filter":{"features":["weapon","sword"]}}},"starOverrides":{"1":{"label":"使用右侧相邻剑时，消耗 1 层露水，&lt;battle&gt;对敌方造成 16 点伤害&lt;/battle&gt;","triggeredEffect":{"amount":16}},"2":{"label":"使用右侧相邻剑时，消耗 1 层露水，&lt;battle&gt;对敌方造成 18 点伤害&lt;/battle&gt;","triggeredEffect":{"amount":18}},"3":{"label":"使用右侧相邻剑时，消耗 1 层露水，&lt;battle&gt;对敌方造成 22 点伤害&lt;/battle&gt;","triggeredEffect":{"amount":22}}}}</t>
        </is>
      </c>
    </row>
    <row r="1226" ht="32" customHeight="1">
      <c r="A1226" s="8" t="n">
        <v>418148</v>
      </c>
      <c r="B1226" s="8" t="inlineStr">
        <is>
          <t>雾锁蛟龙钩</t>
        </is>
      </c>
      <c r="C1226" s="8" t="inlineStr">
        <is>
          <t>法器</t>
        </is>
      </c>
      <c r="D1226" s="8" t="inlineStr">
        <is>
          <t>spirit</t>
        </is>
      </c>
      <c r="E1226" s="8" t="inlineStr">
        <is>
          <t>water</t>
        </is>
      </c>
      <c r="F1226" s="8" t="n">
        <v>1</v>
      </c>
      <c r="G1226" s="8" t="inlineStr">
        <is>
          <t>基础/顶层</t>
        </is>
      </c>
      <c r="H1226" s="8" t="inlineStr"/>
      <c r="I1226" s="9" t="inlineStr"/>
      <c r="J1226" s="8" t="inlineStr"/>
      <c r="K1226" s="8" t="inlineStr"/>
      <c r="L1226" s="8" t="inlineStr"/>
      <c r="M1226" s="8" t="inlineStr">
        <is>
          <t>周期触发</t>
        </is>
      </c>
      <c r="N1226" s="8" t="inlineStr">
        <is>
          <t>periodicPulse</t>
        </is>
      </c>
      <c r="O1226" s="9" t="inlineStr">
        <is>
          <t>使敌方随机 2 件道具减速 4 秒；使敌方随机 2 件道具减速 5 秒；使敌方随机 2 件道具减速 6 秒；使敌方随机 2 件道具减速 7 秒</t>
        </is>
      </c>
      <c r="P1226" s="9" t="inlineStr"/>
      <c r="Q1226" s="9" t="inlineStr"/>
      <c r="R1226" s="9" t="inlineStr">
        <is>
          <t>{"kind":"periodicPulse","periodicPulse":{"intervalSec":15,"label":"&lt;battle&gt;使敌方随机 2 件道具减速 4 秒&lt;/battle&gt;","itemRuntimeStatusEffects":[{"itemRuntimeStatus":"slow","durationSec":4,"targetScope":"enemyRandom","amount":2}]},"label":"&lt;battle&gt;使敌方随机 2 件道具减速 4 秒&lt;/battle&gt;","starOverrides":{"1":{"periodicPulse":{"label":"&lt;battle&gt;使敌方随机 2 件道具减速 5 秒&lt;/battle&gt;","itemRuntimeStatusEffects":[{"itemRuntimeStatus":"slow","durationSec":5,"targetScope":"enemyRandom","amount":2}]},"label":"&lt;battle&gt;使敌方随机 2 件道具减速 5 秒&lt;/battle&gt;"},"2":{"periodicPulse":{"label":"&lt;battle&gt;使敌方随机 2 件道具减速 6 秒&lt;/battle&gt;","itemRuntimeStatusEffects":[{"itemRuntimeStatus":"slow","durationSec":6,"targetScope":"enemyRandom","amount":2}]},"label":"&lt;battle&gt;使敌方随机 2 件道具减速 6 秒&lt;/battle&gt;"},"3":{"periodicPulse":{"label":"&lt;battle&gt;使敌方随机 2 件道具减速 7 秒&lt;/battle&gt;","itemRuntimeStatusEffects":[{"itemRuntimeStatus":"slow","durationSec":7,"targetScope":"enemyRandom","amount":2}]},"label":"&lt;battle&gt;使敌方随机 2 件道具减速 7 秒&lt;/battle&gt;"}}}</t>
        </is>
      </c>
    </row>
    <row r="1227" ht="32" customHeight="1">
      <c r="A1227" s="8" t="n">
        <v>418149</v>
      </c>
      <c r="B1227" s="8" t="inlineStr">
        <is>
          <t>镇海玄骨锤</t>
        </is>
      </c>
      <c r="C1227" s="8" t="inlineStr">
        <is>
          <t>法器</t>
        </is>
      </c>
      <c r="D1227" s="8" t="inlineStr">
        <is>
          <t>spirit</t>
        </is>
      </c>
      <c r="E1227" s="8" t="inlineStr">
        <is>
          <t>water</t>
        </is>
      </c>
      <c r="F1227" s="8" t="n">
        <v>1</v>
      </c>
      <c r="G1227" s="8" t="inlineStr">
        <is>
          <t>基础/顶层</t>
        </is>
      </c>
      <c r="H1227" s="8" t="inlineStr"/>
      <c r="I1227" s="9" t="inlineStr"/>
      <c r="J1227" s="8" t="inlineStr"/>
      <c r="K1227" s="8" t="inlineStr"/>
      <c r="L1227" s="8" t="inlineStr"/>
      <c r="M1227" s="8" t="inlineStr">
        <is>
          <t>周期触发</t>
        </is>
      </c>
      <c r="N1227" s="8" t="inlineStr">
        <is>
          <t>periodicPulse</t>
        </is>
      </c>
      <c r="O1227" s="9" t="inlineStr">
        <is>
          <t>消耗 16 点法力，对敌方造成 32 点伤害，并施加 8 层冰霜；消耗 16 点法力，对敌方造成 40 点伤害，并施加 10 层冰霜；消耗 16 点法力，对敌方造成 48 点伤害，并施加 12 层冰霜；消耗 16 点法力，对敌方造成 56 点伤害，并施加 14 层冰霜</t>
        </is>
      </c>
      <c r="P1227" s="9" t="inlineStr"/>
      <c r="Q1227" s="9" t="inlineStr"/>
      <c r="R1227" s="9" t="inlineStr">
        <is>
          <t>{"kind":"periodicPulse","periodicPulse":{"intervalSec":18,"label":"消耗 16 点法力，&lt;battle&gt;对敌方造成 32 点伤害，并施加 8 层冰霜&lt;/battle&gt;","primaryStatCosts":[{"stat":"mana","amount":16}],"damageHealth":{"target":"enemy","amount":32},"buffGains":[{"buffId":"frost","count":8,"target":"enemy"}]},"label":"消耗 16 点法力，&lt;battle&gt;对敌方造成 32 点伤害，并施加 8 层冰霜&lt;/battle&gt;","starOverrides":{"1":{"periodicPulse":{"label":"消耗 16 点法力，&lt;battle&gt;对敌方造成 40 点伤害，并施加 10 层冰霜&lt;/battle&gt;","damageHealth":{"amount":40},"buffGains":[{"buffId":"frost","count":10,"target":"enemy"}]},"label":"消耗 16 点法力，&lt;battle&gt;对敌方造成 40 点伤害，并施加 10 层冰霜&lt;/battle&gt;"},"2":{"periodicPulse":{"label":"消耗 16 点法力，&lt;battle&gt;对敌方造成 48 点伤害，并施加 12 层冰霜&lt;/battle&gt;","damageHealth":{"amount":48},"buffGains":[{"buffId":"frost","count":12,"target":"enemy"}]},"label":"消耗 16 点法力，&lt;battle&gt;对敌方造成 48 点伤害，并施加 12 层冰霜&lt;/battle&gt;"},"3":{"periodicPulse":{"label":"消耗 16 点法力，&lt;battle&gt;对敌方造成 56 点伤害，并施加 14 层冰霜&lt;/battle&gt;","damageHealth":{"amount":56},"buffGains":[{"buffId":"frost","count":14,"target":"enemy"}]},"label":"消耗 16 点法力，&lt;battle&gt;对敌方造成 56 点伤害，并施加 14 层冰霜&lt;/battle&gt;"}}}</t>
        </is>
      </c>
    </row>
    <row r="1228" ht="32" customHeight="1">
      <c r="A1228" s="8" t="n">
        <v>418150</v>
      </c>
      <c r="B1228" s="8" t="inlineStr">
        <is>
          <t>回澜照影刃</t>
        </is>
      </c>
      <c r="C1228" s="8" t="inlineStr">
        <is>
          <t>法器</t>
        </is>
      </c>
      <c r="D1228" s="8" t="inlineStr">
        <is>
          <t>spirit</t>
        </is>
      </c>
      <c r="E1228" s="8" t="inlineStr">
        <is>
          <t>water</t>
        </is>
      </c>
      <c r="F1228" s="8" t="n">
        <v>1</v>
      </c>
      <c r="G1228" s="8" t="inlineStr">
        <is>
          <t>基础/顶层</t>
        </is>
      </c>
      <c r="H1228" s="8" t="inlineStr"/>
      <c r="I1228" s="9" t="inlineStr"/>
      <c r="J1228" s="8" t="inlineStr"/>
      <c r="K1228" s="8" t="inlineStr"/>
      <c r="L1228" s="8" t="inlineStr"/>
      <c r="M1228" s="8" t="inlineStr">
        <is>
          <t>条件触发</t>
        </is>
      </c>
      <c r="N1228" s="8" t="inlineStr">
        <is>
          <t>triggered</t>
        </is>
      </c>
      <c r="O1228" s="9" t="inlineStr">
        <is>
          <t>每当敏捷将一次体力消耗降为 0，再消耗 1 层敏捷，对敌方造成 16 点伤害；每当敏捷将一次体力消耗降为 0，再消耗 1 层敏捷，对敌方造成 20 点伤害；每当敏捷将一次体力消耗降为 0，再消耗 1 层敏捷，对敌方造成 24 点伤害；每当敏捷将一次体力消耗降为 0，再消耗 1 层敏捷，对敌方造成 28 点伤害</t>
        </is>
      </c>
      <c r="P1228" s="9" t="inlineStr">
        <is>
          <t>onStaminaCostFullyNegatedByAgile</t>
        </is>
      </c>
      <c r="Q1228" s="9" t="inlineStr">
        <is>
          <t>battleDamageHealth；any</t>
        </is>
      </c>
      <c r="R1228" s="9" t="inlineStr">
        <is>
          <t>{"kind":"triggered","label":"&lt;battle&gt;每当敏捷将一次体力消耗降为 0，再消耗 1 层敏捷，对敌方造成 16 点伤害&lt;/battle&gt;","triggeredEffect":{"trigger":"onStaminaCostFullyNegatedByAgile","type":"battleDamageHealth","amount":16,"support":"battleOnly","consumeSourceBuffStacks":{"buffId":"agile","requiredStacks":1,"maxStacks":1},"eventSource":{"target":{"type":"any"}}},"starOverrides":{"1":{"label":"&lt;battle&gt;每当敏捷将一次体力消耗降为 0，再消耗 1 层敏捷，对敌方造成 20 点伤害&lt;/battle&gt;","triggeredEffect":{"amount":20}},"2":{"label":"&lt;battle&gt;每当敏捷将一次体力消耗降为 0，再消耗 1 层敏捷，对敌方造成 24 点伤害&lt;/battle&gt;","triggeredEffect":{"amount":24}},"3":{"label":"&lt;battle&gt;每当敏捷将一次体力消耗降为 0，再消耗 1 层敏捷，对敌方造成 28 点伤害&lt;/battle&gt;","triggeredEffect":{"amount":28}}}}</t>
        </is>
      </c>
    </row>
    <row r="1229" ht="32" customHeight="1">
      <c r="A1229" s="8" t="n">
        <v>418151</v>
      </c>
      <c r="B1229" s="8" t="inlineStr">
        <is>
          <t>天河破阵枪</t>
        </is>
      </c>
      <c r="C1229" s="8" t="inlineStr">
        <is>
          <t>法器</t>
        </is>
      </c>
      <c r="D1229" s="8" t="inlineStr">
        <is>
          <t>spirit</t>
        </is>
      </c>
      <c r="E1229" s="8" t="inlineStr">
        <is>
          <t>water</t>
        </is>
      </c>
      <c r="F1229" s="8" t="n">
        <v>1</v>
      </c>
      <c r="G1229" s="8" t="inlineStr">
        <is>
          <t>基础/顶层</t>
        </is>
      </c>
      <c r="H1229" s="8" t="inlineStr"/>
      <c r="I1229" s="9" t="inlineStr"/>
      <c r="J1229" s="8" t="inlineStr"/>
      <c r="K1229" s="8" t="inlineStr"/>
      <c r="L1229" s="8" t="inlineStr"/>
      <c r="M1229" s="8" t="inlineStr">
        <is>
          <t>条件触发</t>
        </is>
      </c>
      <c r="N1229" s="8" t="inlineStr">
        <is>
          <t>triggered</t>
        </is>
      </c>
      <c r="O1229" s="9" t="inlineStr">
        <is>
          <t>阵盘变阵效果触发时，获得 24 层露水；阵盘变阵效果触发时，获得 30 层露水；阵盘变阵效果触发时，获得 36 层露水；阵盘变阵效果触发时，获得 42 层露水</t>
        </is>
      </c>
      <c r="P1229" s="9" t="inlineStr">
        <is>
          <t>formationSwitch</t>
        </is>
      </c>
      <c r="Q1229" s="9" t="inlineStr">
        <is>
          <t>applyBuff</t>
        </is>
      </c>
      <c r="R1229" s="9" t="inlineStr">
        <is>
          <t>{"kind":"triggered","label":"阵盘变阵效果触发时，获得 24 层露水","triggeredEffect":{"trigger":"formationSwitch","type":"applyBuff","buffId":"dew","count":24},"starOverrides":{"1":{"triggeredEffect":{"count":30},"label":"阵盘变阵效果触发时，获得 30 层露水"},"2":{"triggeredEffect":{"count":36},"label":"阵盘变阵效果触发时，获得 36 层露水"},"3":{"triggeredEffect":{"count":42},"label":"阵盘变阵效果触发时，获得 42 层露水"}}}</t>
        </is>
      </c>
    </row>
    <row r="1230" ht="32" customHeight="1">
      <c r="A1230" s="8" t="n">
        <v>418152</v>
      </c>
      <c r="B1230" s="8" t="inlineStr">
        <is>
          <t>沧浪断命刀</t>
        </is>
      </c>
      <c r="C1230" s="8" t="inlineStr">
        <is>
          <t>法器</t>
        </is>
      </c>
      <c r="D1230" s="8" t="inlineStr">
        <is>
          <t>spirit</t>
        </is>
      </c>
      <c r="E1230" s="8" t="inlineStr">
        <is>
          <t>water</t>
        </is>
      </c>
      <c r="F1230" s="8" t="n">
        <v>1</v>
      </c>
      <c r="G1230" s="8" t="inlineStr">
        <is>
          <t>基础/顶层</t>
        </is>
      </c>
      <c r="H1230" s="8" t="inlineStr"/>
      <c r="I1230" s="9" t="inlineStr"/>
      <c r="J1230" s="8" t="inlineStr"/>
      <c r="K1230" s="8" t="inlineStr"/>
      <c r="L1230" s="8" t="inlineStr"/>
      <c r="M1230" s="8" t="inlineStr">
        <is>
          <t>条件触发</t>
        </is>
      </c>
      <c r="N1230" s="8" t="inlineStr">
        <is>
          <t>triggered</t>
        </is>
      </c>
      <c r="O1230" s="9" t="inlineStr">
        <is>
          <t>使用右侧相邻武器时，消耗 2 层露水，对敌方造成 12 点伤害；使用右侧相邻武器时，消耗 2 层露水，对敌方造成 16 点伤害；使用右侧相邻武器时，消耗 2 层露水，对敌方造成 18 点伤害；使用右侧相邻武器时，消耗 2 层露水，对敌方造成 22 点伤害</t>
        </is>
      </c>
      <c r="P1230" s="9" t="inlineStr">
        <is>
          <t>onItemUse</t>
        </is>
      </c>
      <c r="Q1230" s="9" t="inlineStr">
        <is>
          <t>battleDamageHealth；directional-adjacent</t>
        </is>
      </c>
      <c r="R1230" s="9" t="inlineStr">
        <is>
          <t>{"kind":"triggered","label":"使用右侧相邻武器时，消耗 2 层露水，&lt;battle&gt;对敌方造成 12 点伤害&lt;/battle&gt;","triggeredEffect":{"trigger":"onItemUse","type":"battleDamageHealth","amount":12,"support":"battleOnly","consumeSourceBuffStacks":{"buffId":"dew","requiredStacks":2,"maxStacks":2},"eventSource":{"target":{"type":"directional-adjacent","direction":"right"},"filter":{"features":["weapon"]}}},"starOverrides":{"1":{"label":"使用右侧相邻武器时，消耗 2 层露水，&lt;battle&gt;对敌方造成 16 点伤害&lt;/battle&gt;","triggeredEffect":{"amount":16}},"2":{"label":"使用右侧相邻武器时，消耗 2 层露水，&lt;battle&gt;对敌方造成 18 点伤害&lt;/battle&gt;","triggeredEffect":{"amount":18}},"3":{"label":"使用右侧相邻武器时，消耗 2 层露水，&lt;battle&gt;对敌方造成 22 点伤害&lt;/battle&gt;","triggeredEffect":{"amount":22}}}}</t>
        </is>
      </c>
    </row>
    <row r="1231" ht="32" customHeight="1">
      <c r="A1231" s="8" t="n">
        <v>418167</v>
      </c>
      <c r="B1231" s="8" t="inlineStr">
        <is>
          <t>百草种谱</t>
        </is>
      </c>
      <c r="C1231" s="8" t="inlineStr">
        <is>
          <t>法器</t>
        </is>
      </c>
      <c r="D1231" s="8" t="inlineStr">
        <is>
          <t>common</t>
        </is>
      </c>
      <c r="E1231" s="8" t="inlineStr">
        <is>
          <t>wood</t>
        </is>
      </c>
      <c r="F1231" s="8" t="n">
        <v>1</v>
      </c>
      <c r="G1231" s="8" t="inlineStr">
        <is>
          <t>基础/顶层</t>
        </is>
      </c>
      <c r="H1231" s="8" t="inlineStr"/>
      <c r="I1231" s="9" t="inlineStr"/>
      <c r="J1231" s="8" t="inlineStr"/>
      <c r="K1231" s="8" t="inlineStr"/>
      <c r="L1231" s="8" t="inlineStr"/>
      <c r="M1231" s="8" t="inlineStr">
        <is>
          <t>条件触发</t>
        </is>
      </c>
      <c r="N1231" s="8" t="inlineStr">
        <is>
          <t>triggered</t>
        </is>
      </c>
      <c r="O1231" s="9" t="inlineStr">
        <is>
          <t>敌方再生不少于 30 层时，敌方每次消耗再生，对敌方造成 14 点伤害；敌方再生不少于 30 层时，敌方每次消耗再生，对敌方造成 18 点伤害；敌方再生不少于 30 层时，敌方每次消耗再生，对敌方造成 21 点伤害；敌方再生不少于 30 层时，敌方每次消耗再生，对敌方造成 25 点伤害</t>
        </is>
      </c>
      <c r="P1231" s="9" t="inlineStr">
        <is>
          <t>onBuffConsumed</t>
        </is>
      </c>
      <c r="Q1231" s="9" t="inlineStr">
        <is>
          <t>battleDamageHealth</t>
        </is>
      </c>
      <c r="R1231" s="9" t="inlineStr">
        <is>
          <t>{"kind":"triggered","label":"&lt;battle&gt;敌方再生不少于 30 层时，敌方每次消耗再生，对敌方造成 14 点伤害&lt;/battle&gt;","triggeredEffect":{"trigger":"onBuffConsumed","eventActor":"enemy","eventBuffId":"regeneration","type":"battleDamageHealth","amount":14,"targetBuffStackThreshold":{"buffId":"regeneration","comparator":"atLeast","count":30},"support":"battleOnly"},"starOverrides":{"1":{"label":"&lt;battle&gt;敌方再生不少于 30 层时，敌方每次消耗再生，对敌方造成 18 点伤害&lt;/battle&gt;","triggeredEffect":{"amount":18}},"2":{"label":"&lt;battle&gt;敌方再生不少于 30 层时，敌方每次消耗再生，对敌方造成 21 点伤害&lt;/battle&gt;","triggeredEffect":{"amount":21}},"3":{"label":"&lt;battle&gt;敌方再生不少于 30 层时，敌方每次消耗再生，对敌方造成 25 点伤害&lt;/battle&gt;","triggeredEffect":{"amount":25}}}}</t>
        </is>
      </c>
    </row>
    <row r="1232" ht="32" customHeight="1">
      <c r="A1232" s="8" t="n">
        <v>418168</v>
      </c>
      <c r="B1232" s="8" t="inlineStr">
        <is>
          <t>听蜂竹笛</t>
        </is>
      </c>
      <c r="C1232" s="8" t="inlineStr">
        <is>
          <t>法器</t>
        </is>
      </c>
      <c r="D1232" s="8" t="inlineStr">
        <is>
          <t>common</t>
        </is>
      </c>
      <c r="E1232" s="8" t="inlineStr">
        <is>
          <t>wood</t>
        </is>
      </c>
      <c r="F1232" s="8" t="n">
        <v>1</v>
      </c>
      <c r="G1232" s="8" t="inlineStr">
        <is>
          <t>基础/顶层</t>
        </is>
      </c>
      <c r="H1232" s="8" t="inlineStr"/>
      <c r="I1232" s="9" t="inlineStr"/>
      <c r="J1232" s="8" t="inlineStr"/>
      <c r="K1232" s="8" t="inlineStr"/>
      <c r="L1232" s="8" t="inlineStr"/>
      <c r="M1232" s="8" t="inlineStr">
        <is>
          <t>条件触发</t>
        </is>
      </c>
      <c r="N1232" s="8" t="inlineStr">
        <is>
          <t>triggered</t>
        </is>
      </c>
      <c r="O1232" s="9" t="inlineStr">
        <is>
          <t>右侧相邻木属性符箓使用时，对敌方施加 2 层中毒；右侧相邻木属性符箓使用时，对敌方施加 3 层中毒；右侧相邻木属性符箓使用时，对敌方施加 4 层中毒；右侧相邻木属性符箓使用时，对敌方施加 5 层中毒</t>
        </is>
      </c>
      <c r="P1232" s="9" t="inlineStr">
        <is>
          <t>onItemUse</t>
        </is>
      </c>
      <c r="Q1232" s="9" t="inlineStr">
        <is>
          <t>applyBuff；directional-adjacent</t>
        </is>
      </c>
      <c r="R1232" s="9" t="inlineStr">
        <is>
          <t>{"kind":"triggered","label":"&lt;battle&gt;右侧相邻木属性符箓使用时，对敌方施加 2 层中毒&lt;/battle&gt;","triggeredEffect":{"trigger":"onItemUse","type":"applyBuff","buffId":"poison","count":2,"targetActor":"enemy","support":"battleOnly","eventSource":{"target":{"type":"directional-adjacent","direction":"right"},"filter":{"categories":["talisman"],"elements":["wood"]}}},"starOverrides":{"1":{"label":"&lt;battle&gt;右侧相邻木属性符箓使用时，对敌方施加 3 层中毒&lt;/battle&gt;","triggeredEffect":{"count":3}},"2":{"label":"&lt;battle&gt;右侧相邻木属性符箓使用时，对敌方施加 4 层中毒&lt;/battle&gt;","triggeredEffect":{"count":4}},"3":{"label":"&lt;battle&gt;右侧相邻木属性符箓使用时，对敌方施加 5 层中毒&lt;/battle&gt;","triggeredEffect":{"count":5}}}}</t>
        </is>
      </c>
    </row>
    <row r="1233" ht="32" customHeight="1">
      <c r="A1233" s="8" t="n">
        <v>418169</v>
      </c>
      <c r="B1233" s="8" t="inlineStr">
        <is>
          <t>封蜡采药刀</t>
        </is>
      </c>
      <c r="C1233" s="8" t="inlineStr">
        <is>
          <t>法器</t>
        </is>
      </c>
      <c r="D1233" s="8" t="inlineStr">
        <is>
          <t>common</t>
        </is>
      </c>
      <c r="E1233" s="8" t="inlineStr">
        <is>
          <t>wood</t>
        </is>
      </c>
      <c r="F1233" s="8" t="n">
        <v>1</v>
      </c>
      <c r="G1233" s="8" t="inlineStr">
        <is>
          <t>基础/顶层</t>
        </is>
      </c>
      <c r="H1233" s="8" t="inlineStr"/>
      <c r="I1233" s="9" t="inlineStr"/>
      <c r="J1233" s="8" t="inlineStr"/>
      <c r="K1233" s="8" t="inlineStr"/>
      <c r="L1233" s="8" t="inlineStr"/>
      <c r="M1233" s="8" t="inlineStr">
        <is>
          <t>条件触发</t>
        </is>
      </c>
      <c r="N1233" s="8" t="inlineStr">
        <is>
          <t>triggered</t>
        </is>
      </c>
      <c r="O1233" s="9" t="inlineStr">
        <is>
          <t>使用相邻丹药时，对敌方施加 3 层中毒；使用相邻丹药时，对敌方施加 4 层中毒；使用相邻丹药时，对敌方施加 5 层中毒；使用相邻丹药时，对敌方施加 6 层中毒</t>
        </is>
      </c>
      <c r="P1233" s="9" t="inlineStr">
        <is>
          <t>onItemUse</t>
        </is>
      </c>
      <c r="Q1233" s="9" t="inlineStr">
        <is>
          <t>applyBuff；adjacent</t>
        </is>
      </c>
      <c r="R1233" s="9" t="inlineStr">
        <is>
          <t>{"kind":"triggered","label":"使用相邻丹药时，&lt;battle&gt;对敌方施加 3 层中毒&lt;/battle&gt;","triggeredEffect":{"trigger":"onItemUse","type":"applyBuff","buffId":"poison","count":3,"targetActor":"enemy","support":"battleOnly","eventSource":{"target":{"type":"adjacent"},"filter":{"categories":["pill"]}}},"starOverrides":{"1":{"label":"使用相邻丹药时，&lt;battle&gt;对敌方施加 4 层中毒&lt;/battle&gt;","triggeredEffect":{"count":4}},"2":{"label":"使用相邻丹药时，&lt;battle&gt;对敌方施加 5 层中毒&lt;/battle&gt;","triggeredEffect":{"count":5}},"3":{"label":"使用相邻丹药时，&lt;battle&gt;对敌方施加 6 层中毒&lt;/battle&gt;","triggeredEffect":{"count":6}}}}</t>
        </is>
      </c>
    </row>
    <row r="1234" ht="32" customHeight="1">
      <c r="A1234" s="8" t="n">
        <v>418170</v>
      </c>
      <c r="B1234" s="8" t="inlineStr">
        <is>
          <t>护篓藤索</t>
        </is>
      </c>
      <c r="C1234" s="8" t="inlineStr">
        <is>
          <t>法器</t>
        </is>
      </c>
      <c r="D1234" s="8" t="inlineStr">
        <is>
          <t>common</t>
        </is>
      </c>
      <c r="E1234" s="8" t="inlineStr">
        <is>
          <t>wood</t>
        </is>
      </c>
      <c r="F1234" s="8" t="n">
        <v>1</v>
      </c>
      <c r="G1234" s="8" t="inlineStr">
        <is>
          <t>基础/顶层</t>
        </is>
      </c>
      <c r="H1234" s="8" t="inlineStr"/>
      <c r="I1234" s="9" t="inlineStr"/>
      <c r="J1234" s="8" t="inlineStr"/>
      <c r="K1234" s="8" t="inlineStr"/>
      <c r="L1234" s="8" t="inlineStr"/>
      <c r="M1234" s="8" t="inlineStr">
        <is>
          <t>被动效果</t>
        </is>
      </c>
      <c r="N1234" s="8" t="inlineStr">
        <is>
          <t>passive</t>
        </is>
      </c>
      <c r="O1234" s="9" t="inlineStr">
        <is>
          <t>免疫所有凡品木属性符箓对己方施加的中毒</t>
        </is>
      </c>
      <c r="P1234" s="9" t="inlineStr"/>
      <c r="Q1234" s="9" t="inlineStr">
        <is>
          <t>incomingItemEffectImmunity</t>
        </is>
      </c>
      <c r="R1234" s="9" t="inlineStr">
        <is>
          <t>{"kind":"passive","label":"&lt;battle&gt;免疫所有凡品木属性符箓对己方施加的中毒&lt;/battle&gt;","passiveEffect":{"type":"incomingItemEffectImmunity","sourceFilter":{"categories":["talisman"],"elements":["wood"],"grades":["common"]},"immuneBuffIds":["poison"],"label":"&lt;battle&gt;免疫所有凡品木属性符箓对己方施加的中毒&lt;/battle&gt;"}}</t>
        </is>
      </c>
    </row>
    <row r="1235" ht="32" customHeight="1">
      <c r="A1235" s="8" t="n">
        <v>418197</v>
      </c>
      <c r="B1235" s="8" t="inlineStr">
        <is>
          <t>缺尖传令剑</t>
        </is>
      </c>
      <c r="C1235" s="8" t="inlineStr">
        <is>
          <t>法器</t>
        </is>
      </c>
      <c r="D1235" s="8" t="inlineStr">
        <is>
          <t>common</t>
        </is>
      </c>
      <c r="E1235" s="8" t="inlineStr">
        <is>
          <t>metal</t>
        </is>
      </c>
      <c r="F1235" s="8" t="n">
        <v>1</v>
      </c>
      <c r="G1235" s="8" t="inlineStr">
        <is>
          <t>基础/顶层</t>
        </is>
      </c>
      <c r="H1235" s="8" t="inlineStr"/>
      <c r="I1235" s="9" t="inlineStr"/>
      <c r="J1235" s="8" t="inlineStr"/>
      <c r="K1235" s="8" t="inlineStr"/>
      <c r="L1235" s="8" t="inlineStr"/>
      <c r="M1235" s="8" t="inlineStr">
        <is>
          <t>条件触发</t>
        </is>
      </c>
      <c r="N1235" s="8" t="inlineStr">
        <is>
          <t>triggered</t>
        </is>
      </c>
      <c r="O1235" s="9" t="inlineStr">
        <is>
          <t>受到伤害时，获得 3 层凝金；受到伤害时，获得 6 层凝金；受到伤害时，获得 9 层凝金；受到伤害时，获得 12 层凝金</t>
        </is>
      </c>
      <c r="P1235" s="9" t="inlineStr">
        <is>
          <t>onIncomingHealthDamage</t>
        </is>
      </c>
      <c r="Q1235" s="9" t="inlineStr">
        <is>
          <t>applyBuff</t>
        </is>
      </c>
      <c r="R1235" s="9" t="inlineStr">
        <is>
          <t>{"kind":"triggered","label":"&lt;battle&gt;受到伤害时，获得 3 层凝金&lt;/battle&gt;","triggeredEffect":{"trigger":"onIncomingHealthDamage","type":"applyBuff","buffId":"condensedMetal","count":3,"support":"battleOnly"},"starOverrides":{"1":{"label":"&lt;battle&gt;受到伤害时，获得 6 层凝金&lt;/battle&gt;","triggeredEffect":{"count":6}},"2":{"label":"&lt;battle&gt;受到伤害时，获得 9 层凝金&lt;/battle&gt;","triggeredEffect":{"count":9}},"3":{"label":"&lt;battle&gt;受到伤害时，获得 12 层凝金&lt;/battle&gt;","triggeredEffect":{"count":12}}}}</t>
        </is>
      </c>
    </row>
    <row r="1236" ht="32" customHeight="1">
      <c r="A1236" s="8" t="n">
        <v>418198</v>
      </c>
      <c r="B1236" s="8" t="inlineStr">
        <is>
          <t>学徒鸣锤</t>
        </is>
      </c>
      <c r="C1236" s="8" t="inlineStr">
        <is>
          <t>法器</t>
        </is>
      </c>
      <c r="D1236" s="8" t="inlineStr">
        <is>
          <t>common</t>
        </is>
      </c>
      <c r="E1236" s="8" t="inlineStr">
        <is>
          <t>metal</t>
        </is>
      </c>
      <c r="F1236" s="8" t="n">
        <v>1</v>
      </c>
      <c r="G1236" s="8" t="inlineStr">
        <is>
          <t>基础/顶层</t>
        </is>
      </c>
      <c r="H1236" s="8" t="inlineStr"/>
      <c r="I1236" s="9" t="inlineStr"/>
      <c r="J1236" s="8" t="inlineStr"/>
      <c r="K1236" s="8" t="inlineStr"/>
      <c r="L1236" s="8" t="inlineStr"/>
      <c r="M1236" s="8" t="inlineStr">
        <is>
          <t>周期触发</t>
        </is>
      </c>
      <c r="N1236" s="8" t="inlineStr">
        <is>
          <t>periodicPulse</t>
        </is>
      </c>
      <c r="O1236" s="9" t="inlineStr">
        <is>
          <t>所在横列连续至少 3 件金属性法器时，获得 5 层凝金；所在横列连续至少 3 件金属性法器时，获得 6 层凝金；所在横列连续至少 3 件金属性法器时，获得 8 层凝金；所在横列连续至少 3 件金属性法器时，获得 9 层凝金</t>
        </is>
      </c>
      <c r="P1236" s="9" t="inlineStr"/>
      <c r="Q1236" s="9" t="inlineStr"/>
      <c r="R1236" s="9" t="inlineStr">
        <is>
          <t>{"kind":"periodicPulse","label":"所在横列连续至少 3 件金属性法器时，获得 5 层凝金","periodicPulse":{"intervalSec":10,"label":"所在横列连续至少 3 件金属性法器时，获得 5 层凝金","buffGains":[{"buffId":"condensedMetal","count":5}],"activationRequirements":{"lineChains":[{"axis":"row","minLength":3,"elements":["metal"],"requireAllItemsOnLineMatch":true}]}},"starOverrides":{"1":{"label":"所在横列连续至少 3 件金属性法器时，获得 6 层凝金","periodicPulse":{"label":"所在横列连续至少 3 件金属性法器时，获得 6 层凝金","buffGains":[{"buffId":"condensedMetal","count":6}]}},"2":{"label":"所在横列连续至少 3 件金属性法器时，获得 8 层凝金","periodicPulse":{"label":"所在横列连续至少 3 件金属性法器时，获得 8 层凝金","buffGains":[{"buffId":"condensedMetal","count":8}]}},"3":{"label":"所在横列连续至少 3 件金属性法器时，获得 9 层凝金","periodicPulse":{"label":"所在横列连续至少 3 件金属性法器时，获得 9 层凝金","buffGains":[{"buffId":"condensedMetal","count":9}]}}}}</t>
        </is>
      </c>
    </row>
    <row r="1237" ht="32" customHeight="1">
      <c r="A1237" s="8" t="n">
        <v>419001</v>
      </c>
      <c r="B1237" s="8" t="inlineStr">
        <is>
          <t>凝息铜漏</t>
        </is>
      </c>
      <c r="C1237" s="8" t="inlineStr">
        <is>
          <t>法器</t>
        </is>
      </c>
      <c r="D1237" s="8" t="inlineStr">
        <is>
          <t>spirit</t>
        </is>
      </c>
      <c r="E1237" s="8" t="inlineStr">
        <is>
          <t>none</t>
        </is>
      </c>
      <c r="F1237" s="8" t="n">
        <v>1</v>
      </c>
      <c r="G1237" s="8" t="inlineStr">
        <is>
          <t>基础/顶层</t>
        </is>
      </c>
      <c r="H1237" s="8" t="inlineStr"/>
      <c r="I1237" s="9" t="inlineStr"/>
      <c r="J1237" s="8" t="inlineStr"/>
      <c r="K1237" s="8" t="inlineStr"/>
      <c r="L1237" s="8" t="inlineStr"/>
      <c r="M1237" s="8" t="inlineStr">
        <is>
          <t>条件触发</t>
        </is>
      </c>
      <c r="N1237" s="8" t="inlineStr">
        <is>
          <t>triggered</t>
        </is>
      </c>
      <c r="O1237" s="9" t="inlineStr">
        <is>
          <t>无属性招式释放时，使敌方随机一件凡品道具冻结 1 秒；无属性招式释放时，使敌方随机一件凡品道具冻结 2 秒；无属性招式释放时，使敌方随机一件凡品道具冻结 3 秒；无属性招式释放时，使敌方随机一件凡品道具冻结 4 秒</t>
        </is>
      </c>
      <c r="P1237" s="9" t="inlineStr">
        <is>
          <t>onActiveSpellCast</t>
        </is>
      </c>
      <c r="Q1237" s="9" t="inlineStr">
        <is>
          <t>itemRuntimeStatus；any</t>
        </is>
      </c>
      <c r="R1237" s="9" t="inlineStr">
        <is>
          <t>{"kind":"triggered","label":"&lt;battle&gt;&lt;singleton&gt;无属性招式释放时，使敌方随机一件凡品道具冻结 1 秒&lt;/singleton&gt;&lt;/battle&gt;","triggeredEffect":{"trigger":"onActiveSpellCast","type":"itemRuntimeStatus","itemRuntimeStatus":"freeze","durationSec":1,"targetActor":"enemy","targetScope":"enemyRandom","amount":1,"singletonByTemplate":true,"targetFilter":{"grades":["common"]},"eventSource":{"target":{"type":"any"},"filter":{"categories":["spell"]}}},"starOverrides":{"1":{"triggeredEffect":{"durationSec":2},"label":"&lt;battle&gt;&lt;singleton&gt;无属性招式释放时，使敌方随机一件凡品道具冻结 2 秒&lt;/singleton&gt;&lt;/battle&gt;"},"2":{"triggeredEffect":{"durationSec":3},"label":"&lt;battle&gt;&lt;singleton&gt;无属性招式释放时，使敌方随机一件凡品道具冻结 3 秒&lt;/singleton&gt;&lt;/battle&gt;"},"3":{"triggeredEffect":{"durationSec":4},"label":"&lt;battle&gt;&lt;singleton&gt;无属性招式释放时，使敌方随机一件凡品道具冻结 4 秒&lt;/singleton&gt;&lt;/battle&gt;"}}}</t>
        </is>
      </c>
    </row>
    <row r="1238" ht="32" customHeight="1">
      <c r="A1238" s="8" t="n">
        <v>419002</v>
      </c>
      <c r="B1238" s="8" t="inlineStr">
        <is>
          <t>引焰风箱</t>
        </is>
      </c>
      <c r="C1238" s="8" t="inlineStr">
        <is>
          <t>法器</t>
        </is>
      </c>
      <c r="D1238" s="8" t="inlineStr">
        <is>
          <t>spirit</t>
        </is>
      </c>
      <c r="E1238" s="8" t="inlineStr">
        <is>
          <t>fire</t>
        </is>
      </c>
      <c r="F1238" s="8" t="n">
        <v>1</v>
      </c>
      <c r="G1238" s="8" t="inlineStr">
        <is>
          <t>基础/顶层</t>
        </is>
      </c>
      <c r="H1238" s="8" t="inlineStr"/>
      <c r="I1238" s="9" t="inlineStr"/>
      <c r="J1238" s="8" t="inlineStr"/>
      <c r="K1238" s="8" t="inlineStr"/>
      <c r="L1238" s="8" t="inlineStr"/>
      <c r="M1238" s="8" t="inlineStr">
        <is>
          <t>条件触发</t>
        </is>
      </c>
      <c r="N1238" s="8" t="inlineStr">
        <is>
          <t>triggered</t>
        </is>
      </c>
      <c r="O1238" s="9" t="inlineStr">
        <is>
          <t>敌方炎热不少于 25 层时，敌方每次消耗炎热，对敌方造成 28 点伤害；敌方炎热不少于 50 层时，敌方每次消耗炎热，对敌方造成 36 点伤害；敌方炎热不少于 50 层时，敌方每次消耗炎热，对敌方造成 42 点伤害；敌方炎热不少于 50 层时，敌方每次消耗炎热，对敌方造成 50 点伤害</t>
        </is>
      </c>
      <c r="P1238" s="9" t="inlineStr">
        <is>
          <t>onBuffConsumed</t>
        </is>
      </c>
      <c r="Q1238" s="9" t="inlineStr">
        <is>
          <t>battleDamageHealth</t>
        </is>
      </c>
      <c r="R1238" s="9" t="inlineStr">
        <is>
          <t>{"kind":"triggered","label":"&lt;battle&gt;敌方炎热不少于 25 层时，敌方每次消耗炎热，对敌方造成 28 点伤害&lt;/battle&gt;","triggeredEffect":{"trigger":"onBuffConsumed","eventActor":"enemy","eventBuffId":"heat","type":"battleDamageHealth","amount":28,"targetBuffStackThreshold":{"buffId":"heat","comparator":"atLeast","count":25},"support":"battleOnly"},"starOverrides":{"1":{"triggeredEffect":{"amount":36,"targetBuffStackThreshold":{"buffId":"heat","comparator":"atLeast","count":50}},"label":"&lt;battle&gt;敌方炎热不少于 50 层时，敌方每次消耗炎热，对敌方造成 36 点伤害&lt;/battle&gt;"},"2":{"triggeredEffect":{"amount":42,"targetBuffStackThreshold":{"buffId":"heat","comparator":"atLeast","count":50}},"label":"&lt;battle&gt;敌方炎热不少于 50 层时，敌方每次消耗炎热，对敌方造成 42 点伤害&lt;/battle&gt;"},"3":{"triggeredEffect":{"amount":50,"targetBuffStackThreshold":{"buffId":"heat","comparator":"atLeast","count":50}},"label":"&lt;battle&gt;敌方炎热不少于 50 层时，敌方每次消耗炎热，对敌方造成 50 点伤害&lt;/battle&gt;"}}}</t>
        </is>
      </c>
    </row>
    <row r="1239" ht="32" customHeight="1">
      <c r="A1239" s="8" t="n">
        <v>419003</v>
      </c>
      <c r="B1239" s="8" t="inlineStr">
        <is>
          <t>涤尘水盂</t>
        </is>
      </c>
      <c r="C1239" s="8" t="inlineStr">
        <is>
          <t>法器</t>
        </is>
      </c>
      <c r="D1239" s="8" t="inlineStr">
        <is>
          <t>spirit</t>
        </is>
      </c>
      <c r="E1239" s="8" t="inlineStr">
        <is>
          <t>water</t>
        </is>
      </c>
      <c r="F1239" s="8" t="n">
        <v>1</v>
      </c>
      <c r="G1239" s="8" t="inlineStr">
        <is>
          <t>基础/顶层</t>
        </is>
      </c>
      <c r="H1239" s="8" t="inlineStr"/>
      <c r="I1239" s="9" t="inlineStr"/>
      <c r="J1239" s="8" t="inlineStr"/>
      <c r="K1239" s="8" t="inlineStr"/>
      <c r="L1239" s="8" t="inlineStr"/>
      <c r="M1239" s="8" t="inlineStr">
        <is>
          <t>被动效果</t>
        </is>
      </c>
      <c r="N1239" s="8" t="inlineStr">
        <is>
          <t>passive</t>
        </is>
      </c>
      <c r="O1239" s="9" t="inlineStr">
        <is>
          <t>露水自然消散时不再恢复属性，改为转化为等量护甲；露水自然消散时不再恢复属性，改为转化为 125% 的护甲；露水自然消散时不再恢复属性，改为转化为 150% 的护甲；露水自然消散时不再恢复属性，改为转化为 175% 的护甲</t>
        </is>
      </c>
      <c r="P1239" s="9" t="inlineStr"/>
      <c r="Q1239" s="9" t="inlineStr">
        <is>
          <t>buffExpirationConversion</t>
        </is>
      </c>
      <c r="R1239" s="9" t="inlineStr">
        <is>
          <t>{"kind":"passive","label":"露水自然消散时不再恢复属性，改为转化为等量护甲","passiveEffect":{"type":"buffExpirationConversion","sourceBuffId":"dew","targetBuffId":"armor","ratio":1,"label":"露水自然消散时不再恢复属性，改为转化为等量护甲"},"starOverrides":{"1":{"label":"露水自然消散时不再恢复属性，改为转化为 125% 的护甲","passiveEffect":{"ratio":1.25,"label":"露水自然消散时不再恢复属性，改为转化为 125% 的护甲"}},"2":{"label":"露水自然消散时不再恢复属性，改为转化为 150% 的护甲","passiveEffect":{"ratio":1.5,"label":"露水自然消散时不再恢复属性，改为转化为 150% 的护甲"}},"3":{"label":"露水自然消散时不再恢复属性，改为转化为 175% 的护甲","passiveEffect":{"ratio":1.75,"label":"露水自然消散时不再恢复属性，改为转化为 175% 的护甲"}}}}</t>
        </is>
      </c>
    </row>
    <row r="1240" ht="32" customHeight="1">
      <c r="A1240" s="8" t="n">
        <v>419004</v>
      </c>
      <c r="B1240" s="8" t="inlineStr">
        <is>
          <t>藏锋剑匣</t>
        </is>
      </c>
      <c r="C1240" s="8" t="inlineStr">
        <is>
          <t>法器</t>
        </is>
      </c>
      <c r="D1240" s="8" t="inlineStr">
        <is>
          <t>spirit</t>
        </is>
      </c>
      <c r="E1240" s="8" t="inlineStr">
        <is>
          <t>metal</t>
        </is>
      </c>
      <c r="F1240" s="8" t="n">
        <v>1</v>
      </c>
      <c r="G1240" s="8" t="inlineStr">
        <is>
          <t>基础/顶层</t>
        </is>
      </c>
      <c r="H1240" s="8" t="inlineStr"/>
      <c r="I1240" s="9" t="inlineStr"/>
      <c r="J1240" s="8" t="inlineStr"/>
      <c r="K1240" s="8" t="inlineStr"/>
      <c r="L1240" s="8" t="inlineStr"/>
      <c r="M1240" s="8" t="inlineStr">
        <is>
          <t>周期触发</t>
        </is>
      </c>
      <c r="N1240" s="8" t="inlineStr">
        <is>
          <t>periodicPulse</t>
        </is>
      </c>
      <c r="O1240" s="9" t="inlineStr">
        <is>
          <t>使左侧相邻的剑在本局内造成的伤害 +8，灵力：5；使左侧相邻的剑在本局内造成的伤害 +10，灵力：5；使左侧相邻的剑在本局内造成的伤害 +12，灵力：5；使左侧相邻的剑在本局内造成的伤害 +14，灵力：5</t>
        </is>
      </c>
      <c r="P1240" s="9" t="inlineStr"/>
      <c r="Q1240" s="9" t="inlineStr"/>
      <c r="R1240" s="9" t="inlineStr">
        <is>
          <t>{"kind":"periodicPulse","label":"&lt;battle&gt;使左侧相邻的剑在本局内造成的伤害 +8，灵力：5&lt;/battle&gt;","periodicPulse":{"intervalSec":12,"label":"&lt;battle&gt;使左侧相邻的剑在本局内造成的伤害 +8，灵力：5&lt;/battle&gt;","adjacentItemDamageFlatBonus":{"direction":"left","amount":8,"rotationLimit":5,"targetFilter":{"features":["weapon","sword"]}}},"starOverrides":{"1":{"label":"&lt;battle&gt;使左侧相邻的剑在本局内造成的伤害 +10，灵力：5&lt;/battle&gt;","periodicPulse":{"label":"&lt;battle&gt;使左侧相邻的剑在本局内造成的伤害 +10，灵力：5&lt;/battle&gt;","adjacentItemDamageFlatBonus":{"amount":10}}},"2":{"label":"&lt;battle&gt;使左侧相邻的剑在本局内造成的伤害 +12，灵力：5&lt;/battle&gt;","periodicPulse":{"label":"&lt;battle&gt;使左侧相邻的剑在本局内造成的伤害 +12，灵力：5&lt;/battle&gt;","adjacentItemDamageFlatBonus":{"amount":12}}},"3":{"label":"&lt;battle&gt;使左侧相邻的剑在本局内造成的伤害 +14，灵力：5&lt;/battle&gt;","periodicPulse":{"label":"&lt;battle&gt;使左侧相邻的剑在本局内造成的伤害 +14，灵力：5&lt;/battle&gt;","adjacentItemDamageFlatBonus":{"amount":14}}}}}</t>
        </is>
      </c>
    </row>
    <row r="1241" ht="32" customHeight="1">
      <c r="A1241" s="8" t="n">
        <v>419004</v>
      </c>
      <c r="B1241" s="8" t="inlineStr">
        <is>
          <t>藏锋剑匣</t>
        </is>
      </c>
      <c r="C1241" s="8" t="inlineStr">
        <is>
          <t>法器</t>
        </is>
      </c>
      <c r="D1241" s="8" t="inlineStr">
        <is>
          <t>spirit</t>
        </is>
      </c>
      <c r="E1241" s="8" t="inlineStr">
        <is>
          <t>metal</t>
        </is>
      </c>
      <c r="F1241" s="8" t="n">
        <v>2</v>
      </c>
      <c r="G1241" s="8" t="inlineStr">
        <is>
          <t>基础/顶层</t>
        </is>
      </c>
      <c r="H1241" s="8" t="inlineStr"/>
      <c r="I1241" s="9" t="inlineStr"/>
      <c r="J1241" s="8" t="inlineStr"/>
      <c r="K1241" s="8" t="inlineStr"/>
      <c r="L1241" s="8" t="inlineStr"/>
      <c r="M1241" s="8" t="inlineStr">
        <is>
          <t>周期触发</t>
        </is>
      </c>
      <c r="N1241" s="8" t="inlineStr">
        <is>
          <t>periodicPulse</t>
        </is>
      </c>
      <c r="O1241" s="9" t="inlineStr">
        <is>
          <t>使右侧相邻的剑在本局内造成的伤害 +8，灵力：5；使右侧相邻的剑在本局内造成的伤害 +10，灵力：5；使右侧相邻的剑在本局内造成的伤害 +12，灵力：5；使右侧相邻的剑在本局内造成的伤害 +14，灵力：5</t>
        </is>
      </c>
      <c r="P1241" s="9" t="inlineStr"/>
      <c r="Q1241" s="9" t="inlineStr"/>
      <c r="R1241" s="9" t="inlineStr">
        <is>
          <t>{"kind":"periodicPulse","label":"&lt;battle&gt;使右侧相邻的剑在本局内造成的伤害 +8，灵力：5&lt;/battle&gt;","periodicPulse":{"intervalSec":12,"label":"&lt;battle&gt;使右侧相邻的剑在本局内造成的伤害 +8，灵力：5&lt;/battle&gt;","adjacentItemDamageFlatBonus":{"direction":"right","amount":8,"rotationLimit":5,"targetFilter":{"features":["weapon","sword"]}}},"starOverrides":{"1":{"label":"&lt;battle&gt;使右侧相邻的剑在本局内造成的伤害 +10，灵力：5&lt;/battle&gt;","periodicPulse":{"label":"&lt;battle&gt;使右侧相邻的剑在本局内造成的伤害 +10，灵力：5&lt;/battle&gt;","adjacentItemDamageFlatBonus":{"amount":10}}},"2":{"label":"&lt;battle&gt;使右侧相邻的剑在本局内造成的伤害 +12，灵力：5&lt;/battle&gt;","periodicPulse":{"label":"&lt;battle&gt;使右侧相邻的剑在本局内造成的伤害 +12，灵力：5&lt;/battle&gt;","adjacentItemDamageFlatBonus":{"amount":12}}},"3":{"label":"&lt;battle&gt;使右侧相邻的剑在本局内造成的伤害 +14，灵力：5&lt;/battle&gt;","periodicPulse":{"label":"&lt;battle&gt;使右侧相邻的剑在本局内造成的伤害 +14，灵力：5&lt;/battle&gt;","adjacentItemDamageFlatBonus":{"amount":14}}}}}</t>
        </is>
      </c>
    </row>
    <row r="1242" ht="32" customHeight="1">
      <c r="A1242" s="8" t="n">
        <v>419005</v>
      </c>
      <c r="B1242" s="8" t="inlineStr">
        <is>
          <t>青藤药篓</t>
        </is>
      </c>
      <c r="C1242" s="8" t="inlineStr">
        <is>
          <t>法器</t>
        </is>
      </c>
      <c r="D1242" s="8" t="inlineStr">
        <is>
          <t>spirit</t>
        </is>
      </c>
      <c r="E1242" s="8" t="inlineStr">
        <is>
          <t>wood</t>
        </is>
      </c>
      <c r="F1242" s="8" t="n">
        <v>1</v>
      </c>
      <c r="G1242" s="8" t="inlineStr">
        <is>
          <t>基础/顶层</t>
        </is>
      </c>
      <c r="H1242" s="8" t="inlineStr"/>
      <c r="I1242" s="9" t="inlineStr"/>
      <c r="J1242" s="8" t="inlineStr"/>
      <c r="K1242" s="8" t="inlineStr"/>
      <c r="L1242" s="8" t="inlineStr"/>
      <c r="M1242" s="8" t="inlineStr">
        <is>
          <t>条件触发</t>
        </is>
      </c>
      <c r="N1242" s="8" t="inlineStr">
        <is>
          <t>triggered</t>
        </is>
      </c>
      <c r="O1242" s="9" t="inlineStr">
        <is>
          <t>充能：累计使用 2 张木属性符箓时，最多消耗自身 12 层中毒，最多获得 20 层再生；充能：累计使用 2 张木属性符箓时，最多消耗自身 12 层中毒，最多获得 26 层再生；充能：累计使用 2 张木属性符箓时，最多消耗自身 12 层中毒，最多获得 30 层再生；充能：累计使用 2 张木属性符箓时，最多消耗自身 12 层中毒，最多获得 36 层再生</t>
        </is>
      </c>
      <c r="P1242" s="9" t="inlineStr">
        <is>
          <t>onItemUse</t>
        </is>
      </c>
      <c r="Q1242" s="9" t="inlineStr">
        <is>
          <t>convertBuffStacks；any</t>
        </is>
      </c>
      <c r="R1242" s="9" t="inlineStr">
        <is>
          <t>{"kind":"triggered","label":"充能：累计使用 2 张木属性符箓时，最多消耗自身 12 层中毒，最多获得 20 层再生","triggeredEffect":{"trigger":"onItemUse","type":"convertBuffStacks","sourceBuffId":"poison","targetBuffId":"regeneration","requiredStacks":6,"maxStacks":12,"consumeRatio":1.6666666666666667,"eventSource":{"target":{"type":"any"},"filter":{"categories":["talisman"],"elements":["wood"]}},"charge":{"threshold":2,"countPerEvent":1}},"starOverrides":{"1":{"label":"充能：累计使用 2 张木属性符箓时，最多消耗自身 12 层中毒，最多获得 26 层再生","triggeredEffect":{"consumeRatio":2.1666666666666665}},"2":{"label":"充能：累计使用 2 张木属性符箓时，最多消耗自身 12 层中毒，最多获得 30 层再生","triggeredEffect":{"consumeRatio":2.5}},"3":{"label":"充能：累计使用 2 张木属性符箓时，最多消耗自身 12 层中毒，最多获得 36 层再生","triggeredEffect":{"consumeRatio":3}}}}</t>
        </is>
      </c>
    </row>
    <row r="1243" ht="32" customHeight="1">
      <c r="A1243" s="8" t="n">
        <v>419006</v>
      </c>
      <c r="B1243" s="8" t="inlineStr">
        <is>
          <t>镇脉石枕</t>
        </is>
      </c>
      <c r="C1243" s="8" t="inlineStr">
        <is>
          <t>法器</t>
        </is>
      </c>
      <c r="D1243" s="8" t="inlineStr">
        <is>
          <t>spirit</t>
        </is>
      </c>
      <c r="E1243" s="8" t="inlineStr">
        <is>
          <t>earth</t>
        </is>
      </c>
      <c r="F1243" s="8" t="n">
        <v>1</v>
      </c>
      <c r="G1243" s="8" t="inlineStr">
        <is>
          <t>基础/顶层</t>
        </is>
      </c>
      <c r="H1243" s="8" t="inlineStr"/>
      <c r="I1243" s="9" t="inlineStr"/>
      <c r="J1243" s="8" t="inlineStr"/>
      <c r="K1243" s="8" t="inlineStr"/>
      <c r="L1243" s="8" t="inlineStr"/>
      <c r="M1243" s="8" t="inlineStr">
        <is>
          <t>条件触发</t>
        </is>
      </c>
      <c r="N1243" s="8" t="inlineStr">
        <is>
          <t>triggered</t>
        </is>
      </c>
      <c r="O1243" s="9" t="inlineStr">
        <is>
          <t>相邻正好 4 件土属性道具时，每当获得坚硬，获得 10 层护甲；相邻正好 4 件土属性道具时，每当获得坚硬，获得 12 层护甲；相邻正好 4 件土属性道具时，每当获得坚硬，获得 16 层护甲；相邻正好 4 件土属性道具时，每当获得坚硬，获得 18 层护甲</t>
        </is>
      </c>
      <c r="P1243" s="9" t="inlineStr">
        <is>
          <t>onBuffGain</t>
        </is>
      </c>
      <c r="Q1243" s="9" t="inlineStr">
        <is>
          <t>applyBuff</t>
        </is>
      </c>
      <c r="R1243" s="9" t="inlineStr">
        <is>
          <t>{"kind":"triggered","label":"相邻正好 4 件土属性道具时，每当获得坚硬，获得 10 层护甲","triggeredEffect":{"trigger":"onBuffGain","eventActor":"self","eventBuffId":"sturdy","type":"applyBuff","buffId":"armor","count":10,"activationRequirements":{"neighborCounts":[{"minCount":4,"maxCount":4,"elements":["earth"]}]}},"starOverrides":{"1":{"triggeredEffect":{"count":12},"label":"相邻正好 4 件土属性道具时，每当获得坚硬，获得 12 层护甲"},"2":{"triggeredEffect":{"count":16},"label":"相邻正好 4 件土属性道具时，每当获得坚硬，获得 16 层护甲"},"3":{"triggeredEffect":{"count":18},"label":"相邻正好 4 件土属性道具时，每当获得坚硬，获得 18 层护甲"}}}</t>
        </is>
      </c>
    </row>
    <row r="1244" ht="32" customHeight="1">
      <c r="A1244" s="8" t="n">
        <v>419007</v>
      </c>
      <c r="B1244" s="8" t="inlineStr">
        <is>
          <t>听雷铜筒</t>
        </is>
      </c>
      <c r="C1244" s="8" t="inlineStr">
        <is>
          <t>法器</t>
        </is>
      </c>
      <c r="D1244" s="8" t="inlineStr">
        <is>
          <t>spirit</t>
        </is>
      </c>
      <c r="E1244" s="8" t="inlineStr">
        <is>
          <t>thunder</t>
        </is>
      </c>
      <c r="F1244" s="8" t="n">
        <v>1</v>
      </c>
      <c r="G1244" s="8" t="inlineStr">
        <is>
          <t>基础/顶层</t>
        </is>
      </c>
      <c r="H1244" s="8" t="inlineStr"/>
      <c r="I1244" s="9" t="inlineStr"/>
      <c r="J1244" s="8" t="inlineStr"/>
      <c r="K1244" s="8" t="inlineStr"/>
      <c r="L1244" s="8" t="inlineStr"/>
      <c r="M1244" s="8" t="inlineStr">
        <is>
          <t>周期触发</t>
        </is>
      </c>
      <c r="N1244" s="8" t="inlineStr">
        <is>
          <t>periodicPulse</t>
        </is>
      </c>
      <c r="O1244" s="9" t="inlineStr">
        <is>
          <t>对敌方施加 10 层麻痹；对敌方施加 12 层麻痹；对敌方施加 16 层麻痹；对敌方施加 18 层麻痹</t>
        </is>
      </c>
      <c r="P1244" s="9" t="inlineStr"/>
      <c r="Q1244" s="9" t="inlineStr"/>
      <c r="R1244" s="9" t="inlineStr">
        <is>
          <t>{"kind":"periodicPulse","periodicPulse":{"intervalSec":12,"label":"&lt;battle&gt;对敌方施加 10 层麻痹&lt;/battle&gt;","buffGains":[{"buffId":"paralysis","count":10,"target":"enemy"}]},"label":"&lt;battle&gt;对敌方施加 10 层麻痹&lt;/battle&gt;","starOverrides":{"1":{"periodicPulse":{"label":"&lt;battle&gt;对敌方施加 12 层麻痹&lt;/battle&gt;","buffGains":[{"buffId":"paralysis","count":12,"target":"enemy"}]},"label":"&lt;battle&gt;对敌方施加 12 层麻痹&lt;/battle&gt;"},"2":{"periodicPulse":{"label":"&lt;battle&gt;对敌方施加 16 层麻痹&lt;/battle&gt;","buffGains":[{"buffId":"paralysis","count":16,"target":"enemy"}]},"label":"&lt;battle&gt;对敌方施加 16 层麻痹&lt;/battle&gt;"},"3":{"periodicPulse":{"label":"&lt;battle&gt;对敌方施加 18 层麻痹&lt;/battle&gt;","buffGains":[{"buffId":"paralysis","count":18,"target":"enemy"}]},"label":"&lt;battle&gt;对敌方施加 18 层麻痹&lt;/battle&gt;"}}}</t>
        </is>
      </c>
    </row>
    <row r="1245" ht="32" customHeight="1">
      <c r="A1245" s="8" t="n">
        <v>419008</v>
      </c>
      <c r="B1245" s="8" t="inlineStr">
        <is>
          <t>霜纹砚台</t>
        </is>
      </c>
      <c r="C1245" s="8" t="inlineStr">
        <is>
          <t>法器</t>
        </is>
      </c>
      <c r="D1245" s="8" t="inlineStr">
        <is>
          <t>spirit</t>
        </is>
      </c>
      <c r="E1245" s="8" t="inlineStr">
        <is>
          <t>ice</t>
        </is>
      </c>
      <c r="F1245" s="8" t="n">
        <v>1</v>
      </c>
      <c r="G1245" s="8" t="inlineStr">
        <is>
          <t>基础/顶层</t>
        </is>
      </c>
      <c r="H1245" s="8" t="inlineStr"/>
      <c r="I1245" s="9" t="inlineStr"/>
      <c r="J1245" s="8" t="inlineStr"/>
      <c r="K1245" s="8" t="inlineStr"/>
      <c r="L1245" s="8" t="inlineStr"/>
      <c r="M1245" s="8" t="inlineStr">
        <is>
          <t>条件触发</t>
        </is>
      </c>
      <c r="N1245" s="8" t="inlineStr">
        <is>
          <t>triggered</t>
        </is>
      </c>
      <c r="O1245" s="9" t="inlineStr">
        <is>
          <t>冰属性招式释放时，使敌方随机 2 件凡品道具冻结 2 秒；冰属性招式释放时，使敌方随机 2 件凡品道具冻结 3 秒；冰属性招式释放时，使敌方随机 2 件凡品道具冻结 4 秒；冰属性招式释放时，使敌方随机 2 件凡品道具冻结 5 秒</t>
        </is>
      </c>
      <c r="P1245" s="9" t="inlineStr">
        <is>
          <t>onActiveSpellCast</t>
        </is>
      </c>
      <c r="Q1245" s="9" t="inlineStr">
        <is>
          <t>itemRuntimeStatus；any</t>
        </is>
      </c>
      <c r="R1245" s="9" t="inlineStr">
        <is>
          <t>{"kind":"triggered","label":"&lt;battle&gt;&lt;singleton&gt;冰属性招式释放时，使敌方随机 2 件凡品道具冻结 2 秒&lt;/singleton&gt;&lt;/battle&gt;","triggeredEffect":{"trigger":"onActiveSpellCast","type":"itemRuntimeStatus","itemRuntimeStatus":"freeze","durationSec":2,"targetActor":"enemy","targetScope":"enemyRandom","amount":2,"singletonByTemplate":true,"targetFilter":{"grades":["common"]},"eventSource":{"target":{"type":"any"},"filter":{"categories":["spell"],"elements":["ice"]}}},"starOverrides":{"1":{"label":"&lt;battle&gt;&lt;singleton&gt;冰属性招式释放时，使敌方随机 2 件凡品道具冻结 3 秒&lt;/singleton&gt;&lt;/battle&gt;","triggeredEffect":{"durationSec":3}},"2":{"label":"&lt;battle&gt;&lt;singleton&gt;冰属性招式释放时，使敌方随机 2 件凡品道具冻结 4 秒&lt;/singleton&gt;&lt;/battle&gt;","triggeredEffect":{"durationSec":4}},"3":{"label":"&lt;battle&gt;&lt;singleton&gt;冰属性招式释放时，使敌方随机 2 件凡品道具冻结 5 秒&lt;/singleton&gt;&lt;/battle&gt;","triggeredEffect":{"durationSec":5}}}}</t>
        </is>
      </c>
    </row>
    <row r="1246" ht="32" customHeight="1">
      <c r="A1246" s="8" t="n">
        <v>419009</v>
      </c>
      <c r="B1246" s="8" t="inlineStr">
        <is>
          <t>驭风纸鸢</t>
        </is>
      </c>
      <c r="C1246" s="8" t="inlineStr">
        <is>
          <t>法器</t>
        </is>
      </c>
      <c r="D1246" s="8" t="inlineStr">
        <is>
          <t>spirit</t>
        </is>
      </c>
      <c r="E1246" s="8" t="inlineStr">
        <is>
          <t>wind</t>
        </is>
      </c>
      <c r="F1246" s="8" t="n">
        <v>1</v>
      </c>
      <c r="G1246" s="8" t="inlineStr">
        <is>
          <t>基础/顶层</t>
        </is>
      </c>
      <c r="H1246" s="8" t="inlineStr"/>
      <c r="I1246" s="9" t="inlineStr"/>
      <c r="J1246" s="8" t="inlineStr"/>
      <c r="K1246" s="8" t="inlineStr"/>
      <c r="L1246" s="8" t="inlineStr"/>
      <c r="M1246" s="8" t="inlineStr">
        <is>
          <t>被动效果</t>
        </is>
      </c>
      <c r="N1246" s="8" t="inlineStr">
        <is>
          <t>passive</t>
        </is>
      </c>
      <c r="O1246" s="9" t="inlineStr">
        <is>
          <t>敏捷层数上限 +3，与大境界高于自己的不同敌人战斗并成功逃离后效果升级。；敏捷层数上限；敏捷层数上限 +4，与大境界高于自己的不同敌人战斗并成功逃离后效果升级。；敏捷层数上限 +5，与大境界高于自己的不同敌人战斗并成功逃离后效果升级。；敏捷层数上限 +6，与大境界高于自己的不同敌人战斗并成功逃离后效果升级。</t>
        </is>
      </c>
      <c r="P1246" s="9" t="inlineStr">
        <is>
          <t>onBattleEnded</t>
        </is>
      </c>
      <c r="Q1246" s="9" t="inlineStr">
        <is>
          <t>buffStackCapBonus</t>
        </is>
      </c>
      <c r="R1246" s="9" t="inlineStr">
        <is>
          <t>{"kind":"passive","label":"敏捷层数上限 +3，&lt;battle&gt;与大境界高于自己的不同敌人战斗并成功逃离后效果升级&lt;/battle&gt;。","passiveEffect":{"type":"buffStackCapBonus","buffId":"agile","value":3,"label":"敏捷层数上限 +3，&lt;battle&gt;与大境界高于自己的不同敌人战斗并成功逃离后效果升级&lt;/battle&gt;。"},"growth":{"lifecycle":"permanent","trigger":"onBattleEnded","bindings":[{"path":"passiveEffect.value","delta":1,"maxValue":10,"label":"敏捷层数上限","textOccurrence":0}],"uniqueOpponent":true,"minOpponentMajorRealmGap":1,"requiredBattleOutcome":"playerEscaped","support":"battleOnly"},"starOverrides":{"1":{"label":"敏捷层数上限 +4，&lt;battle&gt;与大境界高于自己的不同敌人战斗并成功逃离后效果升级&lt;/battle&gt;。","passiveEffect":{"value":4,"label":"敏捷层数上限 +4，&lt;battle&gt;与大境界高于自己的不同敌人战斗并成功逃离后效果升级&lt;/battle&gt;。"}},"2":{"label":"敏捷层数上限 +5，&lt;battle&gt;与大境界高于自己的不同敌人战斗并成功逃离后效果升级&lt;/battle&gt;。","passiveEffect":{"value":5,"label":"敏捷层数上限 +5，&lt;battle&gt;与大境界高于自己的不同敌人战斗并成功逃离后效果升级&lt;/battle&gt;。"}},"3":{"label":"敏捷层数上限 +6，&lt;battle&gt;与大境界高于自己的不同敌人战斗并成功逃离后效果升级&lt;/battle&gt;。","passiveEffect":{"value":6,"label":"敏捷层数上限 +6，&lt;battle&gt;与大境界高于自己的不同敌人战斗并成功逃离后效果升级&lt;/battle&gt;。"}}}}</t>
        </is>
      </c>
    </row>
    <row r="1247" ht="32" customHeight="1">
      <c r="A1247" s="8" t="n">
        <v>419010</v>
      </c>
      <c r="B1247" s="8" t="inlineStr">
        <is>
          <t>辟瘴香炉</t>
        </is>
      </c>
      <c r="C1247" s="8" t="inlineStr">
        <is>
          <t>法器</t>
        </is>
      </c>
      <c r="D1247" s="8" t="inlineStr">
        <is>
          <t>spirit</t>
        </is>
      </c>
      <c r="E1247" s="8" t="inlineStr">
        <is>
          <t>poison</t>
        </is>
      </c>
      <c r="F1247" s="8" t="n">
        <v>1</v>
      </c>
      <c r="G1247" s="8" t="inlineStr">
        <is>
          <t>基础/顶层</t>
        </is>
      </c>
      <c r="H1247" s="8" t="inlineStr"/>
      <c r="I1247" s="9" t="inlineStr"/>
      <c r="J1247" s="8" t="inlineStr"/>
      <c r="K1247" s="8" t="inlineStr"/>
      <c r="L1247" s="8" t="inlineStr"/>
      <c r="M1247" s="8" t="inlineStr">
        <is>
          <t>条件触发</t>
        </is>
      </c>
      <c r="N1247" s="8" t="inlineStr">
        <is>
          <t>triggered</t>
        </is>
      </c>
      <c r="O1247" s="9" t="inlineStr">
        <is>
          <t>每次获得中毒时，恢复 16 点法力；每次获得中毒时，恢复 20 点法力；每次获得中毒时，恢复 24 点法力；每次获得中毒时，恢复 28 点法力</t>
        </is>
      </c>
      <c r="P1247" s="9" t="inlineStr">
        <is>
          <t>onBuffGain</t>
        </is>
      </c>
      <c r="Q1247" s="9" t="inlineStr">
        <is>
          <t>modifyPlayerPrimaryStat</t>
        </is>
      </c>
      <c r="R1247" s="9" t="inlineStr">
        <is>
          <t>{"kind":"triggered","label":"每次获得中毒时，恢复 16 点法力","triggeredEffect":{"trigger":"onBuffGain","eventActor":"self","eventBuffId":"poison","type":"modifyPlayerPrimaryStat","stat":"mana","delta":16},"starOverrides":{"1":{"label":"每次获得中毒时，恢复 20 点法力","triggeredEffect":{"delta":20}},"2":{"label":"每次获得中毒时，恢复 24 点法力","triggeredEffect":{"delta":24}},"3":{"label":"每次获得中毒时，恢复 28 点法力","triggeredEffect":{"delta":28}}}}</t>
        </is>
      </c>
    </row>
    <row r="1248" ht="32" customHeight="1">
      <c r="A1248" s="8" t="n">
        <v>419011</v>
      </c>
      <c r="B1248" s="8" t="inlineStr">
        <is>
          <t>定星罗盘</t>
        </is>
      </c>
      <c r="C1248" s="8" t="inlineStr">
        <is>
          <t>法器</t>
        </is>
      </c>
      <c r="D1248" s="8" t="inlineStr">
        <is>
          <t>spirit</t>
        </is>
      </c>
      <c r="E1248" s="8" t="inlineStr">
        <is>
          <t>none</t>
        </is>
      </c>
      <c r="F1248" s="8" t="n">
        <v>1</v>
      </c>
      <c r="G1248" s="8" t="inlineStr">
        <is>
          <t>基础/顶层</t>
        </is>
      </c>
      <c r="H1248" s="8" t="inlineStr"/>
      <c r="I1248" s="9" t="inlineStr"/>
      <c r="J1248" s="8" t="inlineStr"/>
      <c r="K1248" s="8" t="inlineStr"/>
      <c r="L1248" s="8" t="inlineStr"/>
      <c r="M1248" s="8" t="inlineStr">
        <is>
          <t>周期触发</t>
        </is>
      </c>
      <c r="N1248" s="8" t="inlineStr">
        <is>
          <t>periodicPulse</t>
        </is>
      </c>
      <c r="O1248" s="9" t="inlineStr">
        <is>
          <t>开局：左侧相邻无属性装备时，获得 20 层护甲；开局：左侧相邻无属性装备时，获得 26 层护甲；开局：左侧相邻无属性装备时，获得 30 层护甲；开局：左侧相邻无属性装备时，获得 36 层护甲</t>
        </is>
      </c>
      <c r="P1248" s="9" t="inlineStr"/>
      <c r="Q1248" s="9" t="inlineStr"/>
      <c r="R1248" s="9" t="inlineStr">
        <is>
          <t>{"kind":"periodicPulse","label":"开局：左侧相邻无属性装备时，获得 20 层护甲","periodicPulse":{"startOnly":true,"buffGains":[{"buffId":"armor","count":20}],"activationRequirements":{"directionalNeighbors":[{"direction":"left","elements":["none"],"features":["equipment"]}]},"label":"开局：左侧相邻无属性装备时，获得 20 层护甲"},"starOverrides":{"1":{"label":"开局：左侧相邻无属性装备时，获得 26 层护甲","periodicPulse":{"buffGains":[{"buffId":"armor","count":26}],"label":"开局：左侧相邻无属性装备时，获得 26 层护甲"}},"2":{"label":"开局：左侧相邻无属性装备时，获得 30 层护甲","periodicPulse":{"buffGains":[{"buffId":"armor","count":30}],"label":"开局：左侧相邻无属性装备时，获得 30 层护甲"}},"3":{"label":"开局：左侧相邻无属性装备时，获得 36 层护甲","periodicPulse":{"buffGains":[{"buffId":"armor","count":36}],"label":"开局：左侧相邻无属性装备时，获得 36 层护甲"}}}}</t>
        </is>
      </c>
    </row>
    <row r="1249" ht="32" customHeight="1">
      <c r="A1249" s="8" t="n">
        <v>419012</v>
      </c>
      <c r="B1249" s="8" t="inlineStr">
        <is>
          <t>量灵玉尺</t>
        </is>
      </c>
      <c r="C1249" s="8" t="inlineStr">
        <is>
          <t>法器</t>
        </is>
      </c>
      <c r="D1249" s="8" t="inlineStr">
        <is>
          <t>spirit</t>
        </is>
      </c>
      <c r="E1249" s="8" t="inlineStr">
        <is>
          <t>none</t>
        </is>
      </c>
      <c r="F1249" s="8" t="n">
        <v>1</v>
      </c>
      <c r="G1249" s="8" t="inlineStr">
        <is>
          <t>基础/顶层</t>
        </is>
      </c>
      <c r="H1249" s="8" t="inlineStr"/>
      <c r="I1249" s="9" t="inlineStr"/>
      <c r="J1249" s="8" t="inlineStr"/>
      <c r="K1249" s="8" t="inlineStr"/>
      <c r="L1249" s="8" t="inlineStr"/>
      <c r="M1249" s="8" t="inlineStr">
        <is>
          <t>周期触发</t>
        </is>
      </c>
      <c r="N1249" s="8" t="inlineStr">
        <is>
          <t>periodicPulse</t>
        </is>
      </c>
      <c r="O1249" s="9" t="inlineStr">
        <is>
          <t>开局：上方相邻无属性道具时，获得 24 层护甲；开局：上方相邻无属性道具时，获得 30 层护甲；开局：上方相邻无属性道具时，获得 36 层护甲；开局：上方相邻无属性道具时，获得 42 层护甲</t>
        </is>
      </c>
      <c r="P1249" s="9" t="inlineStr"/>
      <c r="Q1249" s="9" t="inlineStr"/>
      <c r="R1249" s="9" t="inlineStr">
        <is>
          <t>{"kind":"periodicPulse","label":"开局：上方相邻无属性道具时，获得 24 层护甲","periodicPulse":{"startOnly":true,"buffGains":[{"buffId":"armor","count":24}],"activationRequirements":{"directionalNeighbors":[{"direction":"up","elements":["none"]}]},"label":"开局：上方相邻无属性道具时，获得 24 层护甲"},"starOverrides":{"1":{"label":"开局：上方相邻无属性道具时，获得 30 层护甲","periodicPulse":{"buffGains":[{"buffId":"armor","count":30}],"label":"开局：上方相邻无属性道具时，获得 30 层护甲"}},"2":{"label":"开局：上方相邻无属性道具时，获得 36 层护甲","periodicPulse":{"buffGains":[{"buffId":"armor","count":36}],"label":"开局：上方相邻无属性道具时，获得 36 层护甲"}},"3":{"label":"开局：上方相邻无属性道具时，获得 42 层护甲","periodicPulse":{"buffGains":[{"buffId":"armor","count":42}],"label":"开局：上方相邻无属性道具时，获得 42 层护甲"}}}}</t>
        </is>
      </c>
    </row>
    <row r="1250" ht="32" customHeight="1">
      <c r="A1250" s="8" t="n">
        <v>419013</v>
      </c>
      <c r="B1250" s="8" t="inlineStr">
        <is>
          <t>聚露铜盘</t>
        </is>
      </c>
      <c r="C1250" s="8" t="inlineStr">
        <is>
          <t>法器</t>
        </is>
      </c>
      <c r="D1250" s="8" t="inlineStr">
        <is>
          <t>spirit</t>
        </is>
      </c>
      <c r="E1250" s="8" t="inlineStr">
        <is>
          <t>water</t>
        </is>
      </c>
      <c r="F1250" s="8" t="n">
        <v>1</v>
      </c>
      <c r="G1250" s="8" t="inlineStr">
        <is>
          <t>基础/顶层</t>
        </is>
      </c>
      <c r="H1250" s="8" t="inlineStr"/>
      <c r="I1250" s="9" t="inlineStr"/>
      <c r="J1250" s="8" t="inlineStr"/>
      <c r="K1250" s="8" t="inlineStr"/>
      <c r="L1250" s="8" t="inlineStr"/>
      <c r="M1250" s="8" t="inlineStr">
        <is>
          <t>条件触发</t>
        </is>
      </c>
      <c r="N1250" s="8" t="inlineStr">
        <is>
          <t>triggered</t>
        </is>
      </c>
      <c r="O1250" s="9" t="inlineStr">
        <is>
          <t>露水层数上限不低于 60 层时，每次获得露水有 25% 概率将 1 层露水转化为 2 点体力、法力或神识；露水层数上限不低于 60 层时，每次获得露水有 30% 概率将 1 层露水转化为 4 点体力、法力或神识；露水层数上限不低于 60 层时，每次获得露水有 35% 概率将 1 层露水转化为 6 点体力、法力或神识；露水层数上限不低于 60 层时，每次获得露水有 40% 概率将 1 层露水转化为 8 点体力、法力或神识</t>
        </is>
      </c>
      <c r="P1250" s="9" t="inlineStr">
        <is>
          <t>onBuffGain</t>
        </is>
      </c>
      <c r="Q1250" s="9" t="inlineStr">
        <is>
          <t>modifyRandomPrimaryStat</t>
        </is>
      </c>
      <c r="R1250" s="9" t="inlineStr">
        <is>
          <t>{"kind":"triggered","label":"露水层数上限不低于 60 层时，每次获得露水有 25% 概率将 1 层露水转化为 2 点体力、法力或神识","triggeredEffect":{"trigger":"onBuffGain","eventActor":"self","eventBuffId":"dew","type":"modifyRandomPrimaryStat","delta":2,"primaryStats":["stamina","mana","spiritSense"],"consumeEventBuffStacks":1,"chance":0.25,"activationRequirements":{"buffStackCapThresholds":[{"buffId":"dew","comparator":"atLeast","count":60}]}},"starOverrides":{"1":{"label":"露水层数上限不低于 60 层时，每次获得露水有 30% 概率将 1 层露水转化为 4 点体力、法力或神识","triggeredEffect":{"delta":4,"chance":0.3}},"2":{"label":"露水层数上限不低于 60 层时，每次获得露水有 35% 概率将 1 层露水转化为 6 点体力、法力或神识","triggeredEffect":{"delta":6,"chance":0.35}},"3":{"label":"露水层数上限不低于 60 层时，每次获得露水有 40% 概率将 1 层露水转化为 8 点体力、法力或神识","triggeredEffect":{"delta":8,"chance":0.4}}}}</t>
        </is>
      </c>
    </row>
    <row r="1251" ht="32" customHeight="1">
      <c r="A1251" s="8" t="n">
        <v>419014</v>
      </c>
      <c r="B1251" s="8" t="inlineStr">
        <is>
          <t>温符炭匣</t>
        </is>
      </c>
      <c r="C1251" s="8" t="inlineStr">
        <is>
          <t>法器</t>
        </is>
      </c>
      <c r="D1251" s="8" t="inlineStr">
        <is>
          <t>spirit</t>
        </is>
      </c>
      <c r="E1251" s="8" t="inlineStr">
        <is>
          <t>fire</t>
        </is>
      </c>
      <c r="F1251" s="8" t="n">
        <v>1</v>
      </c>
      <c r="G1251" s="8" t="inlineStr">
        <is>
          <t>基础/顶层</t>
        </is>
      </c>
      <c r="H1251" s="8" t="inlineStr"/>
      <c r="I1251" s="9" t="inlineStr"/>
      <c r="J1251" s="8" t="inlineStr"/>
      <c r="K1251" s="8" t="inlineStr"/>
      <c r="L1251" s="8" t="inlineStr"/>
      <c r="M1251" s="8" t="inlineStr">
        <is>
          <t>条件触发</t>
        </is>
      </c>
      <c r="N1251" s="8" t="inlineStr">
        <is>
          <t>triggered</t>
        </is>
      </c>
      <c r="O1251" s="9" t="inlineStr">
        <is>
          <t>相邻正好 1 件丹药和 1 张符箓时，使用其中任一道具后，获得 10 层再生；相邻正好 1 件丹药和 2 张符箓时，使用其中任一道具后，获得 12 层再生；相邻正好 1 件丹药和 3 张符箓时，使用其中任一道具后，获得 16 层再生；相邻正好 1 件丹药和 4 张符箓时，使用其中任一道具后，获得 18 层再生</t>
        </is>
      </c>
      <c r="P1251" s="9" t="inlineStr">
        <is>
          <t>onItemUse</t>
        </is>
      </c>
      <c r="Q1251" s="9" t="inlineStr">
        <is>
          <t>applyBuff；adjacent</t>
        </is>
      </c>
      <c r="R1251" s="9" t="inlineStr">
        <is>
          <t>{"kind":"triggered","label":"相邻正好 1 件丹药和 1 张符箓时，使用其中任一道具后，获得 10 层再生","triggeredEffect":{"trigger":"onItemUse","type":"applyBuff","buffId":"regeneration","count":10,"eventSource":{"target":{"type":"adjacent"},"filter":{"categories":["pill","talisman"]}},"activationRequirements":{"neighborCounts":[{"minCount":1,"maxCount":1,"categories":["pill"]},{"minCount":1,"maxCount":1,"categories":["talisman"]}]}},"starOverrides":{"1":{"label":"相邻正好 1 件丹药和 2 张符箓时，使用其中任一道具后，获得 12 层再生","triggeredEffect":{"count":12,"activationRequirements":{"neighborCounts":[{"minCount":1,"maxCount":1,"categories":["pill"]},{"minCount":2,"maxCount":2,"categories":["talisman"]}]}}},"2":{"label":"相邻正好 1 件丹药和 3 张符箓时，使用其中任一道具后，获得 16 层再生","triggeredEffect":{"count":16,"activationRequirements":{"neighborCounts":[{"minCount":1,"maxCount":1,"categories":["pill"]},{"minCount":3,"maxCount":3,"categories":["talisman"]}]}}},"3":{"label":"相邻正好 1 件丹药和 4 张符箓时，使用其中任一道具后，获得 18 层再生","triggeredEffect":{"count":18,"activationRequirements":{"neighborCounts":[{"minCount":1,"maxCount":1,"categories":["pill"]},{"minCount":4,"maxCount":4,"categories":["talisman"]}]}}}}}</t>
        </is>
      </c>
    </row>
    <row r="1252" ht="32" customHeight="1">
      <c r="A1252" s="8" t="n">
        <v>419015</v>
      </c>
      <c r="B1252" s="8" t="inlineStr">
        <is>
          <t>养木根瓶</t>
        </is>
      </c>
      <c r="C1252" s="8" t="inlineStr">
        <is>
          <t>法器</t>
        </is>
      </c>
      <c r="D1252" s="8" t="inlineStr">
        <is>
          <t>spirit</t>
        </is>
      </c>
      <c r="E1252" s="8" t="inlineStr">
        <is>
          <t>wood</t>
        </is>
      </c>
      <c r="F1252" s="8" t="n">
        <v>1</v>
      </c>
      <c r="G1252" s="8" t="inlineStr">
        <is>
          <t>基础/顶层</t>
        </is>
      </c>
      <c r="H1252" s="8" t="inlineStr"/>
      <c r="I1252" s="9" t="inlineStr"/>
      <c r="J1252" s="8" t="inlineStr"/>
      <c r="K1252" s="8" t="inlineStr"/>
      <c r="L1252" s="8" t="inlineStr"/>
      <c r="M1252" s="8" t="inlineStr">
        <is>
          <t>条件触发</t>
        </is>
      </c>
      <c r="N1252" s="8" t="inlineStr">
        <is>
          <t>triggered</t>
        </is>
      </c>
      <c r="O1252" s="9" t="inlineStr">
        <is>
          <t>充能：累计使用 3 件木属性消耗品时，获得 24 层护甲；充能：累计使用 3 件木属性消耗品时，获得 30 层护甲；充能：累计使用 3 件木属性消耗品时，获得 36 层护甲；充能：累计使用 3 件木属性消耗品时，获得 42 层护甲</t>
        </is>
      </c>
      <c r="P1252" s="9" t="inlineStr">
        <is>
          <t>onItemUse</t>
        </is>
      </c>
      <c r="Q1252" s="9" t="inlineStr">
        <is>
          <t>applyBuff；any</t>
        </is>
      </c>
      <c r="R1252" s="9" t="inlineStr">
        <is>
          <t>{"kind":"triggered","label":"充能：累计使用 3 件木属性消耗品时，获得 24 层护甲","triggeredEffect":{"trigger":"onItemUse","type":"applyBuff","buffId":"armor","count":24,"eventSource":{"target":{"type":"any"},"filter":{"categories":["pill","talisman","throwable"],"elements":["wood"]}},"charge":{"threshold":3,"countPerEvent":1}},"starOverrides":{"1":{"label":"充能：累计使用 3 件木属性消耗品时，获得 30 层护甲","triggeredEffect":{"count":30}},"2":{"label":"充能：累计使用 3 件木属性消耗品时，获得 36 层护甲","triggeredEffect":{"count":36}},"3":{"label":"充能：累计使用 3 件木属性消耗品时，获得 42 层护甲","triggeredEffect":{"count":42}}}}</t>
        </is>
      </c>
    </row>
    <row r="1253" ht="32" customHeight="1">
      <c r="A1253" s="8" t="n">
        <v>419016</v>
      </c>
      <c r="B1253" s="8" t="inlineStr">
        <is>
          <t>磁纹针轮</t>
        </is>
      </c>
      <c r="C1253" s="8" t="inlineStr">
        <is>
          <t>法器</t>
        </is>
      </c>
      <c r="D1253" s="8" t="inlineStr">
        <is>
          <t>spirit</t>
        </is>
      </c>
      <c r="E1253" s="8" t="inlineStr">
        <is>
          <t>metal</t>
        </is>
      </c>
      <c r="F1253" s="8" t="n">
        <v>1</v>
      </c>
      <c r="G1253" s="8" t="inlineStr">
        <is>
          <t>基础/顶层</t>
        </is>
      </c>
      <c r="H1253" s="8" t="inlineStr"/>
      <c r="I1253" s="9" t="inlineStr"/>
      <c r="J1253" s="8" t="inlineStr"/>
      <c r="K1253" s="8" t="inlineStr"/>
      <c r="L1253" s="8" t="inlineStr"/>
      <c r="M1253" s="8" t="inlineStr">
        <is>
          <t>条件触发</t>
        </is>
      </c>
      <c r="N1253" s="8" t="inlineStr">
        <is>
          <t>triggered</t>
        </is>
      </c>
      <c r="O1253" s="9" t="inlineStr">
        <is>
          <t>相邻正好 2 件金属性道具时，每当获得凝金，获得 6 层护甲；相邻正好 2 件金属性道具时，每当获得凝金，获得 8 层护甲；相邻正好 2 件金属性道具时，每当获得凝金，获得 10 层护甲；相邻正好 2 件金属性道具时，每当获得凝金，获得 12 层护甲</t>
        </is>
      </c>
      <c r="P1253" s="9" t="inlineStr">
        <is>
          <t>onBuffGain</t>
        </is>
      </c>
      <c r="Q1253" s="9" t="inlineStr">
        <is>
          <t>applyBuff</t>
        </is>
      </c>
      <c r="R1253" s="9" t="inlineStr">
        <is>
          <t>{"kind":"triggered","label":"相邻正好 2 件金属性道具时，每当获得凝金，获得 6 层护甲","triggeredEffect":{"trigger":"onBuffGain","eventActor":"self","eventBuffId":"condensedMetal","type":"applyBuff","buffId":"armor","count":6,"activationRequirements":{"neighborCounts":[{"minCount":2,"maxCount":2,"elements":["metal"]}]}},"starOverrides":{"1":{"label":"相邻正好 2 件金属性道具时，每当获得凝金，获得 8 层护甲","triggeredEffect":{"count":8}},"2":{"label":"相邻正好 2 件金属性道具时，每当获得凝金，获得 10 层护甲","triggeredEffect":{"count":10}},"3":{"label":"相邻正好 2 件金属性道具时，每当获得凝金，获得 12 层护甲","triggeredEffect":{"count":12}}}}</t>
        </is>
      </c>
    </row>
    <row r="1254" ht="32" customHeight="1">
      <c r="A1254" s="8" t="n">
        <v>419017</v>
      </c>
      <c r="B1254" s="8" t="inlineStr">
        <is>
          <t>厚土镇纸</t>
        </is>
      </c>
      <c r="C1254" s="8" t="inlineStr">
        <is>
          <t>法器</t>
        </is>
      </c>
      <c r="D1254" s="8" t="inlineStr">
        <is>
          <t>spirit</t>
        </is>
      </c>
      <c r="E1254" s="8" t="inlineStr">
        <is>
          <t>earth</t>
        </is>
      </c>
      <c r="F1254" s="8" t="n">
        <v>1</v>
      </c>
      <c r="G1254" s="8" t="inlineStr">
        <is>
          <t>基础/顶层</t>
        </is>
      </c>
      <c r="H1254" s="8" t="inlineStr"/>
      <c r="I1254" s="9" t="inlineStr"/>
      <c r="J1254" s="8" t="inlineStr"/>
      <c r="K1254" s="8" t="inlineStr"/>
      <c r="L1254" s="8" t="inlineStr"/>
      <c r="M1254" s="8" t="inlineStr">
        <is>
          <t>条件触发</t>
        </is>
      </c>
      <c r="N1254" s="8" t="inlineStr">
        <is>
          <t>triggered</t>
        </is>
      </c>
      <c r="O1254" s="9" t="inlineStr">
        <is>
          <t>敌方坚硬不少于 20 层时，敌方每次消耗坚硬，对敌方造成 28 点伤害；敌方坚硬不少于 20 层时，敌方每次消耗坚硬，对敌方造成 36 点伤害；敌方坚硬不少于 20 层时，敌方每次消耗坚硬，对敌方造成 42 点伤害；敌方坚硬不少于 20 层时，敌方每次消耗坚硬，对敌方造成 50 点伤害</t>
        </is>
      </c>
      <c r="P1254" s="9" t="inlineStr">
        <is>
          <t>onBuffConsumed</t>
        </is>
      </c>
      <c r="Q1254" s="9" t="inlineStr">
        <is>
          <t>battleDamageHealth</t>
        </is>
      </c>
      <c r="R1254" s="9" t="inlineStr">
        <is>
          <t>{"kind":"triggered","label":"&lt;battle&gt;敌方坚硬不少于 20 层时，敌方每次消耗坚硬，对敌方造成 28 点伤害&lt;/battle&gt;","triggeredEffect":{"trigger":"onBuffConsumed","eventActor":"enemy","eventBuffId":"sturdy","type":"battleDamageHealth","amount":28,"targetBuffStackThreshold":{"buffId":"sturdy","comparator":"atLeast","count":20},"support":"battleOnly"},"starOverrides":{"1":{"triggeredEffect":{"amount":36},"label":"&lt;battle&gt;敌方坚硬不少于 20 层时，敌方每次消耗坚硬，对敌方造成 36 点伤害&lt;/battle&gt;"},"2":{"triggeredEffect":{"amount":42},"label":"&lt;battle&gt;敌方坚硬不少于 20 层时，敌方每次消耗坚硬，对敌方造成 42 点伤害&lt;/battle&gt;"},"3":{"triggeredEffect":{"amount":50},"label":"&lt;battle&gt;敌方坚硬不少于 20 层时，敌方每次消耗坚硬，对敌方造成 50 点伤害&lt;/battle&gt;"}}}</t>
        </is>
      </c>
    </row>
    <row r="1255" ht="32" customHeight="1">
      <c r="A1255" s="8" t="n">
        <v>419018</v>
      </c>
      <c r="B1255" s="8" t="inlineStr">
        <is>
          <t>鸣雷引弦</t>
        </is>
      </c>
      <c r="C1255" s="8" t="inlineStr">
        <is>
          <t>法器</t>
        </is>
      </c>
      <c r="D1255" s="8" t="inlineStr">
        <is>
          <t>spirit</t>
        </is>
      </c>
      <c r="E1255" s="8" t="inlineStr">
        <is>
          <t>thunder</t>
        </is>
      </c>
      <c r="F1255" s="8" t="n">
        <v>1</v>
      </c>
      <c r="G1255" s="8" t="inlineStr">
        <is>
          <t>基础/顶层</t>
        </is>
      </c>
      <c r="H1255" s="8" t="inlineStr"/>
      <c r="I1255" s="9" t="inlineStr"/>
      <c r="J1255" s="8" t="inlineStr"/>
      <c r="K1255" s="8" t="inlineStr"/>
      <c r="L1255" s="8" t="inlineStr"/>
      <c r="M1255" s="8" t="inlineStr">
        <is>
          <t>条件触发</t>
        </is>
      </c>
      <c r="N1255" s="8" t="inlineStr">
        <is>
          <t>triggered</t>
        </is>
      </c>
      <c r="O1255" s="9" t="inlineStr">
        <is>
          <t>雷属性招式释放时，获得 16 层雷霆充能；雷属性招式释放时，获得 20 层雷霆充能；雷属性招式释放时，获得 24 层雷霆充能；雷属性招式释放时，获得 28 层雷霆充能</t>
        </is>
      </c>
      <c r="P1255" s="9" t="inlineStr">
        <is>
          <t>onActiveSpellCast</t>
        </is>
      </c>
      <c r="Q1255" s="9" t="inlineStr">
        <is>
          <t>applyBuff；any</t>
        </is>
      </c>
      <c r="R1255" s="9" t="inlineStr">
        <is>
          <t>{"kind":"triggered","label":"雷属性招式释放时，获得 16 层雷霆充能","triggeredEffect":{"trigger":"onActiveSpellCast","type":"applyBuff","buffId":"lightningCharge","count":16,"eventSource":{"target":{"type":"any"},"filter":{"categories":["spell"],"elements":["thunder"]}}},"starOverrides":{"1":{"label":"雷属性招式释放时，获得 20 层雷霆充能","triggeredEffect":{"count":20}},"2":{"label":"雷属性招式释放时，获得 24 层雷霆充能","triggeredEffect":{"count":24}},"3":{"label":"雷属性招式释放时，获得 28 层雷霆充能","triggeredEffect":{"count":28}}}}</t>
        </is>
      </c>
    </row>
    <row r="1256" ht="32" customHeight="1">
      <c r="A1256" s="8" t="n">
        <v>419019</v>
      </c>
      <c r="B1256" s="8" t="inlineStr">
        <is>
          <t>寒蚕线轴</t>
        </is>
      </c>
      <c r="C1256" s="8" t="inlineStr">
        <is>
          <t>法器</t>
        </is>
      </c>
      <c r="D1256" s="8" t="inlineStr">
        <is>
          <t>spirit</t>
        </is>
      </c>
      <c r="E1256" s="8" t="inlineStr">
        <is>
          <t>ice</t>
        </is>
      </c>
      <c r="F1256" s="8" t="n">
        <v>1</v>
      </c>
      <c r="G1256" s="8" t="inlineStr">
        <is>
          <t>基础/顶层</t>
        </is>
      </c>
      <c r="H1256" s="8" t="inlineStr"/>
      <c r="I1256" s="9" t="inlineStr"/>
      <c r="J1256" s="8" t="inlineStr"/>
      <c r="K1256" s="8" t="inlineStr"/>
      <c r="L1256" s="8" t="inlineStr"/>
      <c r="M1256" s="8" t="inlineStr">
        <is>
          <t>条件触发</t>
        </is>
      </c>
      <c r="N1256" s="8" t="inlineStr">
        <is>
          <t>triggered</t>
        </is>
      </c>
      <c r="O1256" s="9" t="inlineStr">
        <is>
          <t>每当法力被消耗时，获得 12 层寒冷；每当法力被消耗时，获得 16 层寒冷；每当法力被消耗时，获得 18 层寒冷；每当法力被消耗时，获得 22 层寒冷</t>
        </is>
      </c>
      <c r="P1256" s="9" t="inlineStr">
        <is>
          <t>onPrimaryStatConsumed</t>
        </is>
      </c>
      <c r="Q1256" s="9" t="inlineStr">
        <is>
          <t>applyBuff</t>
        </is>
      </c>
      <c r="R1256" s="9" t="inlineStr">
        <is>
          <t>{"kind":"triggered","label":"每当法力被消耗时，获得 12 层寒冷","triggeredEffect":{"trigger":"onPrimaryStatConsumed","type":"applyBuff","buffId":"cold","count":12,"minEventPrimaryStatConsumed":{"stat":"mana","amount":1}},"starOverrides":{"1":{"triggeredEffect":{"count":16},"label":"每当法力被消耗时，获得 16 层寒冷"},"2":{"triggeredEffect":{"count":18},"label":"每当法力被消耗时，获得 18 层寒冷"},"3":{"triggeredEffect":{"count":22},"label":"每当法力被消耗时，获得 22 层寒冷"}}}</t>
        </is>
      </c>
    </row>
    <row r="1257" ht="32" customHeight="1">
      <c r="A1257" s="8" t="n">
        <v>419020</v>
      </c>
      <c r="B1257" s="8" t="inlineStr">
        <is>
          <t>逐风铃架</t>
        </is>
      </c>
      <c r="C1257" s="8" t="inlineStr">
        <is>
          <t>法器</t>
        </is>
      </c>
      <c r="D1257" s="8" t="inlineStr">
        <is>
          <t>spirit</t>
        </is>
      </c>
      <c r="E1257" s="8" t="inlineStr">
        <is>
          <t>wind</t>
        </is>
      </c>
      <c r="F1257" s="8" t="n">
        <v>1</v>
      </c>
      <c r="G1257" s="8" t="inlineStr">
        <is>
          <t>基础/顶层</t>
        </is>
      </c>
      <c r="H1257" s="8" t="inlineStr"/>
      <c r="I1257" s="9" t="inlineStr"/>
      <c r="J1257" s="8" t="inlineStr"/>
      <c r="K1257" s="8" t="inlineStr"/>
      <c r="L1257" s="8" t="inlineStr"/>
      <c r="M1257" s="8" t="inlineStr">
        <is>
          <t>条件触发</t>
        </is>
      </c>
      <c r="N1257" s="8" t="inlineStr">
        <is>
          <t>triggered</t>
        </is>
      </c>
      <c r="O1257" s="9" t="inlineStr">
        <is>
          <t>使用左右任一相邻剑时，对敌方造成 8 点伤害；使用左右任一相邻剑时，对敌方造成 10 点伤害；使用左右任一相邻剑时，对敌方造成 12 点伤害；使用左右任一相邻剑时，对敌方造成 14 点伤害</t>
        </is>
      </c>
      <c r="P1257" s="9" t="inlineStr">
        <is>
          <t>onItemUse</t>
        </is>
      </c>
      <c r="Q1257" s="9" t="inlineStr">
        <is>
          <t>battleDamageHealth；directional-adjacent</t>
        </is>
      </c>
      <c r="R1257" s="9" t="inlineStr">
        <is>
          <t>{"kind":"triggered","label":"使用左右任一相邻剑时，&lt;battle&gt;对敌方造成 8 点伤害&lt;/battle&gt;","triggeredEffect":{"trigger":"onItemUse","type":"battleDamageHealth","amount":8,"support":"battleOnly","eventSource":{"target":{"type":"directional-adjacent","direction":"both-horizontal"},"filter":{"features":["weapon","sword"]}}},"starOverrides":{"1":{"label":"使用左右任一相邻剑时，&lt;battle&gt;对敌方造成 10 点伤害&lt;/battle&gt;","triggeredEffect":{"amount":10}},"2":{"label":"使用左右任一相邻剑时，&lt;battle&gt;对敌方造成 12 点伤害&lt;/battle&gt;","triggeredEffect":{"amount":12}},"3":{"label":"使用左右任一相邻剑时，&lt;battle&gt;对敌方造成 14 点伤害&lt;/battle&gt;","triggeredEffect":{"amount":14}}}}</t>
        </is>
      </c>
    </row>
    <row r="1258" ht="32" customHeight="1">
      <c r="A1258" s="8" t="n">
        <v>419021</v>
      </c>
      <c r="B1258" s="8" t="inlineStr">
        <is>
          <t>五毒研钵</t>
        </is>
      </c>
      <c r="C1258" s="8" t="inlineStr">
        <is>
          <t>法器</t>
        </is>
      </c>
      <c r="D1258" s="8" t="inlineStr">
        <is>
          <t>spirit</t>
        </is>
      </c>
      <c r="E1258" s="8" t="inlineStr">
        <is>
          <t>poison</t>
        </is>
      </c>
      <c r="F1258" s="8" t="n">
        <v>1</v>
      </c>
      <c r="G1258" s="8" t="inlineStr">
        <is>
          <t>基础/顶层</t>
        </is>
      </c>
      <c r="H1258" s="8" t="inlineStr"/>
      <c r="I1258" s="9" t="inlineStr"/>
      <c r="J1258" s="8" t="inlineStr"/>
      <c r="K1258" s="8" t="inlineStr"/>
      <c r="L1258" s="8" t="inlineStr"/>
      <c r="M1258" s="8" t="inlineStr">
        <is>
          <t>被动效果</t>
        </is>
      </c>
      <c r="N1258" s="8" t="inlineStr">
        <is>
          <t>passive</t>
        </is>
      </c>
      <c r="O1258" s="9" t="inlineStr">
        <is>
          <t>中毒发作时，将原本的中毒伤害转化为等量气血恢复</t>
        </is>
      </c>
      <c r="P1258" s="9" t="inlineStr"/>
      <c r="Q1258" s="9" t="inlineStr">
        <is>
          <t>poisonTickHealthInversion</t>
        </is>
      </c>
      <c r="R1258" s="9" t="inlineStr">
        <is>
          <t>{"kind":"passive","label":"&lt;battle&gt;中毒发作时，将原本的中毒伤害转化为等量气血恢复&lt;/battle&gt;","passiveEffect":{"type":"poisonTickHealthInversion","label":"&lt;battle&gt;中毒发作时，将原本的中毒伤害转化为等量气血恢复&lt;/battle&gt;"}}</t>
        </is>
      </c>
    </row>
    <row r="1259" ht="32" customHeight="1">
      <c r="A1259" s="8" t="n">
        <v>419021</v>
      </c>
      <c r="B1259" s="8" t="inlineStr">
        <is>
          <t>五毒研钵</t>
        </is>
      </c>
      <c r="C1259" s="8" t="inlineStr">
        <is>
          <t>法器</t>
        </is>
      </c>
      <c r="D1259" s="8" t="inlineStr">
        <is>
          <t>spirit</t>
        </is>
      </c>
      <c r="E1259" s="8" t="inlineStr">
        <is>
          <t>poison</t>
        </is>
      </c>
      <c r="F1259" s="8" t="n">
        <v>2</v>
      </c>
      <c r="G1259" s="8" t="inlineStr">
        <is>
          <t>基础/顶层</t>
        </is>
      </c>
      <c r="H1259" s="8" t="inlineStr"/>
      <c r="I1259" s="9" t="inlineStr"/>
      <c r="J1259" s="8" t="inlineStr"/>
      <c r="K1259" s="8" t="inlineStr"/>
      <c r="L1259" s="8" t="inlineStr"/>
      <c r="M1259" s="8" t="inlineStr">
        <is>
          <t>条件触发</t>
        </is>
      </c>
      <c r="N1259" s="8" t="inlineStr">
        <is>
          <t>triggered</t>
        </is>
      </c>
      <c r="O1259" s="9" t="inlineStr">
        <is>
          <t>每次获得中毒时，恢复 6 点法力；每次获得中毒时，恢复 8 点法力；每次获得中毒时，恢复 10 点法力；每次获得中毒时，恢复 12 点法力</t>
        </is>
      </c>
      <c r="P1259" s="9" t="inlineStr">
        <is>
          <t>onBuffGain</t>
        </is>
      </c>
      <c r="Q1259" s="9" t="inlineStr">
        <is>
          <t>modifyPlayerPrimaryStat</t>
        </is>
      </c>
      <c r="R1259" s="9" t="inlineStr">
        <is>
          <t>{"kind":"triggered","label":"每次获得中毒时，恢复 6 点法力","triggeredEffect":{"trigger":"onBuffGain","eventActor":"self","eventBuffId":"poison","type":"modifyPlayerPrimaryStat","stat":"mana","delta":6},"starOverrides":{"1":{"label":"每次获得中毒时，恢复 8 点法力","triggeredEffect":{"delta":8}},"2":{"label":"每次获得中毒时，恢复 10 点法力","triggeredEffect":{"delta":10}},"3":{"label":"每次获得中毒时，恢复 12 点法力","triggeredEffect":{"delta":12}}}}</t>
        </is>
      </c>
    </row>
    <row r="1260" ht="32" customHeight="1">
      <c r="A1260" s="8" t="n">
        <v>419022</v>
      </c>
      <c r="B1260" s="8" t="inlineStr">
        <is>
          <t>照影铜灯</t>
        </is>
      </c>
      <c r="C1260" s="8" t="inlineStr">
        <is>
          <t>法器</t>
        </is>
      </c>
      <c r="D1260" s="8" t="inlineStr">
        <is>
          <t>spirit</t>
        </is>
      </c>
      <c r="E1260" s="8" t="inlineStr">
        <is>
          <t>fire</t>
        </is>
      </c>
      <c r="F1260" s="8" t="n">
        <v>1</v>
      </c>
      <c r="G1260" s="8" t="inlineStr">
        <is>
          <t>基础/顶层</t>
        </is>
      </c>
      <c r="H1260" s="8" t="inlineStr"/>
      <c r="I1260" s="9" t="inlineStr"/>
      <c r="J1260" s="8" t="inlineStr"/>
      <c r="K1260" s="8" t="inlineStr"/>
      <c r="L1260" s="8" t="inlineStr"/>
      <c r="M1260" s="8" t="inlineStr">
        <is>
          <t>条件触发</t>
        </is>
      </c>
      <c r="N1260" s="8" t="inlineStr">
        <is>
          <t>triggered</t>
        </is>
      </c>
      <c r="O1260" s="9" t="inlineStr">
        <is>
          <t>火属性招式释放时，获得 14 层炎热；火属性招式释放时，获得 18 层炎热；火属性招式释放时，获得 22 层炎热；火属性招式释放时，获得 24 层炎热</t>
        </is>
      </c>
      <c r="P1260" s="9" t="inlineStr">
        <is>
          <t>onActiveSpellCast</t>
        </is>
      </c>
      <c r="Q1260" s="9" t="inlineStr">
        <is>
          <t>applyBuff；any</t>
        </is>
      </c>
      <c r="R1260" s="9" t="inlineStr">
        <is>
          <t>{"kind":"triggered","label":"火属性招式释放时，获得 14 层炎热","triggeredEffect":{"trigger":"onActiveSpellCast","type":"applyBuff","buffId":"heat","count":14,"eventSource":{"target":{"type":"any"},"filter":{"categories":["spell"],"elements":["fire"]}}},"starOverrides":{"1":{"label":"火属性招式释放时，获得 18 层炎热","triggeredEffect":{"count":18}},"2":{"label":"火属性招式释放时，获得 22 层炎热","triggeredEffect":{"count":22}},"3":{"label":"火属性招式释放时，获得 24 层炎热","triggeredEffect":{"count":24}}}}</t>
        </is>
      </c>
    </row>
    <row r="1261" ht="32" customHeight="1">
      <c r="A1261" s="8" t="n">
        <v>419023</v>
      </c>
      <c r="B1261" s="8" t="inlineStr">
        <is>
          <t>灵田分水闸</t>
        </is>
      </c>
      <c r="C1261" s="8" t="inlineStr">
        <is>
          <t>法器</t>
        </is>
      </c>
      <c r="D1261" s="8" t="inlineStr">
        <is>
          <t>spirit</t>
        </is>
      </c>
      <c r="E1261" s="8" t="inlineStr">
        <is>
          <t>water</t>
        </is>
      </c>
      <c r="F1261" s="8" t="n">
        <v>1</v>
      </c>
      <c r="G1261" s="8" t="inlineStr">
        <is>
          <t>基础/顶层</t>
        </is>
      </c>
      <c r="H1261" s="8" t="inlineStr"/>
      <c r="I1261" s="9" t="inlineStr"/>
      <c r="J1261" s="8" t="inlineStr"/>
      <c r="K1261" s="8" t="inlineStr"/>
      <c r="L1261" s="8" t="inlineStr"/>
      <c r="M1261" s="8" t="inlineStr">
        <is>
          <t>条件触发</t>
        </is>
      </c>
      <c r="N1261" s="8" t="inlineStr">
        <is>
          <t>triggered</t>
        </is>
      </c>
      <c r="O1261" s="9" t="inlineStr">
        <is>
          <t>阵盘变阵效果触发时，获得 32 层露水；阵盘变阵效果触发时，获得 40 层露水；阵盘变阵效果触发时，获得 48 层露水；阵盘变阵效果触发时，获得 56 层露水</t>
        </is>
      </c>
      <c r="P1261" s="9" t="inlineStr">
        <is>
          <t>formationSwitch</t>
        </is>
      </c>
      <c r="Q1261" s="9" t="inlineStr">
        <is>
          <t>applyBuff</t>
        </is>
      </c>
      <c r="R1261" s="9" t="inlineStr">
        <is>
          <t>{"kind":"triggered","label":"阵盘变阵效果触发时，获得 32 层露水","triggeredEffect":{"trigger":"formationSwitch","type":"applyBuff","buffId":"dew","count":32},"starOverrides":{"1":{"label":"阵盘变阵效果触发时，获得 40 层露水","triggeredEffect":{"count":40}},"2":{"label":"阵盘变阵效果触发时，获得 48 层露水","triggeredEffect":{"count":48}},"3":{"label":"阵盘变阵效果触发时，获得 56 层露水","triggeredEffect":{"count":56}}}}</t>
        </is>
      </c>
    </row>
    <row r="1262" ht="32" customHeight="1">
      <c r="A1262" s="8" t="n">
        <v>419024</v>
      </c>
      <c r="B1262" s="8" t="inlineStr">
        <is>
          <t>护简木函</t>
        </is>
      </c>
      <c r="C1262" s="8" t="inlineStr">
        <is>
          <t>法器</t>
        </is>
      </c>
      <c r="D1262" s="8" t="inlineStr">
        <is>
          <t>spirit</t>
        </is>
      </c>
      <c r="E1262" s="8" t="inlineStr">
        <is>
          <t>wood</t>
        </is>
      </c>
      <c r="F1262" s="8" t="n">
        <v>1</v>
      </c>
      <c r="G1262" s="8" t="inlineStr">
        <is>
          <t>基础/顶层</t>
        </is>
      </c>
      <c r="H1262" s="8" t="inlineStr"/>
      <c r="I1262" s="9" t="inlineStr"/>
      <c r="J1262" s="8" t="inlineStr"/>
      <c r="K1262" s="8" t="inlineStr"/>
      <c r="L1262" s="8" t="inlineStr"/>
      <c r="M1262" s="8" t="inlineStr">
        <is>
          <t>被动效果</t>
        </is>
      </c>
      <c r="N1262" s="8" t="inlineStr">
        <is>
          <t>passive</t>
        </is>
      </c>
      <c r="O1262" s="9" t="inlineStr">
        <is>
          <t>再生不少于 10 层时，露水恢复效果翻倍；再生不少于 10 层时，露水恢复效果提升至 2.5 倍；再生不少于 10 层时，露水恢复效果提升至 3 倍；再生不少于 10 层时，露水恢复效果提升至 3.5 倍</t>
        </is>
      </c>
      <c r="P1262" s="9" t="inlineStr"/>
      <c r="Q1262" s="9" t="inlineStr">
        <is>
          <t>dewRecoveryModifier</t>
        </is>
      </c>
      <c r="R1262" s="9" t="inlineStr">
        <is>
          <t>{"kind":"passive","label":"再生不少于 10 层时，露水恢复效果翻倍","passiveEffect":{"type":"dewRecoveryModifier","multiplier":2,"activationRequirements":{"buffStackThresholds":[{"buffId":"regeneration","comparator":"atLeast","count":10}]},"label":"再生不少于 10 层时，露水恢复效果翻倍"},"starOverrides":{"1":{"label":"再生不少于 10 层时，露水恢复效果提升至 2.5 倍","passiveEffect":{"multiplier":2.5,"label":"再生不少于 10 层时，露水恢复效果提升至 2.5 倍"}},"2":{"label":"再生不少于 10 层时，露水恢复效果提升至 3 倍","passiveEffect":{"multiplier":3,"label":"再生不少于 10 层时，露水恢复效果提升至 3 倍"}},"3":{"label":"再生不少于 10 层时，露水恢复效果提升至 3.5 倍","passiveEffect":{"multiplier":3.5,"label":"再生不少于 10 层时，露水恢复效果提升至 3.5 倍"}}}}</t>
        </is>
      </c>
    </row>
    <row r="1263" ht="32" customHeight="1">
      <c r="A1263" s="8" t="n">
        <v>419025</v>
      </c>
      <c r="B1263" s="8" t="inlineStr">
        <is>
          <t>校息筹盘</t>
        </is>
      </c>
      <c r="C1263" s="8" t="inlineStr">
        <is>
          <t>法器</t>
        </is>
      </c>
      <c r="D1263" s="8" t="inlineStr">
        <is>
          <t>spirit</t>
        </is>
      </c>
      <c r="E1263" s="8" t="inlineStr">
        <is>
          <t>none</t>
        </is>
      </c>
      <c r="F1263" s="8" t="n">
        <v>1</v>
      </c>
      <c r="G1263" s="8" t="inlineStr">
        <is>
          <t>基础/顶层</t>
        </is>
      </c>
      <c r="H1263" s="8" t="inlineStr"/>
      <c r="I1263" s="9" t="inlineStr"/>
      <c r="J1263" s="8" t="inlineStr"/>
      <c r="K1263" s="8" t="inlineStr"/>
      <c r="L1263" s="8" t="inlineStr"/>
      <c r="M1263" s="8" t="inlineStr">
        <is>
          <t>条件触发</t>
        </is>
      </c>
      <c r="N1263" s="8" t="inlineStr">
        <is>
          <t>triggered</t>
        </is>
      </c>
      <c r="O1263" s="9" t="inlineStr">
        <is>
          <t>下方相邻无属性道具轮转时，该道具获得 1 秒加速；下方相邻无属性道具轮转时，该道具获得 2 秒加速；下方相邻无属性道具轮转时，该道具获得 3 秒加速；下方相邻无属性道具轮转时，该道具获得 4 秒加速</t>
        </is>
      </c>
      <c r="P1263" s="9" t="inlineStr">
        <is>
          <t>onPeriodicPulse</t>
        </is>
      </c>
      <c r="Q1263" s="9" t="inlineStr">
        <is>
          <t>itemRuntimeStatus；directional-adjacent</t>
        </is>
      </c>
      <c r="R1263" s="9" t="inlineStr">
        <is>
          <t>{"kind":"triggered","label":"下方相邻无属性道具轮转时，该道具获得 1 秒加速","triggeredEffect":{"trigger":"onPeriodicPulse","type":"itemRuntimeStatus","itemRuntimeStatus":"haste","durationSec":1,"targetActor":"self","targetScope":"selfAll","eventSource":{"target":{"type":"directional-adjacent","direction":"down"},"filter":{"elements":["none"]}}},"starOverrides":{"1":{"label":"下方相邻无属性道具轮转时，该道具获得 2 秒加速","triggeredEffect":{"durationSec":2}},"2":{"label":"下方相邻无属性道具轮转时，该道具获得 3 秒加速","triggeredEffect":{"durationSec":3}},"3":{"label":"下方相邻无属性道具轮转时，该道具获得 4 秒加速","triggeredEffect":{"durationSec":4}}}}</t>
        </is>
      </c>
    </row>
    <row r="1264" ht="32" customHeight="1">
      <c r="A1264" s="8" t="n">
        <v>419026</v>
      </c>
      <c r="B1264" s="8" t="inlineStr">
        <is>
          <t>霜纹听潮尺</t>
        </is>
      </c>
      <c r="C1264" s="8" t="inlineStr">
        <is>
          <t>法器</t>
        </is>
      </c>
      <c r="D1264" s="8" t="inlineStr">
        <is>
          <t>spirit</t>
        </is>
      </c>
      <c r="E1264" s="8" t="inlineStr">
        <is>
          <t>water</t>
        </is>
      </c>
      <c r="F1264" s="8" t="n">
        <v>1</v>
      </c>
      <c r="G1264" s="8" t="inlineStr">
        <is>
          <t>基础/顶层</t>
        </is>
      </c>
      <c r="H1264" s="8" t="inlineStr"/>
      <c r="I1264" s="9" t="inlineStr"/>
      <c r="J1264" s="8" t="inlineStr"/>
      <c r="K1264" s="8" t="inlineStr"/>
      <c r="L1264" s="8" t="inlineStr"/>
      <c r="M1264" s="8" t="inlineStr">
        <is>
          <t>条件触发</t>
        </is>
      </c>
      <c r="N1264" s="8" t="inlineStr">
        <is>
          <t>triggered</t>
        </is>
      </c>
      <c r="O1264" s="9" t="inlineStr">
        <is>
          <t>充能：累计使用左侧相邻剑 3 次时，获得 36 层露水；充能：累计使用左侧相邻剑 3 次时，获得 46 层露水；充能：累计使用左侧相邻剑 3 次时，获得 54 层露水；充能：累计使用左侧相邻剑 3 次时，获得 64 层露水</t>
        </is>
      </c>
      <c r="P1264" s="9" t="inlineStr">
        <is>
          <t>onItemUse</t>
        </is>
      </c>
      <c r="Q1264" s="9" t="inlineStr">
        <is>
          <t>applyBuff；directional-adjacent</t>
        </is>
      </c>
      <c r="R1264" s="9" t="inlineStr">
        <is>
          <t>{"kind":"triggered","label":"充能：累计使用左侧相邻剑 3 次时，获得 36 层露水","triggeredEffect":{"trigger":"onItemUse","type":"applyBuff","buffId":"dew","count":36,"eventSource":{"target":{"type":"directional-adjacent","direction":"left"},"filter":{"features":["weapon","sword"]}},"charge":{"threshold":3,"countPerEvent":1}},"starOverrides":{"1":{"label":"充能：累计使用左侧相邻剑 3 次时，获得 46 层露水","triggeredEffect":{"count":46}},"2":{"label":"充能：累计使用左侧相邻剑 3 次时，获得 54 层露水","triggeredEffect":{"count":54}},"3":{"label":"充能：累计使用左侧相邻剑 3 次时，获得 64 层露水","triggeredEffect":{"count":64}}}}</t>
        </is>
      </c>
    </row>
    <row r="1265" ht="32" customHeight="1">
      <c r="A1265" s="8" t="n">
        <v>419027</v>
      </c>
      <c r="B1265" s="8" t="inlineStr">
        <is>
          <t>烬铜引星灯</t>
        </is>
      </c>
      <c r="C1265" s="8" t="inlineStr">
        <is>
          <t>法器</t>
        </is>
      </c>
      <c r="D1265" s="8" t="inlineStr">
        <is>
          <t>spirit</t>
        </is>
      </c>
      <c r="E1265" s="8" t="inlineStr">
        <is>
          <t>fire</t>
        </is>
      </c>
      <c r="F1265" s="8" t="n">
        <v>1</v>
      </c>
      <c r="G1265" s="8" t="inlineStr">
        <is>
          <t>基础/顶层</t>
        </is>
      </c>
      <c r="H1265" s="8" t="inlineStr"/>
      <c r="I1265" s="9" t="inlineStr"/>
      <c r="J1265" s="8" t="inlineStr"/>
      <c r="K1265" s="8" t="inlineStr"/>
      <c r="L1265" s="8" t="inlineStr"/>
      <c r="M1265" s="8" t="inlineStr">
        <is>
          <t>周期触发</t>
        </is>
      </c>
      <c r="N1265" s="8" t="inlineStr">
        <is>
          <t>periodicPulse</t>
        </is>
      </c>
      <c r="O1265" s="9" t="inlineStr">
        <is>
          <t>消耗 14 点法力，对敌方造成 26 点伤害，并施加 10 层灼烧；消耗 14 点法力，对敌方造成 32 点伤害，并施加 12 层灼烧；消耗 14 点法力，对敌方造成 40 点伤害，并施加 16 层灼烧；消耗 14 点法力，对敌方造成 46 点伤害，并施加 18 层灼烧</t>
        </is>
      </c>
      <c r="P1265" s="9" t="inlineStr"/>
      <c r="Q1265" s="9" t="inlineStr"/>
      <c r="R1265" s="9" t="inlineStr">
        <is>
          <t>{"kind":"periodicPulse","periodicPulse":{"intervalSec":16,"label":"消耗 14 点法力，&lt;battle&gt;对敌方造成 26 点伤害，并施加 10 层灼烧&lt;/battle&gt;","primaryStatCosts":[{"stat":"mana","amount":14}],"damageHealth":{"target":"enemy","amount":26},"buffGains":[{"buffId":"burning","count":10,"target":"enemy"}]},"label":"消耗 14 点法力，&lt;battle&gt;对敌方造成 26 点伤害，并施加 10 层灼烧&lt;/battle&gt;","starOverrides":{"1":{"periodicPulse":{"label":"消耗 14 点法力，&lt;battle&gt;对敌方造成 32 点伤害，并施加 12 层灼烧&lt;/battle&gt;","damageHealth":{"amount":32},"buffGains":[{"buffId":"burning","count":12,"target":"enemy"}]},"label":"消耗 14 点法力，&lt;battle&gt;对敌方造成 32 点伤害，并施加 12 层灼烧&lt;/battle&gt;"},"2":{"periodicPulse":{"label":"消耗 14 点法力，&lt;battle&gt;对敌方造成 40 点伤害，并施加 16 层灼烧&lt;/battle&gt;","damageHealth":{"amount":40},"buffGains":[{"buffId":"burning","count":16,"target":"enemy"}]},"label":"消耗 14 点法力，&lt;battle&gt;对敌方造成 40 点伤害，并施加 16 层灼烧&lt;/battle&gt;"},"3":{"periodicPulse":{"label":"消耗 14 点法力，&lt;battle&gt;对敌方造成 46 点伤害，并施加 18 层灼烧&lt;/battle&gt;","damageHealth":{"amount":46},"buffGains":[{"buffId":"burning","count":18,"target":"enemy"}]},"label":"消耗 14 点法力，&lt;battle&gt;对敌方造成 46 点伤害，并施加 18 层灼烧&lt;/battle&gt;"}}}</t>
        </is>
      </c>
    </row>
    <row r="1266" ht="32" customHeight="1">
      <c r="A1266" s="8" t="n">
        <v>419028</v>
      </c>
      <c r="B1266" s="8" t="inlineStr">
        <is>
          <t>青萝锁灵环</t>
        </is>
      </c>
      <c r="C1266" s="8" t="inlineStr">
        <is>
          <t>法器</t>
        </is>
      </c>
      <c r="D1266" s="8" t="inlineStr">
        <is>
          <t>spirit</t>
        </is>
      </c>
      <c r="E1266" s="8" t="inlineStr">
        <is>
          <t>wood</t>
        </is>
      </c>
      <c r="F1266" s="8" t="n">
        <v>1</v>
      </c>
      <c r="G1266" s="8" t="inlineStr">
        <is>
          <t>基础/顶层</t>
        </is>
      </c>
      <c r="H1266" s="8" t="inlineStr"/>
      <c r="I1266" s="9" t="inlineStr"/>
      <c r="J1266" s="8" t="inlineStr"/>
      <c r="K1266" s="8" t="inlineStr"/>
      <c r="L1266" s="8" t="inlineStr"/>
      <c r="M1266" s="8" t="inlineStr">
        <is>
          <t>被动效果</t>
        </is>
      </c>
      <c r="N1266" s="8" t="inlineStr">
        <is>
          <t>passive</t>
        </is>
      </c>
      <c r="O1266" s="9" t="inlineStr">
        <is>
          <t>免疫所有毒属性道具对己方施加的中毒</t>
        </is>
      </c>
      <c r="P1266" s="9" t="inlineStr"/>
      <c r="Q1266" s="9" t="inlineStr">
        <is>
          <t>incomingItemEffectImmunity</t>
        </is>
      </c>
      <c r="R1266" s="9" t="inlineStr">
        <is>
          <t>{"kind":"passive","label":"&lt;battle&gt;免疫所有毒属性道具对己方施加的中毒&lt;/battle&gt;","passiveEffect":{"type":"incomingItemEffectImmunity","sourceFilter":{"elements":["poison"]},"immuneBuffIds":["poison"],"label":"&lt;battle&gt;免疫所有毒属性道具对己方施加的中毒&lt;/battle&gt;"}}</t>
        </is>
      </c>
    </row>
    <row r="1267" ht="32" customHeight="1">
      <c r="A1267" s="8" t="n">
        <v>419029</v>
      </c>
      <c r="B1267" s="8" t="inlineStr">
        <is>
          <t>玄砂镇岳钵</t>
        </is>
      </c>
      <c r="C1267" s="8" t="inlineStr">
        <is>
          <t>法器</t>
        </is>
      </c>
      <c r="D1267" s="8" t="inlineStr">
        <is>
          <t>spirit</t>
        </is>
      </c>
      <c r="E1267" s="8" t="inlineStr">
        <is>
          <t>earth</t>
        </is>
      </c>
      <c r="F1267" s="8" t="n">
        <v>1</v>
      </c>
      <c r="G1267" s="8" t="inlineStr">
        <is>
          <t>基础/顶层</t>
        </is>
      </c>
      <c r="H1267" s="8" t="inlineStr"/>
      <c r="I1267" s="9" t="inlineStr"/>
      <c r="J1267" s="8" t="inlineStr"/>
      <c r="K1267" s="8" t="inlineStr"/>
      <c r="L1267" s="8" t="inlineStr"/>
      <c r="M1267" s="8" t="inlineStr">
        <is>
          <t>条件触发</t>
        </is>
      </c>
      <c r="N1267" s="8" t="inlineStr">
        <is>
          <t>triggered</t>
        </is>
      </c>
      <c r="O1267" s="9" t="inlineStr">
        <is>
          <t>每当体力被消耗时，获得 8 层坚硬；每当体力被消耗时，获得 10 层坚硬；每当体力被消耗时，获得 12 层坚硬；每当体力被消耗时，获得 14 层坚硬</t>
        </is>
      </c>
      <c r="P1267" s="9" t="inlineStr">
        <is>
          <t>onPrimaryStatConsumed</t>
        </is>
      </c>
      <c r="Q1267" s="9" t="inlineStr">
        <is>
          <t>applyBuff</t>
        </is>
      </c>
      <c r="R1267" s="9" t="inlineStr">
        <is>
          <t>{"kind":"triggered","label":"每当体力被消耗时，获得 8 层坚硬","triggeredEffect":{"trigger":"onPrimaryStatConsumed","type":"applyBuff","buffId":"sturdy","count":8,"minEventPrimaryStatConsumed":{"stat":"stamina","amount":1}},"starOverrides":{"1":{"triggeredEffect":{"count":10},"label":"每当体力被消耗时，获得 10 层坚硬"},"2":{"triggeredEffect":{"count":12},"label":"每当体力被消耗时，获得 12 层坚硬"},"3":{"triggeredEffect":{"count":14},"label":"每当体力被消耗时，获得 14 层坚硬"}}}</t>
        </is>
      </c>
    </row>
    <row r="1268" ht="32" customHeight="1">
      <c r="A1268" s="8" t="n">
        <v>419030</v>
      </c>
      <c r="B1268" s="8" t="inlineStr">
        <is>
          <t>白铓分光镜</t>
        </is>
      </c>
      <c r="C1268" s="8" t="inlineStr">
        <is>
          <t>法器</t>
        </is>
      </c>
      <c r="D1268" s="8" t="inlineStr">
        <is>
          <t>spirit</t>
        </is>
      </c>
      <c r="E1268" s="8" t="inlineStr">
        <is>
          <t>metal</t>
        </is>
      </c>
      <c r="F1268" s="8" t="n">
        <v>1</v>
      </c>
      <c r="G1268" s="8" t="inlineStr">
        <is>
          <t>基础/顶层</t>
        </is>
      </c>
      <c r="H1268" s="8" t="inlineStr"/>
      <c r="I1268" s="9" t="inlineStr"/>
      <c r="J1268" s="8" t="inlineStr"/>
      <c r="K1268" s="8" t="inlineStr"/>
      <c r="L1268" s="8" t="inlineStr"/>
      <c r="M1268" s="8" t="inlineStr">
        <is>
          <t>被动效果</t>
        </is>
      </c>
      <c r="N1268" s="8" t="inlineStr">
        <is>
          <t>passive</t>
        </is>
      </c>
      <c r="O1268" s="9" t="inlineStr">
        <is>
          <t>左右均相邻剑时，下方相邻目标的变阵效果触发时，会额外触发一次；左右均相邻剑时，下方相邻目标的变阵效果触发时，会额外触发 2 次；左右均相邻剑时，下方相邻目标的变阵效果触发时，会额外触发 3 次；左右均相邻剑时，下方相邻目标的变阵效果触发时，会额外触发 4 次</t>
        </is>
      </c>
      <c r="P1268" s="9" t="inlineStr"/>
      <c r="Q1268" s="9" t="inlineStr">
        <is>
          <t>formationSwitchRepeat；directional-adjacent</t>
        </is>
      </c>
      <c r="R1268" s="9" t="inlineStr">
        <is>
          <t>{"kind":"passive","label":"左右均相邻剑时，下方相邻目标的变阵效果触发时，会额外触发一次","passiveEffect":{"type":"formationSwitchRepeat","repeatCount":2,"targetScope":{"type":"directional-adjacent","direction":"down"},"targetFilter":{"categories":["formation"]},"activationRequirements":{"directionalNeighbors":[{"direction":"left","features":["weapon","sword"]},{"direction":"right","features":["weapon","sword"]}]},"label":"左右均相邻剑时，下方相邻目标的变阵效果触发时，会额外触发一次"},"starOverrides":{"1":{"label":"左右均相邻剑时，下方相邻目标的变阵效果触发时，会额外触发 2 次","passiveEffect":{"repeatCount":3,"label":"左右均相邻剑时，下方相邻目标的变阵效果触发时，会额外触发 2 次"}},"2":{"label":"左右均相邻剑时，下方相邻目标的变阵效果触发时，会额外触发 3 次","passiveEffect":{"repeatCount":4,"label":"左右均相邻剑时，下方相邻目标的变阵效果触发时，会额外触发 3 次"}},"3":{"label":"左右均相邻剑时，下方相邻目标的变阵效果触发时，会额外触发 4 次","passiveEffect":{"repeatCount":5,"label":"左右均相邻剑时，下方相邻目标的变阵效果触发时，会额外触发 4 次"}}}}</t>
        </is>
      </c>
    </row>
    <row r="1269" ht="32" customHeight="1">
      <c r="A1269" s="8" t="n">
        <v>419031</v>
      </c>
      <c r="B1269" s="8" t="inlineStr">
        <is>
          <t>云母藏风匣</t>
        </is>
      </c>
      <c r="C1269" s="8" t="inlineStr">
        <is>
          <t>法器</t>
        </is>
      </c>
      <c r="D1269" s="8" t="inlineStr">
        <is>
          <t>spirit</t>
        </is>
      </c>
      <c r="E1269" s="8" t="inlineStr">
        <is>
          <t>none</t>
        </is>
      </c>
      <c r="F1269" s="8" t="n">
        <v>1</v>
      </c>
      <c r="G1269" s="8" t="inlineStr">
        <is>
          <t>基础/顶层</t>
        </is>
      </c>
      <c r="H1269" s="8" t="inlineStr"/>
      <c r="I1269" s="9" t="inlineStr"/>
      <c r="J1269" s="8" t="inlineStr"/>
      <c r="K1269" s="8" t="inlineStr"/>
      <c r="L1269" s="8" t="inlineStr"/>
      <c r="M1269" s="8" t="inlineStr">
        <is>
          <t>条件触发</t>
        </is>
      </c>
      <c r="N1269" s="8" t="inlineStr">
        <is>
          <t>triggered</t>
        </is>
      </c>
      <c r="O1269" s="9" t="inlineStr">
        <is>
          <t>每当神识被消耗时，获得 12 层护甲；每当神识被消耗时，获得 16 层护甲；每当神识被消耗时，获得 18 层护甲；每当神识被消耗时，获得 22 层护甲</t>
        </is>
      </c>
      <c r="P1269" s="9" t="inlineStr">
        <is>
          <t>onPrimaryStatConsumed</t>
        </is>
      </c>
      <c r="Q1269" s="9" t="inlineStr">
        <is>
          <t>applyBuff</t>
        </is>
      </c>
      <c r="R1269" s="9" t="inlineStr">
        <is>
          <t>{"kind":"triggered","label":"每当神识被消耗时，获得 12 层护甲","triggeredEffect":{"trigger":"onPrimaryStatConsumed","type":"applyBuff","buffId":"armor","count":12,"minEventPrimaryStatConsumed":{"stat":"spiritSense","amount":1}},"starOverrides":{"1":{"triggeredEffect":{"count":16},"label":"每当神识被消耗时，获得 16 层护甲"},"2":{"triggeredEffect":{"count":18},"label":"每当神识被消耗时，获得 18 层护甲"},"3":{"triggeredEffect":{"count":22},"label":"每当神识被消耗时，获得 22 层护甲"}}}</t>
        </is>
      </c>
    </row>
    <row r="1270" ht="32" customHeight="1">
      <c r="A1270" s="8" t="n">
        <v>419032</v>
      </c>
      <c r="B1270" s="8" t="inlineStr">
        <is>
          <t>赤霞七节鞭</t>
        </is>
      </c>
      <c r="C1270" s="8" t="inlineStr">
        <is>
          <t>法器</t>
        </is>
      </c>
      <c r="D1270" s="8" t="inlineStr">
        <is>
          <t>spirit</t>
        </is>
      </c>
      <c r="E1270" s="8" t="inlineStr">
        <is>
          <t>fire</t>
        </is>
      </c>
      <c r="F1270" s="8" t="n">
        <v>1</v>
      </c>
      <c r="G1270" s="8" t="inlineStr">
        <is>
          <t>基础/顶层</t>
        </is>
      </c>
      <c r="H1270" s="8" t="inlineStr"/>
      <c r="I1270" s="9" t="inlineStr"/>
      <c r="J1270" s="8" t="inlineStr"/>
      <c r="K1270" s="8" t="inlineStr"/>
      <c r="L1270" s="8" t="inlineStr"/>
      <c r="M1270" s="8" t="inlineStr">
        <is>
          <t>被动效果</t>
        </is>
      </c>
      <c r="N1270" s="8" t="inlineStr">
        <is>
          <t>passive</t>
        </is>
      </c>
      <c r="O1270" s="9" t="inlineStr">
        <is>
          <t>炎热不少于 20 层时，所有武器对敌方造成伤害时，追加一次额外的 8 点伤害；炎热不少于 20 层时，所有武器对敌方造成伤害时，追加一次额外的 10 点伤害；炎热不少于 20 层时，所有武器对敌方造成伤害时，追加一次额外的 12 点伤害；炎热不少于 20 层时，所有武器对敌方造成伤害时，追加一次额外的 14 点伤害</t>
        </is>
      </c>
      <c r="P1270" s="9" t="inlineStr"/>
      <c r="Q1270" s="9" t="inlineStr">
        <is>
          <t>battleItemDamageFlatModifier</t>
        </is>
      </c>
      <c r="R1270" s="9" t="inlineStr">
        <is>
          <t>{"kind":"passive","label":"&lt;battle&gt;炎热不少于 20 层时，所有武器对敌方造成伤害时，追加一次额外的 8 点伤害&lt;/battle&gt;","passiveEffect":{"type":"battleItemDamageFlatModifier","value":8,"targetFilter":{"categories":["implement"],"features":["weapon"]},"activationRequirements":{"buffStackThresholds":[{"buffId":"heat","comparator":"atLeast","count":20}]},"label":"&lt;battle&gt;炎热不少于 20 层时，所有武器对敌方造成伤害时，追加一次额外的 8 点伤害&lt;/battle&gt;"},"starOverrides":{"1":{"label":"&lt;battle&gt;炎热不少于 20 层时，所有武器对敌方造成伤害时，追加一次额外的 10 点伤害&lt;/battle&gt;","passiveEffect":{"value":10,"label":"&lt;battle&gt;炎热不少于 20 层时，所有武器对敌方造成伤害时，追加一次额外的 10 点伤害&lt;/battle&gt;"}},"2":{"label":"&lt;battle&gt;炎热不少于 20 层时，所有武器对敌方造成伤害时，追加一次额外的 12 点伤害&lt;/battle&gt;","passiveEffect":{"value":12,"label":"&lt;battle&gt;炎热不少于 20 层时，所有武器对敌方造成伤害时，追加一次额外的 12 点伤害&lt;/battle&gt;"}},"3":{"label":"&lt;battle&gt;炎热不少于 20 层时，所有武器对敌方造成伤害时，追加一次额外的 14 点伤害&lt;/battle&gt;","passiveEffect":{"value":14,"label":"&lt;battle&gt;炎热不少于 20 层时，所有武器对敌方造成伤害时，追加一次额外的 14 点伤害&lt;/battle&gt;"}}}}</t>
        </is>
      </c>
    </row>
    <row r="1271" ht="32" customHeight="1">
      <c r="A1271" s="8" t="n">
        <v>419033</v>
      </c>
      <c r="B1271" s="8" t="inlineStr">
        <is>
          <t>沧溟叠浪轮</t>
        </is>
      </c>
      <c r="C1271" s="8" t="inlineStr">
        <is>
          <t>法器</t>
        </is>
      </c>
      <c r="D1271" s="8" t="inlineStr">
        <is>
          <t>spirit</t>
        </is>
      </c>
      <c r="E1271" s="8" t="inlineStr">
        <is>
          <t>water</t>
        </is>
      </c>
      <c r="F1271" s="8" t="n">
        <v>1</v>
      </c>
      <c r="G1271" s="8" t="inlineStr">
        <is>
          <t>基础/顶层</t>
        </is>
      </c>
      <c r="H1271" s="8" t="inlineStr"/>
      <c r="I1271" s="9" t="inlineStr"/>
      <c r="J1271" s="8" t="inlineStr"/>
      <c r="K1271" s="8" t="inlineStr"/>
      <c r="L1271" s="8" t="inlineStr"/>
      <c r="M1271" s="8" t="inlineStr">
        <is>
          <t>条件触发</t>
        </is>
      </c>
      <c r="N1271" s="8" t="inlineStr">
        <is>
          <t>triggered</t>
        </is>
      </c>
      <c r="O1271" s="9" t="inlineStr">
        <is>
          <t>水属性招式释放时，使敌方随机一件灵品道具冻结 2 秒；水属性招式释放时，使敌方随机一件灵品道具冻结 3 秒；水属性招式释放时，使敌方随机一件灵品道具冻结 4 秒；水属性招式释放时，使敌方随机一件灵品道具冻结 5 秒</t>
        </is>
      </c>
      <c r="P1271" s="9" t="inlineStr">
        <is>
          <t>onActiveSpellCast</t>
        </is>
      </c>
      <c r="Q1271" s="9" t="inlineStr">
        <is>
          <t>itemRuntimeStatus；any</t>
        </is>
      </c>
      <c r="R1271" s="9" t="inlineStr">
        <is>
          <t>{"kind":"triggered","label":"&lt;battle&gt;&lt;singleton&gt;水属性招式释放时，使敌方随机一件灵品道具冻结 2 秒&lt;/singleton&gt;&lt;/battle&gt;","triggeredEffect":{"trigger":"onActiveSpellCast","type":"itemRuntimeStatus","itemRuntimeStatus":"freeze","durationSec":2,"targetActor":"enemy","targetScope":"enemyRandom","amount":1,"singletonByTemplate":true,"targetFilter":{"grades":["spirit"]},"eventSource":{"target":{"type":"any"},"filter":{"categories":["spell"],"elements":["water"]}}},"starOverrides":{"1":{"label":"&lt;battle&gt;&lt;singleton&gt;水属性招式释放时，使敌方随机一件灵品道具冻结 3 秒&lt;/singleton&gt;&lt;/battle&gt;","triggeredEffect":{"durationSec":3}},"2":{"label":"&lt;battle&gt;&lt;singleton&gt;水属性招式释放时，使敌方随机一件灵品道具冻结 4 秒&lt;/singleton&gt;&lt;/battle&gt;","triggeredEffect":{"durationSec":4}},"3":{"label":"&lt;battle&gt;&lt;singleton&gt;水属性招式释放时，使敌方随机一件灵品道具冻结 5 秒&lt;/singleton&gt;&lt;/battle&gt;","triggeredEffect":{"durationSec":5}}}}</t>
        </is>
      </c>
    </row>
    <row r="1272" ht="32" customHeight="1">
      <c r="A1272" s="8" t="n">
        <v>419034</v>
      </c>
      <c r="B1272" s="8" t="inlineStr">
        <is>
          <t>松纹回春杖</t>
        </is>
      </c>
      <c r="C1272" s="8" t="inlineStr">
        <is>
          <t>法器</t>
        </is>
      </c>
      <c r="D1272" s="8" t="inlineStr">
        <is>
          <t>spirit</t>
        </is>
      </c>
      <c r="E1272" s="8" t="inlineStr">
        <is>
          <t>wood</t>
        </is>
      </c>
      <c r="F1272" s="8" t="n">
        <v>1</v>
      </c>
      <c r="G1272" s="8" t="inlineStr">
        <is>
          <t>基础/顶层</t>
        </is>
      </c>
      <c r="H1272" s="8" t="inlineStr"/>
      <c r="I1272" s="9" t="inlineStr"/>
      <c r="J1272" s="8" t="inlineStr"/>
      <c r="K1272" s="8" t="inlineStr"/>
      <c r="L1272" s="8" t="inlineStr"/>
      <c r="M1272" s="8" t="inlineStr">
        <is>
          <t>条件触发</t>
        </is>
      </c>
      <c r="N1272" s="8" t="inlineStr">
        <is>
          <t>triggered</t>
        </is>
      </c>
      <c r="O1272" s="9" t="inlineStr">
        <is>
          <t>木属性招式释放时，最多将 4 层中毒转化为等量再生；木属性招式释放时，最多将 6 层中毒转化为等量再生；木属性招式释放时，最多将 8 层中毒转化为等量再生；木属性招式释放时，最多将 10 层中毒转化为等量再生</t>
        </is>
      </c>
      <c r="P1272" s="9" t="inlineStr">
        <is>
          <t>onActiveSpellCast</t>
        </is>
      </c>
      <c r="Q1272" s="9" t="inlineStr">
        <is>
          <t>convertBuffStacks；any</t>
        </is>
      </c>
      <c r="R1272" s="9" t="inlineStr">
        <is>
          <t>{"kind":"triggered","label":"&lt;battle&gt;&lt;singleton&gt;木属性招式释放时，最多将 4 层中毒转化为等量再生&lt;/singleton&gt;&lt;/battle&gt;","triggeredEffect":{"trigger":"onActiveSpellCast","type":"convertBuffStacks","sourceBuffId":"poison","targetBuffId":"regeneration","maxStacks":4,"consumeRatio":1,"consumeRounding":"floor","singletonByTemplate":true,"eventSource":{"target":{"type":"any"},"filter":{"categories":["spell"],"elements":["wood"]}}},"starOverrides":{"1":{"label":"&lt;battle&gt;&lt;singleton&gt;木属性招式释放时，最多将 6 层中毒转化为等量再生&lt;/singleton&gt;&lt;/battle&gt;","triggeredEffect":{"maxStacks":6}},"2":{"label":"&lt;battle&gt;&lt;singleton&gt;木属性招式释放时，最多将 8 层中毒转化为等量再生&lt;/singleton&gt;&lt;/battle&gt;","triggeredEffect":{"maxStacks":8}},"3":{"label":"&lt;battle&gt;&lt;singleton&gt;木属性招式释放时，最多将 10 层中毒转化为等量再生&lt;/singleton&gt;&lt;/battle&gt;","triggeredEffect":{"maxStacks":10}}}}</t>
        </is>
      </c>
    </row>
    <row r="1273" ht="32" customHeight="1">
      <c r="A1273" s="8" t="n">
        <v>419035</v>
      </c>
      <c r="B1273" s="8" t="inlineStr">
        <is>
          <t>坤石定脉锥</t>
        </is>
      </c>
      <c r="C1273" s="8" t="inlineStr">
        <is>
          <t>法器</t>
        </is>
      </c>
      <c r="D1273" s="8" t="inlineStr">
        <is>
          <t>spirit</t>
        </is>
      </c>
      <c r="E1273" s="8" t="inlineStr">
        <is>
          <t>earth</t>
        </is>
      </c>
      <c r="F1273" s="8" t="n">
        <v>1</v>
      </c>
      <c r="G1273" s="8" t="inlineStr">
        <is>
          <t>基础/顶层</t>
        </is>
      </c>
      <c r="H1273" s="8" t="inlineStr"/>
      <c r="I1273" s="9" t="inlineStr"/>
      <c r="J1273" s="8" t="inlineStr"/>
      <c r="K1273" s="8" t="inlineStr"/>
      <c r="L1273" s="8" t="inlineStr"/>
      <c r="M1273" s="8" t="inlineStr">
        <is>
          <t>周期触发</t>
        </is>
      </c>
      <c r="N1273" s="8" t="inlineStr">
        <is>
          <t>periodicPulse</t>
        </is>
      </c>
      <c r="O1273" s="9" t="inlineStr">
        <is>
          <t>消耗 4 点体力，获得 16 层坚硬；消耗 4 点体力，获得 20 层坚硬；消耗 4 点体力，获得 24 层坚硬；消耗 4 点体力，获得 28 层坚硬</t>
        </is>
      </c>
      <c r="P1273" s="9" t="inlineStr"/>
      <c r="Q1273" s="9" t="inlineStr"/>
      <c r="R1273" s="9" t="inlineStr">
        <is>
          <t>{"kind":"periodicPulse","label":"消耗 4 点体力，获得 16 层坚硬","periodicPulse":{"intervalSec":7,"label":"消耗 4 点体力，获得 16 层坚硬","primaryStatCosts":[{"stat":"stamina","amount":4}],"buffGains":[{"buffId":"sturdy","count":16}]},"starOverrides":{"1":{"periodicPulse":{"buffGains":[{"buffId":"sturdy","count":20}],"label":"消耗 4 点体力，获得 20 层坚硬"},"label":"消耗 4 点体力，获得 20 层坚硬"},"2":{"periodicPulse":{"buffGains":[{"buffId":"sturdy","count":24}],"label":"消耗 4 点体力，获得 24 层坚硬"},"label":"消耗 4 点体力，获得 24 层坚硬"},"3":{"periodicPulse":{"buffGains":[{"buffId":"sturdy","count":28}],"label":"消耗 4 点体力，获得 28 层坚硬"},"label":"消耗 4 点体力，获得 28 层坚硬"}}}</t>
        </is>
      </c>
    </row>
    <row r="1274" ht="32" customHeight="1">
      <c r="A1274" s="8" t="n">
        <v>419036</v>
      </c>
      <c r="B1274" s="8" t="inlineStr">
        <is>
          <t>寒铁裁月钩</t>
        </is>
      </c>
      <c r="C1274" s="8" t="inlineStr">
        <is>
          <t>法器</t>
        </is>
      </c>
      <c r="D1274" s="8" t="inlineStr">
        <is>
          <t>spirit</t>
        </is>
      </c>
      <c r="E1274" s="8" t="inlineStr">
        <is>
          <t>metal</t>
        </is>
      </c>
      <c r="F1274" s="8" t="n">
        <v>1</v>
      </c>
      <c r="G1274" s="8" t="inlineStr">
        <is>
          <t>基础/顶层</t>
        </is>
      </c>
      <c r="H1274" s="8" t="inlineStr"/>
      <c r="I1274" s="9" t="inlineStr"/>
      <c r="J1274" s="8" t="inlineStr"/>
      <c r="K1274" s="8" t="inlineStr"/>
      <c r="L1274" s="8" t="inlineStr"/>
      <c r="M1274" s="8" t="inlineStr">
        <is>
          <t>条件触发</t>
        </is>
      </c>
      <c r="N1274" s="8" t="inlineStr">
        <is>
          <t>triggered</t>
        </is>
      </c>
      <c r="O1274" s="9" t="inlineStr">
        <is>
          <t>右侧相邻剑对敌方造成伤害时，使敌方随机 1 件武器减速 2 秒；右侧相邻剑对敌方造成伤害时，使敌方随机 2 件武器减速 3 秒；右侧相邻剑对敌方造成伤害时，使敌方随机 3 件武器减速 4 秒；右侧相邻剑对敌方造成伤害时，使敌方随机 4 件武器减速 5 秒</t>
        </is>
      </c>
      <c r="P1274" s="9" t="inlineStr">
        <is>
          <t>onBattleHealthDamageDealt</t>
        </is>
      </c>
      <c r="Q1274" s="9" t="inlineStr">
        <is>
          <t>itemRuntimeStatus；directional-adjacent</t>
        </is>
      </c>
      <c r="R1274" s="9" t="inlineStr">
        <is>
          <t>{"kind":"triggered","label":"&lt;battle&gt;右侧相邻剑对敌方造成伤害时，使敌方随机 1 件武器减速 2 秒&lt;/battle&gt;","triggeredEffect":{"trigger":"onBattleHealthDamageDealt","type":"itemRuntimeStatus","itemRuntimeStatus":"slow","durationSec":2,"targetActor":"enemy","targetScope":"enemyRandom","amount":1,"targetFilter":{"categories":["implement"],"features":["weapon"]},"eventSource":{"target":{"type":"directional-adjacent","direction":"right"},"filter":{"features":["weapon","sword"]}},"support":"battleOnly"},"starOverrides":{"1":{"label":"&lt;battle&gt;右侧相邻剑对敌方造成伤害时，使敌方随机 2 件武器减速 3 秒&lt;/battle&gt;","triggeredEffect":{"durationSec":3,"amount":2}},"2":{"label":"&lt;battle&gt;右侧相邻剑对敌方造成伤害时，使敌方随机 3 件武器减速 4 秒&lt;/battle&gt;","triggeredEffect":{"durationSec":4,"amount":3}},"3":{"label":"&lt;battle&gt;右侧相邻剑对敌方造成伤害时，使敌方随机 4 件武器减速 5 秒&lt;/battle&gt;","triggeredEffect":{"durationSec":5,"amount":4}}}}</t>
        </is>
      </c>
    </row>
    <row r="1275" ht="32" customHeight="1">
      <c r="A1275" s="8" t="n">
        <v>419037</v>
      </c>
      <c r="B1275" s="8" t="inlineStr">
        <is>
          <t>五色纳音铃</t>
        </is>
      </c>
      <c r="C1275" s="8" t="inlineStr">
        <is>
          <t>法器</t>
        </is>
      </c>
      <c r="D1275" s="8" t="inlineStr">
        <is>
          <t>spirit</t>
        </is>
      </c>
      <c r="E1275" s="8" t="inlineStr">
        <is>
          <t>none</t>
        </is>
      </c>
      <c r="F1275" s="8" t="n">
        <v>1</v>
      </c>
      <c r="G1275" s="8" t="inlineStr">
        <is>
          <t>基础/顶层</t>
        </is>
      </c>
      <c r="H1275" s="8" t="inlineStr"/>
      <c r="I1275" s="9" t="inlineStr"/>
      <c r="J1275" s="8" t="inlineStr"/>
      <c r="K1275" s="8" t="inlineStr"/>
      <c r="L1275" s="8" t="inlineStr"/>
      <c r="M1275" s="8" t="inlineStr">
        <is>
          <t>条件触发</t>
        </is>
      </c>
      <c r="N1275" s="8" t="inlineStr">
        <is>
          <t>triggered</t>
        </is>
      </c>
      <c r="O1275" s="9" t="inlineStr">
        <is>
          <t>无属性招式释放时，使敌方随机一件凡品道具冻结 1 秒；无属性招式释放时，使敌方随机一件凡品道具冻结 2 秒；无属性招式释放时，使敌方随机一件凡品道具冻结 3 秒；无属性招式释放时，使敌方随机一件凡品道具冻结 4 秒</t>
        </is>
      </c>
      <c r="P1275" s="9" t="inlineStr">
        <is>
          <t>onActiveSpellCast</t>
        </is>
      </c>
      <c r="Q1275" s="9" t="inlineStr">
        <is>
          <t>itemRuntimeStatus；any</t>
        </is>
      </c>
      <c r="R1275" s="9" t="inlineStr">
        <is>
          <t>{"kind":"triggered","label":"&lt;battle&gt;&lt;singleton&gt;无属性招式释放时，使敌方随机一件凡品道具冻结 1 秒&lt;/singleton&gt;&lt;/battle&gt;","triggeredEffect":{"trigger":"onActiveSpellCast","type":"itemRuntimeStatus","itemRuntimeStatus":"freeze","durationSec":1,"targetActor":"enemy","targetScope":"enemyRandom","amount":1,"singletonByTemplate":true,"targetFilter":{"grades":["common"]},"eventSource":{"target":{"type":"any"},"filter":{"categories":["spell"]}}},"starOverrides":{"1":{"triggeredEffect":{"durationSec":2},"label":"&lt;battle&gt;&lt;singleton&gt;无属性招式释放时，使敌方随机一件凡品道具冻结 2 秒&lt;/singleton&gt;&lt;/battle&gt;"},"2":{"triggeredEffect":{"durationSec":3},"label":"&lt;battle&gt;&lt;singleton&gt;无属性招式释放时，使敌方随机一件凡品道具冻结 3 秒&lt;/singleton&gt;&lt;/battle&gt;"},"3":{"triggeredEffect":{"durationSec":4},"label":"&lt;battle&gt;&lt;singleton&gt;无属性招式释放时，使敌方随机一件凡品道具冻结 4 秒&lt;/singleton&gt;&lt;/battle&gt;"}}}</t>
        </is>
      </c>
    </row>
    <row r="1276" ht="32" customHeight="1">
      <c r="A1276" s="8" t="n">
        <v>419038</v>
      </c>
      <c r="B1276" s="8" t="inlineStr">
        <is>
          <t>炎翎流火扇</t>
        </is>
      </c>
      <c r="C1276" s="8" t="inlineStr">
        <is>
          <t>法器</t>
        </is>
      </c>
      <c r="D1276" s="8" t="inlineStr">
        <is>
          <t>spirit</t>
        </is>
      </c>
      <c r="E1276" s="8" t="inlineStr">
        <is>
          <t>fire</t>
        </is>
      </c>
      <c r="F1276" s="8" t="n">
        <v>1</v>
      </c>
      <c r="G1276" s="8" t="inlineStr">
        <is>
          <t>基础/顶层</t>
        </is>
      </c>
      <c r="H1276" s="8" t="inlineStr"/>
      <c r="I1276" s="9" t="inlineStr"/>
      <c r="J1276" s="8" t="inlineStr"/>
      <c r="K1276" s="8" t="inlineStr"/>
      <c r="L1276" s="8" t="inlineStr"/>
      <c r="M1276" s="8" t="inlineStr">
        <is>
          <t>周期触发</t>
        </is>
      </c>
      <c r="N1276" s="8" t="inlineStr">
        <is>
          <t>periodicPulse</t>
        </is>
      </c>
      <c r="O1276" s="9" t="inlineStr">
        <is>
          <t>消耗 18 点法力，对敌方造成 36 点伤害，并施加 8 层灼烧；消耗 18 点法力，对敌方造成 46 点伤害，并施加 10 层灼烧；消耗 18 点法力，对敌方造成 54 点伤害，并施加 12 层灼烧；消耗 18 点法力，对敌方造成 64 点伤害，并施加 14 层灼烧</t>
        </is>
      </c>
      <c r="P1276" s="9" t="inlineStr"/>
      <c r="Q1276" s="9" t="inlineStr"/>
      <c r="R1276" s="9" t="inlineStr">
        <is>
          <t>{"kind":"periodicPulse","periodicPulse":{"intervalSec":14,"label":"消耗 18 点法力，&lt;battle&gt;对敌方造成 36 点伤害，并施加 8 层灼烧&lt;/battle&gt;","primaryStatCosts":[{"stat":"mana","amount":18}],"damageHealth":{"target":"enemy","amount":36},"buffGains":[{"buffId":"burning","count":8,"target":"enemy"}]},"label":"消耗 18 点法力，&lt;battle&gt;对敌方造成 36 点伤害，并施加 8 层灼烧&lt;/battle&gt;","starOverrides":{"1":{"periodicPulse":{"label":"消耗 18 点法力，&lt;battle&gt;对敌方造成 46 点伤害，并施加 10 层灼烧&lt;/battle&gt;","damageHealth":{"amount":46},"buffGains":[{"buffId":"burning","count":10,"target":"enemy"}]},"label":"消耗 18 点法力，&lt;battle&gt;对敌方造成 46 点伤害，并施加 10 层灼烧&lt;/battle&gt;"},"2":{"periodicPulse":{"label":"消耗 18 点法力，&lt;battle&gt;对敌方造成 54 点伤害，并施加 12 层灼烧&lt;/battle&gt;","damageHealth":{"amount":54},"buffGains":[{"buffId":"burning","count":12,"target":"enemy"}]},"label":"消耗 18 点法力，&lt;battle&gt;对敌方造成 54 点伤害，并施加 12 层灼烧&lt;/battle&gt;"},"3":{"periodicPulse":{"label":"消耗 18 点法力，&lt;battle&gt;对敌方造成 64 点伤害，并施加 14 层灼烧&lt;/battle&gt;","damageHealth":{"amount":64},"buffGains":[{"buffId":"burning","count":14,"target":"enemy"}]},"label":"消耗 18 点法力，&lt;battle&gt;对敌方造成 64 点伤害，并施加 14 层灼烧&lt;/battle&gt;"}}}</t>
        </is>
      </c>
    </row>
    <row r="1277" ht="32" customHeight="1">
      <c r="A1277" s="8" t="n">
        <v>419039</v>
      </c>
      <c r="B1277" s="8" t="inlineStr">
        <is>
          <t>玄冰沉月盘</t>
        </is>
      </c>
      <c r="C1277" s="8" t="inlineStr">
        <is>
          <t>法器</t>
        </is>
      </c>
      <c r="D1277" s="8" t="inlineStr">
        <is>
          <t>spirit</t>
        </is>
      </c>
      <c r="E1277" s="8" t="inlineStr">
        <is>
          <t>water</t>
        </is>
      </c>
      <c r="F1277" s="8" t="n">
        <v>1</v>
      </c>
      <c r="G1277" s="8" t="inlineStr">
        <is>
          <t>基础/顶层</t>
        </is>
      </c>
      <c r="H1277" s="8" t="inlineStr"/>
      <c r="I1277" s="9" t="inlineStr"/>
      <c r="J1277" s="8" t="inlineStr"/>
      <c r="K1277" s="8" t="inlineStr"/>
      <c r="L1277" s="8" t="inlineStr"/>
      <c r="M1277" s="8" t="inlineStr">
        <is>
          <t>周期触发</t>
        </is>
      </c>
      <c r="N1277" s="8" t="inlineStr">
        <is>
          <t>periodicPulse</t>
        </is>
      </c>
      <c r="O1277" s="9" t="inlineStr">
        <is>
          <t>开局：使敌方一件最大道具冻结 5 秒；开局：使敌方一件最大道具冻结 6 秒；开局：使敌方一件最大道具冻结 7 秒；开局：使敌方一件最大道具冻结 8 秒</t>
        </is>
      </c>
      <c r="P1277" s="9" t="inlineStr"/>
      <c r="Q1277" s="9" t="inlineStr"/>
      <c r="R1277" s="9" t="inlineStr">
        <is>
          <t>{"kind":"periodicPulse","periodicPulse":{"startOnly":true,"label":"开局：&lt;battle&gt;使敌方一件最大道具冻结 5 秒&lt;/battle&gt;","itemRuntimeStatusEffects":[{"itemRuntimeStatus":"freeze","durationSec":5,"targetScope":"enemyLargest"}]},"label":"开局：&lt;battle&gt;使敌方一件最大道具冻结 5 秒&lt;/battle&gt;","starOverrides":{"1":{"periodicPulse":{"label":"开局：&lt;battle&gt;使敌方一件最大道具冻结 6 秒&lt;/battle&gt;","itemRuntimeStatusEffects":[{"itemRuntimeStatus":"freeze","durationSec":6,"targetScope":"enemyLargest"}]},"label":"开局：&lt;battle&gt;使敌方一件最大道具冻结 6 秒&lt;/battle&gt;"},"2":{"periodicPulse":{"label":"开局：&lt;battle&gt;使敌方一件最大道具冻结 7 秒&lt;/battle&gt;","itemRuntimeStatusEffects":[{"itemRuntimeStatus":"freeze","durationSec":7,"targetScope":"enemyLargest"}]},"label":"开局：&lt;battle&gt;使敌方一件最大道具冻结 7 秒&lt;/battle&gt;"},"3":{"periodicPulse":{"label":"开局：&lt;battle&gt;使敌方一件最大道具冻结 8 秒&lt;/battle&gt;","itemRuntimeStatusEffects":[{"itemRuntimeStatus":"freeze","durationSec":8,"targetScope":"enemyLargest"}]},"label":"开局：&lt;battle&gt;使敌方一件最大道具冻结 8 秒&lt;/battle&gt;"}}}</t>
        </is>
      </c>
    </row>
    <row r="1278" ht="32" customHeight="1">
      <c r="A1278" s="8" t="n">
        <v>419040</v>
      </c>
      <c r="B1278" s="8" t="inlineStr">
        <is>
          <t>翠篁引露筒</t>
        </is>
      </c>
      <c r="C1278" s="8" t="inlineStr">
        <is>
          <t>法器</t>
        </is>
      </c>
      <c r="D1278" s="8" t="inlineStr">
        <is>
          <t>spirit</t>
        </is>
      </c>
      <c r="E1278" s="8" t="inlineStr">
        <is>
          <t>wood</t>
        </is>
      </c>
      <c r="F1278" s="8" t="n">
        <v>1</v>
      </c>
      <c r="G1278" s="8" t="inlineStr">
        <is>
          <t>基础/顶层</t>
        </is>
      </c>
      <c r="H1278" s="8" t="inlineStr"/>
      <c r="I1278" s="9" t="inlineStr"/>
      <c r="J1278" s="8" t="inlineStr"/>
      <c r="K1278" s="8" t="inlineStr"/>
      <c r="L1278" s="8" t="inlineStr"/>
      <c r="M1278" s="8" t="inlineStr">
        <is>
          <t>条件触发</t>
        </is>
      </c>
      <c r="N1278" s="8" t="inlineStr">
        <is>
          <t>triggered</t>
        </is>
      </c>
      <c r="O1278" s="9" t="inlineStr">
        <is>
          <t>右侧相邻木属性符箓使用时，获得 6 层露水；右侧相邻木属性符箓使用时，获得 8 层露水；右侧相邻木属性符箓使用时，获得 10 层露水；右侧相邻木属性符箓使用时，获得 12 层露水</t>
        </is>
      </c>
      <c r="P1278" s="9" t="inlineStr">
        <is>
          <t>onItemUse</t>
        </is>
      </c>
      <c r="Q1278" s="9" t="inlineStr">
        <is>
          <t>applyBuff；directional-adjacent</t>
        </is>
      </c>
      <c r="R1278" s="9" t="inlineStr">
        <is>
          <t>{"kind":"triggered","label":"右侧相邻木属性符箓使用时，获得 6 层露水","triggeredEffect":{"trigger":"onItemUse","type":"applyBuff","buffId":"dew","count":6,"eventSource":{"target":{"type":"directional-adjacent","direction":"right"},"filter":{"categories":["talisman"],"elements":["wood"]}}},"starOverrides":{"1":{"label":"右侧相邻木属性符箓使用时，获得 8 层露水","triggeredEffect":{"count":8}},"2":{"label":"右侧相邻木属性符箓使用时，获得 10 层露水","triggeredEffect":{"count":10}},"3":{"label":"右侧相邻木属性符箓使用时，获得 12 层露水","triggeredEffect":{"count":12}}}}</t>
        </is>
      </c>
    </row>
    <row r="1279" ht="32" customHeight="1">
      <c r="A1279" s="8" t="n">
        <v>419041</v>
      </c>
      <c r="B1279" s="8" t="inlineStr">
        <is>
          <t>黄玉守藏锁</t>
        </is>
      </c>
      <c r="C1279" s="8" t="inlineStr">
        <is>
          <t>法器</t>
        </is>
      </c>
      <c r="D1279" s="8" t="inlineStr">
        <is>
          <t>spirit</t>
        </is>
      </c>
      <c r="E1279" s="8" t="inlineStr">
        <is>
          <t>earth</t>
        </is>
      </c>
      <c r="F1279" s="8" t="n">
        <v>1</v>
      </c>
      <c r="G1279" s="8" t="inlineStr">
        <is>
          <t>基础/顶层</t>
        </is>
      </c>
      <c r="H1279" s="8" t="inlineStr"/>
      <c r="I1279" s="9" t="inlineStr"/>
      <c r="J1279" s="8" t="inlineStr"/>
      <c r="K1279" s="8" t="inlineStr"/>
      <c r="L1279" s="8" t="inlineStr"/>
      <c r="M1279" s="8" t="inlineStr">
        <is>
          <t>被动效果</t>
        </is>
      </c>
      <c r="N1279" s="8" t="inlineStr">
        <is>
          <t>passive</t>
        </is>
      </c>
      <c r="O1279" s="9" t="inlineStr">
        <is>
          <t>敌方所有道具在本局中无法移动</t>
        </is>
      </c>
      <c r="P1279" s="9" t="inlineStr"/>
      <c r="Q1279" s="9" t="inlineStr">
        <is>
          <t>enemyItemMovementLock</t>
        </is>
      </c>
      <c r="R1279" s="9" t="inlineStr">
        <is>
          <t>{"kind":"passive","label":"&lt;battle&gt;敌方所有道具在本局中无法移动&lt;/battle&gt;","passiveEffect":{"type":"enemyItemMovementLock","label":"&lt;battle&gt;敌方所有道具在本局中无法移动&lt;/battle&gt;"}}</t>
        </is>
      </c>
    </row>
    <row r="1280" ht="32" customHeight="1">
      <c r="A1280" s="8" t="n">
        <v>419042</v>
      </c>
      <c r="B1280" s="8" t="inlineStr">
        <is>
          <t>银罡破雾梭</t>
        </is>
      </c>
      <c r="C1280" s="8" t="inlineStr">
        <is>
          <t>法器</t>
        </is>
      </c>
      <c r="D1280" s="8" t="inlineStr">
        <is>
          <t>spirit</t>
        </is>
      </c>
      <c r="E1280" s="8" t="inlineStr">
        <is>
          <t>metal</t>
        </is>
      </c>
      <c r="F1280" s="8" t="n">
        <v>1</v>
      </c>
      <c r="G1280" s="8" t="inlineStr">
        <is>
          <t>基础/顶层</t>
        </is>
      </c>
      <c r="H1280" s="8" t="inlineStr"/>
      <c r="I1280" s="9" t="inlineStr"/>
      <c r="J1280" s="8" t="inlineStr"/>
      <c r="K1280" s="8" t="inlineStr"/>
      <c r="L1280" s="8" t="inlineStr"/>
      <c r="M1280" s="8" t="inlineStr">
        <is>
          <t>条件触发</t>
        </is>
      </c>
      <c r="N1280" s="8" t="inlineStr">
        <is>
          <t>triggered</t>
        </is>
      </c>
      <c r="O1280" s="9" t="inlineStr">
        <is>
          <t>敌方凝金不少于 25 层时，敌方每次消耗凝金，对敌方造成 28 点伤害；敌方凝金不少于 50 层时，敌方每次消耗凝金，对敌方造成 36 点伤害；敌方凝金不少于 50 层时，敌方每次消耗凝金，对敌方造成 42 点伤害；敌方凝金不少于 50 层时，敌方每次消耗凝金，对敌方造成 50 点伤害</t>
        </is>
      </c>
      <c r="P1280" s="9" t="inlineStr">
        <is>
          <t>onBuffConsumed</t>
        </is>
      </c>
      <c r="Q1280" s="9" t="inlineStr">
        <is>
          <t>battleDamageHealth</t>
        </is>
      </c>
      <c r="R1280" s="9" t="inlineStr">
        <is>
          <t>{"kind":"triggered","label":"&lt;battle&gt;敌方凝金不少于 25 层时，敌方每次消耗凝金，对敌方造成 28 点伤害&lt;/battle&gt;","triggeredEffect":{"trigger":"onBuffConsumed","eventActor":"enemy","eventBuffId":"condensedMetal","type":"battleDamageHealth","amount":28,"targetBuffStackThreshold":{"buffId":"condensedMetal","comparator":"atLeast","count":25},"support":"battleOnly"},"starOverrides":{"1":{"label":"&lt;battle&gt;敌方凝金不少于 50 层时，敌方每次消耗凝金，对敌方造成 36 点伤害&lt;/battle&gt;","triggeredEffect":{"amount":36,"targetBuffStackThreshold":{"buffId":"condensedMetal","comparator":"atLeast","count":50}}},"2":{"label":"&lt;battle&gt;敌方凝金不少于 50 层时，敌方每次消耗凝金，对敌方造成 42 点伤害&lt;/battle&gt;","triggeredEffect":{"amount":42,"targetBuffStackThreshold":{"buffId":"condensedMetal","comparator":"atLeast","count":50}}},"3":{"label":"&lt;battle&gt;敌方凝金不少于 50 层时，敌方每次消耗凝金，对敌方造成 50 点伤害&lt;/battle&gt;","triggeredEffect":{"amount":50,"targetBuffStackThreshold":{"buffId":"condensedMetal","comparator":"atLeast","count":50}}}}}</t>
        </is>
      </c>
    </row>
    <row r="1281" ht="32" customHeight="1">
      <c r="A1281" s="8" t="n">
        <v>419043</v>
      </c>
      <c r="B1281" s="8" t="inlineStr">
        <is>
          <t>星罗测灵仪</t>
        </is>
      </c>
      <c r="C1281" s="8" t="inlineStr">
        <is>
          <t>法器</t>
        </is>
      </c>
      <c r="D1281" s="8" t="inlineStr">
        <is>
          <t>spirit</t>
        </is>
      </c>
      <c r="E1281" s="8" t="inlineStr">
        <is>
          <t>none</t>
        </is>
      </c>
      <c r="F1281" s="8" t="n">
        <v>1</v>
      </c>
      <c r="G1281" s="8" t="inlineStr">
        <is>
          <t>基础/顶层</t>
        </is>
      </c>
      <c r="H1281" s="8" t="inlineStr"/>
      <c r="I1281" s="9" t="inlineStr"/>
      <c r="J1281" s="8" t="inlineStr"/>
      <c r="K1281" s="8" t="inlineStr"/>
      <c r="L1281" s="8" t="inlineStr"/>
      <c r="M1281" s="8" t="inlineStr">
        <is>
          <t>条件触发</t>
        </is>
      </c>
      <c r="N1281" s="8" t="inlineStr">
        <is>
          <t>triggered</t>
        </is>
      </c>
      <c r="O1281" s="9" t="inlineStr">
        <is>
          <t>使用相邻无属性装备时，获得 12 层护甲；使用相邻无属性装备时，获得 16 层护甲；使用相邻无属性装备时，获得 18 层护甲；使用相邻无属性装备时，获得 22 层护甲</t>
        </is>
      </c>
      <c r="P1281" s="9" t="inlineStr">
        <is>
          <t>onItemUse</t>
        </is>
      </c>
      <c r="Q1281" s="9" t="inlineStr">
        <is>
          <t>applyBuff；adjacent</t>
        </is>
      </c>
      <c r="R1281" s="9" t="inlineStr">
        <is>
          <t>{"kind":"triggered","label":"使用相邻无属性装备时，获得 12 层护甲","triggeredEffect":{"trigger":"onItemUse","type":"applyBuff","buffId":"armor","count":12,"eventSource":{"target":{"type":"adjacent"},"filter":{"elements":["none"],"features":["equipment"]}}},"starOverrides":{"1":{"label":"使用相邻无属性装备时，获得 16 层护甲","triggeredEffect":{"count":16}},"2":{"label":"使用相邻无属性装备时，获得 18 层护甲","triggeredEffect":{"count":18}},"3":{"label":"使用相邻无属性装备时，获得 22 层护甲","triggeredEffect":{"count":22}}}}</t>
        </is>
      </c>
    </row>
    <row r="1282" ht="32" customHeight="1">
      <c r="A1282" s="8" t="n">
        <v>419044</v>
      </c>
      <c r="B1282" s="8" t="inlineStr">
        <is>
          <t>丹砂照夜幢</t>
        </is>
      </c>
      <c r="C1282" s="8" t="inlineStr">
        <is>
          <t>法器</t>
        </is>
      </c>
      <c r="D1282" s="8" t="inlineStr">
        <is>
          <t>spirit</t>
        </is>
      </c>
      <c r="E1282" s="8" t="inlineStr">
        <is>
          <t>fire</t>
        </is>
      </c>
      <c r="F1282" s="8" t="n">
        <v>1</v>
      </c>
      <c r="G1282" s="8" t="inlineStr">
        <is>
          <t>基础/顶层</t>
        </is>
      </c>
      <c r="H1282" s="8" t="inlineStr"/>
      <c r="I1282" s="9" t="inlineStr"/>
      <c r="J1282" s="8" t="inlineStr"/>
      <c r="K1282" s="8" t="inlineStr"/>
      <c r="L1282" s="8" t="inlineStr"/>
      <c r="M1282" s="8" t="inlineStr">
        <is>
          <t>周期触发</t>
        </is>
      </c>
      <c r="N1282" s="8" t="inlineStr">
        <is>
          <t>periodicPulse</t>
        </is>
      </c>
      <c r="O1282" s="9" t="inlineStr">
        <is>
          <t>对敌方施加 14 层灼烧；对敌方施加 18 层灼烧；对敌方施加 22 层灼烧；对敌方施加 24 层灼烧</t>
        </is>
      </c>
      <c r="P1282" s="9" t="inlineStr"/>
      <c r="Q1282" s="9" t="inlineStr"/>
      <c r="R1282" s="9" t="inlineStr">
        <is>
          <t>{"kind":"periodicPulse","periodicPulse":{"intervalSec":12,"label":"&lt;battle&gt;对敌方施加 14 层灼烧&lt;/battle&gt;","buffGains":[{"buffId":"burning","count":14,"target":"enemy"}]},"label":"&lt;battle&gt;对敌方施加 14 层灼烧&lt;/battle&gt;","starOverrides":{"1":{"periodicPulse":{"label":"&lt;battle&gt;对敌方施加 18 层灼烧&lt;/battle&gt;","buffGains":[{"buffId":"burning","count":18,"target":"enemy"}]},"label":"&lt;battle&gt;对敌方施加 18 层灼烧&lt;/battle&gt;"},"2":{"periodicPulse":{"label":"&lt;battle&gt;对敌方施加 22 层灼烧&lt;/battle&gt;","buffGains":[{"buffId":"burning","count":22,"target":"enemy"}]},"label":"&lt;battle&gt;对敌方施加 22 层灼烧&lt;/battle&gt;"},"3":{"periodicPulse":{"label":"&lt;battle&gt;对敌方施加 24 层灼烧&lt;/battle&gt;","buffGains":[{"buffId":"burning","count":24,"target":"enemy"}]},"label":"&lt;battle&gt;对敌方施加 24 层灼烧&lt;/battle&gt;"}}}</t>
        </is>
      </c>
    </row>
    <row r="1283" ht="32" customHeight="1">
      <c r="A1283" s="8" t="n">
        <v>419045</v>
      </c>
      <c r="B1283" s="8" t="inlineStr">
        <is>
          <t>海纹驭澜叉</t>
        </is>
      </c>
      <c r="C1283" s="8" t="inlineStr">
        <is>
          <t>法器</t>
        </is>
      </c>
      <c r="D1283" s="8" t="inlineStr">
        <is>
          <t>spirit</t>
        </is>
      </c>
      <c r="E1283" s="8" t="inlineStr">
        <is>
          <t>water</t>
        </is>
      </c>
      <c r="F1283" s="8" t="n">
        <v>1</v>
      </c>
      <c r="G1283" s="8" t="inlineStr">
        <is>
          <t>基础/顶层</t>
        </is>
      </c>
      <c r="H1283" s="8" t="inlineStr"/>
      <c r="I1283" s="9" t="inlineStr"/>
      <c r="J1283" s="8" t="inlineStr"/>
      <c r="K1283" s="8" t="inlineStr"/>
      <c r="L1283" s="8" t="inlineStr"/>
      <c r="M1283" s="8" t="inlineStr">
        <is>
          <t>条件触发</t>
        </is>
      </c>
      <c r="N1283" s="8" t="inlineStr">
        <is>
          <t>triggered</t>
        </is>
      </c>
      <c r="O1283" s="9" t="inlineStr">
        <is>
          <t>使用下方相邻武器时，消耗 1 层露水，对敌方造成 12 点伤害；使用下方相邻武器时，消耗 1 层露水，对敌方造成 16 点伤害；使用下方相邻武器时，消耗 1 层露水，对敌方造成 18 点伤害；使用下方相邻武器时，消耗 1 层露水，对敌方造成 22 点伤害</t>
        </is>
      </c>
      <c r="P1283" s="9" t="inlineStr">
        <is>
          <t>onItemUse</t>
        </is>
      </c>
      <c r="Q1283" s="9" t="inlineStr">
        <is>
          <t>battleDamageHealth；directional-adjacent</t>
        </is>
      </c>
      <c r="R1283" s="9" t="inlineStr">
        <is>
          <t>{"kind":"triggered","label":"使用下方相邻武器时，消耗 1 层露水，&lt;battle&gt;对敌方造成 12 点伤害&lt;/battle&gt;","triggeredEffect":{"trigger":"onItemUse","type":"battleDamageHealth","amount":12,"support":"battleOnly","consumeSourceBuffStacks":{"buffId":"dew","requiredStacks":1,"maxStacks":1},"eventSource":{"target":{"type":"directional-adjacent","direction":"down"},"filter":{"features":["weapon"]}}},"starOverrides":{"1":{"label":"使用下方相邻武器时，消耗 1 层露水，&lt;battle&gt;对敌方造成 16 点伤害&lt;/battle&gt;","triggeredEffect":{"amount":16}},"2":{"label":"使用下方相邻武器时，消耗 1 层露水，&lt;battle&gt;对敌方造成 18 点伤害&lt;/battle&gt;","triggeredEffect":{"amount":18}},"3":{"label":"使用下方相邻武器时，消耗 1 层露水，&lt;battle&gt;对敌方造成 22 点伤害&lt;/battle&gt;","triggeredEffect":{"amount":22}}}}</t>
        </is>
      </c>
    </row>
    <row r="1284" ht="32" customHeight="1">
      <c r="A1284" s="8" t="n">
        <v>419046</v>
      </c>
      <c r="B1284" s="8" t="inlineStr">
        <is>
          <t>藤骨千机弩</t>
        </is>
      </c>
      <c r="C1284" s="8" t="inlineStr">
        <is>
          <t>法器</t>
        </is>
      </c>
      <c r="D1284" s="8" t="inlineStr">
        <is>
          <t>spirit</t>
        </is>
      </c>
      <c r="E1284" s="8" t="inlineStr">
        <is>
          <t>wood</t>
        </is>
      </c>
      <c r="F1284" s="8" t="n">
        <v>1</v>
      </c>
      <c r="G1284" s="8" t="inlineStr">
        <is>
          <t>基础/顶层</t>
        </is>
      </c>
      <c r="H1284" s="8" t="inlineStr"/>
      <c r="I1284" s="9" t="inlineStr"/>
      <c r="J1284" s="8" t="inlineStr"/>
      <c r="K1284" s="8" t="inlineStr"/>
      <c r="L1284" s="8" t="inlineStr"/>
      <c r="M1284" s="8" t="inlineStr">
        <is>
          <t>周期触发</t>
        </is>
      </c>
      <c r="N1284" s="8" t="inlineStr">
        <is>
          <t>periodicPulse</t>
        </is>
      </c>
      <c r="O1284" s="9" t="inlineStr">
        <is>
          <t>消耗 4 点气血，获得 16 层再生；消耗 4 点气血，获得 20 层再生；消耗 4 点气血，获得 24 层再生；消耗 4 点气血，获得 28 层再生</t>
        </is>
      </c>
      <c r="P1284" s="9" t="inlineStr"/>
      <c r="Q1284" s="9" t="inlineStr"/>
      <c r="R1284" s="9" t="inlineStr">
        <is>
          <t>{"kind":"periodicPulse","label":"消耗 4 点气血，获得 16 层再生","periodicPulse":{"intervalSec":8,"primaryStatCosts":[{"stat":"health","amount":4}],"buffGains":[{"buffId":"regeneration","count":16}],"label":"消耗 4 点气血，获得 16 层再生"},"starOverrides":{"1":{"label":"消耗 4 点气血，获得 20 层再生","periodicPulse":{"buffGains":[{"buffId":"regeneration","count":20}],"label":"消耗 4 点气血，获得 20 层再生"}},"2":{"label":"消耗 4 点气血，获得 24 层再生","periodicPulse":{"buffGains":[{"buffId":"regeneration","count":24}],"label":"消耗 4 点气血，获得 24 层再生"}},"3":{"label":"消耗 4 点气血，获得 28 层再生","periodicPulse":{"buffGains":[{"buffId":"regeneration","count":28}],"label":"消耗 4 点气血，获得 28 层再生"}}}}</t>
        </is>
      </c>
    </row>
    <row r="1285" ht="32" customHeight="1">
      <c r="A1285" s="8" t="n">
        <v>419047</v>
      </c>
      <c r="B1285" s="8" t="inlineStr">
        <is>
          <t>岩心承岳盾</t>
        </is>
      </c>
      <c r="C1285" s="8" t="inlineStr">
        <is>
          <t>法器</t>
        </is>
      </c>
      <c r="D1285" s="8" t="inlineStr">
        <is>
          <t>spirit</t>
        </is>
      </c>
      <c r="E1285" s="8" t="inlineStr">
        <is>
          <t>earth</t>
        </is>
      </c>
      <c r="F1285" s="8" t="n">
        <v>1</v>
      </c>
      <c r="G1285" s="8" t="inlineStr">
        <is>
          <t>基础/顶层</t>
        </is>
      </c>
      <c r="H1285" s="8" t="inlineStr"/>
      <c r="I1285" s="9" t="inlineStr"/>
      <c r="J1285" s="8" t="inlineStr"/>
      <c r="K1285" s="8" t="inlineStr"/>
      <c r="L1285" s="8" t="inlineStr"/>
      <c r="M1285" s="8" t="inlineStr">
        <is>
          <t>被动效果</t>
        </is>
      </c>
      <c r="N1285" s="8" t="inlineStr">
        <is>
          <t>passive</t>
        </is>
      </c>
      <c r="O1285" s="9" t="inlineStr">
        <is>
          <t>免疫所有凡品土属性道具对己方施加的蓄势、中毒、灼烧、冰霜和麻痹</t>
        </is>
      </c>
      <c r="P1285" s="9" t="inlineStr"/>
      <c r="Q1285" s="9" t="inlineStr">
        <is>
          <t>incomingItemEffectImmunity</t>
        </is>
      </c>
      <c r="R1285" s="9" t="inlineStr">
        <is>
          <t>{"kind":"passive","label":"&lt;battle&gt;免疫所有凡品土属性道具对己方施加的蓄势、中毒、灼烧、冰霜和麻痹&lt;/battle&gt;","passiveEffect":{"type":"incomingItemEffectImmunity","sourceFilter":{"elements":["earth"],"grades":["common"]},"immuneBuffIds":["heavy","poison","burning","frost","paralysis"],"label":"&lt;battle&gt;免疫所有凡品土属性道具对己方施加的蓄势、中毒、灼烧、冰霜和麻痹&lt;/battle&gt;"}}</t>
        </is>
      </c>
    </row>
    <row r="1286" ht="32" customHeight="1">
      <c r="A1286" s="8" t="n">
        <v>419048</v>
      </c>
      <c r="B1286" s="8" t="inlineStr">
        <is>
          <t>素锋回燕剪</t>
        </is>
      </c>
      <c r="C1286" s="8" t="inlineStr">
        <is>
          <t>法器</t>
        </is>
      </c>
      <c r="D1286" s="8" t="inlineStr">
        <is>
          <t>spirit</t>
        </is>
      </c>
      <c r="E1286" s="8" t="inlineStr">
        <is>
          <t>metal</t>
        </is>
      </c>
      <c r="F1286" s="8" t="n">
        <v>1</v>
      </c>
      <c r="G1286" s="8" t="inlineStr">
        <is>
          <t>基础/顶层</t>
        </is>
      </c>
      <c r="H1286" s="8" t="inlineStr"/>
      <c r="I1286" s="9" t="inlineStr"/>
      <c r="J1286" s="8" t="inlineStr"/>
      <c r="K1286" s="8" t="inlineStr"/>
      <c r="L1286" s="8" t="inlineStr"/>
      <c r="M1286" s="8" t="inlineStr">
        <is>
          <t>条件触发</t>
        </is>
      </c>
      <c r="N1286" s="8" t="inlineStr">
        <is>
          <t>triggered</t>
        </is>
      </c>
      <c r="O1286" s="9" t="inlineStr">
        <is>
          <t>左右均相邻剑时，左侧相邻剑对敌方造成伤害后，消耗 2 层凝金并追加 16 点伤害；左右均相邻剑时，左侧相邻剑对敌方造成伤害后，消耗 2 层凝金并追加 20 点伤害；左右均相邻剑时，左侧相邻剑对敌方造成伤害后，消耗 2 层凝金并追加 24 点伤害；左右均相邻剑时，左侧相邻剑对敌方造成伤害后，消耗 2 层凝金并追加 28 点伤害</t>
        </is>
      </c>
      <c r="P1286" s="9" t="inlineStr">
        <is>
          <t>onBattleHealthDamageDealt</t>
        </is>
      </c>
      <c r="Q1286" s="9" t="inlineStr">
        <is>
          <t>battleDamageHealth；directional-adjacent</t>
        </is>
      </c>
      <c r="R1286" s="9" t="inlineStr">
        <is>
          <t>{"kind":"triggered","label":"&lt;battle&gt;左右均相邻剑时，左侧相邻剑对敌方造成伤害后，消耗 2 层凝金并追加 16 点伤害&lt;/battle&gt;","triggeredEffect":{"trigger":"onBattleHealthDamageDealt","type":"battleDamageHealth","amount":16,"consumeSourceBuffStacks":{"buffId":"condensedMetal","requiredStacks":2,"maxStacks":2},"eventSource":{"target":{"type":"directional-adjacent","direction":"left"},"filter":{"features":["weapon","sword"]}},"activationRequirements":{"directionalNeighbors":[{"direction":"right","features":["weapon","sword"]}]},"support":"battleOnly"},"starOverrides":{"1":{"label":"&lt;battle&gt;左右均相邻剑时，左侧相邻剑对敌方造成伤害后，消耗 2 层凝金并追加 20 点伤害&lt;/battle&gt;","triggeredEffect":{"amount":20}},"2":{"label":"&lt;battle&gt;左右均相邻剑时，左侧相邻剑对敌方造成伤害后，消耗 2 层凝金并追加 24 点伤害&lt;/battle&gt;","triggeredEffect":{"amount":24}},"3":{"label":"&lt;battle&gt;左右均相邻剑时，左侧相邻剑对敌方造成伤害后，消耗 2 层凝金并追加 28 点伤害&lt;/battle&gt;","triggeredEffect":{"amount":28}}}}</t>
        </is>
      </c>
    </row>
    <row r="1287" ht="32" customHeight="1">
      <c r="A1287" s="8" t="n">
        <v>419049</v>
      </c>
      <c r="B1287" s="8" t="inlineStr">
        <is>
          <t>阴阳定序筹</t>
        </is>
      </c>
      <c r="C1287" s="8" t="inlineStr">
        <is>
          <t>法器</t>
        </is>
      </c>
      <c r="D1287" s="8" t="inlineStr">
        <is>
          <t>spirit</t>
        </is>
      </c>
      <c r="E1287" s="8" t="inlineStr">
        <is>
          <t>none</t>
        </is>
      </c>
      <c r="F1287" s="8" t="n">
        <v>1</v>
      </c>
      <c r="G1287" s="8" t="inlineStr">
        <is>
          <t>基础/顶层</t>
        </is>
      </c>
      <c r="H1287" s="8" t="inlineStr"/>
      <c r="I1287" s="9" t="inlineStr"/>
      <c r="J1287" s="8" t="inlineStr"/>
      <c r="K1287" s="8" t="inlineStr"/>
      <c r="L1287" s="8" t="inlineStr"/>
      <c r="M1287" s="8" t="inlineStr">
        <is>
          <t>条件触发</t>
        </is>
      </c>
      <c r="N1287" s="8" t="inlineStr">
        <is>
          <t>triggered</t>
        </is>
      </c>
      <c r="O1287" s="9" t="inlineStr">
        <is>
          <t>充能：累计使用 3 张水属性符箓时，使敌方随机 1 件武器减速 3 秒；充能：累计使用 3 张水属性符箓时，使敌方随机 2 件武器减速 4 秒；充能：累计使用 3 张水属性符箓时，使敌方随机 3 件武器减速 5 秒；充能：累计使用 3 张水属性符箓时，使敌方随机 4 件武器减速 6 秒</t>
        </is>
      </c>
      <c r="P1287" s="9" t="inlineStr">
        <is>
          <t>onItemUse</t>
        </is>
      </c>
      <c r="Q1287" s="9" t="inlineStr">
        <is>
          <t>itemRuntimeStatus；any</t>
        </is>
      </c>
      <c r="R1287" s="9" t="inlineStr">
        <is>
          <t>{"kind":"triggered","label":"充能：累计使用 3 张水属性符箓时，&lt;battle&gt;使敌方随机 1 件武器减速 3 秒&lt;/battle&gt;","triggeredEffect":{"trigger":"onItemUse","type":"itemRuntimeStatus","itemRuntimeStatus":"slow","durationSec":3,"targetActor":"enemy","targetScope":"enemyRandom","amount":1,"targetFilter":{"features":["weapon"]},"eventSource":{"target":{"type":"any"},"filter":{"categories":["talisman"],"elements":["water"]}},"charge":{"threshold":3,"countPerEvent":1}},"starOverrides":{"1":{"label":"充能：累计使用 3 张水属性符箓时，&lt;battle&gt;使敌方随机 2 件武器减速 4 秒&lt;/battle&gt;","triggeredEffect":{"durationSec":4,"amount":2}},"2":{"label":"充能：累计使用 3 张水属性符箓时，&lt;battle&gt;使敌方随机 3 件武器减速 5 秒&lt;/battle&gt;","triggeredEffect":{"durationSec":5,"amount":3}},"3":{"label":"充能：累计使用 3 张水属性符箓时，&lt;battle&gt;使敌方随机 4 件武器减速 6 秒&lt;/battle&gt;","triggeredEffect":{"durationSec":6,"amount":4}}}}</t>
        </is>
      </c>
    </row>
    <row r="1288" ht="32" customHeight="1">
      <c r="A1288" s="8" t="n">
        <v>419050</v>
      </c>
      <c r="B1288" s="8" t="inlineStr">
        <is>
          <t>紫电鸣霄槌</t>
        </is>
      </c>
      <c r="C1288" s="8" t="inlineStr">
        <is>
          <t>法器</t>
        </is>
      </c>
      <c r="D1288" s="8" t="inlineStr">
        <is>
          <t>spirit</t>
        </is>
      </c>
      <c r="E1288" s="8" t="inlineStr">
        <is>
          <t>metal</t>
        </is>
      </c>
      <c r="F1288" s="8" t="n">
        <v>1</v>
      </c>
      <c r="G1288" s="8" t="inlineStr">
        <is>
          <t>基础/顶层</t>
        </is>
      </c>
      <c r="H1288" s="8" t="inlineStr"/>
      <c r="I1288" s="9" t="inlineStr"/>
      <c r="J1288" s="8" t="inlineStr"/>
      <c r="K1288" s="8" t="inlineStr"/>
      <c r="L1288" s="8" t="inlineStr"/>
      <c r="M1288" s="8" t="inlineStr">
        <is>
          <t>被动效果</t>
        </is>
      </c>
      <c r="N1288" s="8" t="inlineStr">
        <is>
          <t>passive</t>
        </is>
      </c>
      <c r="O1288" s="9" t="inlineStr">
        <is>
          <t>所在横列连续至少 3 件金属性法器时，其中的剑对敌方造成伤害时，追加一次额外的 8 点伤害；所在横列连续至少 3 件金属性法器时，其中的剑对敌方造成伤害时，追加一次额外的 10 点伤害；所在横列连续至少 3 件金属性法器时，其中的剑对敌方造成伤害时，追加一次额外的 12 点伤害；所在横列连续至少 3 件金属性法器时，其中的剑对敌方造成伤害时，追加一次额外的 14 点伤害</t>
        </is>
      </c>
      <c r="P1288" s="9" t="inlineStr"/>
      <c r="Q1288" s="9" t="inlineStr">
        <is>
          <t>battleItemDamageFlatModifier</t>
        </is>
      </c>
      <c r="R1288" s="9" t="inlineStr">
        <is>
          <t>{"kind":"passive","label":"&lt;battle&gt;所在横列连续至少 3 件金属性法器时，其中的剑对敌方造成伤害时，追加一次额外的 8 点伤害&lt;/battle&gt;","passiveEffect":{"type":"battleItemDamageFlatModifier","value":8,"targetFilter":{"features":["weapon","sword"]},"activationRequirements":{"lineChains":[{"axis":"row","minLength":3,"elements":["metal"],"requireAllItemsOnLineMatch":true}]},"label":"&lt;battle&gt;所在横列连续至少 3 件金属性法器时，其中的剑对敌方造成伤害时，追加一次额外的 8 点伤害&lt;/battle&gt;"},"starOverrides":{"1":{"label":"&lt;battle&gt;所在横列连续至少 3 件金属性法器时，其中的剑对敌方造成伤害时，追加一次额外的 10 点伤害&lt;/battle&gt;","passiveEffect":{"value":10,"label":"&lt;battle&gt;所在横列连续至少 3 件金属性法器时，其中的剑对敌方造成伤害时，追加一次额外的 10 点伤害&lt;/battle&gt;"}},"2":{"label":"&lt;battle&gt;所在横列连续至少 3 件金属性法器时，其中的剑对敌方造成伤害时，追加一次额外的 12 点伤害&lt;/battle&gt;","passiveEffect":{"value":12,"label":"&lt;battle&gt;所在横列连续至少 3 件金属性法器时，其中的剑对敌方造成伤害时，追加一次额外的 12 点伤害&lt;/battle&gt;"}},"3":{"label":"&lt;battle&gt;所在横列连续至少 3 件金属性法器时，其中的剑对敌方造成伤害时，追加一次额外的 14 点伤害&lt;/battle&gt;","passiveEffect":{"value":14,"label":"&lt;battle&gt;所在横列连续至少 3 件金属性法器时，其中的剑对敌方造成伤害时，追加一次额外的 14 点伤害&lt;/battle&gt;"}}}}</t>
        </is>
      </c>
    </row>
    <row r="1289" ht="32" customHeight="1">
      <c r="A1289" s="8" t="n">
        <v>419051</v>
      </c>
      <c r="B1289" s="8" t="inlineStr">
        <is>
          <t>玄霜听潮鉴</t>
        </is>
      </c>
      <c r="C1289" s="8" t="inlineStr">
        <is>
          <t>法器</t>
        </is>
      </c>
      <c r="D1289" s="8" t="inlineStr">
        <is>
          <t>spirit</t>
        </is>
      </c>
      <c r="E1289" s="8" t="inlineStr">
        <is>
          <t>water</t>
        </is>
      </c>
      <c r="F1289" s="8" t="n">
        <v>1</v>
      </c>
      <c r="G1289" s="8" t="inlineStr">
        <is>
          <t>基础/顶层</t>
        </is>
      </c>
      <c r="H1289" s="8" t="inlineStr"/>
      <c r="I1289" s="9" t="inlineStr"/>
      <c r="J1289" s="8" t="inlineStr"/>
      <c r="K1289" s="8" t="inlineStr"/>
      <c r="L1289" s="8" t="inlineStr"/>
      <c r="M1289" s="8" t="inlineStr">
        <is>
          <t>周期触发</t>
        </is>
      </c>
      <c r="N1289" s="8" t="inlineStr">
        <is>
          <t>periodicPulse</t>
        </is>
      </c>
      <c r="O1289" s="9" t="inlineStr">
        <is>
          <t>消耗 12 点法力，对敌方造成 24 点伤害，并施加 6 层冰霜；消耗 12 点法力，对敌方造成 30 点伤害，并施加 8 层冰霜；消耗 12 点法力，对敌方造成 36 点伤害，并施加 10 层冰霜；消耗 12 点法力，对敌方造成 42 点伤害，并施加 12 层冰霜</t>
        </is>
      </c>
      <c r="P1289" s="9" t="inlineStr"/>
      <c r="Q1289" s="9" t="inlineStr"/>
      <c r="R1289" s="9" t="inlineStr">
        <is>
          <t>{"kind":"periodicPulse","periodicPulse":{"intervalSec":16,"label":"消耗 12 点法力，&lt;battle&gt;对敌方造成 24 点伤害，并施加 6 层冰霜&lt;/battle&gt;","primaryStatCosts":[{"stat":"mana","amount":12}],"damageHealth":{"target":"enemy","amount":24},"buffGains":[{"buffId":"frost","count":6,"target":"enemy"}]},"label":"消耗 12 点法力，&lt;battle&gt;对敌方造成 24 点伤害，并施加 6 层冰霜&lt;/battle&gt;","starOverrides":{"1":{"periodicPulse":{"label":"消耗 12 点法力，&lt;battle&gt;对敌方造成 30 点伤害，并施加 8 层冰霜&lt;/battle&gt;","damageHealth":{"amount":30},"buffGains":[{"buffId":"frost","count":8,"target":"enemy"}]},"label":"消耗 12 点法力，&lt;battle&gt;对敌方造成 30 点伤害，并施加 8 层冰霜&lt;/battle&gt;"},"2":{"periodicPulse":{"label":"消耗 12 点法力，&lt;battle&gt;对敌方造成 36 点伤害，并施加 10 层冰霜&lt;/battle&gt;","damageHealth":{"amount":36},"buffGains":[{"buffId":"frost","count":10,"target":"enemy"}]},"label":"消耗 12 点法力，&lt;battle&gt;对敌方造成 36 点伤害，并施加 10 层冰霜&lt;/battle&gt;"},"3":{"periodicPulse":{"label":"消耗 12 点法力，&lt;battle&gt;对敌方造成 42 点伤害，并施加 12 层冰霜&lt;/battle&gt;","damageHealth":{"amount":42},"buffGains":[{"buffId":"frost","count":12,"target":"enemy"}]},"label":"消耗 12 点法力，&lt;battle&gt;对敌方造成 42 点伤害，并施加 12 层冰霜&lt;/battle&gt;"}}}</t>
        </is>
      </c>
    </row>
    <row r="1290" ht="32" customHeight="1">
      <c r="A1290" s="8" t="n">
        <v>419052</v>
      </c>
      <c r="B1290" s="8" t="inlineStr">
        <is>
          <t>赤羽温脉炉</t>
        </is>
      </c>
      <c r="C1290" s="8" t="inlineStr">
        <is>
          <t>法器</t>
        </is>
      </c>
      <c r="D1290" s="8" t="inlineStr">
        <is>
          <t>spirit</t>
        </is>
      </c>
      <c r="E1290" s="8" t="inlineStr">
        <is>
          <t>fire</t>
        </is>
      </c>
      <c r="F1290" s="8" t="n">
        <v>1</v>
      </c>
      <c r="G1290" s="8" t="inlineStr">
        <is>
          <t>基础/顶层</t>
        </is>
      </c>
      <c r="H1290" s="8" t="inlineStr"/>
      <c r="I1290" s="9" t="inlineStr"/>
      <c r="J1290" s="8" t="inlineStr"/>
      <c r="K1290" s="8" t="inlineStr"/>
      <c r="L1290" s="8" t="inlineStr"/>
      <c r="M1290" s="8" t="inlineStr">
        <is>
          <t>条件触发</t>
        </is>
      </c>
      <c r="N1290" s="8" t="inlineStr">
        <is>
          <t>triggered</t>
        </is>
      </c>
      <c r="O1290" s="9" t="inlineStr">
        <is>
          <t>火属性符箓使用时，恢复 30 点气血；火属性符箓使用时，恢复 38 点气血；火属性符箓使用时，恢复 46 点气血；火属性符箓使用时，恢复 52 点气血</t>
        </is>
      </c>
      <c r="P1290" s="9" t="inlineStr">
        <is>
          <t>onItemUse</t>
        </is>
      </c>
      <c r="Q1290" s="9" t="inlineStr">
        <is>
          <t>modifyPlayerPrimaryStat；any</t>
        </is>
      </c>
      <c r="R1290" s="9" t="inlineStr">
        <is>
          <t>{"kind":"triggered","label":"火属性符箓使用时，恢复 30 点气血","triggeredEffect":{"trigger":"onItemUse","type":"modifyPlayerPrimaryStat","stat":"health","delta":30,"eventSource":{"target":{"type":"any"},"filter":{"categories":["talisman"],"elements":["fire"]}}},"starOverrides":{"1":{"label":"火属性符箓使用时，恢复 38 点气血","triggeredEffect":{"delta":38}},"2":{"label":"火属性符箓使用时，恢复 46 点气血","triggeredEffect":{"delta":46}},"3":{"label":"火属性符箓使用时，恢复 52 点气血","triggeredEffect":{"delta":52}}}}</t>
        </is>
      </c>
    </row>
    <row r="1291" ht="32" customHeight="1">
      <c r="A1291" s="8" t="n">
        <v>419053</v>
      </c>
      <c r="B1291" s="8" t="inlineStr">
        <is>
          <t>青篁引风轮</t>
        </is>
      </c>
      <c r="C1291" s="8" t="inlineStr">
        <is>
          <t>法器</t>
        </is>
      </c>
      <c r="D1291" s="8" t="inlineStr">
        <is>
          <t>spirit</t>
        </is>
      </c>
      <c r="E1291" s="8" t="inlineStr">
        <is>
          <t>wind</t>
        </is>
      </c>
      <c r="F1291" s="8" t="n">
        <v>1</v>
      </c>
      <c r="G1291" s="8" t="inlineStr">
        <is>
          <t>基础/顶层</t>
        </is>
      </c>
      <c r="H1291" s="8" t="inlineStr"/>
      <c r="I1291" s="9" t="inlineStr"/>
      <c r="J1291" s="8" t="inlineStr"/>
      <c r="K1291" s="8" t="inlineStr"/>
      <c r="L1291" s="8" t="inlineStr"/>
      <c r="M1291" s="8" t="inlineStr">
        <is>
          <t>条件触发</t>
        </is>
      </c>
      <c r="N1291" s="8" t="inlineStr">
        <is>
          <t>triggered</t>
        </is>
      </c>
      <c r="O1291" s="9" t="inlineStr">
        <is>
          <t>阵盘变阵效果触发时，该道具获得 2 秒加速；阵盘变阵效果触发时，该道具获得 3 秒加速；阵盘变阵效果触发时，该道具获得 4 秒加速；阵盘变阵效果触发时，该道具获得 5 秒加速</t>
        </is>
      </c>
      <c r="P1291" s="9" t="inlineStr">
        <is>
          <t>formationSwitch</t>
        </is>
      </c>
      <c r="Q1291" s="9" t="inlineStr">
        <is>
          <t>itemRuntimeStatus</t>
        </is>
      </c>
      <c r="R1291" s="9" t="inlineStr">
        <is>
          <t>{"kind":"triggered","label":"&lt;singleton&gt;阵盘变阵效果触发时，该道具获得 2 秒加速&lt;/singleton&gt;","triggeredEffect":{"trigger":"formationSwitch","type":"itemRuntimeStatus","itemRuntimeStatus":"haste","durationSec":2,"targetActor":"self","targetScope":"selfAll","singletonByTemplate":true},"starOverrides":{"1":{"label":"&lt;singleton&gt;阵盘变阵效果触发时，该道具获得 3 秒加速&lt;/singleton&gt;","triggeredEffect":{"durationSec":3}},"2":{"label":"&lt;singleton&gt;阵盘变阵效果触发时，该道具获得 4 秒加速&lt;/singleton&gt;","triggeredEffect":{"durationSec":4}},"3":{"label":"&lt;singleton&gt;阵盘变阵效果触发时，该道具获得 5 秒加速&lt;/singleton&gt;","triggeredEffect":{"durationSec":5}}}}</t>
        </is>
      </c>
    </row>
    <row r="1292" ht="32" customHeight="1">
      <c r="A1292" s="8" t="n">
        <v>419054</v>
      </c>
      <c r="B1292" s="8" t="inlineStr">
        <is>
          <t>镇岳量气砣</t>
        </is>
      </c>
      <c r="C1292" s="8" t="inlineStr">
        <is>
          <t>法器</t>
        </is>
      </c>
      <c r="D1292" s="8" t="inlineStr">
        <is>
          <t>spirit</t>
        </is>
      </c>
      <c r="E1292" s="8" t="inlineStr">
        <is>
          <t>earth</t>
        </is>
      </c>
      <c r="F1292" s="8" t="n">
        <v>1</v>
      </c>
      <c r="G1292" s="8" t="inlineStr">
        <is>
          <t>基础/顶层</t>
        </is>
      </c>
      <c r="H1292" s="8" t="inlineStr"/>
      <c r="I1292" s="9" t="inlineStr"/>
      <c r="J1292" s="8" t="inlineStr"/>
      <c r="K1292" s="8" t="inlineStr"/>
      <c r="L1292" s="8" t="inlineStr"/>
      <c r="M1292" s="8" t="inlineStr">
        <is>
          <t>被动效果</t>
        </is>
      </c>
      <c r="N1292" s="8" t="inlineStr">
        <is>
          <t>passive</t>
        </is>
      </c>
      <c r="O1292" s="9" t="inlineStr">
        <is>
          <t>拥有正好 5 件土属性道具时，坚硬层数上限 +18；拥有正好 5 件土属性道具时，坚硬层数上限 +23；拥有正好 5 件土属性道具时，坚硬层数上限 +27；拥有正好 5 件土属性道具时，坚硬层数上限 +32</t>
        </is>
      </c>
      <c r="P1292" s="9" t="inlineStr"/>
      <c r="Q1292" s="9" t="inlineStr">
        <is>
          <t>buffStackCapBonus</t>
        </is>
      </c>
      <c r="R1292" s="9" t="inlineStr">
        <is>
          <t>{"kind":"passive","label":"拥有正好 5 件土属性道具时，坚硬层数上限 +18","passiveEffect":{"type":"buffStackCapBonus","buffId":"sturdy","value":18,"activationRequirements":{"bagCounts":[{"minCount":5,"maxCount":5,"elements":["earth"]}]},"label":"拥有正好 5 件土属性道具时，坚硬层数上限 +18"},"starOverrides":{"1":{"label":"拥有正好 5 件土属性道具时，坚硬层数上限 +23","passiveEffect":{"value":23,"label":"拥有正好 5 件土属性道具时，坚硬层数上限 +23"}},"2":{"label":"拥有正好 5 件土属性道具时，坚硬层数上限 +27","passiveEffect":{"value":27,"label":"拥有正好 5 件土属性道具时，坚硬层数上限 +27"}},"3":{"label":"拥有正好 5 件土属性道具时，坚硬层数上限 +32","passiveEffect":{"value":32,"label":"拥有正好 5 件土属性道具时，坚硬层数上限 +32"}}}}</t>
        </is>
      </c>
    </row>
    <row r="1293" ht="32" customHeight="1">
      <c r="A1293" s="8" t="n">
        <v>419055</v>
      </c>
      <c r="B1293" s="8" t="inlineStr">
        <is>
          <t>紫电鸣节筒</t>
        </is>
      </c>
      <c r="C1293" s="8" t="inlineStr">
        <is>
          <t>法器</t>
        </is>
      </c>
      <c r="D1293" s="8" t="inlineStr">
        <is>
          <t>spirit</t>
        </is>
      </c>
      <c r="E1293" s="8" t="inlineStr">
        <is>
          <t>thunder</t>
        </is>
      </c>
      <c r="F1293" s="8" t="n">
        <v>1</v>
      </c>
      <c r="G1293" s="8" t="inlineStr">
        <is>
          <t>基础/顶层</t>
        </is>
      </c>
      <c r="H1293" s="8" t="inlineStr"/>
      <c r="I1293" s="9" t="inlineStr"/>
      <c r="J1293" s="8" t="inlineStr"/>
      <c r="K1293" s="8" t="inlineStr"/>
      <c r="L1293" s="8" t="inlineStr"/>
      <c r="M1293" s="8" t="inlineStr">
        <is>
          <t>条件触发</t>
        </is>
      </c>
      <c r="N1293" s="8" t="inlineStr">
        <is>
          <t>triggered</t>
        </is>
      </c>
      <c r="O1293" s="9" t="inlineStr">
        <is>
          <t>雷属性招式释放时，使敌方随机 2 件凡品道具减速 4 秒；雷属性招式释放时，使敌方随机 3 件凡品道具减速 5 秒；雷属性招式释放时，使敌方随机 4 件凡品道具减速 6 秒；雷属性招式释放时，使敌方随机 5 件凡品道具减速 7 秒</t>
        </is>
      </c>
      <c r="P1293" s="9" t="inlineStr">
        <is>
          <t>onActiveSpellCast</t>
        </is>
      </c>
      <c r="Q1293" s="9" t="inlineStr">
        <is>
          <t>itemRuntimeStatus；any</t>
        </is>
      </c>
      <c r="R1293" s="9" t="inlineStr">
        <is>
          <t>{"kind":"triggered","label":"雷属性招式释放时，使敌方随机 2 件凡品道具减速 4 秒","triggeredEffect":{"trigger":"onActiveSpellCast","type":"itemRuntimeStatus","itemRuntimeStatus":"slow","durationSec":4,"targetActor":"enemy","targetScope":"enemyRandom","amount":2,"targetFilter":{"grades":["common"]},"eventSource":{"target":{"type":"any"},"filter":{"categories":["spell"],"elements":["thunder"]}}},"starOverrides":{"1":{"label":"雷属性招式释放时，使敌方随机 3 件凡品道具减速 5 秒","triggeredEffect":{"durationSec":5,"amount":3}},"2":{"label":"雷属性招式释放时，使敌方随机 4 件凡品道具减速 6 秒","triggeredEffect":{"durationSec":6,"amount":4}},"3":{"label":"雷属性招式释放时，使敌方随机 5 件凡品道具减速 7 秒","triggeredEffect":{"durationSec":7,"amount":5}}}}</t>
        </is>
      </c>
    </row>
    <row r="1294" ht="32" customHeight="1">
      <c r="A1294" s="8" t="n">
        <v>419056</v>
      </c>
      <c r="B1294" s="8" t="inlineStr">
        <is>
          <t>金阙分光尺</t>
        </is>
      </c>
      <c r="C1294" s="8" t="inlineStr">
        <is>
          <t>法器</t>
        </is>
      </c>
      <c r="D1294" s="8" t="inlineStr">
        <is>
          <t>spirit</t>
        </is>
      </c>
      <c r="E1294" s="8" t="inlineStr">
        <is>
          <t>metal</t>
        </is>
      </c>
      <c r="F1294" s="8" t="n">
        <v>1</v>
      </c>
      <c r="G1294" s="8" t="inlineStr">
        <is>
          <t>基础/顶层</t>
        </is>
      </c>
      <c r="H1294" s="8" t="inlineStr"/>
      <c r="I1294" s="9" t="inlineStr"/>
      <c r="J1294" s="8" t="inlineStr"/>
      <c r="K1294" s="8" t="inlineStr"/>
      <c r="L1294" s="8" t="inlineStr"/>
      <c r="M1294" s="8" t="inlineStr">
        <is>
          <t>被动效果</t>
        </is>
      </c>
      <c r="N1294" s="8" t="inlineStr">
        <is>
          <t>passive</t>
        </is>
      </c>
      <c r="O1294" s="9" t="inlineStr">
        <is>
          <t>左右均相邻金属性剑时，凝金层数上限 +10；左右均相邻金属性剑时，凝金层数上限 +13；左右均相邻金属性剑时，凝金层数上限 +15；左右均相邻金属性剑时，凝金层数上限 +18</t>
        </is>
      </c>
      <c r="P1294" s="9" t="inlineStr"/>
      <c r="Q1294" s="9" t="inlineStr">
        <is>
          <t>buffStackCapBonus</t>
        </is>
      </c>
      <c r="R1294" s="9" t="inlineStr">
        <is>
          <t>{"kind":"passive","label":"左右均相邻金属性剑时，凝金层数上限 +10","passiveEffect":{"type":"buffStackCapBonus","buffId":"condensedMetal","value":10,"activationRequirements":{"directionalNeighbors":[{"direction":"left","elements":["metal"],"features":["weapon","sword"]},{"direction":"right","elements":["metal"],"features":["weapon","sword"]}]},"label":"左右均相邻金属性剑时，凝金层数上限 +10"},"starOverrides":{"1":{"label":"左右均相邻金属性剑时，凝金层数上限 +13","passiveEffect":{"value":13,"label":"左右均相邻金属性剑时，凝金层数上限 +13"}},"2":{"label":"左右均相邻金属性剑时，凝金层数上限 +15","passiveEffect":{"value":15,"label":"左右均相邻金属性剑时，凝金层数上限 +15"}},"3":{"label":"左右均相邻金属性剑时，凝金层数上限 +18","passiveEffect":{"value":18,"label":"左右均相邻金属性剑时，凝金层数上限 +18"}}}}</t>
        </is>
      </c>
    </row>
    <row r="1295" ht="32" customHeight="1">
      <c r="A1295" s="8" t="n">
        <v>419057</v>
      </c>
      <c r="B1295" s="8" t="inlineStr">
        <is>
          <t>沉水藏声匣</t>
        </is>
      </c>
      <c r="C1295" s="8" t="inlineStr">
        <is>
          <t>法器</t>
        </is>
      </c>
      <c r="D1295" s="8" t="inlineStr">
        <is>
          <t>spirit</t>
        </is>
      </c>
      <c r="E1295" s="8" t="inlineStr">
        <is>
          <t>water</t>
        </is>
      </c>
      <c r="F1295" s="8" t="n">
        <v>1</v>
      </c>
      <c r="G1295" s="8" t="inlineStr">
        <is>
          <t>基础/顶层</t>
        </is>
      </c>
      <c r="H1295" s="8" t="inlineStr"/>
      <c r="I1295" s="9" t="inlineStr"/>
      <c r="J1295" s="8" t="inlineStr"/>
      <c r="K1295" s="8" t="inlineStr"/>
      <c r="L1295" s="8" t="inlineStr"/>
      <c r="M1295" s="8" t="inlineStr">
        <is>
          <t>周期触发</t>
        </is>
      </c>
      <c r="N1295" s="8" t="inlineStr">
        <is>
          <t>periodicPulse</t>
        </is>
      </c>
      <c r="O1295" s="9" t="inlineStr">
        <is>
          <t>轮转后，将最多 8 层中毒转化为等量露水；轮转后，将最多 10 层中毒转化为等量露水；轮转后，将最多 12 层中毒转化为等量露水；轮转后，将最多 14 层中毒转化为等量露水</t>
        </is>
      </c>
      <c r="P1295" s="9" t="inlineStr">
        <is>
          <t>onPeriodicPulse</t>
        </is>
      </c>
      <c r="Q1295" s="9" t="inlineStr">
        <is>
          <t>convertBuffStacks</t>
        </is>
      </c>
      <c r="R1295" s="9" t="inlineStr">
        <is>
          <t>{"kind":"periodicPulse","label":"轮转后，将最多 8 层中毒转化为等量露水","periodicPulse":{"intervalSec":16,"label":"轮转后，将最多 8 层中毒转化为等量露水"},"executors":[{"trigger":"onPeriodicPulse","type":"convertBuffStacks","sourceBuffId":"poison","targetBuffId":"dew","maxStacks":8,"consumeRatio":1,"consumeRounding":"floor","label":"轮转后，将最多 8 层中毒转化为等量露水"}],"starOverrides":{"1":{"label":"轮转后，将最多 10 层中毒转化为等量露水","periodicPulse":{"label":"轮转后，将最多 10 层中毒转化为等量露水"},"executors":[{"trigger":"onPeriodicPulse","type":"convertBuffStacks","sourceBuffId":"poison","targetBuffId":"dew","maxStacks":10,"consumeRatio":1,"consumeRounding":"floor","label":"轮转后，将最多 10 层中毒转化为等量露水"}]},"2":{"label":"轮转后，将最多 12 层中毒转化为等量露水","periodicPulse":{"label":"轮转后，将最多 12 层中毒转化为等量露水"},"executors":[{"trigger":"onPeriodicPulse","type":"convertBuffStacks","sourceBuffId":"poison","targetBuffId":"dew","maxStacks":12,"consumeRatio":1,"consumeRounding":"floor","label":"轮转后，将最多 12 层中毒转化为等量露水"}]},"3":{"label":"轮转后，将最多 14 层中毒转化为等量露水","periodicPulse":{"label":"轮转后，将最多 14 层中毒转化为等量露水"},"executors":[{"trigger":"onPeriodicPulse","type":"convertBuffStacks","sourceBuffId":"poison","targetBuffId":"dew","maxStacks":14,"consumeRatio":1,"consumeRounding":"floor","label":"轮转后，将最多 14 层中毒转化为等量露水"}]}}}</t>
        </is>
      </c>
    </row>
    <row r="1296" ht="32" customHeight="1">
      <c r="A1296" s="8" t="n">
        <v>419058</v>
      </c>
      <c r="B1296" s="8" t="inlineStr">
        <is>
          <t>丹枫候火盏</t>
        </is>
      </c>
      <c r="C1296" s="8" t="inlineStr">
        <is>
          <t>法器</t>
        </is>
      </c>
      <c r="D1296" s="8" t="inlineStr">
        <is>
          <t>spirit</t>
        </is>
      </c>
      <c r="E1296" s="8" t="inlineStr">
        <is>
          <t>fire</t>
        </is>
      </c>
      <c r="F1296" s="8" t="n">
        <v>1</v>
      </c>
      <c r="G1296" s="8" t="inlineStr">
        <is>
          <t>基础/顶层</t>
        </is>
      </c>
      <c r="H1296" s="8" t="inlineStr"/>
      <c r="I1296" s="9" t="inlineStr"/>
      <c r="J1296" s="8" t="inlineStr"/>
      <c r="K1296" s="8" t="inlineStr"/>
      <c r="L1296" s="8" t="inlineStr"/>
      <c r="M1296" s="8" t="inlineStr">
        <is>
          <t>条件触发</t>
        </is>
      </c>
      <c r="N1296" s="8" t="inlineStr">
        <is>
          <t>triggered</t>
        </is>
      </c>
      <c r="O1296" s="9" t="inlineStr">
        <is>
          <t>充能：累计获得 24 层炎热时，对敌方造成 16 点伤害；充能：累计获得 24 层炎热时，对敌方造成 20 点伤害；充能：累计获得 24 层炎热时，对敌方造成 24 点伤害；充能：累计获得 24 层炎热时，对敌方造成 28 点伤害</t>
        </is>
      </c>
      <c r="P1296" s="9" t="inlineStr">
        <is>
          <t>onBuffGain</t>
        </is>
      </c>
      <c r="Q1296" s="9" t="inlineStr">
        <is>
          <t>battleDamageHealth</t>
        </is>
      </c>
      <c r="R1296" s="9" t="inlineStr">
        <is>
          <t>{"kind":"triggered","label":"充能：累计获得 24 层炎热时，&lt;battle&gt;对敌方造成 16 点伤害&lt;/battle&gt;","triggeredEffect":{"trigger":"onBuffGain","eventBuffId":"heat","type":"battleDamageHealth","amount":16,"support":"battleOnly","charge":{"threshold":24,"source":{"trigger":"onBuffGain","buffIds":["heat"]}}},"starOverrides":{"1":{"label":"充能：累计获得 24 层炎热时，&lt;battle&gt;对敌方造成 20 点伤害&lt;/battle&gt;","triggeredEffect":{"amount":20}},"2":{"label":"充能：累计获得 24 层炎热时，&lt;battle&gt;对敌方造成 24 点伤害&lt;/battle&gt;","triggeredEffect":{"amount":24}},"3":{"label":"充能：累计获得 24 层炎热时，&lt;battle&gt;对敌方造成 28 点伤害&lt;/battle&gt;","triggeredEffect":{"amount":28}}}}</t>
        </is>
      </c>
    </row>
    <row r="1297" ht="32" customHeight="1">
      <c r="A1297" s="8" t="n">
        <v>419059</v>
      </c>
      <c r="B1297" s="8" t="inlineStr">
        <is>
          <t>松纹纳息座</t>
        </is>
      </c>
      <c r="C1297" s="8" t="inlineStr">
        <is>
          <t>法器</t>
        </is>
      </c>
      <c r="D1297" s="8" t="inlineStr">
        <is>
          <t>spirit</t>
        </is>
      </c>
      <c r="E1297" s="8" t="inlineStr">
        <is>
          <t>wood</t>
        </is>
      </c>
      <c r="F1297" s="8" t="n">
        <v>1</v>
      </c>
      <c r="G1297" s="8" t="inlineStr">
        <is>
          <t>基础/顶层</t>
        </is>
      </c>
      <c r="H1297" s="8" t="inlineStr"/>
      <c r="I1297" s="9" t="inlineStr"/>
      <c r="J1297" s="8" t="inlineStr"/>
      <c r="K1297" s="8" t="inlineStr"/>
      <c r="L1297" s="8" t="inlineStr"/>
      <c r="M1297" s="8" t="inlineStr">
        <is>
          <t>周期触发</t>
        </is>
      </c>
      <c r="N1297" s="8" t="inlineStr">
        <is>
          <t>periodicPulse</t>
        </is>
      </c>
      <c r="O1297" s="9" t="inlineStr">
        <is>
          <t>轮转时，每有 1 层再生，恢复 1 点体力；轮转时，每有 1 层再生，恢复 2 点体力；轮转时，每有 1 层再生，恢复 3 点体力；轮转时，每有 1 层再生，恢复 4 点体力</t>
        </is>
      </c>
      <c r="P1297" s="9" t="inlineStr"/>
      <c r="Q1297" s="9" t="inlineStr"/>
      <c r="R1297" s="9" t="inlineStr">
        <is>
          <t>{"kind":"periodicPulse","label":"轮转时，每有 1 层再生，恢复 1 点体力","periodicPulse":{"intervalSec":7,"label":"轮转时，每有 1 层再生，恢复 1 点体力","primaryStatGainPerBuffStack":{"buffId":"regeneration","stat":"stamina","valuePerStack":1}},"starOverrides":{"1":{"label":"轮转时，每有 1 层再生，恢复 2 点体力","periodicPulse":{"label":"轮转时，每有 1 层再生，恢复 2 点体力","primaryStatGainPerBuffStack":{"valuePerStack":2}}},"2":{"label":"轮转时，每有 1 层再生，恢复 3 点体力","periodicPulse":{"label":"轮转时，每有 1 层再生，恢复 3 点体力","primaryStatGainPerBuffStack":{"valuePerStack":3}}},"3":{"label":"轮转时，每有 1 层再生，恢复 4 点体力","periodicPulse":{"label":"轮转时，每有 1 层再生，恢复 4 点体力","primaryStatGainPerBuffStack":{"valuePerStack":4}}}}}</t>
        </is>
      </c>
    </row>
    <row r="1298" ht="32" customHeight="1">
      <c r="A1298" s="8" t="n">
        <v>419060</v>
      </c>
      <c r="B1298" s="8" t="inlineStr">
        <is>
          <t>风瓷回音螺</t>
        </is>
      </c>
      <c r="C1298" s="8" t="inlineStr">
        <is>
          <t>法器</t>
        </is>
      </c>
      <c r="D1298" s="8" t="inlineStr">
        <is>
          <t>spirit</t>
        </is>
      </c>
      <c r="E1298" s="8" t="inlineStr">
        <is>
          <t>wind</t>
        </is>
      </c>
      <c r="F1298" s="8" t="n">
        <v>1</v>
      </c>
      <c r="G1298" s="8" t="inlineStr">
        <is>
          <t>基础/顶层</t>
        </is>
      </c>
      <c r="H1298" s="8" t="inlineStr"/>
      <c r="I1298" s="9" t="inlineStr"/>
      <c r="J1298" s="8" t="inlineStr"/>
      <c r="K1298" s="8" t="inlineStr"/>
      <c r="L1298" s="8" t="inlineStr"/>
      <c r="M1298" s="8" t="inlineStr">
        <is>
          <t>条件触发</t>
        </is>
      </c>
      <c r="N1298" s="8" t="inlineStr">
        <is>
          <t>triggered</t>
        </is>
      </c>
      <c r="O1298" s="9" t="inlineStr">
        <is>
          <t>阵盘变阵效果触发时，获得 10 层敏捷；阵盘变阵效果触发时，获得 12 层敏捷；阵盘变阵效果触发时，获得 16 层敏捷；阵盘变阵效果触发时，获得 18 层敏捷</t>
        </is>
      </c>
      <c r="P1298" s="9" t="inlineStr">
        <is>
          <t>formationSwitch</t>
        </is>
      </c>
      <c r="Q1298" s="9" t="inlineStr">
        <is>
          <t>applyBuff</t>
        </is>
      </c>
      <c r="R1298" s="9" t="inlineStr">
        <is>
          <t>{"kind":"triggered","label":"阵盘变阵效果触发时，获得 10 层敏捷","triggeredEffect":{"trigger":"formationSwitch","type":"applyBuff","buffId":"agile","count":10},"starOverrides":{"1":{"label":"阵盘变阵效果触发时，获得 12 层敏捷","triggeredEffect":{"count":12}},"2":{"label":"阵盘变阵效果触发时，获得 16 层敏捷","triggeredEffect":{"count":16}},"3":{"label":"阵盘变阵效果触发时，获得 18 层敏捷","triggeredEffect":{"count":18}}}}</t>
        </is>
      </c>
    </row>
    <row r="1299" ht="32" customHeight="1">
      <c r="A1299" s="8" t="n">
        <v>419061</v>
      </c>
      <c r="B1299" s="8" t="inlineStr">
        <is>
          <t>厚土定盘锥</t>
        </is>
      </c>
      <c r="C1299" s="8" t="inlineStr">
        <is>
          <t>法器</t>
        </is>
      </c>
      <c r="D1299" s="8" t="inlineStr">
        <is>
          <t>spirit</t>
        </is>
      </c>
      <c r="E1299" s="8" t="inlineStr">
        <is>
          <t>earth</t>
        </is>
      </c>
      <c r="F1299" s="8" t="n">
        <v>1</v>
      </c>
      <c r="G1299" s="8" t="inlineStr">
        <is>
          <t>基础/顶层</t>
        </is>
      </c>
      <c r="H1299" s="8" t="inlineStr"/>
      <c r="I1299" s="9" t="inlineStr"/>
      <c r="J1299" s="8" t="inlineStr"/>
      <c r="K1299" s="8" t="inlineStr"/>
      <c r="L1299" s="8" t="inlineStr"/>
      <c r="M1299" s="8" t="inlineStr">
        <is>
          <t>被动效果</t>
        </is>
      </c>
      <c r="N1299" s="8" t="inlineStr">
        <is>
          <t>passive</t>
        </is>
      </c>
      <c r="O1299" s="9" t="inlineStr">
        <is>
          <t>拥有正好 3 件土属性道具时，坚硬层数上限 +15；拥有正好 3 件土属性道具时，坚硬层数上限 +19；拥有正好 3 件土属性道具时，坚硬层数上限 +23；拥有正好 3 件土属性道具时，坚硬层数上限 +26</t>
        </is>
      </c>
      <c r="P1299" s="9" t="inlineStr"/>
      <c r="Q1299" s="9" t="inlineStr">
        <is>
          <t>buffStackCapBonus</t>
        </is>
      </c>
      <c r="R1299" s="9" t="inlineStr">
        <is>
          <t>{"kind":"passive","label":"拥有正好 3 件土属性道具时，坚硬层数上限 +15","passiveEffect":{"type":"buffStackCapBonus","buffId":"sturdy","value":15,"activationRequirements":{"bagCounts":[{"minCount":3,"maxCount":3,"elements":["earth"]}]},"label":"拥有正好 3 件土属性道具时，坚硬层数上限 +15"},"starOverrides":{"1":{"label":"拥有正好 3 件土属性道具时，坚硬层数上限 +19","passiveEffect":{"value":19,"label":"拥有正好 3 件土属性道具时，坚硬层数上限 +19"}},"2":{"label":"拥有正好 3 件土属性道具时，坚硬层数上限 +23","passiveEffect":{"value":23,"label":"拥有正好 3 件土属性道具时，坚硬层数上限 +23"}},"3":{"label":"拥有正好 3 件土属性道具时，坚硬层数上限 +26","passiveEffect":{"value":26,"label":"拥有正好 3 件土属性道具时，坚硬层数上限 +26"}}}}</t>
        </is>
      </c>
    </row>
    <row r="1300" ht="32" customHeight="1">
      <c r="A1300" s="8" t="n">
        <v>419062</v>
      </c>
      <c r="B1300" s="8" t="inlineStr">
        <is>
          <t>雷砂报时漏</t>
        </is>
      </c>
      <c r="C1300" s="8" t="inlineStr">
        <is>
          <t>法器</t>
        </is>
      </c>
      <c r="D1300" s="8" t="inlineStr">
        <is>
          <t>spirit</t>
        </is>
      </c>
      <c r="E1300" s="8" t="inlineStr">
        <is>
          <t>thunder</t>
        </is>
      </c>
      <c r="F1300" s="8" t="n">
        <v>1</v>
      </c>
      <c r="G1300" s="8" t="inlineStr">
        <is>
          <t>基础/顶层</t>
        </is>
      </c>
      <c r="H1300" s="8" t="inlineStr"/>
      <c r="I1300" s="9" t="inlineStr"/>
      <c r="J1300" s="8" t="inlineStr"/>
      <c r="K1300" s="8" t="inlineStr"/>
      <c r="L1300" s="8" t="inlineStr"/>
      <c r="M1300" s="8" t="inlineStr">
        <is>
          <t>周期触发</t>
        </is>
      </c>
      <c r="N1300" s="8" t="inlineStr">
        <is>
          <t>periodicPulse</t>
        </is>
      </c>
      <c r="O1300" s="9" t="inlineStr">
        <is>
          <t>消耗 12 点法力，对敌方造成 28 点伤害并施加 8 层麻痹；消耗 12 点法力，对敌方造成 36 点伤害并施加 10 层麻痹；消耗 12 点法力，对敌方造成 42 点伤害并施加 12 层麻痹；消耗 12 点法力，对敌方造成 50 点伤害并施加 14 层麻痹</t>
        </is>
      </c>
      <c r="P1300" s="9" t="inlineStr"/>
      <c r="Q1300" s="9" t="inlineStr"/>
      <c r="R1300" s="9" t="inlineStr">
        <is>
          <t>{"kind":"periodicPulse","periodicPulse":{"intervalSec":18,"label":"&lt;battle&gt;消耗 12 点法力，对敌方造成 28 点伤害并施加 8 层麻痹&lt;/battle&gt;","primaryStatCosts":[{"stat":"mana","amount":12}],"damageHealth":{"target":"enemy","amount":28},"buffGains":[{"buffId":"paralysis","count":8,"target":"enemy"}]},"label":"&lt;battle&gt;消耗 12 点法力，对敌方造成 28 点伤害并施加 8 层麻痹&lt;/battle&gt;","starOverrides":{"1":{"periodicPulse":{"label":"&lt;battle&gt;消耗 12 点法力，对敌方造成 36 点伤害并施加 10 层麻痹&lt;/battle&gt;","damageHealth":{"amount":36},"buffGains":[{"buffId":"paralysis","count":10,"target":"enemy"}]},"label":"&lt;battle&gt;消耗 12 点法力，对敌方造成 36 点伤害并施加 10 层麻痹&lt;/battle&gt;"},"2":{"periodicPulse":{"label":"&lt;battle&gt;消耗 12 点法力，对敌方造成 42 点伤害并施加 12 层麻痹&lt;/battle&gt;","damageHealth":{"amount":42},"buffGains":[{"buffId":"paralysis","count":12,"target":"enemy"}]},"label":"&lt;battle&gt;消耗 12 点法力，对敌方造成 42 点伤害并施加 12 层麻痹&lt;/battle&gt;"},"3":{"periodicPulse":{"label":"&lt;battle&gt;消耗 12 点法力，对敌方造成 50 点伤害并施加 14 层麻痹&lt;/battle&gt;","damageHealth":{"amount":50},"buffGains":[{"buffId":"paralysis","count":14,"target":"enemy"}]},"label":"&lt;battle&gt;消耗 12 点法力，对敌方造成 50 点伤害并施加 14 层麻痹&lt;/battle&gt;"}}}</t>
        </is>
      </c>
    </row>
    <row r="1301" ht="32" customHeight="1">
      <c r="A1301" s="8" t="n">
        <v>419063</v>
      </c>
      <c r="B1301" s="8" t="inlineStr">
        <is>
          <t>寒铁照骨梳</t>
        </is>
      </c>
      <c r="C1301" s="8" t="inlineStr">
        <is>
          <t>法器</t>
        </is>
      </c>
      <c r="D1301" s="8" t="inlineStr">
        <is>
          <t>spirit</t>
        </is>
      </c>
      <c r="E1301" s="8" t="inlineStr">
        <is>
          <t>ice</t>
        </is>
      </c>
      <c r="F1301" s="8" t="n">
        <v>1</v>
      </c>
      <c r="G1301" s="8" t="inlineStr">
        <is>
          <t>基础/顶层</t>
        </is>
      </c>
      <c r="H1301" s="8" t="inlineStr"/>
      <c r="I1301" s="9" t="inlineStr"/>
      <c r="J1301" s="8" t="inlineStr"/>
      <c r="K1301" s="8" t="inlineStr"/>
      <c r="L1301" s="8" t="inlineStr"/>
      <c r="M1301" s="8" t="inlineStr">
        <is>
          <t>周期触发</t>
        </is>
      </c>
      <c r="N1301" s="8" t="inlineStr">
        <is>
          <t>periodicPulse</t>
        </is>
      </c>
      <c r="O1301" s="9" t="inlineStr">
        <is>
          <t>使敌方随机 2 件道具减速 4 秒，并施加 6 层冰霜；使敌方随机 2 件道具减速 5 秒，并施加 8 层冰霜；使敌方随机 2 件道具减速 6 秒，并施加 10 层冰霜；使敌方随机 2 件道具减速 7 秒，并施加 12 层冰霜</t>
        </is>
      </c>
      <c r="P1301" s="9" t="inlineStr"/>
      <c r="Q1301" s="9" t="inlineStr"/>
      <c r="R1301" s="9" t="inlineStr">
        <is>
          <t>{"kind":"periodicPulse","periodicPulse":{"intervalSec":14,"label":"&lt;battle&gt;使敌方随机 2 件道具减速 4 秒，并施加 6 层冰霜&lt;/battle&gt;","itemRuntimeStatusEffects":[{"itemRuntimeStatus":"slow","durationSec":4,"targetScope":"enemyRandom","amount":2}],"buffGains":[{"buffId":"frost","count":6,"target":"enemy"}]},"label":"&lt;battle&gt;使敌方随机 2 件道具减速 4 秒，并施加 6 层冰霜&lt;/battle&gt;","starOverrides":{"1":{"periodicPulse":{"label":"&lt;battle&gt;使敌方随机 2 件道具减速 5 秒，并施加 8 层冰霜&lt;/battle&gt;","itemRuntimeStatusEffects":[{"itemRuntimeStatus":"slow","durationSec":5,"targetScope":"enemyRandom","amount":2}],"buffGains":[{"buffId":"frost","count":8,"target":"enemy"}]},"label":"&lt;battle&gt;使敌方随机 2 件道具减速 5 秒，并施加 8 层冰霜&lt;/battle&gt;"},"2":{"periodicPulse":{"label":"&lt;battle&gt;使敌方随机 2 件道具减速 6 秒，并施加 10 层冰霜&lt;/battle&gt;","itemRuntimeStatusEffects":[{"itemRuntimeStatus":"slow","durationSec":6,"targetScope":"enemyRandom","amount":2}],"buffGains":[{"buffId":"frost","count":10,"target":"enemy"}]},"label":"&lt;battle&gt;使敌方随机 2 件道具减速 6 秒，并施加 10 层冰霜&lt;/battle&gt;"},"3":{"periodicPulse":{"label":"&lt;battle&gt;使敌方随机 2 件道具减速 7 秒，并施加 12 层冰霜&lt;/battle&gt;","itemRuntimeStatusEffects":[{"itemRuntimeStatus":"slow","durationSec":7,"targetScope":"enemyRandom","amount":2}],"buffGains":[{"buffId":"frost","count":12,"target":"enemy"}]},"label":"&lt;battle&gt;使敌方随机 2 件道具减速 7 秒，并施加 12 层冰霜&lt;/battle&gt;"}}}</t>
        </is>
      </c>
    </row>
    <row r="1302" ht="32" customHeight="1">
      <c r="A1302" s="8" t="n">
        <v>419064</v>
      </c>
      <c r="B1302" s="8" t="inlineStr">
        <is>
          <t>碧萝续香环</t>
        </is>
      </c>
      <c r="C1302" s="8" t="inlineStr">
        <is>
          <t>法器</t>
        </is>
      </c>
      <c r="D1302" s="8" t="inlineStr">
        <is>
          <t>spirit</t>
        </is>
      </c>
      <c r="E1302" s="8" t="inlineStr">
        <is>
          <t>wood</t>
        </is>
      </c>
      <c r="F1302" s="8" t="n">
        <v>1</v>
      </c>
      <c r="G1302" s="8" t="inlineStr">
        <is>
          <t>基础/顶层</t>
        </is>
      </c>
      <c r="H1302" s="8" t="inlineStr"/>
      <c r="I1302" s="9" t="inlineStr"/>
      <c r="J1302" s="8" t="inlineStr"/>
      <c r="K1302" s="8" t="inlineStr"/>
      <c r="L1302" s="8" t="inlineStr"/>
      <c r="M1302" s="8" t="inlineStr">
        <is>
          <t>条件触发</t>
        </is>
      </c>
      <c r="N1302" s="8" t="inlineStr">
        <is>
          <t>triggered</t>
        </is>
      </c>
      <c r="O1302" s="9" t="inlineStr">
        <is>
          <t>下方相邻木属性法器获得再生时，恢复 12 点法力；下方相邻木属性法器获得再生时，恢复 16 点法力；下方相邻木属性法器获得再生时，恢复 18 点法力；下方相邻木属性法器获得再生时，恢复 22 点法力</t>
        </is>
      </c>
      <c r="P1302" s="9" t="inlineStr">
        <is>
          <t>onBuffGain</t>
        </is>
      </c>
      <c r="Q1302" s="9" t="inlineStr">
        <is>
          <t>modifyPlayerPrimaryStat；directional-adjacent</t>
        </is>
      </c>
      <c r="R1302" s="9" t="inlineStr">
        <is>
          <t>{"kind":"triggered","label":"下方相邻木属性法器获得再生时，恢复 12 点法力","triggeredEffect":{"trigger":"onBuffGain","eventActor":"self","eventBuffId":"regeneration","type":"modifyPlayerPrimaryStat","stat":"mana","delta":12,"eventSource":{"target":{"type":"directional-adjacent","direction":"down"},"filter":{"categories":["implement"],"elements":["wood"]}}},"starOverrides":{"1":{"label":"下方相邻木属性法器获得再生时，恢复 16 点法力","triggeredEffect":{"delta":16}},"2":{"label":"下方相邻木属性法器获得再生时，恢复 18 点法力","triggeredEffect":{"delta":18}},"3":{"label":"下方相邻木属性法器获得再生时，恢复 22 点法力","triggeredEffect":{"delta":22}}}}</t>
        </is>
      </c>
    </row>
    <row r="1303" ht="32" customHeight="1">
      <c r="A1303" s="8" t="n">
        <v>419065</v>
      </c>
      <c r="B1303" s="8" t="inlineStr">
        <is>
          <t>火铜净垢刷</t>
        </is>
      </c>
      <c r="C1303" s="8" t="inlineStr">
        <is>
          <t>法器</t>
        </is>
      </c>
      <c r="D1303" s="8" t="inlineStr">
        <is>
          <t>spirit</t>
        </is>
      </c>
      <c r="E1303" s="8" t="inlineStr">
        <is>
          <t>fire</t>
        </is>
      </c>
      <c r="F1303" s="8" t="n">
        <v>1</v>
      </c>
      <c r="G1303" s="8" t="inlineStr">
        <is>
          <t>基础/顶层</t>
        </is>
      </c>
      <c r="H1303" s="8" t="inlineStr"/>
      <c r="I1303" s="9" t="inlineStr"/>
      <c r="J1303" s="8" t="inlineStr"/>
      <c r="K1303" s="8" t="inlineStr"/>
      <c r="L1303" s="8" t="inlineStr"/>
      <c r="M1303" s="8" t="inlineStr">
        <is>
          <t>周期触发</t>
        </is>
      </c>
      <c r="N1303" s="8" t="inlineStr">
        <is>
          <t>periodicPulse</t>
        </is>
      </c>
      <c r="O1303" s="9" t="inlineStr">
        <is>
          <t>消耗 4 点体力，获得 16 层炎热；消耗 4 点体力，获得 20 层炎热；消耗 4 点体力，获得 24 层炎热；消耗 4 点体力，获得 28 层炎热</t>
        </is>
      </c>
      <c r="P1303" s="9" t="inlineStr"/>
      <c r="Q1303" s="9" t="inlineStr"/>
      <c r="R1303" s="9" t="inlineStr">
        <is>
          <t>{"kind":"periodicPulse","label":"消耗 4 点体力，获得 16 层炎热","periodicPulse":{"intervalSec":7,"label":"消耗 4 点体力，获得 16 层炎热","primaryStatCosts":[{"stat":"stamina","amount":4}],"buffGains":[{"buffId":"heat","count":16}]},"starOverrides":{"1":{"label":"消耗 4 点体力，获得 20 层炎热","periodicPulse":{"label":"消耗 4 点体力，获得 20 层炎热","buffGains":[{"buffId":"heat","count":20}]}},"2":{"label":"消耗 4 点体力，获得 24 层炎热","periodicPulse":{"label":"消耗 4 点体力，获得 24 层炎热","buffGains":[{"buffId":"heat","count":24}]}},"3":{"label":"消耗 4 点体力，获得 28 层炎热","periodicPulse":{"label":"消耗 4 点体力，获得 28 层炎热","buffGains":[{"buffId":"heat","count":28}]}}}}</t>
        </is>
      </c>
    </row>
    <row r="1304" ht="32" customHeight="1">
      <c r="A1304" s="8" t="n">
        <v>419066</v>
      </c>
      <c r="B1304" s="8" t="inlineStr">
        <is>
          <t>澄江分流壶</t>
        </is>
      </c>
      <c r="C1304" s="8" t="inlineStr">
        <is>
          <t>法器</t>
        </is>
      </c>
      <c r="D1304" s="8" t="inlineStr">
        <is>
          <t>spirit</t>
        </is>
      </c>
      <c r="E1304" s="8" t="inlineStr">
        <is>
          <t>water</t>
        </is>
      </c>
      <c r="F1304" s="8" t="n">
        <v>1</v>
      </c>
      <c r="G1304" s="8" t="inlineStr">
        <is>
          <t>基础/顶层</t>
        </is>
      </c>
      <c r="H1304" s="8" t="inlineStr"/>
      <c r="I1304" s="9" t="inlineStr"/>
      <c r="J1304" s="8" t="inlineStr"/>
      <c r="K1304" s="8" t="inlineStr"/>
      <c r="L1304" s="8" t="inlineStr"/>
      <c r="M1304" s="8" t="inlineStr">
        <is>
          <t>周期触发</t>
        </is>
      </c>
      <c r="N1304" s="8" t="inlineStr">
        <is>
          <t>periodicPulse</t>
        </is>
      </c>
      <c r="O1304" s="9" t="inlineStr">
        <is>
          <t>获得 12 层露水；获得 16 层露水；获得 18 层露水；获得 22 层露水</t>
        </is>
      </c>
      <c r="P1304" s="9" t="inlineStr"/>
      <c r="Q1304" s="9" t="inlineStr"/>
      <c r="R1304" s="9" t="inlineStr">
        <is>
          <t>{"kind":"periodicPulse","label":"获得 12 层露水","periodicPulse":{"intervalSec":12,"buffGains":[{"buffId":"dew","count":12}],"label":"获得 12 层露水"},"starOverrides":{"1":{"label":"获得 16 层露水","periodicPulse":{"buffGains":[{"buffId":"dew","count":16}],"label":"获得 16 层露水"}},"2":{"label":"获得 18 层露水","periodicPulse":{"buffGains":[{"buffId":"dew","count":18}],"label":"获得 18 层露水"}},"3":{"label":"获得 22 层露水","periodicPulse":{"buffGains":[{"buffId":"dew","count":22}],"label":"获得 22 层露水"}}}}</t>
        </is>
      </c>
    </row>
    <row r="1305" ht="32" customHeight="1">
      <c r="A1305" s="8" t="n">
        <v>419067</v>
      </c>
      <c r="B1305" s="8" t="inlineStr">
        <is>
          <t>流云校步履</t>
        </is>
      </c>
      <c r="C1305" s="8" t="inlineStr">
        <is>
          <t>法器</t>
        </is>
      </c>
      <c r="D1305" s="8" t="inlineStr">
        <is>
          <t>spirit</t>
        </is>
      </c>
      <c r="E1305" s="8" t="inlineStr">
        <is>
          <t>wind</t>
        </is>
      </c>
      <c r="F1305" s="8" t="n">
        <v>1</v>
      </c>
      <c r="G1305" s="8" t="inlineStr">
        <is>
          <t>基础/顶层</t>
        </is>
      </c>
      <c r="H1305" s="8" t="inlineStr"/>
      <c r="I1305" s="9" t="inlineStr"/>
      <c r="J1305" s="8" t="inlineStr"/>
      <c r="K1305" s="8" t="inlineStr"/>
      <c r="L1305" s="8" t="inlineStr"/>
      <c r="M1305" s="8" t="inlineStr">
        <is>
          <t>条件触发</t>
        </is>
      </c>
      <c r="N1305" s="8" t="inlineStr">
        <is>
          <t>triggered</t>
        </is>
      </c>
      <c r="O1305" s="9" t="inlineStr">
        <is>
          <t>敌方敏捷不少于 30 层时，敌方每次消耗敏捷，对敌方造成 28 点伤害；敌方敏捷不少于 30 层时，敌方每次消耗敏捷，对敌方造成 36 点伤害；敌方敏捷不少于 30 层时，敌方每次消耗敏捷，对敌方造成 42 点伤害；敌方敏捷不少于 30 层时，敌方每次消耗敏捷，对敌方造成 50 点伤害</t>
        </is>
      </c>
      <c r="P1305" s="9" t="inlineStr">
        <is>
          <t>onBuffConsumed</t>
        </is>
      </c>
      <c r="Q1305" s="9" t="inlineStr">
        <is>
          <t>battleDamageHealth</t>
        </is>
      </c>
      <c r="R1305" s="9" t="inlineStr">
        <is>
          <t>{"kind":"triggered","label":"&lt;battle&gt;敌方敏捷不少于 30 层时，敌方每次消耗敏捷，对敌方造成 28 点伤害&lt;/battle&gt;","triggeredEffect":{"trigger":"onBuffConsumed","eventActor":"enemy","eventBuffId":"agile","type":"battleDamageHealth","amount":28,"targetBuffStackThreshold":{"buffId":"agile","comparator":"atLeast","count":30},"support":"battleOnly"},"starOverrides":{"1":{"triggeredEffect":{"amount":36},"label":"&lt;battle&gt;敌方敏捷不少于 30 层时，敌方每次消耗敏捷，对敌方造成 36 点伤害&lt;/battle&gt;"},"2":{"triggeredEffect":{"amount":42},"label":"&lt;battle&gt;敌方敏捷不少于 30 层时，敌方每次消耗敏捷，对敌方造成 42 点伤害&lt;/battle&gt;"},"3":{"triggeredEffect":{"amount":50},"label":"&lt;battle&gt;敌方敏捷不少于 30 层时，敌方每次消耗敏捷，对敌方造成 50 点伤害&lt;/battle&gt;"}}}</t>
        </is>
      </c>
    </row>
    <row r="1306" ht="32" customHeight="1">
      <c r="A1306" s="8" t="n">
        <v>419068</v>
      </c>
      <c r="B1306" s="8" t="inlineStr">
        <is>
          <t>乌金护指套</t>
        </is>
      </c>
      <c r="C1306" s="8" t="inlineStr">
        <is>
          <t>法器</t>
        </is>
      </c>
      <c r="D1306" s="8" t="inlineStr">
        <is>
          <t>spirit</t>
        </is>
      </c>
      <c r="E1306" s="8" t="inlineStr">
        <is>
          <t>metal</t>
        </is>
      </c>
      <c r="F1306" s="8" t="n">
        <v>1</v>
      </c>
      <c r="G1306" s="8" t="inlineStr">
        <is>
          <t>基础/顶层</t>
        </is>
      </c>
      <c r="H1306" s="8" t="inlineStr"/>
      <c r="I1306" s="9" t="inlineStr"/>
      <c r="J1306" s="8" t="inlineStr"/>
      <c r="K1306" s="8" t="inlineStr"/>
      <c r="L1306" s="8" t="inlineStr"/>
      <c r="M1306" s="8" t="inlineStr">
        <is>
          <t>条件触发</t>
        </is>
      </c>
      <c r="N1306" s="8" t="inlineStr">
        <is>
          <t>triggered</t>
        </is>
      </c>
      <c r="O1306" s="9" t="inlineStr">
        <is>
          <t>没有相邻武器时，每当获得凝金，获得 6 层护甲；没有相邻武器时，每当获得凝金，获得 8 层护甲；没有相邻武器时，每当获得凝金，获得 10 层护甲；没有相邻武器时，每当获得凝金，获得 12 层护甲</t>
        </is>
      </c>
      <c r="P1306" s="9" t="inlineStr">
        <is>
          <t>onBuffGain</t>
        </is>
      </c>
      <c r="Q1306" s="9" t="inlineStr">
        <is>
          <t>applyBuff</t>
        </is>
      </c>
      <c r="R1306" s="9" t="inlineStr">
        <is>
          <t>{"kind":"triggered","label":"没有相邻武器时，每当获得凝金，获得 6 层护甲","triggeredEffect":{"trigger":"onBuffGain","eventActor":"self","eventBuffId":"condensedMetal","type":"applyBuff","buffId":"armor","count":6,"activationRequirements":{"neighborCounts":[{"minCount":0,"maxCount":0,"features":["weapon"]}]}},"starOverrides":{"1":{"label":"没有相邻武器时，每当获得凝金，获得 8 层护甲","triggeredEffect":{"count":8}},"2":{"label":"没有相邻武器时，每当获得凝金，获得 10 层护甲","triggeredEffect":{"count":10}},"3":{"label":"没有相邻武器时，每当获得凝金，获得 12 层护甲","triggeredEffect":{"count":12}}}}</t>
        </is>
      </c>
    </row>
    <row r="1307" ht="32" customHeight="1">
      <c r="A1307" s="8" t="n">
        <v>419069</v>
      </c>
      <c r="B1307" s="8" t="inlineStr">
        <is>
          <t>霜灯静魄罩</t>
        </is>
      </c>
      <c r="C1307" s="8" t="inlineStr">
        <is>
          <t>法器</t>
        </is>
      </c>
      <c r="D1307" s="8" t="inlineStr">
        <is>
          <t>spirit</t>
        </is>
      </c>
      <c r="E1307" s="8" t="inlineStr">
        <is>
          <t>ice</t>
        </is>
      </c>
      <c r="F1307" s="8" t="n">
        <v>1</v>
      </c>
      <c r="G1307" s="8" t="inlineStr">
        <is>
          <t>基础/顶层</t>
        </is>
      </c>
      <c r="H1307" s="8" t="inlineStr"/>
      <c r="I1307" s="9" t="inlineStr"/>
      <c r="J1307" s="8" t="inlineStr"/>
      <c r="K1307" s="8" t="inlineStr"/>
      <c r="L1307" s="8" t="inlineStr"/>
      <c r="M1307" s="8" t="inlineStr">
        <is>
          <t>周期触发</t>
        </is>
      </c>
      <c r="N1307" s="8" t="inlineStr">
        <is>
          <t>periodicPulse</t>
        </is>
      </c>
      <c r="O1307" s="9" t="inlineStr">
        <is>
          <t>开局：使敌方一件最大道具冻结 6 秒；开局：使敌方一件最大道具冻结 7 秒；开局：使敌方一件最大道具冻结 8 秒；开局：使敌方一件最大道具冻结 9 秒</t>
        </is>
      </c>
      <c r="P1307" s="9" t="inlineStr"/>
      <c r="Q1307" s="9" t="inlineStr"/>
      <c r="R1307" s="9" t="inlineStr">
        <is>
          <t>{"kind":"periodicPulse","periodicPulse":{"startOnly":true,"label":"开局：&lt;battle&gt;&lt;singleton&gt;使敌方一件最大道具冻结 6 秒&lt;/singleton&gt;&lt;/battle&gt;","itemRuntimeStatusEffects":[{"itemRuntimeStatus":"freeze","durationSec":6,"targetScope":"enemyLargest","singletonByTemplate":true}]},"label":"开局：&lt;battle&gt;&lt;singleton&gt;使敌方一件最大道具冻结 6 秒&lt;/singleton&gt;&lt;/battle&gt;","starOverrides":{"1":{"periodicPulse":{"label":"开局：&lt;battle&gt;&lt;singleton&gt;使敌方一件最大道具冻结 7 秒&lt;/singleton&gt;&lt;/battle&gt;","itemRuntimeStatusEffects":[{"itemRuntimeStatus":"freeze","durationSec":7,"targetScope":"enemyLargest"}]},"label":"开局：&lt;battle&gt;&lt;singleton&gt;使敌方一件最大道具冻结 7 秒&lt;/singleton&gt;&lt;/battle&gt;"},"2":{"periodicPulse":{"label":"开局：&lt;battle&gt;&lt;singleton&gt;使敌方一件最大道具冻结 8 秒&lt;/singleton&gt;&lt;/battle&gt;","itemRuntimeStatusEffects":[{"itemRuntimeStatus":"freeze","durationSec":8,"targetScope":"enemyLargest"}]},"label":"开局：&lt;battle&gt;&lt;singleton&gt;使敌方一件最大道具冻结 8 秒&lt;/singleton&gt;&lt;/battle&gt;"},"3":{"periodicPulse":{"label":"开局：&lt;battle&gt;&lt;singleton&gt;使敌方一件最大道具冻结 9 秒&lt;/singleton&gt;&lt;/battle&gt;","itemRuntimeStatusEffects":[{"itemRuntimeStatus":"freeze","durationSec":9,"targetScope":"enemyLargest"}]},"label":"开局：&lt;battle&gt;&lt;singleton&gt;使敌方一件最大道具冻结 9 秒&lt;/singleton&gt;&lt;/battle&gt;"}}}</t>
        </is>
      </c>
    </row>
    <row r="1308" ht="32" customHeight="1">
      <c r="A1308" s="8" t="n">
        <v>419070</v>
      </c>
      <c r="B1308" s="8" t="inlineStr">
        <is>
          <t>黄壤聚尘斗</t>
        </is>
      </c>
      <c r="C1308" s="8" t="inlineStr">
        <is>
          <t>法器</t>
        </is>
      </c>
      <c r="D1308" s="8" t="inlineStr">
        <is>
          <t>spirit</t>
        </is>
      </c>
      <c r="E1308" s="8" t="inlineStr">
        <is>
          <t>earth</t>
        </is>
      </c>
      <c r="F1308" s="8" t="n">
        <v>1</v>
      </c>
      <c r="G1308" s="8" t="inlineStr">
        <is>
          <t>基础/顶层</t>
        </is>
      </c>
      <c r="H1308" s="8" t="inlineStr"/>
      <c r="I1308" s="9" t="inlineStr"/>
      <c r="J1308" s="8" t="inlineStr"/>
      <c r="K1308" s="8" t="inlineStr"/>
      <c r="L1308" s="8" t="inlineStr"/>
      <c r="M1308" s="8" t="inlineStr">
        <is>
          <t>周期触发</t>
        </is>
      </c>
      <c r="N1308" s="8" t="inlineStr">
        <is>
          <t>periodicPulse</t>
        </is>
      </c>
      <c r="O1308" s="9" t="inlineStr">
        <is>
          <t>消耗 2 点体力，获得 16 层坚硬；消耗 2 点体力，获得 20 层坚硬；消耗 2 点体力，获得 24 层坚硬；消耗 2 点体力，获得 28 层坚硬</t>
        </is>
      </c>
      <c r="P1308" s="9" t="inlineStr"/>
      <c r="Q1308" s="9" t="inlineStr"/>
      <c r="R1308" s="9" t="inlineStr">
        <is>
          <t>{"kind":"periodicPulse","label":"消耗 2 点体力，获得 16 层坚硬","periodicPulse":{"intervalSec":7,"label":"消耗 2 点体力，获得 16 层坚硬","primaryStatCosts":[{"stat":"stamina","amount":2}],"buffGains":[{"buffId":"sturdy","count":16}]},"starOverrides":{"1":{"periodicPulse":{"buffGains":[{"buffId":"sturdy","count":20}],"label":"消耗 2 点体力，获得 20 层坚硬"},"label":"消耗 2 点体力，获得 20 层坚硬"},"2":{"periodicPulse":{"buffGains":[{"buffId":"sturdy","count":24}],"label":"消耗 2 点体力，获得 24 层坚硬"},"label":"消耗 2 点体力，获得 24 层坚硬"},"3":{"periodicPulse":{"buffGains":[{"buffId":"sturdy","count":28}],"label":"消耗 2 点体力，获得 28 层坚硬"},"label":"消耗 2 点体力，获得 28 层坚硬"}}}</t>
        </is>
      </c>
    </row>
    <row r="1309" ht="32" customHeight="1">
      <c r="A1309" s="8" t="n">
        <v>419071</v>
      </c>
      <c r="B1309" s="8" t="inlineStr">
        <is>
          <t>雷纹醒神拍</t>
        </is>
      </c>
      <c r="C1309" s="8" t="inlineStr">
        <is>
          <t>法器</t>
        </is>
      </c>
      <c r="D1309" s="8" t="inlineStr">
        <is>
          <t>spirit</t>
        </is>
      </c>
      <c r="E1309" s="8" t="inlineStr">
        <is>
          <t>thunder</t>
        </is>
      </c>
      <c r="F1309" s="8" t="n">
        <v>1</v>
      </c>
      <c r="G1309" s="8" t="inlineStr">
        <is>
          <t>基础/顶层</t>
        </is>
      </c>
      <c r="H1309" s="8" t="inlineStr"/>
      <c r="I1309" s="9" t="inlineStr"/>
      <c r="J1309" s="8" t="inlineStr"/>
      <c r="K1309" s="8" t="inlineStr"/>
      <c r="L1309" s="8" t="inlineStr"/>
      <c r="M1309" s="8" t="inlineStr">
        <is>
          <t>条件触发</t>
        </is>
      </c>
      <c r="N1309" s="8" t="inlineStr">
        <is>
          <t>triggered</t>
        </is>
      </c>
      <c r="O1309" s="9" t="inlineStr">
        <is>
          <t>相邻正好 3 件雷属性道具时，每当获得引雷，获得 12 层敏捷；相邻正好 3 件雷属性道具时，每当获得引雷，获得 16 层敏捷；相邻正好 3 件雷属性道具时，每当获得引雷，获得 18 层敏捷；相邻正好 3 件雷属性道具时，每当获得引雷，获得 22 层敏捷</t>
        </is>
      </c>
      <c r="P1309" s="9" t="inlineStr">
        <is>
          <t>onBuffGain</t>
        </is>
      </c>
      <c r="Q1309" s="9" t="inlineStr">
        <is>
          <t>applyBuff</t>
        </is>
      </c>
      <c r="R1309" s="9" t="inlineStr">
        <is>
          <t>{"kind":"triggered","label":"相邻正好 3 件雷属性道具时，每当获得引雷，获得 12 层敏捷","triggeredEffect":{"trigger":"onBuffGain","eventActor":"self","eventBuffId":"lightningCharge","type":"applyBuff","buffId":"agile","count":12,"activationRequirements":{"neighborCounts":[{"minCount":3,"maxCount":3,"elements":["thunder"]}]}},"starOverrides":{"1":{"label":"相邻正好 3 件雷属性道具时，每当获得引雷，获得 16 层敏捷","triggeredEffect":{"count":16}},"2":{"label":"相邻正好 3 件雷属性道具时，每当获得引雷，获得 18 层敏捷","triggeredEffect":{"count":18}},"3":{"label":"相邻正好 3 件雷属性道具时，每当获得引雷，获得 22 层敏捷","triggeredEffect":{"count":22}}}}</t>
        </is>
      </c>
    </row>
    <row r="1310" ht="32" customHeight="1">
      <c r="A1310" s="8" t="n">
        <v>419072</v>
      </c>
      <c r="B1310" s="8" t="inlineStr">
        <is>
          <t>青木折枝剪</t>
        </is>
      </c>
      <c r="C1310" s="8" t="inlineStr">
        <is>
          <t>法器</t>
        </is>
      </c>
      <c r="D1310" s="8" t="inlineStr">
        <is>
          <t>spirit</t>
        </is>
      </c>
      <c r="E1310" s="8" t="inlineStr">
        <is>
          <t>wood</t>
        </is>
      </c>
      <c r="F1310" s="8" t="n">
        <v>1</v>
      </c>
      <c r="G1310" s="8" t="inlineStr">
        <is>
          <t>基础/顶层</t>
        </is>
      </c>
      <c r="H1310" s="8" t="inlineStr"/>
      <c r="I1310" s="9" t="inlineStr"/>
      <c r="J1310" s="8" t="inlineStr"/>
      <c r="K1310" s="8" t="inlineStr"/>
      <c r="L1310" s="8" t="inlineStr"/>
      <c r="M1310" s="8" t="inlineStr">
        <is>
          <t>条件触发</t>
        </is>
      </c>
      <c r="N1310" s="8" t="inlineStr">
        <is>
          <t>triggered</t>
        </is>
      </c>
      <c r="O1310" s="9" t="inlineStr">
        <is>
          <t>使用相邻符箓时，获得 10 层再生；使用相邻符箓时，获得 12 层再生；使用相邻符箓时，获得 16 层再生；使用相邻符箓时，获得 18 层再生</t>
        </is>
      </c>
      <c r="P1310" s="9" t="inlineStr">
        <is>
          <t>onItemUse</t>
        </is>
      </c>
      <c r="Q1310" s="9" t="inlineStr">
        <is>
          <t>applyBuff；adjacent</t>
        </is>
      </c>
      <c r="R1310" s="9" t="inlineStr">
        <is>
          <t>{"kind":"triggered","label":"使用相邻符箓时，获得 10 层再生","triggeredEffect":{"trigger":"onItemUse","type":"applyBuff","buffId":"regeneration","count":10,"eventSource":{"target":{"type":"adjacent"},"filter":{"categories":["talisman"]}}},"starOverrides":{"1":{"label":"使用相邻符箓时，获得 12 层再生","triggeredEffect":{"count":12}},"2":{"label":"使用相邻符箓时，获得 16 层再生","triggeredEffect":{"count":16}},"3":{"label":"使用相邻符箓时，获得 18 层再生","triggeredEffect":{"count":18}}}}</t>
        </is>
      </c>
    </row>
    <row r="1311" ht="32" customHeight="1">
      <c r="A1311" s="8" t="n">
        <v>419073</v>
      </c>
      <c r="B1311" s="8" t="inlineStr">
        <is>
          <t>火绡炼纹架</t>
        </is>
      </c>
      <c r="C1311" s="8" t="inlineStr">
        <is>
          <t>法器</t>
        </is>
      </c>
      <c r="D1311" s="8" t="inlineStr">
        <is>
          <t>spirit</t>
        </is>
      </c>
      <c r="E1311" s="8" t="inlineStr">
        <is>
          <t>fire</t>
        </is>
      </c>
      <c r="F1311" s="8" t="n">
        <v>1</v>
      </c>
      <c r="G1311" s="8" t="inlineStr">
        <is>
          <t>基础/顶层</t>
        </is>
      </c>
      <c r="H1311" s="8" t="inlineStr"/>
      <c r="I1311" s="9" t="inlineStr"/>
      <c r="J1311" s="8" t="inlineStr"/>
      <c r="K1311" s="8" t="inlineStr"/>
      <c r="L1311" s="8" t="inlineStr"/>
      <c r="M1311" s="8" t="inlineStr">
        <is>
          <t>条件触发</t>
        </is>
      </c>
      <c r="N1311" s="8" t="inlineStr">
        <is>
          <t>triggered</t>
        </is>
      </c>
      <c r="O1311" s="9" t="inlineStr">
        <is>
          <t>每当炎热被消耗时，对敌方造成 8 点伤害；每当炎热被消耗时，对敌方造成 10 点伤害；每当炎热被消耗时，对敌方造成 12 点伤害；每当炎热被消耗时，对敌方造成 14 点伤害</t>
        </is>
      </c>
      <c r="P1311" s="9" t="inlineStr">
        <is>
          <t>onBuffConsumed</t>
        </is>
      </c>
      <c r="Q1311" s="9" t="inlineStr">
        <is>
          <t>battleDamageHealth</t>
        </is>
      </c>
      <c r="R1311" s="9" t="inlineStr">
        <is>
          <t>{"kind":"triggered","label":"&lt;battle&gt;每当炎热被消耗时，对敌方造成 8 点伤害&lt;/battle&gt;","triggeredEffect":{"trigger":"onBuffConsumed","eventActor":"self","eventBuffId":"heat","type":"battleDamageHealth","amount":8,"support":"battleOnly"},"starOverrides":{"1":{"label":"&lt;battle&gt;每当炎热被消耗时，对敌方造成 10 点伤害&lt;/battle&gt;","triggeredEffect":{"amount":10}},"2":{"label":"&lt;battle&gt;每当炎热被消耗时，对敌方造成 12 点伤害&lt;/battle&gt;","triggeredEffect":{"amount":12}},"3":{"label":"&lt;battle&gt;每当炎热被消耗时，对敌方造成 14 点伤害&lt;/battle&gt;","triggeredEffect":{"amount":14}}}}</t>
        </is>
      </c>
    </row>
    <row r="1312" ht="32" customHeight="1">
      <c r="A1312" s="8" t="n">
        <v>419074</v>
      </c>
      <c r="B1312" s="8" t="inlineStr">
        <is>
          <t>玄水涤砚池</t>
        </is>
      </c>
      <c r="C1312" s="8" t="inlineStr">
        <is>
          <t>法器</t>
        </is>
      </c>
      <c r="D1312" s="8" t="inlineStr">
        <is>
          <t>spirit</t>
        </is>
      </c>
      <c r="E1312" s="8" t="inlineStr">
        <is>
          <t>water</t>
        </is>
      </c>
      <c r="F1312" s="8" t="n">
        <v>1</v>
      </c>
      <c r="G1312" s="8" t="inlineStr">
        <is>
          <t>基础/顶层</t>
        </is>
      </c>
      <c r="H1312" s="8" t="inlineStr"/>
      <c r="I1312" s="9" t="inlineStr"/>
      <c r="J1312" s="8" t="inlineStr"/>
      <c r="K1312" s="8" t="inlineStr"/>
      <c r="L1312" s="8" t="inlineStr"/>
      <c r="M1312" s="8" t="inlineStr">
        <is>
          <t>条件触发</t>
        </is>
      </c>
      <c r="N1312" s="8" t="inlineStr">
        <is>
          <t>triggered</t>
        </is>
      </c>
      <c r="O1312" s="9" t="inlineStr">
        <is>
          <t>水属性符箓使用时，获得 8 层露水；水属性符箓使用时，获得 10 层露水；水属性符箓使用时，获得 12 层露水；水属性符箓使用时，获得 14 层露水</t>
        </is>
      </c>
      <c r="P1312" s="9" t="inlineStr">
        <is>
          <t>onItemUse</t>
        </is>
      </c>
      <c r="Q1312" s="9" t="inlineStr">
        <is>
          <t>applyBuff；any</t>
        </is>
      </c>
      <c r="R1312" s="9" t="inlineStr">
        <is>
          <t>{"kind":"triggered","label":"水属性符箓使用时，获得 8 层露水","triggeredEffect":{"trigger":"onItemUse","type":"applyBuff","buffId":"dew","count":8,"eventSource":{"target":{"type":"any"},"filter":{"categories":["talisman"],"elements":["water"]}}},"starOverrides":{"1":{"label":"水属性符箓使用时，获得 10 层露水","triggeredEffect":{"count":10}},"2":{"label":"水属性符箓使用时，获得 12 层露水","triggeredEffect":{"count":12}},"3":{"label":"水属性符箓使用时，获得 14 层露水","triggeredEffect":{"count":14}}}}</t>
        </is>
      </c>
    </row>
    <row r="1313" ht="32" customHeight="1">
      <c r="A1313" s="8" t="n">
        <v>419075</v>
      </c>
      <c r="B1313" s="8" t="inlineStr">
        <is>
          <t>无相归置架</t>
        </is>
      </c>
      <c r="C1313" s="8" t="inlineStr">
        <is>
          <t>法器</t>
        </is>
      </c>
      <c r="D1313" s="8" t="inlineStr">
        <is>
          <t>spirit</t>
        </is>
      </c>
      <c r="E1313" s="8" t="inlineStr">
        <is>
          <t>none</t>
        </is>
      </c>
      <c r="F1313" s="8" t="n">
        <v>1</v>
      </c>
      <c r="G1313" s="8" t="inlineStr">
        <is>
          <t>基础/顶层</t>
        </is>
      </c>
      <c r="H1313" s="8" t="inlineStr"/>
      <c r="I1313" s="9" t="inlineStr"/>
      <c r="J1313" s="8" t="inlineStr"/>
      <c r="K1313" s="8" t="inlineStr"/>
      <c r="L1313" s="8" t="inlineStr"/>
      <c r="M1313" s="8" t="inlineStr">
        <is>
          <t>周期触发</t>
        </is>
      </c>
      <c r="N1313" s="8" t="inlineStr">
        <is>
          <t>periodicPulse</t>
        </is>
      </c>
      <c r="O1313" s="9" t="inlineStr">
        <is>
          <t>消耗 4 点神识，获得 16 层护甲；消耗 4 点神识，获得 20 层护甲；消耗 4 点神识，获得 24 层护甲；消耗 4 点神识，获得 28 层护甲</t>
        </is>
      </c>
      <c r="P1313" s="9" t="inlineStr"/>
      <c r="Q1313" s="9" t="inlineStr"/>
      <c r="R1313" s="9" t="inlineStr">
        <is>
          <t>{"kind":"periodicPulse","label":"消耗 4 点神识，获得 16 层护甲","periodicPulse":{"intervalSec":7,"label":"消耗 4 点神识，获得 16 层护甲","primaryStatCosts":[{"stat":"spiritSense","amount":4}],"buffGains":[{"buffId":"armor","count":16}]},"starOverrides":{"1":{"label":"消耗 4 点神识，获得 20 层护甲","periodicPulse":{"label":"消耗 4 点神识，获得 20 层护甲","buffGains":[{"buffId":"armor","count":20}]}},"2":{"label":"消耗 4 点神识，获得 24 层护甲","periodicPulse":{"label":"消耗 4 点神识，获得 24 层护甲","buffGains":[{"buffId":"armor","count":24}]}},"3":{"label":"消耗 4 点神识，获得 28 层护甲","periodicPulse":{"label":"消耗 4 点神识，获得 28 层护甲","buffGains":[{"buffId":"armor","count":28}]}}}}</t>
        </is>
      </c>
    </row>
    <row r="1314" ht="32" customHeight="1">
      <c r="A1314" s="8" t="n">
        <v>419101</v>
      </c>
      <c r="B1314" s="8" t="inlineStr">
        <is>
          <t>震云铜哨</t>
        </is>
      </c>
      <c r="C1314" s="8" t="inlineStr">
        <is>
          <t>法器</t>
        </is>
      </c>
      <c r="D1314" s="8" t="inlineStr">
        <is>
          <t>common</t>
        </is>
      </c>
      <c r="E1314" s="8" t="inlineStr">
        <is>
          <t>thunder</t>
        </is>
      </c>
      <c r="F1314" s="8" t="n">
        <v>1</v>
      </c>
      <c r="G1314" s="8" t="inlineStr">
        <is>
          <t>基础/顶层</t>
        </is>
      </c>
      <c r="H1314" s="8" t="inlineStr"/>
      <c r="I1314" s="9" t="inlineStr"/>
      <c r="J1314" s="8" t="inlineStr"/>
      <c r="K1314" s="8" t="inlineStr"/>
      <c r="L1314" s="8" t="inlineStr"/>
      <c r="M1314" s="8" t="inlineStr">
        <is>
          <t>周期触发</t>
        </is>
      </c>
      <c r="N1314" s="8" t="inlineStr">
        <is>
          <t>periodicPulse</t>
        </is>
      </c>
      <c r="O1314" s="9" t="inlineStr">
        <is>
          <t>获得 1 层引雷；获得 2 层引雷；获得 3 层引雷；获得 4 层引雷</t>
        </is>
      </c>
      <c r="P1314" s="9" t="inlineStr"/>
      <c r="Q1314" s="9" t="inlineStr"/>
      <c r="R1314" s="9" t="inlineStr">
        <is>
          <t>{"kind":"periodicPulse","label":"获得 1 层引雷","periodicPulse":{"intervalSec":12,"label":"获得 1 层引雷","buffGains":[{"buffId":"lightningCharge","count":1}]},"starOverrides":{"1":{"label":"获得 2 层引雷","periodicPulse":{"label":"获得 2 层引雷","buffGains":[{"count":2}]}},"2":{"label":"获得 3 层引雷","periodicPulse":{"label":"获得 3 层引雷","buffGains":[{"count":3}]}},"3":{"label":"获得 4 层引雷","periodicPulse":{"label":"获得 4 层引雷","buffGains":[{"count":4}]}}}}</t>
        </is>
      </c>
    </row>
    <row r="1315" ht="32" customHeight="1">
      <c r="A1315" s="8" t="n">
        <v>419102</v>
      </c>
      <c r="B1315" s="8" t="inlineStr">
        <is>
          <t>藏霆木胆</t>
        </is>
      </c>
      <c r="C1315" s="8" t="inlineStr">
        <is>
          <t>法器</t>
        </is>
      </c>
      <c r="D1315" s="8" t="inlineStr">
        <is>
          <t>common</t>
        </is>
      </c>
      <c r="E1315" s="8" t="inlineStr">
        <is>
          <t>thunder</t>
        </is>
      </c>
      <c r="F1315" s="8" t="n">
        <v>1</v>
      </c>
      <c r="G1315" s="8" t="inlineStr">
        <is>
          <t>基础/顶层</t>
        </is>
      </c>
      <c r="H1315" s="8" t="inlineStr"/>
      <c r="I1315" s="9" t="inlineStr"/>
      <c r="J1315" s="8" t="inlineStr"/>
      <c r="K1315" s="8" t="inlineStr"/>
      <c r="L1315" s="8" t="inlineStr"/>
      <c r="M1315" s="8" t="inlineStr">
        <is>
          <t>周期触发</t>
        </is>
      </c>
      <c r="N1315" s="8" t="inlineStr">
        <is>
          <t>periodicPulse</t>
        </is>
      </c>
      <c r="O1315" s="9" t="inlineStr">
        <is>
          <t>开局时，获得 4 层引雷；开局时，获得 5 层引雷；开局时，获得 6 层引雷；开局时，获得 7 层引雷</t>
        </is>
      </c>
      <c r="P1315" s="9" t="inlineStr"/>
      <c r="Q1315" s="9" t="inlineStr"/>
      <c r="R1315" s="9" t="inlineStr">
        <is>
          <t>{"kind":"periodicPulse","label":"开局时，获得 4 层引雷","periodicPulse":{"startOnly":true,"label":"开局时，获得 4 层引雷","buffGains":[{"buffId":"lightningCharge","count":4}]},"starOverrides":{"1":{"label":"开局时，获得 5 层引雷","periodicPulse":{"label":"开局时，获得 5 层引雷","buffGains":[{"count":5}]}},"2":{"label":"开局时，获得 6 层引雷","periodicPulse":{"label":"开局时，获得 6 层引雷","buffGains":[{"count":6}]}},"3":{"label":"开局时，获得 7 层引雷","periodicPulse":{"label":"开局时，获得 7 层引雷","buffGains":[{"count":7}]}}}}</t>
        </is>
      </c>
    </row>
    <row r="1316" ht="32" customHeight="1">
      <c r="A1316" s="8" t="n">
        <v>419102</v>
      </c>
      <c r="B1316" s="8" t="inlineStr">
        <is>
          <t>藏霆木胆</t>
        </is>
      </c>
      <c r="C1316" s="8" t="inlineStr">
        <is>
          <t>法器</t>
        </is>
      </c>
      <c r="D1316" s="8" t="inlineStr">
        <is>
          <t>common</t>
        </is>
      </c>
      <c r="E1316" s="8" t="inlineStr">
        <is>
          <t>thunder</t>
        </is>
      </c>
      <c r="F1316" s="8" t="n">
        <v>2</v>
      </c>
      <c r="G1316" s="8" t="inlineStr">
        <is>
          <t>基础/顶层</t>
        </is>
      </c>
      <c r="H1316" s="8" t="inlineStr"/>
      <c r="I1316" s="9" t="inlineStr"/>
      <c r="J1316" s="8" t="inlineStr"/>
      <c r="K1316" s="8" t="inlineStr"/>
      <c r="L1316" s="8" t="inlineStr"/>
      <c r="M1316" s="8" t="inlineStr">
        <is>
          <t>周期触发</t>
        </is>
      </c>
      <c r="N1316" s="8" t="inlineStr">
        <is>
          <t>periodicPulse</t>
        </is>
      </c>
      <c r="O1316" s="9" t="inlineStr">
        <is>
          <t>开局时，引雷达到 20 层，额外获得 5 层引雷</t>
        </is>
      </c>
      <c r="P1316" s="9" t="inlineStr"/>
      <c r="Q1316" s="9" t="inlineStr"/>
      <c r="R1316" s="9" t="inlineStr">
        <is>
          <t>{"kind":"periodicPulse","label":"开局时，引雷达到 20 层，额外获得 5 层引雷","periodicPulse":{"startOnly":true,"label":"开局时，引雷达到 20 层，额外获得 5 层引雷","buffGains":[{"buffId":"lightningCharge","count":5}],"activationRequirements":{"buffStackThresholds":[{"buffId":"lightningCharge","comparator":"atLeast","count":20}]}}}</t>
        </is>
      </c>
    </row>
    <row r="1317" ht="32" customHeight="1">
      <c r="A1317" s="8" t="n">
        <v>419103</v>
      </c>
      <c r="B1317" s="8" t="inlineStr">
        <is>
          <t>纳气雷罐</t>
        </is>
      </c>
      <c r="C1317" s="8" t="inlineStr">
        <is>
          <t>法器</t>
        </is>
      </c>
      <c r="D1317" s="8" t="inlineStr">
        <is>
          <t>common</t>
        </is>
      </c>
      <c r="E1317" s="8" t="inlineStr">
        <is>
          <t>thunder</t>
        </is>
      </c>
      <c r="F1317" s="8" t="n">
        <v>1</v>
      </c>
      <c r="G1317" s="8" t="inlineStr">
        <is>
          <t>基础/顶层</t>
        </is>
      </c>
      <c r="H1317" s="8" t="inlineStr"/>
      <c r="I1317" s="9" t="inlineStr"/>
      <c r="J1317" s="8" t="inlineStr"/>
      <c r="K1317" s="8" t="inlineStr"/>
      <c r="L1317" s="8" t="inlineStr"/>
      <c r="M1317" s="8" t="inlineStr">
        <is>
          <t>周期触发</t>
        </is>
      </c>
      <c r="N1317" s="8" t="inlineStr">
        <is>
          <t>periodicPulse</t>
        </is>
      </c>
      <c r="O1317" s="9" t="inlineStr">
        <is>
          <t>将 10 点法力转化为 6 层引雷；将 10 点法力转化为 9 层引雷；将 10 点法力转化为 12 层引雷；将 10 点法力转化为 15 层引雷</t>
        </is>
      </c>
      <c r="P1317" s="9" t="inlineStr"/>
      <c r="Q1317" s="9" t="inlineStr"/>
      <c r="R1317" s="9" t="inlineStr">
        <is>
          <t>{"kind":"periodicPulse","label":"将 10 点法力转化为 6 层引雷","periodicPulse":{"intervalSec":12,"label":"将 10 点法力转化为 6 层引雷","primaryStatCosts":[{"stat":"mana","amount":10}],"buffGains":[{"buffId":"lightningCharge","count":6}]},"starOverrides":{"1":{"label":"将 10 点法力转化为 9 层引雷","periodicPulse":{"label":"将 10 点法力转化为 9 层引雷","buffGains":[{"count":9}],"primaryStatCosts":[{"amount":10}]}},"2":{"label":"将 10 点法力转化为 12 层引雷","periodicPulse":{"label":"将 10 点法力转化为 12 层引雷","buffGains":[{"count":12}],"primaryStatCosts":[{"amount":10}]}},"3":{"label":"将 10 点法力转化为 15 层引雷","periodicPulse":{"label":"将 10 点法力转化为 15 层引雷","buffGains":[{"count":15}],"primaryStatCosts":[{"amount":10}]}}}}</t>
        </is>
      </c>
    </row>
    <row r="1318" ht="32" customHeight="1">
      <c r="A1318" s="8" t="n">
        <v>419104</v>
      </c>
      <c r="B1318" s="8" t="inlineStr">
        <is>
          <t>踏霆铜履</t>
        </is>
      </c>
      <c r="C1318" s="8" t="inlineStr">
        <is>
          <t>法器</t>
        </is>
      </c>
      <c r="D1318" s="8" t="inlineStr">
        <is>
          <t>common</t>
        </is>
      </c>
      <c r="E1318" s="8" t="inlineStr">
        <is>
          <t>thunder</t>
        </is>
      </c>
      <c r="F1318" s="8" t="n">
        <v>1</v>
      </c>
      <c r="G1318" s="8" t="inlineStr">
        <is>
          <t>基础/顶层</t>
        </is>
      </c>
      <c r="H1318" s="8" t="inlineStr"/>
      <c r="I1318" s="9" t="inlineStr"/>
      <c r="J1318" s="8" t="inlineStr"/>
      <c r="K1318" s="8" t="inlineStr"/>
      <c r="L1318" s="8" t="inlineStr"/>
      <c r="M1318" s="8" t="inlineStr">
        <is>
          <t>周期触发</t>
        </is>
      </c>
      <c r="N1318" s="8" t="inlineStr">
        <is>
          <t>periodicPulse</t>
        </is>
      </c>
      <c r="O1318" s="9" t="inlineStr">
        <is>
          <t>将 10 点体力转化为 4 层引雷；将 10 点体力转化为 6 层引雷；将 10 点体力转化为 8 层引雷；将 10 点体力转化为 10 层引雷</t>
        </is>
      </c>
      <c r="P1318" s="9" t="inlineStr"/>
      <c r="Q1318" s="9" t="inlineStr"/>
      <c r="R1318" s="9" t="inlineStr">
        <is>
          <t>{"kind":"periodicPulse","label":"将 10 点体力转化为 4 层引雷","periodicPulse":{"intervalSec":12,"label":"将 10 点体力转化为 4 层引雷","primaryStatCosts":[{"stat":"stamina","amount":10}],"buffGains":[{"buffId":"lightningCharge","count":4}]},"starOverrides":{"1":{"label":"将 10 点体力转化为 6 层引雷","periodicPulse":{"label":"将 10 点体力转化为 6 层引雷","buffGains":[{"count":6}],"primaryStatCosts":[{"amount":10}]}},"2":{"label":"将 10 点体力转化为 8 层引雷","periodicPulse":{"label":"将 10 点体力转化为 8 层引雷","buffGains":[{"count":8}],"primaryStatCosts":[{"amount":10}]}},"3":{"label":"将 10 点体力转化为 10 层引雷","periodicPulse":{"label":"将 10 点体力转化为 10 层引雷","buffGains":[{"count":10}],"primaryStatCosts":[{"amount":10}]}}}}</t>
        </is>
      </c>
    </row>
    <row r="1319" ht="32" customHeight="1">
      <c r="A1319" s="8" t="n">
        <v>419105</v>
      </c>
      <c r="B1319" s="8" t="inlineStr">
        <is>
          <t>露转雷盂</t>
        </is>
      </c>
      <c r="C1319" s="8" t="inlineStr">
        <is>
          <t>法器</t>
        </is>
      </c>
      <c r="D1319" s="8" t="inlineStr">
        <is>
          <t>common</t>
        </is>
      </c>
      <c r="E1319" s="8" t="inlineStr">
        <is>
          <t>thunder</t>
        </is>
      </c>
      <c r="F1319" s="8" t="n">
        <v>1</v>
      </c>
      <c r="G1319" s="8" t="inlineStr">
        <is>
          <t>基础/顶层</t>
        </is>
      </c>
      <c r="H1319" s="8" t="inlineStr"/>
      <c r="I1319" s="9" t="inlineStr"/>
      <c r="J1319" s="8" t="inlineStr"/>
      <c r="K1319" s="8" t="inlineStr"/>
      <c r="L1319" s="8" t="inlineStr"/>
      <c r="M1319" s="8" t="inlineStr">
        <is>
          <t>周期触发</t>
        </is>
      </c>
      <c r="N1319" s="8" t="inlineStr">
        <is>
          <t>periodicPulse</t>
        </is>
      </c>
      <c r="O1319" s="9" t="inlineStr">
        <is>
          <t>将 5 层露水转化为 5 层引雷；将 10 层露水转化为 10 层引雷；将 15 层露水转化为 15 层引雷；将 20 层露水转化为 20 层引雷</t>
        </is>
      </c>
      <c r="P1319" s="9" t="inlineStr">
        <is>
          <t>onPeriodicPulse</t>
        </is>
      </c>
      <c r="Q1319" s="9" t="inlineStr">
        <is>
          <t>convertBuffStacks</t>
        </is>
      </c>
      <c r="R1319" s="9" t="inlineStr">
        <is>
          <t>{"kind":"periodicPulse","label":"将 5 层露水转化为 5 层引雷","periodicPulse":{"intervalSec":11,"label":"将 5 层露水转化为 5 层引雷"},"executors":[{"trigger":"onPeriodicPulse","type":"convertBuffStacks","label":"将 5 层露水转化为 5 层引雷","sourceBuffId":"dew","targetBuffId":"lightningCharge","maxStacks":5,"consumeRatio":1}],"starOverrides":{"1":{"periodicPulse":{"intervalSec":10,"label":"将 10 层露水转化为 10 层引雷"},"label":"将 10 层露水转化为 10 层引雷","executors":[{"maxStacks":10,"consumeRatio":1,"label":"将 10 层露水转化为 10 层引雷"}]},"2":{"periodicPulse":{"intervalSec":9,"label":"将 15 层露水转化为 15 层引雷"},"label":"将 15 层露水转化为 15 层引雷","executors":[{"maxStacks":15,"consumeRatio":1,"label":"将 15 层露水转化为 15 层引雷"}]},"3":{"periodicPulse":{"intervalSec":8,"label":"将 20 层露水转化为 20 层引雷"},"label":"将 20 层露水转化为 20 层引雷","executors":[{"maxStacks":20,"consumeRatio":1,"label":"将 20 层露水转化为 20 层引雷"}]}}}</t>
        </is>
      </c>
    </row>
    <row r="1320" ht="32" customHeight="1">
      <c r="A1320" s="8" t="n">
        <v>419106</v>
      </c>
      <c r="B1320" s="8" t="inlineStr">
        <is>
          <t>寒转霆锥</t>
        </is>
      </c>
      <c r="C1320" s="8" t="inlineStr">
        <is>
          <t>法器</t>
        </is>
      </c>
      <c r="D1320" s="8" t="inlineStr">
        <is>
          <t>common</t>
        </is>
      </c>
      <c r="E1320" s="8" t="inlineStr">
        <is>
          <t>thunder</t>
        </is>
      </c>
      <c r="F1320" s="8" t="n">
        <v>1</v>
      </c>
      <c r="G1320" s="8" t="inlineStr">
        <is>
          <t>基础/顶层</t>
        </is>
      </c>
      <c r="H1320" s="8" t="inlineStr"/>
      <c r="I1320" s="9" t="inlineStr"/>
      <c r="J1320" s="8" t="inlineStr"/>
      <c r="K1320" s="8" t="inlineStr"/>
      <c r="L1320" s="8" t="inlineStr"/>
      <c r="M1320" s="8" t="inlineStr">
        <is>
          <t>周期触发</t>
        </is>
      </c>
      <c r="N1320" s="8" t="inlineStr">
        <is>
          <t>periodicPulse</t>
        </is>
      </c>
      <c r="O1320" s="9" t="inlineStr">
        <is>
          <t>将 5 层寒冷转化为 5 层引雷；将 10 层寒冷转化为 10 层引雷；将 15 层寒冷转化为 15 层引雷；将 20 层寒冷转化为 20 层引雷</t>
        </is>
      </c>
      <c r="P1320" s="9" t="inlineStr">
        <is>
          <t>onPeriodicPulse</t>
        </is>
      </c>
      <c r="Q1320" s="9" t="inlineStr">
        <is>
          <t>convertBuffStacks</t>
        </is>
      </c>
      <c r="R1320" s="9" t="inlineStr">
        <is>
          <t>{"kind":"periodicPulse","label":"将 5 层寒冷转化为 5 层引雷","periodicPulse":{"intervalSec":11,"label":"将 5 层寒冷转化为 5 层引雷"},"executors":[{"trigger":"onPeriodicPulse","type":"convertBuffStacks","label":"将 5 层寒冷转化为 5 层引雷","sourceBuffId":"cold","targetBuffId":"lightningCharge","maxStacks":5,"consumeRatio":1}],"starOverrides":{"1":{"periodicPulse":{"intervalSec":10,"label":"将 10 层寒冷转化为 10 层引雷"},"label":"将 10 层寒冷转化为 10 层引雷","executors":[{"maxStacks":10,"consumeRatio":1,"label":"将 10 层寒冷转化为 10 层引雷"}]},"2":{"periodicPulse":{"intervalSec":9,"label":"将 15 层寒冷转化为 15 层引雷"},"label":"将 15 层寒冷转化为 15 层引雷","executors":[{"maxStacks":15,"consumeRatio":1,"label":"将 15 层寒冷转化为 15 层引雷"}]},"3":{"periodicPulse":{"intervalSec":8,"label":"将 20 层寒冷转化为 20 层引雷"},"label":"将 20 层寒冷转化为 20 层引雷","executors":[{"maxStacks":20,"consumeRatio":1,"label":"将 20 层寒冷转化为 20 层引雷"}]}}}</t>
        </is>
      </c>
    </row>
    <row r="1321" ht="32" customHeight="1">
      <c r="A1321" s="8" t="n">
        <v>419107</v>
      </c>
      <c r="B1321" s="8" t="inlineStr">
        <is>
          <t>熄焰电珠</t>
        </is>
      </c>
      <c r="C1321" s="8" t="inlineStr">
        <is>
          <t>法器</t>
        </is>
      </c>
      <c r="D1321" s="8" t="inlineStr">
        <is>
          <t>common</t>
        </is>
      </c>
      <c r="E1321" s="8" t="inlineStr">
        <is>
          <t>thunder</t>
        </is>
      </c>
      <c r="F1321" s="8" t="n">
        <v>1</v>
      </c>
      <c r="G1321" s="8" t="inlineStr">
        <is>
          <t>基础/顶层</t>
        </is>
      </c>
      <c r="H1321" s="8" t="inlineStr"/>
      <c r="I1321" s="9" t="inlineStr"/>
      <c r="J1321" s="8" t="inlineStr"/>
      <c r="K1321" s="8" t="inlineStr"/>
      <c r="L1321" s="8" t="inlineStr"/>
      <c r="M1321" s="8" t="inlineStr">
        <is>
          <t>周期触发</t>
        </is>
      </c>
      <c r="N1321" s="8" t="inlineStr">
        <is>
          <t>periodicPulse</t>
        </is>
      </c>
      <c r="O1321" s="9" t="inlineStr">
        <is>
          <t>将 5 层炎热转化为 5 层引雷；将 10 层炎热转化为 10 层引雷；将 15 层炎热转化为 15 层引雷；将 20 层炎热转化为 20 层引雷</t>
        </is>
      </c>
      <c r="P1321" s="9" t="inlineStr">
        <is>
          <t>onPeriodicPulse</t>
        </is>
      </c>
      <c r="Q1321" s="9" t="inlineStr">
        <is>
          <t>convertBuffStacks</t>
        </is>
      </c>
      <c r="R1321" s="9" t="inlineStr">
        <is>
          <t>{"kind":"periodicPulse","label":"将 5 层炎热转化为 5 层引雷","periodicPulse":{"intervalSec":11,"label":"将 5 层炎热转化为 5 层引雷"},"executors":[{"trigger":"onPeriodicPulse","type":"convertBuffStacks","label":"将 5 层炎热转化为 5 层引雷","sourceBuffId":"heat","targetBuffId":"lightningCharge","maxStacks":5,"consumeRatio":1}],"starOverrides":{"1":{"periodicPulse":{"intervalSec":10,"label":"将 10 层炎热转化为 10 层引雷"},"label":"将 10 层炎热转化为 10 层引雷","executors":[{"maxStacks":10,"consumeRatio":1,"label":"将 10 层炎热转化为 10 层引雷"}]},"2":{"periodicPulse":{"intervalSec":9,"label":"将 15 层炎热转化为 15 层引雷"},"label":"将 15 层炎热转化为 15 层引雷","executors":[{"maxStacks":15,"consumeRatio":1,"label":"将 15 层炎热转化为 15 层引雷"}]},"3":{"periodicPulse":{"intervalSec":8,"label":"将 20 层炎热转化为 20 层引雷"},"label":"将 20 层炎热转化为 20 层引雷","executors":[{"maxStacks":20,"consumeRatio":1,"label":"将 20 层炎热转化为 20 层引雷"}]}}}</t>
        </is>
      </c>
    </row>
    <row r="1322" ht="32" customHeight="1">
      <c r="A1322" s="8" t="n">
        <v>419108</v>
      </c>
      <c r="B1322" s="8" t="inlineStr">
        <is>
          <t>金磁鸣盘</t>
        </is>
      </c>
      <c r="C1322" s="8" t="inlineStr">
        <is>
          <t>法器</t>
        </is>
      </c>
      <c r="D1322" s="8" t="inlineStr">
        <is>
          <t>common</t>
        </is>
      </c>
      <c r="E1322" s="8" t="inlineStr">
        <is>
          <t>thunder</t>
        </is>
      </c>
      <c r="F1322" s="8" t="n">
        <v>1</v>
      </c>
      <c r="G1322" s="8" t="inlineStr">
        <is>
          <t>基础/顶层</t>
        </is>
      </c>
      <c r="H1322" s="8" t="inlineStr"/>
      <c r="I1322" s="9" t="inlineStr"/>
      <c r="J1322" s="8" t="inlineStr"/>
      <c r="K1322" s="8" t="inlineStr"/>
      <c r="L1322" s="8" t="inlineStr"/>
      <c r="M1322" s="8" t="inlineStr">
        <is>
          <t>周期触发</t>
        </is>
      </c>
      <c r="N1322" s="8" t="inlineStr">
        <is>
          <t>periodicPulse</t>
        </is>
      </c>
      <c r="O1322" s="9" t="inlineStr">
        <is>
          <t>将 5 层凝金转化为 5 层引雷；将 10 层凝金转化为 10 层引雷；将 15 层凝金转化为 15 层引雷；将 20 层凝金转化为 20 层引雷</t>
        </is>
      </c>
      <c r="P1322" s="9" t="inlineStr">
        <is>
          <t>onPeriodicPulse</t>
        </is>
      </c>
      <c r="Q1322" s="9" t="inlineStr">
        <is>
          <t>convertBuffStacks</t>
        </is>
      </c>
      <c r="R1322" s="9" t="inlineStr">
        <is>
          <t>{"kind":"periodicPulse","label":"将 5 层凝金转化为 5 层引雷","periodicPulse":{"intervalSec":12,"label":"将 5 层凝金转化为 5 层引雷"},"executors":[{"trigger":"onPeriodicPulse","type":"convertBuffStacks","label":"将 5 层凝金转化为 5 层引雷","sourceBuffId":"condensedMetal","targetBuffId":"lightningCharge","maxStacks":5,"consumeRatio":1}],"starOverrides":{"1":{"periodicPulse":{"intervalSec":11,"label":"将 10 层凝金转化为 10 层引雷"},"label":"将 10 层凝金转化为 10 层引雷","executors":[{"maxStacks":10,"consumeRatio":1,"label":"将 10 层凝金转化为 10 层引雷"}]},"2":{"periodicPulse":{"intervalSec":10,"label":"将 15 层凝金转化为 15 层引雷"},"label":"将 15 层凝金转化为 15 层引雷","executors":[{"maxStacks":15,"consumeRatio":1,"label":"将 15 层凝金转化为 15 层引雷"}]},"3":{"periodicPulse":{"intervalSec":9,"label":"将 20 层凝金转化为 20 层引雷"},"label":"将 20 层凝金转化为 20 层引雷","executors":[{"maxStacks":20,"consumeRatio":1,"label":"将 20 层凝金转化为 20 层引雷"}]}}}</t>
        </is>
      </c>
    </row>
    <row r="1323" ht="32" customHeight="1">
      <c r="A1323" s="8" t="n">
        <v>419109</v>
      </c>
      <c r="B1323" s="8" t="inlineStr">
        <is>
          <t>三联雷桩</t>
        </is>
      </c>
      <c r="C1323" s="8" t="inlineStr">
        <is>
          <t>法器</t>
        </is>
      </c>
      <c r="D1323" s="8" t="inlineStr">
        <is>
          <t>common</t>
        </is>
      </c>
      <c r="E1323" s="8" t="inlineStr">
        <is>
          <t>thunder</t>
        </is>
      </c>
      <c r="F1323" s="8" t="n">
        <v>1</v>
      </c>
      <c r="G1323" s="8" t="inlineStr">
        <is>
          <t>基础/顶层</t>
        </is>
      </c>
      <c r="H1323" s="8" t="inlineStr"/>
      <c r="I1323" s="9" t="inlineStr"/>
      <c r="J1323" s="8" t="inlineStr"/>
      <c r="K1323" s="8" t="inlineStr"/>
      <c r="L1323" s="8" t="inlineStr"/>
      <c r="M1323" s="8" t="inlineStr">
        <is>
          <t>周期触发</t>
        </is>
      </c>
      <c r="N1323" s="8" t="inlineStr">
        <is>
          <t>periodicPulse</t>
        </is>
      </c>
      <c r="O1323" s="9" t="inlineStr">
        <is>
          <t>相邻至少 2 件雷属性道具时，获得 6 层引雷；相邻至少 2 件雷属性道具时，获得 9 层引雷；相邻至少 2 件雷属性道具时，获得 12 层引雷；相邻至少 2 件雷属性道具时，获得 15 层引雷</t>
        </is>
      </c>
      <c r="P1323" s="9" t="inlineStr"/>
      <c r="Q1323" s="9" t="inlineStr"/>
      <c r="R1323" s="9" t="inlineStr">
        <is>
          <t>{"kind":"periodicPulse","label":"相邻至少 2 件雷属性道具时，获得 6 层引雷","periodicPulse":{"activationRequirements":{"neighborCounts":[{"minCount":2,"elements":["thunder"]}]},"intervalSec":12,"label":"相邻至少 2 件雷属性道具时，获得 6 层引雷","buffGains":[{"buffId":"lightningCharge","count":6}]},"starOverrides":{"1":{"label":"相邻至少 2 件雷属性道具时，获得 9 层引雷","periodicPulse":{"label":"相邻至少 2 件雷属性道具时，获得 9 层引雷","buffGains":[{"count":9}]}},"2":{"label":"相邻至少 2 件雷属性道具时，获得 12 层引雷","periodicPulse":{"label":"相邻至少 2 件雷属性道具时，获得 12 层引雷","buffGains":[{"count":12}]}},"3":{"label":"相邻至少 2 件雷属性道具时，获得 15 层引雷","periodicPulse":{"label":"相邻至少 2 件雷属性道具时，获得 15 层引雷","buffGains":[{"count":15}]}}}}</t>
        </is>
      </c>
    </row>
    <row r="1324" ht="32" customHeight="1">
      <c r="A1324" s="8" t="n">
        <v>419110</v>
      </c>
      <c r="B1324" s="8" t="inlineStr">
        <is>
          <t>角宿引雷钉</t>
        </is>
      </c>
      <c r="C1324" s="8" t="inlineStr">
        <is>
          <t>法器</t>
        </is>
      </c>
      <c r="D1324" s="8" t="inlineStr">
        <is>
          <t>common</t>
        </is>
      </c>
      <c r="E1324" s="8" t="inlineStr">
        <is>
          <t>thunder</t>
        </is>
      </c>
      <c r="F1324" s="8" t="n">
        <v>1</v>
      </c>
      <c r="G1324" s="8" t="inlineStr">
        <is>
          <t>基础/顶层</t>
        </is>
      </c>
      <c r="H1324" s="8" t="inlineStr"/>
      <c r="I1324" s="9" t="inlineStr"/>
      <c r="J1324" s="8" t="inlineStr"/>
      <c r="K1324" s="8" t="inlineStr"/>
      <c r="L1324" s="8" t="inlineStr"/>
      <c r="M1324" s="8" t="inlineStr">
        <is>
          <t>周期触发</t>
        </is>
      </c>
      <c r="N1324" s="8" t="inlineStr">
        <is>
          <t>periodicPulse</t>
        </is>
      </c>
      <c r="O1324" s="9" t="inlineStr">
        <is>
          <t>位于储物袋角落时，获得 2 层引雷；位于储物袋角落时，获得 3 层引雷；位于储物袋角落时，获得 4 层引雷；位于储物袋角落时，获得 5 层引雷</t>
        </is>
      </c>
      <c r="P1324" s="9" t="inlineStr"/>
      <c r="Q1324" s="9" t="inlineStr"/>
      <c r="R1324" s="9" t="inlineStr">
        <is>
          <t>{"kind":"periodicPulse","label":"位于储物袋角落时，获得 2 层引雷","periodicPulse":{"activationRequirements":{"requireCorner":true},"intervalSec":12,"label":"位于储物袋角落时，获得 2 层引雷","buffGains":[{"buffId":"lightningCharge","count":2}]},"starOverrides":{"1":{"label":"位于储物袋角落时，获得 3 层引雷","periodicPulse":{"label":"位于储物袋角落时，获得 3 层引雷","buffGains":[{"count":3}]}},"2":{"label":"位于储物袋角落时，获得 4 层引雷","periodicPulse":{"label":"位于储物袋角落时，获得 4 层引雷","buffGains":[{"count":4}]}},"3":{"label":"位于储物袋角落时，获得 5 层引雷","periodicPulse":{"label":"位于储物袋角落时，获得 5 层引雷","buffGains":[{"count":5}]}}}}</t>
        </is>
      </c>
    </row>
    <row r="1325" ht="32" customHeight="1">
      <c r="A1325" s="8" t="n">
        <v>419111</v>
      </c>
      <c r="B1325" s="8" t="inlineStr">
        <is>
          <t>惊脉手铃</t>
        </is>
      </c>
      <c r="C1325" s="8" t="inlineStr">
        <is>
          <t>法器</t>
        </is>
      </c>
      <c r="D1325" s="8" t="inlineStr">
        <is>
          <t>common</t>
        </is>
      </c>
      <c r="E1325" s="8" t="inlineStr">
        <is>
          <t>thunder</t>
        </is>
      </c>
      <c r="F1325" s="8" t="n">
        <v>1</v>
      </c>
      <c r="G1325" s="8" t="inlineStr">
        <is>
          <t>基础/顶层</t>
        </is>
      </c>
      <c r="H1325" s="8" t="inlineStr"/>
      <c r="I1325" s="9" t="inlineStr"/>
      <c r="J1325" s="8" t="inlineStr"/>
      <c r="K1325" s="8" t="inlineStr"/>
      <c r="L1325" s="8" t="inlineStr"/>
      <c r="M1325" s="8" t="inlineStr">
        <is>
          <t>周期触发</t>
        </is>
      </c>
      <c r="N1325" s="8" t="inlineStr">
        <is>
          <t>periodicPulse</t>
        </is>
      </c>
      <c r="O1325" s="9" t="inlineStr">
        <is>
          <t>对敌方施加 1 层麻痹；对敌方施加 2 层麻痹；对敌方施加 3 层麻痹；对敌方施加 4 层麻痹</t>
        </is>
      </c>
      <c r="P1325" s="9" t="inlineStr"/>
      <c r="Q1325" s="9" t="inlineStr"/>
      <c r="R1325" s="9" t="inlineStr">
        <is>
          <t>{"kind":"periodicPulse","label":"&lt;battle&gt;对敌方施加 1 层麻痹&lt;/battle&gt;","periodicPulse":{"intervalSec":12,"label":"&lt;battle&gt;对敌方施加 1 层麻痹&lt;/battle&gt;","buffGains":[{"buffId":"paralysis","count":1,"target":"enemy"}]},"starOverrides":{"1":{"label":"&lt;battle&gt;对敌方施加 2 层麻痹&lt;/battle&gt;","periodicPulse":{"label":"&lt;battle&gt;对敌方施加 2 层麻痹&lt;/battle&gt;","buffGains":[{"count":2}]}},"2":{"label":"&lt;battle&gt;对敌方施加 3 层麻痹&lt;/battle&gt;","periodicPulse":{"label":"&lt;battle&gt;对敌方施加 3 层麻痹&lt;/battle&gt;","buffGains":[{"count":3}]}},"3":{"label":"&lt;battle&gt;对敌方施加 4 层麻痹&lt;/battle&gt;","periodicPulse":{"label":"&lt;battle&gt;对敌方施加 4 层麻痹&lt;/battle&gt;","buffGains":[{"count":4}]}}}}</t>
        </is>
      </c>
    </row>
    <row r="1326" ht="32" customHeight="1">
      <c r="A1326" s="8" t="n">
        <v>419112</v>
      </c>
      <c r="B1326" s="8" t="inlineStr">
        <is>
          <t>开枢震片</t>
        </is>
      </c>
      <c r="C1326" s="8" t="inlineStr">
        <is>
          <t>法器</t>
        </is>
      </c>
      <c r="D1326" s="8" t="inlineStr">
        <is>
          <t>common</t>
        </is>
      </c>
      <c r="E1326" s="8" t="inlineStr">
        <is>
          <t>thunder</t>
        </is>
      </c>
      <c r="F1326" s="8" t="n">
        <v>1</v>
      </c>
      <c r="G1326" s="8" t="inlineStr">
        <is>
          <t>基础/顶层</t>
        </is>
      </c>
      <c r="H1326" s="8" t="inlineStr"/>
      <c r="I1326" s="9" t="inlineStr"/>
      <c r="J1326" s="8" t="inlineStr"/>
      <c r="K1326" s="8" t="inlineStr"/>
      <c r="L1326" s="8" t="inlineStr"/>
      <c r="M1326" s="8" t="inlineStr">
        <is>
          <t>周期触发</t>
        </is>
      </c>
      <c r="N1326" s="8" t="inlineStr">
        <is>
          <t>periodicPulse</t>
        </is>
      </c>
      <c r="O1326" s="9" t="inlineStr">
        <is>
          <t>开局时，对敌方施加 3 层麻痹；开局时，对敌方施加 4 层麻痹；开局时，对敌方施加 5 层麻痹；开局时，对敌方施加 6 层麻痹</t>
        </is>
      </c>
      <c r="P1326" s="9" t="inlineStr"/>
      <c r="Q1326" s="9" t="inlineStr"/>
      <c r="R1326" s="9" t="inlineStr">
        <is>
          <t>{"kind":"periodicPulse","label":"开局时，&lt;battle&gt;对敌方施加 3 层麻痹&lt;/battle&gt;","periodicPulse":{"startOnly":true,"label":"开局时，&lt;battle&gt;对敌方施加 3 层麻痹&lt;/battle&gt;","buffGains":[{"buffId":"paralysis","count":3,"target":"enemy"}]},"starOverrides":{"1":{"label":"开局时，&lt;battle&gt;对敌方施加 4 层麻痹&lt;/battle&gt;","periodicPulse":{"label":"开局时，&lt;battle&gt;对敌方施加 4 层麻痹&lt;/battle&gt;","buffGains":[{"count":4}]}},"2":{"label":"开局时，&lt;battle&gt;对敌方施加 5 层麻痹&lt;/battle&gt;","periodicPulse":{"label":"开局时，&lt;battle&gt;对敌方施加 5 层麻痹&lt;/battle&gt;","buffGains":[{"count":5}]}},"3":{"label":"开局时，&lt;battle&gt;对敌方施加 6 层麻痹&lt;/battle&gt;","periodicPulse":{"label":"开局时，&lt;battle&gt;对敌方施加 6 层麻痹&lt;/battle&gt;","buffGains":[{"count":6}]}}}}</t>
        </is>
      </c>
    </row>
    <row r="1327" ht="32" customHeight="1">
      <c r="A1327" s="8" t="n">
        <v>419113</v>
      </c>
      <c r="B1327" s="8" t="inlineStr">
        <is>
          <t>雷化麻针</t>
        </is>
      </c>
      <c r="C1327" s="8" t="inlineStr">
        <is>
          <t>法器</t>
        </is>
      </c>
      <c r="D1327" s="8" t="inlineStr">
        <is>
          <t>common</t>
        </is>
      </c>
      <c r="E1327" s="8" t="inlineStr">
        <is>
          <t>thunder</t>
        </is>
      </c>
      <c r="F1327" s="8" t="n">
        <v>1</v>
      </c>
      <c r="G1327" s="8" t="inlineStr">
        <is>
          <t>基础/顶层</t>
        </is>
      </c>
      <c r="H1327" s="8" t="inlineStr"/>
      <c r="I1327" s="9" t="inlineStr"/>
      <c r="J1327" s="8" t="inlineStr"/>
      <c r="K1327" s="8" t="inlineStr"/>
      <c r="L1327" s="8" t="inlineStr"/>
      <c r="M1327" s="8" t="inlineStr">
        <is>
          <t>周期触发</t>
        </is>
      </c>
      <c r="N1327" s="8" t="inlineStr">
        <is>
          <t>periodicPulse</t>
        </is>
      </c>
      <c r="O1327" s="9" t="inlineStr">
        <is>
          <t>最多消耗 3 层引雷；每消耗 1 层，对敌方施加 1 层麻痹；最多消耗 4 层引雷；每消耗 1 层，对敌方施加 1 层麻痹；最多消耗 5 层引雷；每消耗 1 层，对敌方施加 1 层麻痹；最多消耗 6 层引雷；每消耗 1 层，对敌方施加 1 层麻痹</t>
        </is>
      </c>
      <c r="P1327" s="9" t="inlineStr">
        <is>
          <t>onPeriodicPulse</t>
        </is>
      </c>
      <c r="Q1327" s="9" t="inlineStr">
        <is>
          <t>consumeBuffStacks</t>
        </is>
      </c>
      <c r="R1327" s="9" t="inlineStr">
        <is>
          <t>{"kind":"periodicPulse","label":"最多消耗 3 层引雷；&lt;battle&gt;每消耗 1 层，对敌方施加 1 层麻痹&lt;/battle&gt;","periodicPulse":{"intervalSec":10,"label":"最多消耗 3 层引雷；&lt;battle&gt;每消耗 1 层，对敌方施加 1 层麻痹&lt;/battle&gt;"},"executors":[{"trigger":"onPeriodicPulse","type":"consumeBuffStacks","sourceBuffId":"lightningCharge","maxStacks":3,"targetBuffGainPerStack":{"buffId":"paralysis","countPerStack":1},"support":"common","label":"最多消耗 3 层引雷；&lt;battle&gt;每消耗 1 层，对敌方施加 1 层麻痹&lt;/battle&gt;"}],"starOverrides":{"1":{"label":"最多消耗 4 层引雷；&lt;battle&gt;每消耗 1 层，对敌方施加 1 层麻痹&lt;/battle&gt;","periodicPulse":{"label":"最多消耗 4 层引雷；&lt;battle&gt;每消耗 1 层，对敌方施加 1 层麻痹&lt;/battle&gt;"},"executors":[{"maxStacks":4,"label":"最多消耗 4 层引雷；&lt;battle&gt;每消耗 1 层，对敌方施加 1 层麻痹&lt;/battle&gt;"}]},"2":{"label":"最多消耗 5 层引雷；&lt;battle&gt;每消耗 1 层，对敌方施加 1 层麻痹&lt;/battle&gt;","periodicPulse":{"label":"最多消耗 5 层引雷；&lt;battle&gt;每消耗 1 层，对敌方施加 1 层麻痹&lt;/battle&gt;"},"executors":[{"maxStacks":5,"label":"最多消耗 5 层引雷；&lt;battle&gt;每消耗 1 层，对敌方施加 1 层麻痹&lt;/battle&gt;"}]},"3":{"label":"最多消耗 6 层引雷；&lt;battle&gt;每消耗 1 层，对敌方施加 1 层麻痹&lt;/battle&gt;","periodicPulse":{"label":"最多消耗 6 层引雷；&lt;battle&gt;每消耗 1 层，对敌方施加 1 层麻痹&lt;/battle&gt;"},"executors":[{"maxStacks":6,"label":"最多消耗 6 层引雷；&lt;battle&gt;每消耗 1 层，对敌方施加 1 层麻痹&lt;/battle&gt;"}]}}}</t>
        </is>
      </c>
    </row>
    <row r="1328" ht="32" customHeight="1">
      <c r="A1328" s="8" t="n">
        <v>419114</v>
      </c>
      <c r="B1328" s="8" t="inlineStr">
        <is>
          <t>断络铜锥</t>
        </is>
      </c>
      <c r="C1328" s="8" t="inlineStr">
        <is>
          <t>法器</t>
        </is>
      </c>
      <c r="D1328" s="8" t="inlineStr">
        <is>
          <t>common</t>
        </is>
      </c>
      <c r="E1328" s="8" t="inlineStr">
        <is>
          <t>thunder</t>
        </is>
      </c>
      <c r="F1328" s="8" t="n">
        <v>1</v>
      </c>
      <c r="G1328" s="8" t="inlineStr">
        <is>
          <t>基础/顶层</t>
        </is>
      </c>
      <c r="H1328" s="8" t="inlineStr"/>
      <c r="I1328" s="9" t="inlineStr"/>
      <c r="J1328" s="8" t="inlineStr"/>
      <c r="K1328" s="8" t="inlineStr"/>
      <c r="L1328" s="8" t="inlineStr"/>
      <c r="M1328" s="8" t="inlineStr">
        <is>
          <t>周期触发</t>
        </is>
      </c>
      <c r="N1328" s="8" t="inlineStr">
        <is>
          <t>periodicPulse</t>
        </is>
      </c>
      <c r="O1328" s="9" t="inlineStr">
        <is>
          <t>最多消耗敌方 3 层麻痹，每消耗 1 层，对敌方造成 4 点伤害；最多消耗敌方 4 层麻痹，每消耗 1 层，对敌方造成 4 点伤害；最多消耗敌方 5 层麻痹，每消耗 1 层，对敌方造成 4 点伤害；最多消耗敌方 6 层麻痹，每消耗 1 层，对敌方造成 4 点伤害</t>
        </is>
      </c>
      <c r="P1328" s="9" t="inlineStr">
        <is>
          <t>onPeriodicPulse</t>
        </is>
      </c>
      <c r="Q1328" s="9" t="inlineStr">
        <is>
          <t>consumeBuffStacks</t>
        </is>
      </c>
      <c r="R1328" s="9" t="inlineStr">
        <is>
          <t>{"kind":"periodicPulse","label":"&lt;battle&gt;最多消耗敌方 3 层麻痹，每消耗 1 层，对敌方造成 4 点伤害&lt;/battle&gt;","periodicPulse":{"intervalSec":10,"label":"&lt;battle&gt;最多消耗敌方 3 层麻痹，每消耗 1 层，对敌方造成 4 点伤害&lt;/battle&gt;"},"executors":[{"trigger":"onPeriodicPulse","type":"consumeBuffStacks","sourceBuffId":"paralysis","consumeTargetActor":"enemy","maxStacks":3,"battleDamageHealthPerStack":4,"support":"battleOnly","label":"&lt;battle&gt;最多消耗敌方 3 层麻痹，每消耗 1 层，对敌方造成 4 点伤害&lt;/battle&gt;"}],"starOverrides":{"1":{"label":"&lt;battle&gt;最多消耗敌方 4 层麻痹，每消耗 1 层，对敌方造成 4 点伤害&lt;/battle&gt;","periodicPulse":{"label":"&lt;battle&gt;最多消耗敌方 4 层麻痹，每消耗 1 层，对敌方造成 4 点伤害&lt;/battle&gt;"},"executors":[{"maxStacks":4,"label":"&lt;battle&gt;最多消耗敌方 4 层麻痹，每消耗 1 层，对敌方造成 4 点伤害&lt;/battle&gt;"}]},"2":{"label":"&lt;battle&gt;最多消耗敌方 5 层麻痹，每消耗 1 层，对敌方造成 4 点伤害&lt;/battle&gt;","periodicPulse":{"label":"&lt;battle&gt;最多消耗敌方 5 层麻痹，每消耗 1 层，对敌方造成 4 点伤害&lt;/battle&gt;"},"executors":[{"maxStacks":5,"label":"&lt;battle&gt;最多消耗敌方 5 层麻痹，每消耗 1 层，对敌方造成 4 点伤害&lt;/battle&gt;"}]},"3":{"label":"&lt;battle&gt;最多消耗敌方 6 层麻痹，每消耗 1 层，对敌方造成 4 点伤害&lt;/battle&gt;","periodicPulse":{"label":"&lt;battle&gt;最多消耗敌方 6 层麻痹，每消耗 1 层，对敌方造成 4 点伤害&lt;/battle&gt;"},"executors":[{"maxStacks":6,"label":"&lt;battle&gt;最多消耗敌方 6 层麻痹，每消耗 1 层，对敌方造成 4 点伤害&lt;/battle&gt;"}]}}}</t>
        </is>
      </c>
    </row>
    <row r="1329" ht="32" customHeight="1">
      <c r="A1329" s="8" t="n">
        <v>419115</v>
      </c>
      <c r="B1329" s="8" t="inlineStr">
        <is>
          <t>麻痕追击尺</t>
        </is>
      </c>
      <c r="C1329" s="8" t="inlineStr">
        <is>
          <t>法器</t>
        </is>
      </c>
      <c r="D1329" s="8" t="inlineStr">
        <is>
          <t>common</t>
        </is>
      </c>
      <c r="E1329" s="8" t="inlineStr">
        <is>
          <t>thunder</t>
        </is>
      </c>
      <c r="F1329" s="8" t="n">
        <v>1</v>
      </c>
      <c r="G1329" s="8" t="inlineStr">
        <is>
          <t>基础/顶层</t>
        </is>
      </c>
      <c r="H1329" s="8" t="inlineStr"/>
      <c r="I1329" s="9" t="inlineStr"/>
      <c r="J1329" s="8" t="inlineStr"/>
      <c r="K1329" s="8" t="inlineStr"/>
      <c r="L1329" s="8" t="inlineStr"/>
      <c r="M1329" s="8" t="inlineStr">
        <is>
          <t>周期触发</t>
        </is>
      </c>
      <c r="N1329" s="8" t="inlineStr">
        <is>
          <t>periodicPulse</t>
        </is>
      </c>
      <c r="O1329" s="9" t="inlineStr">
        <is>
          <t>敌方麻痹不少于 3 层时，对敌方造成 8 点伤害；敌方麻痹不少于 3 层时，对敌方造成 10 点伤害；敌方麻痹不少于 3 层时，对敌方造成 12 点伤害；敌方麻痹不少于 3 层时，对敌方造成 14 点伤害</t>
        </is>
      </c>
      <c r="P1329" s="9" t="inlineStr"/>
      <c r="Q1329" s="9" t="inlineStr">
        <is>
          <t>targetBuffStacksGreaterThan</t>
        </is>
      </c>
      <c r="R1329" s="9" t="inlineStr">
        <is>
          <t>{"kind":"periodicPulse","label":"&lt;battle&gt;敌方麻痹不少于 3 层时，对敌方造成 8 点伤害&lt;/battle&gt;","periodicPulse":{"intervalSec":10,"label":"&lt;battle&gt;敌方麻痹不少于 3 层时，对敌方造成 8 点伤害&lt;/battle&gt;","battleCondition":{"type":"targetBuffStacksGreaterThan","buffId":"paralysis","count":2},"damageHealth":{"target":"enemy","amount":8}},"starOverrides":{"1":{"label":"&lt;battle&gt;敌方麻痹不少于 3 层时，对敌方造成 10 点伤害&lt;/battle&gt;","periodicPulse":{"label":"&lt;battle&gt;敌方麻痹不少于 3 层时，对敌方造成 10 点伤害&lt;/battle&gt;","damageHealth":{"amount":10}}},"2":{"label":"&lt;battle&gt;敌方麻痹不少于 3 层时，对敌方造成 12 点伤害&lt;/battle&gt;","periodicPulse":{"label":"&lt;battle&gt;敌方麻痹不少于 3 层时，对敌方造成 12 点伤害&lt;/battle&gt;","damageHealth":{"amount":12}}},"3":{"label":"&lt;battle&gt;敌方麻痹不少于 3 层时，对敌方造成 14 点伤害&lt;/battle&gt;","periodicPulse":{"label":"&lt;battle&gt;敌方麻痹不少于 3 层时，对敌方造成 14 点伤害&lt;/battle&gt;","damageHealth":{"amount":14}}}}}</t>
        </is>
      </c>
    </row>
    <row r="1330" ht="32" customHeight="1">
      <c r="A1330" s="8" t="n">
        <v>419116</v>
      </c>
      <c r="B1330" s="8" t="inlineStr">
        <is>
          <t>云极收霆塔</t>
        </is>
      </c>
      <c r="C1330" s="8" t="inlineStr">
        <is>
          <t>法器</t>
        </is>
      </c>
      <c r="D1330" s="8" t="inlineStr">
        <is>
          <t>spirit</t>
        </is>
      </c>
      <c r="E1330" s="8" t="inlineStr">
        <is>
          <t>thunder</t>
        </is>
      </c>
      <c r="F1330" s="8" t="n">
        <v>1</v>
      </c>
      <c r="G1330" s="8" t="inlineStr">
        <is>
          <t>基础/顶层</t>
        </is>
      </c>
      <c r="H1330" s="8" t="inlineStr"/>
      <c r="I1330" s="9" t="inlineStr"/>
      <c r="J1330" s="8" t="inlineStr"/>
      <c r="K1330" s="8" t="inlineStr"/>
      <c r="L1330" s="8" t="inlineStr"/>
      <c r="M1330" s="8" t="inlineStr">
        <is>
          <t>周期触发</t>
        </is>
      </c>
      <c r="N1330" s="8" t="inlineStr">
        <is>
          <t>periodicPulse</t>
        </is>
      </c>
      <c r="O1330" s="9" t="inlineStr">
        <is>
          <t>获得 16 层引雷；获得 24 层引雷；获得 32 层引雷；获得 40 层引雷</t>
        </is>
      </c>
      <c r="P1330" s="9" t="inlineStr"/>
      <c r="Q1330" s="9" t="inlineStr"/>
      <c r="R1330" s="9" t="inlineStr">
        <is>
          <t>{"kind":"periodicPulse","label":"获得 16 层引雷","periodicPulse":{"intervalSec":12,"label":"获得 16 层引雷","buffGains":[{"buffId":"lightningCharge","count":16}]},"starOverrides":{"1":{"label":"获得 24 层引雷","periodicPulse":{"label":"获得 24 层引雷","buffGains":[{"count":24}]}},"2":{"label":"获得 32 层引雷","periodicPulse":{"label":"获得 32 层引雷","buffGains":[{"count":32}]}},"3":{"label":"获得 40 层引雷","periodicPulse":{"label":"获得 40 层引雷","buffGains":[{"count":40}]}}}}</t>
        </is>
      </c>
    </row>
    <row r="1331" ht="32" customHeight="1">
      <c r="A1331" s="8" t="n">
        <v>419117</v>
      </c>
      <c r="B1331" s="8" t="inlineStr">
        <is>
          <t>紫府蓄电匣</t>
        </is>
      </c>
      <c r="C1331" s="8" t="inlineStr">
        <is>
          <t>法器</t>
        </is>
      </c>
      <c r="D1331" s="8" t="inlineStr">
        <is>
          <t>spirit</t>
        </is>
      </c>
      <c r="E1331" s="8" t="inlineStr">
        <is>
          <t>thunder</t>
        </is>
      </c>
      <c r="F1331" s="8" t="n">
        <v>1</v>
      </c>
      <c r="G1331" s="8" t="inlineStr">
        <is>
          <t>基础/顶层</t>
        </is>
      </c>
      <c r="H1331" s="8" t="inlineStr"/>
      <c r="I1331" s="9" t="inlineStr"/>
      <c r="J1331" s="8" t="inlineStr"/>
      <c r="K1331" s="8" t="inlineStr"/>
      <c r="L1331" s="8" t="inlineStr"/>
      <c r="M1331" s="8" t="inlineStr">
        <is>
          <t>周期触发</t>
        </is>
      </c>
      <c r="N1331" s="8" t="inlineStr">
        <is>
          <t>periodicPulse</t>
        </is>
      </c>
      <c r="O1331" s="9" t="inlineStr">
        <is>
          <t>开局时，获得 48 层引雷；开局时，获得 60 层引雷；开局时，获得 72 层引雷；开局时，获得 84 层引雷</t>
        </is>
      </c>
      <c r="P1331" s="9" t="inlineStr"/>
      <c r="Q1331" s="9" t="inlineStr"/>
      <c r="R1331" s="9" t="inlineStr">
        <is>
          <t>{"kind":"periodicPulse","label":"开局时，获得 48 层引雷","periodicPulse":{"startOnly":true,"label":"开局时，获得 48 层引雷","buffGains":[{"buffId":"lightningCharge","count":48}]},"starOverrides":{"1":{"label":"开局时，获得 60 层引雷","periodicPulse":{"label":"开局时，获得 60 层引雷","buffGains":[{"count":60}]}},"2":{"label":"开局时，获得 72 层引雷","periodicPulse":{"label":"开局时，获得 72 层引雷","buffGains":[{"count":72}]}},"3":{"label":"开局时，获得 84 层引雷","periodicPulse":{"label":"开局时，获得 84 层引雷","buffGains":[{"count":84}]}}}}</t>
        </is>
      </c>
    </row>
    <row r="1332" ht="32" customHeight="1">
      <c r="A1332" s="8" t="n">
        <v>419118</v>
      </c>
      <c r="B1332" s="8" t="inlineStr">
        <is>
          <t>雷池法轮</t>
        </is>
      </c>
      <c r="C1332" s="8" t="inlineStr">
        <is>
          <t>法器</t>
        </is>
      </c>
      <c r="D1332" s="8" t="inlineStr">
        <is>
          <t>spirit</t>
        </is>
      </c>
      <c r="E1332" s="8" t="inlineStr">
        <is>
          <t>thunder</t>
        </is>
      </c>
      <c r="F1332" s="8" t="n">
        <v>1</v>
      </c>
      <c r="G1332" s="8" t="inlineStr">
        <is>
          <t>基础/顶层</t>
        </is>
      </c>
      <c r="H1332" s="8" t="inlineStr"/>
      <c r="I1332" s="9" t="inlineStr"/>
      <c r="J1332" s="8" t="inlineStr"/>
      <c r="K1332" s="8" t="inlineStr"/>
      <c r="L1332" s="8" t="inlineStr"/>
      <c r="M1332" s="8" t="inlineStr">
        <is>
          <t>周期触发</t>
        </is>
      </c>
      <c r="N1332" s="8" t="inlineStr">
        <is>
          <t>periodicPulse</t>
        </is>
      </c>
      <c r="O1332" s="9" t="inlineStr">
        <is>
          <t>将 10 点法力转化为 30 层引雷；将 10 点法力转化为 38 层引雷；将 10 点法力转化为 46 层引雷；将 10 点法力转化为 54 层引雷</t>
        </is>
      </c>
      <c r="P1332" s="9" t="inlineStr"/>
      <c r="Q1332" s="9" t="inlineStr"/>
      <c r="R1332" s="9" t="inlineStr">
        <is>
          <t>{"kind":"periodicPulse","label":"将 10 点法力转化为 30 层引雷","periodicPulse":{"intervalSec":10,"label":"将 10 点法力转化为 30 层引雷","primaryStatCosts":[{"stat":"mana","amount":10}],"buffGains":[{"buffId":"lightningCharge","count":30}]},"starOverrides":{"1":{"label":"将 10 点法力转化为 38 层引雷","periodicPulse":{"label":"将 10 点法力转化为 38 层引雷","buffGains":[{"count":38}]}},"2":{"label":"将 10 点法力转化为 46 层引雷","periodicPulse":{"label":"将 10 点法力转化为 46 层引雷","buffGains":[{"count":46}]}},"3":{"label":"将 10 点法力转化为 54 层引雷","periodicPulse":{"label":"将 10 点法力转化为 54 层引雷","buffGains":[{"count":54}]}}}}</t>
        </is>
      </c>
    </row>
    <row r="1333" ht="32" customHeight="1">
      <c r="A1333" s="8" t="n">
        <v>419119</v>
      </c>
      <c r="B1333" s="8" t="inlineStr">
        <is>
          <t>奔霆踏云履</t>
        </is>
      </c>
      <c r="C1333" s="8" t="inlineStr">
        <is>
          <t>法器</t>
        </is>
      </c>
      <c r="D1333" s="8" t="inlineStr">
        <is>
          <t>spirit</t>
        </is>
      </c>
      <c r="E1333" s="8" t="inlineStr">
        <is>
          <t>thunder</t>
        </is>
      </c>
      <c r="F1333" s="8" t="n">
        <v>1</v>
      </c>
      <c r="G1333" s="8" t="inlineStr">
        <is>
          <t>基础/顶层</t>
        </is>
      </c>
      <c r="H1333" s="8" t="inlineStr"/>
      <c r="I1333" s="9" t="inlineStr"/>
      <c r="J1333" s="8" t="inlineStr"/>
      <c r="K1333" s="8" t="inlineStr"/>
      <c r="L1333" s="8" t="inlineStr"/>
      <c r="M1333" s="8" t="inlineStr">
        <is>
          <t>周期触发</t>
        </is>
      </c>
      <c r="N1333" s="8" t="inlineStr">
        <is>
          <t>periodicPulse</t>
        </is>
      </c>
      <c r="O1333" s="9" t="inlineStr">
        <is>
          <t>将 10 点体力转化为 30 层引雷；将 10 点体力转化为 38 层引雷；将 10 点体力转化为 46 层引雷；将 10 点体力转化为 54 层引雷</t>
        </is>
      </c>
      <c r="P1333" s="9" t="inlineStr"/>
      <c r="Q1333" s="9" t="inlineStr"/>
      <c r="R1333" s="9" t="inlineStr">
        <is>
          <t>{"kind":"periodicPulse","label":"将 10 点体力转化为 30 层引雷","periodicPulse":{"intervalSec":10,"label":"将 10 点体力转化为 30 层引雷","primaryStatCosts":[{"stat":"stamina","amount":10}],"buffGains":[{"buffId":"lightningCharge","count":30}]},"starOverrides":{"1":{"label":"将 10 点体力转化为 38 层引雷","periodicPulse":{"label":"将 10 点体力转化为 38 层引雷","buffGains":[{"count":38}]}},"2":{"label":"将 10 点体力转化为 46 层引雷","periodicPulse":{"label":"将 10 点体力转化为 46 层引雷","buffGains":[{"count":46}]}},"3":{"label":"将 10 点体力转化为 54 层引雷","periodicPulse":{"label":"将 10 点体力转化为 54 层引雷","buffGains":[{"count":54}]}}}}</t>
        </is>
      </c>
    </row>
    <row r="1334" ht="32" customHeight="1">
      <c r="A1334" s="8" t="n">
        <v>419120</v>
      </c>
      <c r="B1334" s="8" t="inlineStr">
        <is>
          <t>沧露雷鼎</t>
        </is>
      </c>
      <c r="C1334" s="8" t="inlineStr">
        <is>
          <t>法器</t>
        </is>
      </c>
      <c r="D1334" s="8" t="inlineStr">
        <is>
          <t>spirit</t>
        </is>
      </c>
      <c r="E1334" s="8" t="inlineStr">
        <is>
          <t>thunder</t>
        </is>
      </c>
      <c r="F1334" s="8" t="n">
        <v>1</v>
      </c>
      <c r="G1334" s="8" t="inlineStr">
        <is>
          <t>基础/顶层</t>
        </is>
      </c>
      <c r="H1334" s="8" t="inlineStr"/>
      <c r="I1334" s="9" t="inlineStr"/>
      <c r="J1334" s="8" t="inlineStr"/>
      <c r="K1334" s="8" t="inlineStr"/>
      <c r="L1334" s="8" t="inlineStr"/>
      <c r="M1334" s="8" t="inlineStr">
        <is>
          <t>周期触发</t>
        </is>
      </c>
      <c r="N1334" s="8" t="inlineStr">
        <is>
          <t>periodicPulse</t>
        </is>
      </c>
      <c r="O1334" s="9" t="inlineStr">
        <is>
          <t>将 10 层露水转化为 15 层引雷</t>
        </is>
      </c>
      <c r="P1334" s="9" t="inlineStr">
        <is>
          <t>onPeriodicPulse</t>
        </is>
      </c>
      <c r="Q1334" s="9" t="inlineStr">
        <is>
          <t>convertBuffStacks</t>
        </is>
      </c>
      <c r="R1334" s="9" t="inlineStr">
        <is>
          <t>{"kind":"periodicPulse","label":"将 10 层露水转化为 15 层引雷","periodicPulse":{"intervalSec":10,"label":"将 10 层露水转化为 15 层引雷"},"executors":[{"trigger":"onPeriodicPulse","type":"convertBuffStacks","label":"将 10 层露水转化为 15 层引雷","sourceBuffId":"dew","targetBuffId":"lightningCharge","requiredStacks":10,"maxStacks":10,"consumeRatio":1.5}],"starOverrides":{"1":{"periodicPulse":{"intervalSec":9}},"2":{"periodicPulse":{"intervalSec":8}},"3":{"periodicPulse":{"intervalSec":7}}}}</t>
        </is>
      </c>
    </row>
    <row r="1335" ht="32" customHeight="1">
      <c r="A1335" s="8" t="n">
        <v>419121</v>
      </c>
      <c r="B1335" s="8" t="inlineStr">
        <is>
          <t>玄冰震霆杵</t>
        </is>
      </c>
      <c r="C1335" s="8" t="inlineStr">
        <is>
          <t>法器</t>
        </is>
      </c>
      <c r="D1335" s="8" t="inlineStr">
        <is>
          <t>spirit</t>
        </is>
      </c>
      <c r="E1335" s="8" t="inlineStr">
        <is>
          <t>thunder</t>
        </is>
      </c>
      <c r="F1335" s="8" t="n">
        <v>1</v>
      </c>
      <c r="G1335" s="8" t="inlineStr">
        <is>
          <t>基础/顶层</t>
        </is>
      </c>
      <c r="H1335" s="8" t="inlineStr"/>
      <c r="I1335" s="9" t="inlineStr"/>
      <c r="J1335" s="8" t="inlineStr"/>
      <c r="K1335" s="8" t="inlineStr"/>
      <c r="L1335" s="8" t="inlineStr"/>
      <c r="M1335" s="8" t="inlineStr">
        <is>
          <t>周期触发</t>
        </is>
      </c>
      <c r="N1335" s="8" t="inlineStr">
        <is>
          <t>periodicPulse</t>
        </is>
      </c>
      <c r="O1335" s="9" t="inlineStr">
        <is>
          <t>将 10 层寒冷转化为 15 层引雷</t>
        </is>
      </c>
      <c r="P1335" s="9" t="inlineStr">
        <is>
          <t>onPeriodicPulse</t>
        </is>
      </c>
      <c r="Q1335" s="9" t="inlineStr">
        <is>
          <t>convertBuffStacks</t>
        </is>
      </c>
      <c r="R1335" s="9" t="inlineStr">
        <is>
          <t>{"kind":"periodicPulse","label":"将 10 层寒冷转化为 15 层引雷","periodicPulse":{"intervalSec":10,"label":"将 10 层寒冷转化为 15 层引雷"},"executors":[{"trigger":"onPeriodicPulse","type":"convertBuffStacks","label":"将 10 层寒冷转化为 15 层引雷","sourceBuffId":"cold","targetBuffId":"lightningCharge","requiredStacks":10,"maxStacks":10,"consumeRatio":1.5}],"starOverrides":{"1":{"periodicPulse":{"intervalSec":9}},"2":{"periodicPulse":{"intervalSec":8}},"3":{"periodicPulse":{"intervalSec":7}}}}</t>
        </is>
      </c>
    </row>
    <row r="1336" ht="32" customHeight="1">
      <c r="A1336" s="8" t="n">
        <v>419122</v>
      </c>
      <c r="B1336" s="8" t="inlineStr">
        <is>
          <t>赤烬化雷炉</t>
        </is>
      </c>
      <c r="C1336" s="8" t="inlineStr">
        <is>
          <t>法器</t>
        </is>
      </c>
      <c r="D1336" s="8" t="inlineStr">
        <is>
          <t>spirit</t>
        </is>
      </c>
      <c r="E1336" s="8" t="inlineStr">
        <is>
          <t>thunder</t>
        </is>
      </c>
      <c r="F1336" s="8" t="n">
        <v>1</v>
      </c>
      <c r="G1336" s="8" t="inlineStr">
        <is>
          <t>基础/顶层</t>
        </is>
      </c>
      <c r="H1336" s="8" t="inlineStr"/>
      <c r="I1336" s="9" t="inlineStr"/>
      <c r="J1336" s="8" t="inlineStr"/>
      <c r="K1336" s="8" t="inlineStr"/>
      <c r="L1336" s="8" t="inlineStr"/>
      <c r="M1336" s="8" t="inlineStr">
        <is>
          <t>周期触发</t>
        </is>
      </c>
      <c r="N1336" s="8" t="inlineStr">
        <is>
          <t>periodicPulse</t>
        </is>
      </c>
      <c r="O1336" s="9" t="inlineStr">
        <is>
          <t>将 10 层炎热转化为 15 层引雷</t>
        </is>
      </c>
      <c r="P1336" s="9" t="inlineStr">
        <is>
          <t>onPeriodicPulse</t>
        </is>
      </c>
      <c r="Q1336" s="9" t="inlineStr">
        <is>
          <t>convertBuffStacks</t>
        </is>
      </c>
      <c r="R1336" s="9" t="inlineStr">
        <is>
          <t>{"kind":"periodicPulse","label":"将 10 层炎热转化为 15 层引雷","periodicPulse":{"intervalSec":10,"label":"将 10 层炎热转化为 15 层引雷"},"executors":[{"trigger":"onPeriodicPulse","type":"convertBuffStacks","label":"将 10 层炎热转化为 15 层引雷","sourceBuffId":"heat","targetBuffId":"lightningCharge","requiredStacks":10,"maxStacks":10,"consumeRatio":1.5}],"starOverrides":{"1":{"periodicPulse":{"intervalSec":9}},"2":{"periodicPulse":{"intervalSec":8}},"3":{"periodicPulse":{"intervalSec":7}}}}</t>
        </is>
      </c>
    </row>
    <row r="1337" ht="32" customHeight="1">
      <c r="A1337" s="8" t="n">
        <v>419123</v>
      </c>
      <c r="B1337" s="8" t="inlineStr">
        <is>
          <t>太白磁雷鉴</t>
        </is>
      </c>
      <c r="C1337" s="8" t="inlineStr">
        <is>
          <t>法器</t>
        </is>
      </c>
      <c r="D1337" s="8" t="inlineStr">
        <is>
          <t>spirit</t>
        </is>
      </c>
      <c r="E1337" s="8" t="inlineStr">
        <is>
          <t>thunder</t>
        </is>
      </c>
      <c r="F1337" s="8" t="n">
        <v>1</v>
      </c>
      <c r="G1337" s="8" t="inlineStr">
        <is>
          <t>基础/顶层</t>
        </is>
      </c>
      <c r="H1337" s="8" t="inlineStr"/>
      <c r="I1337" s="9" t="inlineStr"/>
      <c r="J1337" s="8" t="inlineStr"/>
      <c r="K1337" s="8" t="inlineStr"/>
      <c r="L1337" s="8" t="inlineStr"/>
      <c r="M1337" s="8" t="inlineStr">
        <is>
          <t>周期触发</t>
        </is>
      </c>
      <c r="N1337" s="8" t="inlineStr">
        <is>
          <t>periodicPulse</t>
        </is>
      </c>
      <c r="O1337" s="9" t="inlineStr">
        <is>
          <t>将 10 层凝金转化为 15 层引雷</t>
        </is>
      </c>
      <c r="P1337" s="9" t="inlineStr">
        <is>
          <t>onPeriodicPulse</t>
        </is>
      </c>
      <c r="Q1337" s="9" t="inlineStr">
        <is>
          <t>convertBuffStacks</t>
        </is>
      </c>
      <c r="R1337" s="9" t="inlineStr">
        <is>
          <t>{"kind":"periodicPulse","label":"将 10 层凝金转化为 15 层引雷","periodicPulse":{"intervalSec":10,"label":"将 10 层凝金转化为 15 层引雷"},"executors":[{"trigger":"onPeriodicPulse","type":"convertBuffStacks","label":"将 10 层凝金转化为 15 层引雷","sourceBuffId":"condensedMetal","targetBuffId":"lightningCharge","requiredStacks":10,"maxStacks":10,"consumeRatio":1.5}],"starOverrides":{"1":{"periodicPulse":{"intervalSec":9}},"2":{"periodicPulse":{"intervalSec":8}},"3":{"periodicPulse":{"intervalSec":7}}}}</t>
        </is>
      </c>
    </row>
    <row r="1338" ht="32" customHeight="1">
      <c r="A1338" s="8" t="n">
        <v>419124</v>
      </c>
      <c r="B1338" s="8" t="inlineStr">
        <is>
          <t>五雷同鸣架</t>
        </is>
      </c>
      <c r="C1338" s="8" t="inlineStr">
        <is>
          <t>法器</t>
        </is>
      </c>
      <c r="D1338" s="8" t="inlineStr">
        <is>
          <t>spirit</t>
        </is>
      </c>
      <c r="E1338" s="8" t="inlineStr">
        <is>
          <t>thunder</t>
        </is>
      </c>
      <c r="F1338" s="8" t="n">
        <v>1</v>
      </c>
      <c r="G1338" s="8" t="inlineStr">
        <is>
          <t>基础/顶层</t>
        </is>
      </c>
      <c r="H1338" s="8" t="inlineStr"/>
      <c r="I1338" s="9" t="inlineStr"/>
      <c r="J1338" s="8" t="inlineStr"/>
      <c r="K1338" s="8" t="inlineStr"/>
      <c r="L1338" s="8" t="inlineStr"/>
      <c r="M1338" s="8" t="inlineStr">
        <is>
          <t>周期触发</t>
        </is>
      </c>
      <c r="N1338" s="8" t="inlineStr">
        <is>
          <t>periodicPulse</t>
        </is>
      </c>
      <c r="O1338" s="9" t="inlineStr">
        <is>
          <t>相邻至少 3 件雷属性道具时，获得 20 层引雷；相邻至少 3 件雷属性道具时，获得 28 层引雷；相邻至少 3 件雷属性道具时，获得 36 层引雷；相邻至少 3 件雷属性道具时，获得 44 层引雷</t>
        </is>
      </c>
      <c r="P1338" s="9" t="inlineStr"/>
      <c r="Q1338" s="9" t="inlineStr"/>
      <c r="R1338" s="9" t="inlineStr">
        <is>
          <t>{"kind":"periodicPulse","label":"相邻至少 3 件雷属性道具时，获得 20 层引雷","periodicPulse":{"activationRequirements":{"neighborCounts":[{"minCount":3,"elements":["thunder"]}]},"intervalSec":12,"label":"相邻至少 3 件雷属性道具时，获得 20 层引雷","buffGains":[{"buffId":"lightningCharge","count":20}]},"starOverrides":{"1":{"label":"相邻至少 3 件雷属性道具时，获得 28 层引雷","periodicPulse":{"label":"相邻至少 3 件雷属性道具时，获得 28 层引雷","buffGains":[{"count":28}]}},"2":{"label":"相邻至少 3 件雷属性道具时，获得 36 层引雷","periodicPulse":{"label":"相邻至少 3 件雷属性道具时，获得 36 层引雷","buffGains":[{"count":36}]}},"3":{"label":"相邻至少 3 件雷属性道具时，获得 44 层引雷","periodicPulse":{"label":"相邻至少 3 件雷属性道具时，获得 44 层引雷","buffGains":[{"count":44}]}}}}</t>
        </is>
      </c>
    </row>
    <row r="1339" ht="32" customHeight="1">
      <c r="A1339" s="8" t="n">
        <v>419125</v>
      </c>
      <c r="B1339" s="8" t="inlineStr">
        <is>
          <t>天角承霆柱</t>
        </is>
      </c>
      <c r="C1339" s="8" t="inlineStr">
        <is>
          <t>法器</t>
        </is>
      </c>
      <c r="D1339" s="8" t="inlineStr">
        <is>
          <t>spirit</t>
        </is>
      </c>
      <c r="E1339" s="8" t="inlineStr">
        <is>
          <t>thunder</t>
        </is>
      </c>
      <c r="F1339" s="8" t="n">
        <v>1</v>
      </c>
      <c r="G1339" s="8" t="inlineStr">
        <is>
          <t>基础/顶层</t>
        </is>
      </c>
      <c r="H1339" s="8" t="inlineStr"/>
      <c r="I1339" s="9" t="inlineStr"/>
      <c r="J1339" s="8" t="inlineStr"/>
      <c r="K1339" s="8" t="inlineStr"/>
      <c r="L1339" s="8" t="inlineStr"/>
      <c r="M1339" s="8" t="inlineStr">
        <is>
          <t>周期触发</t>
        </is>
      </c>
      <c r="N1339" s="8" t="inlineStr">
        <is>
          <t>periodicPulse</t>
        </is>
      </c>
      <c r="O1339" s="9" t="inlineStr">
        <is>
          <t>位于储物袋角落时，获得 16 层引雷；位于储物袋角落时，获得 24 层引雷；位于储物袋角落时，获得 32 层引雷；位于储物袋角落时，获得 40 层引雷</t>
        </is>
      </c>
      <c r="P1339" s="9" t="inlineStr"/>
      <c r="Q1339" s="9" t="inlineStr"/>
      <c r="R1339" s="9" t="inlineStr">
        <is>
          <t>{"kind":"periodicPulse","label":"位于储物袋角落时，获得 16 层引雷","periodicPulse":{"activationRequirements":{"requireCorner":true},"intervalSec":12,"label":"位于储物袋角落时，获得 16 层引雷","buffGains":[{"buffId":"lightningCharge","count":16}]},"starOverrides":{"1":{"label":"位于储物袋角落时，获得 24 层引雷","periodicPulse":{"label":"位于储物袋角落时，获得 24 层引雷","buffGains":[{"count":24}]}},"2":{"label":"位于储物袋角落时，获得 32 层引雷","periodicPulse":{"label":"位于储物袋角落时，获得 32 层引雷","buffGains":[{"count":32}]}},"3":{"label":"位于储物袋角落时，获得 40 层引雷","periodicPulse":{"label":"位于储物袋角落时，获得 40 层引雷","buffGains":[{"count":40}]}}}}</t>
        </is>
      </c>
    </row>
    <row r="1340" ht="32" customHeight="1">
      <c r="A1340" s="8" t="n">
        <v>419126</v>
      </c>
      <c r="B1340" s="8" t="inlineStr">
        <is>
          <t>九震摄魂铃</t>
        </is>
      </c>
      <c r="C1340" s="8" t="inlineStr">
        <is>
          <t>法器</t>
        </is>
      </c>
      <c r="D1340" s="8" t="inlineStr">
        <is>
          <t>spirit</t>
        </is>
      </c>
      <c r="E1340" s="8" t="inlineStr">
        <is>
          <t>thunder</t>
        </is>
      </c>
      <c r="F1340" s="8" t="n">
        <v>1</v>
      </c>
      <c r="G1340" s="8" t="inlineStr">
        <is>
          <t>基础/顶层</t>
        </is>
      </c>
      <c r="H1340" s="8" t="inlineStr"/>
      <c r="I1340" s="9" t="inlineStr"/>
      <c r="J1340" s="8" t="inlineStr"/>
      <c r="K1340" s="8" t="inlineStr"/>
      <c r="L1340" s="8" t="inlineStr"/>
      <c r="M1340" s="8" t="inlineStr">
        <is>
          <t>周期触发</t>
        </is>
      </c>
      <c r="N1340" s="8" t="inlineStr">
        <is>
          <t>periodicPulse</t>
        </is>
      </c>
      <c r="O1340" s="9" t="inlineStr">
        <is>
          <t>对敌方施加 16 层麻痹；对敌方施加 24 层麻痹；对敌方施加 32 层麻痹；对敌方施加 40 层麻痹</t>
        </is>
      </c>
      <c r="P1340" s="9" t="inlineStr"/>
      <c r="Q1340" s="9" t="inlineStr"/>
      <c r="R1340" s="9" t="inlineStr">
        <is>
          <t>{"kind":"periodicPulse","label":"&lt;battle&gt;对敌方施加 16 层麻痹&lt;/battle&gt;","periodicPulse":{"intervalSec":12,"label":"&lt;battle&gt;对敌方施加 16 层麻痹&lt;/battle&gt;","buffGains":[{"buffId":"paralysis","count":16,"target":"enemy"}]},"starOverrides":{"1":{"label":"&lt;battle&gt;对敌方施加 24 层麻痹&lt;/battle&gt;","periodicPulse":{"label":"&lt;battle&gt;对敌方施加 24 层麻痹&lt;/battle&gt;","buffGains":[{"count":24}]}},"2":{"label":"&lt;battle&gt;对敌方施加 32 层麻痹&lt;/battle&gt;","periodicPulse":{"label":"&lt;battle&gt;对敌方施加 32 层麻痹&lt;/battle&gt;","buffGains":[{"count":32}]}},"3":{"label":"&lt;battle&gt;对敌方施加 40 层麻痹&lt;/battle&gt;","periodicPulse":{"label":"&lt;battle&gt;对敌方施加 40 层麻痹&lt;/battle&gt;","buffGains":[{"count":40}]}}}}</t>
        </is>
      </c>
    </row>
    <row r="1341" ht="32" customHeight="1">
      <c r="A1341" s="8" t="n">
        <v>419127</v>
      </c>
      <c r="B1341" s="8" t="inlineStr">
        <is>
          <t>紫霄开脉鼓</t>
        </is>
      </c>
      <c r="C1341" s="8" t="inlineStr">
        <is>
          <t>法器</t>
        </is>
      </c>
      <c r="D1341" s="8" t="inlineStr">
        <is>
          <t>spirit</t>
        </is>
      </c>
      <c r="E1341" s="8" t="inlineStr">
        <is>
          <t>thunder</t>
        </is>
      </c>
      <c r="F1341" s="8" t="n">
        <v>1</v>
      </c>
      <c r="G1341" s="8" t="inlineStr">
        <is>
          <t>基础/顶层</t>
        </is>
      </c>
      <c r="H1341" s="8" t="inlineStr"/>
      <c r="I1341" s="9" t="inlineStr"/>
      <c r="J1341" s="8" t="inlineStr"/>
      <c r="K1341" s="8" t="inlineStr"/>
      <c r="L1341" s="8" t="inlineStr"/>
      <c r="M1341" s="8" t="inlineStr">
        <is>
          <t>周期触发</t>
        </is>
      </c>
      <c r="N1341" s="8" t="inlineStr">
        <is>
          <t>periodicPulse</t>
        </is>
      </c>
      <c r="O1341" s="9" t="inlineStr">
        <is>
          <t>开局时，对敌方施加 40 层麻痹；开局时，对敌方施加 50 层麻痹；开局时，对敌方施加 60 层麻痹；开局时，对敌方施加 70 层麻痹</t>
        </is>
      </c>
      <c r="P1341" s="9" t="inlineStr"/>
      <c r="Q1341" s="9" t="inlineStr"/>
      <c r="R1341" s="9" t="inlineStr">
        <is>
          <t>{"kind":"periodicPulse","label":"开局时，&lt;battle&gt;对敌方施加 40 层麻痹&lt;/battle&gt;","periodicPulse":{"startOnly":true,"label":"开局时，&lt;battle&gt;对敌方施加 40 层麻痹&lt;/battle&gt;","buffGains":[{"buffId":"paralysis","count":40,"target":"enemy"}]},"starOverrides":{"1":{"label":"开局时，&lt;battle&gt;对敌方施加 50 层麻痹&lt;/battle&gt;","periodicPulse":{"label":"开局时，&lt;battle&gt;对敌方施加 50 层麻痹&lt;/battle&gt;","buffGains":[{"count":50}]}},"2":{"label":"开局时，&lt;battle&gt;对敌方施加 60 层麻痹&lt;/battle&gt;","periodicPulse":{"label":"开局时，&lt;battle&gt;对敌方施加 60 层麻痹&lt;/battle&gt;","buffGains":[{"count":60}]}},"3":{"label":"开局时，&lt;battle&gt;对敌方施加 70 层麻痹&lt;/battle&gt;","periodicPulse":{"label":"开局时，&lt;battle&gt;对敌方施加 70 层麻痹&lt;/battle&gt;","buffGains":[{"count":70}]}}}}</t>
        </is>
      </c>
    </row>
    <row r="1342" ht="32" customHeight="1">
      <c r="A1342" s="8" t="n">
        <v>419128</v>
      </c>
      <c r="B1342" s="8" t="inlineStr">
        <is>
          <t>霆狱锁络针</t>
        </is>
      </c>
      <c r="C1342" s="8" t="inlineStr">
        <is>
          <t>法器</t>
        </is>
      </c>
      <c r="D1342" s="8" t="inlineStr">
        <is>
          <t>spirit</t>
        </is>
      </c>
      <c r="E1342" s="8" t="inlineStr">
        <is>
          <t>thunder</t>
        </is>
      </c>
      <c r="F1342" s="8" t="n">
        <v>1</v>
      </c>
      <c r="G1342" s="8" t="inlineStr">
        <is>
          <t>基础/顶层</t>
        </is>
      </c>
      <c r="H1342" s="8" t="inlineStr"/>
      <c r="I1342" s="9" t="inlineStr"/>
      <c r="J1342" s="8" t="inlineStr"/>
      <c r="K1342" s="8" t="inlineStr"/>
      <c r="L1342" s="8" t="inlineStr"/>
      <c r="M1342" s="8" t="inlineStr">
        <is>
          <t>周期触发</t>
        </is>
      </c>
      <c r="N1342" s="8" t="inlineStr">
        <is>
          <t>periodicPulse</t>
        </is>
      </c>
      <c r="O1342" s="9" t="inlineStr">
        <is>
          <t>最多消耗 30 层引雷；每消耗 1 层，对敌方施加 1 层麻痹；最多消耗 40 层引雷；每消耗 1 层，对敌方施加 1 层麻痹；最多消耗 50 层引雷；每消耗 1 层，对敌方施加 1 层麻痹；最多消耗 60 层引雷；每消耗 1 层，对敌方施加 1 层麻痹</t>
        </is>
      </c>
      <c r="P1342" s="9" t="inlineStr">
        <is>
          <t>onPeriodicPulse</t>
        </is>
      </c>
      <c r="Q1342" s="9" t="inlineStr">
        <is>
          <t>consumeBuffStacks</t>
        </is>
      </c>
      <c r="R1342" s="9" t="inlineStr">
        <is>
          <t>{"kind":"periodicPulse","label":"最多消耗 30 层引雷；&lt;battle&gt;每消耗 1 层，对敌方施加 1 层麻痹&lt;/battle&gt;","periodicPulse":{"intervalSec":10,"label":"最多消耗 30 层引雷；&lt;battle&gt;每消耗 1 层，对敌方施加 1 层麻痹&lt;/battle&gt;"},"executors":[{"trigger":"onPeriodicPulse","type":"consumeBuffStacks","sourceBuffId":"lightningCharge","maxStacks":30,"targetBuffGainPerStack":{"buffId":"paralysis","countPerStack":1},"support":"common","label":"最多消耗 30 层引雷；&lt;battle&gt;每消耗 1 层，对敌方施加 1 层麻痹&lt;/battle&gt;"}],"starOverrides":{"1":{"label":"最多消耗 40 层引雷；&lt;battle&gt;每消耗 1 层，对敌方施加 1 层麻痹&lt;/battle&gt;","periodicPulse":{"label":"最多消耗 40 层引雷；&lt;battle&gt;每消耗 1 层，对敌方施加 1 层麻痹&lt;/battle&gt;"},"executors":[{"maxStacks":40,"label":"最多消耗 40 层引雷；&lt;battle&gt;每消耗 1 层，对敌方施加 1 层麻痹&lt;/battle&gt;"}]},"2":{"label":"最多消耗 50 层引雷；&lt;battle&gt;每消耗 1 层，对敌方施加 1 层麻痹&lt;/battle&gt;","periodicPulse":{"label":"最多消耗 50 层引雷；&lt;battle&gt;每消耗 1 层，对敌方施加 1 层麻痹&lt;/battle&gt;"},"executors":[{"maxStacks":50,"label":"最多消耗 50 层引雷；&lt;battle&gt;每消耗 1 层，对敌方施加 1 层麻痹&lt;/battle&gt;"}]},"3":{"label":"最多消耗 60 层引雷；&lt;battle&gt;每消耗 1 层，对敌方施加 1 层麻痹&lt;/battle&gt;","periodicPulse":{"label":"最多消耗 60 层引雷；&lt;battle&gt;每消耗 1 层，对敌方施加 1 层麻痹&lt;/battle&gt;"},"executors":[{"maxStacks":60,"label":"最多消耗 60 层引雷；&lt;battle&gt;每消耗 1 层，对敌方施加 1 层麻痹&lt;/battle&gt;"}]}}}</t>
        </is>
      </c>
    </row>
    <row r="1343" ht="32" customHeight="1">
      <c r="A1343" s="8" t="n">
        <v>419129</v>
      </c>
      <c r="B1343" s="8" t="inlineStr">
        <is>
          <t>诛麻雷刃</t>
        </is>
      </c>
      <c r="C1343" s="8" t="inlineStr">
        <is>
          <t>法器</t>
        </is>
      </c>
      <c r="D1343" s="8" t="inlineStr">
        <is>
          <t>spirit</t>
        </is>
      </c>
      <c r="E1343" s="8" t="inlineStr">
        <is>
          <t>thunder</t>
        </is>
      </c>
      <c r="F1343" s="8" t="n">
        <v>1</v>
      </c>
      <c r="G1343" s="8" t="inlineStr">
        <is>
          <t>基础/顶层</t>
        </is>
      </c>
      <c r="H1343" s="8" t="inlineStr"/>
      <c r="I1343" s="9" t="inlineStr"/>
      <c r="J1343" s="8" t="inlineStr"/>
      <c r="K1343" s="8" t="inlineStr"/>
      <c r="L1343" s="8" t="inlineStr"/>
      <c r="M1343" s="8" t="inlineStr">
        <is>
          <t>周期触发</t>
        </is>
      </c>
      <c r="N1343" s="8" t="inlineStr">
        <is>
          <t>periodicPulse</t>
        </is>
      </c>
      <c r="O1343" s="9" t="inlineStr">
        <is>
          <t>最多消耗敌方 30 层麻痹，每消耗 1 层，对敌方造成 8 点伤害；最多消耗敌方 40 层麻痹，每消耗 1 层，对敌方造成 8 点伤害；最多消耗敌方 50 层麻痹，每消耗 1 层，对敌方造成 8 点伤害；最多消耗敌方 60 层麻痹，每消耗 1 层，对敌方造成 8 点伤害</t>
        </is>
      </c>
      <c r="P1343" s="9" t="inlineStr">
        <is>
          <t>onPeriodicPulse</t>
        </is>
      </c>
      <c r="Q1343" s="9" t="inlineStr">
        <is>
          <t>consumeBuffStacks</t>
        </is>
      </c>
      <c r="R1343" s="9" t="inlineStr">
        <is>
          <t>{"kind":"periodicPulse","label":"&lt;battle&gt;最多消耗敌方 30 层麻痹，每消耗 1 层，对敌方造成 8 点伤害&lt;/battle&gt;","periodicPulse":{"intervalSec":10,"label":"&lt;battle&gt;最多消耗敌方 30 层麻痹，每消耗 1 层，对敌方造成 8 点伤害&lt;/battle&gt;"},"executors":[{"trigger":"onPeriodicPulse","type":"consumeBuffStacks","sourceBuffId":"paralysis","consumeTargetActor":"enemy","maxStacks":30,"battleDamageHealthPerStack":8,"support":"battleOnly","label":"&lt;battle&gt;最多消耗敌方 30 层麻痹，每消耗 1 层，对敌方造成 8 点伤害&lt;/battle&gt;"}],"starOverrides":{"1":{"label":"&lt;battle&gt;最多消耗敌方 40 层麻痹，每消耗 1 层，对敌方造成 8 点伤害&lt;/battle&gt;","periodicPulse":{"label":"&lt;battle&gt;最多消耗敌方 40 层麻痹，每消耗 1 层，对敌方造成 8 点伤害&lt;/battle&gt;"},"executors":[{"maxStacks":40,"label":"&lt;battle&gt;最多消耗敌方 40 层麻痹，每消耗 1 层，对敌方造成 8 点伤害&lt;/battle&gt;"}]},"2":{"label":"&lt;battle&gt;最多消耗敌方 50 层麻痹，每消耗 1 层，对敌方造成 8 点伤害&lt;/battle&gt;","periodicPulse":{"label":"&lt;battle&gt;最多消耗敌方 50 层麻痹，每消耗 1 层，对敌方造成 8 点伤害&lt;/battle&gt;"},"executors":[{"maxStacks":50,"label":"&lt;battle&gt;最多消耗敌方 50 层麻痹，每消耗 1 层，对敌方造成 8 点伤害&lt;/battle&gt;"}]},"3":{"label":"&lt;battle&gt;最多消耗敌方 60 层麻痹，每消耗 1 层，对敌方造成 8 点伤害&lt;/battle&gt;","periodicPulse":{"label":"&lt;battle&gt;最多消耗敌方 60 层麻痹，每消耗 1 层，对敌方造成 8 点伤害&lt;/battle&gt;"},"executors":[{"maxStacks":60,"label":"&lt;battle&gt;最多消耗敌方 60 层麻痹，每消耗 1 层，对敌方造成 8 点伤害&lt;/battle&gt;"}]}}}</t>
        </is>
      </c>
    </row>
    <row r="1344" ht="32" customHeight="1">
      <c r="A1344" s="8" t="n">
        <v>419130</v>
      </c>
      <c r="B1344" s="8" t="inlineStr">
        <is>
          <t>万麻追霆镜</t>
        </is>
      </c>
      <c r="C1344" s="8" t="inlineStr">
        <is>
          <t>法器</t>
        </is>
      </c>
      <c r="D1344" s="8" t="inlineStr">
        <is>
          <t>spirit</t>
        </is>
      </c>
      <c r="E1344" s="8" t="inlineStr">
        <is>
          <t>thunder</t>
        </is>
      </c>
      <c r="F1344" s="8" t="n">
        <v>1</v>
      </c>
      <c r="G1344" s="8" t="inlineStr">
        <is>
          <t>基础/顶层</t>
        </is>
      </c>
      <c r="H1344" s="8" t="inlineStr"/>
      <c r="I1344" s="9" t="inlineStr"/>
      <c r="J1344" s="8" t="inlineStr"/>
      <c r="K1344" s="8" t="inlineStr"/>
      <c r="L1344" s="8" t="inlineStr"/>
      <c r="M1344" s="8" t="inlineStr">
        <is>
          <t>周期触发</t>
        </is>
      </c>
      <c r="N1344" s="8" t="inlineStr">
        <is>
          <t>periodicPulse</t>
        </is>
      </c>
      <c r="O1344" s="9" t="inlineStr">
        <is>
          <t>敌方麻痹不少于 15 层时，对敌方造成 160 点伤害；敌方麻痹不少于 15 层时，对敌方造成 200 点伤害；敌方麻痹不少于 15 层时，对敌方造成 240 点伤害；敌方麻痹不少于 15 层时，对敌方造成 280 点伤害</t>
        </is>
      </c>
      <c r="P1344" s="9" t="inlineStr"/>
      <c r="Q1344" s="9" t="inlineStr">
        <is>
          <t>targetBuffStacksGreaterThan</t>
        </is>
      </c>
      <c r="R1344" s="9" t="inlineStr">
        <is>
          <t>{"kind":"periodicPulse","label":"&lt;battle&gt;敌方麻痹不少于 15 层时，对敌方造成 160 点伤害&lt;/battle&gt;","periodicPulse":{"intervalSec":10,"label":"&lt;battle&gt;敌方麻痹不少于 15 层时，对敌方造成 160 点伤害&lt;/battle&gt;","battleCondition":{"type":"targetBuffStacksGreaterThan","buffId":"paralysis","count":14},"damageHealth":{"target":"enemy","amount":160}},"starOverrides":{"1":{"label":"&lt;battle&gt;敌方麻痹不少于 15 层时，对敌方造成 200 点伤害&lt;/battle&gt;","periodicPulse":{"label":"&lt;battle&gt;敌方麻痹不少于 15 层时，对敌方造成 200 点伤害&lt;/battle&gt;","damageHealth":{"amount":200}}},"2":{"label":"&lt;battle&gt;敌方麻痹不少于 15 层时，对敌方造成 240 点伤害&lt;/battle&gt;","periodicPulse":{"label":"&lt;battle&gt;敌方麻痹不少于 15 层时，对敌方造成 240 点伤害&lt;/battle&gt;","damageHealth":{"amount":240}}},"3":{"label":"&lt;battle&gt;敌方麻痹不少于 15 层时，对敌方造成 280 点伤害&lt;/battle&gt;","periodicPulse":{"label":"&lt;battle&gt;敌方麻痹不少于 15 层时，对敌方造成 280 点伤害&lt;/battle&gt;","damageHealth":{"amount":280}}}}}</t>
        </is>
      </c>
    </row>
    <row r="1345" ht="32" customHeight="1">
      <c r="A1345" s="8" t="n">
        <v>419131</v>
      </c>
      <c r="B1345" s="8" t="inlineStr">
        <is>
          <t>生息悟道简</t>
        </is>
      </c>
      <c r="C1345" s="8" t="inlineStr">
        <is>
          <t>法器</t>
        </is>
      </c>
      <c r="D1345" s="8" t="inlineStr">
        <is>
          <t>common</t>
        </is>
      </c>
      <c r="E1345" s="8" t="inlineStr">
        <is>
          <t>wood</t>
        </is>
      </c>
      <c r="F1345" s="8" t="n">
        <v>1</v>
      </c>
      <c r="G1345" s="8" t="inlineStr">
        <is>
          <t>基础/顶层</t>
        </is>
      </c>
      <c r="H1345" s="8" t="inlineStr"/>
      <c r="I1345" s="9" t="inlineStr"/>
      <c r="J1345" s="8" t="inlineStr"/>
      <c r="K1345" s="8" t="inlineStr"/>
      <c r="L1345" s="8" t="inlineStr"/>
      <c r="M1345" s="8" t="inlineStr">
        <is>
          <t>周期触发</t>
        </is>
      </c>
      <c r="N1345" s="8" t="inlineStr">
        <is>
          <t>periodicPulse</t>
        </is>
      </c>
      <c r="O1345" s="9" t="inlineStr">
        <is>
          <t>最多将 3 层再生转化为修为，每 1 层转化为 2 点修为；最多将 4 层再生转化为修为，每 1 层转化为 2 点修为；最多将 5 层再生转化为修为，每 1 层转化为 2 点修为；最多将 6 层再生转化为修为，每 1 层转化为 2 点修为</t>
        </is>
      </c>
      <c r="P1345" s="9" t="inlineStr">
        <is>
          <t>onPeriodicPulse</t>
        </is>
      </c>
      <c r="Q1345" s="9" t="inlineStr">
        <is>
          <t>consumeBuffStacks</t>
        </is>
      </c>
      <c r="R1345" s="9" t="inlineStr">
        <is>
          <t>{"kind":"periodicPulse","label":"最多将 3 层再生转化为修为，每 1 层转化为 2 点修为","periodicPulse":{"intervalSec":12,"label":"最多将 3 层再生转化为修为，每 1 层转化为 2 点修为"},"executors":[{"trigger":"onPeriodicPulse","type":"consumeBuffStacks","sourceBuffId":"regeneration","maxStacks":3,"cultivationGainPerStack":2,"activationRequirements":{"buffStackThresholds":[{"buffId":"regeneration","comparator":"atLeast","count":1}]},"label":"最多将 3 层再生转化为修为，每 1 层转化为 2 点修为"}],"starOverrides":{"1":{"label":"最多将 4 层再生转化为修为，每 1 层转化为 2 点修为","periodicPulse":{"label":"最多将 4 层再生转化为修为，每 1 层转化为 2 点修为"},"executors":[{"maxStacks":4,"label":"最多将 4 层再生转化为修为，每 1 层转化为 2 点修为"}]},"2":{"label":"最多将 5 层再生转化为修为，每 1 层转化为 2 点修为","periodicPulse":{"label":"最多将 5 层再生转化为修为，每 1 层转化为 2 点修为"},"executors":[{"maxStacks":5,"label":"最多将 5 层再生转化为修为，每 1 层转化为 2 点修为"}]},"3":{"label":"最多将 6 层再生转化为修为，每 1 层转化为 2 点修为","periodicPulse":{"label":"最多将 6 层再生转化为修为，每 1 层转化为 2 点修为"},"executors":[{"maxStacks":6,"label":"最多将 6 层再生转化为修为，每 1 层转化为 2 点修为"}]}}}</t>
        </is>
      </c>
    </row>
    <row r="1346" ht="32" customHeight="1">
      <c r="A1346" s="8" t="n">
        <v>419132</v>
      </c>
      <c r="B1346" s="8" t="inlineStr">
        <is>
          <t>青芽回灵盏</t>
        </is>
      </c>
      <c r="C1346" s="8" t="inlineStr">
        <is>
          <t>法器</t>
        </is>
      </c>
      <c r="D1346" s="8" t="inlineStr">
        <is>
          <t>common</t>
        </is>
      </c>
      <c r="E1346" s="8" t="inlineStr">
        <is>
          <t>wood</t>
        </is>
      </c>
      <c r="F1346" s="8" t="n">
        <v>1</v>
      </c>
      <c r="G1346" s="8" t="inlineStr">
        <is>
          <t>基础/顶层</t>
        </is>
      </c>
      <c r="H1346" s="8" t="inlineStr"/>
      <c r="I1346" s="9" t="inlineStr"/>
      <c r="J1346" s="8" t="inlineStr"/>
      <c r="K1346" s="8" t="inlineStr"/>
      <c r="L1346" s="8" t="inlineStr"/>
      <c r="M1346" s="8" t="inlineStr">
        <is>
          <t>周期触发</t>
        </is>
      </c>
      <c r="N1346" s="8" t="inlineStr">
        <is>
          <t>periodicPulse</t>
        </is>
      </c>
      <c r="O1346" s="9" t="inlineStr">
        <is>
          <t>法力低于 30% 时，将 4 层再生转化为 8 点法力；法力低于 30% 时，将 6 层再生转化为 12 点法力；法力低于 30% 时，将 8 层再生转化为 16 点法力；法力低于 30% 时，将 10 层再生转化为 20 点法力</t>
        </is>
      </c>
      <c r="P1346" s="9" t="inlineStr">
        <is>
          <t>onPeriodicPulse</t>
        </is>
      </c>
      <c r="Q1346" s="9" t="inlineStr">
        <is>
          <t>consumeBuffStacks</t>
        </is>
      </c>
      <c r="R1346" s="9" t="inlineStr">
        <is>
          <t>{"kind":"periodicPulse","label":"法力低于 30% 时，将 4 层再生转化为 8 点法力","periodicPulse":{"intervalSec":10,"label":"法力低于 30% 时，将 4 层再生转化为 8 点法力"},"executors":[{"trigger":"onPeriodicPulse","type":"consumeBuffStacks","sourceBuffId":"regeneration","requiredStacks":4,"maxStacks":4,"primaryStatGainPerStack":{"stat":"mana","amount":2},"label":"法力低于 30% 时，将 4 层再生转化为 8 点法力"}],"activationRequirements":{"primaryStatThreshold":{"stat":"mana","comparator":"lessThan","ratio":0.3},"buffStackThresholds":[{"buffId":"regeneration","comparator":"atLeast","count":4}]},"starOverrides":{"1":{"label":"法力低于 30% 时，将 6 层再生转化为 12 点法力","periodicPulse":{"label":"法力低于 30% 时，将 6 层再生转化为 12 点法力"},"executors":[{"requiredStacks":6,"maxStacks":6,"label":"法力低于 30% 时，将 6 层再生转化为 12 点法力"}],"activationRequirements":{"buffStackThresholds":[{"count":6}]}},"2":{"label":"法力低于 30% 时，将 8 层再生转化为 16 点法力","periodicPulse":{"label":"法力低于 30% 时，将 8 层再生转化为 16 点法力"},"executors":[{"requiredStacks":8,"maxStacks":8,"label":"法力低于 30% 时，将 8 层再生转化为 16 点法力"}],"activationRequirements":{"buffStackThresholds":[{"count":8}]}},"3":{"label":"法力低于 30% 时，将 10 层再生转化为 20 点法力","periodicPulse":{"label":"法力低于 30% 时，将 10 层再生转化为 20 点法力"},"executors":[{"requiredStacks":10,"maxStacks":10,"label":"法力低于 30% 时，将 10 层再生转化为 20 点法力"}],"activationRequirements":{"buffStackThresholds":[{"count":10}]}}}}</t>
        </is>
      </c>
    </row>
    <row r="1347" ht="32" customHeight="1">
      <c r="A1347" s="8" t="n">
        <v>419133</v>
      </c>
      <c r="B1347" s="8" t="inlineStr">
        <is>
          <t>藤骨回力环</t>
        </is>
      </c>
      <c r="C1347" s="8" t="inlineStr">
        <is>
          <t>法器</t>
        </is>
      </c>
      <c r="D1347" s="8" t="inlineStr">
        <is>
          <t>common</t>
        </is>
      </c>
      <c r="E1347" s="8" t="inlineStr">
        <is>
          <t>wood</t>
        </is>
      </c>
      <c r="F1347" s="8" t="n">
        <v>1</v>
      </c>
      <c r="G1347" s="8" t="inlineStr">
        <is>
          <t>基础/顶层</t>
        </is>
      </c>
      <c r="H1347" s="8" t="inlineStr"/>
      <c r="I1347" s="9" t="inlineStr"/>
      <c r="J1347" s="8" t="inlineStr"/>
      <c r="K1347" s="8" t="inlineStr"/>
      <c r="L1347" s="8" t="inlineStr"/>
      <c r="M1347" s="8" t="inlineStr">
        <is>
          <t>条件触发</t>
        </is>
      </c>
      <c r="N1347" s="8" t="inlineStr">
        <is>
          <t>triggered</t>
        </is>
      </c>
      <c r="O1347" s="9" t="inlineStr">
        <is>
          <t>相邻道具实际消耗一级属性后，将 2 层再生转化为 6 点体力；再生不足时不生效；相邻道具实际消耗一级属性后，将 3 层再生转化为 9 点体力；再生不足时不生效；相邻道具实际消耗一级属性后，将 4 层再生转化为 12 点体力；再生不足时不生效；相邻道具实际消耗一级属性后，将 5 层再生转化为 15 点体力；再生不足时不生效</t>
        </is>
      </c>
      <c r="P1347" s="9" t="inlineStr">
        <is>
          <t>onPrimaryStatConsumed</t>
        </is>
      </c>
      <c r="Q1347" s="9" t="inlineStr">
        <is>
          <t>consumeBuffStacks；adjacent</t>
        </is>
      </c>
      <c r="R1347" s="9" t="inlineStr">
        <is>
          <t>{"kind":"triggered","label":"相邻道具实际消耗一级属性后，将 2 层再生转化为 6 点体力；再生不足时不生效","triggeredEffect":{"trigger":"onPrimaryStatConsumed","type":"consumeBuffStacks","sourceBuffId":"regeneration","requiredStacks":2,"maxStacks":2,"primaryStatGainPerStack":{"stat":"stamina","amount":3},"eventSource":{"target":{"type":"adjacent"}}},"starOverrides":{"1":{"label":"相邻道具实际消耗一级属性后，将 3 层再生转化为 9 点体力；再生不足时不生效","triggeredEffect":{"requiredStacks":3,"maxStacks":3}},"2":{"label":"相邻道具实际消耗一级属性后，将 4 层再生转化为 12 点体力；再生不足时不生效","triggeredEffect":{"requiredStacks":4,"maxStacks":4}},"3":{"label":"相邻道具实际消耗一级属性后，将 5 层再生转化为 15 点体力；再生不足时不生效","triggeredEffect":{"requiredStacks":5,"maxStacks":5}}}}</t>
        </is>
      </c>
    </row>
    <row r="1348" ht="32" customHeight="1">
      <c r="A1348" s="8" t="n">
        <v>419134</v>
      </c>
      <c r="B1348" s="8" t="inlineStr">
        <is>
          <t>枯荣护心佩</t>
        </is>
      </c>
      <c r="C1348" s="8" t="inlineStr">
        <is>
          <t>法器</t>
        </is>
      </c>
      <c r="D1348" s="8" t="inlineStr">
        <is>
          <t>common</t>
        </is>
      </c>
      <c r="E1348" s="8" t="inlineStr">
        <is>
          <t>wood</t>
        </is>
      </c>
      <c r="F1348" s="8" t="n">
        <v>1</v>
      </c>
      <c r="G1348" s="8" t="inlineStr">
        <is>
          <t>基础/顶层</t>
        </is>
      </c>
      <c r="H1348" s="8" t="inlineStr"/>
      <c r="I1348" s="9" t="inlineStr"/>
      <c r="J1348" s="8" t="inlineStr"/>
      <c r="K1348" s="8" t="inlineStr"/>
      <c r="L1348" s="8" t="inlineStr"/>
      <c r="M1348" s="8" t="inlineStr">
        <is>
          <t>被动效果</t>
        </is>
      </c>
      <c r="N1348" s="8" t="inlineStr">
        <is>
          <t>passive</t>
        </is>
      </c>
      <c r="O1348" s="9" t="inlineStr">
        <is>
          <t>可抵挡伤害，耐久归零后道具销毁。</t>
        </is>
      </c>
      <c r="P1348" s="9" t="inlineStr"/>
      <c r="Q1348" s="9" t="inlineStr">
        <is>
          <t>incomingHealthDamageItemDurability</t>
        </is>
      </c>
      <c r="R1348" s="9" t="inlineStr">
        <is>
          <t>{"kind":"passive","label":"&lt;battle&gt;可抵挡伤害，耐久归零后道具销毁。&lt;/battle&gt;","passiveEffect":{"type":"incomingHealthDamageItemDurability","maxDurability":20,"depletionBehavior":"destroy","durabilityLifecycle":"persistent","support":"battleOnly","label":"&lt;battle&gt;可抵挡伤害，耐久归零后道具销毁。&lt;/battle&gt;"}}</t>
        </is>
      </c>
    </row>
    <row r="1349" ht="32" customHeight="1">
      <c r="A1349" s="8" t="n">
        <v>419135</v>
      </c>
      <c r="B1349" s="8" t="inlineStr">
        <is>
          <t>回生裂脉刃</t>
        </is>
      </c>
      <c r="C1349" s="8" t="inlineStr">
        <is>
          <t>法器</t>
        </is>
      </c>
      <c r="D1349" s="8" t="inlineStr">
        <is>
          <t>common</t>
        </is>
      </c>
      <c r="E1349" s="8" t="inlineStr">
        <is>
          <t>wood</t>
        </is>
      </c>
      <c r="F1349" s="8" t="n">
        <v>1</v>
      </c>
      <c r="G1349" s="8" t="inlineStr">
        <is>
          <t>基础/顶层</t>
        </is>
      </c>
      <c r="H1349" s="8" t="inlineStr"/>
      <c r="I1349" s="9" t="inlineStr"/>
      <c r="J1349" s="8" t="inlineStr"/>
      <c r="K1349" s="8" t="inlineStr"/>
      <c r="L1349" s="8" t="inlineStr"/>
      <c r="M1349" s="8" t="inlineStr">
        <is>
          <t>条件触发</t>
        </is>
      </c>
      <c r="N1349" s="8" t="inlineStr">
        <is>
          <t>triggered</t>
        </is>
      </c>
      <c r="O1349" s="9" t="inlineStr">
        <is>
          <t>右侧相邻武器对敌方造成伤害时，最多消耗 3 层再生，每层追加 1 点伤害；右侧相邻武器对敌方造成伤害时，最多消耗 4 层再生，每层追加 1 点伤害；右侧相邻武器对敌方造成伤害时，最多消耗 5 层再生，每层追加 1 点伤害；右侧相邻武器对敌方造成伤害时，最多消耗 6 层再生，每层追加 1 点伤害</t>
        </is>
      </c>
      <c r="P1349" s="9" t="inlineStr">
        <is>
          <t>onBattleHealthDamageDealt</t>
        </is>
      </c>
      <c r="Q1349" s="9" t="inlineStr">
        <is>
          <t>consumeBuffStacks；directional-adjacent</t>
        </is>
      </c>
      <c r="R1349" s="9" t="inlineStr">
        <is>
          <t>{"kind":"triggered","label":"&lt;battle&gt;右侧相邻武器对敌方造成伤害时，最多消耗 3 层再生，每层追加 1 点伤害&lt;/battle&gt;","triggeredEffect":{"trigger":"onBattleHealthDamageDealt","type":"consumeBuffStacks","sourceBuffId":"regeneration","maxStacks":3,"battleDamageHealthPerStack":1,"support":"battleOnly","eventSource":{"target":{"type":"directional-adjacent","direction":"right"},"filter":{"features":["weapon"]}},"activationRequirements":{"buffStackThresholds":[{"buffId":"regeneration","comparator":"atLeast","count":1}]}},"starOverrides":{"1":{"label":"&lt;battle&gt;右侧相邻武器对敌方造成伤害时，最多消耗 4 层再生，每层追加 1 点伤害&lt;/battle&gt;","triggeredEffect":{"maxStacks":4}},"2":{"label":"&lt;battle&gt;右侧相邻武器对敌方造成伤害时，最多消耗 5 层再生，每层追加 1 点伤害&lt;/battle&gt;","triggeredEffect":{"maxStacks":5}},"3":{"label":"&lt;battle&gt;右侧相邻武器对敌方造成伤害时，最多消耗 6 层再生，每层追加 1 点伤害&lt;/battle&gt;","triggeredEffect":{"maxStacks":6}}}}</t>
        </is>
      </c>
    </row>
    <row r="1350" ht="32" customHeight="1">
      <c r="A1350" s="8" t="n">
        <v>419136</v>
      </c>
      <c r="B1350" s="8" t="inlineStr">
        <is>
          <t>长生化元鼎</t>
        </is>
      </c>
      <c r="C1350" s="8" t="inlineStr">
        <is>
          <t>法器</t>
        </is>
      </c>
      <c r="D1350" s="8" t="inlineStr">
        <is>
          <t>spirit</t>
        </is>
      </c>
      <c r="E1350" s="8" t="inlineStr">
        <is>
          <t>wood</t>
        </is>
      </c>
      <c r="F1350" s="8" t="n">
        <v>1</v>
      </c>
      <c r="G1350" s="8" t="inlineStr">
        <is>
          <t>基础/顶层</t>
        </is>
      </c>
      <c r="H1350" s="8" t="inlineStr"/>
      <c r="I1350" s="9" t="inlineStr"/>
      <c r="J1350" s="8" t="inlineStr"/>
      <c r="K1350" s="8" t="inlineStr"/>
      <c r="L1350" s="8" t="inlineStr"/>
      <c r="M1350" s="8" t="inlineStr">
        <is>
          <t>周期触发</t>
        </is>
      </c>
      <c r="N1350" s="8" t="inlineStr">
        <is>
          <t>periodicPulse</t>
        </is>
      </c>
      <c r="O1350" s="9" t="inlineStr">
        <is>
          <t>最多将 50 层再生转化为修为，每 1 层转化为 2 点修为；最多将 60 层再生转化为修为，每 1 层转化为 2 点修为；最多将 70 层再生转化为修为，每 1 层转化为 2 点修为；最多将 80 层再生转化为修为，每 1 层转化为 2 点修为</t>
        </is>
      </c>
      <c r="P1350" s="9" t="inlineStr">
        <is>
          <t>onPeriodicPulse</t>
        </is>
      </c>
      <c r="Q1350" s="9" t="inlineStr">
        <is>
          <t>consumeBuffStacks</t>
        </is>
      </c>
      <c r="R1350" s="9" t="inlineStr">
        <is>
          <t>{"kind":"periodicPulse","label":"最多将 50 层再生转化为修为，每 1 层转化为 2 点修为","periodicPulse":{"intervalSec":12,"label":"最多将 50 层再生转化为修为，每 1 层转化为 2 点修为"},"executors":[{"trigger":"onPeriodicPulse","type":"consumeBuffStacks","sourceBuffId":"regeneration","maxStacks":50,"cultivationGainPerStack":2,"activationRequirements":{"buffStackThresholds":[{"buffId":"regeneration","comparator":"atLeast","count":1}]},"label":"最多将 50 层再生转化为修为，每 1 层转化为 2 点修为"}],"starOverrides":{"1":{"label":"最多将 60 层再生转化为修为，每 1 层转化为 2 点修为","periodicPulse":{"label":"最多将 60 层再生转化为修为，每 1 层转化为 2 点修为"},"executors":[{"maxStacks":60,"label":"最多将 60 层再生转化为修为，每 1 层转化为 2 点修为"}]},"2":{"label":"最多将 70 层再生转化为修为，每 1 层转化为 2 点修为","periodicPulse":{"label":"最多将 70 层再生转化为修为，每 1 层转化为 2 点修为"},"executors":[{"maxStacks":70,"label":"最多将 70 层再生转化为修为，每 1 层转化为 2 点修为"}]},"3":{"label":"最多将 80 层再生转化为修为，每 1 层转化为 2 点修为","periodicPulse":{"label":"最多将 80 层再生转化为修为，每 1 层转化为 2 点修为"},"executors":[{"maxStacks":80,"label":"最多将 80 层再生转化为修为，每 1 层转化为 2 点修为"}]}}}</t>
        </is>
      </c>
    </row>
    <row r="1351" ht="32" customHeight="1">
      <c r="A1351" s="8" t="n">
        <v>419137</v>
      </c>
      <c r="B1351" s="8" t="inlineStr">
        <is>
          <t>百草续法枢</t>
        </is>
      </c>
      <c r="C1351" s="8" t="inlineStr">
        <is>
          <t>法器</t>
        </is>
      </c>
      <c r="D1351" s="8" t="inlineStr">
        <is>
          <t>spirit</t>
        </is>
      </c>
      <c r="E1351" s="8" t="inlineStr">
        <is>
          <t>wood</t>
        </is>
      </c>
      <c r="F1351" s="8" t="n">
        <v>1</v>
      </c>
      <c r="G1351" s="8" t="inlineStr">
        <is>
          <t>基础/顶层</t>
        </is>
      </c>
      <c r="H1351" s="8" t="inlineStr"/>
      <c r="I1351" s="9" t="inlineStr"/>
      <c r="J1351" s="8" t="inlineStr"/>
      <c r="K1351" s="8" t="inlineStr"/>
      <c r="L1351" s="8" t="inlineStr"/>
      <c r="M1351" s="8" t="inlineStr">
        <is>
          <t>条件触发</t>
        </is>
      </c>
      <c r="N1351" s="8" t="inlineStr">
        <is>
          <t>triggered</t>
        </is>
      </c>
      <c r="O1351" s="9" t="inlineStr">
        <is>
          <t>相邻主动招式释放时，将 15 层再生转化为 45 点法力；再生不足时不生效；相邻主动招式释放时，将 20 层再生转化为 60 点法力；再生不足时不生效；相邻主动招式释放时，将 25 层再生转化为 75 点法力；再生不足时不生效；相邻主动招式释放时，将 30 层再生转化为 90 点法力；再生不足时不生效</t>
        </is>
      </c>
      <c r="P1351" s="9" t="inlineStr">
        <is>
          <t>onActiveSpellCast</t>
        </is>
      </c>
      <c r="Q1351" s="9" t="inlineStr">
        <is>
          <t>consumeBuffStacks；adjacent</t>
        </is>
      </c>
      <c r="R1351" s="9" t="inlineStr">
        <is>
          <t>{"kind":"triggered","label":"相邻主动招式释放时，将 15 层再生转化为 45 点法力；再生不足时不生效","triggeredEffect":{"trigger":"onActiveSpellCast","type":"consumeBuffStacks","sourceBuffId":"regeneration","requiredStacks":15,"maxStacks":15,"primaryStatGainPerStack":{"stat":"mana","amount":3},"eventSource":{"target":{"type":"adjacent"},"filter":{"categories":["spell"]}}},"starOverrides":{"1":{"label":"相邻主动招式释放时，将 20 层再生转化为 60 点法力；再生不足时不生效","triggeredEffect":{"requiredStacks":20,"maxStacks":20}},"2":{"label":"相邻主动招式释放时，将 25 层再生转化为 75 点法力；再生不足时不生效","triggeredEffect":{"requiredStacks":25,"maxStacks":25}},"3":{"label":"相邻主动招式释放时，将 30 层再生转化为 90 点法力；再生不足时不生效","triggeredEffect":{"requiredStacks":30,"maxStacks":30}}}}</t>
        </is>
      </c>
    </row>
    <row r="1352" ht="32" customHeight="1">
      <c r="A1352" s="8" t="n">
        <v>419138</v>
      </c>
      <c r="B1352" s="8" t="inlineStr">
        <is>
          <t>青帝护命印</t>
        </is>
      </c>
      <c r="C1352" s="8" t="inlineStr">
        <is>
          <t>法器</t>
        </is>
      </c>
      <c r="D1352" s="8" t="inlineStr">
        <is>
          <t>spirit</t>
        </is>
      </c>
      <c r="E1352" s="8" t="inlineStr">
        <is>
          <t>wood</t>
        </is>
      </c>
      <c r="F1352" s="8" t="n">
        <v>1</v>
      </c>
      <c r="G1352" s="8" t="inlineStr">
        <is>
          <t>基础/顶层</t>
        </is>
      </c>
      <c r="H1352" s="8" t="inlineStr"/>
      <c r="I1352" s="9" t="inlineStr"/>
      <c r="J1352" s="8" t="inlineStr"/>
      <c r="K1352" s="8" t="inlineStr"/>
      <c r="L1352" s="8" t="inlineStr"/>
      <c r="M1352" s="8" t="inlineStr">
        <is>
          <t>被动效果</t>
        </is>
      </c>
      <c r="N1352" s="8" t="inlineStr">
        <is>
          <t>passive</t>
        </is>
      </c>
      <c r="O1352" s="9" t="inlineStr">
        <is>
          <t>可抵挡灼烧伤害，耐久归零后本场失效。</t>
        </is>
      </c>
      <c r="P1352" s="9" t="inlineStr"/>
      <c r="Q1352" s="9" t="inlineStr">
        <is>
          <t>incomingHealthDamageItemDurability</t>
        </is>
      </c>
      <c r="R1352" s="9" t="inlineStr">
        <is>
          <t>{"kind":"passive","label":"&lt;battle&gt;可抵挡灼烧伤害，耐久归零后本场失效。&lt;/battle&gt;","passiveEffect":{"type":"incomingHealthDamageItemDurability","maxDurability":150,"depletionBehavior":"disable","durabilityLifecycle":"battleReset","support":"battleOnly","damageType":"burning","label":"&lt;battle&gt;可抵挡灼烧伤害，耐久归零后本场失效。&lt;/battle&gt;"}}</t>
        </is>
      </c>
    </row>
    <row r="1353" ht="32" customHeight="1">
      <c r="A1353" s="8" t="n">
        <v>419139</v>
      </c>
      <c r="B1353" s="8" t="inlineStr">
        <is>
          <t>碧潮换骨轮</t>
        </is>
      </c>
      <c r="C1353" s="8" t="inlineStr">
        <is>
          <t>法器</t>
        </is>
      </c>
      <c r="D1353" s="8" t="inlineStr">
        <is>
          <t>spirit</t>
        </is>
      </c>
      <c r="E1353" s="8" t="inlineStr">
        <is>
          <t>water</t>
        </is>
      </c>
      <c r="F1353" s="8" t="n">
        <v>1</v>
      </c>
      <c r="G1353" s="8" t="inlineStr">
        <is>
          <t>基础/顶层</t>
        </is>
      </c>
      <c r="H1353" s="8" t="inlineStr"/>
      <c r="I1353" s="9" t="inlineStr"/>
      <c r="J1353" s="8" t="inlineStr"/>
      <c r="K1353" s="8" t="inlineStr"/>
      <c r="L1353" s="8" t="inlineStr"/>
      <c r="M1353" s="8" t="inlineStr">
        <is>
          <t>条件触发</t>
        </is>
      </c>
      <c r="N1353" s="8" t="inlineStr">
        <is>
          <t>triggered</t>
        </is>
      </c>
      <c r="O1353" s="9" t="inlineStr">
        <is>
          <t>变阵时，将 20 层再生转化为 80 点体力；再生不足时不生效；变阵时，将 25 层再生转化为 100 点体力；再生不足时不生效；变阵时，将 30 层再生转化为 120 点体力；再生不足时不生效；变阵时，将 35 层再生转化为 140 点体力；再生不足时不生效</t>
        </is>
      </c>
      <c r="P1353" s="9" t="inlineStr">
        <is>
          <t>formationSwitch</t>
        </is>
      </c>
      <c r="Q1353" s="9" t="inlineStr">
        <is>
          <t>consumeBuffStacks</t>
        </is>
      </c>
      <c r="R1353" s="9" t="inlineStr">
        <is>
          <t>{"kind":"triggered","label":"变阵时，将 20 层再生转化为 80 点体力；再生不足时不生效","triggeredEffect":{"trigger":"formationSwitch","type":"consumeBuffStacks","sourceBuffId":"regeneration","requiredStacks":20,"maxStacks":20,"primaryStatGainPerStack":{"stat":"stamina","amount":4}},"starOverrides":{"1":{"label":"变阵时，将 25 层再生转化为 100 点体力；再生不足时不生效","triggeredEffect":{"requiredStacks":25,"maxStacks":25}},"2":{"label":"变阵时，将 30 层再生转化为 120 点体力；再生不足时不生效","triggeredEffect":{"requiredStacks":30,"maxStacks":30}},"3":{"label":"变阵时，将 35 层再生转化为 140 点体力；再生不足时不生效","triggeredEffect":{"requiredStacks":35,"maxStacks":35}}}}</t>
        </is>
      </c>
    </row>
    <row r="1354" ht="32" customHeight="1">
      <c r="A1354" s="8" t="n">
        <v>419140</v>
      </c>
      <c r="B1354" s="8" t="inlineStr">
        <is>
          <t>枯荣飞叶匣</t>
        </is>
      </c>
      <c r="C1354" s="8" t="inlineStr">
        <is>
          <t>法器</t>
        </is>
      </c>
      <c r="D1354" s="8" t="inlineStr">
        <is>
          <t>spirit</t>
        </is>
      </c>
      <c r="E1354" s="8" t="inlineStr">
        <is>
          <t>wood</t>
        </is>
      </c>
      <c r="F1354" s="8" t="n">
        <v>1</v>
      </c>
      <c r="G1354" s="8" t="inlineStr">
        <is>
          <t>基础/顶层</t>
        </is>
      </c>
      <c r="H1354" s="8" t="inlineStr"/>
      <c r="I1354" s="9" t="inlineStr"/>
      <c r="J1354" s="8" t="inlineStr"/>
      <c r="K1354" s="8" t="inlineStr"/>
      <c r="L1354" s="8" t="inlineStr"/>
      <c r="M1354" s="8" t="inlineStr">
        <is>
          <t>条件触发</t>
        </is>
      </c>
      <c r="N1354" s="8" t="inlineStr">
        <is>
          <t>triggered</t>
        </is>
      </c>
      <c r="O1354" s="9" t="inlineStr">
        <is>
          <t>相邻武器对敌方造成伤害时，最多消耗 30 层再生，每层追加 8 点伤害；相邻武器对敌方造成伤害时，最多消耗 40 层再生，每层追加 8 点伤害；相邻武器对敌方造成伤害时，最多消耗 50 层再生，每层追加 8 点伤害；相邻武器对敌方造成伤害时，最多消耗 60 层再生，每层追加 8 点伤害</t>
        </is>
      </c>
      <c r="P1354" s="9" t="inlineStr">
        <is>
          <t>onBattleHealthDamageDealt</t>
        </is>
      </c>
      <c r="Q1354" s="9" t="inlineStr">
        <is>
          <t>consumeBuffStacks；adjacent</t>
        </is>
      </c>
      <c r="R1354" s="9" t="inlineStr">
        <is>
          <t>{"kind":"triggered","label":"&lt;battle&gt;相邻武器对敌方造成伤害时，最多消耗 30 层再生，每层追加 8 点伤害&lt;/battle&gt;","triggeredEffect":{"trigger":"onBattleHealthDamageDealt","type":"consumeBuffStacks","sourceBuffId":"regeneration","maxStacks":30,"battleDamageHealthPerStack":8,"support":"battleOnly","eventSource":{"target":{"type":"adjacent"},"filter":{"features":["weapon"]}},"activationRequirements":{"buffStackThresholds":[{"buffId":"regeneration","comparator":"atLeast","count":1}]}},"starOverrides":{"1":{"label":"&lt;battle&gt;相邻武器对敌方造成伤害时，最多消耗 40 层再生，每层追加 8 点伤害&lt;/battle&gt;","triggeredEffect":{"maxStacks":40}},"2":{"label":"&lt;battle&gt;相邻武器对敌方造成伤害时，最多消耗 50 层再生，每层追加 8 点伤害&lt;/battle&gt;","triggeredEffect":{"maxStacks":50}},"3":{"label":"&lt;battle&gt;相邻武器对敌方造成伤害时，最多消耗 60 层再生，每层追加 8 点伤害&lt;/battle&gt;","triggeredEffect":{"maxStacks":60}}}}</t>
        </is>
      </c>
    </row>
    <row r="1355" ht="32" customHeight="1">
      <c r="A1355" s="8" t="n">
        <v>419141</v>
      </c>
      <c r="B1355" s="8" t="inlineStr">
        <is>
          <t>巨阙开山剑</t>
        </is>
      </c>
      <c r="C1355" s="8" t="inlineStr">
        <is>
          <t>法器</t>
        </is>
      </c>
      <c r="D1355" s="8" t="inlineStr">
        <is>
          <t>spirit</t>
        </is>
      </c>
      <c r="E1355" s="8" t="inlineStr">
        <is>
          <t>metal</t>
        </is>
      </c>
      <c r="F1355" s="8" t="n">
        <v>1</v>
      </c>
      <c r="G1355" s="8" t="inlineStr">
        <is>
          <t>基础/顶层</t>
        </is>
      </c>
      <c r="H1355" s="8" t="inlineStr"/>
      <c r="I1355" s="9" t="inlineStr"/>
      <c r="J1355" s="8" t="inlineStr"/>
      <c r="K1355" s="8" t="inlineStr"/>
      <c r="L1355" s="8" t="inlineStr"/>
      <c r="M1355" s="8" t="inlineStr">
        <is>
          <t>周期触发</t>
        </is>
      </c>
      <c r="N1355" s="8" t="inlineStr">
        <is>
          <t>periodicPulse</t>
        </is>
      </c>
      <c r="O1355" s="9" t="inlineStr">
        <is>
          <t>消耗 90 点体力，对敌方造成 360 点伤害，并移除敌方 60 层坚硬；消耗 100 点体力，对敌方造成 440 点伤害，并移除敌方 70 层坚硬；消耗 110 点体力，对敌方造成 520 点伤害，并移除敌方 80 层坚硬；消耗 120 点体力，对敌方造成 600 点伤害，并移除敌方 90 层坚硬</t>
        </is>
      </c>
      <c r="P1355" s="9" t="inlineStr">
        <is>
          <t>onPeriodicPulse</t>
        </is>
      </c>
      <c r="Q1355" s="9" t="inlineStr">
        <is>
          <t>consumeBuffStacks</t>
        </is>
      </c>
      <c r="R1355" s="9" t="inlineStr">
        <is>
          <t>{"kind":"periodicPulse","label":"消耗 90 点体力，&lt;battle&gt;对敌方造成 360 点伤害，并移除敌方 60 层坚硬&lt;/battle&gt;","periodicPulse":{"intervalSec":42,"label":"消耗 90 点体力，&lt;battle&gt;对敌方造成 360 点伤害，并移除敌方 60 层坚硬&lt;/battle&gt;","primaryStatCosts":[{"stat":"stamina","amount":90}],"damageHealth":{"target":"enemy","amount":360}},"executors":[{"trigger":"onPeriodicPulse","type":"consumeBuffStacks","sourceBuffId":"sturdy","consumeTargetActor":"enemy","maxStacks":60}],"starOverrides":{"1":{"label":"消耗 100 点体力，&lt;battle&gt;对敌方造成 440 点伤害，并移除敌方 70 层坚硬&lt;/battle&gt;","periodicPulse":{"intervalSec":39,"label":"消耗 100 点体力，&lt;battle&gt;对敌方造成 440 点伤害，并移除敌方 70 层坚硬&lt;/battle&gt;","primaryStatCosts":[{"amount":100}],"damageHealth":{"amount":440}},"executors":[{"maxStacks":70}]},"2":{"label":"消耗 110 点体力，&lt;battle&gt;对敌方造成 520 点伤害，并移除敌方 80 层坚硬&lt;/battle&gt;","periodicPulse":{"intervalSec":36,"label":"消耗 110 点体力，&lt;battle&gt;对敌方造成 520 点伤害，并移除敌方 80 层坚硬&lt;/battle&gt;","primaryStatCosts":[{"amount":110}],"damageHealth":{"amount":520}},"executors":[{"maxStacks":80}]},"3":{"label":"消耗 120 点体力，&lt;battle&gt;对敌方造成 600 点伤害，并移除敌方 90 层坚硬&lt;/battle&gt;","periodicPulse":{"intervalSec":33,"label":"消耗 120 点体力，&lt;battle&gt;对敌方造成 600 点伤害，并移除敌方 90 层坚硬&lt;/battle&gt;","primaryStatCosts":[{"amount":120}],"damageHealth":{"amount":600}},"executors":[{"maxStacks":90}]}}}</t>
        </is>
      </c>
    </row>
    <row r="1356" ht="32" customHeight="1">
      <c r="A1356" s="8" t="n">
        <v>419142</v>
      </c>
      <c r="B1356" s="8" t="inlineStr">
        <is>
          <t>断罡重剑</t>
        </is>
      </c>
      <c r="C1356" s="8" t="inlineStr">
        <is>
          <t>法器</t>
        </is>
      </c>
      <c r="D1356" s="8" t="inlineStr">
        <is>
          <t>spirit</t>
        </is>
      </c>
      <c r="E1356" s="8" t="inlineStr">
        <is>
          <t>metal</t>
        </is>
      </c>
      <c r="F1356" s="8" t="n">
        <v>1</v>
      </c>
      <c r="G1356" s="8" t="inlineStr">
        <is>
          <t>基础/顶层</t>
        </is>
      </c>
      <c r="H1356" s="8" t="inlineStr"/>
      <c r="I1356" s="9" t="inlineStr"/>
      <c r="J1356" s="8" t="inlineStr"/>
      <c r="K1356" s="8" t="inlineStr"/>
      <c r="L1356" s="8" t="inlineStr"/>
      <c r="M1356" s="8" t="inlineStr">
        <is>
          <t>周期触发</t>
        </is>
      </c>
      <c r="N1356" s="8" t="inlineStr">
        <is>
          <t>periodicPulse</t>
        </is>
      </c>
      <c r="O1356" s="9" t="inlineStr">
        <is>
          <t>凝金不少于 25 层时，最多消耗 50 层凝金；每消耗 1 层，对敌方造成 5 点伤害，并移除敌方 1 层坚硬；凝金不少于 30 层时，最多消耗 60 层凝金；每消耗 1 层，对敌方造成 5 点伤害，并移除敌方 1 层坚硬；凝金不少于 35 层时，最多消耗 70 层凝金；每消耗 1 层，对敌方造成 5 点伤害，并移除敌方 1 层坚硬；凝金不少于 40 层时，最多消耗 80 层凝金；每消耗 1 层，对敌方造成 5 点伤害，并移除敌方 1 层坚硬</t>
        </is>
      </c>
      <c r="P1356" s="9" t="inlineStr">
        <is>
          <t>onPeriodicPulse</t>
        </is>
      </c>
      <c r="Q1356" s="9" t="inlineStr">
        <is>
          <t>consumeBuffStacks</t>
        </is>
      </c>
      <c r="R1356" s="9" t="inlineStr">
        <is>
          <t>{"kind":"periodicPulse","label":"凝金不少于 25 层时，最多消耗 50 层凝金；&lt;battle&gt;每消耗 1 层，对敌方造成 5 点伤害，并移除敌方 1 层坚硬&lt;/battle&gt;","activationRequirements":{"buffStackThresholds":[{"buffId":"condensedMetal","comparator":"atLeast","count":25}]},"periodicPulse":{"intervalSec":30,"label":"凝金不少于 25 层时，最多消耗 50 层凝金；&lt;battle&gt;每消耗 1 层，对敌方造成 5 点伤害，并移除敌方 1 层坚硬&lt;/battle&gt;"},"executors":[{"trigger":"onPeriodicPulse","type":"consumeBuffStacks","sourceBuffId":"condensedMetal","requiredStacks":25,"maxStacks":50,"battleDamageHealthPerStack":5,"targetBuffRemovals":[{"buffId":"sturdy","count":50}],"support":"common"}],"starOverrides":{"1":{"label":"凝金不少于 30 层时，最多消耗 60 层凝金；&lt;battle&gt;每消耗 1 层，对敌方造成 5 点伤害，并移除敌方 1 层坚硬&lt;/battle&gt;","activationRequirements":{"buffStackThresholds":[{"count":30}]},"periodicPulse":{"label":"凝金不少于 30 层时，最多消耗 60 层凝金；&lt;battle&gt;每消耗 1 层，对敌方造成 5 点伤害，并移除敌方 1 层坚硬&lt;/battle&gt;"},"executors":[{"requiredStacks":30,"maxStacks":60,"targetBuffRemovals":[{"count":60}]}]},"2":{"label":"凝金不少于 35 层时，最多消耗 70 层凝金；&lt;battle&gt;每消耗 1 层，对敌方造成 5 点伤害，并移除敌方 1 层坚硬&lt;/battle&gt;","activationRequirements":{"buffStackThresholds":[{"count":35}]},"periodicPulse":{"label":"凝金不少于 35 层时，最多消耗 70 层凝金；&lt;battle&gt;每消耗 1 层，对敌方造成 5 点伤害，并移除敌方 1 层坚硬&lt;/battle&gt;"},"executors":[{"requiredStacks":35,"maxStacks":70,"targetBuffRemovals":[{"count":70}]}]},"3":{"label":"凝金不少于 40 层时，最多消耗 80 层凝金；&lt;battle&gt;每消耗 1 层，对敌方造成 5 点伤害，并移除敌方 1 层坚硬&lt;/battle&gt;","activationRequirements":{"buffStackThresholds":[{"count":40}]},"periodicPulse":{"label":"凝金不少于 40 层时，最多消耗 80 层凝金；&lt;battle&gt;每消耗 1 层，对敌方造成 5 点伤害，并移除敌方 1 层坚硬&lt;/battle&gt;"},"executors":[{"requiredStacks":40,"maxStacks":80,"targetBuffRemovals":[{"count":80}]}]}}}</t>
        </is>
      </c>
    </row>
    <row r="1357" ht="32" customHeight="1">
      <c r="A1357" s="8" t="n">
        <v>419143</v>
      </c>
      <c r="B1357" s="8" t="inlineStr">
        <is>
          <t>照金破势剑</t>
        </is>
      </c>
      <c r="C1357" s="8" t="inlineStr">
        <is>
          <t>法器</t>
        </is>
      </c>
      <c r="D1357" s="8" t="inlineStr">
        <is>
          <t>spirit</t>
        </is>
      </c>
      <c r="E1357" s="8" t="inlineStr">
        <is>
          <t>metal</t>
        </is>
      </c>
      <c r="F1357" s="8" t="n">
        <v>1</v>
      </c>
      <c r="G1357" s="8" t="inlineStr">
        <is>
          <t>基础/顶层</t>
        </is>
      </c>
      <c r="H1357" s="8" t="inlineStr"/>
      <c r="I1357" s="9" t="inlineStr"/>
      <c r="J1357" s="8" t="inlineStr"/>
      <c r="K1357" s="8" t="inlineStr"/>
      <c r="L1357" s="8" t="inlineStr"/>
      <c r="M1357" s="8" t="inlineStr">
        <is>
          <t>周期触发</t>
        </is>
      </c>
      <c r="N1357" s="8" t="inlineStr">
        <is>
          <t>periodicPulse</t>
        </is>
      </c>
      <c r="O1357" s="9" t="inlineStr">
        <is>
          <t>消耗 40 点体力，对敌方造成 160 点伤害，并移除敌方 80 层护甲；消耗 48 点体力，对敌方造成 200 点伤害，并移除敌方 100 层护甲；消耗 56 点体力，对敌方造成 240 点伤害，并移除敌方 120 层护甲；消耗 64 点体力，对敌方造成 280 点伤害，并移除敌方 140 层护甲</t>
        </is>
      </c>
      <c r="P1357" s="9" t="inlineStr">
        <is>
          <t>onPeriodicPulse</t>
        </is>
      </c>
      <c r="Q1357" s="9" t="inlineStr">
        <is>
          <t>consumeBuffStacks</t>
        </is>
      </c>
      <c r="R1357" s="9" t="inlineStr">
        <is>
          <t>{"kind":"periodicPulse","label":"消耗 40 点体力，&lt;battle&gt;对敌方造成 160 点伤害，并移除敌方 80 层护甲&lt;/battle&gt;","periodicPulse":{"intervalSec":21,"label":"消耗 40 点体力，&lt;battle&gt;对敌方造成 160 点伤害，并移除敌方 80 层护甲&lt;/battle&gt;","primaryStatCosts":[{"stat":"stamina","amount":40}],"damageHealth":{"target":"enemy","amount":160}},"executors":[{"trigger":"onPeriodicPulse","type":"consumeBuffStacks","sourceBuffId":"armor","consumeTargetActor":"enemy","maxStacks":80}],"starOverrides":{"1":{"label":"消耗 48 点体力，&lt;battle&gt;对敌方造成 200 点伤害，并移除敌方 100 层护甲&lt;/battle&gt;","periodicPulse":{"label":"消耗 48 点体力，&lt;battle&gt;对敌方造成 200 点伤害，并移除敌方 100 层护甲&lt;/battle&gt;","primaryStatCosts":[{"amount":48}],"damageHealth":{"amount":200}},"executors":[{"maxStacks":100}]},"2":{"label":"消耗 56 点体力，&lt;battle&gt;对敌方造成 240 点伤害，并移除敌方 120 层护甲&lt;/battle&gt;","periodicPulse":{"intervalSec":18,"label":"消耗 56 点体力，&lt;battle&gt;对敌方造成 240 点伤害，并移除敌方 120 层护甲&lt;/battle&gt;","primaryStatCosts":[{"amount":56}],"damageHealth":{"amount":240}},"executors":[{"maxStacks":120}]},"3":{"label":"消耗 64 点体力，&lt;battle&gt;对敌方造成 280 点伤害，并移除敌方 140 层护甲&lt;/battle&gt;","periodicPulse":{"intervalSec":18,"label":"消耗 64 点体力，&lt;battle&gt;对敌方造成 280 点伤害，并移除敌方 140 层护甲&lt;/battle&gt;","primaryStatCosts":[{"amount":64}],"damageHealth":{"amount":280}},"executors":[{"maxStacks":140}]}}}</t>
        </is>
      </c>
    </row>
    <row r="1358" ht="32" customHeight="1">
      <c r="A1358" s="8" t="n">
        <v>419144</v>
      </c>
      <c r="B1358" s="8" t="inlineStr">
        <is>
          <t>空甲追命剑</t>
        </is>
      </c>
      <c r="C1358" s="8" t="inlineStr">
        <is>
          <t>法器</t>
        </is>
      </c>
      <c r="D1358" s="8" t="inlineStr">
        <is>
          <t>spirit</t>
        </is>
      </c>
      <c r="E1358" s="8" t="inlineStr">
        <is>
          <t>metal</t>
        </is>
      </c>
      <c r="F1358" s="8" t="n">
        <v>1</v>
      </c>
      <c r="G1358" s="8" t="inlineStr">
        <is>
          <t>基础/顶层</t>
        </is>
      </c>
      <c r="H1358" s="8" t="inlineStr"/>
      <c r="I1358" s="9" t="inlineStr"/>
      <c r="J1358" s="8" t="inlineStr"/>
      <c r="K1358" s="8" t="inlineStr"/>
      <c r="L1358" s="8" t="inlineStr"/>
      <c r="M1358" s="8" t="inlineStr">
        <is>
          <t>周期触发</t>
        </is>
      </c>
      <c r="N1358" s="8" t="inlineStr">
        <is>
          <t>periodicPulse</t>
        </is>
      </c>
      <c r="O1358" s="9" t="inlineStr">
        <is>
          <t>消耗 36 点体力，对敌方造成 180 点伤害；若敌方没有护甲，本次伤害 +180；消耗 40 点体力，对敌方造成 220 点伤害；若敌方没有护甲，本次伤害 +220；消耗 44 点体力，对敌方造成 260 点伤害；若敌方没有护甲，本次伤害 +260；消耗 48 点体力，对敌方造成 300 点伤害；若敌方没有护甲，本次伤害 +300</t>
        </is>
      </c>
      <c r="P1358" s="9" t="inlineStr"/>
      <c r="Q1358" s="9" t="inlineStr">
        <is>
          <t>targetBuffStacksAtMost</t>
        </is>
      </c>
      <c r="R1358" s="9" t="inlineStr">
        <is>
          <t>{"kind":"periodicPulse","label":"消耗 36 点体力，&lt;battle&gt;对敌方造成 180 点伤害；若敌方没有护甲，本次伤害 +180&lt;/battle&gt;","periodicPulse":{"intervalSec":24,"label":"消耗 36 点体力，&lt;battle&gt;对敌方造成 180 点伤害；若敌方没有护甲，本次伤害 +180&lt;/battle&gt;","primaryStatCosts":[{"stat":"stamina","amount":36}],"damageHealth":{"target":"enemy","amount":180,"conditionalMultiplier":{"type":"targetBuffStacksAtMost","buffId":"armor","count":0,"multiplier":2}}},"starOverrides":{"1":{"label":"消耗 40 点体力，&lt;battle&gt;对敌方造成 220 点伤害；若敌方没有护甲，本次伤害 +220&lt;/battle&gt;","periodicPulse":{"label":"消耗 40 点体力，&lt;battle&gt;对敌方造成 220 点伤害；若敌方没有护甲，本次伤害 +220&lt;/battle&gt;","primaryStatCosts":[{"amount":40}],"damageHealth":{"amount":220}}},"2":{"label":"消耗 44 点体力，&lt;battle&gt;对敌方造成 260 点伤害；若敌方没有护甲，本次伤害 +260&lt;/battle&gt;","periodicPulse":{"intervalSec":21,"label":"消耗 44 点体力，&lt;battle&gt;对敌方造成 260 点伤害；若敌方没有护甲，本次伤害 +260&lt;/battle&gt;","primaryStatCosts":[{"amount":44}],"damageHealth":{"amount":260}}},"3":{"label":"消耗 48 点体力，&lt;battle&gt;对敌方造成 300 点伤害；若敌方没有护甲，本次伤害 +300&lt;/battle&gt;","periodicPulse":{"intervalSec":21,"label":"消耗 48 点体力，&lt;battle&gt;对敌方造成 300 点伤害；若敌方没有护甲，本次伤害 +300&lt;/battle&gt;","primaryStatCosts":[{"amount":48}],"damageHealth":{"amount":300}}}}}</t>
        </is>
      </c>
    </row>
    <row r="1359" ht="32" customHeight="1">
      <c r="A1359" s="8" t="n">
        <v>419145</v>
      </c>
      <c r="B1359" s="8" t="inlineStr">
        <is>
          <t>百斩钝锋剑</t>
        </is>
      </c>
      <c r="C1359" s="8" t="inlineStr">
        <is>
          <t>法器</t>
        </is>
      </c>
      <c r="D1359" s="8" t="inlineStr">
        <is>
          <t>common</t>
        </is>
      </c>
      <c r="E1359" s="8" t="inlineStr">
        <is>
          <t>metal</t>
        </is>
      </c>
      <c r="F1359" s="8" t="n">
        <v>1</v>
      </c>
      <c r="G1359" s="8" t="inlineStr">
        <is>
          <t>基础/顶层</t>
        </is>
      </c>
      <c r="H1359" s="8" t="inlineStr"/>
      <c r="I1359" s="9" t="inlineStr"/>
      <c r="J1359" s="8" t="inlineStr"/>
      <c r="K1359" s="8" t="inlineStr"/>
      <c r="L1359" s="8" t="inlineStr"/>
      <c r="M1359" s="8" t="inlineStr">
        <is>
          <t>周期触发</t>
        </is>
      </c>
      <c r="N1359" s="8" t="inlineStr">
        <is>
          <t>periodicPulse</t>
        </is>
      </c>
      <c r="O1359" s="9" t="inlineStr">
        <is>
          <t>消耗 5 点体力；对敌方造成 24 点伤害；每次成功轮转后，该伤害 -4，最低降至 4</t>
        </is>
      </c>
      <c r="P1359" s="9" t="inlineStr">
        <is>
          <t>onPeriodicPulse</t>
        </is>
      </c>
      <c r="Q1359" s="9" t="inlineStr">
        <is>
          <t>decayingBattleDamage</t>
        </is>
      </c>
      <c r="R1359" s="9" t="inlineStr">
        <is>
          <t>{"kind":"periodicPulse","label":"消耗 5 点体力；&lt;battle&gt;对敌方造成 24 点伤害；每次成功轮转后，该伤害 -4，最低降至 4&lt;/battle&gt;","periodicPulse":{"intervalSec":7,"label":"消耗 5 点体力；&lt;battle&gt;对敌方造成 24 点伤害；每次成功轮转后，该伤害 -4，最低降至 4&lt;/battle&gt;","primaryStatCosts":[{"stat":"stamina","amount":5}]},"executors":[{"trigger":"onPeriodicPulse","type":"decayingBattleDamage","initialAmount":24,"deltaPerSuccess":-4,"minAmount":4,"support":"battleOnly"}]}</t>
        </is>
      </c>
    </row>
    <row r="1360" ht="32" customHeight="1">
      <c r="A1360" s="8" t="n">
        <v>419146</v>
      </c>
      <c r="B1360" s="8" t="inlineStr">
        <is>
          <t>并锋双脊剑</t>
        </is>
      </c>
      <c r="C1360" s="8" t="inlineStr">
        <is>
          <t>法器</t>
        </is>
      </c>
      <c r="D1360" s="8" t="inlineStr">
        <is>
          <t>spirit</t>
        </is>
      </c>
      <c r="E1360" s="8" t="inlineStr">
        <is>
          <t>metal</t>
        </is>
      </c>
      <c r="F1360" s="8" t="n">
        <v>1</v>
      </c>
      <c r="G1360" s="8" t="inlineStr">
        <is>
          <t>基础/顶层</t>
        </is>
      </c>
      <c r="H1360" s="8" t="inlineStr"/>
      <c r="I1360" s="9" t="inlineStr"/>
      <c r="J1360" s="8" t="inlineStr"/>
      <c r="K1360" s="8" t="inlineStr"/>
      <c r="L1360" s="8" t="inlineStr"/>
      <c r="M1360" s="8" t="inlineStr">
        <is>
          <t>周期触发</t>
        </is>
      </c>
      <c r="N1360" s="8" t="inlineStr">
        <is>
          <t>periodicPulse</t>
        </is>
      </c>
      <c r="O1360" s="9" t="inlineStr">
        <is>
          <t>右侧相邻剑类道具时，消耗 60 点体力，对敌方造成 300 点伤害；右侧相邻剑类道具时，消耗 68 点体力，对敌方造成 360 点伤害；右侧相邻剑类道具时，消耗 76 点体力，对敌方造成 420 点伤害；右侧相邻剑类道具时，消耗 84 点体力，对敌方造成 480 点伤害</t>
        </is>
      </c>
      <c r="P1360" s="9" t="inlineStr"/>
      <c r="Q1360" s="9" t="inlineStr"/>
      <c r="R1360" s="9" t="inlineStr">
        <is>
          <t>{"kind":"periodicPulse","label":"右侧相邻剑类道具时，消耗 60 点体力，&lt;battle&gt;对敌方造成 300 点伤害&lt;/battle&gt;","periodicPulse":{"intervalSec":27,"label":"右侧相邻剑类道具时，消耗 60 点体力，&lt;battle&gt;对敌方造成 300 点伤害&lt;/battle&gt;","primaryStatCosts":[{"stat":"stamina","amount":60}],"damageHealth":{"target":"enemy","amount":300},"activationRequirements":{"directionalNeighbors":[{"direction":"right","features":["sword"]}]}},"starOverrides":{"1":{"label":"右侧相邻剑类道具时，消耗 68 点体力，&lt;battle&gt;对敌方造成 360 点伤害&lt;/battle&gt;","periodicPulse":{"intervalSec":24,"label":"右侧相邻剑类道具时，消耗 68 点体力，&lt;battle&gt;对敌方造成 360 点伤害&lt;/battle&gt;","primaryStatCosts":[{"amount":68}],"damageHealth":{"amount":360}}},"2":{"label":"右侧相邻剑类道具时，消耗 76 点体力，&lt;battle&gt;对敌方造成 420 点伤害&lt;/battle&gt;","periodicPulse":{"intervalSec":24,"label":"右侧相邻剑类道具时，消耗 76 点体力，&lt;battle&gt;对敌方造成 420 点伤害&lt;/battle&gt;","primaryStatCosts":[{"amount":76}],"damageHealth":{"amount":420}}},"3":{"label":"右侧相邻剑类道具时，消耗 84 点体力，&lt;battle&gt;对敌方造成 480 点伤害&lt;/battle&gt;","periodicPulse":{"intervalSec":21,"label":"右侧相邻剑类道具时，消耗 84 点体力，&lt;battle&gt;对敌方造成 480 点伤害&lt;/battle&gt;","primaryStatCosts":[{"amount":84}],"damageHealth":{"amount":480}}}}}</t>
        </is>
      </c>
    </row>
    <row r="1361" ht="32" customHeight="1">
      <c r="A1361" s="8" t="n">
        <v>419147</v>
      </c>
      <c r="B1361" s="8" t="inlineStr">
        <is>
          <t>横云列阵剑</t>
        </is>
      </c>
      <c r="C1361" s="8" t="inlineStr">
        <is>
          <t>法器</t>
        </is>
      </c>
      <c r="D1361" s="8" t="inlineStr">
        <is>
          <t>common</t>
        </is>
      </c>
      <c r="E1361" s="8" t="inlineStr">
        <is>
          <t>metal</t>
        </is>
      </c>
      <c r="F1361" s="8" t="n">
        <v>1</v>
      </c>
      <c r="G1361" s="8" t="inlineStr">
        <is>
          <t>基础/顶层</t>
        </is>
      </c>
      <c r="H1361" s="8" t="inlineStr"/>
      <c r="I1361" s="9" t="inlineStr"/>
      <c r="J1361" s="8" t="inlineStr"/>
      <c r="K1361" s="8" t="inlineStr"/>
      <c r="L1361" s="8" t="inlineStr"/>
      <c r="M1361" s="8" t="inlineStr">
        <is>
          <t>周期触发</t>
        </is>
      </c>
      <c r="N1361" s="8" t="inlineStr">
        <is>
          <t>periodicPulse</t>
        </is>
      </c>
      <c r="O1361" s="9" t="inlineStr">
        <is>
          <t>左侧相邻剑类道具在本局内造成的伤害 +6，灵力：5</t>
        </is>
      </c>
      <c r="P1361" s="9" t="inlineStr"/>
      <c r="Q1361" s="9" t="inlineStr"/>
      <c r="R1361" s="9" t="inlineStr">
        <is>
          <t>{"kind":"periodicPulse","label":"&lt;battle&gt;左侧相邻剑类道具在本局内造成的伤害 +6，灵力：5&lt;/battle&gt;","periodicPulse":{"intervalSec":10,"label":"&lt;battle&gt;左侧相邻剑类道具在本局内造成的伤害 +6，灵力：5&lt;/battle&gt;","adjacentItemDamageFlatBonus":{"direction":"left","amount":6,"rotationLimit":5,"targetFilter":{"features":["weapon","sword"]}}}}</t>
        </is>
      </c>
    </row>
    <row r="1362" ht="32" customHeight="1">
      <c r="A1362" s="8" t="n">
        <v>419148</v>
      </c>
      <c r="B1362" s="8" t="inlineStr">
        <is>
          <t>铁壁回锋剑</t>
        </is>
      </c>
      <c r="C1362" s="8" t="inlineStr">
        <is>
          <t>法器</t>
        </is>
      </c>
      <c r="D1362" s="8" t="inlineStr">
        <is>
          <t>spirit</t>
        </is>
      </c>
      <c r="E1362" s="8" t="inlineStr">
        <is>
          <t>metal</t>
        </is>
      </c>
      <c r="F1362" s="8" t="n">
        <v>1</v>
      </c>
      <c r="G1362" s="8" t="inlineStr">
        <is>
          <t>基础/顶层</t>
        </is>
      </c>
      <c r="H1362" s="8" t="inlineStr"/>
      <c r="I1362" s="9" t="inlineStr"/>
      <c r="J1362" s="8" t="inlineStr"/>
      <c r="K1362" s="8" t="inlineStr"/>
      <c r="L1362" s="8" t="inlineStr"/>
      <c r="M1362" s="8" t="inlineStr">
        <is>
          <t>周期触发</t>
        </is>
      </c>
      <c r="N1362" s="8" t="inlineStr">
        <is>
          <t>periodicPulse</t>
        </is>
      </c>
      <c r="O1362" s="9" t="inlineStr">
        <is>
          <t>护甲不少于 20 层时，消耗 20 层护甲；每消耗 1 层，对敌方造成 7 点伤害；护甲不少于 50 层时，消耗 50 层护甲；每消耗 1 层，对敌方造成 7 点伤害；护甲不少于 60 层时，消耗 60 层护甲；每消耗 1 层，对敌方造成 7 点伤害；护甲不少于 70 层时，消耗 70 层护甲；每消耗 1 层，对敌方造成 7 点伤害</t>
        </is>
      </c>
      <c r="P1362" s="9" t="inlineStr">
        <is>
          <t>onPeriodicPulse</t>
        </is>
      </c>
      <c r="Q1362" s="9" t="inlineStr">
        <is>
          <t>consumeBuffStacks</t>
        </is>
      </c>
      <c r="R1362" s="9" t="inlineStr">
        <is>
          <t>{"kind":"periodicPulse","label":"&lt;battle&gt;护甲不少于 20 层时，消耗 20 层护甲；每消耗 1 层，对敌方造成 7 点伤害&lt;/battle&gt;","activationRequirements":{"buffStackThresholds":[{"buffId":"armor","comparator":"atLeast","count":20}]},"periodicPulse":{"intervalSec":30,"label":"&lt;battle&gt;护甲不少于 20 层时，消耗 20 层护甲；每消耗 1 层，对敌方造成 7 点伤害&lt;/battle&gt;"},"executors":[{"trigger":"onPeriodicPulse","type":"consumeBuffStacks","sourceBuffId":"armor","requiredStacks":20,"maxStacks":20,"battleDamageHealthPerStack":7,"support":"battleOnly"}],"starOverrides":{"1":{"label":"&lt;battle&gt;护甲不少于 50 层时，消耗 50 层护甲；每消耗 1 层，对敌方造成 7 点伤害&lt;/battle&gt;","activationRequirements":{"buffStackThresholds":[{"count":50}]},"periodicPulse":{"intervalSec":27,"label":"&lt;battle&gt;护甲不少于 50 层时，消耗 50 层护甲；每消耗 1 层，对敌方造成 7 点伤害&lt;/battle&gt;"},"executors":[{"requiredStacks":50,"maxStacks":50}]},"2":{"label":"&lt;battle&gt;护甲不少于 60 层时，消耗 60 层护甲；每消耗 1 层，对敌方造成 7 点伤害&lt;/battle&gt;","activationRequirements":{"buffStackThresholds":[{"count":60}]},"periodicPulse":{"intervalSec":27,"label":"&lt;battle&gt;护甲不少于 60 层时，消耗 60 层护甲；每消耗 1 层，对敌方造成 7 点伤害&lt;/battle&gt;"},"executors":[{"requiredStacks":60,"maxStacks":60}]},"3":{"label":"&lt;battle&gt;护甲不少于 70 层时，消耗 70 层护甲；每消耗 1 层，对敌方造成 7 点伤害&lt;/battle&gt;","activationRequirements":{"buffStackThresholds":[{"count":70}]},"periodicPulse":{"intervalSec":24,"label":"&lt;battle&gt;护甲不少于 70 层时，消耗 70 层护甲；每消耗 1 层，对敌方造成 7 点伤害&lt;/battle&gt;"},"executors":[{"requiredStacks":70,"maxStacks":70}]}}}</t>
        </is>
      </c>
    </row>
    <row r="1363" ht="32" customHeight="1">
      <c r="A1363" s="8" t="n">
        <v>419149</v>
      </c>
      <c r="B1363" s="8" t="inlineStr">
        <is>
          <t>凝锋快剑</t>
        </is>
      </c>
      <c r="C1363" s="8" t="inlineStr">
        <is>
          <t>法器</t>
        </is>
      </c>
      <c r="D1363" s="8" t="inlineStr">
        <is>
          <t>common</t>
        </is>
      </c>
      <c r="E1363" s="8" t="inlineStr">
        <is>
          <t>metal</t>
        </is>
      </c>
      <c r="F1363" s="8" t="n">
        <v>1</v>
      </c>
      <c r="G1363" s="8" t="inlineStr">
        <is>
          <t>基础/顶层</t>
        </is>
      </c>
      <c r="H1363" s="8" t="inlineStr"/>
      <c r="I1363" s="9" t="inlineStr"/>
      <c r="J1363" s="8" t="inlineStr"/>
      <c r="K1363" s="8" t="inlineStr"/>
      <c r="L1363" s="8" t="inlineStr"/>
      <c r="M1363" s="8" t="inlineStr">
        <is>
          <t>周期触发</t>
        </is>
      </c>
      <c r="N1363" s="8" t="inlineStr">
        <is>
          <t>periodicPulse</t>
        </is>
      </c>
      <c r="O1363" s="9" t="inlineStr">
        <is>
          <t>最多消耗 6 层凝金；每层对敌方造成 3 点伤害</t>
        </is>
      </c>
      <c r="P1363" s="9" t="inlineStr">
        <is>
          <t>onPeriodicPulse</t>
        </is>
      </c>
      <c r="Q1363" s="9" t="inlineStr">
        <is>
          <t>consumeBuffStacks</t>
        </is>
      </c>
      <c r="R1363" s="9" t="inlineStr">
        <is>
          <t>{"kind":"periodicPulse","label":"最多消耗 6 层凝金；&lt;battle&gt;每层对敌方造成 3 点伤害&lt;/battle&gt;","activationRequirements":{"buffStackThresholds":[{"buffId":"condensedMetal","comparator":"atLeast","count":1}]},"periodicPulse":{"intervalSec":6,"label":"最多消耗 6 层凝金；&lt;battle&gt;每层对敌方造成 3 点伤害&lt;/battle&gt;"},"executors":[{"trigger":"onPeriodicPulse","type":"consumeBuffStacks","sourceBuffId":"condensedMetal","maxStacks":6,"battleDamageHealthPerStack":3,"support":"common"}]}</t>
        </is>
      </c>
    </row>
    <row r="1364" ht="32" customHeight="1">
      <c r="A1364" s="8" t="n">
        <v>419150</v>
      </c>
      <c r="B1364" s="8" t="inlineStr">
        <is>
          <t>折甲细剑</t>
        </is>
      </c>
      <c r="C1364" s="8" t="inlineStr">
        <is>
          <t>法器</t>
        </is>
      </c>
      <c r="D1364" s="8" t="inlineStr">
        <is>
          <t>common</t>
        </is>
      </c>
      <c r="E1364" s="8" t="inlineStr">
        <is>
          <t>metal</t>
        </is>
      </c>
      <c r="F1364" s="8" t="n">
        <v>1</v>
      </c>
      <c r="G1364" s="8" t="inlineStr">
        <is>
          <t>基础/顶层</t>
        </is>
      </c>
      <c r="H1364" s="8" t="inlineStr"/>
      <c r="I1364" s="9" t="inlineStr"/>
      <c r="J1364" s="8" t="inlineStr"/>
      <c r="K1364" s="8" t="inlineStr"/>
      <c r="L1364" s="8" t="inlineStr"/>
      <c r="M1364" s="8" t="inlineStr">
        <is>
          <t>周期触发</t>
        </is>
      </c>
      <c r="N1364" s="8" t="inlineStr">
        <is>
          <t>periodicPulse</t>
        </is>
      </c>
      <c r="O1364" s="9" t="inlineStr">
        <is>
          <t>消耗 3 点体力，移除敌方 8 层护甲</t>
        </is>
      </c>
      <c r="P1364" s="9" t="inlineStr">
        <is>
          <t>onPeriodicPulse</t>
        </is>
      </c>
      <c r="Q1364" s="9" t="inlineStr">
        <is>
          <t>consumeBuffStacks</t>
        </is>
      </c>
      <c r="R1364" s="9" t="inlineStr">
        <is>
          <t>{"kind":"periodicPulse","label":"消耗 3 点体力，&lt;battle&gt;移除敌方 8 层护甲&lt;/battle&gt;","periodicPulse":{"intervalSec":6,"label":"消耗 3 点体力，&lt;battle&gt;移除敌方 8 层护甲&lt;/battle&gt;","primaryStatCosts":[{"stat":"stamina","amount":3}]},"executors":[{"trigger":"onPeriodicPulse","type":"consumeBuffStacks","sourceBuffId":"armor","consumeTargetActor":"enemy","maxStacks":8}]}</t>
        </is>
      </c>
    </row>
    <row r="1365" ht="32" customHeight="1">
      <c r="A1365" s="8" t="n">
        <v>419151</v>
      </c>
      <c r="B1365" s="8" t="inlineStr">
        <is>
          <t>断脉长剑</t>
        </is>
      </c>
      <c r="C1365" s="8" t="inlineStr">
        <is>
          <t>法器</t>
        </is>
      </c>
      <c r="D1365" s="8" t="inlineStr">
        <is>
          <t>common</t>
        </is>
      </c>
      <c r="E1365" s="8" t="inlineStr">
        <is>
          <t>metal</t>
        </is>
      </c>
      <c r="F1365" s="8" t="n">
        <v>1</v>
      </c>
      <c r="G1365" s="8" t="inlineStr">
        <is>
          <t>基础/顶层</t>
        </is>
      </c>
      <c r="H1365" s="8" t="inlineStr"/>
      <c r="I1365" s="9" t="inlineStr"/>
      <c r="J1365" s="8" t="inlineStr"/>
      <c r="K1365" s="8" t="inlineStr"/>
      <c r="L1365" s="8" t="inlineStr"/>
      <c r="M1365" s="8" t="inlineStr">
        <is>
          <t>周期触发</t>
        </is>
      </c>
      <c r="N1365" s="8" t="inlineStr">
        <is>
          <t>periodicPulse</t>
        </is>
      </c>
      <c r="O1365" s="9" t="inlineStr">
        <is>
          <t>消耗 3 点体力，对敌方造成 8 点伤害，并移除 8 层坚硬</t>
        </is>
      </c>
      <c r="P1365" s="9" t="inlineStr">
        <is>
          <t>onPeriodicPulse</t>
        </is>
      </c>
      <c r="Q1365" s="9" t="inlineStr">
        <is>
          <t>consumeBuffStacks</t>
        </is>
      </c>
      <c r="R1365" s="9" t="inlineStr">
        <is>
          <t>{"kind":"periodicPulse","label":"消耗 3 点体力，&lt;battle&gt;对敌方造成 8 点伤害，并移除 8 层坚硬&lt;/battle&gt;","periodicPulse":{"intervalSec":7,"label":"消耗 3 点体力，&lt;battle&gt;对敌方造成 8 点伤害，并移除 8 层坚硬&lt;/battle&gt;","primaryStatCosts":[{"stat":"stamina","amount":3}],"damageHealth":{"target":"enemy","amount":8}},"executors":[{"trigger":"onPeriodicPulse","type":"consumeBuffStacks","sourceBuffId":"sturdy","consumeTargetActor":"enemy","maxStacks":8}]}</t>
        </is>
      </c>
    </row>
    <row r="1366" ht="32" customHeight="1">
      <c r="A1366" s="8" t="n">
        <v>419152</v>
      </c>
      <c r="B1366" s="8" t="inlineStr">
        <is>
          <t>藏锋玄剑</t>
        </is>
      </c>
      <c r="C1366" s="8" t="inlineStr">
        <is>
          <t>法器</t>
        </is>
      </c>
      <c r="D1366" s="8" t="inlineStr">
        <is>
          <t>spirit</t>
        </is>
      </c>
      <c r="E1366" s="8" t="inlineStr">
        <is>
          <t>metal</t>
        </is>
      </c>
      <c r="F1366" s="8" t="n">
        <v>1</v>
      </c>
      <c r="G1366" s="8" t="inlineStr">
        <is>
          <t>基础/顶层</t>
        </is>
      </c>
      <c r="H1366" s="8" t="inlineStr"/>
      <c r="I1366" s="9" t="inlineStr"/>
      <c r="J1366" s="8" t="inlineStr"/>
      <c r="K1366" s="8" t="inlineStr"/>
      <c r="L1366" s="8" t="inlineStr"/>
      <c r="M1366" s="8" t="inlineStr">
        <is>
          <t>周期触发</t>
        </is>
      </c>
      <c r="N1366" s="8" t="inlineStr">
        <is>
          <t>periodicPulse</t>
        </is>
      </c>
      <c r="O1366" s="9" t="inlineStr">
        <is>
          <t>右侧相邻断金剑鞘时，消耗 64 点体力，对敌方造成 400 点伤害；右侧相邻断金剑鞘时，消耗 72 点体力，对敌方造成 480 点伤害；右侧相邻断金剑鞘时，消耗 80 点体力，对敌方造成 560 点伤害；右侧相邻断金剑鞘时，消耗 88 点体力，对敌方造成 640 点伤害</t>
        </is>
      </c>
      <c r="P1366" s="9" t="inlineStr"/>
      <c r="Q1366" s="9" t="inlineStr"/>
      <c r="R1366" s="9" t="inlineStr">
        <is>
          <t>{"kind":"periodicPulse","label":"右侧相邻断金剑鞘时，消耗 64 点体力，&lt;battle&gt;对敌方造成 400 点伤害&lt;/battle&gt;","periodicPulse":{"intervalSec":27,"label":"右侧相邻断金剑鞘时，消耗 64 点体力，&lt;battle&gt;对敌方造成 400 点伤害&lt;/battle&gt;","primaryStatCosts":[{"stat":"stamina","amount":64}],"damageHealth":{"target":"enemy","amount":400},"activationRequirements":{"directionalNeighbors":[{"direction":"right","tags":["metal_sword_scabbard"]}]}},"starOverrides":{"1":{"label":"右侧相邻断金剑鞘时，消耗 72 点体力，&lt;battle&gt;对敌方造成 480 点伤害&lt;/battle&gt;","periodicPulse":{"intervalSec":24,"label":"右侧相邻断金剑鞘时，消耗 72 点体力，&lt;battle&gt;对敌方造成 480 点伤害&lt;/battle&gt;","primaryStatCosts":[{"amount":72}],"damageHealth":{"amount":480}}},"2":{"label":"右侧相邻断金剑鞘时，消耗 80 点体力，&lt;battle&gt;对敌方造成 560 点伤害&lt;/battle&gt;","periodicPulse":{"intervalSec":21,"label":"右侧相邻断金剑鞘时，消耗 80 点体力，&lt;battle&gt;对敌方造成 560 点伤害&lt;/battle&gt;","primaryStatCosts":[{"amount":80}],"damageHealth":{"amount":560}}},"3":{"label":"右侧相邻断金剑鞘时，消耗 88 点体力，&lt;battle&gt;对敌方造成 640 点伤害&lt;/battle&gt;","periodicPulse":{"intervalSec":18,"label":"右侧相邻断金剑鞘时，消耗 88 点体力，&lt;battle&gt;对敌方造成 640 点伤害&lt;/battle&gt;","primaryStatCosts":[{"amount":88}],"damageHealth":{"amount":640}}}}}</t>
        </is>
      </c>
    </row>
    <row r="1367" ht="32" customHeight="1">
      <c r="A1367" s="8" t="n">
        <v>419153</v>
      </c>
      <c r="B1367" s="8" t="inlineStr">
        <is>
          <t>斩金阔剑</t>
        </is>
      </c>
      <c r="C1367" s="8" t="inlineStr">
        <is>
          <t>法器</t>
        </is>
      </c>
      <c r="D1367" s="8" t="inlineStr">
        <is>
          <t>common</t>
        </is>
      </c>
      <c r="E1367" s="8" t="inlineStr">
        <is>
          <t>metal</t>
        </is>
      </c>
      <c r="F1367" s="8" t="n">
        <v>1</v>
      </c>
      <c r="G1367" s="8" t="inlineStr">
        <is>
          <t>基础/顶层</t>
        </is>
      </c>
      <c r="H1367" s="8" t="inlineStr"/>
      <c r="I1367" s="9" t="inlineStr"/>
      <c r="J1367" s="8" t="inlineStr"/>
      <c r="K1367" s="8" t="inlineStr"/>
      <c r="L1367" s="8" t="inlineStr"/>
      <c r="M1367" s="8" t="inlineStr">
        <is>
          <t>周期触发</t>
        </is>
      </c>
      <c r="N1367" s="8" t="inlineStr">
        <is>
          <t>periodicPulse</t>
        </is>
      </c>
      <c r="O1367" s="9" t="inlineStr">
        <is>
          <t>消耗 6 点体力，对敌方造成 22 点伤害</t>
        </is>
      </c>
      <c r="P1367" s="9" t="inlineStr"/>
      <c r="Q1367" s="9" t="inlineStr"/>
      <c r="R1367" s="9" t="inlineStr">
        <is>
          <t>{"kind":"periodicPulse","label":"消耗 6 点体力，&lt;battle&gt;对敌方造成 22 点伤害&lt;/battle&gt;","periodicPulse":{"intervalSec":9,"label":"消耗 6 点体力，&lt;battle&gt;对敌方造成 22 点伤害&lt;/battle&gt;","primaryStatCosts":[{"stat":"stamina","amount":6}],"damageHealth":{"target":"enemy","amount":22}}}</t>
        </is>
      </c>
    </row>
    <row r="1368" ht="32" customHeight="1">
      <c r="A1368" s="8" t="n">
        <v>419154</v>
      </c>
      <c r="B1368" s="8" t="inlineStr">
        <is>
          <t>天门断岳剑</t>
        </is>
      </c>
      <c r="C1368" s="8" t="inlineStr">
        <is>
          <t>法器</t>
        </is>
      </c>
      <c r="D1368" s="8" t="inlineStr">
        <is>
          <t>spirit</t>
        </is>
      </c>
      <c r="E1368" s="8" t="inlineStr">
        <is>
          <t>metal</t>
        </is>
      </c>
      <c r="F1368" s="8" t="n">
        <v>1</v>
      </c>
      <c r="G1368" s="8" t="inlineStr">
        <is>
          <t>基础/顶层</t>
        </is>
      </c>
      <c r="H1368" s="8" t="inlineStr"/>
      <c r="I1368" s="9" t="inlineStr"/>
      <c r="J1368" s="8" t="inlineStr"/>
      <c r="K1368" s="8" t="inlineStr"/>
      <c r="L1368" s="8" t="inlineStr"/>
      <c r="M1368" s="8" t="inlineStr">
        <is>
          <t>周期触发</t>
        </is>
      </c>
      <c r="N1368" s="8" t="inlineStr">
        <is>
          <t>periodicPulse</t>
        </is>
      </c>
      <c r="O1368" s="9" t="inlineStr">
        <is>
          <t>消耗 140 点体力，对敌方造成 640 点伤害，并移除敌方 100 层护甲和 100 层坚硬；消耗 160 点体力，对敌方造成 760 点伤害，并移除敌方 120 层护甲和 120 层坚硬；消耗 180 点体力，对敌方造成 880 点伤害，并移除敌方 140 层护甲和 140 层坚硬；消耗 200 点体力，对敌方造成 1000 点伤害，并移除敌方 160 层护甲和 160 层坚硬</t>
        </is>
      </c>
      <c r="P1368" s="9" t="inlineStr">
        <is>
          <t>onPeriodicPulse</t>
        </is>
      </c>
      <c r="Q1368" s="9" t="inlineStr">
        <is>
          <t>consumeBuffStacks</t>
        </is>
      </c>
      <c r="R1368" s="9" t="inlineStr">
        <is>
          <t>{"kind":"periodicPulse","label":"消耗 140 点体力，&lt;battle&gt;对敌方造成 640 点伤害，并移除敌方 100 层护甲和 100 层坚硬&lt;/battle&gt;","periodicPulse":{"intervalSec":45,"label":"消耗 140 点体力，&lt;battle&gt;对敌方造成 640 点伤害，并移除敌方 100 层护甲和 100 层坚硬&lt;/battle&gt;","primaryStatCosts":[{"stat":"stamina","amount":140}],"damageHealth":{"target":"enemy","amount":640}},"executors":[{"trigger":"onPeriodicPulse","type":"consumeBuffStacks","sourceBuffId":"armor","consumeTargetActor":"enemy","maxStacks":100},{"trigger":"onPeriodicPulse","type":"consumeBuffStacks","sourceBuffId":"sturdy","consumeTargetActor":"enemy","maxStacks":100}],"starOverrides":{"1":{"label":"消耗 160 点体力，&lt;battle&gt;对敌方造成 760 点伤害，并移除敌方 120 层护甲和 120 层坚硬&lt;/battle&gt;","periodicPulse":{"intervalSec":42,"label":"消耗 160 点体力，&lt;battle&gt;对敌方造成 760 点伤害，并移除敌方 120 层护甲和 120 层坚硬&lt;/battle&gt;","primaryStatCosts":[{"amount":160}],"damageHealth":{"amount":760}},"executors":[{"maxStacks":120},{"maxStacks":120}]},"2":{"label":"消耗 180 点体力，&lt;battle&gt;对敌方造成 880 点伤害，并移除敌方 140 层护甲和 140 层坚硬&lt;/battle&gt;","periodicPulse":{"intervalSec":39,"label":"消耗 180 点体力，&lt;battle&gt;对敌方造成 880 点伤害，并移除敌方 140 层护甲和 140 层坚硬&lt;/battle&gt;","primaryStatCosts":[{"amount":180}],"damageHealth":{"amount":880}},"executors":[{"maxStacks":140},{"maxStacks":140}]},"3":{"label":"消耗 200 点体力，&lt;battle&gt;对敌方造成 1000 点伤害，并移除敌方 160 层护甲和 160 层坚硬&lt;/battle&gt;","periodicPulse":{"intervalSec":36,"label":"消耗 200 点体力，&lt;battle&gt;对敌方造成 1000 点伤害，并移除敌方 160 层护甲和 160 层坚硬&lt;/battle&gt;","primaryStatCosts":[{"amount":200}],"damageHealth":{"amount":1000}},"executors":[{"maxStacks":160},{"maxStacks":160}]}}}</t>
        </is>
      </c>
    </row>
    <row r="1369" ht="32" customHeight="1">
      <c r="A1369" s="8" t="n">
        <v>419155</v>
      </c>
      <c r="B1369" s="8" t="inlineStr">
        <is>
          <t>断金剑鞘</t>
        </is>
      </c>
      <c r="C1369" s="8" t="inlineStr">
        <is>
          <t>法器</t>
        </is>
      </c>
      <c r="D1369" s="8" t="inlineStr">
        <is>
          <t>spirit</t>
        </is>
      </c>
      <c r="E1369" s="8" t="inlineStr">
        <is>
          <t>metal</t>
        </is>
      </c>
      <c r="F1369" s="8" t="n">
        <v>1</v>
      </c>
      <c r="G1369" s="8" t="inlineStr">
        <is>
          <t>基础/顶层</t>
        </is>
      </c>
      <c r="H1369" s="8" t="inlineStr"/>
      <c r="I1369" s="9" t="inlineStr"/>
      <c r="J1369" s="8" t="inlineStr"/>
      <c r="K1369" s="8" t="inlineStr"/>
      <c r="L1369" s="8" t="inlineStr"/>
      <c r="M1369" s="8" t="inlineStr">
        <is>
          <t>周期触发</t>
        </is>
      </c>
      <c r="N1369" s="8" t="inlineStr">
        <is>
          <t>periodicPulse</t>
        </is>
      </c>
      <c r="O1369" s="9" t="inlineStr">
        <is>
          <t>左侧相邻剑类道具在本局内造成的伤害 +80，灵力：5；左侧相邻剑类道具在本局内造成的伤害 +100，灵力：5；左侧相邻剑类道具在本局内造成的伤害 +120，灵力：5；左侧相邻剑类道具在本局内造成的伤害 +140，灵力：5</t>
        </is>
      </c>
      <c r="P1369" s="9" t="inlineStr"/>
      <c r="Q1369" s="9" t="inlineStr"/>
      <c r="R1369" s="9" t="inlineStr">
        <is>
          <t>{"kind":"periodicPulse","label":"&lt;battle&gt;左侧相邻剑类道具在本局内造成的伤害 +80，灵力：5&lt;/battle&gt;","periodicPulse":{"intervalSec":30,"label":"&lt;battle&gt;左侧相邻剑类道具在本局内造成的伤害 +80，灵力：5&lt;/battle&gt;","adjacentItemDamageFlatBonus":{"direction":"left","amount":80,"rotationLimit":5,"targetFilter":{"features":["weapon","sword"]}}},"starOverrides":{"1":{"label":"&lt;battle&gt;左侧相邻剑类道具在本局内造成的伤害 +100，灵力：5&lt;/battle&gt;","periodicPulse":{"label":"&lt;battle&gt;左侧相邻剑类道具在本局内造成的伤害 +100，灵力：5&lt;/battle&gt;","adjacentItemDamageFlatBonus":{"amount":100}}},"2":{"label":"&lt;battle&gt;左侧相邻剑类道具在本局内造成的伤害 +120，灵力：5&lt;/battle&gt;","periodicPulse":{"label":"&lt;battle&gt;左侧相邻剑类道具在本局内造成的伤害 +120，灵力：5&lt;/battle&gt;","adjacentItemDamageFlatBonus":{"amount":120}}},"3":{"label":"&lt;battle&gt;左侧相邻剑类道具在本局内造成的伤害 +140，灵力：5&lt;/battle&gt;","periodicPulse":{"label":"&lt;battle&gt;左侧相邻剑类道具在本局内造成的伤害 +140，灵力：5&lt;/battle&gt;","adjacentItemDamageFlatBonus":{"amount":140}}}}}</t>
        </is>
      </c>
    </row>
    <row r="1370" ht="32" customHeight="1">
      <c r="A1370" s="8" t="n">
        <v>419156</v>
      </c>
      <c r="B1370" s="8" t="inlineStr">
        <is>
          <t>贯云金弓</t>
        </is>
      </c>
      <c r="C1370" s="8" t="inlineStr">
        <is>
          <t>法器</t>
        </is>
      </c>
      <c r="D1370" s="8" t="inlineStr">
        <is>
          <t>spirit</t>
        </is>
      </c>
      <c r="E1370" s="8" t="inlineStr">
        <is>
          <t>metal</t>
        </is>
      </c>
      <c r="F1370" s="8" t="n">
        <v>1</v>
      </c>
      <c r="G1370" s="8" t="inlineStr">
        <is>
          <t>基础/顶层</t>
        </is>
      </c>
      <c r="H1370" s="8" t="inlineStr"/>
      <c r="I1370" s="9" t="inlineStr"/>
      <c r="J1370" s="8" t="inlineStr"/>
      <c r="K1370" s="8" t="inlineStr"/>
      <c r="L1370" s="8" t="inlineStr"/>
      <c r="M1370" s="8" t="inlineStr">
        <is>
          <t>周期触发</t>
        </is>
      </c>
      <c r="N1370" s="8" t="inlineStr">
        <is>
          <t>periodicPulse</t>
        </is>
      </c>
      <c r="O1370" s="9" t="inlineStr">
        <is>
          <t>消耗 60 点体力，对敌方造成 5 次 60 点伤害；消耗 70 点体力，对敌方造成 5 次 68 点伤害；消耗 80 点体力，对敌方造成 5 次 76 点伤害；消耗 90 点体力，对敌方造成 5 次 84 点伤害</t>
        </is>
      </c>
      <c r="P1370" s="9" t="inlineStr"/>
      <c r="Q1370" s="9" t="inlineStr"/>
      <c r="R1370" s="9" t="inlineStr">
        <is>
          <t>{"kind":"periodicPulse","label":"消耗 60 点体力，&lt;battle&gt;对敌方造成 5 次 60 点伤害&lt;/battle&gt;","periodicPulse":{"intervalSec":27,"label":"消耗 60 点体力，&lt;battle&gt;对敌方造成 5 次 60 点伤害&lt;/battle&gt;","primaryStatCosts":[{"stat":"stamina","amount":60}],"damageHealth":{"target":"enemy","amount":60,"repeatCount":5}},"starOverrides":{"1":{"label":"消耗 70 点体力，&lt;battle&gt;对敌方造成 5 次 68 点伤害&lt;/battle&gt;","periodicPulse":{"intervalSec":24,"label":"消耗 70 点体力，&lt;battle&gt;对敌方造成 5 次 68 点伤害&lt;/battle&gt;","primaryStatCosts":[{"amount":70}],"damageHealth":{"amount":68}}},"2":{"label":"消耗 80 点体力，&lt;battle&gt;对敌方造成 5 次 76 点伤害&lt;/battle&gt;","periodicPulse":{"intervalSec":21,"label":"消耗 80 点体力，&lt;battle&gt;对敌方造成 5 次 76 点伤害&lt;/battle&gt;","primaryStatCosts":[{"amount":80}],"damageHealth":{"amount":76}}},"3":{"label":"消耗 90 点体力，&lt;battle&gt;对敌方造成 5 次 84 点伤害&lt;/battle&gt;","periodicPulse":{"intervalSec":18,"label":"消耗 90 点体力，&lt;battle&gt;对敌方造成 5 次 84 点伤害&lt;/battle&gt;","primaryStatCosts":[{"amount":90}],"damageHealth":{"amount":84}}}}}</t>
        </is>
      </c>
    </row>
    <row r="1371" ht="32" customHeight="1">
      <c r="A1371" s="8" t="n">
        <v>419157</v>
      </c>
      <c r="B1371" s="8" t="inlineStr">
        <is>
          <t>破云箭匣</t>
        </is>
      </c>
      <c r="C1371" s="8" t="inlineStr">
        <is>
          <t>法器</t>
        </is>
      </c>
      <c r="D1371" s="8" t="inlineStr">
        <is>
          <t>spirit</t>
        </is>
      </c>
      <c r="E1371" s="8" t="inlineStr">
        <is>
          <t>metal</t>
        </is>
      </c>
      <c r="F1371" s="8" t="n">
        <v>1</v>
      </c>
      <c r="G1371" s="8" t="inlineStr">
        <is>
          <t>基础/顶层</t>
        </is>
      </c>
      <c r="H1371" s="8" t="inlineStr"/>
      <c r="I1371" s="9" t="inlineStr"/>
      <c r="J1371" s="8" t="inlineStr"/>
      <c r="K1371" s="8" t="inlineStr"/>
      <c r="L1371" s="8" t="inlineStr"/>
      <c r="M1371" s="8" t="inlineStr">
        <is>
          <t>周期触发</t>
        </is>
      </c>
      <c r="N1371" s="8" t="inlineStr">
        <is>
          <t>periodicPulse</t>
        </is>
      </c>
      <c r="O1371" s="9" t="inlineStr">
        <is>
          <t>左侧相邻弓类道具在本局内造成的伤害 +20，灵力：5；左侧相邻弓类道具在本局内造成的伤害 +26，灵力：5；左侧相邻弓类道具在本局内造成的伤害 +32，灵力：5；左侧相邻弓类道具在本局内造成的伤害 +38，灵力：5</t>
        </is>
      </c>
      <c r="P1371" s="9" t="inlineStr"/>
      <c r="Q1371" s="9" t="inlineStr"/>
      <c r="R1371" s="9" t="inlineStr">
        <is>
          <t>{"kind":"periodicPulse","label":"&lt;battle&gt;左侧相邻弓类道具在本局内造成的伤害 +20，灵力：5&lt;/battle&gt;","periodicPulse":{"intervalSec":30,"label":"&lt;battle&gt;左侧相邻弓类道具在本局内造成的伤害 +20，灵力：5&lt;/battle&gt;","adjacentItemDamageFlatBonus":{"direction":"left","amount":20,"rotationLimit":5,"targetFilter":{"features":["weapon","bow"]}}},"starOverrides":{"1":{"label":"&lt;battle&gt;左侧相邻弓类道具在本局内造成的伤害 +26，灵力：5&lt;/battle&gt;","periodicPulse":{"label":"&lt;battle&gt;左侧相邻弓类道具在本局内造成的伤害 +26，灵力：5&lt;/battle&gt;","adjacentItemDamageFlatBonus":{"amount":26}}},"2":{"label":"&lt;battle&gt;左侧相邻弓类道具在本局内造成的伤害 +32，灵力：5&lt;/battle&gt;","periodicPulse":{"label":"&lt;battle&gt;左侧相邻弓类道具在本局内造成的伤害 +32，灵力：5&lt;/battle&gt;","adjacentItemDamageFlatBonus":{"amount":32}}},"3":{"label":"&lt;battle&gt;左侧相邻弓类道具在本局内造成的伤害 +38，灵力：5&lt;/battle&gt;","periodicPulse":{"label":"&lt;battle&gt;左侧相邻弓类道具在本局内造成的伤害 +38，灵力：5&lt;/battle&gt;","adjacentItemDamageFlatBonus":{"amount":38}}}}}</t>
        </is>
      </c>
    </row>
    <row r="1372" ht="32" customHeight="1">
      <c r="A1372" s="8" t="n">
        <v>419158</v>
      </c>
      <c r="B1372" s="8" t="inlineStr">
        <is>
          <t>碎影金匕</t>
        </is>
      </c>
      <c r="C1372" s="8" t="inlineStr">
        <is>
          <t>法器</t>
        </is>
      </c>
      <c r="D1372" s="8" t="inlineStr">
        <is>
          <t>spirit</t>
        </is>
      </c>
      <c r="E1372" s="8" t="inlineStr">
        <is>
          <t>metal</t>
        </is>
      </c>
      <c r="F1372" s="8" t="n">
        <v>1</v>
      </c>
      <c r="G1372" s="8" t="inlineStr">
        <is>
          <t>基础/顶层</t>
        </is>
      </c>
      <c r="H1372" s="8" t="inlineStr"/>
      <c r="I1372" s="9" t="inlineStr"/>
      <c r="J1372" s="8" t="inlineStr"/>
      <c r="K1372" s="8" t="inlineStr"/>
      <c r="L1372" s="8" t="inlineStr"/>
      <c r="M1372" s="8" t="inlineStr">
        <is>
          <t>周期触发</t>
        </is>
      </c>
      <c r="N1372" s="8" t="inlineStr">
        <is>
          <t>periodicPulse</t>
        </is>
      </c>
      <c r="O1372" s="9" t="inlineStr">
        <is>
          <t>消耗 16 点体力；对敌方造成 160 点伤害；每次成功轮转后，该伤害 -20，最低降至 40；消耗 18 点体力；对敌方造成 200 点伤害；每次成功轮转后，该伤害 -20，最低降至 60；消耗 20 点体力；对敌方造成 240 点伤害；每次成功轮转后，该伤害 -20，最低降至 80；消耗 22 点体力；对敌方造成 280 点伤害；每次成功轮转后，该伤害 -20，最低降至 100</t>
        </is>
      </c>
      <c r="P1372" s="9" t="inlineStr">
        <is>
          <t>onPeriodicPulse</t>
        </is>
      </c>
      <c r="Q1372" s="9" t="inlineStr">
        <is>
          <t>decayingBattleDamage</t>
        </is>
      </c>
      <c r="R1372" s="9" t="inlineStr">
        <is>
          <t>{"kind":"periodicPulse","label":"消耗 16 点体力；&lt;battle&gt;对敌方造成 160 点伤害；每次成功轮转后，该伤害 -20，最低降至 40&lt;/battle&gt;","periodicPulse":{"intervalSec":15,"label":"消耗 16 点体力；&lt;battle&gt;对敌方造成 160 点伤害；每次成功轮转后，该伤害 -20，最低降至 40&lt;/battle&gt;","primaryStatCosts":[{"stat":"stamina","amount":16}]},"executors":[{"trigger":"onPeriodicPulse","type":"decayingBattleDamage","initialAmount":160,"deltaPerSuccess":-20,"minAmount":40,"support":"battleOnly"}],"starOverrides":{"1":{"label":"消耗 18 点体力；&lt;battle&gt;对敌方造成 200 点伤害；每次成功轮转后，该伤害 -20，最低降至 60&lt;/battle&gt;","periodicPulse":{"label":"消耗 18 点体力；&lt;battle&gt;对敌方造成 200 点伤害；每次成功轮转后，该伤害 -20，最低降至 60&lt;/battle&gt;","primaryStatCosts":[{"amount":18}]},"executors":[{"initialAmount":200,"minAmount":60}]},"2":{"label":"消耗 20 点体力；&lt;battle&gt;对敌方造成 240 点伤害；每次成功轮转后，该伤害 -20，最低降至 80&lt;/battle&gt;","periodicPulse":{"intervalSec":12,"label":"消耗 20 点体力；&lt;battle&gt;对敌方造成 240 点伤害；每次成功轮转后，该伤害 -20，最低降至 80&lt;/battle&gt;","primaryStatCosts":[{"amount":20}]},"executors":[{"initialAmount":240,"minAmount":80}]},"3":{"label":"消耗 22 点体力；&lt;battle&gt;对敌方造成 280 点伤害；每次成功轮转后，该伤害 -20，最低降至 100&lt;/battle&gt;","periodicPulse":{"intervalSec":12,"label":"消耗 22 点体力；&lt;battle&gt;对敌方造成 280 点伤害；每次成功轮转后，该伤害 -20，最低降至 100&lt;/battle&gt;","primaryStatCosts":[{"amount":22}]},"executors":[{"initialAmount":280,"minAmount":100}]}}}</t>
        </is>
      </c>
    </row>
    <row r="1373" ht="32" customHeight="1">
      <c r="A1373" s="8" t="n">
        <v>419159</v>
      </c>
      <c r="B1373" s="8" t="inlineStr">
        <is>
          <t>镇锋玄盾</t>
        </is>
      </c>
      <c r="C1373" s="8" t="inlineStr">
        <is>
          <t>法器</t>
        </is>
      </c>
      <c r="D1373" s="8" t="inlineStr">
        <is>
          <t>spirit</t>
        </is>
      </c>
      <c r="E1373" s="8" t="inlineStr">
        <is>
          <t>metal</t>
        </is>
      </c>
      <c r="F1373" s="8" t="n">
        <v>1</v>
      </c>
      <c r="G1373" s="8" t="inlineStr">
        <is>
          <t>基础/顶层</t>
        </is>
      </c>
      <c r="H1373" s="8" t="inlineStr"/>
      <c r="I1373" s="9" t="inlineStr"/>
      <c r="J1373" s="8" t="inlineStr"/>
      <c r="K1373" s="8" t="inlineStr"/>
      <c r="L1373" s="8" t="inlineStr"/>
      <c r="M1373" s="8" t="inlineStr">
        <is>
          <t>周期触发</t>
        </is>
      </c>
      <c r="N1373" s="8" t="inlineStr">
        <is>
          <t>periodicPulse</t>
        </is>
      </c>
      <c r="O1373" s="9" t="inlineStr">
        <is>
          <t>消耗 40 点体力，获得 150 层护甲；消耗 48 点体力，获得 180 层护甲；消耗 56 点体力，获得 210 层护甲；消耗 64 点体力，获得 240 层护甲</t>
        </is>
      </c>
      <c r="P1373" s="9" t="inlineStr"/>
      <c r="Q1373" s="9" t="inlineStr"/>
      <c r="R1373" s="9" t="inlineStr">
        <is>
          <t>{"kind":"periodicPulse","label":"消耗 40 点体力，获得 150 层护甲","periodicPulse":{"intervalSec":30,"label":"消耗 40 点体力，获得 150 层护甲","primaryStatCosts":[{"stat":"stamina","amount":40}],"buffGains":[{"buffId":"armor","count":150}]},"starOverrides":{"1":{"label":"消耗 48 点体力，获得 180 层护甲","periodicPulse":{"intervalSec":27,"label":"消耗 48 点体力，获得 180 层护甲","primaryStatCosts":[{"amount":48}],"buffGains":[{"count":180}]}},"2":{"label":"消耗 56 点体力，获得 210 层护甲","periodicPulse":{"intervalSec":24,"label":"消耗 56 点体力，获得 210 层护甲","primaryStatCosts":[{"amount":56}],"buffGains":[{"count":210}]}},"3":{"label":"消耗 64 点体力，获得 240 层护甲","periodicPulse":{"intervalSec":21,"label":"消耗 64 点体力，获得 240 层护甲","primaryStatCosts":[{"amount":64}],"buffGains":[{"count":240}]}}}}</t>
        </is>
      </c>
    </row>
    <row r="1374" ht="32" customHeight="1">
      <c r="A1374" s="8" t="n">
        <v>419160</v>
      </c>
      <c r="B1374" s="8" t="inlineStr">
        <is>
          <t>照胆金盾</t>
        </is>
      </c>
      <c r="C1374" s="8" t="inlineStr">
        <is>
          <t>法器</t>
        </is>
      </c>
      <c r="D1374" s="8" t="inlineStr">
        <is>
          <t>spirit</t>
        </is>
      </c>
      <c r="E1374" s="8" t="inlineStr">
        <is>
          <t>metal</t>
        </is>
      </c>
      <c r="F1374" s="8" t="n">
        <v>1</v>
      </c>
      <c r="G1374" s="8" t="inlineStr">
        <is>
          <t>基础/顶层</t>
        </is>
      </c>
      <c r="H1374" s="8" t="inlineStr"/>
      <c r="I1374" s="9" t="inlineStr"/>
      <c r="J1374" s="8" t="inlineStr"/>
      <c r="K1374" s="8" t="inlineStr"/>
      <c r="L1374" s="8" t="inlineStr"/>
      <c r="M1374" s="8" t="inlineStr">
        <is>
          <t>周期触发</t>
        </is>
      </c>
      <c r="N1374" s="8" t="inlineStr">
        <is>
          <t>periodicPulse</t>
        </is>
      </c>
      <c r="O1374" s="9" t="inlineStr">
        <is>
          <t>消耗 36 点体力，获得 80 层护甲和 80 层坚硬；消耗 44 点体力，获得 100 层护甲和 100 层坚硬；消耗 52 点体力，获得 120 层护甲和 120 层坚硬；消耗 60 点体力，获得 140 层护甲和 140 层坚硬</t>
        </is>
      </c>
      <c r="P1374" s="9" t="inlineStr"/>
      <c r="Q1374" s="9" t="inlineStr"/>
      <c r="R1374" s="9" t="inlineStr">
        <is>
          <t>{"kind":"periodicPulse","label":"消耗 36 点体力，获得 80 层护甲和 80 层坚硬","periodicPulse":{"intervalSec":36,"label":"消耗 36 点体力，获得 80 层护甲和 80 层坚硬","primaryStatCosts":[{"stat":"stamina","amount":36}],"buffGains":[{"buffId":"armor","count":80},{"buffId":"sturdy","count":80}]},"starOverrides":{"1":{"label":"消耗 44 点体力，获得 100 层护甲和 100 层坚硬","periodicPulse":{"intervalSec":33,"label":"消耗 44 点体力，获得 100 层护甲和 100 层坚硬","primaryStatCosts":[{"amount":44}],"buffGains":[{"count":100},{"count":100}]}},"2":{"label":"消耗 52 点体力，获得 120 层护甲和 120 层坚硬","periodicPulse":{"intervalSec":30,"label":"消耗 52 点体力，获得 120 层护甲和 120 层坚硬","primaryStatCosts":[{"amount":52}],"buffGains":[{"count":120},{"count":120}]}},"3":{"label":"消耗 60 点体力，获得 140 层护甲和 140 层坚硬","periodicPulse":{"intervalSec":27,"label":"消耗 60 点体力，获得 140 层护甲和 140 层坚硬","primaryStatCosts":[{"amount":60}],"buffGains":[{"count":140},{"count":140}]}}}}</t>
        </is>
      </c>
    </row>
    <row r="1375" ht="32" customHeight="1">
      <c r="A1375" s="8" t="n">
        <v>419161</v>
      </c>
      <c r="B1375" s="8" t="inlineStr">
        <is>
          <t>粗铁开刃剑</t>
        </is>
      </c>
      <c r="C1375" s="8" t="inlineStr">
        <is>
          <t>法器</t>
        </is>
      </c>
      <c r="D1375" s="8" t="inlineStr">
        <is>
          <t>common</t>
        </is>
      </c>
      <c r="E1375" s="8" t="inlineStr">
        <is>
          <t>metal</t>
        </is>
      </c>
      <c r="F1375" s="8" t="n">
        <v>1</v>
      </c>
      <c r="G1375" s="8" t="inlineStr">
        <is>
          <t>基础/顶层</t>
        </is>
      </c>
      <c r="H1375" s="8" t="inlineStr"/>
      <c r="I1375" s="9" t="inlineStr"/>
      <c r="J1375" s="8" t="inlineStr"/>
      <c r="K1375" s="8" t="inlineStr"/>
      <c r="L1375" s="8" t="inlineStr"/>
      <c r="M1375" s="8" t="inlineStr">
        <is>
          <t>周期触发</t>
        </is>
      </c>
      <c r="N1375" s="8" t="inlineStr">
        <is>
          <t>periodicPulse</t>
        </is>
      </c>
      <c r="O1375" s="9" t="inlineStr">
        <is>
          <t>凝金不少于 15 层时，消耗 10 点体力，对敌方造成 16 点伤害，并移除敌方 2 层坚硬；凝金不少于 13 层时，消耗 12 点体力，对敌方造成 20 点伤害，并移除敌方 2 层坚硬；凝金不少于 11 层时，消耗 14 点体力，对敌方造成 24 点伤害，并移除敌方 2 层坚硬；凝金不少于 9 层时，消耗 16 点体力，对敌方造成 28 点伤害，并移除敌方 2 层坚硬</t>
        </is>
      </c>
      <c r="P1375" s="9" t="inlineStr">
        <is>
          <t>onPeriodicPulse</t>
        </is>
      </c>
      <c r="Q1375" s="9" t="inlineStr">
        <is>
          <t>consumeBuffStacks</t>
        </is>
      </c>
      <c r="R1375" s="9" t="inlineStr">
        <is>
          <t>{"kind":"periodicPulse","label":"凝金不少于 15 层时，消耗 10 点体力，&lt;battle&gt;对敌方造成 16 点伤害，并移除敌方 2 层坚硬&lt;/battle&gt;","activationRequirements":{"buffStackThresholds":[{"buffId":"condensedMetal","comparator":"atLeast","count":15}]},"periodicPulse":{"intervalSec":20,"label":"凝金不少于 15 层时，消耗 10 点体力，&lt;battle&gt;对敌方造成 16 点伤害，并移除敌方 2 层坚硬&lt;/battle&gt;","primaryStatCosts":[{"stat":"stamina","amount":10}],"damageHealth":{"target":"enemy","amount":16}},"executors":[{"trigger":"onPeriodicPulse","type":"consumeBuffStacks","sourceBuffId":"sturdy","consumeTargetActor":"enemy","maxStacks":2}],"starOverrides":{"1":{"label":"凝金不少于 13 层时，消耗 12 点体力，&lt;battle&gt;对敌方造成 20 点伤害，并移除敌方 2 层坚硬&lt;/battle&gt;","activationRequirements":{"buffStackThresholds":[{"count":13}]},"periodicPulse":{"label":"凝金不少于 13 层时，消耗 12 点体力，&lt;battle&gt;对敌方造成 20 点伤害，并移除敌方 2 层坚硬&lt;/battle&gt;","primaryStatCosts":[{"amount":12}],"damageHealth":{"amount":20}}},"2":{"label":"凝金不少于 11 层时，消耗 14 点体力，&lt;battle&gt;对敌方造成 24 点伤害，并移除敌方 2 层坚硬&lt;/battle&gt;","activationRequirements":{"buffStackThresholds":[{"count":11}]},"periodicPulse":{"label":"凝金不少于 11 层时，消耗 14 点体力，&lt;battle&gt;对敌方造成 24 点伤害，并移除敌方 2 层坚硬&lt;/battle&gt;","primaryStatCosts":[{"amount":14}],"damageHealth":{"amount":24}}},"3":{"label":"凝金不少于 9 层时，消耗 16 点体力，&lt;battle&gt;对敌方造成 28 点伤害，并移除敌方 2 层坚硬&lt;/battle&gt;","activationRequirements":{"buffStackThresholds":[{"count":9}]},"periodicPulse":{"label":"凝金不少于 9 层时，消耗 16 点体力，&lt;battle&gt;对敌方造成 28 点伤害，并移除敌方 2 层坚硬&lt;/battle&gt;","primaryStatCosts":[{"amount":16}],"damageHealth":{"amount":28}}}}}</t>
        </is>
      </c>
    </row>
    <row r="1376" ht="32" customHeight="1">
      <c r="A1376" s="8" t="n">
        <v>419162</v>
      </c>
      <c r="B1376" s="8" t="inlineStr">
        <is>
          <t>青钢直剑</t>
        </is>
      </c>
      <c r="C1376" s="8" t="inlineStr">
        <is>
          <t>法器</t>
        </is>
      </c>
      <c r="D1376" s="8" t="inlineStr">
        <is>
          <t>common</t>
        </is>
      </c>
      <c r="E1376" s="8" t="inlineStr">
        <is>
          <t>metal</t>
        </is>
      </c>
      <c r="F1376" s="8" t="n">
        <v>1</v>
      </c>
      <c r="G1376" s="8" t="inlineStr">
        <is>
          <t>基础/顶层</t>
        </is>
      </c>
      <c r="H1376" s="8" t="inlineStr"/>
      <c r="I1376" s="9" t="inlineStr"/>
      <c r="J1376" s="8" t="inlineStr"/>
      <c r="K1376" s="8" t="inlineStr"/>
      <c r="L1376" s="8" t="inlineStr"/>
      <c r="M1376" s="8" t="inlineStr">
        <is>
          <t>周期触发</t>
        </is>
      </c>
      <c r="N1376" s="8" t="inlineStr">
        <is>
          <t>periodicPulse</t>
        </is>
      </c>
      <c r="O1376" s="9" t="inlineStr">
        <is>
          <t>消耗 2 层凝金，对敌方造成 6 点伤害；消耗 2 层凝金，对敌方造成 8 点伤害；消耗 2 层凝金，对敌方造成 10 点伤害；消耗 2 层凝金，对敌方造成 12 点伤害</t>
        </is>
      </c>
      <c r="P1376" s="9" t="inlineStr">
        <is>
          <t>onPeriodicPulse</t>
        </is>
      </c>
      <c r="Q1376" s="9" t="inlineStr">
        <is>
          <t>consumeBuffStacks</t>
        </is>
      </c>
      <c r="R1376" s="9" t="inlineStr">
        <is>
          <t>{"kind":"periodicPulse","label":"消耗 2 层凝金，&lt;battle&gt;对敌方造成 6 点伤害&lt;/battle&gt;","activationRequirements":{"buffStackThresholds":[{"buffId":"condensedMetal","comparator":"atLeast","count":2}]},"periodicPulse":{"intervalSec":6,"label":"消耗 2 层凝金，&lt;battle&gt;对敌方造成 6 点伤害&lt;/battle&gt;","damageHealth":{"target":"enemy","amount":6}},"executors":[{"trigger":"onPeriodicPulse","type":"consumeBuffStacks","sourceBuffId":"condensedMetal","requiredStacks":2,"maxStacks":2,"support":"common"}],"starOverrides":{"1":{"label":"消耗 2 层凝金，&lt;battle&gt;对敌方造成 8 点伤害&lt;/battle&gt;","periodicPulse":{"label":"消耗 2 层凝金，&lt;battle&gt;对敌方造成 8 点伤害&lt;/battle&gt;","damageHealth":{"amount":8}}},"2":{"label":"消耗 2 层凝金，&lt;battle&gt;对敌方造成 10 点伤害&lt;/battle&gt;","periodicPulse":{"label":"消耗 2 层凝金，&lt;battle&gt;对敌方造成 10 点伤害&lt;/battle&gt;","damageHealth":{"amount":10}}},"3":{"label":"消耗 2 层凝金，&lt;battle&gt;对敌方造成 12 点伤害&lt;/battle&gt;","periodicPulse":{"label":"消耗 2 层凝金，&lt;battle&gt;对敌方造成 12 点伤害&lt;/battle&gt;","damageHealth":{"amount":12}}}}}</t>
        </is>
      </c>
    </row>
    <row r="1377" ht="32" customHeight="1">
      <c r="A1377" s="8" t="n">
        <v>419163</v>
      </c>
      <c r="B1377" s="8" t="inlineStr">
        <is>
          <t>缺口重剑</t>
        </is>
      </c>
      <c r="C1377" s="8" t="inlineStr">
        <is>
          <t>法器</t>
        </is>
      </c>
      <c r="D1377" s="8" t="inlineStr">
        <is>
          <t>common</t>
        </is>
      </c>
      <c r="E1377" s="8" t="inlineStr">
        <is>
          <t>metal</t>
        </is>
      </c>
      <c r="F1377" s="8" t="n">
        <v>1</v>
      </c>
      <c r="G1377" s="8" t="inlineStr">
        <is>
          <t>基础/顶层</t>
        </is>
      </c>
      <c r="H1377" s="8" t="inlineStr"/>
      <c r="I1377" s="9" t="inlineStr"/>
      <c r="J1377" s="8" t="inlineStr"/>
      <c r="K1377" s="8" t="inlineStr"/>
      <c r="L1377" s="8" t="inlineStr"/>
      <c r="M1377" s="8" t="inlineStr">
        <is>
          <t>周期触发</t>
        </is>
      </c>
      <c r="N1377" s="8" t="inlineStr">
        <is>
          <t>periodicPulse</t>
        </is>
      </c>
      <c r="O1377" s="9" t="inlineStr">
        <is>
          <t>消耗 12 点体力，对敌方造成 12 点伤害，并移除敌方 2 层护甲；消耗 12 点体力，对敌方造成 16 点伤害，并移除敌方 4 层护甲；消耗 12 点体力，对敌方造成 20 点伤害，并移除敌方 6 层护甲；消耗 12 点体力，对敌方造成 24 点伤害，并移除敌方 8 层护甲</t>
        </is>
      </c>
      <c r="P1377" s="9" t="inlineStr">
        <is>
          <t>onPeriodicPulse</t>
        </is>
      </c>
      <c r="Q1377" s="9" t="inlineStr">
        <is>
          <t>consumeBuffStacks</t>
        </is>
      </c>
      <c r="R1377" s="9" t="inlineStr">
        <is>
          <t>{"kind":"periodicPulse","label":"消耗 12 点体力，&lt;battle&gt;对敌方造成 12 点伤害，并移除敌方 2 层护甲&lt;/battle&gt;","periodicPulse":{"intervalSec":9,"label":"消耗 12 点体力，&lt;battle&gt;对敌方造成 12 点伤害，并移除敌方 2 层护甲&lt;/battle&gt;","primaryStatCosts":[{"stat":"stamina","amount":12}],"damageHealth":{"target":"enemy","amount":12}},"executors":[{"trigger":"onPeriodicPulse","type":"consumeBuffStacks","sourceBuffId":"armor","consumeTargetActor":"enemy","maxStacks":2}],"starOverrides":{"1":{"label":"消耗 12 点体力，&lt;battle&gt;对敌方造成 16 点伤害，并移除敌方 4 层护甲&lt;/battle&gt;","periodicPulse":{"label":"消耗 12 点体力，&lt;battle&gt;对敌方造成 16 点伤害，并移除敌方 4 层护甲&lt;/battle&gt;","damageHealth":{"amount":16}},"executors":[{"maxStacks":4}]},"2":{"label":"消耗 12 点体力，&lt;battle&gt;对敌方造成 20 点伤害，并移除敌方 6 层护甲&lt;/battle&gt;","periodicPulse":{"label":"消耗 12 点体力，&lt;battle&gt;对敌方造成 20 点伤害，并移除敌方 6 层护甲&lt;/battle&gt;","damageHealth":{"amount":20}},"executors":[{"maxStacks":6}]},"3":{"label":"消耗 12 点体力，&lt;battle&gt;对敌方造成 24 点伤害，并移除敌方 8 层护甲&lt;/battle&gt;","periodicPulse":{"label":"消耗 12 点体力，&lt;battle&gt;对敌方造成 24 点伤害，并移除敌方 8 层护甲&lt;/battle&gt;","damageHealth":{"amount":24}},"executors":[{"maxStacks":8}]}}}</t>
        </is>
      </c>
    </row>
    <row r="1378" ht="32" customHeight="1">
      <c r="A1378" s="8" t="n">
        <v>419164</v>
      </c>
      <c r="B1378" s="8" t="inlineStr">
        <is>
          <t>铁脊长剑</t>
        </is>
      </c>
      <c r="C1378" s="8" t="inlineStr">
        <is>
          <t>法器</t>
        </is>
      </c>
      <c r="D1378" s="8" t="inlineStr">
        <is>
          <t>common</t>
        </is>
      </c>
      <c r="E1378" s="8" t="inlineStr">
        <is>
          <t>metal</t>
        </is>
      </c>
      <c r="F1378" s="8" t="n">
        <v>1</v>
      </c>
      <c r="G1378" s="8" t="inlineStr">
        <is>
          <t>基础/顶层</t>
        </is>
      </c>
      <c r="H1378" s="8" t="inlineStr"/>
      <c r="I1378" s="9" t="inlineStr"/>
      <c r="J1378" s="8" t="inlineStr"/>
      <c r="K1378" s="8" t="inlineStr"/>
      <c r="L1378" s="8" t="inlineStr"/>
      <c r="M1378" s="8" t="inlineStr">
        <is>
          <t>周期触发</t>
        </is>
      </c>
      <c r="N1378" s="8" t="inlineStr">
        <is>
          <t>periodicPulse</t>
        </is>
      </c>
      <c r="O1378" s="9" t="inlineStr">
        <is>
          <t>消耗 3 层凝金，对敌方造成 8 点伤害，并移除敌方 5 层坚硬；消耗 3 层凝金，对敌方造成 10 点伤害，并移除敌方 5 层坚硬；消耗 3 层凝金，对敌方造成 12 点伤害，并移除敌方 5 层坚硬；消耗 3 层凝金，对敌方造成 14 点伤害，并移除敌方 5 层坚硬</t>
        </is>
      </c>
      <c r="P1378" s="9" t="inlineStr">
        <is>
          <t>onPeriodicPulse</t>
        </is>
      </c>
      <c r="Q1378" s="9" t="inlineStr">
        <is>
          <t>consumeBuffStacks</t>
        </is>
      </c>
      <c r="R1378" s="9" t="inlineStr">
        <is>
          <t>{"kind":"periodicPulse","label":"消耗 3 层凝金，&lt;battle&gt;对敌方造成 8 点伤害，并移除敌方 5 层坚硬&lt;/battle&gt;","activationRequirements":{"buffStackThresholds":[{"buffId":"condensedMetal","comparator":"atLeast","count":3}]},"periodicPulse":{"intervalSec":16,"label":"消耗 3 层凝金，&lt;battle&gt;对敌方造成 8 点伤害，并移除敌方 5 层坚硬&lt;/battle&gt;","damageHealth":{"target":"enemy","amount":8}},"executors":[{"trigger":"onPeriodicPulse","type":"consumeBuffStacks","sourceBuffId":"condensedMetal","requiredStacks":3,"maxStacks":3,"support":"common"},{"trigger":"onPeriodicPulse","type":"consumeBuffStacks","sourceBuffId":"sturdy","consumeTargetActor":"enemy","maxStacks":5,"support":"battleOnly"}],"starOverrides":{"1":{"label":"消耗 3 层凝金，&lt;battle&gt;对敌方造成 10 点伤害，并移除敌方 5 层坚硬&lt;/battle&gt;","periodicPulse":{"label":"消耗 3 层凝金，&lt;battle&gt;对敌方造成 10 点伤害，并移除敌方 5 层坚硬&lt;/battle&gt;","damageHealth":{"amount":10}}},"2":{"label":"消耗 3 层凝金，&lt;battle&gt;对敌方造成 12 点伤害，并移除敌方 5 层坚硬&lt;/battle&gt;","periodicPulse":{"label":"消耗 3 层凝金，&lt;battle&gt;对敌方造成 12 点伤害，并移除敌方 5 层坚硬&lt;/battle&gt;","damageHealth":{"amount":12}}},"3":{"label":"消耗 3 层凝金，&lt;battle&gt;对敌方造成 14 点伤害，并移除敌方 5 层坚硬&lt;/battle&gt;","periodicPulse":{"label":"消耗 3 层凝金，&lt;battle&gt;对敌方造成 14 点伤害，并移除敌方 5 层坚硬&lt;/battle&gt;","damageHealth":{"amount":14}}}}}</t>
        </is>
      </c>
    </row>
    <row r="1379" ht="32" customHeight="1">
      <c r="A1379" s="8" t="n">
        <v>419165</v>
      </c>
      <c r="B1379" s="8" t="inlineStr">
        <is>
          <t>压阵宽剑</t>
        </is>
      </c>
      <c r="C1379" s="8" t="inlineStr">
        <is>
          <t>法器</t>
        </is>
      </c>
      <c r="D1379" s="8" t="inlineStr">
        <is>
          <t>common</t>
        </is>
      </c>
      <c r="E1379" s="8" t="inlineStr">
        <is>
          <t>metal</t>
        </is>
      </c>
      <c r="F1379" s="8" t="n">
        <v>1</v>
      </c>
      <c r="G1379" s="8" t="inlineStr">
        <is>
          <t>基础/顶层</t>
        </is>
      </c>
      <c r="H1379" s="8" t="inlineStr"/>
      <c r="I1379" s="9" t="inlineStr"/>
      <c r="J1379" s="8" t="inlineStr"/>
      <c r="K1379" s="8" t="inlineStr"/>
      <c r="L1379" s="8" t="inlineStr"/>
      <c r="M1379" s="8" t="inlineStr">
        <is>
          <t>条件触发</t>
        </is>
      </c>
      <c r="N1379" s="8" t="inlineStr">
        <is>
          <t>triggered</t>
        </is>
      </c>
      <c r="O1379" s="9" t="inlineStr">
        <is>
          <t>每累计使用 8 次剑类道具，对敌方造成 30 点伤害；每累计使用 7 次剑类道具，对敌方造成 36 点伤害；每累计使用 6 次剑类道具，对敌方造成 42 点伤害；每累计使用 5 次剑类道具，对敌方造成 48 点伤害</t>
        </is>
      </c>
      <c r="P1379" s="9" t="inlineStr">
        <is>
          <t>onItemUse</t>
        </is>
      </c>
      <c r="Q1379" s="9" t="inlineStr">
        <is>
          <t>battleDamageHealth；any</t>
        </is>
      </c>
      <c r="R1379" s="9" t="inlineStr">
        <is>
          <t>{"kind":"triggered","label":"每累计使用 8 次剑类道具，&lt;battle&gt;对敌方造成 30 点伤害&lt;/battle&gt;","triggeredEffect":{"trigger":"onItemUse","type":"battleDamageHealth","amount":30,"eventSource":{"target":{"type":"any"},"filter":{"features":["weapon","sword"]}},"charge":{"threshold":8,"countPerEvent":1},"support":"battleOnly"},"starOverrides":{"1":{"label":"每累计使用 7 次剑类道具，&lt;battle&gt;对敌方造成 36 点伤害&lt;/battle&gt;","triggeredEffect":{"amount":36,"charge":{"threshold":7}}},"2":{"label":"每累计使用 6 次剑类道具，&lt;battle&gt;对敌方造成 42 点伤害&lt;/battle&gt;","triggeredEffect":{"amount":42,"charge":{"threshold":6}}},"3":{"label":"每累计使用 5 次剑类道具，&lt;battle&gt;对敌方造成 48 点伤害&lt;/battle&gt;","triggeredEffect":{"amount":48,"charge":{"threshold":5}}}}}</t>
        </is>
      </c>
    </row>
    <row r="1380" ht="32" customHeight="1">
      <c r="A1380" s="8" t="n">
        <v>419166</v>
      </c>
      <c r="B1380" s="8" t="inlineStr">
        <is>
          <t>破甲锥剑</t>
        </is>
      </c>
      <c r="C1380" s="8" t="inlineStr">
        <is>
          <t>法器</t>
        </is>
      </c>
      <c r="D1380" s="8" t="inlineStr">
        <is>
          <t>common</t>
        </is>
      </c>
      <c r="E1380" s="8" t="inlineStr">
        <is>
          <t>metal</t>
        </is>
      </c>
      <c r="F1380" s="8" t="n">
        <v>1</v>
      </c>
      <c r="G1380" s="8" t="inlineStr">
        <is>
          <t>基础/顶层</t>
        </is>
      </c>
      <c r="H1380" s="8" t="inlineStr"/>
      <c r="I1380" s="9" t="inlineStr"/>
      <c r="J1380" s="8" t="inlineStr"/>
      <c r="K1380" s="8" t="inlineStr"/>
      <c r="L1380" s="8" t="inlineStr"/>
      <c r="M1380" s="8" t="inlineStr">
        <is>
          <t>周期触发</t>
        </is>
      </c>
      <c r="N1380" s="8" t="inlineStr">
        <is>
          <t>periodicPulse</t>
        </is>
      </c>
      <c r="O1380" s="9" t="inlineStr">
        <is>
          <t>消耗 8 点气血，移除敌方 30 层护甲；消耗 8 点气血，移除敌方 34 层护甲；消耗 8 点气血，移除敌方 38 层护甲；消耗 8 点气血，移除敌方 42 层护甲</t>
        </is>
      </c>
      <c r="P1380" s="9" t="inlineStr">
        <is>
          <t>onPeriodicPulse</t>
        </is>
      </c>
      <c r="Q1380" s="9" t="inlineStr">
        <is>
          <t>consumeBuffStacks</t>
        </is>
      </c>
      <c r="R1380" s="9" t="inlineStr">
        <is>
          <t>{"kind":"periodicPulse","label":"消耗 8 点气血，&lt;battle&gt;移除敌方 30 层护甲&lt;/battle&gt;","periodicPulse":{"intervalSec":18,"label":"消耗 8 点气血，&lt;battle&gt;移除敌方 30 层护甲&lt;/battle&gt;","primaryStatCosts":[{"stat":"health","amount":8}]},"executors":[{"trigger":"onPeriodicPulse","type":"consumeBuffStacks","sourceBuffId":"armor","consumeTargetActor":"enemy","maxStacks":30,"support":"battleOnly"}],"starOverrides":{"1":{"label":"消耗 8 点气血，&lt;battle&gt;移除敌方 34 层护甲&lt;/battle&gt;","periodicPulse":{"label":"消耗 8 点气血，&lt;battle&gt;移除敌方 34 层护甲&lt;/battle&gt;"},"executors":[{"maxStacks":34}]},"2":{"label":"消耗 8 点气血，&lt;battle&gt;移除敌方 38 层护甲&lt;/battle&gt;","periodicPulse":{"label":"消耗 8 点气血，&lt;battle&gt;移除敌方 38 层护甲&lt;/battle&gt;"},"executors":[{"maxStacks":38}]},"3":{"label":"消耗 8 点气血，&lt;battle&gt;移除敌方 42 层护甲&lt;/battle&gt;","periodicPulse":{"label":"消耗 8 点气血，&lt;battle&gt;移除敌方 42 层护甲&lt;/battle&gt;"},"executors":[{"maxStacks":42}]}}}</t>
        </is>
      </c>
    </row>
    <row r="1381" ht="32" customHeight="1">
      <c r="A1381" s="8" t="n">
        <v>419167</v>
      </c>
      <c r="B1381" s="8" t="inlineStr">
        <is>
          <t>双钉短剑</t>
        </is>
      </c>
      <c r="C1381" s="8" t="inlineStr">
        <is>
          <t>法器</t>
        </is>
      </c>
      <c r="D1381" s="8" t="inlineStr">
        <is>
          <t>common</t>
        </is>
      </c>
      <c r="E1381" s="8" t="inlineStr">
        <is>
          <t>metal</t>
        </is>
      </c>
      <c r="F1381" s="8" t="n">
        <v>1</v>
      </c>
      <c r="G1381" s="8" t="inlineStr">
        <is>
          <t>基础/顶层</t>
        </is>
      </c>
      <c r="H1381" s="8" t="inlineStr"/>
      <c r="I1381" s="9" t="inlineStr"/>
      <c r="J1381" s="8" t="inlineStr"/>
      <c r="K1381" s="8" t="inlineStr"/>
      <c r="L1381" s="8" t="inlineStr"/>
      <c r="M1381" s="8" t="inlineStr">
        <is>
          <t>周期触发</t>
        </is>
      </c>
      <c r="N1381" s="8" t="inlineStr">
        <is>
          <t>periodicPulse</t>
        </is>
      </c>
      <c r="O1381" s="9" t="inlineStr">
        <is>
          <t>消耗 4 层凝金，对敌方造成 2 次 6 点伤害；消耗 4 层凝金，对敌方造成 2 次 7 点伤害；消耗 4 层凝金，对敌方造成 2 次 8 点伤害；消耗 4 层凝金，对敌方造成 2 次 9 点伤害</t>
        </is>
      </c>
      <c r="P1381" s="9" t="inlineStr">
        <is>
          <t>onPeriodicPulse</t>
        </is>
      </c>
      <c r="Q1381" s="9" t="inlineStr">
        <is>
          <t>consumeBuffStacks</t>
        </is>
      </c>
      <c r="R1381" s="9" t="inlineStr">
        <is>
          <t>{"kind":"periodicPulse","label":"消耗 4 层凝金，&lt;battle&gt;对敌方造成 2 次 6 点伤害&lt;/battle&gt;","activationRequirements":{"buffStackThresholds":[{"buffId":"condensedMetal","comparator":"atLeast","count":4}]},"periodicPulse":{"intervalSec":16,"label":"消耗 4 层凝金，&lt;battle&gt;对敌方造成 2 次 6 点伤害&lt;/battle&gt;","damageHealth":{"target":"enemy","amount":6,"repeatCount":2}},"executors":[{"trigger":"onPeriodicPulse","type":"consumeBuffStacks","sourceBuffId":"condensedMetal","requiredStacks":4,"maxStacks":4,"support":"common"}],"starOverrides":{"1":{"label":"消耗 4 层凝金，&lt;battle&gt;对敌方造成 2 次 7 点伤害&lt;/battle&gt;","periodicPulse":{"label":"消耗 4 层凝金，&lt;battle&gt;对敌方造成 2 次 7 点伤害&lt;/battle&gt;","damageHealth":{"amount":7}}},"2":{"label":"消耗 4 层凝金，&lt;battle&gt;对敌方造成 2 次 8 点伤害&lt;/battle&gt;","periodicPulse":{"label":"消耗 4 层凝金，&lt;battle&gt;对敌方造成 2 次 8 点伤害&lt;/battle&gt;","damageHealth":{"amount":8}}},"3":{"label":"消耗 4 层凝金，&lt;battle&gt;对敌方造成 2 次 9 点伤害&lt;/battle&gt;","periodicPulse":{"label":"消耗 4 层凝金，&lt;battle&gt;对敌方造成 2 次 9 点伤害&lt;/battle&gt;","damageHealth":{"amount":9}}}}}</t>
        </is>
      </c>
    </row>
    <row r="1382" ht="32" customHeight="1">
      <c r="A1382" s="8" t="n">
        <v>419168</v>
      </c>
      <c r="B1382" s="8" t="inlineStr">
        <is>
          <t>旧炉斩剑</t>
        </is>
      </c>
      <c r="C1382" s="8" t="inlineStr">
        <is>
          <t>法器</t>
        </is>
      </c>
      <c r="D1382" s="8" t="inlineStr">
        <is>
          <t>common</t>
        </is>
      </c>
      <c r="E1382" s="8" t="inlineStr">
        <is>
          <t>metal</t>
        </is>
      </c>
      <c r="F1382" s="8" t="n">
        <v>1</v>
      </c>
      <c r="G1382" s="8" t="inlineStr">
        <is>
          <t>基础/顶层</t>
        </is>
      </c>
      <c r="H1382" s="8" t="inlineStr"/>
      <c r="I1382" s="9" t="inlineStr"/>
      <c r="J1382" s="8" t="inlineStr"/>
      <c r="K1382" s="8" t="inlineStr"/>
      <c r="L1382" s="8" t="inlineStr"/>
      <c r="M1382" s="8" t="inlineStr">
        <is>
          <t>周期触发</t>
        </is>
      </c>
      <c r="N1382" s="8" t="inlineStr">
        <is>
          <t>periodicPulse</t>
        </is>
      </c>
      <c r="O1382" s="9" t="inlineStr">
        <is>
          <t>消耗 4 点体力；对敌方造成 16 点伤害；每次成功轮转后，该伤害 -4，最低降至 4；消耗 4 点体力；对敌方造成 20 点伤害；每次成功轮转后，该伤害 -4，最低降至 8；消耗 4 点体力；对敌方造成 24 点伤害；每次成功轮转后，该伤害 -4，最低降至 12；消耗 4 点体力；对敌方造成 28 点伤害；每次成功轮转后，该伤害 -4，最低降至 16</t>
        </is>
      </c>
      <c r="P1382" s="9" t="inlineStr">
        <is>
          <t>onPeriodicPulse</t>
        </is>
      </c>
      <c r="Q1382" s="9" t="inlineStr">
        <is>
          <t>decayingBattleDamage</t>
        </is>
      </c>
      <c r="R1382" s="9" t="inlineStr">
        <is>
          <t>{"kind":"periodicPulse","label":"消耗 4 点体力；&lt;battle&gt;对敌方造成 16 点伤害；每次成功轮转后，该伤害 -4，最低降至 4&lt;/battle&gt;","periodicPulse":{"intervalSec":6,"label":"消耗 4 点体力；&lt;battle&gt;对敌方造成 16 点伤害；每次成功轮转后，该伤害 -4，最低降至 4&lt;/battle&gt;","primaryStatCosts":[{"stat":"stamina","amount":4}]},"executors":[{"trigger":"onPeriodicPulse","type":"decayingBattleDamage","initialAmount":16,"deltaPerSuccess":-4,"minAmount":4,"support":"battleOnly"}],"starOverrides":{"1":{"label":"消耗 4 点体力；&lt;battle&gt;对敌方造成 20 点伤害；每次成功轮转后，该伤害 -4，最低降至 8&lt;/battle&gt;","periodicPulse":{"label":"消耗 4 点体力；&lt;battle&gt;对敌方造成 20 点伤害；每次成功轮转后，该伤害 -4，最低降至 8&lt;/battle&gt;"},"executors":[{"initialAmount":20,"minAmount":8}]},"2":{"label":"消耗 4 点体力；&lt;battle&gt;对敌方造成 24 点伤害；每次成功轮转后，该伤害 -4，最低降至 12&lt;/battle&gt;","periodicPulse":{"label":"消耗 4 点体力；&lt;battle&gt;对敌方造成 24 点伤害；每次成功轮转后，该伤害 -4，最低降至 12&lt;/battle&gt;"},"executors":[{"initialAmount":24,"minAmount":12}]},"3":{"label":"消耗 4 点体力；&lt;battle&gt;对敌方造成 28 点伤害；每次成功轮转后，该伤害 -4，最低降至 16&lt;/battle&gt;","periodicPulse":{"label":"消耗 4 点体力；&lt;battle&gt;对敌方造成 28 点伤害；每次成功轮转后，该伤害 -4，最低降至 16&lt;/battle&gt;"},"executors":[{"initialAmount":28,"minAmount":16}]}}}</t>
        </is>
      </c>
    </row>
    <row r="1383" ht="32" customHeight="1">
      <c r="A1383" s="8" t="n">
        <v>419169</v>
      </c>
      <c r="B1383" s="8" t="inlineStr">
        <is>
          <t>素鞘快剑</t>
        </is>
      </c>
      <c r="C1383" s="8" t="inlineStr">
        <is>
          <t>法器</t>
        </is>
      </c>
      <c r="D1383" s="8" t="inlineStr">
        <is>
          <t>common</t>
        </is>
      </c>
      <c r="E1383" s="8" t="inlineStr">
        <is>
          <t>metal</t>
        </is>
      </c>
      <c r="F1383" s="8" t="n">
        <v>1</v>
      </c>
      <c r="G1383" s="8" t="inlineStr">
        <is>
          <t>基础/顶层</t>
        </is>
      </c>
      <c r="H1383" s="8" t="inlineStr"/>
      <c r="I1383" s="9" t="inlineStr"/>
      <c r="J1383" s="8" t="inlineStr"/>
      <c r="K1383" s="8" t="inlineStr"/>
      <c r="L1383" s="8" t="inlineStr"/>
      <c r="M1383" s="8" t="inlineStr">
        <is>
          <t>周期触发</t>
        </is>
      </c>
      <c r="N1383" s="8" t="inlineStr">
        <is>
          <t>periodicPulse</t>
        </is>
      </c>
      <c r="O1383" s="9" t="inlineStr">
        <is>
          <t>消耗 12 层凝金，造成 5 点伤害，每击杀一只妖兽后伤害效果升级。；伤害</t>
        </is>
      </c>
      <c r="P1383" s="9" t="inlineStr">
        <is>
          <t>onPeriodicPulse；onEnemyDefeated</t>
        </is>
      </c>
      <c r="Q1383" s="9" t="inlineStr">
        <is>
          <t>consumeBuffStacks；battleDamageHealth</t>
        </is>
      </c>
      <c r="R1383" s="9" t="inlineStr">
        <is>
          <t>{"kind":"periodicPulse","label":"消耗 12 层凝金，&lt;battle&gt;造成 5 点伤害，每击杀一只妖兽后伤害效果升级&lt;/battle&gt;。","activationRequirements":{"buffStackThresholds":[{"buffId":"condensedMetal","comparator":"atLeast","count":12}]},"periodicPulse":{"intervalSec":35,"label":"消耗 12 层凝金，&lt;battle&gt;造成 5 点伤害，每击杀一只妖兽后伤害效果升级&lt;/battle&gt;。"},"executors":[{"trigger":"onPeriodicPulse","type":"consumeBuffStacks","sourceBuffId":"condensedMetal","requiredStacks":12,"maxStacks":12,"support":"common"},{"trigger":"onPeriodicPulse","type":"battleDamageHealth","amount":5,"support":"battleOnly"}],"starOverrides":{"1":{"growth":{"bindings":[{"delta":2,"maxValue":65}]}},"2":{"growth":{"bindings":[{"delta":3,"maxValue":75}]}},"3":{"growth":{"bindings":[{"delta":4,"maxValue":85}]}}},"growth":{"lifecycle":"permanent","trigger":"onEnemyDefeated","bindings":[{"path":"executors.1.amount","delta":1,"maxValue":55,"label":"伤害","textOccurrence":0}],"support":"battleOnly"}}</t>
        </is>
      </c>
    </row>
    <row r="1384" ht="32" customHeight="1">
      <c r="A1384" s="8" t="n">
        <v>419170</v>
      </c>
      <c r="B1384" s="8" t="inlineStr">
        <is>
          <t>三棱破甲剑</t>
        </is>
      </c>
      <c r="C1384" s="8" t="inlineStr">
        <is>
          <t>法器</t>
        </is>
      </c>
      <c r="D1384" s="8" t="inlineStr">
        <is>
          <t>common</t>
        </is>
      </c>
      <c r="E1384" s="8" t="inlineStr">
        <is>
          <t>metal</t>
        </is>
      </c>
      <c r="F1384" s="8" t="n">
        <v>1</v>
      </c>
      <c r="G1384" s="8" t="inlineStr">
        <is>
          <t>基础/顶层</t>
        </is>
      </c>
      <c r="H1384" s="8" t="inlineStr"/>
      <c r="I1384" s="9" t="inlineStr"/>
      <c r="J1384" s="8" t="inlineStr"/>
      <c r="K1384" s="8" t="inlineStr"/>
      <c r="L1384" s="8" t="inlineStr"/>
      <c r="M1384" s="8" t="inlineStr">
        <is>
          <t>周期触发</t>
        </is>
      </c>
      <c r="N1384" s="8" t="inlineStr">
        <is>
          <t>periodicPulse</t>
        </is>
      </c>
      <c r="O1384" s="9" t="inlineStr">
        <is>
          <t>消耗 4 层凝金；移除敌方 4 层坚硬，移除成功时获得 3 层护甲；消耗 4 层凝金；移除敌方 5 层坚硬，移除成功时获得 4 层护甲；消耗 4 层凝金；移除敌方 6 层坚硬，移除成功时获得 5 层护甲；消耗 4 层凝金；移除敌方 7 层坚硬，移除成功时获得 6 层护甲</t>
        </is>
      </c>
      <c r="P1384" s="9" t="inlineStr">
        <is>
          <t>onPeriodicPulse</t>
        </is>
      </c>
      <c r="Q1384" s="9" t="inlineStr">
        <is>
          <t>consumeBuffStacks</t>
        </is>
      </c>
      <c r="R1384" s="9" t="inlineStr">
        <is>
          <t>{"kind":"periodicPulse","label":"消耗 4 层凝金；&lt;battle&gt;移除敌方 4 层坚硬，移除成功时获得 3 层护甲&lt;/battle&gt;","activationRequirements":{"buffStackThresholds":[{"buffId":"condensedMetal","comparator":"atLeast","count":4}]},"periodicPulse":{"intervalSec":10,"label":"消耗 4 层凝金；&lt;battle&gt;移除敌方 4 层坚硬，移除成功时获得 3 层护甲&lt;/battle&gt;"},"executors":[{"trigger":"onPeriodicPulse","type":"consumeBuffStacks","sourceBuffId":"condensedMetal","requiredStacks":4,"maxStacks":4,"targetBuffRemovals":[{"buffId":"sturdy","count":4}],"support":"common"}],"starOverrides":{"1":{"label":"消耗 4 层凝金；&lt;battle&gt;移除敌方 5 层坚硬，移除成功时获得 4 层护甲&lt;/battle&gt;","periodicPulse":{"label":"消耗 4 层凝金；&lt;battle&gt;移除敌方 5 层坚硬，移除成功时获得 4 层护甲&lt;/battle&gt;"},"executors":[{"targetBuffRemovals":[{"count":5}]}]},"2":{"label":"消耗 4 层凝金；&lt;battle&gt;移除敌方 6 层坚硬，移除成功时获得 5 层护甲&lt;/battle&gt;","periodicPulse":{"label":"消耗 4 层凝金；&lt;battle&gt;移除敌方 6 层坚硬，移除成功时获得 5 层护甲&lt;/battle&gt;"},"executors":[{"targetBuffRemovals":[{"count":6}]}]},"3":{"label":"消耗 4 层凝金；&lt;battle&gt;移除敌方 7 层坚硬，移除成功时获得 6 层护甲&lt;/battle&gt;","periodicPulse":{"label":"消耗 4 层凝金；&lt;battle&gt;移除敌方 7 层坚硬，移除成功时获得 6 层护甲&lt;/battle&gt;"},"executors":[{"targetBuffRemovals":[{"count":7}]}]}}}</t>
        </is>
      </c>
    </row>
    <row r="1385" ht="32" customHeight="1">
      <c r="A1385" s="8" t="n">
        <v>419170</v>
      </c>
      <c r="B1385" s="8" t="inlineStr">
        <is>
          <t>三棱破甲剑</t>
        </is>
      </c>
      <c r="C1385" s="8" t="inlineStr">
        <is>
          <t>法器</t>
        </is>
      </c>
      <c r="D1385" s="8" t="inlineStr">
        <is>
          <t>common</t>
        </is>
      </c>
      <c r="E1385" s="8" t="inlineStr">
        <is>
          <t>metal</t>
        </is>
      </c>
      <c r="F1385" s="8" t="n">
        <v>2</v>
      </c>
      <c r="G1385" s="8" t="inlineStr">
        <is>
          <t>基础/顶层</t>
        </is>
      </c>
      <c r="H1385" s="8" t="inlineStr"/>
      <c r="I1385" s="9" t="inlineStr"/>
      <c r="J1385" s="8" t="inlineStr"/>
      <c r="K1385" s="8" t="inlineStr"/>
      <c r="L1385" s="8" t="inlineStr"/>
      <c r="M1385" s="8" t="inlineStr">
        <is>
          <t>条件触发</t>
        </is>
      </c>
      <c r="N1385" s="8" t="inlineStr">
        <is>
          <t>triggered</t>
        </is>
      </c>
      <c r="O1385" s="9" t="inlineStr">
        <is>
          <t>移除敌方坚硬成功时获得 3 层护甲；移除敌方坚硬成功时获得 4 层护甲；移除敌方坚硬成功时获得 5 层护甲；移除敌方坚硬成功时获得 6 层护甲</t>
        </is>
      </c>
      <c r="P1385" s="9" t="inlineStr">
        <is>
          <t>onBuffConsumed</t>
        </is>
      </c>
      <c r="Q1385" s="9" t="inlineStr">
        <is>
          <t>applyBuff；self</t>
        </is>
      </c>
      <c r="R1385" s="9" t="inlineStr">
        <is>
          <t>{"kind":"triggered","label":"&lt;battle&gt;移除敌方坚硬成功时获得 3 层护甲&lt;/battle&gt;","triggeredEffect":{"trigger":"onBuffConsumed","type":"applyBuff","buffId":"armor","count":3,"eventActor":"enemy","eventBuffId":"sturdy","eventSource":{"target":{"type":"self"}},"support":"battleOnly"},"starOverrides":{"1":{"label":"&lt;battle&gt;移除敌方坚硬成功时获得 4 层护甲&lt;/battle&gt;","triggeredEffect":{"count":4}},"2":{"label":"&lt;battle&gt;移除敌方坚硬成功时获得 5 层护甲&lt;/battle&gt;","triggeredEffect":{"count":5}},"3":{"label":"&lt;battle&gt;移除敌方坚硬成功时获得 6 层护甲&lt;/battle&gt;","triggeredEffect":{"count":6}}}}</t>
        </is>
      </c>
    </row>
    <row r="1386" ht="32" customHeight="1">
      <c r="A1386" s="8" t="n">
        <v>419171</v>
      </c>
      <c r="B1386" s="8" t="inlineStr">
        <is>
          <t>横梁大剑</t>
        </is>
      </c>
      <c r="C1386" s="8" t="inlineStr">
        <is>
          <t>法器</t>
        </is>
      </c>
      <c r="D1386" s="8" t="inlineStr">
        <is>
          <t>common</t>
        </is>
      </c>
      <c r="E1386" s="8" t="inlineStr">
        <is>
          <t>metal</t>
        </is>
      </c>
      <c r="F1386" s="8" t="n">
        <v>1</v>
      </c>
      <c r="G1386" s="8" t="inlineStr">
        <is>
          <t>基础/顶层</t>
        </is>
      </c>
      <c r="H1386" s="8" t="inlineStr"/>
      <c r="I1386" s="9" t="inlineStr"/>
      <c r="J1386" s="8" t="inlineStr"/>
      <c r="K1386" s="8" t="inlineStr"/>
      <c r="L1386" s="8" t="inlineStr"/>
      <c r="M1386" s="8" t="inlineStr">
        <is>
          <t>周期触发</t>
        </is>
      </c>
      <c r="N1386" s="8" t="inlineStr">
        <is>
          <t>periodicPulse</t>
        </is>
      </c>
      <c r="O1386" s="9" t="inlineStr">
        <is>
          <t>消耗 8 点体力，对敌方造成 26 点伤害；消耗 8 点体力，对敌方造成 30 点伤害；消耗 8 点体力，对敌方造成 34 点伤害；消耗 8 点体力，对敌方造成 38 点伤害</t>
        </is>
      </c>
      <c r="P1386" s="9" t="inlineStr"/>
      <c r="Q1386" s="9" t="inlineStr"/>
      <c r="R1386" s="9" t="inlineStr">
        <is>
          <t>{"kind":"periodicPulse","label":"消耗 8 点体力，&lt;battle&gt;对敌方造成 26 点伤害&lt;/battle&gt;","periodicPulse":{"intervalSec":13,"label":"消耗 8 点体力，&lt;battle&gt;对敌方造成 26 点伤害&lt;/battle&gt;","primaryStatCosts":[{"stat":"stamina","amount":8}],"damageHealth":{"target":"enemy","amount":26}},"starOverrides":{"1":{"label":"消耗 8 点体力，&lt;battle&gt;对敌方造成 30 点伤害&lt;/battle&gt;","periodicPulse":{"label":"消耗 8 点体力，&lt;battle&gt;对敌方造成 30 点伤害&lt;/battle&gt;","damageHealth":{"amount":30}}},"2":{"label":"消耗 8 点体力，&lt;battle&gt;对敌方造成 34 点伤害&lt;/battle&gt;","periodicPulse":{"label":"消耗 8 点体力，&lt;battle&gt;对敌方造成 34 点伤害&lt;/battle&gt;","damageHealth":{"amount":34}}},"3":{"label":"消耗 8 点体力，&lt;battle&gt;对敌方造成 38 点伤害&lt;/battle&gt;","periodicPulse":{"label":"消耗 8 点体力，&lt;battle&gt;对敌方造成 38 点伤害&lt;/battle&gt;","damageHealth":{"amount":38}}}}}</t>
        </is>
      </c>
    </row>
    <row r="1387" ht="32" customHeight="1">
      <c r="A1387" s="8" t="n">
        <v>419172</v>
      </c>
      <c r="B1387" s="8" t="inlineStr">
        <is>
          <t>矿锤脊剑</t>
        </is>
      </c>
      <c r="C1387" s="8" t="inlineStr">
        <is>
          <t>法器</t>
        </is>
      </c>
      <c r="D1387" s="8" t="inlineStr">
        <is>
          <t>common</t>
        </is>
      </c>
      <c r="E1387" s="8" t="inlineStr">
        <is>
          <t>metal</t>
        </is>
      </c>
      <c r="F1387" s="8" t="n">
        <v>1</v>
      </c>
      <c r="G1387" s="8" t="inlineStr">
        <is>
          <t>基础/顶层</t>
        </is>
      </c>
      <c r="H1387" s="8" t="inlineStr"/>
      <c r="I1387" s="9" t="inlineStr"/>
      <c r="J1387" s="8" t="inlineStr"/>
      <c r="K1387" s="8" t="inlineStr"/>
      <c r="L1387" s="8" t="inlineStr"/>
      <c r="M1387" s="8" t="inlineStr">
        <is>
          <t>周期触发</t>
        </is>
      </c>
      <c r="N1387" s="8" t="inlineStr">
        <is>
          <t>periodicPulse</t>
        </is>
      </c>
      <c r="O1387" s="9" t="inlineStr">
        <is>
          <t>消耗 5 点体力，获得 2 层护甲，对敌方造成 14 点伤害；消耗 5 点体力，获得 2 层护甲，对敌方造成 18 点伤害；消耗 5 点体力，获得 2 层护甲，对敌方造成 22 点伤害；消耗 5 点体力，获得 2 层护甲，对敌方造成 26 点伤害</t>
        </is>
      </c>
      <c r="P1387" s="9" t="inlineStr"/>
      <c r="Q1387" s="9" t="inlineStr"/>
      <c r="R1387" s="9" t="inlineStr">
        <is>
          <t>{"kind":"periodicPulse","label":"消耗 5 点体力，获得 2 层护甲，&lt;battle&gt;对敌方造成 14 点伤害&lt;/battle&gt;","periodicPulse":{"intervalSec":10,"label":"消耗 5 点体力，获得 2 层护甲，&lt;battle&gt;对敌方造成 14 点伤害&lt;/battle&gt;","primaryStatCosts":[{"stat":"stamina","amount":5}],"buffGains":[{"buffId":"armor","count":2}],"damageHealth":{"target":"enemy","amount":14}},"starOverrides":{"1":{"label":"消耗 5 点体力，获得 2 层护甲，&lt;battle&gt;对敌方造成 18 点伤害&lt;/battle&gt;","periodicPulse":{"label":"消耗 5 点体力，获得 2 层护甲，&lt;battle&gt;对敌方造成 18 点伤害&lt;/battle&gt;","damageHealth":{"amount":18}}},"2":{"label":"消耗 5 点体力，获得 2 层护甲，&lt;battle&gt;对敌方造成 22 点伤害&lt;/battle&gt;","periodicPulse":{"label":"消耗 5 点体力，获得 2 层护甲，&lt;battle&gt;对敌方造成 22 点伤害&lt;/battle&gt;","damageHealth":{"amount":22}}},"3":{"label":"消耗 5 点体力，获得 2 层护甲，&lt;battle&gt;对敌方造成 26 点伤害&lt;/battle&gt;","periodicPulse":{"label":"消耗 5 点体力，获得 2 层护甲，&lt;battle&gt;对敌方造成 26 点伤害&lt;/battle&gt;","damageHealth":{"amount":26}}}}}</t>
        </is>
      </c>
    </row>
    <row r="1388" ht="32" customHeight="1">
      <c r="A1388" s="8" t="n">
        <v>419173</v>
      </c>
      <c r="B1388" s="8" t="inlineStr">
        <is>
          <t>灰锋长剑</t>
        </is>
      </c>
      <c r="C1388" s="8" t="inlineStr">
        <is>
          <t>法器</t>
        </is>
      </c>
      <c r="D1388" s="8" t="inlineStr">
        <is>
          <t>common</t>
        </is>
      </c>
      <c r="E1388" s="8" t="inlineStr">
        <is>
          <t>metal</t>
        </is>
      </c>
      <c r="F1388" s="8" t="n">
        <v>1</v>
      </c>
      <c r="G1388" s="8" t="inlineStr">
        <is>
          <t>基础/顶层</t>
        </is>
      </c>
      <c r="H1388" s="8" t="inlineStr"/>
      <c r="I1388" s="9" t="inlineStr"/>
      <c r="J1388" s="8" t="inlineStr"/>
      <c r="K1388" s="8" t="inlineStr"/>
      <c r="L1388" s="8" t="inlineStr"/>
      <c r="M1388" s="8" t="inlineStr">
        <is>
          <t>周期触发</t>
        </is>
      </c>
      <c r="N1388" s="8" t="inlineStr">
        <is>
          <t>periodicPulse</t>
        </is>
      </c>
      <c r="O1388" s="9" t="inlineStr">
        <is>
          <t>左侧相邻剑类道具在本局内造成的伤害 +4，灵力：5</t>
        </is>
      </c>
      <c r="P1388" s="9" t="inlineStr"/>
      <c r="Q1388" s="9" t="inlineStr"/>
      <c r="R1388" s="9" t="inlineStr">
        <is>
          <t>{"kind":"periodicPulse","label":"&lt;battle&gt;左侧相邻剑类道具在本局内造成的伤害 +4，灵力：5&lt;/battle&gt;","periodicPulse":{"intervalSec":10,"label":"&lt;battle&gt;左侧相邻剑类道具在本局内造成的伤害 +4，灵力：5&lt;/battle&gt;","adjacentItemDamageFlatBonus":{"direction":"left","amount":4,"rotationLimit":5,"targetFilter":{"features":["weapon","sword"]}}}}</t>
        </is>
      </c>
    </row>
    <row r="1389" ht="32" customHeight="1">
      <c r="A1389" s="8" t="n">
        <v>419174</v>
      </c>
      <c r="B1389" s="8" t="inlineStr">
        <is>
          <t>练手铁剑</t>
        </is>
      </c>
      <c r="C1389" s="8" t="inlineStr">
        <is>
          <t>法器</t>
        </is>
      </c>
      <c r="D1389" s="8" t="inlineStr">
        <is>
          <t>common</t>
        </is>
      </c>
      <c r="E1389" s="8" t="inlineStr">
        <is>
          <t>metal</t>
        </is>
      </c>
      <c r="F1389" s="8" t="n">
        <v>1</v>
      </c>
      <c r="G1389" s="8" t="inlineStr">
        <is>
          <t>基础/顶层</t>
        </is>
      </c>
      <c r="H1389" s="8" t="inlineStr"/>
      <c r="I1389" s="9" t="inlineStr"/>
      <c r="J1389" s="8" t="inlineStr"/>
      <c r="K1389" s="8" t="inlineStr"/>
      <c r="L1389" s="8" t="inlineStr"/>
      <c r="M1389" s="8" t="inlineStr">
        <is>
          <t>周期触发</t>
        </is>
      </c>
      <c r="N1389" s="8" t="inlineStr">
        <is>
          <t>periodicPulse</t>
        </is>
      </c>
      <c r="O1389" s="9" t="inlineStr">
        <is>
          <t>消耗 2 点体力，对敌方造成 7 点伤害</t>
        </is>
      </c>
      <c r="P1389" s="9" t="inlineStr"/>
      <c r="Q1389" s="9" t="inlineStr"/>
      <c r="R1389" s="9" t="inlineStr">
        <is>
          <t>{"kind":"periodicPulse","label":"消耗 2 点体力，&lt;battle&gt;对敌方造成 7 点伤害&lt;/battle&gt;","periodicPulse":{"intervalSec":7,"label":"消耗 2 点体力，&lt;battle&gt;对敌方造成 7 点伤害&lt;/battle&gt;","primaryStatCosts":[{"stat":"stamina","amount":2}],"damageHealth":{"target":"enemy","amount":7}}}</t>
        </is>
      </c>
    </row>
    <row r="1390" ht="32" customHeight="1">
      <c r="A1390" s="8" t="n">
        <v>419175</v>
      </c>
      <c r="B1390" s="8" t="inlineStr">
        <is>
          <t>粗皮剑鞘</t>
        </is>
      </c>
      <c r="C1390" s="8" t="inlineStr">
        <is>
          <t>法器</t>
        </is>
      </c>
      <c r="D1390" s="8" t="inlineStr">
        <is>
          <t>common</t>
        </is>
      </c>
      <c r="E1390" s="8" t="inlineStr">
        <is>
          <t>metal</t>
        </is>
      </c>
      <c r="F1390" s="8" t="n">
        <v>1</v>
      </c>
      <c r="G1390" s="8" t="inlineStr">
        <is>
          <t>基础/顶层</t>
        </is>
      </c>
      <c r="H1390" s="8" t="inlineStr"/>
      <c r="I1390" s="9" t="inlineStr"/>
      <c r="J1390" s="8" t="inlineStr"/>
      <c r="K1390" s="8" t="inlineStr"/>
      <c r="L1390" s="8" t="inlineStr"/>
      <c r="M1390" s="8" t="inlineStr">
        <is>
          <t>周期触发</t>
        </is>
      </c>
      <c r="N1390" s="8" t="inlineStr">
        <is>
          <t>periodicPulse</t>
        </is>
      </c>
      <c r="O1390" s="9" t="inlineStr">
        <is>
          <t>左右相邻剑类道具在本局内造成的伤害 +3，灵力：5；左右相邻剑类道具在本局内造成的伤害 +4，灵力：5；左右相邻剑类道具在本局内造成的伤害 +5，灵力：5；左右相邻剑类道具在本局内造成的伤害 +6，灵力：5</t>
        </is>
      </c>
      <c r="P1390" s="9" t="inlineStr"/>
      <c r="Q1390" s="9" t="inlineStr"/>
      <c r="R1390" s="9" t="inlineStr">
        <is>
          <t>{"kind":"periodicPulse","label":"&lt;battle&gt;左右相邻剑类道具在本局内造成的伤害 +3，灵力：5&lt;/battle&gt;","periodicPulse":{"intervalSec":10,"label":"&lt;battle&gt;左右相邻剑类道具在本局内造成的伤害 +3，灵力：5&lt;/battle&gt;","adjacentItemDamageFlatBonus":{"direction":"both-horizontal","amount":3,"rotationLimit":5,"targetFilter":{"features":["weapon","sword"]}}},"starOverrides":{"1":{"label":"&lt;battle&gt;左右相邻剑类道具在本局内造成的伤害 +4，灵力：5&lt;/battle&gt;","periodicPulse":{"label":"&lt;battle&gt;左右相邻剑类道具在本局内造成的伤害 +4，灵力：5&lt;/battle&gt;","adjacentItemDamageFlatBonus":{"amount":4}}},"2":{"label":"&lt;battle&gt;左右相邻剑类道具在本局内造成的伤害 +5，灵力：5&lt;/battle&gt;","periodicPulse":{"label":"&lt;battle&gt;左右相邻剑类道具在本局内造成的伤害 +5，灵力：5&lt;/battle&gt;","adjacentItemDamageFlatBonus":{"amount":5}}},"3":{"label":"&lt;battle&gt;左右相邻剑类道具在本局内造成的伤害 +6，灵力：5&lt;/battle&gt;","periodicPulse":{"label":"&lt;battle&gt;左右相邻剑类道具在本局内造成的伤害 +6，灵力：5&lt;/battle&gt;","adjacentItemDamageFlatBonus":{"amount":6}}}}}</t>
        </is>
      </c>
    </row>
    <row r="1391" ht="32" customHeight="1">
      <c r="A1391" s="8" t="n">
        <v>419176</v>
      </c>
      <c r="B1391" s="8" t="inlineStr">
        <is>
          <t>木臂铁弓</t>
        </is>
      </c>
      <c r="C1391" s="8" t="inlineStr">
        <is>
          <t>法器</t>
        </is>
      </c>
      <c r="D1391" s="8" t="inlineStr">
        <is>
          <t>common</t>
        </is>
      </c>
      <c r="E1391" s="8" t="inlineStr">
        <is>
          <t>metal</t>
        </is>
      </c>
      <c r="F1391" s="8" t="n">
        <v>1</v>
      </c>
      <c r="G1391" s="8" t="inlineStr">
        <is>
          <t>基础/顶层</t>
        </is>
      </c>
      <c r="H1391" s="8" t="inlineStr"/>
      <c r="I1391" s="9" t="inlineStr"/>
      <c r="J1391" s="8" t="inlineStr"/>
      <c r="K1391" s="8" t="inlineStr"/>
      <c r="L1391" s="8" t="inlineStr"/>
      <c r="M1391" s="8" t="inlineStr">
        <is>
          <t>周期触发</t>
        </is>
      </c>
      <c r="N1391" s="8" t="inlineStr">
        <is>
          <t>periodicPulse</t>
        </is>
      </c>
      <c r="O1391" s="9" t="inlineStr">
        <is>
          <t>消耗 5 层凝金，对敌方造成 3 次 2 点伤害</t>
        </is>
      </c>
      <c r="P1391" s="9" t="inlineStr">
        <is>
          <t>onPeriodicPulse</t>
        </is>
      </c>
      <c r="Q1391" s="9" t="inlineStr">
        <is>
          <t>consumeBuffStacks</t>
        </is>
      </c>
      <c r="R1391" s="9" t="inlineStr">
        <is>
          <t>{"kind":"periodicPulse","label":"消耗 5 层凝金，&lt;battle&gt;对敌方造成 3 次 2 点伤害&lt;/battle&gt;","activationRequirements":{"buffStackThresholds":[{"buffId":"condensedMetal","comparator":"atLeast","count":5}]},"periodicPulse":{"intervalSec":12,"label":"消耗 5 层凝金，&lt;battle&gt;对敌方造成 3 次 2 点伤害&lt;/battle&gt;","damageHealth":{"target":"enemy","amount":2,"repeatCount":3}},"executors":[{"trigger":"onPeriodicPulse","type":"consumeBuffStacks","sourceBuffId":"condensedMetal","requiredStacks":5,"maxStacks":5,"support":"common"}]}</t>
        </is>
      </c>
    </row>
    <row r="1392" ht="32" customHeight="1">
      <c r="A1392" s="8" t="n">
        <v>419177</v>
      </c>
      <c r="B1392" s="8" t="inlineStr">
        <is>
          <t>六矢竹匣</t>
        </is>
      </c>
      <c r="C1392" s="8" t="inlineStr">
        <is>
          <t>法器</t>
        </is>
      </c>
      <c r="D1392" s="8" t="inlineStr">
        <is>
          <t>common</t>
        </is>
      </c>
      <c r="E1392" s="8" t="inlineStr">
        <is>
          <t>metal</t>
        </is>
      </c>
      <c r="F1392" s="8" t="n">
        <v>1</v>
      </c>
      <c r="G1392" s="8" t="inlineStr">
        <is>
          <t>基础/顶层</t>
        </is>
      </c>
      <c r="H1392" s="8" t="inlineStr"/>
      <c r="I1392" s="9" t="inlineStr"/>
      <c r="J1392" s="8" t="inlineStr"/>
      <c r="K1392" s="8" t="inlineStr"/>
      <c r="L1392" s="8" t="inlineStr"/>
      <c r="M1392" s="8" t="inlineStr">
        <is>
          <t>被动效果</t>
        </is>
      </c>
      <c r="N1392" s="8" t="inlineStr">
        <is>
          <t>passive</t>
        </is>
      </c>
      <c r="O1392" s="9" t="inlineStr">
        <is>
          <t>左侧相邻弓类道具造成的伤害 +1；左侧相邻弓类道具造成的伤害 +2；左侧相邻弓类道具造成的伤害 +3；左侧相邻弓类道具造成的伤害 +4</t>
        </is>
      </c>
      <c r="P1392" s="9" t="inlineStr"/>
      <c r="Q1392" s="9" t="inlineStr">
        <is>
          <t>battleItemDamageFlatModifier；directional-adjacent</t>
        </is>
      </c>
      <c r="R1392" s="9" t="inlineStr">
        <is>
          <t>{"kind":"passive","label":"&lt;battle&gt;左侧相邻弓类道具造成的伤害 +1&lt;/battle&gt;","passiveEffect":{"type":"battleItemDamageFlatModifier","value":1,"targetScope":{"type":"directional-adjacent","direction":"left"},"targetFilter":{"features":["weapon","bow"]},"label":"&lt;battle&gt;左侧相邻弓类道具造成的伤害 +1&lt;/battle&gt;"},"starOverrides":{"1":{"label":"&lt;battle&gt;左侧相邻弓类道具造成的伤害 +2&lt;/battle&gt;","passiveEffect":{"value":2,"label":"&lt;battle&gt;左侧相邻弓类道具造成的伤害 +2&lt;/battle&gt;"}},"2":{"label":"&lt;battle&gt;左侧相邻弓类道具造成的伤害 +3&lt;/battle&gt;","passiveEffect":{"value":3,"label":"&lt;battle&gt;左侧相邻弓类道具造成的伤害 +3&lt;/battle&gt;"}},"3":{"label":"&lt;battle&gt;左侧相邻弓类道具造成的伤害 +4&lt;/battle&gt;","passiveEffect":{"value":4,"label":"&lt;battle&gt;左侧相邻弓类道具造成的伤害 +4&lt;/battle&gt;"}}}}</t>
        </is>
      </c>
    </row>
    <row r="1393" ht="32" customHeight="1">
      <c r="A1393" s="8" t="n">
        <v>419178</v>
      </c>
      <c r="B1393" s="8" t="inlineStr">
        <is>
          <t>铁柄短匕</t>
        </is>
      </c>
      <c r="C1393" s="8" t="inlineStr">
        <is>
          <t>法器</t>
        </is>
      </c>
      <c r="D1393" s="8" t="inlineStr">
        <is>
          <t>common</t>
        </is>
      </c>
      <c r="E1393" s="8" t="inlineStr">
        <is>
          <t>metal</t>
        </is>
      </c>
      <c r="F1393" s="8" t="n">
        <v>1</v>
      </c>
      <c r="G1393" s="8" t="inlineStr">
        <is>
          <t>基础/顶层</t>
        </is>
      </c>
      <c r="H1393" s="8" t="inlineStr"/>
      <c r="I1393" s="9" t="inlineStr"/>
      <c r="J1393" s="8" t="inlineStr"/>
      <c r="K1393" s="8" t="inlineStr"/>
      <c r="L1393" s="8" t="inlineStr"/>
      <c r="M1393" s="8" t="inlineStr">
        <is>
          <t>条件触发</t>
        </is>
      </c>
      <c r="N1393" s="8" t="inlineStr">
        <is>
          <t>triggered</t>
        </is>
      </c>
      <c r="O1393" s="9" t="inlineStr">
        <is>
          <t>使用剑类道具时，消耗 2 点体力，</t>
        </is>
      </c>
      <c r="P1393" s="9" t="inlineStr">
        <is>
          <t>onItemUse</t>
        </is>
      </c>
      <c r="Q1393" s="9" t="inlineStr">
        <is>
          <t>modifyPlayerPrimaryStat；any</t>
        </is>
      </c>
      <c r="R1393" s="9" t="inlineStr">
        <is>
          <t>{"kind":"triggered","label":"使用剑类道具时，消耗 2 点体力，","triggeredEffect":{"trigger":"onItemUse","type":"modifyPlayerPrimaryStat","stat":"stamina","delta":-2,"eventSource":{"target":{"type":"any"},"filter":{"features":["weapon","sword"]}},"support":"common"}}</t>
        </is>
      </c>
    </row>
    <row r="1394" ht="32" customHeight="1">
      <c r="A1394" s="8" t="n">
        <v>419178</v>
      </c>
      <c r="B1394" s="8" t="inlineStr">
        <is>
          <t>铁柄短匕</t>
        </is>
      </c>
      <c r="C1394" s="8" t="inlineStr">
        <is>
          <t>法器</t>
        </is>
      </c>
      <c r="D1394" s="8" t="inlineStr">
        <is>
          <t>common</t>
        </is>
      </c>
      <c r="E1394" s="8" t="inlineStr">
        <is>
          <t>metal</t>
        </is>
      </c>
      <c r="F1394" s="8" t="n">
        <v>2</v>
      </c>
      <c r="G1394" s="8" t="inlineStr">
        <is>
          <t>基础/顶层</t>
        </is>
      </c>
      <c r="H1394" s="8" t="inlineStr"/>
      <c r="I1394" s="9" t="inlineStr"/>
      <c r="J1394" s="8" t="inlineStr"/>
      <c r="K1394" s="8" t="inlineStr"/>
      <c r="L1394" s="8" t="inlineStr"/>
      <c r="M1394" s="8" t="inlineStr">
        <is>
          <t>条件触发</t>
        </is>
      </c>
      <c r="N1394" s="8" t="inlineStr">
        <is>
          <t>triggered</t>
        </is>
      </c>
      <c r="O1394" s="9" t="inlineStr">
        <is>
          <t>使用剑类道具时，对敌方造成 2 点伤害；使用剑类道具时，对敌方造成 3 点伤害；使用剑类道具时，对敌方造成 4 点伤害；使用剑类道具时，对敌方造成 5 点伤害</t>
        </is>
      </c>
      <c r="P1394" s="9" t="inlineStr">
        <is>
          <t>onItemUse</t>
        </is>
      </c>
      <c r="Q1394" s="9" t="inlineStr">
        <is>
          <t>battleDamageHealth；any</t>
        </is>
      </c>
      <c r="R1394" s="9" t="inlineStr">
        <is>
          <t>{"kind":"triggered","label":"&lt;battle&gt;使用剑类道具时，对敌方造成 2 点伤害&lt;/battle&gt;","triggeredEffect":{"trigger":"onItemUse","type":"battleDamageHealth","amount":2,"eventSource":{"target":{"type":"any"},"filter":{"features":["weapon","sword"]}},"support":"battleOnly"},"starOverrides":{"1":{"label":"&lt;battle&gt;使用剑类道具时，对敌方造成 3 点伤害&lt;/battle&gt;","triggeredEffect":{"amount":3}},"2":{"label":"&lt;battle&gt;使用剑类道具时，对敌方造成 4 点伤害&lt;/battle&gt;","triggeredEffect":{"amount":4}},"3":{"label":"&lt;battle&gt;使用剑类道具时，对敌方造成 5 点伤害&lt;/battle&gt;","triggeredEffect":{"amount":5}}}}</t>
        </is>
      </c>
    </row>
    <row r="1395" ht="32" customHeight="1">
      <c r="A1395" s="8" t="n">
        <v>419179</v>
      </c>
      <c r="B1395" s="8" t="inlineStr">
        <is>
          <t>铆面方盾</t>
        </is>
      </c>
      <c r="C1395" s="8" t="inlineStr">
        <is>
          <t>法器</t>
        </is>
      </c>
      <c r="D1395" s="8" t="inlineStr">
        <is>
          <t>common</t>
        </is>
      </c>
      <c r="E1395" s="8" t="inlineStr">
        <is>
          <t>metal</t>
        </is>
      </c>
      <c r="F1395" s="8" t="n">
        <v>1</v>
      </c>
      <c r="G1395" s="8" t="inlineStr">
        <is>
          <t>基础/顶层</t>
        </is>
      </c>
      <c r="H1395" s="8" t="inlineStr"/>
      <c r="I1395" s="9" t="inlineStr"/>
      <c r="J1395" s="8" t="inlineStr"/>
      <c r="K1395" s="8" t="inlineStr"/>
      <c r="L1395" s="8" t="inlineStr"/>
      <c r="M1395" s="8" t="inlineStr">
        <is>
          <t>条件触发</t>
        </is>
      </c>
      <c r="N1395" s="8" t="inlineStr">
        <is>
          <t>triggered</t>
        </is>
      </c>
      <c r="O1395" s="9" t="inlineStr">
        <is>
          <t>使用剑类道具时，获得 5 层护甲；使用剑类道具时，获得 7 层护甲；使用剑类道具时，获得 9 层护甲；使用剑类道具时，获得 11 层护甲</t>
        </is>
      </c>
      <c r="P1395" s="9" t="inlineStr">
        <is>
          <t>onItemUse</t>
        </is>
      </c>
      <c r="Q1395" s="9" t="inlineStr">
        <is>
          <t>applyBuff；any</t>
        </is>
      </c>
      <c r="R1395" s="9" t="inlineStr">
        <is>
          <t>{"kind":"triggered","label":"使用剑类道具时，获得 5 层护甲","triggeredEffect":{"trigger":"onItemUse","type":"applyBuff","buffId":"armor","count":5,"eventSource":{"target":{"type":"any"},"filter":{"features":["weapon","sword"]}}},"starOverrides":{"1":{"label":"使用剑类道具时，获得 7 层护甲","triggeredEffect":{"count":7}},"2":{"label":"使用剑类道具时，获得 9 层护甲","triggeredEffect":{"count":9}},"3":{"label":"使用剑类道具时，获得 11 层护甲","triggeredEffect":{"count":11}}}}</t>
        </is>
      </c>
    </row>
    <row r="1396" ht="32" customHeight="1">
      <c r="A1396" s="8" t="n">
        <v>419179</v>
      </c>
      <c r="B1396" s="8" t="inlineStr">
        <is>
          <t>铆面方盾</t>
        </is>
      </c>
      <c r="C1396" s="8" t="inlineStr">
        <is>
          <t>法器</t>
        </is>
      </c>
      <c r="D1396" s="8" t="inlineStr">
        <is>
          <t>common</t>
        </is>
      </c>
      <c r="E1396" s="8" t="inlineStr">
        <is>
          <t>metal</t>
        </is>
      </c>
      <c r="F1396" s="8" t="n">
        <v>2</v>
      </c>
      <c r="G1396" s="8" t="inlineStr">
        <is>
          <t>基础/顶层</t>
        </is>
      </c>
      <c r="H1396" s="8" t="inlineStr"/>
      <c r="I1396" s="9" t="inlineStr"/>
      <c r="J1396" s="8" t="inlineStr"/>
      <c r="K1396" s="8" t="inlineStr"/>
      <c r="L1396" s="8" t="inlineStr"/>
      <c r="M1396" s="8" t="inlineStr">
        <is>
          <t>条件触发</t>
        </is>
      </c>
      <c r="N1396" s="8" t="inlineStr">
        <is>
          <t>triggered</t>
        </is>
      </c>
      <c r="O1396" s="9" t="inlineStr">
        <is>
          <t>每当剑类道具造成实质伤害，获得 2 层凝金</t>
        </is>
      </c>
      <c r="P1396" s="9" t="inlineStr">
        <is>
          <t>onBattleHealthDamageDealt</t>
        </is>
      </c>
      <c r="Q1396" s="9" t="inlineStr">
        <is>
          <t>applyBuff；any</t>
        </is>
      </c>
      <c r="R1396" s="9" t="inlineStr">
        <is>
          <t>{"kind":"triggered","label":"&lt;battle&gt;每当剑类道具造成实质伤害，获得 2 层凝金&lt;/battle&gt;","triggeredEffect":{"trigger":"onBattleHealthDamageDealt","type":"applyBuff","buffId":"condensedMetal","count":2,"eventSource":{"target":{"type":"any"},"filter":{"features":["weapon","sword"]}},"support":"battleOnly"}}</t>
        </is>
      </c>
    </row>
    <row r="1397" ht="32" customHeight="1">
      <c r="A1397" s="8" t="n">
        <v>419180</v>
      </c>
      <c r="B1397" s="8" t="inlineStr">
        <is>
          <t>旧军塔盾</t>
        </is>
      </c>
      <c r="C1397" s="8" t="inlineStr">
        <is>
          <t>法器</t>
        </is>
      </c>
      <c r="D1397" s="8" t="inlineStr">
        <is>
          <t>common</t>
        </is>
      </c>
      <c r="E1397" s="8" t="inlineStr">
        <is>
          <t>metal</t>
        </is>
      </c>
      <c r="F1397" s="8" t="n">
        <v>1</v>
      </c>
      <c r="G1397" s="8" t="inlineStr">
        <is>
          <t>基础/顶层</t>
        </is>
      </c>
      <c r="H1397" s="8" t="inlineStr"/>
      <c r="I1397" s="9" t="inlineStr"/>
      <c r="J1397" s="8" t="inlineStr"/>
      <c r="K1397" s="8" t="inlineStr"/>
      <c r="L1397" s="8" t="inlineStr"/>
      <c r="M1397" s="8" t="inlineStr">
        <is>
          <t>周期触发</t>
        </is>
      </c>
      <c r="N1397" s="8" t="inlineStr">
        <is>
          <t>periodicPulse</t>
        </is>
      </c>
      <c r="O1397" s="9" t="inlineStr">
        <is>
          <t>开局时，获得 5 层护甲；开局时，获得 7 层护甲；开局时，获得 9 层护甲；开局时，获得 11 层护甲</t>
        </is>
      </c>
      <c r="P1397" s="9" t="inlineStr"/>
      <c r="Q1397" s="9" t="inlineStr"/>
      <c r="R1397" s="9" t="inlineStr">
        <is>
          <t>{"kind":"periodicPulse","label":"开局时，获得 5 层护甲","periodicPulse":{"startOnly":true,"label":"开局时，获得 5 层护甲","buffGains":[{"buffId":"armor","count":5}]},"starOverrides":{"1":{"label":"开局时，获得 7 层护甲","periodicPulse":{"label":"开局时，获得 7 层护甲","buffGains":[{"count":7}]}},"2":{"label":"开局时，获得 9 层护甲","periodicPulse":{"label":"开局时，获得 9 层护甲","buffGains":[{"count":9}]}},"3":{"label":"开局时，获得 11 层护甲","periodicPulse":{"label":"开局时，获得 11 层护甲","buffGains":[{"count":11}]}}}}</t>
        </is>
      </c>
    </row>
    <row r="1398" ht="32" customHeight="1">
      <c r="A1398" s="8" t="n">
        <v>419180</v>
      </c>
      <c r="B1398" s="8" t="inlineStr">
        <is>
          <t>旧军塔盾</t>
        </is>
      </c>
      <c r="C1398" s="8" t="inlineStr">
        <is>
          <t>法器</t>
        </is>
      </c>
      <c r="D1398" s="8" t="inlineStr">
        <is>
          <t>common</t>
        </is>
      </c>
      <c r="E1398" s="8" t="inlineStr">
        <is>
          <t>metal</t>
        </is>
      </c>
      <c r="F1398" s="8" t="n">
        <v>2</v>
      </c>
      <c r="G1398" s="8" t="inlineStr">
        <is>
          <t>基础/顶层</t>
        </is>
      </c>
      <c r="H1398" s="8" t="inlineStr"/>
      <c r="I1398" s="9" t="inlineStr"/>
      <c r="J1398" s="8" t="inlineStr"/>
      <c r="K1398" s="8" t="inlineStr"/>
      <c r="L1398" s="8" t="inlineStr"/>
      <c r="M1398" s="8" t="inlineStr">
        <is>
          <t>周期触发</t>
        </is>
      </c>
      <c r="N1398" s="8" t="inlineStr">
        <is>
          <t>periodicPulse</t>
        </is>
      </c>
      <c r="O1398" s="9" t="inlineStr">
        <is>
          <t>获得 15 层护甲；获得 20 层护甲；获得 25 层护甲；获得 30 层护甲</t>
        </is>
      </c>
      <c r="P1398" s="9" t="inlineStr"/>
      <c r="Q1398" s="9" t="inlineStr"/>
      <c r="R1398" s="9" t="inlineStr">
        <is>
          <t>{"kind":"periodicPulse","label":"获得 15 层护甲","periodicPulse":{"intervalSec":20,"label":"获得 15 层护甲","buffGains":[{"buffId":"armor","count":15}]},"starOverrides":{"1":{"label":"获得 20 层护甲","periodicPulse":{"label":"获得 20 层护甲","buffGains":[{"count":20}]}},"2":{"label":"获得 25 层护甲","periodicPulse":{"label":"获得 25 层护甲","buffGains":[{"count":25}]}},"3":{"label":"获得 30 层护甲","periodicPulse":{"label":"获得 30 层护甲","buffGains":[{"count":30}]}}}}</t>
        </is>
      </c>
    </row>
    <row r="1399" ht="32" customHeight="1">
      <c r="A1399" s="8" t="n">
        <v>500028</v>
      </c>
      <c r="B1399" s="8" t="inlineStr">
        <is>
          <t>紫貂灵尾皮</t>
        </is>
      </c>
      <c r="C1399" s="8" t="inlineStr">
        <is>
          <t>材料</t>
        </is>
      </c>
      <c r="D1399" s="8" t="inlineStr">
        <is>
          <t>common</t>
        </is>
      </c>
      <c r="E1399" s="8" t="inlineStr">
        <is>
          <t>none</t>
        </is>
      </c>
      <c r="F1399" s="8" t="n">
        <v>1</v>
      </c>
      <c r="G1399" s="8" t="inlineStr">
        <is>
          <t>基础/顶层</t>
        </is>
      </c>
      <c r="H1399" s="8" t="inlineStr"/>
      <c r="I1399" s="9" t="inlineStr"/>
      <c r="J1399" s="8" t="inlineStr"/>
      <c r="K1399" s="8" t="inlineStr"/>
      <c r="L1399" s="8" t="inlineStr"/>
      <c r="M1399" s="8" t="inlineStr">
        <is>
          <t>周期触发</t>
        </is>
      </c>
      <c r="N1399" s="8" t="inlineStr">
        <is>
          <t>periodicPulse</t>
        </is>
      </c>
      <c r="O1399" s="9" t="inlineStr">
        <is>
          <t>轮转时，恢复自身 2 点气血</t>
        </is>
      </c>
      <c r="P1399" s="9" t="inlineStr"/>
      <c r="Q1399" s="9" t="inlineStr"/>
      <c r="R1399" s="9" t="inlineStr">
        <is>
          <t>{"kind":"periodicPulse","periodicPulse":{"intervalSec":5,"label":"轮转时，恢复自身 2 点气血","primaryStatGains":[{"stat":"health","amount":2}]},"executionScope":"beast","visibilityScope":"beast"}</t>
        </is>
      </c>
    </row>
    <row r="1400" ht="32" customHeight="1">
      <c r="A1400" s="8" t="n">
        <v>500029</v>
      </c>
      <c r="B1400" s="8" t="inlineStr">
        <is>
          <t>紫鸦喙尖</t>
        </is>
      </c>
      <c r="C1400" s="8" t="inlineStr">
        <is>
          <t>材料</t>
        </is>
      </c>
      <c r="D1400" s="8" t="inlineStr">
        <is>
          <t>common</t>
        </is>
      </c>
      <c r="E1400" s="8" t="inlineStr">
        <is>
          <t>metal</t>
        </is>
      </c>
      <c r="F1400" s="8" t="n">
        <v>1</v>
      </c>
      <c r="G1400" s="8" t="inlineStr">
        <is>
          <t>基础/顶层</t>
        </is>
      </c>
      <c r="H1400" s="8" t="inlineStr"/>
      <c r="I1400" s="9" t="inlineStr"/>
      <c r="J1400" s="8" t="inlineStr"/>
      <c r="K1400" s="8" t="inlineStr"/>
      <c r="L1400" s="8" t="inlineStr"/>
      <c r="M1400" s="8" t="inlineStr">
        <is>
          <t>周期触发</t>
        </is>
      </c>
      <c r="N1400" s="8" t="inlineStr">
        <is>
          <t>periodicPulse</t>
        </is>
      </c>
      <c r="O1400" s="9" t="inlineStr">
        <is>
          <t>轮转时，对敌人造成 2 点伤害</t>
        </is>
      </c>
      <c r="P1400" s="9" t="inlineStr"/>
      <c r="Q1400" s="9" t="inlineStr"/>
      <c r="R1400" s="9" t="inlineStr">
        <is>
          <t>{"kind":"periodicPulse","periodicPulse":{"intervalSec":4,"label":"&lt;battle&gt;轮转时，对敌人造成 2 点伤害&lt;/battle&gt;","damageHealth":{"target":"enemy","amount":2}},"executionScope":"beast","visibilityScope":"beast"}</t>
        </is>
      </c>
    </row>
    <row r="1401" ht="32" customHeight="1">
      <c r="A1401" s="8" t="n">
        <v>500030</v>
      </c>
      <c r="B1401" s="8" t="inlineStr">
        <is>
          <t>苍狐耳绒片</t>
        </is>
      </c>
      <c r="C1401" s="8" t="inlineStr">
        <is>
          <t>材料</t>
        </is>
      </c>
      <c r="D1401" s="8" t="inlineStr">
        <is>
          <t>common</t>
        </is>
      </c>
      <c r="E1401" s="8" t="inlineStr">
        <is>
          <t>wood</t>
        </is>
      </c>
      <c r="F1401" s="8" t="n">
        <v>1</v>
      </c>
      <c r="G1401" s="8" t="inlineStr">
        <is>
          <t>基础/顶层</t>
        </is>
      </c>
      <c r="H1401" s="8" t="inlineStr"/>
      <c r="I1401" s="9" t="inlineStr"/>
      <c r="J1401" s="8" t="inlineStr"/>
      <c r="K1401" s="8" t="inlineStr"/>
      <c r="L1401" s="8" t="inlineStr"/>
      <c r="M1401" s="8" t="inlineStr">
        <is>
          <t>周期触发</t>
        </is>
      </c>
      <c r="N1401" s="8" t="inlineStr">
        <is>
          <t>periodicPulse</t>
        </is>
      </c>
      <c r="O1401" s="9" t="inlineStr">
        <is>
          <t>轮转时，恢复自身 3 点气血</t>
        </is>
      </c>
      <c r="P1401" s="9" t="inlineStr"/>
      <c r="Q1401" s="9" t="inlineStr"/>
      <c r="R1401" s="9" t="inlineStr">
        <is>
          <t>{"kind":"periodicPulse","periodicPulse":{"intervalSec":6,"label":"轮转时，恢复自身 3 点气血","primaryStatGains":[{"stat":"health","amount":3}]},"executionScope":"beast","visibilityScope":"beast"}</t>
        </is>
      </c>
    </row>
    <row r="1402" ht="32" customHeight="1">
      <c r="A1402" s="8" t="n">
        <v>500031</v>
      </c>
      <c r="B1402" s="8" t="inlineStr">
        <is>
          <t>苍狼脊鬃刺</t>
        </is>
      </c>
      <c r="C1402" s="8" t="inlineStr">
        <is>
          <t>材料</t>
        </is>
      </c>
      <c r="D1402" s="8" t="inlineStr">
        <is>
          <t>common</t>
        </is>
      </c>
      <c r="E1402" s="8" t="inlineStr">
        <is>
          <t>metal</t>
        </is>
      </c>
      <c r="F1402" s="8" t="n">
        <v>1</v>
      </c>
      <c r="G1402" s="8" t="inlineStr">
        <is>
          <t>基础/顶层</t>
        </is>
      </c>
      <c r="H1402" s="8" t="inlineStr"/>
      <c r="I1402" s="9" t="inlineStr"/>
      <c r="J1402" s="8" t="inlineStr"/>
      <c r="K1402" s="8" t="inlineStr"/>
      <c r="L1402" s="8" t="inlineStr"/>
      <c r="M1402" s="8" t="inlineStr">
        <is>
          <t>周期触发</t>
        </is>
      </c>
      <c r="N1402" s="8" t="inlineStr">
        <is>
          <t>periodicPulse</t>
        </is>
      </c>
      <c r="O1402" s="9" t="inlineStr">
        <is>
          <t>轮转时，消耗 1 点体力，对敌人造成 3 点伤害</t>
        </is>
      </c>
      <c r="P1402" s="9" t="inlineStr"/>
      <c r="Q1402" s="9" t="inlineStr"/>
      <c r="R1402" s="9" t="inlineStr">
        <is>
          <t>{"kind":"periodicPulse","periodicPulse":{"intervalSec":5,"label":"&lt;battle&gt;轮转时，消耗 1 点体力，对敌人造成 3 点伤害&lt;/battle&gt;","primaryStatCosts":[{"stat":"stamina","amount":1}],"damageHealth":{"target":"enemy","amount":3}},"executionScope":"beast","visibilityScope":"beast"}</t>
        </is>
      </c>
    </row>
    <row r="1403" ht="32" customHeight="1">
      <c r="A1403" s="8" t="n">
        <v>500032</v>
      </c>
      <c r="B1403" s="8" t="inlineStr">
        <is>
          <t>蓝鳞海蛇脊鳍</t>
        </is>
      </c>
      <c r="C1403" s="8" t="inlineStr">
        <is>
          <t>材料</t>
        </is>
      </c>
      <c r="D1403" s="8" t="inlineStr">
        <is>
          <t>common</t>
        </is>
      </c>
      <c r="E1403" s="8" t="inlineStr">
        <is>
          <t>water</t>
        </is>
      </c>
      <c r="F1403" s="8" t="n">
        <v>1</v>
      </c>
      <c r="G1403" s="8" t="inlineStr">
        <is>
          <t>基础/顶层</t>
        </is>
      </c>
      <c r="H1403" s="8" t="inlineStr"/>
      <c r="I1403" s="9" t="inlineStr"/>
      <c r="J1403" s="8" t="inlineStr"/>
      <c r="K1403" s="8" t="inlineStr"/>
      <c r="L1403" s="8" t="inlineStr"/>
      <c r="M1403" s="8" t="inlineStr">
        <is>
          <t>周期触发</t>
        </is>
      </c>
      <c r="N1403" s="8" t="inlineStr">
        <is>
          <t>periodicPulse</t>
        </is>
      </c>
      <c r="O1403" s="9" t="inlineStr">
        <is>
          <t>轮转时，对敌人造成 4 点伤害</t>
        </is>
      </c>
      <c r="P1403" s="9" t="inlineStr"/>
      <c r="Q1403" s="9" t="inlineStr"/>
      <c r="R1403" s="9" t="inlineStr">
        <is>
          <t>{"kind":"periodicPulse","periodicPulse":{"intervalSec":7,"label":"&lt;battle&gt;轮转时，对敌人造成 4 点伤害&lt;/battle&gt;","damageHealth":{"target":"enemy","amount":4}},"executionScope":"beast","visibilityScope":"beast"}</t>
        </is>
      </c>
    </row>
    <row r="1404" ht="32" customHeight="1">
      <c r="A1404" s="8" t="n">
        <v>500033</v>
      </c>
      <c r="B1404" s="8" t="inlineStr">
        <is>
          <t>赤狐妖丹皮</t>
        </is>
      </c>
      <c r="C1404" s="8" t="inlineStr">
        <is>
          <t>材料</t>
        </is>
      </c>
      <c r="D1404" s="8" t="inlineStr">
        <is>
          <t>common</t>
        </is>
      </c>
      <c r="E1404" s="8" t="inlineStr">
        <is>
          <t>fire</t>
        </is>
      </c>
      <c r="F1404" s="8" t="n">
        <v>1</v>
      </c>
      <c r="G1404" s="8" t="inlineStr">
        <is>
          <t>基础/顶层</t>
        </is>
      </c>
      <c r="H1404" s="8" t="inlineStr"/>
      <c r="I1404" s="9" t="inlineStr"/>
      <c r="J1404" s="8" t="inlineStr"/>
      <c r="K1404" s="8" t="inlineStr"/>
      <c r="L1404" s="8" t="inlineStr"/>
      <c r="M1404" s="8" t="inlineStr">
        <is>
          <t>周期触发</t>
        </is>
      </c>
      <c r="N1404" s="8" t="inlineStr">
        <is>
          <t>periodicPulse</t>
        </is>
      </c>
      <c r="O1404" s="9" t="inlineStr">
        <is>
          <t>轮转时，恢复自身 3 点气血</t>
        </is>
      </c>
      <c r="P1404" s="9" t="inlineStr"/>
      <c r="Q1404" s="9" t="inlineStr"/>
      <c r="R1404" s="9" t="inlineStr">
        <is>
          <t>{"kind":"periodicPulse","periodicPulse":{"intervalSec":6,"label":"轮转时，恢复自身 3 点气血","primaryStatGains":[{"stat":"health","amount":3}]},"executionScope":"beast","visibilityScope":"beast"}</t>
        </is>
      </c>
    </row>
    <row r="1405" ht="32" customHeight="1">
      <c r="A1405" s="8" t="n">
        <v>500034</v>
      </c>
      <c r="B1405" s="8" t="inlineStr">
        <is>
          <t>赤甲蜥妖颈鳞</t>
        </is>
      </c>
      <c r="C1405" s="8" t="inlineStr">
        <is>
          <t>材料</t>
        </is>
      </c>
      <c r="D1405" s="8" t="inlineStr">
        <is>
          <t>common</t>
        </is>
      </c>
      <c r="E1405" s="8" t="inlineStr">
        <is>
          <t>earth</t>
        </is>
      </c>
      <c r="F1405" s="8" t="n">
        <v>1</v>
      </c>
      <c r="G1405" s="8" t="inlineStr">
        <is>
          <t>基础/顶层</t>
        </is>
      </c>
      <c r="H1405" s="8" t="inlineStr"/>
      <c r="I1405" s="9" t="inlineStr"/>
      <c r="J1405" s="8" t="inlineStr"/>
      <c r="K1405" s="8" t="inlineStr"/>
      <c r="L1405" s="8" t="inlineStr"/>
      <c r="M1405" s="8" t="inlineStr">
        <is>
          <t>周期触发</t>
        </is>
      </c>
      <c r="N1405" s="8" t="inlineStr">
        <is>
          <t>periodicPulse</t>
        </is>
      </c>
      <c r="O1405" s="9" t="inlineStr">
        <is>
          <t>轮转时，对敌人造成 2 点伤害</t>
        </is>
      </c>
      <c r="P1405" s="9" t="inlineStr"/>
      <c r="Q1405" s="9" t="inlineStr"/>
      <c r="R1405" s="9" t="inlineStr">
        <is>
          <t>{"kind":"periodicPulse","periodicPulse":{"intervalSec":5,"label":"&lt;battle&gt;轮转时，对敌人造成 2 点伤害&lt;/battle&gt;","damageHealth":{"target":"enemy","amount":2}},"executionScope":"beast","visibilityScope":"beast"}</t>
        </is>
      </c>
    </row>
    <row r="1406" ht="32" customHeight="1">
      <c r="A1406" s="8" t="n">
        <v>500035</v>
      </c>
      <c r="B1406" s="8" t="inlineStr">
        <is>
          <t>赤目妖丹外膜</t>
        </is>
      </c>
      <c r="C1406" s="8" t="inlineStr">
        <is>
          <t>材料</t>
        </is>
      </c>
      <c r="D1406" s="8" t="inlineStr">
        <is>
          <t>common</t>
        </is>
      </c>
      <c r="E1406" s="8" t="inlineStr">
        <is>
          <t>fire</t>
        </is>
      </c>
      <c r="F1406" s="8" t="n">
        <v>1</v>
      </c>
      <c r="G1406" s="8" t="inlineStr">
        <is>
          <t>基础/顶层</t>
        </is>
      </c>
      <c r="H1406" s="8" t="inlineStr"/>
      <c r="I1406" s="9" t="inlineStr"/>
      <c r="J1406" s="8" t="inlineStr"/>
      <c r="K1406" s="8" t="inlineStr"/>
      <c r="L1406" s="8" t="inlineStr"/>
      <c r="M1406" s="8" t="inlineStr">
        <is>
          <t>周期触发</t>
        </is>
      </c>
      <c r="N1406" s="8" t="inlineStr">
        <is>
          <t>periodicPulse</t>
        </is>
      </c>
      <c r="O1406" s="9" t="inlineStr">
        <is>
          <t>轮转时，消耗 1 点法力，对敌人造成 3 点伤害</t>
        </is>
      </c>
      <c r="P1406" s="9" t="inlineStr"/>
      <c r="Q1406" s="9" t="inlineStr"/>
      <c r="R1406" s="9" t="inlineStr">
        <is>
          <t>{"kind":"periodicPulse","periodicPulse":{"intervalSec":6,"label":"&lt;battle&gt;轮转时，消耗 1 点法力，对敌人造成 3 点伤害&lt;/battle&gt;","primaryStatCosts":[{"stat":"mana","amount":1}],"damageHealth":{"target":"enemy","amount":3}},"executionScope":"beast","visibilityScope":"beast"}</t>
        </is>
      </c>
    </row>
    <row r="1407" ht="32" customHeight="1">
      <c r="A1407" s="8" t="n">
        <v>500036</v>
      </c>
      <c r="B1407" s="8" t="inlineStr">
        <is>
          <t>赤羽妖冠脊</t>
        </is>
      </c>
      <c r="C1407" s="8" t="inlineStr">
        <is>
          <t>材料</t>
        </is>
      </c>
      <c r="D1407" s="8" t="inlineStr">
        <is>
          <t>common</t>
        </is>
      </c>
      <c r="E1407" s="8" t="inlineStr">
        <is>
          <t>fire</t>
        </is>
      </c>
      <c r="F1407" s="8" t="n">
        <v>1</v>
      </c>
      <c r="G1407" s="8" t="inlineStr">
        <is>
          <t>基础/顶层</t>
        </is>
      </c>
      <c r="H1407" s="8" t="inlineStr"/>
      <c r="I1407" s="9" t="inlineStr"/>
      <c r="J1407" s="8" t="inlineStr"/>
      <c r="K1407" s="8" t="inlineStr"/>
      <c r="L1407" s="8" t="inlineStr"/>
      <c r="M1407" s="8" t="inlineStr">
        <is>
          <t>周期触发</t>
        </is>
      </c>
      <c r="N1407" s="8" t="inlineStr">
        <is>
          <t>periodicPulse</t>
        </is>
      </c>
      <c r="O1407" s="9" t="inlineStr">
        <is>
          <t>轮转时，对敌人造成 3 点伤害</t>
        </is>
      </c>
      <c r="P1407" s="9" t="inlineStr"/>
      <c r="Q1407" s="9" t="inlineStr"/>
      <c r="R1407" s="9" t="inlineStr">
        <is>
          <t>{"kind":"periodicPulse","periodicPulse":{"intervalSec":5,"label":"&lt;battle&gt;轮转时，对敌人造成 3 点伤害&lt;/battle&gt;","damageHealth":{"target":"enemy","amount":3}},"executionScope":"beast","visibilityScope":"beast"}</t>
        </is>
      </c>
    </row>
    <row r="1408" ht="32" customHeight="1">
      <c r="A1408" s="8" t="n">
        <v>500037</v>
      </c>
      <c r="B1408" s="8" t="inlineStr">
        <is>
          <t>赤蛇火纹蜕</t>
        </is>
      </c>
      <c r="C1408" s="8" t="inlineStr">
        <is>
          <t>材料</t>
        </is>
      </c>
      <c r="D1408" s="8" t="inlineStr">
        <is>
          <t>common</t>
        </is>
      </c>
      <c r="E1408" s="8" t="inlineStr">
        <is>
          <t>fire</t>
        </is>
      </c>
      <c r="F1408" s="8" t="n">
        <v>1</v>
      </c>
      <c r="G1408" s="8" t="inlineStr">
        <is>
          <t>基础/顶层</t>
        </is>
      </c>
      <c r="H1408" s="8" t="inlineStr"/>
      <c r="I1408" s="9" t="inlineStr"/>
      <c r="J1408" s="8" t="inlineStr"/>
      <c r="K1408" s="8" t="inlineStr"/>
      <c r="L1408" s="8" t="inlineStr"/>
      <c r="M1408" s="8" t="inlineStr">
        <is>
          <t>周期触发</t>
        </is>
      </c>
      <c r="N1408" s="8" t="inlineStr">
        <is>
          <t>periodicPulse</t>
        </is>
      </c>
      <c r="O1408" s="9" t="inlineStr">
        <is>
          <t>轮转时，恢复自身 2 点气血</t>
        </is>
      </c>
      <c r="P1408" s="9" t="inlineStr"/>
      <c r="Q1408" s="9" t="inlineStr"/>
      <c r="R1408" s="9" t="inlineStr">
        <is>
          <t>{"kind":"periodicPulse","periodicPulse":{"intervalSec":6,"label":"轮转时，恢复自身 2 点气血","primaryStatGains":[{"stat":"health","amount":2}]},"executionScope":"beast","visibilityScope":"beast"}</t>
        </is>
      </c>
    </row>
    <row r="1409" ht="32" customHeight="1">
      <c r="A1409" s="8" t="n">
        <v>500040</v>
      </c>
      <c r="B1409" s="8" t="inlineStr">
        <is>
          <t>赤魈面骨</t>
        </is>
      </c>
      <c r="C1409" s="8" t="inlineStr">
        <is>
          <t>材料</t>
        </is>
      </c>
      <c r="D1409" s="8" t="inlineStr">
        <is>
          <t>common</t>
        </is>
      </c>
      <c r="E1409" s="8" t="inlineStr">
        <is>
          <t>earth</t>
        </is>
      </c>
      <c r="F1409" s="8" t="n">
        <v>1</v>
      </c>
      <c r="G1409" s="8" t="inlineStr">
        <is>
          <t>基础/顶层</t>
        </is>
      </c>
      <c r="H1409" s="8" t="inlineStr"/>
      <c r="I1409" s="9" t="inlineStr"/>
      <c r="J1409" s="8" t="inlineStr"/>
      <c r="K1409" s="8" t="inlineStr"/>
      <c r="L1409" s="8" t="inlineStr"/>
      <c r="M1409" s="8" t="inlineStr">
        <is>
          <t>周期触发</t>
        </is>
      </c>
      <c r="N1409" s="8" t="inlineStr">
        <is>
          <t>periodicPulse</t>
        </is>
      </c>
      <c r="O1409" s="9" t="inlineStr">
        <is>
          <t>轮转时，消耗 1 点神识，对敌人造成 5 点伤害</t>
        </is>
      </c>
      <c r="P1409" s="9" t="inlineStr"/>
      <c r="Q1409" s="9" t="inlineStr"/>
      <c r="R1409" s="9" t="inlineStr">
        <is>
          <t>{"kind":"periodicPulse","periodicPulse":{"intervalSec":8,"label":"&lt;battle&gt;轮转时，消耗 1 点神识，对敌人造成 5 点伤害&lt;/battle&gt;","primaryStatCosts":[{"stat":"spiritSense","amount":1}],"damageHealth":{"target":"enemy","amount":5}},"executionScope":"beast","visibilityScope":"beast"}</t>
        </is>
      </c>
    </row>
    <row r="1410" ht="32" customHeight="1">
      <c r="A1410" s="8" t="n">
        <v>500042</v>
      </c>
      <c r="B1410" s="8" t="inlineStr">
        <is>
          <t>赤鳞妖鱼鳃片</t>
        </is>
      </c>
      <c r="C1410" s="8" t="inlineStr">
        <is>
          <t>材料</t>
        </is>
      </c>
      <c r="D1410" s="8" t="inlineStr">
        <is>
          <t>common</t>
        </is>
      </c>
      <c r="E1410" s="8" t="inlineStr">
        <is>
          <t>water</t>
        </is>
      </c>
      <c r="F1410" s="8" t="n">
        <v>1</v>
      </c>
      <c r="G1410" s="8" t="inlineStr">
        <is>
          <t>基础/顶层</t>
        </is>
      </c>
      <c r="H1410" s="8" t="inlineStr"/>
      <c r="I1410" s="9" t="inlineStr"/>
      <c r="J1410" s="8" t="inlineStr"/>
      <c r="K1410" s="8" t="inlineStr"/>
      <c r="L1410" s="8" t="inlineStr"/>
      <c r="M1410" s="8" t="inlineStr">
        <is>
          <t>周期触发</t>
        </is>
      </c>
      <c r="N1410" s="8" t="inlineStr">
        <is>
          <t>periodicPulse</t>
        </is>
      </c>
      <c r="O1410" s="9" t="inlineStr">
        <is>
          <t>轮转时，恢复自身 3 点气血</t>
        </is>
      </c>
      <c r="P1410" s="9" t="inlineStr"/>
      <c r="Q1410" s="9" t="inlineStr"/>
      <c r="R1410" s="9" t="inlineStr">
        <is>
          <t>{"kind":"periodicPulse","periodicPulse":{"intervalSec":6,"label":"轮转时，恢复自身 3 点气血","primaryStatGains":[{"stat":"health","amount":3}]},"executionScope":"beast","visibilityScope":"beast"}</t>
        </is>
      </c>
    </row>
    <row r="1411" ht="32" customHeight="1">
      <c r="A1411" s="8" t="n">
        <v>500052</v>
      </c>
      <c r="B1411" s="8" t="inlineStr">
        <is>
          <t>青獒獠牙根</t>
        </is>
      </c>
      <c r="C1411" s="8" t="inlineStr">
        <is>
          <t>材料</t>
        </is>
      </c>
      <c r="D1411" s="8" t="inlineStr">
        <is>
          <t>common</t>
        </is>
      </c>
      <c r="E1411" s="8" t="inlineStr">
        <is>
          <t>wood</t>
        </is>
      </c>
      <c r="F1411" s="8" t="n">
        <v>1</v>
      </c>
      <c r="G1411" s="8" t="inlineStr">
        <is>
          <t>基础/顶层</t>
        </is>
      </c>
      <c r="H1411" s="8" t="inlineStr"/>
      <c r="I1411" s="9" t="inlineStr"/>
      <c r="J1411" s="8" t="inlineStr"/>
      <c r="K1411" s="8" t="inlineStr"/>
      <c r="L1411" s="8" t="inlineStr"/>
      <c r="M1411" s="8" t="inlineStr">
        <is>
          <t>周期触发</t>
        </is>
      </c>
      <c r="N1411" s="8" t="inlineStr">
        <is>
          <t>periodicPulse</t>
        </is>
      </c>
      <c r="O1411" s="9" t="inlineStr">
        <is>
          <t>轮转时，对敌人造成 2 点伤害</t>
        </is>
      </c>
      <c r="P1411" s="9" t="inlineStr"/>
      <c r="Q1411" s="9" t="inlineStr"/>
      <c r="R1411" s="9" t="inlineStr">
        <is>
          <t>{"kind":"periodicPulse","periodicPulse":{"intervalSec":4,"label":"&lt;battle&gt;轮转时，对敌人造成 2 点伤害&lt;/battle&gt;","damageHealth":{"target":"enemy","amount":2}},"executionScope":"beast","visibilityScope":"beast"}</t>
        </is>
      </c>
    </row>
    <row r="1412" ht="32" customHeight="1">
      <c r="A1412" s="8" t="n">
        <v>500053</v>
      </c>
      <c r="B1412" s="8" t="inlineStr">
        <is>
          <t>青羽妖禽肩骨</t>
        </is>
      </c>
      <c r="C1412" s="8" t="inlineStr">
        <is>
          <t>材料</t>
        </is>
      </c>
      <c r="D1412" s="8" t="inlineStr">
        <is>
          <t>common</t>
        </is>
      </c>
      <c r="E1412" s="8" t="inlineStr">
        <is>
          <t>wood</t>
        </is>
      </c>
      <c r="F1412" s="8" t="n">
        <v>1</v>
      </c>
      <c r="G1412" s="8" t="inlineStr">
        <is>
          <t>基础/顶层</t>
        </is>
      </c>
      <c r="H1412" s="8" t="inlineStr"/>
      <c r="I1412" s="9" t="inlineStr"/>
      <c r="J1412" s="8" t="inlineStr"/>
      <c r="K1412" s="8" t="inlineStr"/>
      <c r="L1412" s="8" t="inlineStr"/>
      <c r="M1412" s="8" t="inlineStr">
        <is>
          <t>周期触发</t>
        </is>
      </c>
      <c r="N1412" s="8" t="inlineStr">
        <is>
          <t>periodicPulse</t>
        </is>
      </c>
      <c r="O1412" s="9" t="inlineStr">
        <is>
          <t>轮转时，恢复自身 3 点气血</t>
        </is>
      </c>
      <c r="P1412" s="9" t="inlineStr"/>
      <c r="Q1412" s="9" t="inlineStr"/>
      <c r="R1412" s="9" t="inlineStr">
        <is>
          <t>{"kind":"periodicPulse","periodicPulse":{"intervalSec":6,"label":"轮转时，恢复自身 3 点气血","primaryStatGains":[{"stat":"health","amount":3}]},"executionScope":"beast","visibilityScope":"beast"}</t>
        </is>
      </c>
    </row>
    <row r="1413" ht="32" customHeight="1">
      <c r="A1413" s="8" t="n">
        <v>500056</v>
      </c>
      <c r="B1413" s="8" t="inlineStr">
        <is>
          <t>黑羽妖禽胸骨</t>
        </is>
      </c>
      <c r="C1413" s="8" t="inlineStr">
        <is>
          <t>材料</t>
        </is>
      </c>
      <c r="D1413" s="8" t="inlineStr">
        <is>
          <t>common</t>
        </is>
      </c>
      <c r="E1413" s="8" t="inlineStr">
        <is>
          <t>metal</t>
        </is>
      </c>
      <c r="F1413" s="8" t="n">
        <v>1</v>
      </c>
      <c r="G1413" s="8" t="inlineStr">
        <is>
          <t>基础/顶层</t>
        </is>
      </c>
      <c r="H1413" s="8" t="inlineStr"/>
      <c r="I1413" s="9" t="inlineStr"/>
      <c r="J1413" s="8" t="inlineStr"/>
      <c r="K1413" s="8" t="inlineStr"/>
      <c r="L1413" s="8" t="inlineStr"/>
      <c r="M1413" s="8" t="inlineStr">
        <is>
          <t>周期触发</t>
        </is>
      </c>
      <c r="N1413" s="8" t="inlineStr">
        <is>
          <t>periodicPulse</t>
        </is>
      </c>
      <c r="O1413" s="9" t="inlineStr">
        <is>
          <t>轮转时，对敌人造成 3 点伤害</t>
        </is>
      </c>
      <c r="P1413" s="9" t="inlineStr"/>
      <c r="Q1413" s="9" t="inlineStr"/>
      <c r="R1413" s="9" t="inlineStr">
        <is>
          <t>{"kind":"periodicPulse","periodicPulse":{"intervalSec":6,"label":"&lt;battle&gt;轮转时，对敌人造成 3 点伤害&lt;/battle&gt;","damageHealth":{"target":"enemy","amount":3}},"executionScope":"beast","visibilityScope":"beast"}</t>
        </is>
      </c>
    </row>
    <row r="1414" ht="32" customHeight="1">
      <c r="A1414" s="8" t="n">
        <v>500058</v>
      </c>
      <c r="B1414" s="8" t="inlineStr">
        <is>
          <t>松裂短獠</t>
        </is>
      </c>
      <c r="C1414" s="8" t="inlineStr">
        <is>
          <t>材料</t>
        </is>
      </c>
      <c r="D1414" s="8" t="inlineStr">
        <is>
          <t>common</t>
        </is>
      </c>
      <c r="E1414" s="8" t="inlineStr">
        <is>
          <t>none</t>
        </is>
      </c>
      <c r="F1414" s="8" t="n">
        <v>1</v>
      </c>
      <c r="G1414" s="8" t="inlineStr">
        <is>
          <t>基础/顶层</t>
        </is>
      </c>
      <c r="H1414" s="8" t="inlineStr"/>
      <c r="I1414" s="9" t="inlineStr"/>
      <c r="J1414" s="8" t="inlineStr"/>
      <c r="K1414" s="8" t="inlineStr"/>
      <c r="L1414" s="8" t="inlineStr"/>
      <c r="M1414" s="8" t="inlineStr">
        <is>
          <t>周期触发</t>
        </is>
      </c>
      <c r="N1414" s="8" t="inlineStr">
        <is>
          <t>periodicPulse</t>
        </is>
      </c>
      <c r="O1414" s="9" t="inlineStr">
        <is>
          <t>轮转时，消耗 1 点体力，对敌方造成 1 点伤害</t>
        </is>
      </c>
      <c r="P1414" s="9" t="inlineStr"/>
      <c r="Q1414" s="9" t="inlineStr"/>
      <c r="R1414" s="9" t="inlineStr">
        <is>
          <t>{"kind":"periodicPulse","periodicPulse":{"intervalSec":5,"label":"轮转时，消耗 1 点体力，&lt;battle&gt;对敌方造成 1 点伤害&lt;/battle&gt;","primaryStatCosts":[{"stat":"stamina","amount":1}],"damageHealth":{"target":"enemy","amount":1}},"executionScope":"beast","visibilityScope":"beast"}</t>
        </is>
      </c>
    </row>
    <row r="1415" ht="32" customHeight="1">
      <c r="A1415" s="8" t="n">
        <v>500059</v>
      </c>
      <c r="B1415" s="8" t="inlineStr">
        <is>
          <t>惊鬃皮片</t>
        </is>
      </c>
      <c r="C1415" s="8" t="inlineStr">
        <is>
          <t>材料</t>
        </is>
      </c>
      <c r="D1415" s="8" t="inlineStr">
        <is>
          <t>common</t>
        </is>
      </c>
      <c r="E1415" s="8" t="inlineStr">
        <is>
          <t>none</t>
        </is>
      </c>
      <c r="F1415" s="8" t="n">
        <v>1</v>
      </c>
      <c r="G1415" s="8" t="inlineStr">
        <is>
          <t>基础/顶层</t>
        </is>
      </c>
      <c r="H1415" s="8" t="inlineStr"/>
      <c r="I1415" s="9" t="inlineStr"/>
      <c r="J1415" s="8" t="inlineStr"/>
      <c r="K1415" s="8" t="inlineStr"/>
      <c r="L1415" s="8" t="inlineStr"/>
      <c r="M1415" s="8" t="inlineStr">
        <is>
          <t>周期触发</t>
        </is>
      </c>
      <c r="N1415" s="8" t="inlineStr">
        <is>
          <t>periodicPulse</t>
        </is>
      </c>
      <c r="O1415" s="9" t="inlineStr">
        <is>
          <t>轮转时，恢复自身 1 点体力</t>
        </is>
      </c>
      <c r="P1415" s="9" t="inlineStr"/>
      <c r="Q1415" s="9" t="inlineStr"/>
      <c r="R1415" s="9" t="inlineStr">
        <is>
          <t>{"kind":"periodicPulse","periodicPulse":{"intervalSec":10,"label":"轮转时，恢复自身 1 点体力","primaryStatGains":[{"stat":"stamina","amount":1}]},"executionScope":"beast","visibilityScope":"beast"}</t>
        </is>
      </c>
    </row>
    <row r="1416" ht="32" customHeight="1">
      <c r="A1416" s="8" t="n">
        <v>500061</v>
      </c>
      <c r="B1416" s="8" t="inlineStr">
        <is>
          <t>裂纹断角</t>
        </is>
      </c>
      <c r="C1416" s="8" t="inlineStr">
        <is>
          <t>材料</t>
        </is>
      </c>
      <c r="D1416" s="8" t="inlineStr">
        <is>
          <t>common</t>
        </is>
      </c>
      <c r="E1416" s="8" t="inlineStr">
        <is>
          <t>earth</t>
        </is>
      </c>
      <c r="F1416" s="8" t="n">
        <v>1</v>
      </c>
      <c r="G1416" s="8" t="inlineStr">
        <is>
          <t>基础/顶层</t>
        </is>
      </c>
      <c r="H1416" s="8" t="inlineStr"/>
      <c r="I1416" s="9" t="inlineStr"/>
      <c r="J1416" s="8" t="inlineStr"/>
      <c r="K1416" s="8" t="inlineStr"/>
      <c r="L1416" s="8" t="inlineStr"/>
      <c r="M1416" s="8" t="inlineStr">
        <is>
          <t>周期触发</t>
        </is>
      </c>
      <c r="N1416" s="8" t="inlineStr">
        <is>
          <t>periodicPulse</t>
        </is>
      </c>
      <c r="O1416" s="9" t="inlineStr">
        <is>
          <t>轮转时，消耗 2 点体力，对敌方造成 2 点伤害</t>
        </is>
      </c>
      <c r="P1416" s="9" t="inlineStr"/>
      <c r="Q1416" s="9" t="inlineStr"/>
      <c r="R1416" s="9" t="inlineStr">
        <is>
          <t>{"kind":"periodicPulse","periodicPulse":{"intervalSec":9,"label":"轮转时，消耗 2 点体力，&lt;battle&gt;对敌方造成 2 点伤害&lt;/battle&gt;","primaryStatCosts":[{"stat":"stamina","amount":2}],"damageHealth":{"target":"enemy","amount":2}},"executionScope":"beast","visibilityScope":"beast"}</t>
        </is>
      </c>
    </row>
    <row r="1417" ht="32" customHeight="1">
      <c r="A1417" s="8" t="n">
        <v>500062</v>
      </c>
      <c r="B1417" s="8" t="inlineStr">
        <is>
          <t>碎石硬蹄</t>
        </is>
      </c>
      <c r="C1417" s="8" t="inlineStr">
        <is>
          <t>材料</t>
        </is>
      </c>
      <c r="D1417" s="8" t="inlineStr">
        <is>
          <t>common</t>
        </is>
      </c>
      <c r="E1417" s="8" t="inlineStr">
        <is>
          <t>earth</t>
        </is>
      </c>
      <c r="F1417" s="8" t="n">
        <v>1</v>
      </c>
      <c r="G1417" s="8" t="inlineStr">
        <is>
          <t>基础/顶层</t>
        </is>
      </c>
      <c r="H1417" s="8" t="inlineStr"/>
      <c r="I1417" s="9" t="inlineStr"/>
      <c r="J1417" s="8" t="inlineStr"/>
      <c r="K1417" s="8" t="inlineStr"/>
      <c r="L1417" s="8" t="inlineStr"/>
      <c r="M1417" s="8" t="inlineStr">
        <is>
          <t>周期触发</t>
        </is>
      </c>
      <c r="N1417" s="8" t="inlineStr">
        <is>
          <t>periodicPulse</t>
        </is>
      </c>
      <c r="O1417" s="9" t="inlineStr">
        <is>
          <t>轮转时，消耗 1 点体力，对敌方造成 1 点伤害</t>
        </is>
      </c>
      <c r="P1417" s="9" t="inlineStr"/>
      <c r="Q1417" s="9" t="inlineStr"/>
      <c r="R1417" s="9" t="inlineStr">
        <is>
          <t>{"kind":"periodicPulse","periodicPulse":{"intervalSec":7,"label":"轮转时，消耗 1 点体力，&lt;battle&gt;对敌方造成 1 点伤害&lt;/battle&gt;","primaryStatCosts":[{"stat":"stamina","amount":1}],"damageHealth":{"target":"enemy","amount":1}},"executionScope":"beast","visibilityScope":"beast"}</t>
        </is>
      </c>
    </row>
    <row r="1418" ht="32" customHeight="1">
      <c r="A1418" s="8" t="n">
        <v>500064</v>
      </c>
      <c r="B1418" s="8" t="inlineStr">
        <is>
          <t>裂牙</t>
        </is>
      </c>
      <c r="C1418" s="8" t="inlineStr">
        <is>
          <t>材料</t>
        </is>
      </c>
      <c r="D1418" s="8" t="inlineStr">
        <is>
          <t>common</t>
        </is>
      </c>
      <c r="E1418" s="8" t="inlineStr">
        <is>
          <t>none</t>
        </is>
      </c>
      <c r="F1418" s="8" t="n">
        <v>1</v>
      </c>
      <c r="G1418" s="8" t="inlineStr">
        <is>
          <t>基础/顶层</t>
        </is>
      </c>
      <c r="H1418" s="8" t="inlineStr"/>
      <c r="I1418" s="9" t="inlineStr"/>
      <c r="J1418" s="8" t="inlineStr"/>
      <c r="K1418" s="8" t="inlineStr"/>
      <c r="L1418" s="8" t="inlineStr"/>
      <c r="M1418" s="8" t="inlineStr">
        <is>
          <t>周期触发</t>
        </is>
      </c>
      <c r="N1418" s="8" t="inlineStr">
        <is>
          <t>periodicPulse</t>
        </is>
      </c>
      <c r="O1418" s="9" t="inlineStr">
        <is>
          <t>轮转时，消耗 1 点体力，对敌方造成 1 点伤害</t>
        </is>
      </c>
      <c r="P1418" s="9" t="inlineStr"/>
      <c r="Q1418" s="9" t="inlineStr"/>
      <c r="R1418" s="9" t="inlineStr">
        <is>
          <t>{"kind":"periodicPulse","periodicPulse":{"intervalSec":3,"label":"轮转时，消耗 1 点体力，&lt;battle&gt;对敌方造成 1 点伤害&lt;/battle&gt;","primaryStatCosts":[{"stat":"stamina","amount":1}],"damageHealth":{"target":"enemy","amount":1}},"executionScope":"beast","visibilityScope":"beast"}</t>
        </is>
      </c>
    </row>
    <row r="1419" ht="32" customHeight="1">
      <c r="A1419" s="8" t="n">
        <v>500065</v>
      </c>
      <c r="B1419" s="8" t="inlineStr">
        <is>
          <t>鬣狗前爪</t>
        </is>
      </c>
      <c r="C1419" s="8" t="inlineStr">
        <is>
          <t>材料</t>
        </is>
      </c>
      <c r="D1419" s="8" t="inlineStr">
        <is>
          <t>common</t>
        </is>
      </c>
      <c r="E1419" s="8" t="inlineStr">
        <is>
          <t>none</t>
        </is>
      </c>
      <c r="F1419" s="8" t="n">
        <v>1</v>
      </c>
      <c r="G1419" s="8" t="inlineStr">
        <is>
          <t>基础/顶层</t>
        </is>
      </c>
      <c r="H1419" s="8" t="inlineStr"/>
      <c r="I1419" s="9" t="inlineStr"/>
      <c r="J1419" s="8" t="inlineStr"/>
      <c r="K1419" s="8" t="inlineStr"/>
      <c r="L1419" s="8" t="inlineStr"/>
      <c r="M1419" s="8" t="inlineStr">
        <is>
          <t>周期触发</t>
        </is>
      </c>
      <c r="N1419" s="8" t="inlineStr">
        <is>
          <t>periodicPulse</t>
        </is>
      </c>
      <c r="O1419" s="9" t="inlineStr">
        <is>
          <t>轮转时，对敌方造成 1 点伤害</t>
        </is>
      </c>
      <c r="P1419" s="9" t="inlineStr"/>
      <c r="Q1419" s="9" t="inlineStr"/>
      <c r="R1419" s="9" t="inlineStr">
        <is>
          <t>{"kind":"periodicPulse","periodicPulse":{"intervalSec":8,"label":"&lt;battle&gt;轮转时，对敌方造成 1 点伤害&lt;/battle&gt;","damageHealth":{"target":"enemy","amount":1}},"executionScope":"beast","visibilityScope":"beast"}</t>
        </is>
      </c>
    </row>
    <row r="1420" ht="32" customHeight="1">
      <c r="A1420" s="8" t="n">
        <v>500067</v>
      </c>
      <c r="B1420" s="8" t="inlineStr">
        <is>
          <t>毒尾针</t>
        </is>
      </c>
      <c r="C1420" s="8" t="inlineStr">
        <is>
          <t>材料</t>
        </is>
      </c>
      <c r="D1420" s="8" t="inlineStr">
        <is>
          <t>common</t>
        </is>
      </c>
      <c r="E1420" s="8" t="inlineStr">
        <is>
          <t>none</t>
        </is>
      </c>
      <c r="F1420" s="8" t="n">
        <v>1</v>
      </c>
      <c r="G1420" s="8" t="inlineStr">
        <is>
          <t>基础/顶层</t>
        </is>
      </c>
      <c r="H1420" s="8" t="inlineStr"/>
      <c r="I1420" s="9" t="inlineStr"/>
      <c r="J1420" s="8" t="inlineStr"/>
      <c r="K1420" s="8" t="inlineStr"/>
      <c r="L1420" s="8" t="inlineStr"/>
      <c r="M1420" s="8" t="inlineStr">
        <is>
          <t>周期触发</t>
        </is>
      </c>
      <c r="N1420" s="8" t="inlineStr">
        <is>
          <t>periodicPulse</t>
        </is>
      </c>
      <c r="O1420" s="9" t="inlineStr">
        <is>
          <t>轮转时，消耗 1 点体力，对敌方造成 1 点伤害</t>
        </is>
      </c>
      <c r="P1420" s="9" t="inlineStr"/>
      <c r="Q1420" s="9" t="inlineStr"/>
      <c r="R1420" s="9" t="inlineStr">
        <is>
          <t>{"kind":"periodicPulse","periodicPulse":{"intervalSec":6,"label":"轮转时，消耗 1 点体力，&lt;battle&gt;对敌方造成 1 点伤害&lt;/battle&gt;","primaryStatCosts":[{"stat":"stamina","amount":1}],"damageHealth":{"target":"enemy","amount":1}},"executionScope":"beast","visibilityScope":"beast"}</t>
        </is>
      </c>
    </row>
    <row r="1421" ht="32" customHeight="1">
      <c r="A1421" s="8" t="n">
        <v>500068</v>
      </c>
      <c r="B1421" s="8" t="inlineStr">
        <is>
          <t>蝎螯</t>
        </is>
      </c>
      <c r="C1421" s="8" t="inlineStr">
        <is>
          <t>材料</t>
        </is>
      </c>
      <c r="D1421" s="8" t="inlineStr">
        <is>
          <t>common</t>
        </is>
      </c>
      <c r="E1421" s="8" t="inlineStr">
        <is>
          <t>none</t>
        </is>
      </c>
      <c r="F1421" s="8" t="n">
        <v>1</v>
      </c>
      <c r="G1421" s="8" t="inlineStr">
        <is>
          <t>基础/顶层</t>
        </is>
      </c>
      <c r="H1421" s="8" t="inlineStr"/>
      <c r="I1421" s="9" t="inlineStr"/>
      <c r="J1421" s="8" t="inlineStr"/>
      <c r="K1421" s="8" t="inlineStr"/>
      <c r="L1421" s="8" t="inlineStr"/>
      <c r="M1421" s="8" t="inlineStr">
        <is>
          <t>周期触发</t>
        </is>
      </c>
      <c r="N1421" s="8" t="inlineStr">
        <is>
          <t>periodicPulse</t>
        </is>
      </c>
      <c r="O1421" s="9" t="inlineStr">
        <is>
          <t>轮转时，对敌方造成 1 点伤害</t>
        </is>
      </c>
      <c r="P1421" s="9" t="inlineStr"/>
      <c r="Q1421" s="9" t="inlineStr"/>
      <c r="R1421" s="9" t="inlineStr">
        <is>
          <t>{"kind":"periodicPulse","periodicPulse":{"intervalSec":7,"label":"&lt;battle&gt;轮转时，对敌方造成 1 点伤害&lt;/battle&gt;","damageHealth":{"target":"enemy","amount":1}},"executionScope":"beast","visibilityScope":"beast"}</t>
        </is>
      </c>
    </row>
    <row r="1422" ht="32" customHeight="1">
      <c r="A1422" s="8" t="n">
        <v>500070</v>
      </c>
      <c r="B1422" s="8" t="inlineStr">
        <is>
          <t>穿山利爪</t>
        </is>
      </c>
      <c r="C1422" s="8" t="inlineStr">
        <is>
          <t>材料</t>
        </is>
      </c>
      <c r="D1422" s="8" t="inlineStr">
        <is>
          <t>common</t>
        </is>
      </c>
      <c r="E1422" s="8" t="inlineStr">
        <is>
          <t>none</t>
        </is>
      </c>
      <c r="F1422" s="8" t="n">
        <v>1</v>
      </c>
      <c r="G1422" s="8" t="inlineStr">
        <is>
          <t>基础/顶层</t>
        </is>
      </c>
      <c r="H1422" s="8" t="inlineStr"/>
      <c r="I1422" s="9" t="inlineStr"/>
      <c r="J1422" s="8" t="inlineStr"/>
      <c r="K1422" s="8" t="inlineStr"/>
      <c r="L1422" s="8" t="inlineStr"/>
      <c r="M1422" s="8" t="inlineStr">
        <is>
          <t>周期触发</t>
        </is>
      </c>
      <c r="N1422" s="8" t="inlineStr">
        <is>
          <t>periodicPulse</t>
        </is>
      </c>
      <c r="O1422" s="9" t="inlineStr">
        <is>
          <t>轮转时，消耗 1 点体力，对敌方造成 1 点伤害</t>
        </is>
      </c>
      <c r="P1422" s="9" t="inlineStr"/>
      <c r="Q1422" s="9" t="inlineStr"/>
      <c r="R1422" s="9" t="inlineStr">
        <is>
          <t>{"kind":"periodicPulse","periodicPulse":{"intervalSec":3,"label":"轮转时，消耗 1 点体力，&lt;battle&gt;对敌方造成 1 点伤害&lt;/battle&gt;","primaryStatCosts":[{"stat":"stamina","amount":1}],"damageHealth":{"target":"enemy","amount":1}},"executionScope":"beast","visibilityScope":"beast"}</t>
        </is>
      </c>
    </row>
    <row r="1423" ht="32" customHeight="1">
      <c r="A1423" s="8" t="n">
        <v>500071</v>
      </c>
      <c r="B1423" s="8" t="inlineStr">
        <is>
          <t>岩背鳞甲</t>
        </is>
      </c>
      <c r="C1423" s="8" t="inlineStr">
        <is>
          <t>材料</t>
        </is>
      </c>
      <c r="D1423" s="8" t="inlineStr">
        <is>
          <t>common</t>
        </is>
      </c>
      <c r="E1423" s="8" t="inlineStr">
        <is>
          <t>none</t>
        </is>
      </c>
      <c r="F1423" s="8" t="n">
        <v>1</v>
      </c>
      <c r="G1423" s="8" t="inlineStr">
        <is>
          <t>基础/顶层</t>
        </is>
      </c>
      <c r="H1423" s="8" t="inlineStr"/>
      <c r="I1423" s="9" t="inlineStr"/>
      <c r="J1423" s="8" t="inlineStr"/>
      <c r="K1423" s="8" t="inlineStr"/>
      <c r="L1423" s="8" t="inlineStr"/>
      <c r="M1423" s="8" t="inlineStr">
        <is>
          <t>周期触发</t>
        </is>
      </c>
      <c r="N1423" s="8" t="inlineStr">
        <is>
          <t>periodicPulse</t>
        </is>
      </c>
      <c r="O1423" s="9" t="inlineStr">
        <is>
          <t>轮转时，恢复自身 5 点气血</t>
        </is>
      </c>
      <c r="P1423" s="9" t="inlineStr"/>
      <c r="Q1423" s="9" t="inlineStr"/>
      <c r="R1423" s="9" t="inlineStr">
        <is>
          <t>{"kind":"periodicPulse","periodicPulse":{"intervalSec":30,"label":"轮转时，恢复自身 5 点气血","primaryStatGains":[{"stat":"health","amount":5}]},"executionScope":"beast","visibilityScope":"beast"}</t>
        </is>
      </c>
    </row>
    <row r="1424" ht="32" customHeight="1">
      <c r="A1424" s="8" t="n">
        <v>500072</v>
      </c>
      <c r="B1424" s="8" t="inlineStr">
        <is>
          <t>粗尾骨</t>
        </is>
      </c>
      <c r="C1424" s="8" t="inlineStr">
        <is>
          <t>材料</t>
        </is>
      </c>
      <c r="D1424" s="8" t="inlineStr">
        <is>
          <t>common</t>
        </is>
      </c>
      <c r="E1424" s="8" t="inlineStr">
        <is>
          <t>none</t>
        </is>
      </c>
      <c r="F1424" s="8" t="n">
        <v>1</v>
      </c>
      <c r="G1424" s="8" t="inlineStr">
        <is>
          <t>基础/顶层</t>
        </is>
      </c>
      <c r="H1424" s="8" t="inlineStr"/>
      <c r="I1424" s="9" t="inlineStr"/>
      <c r="J1424" s="8" t="inlineStr"/>
      <c r="K1424" s="8" t="inlineStr"/>
      <c r="L1424" s="8" t="inlineStr"/>
      <c r="M1424" s="8" t="inlineStr">
        <is>
          <t>周期触发</t>
        </is>
      </c>
      <c r="N1424" s="8" t="inlineStr">
        <is>
          <t>periodicPulse</t>
        </is>
      </c>
      <c r="O1424" s="9" t="inlineStr">
        <is>
          <t>轮转时，对敌方造成 1 点伤害</t>
        </is>
      </c>
      <c r="P1424" s="9" t="inlineStr"/>
      <c r="Q1424" s="9" t="inlineStr"/>
      <c r="R1424" s="9" t="inlineStr">
        <is>
          <t>{"kind":"periodicPulse","periodicPulse":{"intervalSec":6,"label":"&lt;battle&gt;轮转时，对敌方造成 1 点伤害&lt;/battle&gt;","damageHealth":{"target":"enemy","amount":1}},"executionScope":"beast","visibilityScope":"beast"}</t>
        </is>
      </c>
    </row>
    <row r="1425" ht="32" customHeight="1">
      <c r="A1425" s="8" t="n">
        <v>500073</v>
      </c>
      <c r="B1425" s="8" t="inlineStr">
        <is>
          <t>毒蛛牙</t>
        </is>
      </c>
      <c r="C1425" s="8" t="inlineStr">
        <is>
          <t>材料</t>
        </is>
      </c>
      <c r="D1425" s="8" t="inlineStr">
        <is>
          <t>common</t>
        </is>
      </c>
      <c r="E1425" s="8" t="inlineStr">
        <is>
          <t>none</t>
        </is>
      </c>
      <c r="F1425" s="8" t="n">
        <v>1</v>
      </c>
      <c r="G1425" s="8" t="inlineStr">
        <is>
          <t>基础/顶层</t>
        </is>
      </c>
      <c r="H1425" s="8" t="inlineStr"/>
      <c r="I1425" s="9" t="inlineStr"/>
      <c r="J1425" s="8" t="inlineStr"/>
      <c r="K1425" s="8" t="inlineStr"/>
      <c r="L1425" s="8" t="inlineStr"/>
      <c r="M1425" s="8" t="inlineStr">
        <is>
          <t>周期触发</t>
        </is>
      </c>
      <c r="N1425" s="8" t="inlineStr">
        <is>
          <t>periodicPulse</t>
        </is>
      </c>
      <c r="O1425" s="9" t="inlineStr">
        <is>
          <t>轮转时，对敌方施加 1 层中毒</t>
        </is>
      </c>
      <c r="P1425" s="9" t="inlineStr"/>
      <c r="Q1425" s="9" t="inlineStr"/>
      <c r="R1425" s="9" t="inlineStr">
        <is>
          <t>{"kind":"periodicPulse","periodicPulse":{"intervalSec":8,"label":"轮转时，对敌方施加 1 层中毒","buffGains":[{"buffId":"poison","count":1,"target":"enemy"}]},"executionScope":"beast","visibilityScope":"beast"}</t>
        </is>
      </c>
    </row>
    <row r="1426" ht="32" customHeight="1">
      <c r="A1426" s="8" t="n">
        <v>500074</v>
      </c>
      <c r="B1426" s="8" t="inlineStr">
        <is>
          <t>蛛丝腺</t>
        </is>
      </c>
      <c r="C1426" s="8" t="inlineStr">
        <is>
          <t>材料</t>
        </is>
      </c>
      <c r="D1426" s="8" t="inlineStr">
        <is>
          <t>common</t>
        </is>
      </c>
      <c r="E1426" s="8" t="inlineStr">
        <is>
          <t>none</t>
        </is>
      </c>
      <c r="F1426" s="8" t="n">
        <v>1</v>
      </c>
      <c r="G1426" s="8" t="inlineStr">
        <is>
          <t>基础/顶层</t>
        </is>
      </c>
      <c r="H1426" s="8" t="inlineStr"/>
      <c r="I1426" s="9" t="inlineStr"/>
      <c r="J1426" s="8" t="inlineStr"/>
      <c r="K1426" s="8" t="inlineStr"/>
      <c r="L1426" s="8" t="inlineStr"/>
      <c r="M1426" s="8" t="inlineStr">
        <is>
          <t>周期触发</t>
        </is>
      </c>
      <c r="N1426" s="8" t="inlineStr">
        <is>
          <t>periodicPulse</t>
        </is>
      </c>
      <c r="O1426" s="9" t="inlineStr">
        <is>
          <t>轮转时，对敌方施加 1 层中毒</t>
        </is>
      </c>
      <c r="P1426" s="9" t="inlineStr"/>
      <c r="Q1426" s="9" t="inlineStr"/>
      <c r="R1426" s="9" t="inlineStr">
        <is>
          <t>{"kind":"periodicPulse","periodicPulse":{"intervalSec":12,"label":"轮转时，对敌方施加 1 层中毒","buffGains":[{"buffId":"poison","count":1,"target":"enemy"}]},"executionScope":"beast","visibilityScope":"beast"}</t>
        </is>
      </c>
    </row>
    <row r="1427" ht="32" customHeight="1">
      <c r="A1427" s="8" t="n">
        <v>500076</v>
      </c>
      <c r="B1427" s="8" t="inlineStr">
        <is>
          <t>熊掌骨</t>
        </is>
      </c>
      <c r="C1427" s="8" t="inlineStr">
        <is>
          <t>材料</t>
        </is>
      </c>
      <c r="D1427" s="8" t="inlineStr">
        <is>
          <t>common</t>
        </is>
      </c>
      <c r="E1427" s="8" t="inlineStr">
        <is>
          <t>none</t>
        </is>
      </c>
      <c r="F1427" s="8" t="n">
        <v>1</v>
      </c>
      <c r="G1427" s="8" t="inlineStr">
        <is>
          <t>基础/顶层</t>
        </is>
      </c>
      <c r="H1427" s="8" t="inlineStr"/>
      <c r="I1427" s="9" t="inlineStr"/>
      <c r="J1427" s="8" t="inlineStr"/>
      <c r="K1427" s="8" t="inlineStr"/>
      <c r="L1427" s="8" t="inlineStr"/>
      <c r="M1427" s="8" t="inlineStr">
        <is>
          <t>周期触发</t>
        </is>
      </c>
      <c r="N1427" s="8" t="inlineStr">
        <is>
          <t>periodicPulse</t>
        </is>
      </c>
      <c r="O1427" s="9" t="inlineStr">
        <is>
          <t>轮转时，消耗 10 点体力，对敌方造成 4 点伤害</t>
        </is>
      </c>
      <c r="P1427" s="9" t="inlineStr"/>
      <c r="Q1427" s="9" t="inlineStr"/>
      <c r="R1427" s="9" t="inlineStr">
        <is>
          <t>{"kind":"periodicPulse","periodicPulse":{"intervalSec":20,"label":"轮转时，消耗 10 点体力，&lt;battle&gt;对敌方造成 4 点伤害&lt;/battle&gt;","primaryStatCosts":[{"stat":"stamina","amount":10}],"damageHealth":{"target":"enemy","amount":4}},"executionScope":"beast","visibilityScope":"beast"}</t>
        </is>
      </c>
    </row>
    <row r="1428" ht="32" customHeight="1">
      <c r="A1428" s="8" t="n">
        <v>500077</v>
      </c>
      <c r="B1428" s="8" t="inlineStr">
        <is>
          <t>黑熊獠牙</t>
        </is>
      </c>
      <c r="C1428" s="8" t="inlineStr">
        <is>
          <t>材料</t>
        </is>
      </c>
      <c r="D1428" s="8" t="inlineStr">
        <is>
          <t>common</t>
        </is>
      </c>
      <c r="E1428" s="8" t="inlineStr">
        <is>
          <t>none</t>
        </is>
      </c>
      <c r="F1428" s="8" t="n">
        <v>1</v>
      </c>
      <c r="G1428" s="8" t="inlineStr">
        <is>
          <t>基础/顶层</t>
        </is>
      </c>
      <c r="H1428" s="8" t="inlineStr"/>
      <c r="I1428" s="9" t="inlineStr"/>
      <c r="J1428" s="8" t="inlineStr"/>
      <c r="K1428" s="8" t="inlineStr"/>
      <c r="L1428" s="8" t="inlineStr"/>
      <c r="M1428" s="8" t="inlineStr">
        <is>
          <t>周期触发</t>
        </is>
      </c>
      <c r="N1428" s="8" t="inlineStr">
        <is>
          <t>periodicPulse</t>
        </is>
      </c>
      <c r="O1428" s="9" t="inlineStr">
        <is>
          <t>轮转时，消耗 3 点气血，对敌方造成 2 点伤害</t>
        </is>
      </c>
      <c r="P1428" s="9" t="inlineStr"/>
      <c r="Q1428" s="9" t="inlineStr"/>
      <c r="R1428" s="9" t="inlineStr">
        <is>
          <t>{"kind":"periodicPulse","periodicPulse":{"intervalSec":15,"label":"轮转时，消耗 3 点气血，&lt;battle&gt;对敌方造成 2 点伤害&lt;/battle&gt;","primaryStatCosts":[{"stat":"health","amount":3}],"damageHealth":{"target":"enemy","amount":2}},"executionScope":"beast","visibilityScope":"beast"}</t>
        </is>
      </c>
    </row>
    <row r="1429" ht="32" customHeight="1">
      <c r="A1429" s="8" t="n">
        <v>500078</v>
      </c>
      <c r="B1429" s="8" t="inlineStr">
        <is>
          <t>厚熊皮</t>
        </is>
      </c>
      <c r="C1429" s="8" t="inlineStr">
        <is>
          <t>材料</t>
        </is>
      </c>
      <c r="D1429" s="8" t="inlineStr">
        <is>
          <t>common</t>
        </is>
      </c>
      <c r="E1429" s="8" t="inlineStr">
        <is>
          <t>none</t>
        </is>
      </c>
      <c r="F1429" s="8" t="n">
        <v>1</v>
      </c>
      <c r="G1429" s="8" t="inlineStr">
        <is>
          <t>基础/顶层</t>
        </is>
      </c>
      <c r="H1429" s="8" t="inlineStr"/>
      <c r="I1429" s="9" t="inlineStr"/>
      <c r="J1429" s="8" t="inlineStr"/>
      <c r="K1429" s="8" t="inlineStr"/>
      <c r="L1429" s="8" t="inlineStr"/>
      <c r="M1429" s="8" t="inlineStr">
        <is>
          <t>周期触发</t>
        </is>
      </c>
      <c r="N1429" s="8" t="inlineStr">
        <is>
          <t>periodicPulse</t>
        </is>
      </c>
      <c r="O1429" s="9" t="inlineStr">
        <is>
          <t>轮转时，恢复自身 2 点气血</t>
        </is>
      </c>
      <c r="P1429" s="9" t="inlineStr"/>
      <c r="Q1429" s="9" t="inlineStr"/>
      <c r="R1429" s="9" t="inlineStr">
        <is>
          <t>{"kind":"periodicPulse","periodicPulse":{"intervalSec":10,"label":"轮转时，恢复自身 2 点气血","primaryStatGains":[{"stat":"health","amount":2}]},"executionScope":"beast","visibilityScope":"beast"}</t>
        </is>
      </c>
    </row>
    <row r="1430" ht="32" customHeight="1">
      <c r="A1430" s="8" t="n">
        <v>500080</v>
      </c>
      <c r="B1430" s="8" t="inlineStr">
        <is>
          <t>青鳞片</t>
        </is>
      </c>
      <c r="C1430" s="8" t="inlineStr">
        <is>
          <t>材料</t>
        </is>
      </c>
      <c r="D1430" s="8" t="inlineStr">
        <is>
          <t>common</t>
        </is>
      </c>
      <c r="E1430" s="8" t="inlineStr">
        <is>
          <t>water</t>
        </is>
      </c>
      <c r="F1430" s="8" t="n">
        <v>1</v>
      </c>
      <c r="G1430" s="8" t="inlineStr">
        <is>
          <t>基础/顶层</t>
        </is>
      </c>
      <c r="H1430" s="8" t="inlineStr"/>
      <c r="I1430" s="9" t="inlineStr"/>
      <c r="J1430" s="8" t="inlineStr"/>
      <c r="K1430" s="8" t="inlineStr"/>
      <c r="L1430" s="8" t="inlineStr"/>
      <c r="M1430" s="8" t="inlineStr">
        <is>
          <t>周期触发</t>
        </is>
      </c>
      <c r="N1430" s="8" t="inlineStr">
        <is>
          <t>periodicPulse</t>
        </is>
      </c>
      <c r="O1430" s="9" t="inlineStr">
        <is>
          <t>轮转时，将 1 点法力转化为自身 100% 体力</t>
        </is>
      </c>
      <c r="P1430" s="9" t="inlineStr"/>
      <c r="Q1430" s="9" t="inlineStr"/>
      <c r="R1430" s="9" t="inlineStr">
        <is>
          <t>{"kind":"periodicPulse","periodicPulse":{"intervalSec":30,"label":"轮转时，将 1 点法力转化为自身 100% 体力","primaryStatCosts":[{"stat":"mana","amount":1}],"primaryStatGains":[{"stat":"stamina","maxRatio":1}]},"executionScope":"beast","visibilityScope":"beast"}</t>
        </is>
      </c>
    </row>
    <row r="1431" ht="32" customHeight="1">
      <c r="A1431" s="8" t="n">
        <v>500081</v>
      </c>
      <c r="B1431" s="8" t="inlineStr">
        <is>
          <t>溪蜥尾</t>
        </is>
      </c>
      <c r="C1431" s="8" t="inlineStr">
        <is>
          <t>材料</t>
        </is>
      </c>
      <c r="D1431" s="8" t="inlineStr">
        <is>
          <t>common</t>
        </is>
      </c>
      <c r="E1431" s="8" t="inlineStr">
        <is>
          <t>water</t>
        </is>
      </c>
      <c r="F1431" s="8" t="n">
        <v>1</v>
      </c>
      <c r="G1431" s="8" t="inlineStr">
        <is>
          <t>基础/顶层</t>
        </is>
      </c>
      <c r="H1431" s="8" t="inlineStr"/>
      <c r="I1431" s="9" t="inlineStr"/>
      <c r="J1431" s="8" t="inlineStr"/>
      <c r="K1431" s="8" t="inlineStr"/>
      <c r="L1431" s="8" t="inlineStr"/>
      <c r="M1431" s="8" t="inlineStr">
        <is>
          <t>周期触发</t>
        </is>
      </c>
      <c r="N1431" s="8" t="inlineStr">
        <is>
          <t>periodicPulse</t>
        </is>
      </c>
      <c r="O1431" s="9" t="inlineStr">
        <is>
          <t>轮转时，对敌方造成 1 点伤害</t>
        </is>
      </c>
      <c r="P1431" s="9" t="inlineStr"/>
      <c r="Q1431" s="9" t="inlineStr"/>
      <c r="R1431" s="9" t="inlineStr">
        <is>
          <t>{"kind":"periodicPulse","periodicPulse":{"intervalSec":5,"label":"&lt;battle&gt;轮转时，对敌方造成 1 点伤害&lt;/battle&gt;","damageHealth":{"target":"enemy","amount":1}},"executionScope":"beast","visibilityScope":"beast"}</t>
        </is>
      </c>
    </row>
    <row r="1432" ht="32" customHeight="1">
      <c r="A1432" s="8" t="n">
        <v>500082</v>
      </c>
      <c r="B1432" s="8" t="inlineStr">
        <is>
          <t>湿滑爪</t>
        </is>
      </c>
      <c r="C1432" s="8" t="inlineStr">
        <is>
          <t>材料</t>
        </is>
      </c>
      <c r="D1432" s="8" t="inlineStr">
        <is>
          <t>common</t>
        </is>
      </c>
      <c r="E1432" s="8" t="inlineStr">
        <is>
          <t>water</t>
        </is>
      </c>
      <c r="F1432" s="8" t="n">
        <v>1</v>
      </c>
      <c r="G1432" s="8" t="inlineStr">
        <is>
          <t>基础/顶层</t>
        </is>
      </c>
      <c r="H1432" s="8" t="inlineStr"/>
      <c r="I1432" s="9" t="inlineStr"/>
      <c r="J1432" s="8" t="inlineStr"/>
      <c r="K1432" s="8" t="inlineStr"/>
      <c r="L1432" s="8" t="inlineStr"/>
      <c r="M1432" s="8" t="inlineStr">
        <is>
          <t>周期触发</t>
        </is>
      </c>
      <c r="N1432" s="8" t="inlineStr">
        <is>
          <t>periodicPulse</t>
        </is>
      </c>
      <c r="O1432" s="9" t="inlineStr">
        <is>
          <t>轮转时，消耗 1 点体力，对敌方造成 1 点伤害</t>
        </is>
      </c>
      <c r="P1432" s="9" t="inlineStr"/>
      <c r="Q1432" s="9" t="inlineStr"/>
      <c r="R1432" s="9" t="inlineStr">
        <is>
          <t>{"kind":"periodicPulse","periodicPulse":{"intervalSec":4,"label":"轮转时，消耗 1 点体力，&lt;battle&gt;对敌方造成 1 点伤害&lt;/battle&gt;","primaryStatCosts":[{"stat":"stamina","amount":1}],"damageHealth":{"target":"enemy","amount":1}},"executionScope":"beast","visibilityScope":"beast"}</t>
        </is>
      </c>
    </row>
    <row r="1433" ht="32" customHeight="1">
      <c r="A1433" s="8" t="n">
        <v>500083</v>
      </c>
      <c r="B1433" s="8" t="inlineStr">
        <is>
          <t>赤喙</t>
        </is>
      </c>
      <c r="C1433" s="8" t="inlineStr">
        <is>
          <t>材料</t>
        </is>
      </c>
      <c r="D1433" s="8" t="inlineStr">
        <is>
          <t>common</t>
        </is>
      </c>
      <c r="E1433" s="8" t="inlineStr">
        <is>
          <t>fire</t>
        </is>
      </c>
      <c r="F1433" s="8" t="n">
        <v>1</v>
      </c>
      <c r="G1433" s="8" t="inlineStr">
        <is>
          <t>基础/顶层</t>
        </is>
      </c>
      <c r="H1433" s="8" t="inlineStr"/>
      <c r="I1433" s="9" t="inlineStr"/>
      <c r="J1433" s="8" t="inlineStr"/>
      <c r="K1433" s="8" t="inlineStr"/>
      <c r="L1433" s="8" t="inlineStr"/>
      <c r="M1433" s="8" t="inlineStr">
        <is>
          <t>周期触发</t>
        </is>
      </c>
      <c r="N1433" s="8" t="inlineStr">
        <is>
          <t>periodicPulse</t>
        </is>
      </c>
      <c r="O1433" s="9" t="inlineStr">
        <is>
          <t>轮转时，消耗 3 点法力，对敌方造成 3 点伤害</t>
        </is>
      </c>
      <c r="P1433" s="9" t="inlineStr"/>
      <c r="Q1433" s="9" t="inlineStr"/>
      <c r="R1433" s="9" t="inlineStr">
        <is>
          <t>{"kind":"periodicPulse","periodicPulse":{"intervalSec":6,"label":"轮转时，消耗 3 点法力，&lt;battle&gt;对敌方造成 3 点伤害&lt;/battle&gt;","primaryStatCosts":[{"stat":"mana","amount":3}],"damageHealth":{"target":"enemy","amount":3}},"executionScope":"beast","visibilityScope":"beast"}</t>
        </is>
      </c>
    </row>
    <row r="1434" ht="32" customHeight="1">
      <c r="A1434" s="8" t="n">
        <v>500084</v>
      </c>
      <c r="B1434" s="8" t="inlineStr">
        <is>
          <t>焦羽</t>
        </is>
      </c>
      <c r="C1434" s="8" t="inlineStr">
        <is>
          <t>材料</t>
        </is>
      </c>
      <c r="D1434" s="8" t="inlineStr">
        <is>
          <t>common</t>
        </is>
      </c>
      <c r="E1434" s="8" t="inlineStr">
        <is>
          <t>fire</t>
        </is>
      </c>
      <c r="F1434" s="8" t="n">
        <v>1</v>
      </c>
      <c r="G1434" s="8" t="inlineStr">
        <is>
          <t>基础/顶层</t>
        </is>
      </c>
      <c r="H1434" s="8" t="inlineStr"/>
      <c r="I1434" s="9" t="inlineStr"/>
      <c r="J1434" s="8" t="inlineStr"/>
      <c r="K1434" s="8" t="inlineStr"/>
      <c r="L1434" s="8" t="inlineStr"/>
      <c r="M1434" s="8" t="inlineStr">
        <is>
          <t>周期触发</t>
        </is>
      </c>
      <c r="N1434" s="8" t="inlineStr">
        <is>
          <t>periodicPulse</t>
        </is>
      </c>
      <c r="O1434" s="9" t="inlineStr">
        <is>
          <t>轮转时，对敌方施加 1 层灼烧</t>
        </is>
      </c>
      <c r="P1434" s="9" t="inlineStr"/>
      <c r="Q1434" s="9" t="inlineStr"/>
      <c r="R1434" s="9" t="inlineStr">
        <is>
          <t>{"kind":"periodicPulse","periodicPulse":{"intervalSec":30,"label":"轮转时，对敌方施加 1 层灼烧","buffGains":[{"buffId":"burning","count":1,"target":"enemy"}]},"executionScope":"beast","visibilityScope":"beast"}</t>
        </is>
      </c>
    </row>
    <row r="1435" ht="32" customHeight="1">
      <c r="A1435" s="8" t="n">
        <v>500085</v>
      </c>
      <c r="B1435" s="8" t="inlineStr">
        <is>
          <t>火鸦爪</t>
        </is>
      </c>
      <c r="C1435" s="8" t="inlineStr">
        <is>
          <t>材料</t>
        </is>
      </c>
      <c r="D1435" s="8" t="inlineStr">
        <is>
          <t>common</t>
        </is>
      </c>
      <c r="E1435" s="8" t="inlineStr">
        <is>
          <t>fire</t>
        </is>
      </c>
      <c r="F1435" s="8" t="n">
        <v>1</v>
      </c>
      <c r="G1435" s="8" t="inlineStr">
        <is>
          <t>基础/顶层</t>
        </is>
      </c>
      <c r="H1435" s="8" t="inlineStr"/>
      <c r="I1435" s="9" t="inlineStr"/>
      <c r="J1435" s="8" t="inlineStr"/>
      <c r="K1435" s="8" t="inlineStr"/>
      <c r="L1435" s="8" t="inlineStr"/>
      <c r="M1435" s="8" t="inlineStr">
        <is>
          <t>周期触发</t>
        </is>
      </c>
      <c r="N1435" s="8" t="inlineStr">
        <is>
          <t>periodicPulse</t>
        </is>
      </c>
      <c r="O1435" s="9" t="inlineStr">
        <is>
          <t>轮转时，对敌方造成 2 点伤害</t>
        </is>
      </c>
      <c r="P1435" s="9" t="inlineStr"/>
      <c r="Q1435" s="9" t="inlineStr"/>
      <c r="R1435" s="9" t="inlineStr">
        <is>
          <t>{"kind":"periodicPulse","periodicPulse":{"intervalSec":6,"label":"&lt;battle&gt;轮转时，对敌方造成 2 点伤害&lt;/battle&gt;","damageHealth":{"target":"enemy","amount":2}},"executionScope":"beast","visibilityScope":"beast"}</t>
        </is>
      </c>
    </row>
    <row r="1436" ht="32" customHeight="1">
      <c r="A1436" s="8" t="n">
        <v>500086</v>
      </c>
      <c r="B1436" s="8" t="inlineStr">
        <is>
          <t>苍藤角</t>
        </is>
      </c>
      <c r="C1436" s="8" t="inlineStr">
        <is>
          <t>材料</t>
        </is>
      </c>
      <c r="D1436" s="8" t="inlineStr">
        <is>
          <t>common</t>
        </is>
      </c>
      <c r="E1436" s="8" t="inlineStr">
        <is>
          <t>wood</t>
        </is>
      </c>
      <c r="F1436" s="8" t="n">
        <v>1</v>
      </c>
      <c r="G1436" s="8" t="inlineStr">
        <is>
          <t>基础/顶层</t>
        </is>
      </c>
      <c r="H1436" s="8" t="inlineStr"/>
      <c r="I1436" s="9" t="inlineStr"/>
      <c r="J1436" s="8" t="inlineStr"/>
      <c r="K1436" s="8" t="inlineStr"/>
      <c r="L1436" s="8" t="inlineStr"/>
      <c r="M1436" s="8" t="inlineStr">
        <is>
          <t>周期触发</t>
        </is>
      </c>
      <c r="N1436" s="8" t="inlineStr">
        <is>
          <t>periodicPulse</t>
        </is>
      </c>
      <c r="O1436" s="9" t="inlineStr">
        <is>
          <t>轮转时，对敌方造成 3 点伤害</t>
        </is>
      </c>
      <c r="P1436" s="9" t="inlineStr"/>
      <c r="Q1436" s="9" t="inlineStr"/>
      <c r="R1436" s="9" t="inlineStr">
        <is>
          <t>{"kind":"periodicPulse","periodicPulse":{"intervalSec":12,"label":"&lt;battle&gt;轮转时，对敌方造成 3 点伤害&lt;/battle&gt;","damageHealth":{"target":"enemy","amount":3}},"executionScope":"beast","visibilityScope":"beast"}</t>
        </is>
      </c>
    </row>
    <row r="1437" ht="32" customHeight="1">
      <c r="A1437" s="8" t="n">
        <v>500087</v>
      </c>
      <c r="B1437" s="8" t="inlineStr">
        <is>
          <t>木鹿皮</t>
        </is>
      </c>
      <c r="C1437" s="8" t="inlineStr">
        <is>
          <t>材料</t>
        </is>
      </c>
      <c r="D1437" s="8" t="inlineStr">
        <is>
          <t>common</t>
        </is>
      </c>
      <c r="E1437" s="8" t="inlineStr">
        <is>
          <t>wood</t>
        </is>
      </c>
      <c r="F1437" s="8" t="n">
        <v>1</v>
      </c>
      <c r="G1437" s="8" t="inlineStr">
        <is>
          <t>基础/顶层</t>
        </is>
      </c>
      <c r="H1437" s="8" t="inlineStr"/>
      <c r="I1437" s="9" t="inlineStr"/>
      <c r="J1437" s="8" t="inlineStr"/>
      <c r="K1437" s="8" t="inlineStr"/>
      <c r="L1437" s="8" t="inlineStr"/>
      <c r="M1437" s="8" t="inlineStr">
        <is>
          <t>周期触发</t>
        </is>
      </c>
      <c r="N1437" s="8" t="inlineStr">
        <is>
          <t>periodicPulse</t>
        </is>
      </c>
      <c r="O1437" s="9" t="inlineStr">
        <is>
          <t>轮转时，消耗 1 点气血，对敌方造成 6 点伤害</t>
        </is>
      </c>
      <c r="P1437" s="9" t="inlineStr"/>
      <c r="Q1437" s="9" t="inlineStr"/>
      <c r="R1437" s="9" t="inlineStr">
        <is>
          <t>{"kind":"periodicPulse","periodicPulse":{"intervalSec":20,"label":"轮转时，消耗 1 点气血，&lt;battle&gt;对敌方造成 6 点伤害&lt;/battle&gt;","primaryStatCosts":[{"stat":"health","amount":1}],"damageHealth":{"target":"enemy","amount":6}},"executionScope":"beast","visibilityScope":"beast"}</t>
        </is>
      </c>
    </row>
    <row r="1438" ht="32" customHeight="1">
      <c r="A1438" s="8" t="n">
        <v>500088</v>
      </c>
      <c r="B1438" s="8" t="inlineStr">
        <is>
          <t>青蹄</t>
        </is>
      </c>
      <c r="C1438" s="8" t="inlineStr">
        <is>
          <t>材料</t>
        </is>
      </c>
      <c r="D1438" s="8" t="inlineStr">
        <is>
          <t>common</t>
        </is>
      </c>
      <c r="E1438" s="8" t="inlineStr">
        <is>
          <t>wood</t>
        </is>
      </c>
      <c r="F1438" s="8" t="n">
        <v>1</v>
      </c>
      <c r="G1438" s="8" t="inlineStr">
        <is>
          <t>基础/顶层</t>
        </is>
      </c>
      <c r="H1438" s="8" t="inlineStr"/>
      <c r="I1438" s="9" t="inlineStr"/>
      <c r="J1438" s="8" t="inlineStr"/>
      <c r="K1438" s="8" t="inlineStr"/>
      <c r="L1438" s="8" t="inlineStr"/>
      <c r="M1438" s="8" t="inlineStr">
        <is>
          <t>周期触发</t>
        </is>
      </c>
      <c r="N1438" s="8" t="inlineStr">
        <is>
          <t>periodicPulse</t>
        </is>
      </c>
      <c r="O1438" s="9" t="inlineStr">
        <is>
          <t>轮转时，将 1 点体力转化为自身 3 点气血</t>
        </is>
      </c>
      <c r="P1438" s="9" t="inlineStr"/>
      <c r="Q1438" s="9" t="inlineStr"/>
      <c r="R1438" s="9" t="inlineStr">
        <is>
          <t>{"kind":"periodicPulse","periodicPulse":{"intervalSec":10,"label":"轮转时，将 1 点体力转化为自身 3 点气血","primaryStatCosts":[{"stat":"stamina","amount":1}],"primaryStatGains":[{"stat":"health","amount":3}]},"executionScope":"beast","visibilityScope":"beast"}</t>
        </is>
      </c>
    </row>
    <row r="1439" ht="32" customHeight="1">
      <c r="A1439" s="8" t="n">
        <v>500089</v>
      </c>
      <c r="B1439" s="8" t="inlineStr">
        <is>
          <t>嫩藤髓</t>
        </is>
      </c>
      <c r="C1439" s="8" t="inlineStr">
        <is>
          <t>材料</t>
        </is>
      </c>
      <c r="D1439" s="8" t="inlineStr">
        <is>
          <t>common</t>
        </is>
      </c>
      <c r="E1439" s="8" t="inlineStr">
        <is>
          <t>wood</t>
        </is>
      </c>
      <c r="F1439" s="8" t="n">
        <v>1</v>
      </c>
      <c r="G1439" s="8" t="inlineStr">
        <is>
          <t>基础/顶层</t>
        </is>
      </c>
      <c r="H1439" s="8" t="inlineStr"/>
      <c r="I1439" s="9" t="inlineStr"/>
      <c r="J1439" s="8" t="inlineStr"/>
      <c r="K1439" s="8" t="inlineStr"/>
      <c r="L1439" s="8" t="inlineStr"/>
      <c r="M1439" s="8" t="inlineStr">
        <is>
          <t>周期触发</t>
        </is>
      </c>
      <c r="N1439" s="8" t="inlineStr">
        <is>
          <t>periodicPulse</t>
        </is>
      </c>
      <c r="O1439" s="9" t="inlineStr">
        <is>
          <t>轮转时，将 1 点法力转化为自身 3 点气血</t>
        </is>
      </c>
      <c r="P1439" s="9" t="inlineStr"/>
      <c r="Q1439" s="9" t="inlineStr"/>
      <c r="R1439" s="9" t="inlineStr">
        <is>
          <t>{"kind":"periodicPulse","periodicPulse":{"intervalSec":10,"label":"轮转时，将 1 点法力转化为自身 3 点气血","primaryStatCosts":[{"stat":"mana","amount":1}],"primaryStatGains":[{"stat":"health","amount":3}]},"executionScope":"beast","visibilityScope":"beast"}</t>
        </is>
      </c>
    </row>
    <row r="1440" ht="32" customHeight="1">
      <c r="A1440" s="8" t="n">
        <v>500090</v>
      </c>
      <c r="B1440" s="8" t="inlineStr">
        <is>
          <t>砂甲片</t>
        </is>
      </c>
      <c r="C1440" s="8" t="inlineStr">
        <is>
          <t>材料</t>
        </is>
      </c>
      <c r="D1440" s="8" t="inlineStr">
        <is>
          <t>common</t>
        </is>
      </c>
      <c r="E1440" s="8" t="inlineStr">
        <is>
          <t>earth</t>
        </is>
      </c>
      <c r="F1440" s="8" t="n">
        <v>1</v>
      </c>
      <c r="G1440" s="8" t="inlineStr">
        <is>
          <t>基础/顶层</t>
        </is>
      </c>
      <c r="H1440" s="8" t="inlineStr"/>
      <c r="I1440" s="9" t="inlineStr"/>
      <c r="J1440" s="8" t="inlineStr"/>
      <c r="K1440" s="8" t="inlineStr"/>
      <c r="L1440" s="8" t="inlineStr"/>
      <c r="M1440" s="8" t="inlineStr">
        <is>
          <t>周期触发</t>
        </is>
      </c>
      <c r="N1440" s="8" t="inlineStr">
        <is>
          <t>periodicPulse</t>
        </is>
      </c>
      <c r="O1440" s="9" t="inlineStr">
        <is>
          <t>轮转时，吸取敌人 2 点体力</t>
        </is>
      </c>
      <c r="P1440" s="9" t="inlineStr"/>
      <c r="Q1440" s="9" t="inlineStr"/>
      <c r="R1440" s="9" t="inlineStr">
        <is>
          <t>{"kind":"periodicPulse","periodicPulse":{"intervalSec":12,"label":"&lt;battle&gt;轮转时，吸取敌人 2 点体力&lt;/battle&gt;","drainPrimaryStat":{"target":"enemy","stat":"stamina","amount":2}},"executionScope":"beast","visibilityScope":"beast"}</t>
        </is>
      </c>
    </row>
    <row r="1441" ht="32" customHeight="1">
      <c r="A1441" s="8" t="n">
        <v>500091</v>
      </c>
      <c r="B1441" s="8" t="inlineStr">
        <is>
          <t>土鼬牙</t>
        </is>
      </c>
      <c r="C1441" s="8" t="inlineStr">
        <is>
          <t>材料</t>
        </is>
      </c>
      <c r="D1441" s="8" t="inlineStr">
        <is>
          <t>common</t>
        </is>
      </c>
      <c r="E1441" s="8" t="inlineStr">
        <is>
          <t>earth</t>
        </is>
      </c>
      <c r="F1441" s="8" t="n">
        <v>1</v>
      </c>
      <c r="G1441" s="8" t="inlineStr">
        <is>
          <t>基础/顶层</t>
        </is>
      </c>
      <c r="H1441" s="8" t="inlineStr"/>
      <c r="I1441" s="9" t="inlineStr"/>
      <c r="J1441" s="8" t="inlineStr"/>
      <c r="K1441" s="8" t="inlineStr"/>
      <c r="L1441" s="8" t="inlineStr"/>
      <c r="M1441" s="8" t="inlineStr">
        <is>
          <t>周期触发</t>
        </is>
      </c>
      <c r="N1441" s="8" t="inlineStr">
        <is>
          <t>periodicPulse</t>
        </is>
      </c>
      <c r="O1441" s="9" t="inlineStr">
        <is>
          <t>轮转时，消耗 1 点体力，对敌方造成 2 点伤害</t>
        </is>
      </c>
      <c r="P1441" s="9" t="inlineStr"/>
      <c r="Q1441" s="9" t="inlineStr"/>
      <c r="R1441" s="9" t="inlineStr">
        <is>
          <t>{"kind":"periodicPulse","periodicPulse":{"intervalSec":10,"label":"轮转时，消耗 1 点体力，&lt;battle&gt;对敌方造成 2 点伤害&lt;/battle&gt;","primaryStatCosts":[{"stat":"stamina","amount":1}],"damageHealth":{"target":"enemy","amount":2}},"executionScope":"beast","visibilityScope":"beast"}</t>
        </is>
      </c>
    </row>
    <row r="1442" ht="32" customHeight="1">
      <c r="A1442" s="8" t="n">
        <v>500092</v>
      </c>
      <c r="B1442" s="8" t="inlineStr">
        <is>
          <t>掘砂前爪</t>
        </is>
      </c>
      <c r="C1442" s="8" t="inlineStr">
        <is>
          <t>材料</t>
        </is>
      </c>
      <c r="D1442" s="8" t="inlineStr">
        <is>
          <t>common</t>
        </is>
      </c>
      <c r="E1442" s="8" t="inlineStr">
        <is>
          <t>earth</t>
        </is>
      </c>
      <c r="F1442" s="8" t="n">
        <v>1</v>
      </c>
      <c r="G1442" s="8" t="inlineStr">
        <is>
          <t>基础/顶层</t>
        </is>
      </c>
      <c r="H1442" s="8" t="inlineStr"/>
      <c r="I1442" s="9" t="inlineStr"/>
      <c r="J1442" s="8" t="inlineStr"/>
      <c r="K1442" s="8" t="inlineStr"/>
      <c r="L1442" s="8" t="inlineStr"/>
      <c r="M1442" s="8" t="inlineStr">
        <is>
          <t>周期触发</t>
        </is>
      </c>
      <c r="N1442" s="8" t="inlineStr">
        <is>
          <t>periodicPulse</t>
        </is>
      </c>
      <c r="O1442" s="9" t="inlineStr">
        <is>
          <t>轮转时，对敌方造成 1 点伤害</t>
        </is>
      </c>
      <c r="P1442" s="9" t="inlineStr"/>
      <c r="Q1442" s="9" t="inlineStr"/>
      <c r="R1442" s="9" t="inlineStr">
        <is>
          <t>{"kind":"periodicPulse","periodicPulse":{"intervalSec":5,"label":"&lt;battle&gt;轮转时，对敌方造成 1 点伤害&lt;/battle&gt;","damageHealth":{"target":"enemy","amount":1}},"executionScope":"beast","visibilityScope":"beast"}</t>
        </is>
      </c>
    </row>
    <row r="1443" ht="32" customHeight="1">
      <c r="A1443" s="8" t="n">
        <v>500093</v>
      </c>
      <c r="B1443" s="8" t="inlineStr">
        <is>
          <t>白锋指骨</t>
        </is>
      </c>
      <c r="C1443" s="8" t="inlineStr">
        <is>
          <t>材料</t>
        </is>
      </c>
      <c r="D1443" s="8" t="inlineStr">
        <is>
          <t>common</t>
        </is>
      </c>
      <c r="E1443" s="8" t="inlineStr">
        <is>
          <t>metal</t>
        </is>
      </c>
      <c r="F1443" s="8" t="n">
        <v>1</v>
      </c>
      <c r="G1443" s="8" t="inlineStr">
        <is>
          <t>基础/顶层</t>
        </is>
      </c>
      <c r="H1443" s="8" t="inlineStr"/>
      <c r="I1443" s="9" t="inlineStr"/>
      <c r="J1443" s="8" t="inlineStr"/>
      <c r="K1443" s="8" t="inlineStr"/>
      <c r="L1443" s="8" t="inlineStr"/>
      <c r="M1443" s="8" t="inlineStr">
        <is>
          <t>周期触发</t>
        </is>
      </c>
      <c r="N1443" s="8" t="inlineStr">
        <is>
          <t>periodicPulse</t>
        </is>
      </c>
      <c r="O1443" s="9" t="inlineStr">
        <is>
          <t>轮转时，消耗 1 点法力，对敌方造成 4 点伤害</t>
        </is>
      </c>
      <c r="P1443" s="9" t="inlineStr"/>
      <c r="Q1443" s="9" t="inlineStr"/>
      <c r="R1443" s="9" t="inlineStr">
        <is>
          <t>{"kind":"periodicPulse","periodicPulse":{"intervalSec":10,"label":"轮转时，消耗 1 点法力，&lt;battle&gt;对敌方造成 4 点伤害&lt;/battle&gt;","primaryStatCosts":[{"stat":"mana","amount":1}],"damageHealth":{"target":"enemy","amount":4}},"executionScope":"beast","visibilityScope":"beast"}</t>
        </is>
      </c>
    </row>
    <row r="1444" ht="32" customHeight="1">
      <c r="A1444" s="8" t="n">
        <v>500094</v>
      </c>
      <c r="B1444" s="8" t="inlineStr">
        <is>
          <t>金猿臂筋</t>
        </is>
      </c>
      <c r="C1444" s="8" t="inlineStr">
        <is>
          <t>材料</t>
        </is>
      </c>
      <c r="D1444" s="8" t="inlineStr">
        <is>
          <t>common</t>
        </is>
      </c>
      <c r="E1444" s="8" t="inlineStr">
        <is>
          <t>metal</t>
        </is>
      </c>
      <c r="F1444" s="8" t="n">
        <v>1</v>
      </c>
      <c r="G1444" s="8" t="inlineStr">
        <is>
          <t>基础/顶层</t>
        </is>
      </c>
      <c r="H1444" s="8" t="inlineStr"/>
      <c r="I1444" s="9" t="inlineStr"/>
      <c r="J1444" s="8" t="inlineStr"/>
      <c r="K1444" s="8" t="inlineStr"/>
      <c r="L1444" s="8" t="inlineStr"/>
      <c r="M1444" s="8" t="inlineStr">
        <is>
          <t>周期触发</t>
        </is>
      </c>
      <c r="N1444" s="8" t="inlineStr">
        <is>
          <t>periodicPulse</t>
        </is>
      </c>
      <c r="O1444" s="9" t="inlineStr">
        <is>
          <t>轮转时，消耗 1 点体力，对敌方造成 1 点伤害</t>
        </is>
      </c>
      <c r="P1444" s="9" t="inlineStr"/>
      <c r="Q1444" s="9" t="inlineStr"/>
      <c r="R1444" s="9" t="inlineStr">
        <is>
          <t>{"kind":"periodicPulse","periodicPulse":{"intervalSec":8,"label":"轮转时，消耗 1 点体力，&lt;battle&gt;对敌方造成 1 点伤害&lt;/battle&gt;","primaryStatCosts":[{"stat":"stamina","amount":1}],"damageHealth":{"target":"enemy","amount":1}},"executionScope":"beast","visibilityScope":"beast"}</t>
        </is>
      </c>
    </row>
    <row r="1445" ht="32" customHeight="1">
      <c r="A1445" s="8" t="n">
        <v>500095</v>
      </c>
      <c r="B1445" s="8" t="inlineStr">
        <is>
          <t>裂石犬齿</t>
        </is>
      </c>
      <c r="C1445" s="8" t="inlineStr">
        <is>
          <t>材料</t>
        </is>
      </c>
      <c r="D1445" s="8" t="inlineStr">
        <is>
          <t>common</t>
        </is>
      </c>
      <c r="E1445" s="8" t="inlineStr">
        <is>
          <t>metal</t>
        </is>
      </c>
      <c r="F1445" s="8" t="n">
        <v>1</v>
      </c>
      <c r="G1445" s="8" t="inlineStr">
        <is>
          <t>基础/顶层</t>
        </is>
      </c>
      <c r="H1445" s="8" t="inlineStr"/>
      <c r="I1445" s="9" t="inlineStr"/>
      <c r="J1445" s="8" t="inlineStr"/>
      <c r="K1445" s="8" t="inlineStr"/>
      <c r="L1445" s="8" t="inlineStr"/>
      <c r="M1445" s="8" t="inlineStr">
        <is>
          <t>周期触发</t>
        </is>
      </c>
      <c r="N1445" s="8" t="inlineStr">
        <is>
          <t>periodicPulse</t>
        </is>
      </c>
      <c r="O1445" s="9" t="inlineStr">
        <is>
          <t>开局时，对敌方造成 3 点伤害</t>
        </is>
      </c>
      <c r="P1445" s="9" t="inlineStr"/>
      <c r="Q1445" s="9" t="inlineStr"/>
      <c r="R1445" s="9" t="inlineStr">
        <is>
          <t>{"kind":"periodicPulse","periodicPulse":{"label":"开局时，&lt;battle&gt;对敌方造成 3 点伤害&lt;/battle&gt;","startOnly":true,"damageHealth":{"target":"enemy","amount":3}},"executionScope":"beast","visibilityScope":"beast"}</t>
        </is>
      </c>
    </row>
    <row r="1446" ht="32" customHeight="1">
      <c r="A1446" s="8" t="n">
        <v>500096</v>
      </c>
      <c r="B1446" s="8" t="inlineStr">
        <is>
          <t>亮背毛</t>
        </is>
      </c>
      <c r="C1446" s="8" t="inlineStr">
        <is>
          <t>材料</t>
        </is>
      </c>
      <c r="D1446" s="8" t="inlineStr">
        <is>
          <t>common</t>
        </is>
      </c>
      <c r="E1446" s="8" t="inlineStr">
        <is>
          <t>metal</t>
        </is>
      </c>
      <c r="F1446" s="8" t="n">
        <v>1</v>
      </c>
      <c r="G1446" s="8" t="inlineStr">
        <is>
          <t>基础/顶层</t>
        </is>
      </c>
      <c r="H1446" s="8" t="inlineStr"/>
      <c r="I1446" s="9" t="inlineStr"/>
      <c r="J1446" s="8" t="inlineStr"/>
      <c r="K1446" s="8" t="inlineStr"/>
      <c r="L1446" s="8" t="inlineStr"/>
      <c r="M1446" s="8" t="inlineStr">
        <is>
          <t>周期触发</t>
        </is>
      </c>
      <c r="N1446" s="8" t="inlineStr">
        <is>
          <t>periodicPulse</t>
        </is>
      </c>
      <c r="O1446" s="9" t="inlineStr">
        <is>
          <t>开局时，获得 3 层护甲</t>
        </is>
      </c>
      <c r="P1446" s="9" t="inlineStr"/>
      <c r="Q1446" s="9" t="inlineStr"/>
      <c r="R1446" s="9" t="inlineStr">
        <is>
          <t>{"kind":"periodicPulse","periodicPulse":{"label":"开局时，获得 3 层护甲","startOnly":true,"buffGains":[{"buffId":"armor","count":3}]},"executionScope":"beast","visibilityScope":"beast"}</t>
        </is>
      </c>
    </row>
    <row r="1447" ht="32" customHeight="1">
      <c r="A1447" s="8" t="n">
        <v>500097</v>
      </c>
      <c r="B1447" s="8" t="inlineStr">
        <is>
          <t>墨涧皮</t>
        </is>
      </c>
      <c r="C1447" s="8" t="inlineStr">
        <is>
          <t>材料</t>
        </is>
      </c>
      <c r="D1447" s="8" t="inlineStr">
        <is>
          <t>common</t>
        </is>
      </c>
      <c r="E1447" s="8" t="inlineStr">
        <is>
          <t>water</t>
        </is>
      </c>
      <c r="F1447" s="8" t="n">
        <v>1</v>
      </c>
      <c r="G1447" s="8" t="inlineStr">
        <is>
          <t>基础/顶层</t>
        </is>
      </c>
      <c r="H1447" s="8" t="inlineStr"/>
      <c r="I1447" s="9" t="inlineStr"/>
      <c r="J1447" s="8" t="inlineStr"/>
      <c r="K1447" s="8" t="inlineStr"/>
      <c r="L1447" s="8" t="inlineStr"/>
      <c r="M1447" s="8" t="inlineStr">
        <is>
          <t>周期触发</t>
        </is>
      </c>
      <c r="N1447" s="8" t="inlineStr">
        <is>
          <t>periodicPulse</t>
        </is>
      </c>
      <c r="O1447" s="9" t="inlineStr">
        <is>
          <t>轮转时，将 3 点法力转化为自身 5 点气血</t>
        </is>
      </c>
      <c r="P1447" s="9" t="inlineStr"/>
      <c r="Q1447" s="9" t="inlineStr"/>
      <c r="R1447" s="9" t="inlineStr">
        <is>
          <t>{"kind":"periodicPulse","periodicPulse":{"intervalSec":8,"label":"轮转时，将 3 点法力转化为自身 5 点气血","primaryStatCosts":[{"stat":"mana","amount":3}],"primaryStatGains":[{"stat":"health","amount":5}]},"executionScope":"beast","visibilityScope":"beast"}</t>
        </is>
      </c>
    </row>
    <row r="1448" ht="32" customHeight="1">
      <c r="A1448" s="8" t="n">
        <v>500098</v>
      </c>
      <c r="B1448" s="8" t="inlineStr">
        <is>
          <t>汲法须</t>
        </is>
      </c>
      <c r="C1448" s="8" t="inlineStr">
        <is>
          <t>材料</t>
        </is>
      </c>
      <c r="D1448" s="8" t="inlineStr">
        <is>
          <t>common</t>
        </is>
      </c>
      <c r="E1448" s="8" t="inlineStr">
        <is>
          <t>water</t>
        </is>
      </c>
      <c r="F1448" s="8" t="n">
        <v>1</v>
      </c>
      <c r="G1448" s="8" t="inlineStr">
        <is>
          <t>基础/顶层</t>
        </is>
      </c>
      <c r="H1448" s="8" t="inlineStr"/>
      <c r="I1448" s="9" t="inlineStr"/>
      <c r="J1448" s="8" t="inlineStr"/>
      <c r="K1448" s="8" t="inlineStr"/>
      <c r="L1448" s="8" t="inlineStr"/>
      <c r="M1448" s="8" t="inlineStr">
        <is>
          <t>周期触发</t>
        </is>
      </c>
      <c r="N1448" s="8" t="inlineStr">
        <is>
          <t>periodicPulse</t>
        </is>
      </c>
      <c r="O1448" s="9" t="inlineStr">
        <is>
          <t>轮转时，吸取敌人 1 点法力</t>
        </is>
      </c>
      <c r="P1448" s="9" t="inlineStr"/>
      <c r="Q1448" s="9" t="inlineStr"/>
      <c r="R1448" s="9" t="inlineStr">
        <is>
          <t>{"kind":"periodicPulse","periodicPulse":{"intervalSec":5,"label":"&lt;battle&gt;轮转时，吸取敌人 1 点法力&lt;/battle&gt;","drainPrimaryStat":{"target":"enemy","stat":"mana","amount":1}},"executionScope":"beast","visibilityScope":"beast"}</t>
        </is>
      </c>
    </row>
    <row r="1449" ht="32" customHeight="1">
      <c r="A1449" s="8" t="n">
        <v>500099</v>
      </c>
      <c r="B1449" s="8" t="inlineStr">
        <is>
          <t>湿石爪</t>
        </is>
      </c>
      <c r="C1449" s="8" t="inlineStr">
        <is>
          <t>材料</t>
        </is>
      </c>
      <c r="D1449" s="8" t="inlineStr">
        <is>
          <t>common</t>
        </is>
      </c>
      <c r="E1449" s="8" t="inlineStr">
        <is>
          <t>water</t>
        </is>
      </c>
      <c r="F1449" s="8" t="n">
        <v>1</v>
      </c>
      <c r="G1449" s="8" t="inlineStr">
        <is>
          <t>基础/顶层</t>
        </is>
      </c>
      <c r="H1449" s="8" t="inlineStr"/>
      <c r="I1449" s="9" t="inlineStr"/>
      <c r="J1449" s="8" t="inlineStr"/>
      <c r="K1449" s="8" t="inlineStr"/>
      <c r="L1449" s="8" t="inlineStr"/>
      <c r="M1449" s="8" t="inlineStr">
        <is>
          <t>周期触发</t>
        </is>
      </c>
      <c r="N1449" s="8" t="inlineStr">
        <is>
          <t>periodicPulse</t>
        </is>
      </c>
      <c r="O1449" s="9" t="inlineStr">
        <is>
          <t>轮转时，对敌方造成 1 点伤害</t>
        </is>
      </c>
      <c r="P1449" s="9" t="inlineStr"/>
      <c r="Q1449" s="9" t="inlineStr"/>
      <c r="R1449" s="9" t="inlineStr">
        <is>
          <t>{"kind":"periodicPulse","periodicPulse":{"intervalSec":4,"label":"&lt;battle&gt;轮转时，对敌方造成 1 点伤害&lt;/battle&gt;","damageHealth":{"target":"enemy","amount":1}},"executionScope":"beast","visibilityScope":"beast"}</t>
        </is>
      </c>
    </row>
    <row r="1450" ht="32" customHeight="1">
      <c r="A1450" s="8" t="n">
        <v>500100</v>
      </c>
      <c r="B1450" s="8" t="inlineStr">
        <is>
          <t>回潮尾</t>
        </is>
      </c>
      <c r="C1450" s="8" t="inlineStr">
        <is>
          <t>材料</t>
        </is>
      </c>
      <c r="D1450" s="8" t="inlineStr">
        <is>
          <t>common</t>
        </is>
      </c>
      <c r="E1450" s="8" t="inlineStr">
        <is>
          <t>water</t>
        </is>
      </c>
      <c r="F1450" s="8" t="n">
        <v>1</v>
      </c>
      <c r="G1450" s="8" t="inlineStr">
        <is>
          <t>基础/顶层</t>
        </is>
      </c>
      <c r="H1450" s="8" t="inlineStr"/>
      <c r="I1450" s="9" t="inlineStr"/>
      <c r="J1450" s="8" t="inlineStr"/>
      <c r="K1450" s="8" t="inlineStr"/>
      <c r="L1450" s="8" t="inlineStr"/>
      <c r="M1450" s="8" t="inlineStr">
        <is>
          <t>周期触发</t>
        </is>
      </c>
      <c r="N1450" s="8" t="inlineStr">
        <is>
          <t>periodicPulse</t>
        </is>
      </c>
      <c r="O1450" s="9" t="inlineStr">
        <is>
          <t>开局时，获得 5 层闪避</t>
        </is>
      </c>
      <c r="P1450" s="9" t="inlineStr"/>
      <c r="Q1450" s="9" t="inlineStr"/>
      <c r="R1450" s="9" t="inlineStr">
        <is>
          <t>{"kind":"periodicPulse","periodicPulse":{"label":"开局时，获得 5 层闪避","startOnly":true,"buffGains":[{"buffId":"dodge","count":5}]},"executionScope":"beast","visibilityScope":"beast"}</t>
        </is>
      </c>
    </row>
    <row r="1451" ht="32" customHeight="1">
      <c r="A1451" s="8" t="n">
        <v>500101</v>
      </c>
      <c r="B1451" s="8" t="inlineStr">
        <is>
          <t>绛尾毛</t>
        </is>
      </c>
      <c r="C1451" s="8" t="inlineStr">
        <is>
          <t>材料</t>
        </is>
      </c>
      <c r="D1451" s="8" t="inlineStr">
        <is>
          <t>common</t>
        </is>
      </c>
      <c r="E1451" s="8" t="inlineStr">
        <is>
          <t>fire</t>
        </is>
      </c>
      <c r="F1451" s="8" t="n">
        <v>1</v>
      </c>
      <c r="G1451" s="8" t="inlineStr">
        <is>
          <t>基础/顶层</t>
        </is>
      </c>
      <c r="H1451" s="8" t="inlineStr"/>
      <c r="I1451" s="9" t="inlineStr"/>
      <c r="J1451" s="8" t="inlineStr"/>
      <c r="K1451" s="8" t="inlineStr"/>
      <c r="L1451" s="8" t="inlineStr"/>
      <c r="M1451" s="8" t="inlineStr">
        <is>
          <t>周期触发</t>
        </is>
      </c>
      <c r="N1451" s="8" t="inlineStr">
        <is>
          <t>periodicPulse</t>
        </is>
      </c>
      <c r="O1451" s="9" t="inlineStr">
        <is>
          <t>轮转时，对敌方施加 1 层灼烧</t>
        </is>
      </c>
      <c r="P1451" s="9" t="inlineStr"/>
      <c r="Q1451" s="9" t="inlineStr"/>
      <c r="R1451" s="9" t="inlineStr">
        <is>
          <t>{"kind":"periodicPulse","periodicPulse":{"intervalSec":7,"label":"轮转时，对敌方施加 1 层灼烧","buffGains":[{"buffId":"burning","count":1,"target":"enemy"}]},"executionScope":"beast","visibilityScope":"beast"}</t>
        </is>
      </c>
    </row>
    <row r="1452" ht="32" customHeight="1">
      <c r="A1452" s="8" t="n">
        <v>500102</v>
      </c>
      <c r="B1452" s="8" t="inlineStr">
        <is>
          <t>狐焰齿</t>
        </is>
      </c>
      <c r="C1452" s="8" t="inlineStr">
        <is>
          <t>材料</t>
        </is>
      </c>
      <c r="D1452" s="8" t="inlineStr">
        <is>
          <t>common</t>
        </is>
      </c>
      <c r="E1452" s="8" t="inlineStr">
        <is>
          <t>fire</t>
        </is>
      </c>
      <c r="F1452" s="8" t="n">
        <v>1</v>
      </c>
      <c r="G1452" s="8" t="inlineStr">
        <is>
          <t>基础/顶层</t>
        </is>
      </c>
      <c r="H1452" s="8" t="inlineStr"/>
      <c r="I1452" s="9" t="inlineStr"/>
      <c r="J1452" s="8" t="inlineStr"/>
      <c r="K1452" s="8" t="inlineStr"/>
      <c r="L1452" s="8" t="inlineStr"/>
      <c r="M1452" s="8" t="inlineStr">
        <is>
          <t>周期触发</t>
        </is>
      </c>
      <c r="N1452" s="8" t="inlineStr">
        <is>
          <t>periodicPulse</t>
        </is>
      </c>
      <c r="O1452" s="9" t="inlineStr">
        <is>
          <t>轮转时，消耗 3 点法力，并消耗敌方 1 层灼烧，敌方每有 1 层灼烧就对其造成 1 点伤害</t>
        </is>
      </c>
      <c r="P1452" s="9" t="inlineStr"/>
      <c r="Q1452" s="9" t="inlineStr"/>
      <c r="R1452" s="9" t="inlineStr">
        <is>
          <t>{"kind":"periodicPulse","periodicPulse":{"intervalSec":10,"label":"轮转时，消耗 3 点法力，&lt;battle&gt;并消耗敌方 1 层灼烧，敌方每有 1 层灼烧就对其造成 1 点伤害&lt;/battle&gt;","primaryStatCosts":[{"stat":"mana","amount":3}],"damageHealth":{"target":"enemy","amount":0,"amountPerTargetBuffStack":{"buffId":"burning","valuePerStack":1},"removeTargetBuffStacksAfterDamage":{"buffId":"burning","count":1}}},"executionScope":"beast","visibilityScope":"beast"}</t>
        </is>
      </c>
    </row>
    <row r="1453" ht="32" customHeight="1">
      <c r="A1453" s="8" t="n">
        <v>500103</v>
      </c>
      <c r="B1453" s="8" t="inlineStr">
        <is>
          <t>焦耳</t>
        </is>
      </c>
      <c r="C1453" s="8" t="inlineStr">
        <is>
          <t>材料</t>
        </is>
      </c>
      <c r="D1453" s="8" t="inlineStr">
        <is>
          <t>common</t>
        </is>
      </c>
      <c r="E1453" s="8" t="inlineStr">
        <is>
          <t>fire</t>
        </is>
      </c>
      <c r="F1453" s="8" t="n">
        <v>1</v>
      </c>
      <c r="G1453" s="8" t="inlineStr">
        <is>
          <t>基础/顶层</t>
        </is>
      </c>
      <c r="H1453" s="8" t="inlineStr"/>
      <c r="I1453" s="9" t="inlineStr"/>
      <c r="J1453" s="8" t="inlineStr"/>
      <c r="K1453" s="8" t="inlineStr"/>
      <c r="L1453" s="8" t="inlineStr"/>
      <c r="M1453" s="8" t="inlineStr">
        <is>
          <t>周期触发</t>
        </is>
      </c>
      <c r="N1453" s="8" t="inlineStr">
        <is>
          <t>periodicPulse</t>
        </is>
      </c>
      <c r="O1453" s="9" t="inlineStr">
        <is>
          <t>轮转时，获得 1 层炎热</t>
        </is>
      </c>
      <c r="P1453" s="9" t="inlineStr"/>
      <c r="Q1453" s="9" t="inlineStr"/>
      <c r="R1453" s="9" t="inlineStr">
        <is>
          <t>{"kind":"periodicPulse","periodicPulse":{"intervalSec":10,"label":"轮转时，获得 1 层炎热","buffGains":[{"buffId":"heat","count":1}]},"label":"轮转时，获得 1 层炎热","executionScope":"beast","visibilityScope":"beast"}</t>
        </is>
      </c>
    </row>
    <row r="1454" ht="32" customHeight="1">
      <c r="A1454" s="8" t="n">
        <v>500104</v>
      </c>
      <c r="B1454" s="8" t="inlineStr">
        <is>
          <t>赤焰爪</t>
        </is>
      </c>
      <c r="C1454" s="8" t="inlineStr">
        <is>
          <t>材料</t>
        </is>
      </c>
      <c r="D1454" s="8" t="inlineStr">
        <is>
          <t>common</t>
        </is>
      </c>
      <c r="E1454" s="8" t="inlineStr">
        <is>
          <t>fire</t>
        </is>
      </c>
      <c r="F1454" s="8" t="n">
        <v>1</v>
      </c>
      <c r="G1454" s="8" t="inlineStr">
        <is>
          <t>基础/顶层</t>
        </is>
      </c>
      <c r="H1454" s="8" t="inlineStr"/>
      <c r="I1454" s="9" t="inlineStr"/>
      <c r="J1454" s="8" t="inlineStr"/>
      <c r="K1454" s="8" t="inlineStr"/>
      <c r="L1454" s="8" t="inlineStr"/>
      <c r="M1454" s="8" t="inlineStr">
        <is>
          <t>周期触发</t>
        </is>
      </c>
      <c r="N1454" s="8" t="inlineStr">
        <is>
          <t>periodicPulse</t>
        </is>
      </c>
      <c r="O1454" s="9" t="inlineStr">
        <is>
          <t>轮转时，将 3 点法力与每 1 层炎热转化为 3 点气血</t>
        </is>
      </c>
      <c r="P1454" s="9" t="inlineStr"/>
      <c r="Q1454" s="9" t="inlineStr"/>
      <c r="R1454" s="9" t="inlineStr">
        <is>
          <t>{"kind":"periodicPulse","periodicPulse":{"intervalSec":20,"label":"轮转时，将 3 点法力与每 1 层炎热转化为 3 点气血","primaryStatCosts":[{"stat":"mana","amount":3}],"primaryStatGainPerBuffStack":{"buffId":"heat","stat":"health","valuePerStack":3}},"executionScope":"beast","visibilityScope":"beast"}</t>
        </is>
      </c>
    </row>
    <row r="1455" ht="32" customHeight="1">
      <c r="A1455" s="8" t="n">
        <v>500105</v>
      </c>
      <c r="B1455" s="8" t="inlineStr">
        <is>
          <t>铁脊甲</t>
        </is>
      </c>
      <c r="C1455" s="8" t="inlineStr">
        <is>
          <t>材料</t>
        </is>
      </c>
      <c r="D1455" s="8" t="inlineStr">
        <is>
          <t>common</t>
        </is>
      </c>
      <c r="E1455" s="8" t="inlineStr">
        <is>
          <t>earth</t>
        </is>
      </c>
      <c r="F1455" s="8" t="n">
        <v>1</v>
      </c>
      <c r="G1455" s="8" t="inlineStr">
        <is>
          <t>基础/顶层</t>
        </is>
      </c>
      <c r="H1455" s="8" t="inlineStr"/>
      <c r="I1455" s="9" t="inlineStr"/>
      <c r="J1455" s="8" t="inlineStr"/>
      <c r="K1455" s="8" t="inlineStr"/>
      <c r="L1455" s="8" t="inlineStr"/>
      <c r="M1455" s="8" t="inlineStr">
        <is>
          <t>周期触发</t>
        </is>
      </c>
      <c r="N1455" s="8" t="inlineStr">
        <is>
          <t>periodicPulse</t>
        </is>
      </c>
      <c r="O1455" s="9" t="inlineStr">
        <is>
          <t>轮转时，恢复自身 5 点气血</t>
        </is>
      </c>
      <c r="P1455" s="9" t="inlineStr"/>
      <c r="Q1455" s="9" t="inlineStr"/>
      <c r="R1455" s="9" t="inlineStr">
        <is>
          <t>{"kind":"periodicPulse","periodicPulse":{"intervalSec":10,"label":"轮转时，恢复自身 5 点气血","primaryStatGains":[{"stat":"health","amount":5}]},"executionScope":"beast","visibilityScope":"beast"}</t>
        </is>
      </c>
    </row>
    <row r="1456" ht="32" customHeight="1">
      <c r="A1456" s="8" t="n">
        <v>500106</v>
      </c>
      <c r="B1456" s="8" t="inlineStr">
        <is>
          <t>岩蜥牙</t>
        </is>
      </c>
      <c r="C1456" s="8" t="inlineStr">
        <is>
          <t>材料</t>
        </is>
      </c>
      <c r="D1456" s="8" t="inlineStr">
        <is>
          <t>common</t>
        </is>
      </c>
      <c r="E1456" s="8" t="inlineStr">
        <is>
          <t>earth</t>
        </is>
      </c>
      <c r="F1456" s="8" t="n">
        <v>1</v>
      </c>
      <c r="G1456" s="8" t="inlineStr">
        <is>
          <t>基础/顶层</t>
        </is>
      </c>
      <c r="H1456" s="8" t="inlineStr"/>
      <c r="I1456" s="9" t="inlineStr"/>
      <c r="J1456" s="8" t="inlineStr"/>
      <c r="K1456" s="8" t="inlineStr"/>
      <c r="L1456" s="8" t="inlineStr"/>
      <c r="M1456" s="8" t="inlineStr">
        <is>
          <t>周期触发</t>
        </is>
      </c>
      <c r="N1456" s="8" t="inlineStr">
        <is>
          <t>periodicPulse</t>
        </is>
      </c>
      <c r="O1456" s="9" t="inlineStr">
        <is>
          <t>轮转时，对敌方造成 1 点伤害</t>
        </is>
      </c>
      <c r="P1456" s="9" t="inlineStr"/>
      <c r="Q1456" s="9" t="inlineStr"/>
      <c r="R1456" s="9" t="inlineStr">
        <is>
          <t>{"kind":"periodicPulse","periodicPulse":{"intervalSec":6,"label":"&lt;battle&gt;轮转时，对敌方造成 1 点伤害&lt;/battle&gt;","damageHealth":{"target":"enemy","amount":1}},"executionScope":"beast","visibilityScope":"beast"}</t>
        </is>
      </c>
    </row>
    <row r="1457" ht="32" customHeight="1">
      <c r="A1457" s="8" t="n">
        <v>500107</v>
      </c>
      <c r="B1457" s="8" t="inlineStr">
        <is>
          <t>裂岩尾</t>
        </is>
      </c>
      <c r="C1457" s="8" t="inlineStr">
        <is>
          <t>材料</t>
        </is>
      </c>
      <c r="D1457" s="8" t="inlineStr">
        <is>
          <t>common</t>
        </is>
      </c>
      <c r="E1457" s="8" t="inlineStr">
        <is>
          <t>earth</t>
        </is>
      </c>
      <c r="F1457" s="8" t="n">
        <v>1</v>
      </c>
      <c r="G1457" s="8" t="inlineStr">
        <is>
          <t>基础/顶层</t>
        </is>
      </c>
      <c r="H1457" s="8" t="inlineStr"/>
      <c r="I1457" s="9" t="inlineStr"/>
      <c r="J1457" s="8" t="inlineStr"/>
      <c r="K1457" s="8" t="inlineStr"/>
      <c r="L1457" s="8" t="inlineStr"/>
      <c r="M1457" s="8" t="inlineStr">
        <is>
          <t>周期触发</t>
        </is>
      </c>
      <c r="N1457" s="8" t="inlineStr">
        <is>
          <t>periodicPulse</t>
        </is>
      </c>
      <c r="O1457" s="9" t="inlineStr">
        <is>
          <t>轮转时，消耗 2 点体力，对敌方造成 4 点伤害</t>
        </is>
      </c>
      <c r="P1457" s="9" t="inlineStr"/>
      <c r="Q1457" s="9" t="inlineStr"/>
      <c r="R1457" s="9" t="inlineStr">
        <is>
          <t>{"kind":"periodicPulse","periodicPulse":{"intervalSec":8,"label":"轮转时，消耗 2 点体力，&lt;battle&gt;对敌方造成 4 点伤害&lt;/battle&gt;","primaryStatCosts":[{"stat":"stamina","amount":2}],"damageHealth":{"target":"enemy","amount":4}},"executionScope":"beast","visibilityScope":"beast"}</t>
        </is>
      </c>
    </row>
    <row r="1458" ht="32" customHeight="1">
      <c r="A1458" s="8" t="n">
        <v>500108</v>
      </c>
      <c r="B1458" s="8" t="inlineStr">
        <is>
          <t>厚趾</t>
        </is>
      </c>
      <c r="C1458" s="8" t="inlineStr">
        <is>
          <t>材料</t>
        </is>
      </c>
      <c r="D1458" s="8" t="inlineStr">
        <is>
          <t>common</t>
        </is>
      </c>
      <c r="E1458" s="8" t="inlineStr">
        <is>
          <t>earth</t>
        </is>
      </c>
      <c r="F1458" s="8" t="n">
        <v>1</v>
      </c>
      <c r="G1458" s="8" t="inlineStr">
        <is>
          <t>基础/顶层</t>
        </is>
      </c>
      <c r="H1458" s="8" t="inlineStr"/>
      <c r="I1458" s="9" t="inlineStr"/>
      <c r="J1458" s="8" t="inlineStr"/>
      <c r="K1458" s="8" t="inlineStr"/>
      <c r="L1458" s="8" t="inlineStr"/>
      <c r="M1458" s="8" t="inlineStr">
        <is>
          <t>周期触发</t>
        </is>
      </c>
      <c r="N1458" s="8" t="inlineStr">
        <is>
          <t>periodicPulse</t>
        </is>
      </c>
      <c r="O1458" s="9" t="inlineStr">
        <is>
          <t>轮转时，扣除敌方 2 点体力
扣除敌方 1 点法力</t>
        </is>
      </c>
      <c r="P1458" s="9" t="inlineStr"/>
      <c r="Q1458" s="9" t="inlineStr"/>
      <c r="R1458" s="9" t="inlineStr">
        <is>
          <t>{"kind":"periodicPulse","periodicPulse":{"intervalSec":7,"label":"&lt;battle&gt;轮转时，扣除敌方 2 点体力&lt;/battle&gt;\n&lt;battle&gt;扣除敌方 1 点法力&lt;/battle&gt;","primaryStatDamages":[{"target":"enemy","stat":"stamina","amount":2},{"target":"enemy","stat":"mana","amount":1}]},"executionScope":"beast","visibilityScope":"beast"}</t>
        </is>
      </c>
    </row>
    <row r="1459" ht="32" customHeight="1">
      <c r="A1459" s="8" t="n">
        <v>500109</v>
      </c>
      <c r="B1459" s="8" t="inlineStr">
        <is>
          <t>青枝臂骨</t>
        </is>
      </c>
      <c r="C1459" s="8" t="inlineStr">
        <is>
          <t>材料</t>
        </is>
      </c>
      <c r="D1459" s="8" t="inlineStr">
        <is>
          <t>common</t>
        </is>
      </c>
      <c r="E1459" s="8" t="inlineStr">
        <is>
          <t>wood</t>
        </is>
      </c>
      <c r="F1459" s="8" t="n">
        <v>1</v>
      </c>
      <c r="G1459" s="8" t="inlineStr">
        <is>
          <t>基础/顶层</t>
        </is>
      </c>
      <c r="H1459" s="8" t="inlineStr"/>
      <c r="I1459" s="9" t="inlineStr"/>
      <c r="J1459" s="8" t="inlineStr"/>
      <c r="K1459" s="8" t="inlineStr"/>
      <c r="L1459" s="8" t="inlineStr"/>
      <c r="M1459" s="8" t="inlineStr">
        <is>
          <t>周期触发</t>
        </is>
      </c>
      <c r="N1459" s="8" t="inlineStr">
        <is>
          <t>periodicPulse</t>
        </is>
      </c>
      <c r="O1459" s="9" t="inlineStr">
        <is>
          <t>轮转时，每有 1 点法力，对敌方造成 1 点伤害</t>
        </is>
      </c>
      <c r="P1459" s="9" t="inlineStr"/>
      <c r="Q1459" s="9" t="inlineStr"/>
      <c r="R1459" s="9" t="inlineStr">
        <is>
          <t>{"kind":"periodicPulse","periodicPulse":{"intervalSec":8,"label":"轮转时，每有 1 点法力，&lt;battle&gt;对敌方造成 1 点伤害&lt;/battle&gt;","damageHealth":{"target":"enemy","amount":0,"amountPerSourcePrimaryStat":{"stat":"mana","valuePerPoint":1}}},"executionScope":"beast","visibilityScope":"beast"}</t>
        </is>
      </c>
    </row>
    <row r="1460" ht="32" customHeight="1">
      <c r="A1460" s="8" t="n">
        <v>500110</v>
      </c>
      <c r="B1460" s="8" t="inlineStr">
        <is>
          <t>藤纹尾</t>
        </is>
      </c>
      <c r="C1460" s="8" t="inlineStr">
        <is>
          <t>材料</t>
        </is>
      </c>
      <c r="D1460" s="8" t="inlineStr">
        <is>
          <t>common</t>
        </is>
      </c>
      <c r="E1460" s="8" t="inlineStr">
        <is>
          <t>wood</t>
        </is>
      </c>
      <c r="F1460" s="8" t="n">
        <v>1</v>
      </c>
      <c r="G1460" s="8" t="inlineStr">
        <is>
          <t>基础/顶层</t>
        </is>
      </c>
      <c r="H1460" s="8" t="inlineStr"/>
      <c r="I1460" s="9" t="inlineStr"/>
      <c r="J1460" s="8" t="inlineStr"/>
      <c r="K1460" s="8" t="inlineStr"/>
      <c r="L1460" s="8" t="inlineStr"/>
      <c r="M1460" s="8" t="inlineStr">
        <is>
          <t>周期触发</t>
        </is>
      </c>
      <c r="N1460" s="8" t="inlineStr">
        <is>
          <t>periodicPulse</t>
        </is>
      </c>
      <c r="O1460" s="9" t="inlineStr">
        <is>
          <t>轮转时，消耗 1 点体力，吸取敌人 1 点法力</t>
        </is>
      </c>
      <c r="P1460" s="9" t="inlineStr"/>
      <c r="Q1460" s="9" t="inlineStr"/>
      <c r="R1460" s="9" t="inlineStr">
        <is>
          <t>{"kind":"periodicPulse","periodicPulse":{"intervalSec":7,"label":"轮转时，消耗 1 点体力，&lt;battle&gt;吸取敌人 1 点法力&lt;/battle&gt;","primaryStatCosts":[{"stat":"stamina","amount":1}],"drainPrimaryStat":{"target":"enemy","stat":"mana","amount":1}},"executionScope":"beast","visibilityScope":"beast"}</t>
        </is>
      </c>
    </row>
    <row r="1461" ht="32" customHeight="1">
      <c r="A1461" s="8" t="n">
        <v>500111</v>
      </c>
      <c r="B1461" s="8" t="inlineStr">
        <is>
          <t>嫩叶囊</t>
        </is>
      </c>
      <c r="C1461" s="8" t="inlineStr">
        <is>
          <t>材料</t>
        </is>
      </c>
      <c r="D1461" s="8" t="inlineStr">
        <is>
          <t>common</t>
        </is>
      </c>
      <c r="E1461" s="8" t="inlineStr">
        <is>
          <t>wood</t>
        </is>
      </c>
      <c r="F1461" s="8" t="n">
        <v>1</v>
      </c>
      <c r="G1461" s="8" t="inlineStr">
        <is>
          <t>基础/顶层</t>
        </is>
      </c>
      <c r="H1461" s="8" t="inlineStr"/>
      <c r="I1461" s="9" t="inlineStr"/>
      <c r="J1461" s="8" t="inlineStr"/>
      <c r="K1461" s="8" t="inlineStr"/>
      <c r="L1461" s="8" t="inlineStr"/>
      <c r="M1461" s="8" t="inlineStr">
        <is>
          <t>周期触发</t>
        </is>
      </c>
      <c r="N1461" s="8" t="inlineStr">
        <is>
          <t>periodicPulse</t>
        </is>
      </c>
      <c r="O1461" s="9" t="inlineStr">
        <is>
          <t>轮转时，恢复自身 1 点气血</t>
        </is>
      </c>
      <c r="P1461" s="9" t="inlineStr"/>
      <c r="Q1461" s="9" t="inlineStr"/>
      <c r="R1461" s="9" t="inlineStr">
        <is>
          <t>{"kind":"periodicPulse","periodicPulse":{"intervalSec":6,"label":"轮转时，恢复自身 1 点气血","primaryStatGains":[{"stat":"health","amount":1}]},"executionScope":"beast","visibilityScope":"beast"}</t>
        </is>
      </c>
    </row>
    <row r="1462" ht="32" customHeight="1">
      <c r="A1462" s="8" t="n">
        <v>500112</v>
      </c>
      <c r="B1462" s="8" t="inlineStr">
        <is>
          <t>灵猕掌</t>
        </is>
      </c>
      <c r="C1462" s="8" t="inlineStr">
        <is>
          <t>材料</t>
        </is>
      </c>
      <c r="D1462" s="8" t="inlineStr">
        <is>
          <t>common</t>
        </is>
      </c>
      <c r="E1462" s="8" t="inlineStr">
        <is>
          <t>wood</t>
        </is>
      </c>
      <c r="F1462" s="8" t="n">
        <v>1</v>
      </c>
      <c r="G1462" s="8" t="inlineStr">
        <is>
          <t>基础/顶层</t>
        </is>
      </c>
      <c r="H1462" s="8" t="inlineStr"/>
      <c r="I1462" s="9" t="inlineStr"/>
      <c r="J1462" s="8" t="inlineStr"/>
      <c r="K1462" s="8" t="inlineStr"/>
      <c r="L1462" s="8" t="inlineStr"/>
      <c r="M1462" s="8" t="inlineStr">
        <is>
          <t>周期触发</t>
        </is>
      </c>
      <c r="N1462" s="8" t="inlineStr">
        <is>
          <t>periodicPulse</t>
        </is>
      </c>
      <c r="O1462" s="9" t="inlineStr">
        <is>
          <t>轮转时，对敌方造成 1 点伤害</t>
        </is>
      </c>
      <c r="P1462" s="9" t="inlineStr"/>
      <c r="Q1462" s="9" t="inlineStr"/>
      <c r="R1462" s="9" t="inlineStr">
        <is>
          <t>{"kind":"periodicPulse","periodicPulse":{"intervalSec":6,"label":"&lt;battle&gt;轮转时，对敌方造成 1 点伤害&lt;/battle&gt;","damageHealth":{"target":"enemy","amount":1}},"executionScope":"beast","visibilityScope":"beast"}</t>
        </is>
      </c>
    </row>
    <row r="1463" ht="32" customHeight="1">
      <c r="A1463" s="8" t="n">
        <v>500113</v>
      </c>
      <c r="B1463" s="8" t="inlineStr">
        <is>
          <t>白眉须</t>
        </is>
      </c>
      <c r="C1463" s="8" t="inlineStr">
        <is>
          <t>材料</t>
        </is>
      </c>
      <c r="D1463" s="8" t="inlineStr">
        <is>
          <t>common</t>
        </is>
      </c>
      <c r="E1463" s="8" t="inlineStr">
        <is>
          <t>metal</t>
        </is>
      </c>
      <c r="F1463" s="8" t="n">
        <v>1</v>
      </c>
      <c r="G1463" s="8" t="inlineStr">
        <is>
          <t>基础/顶层</t>
        </is>
      </c>
      <c r="H1463" s="8" t="inlineStr"/>
      <c r="I1463" s="9" t="inlineStr"/>
      <c r="J1463" s="8" t="inlineStr"/>
      <c r="K1463" s="8" t="inlineStr"/>
      <c r="L1463" s="8" t="inlineStr"/>
      <c r="M1463" s="8" t="inlineStr">
        <is>
          <t>周期触发</t>
        </is>
      </c>
      <c r="N1463" s="8" t="inlineStr">
        <is>
          <t>periodicPulse</t>
        </is>
      </c>
      <c r="O1463" s="9" t="inlineStr">
        <is>
          <t>开局时，获得 3 层闪避</t>
        </is>
      </c>
      <c r="P1463" s="9" t="inlineStr"/>
      <c r="Q1463" s="9" t="inlineStr"/>
      <c r="R1463" s="9" t="inlineStr">
        <is>
          <t>{"kind":"periodicPulse","periodicPulse":{"label":"开局时，获得 3 层闪避","startOnly":true,"buffGains":[{"buffId":"dodge","count":3}]},"executionScope":"beast","visibilityScope":"beast"}</t>
        </is>
      </c>
    </row>
    <row r="1464" ht="32" customHeight="1">
      <c r="A1464" s="8" t="n">
        <v>500114</v>
      </c>
      <c r="B1464" s="8" t="inlineStr">
        <is>
          <t>识鼠齿</t>
        </is>
      </c>
      <c r="C1464" s="8" t="inlineStr">
        <is>
          <t>材料</t>
        </is>
      </c>
      <c r="D1464" s="8" t="inlineStr">
        <is>
          <t>common</t>
        </is>
      </c>
      <c r="E1464" s="8" t="inlineStr">
        <is>
          <t>metal</t>
        </is>
      </c>
      <c r="F1464" s="8" t="n">
        <v>1</v>
      </c>
      <c r="G1464" s="8" t="inlineStr">
        <is>
          <t>基础/顶层</t>
        </is>
      </c>
      <c r="H1464" s="8" t="inlineStr"/>
      <c r="I1464" s="9" t="inlineStr"/>
      <c r="J1464" s="8" t="inlineStr"/>
      <c r="K1464" s="8" t="inlineStr"/>
      <c r="L1464" s="8" t="inlineStr"/>
      <c r="M1464" s="8" t="inlineStr">
        <is>
          <t>周期触发</t>
        </is>
      </c>
      <c r="N1464" s="8" t="inlineStr">
        <is>
          <t>periodicPulse</t>
        </is>
      </c>
      <c r="O1464" s="9" t="inlineStr">
        <is>
          <t>轮转时，消耗 1 点体力，对敌方造成 2 点伤害</t>
        </is>
      </c>
      <c r="P1464" s="9" t="inlineStr"/>
      <c r="Q1464" s="9" t="inlineStr"/>
      <c r="R1464" s="9" t="inlineStr">
        <is>
          <t>{"kind":"periodicPulse","periodicPulse":{"intervalSec":3,"label":"轮转时，消耗 1 点体力，&lt;battle&gt;对敌方造成 2 点伤害&lt;/battle&gt;","primaryStatCosts":[{"stat":"stamina","amount":1}],"damageHealth":{"target":"enemy","amount":2}},"executionScope":"beast","visibilityScope":"beast"}</t>
        </is>
      </c>
    </row>
    <row r="1465" ht="32" customHeight="1">
      <c r="A1465" s="8" t="n">
        <v>500115</v>
      </c>
      <c r="B1465" s="8" t="inlineStr">
        <is>
          <t>偷息爪</t>
        </is>
      </c>
      <c r="C1465" s="8" t="inlineStr">
        <is>
          <t>材料</t>
        </is>
      </c>
      <c r="D1465" s="8" t="inlineStr">
        <is>
          <t>common</t>
        </is>
      </c>
      <c r="E1465" s="8" t="inlineStr">
        <is>
          <t>metal</t>
        </is>
      </c>
      <c r="F1465" s="8" t="n">
        <v>1</v>
      </c>
      <c r="G1465" s="8" t="inlineStr">
        <is>
          <t>基础/顶层</t>
        </is>
      </c>
      <c r="H1465" s="8" t="inlineStr"/>
      <c r="I1465" s="9" t="inlineStr"/>
      <c r="J1465" s="8" t="inlineStr"/>
      <c r="K1465" s="8" t="inlineStr"/>
      <c r="L1465" s="8" t="inlineStr"/>
      <c r="M1465" s="8" t="inlineStr">
        <is>
          <t>周期触发</t>
        </is>
      </c>
      <c r="N1465" s="8" t="inlineStr">
        <is>
          <t>periodicPulse</t>
        </is>
      </c>
      <c r="O1465" s="9" t="inlineStr">
        <is>
          <t>轮转时，消耗 3 点法力，扣除敌方 1 点法力</t>
        </is>
      </c>
      <c r="P1465" s="9" t="inlineStr"/>
      <c r="Q1465" s="9" t="inlineStr"/>
      <c r="R1465" s="9" t="inlineStr">
        <is>
          <t>{"kind":"periodicPulse","periodicPulse":{"intervalSec":5,"label":"轮转时，消耗 3 点法力，&lt;battle&gt;扣除敌方 1 点法力&lt;/battle&gt;","primaryStatCosts":[{"stat":"mana","amount":3}],"primaryStatDamages":[{"target":"enemy","stat":"mana","amount":1}]},"executionScope":"beast","visibilityScope":"beast"}</t>
        </is>
      </c>
    </row>
    <row r="1466" ht="32" customHeight="1">
      <c r="A1466" s="8" t="n">
        <v>500116</v>
      </c>
      <c r="B1466" s="8" t="inlineStr">
        <is>
          <t>细尾骨</t>
        </is>
      </c>
      <c r="C1466" s="8" t="inlineStr">
        <is>
          <t>材料</t>
        </is>
      </c>
      <c r="D1466" s="8" t="inlineStr">
        <is>
          <t>common</t>
        </is>
      </c>
      <c r="E1466" s="8" t="inlineStr">
        <is>
          <t>metal</t>
        </is>
      </c>
      <c r="F1466" s="8" t="n">
        <v>1</v>
      </c>
      <c r="G1466" s="8" t="inlineStr">
        <is>
          <t>基础/顶层</t>
        </is>
      </c>
      <c r="H1466" s="8" t="inlineStr"/>
      <c r="I1466" s="9" t="inlineStr"/>
      <c r="J1466" s="8" t="inlineStr"/>
      <c r="K1466" s="8" t="inlineStr"/>
      <c r="L1466" s="8" t="inlineStr"/>
      <c r="M1466" s="8" t="inlineStr">
        <is>
          <t>周期触发</t>
        </is>
      </c>
      <c r="N1466" s="8" t="inlineStr">
        <is>
          <t>periodicPulse</t>
        </is>
      </c>
      <c r="O1466" s="9" t="inlineStr">
        <is>
          <t>轮转时，恢复自身 3 点气血</t>
        </is>
      </c>
      <c r="P1466" s="9" t="inlineStr"/>
      <c r="Q1466" s="9" t="inlineStr"/>
      <c r="R1466" s="9" t="inlineStr">
        <is>
          <t>{"kind":"periodicPulse","periodicPulse":{"intervalSec":7,"label":"轮转时，恢复自身 3 点气血","primaryStatGains":[{"stat":"health","amount":3}]},"executionScope":"beast","visibilityScope":"beast"}</t>
        </is>
      </c>
    </row>
    <row r="1467" ht="32" customHeight="1">
      <c r="A1467" s="8" t="n">
        <v>500157</v>
      </c>
      <c r="B1467" s="8" t="inlineStr">
        <is>
          <t>避水鳞膜</t>
        </is>
      </c>
      <c r="C1467" s="8" t="inlineStr">
        <is>
          <t>材料</t>
        </is>
      </c>
      <c r="D1467" s="8" t="inlineStr">
        <is>
          <t>common</t>
        </is>
      </c>
      <c r="E1467" s="8" t="inlineStr">
        <is>
          <t>water</t>
        </is>
      </c>
      <c r="F1467" s="8" t="n">
        <v>1</v>
      </c>
      <c r="G1467" s="8" t="inlineStr">
        <is>
          <t>基础/顶层</t>
        </is>
      </c>
      <c r="H1467" s="8" t="inlineStr"/>
      <c r="I1467" s="9" t="inlineStr"/>
      <c r="J1467" s="8" t="inlineStr"/>
      <c r="K1467" s="8" t="inlineStr"/>
      <c r="L1467" s="8" t="inlineStr"/>
      <c r="M1467" s="8" t="inlineStr">
        <is>
          <t>周期触发</t>
        </is>
      </c>
      <c r="N1467" s="8" t="inlineStr">
        <is>
          <t>periodicPulse</t>
        </is>
      </c>
      <c r="O1467" s="9" t="inlineStr">
        <is>
          <t>轮转时，获得 1 层闪避</t>
        </is>
      </c>
      <c r="P1467" s="9" t="inlineStr"/>
      <c r="Q1467" s="9" t="inlineStr"/>
      <c r="R1467" s="9" t="inlineStr">
        <is>
          <t>{"kind":"periodicPulse","periodicPulse":{"intervalSec":4,"label":"轮转时，获得 1 层闪避","buffGains":[{"buffId":"dodge","count":1}]},"executionScope":"beast","visibilityScope":"beast"}</t>
        </is>
      </c>
    </row>
    <row r="1468" ht="32" customHeight="1">
      <c r="A1468" s="8" t="n">
        <v>500158</v>
      </c>
      <c r="B1468" s="8" t="inlineStr">
        <is>
          <t>灼喉火囊</t>
        </is>
      </c>
      <c r="C1468" s="8" t="inlineStr">
        <is>
          <t>材料</t>
        </is>
      </c>
      <c r="D1468" s="8" t="inlineStr">
        <is>
          <t>common</t>
        </is>
      </c>
      <c r="E1468" s="8" t="inlineStr">
        <is>
          <t>fire</t>
        </is>
      </c>
      <c r="F1468" s="8" t="n">
        <v>1</v>
      </c>
      <c r="G1468" s="8" t="inlineStr">
        <is>
          <t>基础/顶层</t>
        </is>
      </c>
      <c r="H1468" s="8" t="inlineStr"/>
      <c r="I1468" s="9" t="inlineStr"/>
      <c r="J1468" s="8" t="inlineStr"/>
      <c r="K1468" s="8" t="inlineStr"/>
      <c r="L1468" s="8" t="inlineStr"/>
      <c r="M1468" s="8" t="inlineStr">
        <is>
          <t>周期触发</t>
        </is>
      </c>
      <c r="N1468" s="8" t="inlineStr">
        <is>
          <t>periodicPulse</t>
        </is>
      </c>
      <c r="O1468" s="9" t="inlineStr">
        <is>
          <t>轮转时，消耗 3 点法力，并消耗敌方 1 层灼烧，敌方每有 1 层灼烧就对其造成 1 点伤害</t>
        </is>
      </c>
      <c r="P1468" s="9" t="inlineStr"/>
      <c r="Q1468" s="9" t="inlineStr"/>
      <c r="R1468" s="9" t="inlineStr">
        <is>
          <t>{"kind":"periodicPulse","periodicPulse":{"intervalSec":20,"label":"轮转时，消耗 3 点法力，&lt;battle&gt;并消耗敌方 1 层灼烧，敌方每有 1 层灼烧就对其造成 1 点伤害&lt;/battle&gt;","primaryStatCosts":[{"stat":"mana","amount":3}],"damageHealth":{"target":"enemy","amount":0,"amountPerTargetBuffStack":{"buffId":"burning","valuePerStack":1},"removeTargetBuffStacksAfterDamage":{"buffId":"burning","count":1}}},"executionScope":"beast","visibilityScope":"beast"}</t>
        </is>
      </c>
    </row>
    <row r="1469" ht="32" customHeight="1">
      <c r="A1469" s="8" t="n">
        <v>500159</v>
      </c>
      <c r="B1469" s="8" t="inlineStr">
        <is>
          <t>砂甲尾锥</t>
        </is>
      </c>
      <c r="C1469" s="8" t="inlineStr">
        <is>
          <t>材料</t>
        </is>
      </c>
      <c r="D1469" s="8" t="inlineStr">
        <is>
          <t>common</t>
        </is>
      </c>
      <c r="E1469" s="8" t="inlineStr">
        <is>
          <t>earth</t>
        </is>
      </c>
      <c r="F1469" s="8" t="n">
        <v>1</v>
      </c>
      <c r="G1469" s="8" t="inlineStr">
        <is>
          <t>基础/顶层</t>
        </is>
      </c>
      <c r="H1469" s="8" t="inlineStr"/>
      <c r="I1469" s="9" t="inlineStr"/>
      <c r="J1469" s="8" t="inlineStr"/>
      <c r="K1469" s="8" t="inlineStr"/>
      <c r="L1469" s="8" t="inlineStr"/>
      <c r="M1469" s="8" t="inlineStr">
        <is>
          <t>周期触发</t>
        </is>
      </c>
      <c r="N1469" s="8" t="inlineStr">
        <is>
          <t>periodicPulse</t>
        </is>
      </c>
      <c r="O1469" s="9" t="inlineStr">
        <is>
          <t>轮转时，对敌方造成 3 点伤害</t>
        </is>
      </c>
      <c r="P1469" s="9" t="inlineStr"/>
      <c r="Q1469" s="9" t="inlineStr"/>
      <c r="R1469" s="9" t="inlineStr">
        <is>
          <t>{"kind":"periodicPulse","periodicPulse":{"intervalSec":15,"label":"&lt;battle&gt;轮转时，对敌方造成 3 点伤害&lt;/battle&gt;","damageHealth":{"target":"enemy","amount":3}},"executionScope":"beast","visibilityScope":"beast"}</t>
        </is>
      </c>
    </row>
    <row r="1470" ht="32" customHeight="1">
      <c r="A1470" s="8" t="n">
        <v>500160</v>
      </c>
      <c r="B1470" s="8" t="inlineStr">
        <is>
          <t>赤魈腕骨</t>
        </is>
      </c>
      <c r="C1470" s="8" t="inlineStr">
        <is>
          <t>材料</t>
        </is>
      </c>
      <c r="D1470" s="8" t="inlineStr">
        <is>
          <t>common</t>
        </is>
      </c>
      <c r="E1470" s="8" t="inlineStr">
        <is>
          <t>fire</t>
        </is>
      </c>
      <c r="F1470" s="8" t="n">
        <v>1</v>
      </c>
      <c r="G1470" s="8" t="inlineStr">
        <is>
          <t>基础/顶层</t>
        </is>
      </c>
      <c r="H1470" s="8" t="inlineStr"/>
      <c r="I1470" s="9" t="inlineStr"/>
      <c r="J1470" s="8" t="inlineStr"/>
      <c r="K1470" s="8" t="inlineStr"/>
      <c r="L1470" s="8" t="inlineStr"/>
      <c r="M1470" s="8" t="inlineStr">
        <is>
          <t>被动效果</t>
        </is>
      </c>
      <c r="N1470" s="8" t="inlineStr">
        <is>
          <t>passive</t>
        </is>
      </c>
      <c r="O1470" s="9" t="inlineStr">
        <is>
          <t>气血上限临时 +50</t>
        </is>
      </c>
      <c r="P1470" s="9" t="inlineStr"/>
      <c r="Q1470" s="9" t="inlineStr">
        <is>
          <t>primaryStatTemporaryMaxFlatBonus</t>
        </is>
      </c>
      <c r="R1470" s="9" t="inlineStr">
        <is>
          <t>{"kind":"passive","executionScope":"beast","visibilityScope":"beast","passiveEffect":{"type":"primaryStatTemporaryMaxFlatBonus","stat":"health","value":50,"label":"气血上限临时 +50"}}</t>
        </is>
      </c>
    </row>
    <row r="1471" ht="32" customHeight="1">
      <c r="A1471" s="8" t="n">
        <v>500161</v>
      </c>
      <c r="B1471" s="8" t="inlineStr">
        <is>
          <t>炉灰赤毛</t>
        </is>
      </c>
      <c r="C1471" s="8" t="inlineStr">
        <is>
          <t>材料</t>
        </is>
      </c>
      <c r="D1471" s="8" t="inlineStr">
        <is>
          <t>common</t>
        </is>
      </c>
      <c r="E1471" s="8" t="inlineStr">
        <is>
          <t>fire</t>
        </is>
      </c>
      <c r="F1471" s="8" t="n">
        <v>1</v>
      </c>
      <c r="G1471" s="8" t="inlineStr">
        <is>
          <t>基础/顶层</t>
        </is>
      </c>
      <c r="H1471" s="8" t="inlineStr"/>
      <c r="I1471" s="9" t="inlineStr"/>
      <c r="J1471" s="8" t="inlineStr"/>
      <c r="K1471" s="8" t="inlineStr"/>
      <c r="L1471" s="8" t="inlineStr"/>
      <c r="M1471" s="8" t="inlineStr">
        <is>
          <t>周期触发</t>
        </is>
      </c>
      <c r="N1471" s="8" t="inlineStr">
        <is>
          <t>periodicPulse</t>
        </is>
      </c>
      <c r="O1471" s="9" t="inlineStr">
        <is>
          <t>轮转时，将 3 层炎热转化为 3 层坚硬；将 3 层炎热转化为 3 层坚硬</t>
        </is>
      </c>
      <c r="P1471" s="9" t="inlineStr">
        <is>
          <t>onPeriodicPulse</t>
        </is>
      </c>
      <c r="Q1471" s="9" t="inlineStr">
        <is>
          <t>convertBuffStacks</t>
        </is>
      </c>
      <c r="R1471" s="9" t="inlineStr">
        <is>
          <t>{"kind":"periodicPulse","periodicPulse":{"intervalSec":10,"label":"轮转时，将 3 层炎热转化为 3 层坚硬"},"executors":[{"trigger":"onPeriodicPulse","type":"convertBuffStacks","sourceBuffId":"heat","targetBuffId":"sturdy","requiredStacks":3,"maxStacks":3,"label":"将 3 层炎热转化为 3 层坚硬"}],"label":"轮转时，将 3 层炎热转化为 3 层坚硬","executionScope":"beast","visibilityScope":"beast"}</t>
        </is>
      </c>
    </row>
    <row r="1472" ht="32" customHeight="1">
      <c r="A1472" s="8" t="n">
        <v>500162</v>
      </c>
      <c r="B1472" s="8" t="inlineStr">
        <is>
          <t>焦火爪</t>
        </is>
      </c>
      <c r="C1472" s="8" t="inlineStr">
        <is>
          <t>材料</t>
        </is>
      </c>
      <c r="D1472" s="8" t="inlineStr">
        <is>
          <t>common</t>
        </is>
      </c>
      <c r="E1472" s="8" t="inlineStr">
        <is>
          <t>fire</t>
        </is>
      </c>
      <c r="F1472" s="8" t="n">
        <v>1</v>
      </c>
      <c r="G1472" s="8" t="inlineStr">
        <is>
          <t>基础/顶层</t>
        </is>
      </c>
      <c r="H1472" s="8" t="inlineStr"/>
      <c r="I1472" s="9" t="inlineStr"/>
      <c r="J1472" s="8" t="inlineStr"/>
      <c r="K1472" s="8" t="inlineStr"/>
      <c r="L1472" s="8" t="inlineStr"/>
      <c r="M1472" s="8" t="inlineStr">
        <is>
          <t>周期触发</t>
        </is>
      </c>
      <c r="N1472" s="8" t="inlineStr">
        <is>
          <t>periodicPulse</t>
        </is>
      </c>
      <c r="O1472" s="9" t="inlineStr">
        <is>
          <t>轮转时，消耗 3 点体力，对敌方造成 5 点伤害</t>
        </is>
      </c>
      <c r="P1472" s="9" t="inlineStr"/>
      <c r="Q1472" s="9" t="inlineStr"/>
      <c r="R1472" s="9" t="inlineStr">
        <is>
          <t>{"kind":"periodicPulse","periodicPulse":{"intervalSec":6,"label":"&lt;battle&gt;轮转时，消耗 3 点体力，对敌方造成 5 点伤害&lt;/battle&gt;","primaryStatCosts":[{"stat":"stamina","amount":3}],"damageHealth":{"target":"enemy","amount":5}},"label":"&lt;battle&gt;轮转时，消耗 3 点体力，对敌方造成 5 点伤害&lt;/battle&gt;","executionScope":"beast","visibilityScope":"beast"}</t>
        </is>
      </c>
    </row>
    <row r="1473" ht="32" customHeight="1">
      <c r="A1473" s="8" t="n">
        <v>500163</v>
      </c>
      <c r="B1473" s="8" t="inlineStr">
        <is>
          <t>赤魈颅片</t>
        </is>
      </c>
      <c r="C1473" s="8" t="inlineStr">
        <is>
          <t>材料</t>
        </is>
      </c>
      <c r="D1473" s="8" t="inlineStr">
        <is>
          <t>common</t>
        </is>
      </c>
      <c r="E1473" s="8" t="inlineStr">
        <is>
          <t>fire</t>
        </is>
      </c>
      <c r="F1473" s="8" t="n">
        <v>1</v>
      </c>
      <c r="G1473" s="8" t="inlineStr">
        <is>
          <t>基础/顶层</t>
        </is>
      </c>
      <c r="H1473" s="8" t="inlineStr"/>
      <c r="I1473" s="9" t="inlineStr"/>
      <c r="J1473" s="8" t="inlineStr"/>
      <c r="K1473" s="8" t="inlineStr"/>
      <c r="L1473" s="8" t="inlineStr"/>
      <c r="M1473" s="8" t="inlineStr">
        <is>
          <t>条件触发</t>
        </is>
      </c>
      <c r="N1473" s="8" t="inlineStr">
        <is>
          <t>triggered</t>
        </is>
      </c>
      <c r="O1473" s="9" t="inlineStr">
        <is>
          <t>受到伤害时，失去 1 层炎热，恢复 2 点气血</t>
        </is>
      </c>
      <c r="P1473" s="9" t="inlineStr">
        <is>
          <t>onIncomingHealthDamage</t>
        </is>
      </c>
      <c r="Q1473" s="9" t="inlineStr">
        <is>
          <t>consumeBuffStacks</t>
        </is>
      </c>
      <c r="R1473" s="9" t="inlineStr">
        <is>
          <t>{"kind":"triggered","executionScope":"beast","visibilityScope":"beast","label":"受到伤害时，失去 1 层炎热，恢复 2 点气血","triggeredEffect":{"trigger":"onIncomingHealthDamage","type":"consumeBuffStacks","sourceBuffId":"heat","requiredStacks":1,"maxStacks":1,"primaryStatGainPerStack":{"stat":"health","amount":2}}}</t>
        </is>
      </c>
    </row>
    <row r="1474" ht="32" customHeight="1">
      <c r="A1474" s="8" t="n">
        <v>500164</v>
      </c>
      <c r="B1474" s="8" t="inlineStr">
        <is>
          <t>赤魈火囊</t>
        </is>
      </c>
      <c r="C1474" s="8" t="inlineStr">
        <is>
          <t>材料</t>
        </is>
      </c>
      <c r="D1474" s="8" t="inlineStr">
        <is>
          <t>common</t>
        </is>
      </c>
      <c r="E1474" s="8" t="inlineStr">
        <is>
          <t>fire</t>
        </is>
      </c>
      <c r="F1474" s="8" t="n">
        <v>1</v>
      </c>
      <c r="G1474" s="8" t="inlineStr">
        <is>
          <t>基础/顶层</t>
        </is>
      </c>
      <c r="H1474" s="8" t="inlineStr"/>
      <c r="I1474" s="9" t="inlineStr"/>
      <c r="J1474" s="8" t="inlineStr"/>
      <c r="K1474" s="8" t="inlineStr"/>
      <c r="L1474" s="8" t="inlineStr"/>
      <c r="M1474" s="8" t="inlineStr">
        <is>
          <t>周期触发</t>
        </is>
      </c>
      <c r="N1474" s="8" t="inlineStr">
        <is>
          <t>periodicPulse</t>
        </is>
      </c>
      <c r="O1474" s="9" t="inlineStr">
        <is>
          <t>轮转时，消耗 10 层炎热，对敌方造成 20 点伤害；消耗 10 层炎热，对敌方造成 20 点伤害</t>
        </is>
      </c>
      <c r="P1474" s="9" t="inlineStr">
        <is>
          <t>onPeriodicPulse</t>
        </is>
      </c>
      <c r="Q1474" s="9" t="inlineStr">
        <is>
          <t>consumeBuffStacks</t>
        </is>
      </c>
      <c r="R1474" s="9" t="inlineStr">
        <is>
          <t>{"kind":"periodicPulse","periodicPulse":{"intervalSec":20,"label":"轮转时，消耗 10 层炎热，&lt;battle&gt;对敌方造成 20 点伤害&lt;/battle&gt;"},"executors":[{"trigger":"onPeriodicPulse","type":"consumeBuffStacks","sourceBuffId":"heat","requiredStacks":10,"maxStacks":10,"battleDamageHealthPerStack":2,"label":"消耗 10 层炎热，&lt;battle&gt;对敌方造成 20 点伤害&lt;/battle&gt;"}],"label":"轮转时，消耗 10 层炎热，&lt;battle&gt;对敌方造成 20 点伤害&lt;/battle&gt;","executionScope":"beast","visibilityScope":"beast"}</t>
        </is>
      </c>
    </row>
    <row r="1475" ht="32" customHeight="1">
      <c r="A1475" s="8" t="n">
        <v>500165</v>
      </c>
      <c r="B1475" s="8" t="inlineStr">
        <is>
          <t>丹炉心火</t>
        </is>
      </c>
      <c r="C1475" s="8" t="inlineStr">
        <is>
          <t>材料</t>
        </is>
      </c>
      <c r="D1475" s="8" t="inlineStr">
        <is>
          <t>common</t>
        </is>
      </c>
      <c r="E1475" s="8" t="inlineStr">
        <is>
          <t>fire</t>
        </is>
      </c>
      <c r="F1475" s="8" t="n">
        <v>1</v>
      </c>
      <c r="G1475" s="8" t="inlineStr">
        <is>
          <t>基础/顶层</t>
        </is>
      </c>
      <c r="H1475" s="8" t="inlineStr"/>
      <c r="I1475" s="9" t="inlineStr"/>
      <c r="J1475" s="8" t="inlineStr"/>
      <c r="K1475" s="8" t="inlineStr"/>
      <c r="L1475" s="8" t="inlineStr"/>
      <c r="M1475" s="8" t="inlineStr">
        <is>
          <t>周期触发</t>
        </is>
      </c>
      <c r="N1475" s="8" t="inlineStr">
        <is>
          <t>periodicPulse</t>
        </is>
      </c>
      <c r="O1475" s="9" t="inlineStr">
        <is>
          <t>轮转时，将所有炎热转化为体力，每 1 层恢复 1 点体力；将所有炎热转化为体力，每 1 层恢复 1 点体力</t>
        </is>
      </c>
      <c r="P1475" s="9" t="inlineStr">
        <is>
          <t>onPeriodicPulse</t>
        </is>
      </c>
      <c r="Q1475" s="9" t="inlineStr">
        <is>
          <t>consumeBuffStacks</t>
        </is>
      </c>
      <c r="R1475" s="9" t="inlineStr">
        <is>
          <t>{"kind":"periodicPulse","periodicPulse":{"intervalSec":10,"label":"轮转时，将所有炎热转化为体力，每 1 层恢复 1 点体力"},"executors":[{"trigger":"onPeriodicPulse","type":"consumeBuffStacks","sourceBuffId":"heat","consumeRatio":1,"consumeRounding":"floor","primaryStatGainPerStack":{"stat":"stamina","amount":1},"label":"将所有炎热转化为体力，每 1 层恢复 1 点体力"}],"label":"轮转时，将所有炎热转化为体力，每 1 层恢复 1 点体力","executionScope":"beast","visibilityScope":"beast"}</t>
        </is>
      </c>
    </row>
    <row r="1476" ht="32" customHeight="1">
      <c r="A1476" s="8" t="n">
        <v>500166</v>
      </c>
      <c r="B1476" s="8" t="inlineStr">
        <is>
          <t>炉纹臂筋</t>
        </is>
      </c>
      <c r="C1476" s="8" t="inlineStr">
        <is>
          <t>材料</t>
        </is>
      </c>
      <c r="D1476" s="8" t="inlineStr">
        <is>
          <t>common</t>
        </is>
      </c>
      <c r="E1476" s="8" t="inlineStr">
        <is>
          <t>fire</t>
        </is>
      </c>
      <c r="F1476" s="8" t="n">
        <v>1</v>
      </c>
      <c r="G1476" s="8" t="inlineStr">
        <is>
          <t>基础/顶层</t>
        </is>
      </c>
      <c r="H1476" s="8" t="inlineStr"/>
      <c r="I1476" s="9" t="inlineStr"/>
      <c r="J1476" s="8" t="inlineStr"/>
      <c r="K1476" s="8" t="inlineStr"/>
      <c r="L1476" s="8" t="inlineStr"/>
      <c r="M1476" s="8" t="inlineStr">
        <is>
          <t>周期触发</t>
        </is>
      </c>
      <c r="N1476" s="8" t="inlineStr">
        <is>
          <t>periodicPulse</t>
        </is>
      </c>
      <c r="O1476" s="9" t="inlineStr">
        <is>
          <t>轮转时，消耗 10 点体力，吸取敌方 8 点法力</t>
        </is>
      </c>
      <c r="P1476" s="9" t="inlineStr"/>
      <c r="Q1476" s="9" t="inlineStr"/>
      <c r="R1476" s="9" t="inlineStr">
        <is>
          <t>{"kind":"periodicPulse","periodicPulse":{"intervalSec":20,"label":"&lt;battle&gt;轮转时，消耗 10 点体力，吸取敌方 8 点法力&lt;/battle&gt;","primaryStatCosts":[{"stat":"stamina","amount":10}],"drainPrimaryStat":{"target":"enemy","stat":"mana","amount":8}},"label":"&lt;battle&gt;轮转时，消耗 10 点体力，吸取敌方 8 点法力&lt;/battle&gt;","executionScope":"beast","visibilityScope":"beast"}</t>
        </is>
      </c>
    </row>
    <row r="1477" ht="32" customHeight="1">
      <c r="A1477" s="8" t="n">
        <v>500167</v>
      </c>
      <c r="B1477" s="8" t="inlineStr">
        <is>
          <t>赤魈丹髓</t>
        </is>
      </c>
      <c r="C1477" s="8" t="inlineStr">
        <is>
          <t>材料</t>
        </is>
      </c>
      <c r="D1477" s="8" t="inlineStr">
        <is>
          <t>common</t>
        </is>
      </c>
      <c r="E1477" s="8" t="inlineStr">
        <is>
          <t>fire</t>
        </is>
      </c>
      <c r="F1477" s="8" t="n">
        <v>1</v>
      </c>
      <c r="G1477" s="8" t="inlineStr">
        <is>
          <t>基础/顶层</t>
        </is>
      </c>
      <c r="H1477" s="8" t="inlineStr"/>
      <c r="I1477" s="9" t="inlineStr"/>
      <c r="J1477" s="8" t="inlineStr"/>
      <c r="K1477" s="8" t="inlineStr"/>
      <c r="L1477" s="8" t="inlineStr"/>
      <c r="M1477" s="8" t="inlineStr">
        <is>
          <t>条件触发</t>
        </is>
      </c>
      <c r="N1477" s="8" t="inlineStr">
        <is>
          <t>triggered</t>
        </is>
      </c>
      <c r="O1477" s="9" t="inlineStr">
        <is>
          <t>受到伤害时，若实际伤害超过 5 点，获得 5 层炎热</t>
        </is>
      </c>
      <c r="P1477" s="9" t="inlineStr">
        <is>
          <t>onIncomingHealthDamage</t>
        </is>
      </c>
      <c r="Q1477" s="9" t="inlineStr">
        <is>
          <t>applyBuff</t>
        </is>
      </c>
      <c r="R1477" s="9" t="inlineStr">
        <is>
          <t>{"kind":"triggered","executionScope":"beast","visibilityScope":"beast","label":"受到伤害时，若实际伤害超过 5 点，获得 5 层炎热","triggeredEffect":{"trigger":"onIncomingHealthDamage","type":"applyBuff","buffId":"heat","count":5,"minActualDamage":6}}</t>
        </is>
      </c>
    </row>
    <row r="1478" ht="32" customHeight="1">
      <c r="A1478" s="8" t="n">
        <v>500168</v>
      </c>
      <c r="B1478" s="8" t="inlineStr">
        <is>
          <t>魈牙丹砂</t>
        </is>
      </c>
      <c r="C1478" s="8" t="inlineStr">
        <is>
          <t>材料</t>
        </is>
      </c>
      <c r="D1478" s="8" t="inlineStr">
        <is>
          <t>common</t>
        </is>
      </c>
      <c r="E1478" s="8" t="inlineStr">
        <is>
          <t>fire</t>
        </is>
      </c>
      <c r="F1478" s="8" t="n">
        <v>1</v>
      </c>
      <c r="G1478" s="8" t="inlineStr">
        <is>
          <t>基础/顶层</t>
        </is>
      </c>
      <c r="H1478" s="8" t="inlineStr"/>
      <c r="I1478" s="9" t="inlineStr"/>
      <c r="J1478" s="8" t="inlineStr"/>
      <c r="K1478" s="8" t="inlineStr"/>
      <c r="L1478" s="8" t="inlineStr"/>
      <c r="M1478" s="8" t="inlineStr">
        <is>
          <t>周期触发</t>
        </is>
      </c>
      <c r="N1478" s="8" t="inlineStr">
        <is>
          <t>periodicPulse</t>
        </is>
      </c>
      <c r="O1478" s="9" t="inlineStr">
        <is>
          <t>轮转时，敌我双方所有道具轮转加速 5 秒</t>
        </is>
      </c>
      <c r="P1478" s="9" t="inlineStr"/>
      <c r="Q1478" s="9" t="inlineStr"/>
      <c r="R1478" s="9" t="inlineStr">
        <is>
          <t>{"kind":"periodicPulse","periodicPulse":{"intervalSec":15,"label":"轮转时，敌我双方所有道具轮转加速 5 秒","itemRuntimeStatusEffects":[{"itemRuntimeStatus":"haste","durationSec":5,"targetScope":"bothAll"}]},"label":"轮转时，敌我双方所有道具轮转加速 5 秒","executionScope":"beast","visibilityScope":"beast"}</t>
        </is>
      </c>
    </row>
    <row r="1479" ht="32" customHeight="1">
      <c r="A1479" s="8" t="n">
        <v>500169</v>
      </c>
      <c r="B1479" s="8" t="inlineStr">
        <is>
          <t>炉烟耳骨</t>
        </is>
      </c>
      <c r="C1479" s="8" t="inlineStr">
        <is>
          <t>材料</t>
        </is>
      </c>
      <c r="D1479" s="8" t="inlineStr">
        <is>
          <t>common</t>
        </is>
      </c>
      <c r="E1479" s="8" t="inlineStr">
        <is>
          <t>fire</t>
        </is>
      </c>
      <c r="F1479" s="8" t="n">
        <v>1</v>
      </c>
      <c r="G1479" s="8" t="inlineStr">
        <is>
          <t>基础/顶层</t>
        </is>
      </c>
      <c r="H1479" s="8" t="inlineStr"/>
      <c r="I1479" s="9" t="inlineStr"/>
      <c r="J1479" s="8" t="inlineStr"/>
      <c r="K1479" s="8" t="inlineStr"/>
      <c r="L1479" s="8" t="inlineStr"/>
      <c r="M1479" s="8" t="inlineStr">
        <is>
          <t>条件触发</t>
        </is>
      </c>
      <c r="N1479" s="8" t="inlineStr">
        <is>
          <t>triggered</t>
        </is>
      </c>
      <c r="O1479" s="9" t="inlineStr">
        <is>
          <t>每当有道具轮转时，获得 1 层炎热</t>
        </is>
      </c>
      <c r="P1479" s="9" t="inlineStr">
        <is>
          <t>onItemUse</t>
        </is>
      </c>
      <c r="Q1479" s="9" t="inlineStr">
        <is>
          <t>applyBuff；any</t>
        </is>
      </c>
      <c r="R1479" s="9" t="inlineStr">
        <is>
          <t>{"kind":"triggered","triggeredEffect":{"trigger":"onItemUse","type":"applyBuff","buffId":"heat","count":1,"eventSource":{"target":{"type":"any"}}},"label":"每当有道具轮转时，获得 1 层炎热"}</t>
        </is>
      </c>
    </row>
    <row r="1480" ht="32" customHeight="1">
      <c r="A1480" s="8" t="n">
        <v>500170</v>
      </c>
      <c r="B1480" s="8" t="inlineStr">
        <is>
          <t>符背甲</t>
        </is>
      </c>
      <c r="C1480" s="8" t="inlineStr">
        <is>
          <t>材料</t>
        </is>
      </c>
      <c r="D1480" s="8" t="inlineStr">
        <is>
          <t>common</t>
        </is>
      </c>
      <c r="E1480" s="8" t="inlineStr">
        <is>
          <t>earth</t>
        </is>
      </c>
      <c r="F1480" s="8" t="n">
        <v>1</v>
      </c>
      <c r="G1480" s="8" t="inlineStr">
        <is>
          <t>基础/顶层</t>
        </is>
      </c>
      <c r="H1480" s="8" t="inlineStr"/>
      <c r="I1480" s="9" t="inlineStr"/>
      <c r="J1480" s="8" t="inlineStr"/>
      <c r="K1480" s="8" t="inlineStr"/>
      <c r="L1480" s="8" t="inlineStr"/>
      <c r="M1480" s="8" t="inlineStr">
        <is>
          <t>周期触发</t>
        </is>
      </c>
      <c r="N1480" s="8" t="inlineStr">
        <is>
          <t>periodicPulse</t>
        </is>
      </c>
      <c r="O1480" s="9" t="inlineStr">
        <is>
          <t>开局时，获得 20 层坚硬</t>
        </is>
      </c>
      <c r="P1480" s="9" t="inlineStr"/>
      <c r="Q1480" s="9" t="inlineStr"/>
      <c r="R1480" s="9" t="inlineStr">
        <is>
          <t>{"kind":"periodicPulse","periodicPulse":{"label":"开局时，获得 20 层坚硬","startOnly":true,"buffGains":[{"buffId":"sturdy","count":20}],"intervalSec":1},"label":"开局时，获得 20 层坚硬","executionScope":"beast","visibilityScope":"beast"}</t>
        </is>
      </c>
    </row>
    <row r="1481" ht="32" customHeight="1">
      <c r="A1481" s="8" t="n">
        <v>500171</v>
      </c>
      <c r="B1481" s="8" t="inlineStr">
        <is>
          <t>石犀角片</t>
        </is>
      </c>
      <c r="C1481" s="8" t="inlineStr">
        <is>
          <t>材料</t>
        </is>
      </c>
      <c r="D1481" s="8" t="inlineStr">
        <is>
          <t>common</t>
        </is>
      </c>
      <c r="E1481" s="8" t="inlineStr">
        <is>
          <t>earth</t>
        </is>
      </c>
      <c r="F1481" s="8" t="n">
        <v>1</v>
      </c>
      <c r="G1481" s="8" t="inlineStr">
        <is>
          <t>基础/顶层</t>
        </is>
      </c>
      <c r="H1481" s="8" t="inlineStr"/>
      <c r="I1481" s="9" t="inlineStr"/>
      <c r="J1481" s="8" t="inlineStr"/>
      <c r="K1481" s="8" t="inlineStr"/>
      <c r="L1481" s="8" t="inlineStr"/>
      <c r="M1481" s="8" t="inlineStr">
        <is>
          <t>周期触发</t>
        </is>
      </c>
      <c r="N1481" s="8" t="inlineStr">
        <is>
          <t>periodicPulse</t>
        </is>
      </c>
      <c r="O1481" s="9" t="inlineStr">
        <is>
          <t>轮转时，消耗 1 点法力，每有 1 层蓄势，对敌方造成 1 点伤害</t>
        </is>
      </c>
      <c r="P1481" s="9" t="inlineStr"/>
      <c r="Q1481" s="9" t="inlineStr"/>
      <c r="R1481" s="9" t="inlineStr">
        <is>
          <t>{"kind":"periodicPulse","periodicPulse":{"intervalSec":10,"label":"&lt;battle&gt;轮转时，消耗 1 点法力，每有 1 层蓄势，对敌方造成 1 点伤害&lt;/battle&gt;","primaryStatCosts":[{"stat":"mana","amount":1}],"damageHealth":{"target":"enemy","amount":0,"amountPerSourceBuffStack":{"buffId":"heavy","valuePerStack":1}}},"label":"&lt;battle&gt;轮转时，消耗 1 点法力，每有 1 层蓄势，对敌方造成 1 点伤害&lt;/battle&gt;","executionScope":"beast","visibilityScope":"beast"}</t>
        </is>
      </c>
    </row>
    <row r="1482" ht="32" customHeight="1">
      <c r="A1482" s="8" t="n">
        <v>500172</v>
      </c>
      <c r="B1482" s="8" t="inlineStr">
        <is>
          <t>镇旗骨</t>
        </is>
      </c>
      <c r="C1482" s="8" t="inlineStr">
        <is>
          <t>材料</t>
        </is>
      </c>
      <c r="D1482" s="8" t="inlineStr">
        <is>
          <t>common</t>
        </is>
      </c>
      <c r="E1482" s="8" t="inlineStr">
        <is>
          <t>earth</t>
        </is>
      </c>
      <c r="F1482" s="8" t="n">
        <v>1</v>
      </c>
      <c r="G1482" s="8" t="inlineStr">
        <is>
          <t>基础/顶层</t>
        </is>
      </c>
      <c r="H1482" s="8" t="inlineStr"/>
      <c r="I1482" s="9" t="inlineStr"/>
      <c r="J1482" s="8" t="inlineStr"/>
      <c r="K1482" s="8" t="inlineStr"/>
      <c r="L1482" s="8" t="inlineStr"/>
      <c r="M1482" s="8" t="inlineStr">
        <is>
          <t>周期触发</t>
        </is>
      </c>
      <c r="N1482" s="8" t="inlineStr">
        <is>
          <t>periodicPulse</t>
        </is>
      </c>
      <c r="O1482" s="9" t="inlineStr">
        <is>
          <t>轮转时，对敌方造成 3 点伤害</t>
        </is>
      </c>
      <c r="P1482" s="9" t="inlineStr"/>
      <c r="Q1482" s="9" t="inlineStr"/>
      <c r="R1482" s="9" t="inlineStr">
        <is>
          <t>{"kind":"periodicPulse","periodicPulse":{"intervalSec":3,"label":"&lt;battle&gt;轮转时，对敌方造成 3 点伤害&lt;/battle&gt;","damageHealth":{"target":"enemy","amount":3}},"label":"&lt;battle&gt;轮转时，对敌方造成 3 点伤害&lt;/battle&gt;","executionScope":"beast","visibilityScope":"beast"}</t>
        </is>
      </c>
    </row>
    <row r="1483" ht="32" customHeight="1">
      <c r="A1483" s="8" t="n">
        <v>500173</v>
      </c>
      <c r="B1483" s="8" t="inlineStr">
        <is>
          <t>符砂厚蹄</t>
        </is>
      </c>
      <c r="C1483" s="8" t="inlineStr">
        <is>
          <t>材料</t>
        </is>
      </c>
      <c r="D1483" s="8" t="inlineStr">
        <is>
          <t>common</t>
        </is>
      </c>
      <c r="E1483" s="8" t="inlineStr">
        <is>
          <t>earth</t>
        </is>
      </c>
      <c r="F1483" s="8" t="n">
        <v>1</v>
      </c>
      <c r="G1483" s="8" t="inlineStr">
        <is>
          <t>基础/顶层</t>
        </is>
      </c>
      <c r="H1483" s="8" t="inlineStr"/>
      <c r="I1483" s="9" t="inlineStr"/>
      <c r="J1483" s="8" t="inlineStr"/>
      <c r="K1483" s="8" t="inlineStr"/>
      <c r="L1483" s="8" t="inlineStr"/>
      <c r="M1483" s="8" t="inlineStr">
        <is>
          <t>周期触发</t>
        </is>
      </c>
      <c r="N1483" s="8" t="inlineStr">
        <is>
          <t>periodicPulse</t>
        </is>
      </c>
      <c r="O1483" s="9" t="inlineStr">
        <is>
          <t>轮转时，使敌方获得 1 层冰霜</t>
        </is>
      </c>
      <c r="P1483" s="9" t="inlineStr"/>
      <c r="Q1483" s="9" t="inlineStr"/>
      <c r="R1483" s="9" t="inlineStr">
        <is>
          <t>{"kind":"periodicPulse","periodicPulse":{"intervalSec":10,"label":"轮转时，使敌方获得 1 层冰霜","buffGains":[{"buffId":"frost","count":1,"target":"enemy"}]},"label":"轮转时，使敌方获得 1 层冰霜","executionScope":"beast","visibilityScope":"beast"}</t>
        </is>
      </c>
    </row>
    <row r="1484" ht="32" customHeight="1">
      <c r="A1484" s="8" t="n">
        <v>500174</v>
      </c>
      <c r="B1484" s="8" t="inlineStr">
        <is>
          <t>压阵脊骨</t>
        </is>
      </c>
      <c r="C1484" s="8" t="inlineStr">
        <is>
          <t>材料</t>
        </is>
      </c>
      <c r="D1484" s="8" t="inlineStr">
        <is>
          <t>common</t>
        </is>
      </c>
      <c r="E1484" s="8" t="inlineStr">
        <is>
          <t>earth</t>
        </is>
      </c>
      <c r="F1484" s="8" t="n">
        <v>1</v>
      </c>
      <c r="G1484" s="8" t="inlineStr">
        <is>
          <t>基础/顶层</t>
        </is>
      </c>
      <c r="H1484" s="8" t="inlineStr"/>
      <c r="I1484" s="9" t="inlineStr"/>
      <c r="J1484" s="8" t="inlineStr"/>
      <c r="K1484" s="8" t="inlineStr"/>
      <c r="L1484" s="8" t="inlineStr"/>
      <c r="M1484" s="8" t="inlineStr">
        <is>
          <t>周期触发</t>
        </is>
      </c>
      <c r="N1484" s="8" t="inlineStr">
        <is>
          <t>periodicPulse</t>
        </is>
      </c>
      <c r="O1484" s="9" t="inlineStr">
        <is>
          <t>轮转时，获得 3 层蓄势</t>
        </is>
      </c>
      <c r="P1484" s="9" t="inlineStr"/>
      <c r="Q1484" s="9" t="inlineStr"/>
      <c r="R1484" s="9" t="inlineStr">
        <is>
          <t>{"kind":"periodicPulse","periodicPulse":{"intervalSec":10,"label":"轮转时，获得 3 层蓄势","buffGains":[{"buffId":"heavy","count":3}]},"label":"轮转时，获得 3 层蓄势","executionScope":"beast","visibilityScope":"beast"}</t>
        </is>
      </c>
    </row>
    <row r="1485" ht="32" customHeight="1">
      <c r="A1485" s="8" t="n">
        <v>500175</v>
      </c>
      <c r="B1485" s="8" t="inlineStr">
        <is>
          <t>青阙符核</t>
        </is>
      </c>
      <c r="C1485" s="8" t="inlineStr">
        <is>
          <t>材料</t>
        </is>
      </c>
      <c r="D1485" s="8" t="inlineStr">
        <is>
          <t>common</t>
        </is>
      </c>
      <c r="E1485" s="8" t="inlineStr">
        <is>
          <t>earth</t>
        </is>
      </c>
      <c r="F1485" s="8" t="n">
        <v>1</v>
      </c>
      <c r="G1485" s="8" t="inlineStr">
        <is>
          <t>基础/顶层</t>
        </is>
      </c>
      <c r="H1485" s="8" t="inlineStr"/>
      <c r="I1485" s="9" t="inlineStr"/>
      <c r="J1485" s="8" t="inlineStr"/>
      <c r="K1485" s="8" t="inlineStr"/>
      <c r="L1485" s="8" t="inlineStr"/>
      <c r="M1485" s="8" t="inlineStr">
        <is>
          <t>周期触发</t>
        </is>
      </c>
      <c r="N1485" s="8" t="inlineStr">
        <is>
          <t>periodicPulse</t>
        </is>
      </c>
      <c r="O1485" s="9" t="inlineStr">
        <is>
          <t>轮转时，每有 3 层蓄势，获得 1 层坚硬</t>
        </is>
      </c>
      <c r="P1485" s="9" t="inlineStr"/>
      <c r="Q1485" s="9" t="inlineStr"/>
      <c r="R1485" s="9" t="inlineStr">
        <is>
          <t>{"kind":"periodicPulse","periodicPulse":{"intervalSec":30,"scaling":{"mode":"count","source":"buffStacks","buffId":"heavy","countDivisor":3},"label":"轮转时，每有 3 层蓄势，获得 1 层坚硬","buffGains":[{"buffId":"sturdy","count":1}]},"label":"轮转时，每有 3 层蓄势，获得 1 层坚硬","executionScope":"beast","visibilityScope":"beast"}</t>
        </is>
      </c>
    </row>
    <row r="1486" ht="32" customHeight="1">
      <c r="A1486" s="8" t="n">
        <v>500176</v>
      </c>
      <c r="B1486" s="8" t="inlineStr">
        <is>
          <t>清辉蚌片</t>
        </is>
      </c>
      <c r="C1486" s="8" t="inlineStr">
        <is>
          <t>材料</t>
        </is>
      </c>
      <c r="D1486" s="8" t="inlineStr">
        <is>
          <t>common</t>
        </is>
      </c>
      <c r="E1486" s="8" t="inlineStr">
        <is>
          <t>water</t>
        </is>
      </c>
      <c r="F1486" s="8" t="n">
        <v>1</v>
      </c>
      <c r="G1486" s="8" t="inlineStr">
        <is>
          <t>基础/顶层</t>
        </is>
      </c>
      <c r="H1486" s="8" t="inlineStr"/>
      <c r="I1486" s="9" t="inlineStr"/>
      <c r="J1486" s="8" t="inlineStr"/>
      <c r="K1486" s="8" t="inlineStr"/>
      <c r="L1486" s="8" t="inlineStr"/>
      <c r="M1486" s="8" t="inlineStr">
        <is>
          <t>条件触发</t>
        </is>
      </c>
      <c r="N1486" s="8" t="inlineStr">
        <is>
          <t>triggered</t>
        </is>
      </c>
      <c r="O1486" s="9" t="inlineStr">
        <is>
          <t>受到伤害时，获得 1 层露水</t>
        </is>
      </c>
      <c r="P1486" s="9" t="inlineStr">
        <is>
          <t>onIncomingHealthDamage</t>
        </is>
      </c>
      <c r="Q1486" s="9" t="inlineStr">
        <is>
          <t>applyBuff</t>
        </is>
      </c>
      <c r="R1486" s="9" t="inlineStr">
        <is>
          <t>{"kind":"triggered","executionScope":"beast","visibilityScope":"beast","label":"受到伤害时，获得 1 层露水","triggeredEffect":{"trigger":"onIncomingHealthDamage","type":"applyBuff","buffId":"dew","count":1}}</t>
        </is>
      </c>
    </row>
    <row r="1487" ht="32" customHeight="1">
      <c r="A1487" s="8" t="n">
        <v>500177</v>
      </c>
      <c r="B1487" s="8" t="inlineStr">
        <is>
          <t>凝月软肉</t>
        </is>
      </c>
      <c r="C1487" s="8" t="inlineStr">
        <is>
          <t>材料</t>
        </is>
      </c>
      <c r="D1487" s="8" t="inlineStr">
        <is>
          <t>common</t>
        </is>
      </c>
      <c r="E1487" s="8" t="inlineStr">
        <is>
          <t>water</t>
        </is>
      </c>
      <c r="F1487" s="8" t="n">
        <v>1</v>
      </c>
      <c r="G1487" s="8" t="inlineStr">
        <is>
          <t>基础/顶层</t>
        </is>
      </c>
      <c r="H1487" s="8" t="inlineStr"/>
      <c r="I1487" s="9" t="inlineStr"/>
      <c r="J1487" s="8" t="inlineStr"/>
      <c r="K1487" s="8" t="inlineStr"/>
      <c r="L1487" s="8" t="inlineStr"/>
      <c r="M1487" s="8" t="inlineStr">
        <is>
          <t>条件触发</t>
        </is>
      </c>
      <c r="N1487" s="8" t="inlineStr">
        <is>
          <t>triggered</t>
        </is>
      </c>
      <c r="O1487" s="9" t="inlineStr">
        <is>
          <t>受到伤害时，恢复 1 点气血</t>
        </is>
      </c>
      <c r="P1487" s="9" t="inlineStr">
        <is>
          <t>onIncomingHealthDamage</t>
        </is>
      </c>
      <c r="Q1487" s="9" t="inlineStr">
        <is>
          <t>modifyPlayerPrimaryStat</t>
        </is>
      </c>
      <c r="R1487" s="9" t="inlineStr">
        <is>
          <t>{"kind":"triggered","executionScope":"beast","visibilityScope":"beast","label":"受到伤害时，恢复 1 点气血","triggeredEffect":{"trigger":"onIncomingHealthDamage","type":"modifyPlayerPrimaryStat","stat":"health","delta":1}}</t>
        </is>
      </c>
    </row>
    <row r="1488" ht="32" customHeight="1">
      <c r="A1488" s="8" t="n">
        <v>500178</v>
      </c>
      <c r="B1488" s="8" t="inlineStr">
        <is>
          <t>月涧水膜</t>
        </is>
      </c>
      <c r="C1488" s="8" t="inlineStr">
        <is>
          <t>材料</t>
        </is>
      </c>
      <c r="D1488" s="8" t="inlineStr">
        <is>
          <t>common</t>
        </is>
      </c>
      <c r="E1488" s="8" t="inlineStr">
        <is>
          <t>water</t>
        </is>
      </c>
      <c r="F1488" s="8" t="n">
        <v>1</v>
      </c>
      <c r="G1488" s="8" t="inlineStr">
        <is>
          <t>基础/顶层</t>
        </is>
      </c>
      <c r="H1488" s="8" t="inlineStr"/>
      <c r="I1488" s="9" t="inlineStr"/>
      <c r="J1488" s="8" t="inlineStr"/>
      <c r="K1488" s="8" t="inlineStr"/>
      <c r="L1488" s="8" t="inlineStr"/>
      <c r="M1488" s="8" t="inlineStr">
        <is>
          <t>周期触发</t>
        </is>
      </c>
      <c r="N1488" s="8" t="inlineStr">
        <is>
          <t>periodicPulse</t>
        </is>
      </c>
      <c r="O1488" s="9" t="inlineStr">
        <is>
          <t>轮转时，每有 1 层露水，获得 1 层坚硬</t>
        </is>
      </c>
      <c r="P1488" s="9" t="inlineStr"/>
      <c r="Q1488" s="9" t="inlineStr"/>
      <c r="R1488" s="9" t="inlineStr">
        <is>
          <t>{"kind":"periodicPulse","periodicPulse":{"intervalSec":10,"label":"轮转时，每有 1 层露水，获得 1 层坚硬","buffGains":[{"buffId":"sturdy","countPerSourceBuffStack":{"buffId":"dew","valuePerStack":1}}]},"label":"轮转时，每有 1 层露水，获得 1 层坚硬","executionScope":"beast","visibilityScope":"beast"}</t>
        </is>
      </c>
    </row>
    <row r="1489" ht="32" customHeight="1">
      <c r="A1489" s="8" t="n">
        <v>500179</v>
      </c>
      <c r="B1489" s="8" t="inlineStr">
        <is>
          <t>月池护珠</t>
        </is>
      </c>
      <c r="C1489" s="8" t="inlineStr">
        <is>
          <t>材料</t>
        </is>
      </c>
      <c r="D1489" s="8" t="inlineStr">
        <is>
          <t>common</t>
        </is>
      </c>
      <c r="E1489" s="8" t="inlineStr">
        <is>
          <t>water</t>
        </is>
      </c>
      <c r="F1489" s="8" t="n">
        <v>1</v>
      </c>
      <c r="G1489" s="8" t="inlineStr">
        <is>
          <t>基础/顶层</t>
        </is>
      </c>
      <c r="H1489" s="8" t="inlineStr"/>
      <c r="I1489" s="9" t="inlineStr"/>
      <c r="J1489" s="8" t="inlineStr"/>
      <c r="K1489" s="8" t="inlineStr"/>
      <c r="L1489" s="8" t="inlineStr"/>
      <c r="M1489" s="8" t="inlineStr">
        <is>
          <t>周期触发</t>
        </is>
      </c>
      <c r="N1489" s="8" t="inlineStr">
        <is>
          <t>periodicPulse</t>
        </is>
      </c>
      <c r="O1489" s="9" t="inlineStr">
        <is>
          <t>轮转时，每有 1 层露水，获得 1 层闪避</t>
        </is>
      </c>
      <c r="P1489" s="9" t="inlineStr"/>
      <c r="Q1489" s="9" t="inlineStr"/>
      <c r="R1489" s="9" t="inlineStr">
        <is>
          <t>{"kind":"periodicPulse","periodicPulse":{"intervalSec":10,"label":"轮转时，每有 1 层露水，获得 1 层闪避","buffGains":[{"buffId":"dodge","countPerSourceBuffStack":{"buffId":"dew","valuePerStack":1}}]},"label":"轮转时，每有 1 层露水，获得 1 层闪避","executionScope":"beast","visibilityScope":"beast"}</t>
        </is>
      </c>
    </row>
    <row r="1490" ht="32" customHeight="1">
      <c r="A1490" s="8" t="n">
        <v>500180</v>
      </c>
      <c r="B1490" s="8" t="inlineStr">
        <is>
          <t>月涧灵珠</t>
        </is>
      </c>
      <c r="C1490" s="8" t="inlineStr">
        <is>
          <t>材料</t>
        </is>
      </c>
      <c r="D1490" s="8" t="inlineStr">
        <is>
          <t>common</t>
        </is>
      </c>
      <c r="E1490" s="8" t="inlineStr">
        <is>
          <t>water</t>
        </is>
      </c>
      <c r="F1490" s="8" t="n">
        <v>1</v>
      </c>
      <c r="G1490" s="8" t="inlineStr">
        <is>
          <t>基础/顶层</t>
        </is>
      </c>
      <c r="H1490" s="8" t="inlineStr"/>
      <c r="I1490" s="9" t="inlineStr"/>
      <c r="J1490" s="8" t="inlineStr"/>
      <c r="K1490" s="8" t="inlineStr"/>
      <c r="L1490" s="8" t="inlineStr"/>
      <c r="M1490" s="8" t="inlineStr">
        <is>
          <t>周期触发</t>
        </is>
      </c>
      <c r="N1490" s="8" t="inlineStr">
        <is>
          <t>periodicPulse</t>
        </is>
      </c>
      <c r="O1490" s="9" t="inlineStr">
        <is>
          <t>轮转时，将 5 点气血转化为 5 层露水，对敌方造成 10 点伤害</t>
        </is>
      </c>
      <c r="P1490" s="9" t="inlineStr"/>
      <c r="Q1490" s="9" t="inlineStr"/>
      <c r="R1490" s="9" t="inlineStr">
        <is>
          <t>{"kind":"periodicPulse","periodicPulse":{"intervalSec":15,"label":"轮转时，将 5 点气血转化为 5 层露水，&lt;battle&gt;对敌方造成 10 点伤害&lt;/battle&gt;","primaryStatCosts":[{"stat":"health","amount":5}],"buffGains":[{"buffId":"dew","count":5}],"damageHealth":{"target":"enemy","amount":10}},"label":"轮转时，将 5 点气血转化为 5 层露水，&lt;battle&gt;对敌方造成 10 点伤害&lt;/battle&gt;","executionScope":"beast","visibilityScope":"beast"}</t>
        </is>
      </c>
    </row>
    <row r="1491" ht="32" customHeight="1">
      <c r="A1491" s="8" t="n">
        <v>500181</v>
      </c>
      <c r="B1491" s="8" t="inlineStr">
        <is>
          <t>玄脉甲片</t>
        </is>
      </c>
      <c r="C1491" s="8" t="inlineStr">
        <is>
          <t>材料</t>
        </is>
      </c>
      <c r="D1491" s="8" t="inlineStr">
        <is>
          <t>common</t>
        </is>
      </c>
      <c r="E1491" s="8" t="inlineStr">
        <is>
          <t>earth</t>
        </is>
      </c>
      <c r="F1491" s="8" t="n">
        <v>1</v>
      </c>
      <c r="G1491" s="8" t="inlineStr">
        <is>
          <t>基础/顶层</t>
        </is>
      </c>
      <c r="H1491" s="8" t="inlineStr"/>
      <c r="I1491" s="9" t="inlineStr"/>
      <c r="J1491" s="8" t="inlineStr"/>
      <c r="K1491" s="8" t="inlineStr"/>
      <c r="L1491" s="8" t="inlineStr"/>
      <c r="M1491" s="8" t="inlineStr">
        <is>
          <t>周期触发</t>
        </is>
      </c>
      <c r="N1491" s="8" t="inlineStr">
        <is>
          <t>periodicPulse</t>
        </is>
      </c>
      <c r="O1491" s="9" t="inlineStr">
        <is>
          <t>轮转时，将 5 点法力转化为 3 层坚硬</t>
        </is>
      </c>
      <c r="P1491" s="9" t="inlineStr"/>
      <c r="Q1491" s="9" t="inlineStr"/>
      <c r="R1491" s="9" t="inlineStr">
        <is>
          <t>{"kind":"periodicPulse","periodicPulse":{"intervalSec":6,"label":"轮转时，将 5 点法力转化为 3 层坚硬","primaryStatCosts":[{"stat":"mana","amount":5}],"buffGains":[{"buffId":"sturdy","count":3}]},"executionScope":"beast","visibilityScope":"beast"}</t>
        </is>
      </c>
    </row>
    <row r="1492" ht="32" customHeight="1">
      <c r="A1492" s="8" t="n">
        <v>500182</v>
      </c>
      <c r="B1492" s="8" t="inlineStr">
        <is>
          <t>穿脉利爪</t>
        </is>
      </c>
      <c r="C1492" s="8" t="inlineStr">
        <is>
          <t>材料</t>
        </is>
      </c>
      <c r="D1492" s="8" t="inlineStr">
        <is>
          <t>common</t>
        </is>
      </c>
      <c r="E1492" s="8" t="inlineStr">
        <is>
          <t>earth</t>
        </is>
      </c>
      <c r="F1492" s="8" t="n">
        <v>1</v>
      </c>
      <c r="G1492" s="8" t="inlineStr">
        <is>
          <t>基础/顶层</t>
        </is>
      </c>
      <c r="H1492" s="8" t="inlineStr"/>
      <c r="I1492" s="9" t="inlineStr"/>
      <c r="J1492" s="8" t="inlineStr"/>
      <c r="K1492" s="8" t="inlineStr"/>
      <c r="L1492" s="8" t="inlineStr"/>
      <c r="M1492" s="8" t="inlineStr">
        <is>
          <t>周期触发</t>
        </is>
      </c>
      <c r="N1492" s="8" t="inlineStr">
        <is>
          <t>periodicPulse</t>
        </is>
      </c>
      <c r="O1492" s="9" t="inlineStr">
        <is>
          <t>轮转时，造成 4 点伤害</t>
        </is>
      </c>
      <c r="P1492" s="9" t="inlineStr"/>
      <c r="Q1492" s="9" t="inlineStr"/>
      <c r="R1492" s="9" t="inlineStr">
        <is>
          <t>{"kind":"periodicPulse","periodicPulse":{"intervalSec":10,"label":"&lt;battle&gt;轮转时，造成 4 点伤害&lt;/battle&gt;","damageHealth":{"target":"enemy","amount":4}},"executionScope":"beast","visibilityScope":"beast"}</t>
        </is>
      </c>
    </row>
    <row r="1493" ht="32" customHeight="1">
      <c r="A1493" s="8" t="n">
        <v>500183</v>
      </c>
      <c r="B1493" s="8" t="inlineStr">
        <is>
          <t>地髓骨</t>
        </is>
      </c>
      <c r="C1493" s="8" t="inlineStr">
        <is>
          <t>材料</t>
        </is>
      </c>
      <c r="D1493" s="8" t="inlineStr">
        <is>
          <t>common</t>
        </is>
      </c>
      <c r="E1493" s="8" t="inlineStr">
        <is>
          <t>earth</t>
        </is>
      </c>
      <c r="F1493" s="8" t="n">
        <v>1</v>
      </c>
      <c r="G1493" s="8" t="inlineStr">
        <is>
          <t>基础/顶层</t>
        </is>
      </c>
      <c r="H1493" s="8" t="inlineStr"/>
      <c r="I1493" s="9" t="inlineStr"/>
      <c r="J1493" s="8" t="inlineStr"/>
      <c r="K1493" s="8" t="inlineStr"/>
      <c r="L1493" s="8" t="inlineStr"/>
      <c r="M1493" s="8" t="inlineStr">
        <is>
          <t>周期触发</t>
        </is>
      </c>
      <c r="N1493" s="8" t="inlineStr">
        <is>
          <t>periodicPulse</t>
        </is>
      </c>
      <c r="O1493" s="9" t="inlineStr">
        <is>
          <t>轮转时，将 5 点气血转化为 3 层坚硬</t>
        </is>
      </c>
      <c r="P1493" s="9" t="inlineStr"/>
      <c r="Q1493" s="9" t="inlineStr"/>
      <c r="R1493" s="9" t="inlineStr">
        <is>
          <t>{"kind":"periodicPulse","periodicPulse":{"intervalSec":10,"label":"轮转时，将 5 点气血转化为 3 层坚硬","primaryStatCosts":[{"stat":"health","amount":5}],"buffGains":[{"buffId":"sturdy","count":3}]},"executionScope":"beast","visibilityScope":"beast"}</t>
        </is>
      </c>
    </row>
    <row r="1494" ht="32" customHeight="1">
      <c r="A1494" s="8" t="n">
        <v>500184</v>
      </c>
      <c r="B1494" s="8" t="inlineStr">
        <is>
          <t>伏地鳞带</t>
        </is>
      </c>
      <c r="C1494" s="8" t="inlineStr">
        <is>
          <t>材料</t>
        </is>
      </c>
      <c r="D1494" s="8" t="inlineStr">
        <is>
          <t>common</t>
        </is>
      </c>
      <c r="E1494" s="8" t="inlineStr">
        <is>
          <t>earth</t>
        </is>
      </c>
      <c r="F1494" s="8" t="n">
        <v>1</v>
      </c>
      <c r="G1494" s="8" t="inlineStr">
        <is>
          <t>基础/顶层</t>
        </is>
      </c>
      <c r="H1494" s="8" t="inlineStr"/>
      <c r="I1494" s="9" t="inlineStr"/>
      <c r="J1494" s="8" t="inlineStr"/>
      <c r="K1494" s="8" t="inlineStr"/>
      <c r="L1494" s="8" t="inlineStr"/>
      <c r="M1494" s="8" t="inlineStr">
        <is>
          <t>周期触发</t>
        </is>
      </c>
      <c r="N1494" s="8" t="inlineStr">
        <is>
          <t>periodicPulse</t>
        </is>
      </c>
      <c r="O1494" s="9" t="inlineStr">
        <is>
          <t>轮转时，将 2 点体力转化为 1 层坚硬</t>
        </is>
      </c>
      <c r="P1494" s="9" t="inlineStr"/>
      <c r="Q1494" s="9" t="inlineStr"/>
      <c r="R1494" s="9" t="inlineStr">
        <is>
          <t>{"kind":"periodicPulse","periodicPulse":{"intervalSec":5,"label":"轮转时，将 2 点体力转化为 1 层坚硬","primaryStatCosts":[{"stat":"stamina","amount":2}],"buffGains":[{"buffId":"sturdy","count":1}]},"executionScope":"beast","visibilityScope":"beast"}</t>
        </is>
      </c>
    </row>
    <row r="1495" ht="32" customHeight="1">
      <c r="A1495" s="8" t="n">
        <v>500185</v>
      </c>
      <c r="B1495" s="8" t="inlineStr">
        <is>
          <t>玄脉背甲</t>
        </is>
      </c>
      <c r="C1495" s="8" t="inlineStr">
        <is>
          <t>材料</t>
        </is>
      </c>
      <c r="D1495" s="8" t="inlineStr">
        <is>
          <t>common</t>
        </is>
      </c>
      <c r="E1495" s="8" t="inlineStr">
        <is>
          <t>earth</t>
        </is>
      </c>
      <c r="F1495" s="8" t="n">
        <v>1</v>
      </c>
      <c r="G1495" s="8" t="inlineStr">
        <is>
          <t>基础/顶层</t>
        </is>
      </c>
      <c r="H1495" s="8" t="inlineStr"/>
      <c r="I1495" s="9" t="inlineStr"/>
      <c r="J1495" s="8" t="inlineStr"/>
      <c r="K1495" s="8" t="inlineStr"/>
      <c r="L1495" s="8" t="inlineStr"/>
      <c r="M1495" s="8" t="inlineStr">
        <is>
          <t>周期触发</t>
        </is>
      </c>
      <c r="N1495" s="8" t="inlineStr">
        <is>
          <t>periodicPulse</t>
        </is>
      </c>
      <c r="O1495" s="9" t="inlineStr">
        <is>
          <t>轮转时，消耗一半的坚硬层数，对敌方造成等量的伤害；消耗一半的坚硬层数，对敌方造成等量的伤害</t>
        </is>
      </c>
      <c r="P1495" s="9" t="inlineStr">
        <is>
          <t>onPeriodicPulse</t>
        </is>
      </c>
      <c r="Q1495" s="9" t="inlineStr">
        <is>
          <t>consumeBuffStacks</t>
        </is>
      </c>
      <c r="R1495" s="9" t="inlineStr">
        <is>
          <t>{"kind":"periodicPulse","periodicPulse":{"intervalSec":60,"label":"轮转时，消耗一半的坚硬层数，对敌方造成等量的伤害"},"executors":[{"trigger":"onPeriodicPulse","type":"consumeBuffStacks","sourceBuffId":"sturdy","consumeRatio":0.5,"consumeRounding":"floor","battleDamageHealthPerStack":1,"label":"消耗一半的坚硬层数，对敌方造成等量的伤害"}],"executionScope":"beast","visibilityScope":"beast"}</t>
        </is>
      </c>
    </row>
    <row r="1496" ht="32" customHeight="1">
      <c r="A1496" s="8" t="n">
        <v>500186</v>
      </c>
      <c r="B1496" s="8" t="inlineStr">
        <is>
          <t>地脉心鳞</t>
        </is>
      </c>
      <c r="C1496" s="8" t="inlineStr">
        <is>
          <t>材料</t>
        </is>
      </c>
      <c r="D1496" s="8" t="inlineStr">
        <is>
          <t>common</t>
        </is>
      </c>
      <c r="E1496" s="8" t="inlineStr">
        <is>
          <t>earth</t>
        </is>
      </c>
      <c r="F1496" s="8" t="n">
        <v>1</v>
      </c>
      <c r="G1496" s="8" t="inlineStr">
        <is>
          <t>基础/顶层</t>
        </is>
      </c>
      <c r="H1496" s="8" t="inlineStr"/>
      <c r="I1496" s="9" t="inlineStr"/>
      <c r="J1496" s="8" t="inlineStr"/>
      <c r="K1496" s="8" t="inlineStr"/>
      <c r="L1496" s="8" t="inlineStr"/>
      <c r="M1496" s="8" t="inlineStr">
        <is>
          <t>周期触发</t>
        </is>
      </c>
      <c r="N1496" s="8" t="inlineStr">
        <is>
          <t>periodicPulse</t>
        </is>
      </c>
      <c r="O1496" s="9" t="inlineStr">
        <is>
          <t>轮转时，消耗 4 点法力，将当前坚硬层数翻倍</t>
        </is>
      </c>
      <c r="P1496" s="9" t="inlineStr"/>
      <c r="Q1496" s="9" t="inlineStr"/>
      <c r="R1496" s="9" t="inlineStr">
        <is>
          <t>{"kind":"periodicPulse","periodicPulse":{"intervalSec":25,"label":"轮转时，消耗 4 点法力，将当前坚硬层数翻倍","primaryStatCosts":[{"stat":"mana","amount":4}],"buffGains":[{"buffId":"sturdy","countPerSourceBuffStack":{"buffId":"sturdy","valuePerStack":1}}]},"executionScope":"beast","visibilityScope":"beast"}</t>
        </is>
      </c>
    </row>
    <row r="1497" ht="32" customHeight="1">
      <c r="A1497" s="8" t="n">
        <v>500187</v>
      </c>
      <c r="B1497" s="8" t="inlineStr">
        <is>
          <t>玄土胆石</t>
        </is>
      </c>
      <c r="C1497" s="8" t="inlineStr">
        <is>
          <t>材料</t>
        </is>
      </c>
      <c r="D1497" s="8" t="inlineStr">
        <is>
          <t>common</t>
        </is>
      </c>
      <c r="E1497" s="8" t="inlineStr">
        <is>
          <t>earth</t>
        </is>
      </c>
      <c r="F1497" s="8" t="n">
        <v>1</v>
      </c>
      <c r="G1497" s="8" t="inlineStr">
        <is>
          <t>基础/顶层</t>
        </is>
      </c>
      <c r="H1497" s="8" t="inlineStr"/>
      <c r="I1497" s="9" t="inlineStr"/>
      <c r="J1497" s="8" t="inlineStr"/>
      <c r="K1497" s="8" t="inlineStr"/>
      <c r="L1497" s="8" t="inlineStr"/>
      <c r="M1497" s="8" t="inlineStr">
        <is>
          <t>周期触发</t>
        </is>
      </c>
      <c r="N1497" s="8" t="inlineStr">
        <is>
          <t>periodicPulse</t>
        </is>
      </c>
      <c r="O1497" s="9" t="inlineStr">
        <is>
          <t>轮转时，吸取敌方 3 点法力</t>
        </is>
      </c>
      <c r="P1497" s="9" t="inlineStr"/>
      <c r="Q1497" s="9" t="inlineStr"/>
      <c r="R1497" s="9" t="inlineStr">
        <is>
          <t>{"kind":"periodicPulse","periodicPulse":{"intervalSec":15,"label":"&lt;battle&gt;轮转时，吸取敌方 3 点法力&lt;/battle&gt;","drainPrimaryStat":{"target":"enemy","stat":"mana","amount":3}},"executionScope":"beast","visibilityScope":"beast"}</t>
        </is>
      </c>
    </row>
    <row r="1498" ht="32" customHeight="1">
      <c r="A1498" s="8" t="n">
        <v>500188</v>
      </c>
      <c r="B1498" s="8" t="inlineStr">
        <is>
          <t>碧梧臂筋</t>
        </is>
      </c>
      <c r="C1498" s="8" t="inlineStr">
        <is>
          <t>材料</t>
        </is>
      </c>
      <c r="D1498" s="8" t="inlineStr">
        <is>
          <t>common</t>
        </is>
      </c>
      <c r="E1498" s="8" t="inlineStr">
        <is>
          <t>wood</t>
        </is>
      </c>
      <c r="F1498" s="8" t="n">
        <v>1</v>
      </c>
      <c r="G1498" s="8" t="inlineStr">
        <is>
          <t>基础/顶层</t>
        </is>
      </c>
      <c r="H1498" s="8" t="inlineStr"/>
      <c r="I1498" s="9" t="inlineStr"/>
      <c r="J1498" s="8" t="inlineStr"/>
      <c r="K1498" s="8" t="inlineStr"/>
      <c r="L1498" s="8" t="inlineStr"/>
      <c r="M1498" s="8" t="inlineStr">
        <is>
          <t>周期触发</t>
        </is>
      </c>
      <c r="N1498" s="8" t="inlineStr">
        <is>
          <t>periodicPulse</t>
        </is>
      </c>
      <c r="O1498" s="9" t="inlineStr">
        <is>
          <t>轮转时，消耗 8 点体力，为敌方施加 1 层冰霜</t>
        </is>
      </c>
      <c r="P1498" s="9" t="inlineStr"/>
      <c r="Q1498" s="9" t="inlineStr"/>
      <c r="R1498" s="9" t="inlineStr">
        <is>
          <t>{"kind":"periodicPulse","periodicPulse":{"intervalSec":10,"label":"&lt;battle&gt;轮转时，消耗 8 点体力，为敌方施加 1 层冰霜&lt;/battle&gt;","primaryStatCosts":[{"stat":"stamina","amount":8}],"buffGains":[{"buffId":"frost","count":1,"target":"enemy"}]},"executionScope":"beast","visibilityScope":"beast"}</t>
        </is>
      </c>
    </row>
    <row r="1499" ht="32" customHeight="1">
      <c r="A1499" s="8" t="n">
        <v>500189</v>
      </c>
      <c r="B1499" s="8" t="inlineStr">
        <is>
          <t>灵猿青骨</t>
        </is>
      </c>
      <c r="C1499" s="8" t="inlineStr">
        <is>
          <t>材料</t>
        </is>
      </c>
      <c r="D1499" s="8" t="inlineStr">
        <is>
          <t>common</t>
        </is>
      </c>
      <c r="E1499" s="8" t="inlineStr">
        <is>
          <t>wood</t>
        </is>
      </c>
      <c r="F1499" s="8" t="n">
        <v>1</v>
      </c>
      <c r="G1499" s="8" t="inlineStr">
        <is>
          <t>基础/顶层</t>
        </is>
      </c>
      <c r="H1499" s="8" t="inlineStr"/>
      <c r="I1499" s="9" t="inlineStr"/>
      <c r="J1499" s="8" t="inlineStr"/>
      <c r="K1499" s="8" t="inlineStr"/>
      <c r="L1499" s="8" t="inlineStr"/>
      <c r="M1499" s="8" t="inlineStr">
        <is>
          <t>周期触发</t>
        </is>
      </c>
      <c r="N1499" s="8" t="inlineStr">
        <is>
          <t>periodicPulse</t>
        </is>
      </c>
      <c r="O1499" s="9" t="inlineStr">
        <is>
          <t>轮转时，消耗 1 点法力，使相邻所有道具轮转加速 3 秒</t>
        </is>
      </c>
      <c r="P1499" s="9" t="inlineStr"/>
      <c r="Q1499" s="9" t="inlineStr"/>
      <c r="R1499" s="9" t="inlineStr">
        <is>
          <t>{"kind":"periodicPulse","periodicPulse":{"intervalSec":6,"label":"轮转时，消耗 1 点法力，使相邻所有道具轮转加速 3 秒","primaryStatCosts":[{"stat":"mana","amount":1}],"itemRuntimeStatusEffects":[{"itemRuntimeStatus":"haste","durationSec":3,"targetScope":"adjacent"}]},"executionScope":"beast","visibilityScope":"beast"}</t>
        </is>
      </c>
    </row>
    <row r="1500" ht="32" customHeight="1">
      <c r="A1500" s="8" t="n">
        <v>500190</v>
      </c>
      <c r="B1500" s="8" t="inlineStr">
        <is>
          <t>梧叶尾毛</t>
        </is>
      </c>
      <c r="C1500" s="8" t="inlineStr">
        <is>
          <t>材料</t>
        </is>
      </c>
      <c r="D1500" s="8" t="inlineStr">
        <is>
          <t>common</t>
        </is>
      </c>
      <c r="E1500" s="8" t="inlineStr">
        <is>
          <t>wood</t>
        </is>
      </c>
      <c r="F1500" s="8" t="n">
        <v>1</v>
      </c>
      <c r="G1500" s="8" t="inlineStr">
        <is>
          <t>基础/顶层</t>
        </is>
      </c>
      <c r="H1500" s="8" t="inlineStr"/>
      <c r="I1500" s="9" t="inlineStr"/>
      <c r="J1500" s="8" t="inlineStr"/>
      <c r="K1500" s="8" t="inlineStr"/>
      <c r="L1500" s="8" t="inlineStr"/>
      <c r="M1500" s="8" t="inlineStr">
        <is>
          <t>周期触发</t>
        </is>
      </c>
      <c r="N1500" s="8" t="inlineStr">
        <is>
          <t>periodicPulse</t>
        </is>
      </c>
      <c r="O1500" s="9" t="inlineStr">
        <is>
          <t>轮转时，获得 3 层闪避</t>
        </is>
      </c>
      <c r="P1500" s="9" t="inlineStr"/>
      <c r="Q1500" s="9" t="inlineStr"/>
      <c r="R1500" s="9" t="inlineStr">
        <is>
          <t>{"kind":"periodicPulse","periodicPulse":{"intervalSec":10,"label":"轮转时，获得 3 层闪避","buffGains":[{"buffId":"dodge","count":3}]},"executionScope":"beast","visibilityScope":"beast"}</t>
        </is>
      </c>
    </row>
    <row r="1501" ht="32" customHeight="1">
      <c r="A1501" s="8" t="n">
        <v>500191</v>
      </c>
      <c r="B1501" s="8" t="inlineStr">
        <is>
          <t>碧梧掌骨</t>
        </is>
      </c>
      <c r="C1501" s="8" t="inlineStr">
        <is>
          <t>材料</t>
        </is>
      </c>
      <c r="D1501" s="8" t="inlineStr">
        <is>
          <t>common</t>
        </is>
      </c>
      <c r="E1501" s="8" t="inlineStr">
        <is>
          <t>wood</t>
        </is>
      </c>
      <c r="F1501" s="8" t="n">
        <v>1</v>
      </c>
      <c r="G1501" s="8" t="inlineStr">
        <is>
          <t>基础/顶层</t>
        </is>
      </c>
      <c r="H1501" s="8" t="inlineStr"/>
      <c r="I1501" s="9" t="inlineStr"/>
      <c r="J1501" s="8" t="inlineStr"/>
      <c r="K1501" s="8" t="inlineStr"/>
      <c r="L1501" s="8" t="inlineStr"/>
      <c r="M1501" s="8" t="inlineStr">
        <is>
          <t>周期触发</t>
        </is>
      </c>
      <c r="N1501" s="8" t="inlineStr">
        <is>
          <t>periodicPulse</t>
        </is>
      </c>
      <c r="O1501" s="9" t="inlineStr">
        <is>
          <t>轮转时，对敌方造成 4 点伤害</t>
        </is>
      </c>
      <c r="P1501" s="9" t="inlineStr"/>
      <c r="Q1501" s="9" t="inlineStr"/>
      <c r="R1501" s="9" t="inlineStr">
        <is>
          <t>{"kind":"periodicPulse","periodicPulse":{"intervalSec":12,"label":"&lt;battle&gt;轮转时，对敌方造成 4 点伤害&lt;/battle&gt;","damageHealth":{"target":"enemy","amount":4}},"executionScope":"beast","visibilityScope":"beast"}</t>
        </is>
      </c>
    </row>
    <row r="1502" ht="32" customHeight="1">
      <c r="A1502" s="8" t="n">
        <v>500192</v>
      </c>
      <c r="B1502" s="8" t="inlineStr">
        <is>
          <t>碧梧灵筋</t>
        </is>
      </c>
      <c r="C1502" s="8" t="inlineStr">
        <is>
          <t>材料</t>
        </is>
      </c>
      <c r="D1502" s="8" t="inlineStr">
        <is>
          <t>common</t>
        </is>
      </c>
      <c r="E1502" s="8" t="inlineStr">
        <is>
          <t>wood</t>
        </is>
      </c>
      <c r="F1502" s="8" t="n">
        <v>1</v>
      </c>
      <c r="G1502" s="8" t="inlineStr">
        <is>
          <t>基础/顶层</t>
        </is>
      </c>
      <c r="H1502" s="8" t="inlineStr"/>
      <c r="I1502" s="9" t="inlineStr"/>
      <c r="J1502" s="8" t="inlineStr"/>
      <c r="K1502" s="8" t="inlineStr"/>
      <c r="L1502" s="8" t="inlineStr"/>
      <c r="M1502" s="8" t="inlineStr">
        <is>
          <t>周期触发</t>
        </is>
      </c>
      <c r="N1502" s="8" t="inlineStr">
        <is>
          <t>periodicPulse</t>
        </is>
      </c>
      <c r="O1502" s="9" t="inlineStr">
        <is>
          <t>轮转时，恢复 3 点气血</t>
        </is>
      </c>
      <c r="P1502" s="9" t="inlineStr"/>
      <c r="Q1502" s="9" t="inlineStr"/>
      <c r="R1502" s="9" t="inlineStr">
        <is>
          <t>{"kind":"periodicPulse","periodicPulse":{"intervalSec":8,"label":"轮转时，恢复 3 点气血","primaryStatGains":[{"stat":"health","amount":3}]},"executionScope":"beast","visibilityScope":"beast"}</t>
        </is>
      </c>
    </row>
    <row r="1503" ht="32" customHeight="1">
      <c r="A1503" s="8" t="n">
        <v>500193</v>
      </c>
      <c r="B1503" s="8" t="inlineStr">
        <is>
          <t>木息灵髓</t>
        </is>
      </c>
      <c r="C1503" s="8" t="inlineStr">
        <is>
          <t>材料</t>
        </is>
      </c>
      <c r="D1503" s="8" t="inlineStr">
        <is>
          <t>common</t>
        </is>
      </c>
      <c r="E1503" s="8" t="inlineStr">
        <is>
          <t>wood</t>
        </is>
      </c>
      <c r="F1503" s="8" t="n">
        <v>1</v>
      </c>
      <c r="G1503" s="8" t="inlineStr">
        <is>
          <t>基础/顶层</t>
        </is>
      </c>
      <c r="H1503" s="8" t="inlineStr"/>
      <c r="I1503" s="9" t="inlineStr"/>
      <c r="J1503" s="8" t="inlineStr"/>
      <c r="K1503" s="8" t="inlineStr"/>
      <c r="L1503" s="8" t="inlineStr"/>
      <c r="M1503" s="8" t="inlineStr">
        <is>
          <t>周期触发</t>
        </is>
      </c>
      <c r="N1503" s="8" t="inlineStr">
        <is>
          <t>periodicPulse</t>
        </is>
      </c>
      <c r="O1503" s="9" t="inlineStr">
        <is>
          <t>轮转时，使敌我双方气血、体力、法力与精血恢复全满</t>
        </is>
      </c>
      <c r="P1503" s="9" t="inlineStr"/>
      <c r="Q1503" s="9" t="inlineStr"/>
      <c r="R1503" s="9" t="inlineStr">
        <is>
          <t>{"kind":"periodicPulse","periodicPulse":{"intervalSec":60,"label":"轮转时，使敌我双方气血、体力、法力与精血恢复全满","primaryStatGains":[{"stat":"health","maxRatio":1,"target":"both"},{"stat":"stamina","maxRatio":1,"target":"both"},{"stat":"mana","maxRatio":1,"target":"both"},{"stat":"bloodEssence","maxRatio":1,"target":"both"}]},"executionScope":"beast","visibilityScope":"beast"}</t>
        </is>
      </c>
    </row>
    <row r="1504" ht="32" customHeight="1">
      <c r="A1504" s="8" t="n">
        <v>500194</v>
      </c>
      <c r="B1504" s="8" t="inlineStr">
        <is>
          <t>灵猿喉骨</t>
        </is>
      </c>
      <c r="C1504" s="8" t="inlineStr">
        <is>
          <t>材料</t>
        </is>
      </c>
      <c r="D1504" s="8" t="inlineStr">
        <is>
          <t>common</t>
        </is>
      </c>
      <c r="E1504" s="8" t="inlineStr">
        <is>
          <t>wood</t>
        </is>
      </c>
      <c r="F1504" s="8" t="n">
        <v>1</v>
      </c>
      <c r="G1504" s="8" t="inlineStr">
        <is>
          <t>基础/顶层</t>
        </is>
      </c>
      <c r="H1504" s="8" t="inlineStr"/>
      <c r="I1504" s="9" t="inlineStr"/>
      <c r="J1504" s="8" t="inlineStr"/>
      <c r="K1504" s="8" t="inlineStr"/>
      <c r="L1504" s="8" t="inlineStr"/>
      <c r="M1504" s="8" t="inlineStr">
        <is>
          <t>周期触发</t>
        </is>
      </c>
      <c r="N1504" s="8" t="inlineStr">
        <is>
          <t>periodicPulse</t>
        </is>
      </c>
      <c r="O1504" s="9" t="inlineStr">
        <is>
          <t>轮转时，将 3 点法力转化为 20 点体力</t>
        </is>
      </c>
      <c r="P1504" s="9" t="inlineStr"/>
      <c r="Q1504" s="9" t="inlineStr"/>
      <c r="R1504" s="9" t="inlineStr">
        <is>
          <t>{"kind":"periodicPulse","periodicPulse":{"intervalSec":20,"label":"轮转时，将 3 点法力转化为 20 点体力","primaryStatCosts":[{"stat":"mana","amount":3}],"primaryStatGains":[{"stat":"stamina","amount":20}]},"executionScope":"beast","visibilityScope":"beast"}</t>
        </is>
      </c>
    </row>
    <row r="1505" ht="32" customHeight="1">
      <c r="A1505" s="8" t="n">
        <v>500195</v>
      </c>
      <c r="B1505" s="8" t="inlineStr">
        <is>
          <t>梧心胆核</t>
        </is>
      </c>
      <c r="C1505" s="8" t="inlineStr">
        <is>
          <t>材料</t>
        </is>
      </c>
      <c r="D1505" s="8" t="inlineStr">
        <is>
          <t>common</t>
        </is>
      </c>
      <c r="E1505" s="8" t="inlineStr">
        <is>
          <t>wood</t>
        </is>
      </c>
      <c r="F1505" s="8" t="n">
        <v>1</v>
      </c>
      <c r="G1505" s="8" t="inlineStr">
        <is>
          <t>基础/顶层</t>
        </is>
      </c>
      <c r="H1505" s="8" t="inlineStr"/>
      <c r="I1505" s="9" t="inlineStr"/>
      <c r="J1505" s="8" t="inlineStr"/>
      <c r="K1505" s="8" t="inlineStr"/>
      <c r="L1505" s="8" t="inlineStr"/>
      <c r="M1505" s="8" t="inlineStr">
        <is>
          <t>周期触发</t>
        </is>
      </c>
      <c r="N1505" s="8" t="inlineStr">
        <is>
          <t>periodicPulse</t>
        </is>
      </c>
      <c r="O1505" s="9" t="inlineStr">
        <is>
          <t>轮转时，消耗 8 点体力，对敌方造成 5 点伤害</t>
        </is>
      </c>
      <c r="P1505" s="9" t="inlineStr"/>
      <c r="Q1505" s="9" t="inlineStr"/>
      <c r="R1505" s="9" t="inlineStr">
        <is>
          <t>{"kind":"periodicPulse","periodicPulse":{"intervalSec":7,"label":"&lt;battle&gt;轮转时，消耗 8 点体力，对敌方造成 5 点伤害&lt;/battle&gt;","primaryStatCosts":[{"stat":"stamina","amount":8}],"damageHealth":{"target":"enemy","amount":5}},"executionScope":"beast","visibilityScope":"beast"}</t>
        </is>
      </c>
    </row>
    <row r="1506" ht="32" customHeight="1">
      <c r="A1506" s="8" t="n">
        <v>500197</v>
      </c>
      <c r="B1506" s="8" t="inlineStr">
        <is>
          <t>霜脉鹿角</t>
        </is>
      </c>
      <c r="C1506" s="8" t="inlineStr">
        <is>
          <t>材料</t>
        </is>
      </c>
      <c r="D1506" s="8" t="inlineStr">
        <is>
          <t>spirit</t>
        </is>
      </c>
      <c r="E1506" s="8" t="inlineStr">
        <is>
          <t>water</t>
        </is>
      </c>
      <c r="F1506" s="8" t="n">
        <v>1</v>
      </c>
      <c r="G1506" s="8" t="inlineStr">
        <is>
          <t>基础/顶层</t>
        </is>
      </c>
      <c r="H1506" s="8" t="inlineStr"/>
      <c r="I1506" s="9" t="inlineStr"/>
      <c r="J1506" s="8" t="inlineStr"/>
      <c r="K1506" s="8" t="inlineStr"/>
      <c r="L1506" s="8" t="inlineStr"/>
      <c r="M1506" s="8" t="inlineStr">
        <is>
          <t>周期触发</t>
        </is>
      </c>
      <c r="N1506" s="8" t="inlineStr">
        <is>
          <t>periodicPulse</t>
        </is>
      </c>
      <c r="O1506" s="9" t="inlineStr">
        <is>
          <t>轮转时，如果自身法力高于敌方，消耗 12 点法力，恢复自身 76 点体力，并使相邻道具加速 5 秒</t>
        </is>
      </c>
      <c r="P1506" s="9" t="inlineStr"/>
      <c r="Q1506" s="9" t="inlineStr">
        <is>
          <t>sourcePrimaryStatGreaterThanTarget</t>
        </is>
      </c>
      <c r="R1506" s="9" t="inlineStr">
        <is>
          <t>{"kind":"periodicPulse","periodicPulse":{"intervalSec":14,"label":"&lt;battle&gt;轮转时，如果自身法力高于敌方，消耗 12 点法力，恢复自身 76 点体力，并使相邻道具加速 5 秒&lt;/battle&gt;","battleCondition":{"type":"sourcePrimaryStatGreaterThanTarget","stat":"mana"},"primaryStatCosts":[{"stat":"mana","amount":12}],"battlePrimaryStatGains":[{"stat":"stamina","amount":76}],"itemRuntimeStatusEffects":[{"itemRuntimeStatus":"haste","durationSec":5,"strengthPercent":30,"targetScope":"adjacent"}]},"executionScope":"beast","visibilityScope":"beast"}</t>
        </is>
      </c>
    </row>
    <row r="1507" ht="32" customHeight="1">
      <c r="A1507" s="8" t="n">
        <v>500198</v>
      </c>
      <c r="B1507" s="8" t="inlineStr">
        <is>
          <t>寒雾皮</t>
        </is>
      </c>
      <c r="C1507" s="8" t="inlineStr">
        <is>
          <t>材料</t>
        </is>
      </c>
      <c r="D1507" s="8" t="inlineStr">
        <is>
          <t>spirit</t>
        </is>
      </c>
      <c r="E1507" s="8" t="inlineStr">
        <is>
          <t>water</t>
        </is>
      </c>
      <c r="F1507" s="8" t="n">
        <v>1</v>
      </c>
      <c r="G1507" s="8" t="inlineStr">
        <is>
          <t>基础/顶层</t>
        </is>
      </c>
      <c r="H1507" s="8" t="inlineStr"/>
      <c r="I1507" s="9" t="inlineStr"/>
      <c r="J1507" s="8" t="inlineStr"/>
      <c r="K1507" s="8" t="inlineStr"/>
      <c r="L1507" s="8" t="inlineStr"/>
      <c r="M1507" s="8" t="inlineStr">
        <is>
          <t>周期触发</t>
        </is>
      </c>
      <c r="N1507" s="8" t="inlineStr">
        <is>
          <t>periodicPulse</t>
        </is>
      </c>
      <c r="O1507" s="9" t="inlineStr">
        <is>
          <t>轮转时，消耗 36 点法力，获得 20 层坚硬；与它相邻的道具现有的冻结和减速各缩短 1.5 秒，并在本场战斗中使每次造成的伤害 +8、轮转消耗的气血、体力、法力或神识 -2，伤害最多 +32、消耗最多 -8</t>
        </is>
      </c>
      <c r="P1507" s="9" t="inlineStr"/>
      <c r="Q1507" s="9" t="inlineStr"/>
      <c r="R1507" s="9" t="inlineStr">
        <is>
          <t>{"kind":"periodicPulse","periodicPulse":{"intervalSec":14,"label":"&lt;battle&gt;轮转时，消耗 36 点法力，获得 20 层坚硬；与它相邻的道具现有的冻结和减速各缩短 1.5 秒，并在本场战斗中使每次造成的伤害 +8、轮转消耗的气血、体力、法力或神识 -2，伤害最多 +32、消耗最多 -8&lt;/battle&gt;","primaryStatCosts":[{"stat":"mana","amount":36}],"buffGains":[{"buffId":"sturdy","count":20}],"battleItemGrowthEffects":[{"targetScope":"adjacent","damageHealthFlat":8,"maxDamageHealthFlat":32,"primaryStatCostReduction":2,"maxPrimaryStatCostReduction":8}],"itemRuntimeStatusReliefEffects":[{"targetScope":"adjacent","statuses":["freeze","slow"],"durationSec":1.5}]},"executionScope":"beast","visibilityScope":"beast"}</t>
        </is>
      </c>
    </row>
    <row r="1508" ht="32" customHeight="1">
      <c r="A1508" s="8" t="n">
        <v>500199</v>
      </c>
      <c r="B1508" s="8" t="inlineStr">
        <is>
          <t>清脉蹄</t>
        </is>
      </c>
      <c r="C1508" s="8" t="inlineStr">
        <is>
          <t>材料</t>
        </is>
      </c>
      <c r="D1508" s="8" t="inlineStr">
        <is>
          <t>spirit</t>
        </is>
      </c>
      <c r="E1508" s="8" t="inlineStr">
        <is>
          <t>water</t>
        </is>
      </c>
      <c r="F1508" s="8" t="n">
        <v>1</v>
      </c>
      <c r="G1508" s="8" t="inlineStr">
        <is>
          <t>基础/顶层</t>
        </is>
      </c>
      <c r="H1508" s="8" t="inlineStr"/>
      <c r="I1508" s="9" t="inlineStr"/>
      <c r="J1508" s="8" t="inlineStr"/>
      <c r="K1508" s="8" t="inlineStr"/>
      <c r="L1508" s="8" t="inlineStr"/>
      <c r="M1508" s="8" t="inlineStr">
        <is>
          <t>周期触发</t>
        </is>
      </c>
      <c r="N1508" s="8" t="inlineStr">
        <is>
          <t>periodicPulse</t>
        </is>
      </c>
      <c r="O1508" s="9" t="inlineStr">
        <is>
          <t>轮转时，消耗 18 点神识，对敌方造成 110 点伤害，每次轮转后伤害效果升级；伤害</t>
        </is>
      </c>
      <c r="P1508" s="9" t="inlineStr">
        <is>
          <t>onPeriodicPulse</t>
        </is>
      </c>
      <c r="Q1508" s="9" t="inlineStr"/>
      <c r="R1508" s="9" t="inlineStr">
        <is>
          <t>{"kind":"periodicPulse","periodicPulse":{"intervalSec":11,"label":"&lt;battle&gt;轮转时，消耗 18 点神识，对敌方造成 110 点伤害，每次轮转后伤害效果升级&lt;/battle&gt;","primaryStatCosts":[{"stat":"spiritSense","amount":18}],"damageHealth":{"target":"enemy","amount":110}},"executionScope":"beast","visibilityScope":"beast","growth":{"lifecycle":"singleGame","trigger":"onPeriodicPulse","bindings":[{"path":"periodicPulse.damageHealth.amount","delta":12,"maxValue":158,"label":"伤害","textOccurrence":0}],"support":"battleOnly"}}</t>
        </is>
      </c>
    </row>
    <row r="1509" ht="32" customHeight="1">
      <c r="A1509" s="8" t="n">
        <v>500200</v>
      </c>
      <c r="B1509" s="8" t="inlineStr">
        <is>
          <t>霜鹿肩骨</t>
        </is>
      </c>
      <c r="C1509" s="8" t="inlineStr">
        <is>
          <t>材料</t>
        </is>
      </c>
      <c r="D1509" s="8" t="inlineStr">
        <is>
          <t>spirit</t>
        </is>
      </c>
      <c r="E1509" s="8" t="inlineStr">
        <is>
          <t>water</t>
        </is>
      </c>
      <c r="F1509" s="8" t="n">
        <v>1</v>
      </c>
      <c r="G1509" s="8" t="inlineStr">
        <is>
          <t>基础/顶层</t>
        </is>
      </c>
      <c r="H1509" s="8" t="inlineStr"/>
      <c r="I1509" s="9" t="inlineStr"/>
      <c r="J1509" s="8" t="inlineStr"/>
      <c r="K1509" s="8" t="inlineStr"/>
      <c r="L1509" s="8" t="inlineStr"/>
      <c r="M1509" s="8" t="inlineStr">
        <is>
          <t>周期触发</t>
        </is>
      </c>
      <c r="N1509" s="8" t="inlineStr">
        <is>
          <t>periodicPulse</t>
        </is>
      </c>
      <c r="O1509" s="9" t="inlineStr">
        <is>
          <t>轮转时，消耗 36 点体力，对敌方造成 144 点伤害，每次轮转后消耗效果升级；消耗降低</t>
        </is>
      </c>
      <c r="P1509" s="9" t="inlineStr">
        <is>
          <t>onPeriodicPulse</t>
        </is>
      </c>
      <c r="Q1509" s="9" t="inlineStr"/>
      <c r="R1509" s="9" t="inlineStr">
        <is>
          <t>{"kind":"periodicPulse","periodicPulse":{"intervalSec":12,"label":"&lt;battle&gt;轮转时，消耗 36 点体力，对敌方造成 144 点伤害，每次轮转后消耗效果升级&lt;/battle&gt;","primaryStatCosts":[{"stat":"stamina","amount":36}],"damageHealth":{"target":"enemy","amount":144}},"executionScope":"beast","visibilityScope":"beast","growth":{"lifecycle":"singleGame","trigger":"onPeriodicPulse","bindings":[{"path":"periodicPulse.primaryStatCosts.0.amount","delta":-3,"maxValue":27,"label":"消耗降低","textOccurrence":0}],"support":"battleOnly"}}</t>
        </is>
      </c>
    </row>
    <row r="1510" ht="32" customHeight="1">
      <c r="A1510" s="8" t="n">
        <v>500201</v>
      </c>
      <c r="B1510" s="8" t="inlineStr">
        <is>
          <t>霜枝灵角</t>
        </is>
      </c>
      <c r="C1510" s="8" t="inlineStr">
        <is>
          <t>材料</t>
        </is>
      </c>
      <c r="D1510" s="8" t="inlineStr">
        <is>
          <t>spirit</t>
        </is>
      </c>
      <c r="E1510" s="8" t="inlineStr">
        <is>
          <t>water</t>
        </is>
      </c>
      <c r="F1510" s="8" t="n">
        <v>1</v>
      </c>
      <c r="G1510" s="8" t="inlineStr">
        <is>
          <t>基础/顶层</t>
        </is>
      </c>
      <c r="H1510" s="8" t="inlineStr"/>
      <c r="I1510" s="9" t="inlineStr"/>
      <c r="J1510" s="8" t="inlineStr"/>
      <c r="K1510" s="8" t="inlineStr"/>
      <c r="L1510" s="8" t="inlineStr"/>
      <c r="M1510" s="8" t="inlineStr">
        <is>
          <t>周期触发</t>
        </is>
      </c>
      <c r="N1510" s="8" t="inlineStr">
        <is>
          <t>periodicPulse</t>
        </is>
      </c>
      <c r="O1510" s="9" t="inlineStr">
        <is>
          <t>轮转时，消耗 30 点体力，对敌方造成 40 点伤害，获得 12 层寒冷，并随机冻结敌方 2 个道具 2 秒</t>
        </is>
      </c>
      <c r="P1510" s="9" t="inlineStr"/>
      <c r="Q1510" s="9" t="inlineStr"/>
      <c r="R1510" s="9" t="inlineStr">
        <is>
          <t>{"kind":"periodicPulse","periodicPulse":{"intervalSec":17,"label":"&lt;battle&gt;轮转时，消耗 30 点体力，对敌方造成 40 点伤害，获得 12 层寒冷，并随机冻结敌方 2 个道具 2 秒&lt;/battle&gt;","primaryStatCosts":[{"stat":"stamina","amount":30}],"buffGains":[{"buffId":"cold","count":12}],"damageHealth":{"target":"enemy","amount":40},"itemRuntimeStatusEffects":[{"itemRuntimeStatus":"freeze","durationSec":2,"targetScope":"enemyRandom","amount":2}]},"executionScope":"beast","visibilityScope":"beast"}</t>
        </is>
      </c>
    </row>
    <row r="1511" ht="32" customHeight="1">
      <c r="A1511" s="8" t="n">
        <v>500202</v>
      </c>
      <c r="B1511" s="8" t="inlineStr">
        <is>
          <t>寒脉灵髓</t>
        </is>
      </c>
      <c r="C1511" s="8" t="inlineStr">
        <is>
          <t>材料</t>
        </is>
      </c>
      <c r="D1511" s="8" t="inlineStr">
        <is>
          <t>spirit</t>
        </is>
      </c>
      <c r="E1511" s="8" t="inlineStr">
        <is>
          <t>water</t>
        </is>
      </c>
      <c r="F1511" s="8" t="n">
        <v>1</v>
      </c>
      <c r="G1511" s="8" t="inlineStr">
        <is>
          <t>基础/顶层</t>
        </is>
      </c>
      <c r="H1511" s="8" t="inlineStr"/>
      <c r="I1511" s="9" t="inlineStr"/>
      <c r="J1511" s="8" t="inlineStr"/>
      <c r="K1511" s="8" t="inlineStr"/>
      <c r="L1511" s="8" t="inlineStr"/>
      <c r="M1511" s="8" t="inlineStr">
        <is>
          <t>周期触发</t>
        </is>
      </c>
      <c r="N1511" s="8" t="inlineStr">
        <is>
          <t>periodicPulse</t>
        </is>
      </c>
      <c r="O1511" s="9" t="inlineStr">
        <is>
          <t>轮转时，如果自身神识高于敌方，恢复自身 90 点法力并获得 4 层再生</t>
        </is>
      </c>
      <c r="P1511" s="9" t="inlineStr"/>
      <c r="Q1511" s="9" t="inlineStr">
        <is>
          <t>sourcePrimaryStatGreaterThanTarget</t>
        </is>
      </c>
      <c r="R1511" s="9" t="inlineStr">
        <is>
          <t>{"kind":"periodicPulse","periodicPulse":{"intervalSec":12,"label":"&lt;battle&gt;轮转时，如果自身神识高于敌方，恢复自身 90 点法力并获得 4 层再生&lt;/battle&gt;","battleCondition":{"type":"sourcePrimaryStatGreaterThanTarget","stat":"spiritSense"},"battlePrimaryStatGains":[{"stat":"mana","amount":90}],"buffGains":[{"buffId":"regeneration","count":4}]},"executionScope":"beast","visibilityScope":"beast"}</t>
        </is>
      </c>
    </row>
    <row r="1512" ht="32" customHeight="1">
      <c r="A1512" s="8" t="n">
        <v>500203</v>
      </c>
      <c r="B1512" s="8" t="inlineStr">
        <is>
          <t>霜脉心筋</t>
        </is>
      </c>
      <c r="C1512" s="8" t="inlineStr">
        <is>
          <t>材料</t>
        </is>
      </c>
      <c r="D1512" s="8" t="inlineStr">
        <is>
          <t>spirit</t>
        </is>
      </c>
      <c r="E1512" s="8" t="inlineStr">
        <is>
          <t>water</t>
        </is>
      </c>
      <c r="F1512" s="8" t="n">
        <v>1</v>
      </c>
      <c r="G1512" s="8" t="inlineStr">
        <is>
          <t>基础/顶层</t>
        </is>
      </c>
      <c r="H1512" s="8" t="inlineStr"/>
      <c r="I1512" s="9" t="inlineStr"/>
      <c r="J1512" s="8" t="inlineStr"/>
      <c r="K1512" s="8" t="inlineStr"/>
      <c r="L1512" s="8" t="inlineStr"/>
      <c r="M1512" s="8" t="inlineStr">
        <is>
          <t>周期触发</t>
        </is>
      </c>
      <c r="N1512" s="8" t="inlineStr">
        <is>
          <t>periodicPulse</t>
        </is>
      </c>
      <c r="O1512" s="9" t="inlineStr">
        <is>
          <t>轮转时，消耗 20 点神识，冻结敌方占格最大的道具 3 秒，并使其减速 4 秒</t>
        </is>
      </c>
      <c r="P1512" s="9" t="inlineStr"/>
      <c r="Q1512" s="9" t="inlineStr"/>
      <c r="R1512" s="9" t="inlineStr">
        <is>
          <t>{"kind":"periodicPulse","periodicPulse":{"intervalSec":23,"label":"&lt;battle&gt;轮转时，消耗 20 点神识，冻结敌方占格最大的道具 3 秒，并使其减速 4 秒&lt;/battle&gt;","primaryStatCosts":[{"stat":"spiritSense","amount":20}],"itemRuntimeStatusEffects":[{"itemRuntimeStatus":"freeze","durationSec":3,"targetScope":"enemyLargest","amount":1},{"itemRuntimeStatus":"slow","durationSec":4,"strengthPercent":45,"targetScope":"enemyLargest","amount":1}]},"executionScope":"beast","visibilityScope":"beast"}</t>
        </is>
      </c>
    </row>
    <row r="1513" ht="32" customHeight="1">
      <c r="A1513" s="8" t="n">
        <v>500204</v>
      </c>
      <c r="B1513" s="8" t="inlineStr">
        <is>
          <t>鹿影尾骨</t>
        </is>
      </c>
      <c r="C1513" s="8" t="inlineStr">
        <is>
          <t>材料</t>
        </is>
      </c>
      <c r="D1513" s="8" t="inlineStr">
        <is>
          <t>spirit</t>
        </is>
      </c>
      <c r="E1513" s="8" t="inlineStr">
        <is>
          <t>water</t>
        </is>
      </c>
      <c r="F1513" s="8" t="n">
        <v>1</v>
      </c>
      <c r="G1513" s="8" t="inlineStr">
        <is>
          <t>基础/顶层</t>
        </is>
      </c>
      <c r="H1513" s="8" t="inlineStr"/>
      <c r="I1513" s="9" t="inlineStr"/>
      <c r="J1513" s="8" t="inlineStr"/>
      <c r="K1513" s="8" t="inlineStr"/>
      <c r="L1513" s="8" t="inlineStr"/>
      <c r="M1513" s="8" t="inlineStr">
        <is>
          <t>周期触发</t>
        </is>
      </c>
      <c r="N1513" s="8" t="inlineStr">
        <is>
          <t>periodicPulse</t>
        </is>
      </c>
      <c r="O1513" s="9" t="inlineStr">
        <is>
          <t>轮转时，消耗 20 点体力与最多 36 层寒冷；每消耗 1 层寒冷，对敌方造成 3 点伤害，随机冻结敌方 3 个道具 3 秒，并使相邻道具加速 10 秒</t>
        </is>
      </c>
      <c r="P1513" s="9" t="inlineStr">
        <is>
          <t>onPeriodicPulse</t>
        </is>
      </c>
      <c r="Q1513" s="9" t="inlineStr">
        <is>
          <t>consumeBuffStacks</t>
        </is>
      </c>
      <c r="R1513" s="9" t="inlineStr">
        <is>
          <t>{"kind":"periodicPulse","periodicPulse":{"intervalSec":41,"label":"&lt;battle&gt;轮转时，消耗 20 点体力与最多 36 层寒冷；每消耗 1 层寒冷，对敌方造成 3 点伤害，随机冻结敌方 3 个道具 3 秒，并使相邻道具加速 10 秒&lt;/battle&gt;","primaryStatCosts":[{"stat":"stamina","amount":20}],"itemRuntimeStatusEffects":[{"itemRuntimeStatus":"freeze","durationSec":3,"targetScope":"enemyRandom","amount":3},{"itemRuntimeStatus":"haste","durationSec":10,"strengthPercent":35,"targetScope":"adjacent"}]},"executors":[{"trigger":"onPeriodicPulse","type":"consumeBuffStacks","sourceBuffId":"cold","maxStacks":36,"battleDamageHealthPerStack":3,"support":"common"}],"executionScope":"beast","visibilityScope":"beast"}</t>
        </is>
      </c>
    </row>
    <row r="1514" ht="32" customHeight="1">
      <c r="A1514" s="8" t="n">
        <v>500205</v>
      </c>
      <c r="B1514" s="8" t="inlineStr">
        <is>
          <t>赤纹皮</t>
        </is>
      </c>
      <c r="C1514" s="8" t="inlineStr">
        <is>
          <t>材料</t>
        </is>
      </c>
      <c r="D1514" s="8" t="inlineStr">
        <is>
          <t>common</t>
        </is>
      </c>
      <c r="E1514" s="8" t="inlineStr">
        <is>
          <t>fire</t>
        </is>
      </c>
      <c r="F1514" s="8" t="n">
        <v>1</v>
      </c>
      <c r="G1514" s="8" t="inlineStr">
        <is>
          <t>基础/顶层</t>
        </is>
      </c>
      <c r="H1514" s="8" t="inlineStr"/>
      <c r="I1514" s="9" t="inlineStr"/>
      <c r="J1514" s="8" t="inlineStr"/>
      <c r="K1514" s="8" t="inlineStr"/>
      <c r="L1514" s="8" t="inlineStr"/>
      <c r="M1514" s="8" t="inlineStr">
        <is>
          <t>周期触发</t>
        </is>
      </c>
      <c r="N1514" s="8" t="inlineStr">
        <is>
          <t>periodicPulse</t>
        </is>
      </c>
      <c r="O1514" s="9" t="inlineStr">
        <is>
          <t>轮转时，消耗 3 点体力，对敌方造成 3 点伤害</t>
        </is>
      </c>
      <c r="P1514" s="9" t="inlineStr"/>
      <c r="Q1514" s="9" t="inlineStr"/>
      <c r="R1514" s="9" t="inlineStr">
        <is>
          <t>{"kind":"periodicPulse","periodicPulse":{"intervalSec":6,"label":"&lt;battle&gt;轮转时，消耗 3 点体力，对敌方造成 3 点伤害&lt;/battle&gt;","primaryStatCosts":[{"stat":"stamina","amount":3}],"damageHealth":{"target":"enemy","amount":3}},"executionScope":"beast","visibilityScope":"beast"}</t>
        </is>
      </c>
    </row>
    <row r="1515" ht="32" customHeight="1">
      <c r="A1515" s="8" t="n">
        <v>500206</v>
      </c>
      <c r="B1515" s="8" t="inlineStr">
        <is>
          <t>温岩爪</t>
        </is>
      </c>
      <c r="C1515" s="8" t="inlineStr">
        <is>
          <t>材料</t>
        </is>
      </c>
      <c r="D1515" s="8" t="inlineStr">
        <is>
          <t>common</t>
        </is>
      </c>
      <c r="E1515" s="8" t="inlineStr">
        <is>
          <t>fire</t>
        </is>
      </c>
      <c r="F1515" s="8" t="n">
        <v>1</v>
      </c>
      <c r="G1515" s="8" t="inlineStr">
        <is>
          <t>基础/顶层</t>
        </is>
      </c>
      <c r="H1515" s="8" t="inlineStr"/>
      <c r="I1515" s="9" t="inlineStr"/>
      <c r="J1515" s="8" t="inlineStr"/>
      <c r="K1515" s="8" t="inlineStr"/>
      <c r="L1515" s="8" t="inlineStr"/>
      <c r="M1515" s="8" t="inlineStr">
        <is>
          <t>周期触发</t>
        </is>
      </c>
      <c r="N1515" s="8" t="inlineStr">
        <is>
          <t>periodicPulse</t>
        </is>
      </c>
      <c r="O1515" s="9" t="inlineStr">
        <is>
          <t>轮转时，对敌方造成 8 点伤害</t>
        </is>
      </c>
      <c r="P1515" s="9" t="inlineStr"/>
      <c r="Q1515" s="9" t="inlineStr"/>
      <c r="R1515" s="9" t="inlineStr">
        <is>
          <t>{"kind":"periodicPulse","periodicPulse":{"intervalSec":10,"label":"&lt;battle&gt;轮转时，对敌方造成 8 点伤害&lt;/battle&gt;","damageHealth":{"target":"enemy","amount":8}},"executionScope":"beast","visibilityScope":"beast"}</t>
        </is>
      </c>
    </row>
    <row r="1516" ht="32" customHeight="1">
      <c r="A1516" s="8" t="n">
        <v>500207</v>
      </c>
      <c r="B1516" s="8" t="inlineStr">
        <is>
          <t>炉线尾骨</t>
        </is>
      </c>
      <c r="C1516" s="8" t="inlineStr">
        <is>
          <t>材料</t>
        </is>
      </c>
      <c r="D1516" s="8" t="inlineStr">
        <is>
          <t>common</t>
        </is>
      </c>
      <c r="E1516" s="8" t="inlineStr">
        <is>
          <t>fire</t>
        </is>
      </c>
      <c r="F1516" s="8" t="n">
        <v>1</v>
      </c>
      <c r="G1516" s="8" t="inlineStr">
        <is>
          <t>基础/顶层</t>
        </is>
      </c>
      <c r="H1516" s="8" t="inlineStr"/>
      <c r="I1516" s="9" t="inlineStr"/>
      <c r="J1516" s="8" t="inlineStr"/>
      <c r="K1516" s="8" t="inlineStr"/>
      <c r="L1516" s="8" t="inlineStr"/>
      <c r="M1516" s="8" t="inlineStr">
        <is>
          <t>周期触发</t>
        </is>
      </c>
      <c r="N1516" s="8" t="inlineStr">
        <is>
          <t>periodicPulse</t>
        </is>
      </c>
      <c r="O1516" s="9" t="inlineStr">
        <is>
          <t>轮转时，消耗 3 点体力，并消耗敌方 1 层灼烧，敌方每有 1 层灼烧就对其造成 1 点伤害</t>
        </is>
      </c>
      <c r="P1516" s="9" t="inlineStr"/>
      <c r="Q1516" s="9" t="inlineStr"/>
      <c r="R1516" s="9" t="inlineStr">
        <is>
          <t>{"kind":"periodicPulse","periodicPulse":{"intervalSec":8,"label":"轮转时，消耗 3 点体力，&lt;battle&gt;并消耗敌方 1 层灼烧，敌方每有 1 层灼烧就对其造成 1 点伤害&lt;/battle&gt;","primaryStatCosts":[{"stat":"stamina","amount":3}],"damageHealth":{"target":"enemy","amount":0,"amountPerTargetBuffStack":{"buffId":"burning","valuePerStack":1},"removeTargetBuffStacksAfterDamage":{"buffId":"burning","count":1}}},"executionScope":"beast","visibilityScope":"beast"}</t>
        </is>
      </c>
    </row>
    <row r="1517" ht="32" customHeight="1">
      <c r="A1517" s="8" t="n">
        <v>500208</v>
      </c>
      <c r="B1517" s="8" t="inlineStr">
        <is>
          <t>赤纹热骨</t>
        </is>
      </c>
      <c r="C1517" s="8" t="inlineStr">
        <is>
          <t>材料</t>
        </is>
      </c>
      <c r="D1517" s="8" t="inlineStr">
        <is>
          <t>common</t>
        </is>
      </c>
      <c r="E1517" s="8" t="inlineStr">
        <is>
          <t>fire</t>
        </is>
      </c>
      <c r="F1517" s="8" t="n">
        <v>1</v>
      </c>
      <c r="G1517" s="8" t="inlineStr">
        <is>
          <t>基础/顶层</t>
        </is>
      </c>
      <c r="H1517" s="8" t="inlineStr"/>
      <c r="I1517" s="9" t="inlineStr"/>
      <c r="J1517" s="8" t="inlineStr"/>
      <c r="K1517" s="8" t="inlineStr"/>
      <c r="L1517" s="8" t="inlineStr"/>
      <c r="M1517" s="8" t="inlineStr">
        <is>
          <t>周期触发</t>
        </is>
      </c>
      <c r="N1517" s="8" t="inlineStr">
        <is>
          <t>periodicPulse</t>
        </is>
      </c>
      <c r="O1517" s="9" t="inlineStr">
        <is>
          <t>轮转时，消耗全部法力，对敌方施加灼烧（最多 3 层）</t>
        </is>
      </c>
      <c r="P1517" s="9" t="inlineStr"/>
      <c r="Q1517" s="9" t="inlineStr"/>
      <c r="R1517" s="9" t="inlineStr">
        <is>
          <t>{"kind":"periodicPulse","periodicPulse":{"intervalSec":20,"label":"&lt;battle&gt;轮转时，消耗全部法力，对敌方施加灼烧（最多 3 层）&lt;/battle&gt;","primaryStatCosts":[{"stat":"mana","currentRatio":1}],"buffGains":[{"buffId":"burning","countPerPrimaryStatConsumed":{"stat":"mana","valuePerPoint":1,"maxAmount":3},"target":"enemy"}]},"executionScope":"beast","visibilityScope":"beast"}</t>
        </is>
      </c>
    </row>
    <row r="1518" ht="32" customHeight="1">
      <c r="A1518" s="8" t="n">
        <v>500209</v>
      </c>
      <c r="B1518" s="8" t="inlineStr">
        <is>
          <t>岩狸炉心</t>
        </is>
      </c>
      <c r="C1518" s="8" t="inlineStr">
        <is>
          <t>材料</t>
        </is>
      </c>
      <c r="D1518" s="8" t="inlineStr">
        <is>
          <t>common</t>
        </is>
      </c>
      <c r="E1518" s="8" t="inlineStr">
        <is>
          <t>fire</t>
        </is>
      </c>
      <c r="F1518" s="8" t="n">
        <v>1</v>
      </c>
      <c r="G1518" s="8" t="inlineStr">
        <is>
          <t>基础/顶层</t>
        </is>
      </c>
      <c r="H1518" s="8" t="inlineStr"/>
      <c r="I1518" s="9" t="inlineStr"/>
      <c r="J1518" s="8" t="inlineStr"/>
      <c r="K1518" s="8" t="inlineStr"/>
      <c r="L1518" s="8" t="inlineStr"/>
      <c r="M1518" s="8" t="inlineStr">
        <is>
          <t>周期触发</t>
        </is>
      </c>
      <c r="N1518" s="8" t="inlineStr">
        <is>
          <t>periodicPulse</t>
        </is>
      </c>
      <c r="O1518" s="9" t="inlineStr">
        <is>
          <t>轮转时，为敌方施加 2 层灼烧</t>
        </is>
      </c>
      <c r="P1518" s="9" t="inlineStr"/>
      <c r="Q1518" s="9" t="inlineStr"/>
      <c r="R1518" s="9" t="inlineStr">
        <is>
          <t>{"kind":"periodicPulse","periodicPulse":{"intervalSec":10,"label":"&lt;battle&gt;轮转时，为敌方施加 2 层灼烧&lt;/battle&gt;","buffGains":[{"buffId":"burning","count":2,"target":"enemy"}]},"executionScope":"beast","visibilityScope":"beast"}</t>
        </is>
      </c>
    </row>
    <row r="1519" ht="32" customHeight="1">
      <c r="A1519" s="8" t="n">
        <v>500217</v>
      </c>
      <c r="B1519" s="8" t="inlineStr">
        <is>
          <t>碎角石片</t>
        </is>
      </c>
      <c r="C1519" s="8" t="inlineStr">
        <is>
          <t>材料</t>
        </is>
      </c>
      <c r="D1519" s="8" t="inlineStr">
        <is>
          <t>common</t>
        </is>
      </c>
      <c r="E1519" s="8" t="inlineStr">
        <is>
          <t>earth</t>
        </is>
      </c>
      <c r="F1519" s="8" t="n">
        <v>1</v>
      </c>
      <c r="G1519" s="8" t="inlineStr">
        <is>
          <t>基础/顶层</t>
        </is>
      </c>
      <c r="H1519" s="8" t="inlineStr"/>
      <c r="I1519" s="9" t="inlineStr"/>
      <c r="J1519" s="8" t="inlineStr"/>
      <c r="K1519" s="8" t="inlineStr"/>
      <c r="L1519" s="8" t="inlineStr"/>
      <c r="M1519" s="8" t="inlineStr">
        <is>
          <t>周期触发</t>
        </is>
      </c>
      <c r="N1519" s="8" t="inlineStr">
        <is>
          <t>periodicPulse</t>
        </is>
      </c>
      <c r="O1519" s="9" t="inlineStr">
        <is>
          <t>轮转时，对敌方造成 1 点伤害</t>
        </is>
      </c>
      <c r="P1519" s="9" t="inlineStr"/>
      <c r="Q1519" s="9" t="inlineStr"/>
      <c r="R1519" s="9" t="inlineStr">
        <is>
          <t>{"kind":"periodicPulse","periodicPulse":{"intervalSec":7,"label":"&lt;battle&gt;轮转时，对敌方造成 1 点伤害&lt;/battle&gt;","damageHealth":{"target":"enemy","amount":1}},"executionScope":"beast","visibilityScope":"beast"}</t>
        </is>
      </c>
    </row>
    <row r="1520" ht="32" customHeight="1">
      <c r="A1520" s="8" t="n">
        <v>500218</v>
      </c>
      <c r="B1520" s="8" t="inlineStr">
        <is>
          <t>松苔鬃皮</t>
        </is>
      </c>
      <c r="C1520" s="8" t="inlineStr">
        <is>
          <t>材料</t>
        </is>
      </c>
      <c r="D1520" s="8" t="inlineStr">
        <is>
          <t>common</t>
        </is>
      </c>
      <c r="E1520" s="8" t="inlineStr">
        <is>
          <t>wood</t>
        </is>
      </c>
      <c r="F1520" s="8" t="n">
        <v>1</v>
      </c>
      <c r="G1520" s="8" t="inlineStr">
        <is>
          <t>基础/顶层</t>
        </is>
      </c>
      <c r="H1520" s="8" t="inlineStr"/>
      <c r="I1520" s="9" t="inlineStr"/>
      <c r="J1520" s="8" t="inlineStr"/>
      <c r="K1520" s="8" t="inlineStr"/>
      <c r="L1520" s="8" t="inlineStr"/>
      <c r="M1520" s="8" t="inlineStr">
        <is>
          <t>周期触发</t>
        </is>
      </c>
      <c r="N1520" s="8" t="inlineStr">
        <is>
          <t>periodicPulse</t>
        </is>
      </c>
      <c r="O1520" s="9" t="inlineStr">
        <is>
          <t>轮转时，将 3 点法力转化为 2 层坚硬</t>
        </is>
      </c>
      <c r="P1520" s="9" t="inlineStr"/>
      <c r="Q1520" s="9" t="inlineStr"/>
      <c r="R1520" s="9" t="inlineStr">
        <is>
          <t>{"kind":"periodicPulse","periodicPulse":{"intervalSec":6,"label":"轮转时，将 3 点法力转化为 2 层坚硬","primaryStatCosts":[{"stat":"mana","amount":3}],"buffGains":[{"buffId":"sturdy","count":2}]},"executionScope":"beast","visibilityScope":"beast"}</t>
        </is>
      </c>
    </row>
    <row r="1521" ht="32" customHeight="1">
      <c r="A1521" s="8" t="n">
        <v>500219</v>
      </c>
      <c r="B1521" s="8" t="inlineStr">
        <is>
          <t>林獐前蹄</t>
        </is>
      </c>
      <c r="C1521" s="8" t="inlineStr">
        <is>
          <t>材料</t>
        </is>
      </c>
      <c r="D1521" s="8" t="inlineStr">
        <is>
          <t>common</t>
        </is>
      </c>
      <c r="E1521" s="8" t="inlineStr">
        <is>
          <t>earth</t>
        </is>
      </c>
      <c r="F1521" s="8" t="n">
        <v>1</v>
      </c>
      <c r="G1521" s="8" t="inlineStr">
        <is>
          <t>基础/顶层</t>
        </is>
      </c>
      <c r="H1521" s="8" t="inlineStr"/>
      <c r="I1521" s="9" t="inlineStr"/>
      <c r="J1521" s="8" t="inlineStr"/>
      <c r="K1521" s="8" t="inlineStr"/>
      <c r="L1521" s="8" t="inlineStr"/>
      <c r="M1521" s="8" t="inlineStr">
        <is>
          <t>周期触发</t>
        </is>
      </c>
      <c r="N1521" s="8" t="inlineStr">
        <is>
          <t>periodicPulse</t>
        </is>
      </c>
      <c r="O1521" s="9" t="inlineStr">
        <is>
          <t>轮转时，消耗 5 点体力，对敌方造成 3 点伤害</t>
        </is>
      </c>
      <c r="P1521" s="9" t="inlineStr"/>
      <c r="Q1521" s="9" t="inlineStr"/>
      <c r="R1521" s="9" t="inlineStr">
        <is>
          <t>{"kind":"periodicPulse","periodicPulse":{"intervalSec":10,"label":"&lt;battle&gt;轮转时，消耗 5 点体力，对敌方造成 3 点伤害&lt;/battle&gt;","primaryStatCosts":[{"stat":"stamina","amount":5}],"damageHealth":{"target":"enemy","amount":3}},"executionScope":"beast","visibilityScope":"beast"}</t>
        </is>
      </c>
    </row>
    <row r="1522" ht="32" customHeight="1">
      <c r="A1522" s="8" t="n">
        <v>500220</v>
      </c>
      <c r="B1522" s="8" t="inlineStr">
        <is>
          <t>灰纹筋束</t>
        </is>
      </c>
      <c r="C1522" s="8" t="inlineStr">
        <is>
          <t>材料</t>
        </is>
      </c>
      <c r="D1522" s="8" t="inlineStr">
        <is>
          <t>common</t>
        </is>
      </c>
      <c r="E1522" s="8" t="inlineStr">
        <is>
          <t>wood</t>
        </is>
      </c>
      <c r="F1522" s="8" t="n">
        <v>1</v>
      </c>
      <c r="G1522" s="8" t="inlineStr">
        <is>
          <t>基础/顶层</t>
        </is>
      </c>
      <c r="H1522" s="8" t="inlineStr"/>
      <c r="I1522" s="9" t="inlineStr"/>
      <c r="J1522" s="8" t="inlineStr"/>
      <c r="K1522" s="8" t="inlineStr"/>
      <c r="L1522" s="8" t="inlineStr"/>
      <c r="M1522" s="8" t="inlineStr">
        <is>
          <t>周期触发</t>
        </is>
      </c>
      <c r="N1522" s="8" t="inlineStr">
        <is>
          <t>periodicPulse</t>
        </is>
      </c>
      <c r="O1522" s="9" t="inlineStr">
        <is>
          <t>轮转时，恢复 3 点气血和 5 点体力</t>
        </is>
      </c>
      <c r="P1522" s="9" t="inlineStr"/>
      <c r="Q1522" s="9" t="inlineStr"/>
      <c r="R1522" s="9" t="inlineStr">
        <is>
          <t>{"kind":"periodicPulse","periodicPulse":{"intervalSec":15,"label":"轮转时，恢复 3 点气血和 5 点体力","primaryStatGains":[{"stat":"stamina","amount":5},{"stat":"health","amount":3}]},"executionScope":"beast","visibilityScope":"beast"}</t>
        </is>
      </c>
    </row>
    <row r="1523" ht="32" customHeight="1">
      <c r="A1523" s="8" t="n">
        <v>500221</v>
      </c>
      <c r="B1523" s="8" t="inlineStr">
        <is>
          <t>伏岩斑皮</t>
        </is>
      </c>
      <c r="C1523" s="8" t="inlineStr">
        <is>
          <t>材料</t>
        </is>
      </c>
      <c r="D1523" s="8" t="inlineStr">
        <is>
          <t>common</t>
        </is>
      </c>
      <c r="E1523" s="8" t="inlineStr">
        <is>
          <t>earth</t>
        </is>
      </c>
      <c r="F1523" s="8" t="n">
        <v>1</v>
      </c>
      <c r="G1523" s="8" t="inlineStr">
        <is>
          <t>基础/顶层</t>
        </is>
      </c>
      <c r="H1523" s="8" t="inlineStr"/>
      <c r="I1523" s="9" t="inlineStr"/>
      <c r="J1523" s="8" t="inlineStr"/>
      <c r="K1523" s="8" t="inlineStr"/>
      <c r="L1523" s="8" t="inlineStr"/>
      <c r="M1523" s="8" t="inlineStr">
        <is>
          <t>周期触发</t>
        </is>
      </c>
      <c r="N1523" s="8" t="inlineStr">
        <is>
          <t>periodicPulse</t>
        </is>
      </c>
      <c r="O1523" s="9" t="inlineStr">
        <is>
          <t>轮转时，获得 2 层坚硬</t>
        </is>
      </c>
      <c r="P1523" s="9" t="inlineStr"/>
      <c r="Q1523" s="9" t="inlineStr"/>
      <c r="R1523" s="9" t="inlineStr">
        <is>
          <t>{"kind":"periodicPulse","periodicPulse":{"intervalSec":10,"label":"轮转时，获得 2 层坚硬","buffGains":[{"buffId":"sturdy","count":2}]},"executionScope":"beast","visibilityScope":"beast"}</t>
        </is>
      </c>
    </row>
    <row r="1524" ht="32" customHeight="1">
      <c r="A1524" s="8" t="n">
        <v>500222</v>
      </c>
      <c r="B1524" s="8" t="inlineStr">
        <is>
          <t>黑貂利爪</t>
        </is>
      </c>
      <c r="C1524" s="8" t="inlineStr">
        <is>
          <t>材料</t>
        </is>
      </c>
      <c r="D1524" s="8" t="inlineStr">
        <is>
          <t>common</t>
        </is>
      </c>
      <c r="E1524" s="8" t="inlineStr">
        <is>
          <t>metal</t>
        </is>
      </c>
      <c r="F1524" s="8" t="n">
        <v>1</v>
      </c>
      <c r="G1524" s="8" t="inlineStr">
        <is>
          <t>基础/顶层</t>
        </is>
      </c>
      <c r="H1524" s="8" t="inlineStr"/>
      <c r="I1524" s="9" t="inlineStr"/>
      <c r="J1524" s="8" t="inlineStr"/>
      <c r="K1524" s="8" t="inlineStr"/>
      <c r="L1524" s="8" t="inlineStr"/>
      <c r="M1524" s="8" t="inlineStr">
        <is>
          <t>周期触发</t>
        </is>
      </c>
      <c r="N1524" s="8" t="inlineStr">
        <is>
          <t>periodicPulse</t>
        </is>
      </c>
      <c r="O1524" s="9" t="inlineStr">
        <is>
          <t>轮转时，消耗 5 点体力，对敌方造成 7 点伤害</t>
        </is>
      </c>
      <c r="P1524" s="9" t="inlineStr"/>
      <c r="Q1524" s="9" t="inlineStr"/>
      <c r="R1524" s="9" t="inlineStr">
        <is>
          <t>{"kind":"periodicPulse","periodicPulse":{"intervalSec":10,"label":"&lt;battle&gt;轮转时，消耗 5 点体力，对敌方造成 7 点伤害&lt;/battle&gt;","primaryStatCosts":[{"stat":"stamina","amount":5}],"damageHealth":{"target":"enemy","amount":7}},"executionScope":"beast","visibilityScope":"beast"}</t>
        </is>
      </c>
    </row>
    <row r="1525" ht="32" customHeight="1">
      <c r="A1525" s="8" t="n">
        <v>500223</v>
      </c>
      <c r="B1525" s="8" t="inlineStr">
        <is>
          <t>岩影长尾</t>
        </is>
      </c>
      <c r="C1525" s="8" t="inlineStr">
        <is>
          <t>材料</t>
        </is>
      </c>
      <c r="D1525" s="8" t="inlineStr">
        <is>
          <t>common</t>
        </is>
      </c>
      <c r="E1525" s="8" t="inlineStr">
        <is>
          <t>earth</t>
        </is>
      </c>
      <c r="F1525" s="8" t="n">
        <v>1</v>
      </c>
      <c r="G1525" s="8" t="inlineStr">
        <is>
          <t>基础/顶层</t>
        </is>
      </c>
      <c r="H1525" s="8" t="inlineStr"/>
      <c r="I1525" s="9" t="inlineStr"/>
      <c r="J1525" s="8" t="inlineStr"/>
      <c r="K1525" s="8" t="inlineStr"/>
      <c r="L1525" s="8" t="inlineStr"/>
      <c r="M1525" s="8" t="inlineStr">
        <is>
          <t>周期触发</t>
        </is>
      </c>
      <c r="N1525" s="8" t="inlineStr">
        <is>
          <t>periodicPulse</t>
        </is>
      </c>
      <c r="O1525" s="9" t="inlineStr">
        <is>
          <t>轮转时，将 1 点精血转化为 2 层闪避</t>
        </is>
      </c>
      <c r="P1525" s="9" t="inlineStr"/>
      <c r="Q1525" s="9" t="inlineStr"/>
      <c r="R1525" s="9" t="inlineStr">
        <is>
          <t>{"kind":"periodicPulse","periodicPulse":{"intervalSec":8,"label":"轮转时，将 1 点精血转化为 2 层闪避","primaryStatCosts":[{"stat":"bloodEssence","amount":1}],"buffGains":[{"buffId":"dodge","count":2}]},"executionScope":"beast","visibilityScope":"beast"}</t>
        </is>
      </c>
    </row>
    <row r="1526" ht="32" customHeight="1">
      <c r="A1526" s="8" t="n">
        <v>500224</v>
      </c>
      <c r="B1526" s="8" t="inlineStr">
        <is>
          <t>冷眼须针</t>
        </is>
      </c>
      <c r="C1526" s="8" t="inlineStr">
        <is>
          <t>材料</t>
        </is>
      </c>
      <c r="D1526" s="8" t="inlineStr">
        <is>
          <t>common</t>
        </is>
      </c>
      <c r="E1526" s="8" t="inlineStr">
        <is>
          <t>metal</t>
        </is>
      </c>
      <c r="F1526" s="8" t="n">
        <v>1</v>
      </c>
      <c r="G1526" s="8" t="inlineStr">
        <is>
          <t>基础/顶层</t>
        </is>
      </c>
      <c r="H1526" s="8" t="inlineStr"/>
      <c r="I1526" s="9" t="inlineStr"/>
      <c r="J1526" s="8" t="inlineStr"/>
      <c r="K1526" s="8" t="inlineStr"/>
      <c r="L1526" s="8" t="inlineStr"/>
      <c r="M1526" s="8" t="inlineStr">
        <is>
          <t>周期触发</t>
        </is>
      </c>
      <c r="N1526" s="8" t="inlineStr">
        <is>
          <t>periodicPulse</t>
        </is>
      </c>
      <c r="O1526" s="9" t="inlineStr">
        <is>
          <t>轮转时，将 1 点法力转化为 10 点体力</t>
        </is>
      </c>
      <c r="P1526" s="9" t="inlineStr"/>
      <c r="Q1526" s="9" t="inlineStr"/>
      <c r="R1526" s="9" t="inlineStr">
        <is>
          <t>{"kind":"periodicPulse","periodicPulse":{"intervalSec":15,"label":"轮转时，将 1 点法力转化为 10 点体力","primaryStatCosts":[{"stat":"mana","amount":1}],"primaryStatGains":[{"stat":"stamina","amount":10}]},"executionScope":"beast","visibilityScope":"beast"}</t>
        </is>
      </c>
    </row>
    <row r="1527" ht="32" customHeight="1">
      <c r="A1527" s="8" t="n">
        <v>500225</v>
      </c>
      <c r="B1527" s="8" t="inlineStr">
        <is>
          <t>铁喙尖片</t>
        </is>
      </c>
      <c r="C1527" s="8" t="inlineStr">
        <is>
          <t>材料</t>
        </is>
      </c>
      <c r="D1527" s="8" t="inlineStr">
        <is>
          <t>common</t>
        </is>
      </c>
      <c r="E1527" s="8" t="inlineStr">
        <is>
          <t>metal</t>
        </is>
      </c>
      <c r="F1527" s="8" t="n">
        <v>1</v>
      </c>
      <c r="G1527" s="8" t="inlineStr">
        <is>
          <t>基础/顶层</t>
        </is>
      </c>
      <c r="H1527" s="8" t="inlineStr"/>
      <c r="I1527" s="9" t="inlineStr"/>
      <c r="J1527" s="8" t="inlineStr"/>
      <c r="K1527" s="8" t="inlineStr"/>
      <c r="L1527" s="8" t="inlineStr"/>
      <c r="M1527" s="8" t="inlineStr">
        <is>
          <t>周期触发</t>
        </is>
      </c>
      <c r="N1527" s="8" t="inlineStr">
        <is>
          <t>periodicPulse</t>
        </is>
      </c>
      <c r="O1527" s="9" t="inlineStr">
        <is>
          <t>轮转时，对敌方造成 3 点伤害</t>
        </is>
      </c>
      <c r="P1527" s="9" t="inlineStr"/>
      <c r="Q1527" s="9" t="inlineStr"/>
      <c r="R1527" s="9" t="inlineStr">
        <is>
          <t>{"kind":"periodicPulse","periodicPulse":{"intervalSec":10,"label":"&lt;battle&gt;轮转时，对敌方造成 3 点伤害&lt;/battle&gt;","damageHealth":{"target":"enemy","amount":3}},"executionScope":"beast","visibilityScope":"beast"}</t>
        </is>
      </c>
    </row>
    <row r="1528" ht="32" customHeight="1">
      <c r="A1528" s="8" t="n">
        <v>500226</v>
      </c>
      <c r="B1528" s="8" t="inlineStr">
        <is>
          <t>蓝灰羽束</t>
        </is>
      </c>
      <c r="C1528" s="8" t="inlineStr">
        <is>
          <t>材料</t>
        </is>
      </c>
      <c r="D1528" s="8" t="inlineStr">
        <is>
          <t>common</t>
        </is>
      </c>
      <c r="E1528" s="8" t="inlineStr">
        <is>
          <t>wood</t>
        </is>
      </c>
      <c r="F1528" s="8" t="n">
        <v>1</v>
      </c>
      <c r="G1528" s="8" t="inlineStr">
        <is>
          <t>基础/顶层</t>
        </is>
      </c>
      <c r="H1528" s="8" t="inlineStr"/>
      <c r="I1528" s="9" t="inlineStr"/>
      <c r="J1528" s="8" t="inlineStr"/>
      <c r="K1528" s="8" t="inlineStr"/>
      <c r="L1528" s="8" t="inlineStr"/>
      <c r="M1528" s="8" t="inlineStr">
        <is>
          <t>周期触发</t>
        </is>
      </c>
      <c r="N1528" s="8" t="inlineStr">
        <is>
          <t>periodicPulse</t>
        </is>
      </c>
      <c r="O1528" s="9" t="inlineStr">
        <is>
          <t>轮转时，获得 3 层闪避</t>
        </is>
      </c>
      <c r="P1528" s="9" t="inlineStr"/>
      <c r="Q1528" s="9" t="inlineStr"/>
      <c r="R1528" s="9" t="inlineStr">
        <is>
          <t>{"kind":"periodicPulse","periodicPulse":{"intervalSec":8,"label":"轮转时，获得 3 层闪避","buffGains":[{"buffId":"dodge","count":3}]},"executionScope":"beast","visibilityScope":"beast"}</t>
        </is>
      </c>
    </row>
    <row r="1529" ht="32" customHeight="1">
      <c r="A1529" s="8" t="n">
        <v>500227</v>
      </c>
      <c r="B1529" s="8" t="inlineStr">
        <is>
          <t>松针翼骨</t>
        </is>
      </c>
      <c r="C1529" s="8" t="inlineStr">
        <is>
          <t>材料</t>
        </is>
      </c>
      <c r="D1529" s="8" t="inlineStr">
        <is>
          <t>common</t>
        </is>
      </c>
      <c r="E1529" s="8" t="inlineStr">
        <is>
          <t>wood</t>
        </is>
      </c>
      <c r="F1529" s="8" t="n">
        <v>1</v>
      </c>
      <c r="G1529" s="8" t="inlineStr">
        <is>
          <t>基础/顶层</t>
        </is>
      </c>
      <c r="H1529" s="8" t="inlineStr"/>
      <c r="I1529" s="9" t="inlineStr"/>
      <c r="J1529" s="8" t="inlineStr"/>
      <c r="K1529" s="8" t="inlineStr"/>
      <c r="L1529" s="8" t="inlineStr"/>
      <c r="M1529" s="8" t="inlineStr">
        <is>
          <t>周期触发</t>
        </is>
      </c>
      <c r="N1529" s="8" t="inlineStr">
        <is>
          <t>periodicPulse</t>
        </is>
      </c>
      <c r="O1529" s="9" t="inlineStr">
        <is>
          <t>轮转时，消耗 1 点法力，给敌方施加 1 层冰霜</t>
        </is>
      </c>
      <c r="P1529" s="9" t="inlineStr"/>
      <c r="Q1529" s="9" t="inlineStr"/>
      <c r="R1529" s="9" t="inlineStr">
        <is>
          <t>{"kind":"periodicPulse","periodicPulse":{"intervalSec":15,"label":"&lt;battle&gt;轮转时，消耗 1 点法力，给敌方施加 1 层冰霜&lt;/battle&gt;","primaryStatCosts":[{"stat":"mana","amount":1}],"buffGains":[{"buffId":"frost","count":1,"target":"enemy"}]},"executionScope":"beast","visibilityScope":"beast"}</t>
        </is>
      </c>
    </row>
    <row r="1530" ht="32" customHeight="1">
      <c r="A1530" s="8" t="n">
        <v>500228</v>
      </c>
      <c r="B1530" s="8" t="inlineStr">
        <is>
          <t>鸦爪扣节</t>
        </is>
      </c>
      <c r="C1530" s="8" t="inlineStr">
        <is>
          <t>材料</t>
        </is>
      </c>
      <c r="D1530" s="8" t="inlineStr">
        <is>
          <t>common</t>
        </is>
      </c>
      <c r="E1530" s="8" t="inlineStr">
        <is>
          <t>metal</t>
        </is>
      </c>
      <c r="F1530" s="8" t="n">
        <v>1</v>
      </c>
      <c r="G1530" s="8" t="inlineStr">
        <is>
          <t>基础/顶层</t>
        </is>
      </c>
      <c r="H1530" s="8" t="inlineStr"/>
      <c r="I1530" s="9" t="inlineStr"/>
      <c r="J1530" s="8" t="inlineStr"/>
      <c r="K1530" s="8" t="inlineStr"/>
      <c r="L1530" s="8" t="inlineStr"/>
      <c r="M1530" s="8" t="inlineStr">
        <is>
          <t>周期触发</t>
        </is>
      </c>
      <c r="N1530" s="8" t="inlineStr">
        <is>
          <t>periodicPulse</t>
        </is>
      </c>
      <c r="O1530" s="9" t="inlineStr">
        <is>
          <t>轮转时，消耗 8 点体力，对敌方造成 8 点伤害</t>
        </is>
      </c>
      <c r="P1530" s="9" t="inlineStr"/>
      <c r="Q1530" s="9" t="inlineStr"/>
      <c r="R1530" s="9" t="inlineStr">
        <is>
          <t>{"kind":"periodicPulse","periodicPulse":{"intervalSec":12,"label":"&lt;battle&gt;轮转时，消耗 8 点体力，对敌方造成 8 点伤害&lt;/battle&gt;","primaryStatCosts":[{"stat":"stamina","amount":8}],"damageHealth":{"target":"enemy","amount":8}},"executionScope":"beast","visibilityScope":"beast"}</t>
        </is>
      </c>
    </row>
    <row r="1531" ht="32" customHeight="1">
      <c r="A1531" s="8" t="n">
        <v>500229</v>
      </c>
      <c r="B1531" s="8" t="inlineStr">
        <is>
          <t>竹节蛇蜕</t>
        </is>
      </c>
      <c r="C1531" s="8" t="inlineStr">
        <is>
          <t>材料</t>
        </is>
      </c>
      <c r="D1531" s="8" t="inlineStr">
        <is>
          <t>common</t>
        </is>
      </c>
      <c r="E1531" s="8" t="inlineStr">
        <is>
          <t>wood</t>
        </is>
      </c>
      <c r="F1531" s="8" t="n">
        <v>1</v>
      </c>
      <c r="G1531" s="8" t="inlineStr">
        <is>
          <t>基础/顶层</t>
        </is>
      </c>
      <c r="H1531" s="8" t="inlineStr"/>
      <c r="I1531" s="9" t="inlineStr"/>
      <c r="J1531" s="8" t="inlineStr"/>
      <c r="K1531" s="8" t="inlineStr"/>
      <c r="L1531" s="8" t="inlineStr"/>
      <c r="M1531" s="8" t="inlineStr">
        <is>
          <t>周期触发</t>
        </is>
      </c>
      <c r="N1531" s="8" t="inlineStr">
        <is>
          <t>periodicPulse</t>
        </is>
      </c>
      <c r="O1531" s="9" t="inlineStr">
        <is>
          <t>轮转时，将 4 点体力转化为 3 层露水</t>
        </is>
      </c>
      <c r="P1531" s="9" t="inlineStr"/>
      <c r="Q1531" s="9" t="inlineStr"/>
      <c r="R1531" s="9" t="inlineStr">
        <is>
          <t>{"kind":"periodicPulse","periodicPulse":{"intervalSec":8,"label":"轮转时，将 4 点体力转化为 3 层露水","primaryStatCosts":[{"stat":"stamina","amount":4}],"buffGains":[{"buffId":"dew","count":3}]},"executionScope":"beast","visibilityScope":"beast"}</t>
        </is>
      </c>
    </row>
    <row r="1532" ht="32" customHeight="1">
      <c r="A1532" s="8" t="n">
        <v>500230</v>
      </c>
      <c r="B1532" s="8" t="inlineStr">
        <is>
          <t>青鳞脊片</t>
        </is>
      </c>
      <c r="C1532" s="8" t="inlineStr">
        <is>
          <t>材料</t>
        </is>
      </c>
      <c r="D1532" s="8" t="inlineStr">
        <is>
          <t>common</t>
        </is>
      </c>
      <c r="E1532" s="8" t="inlineStr">
        <is>
          <t>wood</t>
        </is>
      </c>
      <c r="F1532" s="8" t="n">
        <v>1</v>
      </c>
      <c r="G1532" s="8" t="inlineStr">
        <is>
          <t>基础/顶层</t>
        </is>
      </c>
      <c r="H1532" s="8" t="inlineStr"/>
      <c r="I1532" s="9" t="inlineStr"/>
      <c r="J1532" s="8" t="inlineStr"/>
      <c r="K1532" s="8" t="inlineStr"/>
      <c r="L1532" s="8" t="inlineStr"/>
      <c r="M1532" s="8" t="inlineStr">
        <is>
          <t>周期触发</t>
        </is>
      </c>
      <c r="N1532" s="8" t="inlineStr">
        <is>
          <t>periodicPulse</t>
        </is>
      </c>
      <c r="O1532" s="9" t="inlineStr">
        <is>
          <t>轮转时，每有 1 层露水，对敌方造成 2 点伤害</t>
        </is>
      </c>
      <c r="P1532" s="9" t="inlineStr"/>
      <c r="Q1532" s="9" t="inlineStr"/>
      <c r="R1532" s="9" t="inlineStr">
        <is>
          <t>{"kind":"periodicPulse","periodicPulse":{"intervalSec":20,"label":"&lt;battle&gt;轮转时，每有 1 层露水，对敌方造成 2 点伤害&lt;/battle&gt;","damageHealth":{"target":"enemy","amount":0,"amountPerSourceBuffStack":{"buffId":"dew","valuePerStack":2}}},"executionScope":"beast","visibilityScope":"beast"}</t>
        </is>
      </c>
    </row>
    <row r="1533" ht="32" customHeight="1">
      <c r="A1533" s="8" t="n">
        <v>500231</v>
      </c>
      <c r="B1533" s="8" t="inlineStr">
        <is>
          <t>细藤蛇骨</t>
        </is>
      </c>
      <c r="C1533" s="8" t="inlineStr">
        <is>
          <t>材料</t>
        </is>
      </c>
      <c r="D1533" s="8" t="inlineStr">
        <is>
          <t>common</t>
        </is>
      </c>
      <c r="E1533" s="8" t="inlineStr">
        <is>
          <t>wood</t>
        </is>
      </c>
      <c r="F1533" s="8" t="n">
        <v>1</v>
      </c>
      <c r="G1533" s="8" t="inlineStr">
        <is>
          <t>基础/顶层</t>
        </is>
      </c>
      <c r="H1533" s="8" t="inlineStr"/>
      <c r="I1533" s="9" t="inlineStr"/>
      <c r="J1533" s="8" t="inlineStr"/>
      <c r="K1533" s="8" t="inlineStr"/>
      <c r="L1533" s="8" t="inlineStr"/>
      <c r="M1533" s="8" t="inlineStr">
        <is>
          <t>周期触发</t>
        </is>
      </c>
      <c r="N1533" s="8" t="inlineStr">
        <is>
          <t>periodicPulse</t>
        </is>
      </c>
      <c r="O1533" s="9" t="inlineStr">
        <is>
          <t>轮转时，将 2 点法力转化为 2 层露水</t>
        </is>
      </c>
      <c r="P1533" s="9" t="inlineStr"/>
      <c r="Q1533" s="9" t="inlineStr"/>
      <c r="R1533" s="9" t="inlineStr">
        <is>
          <t>{"kind":"periodicPulse","periodicPulse":{"intervalSec":7,"label":"轮转时，将 2 点法力转化为 2 层露水","primaryStatCosts":[{"stat":"mana","amount":2}],"buffGains":[{"buffId":"dew","count":2}]},"executionScope":"beast","visibilityScope":"beast"}</t>
        </is>
      </c>
    </row>
    <row r="1534" ht="32" customHeight="1">
      <c r="A1534" s="8" t="n">
        <v>500232</v>
      </c>
      <c r="B1534" s="8" t="inlineStr">
        <is>
          <t>冷绿毒牙</t>
        </is>
      </c>
      <c r="C1534" s="8" t="inlineStr">
        <is>
          <t>材料</t>
        </is>
      </c>
      <c r="D1534" s="8" t="inlineStr">
        <is>
          <t>common</t>
        </is>
      </c>
      <c r="E1534" s="8" t="inlineStr">
        <is>
          <t>water</t>
        </is>
      </c>
      <c r="F1534" s="8" t="n">
        <v>1</v>
      </c>
      <c r="G1534" s="8" t="inlineStr">
        <is>
          <t>基础/顶层</t>
        </is>
      </c>
      <c r="H1534" s="8" t="inlineStr"/>
      <c r="I1534" s="9" t="inlineStr"/>
      <c r="J1534" s="8" t="inlineStr"/>
      <c r="K1534" s="8" t="inlineStr"/>
      <c r="L1534" s="8" t="inlineStr"/>
      <c r="M1534" s="8" t="inlineStr">
        <is>
          <t>周期触发</t>
        </is>
      </c>
      <c r="N1534" s="8" t="inlineStr">
        <is>
          <t>periodicPulse</t>
        </is>
      </c>
      <c r="O1534" s="9" t="inlineStr">
        <is>
          <t>轮转时，消耗所有的露水，对敌方施加相等层数的中毒；消耗所有的露水，对敌方施加相等层数的中毒</t>
        </is>
      </c>
      <c r="P1534" s="9" t="inlineStr">
        <is>
          <t>onPeriodicPulse</t>
        </is>
      </c>
      <c r="Q1534" s="9" t="inlineStr">
        <is>
          <t>consumeBuffStacks</t>
        </is>
      </c>
      <c r="R1534" s="9" t="inlineStr">
        <is>
          <t>{"kind":"periodicPulse","periodicPulse":{"intervalSec":15,"label":"轮转时，消耗所有的露水，对敌方施加相等层数的中毒"},"executors":[{"trigger":"onPeriodicPulse","type":"consumeBuffStacks","sourceBuffId":"dew","consumeRatio":1,"consumeRounding":"floor","targetBuffGainPerStack":{"buffId":"poison","countPerStack":1},"label":"消耗所有的露水，对敌方施加相等层数的中毒"}],"executionScope":"beast","visibilityScope":"beast"}</t>
        </is>
      </c>
    </row>
    <row r="1535" ht="32" customHeight="1">
      <c r="A1535" s="8" t="n">
        <v>500233</v>
      </c>
      <c r="B1535" s="8" t="inlineStr">
        <is>
          <t>霜纹厚皮</t>
        </is>
      </c>
      <c r="C1535" s="8" t="inlineStr">
        <is>
          <t>材料</t>
        </is>
      </c>
      <c r="D1535" s="8" t="inlineStr">
        <is>
          <t>common</t>
        </is>
      </c>
      <c r="E1535" s="8" t="inlineStr">
        <is>
          <t>water</t>
        </is>
      </c>
      <c r="F1535" s="8" t="n">
        <v>1</v>
      </c>
      <c r="G1535" s="8" t="inlineStr">
        <is>
          <t>基础/顶层</t>
        </is>
      </c>
      <c r="H1535" s="8" t="inlineStr"/>
      <c r="I1535" s="9" t="inlineStr"/>
      <c r="J1535" s="8" t="inlineStr"/>
      <c r="K1535" s="8" t="inlineStr"/>
      <c r="L1535" s="8" t="inlineStr"/>
      <c r="M1535" s="8" t="inlineStr">
        <is>
          <t>条件触发</t>
        </is>
      </c>
      <c r="N1535" s="8" t="inlineStr">
        <is>
          <t>triggered</t>
        </is>
      </c>
      <c r="O1535" s="9" t="inlineStr">
        <is>
          <t>受到伤害时，获得 1 层坚硬</t>
        </is>
      </c>
      <c r="P1535" s="9" t="inlineStr">
        <is>
          <t>onIncomingHealthDamage</t>
        </is>
      </c>
      <c r="Q1535" s="9" t="inlineStr">
        <is>
          <t>applyBuff</t>
        </is>
      </c>
      <c r="R1535" s="9" t="inlineStr">
        <is>
          <t>{"kind":"triggered","executionScope":"beast","visibilityScope":"beast","label":"受到伤害时，获得 1 层坚硬","triggeredEffect":{"trigger":"onIncomingHealthDamage","type":"applyBuff","buffId":"sturdy","count":1}}</t>
        </is>
      </c>
    </row>
    <row r="1536" ht="32" customHeight="1">
      <c r="A1536" s="8" t="n">
        <v>500234</v>
      </c>
      <c r="B1536" s="8" t="inlineStr">
        <is>
          <t>竹根鼻骨</t>
        </is>
      </c>
      <c r="C1536" s="8" t="inlineStr">
        <is>
          <t>材料</t>
        </is>
      </c>
      <c r="D1536" s="8" t="inlineStr">
        <is>
          <t>common</t>
        </is>
      </c>
      <c r="E1536" s="8" t="inlineStr">
        <is>
          <t>wood</t>
        </is>
      </c>
      <c r="F1536" s="8" t="n">
        <v>1</v>
      </c>
      <c r="G1536" s="8" t="inlineStr">
        <is>
          <t>基础/顶层</t>
        </is>
      </c>
      <c r="H1536" s="8" t="inlineStr"/>
      <c r="I1536" s="9" t="inlineStr"/>
      <c r="J1536" s="8" t="inlineStr"/>
      <c r="K1536" s="8" t="inlineStr"/>
      <c r="L1536" s="8" t="inlineStr"/>
      <c r="M1536" s="8" t="inlineStr">
        <is>
          <t>周期触发</t>
        </is>
      </c>
      <c r="N1536" s="8" t="inlineStr">
        <is>
          <t>periodicPulse</t>
        </is>
      </c>
      <c r="O1536" s="9" t="inlineStr">
        <is>
          <t>轮转时，获得 3 层坚硬</t>
        </is>
      </c>
      <c r="P1536" s="9" t="inlineStr"/>
      <c r="Q1536" s="9" t="inlineStr"/>
      <c r="R1536" s="9" t="inlineStr">
        <is>
          <t>{"kind":"periodicPulse","periodicPulse":{"intervalSec":10,"label":"轮转时，获得 3 层坚硬","buffGains":[{"buffId":"sturdy","count":3}]},"executionScope":"beast","visibilityScope":"beast"}</t>
        </is>
      </c>
    </row>
    <row r="1537" ht="32" customHeight="1">
      <c r="A1537" s="8" t="n">
        <v>500235</v>
      </c>
      <c r="B1537" s="8" t="inlineStr">
        <is>
          <t>灰白绒束</t>
        </is>
      </c>
      <c r="C1537" s="8" t="inlineStr">
        <is>
          <t>材料</t>
        </is>
      </c>
      <c r="D1537" s="8" t="inlineStr">
        <is>
          <t>common</t>
        </is>
      </c>
      <c r="E1537" s="8" t="inlineStr">
        <is>
          <t>water</t>
        </is>
      </c>
      <c r="F1537" s="8" t="n">
        <v>1</v>
      </c>
      <c r="G1537" s="8" t="inlineStr">
        <is>
          <t>基础/顶层</t>
        </is>
      </c>
      <c r="H1537" s="8" t="inlineStr"/>
      <c r="I1537" s="9" t="inlineStr"/>
      <c r="J1537" s="8" t="inlineStr"/>
      <c r="K1537" s="8" t="inlineStr"/>
      <c r="L1537" s="8" t="inlineStr"/>
      <c r="M1537" s="8" t="inlineStr">
        <is>
          <t>周期触发</t>
        </is>
      </c>
      <c r="N1537" s="8" t="inlineStr">
        <is>
          <t>periodicPulse</t>
        </is>
      </c>
      <c r="O1537" s="9" t="inlineStr">
        <is>
          <t>轮转时，消耗 1 点法力，对敌方造成 5 点伤害</t>
        </is>
      </c>
      <c r="P1537" s="9" t="inlineStr"/>
      <c r="Q1537" s="9" t="inlineStr"/>
      <c r="R1537" s="9" t="inlineStr">
        <is>
          <t>{"kind":"periodicPulse","periodicPulse":{"intervalSec":7,"label":"&lt;battle&gt;轮转时，消耗 1 点法力，对敌方造成 5 点伤害&lt;/battle&gt;","primaryStatCosts":[{"stat":"mana","amount":1}],"damageHealth":{"target":"enemy","amount":5}},"executionScope":"beast","visibilityScope":"beast"}</t>
        </is>
      </c>
    </row>
    <row r="1538" ht="32" customHeight="1">
      <c r="A1538" s="8" t="n">
        <v>500236</v>
      </c>
      <c r="B1538" s="8" t="inlineStr">
        <is>
          <t>霜苔蹄片</t>
        </is>
      </c>
      <c r="C1538" s="8" t="inlineStr">
        <is>
          <t>材料</t>
        </is>
      </c>
      <c r="D1538" s="8" t="inlineStr">
        <is>
          <t>common</t>
        </is>
      </c>
      <c r="E1538" s="8" t="inlineStr">
        <is>
          <t>earth</t>
        </is>
      </c>
      <c r="F1538" s="8" t="n">
        <v>1</v>
      </c>
      <c r="G1538" s="8" t="inlineStr">
        <is>
          <t>基础/顶层</t>
        </is>
      </c>
      <c r="H1538" s="8" t="inlineStr"/>
      <c r="I1538" s="9" t="inlineStr"/>
      <c r="J1538" s="8" t="inlineStr"/>
      <c r="K1538" s="8" t="inlineStr"/>
      <c r="L1538" s="8" t="inlineStr"/>
      <c r="M1538" s="8" t="inlineStr">
        <is>
          <t>周期触发</t>
        </is>
      </c>
      <c r="N1538" s="8" t="inlineStr">
        <is>
          <t>periodicPulse</t>
        </is>
      </c>
      <c r="O1538" s="9" t="inlineStr">
        <is>
          <t>轮转时，消耗 3 点体力，降低敌方 1 点法力</t>
        </is>
      </c>
      <c r="P1538" s="9" t="inlineStr"/>
      <c r="Q1538" s="9" t="inlineStr"/>
      <c r="R1538" s="9" t="inlineStr">
        <is>
          <t>{"kind":"periodicPulse","periodicPulse":{"intervalSec":7,"label":"&lt;battle&gt;轮转时，消耗 3 点体力，降低敌方 1 点法力&lt;/battle&gt;","primaryStatCosts":[{"stat":"stamina","amount":3}],"primaryStatDamages":[{"target":"enemy","stat":"mana","amount":1}]},"executionScope":"beast","visibilityScope":"beast"}</t>
        </is>
      </c>
    </row>
    <row r="1539" ht="32" customHeight="1">
      <c r="A1539" s="8" t="n">
        <v>500237</v>
      </c>
      <c r="B1539" s="8" t="inlineStr">
        <is>
          <t>裂谷狼牙</t>
        </is>
      </c>
      <c r="C1539" s="8" t="inlineStr">
        <is>
          <t>材料</t>
        </is>
      </c>
      <c r="D1539" s="8" t="inlineStr">
        <is>
          <t>common</t>
        </is>
      </c>
      <c r="E1539" s="8" t="inlineStr">
        <is>
          <t>metal</t>
        </is>
      </c>
      <c r="F1539" s="8" t="n">
        <v>1</v>
      </c>
      <c r="G1539" s="8" t="inlineStr">
        <is>
          <t>基础/顶层</t>
        </is>
      </c>
      <c r="H1539" s="8" t="inlineStr"/>
      <c r="I1539" s="9" t="inlineStr"/>
      <c r="J1539" s="8" t="inlineStr"/>
      <c r="K1539" s="8" t="inlineStr"/>
      <c r="L1539" s="8" t="inlineStr"/>
      <c r="M1539" s="8" t="inlineStr">
        <is>
          <t>周期触发</t>
        </is>
      </c>
      <c r="N1539" s="8" t="inlineStr">
        <is>
          <t>periodicPulse</t>
        </is>
      </c>
      <c r="O1539" s="9" t="inlineStr">
        <is>
          <t>轮转时，消耗 1 点体力，对敌方造成 2 点伤害</t>
        </is>
      </c>
      <c r="P1539" s="9" t="inlineStr"/>
      <c r="Q1539" s="9" t="inlineStr"/>
      <c r="R1539" s="9" t="inlineStr">
        <is>
          <t>{"kind":"periodicPulse","periodicPulse":{"intervalSec":5,"label":"&lt;battle&gt;轮转时，消耗 1 点体力，对敌方造成 2 点伤害&lt;/battle&gt;","primaryStatCosts":[{"stat":"stamina","amount":1}],"damageHealth":{"target":"enemy","amount":2}},"executionScope":"beast","visibilityScope":"beast"}</t>
        </is>
      </c>
    </row>
    <row r="1540" ht="32" customHeight="1">
      <c r="A1540" s="8" t="n">
        <v>500238</v>
      </c>
      <c r="B1540" s="8" t="inlineStr">
        <is>
          <t>灰狼脊毛</t>
        </is>
      </c>
      <c r="C1540" s="8" t="inlineStr">
        <is>
          <t>材料</t>
        </is>
      </c>
      <c r="D1540" s="8" t="inlineStr">
        <is>
          <t>common</t>
        </is>
      </c>
      <c r="E1540" s="8" t="inlineStr">
        <is>
          <t>earth</t>
        </is>
      </c>
      <c r="F1540" s="8" t="n">
        <v>1</v>
      </c>
      <c r="G1540" s="8" t="inlineStr">
        <is>
          <t>基础/顶层</t>
        </is>
      </c>
      <c r="H1540" s="8" t="inlineStr"/>
      <c r="I1540" s="9" t="inlineStr"/>
      <c r="J1540" s="8" t="inlineStr"/>
      <c r="K1540" s="8" t="inlineStr"/>
      <c r="L1540" s="8" t="inlineStr"/>
      <c r="M1540" s="8" t="inlineStr">
        <is>
          <t>周期触发</t>
        </is>
      </c>
      <c r="N1540" s="8" t="inlineStr">
        <is>
          <t>periodicPulse</t>
        </is>
      </c>
      <c r="O1540" s="9" t="inlineStr">
        <is>
          <t>轮转时，消耗 3 点法力，获得 2 层坚硬</t>
        </is>
      </c>
      <c r="P1540" s="9" t="inlineStr"/>
      <c r="Q1540" s="9" t="inlineStr"/>
      <c r="R1540" s="9" t="inlineStr">
        <is>
          <t>{"kind":"periodicPulse","periodicPulse":{"intervalSec":6,"label":"轮转时，消耗 3 点法力，获得 2 层坚硬","primaryStatCosts":[{"stat":"mana","amount":3}],"buffGains":[{"buffId":"sturdy","count":2}]},"executionScope":"beast","visibilityScope":"beast"}</t>
        </is>
      </c>
    </row>
    <row r="1541" ht="32" customHeight="1">
      <c r="A1541" s="8" t="n">
        <v>500239</v>
      </c>
      <c r="B1541" s="8" t="inlineStr">
        <is>
          <t>风蚀爪骨</t>
        </is>
      </c>
      <c r="C1541" s="8" t="inlineStr">
        <is>
          <t>材料</t>
        </is>
      </c>
      <c r="D1541" s="8" t="inlineStr">
        <is>
          <t>common</t>
        </is>
      </c>
      <c r="E1541" s="8" t="inlineStr">
        <is>
          <t>metal</t>
        </is>
      </c>
      <c r="F1541" s="8" t="n">
        <v>1</v>
      </c>
      <c r="G1541" s="8" t="inlineStr">
        <is>
          <t>基础/顶层</t>
        </is>
      </c>
      <c r="H1541" s="8" t="inlineStr"/>
      <c r="I1541" s="9" t="inlineStr"/>
      <c r="J1541" s="8" t="inlineStr"/>
      <c r="K1541" s="8" t="inlineStr"/>
      <c r="L1541" s="8" t="inlineStr"/>
      <c r="M1541" s="8" t="inlineStr">
        <is>
          <t>周期触发</t>
        </is>
      </c>
      <c r="N1541" s="8" t="inlineStr">
        <is>
          <t>periodicPulse</t>
        </is>
      </c>
      <c r="O1541" s="9" t="inlineStr">
        <is>
          <t>轮转时，对敌方造成 5 点伤害，气血低于 50% 时，伤害翻倍</t>
        </is>
      </c>
      <c r="P1541" s="9" t="inlineStr"/>
      <c r="Q1541" s="9" t="inlineStr">
        <is>
          <t>sourcePrimaryStatRatioBelow</t>
        </is>
      </c>
      <c r="R1541" s="9" t="inlineStr">
        <is>
          <t>{"kind":"periodicPulse","periodicPulse":{"intervalSec":7,"label":"&lt;battle&gt;轮转时，对敌方造成 5 点伤害，气血低于 50% 时，伤害翻倍&lt;/battle&gt;","damageHealth":{"target":"enemy","amount":5,"conditionalMultiplier":{"type":"sourcePrimaryStatRatioBelow","stat":"health","ratio":0.5,"multiplier":2}}},"executionScope":"beast","visibilityScope":"beast"}</t>
        </is>
      </c>
    </row>
    <row r="1542" ht="32" customHeight="1">
      <c r="A1542" s="8" t="n">
        <v>500240</v>
      </c>
      <c r="B1542" s="8" t="inlineStr">
        <is>
          <t>谷尘肩皮</t>
        </is>
      </c>
      <c r="C1542" s="8" t="inlineStr">
        <is>
          <t>材料</t>
        </is>
      </c>
      <c r="D1542" s="8" t="inlineStr">
        <is>
          <t>common</t>
        </is>
      </c>
      <c r="E1542" s="8" t="inlineStr">
        <is>
          <t>earth</t>
        </is>
      </c>
      <c r="F1542" s="8" t="n">
        <v>1</v>
      </c>
      <c r="G1542" s="8" t="inlineStr">
        <is>
          <t>基础/顶层</t>
        </is>
      </c>
      <c r="H1542" s="8" t="inlineStr"/>
      <c r="I1542" s="9" t="inlineStr"/>
      <c r="J1542" s="8" t="inlineStr"/>
      <c r="K1542" s="8" t="inlineStr"/>
      <c r="L1542" s="8" t="inlineStr"/>
      <c r="M1542" s="8" t="inlineStr">
        <is>
          <t>周期触发</t>
        </is>
      </c>
      <c r="N1542" s="8" t="inlineStr">
        <is>
          <t>periodicPulse</t>
        </is>
      </c>
      <c r="O1542" s="9" t="inlineStr">
        <is>
          <t>轮转时，获得 1 层闪避</t>
        </is>
      </c>
      <c r="P1542" s="9" t="inlineStr"/>
      <c r="Q1542" s="9" t="inlineStr"/>
      <c r="R1542" s="9" t="inlineStr">
        <is>
          <t>{"kind":"periodicPulse","periodicPulse":{"intervalSec":2,"label":"轮转时，获得 1 层闪避","buffGains":[{"buffId":"dodge","count":1,"durationMs":30000}]},"executionScope":"beast","visibilityScope":"beast"}</t>
        </is>
      </c>
    </row>
    <row r="1543" ht="32" customHeight="1">
      <c r="A1543" s="8" t="n">
        <v>500241</v>
      </c>
      <c r="B1543" s="8" t="inlineStr">
        <is>
          <t>尘蜥尾骨</t>
        </is>
      </c>
      <c r="C1543" s="8" t="inlineStr">
        <is>
          <t>材料</t>
        </is>
      </c>
      <c r="D1543" s="8" t="inlineStr">
        <is>
          <t>common</t>
        </is>
      </c>
      <c r="E1543" s="8" t="inlineStr">
        <is>
          <t>earth</t>
        </is>
      </c>
      <c r="F1543" s="8" t="n">
        <v>1</v>
      </c>
      <c r="G1543" s="8" t="inlineStr">
        <is>
          <t>基础/顶层</t>
        </is>
      </c>
      <c r="H1543" s="8" t="inlineStr"/>
      <c r="I1543" s="9" t="inlineStr"/>
      <c r="J1543" s="8" t="inlineStr"/>
      <c r="K1543" s="8" t="inlineStr"/>
      <c r="L1543" s="8" t="inlineStr"/>
      <c r="M1543" s="8" t="inlineStr">
        <is>
          <t>周期触发</t>
        </is>
      </c>
      <c r="N1543" s="8" t="inlineStr">
        <is>
          <t>periodicPulse</t>
        </is>
      </c>
      <c r="O1543" s="9" t="inlineStr">
        <is>
          <t>轮转时，获得 3 层闪避</t>
        </is>
      </c>
      <c r="P1543" s="9" t="inlineStr"/>
      <c r="Q1543" s="9" t="inlineStr"/>
      <c r="R1543" s="9" t="inlineStr">
        <is>
          <t>{"kind":"periodicPulse","periodicPulse":{"intervalSec":8,"label":"轮转时，获得 3 层闪避","buffGains":[{"buffId":"dodge","count":3}]},"executionScope":"beast","visibilityScope":"beast"}</t>
        </is>
      </c>
    </row>
    <row r="1544" ht="32" customHeight="1">
      <c r="A1544" s="8" t="n">
        <v>500242</v>
      </c>
      <c r="B1544" s="8" t="inlineStr">
        <is>
          <t>砂鳞皮片</t>
        </is>
      </c>
      <c r="C1544" s="8" t="inlineStr">
        <is>
          <t>材料</t>
        </is>
      </c>
      <c r="D1544" s="8" t="inlineStr">
        <is>
          <t>common</t>
        </is>
      </c>
      <c r="E1544" s="8" t="inlineStr">
        <is>
          <t>earth</t>
        </is>
      </c>
      <c r="F1544" s="8" t="n">
        <v>1</v>
      </c>
      <c r="G1544" s="8" t="inlineStr">
        <is>
          <t>基础/顶层</t>
        </is>
      </c>
      <c r="H1544" s="8" t="inlineStr"/>
      <c r="I1544" s="9" t="inlineStr"/>
      <c r="J1544" s="8" t="inlineStr"/>
      <c r="K1544" s="8" t="inlineStr"/>
      <c r="L1544" s="8" t="inlineStr"/>
      <c r="M1544" s="8" t="inlineStr">
        <is>
          <t>周期触发</t>
        </is>
      </c>
      <c r="N1544" s="8" t="inlineStr">
        <is>
          <t>periodicPulse</t>
        </is>
      </c>
      <c r="O1544" s="9" t="inlineStr">
        <is>
          <t>轮转时，将 3 点体力转化为 1 层坚硬</t>
        </is>
      </c>
      <c r="P1544" s="9" t="inlineStr"/>
      <c r="Q1544" s="9" t="inlineStr"/>
      <c r="R1544" s="9" t="inlineStr">
        <is>
          <t>{"kind":"periodicPulse","periodicPulse":{"intervalSec":5,"label":"轮转时，将 3 点体力转化为 1 层坚硬","primaryStatCosts":[{"stat":"stamina","amount":3}],"buffGains":[{"buffId":"sturdy","count":1}]},"executionScope":"beast","visibilityScope":"beast"}</t>
        </is>
      </c>
    </row>
    <row r="1545" ht="32" customHeight="1">
      <c r="A1545" s="8" t="n">
        <v>500243</v>
      </c>
      <c r="B1545" s="8" t="inlineStr">
        <is>
          <t>干草爪节</t>
        </is>
      </c>
      <c r="C1545" s="8" t="inlineStr">
        <is>
          <t>材料</t>
        </is>
      </c>
      <c r="D1545" s="8" t="inlineStr">
        <is>
          <t>common</t>
        </is>
      </c>
      <c r="E1545" s="8" t="inlineStr">
        <is>
          <t>wood</t>
        </is>
      </c>
      <c r="F1545" s="8" t="n">
        <v>1</v>
      </c>
      <c r="G1545" s="8" t="inlineStr">
        <is>
          <t>基础/顶层</t>
        </is>
      </c>
      <c r="H1545" s="8" t="inlineStr"/>
      <c r="I1545" s="9" t="inlineStr"/>
      <c r="J1545" s="8" t="inlineStr"/>
      <c r="K1545" s="8" t="inlineStr"/>
      <c r="L1545" s="8" t="inlineStr"/>
      <c r="M1545" s="8" t="inlineStr">
        <is>
          <t>周期触发</t>
        </is>
      </c>
      <c r="N1545" s="8" t="inlineStr">
        <is>
          <t>periodicPulse</t>
        </is>
      </c>
      <c r="O1545" s="9" t="inlineStr">
        <is>
          <t>轮转时，对敌方造成 6 点伤害，体力低于 50% 时，伤害减半</t>
        </is>
      </c>
      <c r="P1545" s="9" t="inlineStr"/>
      <c r="Q1545" s="9" t="inlineStr">
        <is>
          <t>sourcePrimaryStatRatioBelow</t>
        </is>
      </c>
      <c r="R1545" s="9" t="inlineStr">
        <is>
          <t>{"kind":"periodicPulse","periodicPulse":{"intervalSec":7,"label":"&lt;battle&gt;轮转时，对敌方造成 6 点伤害，体力低于 50% 时，伤害减半&lt;/battle&gt;","damageHealth":{"target":"enemy","amount":6,"conditionalMultiplier":{"type":"sourcePrimaryStatRatioBelow","stat":"stamina","ratio":0.5,"multiplier":0.5}}},"executionScope":"beast","visibilityScope":"beast"}</t>
        </is>
      </c>
    </row>
    <row r="1546" ht="32" customHeight="1">
      <c r="A1546" s="8" t="n">
        <v>500244</v>
      </c>
      <c r="B1546" s="8" t="inlineStr">
        <is>
          <t>野路腹甲</t>
        </is>
      </c>
      <c r="C1546" s="8" t="inlineStr">
        <is>
          <t>材料</t>
        </is>
      </c>
      <c r="D1546" s="8" t="inlineStr">
        <is>
          <t>common</t>
        </is>
      </c>
      <c r="E1546" s="8" t="inlineStr">
        <is>
          <t>earth</t>
        </is>
      </c>
      <c r="F1546" s="8" t="n">
        <v>1</v>
      </c>
      <c r="G1546" s="8" t="inlineStr">
        <is>
          <t>基础/顶层</t>
        </is>
      </c>
      <c r="H1546" s="8" t="inlineStr"/>
      <c r="I1546" s="9" t="inlineStr"/>
      <c r="J1546" s="8" t="inlineStr"/>
      <c r="K1546" s="8" t="inlineStr"/>
      <c r="L1546" s="8" t="inlineStr"/>
      <c r="M1546" s="8" t="inlineStr">
        <is>
          <t>周期触发</t>
        </is>
      </c>
      <c r="N1546" s="8" t="inlineStr">
        <is>
          <t>periodicPulse</t>
        </is>
      </c>
      <c r="O1546" s="9" t="inlineStr">
        <is>
          <t>轮转时，获得 1 层坚硬</t>
        </is>
      </c>
      <c r="P1546" s="9" t="inlineStr"/>
      <c r="Q1546" s="9" t="inlineStr"/>
      <c r="R1546" s="9" t="inlineStr">
        <is>
          <t>{"kind":"periodicPulse","periodicPulse":{"intervalSec":8,"label":"轮转时，获得 1 层坚硬","buffGains":[{"buffId":"sturdy","count":1}]},"executionScope":"beast","visibilityScope":"beast"}</t>
        </is>
      </c>
    </row>
    <row r="1547" ht="32" customHeight="1">
      <c r="A1547" s="8" t="n">
        <v>500245</v>
      </c>
      <c r="B1547" s="8" t="inlineStr">
        <is>
          <t>银蟾疣石</t>
        </is>
      </c>
      <c r="C1547" s="8" t="inlineStr">
        <is>
          <t>材料</t>
        </is>
      </c>
      <c r="D1547" s="8" t="inlineStr">
        <is>
          <t>common</t>
        </is>
      </c>
      <c r="E1547" s="8" t="inlineStr">
        <is>
          <t>water</t>
        </is>
      </c>
      <c r="F1547" s="8" t="n">
        <v>1</v>
      </c>
      <c r="G1547" s="8" t="inlineStr">
        <is>
          <t>基础/顶层</t>
        </is>
      </c>
      <c r="H1547" s="8" t="inlineStr"/>
      <c r="I1547" s="9" t="inlineStr"/>
      <c r="J1547" s="8" t="inlineStr"/>
      <c r="K1547" s="8" t="inlineStr"/>
      <c r="L1547" s="8" t="inlineStr"/>
      <c r="M1547" s="8" t="inlineStr">
        <is>
          <t>周期触发</t>
        </is>
      </c>
      <c r="N1547" s="8" t="inlineStr">
        <is>
          <t>periodicPulse</t>
        </is>
      </c>
      <c r="O1547" s="9" t="inlineStr">
        <is>
          <t>轮转时，消耗 3 点法力，吸取敌方 4 点气血</t>
        </is>
      </c>
      <c r="P1547" s="9" t="inlineStr"/>
      <c r="Q1547" s="9" t="inlineStr"/>
      <c r="R1547" s="9" t="inlineStr">
        <is>
          <t>{"kind":"periodicPulse","periodicPulse":{"intervalSec":5,"label":"&lt;battle&gt;轮转时，消耗 3 点法力，吸取敌方 4 点气血&lt;/battle&gt;","primaryStatCosts":[{"stat":"mana","amount":3}],"drainPrimaryStat":{"target":"enemy","stat":"health","amount":4}},"executionScope":"beast","visibilityScope":"beast"}</t>
        </is>
      </c>
    </row>
    <row r="1548" ht="32" customHeight="1">
      <c r="A1548" s="8" t="n">
        <v>500246</v>
      </c>
      <c r="B1548" s="8" t="inlineStr">
        <is>
          <t>瀑水背皮</t>
        </is>
      </c>
      <c r="C1548" s="8" t="inlineStr">
        <is>
          <t>材料</t>
        </is>
      </c>
      <c r="D1548" s="8" t="inlineStr">
        <is>
          <t>common</t>
        </is>
      </c>
      <c r="E1548" s="8" t="inlineStr">
        <is>
          <t>water</t>
        </is>
      </c>
      <c r="F1548" s="8" t="n">
        <v>1</v>
      </c>
      <c r="G1548" s="8" t="inlineStr">
        <is>
          <t>基础/顶层</t>
        </is>
      </c>
      <c r="H1548" s="8" t="inlineStr"/>
      <c r="I1548" s="9" t="inlineStr"/>
      <c r="J1548" s="8" t="inlineStr"/>
      <c r="K1548" s="8" t="inlineStr"/>
      <c r="L1548" s="8" t="inlineStr"/>
      <c r="M1548" s="8" t="inlineStr">
        <is>
          <t>条件触发</t>
        </is>
      </c>
      <c r="N1548" s="8" t="inlineStr">
        <is>
          <t>triggered</t>
        </is>
      </c>
      <c r="O1548" s="9" t="inlineStr">
        <is>
          <t>受到伤害时，获得 1 层露水</t>
        </is>
      </c>
      <c r="P1548" s="9" t="inlineStr">
        <is>
          <t>onIncomingHealthDamage</t>
        </is>
      </c>
      <c r="Q1548" s="9" t="inlineStr">
        <is>
          <t>applyBuff</t>
        </is>
      </c>
      <c r="R1548" s="9" t="inlineStr">
        <is>
          <t>{"kind":"triggered","executionScope":"beast","visibilityScope":"beast","label":"受到伤害时，获得 1 层露水","triggeredEffect":{"trigger":"onIncomingHealthDamage","type":"applyBuff","buffId":"dew","count":1}}</t>
        </is>
      </c>
    </row>
    <row r="1549" ht="32" customHeight="1">
      <c r="A1549" s="8" t="n">
        <v>500247</v>
      </c>
      <c r="B1549" s="8" t="inlineStr">
        <is>
          <t>湿苔蹼掌</t>
        </is>
      </c>
      <c r="C1549" s="8" t="inlineStr">
        <is>
          <t>材料</t>
        </is>
      </c>
      <c r="D1549" s="8" t="inlineStr">
        <is>
          <t>common</t>
        </is>
      </c>
      <c r="E1549" s="8" t="inlineStr">
        <is>
          <t>wood</t>
        </is>
      </c>
      <c r="F1549" s="8" t="n">
        <v>1</v>
      </c>
      <c r="G1549" s="8" t="inlineStr">
        <is>
          <t>基础/顶层</t>
        </is>
      </c>
      <c r="H1549" s="8" t="inlineStr"/>
      <c r="I1549" s="9" t="inlineStr"/>
      <c r="J1549" s="8" t="inlineStr"/>
      <c r="K1549" s="8" t="inlineStr"/>
      <c r="L1549" s="8" t="inlineStr"/>
      <c r="M1549" s="8" t="inlineStr">
        <is>
          <t>周期触发</t>
        </is>
      </c>
      <c r="N1549" s="8" t="inlineStr">
        <is>
          <t>periodicPulse</t>
        </is>
      </c>
      <c r="O1549" s="9" t="inlineStr">
        <is>
          <t>轮转时，如果露水层数大于 10，对敌方造成 5 点伤害</t>
        </is>
      </c>
      <c r="P1549" s="9" t="inlineStr"/>
      <c r="Q1549" s="9" t="inlineStr">
        <is>
          <t>sourceBuffStacksGreaterThan</t>
        </is>
      </c>
      <c r="R1549" s="9" t="inlineStr">
        <is>
          <t>{"kind":"periodicPulse","periodicPulse":{"intervalSec":5,"label":"&lt;battle&gt;轮转时，如果露水层数大于 10，对敌方造成 5 点伤害&lt;/battle&gt;","battleCondition":{"type":"sourceBuffStacksGreaterThan","buffId":"dew","count":10},"damageHealth":{"target":"enemy","amount":5}},"executionScope":"beast","visibilityScope":"beast"}</t>
        </is>
      </c>
    </row>
    <row r="1550" ht="32" customHeight="1">
      <c r="A1550" s="8" t="n">
        <v>500248</v>
      </c>
      <c r="B1550" s="8" t="inlineStr">
        <is>
          <t>冷泉喉囊</t>
        </is>
      </c>
      <c r="C1550" s="8" t="inlineStr">
        <is>
          <t>材料</t>
        </is>
      </c>
      <c r="D1550" s="8" t="inlineStr">
        <is>
          <t>common</t>
        </is>
      </c>
      <c r="E1550" s="8" t="inlineStr">
        <is>
          <t>water</t>
        </is>
      </c>
      <c r="F1550" s="8" t="n">
        <v>1</v>
      </c>
      <c r="G1550" s="8" t="inlineStr">
        <is>
          <t>基础/顶层</t>
        </is>
      </c>
      <c r="H1550" s="8" t="inlineStr"/>
      <c r="I1550" s="9" t="inlineStr"/>
      <c r="J1550" s="8" t="inlineStr"/>
      <c r="K1550" s="8" t="inlineStr"/>
      <c r="L1550" s="8" t="inlineStr"/>
      <c r="M1550" s="8" t="inlineStr">
        <is>
          <t>周期触发</t>
        </is>
      </c>
      <c r="N1550" s="8" t="inlineStr">
        <is>
          <t>periodicPulse</t>
        </is>
      </c>
      <c r="O1550" s="9" t="inlineStr">
        <is>
          <t>轮转时，获得 1 层露水</t>
        </is>
      </c>
      <c r="P1550" s="9" t="inlineStr"/>
      <c r="Q1550" s="9" t="inlineStr"/>
      <c r="R1550" s="9" t="inlineStr">
        <is>
          <t>{"kind":"periodicPulse","periodicPulse":{"intervalSec":3,"label":"轮转时，获得 1 层露水","buffGains":[{"buffId":"dew","count":1}]},"executionScope":"beast","visibilityScope":"beast"}</t>
        </is>
      </c>
    </row>
    <row r="1551" ht="32" customHeight="1">
      <c r="A1551" s="8" t="n">
        <v>500249</v>
      </c>
      <c r="B1551" s="8" t="inlineStr">
        <is>
          <t>湍鳞蛇蜕</t>
        </is>
      </c>
      <c r="C1551" s="8" t="inlineStr">
        <is>
          <t>材料</t>
        </is>
      </c>
      <c r="D1551" s="8" t="inlineStr">
        <is>
          <t>spirit</t>
        </is>
      </c>
      <c r="E1551" s="8" t="inlineStr">
        <is>
          <t>water</t>
        </is>
      </c>
      <c r="F1551" s="8" t="n">
        <v>1</v>
      </c>
      <c r="G1551" s="8" t="inlineStr">
        <is>
          <t>基础/顶层</t>
        </is>
      </c>
      <c r="H1551" s="8" t="inlineStr"/>
      <c r="I1551" s="9" t="inlineStr"/>
      <c r="J1551" s="8" t="inlineStr"/>
      <c r="K1551" s="8" t="inlineStr"/>
      <c r="L1551" s="8" t="inlineStr"/>
      <c r="M1551" s="8" t="inlineStr">
        <is>
          <t>周期触发</t>
        </is>
      </c>
      <c r="N1551" s="8" t="inlineStr">
        <is>
          <t>periodicPulse</t>
        </is>
      </c>
      <c r="O1551" s="9" t="inlineStr">
        <is>
          <t>轮转时，消耗 40 点体力，获得 48 层露水；与它相邻的道具本场战斗中每次轮转消耗的气血、体力、法力或神识 -2，最多 -6</t>
        </is>
      </c>
      <c r="P1551" s="9" t="inlineStr"/>
      <c r="Q1551" s="9" t="inlineStr"/>
      <c r="R1551" s="9" t="inlineStr">
        <is>
          <t>{"kind":"periodicPulse","periodicPulse":{"intervalSec":18,"label":"&lt;battle&gt;轮转时，消耗 40 点体力，获得 48 层露水；与它相邻的道具本场战斗中每次轮转消耗的气血、体力、法力或神识 -2，最多 -6&lt;/battle&gt;","primaryStatCosts":[{"stat":"stamina","amount":40}],"buffGains":[{"buffId":"dew","count":48}],"battleItemGrowthEffects":[{"targetScope":"adjacent","primaryStatCostReduction":2,"maxPrimaryStatCostReduction":6}]},"executionScope":"beast","visibilityScope":"beast"}</t>
        </is>
      </c>
    </row>
    <row r="1552" ht="32" customHeight="1">
      <c r="A1552" s="8" t="n">
        <v>500250</v>
      </c>
      <c r="B1552" s="8" t="inlineStr">
        <is>
          <t>水蛇脊鳞</t>
        </is>
      </c>
      <c r="C1552" s="8" t="inlineStr">
        <is>
          <t>材料</t>
        </is>
      </c>
      <c r="D1552" s="8" t="inlineStr">
        <is>
          <t>spirit</t>
        </is>
      </c>
      <c r="E1552" s="8" t="inlineStr">
        <is>
          <t>water</t>
        </is>
      </c>
      <c r="F1552" s="8" t="n">
        <v>1</v>
      </c>
      <c r="G1552" s="8" t="inlineStr">
        <is>
          <t>基础/顶层</t>
        </is>
      </c>
      <c r="H1552" s="8" t="inlineStr"/>
      <c r="I1552" s="9" t="inlineStr"/>
      <c r="J1552" s="8" t="inlineStr"/>
      <c r="K1552" s="8" t="inlineStr"/>
      <c r="L1552" s="8" t="inlineStr"/>
      <c r="M1552" s="8" t="inlineStr">
        <is>
          <t>周期触发</t>
        </is>
      </c>
      <c r="N1552" s="8" t="inlineStr">
        <is>
          <t>periodicPulse</t>
        </is>
      </c>
      <c r="O1552" s="9" t="inlineStr">
        <is>
          <t>轮转时，消耗 14 点法力，恢复自身 60 点体力，每次轮转后消耗效果升级；消耗降低</t>
        </is>
      </c>
      <c r="P1552" s="9" t="inlineStr">
        <is>
          <t>onPeriodicPulse</t>
        </is>
      </c>
      <c r="Q1552" s="9" t="inlineStr"/>
      <c r="R1552" s="9" t="inlineStr">
        <is>
          <t>{"kind":"periodicPulse","periodicPulse":{"intervalSec":10,"label":"&lt;battle&gt;轮转时，消耗 14 点法力，恢复自身 60 点体力，每次轮转后消耗效果升级&lt;/battle&gt;","primaryStatCosts":[{"stat":"mana","amount":14}],"primaryStatGains":[{"stat":"stamina","amount":60}]},"executionScope":"beast","visibilityScope":"beast","growth":{"lifecycle":"singleGame","trigger":"onPeriodicPulse","bindings":[{"path":"periodicPulse.primaryStatCosts.0.amount","delta":-1,"maxValue":11,"label":"消耗降低","textOccurrence":0}],"support":"battleOnly"}}</t>
        </is>
      </c>
    </row>
    <row r="1553" ht="32" customHeight="1">
      <c r="A1553" s="8" t="n">
        <v>500251</v>
      </c>
      <c r="B1553" s="8" t="inlineStr">
        <is>
          <t>青流毒牙</t>
        </is>
      </c>
      <c r="C1553" s="8" t="inlineStr">
        <is>
          <t>材料</t>
        </is>
      </c>
      <c r="D1553" s="8" t="inlineStr">
        <is>
          <t>spirit</t>
        </is>
      </c>
      <c r="E1553" s="8" t="inlineStr">
        <is>
          <t>water</t>
        </is>
      </c>
      <c r="F1553" s="8" t="n">
        <v>1</v>
      </c>
      <c r="G1553" s="8" t="inlineStr">
        <is>
          <t>基础/顶层</t>
        </is>
      </c>
      <c r="H1553" s="8" t="inlineStr"/>
      <c r="I1553" s="9" t="inlineStr"/>
      <c r="J1553" s="8" t="inlineStr"/>
      <c r="K1553" s="8" t="inlineStr"/>
      <c r="L1553" s="8" t="inlineStr"/>
      <c r="M1553" s="8" t="inlineStr">
        <is>
          <t>周期触发</t>
        </is>
      </c>
      <c r="N1553" s="8" t="inlineStr">
        <is>
          <t>periodicPulse</t>
        </is>
      </c>
      <c r="O1553" s="9" t="inlineStr">
        <is>
          <t>轮转时，消耗 12 点体力，对敌方造成 90 点伤害并施加 10 层中毒，每次轮转后伤害效果升级；伤害</t>
        </is>
      </c>
      <c r="P1553" s="9" t="inlineStr">
        <is>
          <t>onPeriodicPulse</t>
        </is>
      </c>
      <c r="Q1553" s="9" t="inlineStr"/>
      <c r="R1553" s="9" t="inlineStr">
        <is>
          <t>{"kind":"periodicPulse","periodicPulse":{"intervalSec":13,"label":"&lt;battle&gt;轮转时，消耗 12 点体力，对敌方造成 90 点伤害并施加 10 层中毒，每次轮转后伤害效果升级&lt;/battle&gt;","primaryStatCosts":[{"stat":"stamina","amount":12}],"buffGains":[{"buffId":"poison","count":10,"target":"enemy"}],"damageHealth":{"target":"enemy","amount":90}},"executionScope":"beast","visibilityScope":"beast","growth":{"lifecycle":"singleGame","trigger":"onPeriodicPulse","bindings":[{"path":"periodicPulse.damageHealth.amount","delta":14,"maxValue":146,"label":"伤害","textOccurrence":0}],"support":"battleOnly"}}</t>
        </is>
      </c>
    </row>
    <row r="1554" ht="32" customHeight="1">
      <c r="A1554" s="8" t="n">
        <v>500252</v>
      </c>
      <c r="B1554" s="8" t="inlineStr">
        <is>
          <t>滑石尾骨</t>
        </is>
      </c>
      <c r="C1554" s="8" t="inlineStr">
        <is>
          <t>材料</t>
        </is>
      </c>
      <c r="D1554" s="8" t="inlineStr">
        <is>
          <t>spirit</t>
        </is>
      </c>
      <c r="E1554" s="8" t="inlineStr">
        <is>
          <t>earth</t>
        </is>
      </c>
      <c r="F1554" s="8" t="n">
        <v>1</v>
      </c>
      <c r="G1554" s="8" t="inlineStr">
        <is>
          <t>基础/顶层</t>
        </is>
      </c>
      <c r="H1554" s="8" t="inlineStr"/>
      <c r="I1554" s="9" t="inlineStr"/>
      <c r="J1554" s="8" t="inlineStr"/>
      <c r="K1554" s="8" t="inlineStr"/>
      <c r="L1554" s="8" t="inlineStr"/>
      <c r="M1554" s="8" t="inlineStr">
        <is>
          <t>周期触发</t>
        </is>
      </c>
      <c r="N1554" s="8" t="inlineStr">
        <is>
          <t>periodicPulse</t>
        </is>
      </c>
      <c r="O1554" s="9" t="inlineStr">
        <is>
          <t>轮转时，消耗 32 点体力与最多 96 层露水；每消耗 1 层露水，对敌方造成 2 点伤害，并使相邻道具加速 8 秒</t>
        </is>
      </c>
      <c r="P1554" s="9" t="inlineStr">
        <is>
          <t>onPeriodicPulse</t>
        </is>
      </c>
      <c r="Q1554" s="9" t="inlineStr">
        <is>
          <t>consumeBuffStacks</t>
        </is>
      </c>
      <c r="R1554" s="9" t="inlineStr">
        <is>
          <t>{"kind":"periodicPulse","periodicPulse":{"intervalSec":36,"label":"&lt;battle&gt;轮转时，消耗 32 点体力与最多 96 层露水；每消耗 1 层露水，对敌方造成 2 点伤害，并使相邻道具加速 8 秒&lt;/battle&gt;","primaryStatCosts":[{"stat":"stamina","amount":32}],"itemRuntimeStatusEffects":[{"itemRuntimeStatus":"haste","durationSec":8,"strengthPercent":30,"targetScope":"adjacent"}]},"executors":[{"trigger":"onPeriodicPulse","type":"consumeBuffStacks","sourceBuffId":"dew","maxStacks":96,"battleDamageHealthPerStack":2,"support":"common"}],"executionScope":"beast","visibilityScope":"beast"}</t>
        </is>
      </c>
    </row>
    <row r="1555" ht="32" customHeight="1">
      <c r="A1555" s="8" t="n">
        <v>500253</v>
      </c>
      <c r="B1555" s="8" t="inlineStr">
        <is>
          <t>沉壳蚌片</t>
        </is>
      </c>
      <c r="C1555" s="8" t="inlineStr">
        <is>
          <t>材料</t>
        </is>
      </c>
      <c r="D1555" s="8" t="inlineStr">
        <is>
          <t>common</t>
        </is>
      </c>
      <c r="E1555" s="8" t="inlineStr">
        <is>
          <t>water</t>
        </is>
      </c>
      <c r="F1555" s="8" t="n">
        <v>1</v>
      </c>
      <c r="G1555" s="8" t="inlineStr">
        <is>
          <t>基础/顶层</t>
        </is>
      </c>
      <c r="H1555" s="8" t="inlineStr"/>
      <c r="I1555" s="9" t="inlineStr"/>
      <c r="J1555" s="8" t="inlineStr"/>
      <c r="K1555" s="8" t="inlineStr"/>
      <c r="L1555" s="8" t="inlineStr"/>
      <c r="M1555" s="8" t="inlineStr">
        <is>
          <t>周期触发</t>
        </is>
      </c>
      <c r="N1555" s="8" t="inlineStr">
        <is>
          <t>periodicPulse</t>
        </is>
      </c>
      <c r="O1555" s="9" t="inlineStr">
        <is>
          <t>轮转时，获得 1 层露水</t>
        </is>
      </c>
      <c r="P1555" s="9" t="inlineStr"/>
      <c r="Q1555" s="9" t="inlineStr"/>
      <c r="R1555" s="9" t="inlineStr">
        <is>
          <t>{"kind":"periodicPulse","periodicPulse":{"intervalSec":8,"label":"轮转时，获得 1 层露水","buffGains":[{"buffId":"dew","count":1,"durationMs":60000}]},"executionScope":"beast","visibilityScope":"beast"}</t>
        </is>
      </c>
    </row>
    <row r="1556" ht="32" customHeight="1">
      <c r="A1556" s="8" t="n">
        <v>500254</v>
      </c>
      <c r="B1556" s="8" t="inlineStr">
        <is>
          <t>溪泥珠膜</t>
        </is>
      </c>
      <c r="C1556" s="8" t="inlineStr">
        <is>
          <t>材料</t>
        </is>
      </c>
      <c r="D1556" s="8" t="inlineStr">
        <is>
          <t>common</t>
        </is>
      </c>
      <c r="E1556" s="8" t="inlineStr">
        <is>
          <t>water</t>
        </is>
      </c>
      <c r="F1556" s="8" t="n">
        <v>1</v>
      </c>
      <c r="G1556" s="8" t="inlineStr">
        <is>
          <t>基础/顶层</t>
        </is>
      </c>
      <c r="H1556" s="8" t="inlineStr"/>
      <c r="I1556" s="9" t="inlineStr"/>
      <c r="J1556" s="8" t="inlineStr"/>
      <c r="K1556" s="8" t="inlineStr"/>
      <c r="L1556" s="8" t="inlineStr"/>
      <c r="M1556" s="8" t="inlineStr">
        <is>
          <t>周期触发</t>
        </is>
      </c>
      <c r="N1556" s="8" t="inlineStr">
        <is>
          <t>periodicPulse</t>
        </is>
      </c>
      <c r="O1556" s="9" t="inlineStr">
        <is>
          <t>轮转时，消耗 1 点法力，对敌方造成 7 点伤害</t>
        </is>
      </c>
      <c r="P1556" s="9" t="inlineStr"/>
      <c r="Q1556" s="9" t="inlineStr"/>
      <c r="R1556" s="9" t="inlineStr">
        <is>
          <t>{"kind":"periodicPulse","periodicPulse":{"intervalSec":30,"label":"&lt;battle&gt;轮转时，消耗 1 点法力，对敌方造成 7 点伤害&lt;/battle&gt;","primaryStatCosts":[{"stat":"mana","amount":1}],"damageHealth":{"target":"enemy","amount":7}},"executionScope":"beast","visibilityScope":"beast"}</t>
        </is>
      </c>
    </row>
    <row r="1557" ht="32" customHeight="1">
      <c r="A1557" s="8" t="n">
        <v>500255</v>
      </c>
      <c r="B1557" s="8" t="inlineStr">
        <is>
          <t>水苔壳脊</t>
        </is>
      </c>
      <c r="C1557" s="8" t="inlineStr">
        <is>
          <t>材料</t>
        </is>
      </c>
      <c r="D1557" s="8" t="inlineStr">
        <is>
          <t>common</t>
        </is>
      </c>
      <c r="E1557" s="8" t="inlineStr">
        <is>
          <t>wood</t>
        </is>
      </c>
      <c r="F1557" s="8" t="n">
        <v>1</v>
      </c>
      <c r="G1557" s="8" t="inlineStr">
        <is>
          <t>基础/顶层</t>
        </is>
      </c>
      <c r="H1557" s="8" t="inlineStr"/>
      <c r="I1557" s="9" t="inlineStr"/>
      <c r="J1557" s="8" t="inlineStr"/>
      <c r="K1557" s="8" t="inlineStr"/>
      <c r="L1557" s="8" t="inlineStr"/>
      <c r="M1557" s="8" t="inlineStr">
        <is>
          <t>周期触发</t>
        </is>
      </c>
      <c r="N1557" s="8" t="inlineStr">
        <is>
          <t>periodicPulse</t>
        </is>
      </c>
      <c r="O1557" s="9" t="inlineStr">
        <is>
          <t>轮转时，将 1 层露水转化为 2 点气血；将 1 层露水转化为 2 点气血</t>
        </is>
      </c>
      <c r="P1557" s="9" t="inlineStr">
        <is>
          <t>onPeriodicPulse</t>
        </is>
      </c>
      <c r="Q1557" s="9" t="inlineStr">
        <is>
          <t>consumeBuffStacks</t>
        </is>
      </c>
      <c r="R1557" s="9" t="inlineStr">
        <is>
          <t>{"kind":"periodicPulse","periodicPulse":{"intervalSec":12,"label":"轮转时，将 1 层露水转化为 2 点气血"},"executors":[{"trigger":"onPeriodicPulse","type":"consumeBuffStacks","sourceBuffId":"dew","maxStacks":1,"primaryStatGainPerStack":{"stat":"health","amount":2},"label":"将 1 层露水转化为 2 点气血","requiredStacks":1}],"executionScope":"beast","visibilityScope":"beast"}</t>
        </is>
      </c>
    </row>
    <row r="1558" ht="32" customHeight="1">
      <c r="A1558" s="8" t="n">
        <v>500256</v>
      </c>
      <c r="B1558" s="8" t="inlineStr">
        <is>
          <t>闭壳软筋</t>
        </is>
      </c>
      <c r="C1558" s="8" t="inlineStr">
        <is>
          <t>材料</t>
        </is>
      </c>
      <c r="D1558" s="8" t="inlineStr">
        <is>
          <t>common</t>
        </is>
      </c>
      <c r="E1558" s="8" t="inlineStr">
        <is>
          <t>water</t>
        </is>
      </c>
      <c r="F1558" s="8" t="n">
        <v>1</v>
      </c>
      <c r="G1558" s="8" t="inlineStr">
        <is>
          <t>基础/顶层</t>
        </is>
      </c>
      <c r="H1558" s="8" t="inlineStr"/>
      <c r="I1558" s="9" t="inlineStr"/>
      <c r="J1558" s="8" t="inlineStr"/>
      <c r="K1558" s="8" t="inlineStr"/>
      <c r="L1558" s="8" t="inlineStr"/>
      <c r="M1558" s="8" t="inlineStr">
        <is>
          <t>消耗品效果</t>
        </is>
      </c>
      <c r="N1558" s="8" t="inlineStr">
        <is>
          <t>consumable</t>
        </is>
      </c>
      <c r="O1558" s="9" t="inlineStr">
        <is>
          <t>耗尽：每有 1 层露水，对敌方造成 1 点伤害</t>
        </is>
      </c>
      <c r="P1558" s="9" t="inlineStr">
        <is>
          <t>onConsumableExhausted</t>
        </is>
      </c>
      <c r="Q1558" s="9" t="inlineStr">
        <is>
          <t>consumeBuffStacks</t>
        </is>
      </c>
      <c r="R1558" s="9" t="inlineStr">
        <is>
          <t>{"kind":"consumable","executionScope":"beast","visibilityScope":"beast","consumable":{"durationSec":30,"label":"耗尽：每有 1 层露水，对敌方造成 1 点伤害"},"executors":[{"trigger":"onConsumableExhausted","type":"consumeBuffStacks","sourceBuffId":"dew","consumeRatio":1,"consumeRounding":"floor","battleDamageHealthPerStack":1,"label":"耗尽：每有 1 层露水，对敌方造成 1 点伤害"}]}</t>
        </is>
      </c>
    </row>
    <row r="1559" ht="32" customHeight="1">
      <c r="A1559" s="8" t="n">
        <v>500257</v>
      </c>
      <c r="B1559" s="8" t="inlineStr">
        <is>
          <t>墨涧碎牙</t>
        </is>
      </c>
      <c r="C1559" s="8" t="inlineStr">
        <is>
          <t>材料</t>
        </is>
      </c>
      <c r="D1559" s="8" t="inlineStr">
        <is>
          <t>common</t>
        </is>
      </c>
      <c r="E1559" s="8" t="inlineStr">
        <is>
          <t>water</t>
        </is>
      </c>
      <c r="F1559" s="8" t="n">
        <v>1</v>
      </c>
      <c r="G1559" s="8" t="inlineStr">
        <is>
          <t>基础/顶层</t>
        </is>
      </c>
      <c r="H1559" s="8" t="inlineStr"/>
      <c r="I1559" s="9" t="inlineStr"/>
      <c r="J1559" s="8" t="inlineStr"/>
      <c r="K1559" s="8" t="inlineStr"/>
      <c r="L1559" s="8" t="inlineStr"/>
      <c r="M1559" s="8" t="inlineStr">
        <is>
          <t>周期触发</t>
        </is>
      </c>
      <c r="N1559" s="8" t="inlineStr">
        <is>
          <t>periodicPulse</t>
        </is>
      </c>
      <c r="O1559" s="9" t="inlineStr">
        <is>
          <t>轮转时，对敌方造成 1 点伤害 5 次</t>
        </is>
      </c>
      <c r="P1559" s="9" t="inlineStr"/>
      <c r="Q1559" s="9" t="inlineStr"/>
      <c r="R1559" s="9" t="inlineStr">
        <is>
          <t>{"kind":"periodicPulse","periodicPulse":{"intervalSec":10,"label":"&lt;battle&gt;轮转时，对敌方造成 1 点伤害 5 次&lt;/battle&gt;","damageHealth":{"target":"enemy","amount":1,"repeatCount":5}},"executionScope":"beast","visibilityScope":"beast"}</t>
        </is>
      </c>
    </row>
    <row r="1560" ht="32" customHeight="1">
      <c r="A1560" s="8" t="n">
        <v>500258</v>
      </c>
      <c r="B1560" s="8" t="inlineStr">
        <is>
          <t>回渊吸须</t>
        </is>
      </c>
      <c r="C1560" s="8" t="inlineStr">
        <is>
          <t>材料</t>
        </is>
      </c>
      <c r="D1560" s="8" t="inlineStr">
        <is>
          <t>common</t>
        </is>
      </c>
      <c r="E1560" s="8" t="inlineStr">
        <is>
          <t>water</t>
        </is>
      </c>
      <c r="F1560" s="8" t="n">
        <v>1</v>
      </c>
      <c r="G1560" s="8" t="inlineStr">
        <is>
          <t>基础/顶层</t>
        </is>
      </c>
      <c r="H1560" s="8" t="inlineStr"/>
      <c r="I1560" s="9" t="inlineStr"/>
      <c r="J1560" s="8" t="inlineStr"/>
      <c r="K1560" s="8" t="inlineStr"/>
      <c r="L1560" s="8" t="inlineStr"/>
      <c r="M1560" s="8" t="inlineStr">
        <is>
          <t>周期触发</t>
        </is>
      </c>
      <c r="N1560" s="8" t="inlineStr">
        <is>
          <t>periodicPulse</t>
        </is>
      </c>
      <c r="O1560" s="9" t="inlineStr">
        <is>
          <t>轮转时，吸取敌人 3 点气血</t>
        </is>
      </c>
      <c r="P1560" s="9" t="inlineStr"/>
      <c r="Q1560" s="9" t="inlineStr"/>
      <c r="R1560" s="9" t="inlineStr">
        <is>
          <t>{"kind":"periodicPulse","periodicPulse":{"intervalSec":10,"label":"&lt;battle&gt;轮转时，吸取敌人 3 点气血&lt;/battle&gt;","drainPrimaryStat":{"target":"enemy","stat":"health","amount":3}},"executionScope":"beast","visibilityScope":"beast"}</t>
        </is>
      </c>
    </row>
    <row r="1561" ht="32" customHeight="1">
      <c r="A1561" s="8" t="n">
        <v>500259</v>
      </c>
      <c r="B1561" s="8" t="inlineStr">
        <is>
          <t>焰狐丹尾</t>
        </is>
      </c>
      <c r="C1561" s="8" t="inlineStr">
        <is>
          <t>材料</t>
        </is>
      </c>
      <c r="D1561" s="8" t="inlineStr">
        <is>
          <t>common</t>
        </is>
      </c>
      <c r="E1561" s="8" t="inlineStr">
        <is>
          <t>fire</t>
        </is>
      </c>
      <c r="F1561" s="8" t="n">
        <v>1</v>
      </c>
      <c r="G1561" s="8" t="inlineStr">
        <is>
          <t>基础/顶层</t>
        </is>
      </c>
      <c r="H1561" s="8" t="inlineStr"/>
      <c r="I1561" s="9" t="inlineStr"/>
      <c r="J1561" s="8" t="inlineStr"/>
      <c r="K1561" s="8" t="inlineStr"/>
      <c r="L1561" s="8" t="inlineStr"/>
      <c r="M1561" s="8" t="inlineStr">
        <is>
          <t>周期触发</t>
        </is>
      </c>
      <c r="N1561" s="8" t="inlineStr">
        <is>
          <t>periodicPulse</t>
        </is>
      </c>
      <c r="O1561" s="9" t="inlineStr">
        <is>
          <t>轮转时，消耗 10 层炎热，对敌方造成 20 点伤害；消耗 10 层炎热，对敌方造成 20 点伤害</t>
        </is>
      </c>
      <c r="P1561" s="9" t="inlineStr">
        <is>
          <t>onPeriodicPulse</t>
        </is>
      </c>
      <c r="Q1561" s="9" t="inlineStr">
        <is>
          <t>consumeBuffStacks</t>
        </is>
      </c>
      <c r="R1561" s="9" t="inlineStr">
        <is>
          <t>{"kind":"periodicPulse","periodicPulse":{"intervalSec":5,"label":"轮转时，消耗 10 层炎热，&lt;battle&gt;对敌方造成 20 点伤害&lt;/battle&gt;"},"executors":[{"trigger":"onPeriodicPulse","type":"consumeBuffStacks","sourceBuffId":"heat","requiredStacks":10,"maxStacks":10,"battleDamageHealthPerStack":2,"label":"消耗 10 层炎热，&lt;battle&gt;对敌方造成 20 点伤害&lt;/battle&gt;"}],"executionScope":"beast","visibilityScope":"beast"}</t>
        </is>
      </c>
    </row>
    <row r="1562" ht="32" customHeight="1">
      <c r="A1562" s="8" t="n">
        <v>500260</v>
      </c>
      <c r="B1562" s="8" t="inlineStr">
        <is>
          <t>蓄焰耳轮</t>
        </is>
      </c>
      <c r="C1562" s="8" t="inlineStr">
        <is>
          <t>材料</t>
        </is>
      </c>
      <c r="D1562" s="8" t="inlineStr">
        <is>
          <t>common</t>
        </is>
      </c>
      <c r="E1562" s="8" t="inlineStr">
        <is>
          <t>fire</t>
        </is>
      </c>
      <c r="F1562" s="8" t="n">
        <v>1</v>
      </c>
      <c r="G1562" s="8" t="inlineStr">
        <is>
          <t>基础/顶层</t>
        </is>
      </c>
      <c r="H1562" s="8" t="inlineStr"/>
      <c r="I1562" s="9" t="inlineStr"/>
      <c r="J1562" s="8" t="inlineStr"/>
      <c r="K1562" s="8" t="inlineStr"/>
      <c r="L1562" s="8" t="inlineStr"/>
      <c r="M1562" s="8" t="inlineStr">
        <is>
          <t>周期触发</t>
        </is>
      </c>
      <c r="N1562" s="8" t="inlineStr">
        <is>
          <t>periodicPulse</t>
        </is>
      </c>
      <c r="O1562" s="9" t="inlineStr">
        <is>
          <t>轮转时，如果敌方有 10 层灼烧，自身获得 1 层炎热</t>
        </is>
      </c>
      <c r="P1562" s="9" t="inlineStr"/>
      <c r="Q1562" s="9" t="inlineStr">
        <is>
          <t>targetBuffStacksGreaterThan</t>
        </is>
      </c>
      <c r="R1562" s="9" t="inlineStr">
        <is>
          <t>{"kind":"periodicPulse","periodicPulse":{"intervalSec":6,"label":"轮转时，如果敌方有 10 层灼烧，自身获得 1 层炎热","buffGains":[{"buffId":"heat","count":1}],"battleCondition":{"type":"targetBuffStacksGreaterThan","buffId":"burning","count":9}},"executionScope":"beast","visibilityScope":"beast"}</t>
        </is>
      </c>
    </row>
    <row r="1563" ht="32" customHeight="1">
      <c r="A1563" s="8" t="n">
        <v>500261</v>
      </c>
      <c r="B1563" s="8" t="inlineStr">
        <is>
          <t>裂岩齿</t>
        </is>
      </c>
      <c r="C1563" s="8" t="inlineStr">
        <is>
          <t>材料</t>
        </is>
      </c>
      <c r="D1563" s="8" t="inlineStr">
        <is>
          <t>common</t>
        </is>
      </c>
      <c r="E1563" s="8" t="inlineStr">
        <is>
          <t>earth</t>
        </is>
      </c>
      <c r="F1563" s="8" t="n">
        <v>1</v>
      </c>
      <c r="G1563" s="8" t="inlineStr">
        <is>
          <t>基础/顶层</t>
        </is>
      </c>
      <c r="H1563" s="8" t="inlineStr"/>
      <c r="I1563" s="9" t="inlineStr"/>
      <c r="J1563" s="8" t="inlineStr"/>
      <c r="K1563" s="8" t="inlineStr"/>
      <c r="L1563" s="8" t="inlineStr"/>
      <c r="M1563" s="8" t="inlineStr">
        <is>
          <t>周期触发</t>
        </is>
      </c>
      <c r="N1563" s="8" t="inlineStr">
        <is>
          <t>periodicPulse</t>
        </is>
      </c>
      <c r="O1563" s="9" t="inlineStr">
        <is>
          <t>轮转时，扣除敌方 1 点法力</t>
        </is>
      </c>
      <c r="P1563" s="9" t="inlineStr"/>
      <c r="Q1563" s="9" t="inlineStr"/>
      <c r="R1563" s="9" t="inlineStr">
        <is>
          <t>{"kind":"periodicPulse","periodicPulse":{"intervalSec":5,"label":"&lt;battle&gt;轮转时，扣除敌方 1 点法力&lt;/battle&gt;","primaryStatDamages":[{"target":"enemy","stat":"mana","amount":1}]},"executionScope":"beast","visibilityScope":"beast"}</t>
        </is>
      </c>
    </row>
    <row r="1564" ht="32" customHeight="1">
      <c r="A1564" s="8" t="n">
        <v>500262</v>
      </c>
      <c r="B1564" s="8" t="inlineStr">
        <is>
          <t>铁脊厚鳞</t>
        </is>
      </c>
      <c r="C1564" s="8" t="inlineStr">
        <is>
          <t>材料</t>
        </is>
      </c>
      <c r="D1564" s="8" t="inlineStr">
        <is>
          <t>common</t>
        </is>
      </c>
      <c r="E1564" s="8" t="inlineStr">
        <is>
          <t>earth</t>
        </is>
      </c>
      <c r="F1564" s="8" t="n">
        <v>1</v>
      </c>
      <c r="G1564" s="8" t="inlineStr">
        <is>
          <t>基础/顶层</t>
        </is>
      </c>
      <c r="H1564" s="8" t="inlineStr"/>
      <c r="I1564" s="9" t="inlineStr"/>
      <c r="J1564" s="8" t="inlineStr"/>
      <c r="K1564" s="8" t="inlineStr"/>
      <c r="L1564" s="8" t="inlineStr"/>
      <c r="M1564" s="8" t="inlineStr">
        <is>
          <t>周期触发</t>
        </is>
      </c>
      <c r="N1564" s="8" t="inlineStr">
        <is>
          <t>periodicPulse</t>
        </is>
      </c>
      <c r="O1564" s="9" t="inlineStr">
        <is>
          <t>轮转时，获得 8 层坚硬</t>
        </is>
      </c>
      <c r="P1564" s="9" t="inlineStr"/>
      <c r="Q1564" s="9" t="inlineStr"/>
      <c r="R1564" s="9" t="inlineStr">
        <is>
          <t>{"kind":"periodicPulse","periodicPulse":{"intervalSec":15,"label":"轮转时，获得 8 层坚硬","buffGains":[{"buffId":"sturdy","count":8}]},"executionScope":"beast","visibilityScope":"beast"}</t>
        </is>
      </c>
    </row>
    <row r="1565" ht="32" customHeight="1">
      <c r="A1565" s="8" t="n">
        <v>500263</v>
      </c>
      <c r="B1565" s="8" t="inlineStr">
        <is>
          <t>灵猕轻腕</t>
        </is>
      </c>
      <c r="C1565" s="8" t="inlineStr">
        <is>
          <t>材料</t>
        </is>
      </c>
      <c r="D1565" s="8" t="inlineStr">
        <is>
          <t>common</t>
        </is>
      </c>
      <c r="E1565" s="8" t="inlineStr">
        <is>
          <t>wood</t>
        </is>
      </c>
      <c r="F1565" s="8" t="n">
        <v>1</v>
      </c>
      <c r="G1565" s="8" t="inlineStr">
        <is>
          <t>基础/顶层</t>
        </is>
      </c>
      <c r="H1565" s="8" t="inlineStr"/>
      <c r="I1565" s="9" t="inlineStr"/>
      <c r="J1565" s="8" t="inlineStr"/>
      <c r="K1565" s="8" t="inlineStr"/>
      <c r="L1565" s="8" t="inlineStr"/>
      <c r="M1565" s="8" t="inlineStr">
        <is>
          <t>周期触发</t>
        </is>
      </c>
      <c r="N1565" s="8" t="inlineStr">
        <is>
          <t>periodicPulse</t>
        </is>
      </c>
      <c r="O1565" s="9" t="inlineStr">
        <is>
          <t>开局时，获得 10 层闪避</t>
        </is>
      </c>
      <c r="P1565" s="9" t="inlineStr"/>
      <c r="Q1565" s="9" t="inlineStr"/>
      <c r="R1565" s="9" t="inlineStr">
        <is>
          <t>{"kind":"periodicPulse","periodicPulse":{"label":"开局时，获得 10 层闪避","buffGains":[{"buffId":"dodge","count":10}],"startOnly":true},"executionScope":"beast","visibilityScope":"beast"}</t>
        </is>
      </c>
    </row>
    <row r="1566" ht="32" customHeight="1">
      <c r="A1566" s="8" t="n">
        <v>500264</v>
      </c>
      <c r="B1566" s="8" t="inlineStr">
        <is>
          <t>青叶跳筋</t>
        </is>
      </c>
      <c r="C1566" s="8" t="inlineStr">
        <is>
          <t>材料</t>
        </is>
      </c>
      <c r="D1566" s="8" t="inlineStr">
        <is>
          <t>common</t>
        </is>
      </c>
      <c r="E1566" s="8" t="inlineStr">
        <is>
          <t>wood</t>
        </is>
      </c>
      <c r="F1566" s="8" t="n">
        <v>1</v>
      </c>
      <c r="G1566" s="8" t="inlineStr">
        <is>
          <t>基础/顶层</t>
        </is>
      </c>
      <c r="H1566" s="8" t="inlineStr"/>
      <c r="I1566" s="9" t="inlineStr"/>
      <c r="J1566" s="8" t="inlineStr"/>
      <c r="K1566" s="8" t="inlineStr"/>
      <c r="L1566" s="8" t="inlineStr"/>
      <c r="M1566" s="8" t="inlineStr">
        <is>
          <t>周期触发</t>
        </is>
      </c>
      <c r="N1566" s="8" t="inlineStr">
        <is>
          <t>periodicPulse</t>
        </is>
      </c>
      <c r="O1566" s="9" t="inlineStr">
        <is>
          <t>轮转时，获得 1 层闪避</t>
        </is>
      </c>
      <c r="P1566" s="9" t="inlineStr"/>
      <c r="Q1566" s="9" t="inlineStr"/>
      <c r="R1566" s="9" t="inlineStr">
        <is>
          <t>{"kind":"periodicPulse","periodicPulse":{"intervalSec":7,"label":"轮转时，获得 1 层闪避","buffGains":[{"buffId":"dodge","count":1}]},"executionScope":"beast","visibilityScope":"beast"}</t>
        </is>
      </c>
    </row>
    <row r="1567" ht="32" customHeight="1">
      <c r="A1567" s="8" t="n">
        <v>500265</v>
      </c>
      <c r="B1567" s="8" t="inlineStr">
        <is>
          <t>白眉灵须</t>
        </is>
      </c>
      <c r="C1567" s="8" t="inlineStr">
        <is>
          <t>材料</t>
        </is>
      </c>
      <c r="D1567" s="8" t="inlineStr">
        <is>
          <t>common</t>
        </is>
      </c>
      <c r="E1567" s="8" t="inlineStr">
        <is>
          <t>none</t>
        </is>
      </c>
      <c r="F1567" s="8" t="n">
        <v>1</v>
      </c>
      <c r="G1567" s="8" t="inlineStr">
        <is>
          <t>基础/顶层</t>
        </is>
      </c>
      <c r="H1567" s="8" t="inlineStr"/>
      <c r="I1567" s="9" t="inlineStr"/>
      <c r="J1567" s="8" t="inlineStr"/>
      <c r="K1567" s="8" t="inlineStr"/>
      <c r="L1567" s="8" t="inlineStr"/>
      <c r="M1567" s="8" t="inlineStr">
        <is>
          <t>周期触发</t>
        </is>
      </c>
      <c r="N1567" s="8" t="inlineStr">
        <is>
          <t>periodicPulse</t>
        </is>
      </c>
      <c r="O1567" s="9" t="inlineStr">
        <is>
          <t>轮转时，获得 1 层闪避</t>
        </is>
      </c>
      <c r="P1567" s="9" t="inlineStr"/>
      <c r="Q1567" s="9" t="inlineStr"/>
      <c r="R1567" s="9" t="inlineStr">
        <is>
          <t>{"kind":"periodicPulse","periodicPulse":{"intervalSec":4,"label":"轮转时，获得 1 层闪避","buffGains":[{"buffId":"dodge","count":1}]},"executionScope":"beast","visibilityScope":"beast"}</t>
        </is>
      </c>
    </row>
    <row r="1568" ht="32" customHeight="1">
      <c r="A1568" s="8" t="n">
        <v>500266</v>
      </c>
      <c r="B1568" s="8" t="inlineStr">
        <is>
          <t>识鼠硬齿</t>
        </is>
      </c>
      <c r="C1568" s="8" t="inlineStr">
        <is>
          <t>材料</t>
        </is>
      </c>
      <c r="D1568" s="8" t="inlineStr">
        <is>
          <t>common</t>
        </is>
      </c>
      <c r="E1568" s="8" t="inlineStr">
        <is>
          <t>none</t>
        </is>
      </c>
      <c r="F1568" s="8" t="n">
        <v>1</v>
      </c>
      <c r="G1568" s="8" t="inlineStr">
        <is>
          <t>基础/顶层</t>
        </is>
      </c>
      <c r="H1568" s="8" t="inlineStr"/>
      <c r="I1568" s="9" t="inlineStr"/>
      <c r="J1568" s="8" t="inlineStr"/>
      <c r="K1568" s="8" t="inlineStr"/>
      <c r="L1568" s="8" t="inlineStr"/>
      <c r="M1568" s="8" t="inlineStr">
        <is>
          <t>周期触发</t>
        </is>
      </c>
      <c r="N1568" s="8" t="inlineStr">
        <is>
          <t>periodicPulse</t>
        </is>
      </c>
      <c r="O1568" s="9" t="inlineStr">
        <is>
          <t>轮转时，将 5 层闪避转化为 5 层坚硬；将 5 层闪避转化为 5 层坚硬</t>
        </is>
      </c>
      <c r="P1568" s="9" t="inlineStr">
        <is>
          <t>onPeriodicPulse</t>
        </is>
      </c>
      <c r="Q1568" s="9" t="inlineStr">
        <is>
          <t>convertBuffStacks</t>
        </is>
      </c>
      <c r="R1568" s="9" t="inlineStr">
        <is>
          <t>{"kind":"periodicPulse","periodicPulse":{"intervalSec":2,"label":"轮转时，将 5 层闪避转化为 5 层坚硬"},"executors":[{"trigger":"onPeriodicPulse","type":"convertBuffStacks","sourceBuffId":"dodge","targetBuffId":"sturdy","requiredStacks":5,"maxStacks":5,"label":"将 5 层闪避转化为 5 层坚硬"}],"executionScope":"beast","visibilityScope":"beast"}</t>
        </is>
      </c>
    </row>
    <row r="1569" ht="32" customHeight="1">
      <c r="A1569" s="8" t="n">
        <v>500267</v>
      </c>
      <c r="B1569" s="8" t="inlineStr">
        <is>
          <t>回湾蛇胆</t>
        </is>
      </c>
      <c r="C1569" s="8" t="inlineStr">
        <is>
          <t>材料</t>
        </is>
      </c>
      <c r="D1569" s="8" t="inlineStr">
        <is>
          <t>spirit</t>
        </is>
      </c>
      <c r="E1569" s="8" t="inlineStr">
        <is>
          <t>water</t>
        </is>
      </c>
      <c r="F1569" s="8" t="n">
        <v>1</v>
      </c>
      <c r="G1569" s="8" t="inlineStr">
        <is>
          <t>基础/顶层</t>
        </is>
      </c>
      <c r="H1569" s="8" t="inlineStr"/>
      <c r="I1569" s="9" t="inlineStr"/>
      <c r="J1569" s="8" t="inlineStr"/>
      <c r="K1569" s="8" t="inlineStr"/>
      <c r="L1569" s="8" t="inlineStr"/>
      <c r="M1569" s="8" t="inlineStr">
        <is>
          <t>周期触发</t>
        </is>
      </c>
      <c r="N1569" s="8" t="inlineStr">
        <is>
          <t>periodicPulse</t>
        </is>
      </c>
      <c r="O1569" s="9" t="inlineStr">
        <is>
          <t>轮转时，消耗 60 点气血，恢复自身 110 点法力，并随机冻结敌方 3 个道具 2.4 秒</t>
        </is>
      </c>
      <c r="P1569" s="9" t="inlineStr"/>
      <c r="Q1569" s="9" t="inlineStr"/>
      <c r="R1569" s="9" t="inlineStr">
        <is>
          <t>{"kind":"periodicPulse","periodicPulse":{"intervalSec":19,"label":"&lt;battle&gt;轮转时，消耗 60 点气血，恢复自身 110 点法力，并随机冻结敌方 3 个道具 2.4 秒&lt;/battle&gt;","primaryStatCosts":[{"stat":"health","amount":60}],"primaryStatGains":[{"stat":"mana","amount":110}],"itemRuntimeStatusEffects":[{"itemRuntimeStatus":"freeze","durationSec":2.4,"targetScope":"enemyRandom","amount":3}]},"executionScope":"beast","visibilityScope":"beast"}</t>
        </is>
      </c>
    </row>
    <row r="1570" ht="32" customHeight="1">
      <c r="A1570" s="8" t="n">
        <v>500268</v>
      </c>
      <c r="B1570" s="8" t="inlineStr">
        <is>
          <t>逐浪腹鳞</t>
        </is>
      </c>
      <c r="C1570" s="8" t="inlineStr">
        <is>
          <t>材料</t>
        </is>
      </c>
      <c r="D1570" s="8" t="inlineStr">
        <is>
          <t>spirit</t>
        </is>
      </c>
      <c r="E1570" s="8" t="inlineStr">
        <is>
          <t>water</t>
        </is>
      </c>
      <c r="F1570" s="8" t="n">
        <v>1</v>
      </c>
      <c r="G1570" s="8" t="inlineStr">
        <is>
          <t>基础/顶层</t>
        </is>
      </c>
      <c r="H1570" s="8" t="inlineStr"/>
      <c r="I1570" s="9" t="inlineStr"/>
      <c r="J1570" s="8" t="inlineStr"/>
      <c r="K1570" s="8" t="inlineStr"/>
      <c r="L1570" s="8" t="inlineStr"/>
      <c r="M1570" s="8" t="inlineStr">
        <is>
          <t>周期触发</t>
        </is>
      </c>
      <c r="N1570" s="8" t="inlineStr">
        <is>
          <t>periodicPulse</t>
        </is>
      </c>
      <c r="O1570" s="9" t="inlineStr">
        <is>
          <t>轮转时，消耗 24 点体力，对敌方造成 50 点伤害，获得 12 层闪避，使相邻道具现有的冻结和减速各缩短 1.5 秒并加速 5 秒，每次轮转后伤害效果升级；伤害</t>
        </is>
      </c>
      <c r="P1570" s="9" t="inlineStr">
        <is>
          <t>onPeriodicPulse</t>
        </is>
      </c>
      <c r="Q1570" s="9" t="inlineStr"/>
      <c r="R1570" s="9" t="inlineStr">
        <is>
          <t>{"kind":"periodicPulse","periodicPulse":{"intervalSec":12,"label":"&lt;battle&gt;轮转时，消耗 24 点体力，对敌方造成 50 点伤害，获得 12 层闪避，使相邻道具现有的冻结和减速各缩短 1.5 秒并加速 5 秒，每次轮转后伤害效果升级&lt;/battle&gt;","primaryStatCosts":[{"stat":"stamina","amount":24}],"buffGains":[{"buffId":"dodge","count":12}],"damageHealth":{"target":"enemy","amount":50},"itemRuntimeStatusEffects":[{"itemRuntimeStatus":"haste","durationSec":5,"strengthPercent":45,"targetScope":"adjacent"}],"itemRuntimeStatusReliefEffects":[{"targetScope":"adjacent","statuses":["freeze","slow"],"durationSec":1.5}]},"executionScope":"beast","visibilityScope":"beast","growth":{"lifecycle":"singleGame","trigger":"onPeriodicPulse","bindings":[{"path":"periodicPulse.damageHealth.amount","delta":8,"maxValue":82,"label":"伤害","textOccurrence":0}],"support":"battleOnly"}}</t>
        </is>
      </c>
    </row>
    <row r="1571" ht="32" customHeight="1">
      <c r="A1571" s="8" t="n">
        <v>500320</v>
      </c>
      <c r="B1571" s="8" t="inlineStr">
        <is>
          <t>萤纹背羽</t>
        </is>
      </c>
      <c r="C1571" s="8" t="inlineStr">
        <is>
          <t>材料</t>
        </is>
      </c>
      <c r="D1571" s="8" t="inlineStr">
        <is>
          <t>common</t>
        </is>
      </c>
      <c r="E1571" s="8" t="inlineStr">
        <is>
          <t>water</t>
        </is>
      </c>
      <c r="F1571" s="8" t="n">
        <v>1</v>
      </c>
      <c r="G1571" s="8" t="inlineStr">
        <is>
          <t>基础/顶层</t>
        </is>
      </c>
      <c r="H1571" s="8" t="inlineStr"/>
      <c r="I1571" s="9" t="inlineStr"/>
      <c r="J1571" s="8" t="inlineStr"/>
      <c r="K1571" s="8" t="inlineStr"/>
      <c r="L1571" s="8" t="inlineStr"/>
      <c r="M1571" s="8" t="inlineStr">
        <is>
          <t>周期触发</t>
        </is>
      </c>
      <c r="N1571" s="8" t="inlineStr">
        <is>
          <t>periodicPulse</t>
        </is>
      </c>
      <c r="O1571" s="9" t="inlineStr">
        <is>
          <t>轮转时，每有 1 层露水，恢复 1 点气血</t>
        </is>
      </c>
      <c r="P1571" s="9" t="inlineStr"/>
      <c r="Q1571" s="9" t="inlineStr"/>
      <c r="R1571" s="9" t="inlineStr">
        <is>
          <t>{"kind":"periodicPulse","periodicPulse":{"intervalSec":8,"label":"轮转时，每有 1 层露水，恢复 1 点气血","primaryStatGainPerBuffStack":{"buffId":"dew","stat":"health","valuePerStack":1}},"executionScope":"beast","visibilityScope":"beast"}</t>
        </is>
      </c>
    </row>
    <row r="1572" ht="32" customHeight="1">
      <c r="A1572" s="8" t="n">
        <v>500321</v>
      </c>
      <c r="B1572" s="8" t="inlineStr">
        <is>
          <t>岩雀暖爪</t>
        </is>
      </c>
      <c r="C1572" s="8" t="inlineStr">
        <is>
          <t>材料</t>
        </is>
      </c>
      <c r="D1572" s="8" t="inlineStr">
        <is>
          <t>common</t>
        </is>
      </c>
      <c r="E1572" s="8" t="inlineStr">
        <is>
          <t>water</t>
        </is>
      </c>
      <c r="F1572" s="8" t="n">
        <v>1</v>
      </c>
      <c r="G1572" s="8" t="inlineStr">
        <is>
          <t>基础/顶层</t>
        </is>
      </c>
      <c r="H1572" s="8" t="inlineStr"/>
      <c r="I1572" s="9" t="inlineStr"/>
      <c r="J1572" s="8" t="inlineStr"/>
      <c r="K1572" s="8" t="inlineStr"/>
      <c r="L1572" s="8" t="inlineStr"/>
      <c r="M1572" s="8" t="inlineStr">
        <is>
          <t>周期触发</t>
        </is>
      </c>
      <c r="N1572" s="8" t="inlineStr">
        <is>
          <t>periodicPulse</t>
        </is>
      </c>
      <c r="O1572" s="9" t="inlineStr">
        <is>
          <t>轮转时，消耗 2 点体力，对敌方造成 3 点伤害</t>
        </is>
      </c>
      <c r="P1572" s="9" t="inlineStr"/>
      <c r="Q1572" s="9" t="inlineStr"/>
      <c r="R1572" s="9" t="inlineStr">
        <is>
          <t>{"kind":"periodicPulse","periodicPulse":{"intervalSec":10,"label":"轮转时，消耗 2 点体力，&lt;battle&gt;对敌方造成 3 点伤害&lt;/battle&gt;","primaryStatCosts":[{"stat":"stamina","amount":2}],"damageHealth":{"target":"enemy","amount":3}},"executionScope":"beast","visibilityScope":"beast"}</t>
        </is>
      </c>
    </row>
    <row r="1573" ht="32" customHeight="1">
      <c r="A1573" s="8" t="n">
        <v>500322</v>
      </c>
      <c r="B1573" s="8" t="inlineStr">
        <is>
          <t>青萤露囊</t>
        </is>
      </c>
      <c r="C1573" s="8" t="inlineStr">
        <is>
          <t>材料</t>
        </is>
      </c>
      <c r="D1573" s="8" t="inlineStr">
        <is>
          <t>common</t>
        </is>
      </c>
      <c r="E1573" s="8" t="inlineStr">
        <is>
          <t>water</t>
        </is>
      </c>
      <c r="F1573" s="8" t="n">
        <v>1</v>
      </c>
      <c r="G1573" s="8" t="inlineStr">
        <is>
          <t>基础/顶层</t>
        </is>
      </c>
      <c r="H1573" s="8" t="inlineStr"/>
      <c r="I1573" s="9" t="inlineStr"/>
      <c r="J1573" s="8" t="inlineStr"/>
      <c r="K1573" s="8" t="inlineStr"/>
      <c r="L1573" s="8" t="inlineStr"/>
      <c r="M1573" s="8" t="inlineStr">
        <is>
          <t>周期触发</t>
        </is>
      </c>
      <c r="N1573" s="8" t="inlineStr">
        <is>
          <t>periodicPulse</t>
        </is>
      </c>
      <c r="O1573" s="9" t="inlineStr">
        <is>
          <t>轮转时，获得 5 层露水</t>
        </is>
      </c>
      <c r="P1573" s="9" t="inlineStr"/>
      <c r="Q1573" s="9" t="inlineStr"/>
      <c r="R1573" s="9" t="inlineStr">
        <is>
          <t>{"kind":"periodicPulse","periodicPulse":{"intervalSec":10,"label":"轮转时，获得 5 层露水","buffGains":[{"buffId":"dew","count":5}]},"executionScope":"beast","visibilityScope":"beast"}</t>
        </is>
      </c>
    </row>
    <row r="1574" ht="32" customHeight="1">
      <c r="A1574" s="8" t="n">
        <v>500323</v>
      </c>
      <c r="B1574" s="8" t="inlineStr">
        <is>
          <t>萤影眼睑</t>
        </is>
      </c>
      <c r="C1574" s="8" t="inlineStr">
        <is>
          <t>材料</t>
        </is>
      </c>
      <c r="D1574" s="8" t="inlineStr">
        <is>
          <t>common</t>
        </is>
      </c>
      <c r="E1574" s="8" t="inlineStr">
        <is>
          <t>water</t>
        </is>
      </c>
      <c r="F1574" s="8" t="n">
        <v>1</v>
      </c>
      <c r="G1574" s="8" t="inlineStr">
        <is>
          <t>基础/顶层</t>
        </is>
      </c>
      <c r="H1574" s="8" t="inlineStr"/>
      <c r="I1574" s="9" t="inlineStr"/>
      <c r="J1574" s="8" t="inlineStr"/>
      <c r="K1574" s="8" t="inlineStr"/>
      <c r="L1574" s="8" t="inlineStr"/>
      <c r="M1574" s="8" t="inlineStr">
        <is>
          <t>周期触发</t>
        </is>
      </c>
      <c r="N1574" s="8" t="inlineStr">
        <is>
          <t>periodicPulse</t>
        </is>
      </c>
      <c r="O1574" s="9" t="inlineStr">
        <is>
          <t>开局时，获得 10 层闪避</t>
        </is>
      </c>
      <c r="P1574" s="9" t="inlineStr"/>
      <c r="Q1574" s="9" t="inlineStr"/>
      <c r="R1574" s="9" t="inlineStr">
        <is>
          <t>{"kind":"periodicPulse","periodicPulse":{"label":"开局时，获得 10 层闪避","buffGains":[{"buffId":"dodge","count":10}],"startOnly":true},"executionScope":"beast","visibilityScope":"beast"}</t>
        </is>
      </c>
    </row>
    <row r="1575" ht="32" customHeight="1">
      <c r="A1575" s="8" t="n">
        <v>500324</v>
      </c>
      <c r="B1575" s="8" t="inlineStr">
        <is>
          <t>流光鹿尾</t>
        </is>
      </c>
      <c r="C1575" s="8" t="inlineStr">
        <is>
          <t>材料</t>
        </is>
      </c>
      <c r="D1575" s="8" t="inlineStr">
        <is>
          <t>common</t>
        </is>
      </c>
      <c r="E1575" s="8" t="inlineStr">
        <is>
          <t>earth</t>
        </is>
      </c>
      <c r="F1575" s="8" t="n">
        <v>1</v>
      </c>
      <c r="G1575" s="8" t="inlineStr">
        <is>
          <t>基础/顶层</t>
        </is>
      </c>
      <c r="H1575" s="8" t="inlineStr"/>
      <c r="I1575" s="9" t="inlineStr"/>
      <c r="J1575" s="8" t="inlineStr"/>
      <c r="K1575" s="8" t="inlineStr"/>
      <c r="L1575" s="8" t="inlineStr"/>
      <c r="M1575" s="8" t="inlineStr">
        <is>
          <t>周期触发</t>
        </is>
      </c>
      <c r="N1575" s="8" t="inlineStr">
        <is>
          <t>periodicPulse</t>
        </is>
      </c>
      <c r="O1575" s="9" t="inlineStr">
        <is>
          <t>轮转时，对敌方造成 8 点伤害</t>
        </is>
      </c>
      <c r="P1575" s="9" t="inlineStr"/>
      <c r="Q1575" s="9" t="inlineStr"/>
      <c r="R1575" s="9" t="inlineStr">
        <is>
          <t>{"kind":"periodicPulse","periodicPulse":{"intervalSec":7,"label":"&lt;battle&gt;轮转时，对敌方造成 8 点伤害&lt;/battle&gt;","damageHealth":{"target":"enemy","amount":8}},"executionScope":"beast","visibilityScope":"beast"}</t>
        </is>
      </c>
    </row>
    <row r="1576" ht="32" customHeight="1">
      <c r="A1576" s="8" t="n">
        <v>500325</v>
      </c>
      <c r="B1576" s="8" t="inlineStr">
        <is>
          <t>萤纹背皮</t>
        </is>
      </c>
      <c r="C1576" s="8" t="inlineStr">
        <is>
          <t>材料</t>
        </is>
      </c>
      <c r="D1576" s="8" t="inlineStr">
        <is>
          <t>common</t>
        </is>
      </c>
      <c r="E1576" s="8" t="inlineStr">
        <is>
          <t>water</t>
        </is>
      </c>
      <c r="F1576" s="8" t="n">
        <v>1</v>
      </c>
      <c r="G1576" s="8" t="inlineStr">
        <is>
          <t>基础/顶层</t>
        </is>
      </c>
      <c r="H1576" s="8" t="inlineStr"/>
      <c r="I1576" s="9" t="inlineStr"/>
      <c r="J1576" s="8" t="inlineStr"/>
      <c r="K1576" s="8" t="inlineStr"/>
      <c r="L1576" s="8" t="inlineStr"/>
      <c r="M1576" s="8" t="inlineStr">
        <is>
          <t>周期触发</t>
        </is>
      </c>
      <c r="N1576" s="8" t="inlineStr">
        <is>
          <t>periodicPulse</t>
        </is>
      </c>
      <c r="O1576" s="9" t="inlineStr">
        <is>
          <t>轮转时，获得 3 层坚硬和 5 层露水</t>
        </is>
      </c>
      <c r="P1576" s="9" t="inlineStr"/>
      <c r="Q1576" s="9" t="inlineStr"/>
      <c r="R1576" s="9" t="inlineStr">
        <is>
          <t>{"kind":"periodicPulse","periodicPulse":{"intervalSec":7,"label":"轮转时，获得 3 层坚硬和 5 层露水","buffGains":[{"buffId":"sturdy","count":3},{"buffId":"dew","count":5}]},"executionScope":"beast","visibilityScope":"beast"}</t>
        </is>
      </c>
    </row>
    <row r="1577" ht="32" customHeight="1">
      <c r="A1577" s="8" t="n">
        <v>500326</v>
      </c>
      <c r="B1577" s="8" t="inlineStr">
        <is>
          <t>净露长舌</t>
        </is>
      </c>
      <c r="C1577" s="8" t="inlineStr">
        <is>
          <t>材料</t>
        </is>
      </c>
      <c r="D1577" s="8" t="inlineStr">
        <is>
          <t>common</t>
        </is>
      </c>
      <c r="E1577" s="8" t="inlineStr">
        <is>
          <t>water</t>
        </is>
      </c>
      <c r="F1577" s="8" t="n">
        <v>1</v>
      </c>
      <c r="G1577" s="8" t="inlineStr">
        <is>
          <t>基础/顶层</t>
        </is>
      </c>
      <c r="H1577" s="8" t="inlineStr"/>
      <c r="I1577" s="9" t="inlineStr"/>
      <c r="J1577" s="8" t="inlineStr"/>
      <c r="K1577" s="8" t="inlineStr"/>
      <c r="L1577" s="8" t="inlineStr"/>
      <c r="M1577" s="8" t="inlineStr">
        <is>
          <t>周期触发</t>
        </is>
      </c>
      <c r="N1577" s="8" t="inlineStr">
        <is>
          <t>periodicPulse</t>
        </is>
      </c>
      <c r="O1577" s="9" t="inlineStr">
        <is>
          <t>轮转时，消耗 5 点法力，吸取敌方 8 点体力</t>
        </is>
      </c>
      <c r="P1577" s="9" t="inlineStr"/>
      <c r="Q1577" s="9" t="inlineStr"/>
      <c r="R1577" s="9" t="inlineStr">
        <is>
          <t>{"kind":"periodicPulse","periodicPulse":{"intervalSec":10,"label":"轮转时，消耗 5 点法力，&lt;battle&gt;吸取敌方 8 点体力&lt;/battle&gt;","primaryStatCosts":[{"stat":"mana","amount":5}],"drainPrimaryStat":{"target":"enemy","stat":"stamina","amount":8}},"executionScope":"beast","visibilityScope":"beast"}</t>
        </is>
      </c>
    </row>
    <row r="1578" ht="32" customHeight="1">
      <c r="A1578" s="8" t="n">
        <v>500327</v>
      </c>
      <c r="B1578" s="8" t="inlineStr">
        <is>
          <t>月白覆眼</t>
        </is>
      </c>
      <c r="C1578" s="8" t="inlineStr">
        <is>
          <t>材料</t>
        </is>
      </c>
      <c r="D1578" s="8" t="inlineStr">
        <is>
          <t>common</t>
        </is>
      </c>
      <c r="E1578" s="8" t="inlineStr">
        <is>
          <t>earth</t>
        </is>
      </c>
      <c r="F1578" s="8" t="n">
        <v>1</v>
      </c>
      <c r="G1578" s="8" t="inlineStr">
        <is>
          <t>基础/顶层</t>
        </is>
      </c>
      <c r="H1578" s="8" t="inlineStr"/>
      <c r="I1578" s="9" t="inlineStr"/>
      <c r="J1578" s="8" t="inlineStr"/>
      <c r="K1578" s="8" t="inlineStr"/>
      <c r="L1578" s="8" t="inlineStr"/>
      <c r="M1578" s="8" t="inlineStr">
        <is>
          <t>周期触发</t>
        </is>
      </c>
      <c r="N1578" s="8" t="inlineStr">
        <is>
          <t>periodicPulse</t>
        </is>
      </c>
      <c r="O1578" s="9" t="inlineStr">
        <is>
          <t>开局时，获得 10 层闪避</t>
        </is>
      </c>
      <c r="P1578" s="9" t="inlineStr"/>
      <c r="Q1578" s="9" t="inlineStr"/>
      <c r="R1578" s="9" t="inlineStr">
        <is>
          <t>{"kind":"periodicPulse","periodicPulse":{"label":"开局时，获得 10 层闪避","buffGains":[{"buffId":"dodge","count":10}],"startOnly":true},"executionScope":"beast","visibilityScope":"beast"}</t>
        </is>
      </c>
    </row>
    <row r="1579" ht="32" customHeight="1">
      <c r="A1579" s="8" t="n">
        <v>500328</v>
      </c>
      <c r="B1579" s="8" t="inlineStr">
        <is>
          <t>流光鼓腹</t>
        </is>
      </c>
      <c r="C1579" s="8" t="inlineStr">
        <is>
          <t>材料</t>
        </is>
      </c>
      <c r="D1579" s="8" t="inlineStr">
        <is>
          <t>common</t>
        </is>
      </c>
      <c r="E1579" s="8" t="inlineStr">
        <is>
          <t>earth</t>
        </is>
      </c>
      <c r="F1579" s="8" t="n">
        <v>1</v>
      </c>
      <c r="G1579" s="8" t="inlineStr">
        <is>
          <t>基础/顶层</t>
        </is>
      </c>
      <c r="H1579" s="8" t="inlineStr"/>
      <c r="I1579" s="9" t="inlineStr"/>
      <c r="J1579" s="8" t="inlineStr"/>
      <c r="K1579" s="8" t="inlineStr"/>
      <c r="L1579" s="8" t="inlineStr"/>
      <c r="M1579" s="8" t="inlineStr">
        <is>
          <t>周期触发</t>
        </is>
      </c>
      <c r="N1579" s="8" t="inlineStr">
        <is>
          <t>periodicPulse</t>
        </is>
      </c>
      <c r="O1579" s="9" t="inlineStr">
        <is>
          <t>轮转时，将 2 点体力转化为 2 点气血</t>
        </is>
      </c>
      <c r="P1579" s="9" t="inlineStr"/>
      <c r="Q1579" s="9" t="inlineStr"/>
      <c r="R1579" s="9" t="inlineStr">
        <is>
          <t>{"kind":"periodicPulse","periodicPulse":{"intervalSec":3,"label":"轮转时，将 2 点体力转化为 2 点气血","primaryStatCosts":[{"stat":"stamina","amount":2}],"primaryStatGains":[{"stat":"health","amount":2}]},"executionScope":"beast","visibilityScope":"beast"}</t>
        </is>
      </c>
    </row>
    <row r="1580" ht="32" customHeight="1">
      <c r="A1580" s="8" t="n">
        <v>500329</v>
      </c>
      <c r="B1580" s="8" t="inlineStr">
        <is>
          <t>晶蹄趾骨</t>
        </is>
      </c>
      <c r="C1580" s="8" t="inlineStr">
        <is>
          <t>材料</t>
        </is>
      </c>
      <c r="D1580" s="8" t="inlineStr">
        <is>
          <t>common</t>
        </is>
      </c>
      <c r="E1580" s="8" t="inlineStr">
        <is>
          <t>earth</t>
        </is>
      </c>
      <c r="F1580" s="8" t="n">
        <v>1</v>
      </c>
      <c r="G1580" s="8" t="inlineStr">
        <is>
          <t>基础/顶层</t>
        </is>
      </c>
      <c r="H1580" s="8" t="inlineStr"/>
      <c r="I1580" s="9" t="inlineStr"/>
      <c r="J1580" s="8" t="inlineStr"/>
      <c r="K1580" s="8" t="inlineStr"/>
      <c r="L1580" s="8" t="inlineStr"/>
      <c r="M1580" s="8" t="inlineStr">
        <is>
          <t>周期触发</t>
        </is>
      </c>
      <c r="N1580" s="8" t="inlineStr">
        <is>
          <t>periodicPulse</t>
        </is>
      </c>
      <c r="O1580" s="9" t="inlineStr">
        <is>
          <t>轮转时，对敌方造成 1 点伤害</t>
        </is>
      </c>
      <c r="P1580" s="9" t="inlineStr"/>
      <c r="Q1580" s="9" t="inlineStr"/>
      <c r="R1580" s="9" t="inlineStr">
        <is>
          <t>{"kind":"periodicPulse","periodicPulse":{"intervalSec":2,"label":"&lt;battle&gt;轮转时，对敌方造成 1 点伤害&lt;/battle&gt;","damageHealth":{"target":"enemy","amount":1}},"executionScope":"beast","visibilityScope":"beast"}</t>
        </is>
      </c>
    </row>
    <row r="1581" ht="32" customHeight="1">
      <c r="A1581" s="8" t="n">
        <v>500330</v>
      </c>
      <c r="B1581" s="8" t="inlineStr">
        <is>
          <t>石台露囊</t>
        </is>
      </c>
      <c r="C1581" s="8" t="inlineStr">
        <is>
          <t>材料</t>
        </is>
      </c>
      <c r="D1581" s="8" t="inlineStr">
        <is>
          <t>common</t>
        </is>
      </c>
      <c r="E1581" s="8" t="inlineStr">
        <is>
          <t>water</t>
        </is>
      </c>
      <c r="F1581" s="8" t="n">
        <v>1</v>
      </c>
      <c r="G1581" s="8" t="inlineStr">
        <is>
          <t>基础/顶层</t>
        </is>
      </c>
      <c r="H1581" s="8" t="inlineStr"/>
      <c r="I1581" s="9" t="inlineStr"/>
      <c r="J1581" s="8" t="inlineStr"/>
      <c r="K1581" s="8" t="inlineStr"/>
      <c r="L1581" s="8" t="inlineStr"/>
      <c r="M1581" s="8" t="inlineStr">
        <is>
          <t>周期触发</t>
        </is>
      </c>
      <c r="N1581" s="8" t="inlineStr">
        <is>
          <t>periodicPulse</t>
        </is>
      </c>
      <c r="O1581" s="9" t="inlineStr">
        <is>
          <t>轮转时，每有 1 层露水，恢复 1 点气血</t>
        </is>
      </c>
      <c r="P1581" s="9" t="inlineStr"/>
      <c r="Q1581" s="9" t="inlineStr"/>
      <c r="R1581" s="9" t="inlineStr">
        <is>
          <t>{"kind":"periodicPulse","periodicPulse":{"intervalSec":6,"label":"轮转时，每有 1 层露水，恢复 1 点气血","primaryStatGainPerBuffStack":{"buffId":"dew","stat":"health","valuePerStack":1}},"executionScope":"beast","visibilityScope":"beast"}</t>
        </is>
      </c>
    </row>
    <row r="1582" ht="32" customHeight="1">
      <c r="A1582" s="8" t="n">
        <v>500331</v>
      </c>
      <c r="B1582" s="8" t="inlineStr">
        <is>
          <t>云根绒爪</t>
        </is>
      </c>
      <c r="C1582" s="8" t="inlineStr">
        <is>
          <t>材料</t>
        </is>
      </c>
      <c r="D1582" s="8" t="inlineStr">
        <is>
          <t>common</t>
        </is>
      </c>
      <c r="E1582" s="8" t="inlineStr">
        <is>
          <t>water</t>
        </is>
      </c>
      <c r="F1582" s="8" t="n">
        <v>1</v>
      </c>
      <c r="G1582" s="8" t="inlineStr">
        <is>
          <t>基础/顶层</t>
        </is>
      </c>
      <c r="H1582" s="8" t="inlineStr"/>
      <c r="I1582" s="9" t="inlineStr"/>
      <c r="J1582" s="8" t="inlineStr"/>
      <c r="K1582" s="8" t="inlineStr"/>
      <c r="L1582" s="8" t="inlineStr"/>
      <c r="M1582" s="8" t="inlineStr">
        <is>
          <t>周期触发</t>
        </is>
      </c>
      <c r="N1582" s="8" t="inlineStr">
        <is>
          <t>periodicPulse</t>
        </is>
      </c>
      <c r="O1582" s="9" t="inlineStr">
        <is>
          <t>轮转时，将 1 点法力转化为 10 点气血</t>
        </is>
      </c>
      <c r="P1582" s="9" t="inlineStr"/>
      <c r="Q1582" s="9" t="inlineStr"/>
      <c r="R1582" s="9" t="inlineStr">
        <is>
          <t>{"kind":"periodicPulse","periodicPulse":{"intervalSec":10,"label":"轮转时，将 1 点法力转化为 10 点气血","primaryStatCosts":[{"stat":"mana","amount":1}],"primaryStatGains":[{"stat":"health","amount":10}]},"executionScope":"beast","visibilityScope":"beast"}</t>
        </is>
      </c>
    </row>
    <row r="1583" ht="32" customHeight="1">
      <c r="A1583" s="8" t="n">
        <v>500332</v>
      </c>
      <c r="B1583" s="8" t="inlineStr">
        <is>
          <t>山鼯眨膜</t>
        </is>
      </c>
      <c r="C1583" s="8" t="inlineStr">
        <is>
          <t>材料</t>
        </is>
      </c>
      <c r="D1583" s="8" t="inlineStr">
        <is>
          <t>common</t>
        </is>
      </c>
      <c r="E1583" s="8" t="inlineStr">
        <is>
          <t>water</t>
        </is>
      </c>
      <c r="F1583" s="8" t="n">
        <v>1</v>
      </c>
      <c r="G1583" s="8" t="inlineStr">
        <is>
          <t>基础/顶层</t>
        </is>
      </c>
      <c r="H1583" s="8" t="inlineStr"/>
      <c r="I1583" s="9" t="inlineStr"/>
      <c r="J1583" s="8" t="inlineStr"/>
      <c r="K1583" s="8" t="inlineStr"/>
      <c r="L1583" s="8" t="inlineStr"/>
      <c r="M1583" s="8" t="inlineStr">
        <is>
          <t>周期触发</t>
        </is>
      </c>
      <c r="N1583" s="8" t="inlineStr">
        <is>
          <t>periodicPulse</t>
        </is>
      </c>
      <c r="O1583" s="9" t="inlineStr">
        <is>
          <t>轮转时，获得 3 层闪避</t>
        </is>
      </c>
      <c r="P1583" s="9" t="inlineStr"/>
      <c r="Q1583" s="9" t="inlineStr"/>
      <c r="R1583" s="9" t="inlineStr">
        <is>
          <t>{"kind":"periodicPulse","periodicPulse":{"intervalSec":5,"label":"轮转时，获得 3 层闪避","buffGains":[{"buffId":"dodge","count":3}]},"executionScope":"beast","visibilityScope":"beast"}</t>
        </is>
      </c>
    </row>
    <row r="1584" ht="32" customHeight="1">
      <c r="A1584" s="8" t="n">
        <v>500333</v>
      </c>
      <c r="B1584" s="8" t="inlineStr">
        <is>
          <t>脱绒薄膜</t>
        </is>
      </c>
      <c r="C1584" s="8" t="inlineStr">
        <is>
          <t>材料</t>
        </is>
      </c>
      <c r="D1584" s="8" t="inlineStr">
        <is>
          <t>common</t>
        </is>
      </c>
      <c r="E1584" s="8" t="inlineStr">
        <is>
          <t>water</t>
        </is>
      </c>
      <c r="F1584" s="8" t="n">
        <v>1</v>
      </c>
      <c r="G1584" s="8" t="inlineStr">
        <is>
          <t>基础/顶层</t>
        </is>
      </c>
      <c r="H1584" s="8" t="inlineStr"/>
      <c r="I1584" s="9" t="inlineStr"/>
      <c r="J1584" s="8" t="inlineStr"/>
      <c r="K1584" s="8" t="inlineStr"/>
      <c r="L1584" s="8" t="inlineStr"/>
      <c r="M1584" s="8" t="inlineStr">
        <is>
          <t>周期触发</t>
        </is>
      </c>
      <c r="N1584" s="8" t="inlineStr">
        <is>
          <t>periodicPulse</t>
        </is>
      </c>
      <c r="O1584" s="9" t="inlineStr">
        <is>
          <t>轮转时，获得 3 层闪避</t>
        </is>
      </c>
      <c r="P1584" s="9" t="inlineStr"/>
      <c r="Q1584" s="9" t="inlineStr"/>
      <c r="R1584" s="9" t="inlineStr">
        <is>
          <t>{"kind":"periodicPulse","periodicPulse":{"intervalSec":5,"label":"轮转时，获得 3 层闪避","buffGains":[{"buffId":"dodge","count":3}]},"executionScope":"beast","visibilityScope":"beast"}</t>
        </is>
      </c>
    </row>
    <row r="1585" ht="32" customHeight="1">
      <c r="A1585" s="8" t="n">
        <v>500334</v>
      </c>
      <c r="B1585" s="8" t="inlineStr">
        <is>
          <t>雾石短牙</t>
        </is>
      </c>
      <c r="C1585" s="8" t="inlineStr">
        <is>
          <t>材料</t>
        </is>
      </c>
      <c r="D1585" s="8" t="inlineStr">
        <is>
          <t>common</t>
        </is>
      </c>
      <c r="E1585" s="8" t="inlineStr">
        <is>
          <t>water</t>
        </is>
      </c>
      <c r="F1585" s="8" t="n">
        <v>1</v>
      </c>
      <c r="G1585" s="8" t="inlineStr">
        <is>
          <t>基础/顶层</t>
        </is>
      </c>
      <c r="H1585" s="8" t="inlineStr"/>
      <c r="I1585" s="9" t="inlineStr"/>
      <c r="J1585" s="8" t="inlineStr"/>
      <c r="K1585" s="8" t="inlineStr"/>
      <c r="L1585" s="8" t="inlineStr"/>
      <c r="M1585" s="8" t="inlineStr">
        <is>
          <t>周期触发</t>
        </is>
      </c>
      <c r="N1585" s="8" t="inlineStr">
        <is>
          <t>periodicPulse</t>
        </is>
      </c>
      <c r="O1585" s="9" t="inlineStr">
        <is>
          <t>轮转时，对敌方造成 1 点伤害</t>
        </is>
      </c>
      <c r="P1585" s="9" t="inlineStr"/>
      <c r="Q1585" s="9" t="inlineStr"/>
      <c r="R1585" s="9" t="inlineStr">
        <is>
          <t>{"kind":"periodicPulse","periodicPulse":{"intervalSec":1,"label":"&lt;battle&gt;轮转时，对敌方造成 1 点伤害&lt;/battle&gt;","damageHealth":{"target":"enemy","amount":1}},"executionScope":"beast","visibilityScope":"beast"}</t>
        </is>
      </c>
    </row>
    <row r="1586" ht="32" customHeight="1">
      <c r="A1586" s="8" t="n">
        <v>500335</v>
      </c>
      <c r="B1586" s="8" t="inlineStr">
        <is>
          <t>碧根长尾</t>
        </is>
      </c>
      <c r="C1586" s="8" t="inlineStr">
        <is>
          <t>材料</t>
        </is>
      </c>
      <c r="D1586" s="8" t="inlineStr">
        <is>
          <t>common</t>
        </is>
      </c>
      <c r="E1586" s="8" t="inlineStr">
        <is>
          <t>water</t>
        </is>
      </c>
      <c r="F1586" s="8" t="n">
        <v>1</v>
      </c>
      <c r="G1586" s="8" t="inlineStr">
        <is>
          <t>基础/顶层</t>
        </is>
      </c>
      <c r="H1586" s="8" t="inlineStr"/>
      <c r="I1586" s="9" t="inlineStr"/>
      <c r="J1586" s="8" t="inlineStr"/>
      <c r="K1586" s="8" t="inlineStr"/>
      <c r="L1586" s="8" t="inlineStr"/>
      <c r="M1586" s="8" t="inlineStr">
        <is>
          <t>周期触发</t>
        </is>
      </c>
      <c r="N1586" s="8" t="inlineStr">
        <is>
          <t>periodicPulse</t>
        </is>
      </c>
      <c r="O1586" s="9" t="inlineStr">
        <is>
          <t>轮转时，使敌方尺寸最大的道具冻结 5 秒</t>
        </is>
      </c>
      <c r="P1586" s="9" t="inlineStr"/>
      <c r="Q1586" s="9" t="inlineStr"/>
      <c r="R1586" s="9" t="inlineStr">
        <is>
          <t>{"kind":"periodicPulse","periodicPulse":{"intervalSec":8,"label":"轮转时，使敌方尺寸最大的道具冻结 5 秒","itemRuntimeStatusEffects":[{"itemRuntimeStatus":"freeze","durationSec":5,"targetScope":"enemyLargest"}]},"executionScope":"beast","visibilityScope":"beast"}</t>
        </is>
      </c>
    </row>
    <row r="1587" ht="32" customHeight="1">
      <c r="A1587" s="8" t="n">
        <v>500336</v>
      </c>
      <c r="B1587" s="8" t="inlineStr">
        <is>
          <t>根泉脊棱</t>
        </is>
      </c>
      <c r="C1587" s="8" t="inlineStr">
        <is>
          <t>材料</t>
        </is>
      </c>
      <c r="D1587" s="8" t="inlineStr">
        <is>
          <t>common</t>
        </is>
      </c>
      <c r="E1587" s="8" t="inlineStr">
        <is>
          <t>water</t>
        </is>
      </c>
      <c r="F1587" s="8" t="n">
        <v>1</v>
      </c>
      <c r="G1587" s="8" t="inlineStr">
        <is>
          <t>基础/顶层</t>
        </is>
      </c>
      <c r="H1587" s="8" t="inlineStr"/>
      <c r="I1587" s="9" t="inlineStr"/>
      <c r="J1587" s="8" t="inlineStr"/>
      <c r="K1587" s="8" t="inlineStr"/>
      <c r="L1587" s="8" t="inlineStr"/>
      <c r="M1587" s="8" t="inlineStr">
        <is>
          <t>周期触发</t>
        </is>
      </c>
      <c r="N1587" s="8" t="inlineStr">
        <is>
          <t>periodicPulse</t>
        </is>
      </c>
      <c r="O1587" s="9" t="inlineStr">
        <is>
          <t>轮转时，将所有露水转化为寒冷；将所有露水转化为寒冷</t>
        </is>
      </c>
      <c r="P1587" s="9" t="inlineStr">
        <is>
          <t>onPeriodicPulse</t>
        </is>
      </c>
      <c r="Q1587" s="9" t="inlineStr">
        <is>
          <t>convertBuffStacks</t>
        </is>
      </c>
      <c r="R1587" s="9" t="inlineStr">
        <is>
          <t>{"kind":"periodicPulse","periodicPulse":{"intervalSec":15,"label":"轮转时，将所有露水转化为寒冷"},"executors":[{"trigger":"onPeriodicPulse","type":"convertBuffStacks","sourceBuffId":"dew","targetBuffId":"cold","consumeRatio":1,"consumeRounding":"floor","label":"将所有露水转化为寒冷"}],"executionScope":"beast","visibilityScope":"beast"}</t>
        </is>
      </c>
    </row>
    <row r="1588" ht="32" customHeight="1">
      <c r="A1588" s="8" t="n">
        <v>500337</v>
      </c>
      <c r="B1588" s="8" t="inlineStr">
        <is>
          <t>青露臂鳞</t>
        </is>
      </c>
      <c r="C1588" s="8" t="inlineStr">
        <is>
          <t>材料</t>
        </is>
      </c>
      <c r="D1588" s="8" t="inlineStr">
        <is>
          <t>common</t>
        </is>
      </c>
      <c r="E1588" s="8" t="inlineStr">
        <is>
          <t>water</t>
        </is>
      </c>
      <c r="F1588" s="8" t="n">
        <v>1</v>
      </c>
      <c r="G1588" s="8" t="inlineStr">
        <is>
          <t>基础/顶层</t>
        </is>
      </c>
      <c r="H1588" s="8" t="inlineStr"/>
      <c r="I1588" s="9" t="inlineStr"/>
      <c r="J1588" s="8" t="inlineStr"/>
      <c r="K1588" s="8" t="inlineStr"/>
      <c r="L1588" s="8" t="inlineStr"/>
      <c r="M1588" s="8" t="inlineStr">
        <is>
          <t>周期触发</t>
        </is>
      </c>
      <c r="N1588" s="8" t="inlineStr">
        <is>
          <t>periodicPulse</t>
        </is>
      </c>
      <c r="O1588" s="9" t="inlineStr">
        <is>
          <t>轮转时，获得 1 层露水</t>
        </is>
      </c>
      <c r="P1588" s="9" t="inlineStr"/>
      <c r="Q1588" s="9" t="inlineStr"/>
      <c r="R1588" s="9" t="inlineStr">
        <is>
          <t>{"kind":"periodicPulse","periodicPulse":{"intervalSec":10,"label":"轮转时，获得 1 层露水","buffGains":[{"buffId":"dew","count":1}]},"executionScope":"beast","visibilityScope":"beast"}</t>
        </is>
      </c>
    </row>
    <row r="1589" ht="32" customHeight="1">
      <c r="A1589" s="8" t="n">
        <v>500338</v>
      </c>
      <c r="B1589" s="8" t="inlineStr">
        <is>
          <t>裂根眼珠</t>
        </is>
      </c>
      <c r="C1589" s="8" t="inlineStr">
        <is>
          <t>材料</t>
        </is>
      </c>
      <c r="D1589" s="8" t="inlineStr">
        <is>
          <t>common</t>
        </is>
      </c>
      <c r="E1589" s="8" t="inlineStr">
        <is>
          <t>water</t>
        </is>
      </c>
      <c r="F1589" s="8" t="n">
        <v>1</v>
      </c>
      <c r="G1589" s="8" t="inlineStr">
        <is>
          <t>基础/顶层</t>
        </is>
      </c>
      <c r="H1589" s="8" t="inlineStr"/>
      <c r="I1589" s="9" t="inlineStr"/>
      <c r="J1589" s="8" t="inlineStr"/>
      <c r="K1589" s="8" t="inlineStr"/>
      <c r="L1589" s="8" t="inlineStr"/>
      <c r="M1589" s="8" t="inlineStr">
        <is>
          <t>周期触发</t>
        </is>
      </c>
      <c r="N1589" s="8" t="inlineStr">
        <is>
          <t>periodicPulse</t>
        </is>
      </c>
      <c r="O1589" s="9" t="inlineStr">
        <is>
          <t>轮转时，每有 1 层寒冷，使敌方随机 1 件道具冻结 2 秒</t>
        </is>
      </c>
      <c r="P1589" s="9" t="inlineStr"/>
      <c r="Q1589" s="9" t="inlineStr"/>
      <c r="R1589" s="9" t="inlineStr">
        <is>
          <t>{"kind":"periodicPulse","periodicPulse":{"intervalSec":5,"label":"轮转时，每有 1 层寒冷，使敌方随机 1 件道具冻结 2 秒","itemRuntimeStatusEffects":[{"itemRuntimeStatus":"freeze","durationSec":2,"targetScope":"enemyRandom","sourceBuffId":"cold","amountPerSourceBuffStack":1}]},"executionScope":"beast","visibilityScope":"beast"}</t>
        </is>
      </c>
    </row>
    <row r="1590" ht="32" customHeight="1">
      <c r="A1590" s="8" t="n">
        <v>500339</v>
      </c>
      <c r="B1590" s="8" t="inlineStr">
        <is>
          <t>碧根爪刃</t>
        </is>
      </c>
      <c r="C1590" s="8" t="inlineStr">
        <is>
          <t>材料</t>
        </is>
      </c>
      <c r="D1590" s="8" t="inlineStr">
        <is>
          <t>common</t>
        </is>
      </c>
      <c r="E1590" s="8" t="inlineStr">
        <is>
          <t>water</t>
        </is>
      </c>
      <c r="F1590" s="8" t="n">
        <v>1</v>
      </c>
      <c r="G1590" s="8" t="inlineStr">
        <is>
          <t>基础/顶层</t>
        </is>
      </c>
      <c r="H1590" s="8" t="inlineStr"/>
      <c r="I1590" s="9" t="inlineStr"/>
      <c r="J1590" s="8" t="inlineStr"/>
      <c r="K1590" s="8" t="inlineStr"/>
      <c r="L1590" s="8" t="inlineStr"/>
      <c r="M1590" s="8" t="inlineStr">
        <is>
          <t>周期触发</t>
        </is>
      </c>
      <c r="N1590" s="8" t="inlineStr">
        <is>
          <t>periodicPulse</t>
        </is>
      </c>
      <c r="O1590" s="9" t="inlineStr">
        <is>
          <t>轮转时，对敌方造成 3 点伤害</t>
        </is>
      </c>
      <c r="P1590" s="9" t="inlineStr"/>
      <c r="Q1590" s="9" t="inlineStr"/>
      <c r="R1590" s="9" t="inlineStr">
        <is>
          <t>{"kind":"periodicPulse","periodicPulse":{"intervalSec":5,"label":"&lt;battle&gt;轮转时，对敌方造成 3 点伤害&lt;/battle&gt;","damageHealth":{"target":"enemy","amount":3}},"executionScope":"beast","visibilityScope":"beast"}</t>
        </is>
      </c>
    </row>
    <row r="1591" ht="32" customHeight="1">
      <c r="A1591" s="8" t="n">
        <v>500340</v>
      </c>
      <c r="B1591" s="8" t="inlineStr">
        <is>
          <t>根泉灵腺</t>
        </is>
      </c>
      <c r="C1591" s="8" t="inlineStr">
        <is>
          <t>材料</t>
        </is>
      </c>
      <c r="D1591" s="8" t="inlineStr">
        <is>
          <t>common</t>
        </is>
      </c>
      <c r="E1591" s="8" t="inlineStr">
        <is>
          <t>water</t>
        </is>
      </c>
      <c r="F1591" s="8" t="n">
        <v>1</v>
      </c>
      <c r="G1591" s="8" t="inlineStr">
        <is>
          <t>基础/顶层</t>
        </is>
      </c>
      <c r="H1591" s="8" t="inlineStr"/>
      <c r="I1591" s="9" t="inlineStr"/>
      <c r="J1591" s="8" t="inlineStr"/>
      <c r="K1591" s="8" t="inlineStr"/>
      <c r="L1591" s="8" t="inlineStr"/>
      <c r="M1591" s="8" t="inlineStr">
        <is>
          <t>周期触发</t>
        </is>
      </c>
      <c r="N1591" s="8" t="inlineStr">
        <is>
          <t>periodicPulse</t>
        </is>
      </c>
      <c r="O1591" s="9" t="inlineStr">
        <is>
          <t>轮转时，给敌方施加 3 层冰霜</t>
        </is>
      </c>
      <c r="P1591" s="9" t="inlineStr"/>
      <c r="Q1591" s="9" t="inlineStr"/>
      <c r="R1591" s="9" t="inlineStr">
        <is>
          <t>{"kind":"periodicPulse","periodicPulse":{"intervalSec":10,"label":"&lt;battle&gt;轮转时，给敌方施加 3 层冰霜&lt;/battle&gt;","buffGains":[{"buffId":"frost","count":3,"target":"enemy"}]},"executionScope":"beast","visibilityScope":"beast"}</t>
        </is>
      </c>
    </row>
    <row r="1592" ht="32" customHeight="1">
      <c r="A1592" s="8" t="n">
        <v>500341</v>
      </c>
      <c r="B1592" s="8" t="inlineStr">
        <is>
          <t>清泉连尾</t>
        </is>
      </c>
      <c r="C1592" s="8" t="inlineStr">
        <is>
          <t>材料</t>
        </is>
      </c>
      <c r="D1592" s="8" t="inlineStr">
        <is>
          <t>common</t>
        </is>
      </c>
      <c r="E1592" s="8" t="inlineStr">
        <is>
          <t>none</t>
        </is>
      </c>
      <c r="F1592" s="8" t="n">
        <v>1</v>
      </c>
      <c r="G1592" s="8" t="inlineStr">
        <is>
          <t>基础/顶层</t>
        </is>
      </c>
      <c r="H1592" s="8" t="inlineStr"/>
      <c r="I1592" s="9" t="inlineStr"/>
      <c r="J1592" s="8" t="inlineStr"/>
      <c r="K1592" s="8" t="inlineStr"/>
      <c r="L1592" s="8" t="inlineStr"/>
      <c r="M1592" s="8" t="inlineStr">
        <is>
          <t>周期触发</t>
        </is>
      </c>
      <c r="N1592" s="8" t="inlineStr">
        <is>
          <t>periodicPulse</t>
        </is>
      </c>
      <c r="O1592" s="9" t="inlineStr">
        <is>
          <t>轮转时，对敌方造成 3 点伤害 3 次</t>
        </is>
      </c>
      <c r="P1592" s="9" t="inlineStr"/>
      <c r="Q1592" s="9" t="inlineStr"/>
      <c r="R1592" s="9" t="inlineStr">
        <is>
          <t>{"kind":"periodicPulse","periodicPulse":{"intervalSec":12,"label":"&lt;battle&gt;轮转时，对敌方造成 3 点伤害 3 次&lt;/battle&gt;","damageHealth":{"target":"enemy","amount":3,"repeatCount":3}},"executionScope":"beast","visibilityScope":"beast"}</t>
        </is>
      </c>
    </row>
    <row r="1593" ht="32" customHeight="1">
      <c r="A1593" s="8" t="n">
        <v>500342</v>
      </c>
      <c r="B1593" s="8" t="inlineStr">
        <is>
          <t>鳞狸水牙</t>
        </is>
      </c>
      <c r="C1593" s="8" t="inlineStr">
        <is>
          <t>材料</t>
        </is>
      </c>
      <c r="D1593" s="8" t="inlineStr">
        <is>
          <t>common</t>
        </is>
      </c>
      <c r="E1593" s="8" t="inlineStr">
        <is>
          <t>none</t>
        </is>
      </c>
      <c r="F1593" s="8" t="n">
        <v>1</v>
      </c>
      <c r="G1593" s="8" t="inlineStr">
        <is>
          <t>基础/顶层</t>
        </is>
      </c>
      <c r="H1593" s="8" t="inlineStr"/>
      <c r="I1593" s="9" t="inlineStr"/>
      <c r="J1593" s="8" t="inlineStr"/>
      <c r="K1593" s="8" t="inlineStr"/>
      <c r="L1593" s="8" t="inlineStr"/>
      <c r="M1593" s="8" t="inlineStr">
        <is>
          <t>周期触发</t>
        </is>
      </c>
      <c r="N1593" s="8" t="inlineStr">
        <is>
          <t>periodicPulse</t>
        </is>
      </c>
      <c r="O1593" s="9" t="inlineStr">
        <is>
          <t>轮转时，对敌方施加 1 层中毒</t>
        </is>
      </c>
      <c r="P1593" s="9" t="inlineStr"/>
      <c r="Q1593" s="9" t="inlineStr"/>
      <c r="R1593" s="9" t="inlineStr">
        <is>
          <t>{"kind":"periodicPulse","periodicPulse":{"intervalSec":10,"label":"&lt;battle&gt;轮转时，对敌方施加 1 层中毒&lt;/battle&gt;","buffGains":[{"buffId":"poison","count":1,"target":"enemy"}]},"executionScope":"beast","visibilityScope":"beast"}</t>
        </is>
      </c>
    </row>
    <row r="1594" ht="32" customHeight="1">
      <c r="A1594" s="8" t="n">
        <v>500343</v>
      </c>
      <c r="B1594" s="8" t="inlineStr">
        <is>
          <t>伏泉背刺</t>
        </is>
      </c>
      <c r="C1594" s="8" t="inlineStr">
        <is>
          <t>材料</t>
        </is>
      </c>
      <c r="D1594" s="8" t="inlineStr">
        <is>
          <t>common</t>
        </is>
      </c>
      <c r="E1594" s="8" t="inlineStr">
        <is>
          <t>none</t>
        </is>
      </c>
      <c r="F1594" s="8" t="n">
        <v>1</v>
      </c>
      <c r="G1594" s="8" t="inlineStr">
        <is>
          <t>基础/顶层</t>
        </is>
      </c>
      <c r="H1594" s="8" t="inlineStr"/>
      <c r="I1594" s="9" t="inlineStr"/>
      <c r="J1594" s="8" t="inlineStr"/>
      <c r="K1594" s="8" t="inlineStr"/>
      <c r="L1594" s="8" t="inlineStr"/>
      <c r="M1594" s="8" t="inlineStr">
        <is>
          <t>周期触发</t>
        </is>
      </c>
      <c r="N1594" s="8" t="inlineStr">
        <is>
          <t>periodicPulse</t>
        </is>
      </c>
      <c r="O1594" s="9" t="inlineStr">
        <is>
          <t>开局时，对敌方造成 5 点伤害</t>
        </is>
      </c>
      <c r="P1594" s="9" t="inlineStr"/>
      <c r="Q1594" s="9" t="inlineStr"/>
      <c r="R1594" s="9" t="inlineStr">
        <is>
          <t>{"kind":"periodicPulse","periodicPulse":{"label":"&lt;battle&gt;开局时，对敌方造成 5 点伤害&lt;/battle&gt;","damageHealth":{"target":"enemy","amount":5},"startOnly":true},"executionScope":"beast","visibilityScope":"beast"}</t>
        </is>
      </c>
    </row>
    <row r="1595" ht="32" customHeight="1">
      <c r="A1595" s="8" t="n">
        <v>500344</v>
      </c>
      <c r="B1595" s="8" t="inlineStr">
        <is>
          <t>清泉微囊</t>
        </is>
      </c>
      <c r="C1595" s="8" t="inlineStr">
        <is>
          <t>材料</t>
        </is>
      </c>
      <c r="D1595" s="8" t="inlineStr">
        <is>
          <t>common</t>
        </is>
      </c>
      <c r="E1595" s="8" t="inlineStr">
        <is>
          <t>none</t>
        </is>
      </c>
      <c r="F1595" s="8" t="n">
        <v>1</v>
      </c>
      <c r="G1595" s="8" t="inlineStr">
        <is>
          <t>基础/顶层</t>
        </is>
      </c>
      <c r="H1595" s="8" t="inlineStr"/>
      <c r="I1595" s="9" t="inlineStr"/>
      <c r="J1595" s="8" t="inlineStr"/>
      <c r="K1595" s="8" t="inlineStr"/>
      <c r="L1595" s="8" t="inlineStr"/>
      <c r="M1595" s="8" t="inlineStr">
        <is>
          <t>周期触发</t>
        </is>
      </c>
      <c r="N1595" s="8" t="inlineStr">
        <is>
          <t>periodicPulse</t>
        </is>
      </c>
      <c r="O1595" s="9" t="inlineStr">
        <is>
          <t>轮转时，对敌方施加 1 层中毒</t>
        </is>
      </c>
      <c r="P1595" s="9" t="inlineStr"/>
      <c r="Q1595" s="9" t="inlineStr"/>
      <c r="R1595" s="9" t="inlineStr">
        <is>
          <t>{"kind":"periodicPulse","periodicPulse":{"intervalSec":20,"label":"&lt;battle&gt;轮转时，对敌方施加 1 层中毒&lt;/battle&gt;","buffGains":[{"buffId":"poison","count":1,"target":"enemy"}]},"executionScope":"beast","visibilityScope":"beast"}</t>
        </is>
      </c>
    </row>
    <row r="1596" ht="32" customHeight="1">
      <c r="A1596" s="8" t="n">
        <v>500345</v>
      </c>
      <c r="B1596" s="8" t="inlineStr">
        <is>
          <t>碧潭护盘</t>
        </is>
      </c>
      <c r="C1596" s="8" t="inlineStr">
        <is>
          <t>材料</t>
        </is>
      </c>
      <c r="D1596" s="8" t="inlineStr">
        <is>
          <t>common</t>
        </is>
      </c>
      <c r="E1596" s="8" t="inlineStr">
        <is>
          <t>earth</t>
        </is>
      </c>
      <c r="F1596" s="8" t="n">
        <v>1</v>
      </c>
      <c r="G1596" s="8" t="inlineStr">
        <is>
          <t>基础/顶层</t>
        </is>
      </c>
      <c r="H1596" s="8" t="inlineStr"/>
      <c r="I1596" s="9" t="inlineStr"/>
      <c r="J1596" s="8" t="inlineStr"/>
      <c r="K1596" s="8" t="inlineStr"/>
      <c r="L1596" s="8" t="inlineStr"/>
      <c r="M1596" s="8" t="inlineStr">
        <is>
          <t>被动效果</t>
        </is>
      </c>
      <c r="N1596" s="8" t="inlineStr">
        <is>
          <t>passive</t>
        </is>
      </c>
      <c r="O1596" s="9" t="inlineStr">
        <is>
          <t>气血上限临时 +10</t>
        </is>
      </c>
      <c r="P1596" s="9" t="inlineStr"/>
      <c r="Q1596" s="9" t="inlineStr">
        <is>
          <t>primaryStatTemporaryMaxFlatBonus</t>
        </is>
      </c>
      <c r="R1596" s="9" t="inlineStr">
        <is>
          <t>{"kind":"passive","executionScope":"beast","visibilityScope":"beast","passiveEffect":{"type":"primaryStatTemporaryMaxFlatBonus","stat":"health","value":10,"label":"气血上限临时 +10"}}</t>
        </is>
      </c>
    </row>
    <row r="1597" ht="32" customHeight="1">
      <c r="A1597" s="8" t="n">
        <v>500346</v>
      </c>
      <c r="B1597" s="8" t="inlineStr">
        <is>
          <t>回波背刺</t>
        </is>
      </c>
      <c r="C1597" s="8" t="inlineStr">
        <is>
          <t>材料</t>
        </is>
      </c>
      <c r="D1597" s="8" t="inlineStr">
        <is>
          <t>common</t>
        </is>
      </c>
      <c r="E1597" s="8" t="inlineStr">
        <is>
          <t>earth</t>
        </is>
      </c>
      <c r="F1597" s="8" t="n">
        <v>1</v>
      </c>
      <c r="G1597" s="8" t="inlineStr">
        <is>
          <t>基础/顶层</t>
        </is>
      </c>
      <c r="H1597" s="8" t="inlineStr"/>
      <c r="I1597" s="9" t="inlineStr"/>
      <c r="J1597" s="8" t="inlineStr"/>
      <c r="K1597" s="8" t="inlineStr"/>
      <c r="L1597" s="8" t="inlineStr"/>
      <c r="M1597" s="8" t="inlineStr">
        <is>
          <t>周期触发</t>
        </is>
      </c>
      <c r="N1597" s="8" t="inlineStr">
        <is>
          <t>periodicPulse</t>
        </is>
      </c>
      <c r="O1597" s="9" t="inlineStr">
        <is>
          <t>开局时，对敌方造成 20 点伤害</t>
        </is>
      </c>
      <c r="P1597" s="9" t="inlineStr"/>
      <c r="Q1597" s="9" t="inlineStr"/>
      <c r="R1597" s="9" t="inlineStr">
        <is>
          <t>{"kind":"periodicPulse","periodicPulse":{"label":"&lt;battle&gt;开局时，对敌方造成 20 点伤害&lt;/battle&gt;","damageHealth":{"target":"enemy","amount":20},"startOnly":true},"executionScope":"beast","visibilityScope":"beast"}</t>
        </is>
      </c>
    </row>
    <row r="1598" ht="32" customHeight="1">
      <c r="A1598" s="8" t="n">
        <v>500347</v>
      </c>
      <c r="B1598" s="8" t="inlineStr">
        <is>
          <t>灵獭连足</t>
        </is>
      </c>
      <c r="C1598" s="8" t="inlineStr">
        <is>
          <t>材料</t>
        </is>
      </c>
      <c r="D1598" s="8" t="inlineStr">
        <is>
          <t>common</t>
        </is>
      </c>
      <c r="E1598" s="8" t="inlineStr">
        <is>
          <t>none</t>
        </is>
      </c>
      <c r="F1598" s="8" t="n">
        <v>1</v>
      </c>
      <c r="G1598" s="8" t="inlineStr">
        <is>
          <t>基础/顶层</t>
        </is>
      </c>
      <c r="H1598" s="8" t="inlineStr"/>
      <c r="I1598" s="9" t="inlineStr"/>
      <c r="J1598" s="8" t="inlineStr"/>
      <c r="K1598" s="8" t="inlineStr"/>
      <c r="L1598" s="8" t="inlineStr"/>
      <c r="M1598" s="8" t="inlineStr">
        <is>
          <t>周期触发</t>
        </is>
      </c>
      <c r="N1598" s="8" t="inlineStr">
        <is>
          <t>periodicPulse</t>
        </is>
      </c>
      <c r="O1598" s="9" t="inlineStr">
        <is>
          <t>轮转时，对敌方造成 3 点伤害 3 次</t>
        </is>
      </c>
      <c r="P1598" s="9" t="inlineStr"/>
      <c r="Q1598" s="9" t="inlineStr"/>
      <c r="R1598" s="9" t="inlineStr">
        <is>
          <t>{"kind":"periodicPulse","periodicPulse":{"intervalSec":10,"label":"&lt;battle&gt;轮转时，对敌方造成 3 点伤害 3 次&lt;/battle&gt;","damageHealth":{"target":"enemy","amount":3,"repeatCount":3}},"executionScope":"beast","visibilityScope":"beast"}</t>
        </is>
      </c>
    </row>
    <row r="1599" ht="32" customHeight="1">
      <c r="A1599" s="8" t="n">
        <v>500348</v>
      </c>
      <c r="B1599" s="8" t="inlineStr">
        <is>
          <t>泉眼灵腺</t>
        </is>
      </c>
      <c r="C1599" s="8" t="inlineStr">
        <is>
          <t>材料</t>
        </is>
      </c>
      <c r="D1599" s="8" t="inlineStr">
        <is>
          <t>common</t>
        </is>
      </c>
      <c r="E1599" s="8" t="inlineStr">
        <is>
          <t>none</t>
        </is>
      </c>
      <c r="F1599" s="8" t="n">
        <v>1</v>
      </c>
      <c r="G1599" s="8" t="inlineStr">
        <is>
          <t>基础/顶层</t>
        </is>
      </c>
      <c r="H1599" s="8" t="inlineStr"/>
      <c r="I1599" s="9" t="inlineStr"/>
      <c r="J1599" s="8" t="inlineStr"/>
      <c r="K1599" s="8" t="inlineStr"/>
      <c r="L1599" s="8" t="inlineStr"/>
      <c r="M1599" s="8" t="inlineStr">
        <is>
          <t>周期触发</t>
        </is>
      </c>
      <c r="N1599" s="8" t="inlineStr">
        <is>
          <t>periodicPulse</t>
        </is>
      </c>
      <c r="O1599" s="9" t="inlineStr">
        <is>
          <t>轮转时，对敌方施加 2 层中毒</t>
        </is>
      </c>
      <c r="P1599" s="9" t="inlineStr"/>
      <c r="Q1599" s="9" t="inlineStr"/>
      <c r="R1599" s="9" t="inlineStr">
        <is>
          <t>{"kind":"periodicPulse","periodicPulse":{"intervalSec":12,"label":"&lt;battle&gt;轮转时，对敌方施加 2 层中毒&lt;/battle&gt;","buffGains":[{"buffId":"poison","count":2,"target":"enemy"}]},"executionScope":"beast","visibilityScope":"beast"}</t>
        </is>
      </c>
    </row>
    <row r="1600" ht="32" customHeight="1">
      <c r="A1600" s="8" t="n">
        <v>500349</v>
      </c>
      <c r="B1600" s="8" t="inlineStr">
        <is>
          <t>碧潭水囊</t>
        </is>
      </c>
      <c r="C1600" s="8" t="inlineStr">
        <is>
          <t>材料</t>
        </is>
      </c>
      <c r="D1600" s="8" t="inlineStr">
        <is>
          <t>common</t>
        </is>
      </c>
      <c r="E1600" s="8" t="inlineStr">
        <is>
          <t>earth</t>
        </is>
      </c>
      <c r="F1600" s="8" t="n">
        <v>1</v>
      </c>
      <c r="G1600" s="8" t="inlineStr">
        <is>
          <t>基础/顶层</t>
        </is>
      </c>
      <c r="H1600" s="8" t="inlineStr"/>
      <c r="I1600" s="9" t="inlineStr"/>
      <c r="J1600" s="8" t="inlineStr"/>
      <c r="K1600" s="8" t="inlineStr"/>
      <c r="L1600" s="8" t="inlineStr"/>
      <c r="M1600" s="8" t="inlineStr">
        <is>
          <t>周期触发</t>
        </is>
      </c>
      <c r="N1600" s="8" t="inlineStr">
        <is>
          <t>periodicPulse</t>
        </is>
      </c>
      <c r="O1600" s="9" t="inlineStr">
        <is>
          <t>轮转时，将 10 点体力转化为 10 点气血</t>
        </is>
      </c>
      <c r="P1600" s="9" t="inlineStr"/>
      <c r="Q1600" s="9" t="inlineStr"/>
      <c r="R1600" s="9" t="inlineStr">
        <is>
          <t>{"kind":"periodicPulse","periodicPulse":{"intervalSec":13,"label":"轮转时，将 10 点体力转化为 10 点气血","primaryStatCosts":[{"stat":"stamina","amount":10}],"primaryStatGains":[{"stat":"health","amount":10}]},"executionScope":"beast","visibilityScope":"beast"}</t>
        </is>
      </c>
    </row>
    <row r="1601" ht="32" customHeight="1">
      <c r="A1601" s="8" t="n">
        <v>500350</v>
      </c>
      <c r="B1601" s="8" t="inlineStr">
        <is>
          <t>储水软腱</t>
        </is>
      </c>
      <c r="C1601" s="8" t="inlineStr">
        <is>
          <t>材料</t>
        </is>
      </c>
      <c r="D1601" s="8" t="inlineStr">
        <is>
          <t>common</t>
        </is>
      </c>
      <c r="E1601" s="8" t="inlineStr">
        <is>
          <t>none</t>
        </is>
      </c>
      <c r="F1601" s="8" t="n">
        <v>1</v>
      </c>
      <c r="G1601" s="8" t="inlineStr">
        <is>
          <t>基础/顶层</t>
        </is>
      </c>
      <c r="H1601" s="8" t="inlineStr"/>
      <c r="I1601" s="9" t="inlineStr"/>
      <c r="J1601" s="8" t="inlineStr"/>
      <c r="K1601" s="8" t="inlineStr"/>
      <c r="L1601" s="8" t="inlineStr"/>
      <c r="M1601" s="8" t="inlineStr">
        <is>
          <t>周期触发</t>
        </is>
      </c>
      <c r="N1601" s="8" t="inlineStr">
        <is>
          <t>periodicPulse</t>
        </is>
      </c>
      <c r="O1601" s="9" t="inlineStr">
        <is>
          <t>轮转时，恢复 20 点体力</t>
        </is>
      </c>
      <c r="P1601" s="9" t="inlineStr"/>
      <c r="Q1601" s="9" t="inlineStr"/>
      <c r="R1601" s="9" t="inlineStr">
        <is>
          <t>{"kind":"periodicPulse","periodicPulse":{"intervalSec":20,"label":"轮转时，恢复 20 点体力","primaryStatGains":[{"stat":"stamina","amount":20}]},"executionScope":"beast","visibilityScope":"beast"}</t>
        </is>
      </c>
    </row>
    <row r="1602" ht="32" customHeight="1">
      <c r="A1602" s="8" t="n">
        <v>500351</v>
      </c>
      <c r="B1602" s="8" t="inlineStr">
        <is>
          <t>月砂吸盘</t>
        </is>
      </c>
      <c r="C1602" s="8" t="inlineStr">
        <is>
          <t>材料</t>
        </is>
      </c>
      <c r="D1602" s="8" t="inlineStr">
        <is>
          <t>common</t>
        </is>
      </c>
      <c r="E1602" s="8" t="inlineStr">
        <is>
          <t>water</t>
        </is>
      </c>
      <c r="F1602" s="8" t="n">
        <v>1</v>
      </c>
      <c r="G1602" s="8" t="inlineStr">
        <is>
          <t>基础/顶层</t>
        </is>
      </c>
      <c r="H1602" s="8" t="inlineStr"/>
      <c r="I1602" s="9" t="inlineStr"/>
      <c r="J1602" s="8" t="inlineStr"/>
      <c r="K1602" s="8" t="inlineStr"/>
      <c r="L1602" s="8" t="inlineStr"/>
      <c r="M1602" s="8" t="inlineStr">
        <is>
          <t>周期触发</t>
        </is>
      </c>
      <c r="N1602" s="8" t="inlineStr">
        <is>
          <t>periodicPulse</t>
        </is>
      </c>
      <c r="O1602" s="9" t="inlineStr">
        <is>
          <t>轮转时，吸取敌方 3 点气血</t>
        </is>
      </c>
      <c r="P1602" s="9" t="inlineStr"/>
      <c r="Q1602" s="9" t="inlineStr"/>
      <c r="R1602" s="9" t="inlineStr">
        <is>
          <t>{"kind":"periodicPulse","periodicPulse":{"intervalSec":5,"label":"&lt;battle&gt;轮转时，吸取敌方 3 点气血&lt;/battle&gt;","drainPrimaryStat":{"target":"enemy","stat":"health","amount":3}},"executionScope":"beast","visibilityScope":"beast"}</t>
        </is>
      </c>
    </row>
    <row r="1603" ht="32" customHeight="1">
      <c r="A1603" s="8" t="n">
        <v>500352</v>
      </c>
      <c r="B1603" s="8" t="inlineStr">
        <is>
          <t>石貂腹环</t>
        </is>
      </c>
      <c r="C1603" s="8" t="inlineStr">
        <is>
          <t>材料</t>
        </is>
      </c>
      <c r="D1603" s="8" t="inlineStr">
        <is>
          <t>common</t>
        </is>
      </c>
      <c r="E1603" s="8" t="inlineStr">
        <is>
          <t>water</t>
        </is>
      </c>
      <c r="F1603" s="8" t="n">
        <v>1</v>
      </c>
      <c r="G1603" s="8" t="inlineStr">
        <is>
          <t>基础/顶层</t>
        </is>
      </c>
      <c r="H1603" s="8" t="inlineStr"/>
      <c r="I1603" s="9" t="inlineStr"/>
      <c r="J1603" s="8" t="inlineStr"/>
      <c r="K1603" s="8" t="inlineStr"/>
      <c r="L1603" s="8" t="inlineStr"/>
      <c r="M1603" s="8" t="inlineStr">
        <is>
          <t>周期触发</t>
        </is>
      </c>
      <c r="N1603" s="8" t="inlineStr">
        <is>
          <t>periodicPulse</t>
        </is>
      </c>
      <c r="O1603" s="9" t="inlineStr">
        <is>
          <t>轮转时，吸取敌方 5 点体力</t>
        </is>
      </c>
      <c r="P1603" s="9" t="inlineStr"/>
      <c r="Q1603" s="9" t="inlineStr"/>
      <c r="R1603" s="9" t="inlineStr">
        <is>
          <t>{"kind":"periodicPulse","periodicPulse":{"intervalSec":15,"label":"&lt;battle&gt;轮转时，吸取敌方 5 点体力&lt;/battle&gt;","drainPrimaryStat":{"target":"enemy","stat":"stamina","amount":5}},"executionScope":"beast","visibilityScope":"beast"}</t>
        </is>
      </c>
    </row>
    <row r="1604" ht="32" customHeight="1">
      <c r="A1604" s="8" t="n">
        <v>500353</v>
      </c>
      <c r="B1604" s="8" t="inlineStr">
        <is>
          <t>月砂细牙</t>
        </is>
      </c>
      <c r="C1604" s="8" t="inlineStr">
        <is>
          <t>材料</t>
        </is>
      </c>
      <c r="D1604" s="8" t="inlineStr">
        <is>
          <t>common</t>
        </is>
      </c>
      <c r="E1604" s="8" t="inlineStr">
        <is>
          <t>water</t>
        </is>
      </c>
      <c r="F1604" s="8" t="n">
        <v>1</v>
      </c>
      <c r="G1604" s="8" t="inlineStr">
        <is>
          <t>基础/顶层</t>
        </is>
      </c>
      <c r="H1604" s="8" t="inlineStr"/>
      <c r="I1604" s="9" t="inlineStr"/>
      <c r="J1604" s="8" t="inlineStr"/>
      <c r="K1604" s="8" t="inlineStr"/>
      <c r="L1604" s="8" t="inlineStr"/>
      <c r="M1604" s="8" t="inlineStr">
        <is>
          <t>周期触发</t>
        </is>
      </c>
      <c r="N1604" s="8" t="inlineStr">
        <is>
          <t>periodicPulse</t>
        </is>
      </c>
      <c r="O1604" s="9" t="inlineStr">
        <is>
          <t>轮转时，对敌方造成 1 点伤害 3 次</t>
        </is>
      </c>
      <c r="P1604" s="9" t="inlineStr"/>
      <c r="Q1604" s="9" t="inlineStr"/>
      <c r="R1604" s="9" t="inlineStr">
        <is>
          <t>{"kind":"periodicPulse","periodicPulse":{"intervalSec":8,"label":"&lt;battle&gt;轮转时，对敌方造成 1 点伤害 3 次&lt;/battle&gt;","damageHealth":{"target":"enemy","amount":1,"repeatCount":3}},"executionScope":"beast","visibilityScope":"beast"}</t>
        </is>
      </c>
    </row>
    <row r="1605" ht="32" customHeight="1">
      <c r="A1605" s="8" t="n">
        <v>500354</v>
      </c>
      <c r="B1605" s="8" t="inlineStr">
        <is>
          <t>碎月尾针</t>
        </is>
      </c>
      <c r="C1605" s="8" t="inlineStr">
        <is>
          <t>材料</t>
        </is>
      </c>
      <c r="D1605" s="8" t="inlineStr">
        <is>
          <t>common</t>
        </is>
      </c>
      <c r="E1605" s="8" t="inlineStr">
        <is>
          <t>water</t>
        </is>
      </c>
      <c r="F1605" s="8" t="n">
        <v>1</v>
      </c>
      <c r="G1605" s="8" t="inlineStr">
        <is>
          <t>基础/顶层</t>
        </is>
      </c>
      <c r="H1605" s="8" t="inlineStr"/>
      <c r="I1605" s="9" t="inlineStr"/>
      <c r="J1605" s="8" t="inlineStr"/>
      <c r="K1605" s="8" t="inlineStr"/>
      <c r="L1605" s="8" t="inlineStr"/>
      <c r="M1605" s="8" t="inlineStr">
        <is>
          <t>周期触发</t>
        </is>
      </c>
      <c r="N1605" s="8" t="inlineStr">
        <is>
          <t>periodicPulse</t>
        </is>
      </c>
      <c r="O1605" s="9" t="inlineStr">
        <is>
          <t>轮转时，对敌方造成 1 点伤害</t>
        </is>
      </c>
      <c r="P1605" s="9" t="inlineStr"/>
      <c r="Q1605" s="9" t="inlineStr"/>
      <c r="R1605" s="9" t="inlineStr">
        <is>
          <t>{"kind":"periodicPulse","periodicPulse":{"intervalSec":5,"label":"&lt;battle&gt;轮转时，对敌方造成 1 点伤害&lt;/battle&gt;","damageHealth":{"target":"enemy","amount":1}},"executionScope":"beast","visibilityScope":"beast"}</t>
        </is>
      </c>
    </row>
    <row r="1606" ht="32" customHeight="1">
      <c r="A1606" s="8" t="n">
        <v>500355</v>
      </c>
      <c r="B1606" s="8" t="inlineStr">
        <is>
          <t>玄砂蹄环</t>
        </is>
      </c>
      <c r="C1606" s="8" t="inlineStr">
        <is>
          <t>材料</t>
        </is>
      </c>
      <c r="D1606" s="8" t="inlineStr">
        <is>
          <t>common</t>
        </is>
      </c>
      <c r="E1606" s="8" t="inlineStr">
        <is>
          <t>water</t>
        </is>
      </c>
      <c r="F1606" s="8" t="n">
        <v>1</v>
      </c>
      <c r="G1606" s="8" t="inlineStr">
        <is>
          <t>基础/顶层</t>
        </is>
      </c>
      <c r="H1606" s="8" t="inlineStr"/>
      <c r="I1606" s="9" t="inlineStr"/>
      <c r="J1606" s="8" t="inlineStr"/>
      <c r="K1606" s="8" t="inlineStr"/>
      <c r="L1606" s="8" t="inlineStr"/>
      <c r="M1606" s="8" t="inlineStr">
        <is>
          <t>周期触发</t>
        </is>
      </c>
      <c r="N1606" s="8" t="inlineStr">
        <is>
          <t>periodicPulse</t>
        </is>
      </c>
      <c r="O1606" s="9" t="inlineStr">
        <is>
          <t>轮转时，吸取敌方 5 点体力</t>
        </is>
      </c>
      <c r="P1606" s="9" t="inlineStr"/>
      <c r="Q1606" s="9" t="inlineStr"/>
      <c r="R1606" s="9" t="inlineStr">
        <is>
          <t>{"kind":"periodicPulse","periodicPulse":{"intervalSec":8,"label":"&lt;battle&gt;轮转时，吸取敌方 5 点体力&lt;/battle&gt;","drainPrimaryStat":{"target":"enemy","stat":"stamina","amount":5}},"executionScope":"beast","visibilityScope":"beast"}</t>
        </is>
      </c>
    </row>
    <row r="1607" ht="32" customHeight="1">
      <c r="A1607" s="8" t="n">
        <v>500356</v>
      </c>
      <c r="B1607" s="8" t="inlineStr">
        <is>
          <t>岩麂裂牙</t>
        </is>
      </c>
      <c r="C1607" s="8" t="inlineStr">
        <is>
          <t>材料</t>
        </is>
      </c>
      <c r="D1607" s="8" t="inlineStr">
        <is>
          <t>common</t>
        </is>
      </c>
      <c r="E1607" s="8" t="inlineStr">
        <is>
          <t>water</t>
        </is>
      </c>
      <c r="F1607" s="8" t="n">
        <v>1</v>
      </c>
      <c r="G1607" s="8" t="inlineStr">
        <is>
          <t>基础/顶层</t>
        </is>
      </c>
      <c r="H1607" s="8" t="inlineStr"/>
      <c r="I1607" s="9" t="inlineStr"/>
      <c r="J1607" s="8" t="inlineStr"/>
      <c r="K1607" s="8" t="inlineStr"/>
      <c r="L1607" s="8" t="inlineStr"/>
      <c r="M1607" s="8" t="inlineStr">
        <is>
          <t>周期触发</t>
        </is>
      </c>
      <c r="N1607" s="8" t="inlineStr">
        <is>
          <t>periodicPulse</t>
        </is>
      </c>
      <c r="O1607" s="9" t="inlineStr">
        <is>
          <t>轮转时，对敌方造成 2 点伤害 3 次</t>
        </is>
      </c>
      <c r="P1607" s="9" t="inlineStr"/>
      <c r="Q1607" s="9" t="inlineStr"/>
      <c r="R1607" s="9" t="inlineStr">
        <is>
          <t>{"kind":"periodicPulse","periodicPulse":{"intervalSec":8,"label":"&lt;battle&gt;轮转时，对敌方造成 2 点伤害 3 次&lt;/battle&gt;","damageHealth":{"target":"enemy","amount":2,"repeatCount":3}},"executionScope":"beast","visibilityScope":"beast"}</t>
        </is>
      </c>
    </row>
    <row r="1608" ht="32" customHeight="1">
      <c r="A1608" s="8" t="n">
        <v>500357</v>
      </c>
      <c r="B1608" s="8" t="inlineStr">
        <is>
          <t>月砂厚皮</t>
        </is>
      </c>
      <c r="C1608" s="8" t="inlineStr">
        <is>
          <t>材料</t>
        </is>
      </c>
      <c r="D1608" s="8" t="inlineStr">
        <is>
          <t>common</t>
        </is>
      </c>
      <c r="E1608" s="8" t="inlineStr">
        <is>
          <t>water</t>
        </is>
      </c>
      <c r="F1608" s="8" t="n">
        <v>1</v>
      </c>
      <c r="G1608" s="8" t="inlineStr">
        <is>
          <t>基础/顶层</t>
        </is>
      </c>
      <c r="H1608" s="8" t="inlineStr"/>
      <c r="I1608" s="9" t="inlineStr"/>
      <c r="J1608" s="8" t="inlineStr"/>
      <c r="K1608" s="8" t="inlineStr"/>
      <c r="L1608" s="8" t="inlineStr"/>
      <c r="M1608" s="8" t="inlineStr">
        <is>
          <t>被动效果</t>
        </is>
      </c>
      <c r="N1608" s="8" t="inlineStr">
        <is>
          <t>passive</t>
        </is>
      </c>
      <c r="O1608" s="9" t="inlineStr">
        <is>
          <t>气血上限临时 +10</t>
        </is>
      </c>
      <c r="P1608" s="9" t="inlineStr"/>
      <c r="Q1608" s="9" t="inlineStr">
        <is>
          <t>primaryStatTemporaryMaxFlatBonus</t>
        </is>
      </c>
      <c r="R1608" s="9" t="inlineStr">
        <is>
          <t>{"kind":"passive","executionScope":"beast","visibilityScope":"beast","passiveEffect":{"type":"primaryStatTemporaryMaxFlatBonus","stat":"health","value":10,"label":"气血上限临时 +10"}}</t>
        </is>
      </c>
    </row>
    <row r="1609" ht="32" customHeight="1">
      <c r="A1609" s="8" t="n">
        <v>500358</v>
      </c>
      <c r="B1609" s="8" t="inlineStr">
        <is>
          <t>玄砂颚爪</t>
        </is>
      </c>
      <c r="C1609" s="8" t="inlineStr">
        <is>
          <t>材料</t>
        </is>
      </c>
      <c r="D1609" s="8" t="inlineStr">
        <is>
          <t>common</t>
        </is>
      </c>
      <c r="E1609" s="8" t="inlineStr">
        <is>
          <t>water</t>
        </is>
      </c>
      <c r="F1609" s="8" t="n">
        <v>1</v>
      </c>
      <c r="G1609" s="8" t="inlineStr">
        <is>
          <t>基础/顶层</t>
        </is>
      </c>
      <c r="H1609" s="8" t="inlineStr"/>
      <c r="I1609" s="9" t="inlineStr"/>
      <c r="J1609" s="8" t="inlineStr"/>
      <c r="K1609" s="8" t="inlineStr"/>
      <c r="L1609" s="8" t="inlineStr"/>
      <c r="M1609" s="8" t="inlineStr">
        <is>
          <t>周期触发</t>
        </is>
      </c>
      <c r="N1609" s="8" t="inlineStr">
        <is>
          <t>periodicPulse</t>
        </is>
      </c>
      <c r="O1609" s="9" t="inlineStr">
        <is>
          <t>轮转时，吸取敌方 3 点气血</t>
        </is>
      </c>
      <c r="P1609" s="9" t="inlineStr"/>
      <c r="Q1609" s="9" t="inlineStr"/>
      <c r="R1609" s="9" t="inlineStr">
        <is>
          <t>{"kind":"periodicPulse","periodicPulse":{"intervalSec":4,"label":"&lt;battle&gt;轮转时，吸取敌方 3 点气血&lt;/battle&gt;","drainPrimaryStat":{"target":"enemy","stat":"health","amount":3}},"executionScope":"beast","visibilityScope":"beast"}</t>
        </is>
      </c>
    </row>
    <row r="1610" ht="32" customHeight="1">
      <c r="A1610" s="8" t="n">
        <v>500359</v>
      </c>
      <c r="B1610" s="8" t="inlineStr">
        <is>
          <t>砂脉须管</t>
        </is>
      </c>
      <c r="C1610" s="8" t="inlineStr">
        <is>
          <t>材料</t>
        </is>
      </c>
      <c r="D1610" s="8" t="inlineStr">
        <is>
          <t>common</t>
        </is>
      </c>
      <c r="E1610" s="8" t="inlineStr">
        <is>
          <t>water</t>
        </is>
      </c>
      <c r="F1610" s="8" t="n">
        <v>1</v>
      </c>
      <c r="G1610" s="8" t="inlineStr">
        <is>
          <t>基础/顶层</t>
        </is>
      </c>
      <c r="H1610" s="8" t="inlineStr"/>
      <c r="I1610" s="9" t="inlineStr"/>
      <c r="J1610" s="8" t="inlineStr"/>
      <c r="K1610" s="8" t="inlineStr"/>
      <c r="L1610" s="8" t="inlineStr"/>
      <c r="M1610" s="8" t="inlineStr">
        <is>
          <t>周期触发</t>
        </is>
      </c>
      <c r="N1610" s="8" t="inlineStr">
        <is>
          <t>periodicPulse</t>
        </is>
      </c>
      <c r="O1610" s="9" t="inlineStr">
        <is>
          <t>轮转时，吸取敌方 2 点法力</t>
        </is>
      </c>
      <c r="P1610" s="9" t="inlineStr"/>
      <c r="Q1610" s="9" t="inlineStr"/>
      <c r="R1610" s="9" t="inlineStr">
        <is>
          <t>{"kind":"periodicPulse","periodicPulse":{"intervalSec":12,"label":"&lt;battle&gt;轮转时，吸取敌方 2 点法力&lt;/battle&gt;","drainPrimaryStat":{"target":"enemy","stat":"mana","amount":2}},"executionScope":"beast","visibilityScope":"beast"}</t>
        </is>
      </c>
    </row>
    <row r="1611" ht="32" customHeight="1">
      <c r="A1611" s="8" t="n">
        <v>500360</v>
      </c>
      <c r="B1611" s="8" t="inlineStr">
        <is>
          <t>岩麂尾刺</t>
        </is>
      </c>
      <c r="C1611" s="8" t="inlineStr">
        <is>
          <t>材料</t>
        </is>
      </c>
      <c r="D1611" s="8" t="inlineStr">
        <is>
          <t>common</t>
        </is>
      </c>
      <c r="E1611" s="8" t="inlineStr">
        <is>
          <t>water</t>
        </is>
      </c>
      <c r="F1611" s="8" t="n">
        <v>1</v>
      </c>
      <c r="G1611" s="8" t="inlineStr">
        <is>
          <t>基础/顶层</t>
        </is>
      </c>
      <c r="H1611" s="8" t="inlineStr"/>
      <c r="I1611" s="9" t="inlineStr"/>
      <c r="J1611" s="8" t="inlineStr"/>
      <c r="K1611" s="8" t="inlineStr"/>
      <c r="L1611" s="8" t="inlineStr"/>
      <c r="M1611" s="8" t="inlineStr">
        <is>
          <t>周期触发</t>
        </is>
      </c>
      <c r="N1611" s="8" t="inlineStr">
        <is>
          <t>periodicPulse</t>
        </is>
      </c>
      <c r="O1611" s="9" t="inlineStr">
        <is>
          <t>轮转时，对敌方造成 3 点伤害</t>
        </is>
      </c>
      <c r="P1611" s="9" t="inlineStr"/>
      <c r="Q1611" s="9" t="inlineStr"/>
      <c r="R1611" s="9" t="inlineStr">
        <is>
          <t>{"kind":"periodicPulse","periodicPulse":{"intervalSec":10,"label":"&lt;battle&gt;轮转时，对敌方造成 3 点伤害&lt;/battle&gt;","damageHealth":{"target":"enemy","amount":3}},"executionScope":"beast","visibilityScope":"beast"}</t>
        </is>
      </c>
    </row>
    <row r="1612" ht="32" customHeight="1">
      <c r="A1612" s="8" t="n">
        <v>500361</v>
      </c>
      <c r="B1612" s="8" t="inlineStr">
        <is>
          <t>芝冠鹿角</t>
        </is>
      </c>
      <c r="C1612" s="8" t="inlineStr">
        <is>
          <t>材料</t>
        </is>
      </c>
      <c r="D1612" s="8" t="inlineStr">
        <is>
          <t>common</t>
        </is>
      </c>
      <c r="E1612" s="8" t="inlineStr">
        <is>
          <t>wood</t>
        </is>
      </c>
      <c r="F1612" s="8" t="n">
        <v>1</v>
      </c>
      <c r="G1612" s="8" t="inlineStr">
        <is>
          <t>基础/顶层</t>
        </is>
      </c>
      <c r="H1612" s="8" t="inlineStr"/>
      <c r="I1612" s="9" t="inlineStr"/>
      <c r="J1612" s="8" t="inlineStr"/>
      <c r="K1612" s="8" t="inlineStr"/>
      <c r="L1612" s="8" t="inlineStr"/>
      <c r="M1612" s="8" t="inlineStr">
        <is>
          <t>周期触发</t>
        </is>
      </c>
      <c r="N1612" s="8" t="inlineStr">
        <is>
          <t>periodicPulse</t>
        </is>
      </c>
      <c r="O1612" s="9" t="inlineStr">
        <is>
          <t>轮转时，获得 5 层露水</t>
        </is>
      </c>
      <c r="P1612" s="9" t="inlineStr"/>
      <c r="Q1612" s="9" t="inlineStr"/>
      <c r="R1612" s="9" t="inlineStr">
        <is>
          <t>{"kind":"periodicPulse","periodicPulse":{"intervalSec":12,"label":"轮转时，获得 5 层露水","buffGains":[{"buffId":"dew","count":5}]},"executionScope":"beast","visibilityScope":"beast"}</t>
        </is>
      </c>
    </row>
    <row r="1613" ht="32" customHeight="1">
      <c r="A1613" s="8" t="n">
        <v>500362</v>
      </c>
      <c r="B1613" s="8" t="inlineStr">
        <is>
          <t>护台绒衣</t>
        </is>
      </c>
      <c r="C1613" s="8" t="inlineStr">
        <is>
          <t>材料</t>
        </is>
      </c>
      <c r="D1613" s="8" t="inlineStr">
        <is>
          <t>common</t>
        </is>
      </c>
      <c r="E1613" s="8" t="inlineStr">
        <is>
          <t>wood</t>
        </is>
      </c>
      <c r="F1613" s="8" t="n">
        <v>1</v>
      </c>
      <c r="G1613" s="8" t="inlineStr">
        <is>
          <t>基础/顶层</t>
        </is>
      </c>
      <c r="H1613" s="8" t="inlineStr"/>
      <c r="I1613" s="9" t="inlineStr"/>
      <c r="J1613" s="8" t="inlineStr"/>
      <c r="K1613" s="8" t="inlineStr"/>
      <c r="L1613" s="8" t="inlineStr"/>
      <c r="M1613" s="8" t="inlineStr">
        <is>
          <t>条件触发</t>
        </is>
      </c>
      <c r="N1613" s="8" t="inlineStr">
        <is>
          <t>triggered</t>
        </is>
      </c>
      <c r="O1613" s="9" t="inlineStr">
        <is>
          <t>受到伤害时，获得 1 层露水</t>
        </is>
      </c>
      <c r="P1613" s="9" t="inlineStr">
        <is>
          <t>onIncomingHealthDamage</t>
        </is>
      </c>
      <c r="Q1613" s="9" t="inlineStr">
        <is>
          <t>applyBuff</t>
        </is>
      </c>
      <c r="R1613" s="9" t="inlineStr">
        <is>
          <t>{"kind":"triggered","executionScope":"beast","visibilityScope":"beast","label":"受到伤害时，获得 1 层露水","triggeredEffect":{"trigger":"onIncomingHealthDamage","type":"applyBuff","buffId":"dew","count":1}}</t>
        </is>
      </c>
    </row>
    <row r="1614" ht="32" customHeight="1">
      <c r="A1614" s="8" t="n">
        <v>500363</v>
      </c>
      <c r="B1614" s="8" t="inlineStr">
        <is>
          <t>芝角裂晶</t>
        </is>
      </c>
      <c r="C1614" s="8" t="inlineStr">
        <is>
          <t>材料</t>
        </is>
      </c>
      <c r="D1614" s="8" t="inlineStr">
        <is>
          <t>common</t>
        </is>
      </c>
      <c r="E1614" s="8" t="inlineStr">
        <is>
          <t>wood</t>
        </is>
      </c>
      <c r="F1614" s="8" t="n">
        <v>1</v>
      </c>
      <c r="G1614" s="8" t="inlineStr">
        <is>
          <t>基础/顶层</t>
        </is>
      </c>
      <c r="H1614" s="8" t="inlineStr"/>
      <c r="I1614" s="9" t="inlineStr"/>
      <c r="J1614" s="8" t="inlineStr"/>
      <c r="K1614" s="8" t="inlineStr"/>
      <c r="L1614" s="8" t="inlineStr"/>
      <c r="M1614" s="8" t="inlineStr">
        <is>
          <t>周期触发</t>
        </is>
      </c>
      <c r="N1614" s="8" t="inlineStr">
        <is>
          <t>periodicPulse</t>
        </is>
      </c>
      <c r="O1614" s="9" t="inlineStr">
        <is>
          <t>轮转时，消耗 8 层露水，对敌方造成 8 点伤害；消耗 8 层露水，对敌方造成 8 点伤害</t>
        </is>
      </c>
      <c r="P1614" s="9" t="inlineStr">
        <is>
          <t>onPeriodicPulse</t>
        </is>
      </c>
      <c r="Q1614" s="9" t="inlineStr">
        <is>
          <t>consumeBuffStacks</t>
        </is>
      </c>
      <c r="R1614" s="9" t="inlineStr">
        <is>
          <t>{"kind":"periodicPulse","periodicPulse":{"intervalSec":5,"label":"轮转时，消耗 8 层露水，&lt;battle&gt;对敌方造成 8 点伤害&lt;/battle&gt;"},"executors":[{"trigger":"onPeriodicPulse","type":"consumeBuffStacks","sourceBuffId":"dew","requiredStacks":8,"maxStacks":8,"battleDamageHealthPerStack":1,"label":"消耗 8 层露水，&lt;battle&gt;对敌方造成 8 点伤害&lt;/battle&gt;"}],"executionScope":"beast","visibilityScope":"beast"}</t>
        </is>
      </c>
    </row>
    <row r="1615" ht="32" customHeight="1">
      <c r="A1615" s="8" t="n">
        <v>500364</v>
      </c>
      <c r="B1615" s="8" t="inlineStr">
        <is>
          <t>玉露初芽</t>
        </is>
      </c>
      <c r="C1615" s="8" t="inlineStr">
        <is>
          <t>材料</t>
        </is>
      </c>
      <c r="D1615" s="8" t="inlineStr">
        <is>
          <t>common</t>
        </is>
      </c>
      <c r="E1615" s="8" t="inlineStr">
        <is>
          <t>wood</t>
        </is>
      </c>
      <c r="F1615" s="8" t="n">
        <v>1</v>
      </c>
      <c r="G1615" s="8" t="inlineStr">
        <is>
          <t>基础/顶层</t>
        </is>
      </c>
      <c r="H1615" s="8" t="inlineStr"/>
      <c r="I1615" s="9" t="inlineStr"/>
      <c r="J1615" s="8" t="inlineStr"/>
      <c r="K1615" s="8" t="inlineStr"/>
      <c r="L1615" s="8" t="inlineStr"/>
      <c r="M1615" s="8" t="inlineStr">
        <is>
          <t>周期触发</t>
        </is>
      </c>
      <c r="N1615" s="8" t="inlineStr">
        <is>
          <t>periodicPulse</t>
        </is>
      </c>
      <c r="O1615" s="9" t="inlineStr">
        <is>
          <t>开局时，获得 8 层露水</t>
        </is>
      </c>
      <c r="P1615" s="9" t="inlineStr"/>
      <c r="Q1615" s="9" t="inlineStr"/>
      <c r="R1615" s="9" t="inlineStr">
        <is>
          <t>{"kind":"periodicPulse","periodicPulse":{"label":"开局时，获得 8 层露水","buffGains":[{"buffId":"dew","count":8}],"startOnly":true},"executionScope":"beast","visibilityScope":"beast"}</t>
        </is>
      </c>
    </row>
    <row r="1616" ht="32" customHeight="1">
      <c r="A1616" s="8" t="n">
        <v>500365</v>
      </c>
      <c r="B1616" s="8" t="inlineStr">
        <is>
          <t>青麟玉衣</t>
        </is>
      </c>
      <c r="C1616" s="8" t="inlineStr">
        <is>
          <t>材料</t>
        </is>
      </c>
      <c r="D1616" s="8" t="inlineStr">
        <is>
          <t>common</t>
        </is>
      </c>
      <c r="E1616" s="8" t="inlineStr">
        <is>
          <t>wood</t>
        </is>
      </c>
      <c r="F1616" s="8" t="n">
        <v>1</v>
      </c>
      <c r="G1616" s="8" t="inlineStr">
        <is>
          <t>基础/顶层</t>
        </is>
      </c>
      <c r="H1616" s="8" t="inlineStr"/>
      <c r="I1616" s="9" t="inlineStr"/>
      <c r="J1616" s="8" t="inlineStr"/>
      <c r="K1616" s="8" t="inlineStr"/>
      <c r="L1616" s="8" t="inlineStr"/>
      <c r="M1616" s="8" t="inlineStr">
        <is>
          <t>条件触发</t>
        </is>
      </c>
      <c r="N1616" s="8" t="inlineStr">
        <is>
          <t>triggered</t>
        </is>
      </c>
      <c r="O1616" s="9" t="inlineStr">
        <is>
          <t>受到伤害时，获得 1 层露水</t>
        </is>
      </c>
      <c r="P1616" s="9" t="inlineStr">
        <is>
          <t>onIncomingHealthDamage</t>
        </is>
      </c>
      <c r="Q1616" s="9" t="inlineStr">
        <is>
          <t>applyBuff</t>
        </is>
      </c>
      <c r="R1616" s="9" t="inlineStr">
        <is>
          <t>{"kind":"triggered","executionScope":"beast","visibilityScope":"beast","label":"受到伤害时，获得 1 层露水","triggeredEffect":{"trigger":"onIncomingHealthDamage","type":"applyBuff","buffId":"dew","count":1}}</t>
        </is>
      </c>
    </row>
    <row r="1617" ht="32" customHeight="1">
      <c r="A1617" s="8" t="n">
        <v>500366</v>
      </c>
      <c r="B1617" s="8" t="inlineStr">
        <is>
          <t>玉核裂髓</t>
        </is>
      </c>
      <c r="C1617" s="8" t="inlineStr">
        <is>
          <t>材料</t>
        </is>
      </c>
      <c r="D1617" s="8" t="inlineStr">
        <is>
          <t>common</t>
        </is>
      </c>
      <c r="E1617" s="8" t="inlineStr">
        <is>
          <t>wood</t>
        </is>
      </c>
      <c r="F1617" s="8" t="n">
        <v>1</v>
      </c>
      <c r="G1617" s="8" t="inlineStr">
        <is>
          <t>基础/顶层</t>
        </is>
      </c>
      <c r="H1617" s="8" t="inlineStr"/>
      <c r="I1617" s="9" t="inlineStr"/>
      <c r="J1617" s="8" t="inlineStr"/>
      <c r="K1617" s="8" t="inlineStr"/>
      <c r="L1617" s="8" t="inlineStr"/>
      <c r="M1617" s="8" t="inlineStr">
        <is>
          <t>周期触发</t>
        </is>
      </c>
      <c r="N1617" s="8" t="inlineStr">
        <is>
          <t>periodicPulse</t>
        </is>
      </c>
      <c r="O1617" s="9" t="inlineStr">
        <is>
          <t>轮转时，消耗 8 层露水，对敌方造成 8 点伤害；消耗 8 层露水，对敌方造成 8 点伤害</t>
        </is>
      </c>
      <c r="P1617" s="9" t="inlineStr">
        <is>
          <t>onPeriodicPulse</t>
        </is>
      </c>
      <c r="Q1617" s="9" t="inlineStr">
        <is>
          <t>consumeBuffStacks</t>
        </is>
      </c>
      <c r="R1617" s="9" t="inlineStr">
        <is>
          <t>{"kind":"periodicPulse","periodicPulse":{"intervalSec":5,"label":"轮转时，消耗 8 层露水，&lt;battle&gt;对敌方造成 8 点伤害&lt;/battle&gt;"},"executors":[{"trigger":"onPeriodicPulse","type":"consumeBuffStacks","sourceBuffId":"dew","requiredStacks":8,"maxStacks":8,"battleDamageHealthPerStack":1,"label":"消耗 8 层露水，&lt;battle&gt;对敌方造成 8 点伤害&lt;/battle&gt;"}],"executionScope":"beast","visibilityScope":"beast"}</t>
        </is>
      </c>
    </row>
    <row r="1618" ht="32" customHeight="1">
      <c r="A1618" s="8" t="n">
        <v>500367</v>
      </c>
      <c r="B1618" s="8" t="inlineStr">
        <is>
          <t>返光灵囊</t>
        </is>
      </c>
      <c r="C1618" s="8" t="inlineStr">
        <is>
          <t>材料</t>
        </is>
      </c>
      <c r="D1618" s="8" t="inlineStr">
        <is>
          <t>common</t>
        </is>
      </c>
      <c r="E1618" s="8" t="inlineStr">
        <is>
          <t>wood</t>
        </is>
      </c>
      <c r="F1618" s="8" t="n">
        <v>1</v>
      </c>
      <c r="G1618" s="8" t="inlineStr">
        <is>
          <t>基础/顶层</t>
        </is>
      </c>
      <c r="H1618" s="8" t="inlineStr"/>
      <c r="I1618" s="9" t="inlineStr"/>
      <c r="J1618" s="8" t="inlineStr"/>
      <c r="K1618" s="8" t="inlineStr"/>
      <c r="L1618" s="8" t="inlineStr"/>
      <c r="M1618" s="8" t="inlineStr">
        <is>
          <t>周期触发</t>
        </is>
      </c>
      <c r="N1618" s="8" t="inlineStr">
        <is>
          <t>periodicPulse</t>
        </is>
      </c>
      <c r="O1618" s="9" t="inlineStr">
        <is>
          <t>轮转时，将所有露水转化为气血；将所有露水转化为气血</t>
        </is>
      </c>
      <c r="P1618" s="9" t="inlineStr">
        <is>
          <t>onPeriodicPulse</t>
        </is>
      </c>
      <c r="Q1618" s="9" t="inlineStr">
        <is>
          <t>consumeBuffStacks</t>
        </is>
      </c>
      <c r="R1618" s="9" t="inlineStr">
        <is>
          <t>{"kind":"periodicPulse","periodicPulse":{"intervalSec":20,"label":"轮转时，将所有露水转化为气血"},"executors":[{"trigger":"onPeriodicPulse","type":"consumeBuffStacks","sourceBuffId":"dew","consumeRatio":1,"consumeRounding":"floor","primaryStatGainPerStack":{"stat":"health","amount":1},"label":"将所有露水转化为气血"}],"executionScope":"beast","visibilityScope":"beast"}</t>
        </is>
      </c>
    </row>
    <row r="1619" ht="32" customHeight="1">
      <c r="A1619" s="8" t="n">
        <v>500368</v>
      </c>
      <c r="B1619" s="8" t="inlineStr">
        <is>
          <t>青麟护膜</t>
        </is>
      </c>
      <c r="C1619" s="8" t="inlineStr">
        <is>
          <t>材料</t>
        </is>
      </c>
      <c r="D1619" s="8" t="inlineStr">
        <is>
          <t>common</t>
        </is>
      </c>
      <c r="E1619" s="8" t="inlineStr">
        <is>
          <t>wood</t>
        </is>
      </c>
      <c r="F1619" s="8" t="n">
        <v>1</v>
      </c>
      <c r="G1619" s="8" t="inlineStr">
        <is>
          <t>基础/顶层</t>
        </is>
      </c>
      <c r="H1619" s="8" t="inlineStr"/>
      <c r="I1619" s="9" t="inlineStr"/>
      <c r="J1619" s="8" t="inlineStr"/>
      <c r="K1619" s="8" t="inlineStr"/>
      <c r="L1619" s="8" t="inlineStr"/>
      <c r="M1619" s="8" t="inlineStr">
        <is>
          <t>条件触发</t>
        </is>
      </c>
      <c r="N1619" s="8" t="inlineStr">
        <is>
          <t>triggered</t>
        </is>
      </c>
      <c r="O1619" s="9" t="inlineStr">
        <is>
          <t>受到伤害时，若实际伤害大于 3 点，获得 3 层露水</t>
        </is>
      </c>
      <c r="P1619" s="9" t="inlineStr">
        <is>
          <t>onIncomingHealthDamage</t>
        </is>
      </c>
      <c r="Q1619" s="9" t="inlineStr">
        <is>
          <t>applyBuff</t>
        </is>
      </c>
      <c r="R1619" s="9" t="inlineStr">
        <is>
          <t>{"kind":"triggered","executionScope":"beast","visibilityScope":"beast","label":"受到伤害时，若实际伤害大于 3 点，获得 3 层露水","triggeredEffect":{"trigger":"onIncomingHealthDamage","type":"applyBuff","buffId":"dew","count":3,"minActualDamage":4}}</t>
        </is>
      </c>
    </row>
    <row r="1620" ht="32" customHeight="1">
      <c r="A1620" s="8" t="n">
        <v>500369</v>
      </c>
      <c r="B1620" s="8" t="inlineStr">
        <is>
          <t>玉台软皮</t>
        </is>
      </c>
      <c r="C1620" s="8" t="inlineStr">
        <is>
          <t>材料</t>
        </is>
      </c>
      <c r="D1620" s="8" t="inlineStr">
        <is>
          <t>common</t>
        </is>
      </c>
      <c r="E1620" s="8" t="inlineStr">
        <is>
          <t>wood</t>
        </is>
      </c>
      <c r="F1620" s="8" t="n">
        <v>1</v>
      </c>
      <c r="G1620" s="8" t="inlineStr">
        <is>
          <t>基础/顶层</t>
        </is>
      </c>
      <c r="H1620" s="8" t="inlineStr"/>
      <c r="I1620" s="9" t="inlineStr"/>
      <c r="J1620" s="8" t="inlineStr"/>
      <c r="K1620" s="8" t="inlineStr"/>
      <c r="L1620" s="8" t="inlineStr"/>
      <c r="M1620" s="8" t="inlineStr">
        <is>
          <t>周期触发</t>
        </is>
      </c>
      <c r="N1620" s="8" t="inlineStr">
        <is>
          <t>periodicPulse</t>
        </is>
      </c>
      <c r="O1620" s="9" t="inlineStr">
        <is>
          <t>轮转时，消耗 4 点气血，对敌方造成 3 点伤害</t>
        </is>
      </c>
      <c r="P1620" s="9" t="inlineStr"/>
      <c r="Q1620" s="9" t="inlineStr"/>
      <c r="R1620" s="9" t="inlineStr">
        <is>
          <t>{"kind":"periodicPulse","periodicPulse":{"intervalSec":8,"label":"轮转时，消耗 4 点气血，&lt;battle&gt;对敌方造成 3 点伤害&lt;/battle&gt;","primaryStatCosts":[{"stat":"health","amount":4}],"damageHealth":{"target":"enemy","amount":3}},"executionScope":"beast","visibilityScope":"beast"}</t>
        </is>
      </c>
    </row>
    <row r="1621" ht="32" customHeight="1">
      <c r="A1621" s="8" t="n">
        <v>500370</v>
      </c>
      <c r="B1621" s="8" t="inlineStr">
        <is>
          <t>台心露核</t>
        </is>
      </c>
      <c r="C1621" s="8" t="inlineStr">
        <is>
          <t>材料</t>
        </is>
      </c>
      <c r="D1621" s="8" t="inlineStr">
        <is>
          <t>common</t>
        </is>
      </c>
      <c r="E1621" s="8" t="inlineStr">
        <is>
          <t>wood</t>
        </is>
      </c>
      <c r="F1621" s="8" t="n">
        <v>1</v>
      </c>
      <c r="G1621" s="8" t="inlineStr">
        <is>
          <t>基础/顶层</t>
        </is>
      </c>
      <c r="H1621" s="8" t="inlineStr"/>
      <c r="I1621" s="9" t="inlineStr"/>
      <c r="J1621" s="8" t="inlineStr"/>
      <c r="K1621" s="8" t="inlineStr"/>
      <c r="L1621" s="8" t="inlineStr"/>
      <c r="M1621" s="8" t="inlineStr">
        <is>
          <t>周期触发</t>
        </is>
      </c>
      <c r="N1621" s="8" t="inlineStr">
        <is>
          <t>periodicPulse</t>
        </is>
      </c>
      <c r="O1621" s="9" t="inlineStr">
        <is>
          <t>开局时，获得 12 层露水</t>
        </is>
      </c>
      <c r="P1621" s="9" t="inlineStr"/>
      <c r="Q1621" s="9" t="inlineStr"/>
      <c r="R1621" s="9" t="inlineStr">
        <is>
          <t>{"kind":"periodicPulse","periodicPulse":{"label":"开局时，获得 12 层露水","buffGains":[{"buffId":"dew","count":12}],"startOnly":true},"executionScope":"beast","visibilityScope":"beast"}</t>
        </is>
      </c>
    </row>
    <row r="1622" ht="32" customHeight="1">
      <c r="A1622" s="8" t="n">
        <v>500371</v>
      </c>
      <c r="B1622" s="8" t="inlineStr">
        <is>
          <t>青玉根须</t>
        </is>
      </c>
      <c r="C1622" s="8" t="inlineStr">
        <is>
          <t>材料</t>
        </is>
      </c>
      <c r="D1622" s="8" t="inlineStr">
        <is>
          <t>common</t>
        </is>
      </c>
      <c r="E1622" s="8" t="inlineStr">
        <is>
          <t>wood</t>
        </is>
      </c>
      <c r="F1622" s="8" t="n">
        <v>1</v>
      </c>
      <c r="G1622" s="8" t="inlineStr">
        <is>
          <t>基础/顶层</t>
        </is>
      </c>
      <c r="H1622" s="8" t="inlineStr"/>
      <c r="I1622" s="9" t="inlineStr"/>
      <c r="J1622" s="8" t="inlineStr"/>
      <c r="K1622" s="8" t="inlineStr"/>
      <c r="L1622" s="8" t="inlineStr"/>
      <c r="M1622" s="8" t="inlineStr">
        <is>
          <t>周期触发</t>
        </is>
      </c>
      <c r="N1622" s="8" t="inlineStr">
        <is>
          <t>periodicPulse</t>
        </is>
      </c>
      <c r="O1622" s="9" t="inlineStr">
        <is>
          <t>轮转时，将 1 点体力转化为 1 层露水</t>
        </is>
      </c>
      <c r="P1622" s="9" t="inlineStr"/>
      <c r="Q1622" s="9" t="inlineStr"/>
      <c r="R1622" s="9" t="inlineStr">
        <is>
          <t>{"kind":"periodicPulse","periodicPulse":{"intervalSec":2,"label":"轮转时，将 1 点体力转化为 1 层露水","primaryStatCosts":[{"stat":"stamina","amount":1}],"buffGains":[{"buffId":"dew","count":1}]},"executionScope":"beast","visibilityScope":"beast"}</t>
        </is>
      </c>
    </row>
    <row r="1623" ht="32" customHeight="1">
      <c r="A1623" s="8" t="n">
        <v>500372</v>
      </c>
      <c r="B1623" s="8" t="inlineStr">
        <is>
          <t>青麟息芽</t>
        </is>
      </c>
      <c r="C1623" s="8" t="inlineStr">
        <is>
          <t>材料</t>
        </is>
      </c>
      <c r="D1623" s="8" t="inlineStr">
        <is>
          <t>common</t>
        </is>
      </c>
      <c r="E1623" s="8" t="inlineStr">
        <is>
          <t>wood</t>
        </is>
      </c>
      <c r="F1623" s="8" t="n">
        <v>1</v>
      </c>
      <c r="G1623" s="8" t="inlineStr">
        <is>
          <t>基础/顶层</t>
        </is>
      </c>
      <c r="H1623" s="8" t="inlineStr"/>
      <c r="I1623" s="9" t="inlineStr"/>
      <c r="J1623" s="8" t="inlineStr"/>
      <c r="K1623" s="8" t="inlineStr"/>
      <c r="L1623" s="8" t="inlineStr"/>
      <c r="M1623" s="8" t="inlineStr">
        <is>
          <t>周期触发</t>
        </is>
      </c>
      <c r="N1623" s="8" t="inlineStr">
        <is>
          <t>periodicPulse</t>
        </is>
      </c>
      <c r="O1623" s="9" t="inlineStr">
        <is>
          <t>轮转时，恢复 1 点气血</t>
        </is>
      </c>
      <c r="P1623" s="9" t="inlineStr"/>
      <c r="Q1623" s="9" t="inlineStr"/>
      <c r="R1623" s="9" t="inlineStr">
        <is>
          <t>{"kind":"periodicPulse","periodicPulse":{"intervalSec":4,"label":"轮转时，恢复 1 点气血","primaryStatGains":[{"stat":"health","amount":1}]},"executionScope":"beast","visibilityScope":"beast"}</t>
        </is>
      </c>
    </row>
    <row r="1624" ht="32" customHeight="1">
      <c r="A1624" s="8" t="n">
        <v>500424</v>
      </c>
      <c r="B1624" s="8" t="inlineStr">
        <is>
          <t>旧铜护鼻铠</t>
        </is>
      </c>
      <c r="C1624" s="8" t="inlineStr">
        <is>
          <t>材料</t>
        </is>
      </c>
      <c r="D1624" s="8" t="inlineStr">
        <is>
          <t>spirit</t>
        </is>
      </c>
      <c r="E1624" s="8" t="inlineStr">
        <is>
          <t>water</t>
        </is>
      </c>
      <c r="F1624" s="8" t="n">
        <v>1</v>
      </c>
      <c r="G1624" s="8" t="inlineStr">
        <is>
          <t>基础/顶层</t>
        </is>
      </c>
      <c r="H1624" s="8" t="inlineStr"/>
      <c r="I1624" s="9" t="inlineStr"/>
      <c r="J1624" s="8" t="inlineStr"/>
      <c r="K1624" s="8" t="inlineStr"/>
      <c r="L1624" s="8" t="inlineStr"/>
      <c r="M1624" s="8" t="inlineStr">
        <is>
          <t>周期触发</t>
        </is>
      </c>
      <c r="N1624" s="8" t="inlineStr">
        <is>
          <t>periodicPulse</t>
        </is>
      </c>
      <c r="O1624" s="9" t="inlineStr">
        <is>
          <t>轮转时，恢复自身 80 点气血</t>
        </is>
      </c>
      <c r="P1624" s="9" t="inlineStr"/>
      <c r="Q1624" s="9" t="inlineStr"/>
      <c r="R1624" s="9" t="inlineStr">
        <is>
          <t>{"kind":"periodicPulse","periodicPulse":{"intervalSec":18,"label":"&lt;battle&gt;轮转时，恢复自身 80 点气血&lt;/battle&gt;","primaryStatGains":[{"stat":"health","amount":80}]},"executionScope":"beast","visibilityScope":"beast"}</t>
        </is>
      </c>
    </row>
    <row r="1625" ht="32" customHeight="1">
      <c r="A1625" s="8" t="n">
        <v>500425</v>
      </c>
      <c r="B1625" s="8" t="inlineStr">
        <is>
          <t>崩岩獠牙铜套</t>
        </is>
      </c>
      <c r="C1625" s="8" t="inlineStr">
        <is>
          <t>材料</t>
        </is>
      </c>
      <c r="D1625" s="8" t="inlineStr">
        <is>
          <t>spirit</t>
        </is>
      </c>
      <c r="E1625" s="8" t="inlineStr">
        <is>
          <t>metal</t>
        </is>
      </c>
      <c r="F1625" s="8" t="n">
        <v>1</v>
      </c>
      <c r="G1625" s="8" t="inlineStr">
        <is>
          <t>基础/顶层</t>
        </is>
      </c>
      <c r="H1625" s="8" t="inlineStr"/>
      <c r="I1625" s="9" t="inlineStr"/>
      <c r="J1625" s="8" t="inlineStr"/>
      <c r="K1625" s="8" t="inlineStr"/>
      <c r="L1625" s="8" t="inlineStr"/>
      <c r="M1625" s="8" t="inlineStr">
        <is>
          <t>周期触发</t>
        </is>
      </c>
      <c r="N1625" s="8" t="inlineStr">
        <is>
          <t>periodicPulse</t>
        </is>
      </c>
      <c r="O1625" s="9" t="inlineStr">
        <is>
          <t>轮转时，消耗 30 点体力，扣除敌方 180 点体力，并施加 8 层麻痹</t>
        </is>
      </c>
      <c r="P1625" s="9" t="inlineStr"/>
      <c r="Q1625" s="9" t="inlineStr"/>
      <c r="R1625" s="9" t="inlineStr">
        <is>
          <t>{"kind":"periodicPulse","periodicPulse":{"intervalSec":14,"label":"&lt;battle&gt;轮转时，消耗 30 点体力，扣除敌方 180 点体力，并施加 8 层麻痹&lt;/battle&gt;","primaryStatCosts":[{"stat":"stamina","amount":30}],"primaryStatDamages":[{"target":"enemy","stat":"stamina","amount":180}],"buffGains":[{"buffId":"paralysis","count":8,"target":"enemy"}]},"executionScope":"beast","visibilityScope":"beast"}</t>
        </is>
      </c>
    </row>
    <row r="1626" ht="32" customHeight="1">
      <c r="A1626" s="8" t="n">
        <v>500426</v>
      </c>
      <c r="B1626" s="8" t="inlineStr">
        <is>
          <t>镇步四蹄铃</t>
        </is>
      </c>
      <c r="C1626" s="8" t="inlineStr">
        <is>
          <t>材料</t>
        </is>
      </c>
      <c r="D1626" s="8" t="inlineStr">
        <is>
          <t>spirit</t>
        </is>
      </c>
      <c r="E1626" s="8" t="inlineStr">
        <is>
          <t>metal</t>
        </is>
      </c>
      <c r="F1626" s="8" t="n">
        <v>1</v>
      </c>
      <c r="G1626" s="8" t="inlineStr">
        <is>
          <t>基础/顶层</t>
        </is>
      </c>
      <c r="H1626" s="8" t="inlineStr"/>
      <c r="I1626" s="9" t="inlineStr"/>
      <c r="J1626" s="8" t="inlineStr"/>
      <c r="K1626" s="8" t="inlineStr"/>
      <c r="L1626" s="8" t="inlineStr"/>
      <c r="M1626" s="8" t="inlineStr">
        <is>
          <t>周期触发</t>
        </is>
      </c>
      <c r="N1626" s="8" t="inlineStr">
        <is>
          <t>periodicPulse</t>
        </is>
      </c>
      <c r="O1626" s="9" t="inlineStr">
        <is>
          <t>轮转时，消耗 50 点体力，最多移除敌方 40 层护甲，并对敌方造成 240 点伤害</t>
        </is>
      </c>
      <c r="P1626" s="9" t="inlineStr"/>
      <c r="Q1626" s="9" t="inlineStr"/>
      <c r="R1626" s="9" t="inlineStr">
        <is>
          <t>{"kind":"periodicPulse","periodicPulse":{"intervalSec":20,"primaryStatCosts":[{"stat":"stamina","amount":50}],"label":"&lt;battle&gt;轮转时，消耗 50 点体力，最多移除敌方 40 层护甲，并对敌方造成 240 点伤害&lt;/battle&gt;","removeBuffStacks":[{"target":"enemy","buffId":"armor","count":40}],"damageHealth":{"target":"enemy","amount":240}},"executionScope":"beast","visibilityScope":"beast"}</t>
        </is>
      </c>
    </row>
    <row r="1627" ht="32" customHeight="1">
      <c r="A1627" s="8" t="n">
        <v>500446</v>
      </c>
      <c r="B1627" s="8" t="inlineStr">
        <is>
          <t>鳞尾节鞭</t>
        </is>
      </c>
      <c r="C1627" s="8" t="inlineStr">
        <is>
          <t>材料</t>
        </is>
      </c>
      <c r="D1627" s="8" t="inlineStr">
        <is>
          <t>spirit</t>
        </is>
      </c>
      <c r="E1627" s="8" t="inlineStr">
        <is>
          <t>wood</t>
        </is>
      </c>
      <c r="F1627" s="8" t="n">
        <v>1</v>
      </c>
      <c r="G1627" s="8" t="inlineStr">
        <is>
          <t>基础/顶层</t>
        </is>
      </c>
      <c r="H1627" s="8" t="inlineStr"/>
      <c r="I1627" s="9" t="inlineStr"/>
      <c r="J1627" s="8" t="inlineStr"/>
      <c r="K1627" s="8" t="inlineStr"/>
      <c r="L1627" s="8" t="inlineStr"/>
      <c r="M1627" s="8" t="inlineStr">
        <is>
          <t>周期触发</t>
        </is>
      </c>
      <c r="N1627" s="8" t="inlineStr">
        <is>
          <t>periodicPulse</t>
        </is>
      </c>
      <c r="O1627" s="9" t="inlineStr">
        <is>
          <t>轮转时，恢复自身 30 点法力，获得 16 层闪避</t>
        </is>
      </c>
      <c r="P1627" s="9" t="inlineStr"/>
      <c r="Q1627" s="9" t="inlineStr"/>
      <c r="R1627" s="9" t="inlineStr">
        <is>
          <t>{"kind":"periodicPulse","periodicPulse":{"intervalSec":15,"label":"轮转时，恢复自身 30 点法力，获得 16 层闪避","primaryStatGains":[{"stat":"mana","amount":30}],"buffGains":[{"buffId":"dodge","count":16}]},"executionScope":"beast","visibilityScope":"beast"}</t>
        </is>
      </c>
    </row>
    <row r="1628" ht="32" customHeight="1">
      <c r="A1628" s="8" t="n">
        <v>500447</v>
      </c>
      <c r="B1628" s="8" t="inlineStr">
        <is>
          <t>束胸眼腺</t>
        </is>
      </c>
      <c r="C1628" s="8" t="inlineStr">
        <is>
          <t>材料</t>
        </is>
      </c>
      <c r="D1628" s="8" t="inlineStr">
        <is>
          <t>spirit</t>
        </is>
      </c>
      <c r="E1628" s="8" t="inlineStr">
        <is>
          <t>water</t>
        </is>
      </c>
      <c r="F1628" s="8" t="n">
        <v>1</v>
      </c>
      <c r="G1628" s="8" t="inlineStr">
        <is>
          <t>基础/顶层</t>
        </is>
      </c>
      <c r="H1628" s="8" t="inlineStr"/>
      <c r="I1628" s="9" t="inlineStr"/>
      <c r="J1628" s="8" t="inlineStr"/>
      <c r="K1628" s="8" t="inlineStr"/>
      <c r="L1628" s="8" t="inlineStr"/>
      <c r="M1628" s="8" t="inlineStr">
        <is>
          <t>周期触发</t>
        </is>
      </c>
      <c r="N1628" s="8" t="inlineStr">
        <is>
          <t>periodicPulse</t>
        </is>
      </c>
      <c r="O1628" s="9" t="inlineStr">
        <is>
          <t>轮转时，消耗 12 点法力，对敌方造成 76 点伤害，并最多扣除敌方 20 点法力；敌方法力为 0 时，伤害仍结算；法力不足时不触发</t>
        </is>
      </c>
      <c r="P1628" s="9" t="inlineStr"/>
      <c r="Q1628" s="9" t="inlineStr"/>
      <c r="R1628" s="9" t="inlineStr">
        <is>
          <t>{"kind":"periodicPulse","periodicPulse":{"intervalSec":18,"label":"&lt;battle&gt;轮转时，消耗 12 点法力，对敌方造成 76 点伤害，并最多扣除敌方 20 点法力；敌方法力为 0 时，伤害仍结算；法力不足时不触发&lt;/battle&gt;","primaryStatCosts":[{"stat":"mana","amount":12}],"damageHealth":{"target":"enemy","amount":76},"primaryStatDamages":[{"target":"enemy","stat":"mana","amount":20}]},"executionScope":"beast","visibilityScope":"beast"}</t>
        </is>
      </c>
    </row>
    <row r="1629" ht="32" customHeight="1">
      <c r="A1629" s="8" t="n">
        <v>500448</v>
      </c>
      <c r="B1629" s="8" t="inlineStr">
        <is>
          <t>青铜钩杆节</t>
        </is>
      </c>
      <c r="C1629" s="8" t="inlineStr">
        <is>
          <t>材料</t>
        </is>
      </c>
      <c r="D1629" s="8" t="inlineStr">
        <is>
          <t>spirit</t>
        </is>
      </c>
      <c r="E1629" s="8" t="inlineStr">
        <is>
          <t>metal</t>
        </is>
      </c>
      <c r="F1629" s="8" t="n">
        <v>1</v>
      </c>
      <c r="G1629" s="8" t="inlineStr">
        <is>
          <t>基础/顶层</t>
        </is>
      </c>
      <c r="H1629" s="8" t="inlineStr"/>
      <c r="I1629" s="9" t="inlineStr"/>
      <c r="J1629" s="8" t="inlineStr"/>
      <c r="K1629" s="8" t="inlineStr"/>
      <c r="L1629" s="8" t="inlineStr"/>
      <c r="M1629" s="8" t="inlineStr">
        <is>
          <t>周期触发</t>
        </is>
      </c>
      <c r="N1629" s="8" t="inlineStr">
        <is>
          <t>periodicPulse</t>
        </is>
      </c>
      <c r="O1629" s="9" t="inlineStr">
        <is>
          <t>轮转时，消耗 110 点体力和 48 点法力，对敌方造成 360 点伤害；任一成本不足时不触发</t>
        </is>
      </c>
      <c r="P1629" s="9" t="inlineStr"/>
      <c r="Q1629" s="9" t="inlineStr"/>
      <c r="R1629" s="9" t="inlineStr">
        <is>
          <t>{"kind":"periodicPulse","periodicPulse":{"intervalSec":22,"label":"&lt;battle&gt;轮转时，消耗 110 点体力和 48 点法力，对敌方造成 360 点伤害；任一成本不足时不触发&lt;/battle&gt;","primaryStatCosts":[{"stat":"stamina","amount":110},{"stat":"mana","amount":48}],"damageHealth":{"target":"enemy","amount":360}},"executionScope":"beast","visibilityScope":"beast"}</t>
        </is>
      </c>
    </row>
    <row r="1630" ht="32" customHeight="1">
      <c r="A1630" s="8" t="n">
        <v>500480</v>
      </c>
      <c r="B1630" s="8" t="inlineStr">
        <is>
          <t>铡风前鳍缘</t>
        </is>
      </c>
      <c r="C1630" s="8" t="inlineStr">
        <is>
          <t>材料</t>
        </is>
      </c>
      <c r="D1630" s="8" t="inlineStr">
        <is>
          <t>spirit</t>
        </is>
      </c>
      <c r="E1630" s="8" t="inlineStr">
        <is>
          <t>metal</t>
        </is>
      </c>
      <c r="F1630" s="8" t="n">
        <v>1</v>
      </c>
      <c r="G1630" s="8" t="inlineStr">
        <is>
          <t>基础/顶层</t>
        </is>
      </c>
      <c r="H1630" s="8" t="inlineStr"/>
      <c r="I1630" s="9" t="inlineStr"/>
      <c r="J1630" s="8" t="inlineStr"/>
      <c r="K1630" s="8" t="inlineStr"/>
      <c r="L1630" s="8" t="inlineStr"/>
      <c r="M1630" s="8" t="inlineStr">
        <is>
          <t>周期触发</t>
        </is>
      </c>
      <c r="N1630" s="8" t="inlineStr">
        <is>
          <t>periodicPulse</t>
        </is>
      </c>
      <c r="O1630" s="9" t="inlineStr">
        <is>
          <t>轮转时，自身敏捷不少于 32 层时，消耗 24 点法力和 32 层敏捷，每层敏捷对敌方造成 8 点伤害</t>
        </is>
      </c>
      <c r="P1630" s="9" t="inlineStr"/>
      <c r="Q1630" s="9" t="inlineStr"/>
      <c r="R1630" s="9" t="inlineStr">
        <is>
          <t>{"kind":"periodicPulse","label":"&lt;battle&gt;轮转时，自身敏捷不少于 32 层时，消耗 24 点法力和 32 层敏捷，每层敏捷对敌方造成 8 点伤害&lt;/battle&gt;","periodicPulse":{"intervalSec":12,"label":"&lt;battle&gt;轮转时，自身敏捷不少于 32 层时，消耗 24 点法力和 32 层敏捷，每层敏捷对敌方造成 8 点伤害&lt;/battle&gt;","primaryStatCosts":[{"stat":"mana","amount":24}],"damageHealth":{"target":"enemy","amount":0,"amountPerSourceBuffStack":{"buffId":"agile","valuePerStack":8,"maxStacks":32},"removeSourceBuffStacksAfterDamage":{"buffId":"agile","count":32}}},"activationRequirements":{"buffStackThresholds":[{"buffId":"agile","comparator":"atLeast","count":32}]},"executionScope":"beast","visibilityScope":"beast"}</t>
        </is>
      </c>
    </row>
    <row r="1631" ht="32" customHeight="1">
      <c r="A1631" s="8" t="n">
        <v>500481</v>
      </c>
      <c r="B1631" s="8" t="inlineStr">
        <is>
          <t>亮纹后鳍膜</t>
        </is>
      </c>
      <c r="C1631" s="8" t="inlineStr">
        <is>
          <t>材料</t>
        </is>
      </c>
      <c r="D1631" s="8" t="inlineStr">
        <is>
          <t>spirit</t>
        </is>
      </c>
      <c r="E1631" s="8" t="inlineStr">
        <is>
          <t>water</t>
        </is>
      </c>
      <c r="F1631" s="8" t="n">
        <v>1</v>
      </c>
      <c r="G1631" s="8" t="inlineStr">
        <is>
          <t>基础/顶层</t>
        </is>
      </c>
      <c r="H1631" s="8" t="inlineStr"/>
      <c r="I1631" s="9" t="inlineStr"/>
      <c r="J1631" s="8" t="inlineStr"/>
      <c r="K1631" s="8" t="inlineStr"/>
      <c r="L1631" s="8" t="inlineStr"/>
      <c r="M1631" s="8" t="inlineStr">
        <is>
          <t>周期触发</t>
        </is>
      </c>
      <c r="N1631" s="8" t="inlineStr">
        <is>
          <t>periodicPulse</t>
        </is>
      </c>
      <c r="O1631" s="9" t="inlineStr">
        <is>
          <t>轮转时，恢复自身 24 点体力，获得 12 层寒冷</t>
        </is>
      </c>
      <c r="P1631" s="9" t="inlineStr"/>
      <c r="Q1631" s="9" t="inlineStr"/>
      <c r="R1631" s="9" t="inlineStr">
        <is>
          <t>{"kind":"periodicPulse","periodicPulse":{"intervalSec":10,"label":"轮转时，恢复自身 24 点体力，获得 12 层寒冷","primaryStatGains":[{"stat":"stamina","amount":24}],"buffGains":[{"buffId":"cold","count":12}]},"executionScope":"beast","visibilityScope":"beast"}</t>
        </is>
      </c>
    </row>
    <row r="1632" ht="32" customHeight="1">
      <c r="A1632" s="8" t="n">
        <v>500482</v>
      </c>
      <c r="B1632" s="8" t="inlineStr">
        <is>
          <t>纵裂颚板</t>
        </is>
      </c>
      <c r="C1632" s="8" t="inlineStr">
        <is>
          <t>材料</t>
        </is>
      </c>
      <c r="D1632" s="8" t="inlineStr">
        <is>
          <t>spirit</t>
        </is>
      </c>
      <c r="E1632" s="8" t="inlineStr">
        <is>
          <t>metal</t>
        </is>
      </c>
      <c r="F1632" s="8" t="n">
        <v>1</v>
      </c>
      <c r="G1632" s="8" t="inlineStr">
        <is>
          <t>基础/顶层</t>
        </is>
      </c>
      <c r="H1632" s="8" t="inlineStr"/>
      <c r="I1632" s="9" t="inlineStr"/>
      <c r="J1632" s="8" t="inlineStr"/>
      <c r="K1632" s="8" t="inlineStr"/>
      <c r="L1632" s="8" t="inlineStr"/>
      <c r="M1632" s="8" t="inlineStr">
        <is>
          <t>周期触发</t>
        </is>
      </c>
      <c r="N1632" s="8" t="inlineStr">
        <is>
          <t>periodicPulse</t>
        </is>
      </c>
      <c r="O1632" s="9" t="inlineStr">
        <is>
          <t>轮转时，自身寒冷不少于 12 层时，消耗 20 点体力和 12 层寒冷，每层寒冷对敌方造成 12 点伤害</t>
        </is>
      </c>
      <c r="P1632" s="9" t="inlineStr"/>
      <c r="Q1632" s="9" t="inlineStr"/>
      <c r="R1632" s="9" t="inlineStr">
        <is>
          <t>{"kind":"periodicPulse","label":"&lt;battle&gt;轮转时，自身寒冷不少于 12 层时，消耗 20 点体力和 12 层寒冷，每层寒冷对敌方造成 12 点伤害&lt;/battle&gt;","periodicPulse":{"intervalSec":12,"label":"&lt;battle&gt;轮转时，自身寒冷不少于 12 层时，消耗 20 点体力和 12 层寒冷，每层寒冷对敌方造成 12 点伤害&lt;/battle&gt;","primaryStatCosts":[{"stat":"stamina","amount":20}],"damageHealth":{"target":"enemy","amount":0,"amountPerSourceBuffStack":{"buffId":"cold","valuePerStack":12,"maxStacks":12},"removeSourceBuffStacksAfterDamage":{"buffId":"cold","count":12}}},"activationRequirements":{"buffStackThresholds":[{"buffId":"cold","comparator":"atLeast","count":12}]},"executionScope":"beast","visibilityScope":"beast"}</t>
        </is>
      </c>
    </row>
    <row r="1633" ht="32" customHeight="1">
      <c r="A1633" s="8" t="n">
        <v>500483</v>
      </c>
      <c r="B1633" s="8" t="inlineStr">
        <is>
          <t>靛潮背鳐皮</t>
        </is>
      </c>
      <c r="C1633" s="8" t="inlineStr">
        <is>
          <t>材料</t>
        </is>
      </c>
      <c r="D1633" s="8" t="inlineStr">
        <is>
          <t>spirit</t>
        </is>
      </c>
      <c r="E1633" s="8" t="inlineStr">
        <is>
          <t>water</t>
        </is>
      </c>
      <c r="F1633" s="8" t="n">
        <v>1</v>
      </c>
      <c r="G1633" s="8" t="inlineStr">
        <is>
          <t>基础/顶层</t>
        </is>
      </c>
      <c r="H1633" s="8" t="inlineStr"/>
      <c r="I1633" s="9" t="inlineStr"/>
      <c r="J1633" s="8" t="inlineStr"/>
      <c r="K1633" s="8" t="inlineStr"/>
      <c r="L1633" s="8" t="inlineStr"/>
      <c r="M1633" s="8" t="inlineStr">
        <is>
          <t>周期触发</t>
        </is>
      </c>
      <c r="N1633" s="8" t="inlineStr">
        <is>
          <t>periodicPulse</t>
        </is>
      </c>
      <c r="O1633" s="9" t="inlineStr">
        <is>
          <t>开局时，获得 40 层敏捷</t>
        </is>
      </c>
      <c r="P1633" s="9" t="inlineStr"/>
      <c r="Q1633" s="9" t="inlineStr"/>
      <c r="R1633" s="9" t="inlineStr">
        <is>
          <t>{"kind":"periodicPulse","periodicPulse":{"startOnly":true,"label":"开局时，获得 40 层敏捷","buffGains":[{"buffId":"agile","count":40}]},"executionScope":"beast","visibilityScope":"beast"}</t>
        </is>
      </c>
    </row>
    <row r="1634" ht="32" customHeight="1">
      <c r="A1634" s="8" t="n">
        <v>500484</v>
      </c>
      <c r="B1634" s="8" t="inlineStr">
        <is>
          <t>涡滤鳃瓣</t>
        </is>
      </c>
      <c r="C1634" s="8" t="inlineStr">
        <is>
          <t>材料</t>
        </is>
      </c>
      <c r="D1634" s="8" t="inlineStr">
        <is>
          <t>spirit</t>
        </is>
      </c>
      <c r="E1634" s="8" t="inlineStr">
        <is>
          <t>water</t>
        </is>
      </c>
      <c r="F1634" s="8" t="n">
        <v>1</v>
      </c>
      <c r="G1634" s="8" t="inlineStr">
        <is>
          <t>基础/顶层</t>
        </is>
      </c>
      <c r="H1634" s="8" t="inlineStr"/>
      <c r="I1634" s="9" t="inlineStr"/>
      <c r="J1634" s="8" t="inlineStr"/>
      <c r="K1634" s="8" t="inlineStr"/>
      <c r="L1634" s="8" t="inlineStr"/>
      <c r="M1634" s="8" t="inlineStr">
        <is>
          <t>周期触发</t>
        </is>
      </c>
      <c r="N1634" s="8" t="inlineStr">
        <is>
          <t>periodicPulse</t>
        </is>
      </c>
      <c r="O1634" s="9" t="inlineStr">
        <is>
          <t>轮转时，恢复自身 36 点法力</t>
        </is>
      </c>
      <c r="P1634" s="9" t="inlineStr"/>
      <c r="Q1634" s="9" t="inlineStr"/>
      <c r="R1634" s="9" t="inlineStr">
        <is>
          <t>{"kind":"periodicPulse","periodicPulse":{"intervalSec":10,"label":"轮转时，恢复自身 36 点法力","primaryStatGains":[{"stat":"mana","amount":36}]},"executionScope":"beast","visibilityScope":"beast"}</t>
        </is>
      </c>
    </row>
    <row r="1635" ht="32" customHeight="1">
      <c r="A1635" s="8" t="n">
        <v>500485</v>
      </c>
      <c r="B1635" s="8" t="inlineStr">
        <is>
          <t>镇航铜尾坠</t>
        </is>
      </c>
      <c r="C1635" s="8" t="inlineStr">
        <is>
          <t>材料</t>
        </is>
      </c>
      <c r="D1635" s="8" t="inlineStr">
        <is>
          <t>spirit</t>
        </is>
      </c>
      <c r="E1635" s="8" t="inlineStr">
        <is>
          <t>fire</t>
        </is>
      </c>
      <c r="F1635" s="8" t="n">
        <v>1</v>
      </c>
      <c r="G1635" s="8" t="inlineStr">
        <is>
          <t>基础/顶层</t>
        </is>
      </c>
      <c r="H1635" s="8" t="inlineStr"/>
      <c r="I1635" s="9" t="inlineStr"/>
      <c r="J1635" s="8" t="inlineStr"/>
      <c r="K1635" s="8" t="inlineStr"/>
      <c r="L1635" s="8" t="inlineStr"/>
      <c r="M1635" s="8" t="inlineStr">
        <is>
          <t>周期触发</t>
        </is>
      </c>
      <c r="N1635" s="8" t="inlineStr">
        <is>
          <t>periodicPulse</t>
        </is>
      </c>
      <c r="O1635" s="9" t="inlineStr">
        <is>
          <t>轮转时，消耗 6 点体力，扣除敌方 32 点体力</t>
        </is>
      </c>
      <c r="P1635" s="9" t="inlineStr"/>
      <c r="Q1635" s="9" t="inlineStr"/>
      <c r="R1635" s="9" t="inlineStr">
        <is>
          <t>{"kind":"periodicPulse","periodicPulse":{"intervalSec":12,"primaryStatCosts":[{"stat":"stamina","amount":6}],"label":"&lt;battle&gt;轮转时，消耗 6 点体力，扣除敌方 32 点体力&lt;/battle&gt;","primaryStatDamages":[{"target":"enemy","stat":"stamina","amount":32}]},"executionScope":"beast","visibilityScope":"beast"}</t>
        </is>
      </c>
    </row>
    <row r="1636" ht="32" customHeight="1">
      <c r="A1636" s="8" t="n">
        <v>500486</v>
      </c>
      <c r="B1636" s="8" t="inlineStr">
        <is>
          <t>腹脊弹筋</t>
        </is>
      </c>
      <c r="C1636" s="8" t="inlineStr">
        <is>
          <t>材料</t>
        </is>
      </c>
      <c r="D1636" s="8" t="inlineStr">
        <is>
          <t>spirit</t>
        </is>
      </c>
      <c r="E1636" s="8" t="inlineStr">
        <is>
          <t>wood</t>
        </is>
      </c>
      <c r="F1636" s="8" t="n">
        <v>1</v>
      </c>
      <c r="G1636" s="8" t="inlineStr">
        <is>
          <t>基础/顶层</t>
        </is>
      </c>
      <c r="H1636" s="8" t="inlineStr"/>
      <c r="I1636" s="9" t="inlineStr"/>
      <c r="J1636" s="8" t="inlineStr"/>
      <c r="K1636" s="8" t="inlineStr"/>
      <c r="L1636" s="8" t="inlineStr"/>
      <c r="M1636" s="8" t="inlineStr">
        <is>
          <t>周期触发</t>
        </is>
      </c>
      <c r="N1636" s="8" t="inlineStr">
        <is>
          <t>periodicPulse</t>
        </is>
      </c>
      <c r="O1636" s="9" t="inlineStr">
        <is>
          <t>轮转时，将 12 点法力转化为自身 80 点气血</t>
        </is>
      </c>
      <c r="P1636" s="9" t="inlineStr"/>
      <c r="Q1636" s="9" t="inlineStr"/>
      <c r="R1636" s="9" t="inlineStr">
        <is>
          <t>{"kind":"periodicPulse","periodicPulse":{"intervalSec":12,"label":"&lt;battle&gt;轮转时，将 12 点法力转化为自身 80 点气血&lt;/battle&gt;","primaryStatCosts":[{"stat":"mana","amount":12}],"primaryStatGains":[{"stat":"health","amount":80}]},"executionScope":"beast","visibilityScope":"beast"}</t>
        </is>
      </c>
    </row>
    <row r="1637" ht="32" customHeight="1">
      <c r="A1637" s="8" t="n">
        <v>500487</v>
      </c>
      <c r="B1637" s="8" t="inlineStr">
        <is>
          <t>落地鳍趾</t>
        </is>
      </c>
      <c r="C1637" s="8" t="inlineStr">
        <is>
          <t>材料</t>
        </is>
      </c>
      <c r="D1637" s="8" t="inlineStr">
        <is>
          <t>spirit</t>
        </is>
      </c>
      <c r="E1637" s="8" t="inlineStr">
        <is>
          <t>earth</t>
        </is>
      </c>
      <c r="F1637" s="8" t="n">
        <v>1</v>
      </c>
      <c r="G1637" s="8" t="inlineStr">
        <is>
          <t>基础/顶层</t>
        </is>
      </c>
      <c r="H1637" s="8" t="inlineStr"/>
      <c r="I1637" s="9" t="inlineStr"/>
      <c r="J1637" s="8" t="inlineStr"/>
      <c r="K1637" s="8" t="inlineStr"/>
      <c r="L1637" s="8" t="inlineStr"/>
      <c r="M1637" s="8" t="inlineStr">
        <is>
          <t>周期触发</t>
        </is>
      </c>
      <c r="N1637" s="8" t="inlineStr">
        <is>
          <t>periodicPulse</t>
        </is>
      </c>
      <c r="O1637" s="9" t="inlineStr">
        <is>
          <t>轮转时，自身敏捷不少于 8 层时，消耗 12 点体力和 8 层敏捷，每层敏捷对敌方造成 10 点伤害</t>
        </is>
      </c>
      <c r="P1637" s="9" t="inlineStr"/>
      <c r="Q1637" s="9" t="inlineStr"/>
      <c r="R1637" s="9" t="inlineStr">
        <is>
          <t>{"kind":"periodicPulse","label":"&lt;battle&gt;轮转时，自身敏捷不少于 8 层时，消耗 12 点体力和 8 层敏捷，每层敏捷对敌方造成 10 点伤害&lt;/battle&gt;","periodicPulse":{"intervalSec":12,"label":"&lt;battle&gt;轮转时，自身敏捷不少于 8 层时，消耗 12 点体力和 8 层敏捷，每层敏捷对敌方造成 10 点伤害&lt;/battle&gt;","primaryStatCosts":[{"stat":"stamina","amount":12}],"damageHealth":{"target":"enemy","amount":0,"amountPerSourceBuffStack":{"buffId":"agile","valuePerStack":10,"maxStacks":8},"removeSourceBuffStacksAfterDamage":{"buffId":"agile","count":8}}},"activationRequirements":{"buffStackThresholds":[{"buffId":"agile","comparator":"atLeast","count":8}]},"executionScope":"beast","visibilityScope":"beast"}</t>
        </is>
      </c>
    </row>
    <row r="1638" ht="32" customHeight="1">
      <c r="A1638" s="8" t="n">
        <v>500488</v>
      </c>
      <c r="B1638" s="8" t="inlineStr">
        <is>
          <t>铡刃翼骨片</t>
        </is>
      </c>
      <c r="C1638" s="8" t="inlineStr">
        <is>
          <t>材料</t>
        </is>
      </c>
      <c r="D1638" s="8" t="inlineStr">
        <is>
          <t>spirit</t>
        </is>
      </c>
      <c r="E1638" s="8" t="inlineStr">
        <is>
          <t>metal</t>
        </is>
      </c>
      <c r="F1638" s="8" t="n">
        <v>1</v>
      </c>
      <c r="G1638" s="8" t="inlineStr">
        <is>
          <t>基础/顶层</t>
        </is>
      </c>
      <c r="H1638" s="8" t="inlineStr"/>
      <c r="I1638" s="9" t="inlineStr"/>
      <c r="J1638" s="8" t="inlineStr"/>
      <c r="K1638" s="8" t="inlineStr"/>
      <c r="L1638" s="8" t="inlineStr"/>
      <c r="M1638" s="8" t="inlineStr">
        <is>
          <t>周期触发</t>
        </is>
      </c>
      <c r="N1638" s="8" t="inlineStr">
        <is>
          <t>periodicPulse</t>
        </is>
      </c>
      <c r="O1638" s="9" t="inlineStr">
        <is>
          <t>轮转时，将 8 点体力转化为 32 层敏捷</t>
        </is>
      </c>
      <c r="P1638" s="9" t="inlineStr"/>
      <c r="Q1638" s="9" t="inlineStr"/>
      <c r="R1638" s="9" t="inlineStr">
        <is>
          <t>{"kind":"periodicPulse","periodicPulse":{"intervalSec":10,"label":"轮转时，将 8 点体力转化为 32 层敏捷","primaryStatCosts":[{"stat":"stamina","amount":8}],"buffGains":[{"buffId":"agile","count":32}]},"executionScope":"beast","visibilityScope":"beast"}</t>
        </is>
      </c>
    </row>
    <row r="1639" ht="32" customHeight="1">
      <c r="A1639" s="8" t="n">
        <v>500520</v>
      </c>
      <c r="B1639" s="8" t="inlineStr">
        <is>
          <t>折节长喙</t>
        </is>
      </c>
      <c r="C1639" s="8" t="inlineStr">
        <is>
          <t>材料</t>
        </is>
      </c>
      <c r="D1639" s="8" t="inlineStr">
        <is>
          <t>spirit</t>
        </is>
      </c>
      <c r="E1639" s="8" t="inlineStr">
        <is>
          <t>metal</t>
        </is>
      </c>
      <c r="F1639" s="8" t="n">
        <v>1</v>
      </c>
      <c r="G1639" s="8" t="inlineStr">
        <is>
          <t>基础/顶层</t>
        </is>
      </c>
      <c r="H1639" s="8" t="inlineStr"/>
      <c r="I1639" s="9" t="inlineStr"/>
      <c r="J1639" s="8" t="inlineStr"/>
      <c r="K1639" s="8" t="inlineStr"/>
      <c r="L1639" s="8" t="inlineStr"/>
      <c r="M1639" s="8" t="inlineStr">
        <is>
          <t>周期触发</t>
        </is>
      </c>
      <c r="N1639" s="8" t="inlineStr">
        <is>
          <t>periodicPulse</t>
        </is>
      </c>
      <c r="O1639" s="9" t="inlineStr">
        <is>
          <t>轮转时，消耗 10 点体力；敏捷不少于 9 层时，再消耗 9 层敏捷，对敌方造成 120 点伤害</t>
        </is>
      </c>
      <c r="P1639" s="9" t="inlineStr"/>
      <c r="Q1639" s="9" t="inlineStr">
        <is>
          <t>sourceBuffStacksGreaterThan</t>
        </is>
      </c>
      <c r="R1639" s="9" t="inlineStr">
        <is>
          <t>{"kind":"periodicPulse","periodicPulse":{"intervalSec":12,"label":"&lt;battle&gt;轮转时，消耗 10 点体力；敏捷不少于 9 层时，再消耗 9 层敏捷，对敌方造成 120 点伤害&lt;/battle&gt;","battleCondition":{"type":"sourceBuffStacksGreaterThan","buffId":"agile","count":8},"primaryStatCosts":[{"stat":"stamina","amount":10}],"damageHealth":{"target":"enemy","amount":120,"removeSourceBuffStacksAfterDamage":{"buffId":"agile","count":9}}},"executionScope":"beast","visibilityScope":"beast"}</t>
        </is>
      </c>
    </row>
    <row r="1640" ht="32" customHeight="1">
      <c r="A1640" s="8" t="n">
        <v>500521</v>
      </c>
      <c r="B1640" s="8" t="inlineStr">
        <is>
          <t>苇芯枪杆</t>
        </is>
      </c>
      <c r="C1640" s="8" t="inlineStr">
        <is>
          <t>材料</t>
        </is>
      </c>
      <c r="D1640" s="8" t="inlineStr">
        <is>
          <t>spirit</t>
        </is>
      </c>
      <c r="E1640" s="8" t="inlineStr">
        <is>
          <t>wood</t>
        </is>
      </c>
      <c r="F1640" s="8" t="n">
        <v>1</v>
      </c>
      <c r="G1640" s="8" t="inlineStr">
        <is>
          <t>基础/顶层</t>
        </is>
      </c>
      <c r="H1640" s="8" t="inlineStr"/>
      <c r="I1640" s="9" t="inlineStr"/>
      <c r="J1640" s="8" t="inlineStr"/>
      <c r="K1640" s="8" t="inlineStr"/>
      <c r="L1640" s="8" t="inlineStr"/>
      <c r="M1640" s="8" t="inlineStr">
        <is>
          <t>周期触发</t>
        </is>
      </c>
      <c r="N1640" s="8" t="inlineStr">
        <is>
          <t>periodicPulse</t>
        </is>
      </c>
      <c r="O1640" s="9" t="inlineStr">
        <is>
          <t>轮转时，恢复自身 76 点体力</t>
        </is>
      </c>
      <c r="P1640" s="9" t="inlineStr"/>
      <c r="Q1640" s="9" t="inlineStr"/>
      <c r="R1640" s="9" t="inlineStr">
        <is>
          <t>{"kind":"periodicPulse","periodicPulse":{"intervalSec":12,"label":"&lt;battle&gt;轮转时，恢复自身 76 点体力&lt;/battle&gt;","primaryStatGains":[{"stat":"stamina","amount":76}]},"executionScope":"beast","visibilityScope":"beast"}</t>
        </is>
      </c>
    </row>
    <row r="1641" ht="32" customHeight="1">
      <c r="A1641" s="8" t="n">
        <v>500522</v>
      </c>
      <c r="B1641" s="8" t="inlineStr">
        <is>
          <t>芦编护胸羽</t>
        </is>
      </c>
      <c r="C1641" s="8" t="inlineStr">
        <is>
          <t>材料</t>
        </is>
      </c>
      <c r="D1641" s="8" t="inlineStr">
        <is>
          <t>spirit</t>
        </is>
      </c>
      <c r="E1641" s="8" t="inlineStr">
        <is>
          <t>earth</t>
        </is>
      </c>
      <c r="F1641" s="8" t="n">
        <v>1</v>
      </c>
      <c r="G1641" s="8" t="inlineStr">
        <is>
          <t>基础/顶层</t>
        </is>
      </c>
      <c r="H1641" s="8" t="inlineStr"/>
      <c r="I1641" s="9" t="inlineStr"/>
      <c r="J1641" s="8" t="inlineStr"/>
      <c r="K1641" s="8" t="inlineStr"/>
      <c r="L1641" s="8" t="inlineStr"/>
      <c r="M1641" s="8" t="inlineStr">
        <is>
          <t>周期触发</t>
        </is>
      </c>
      <c r="N1641" s="8" t="inlineStr">
        <is>
          <t>periodicPulse</t>
        </is>
      </c>
      <c r="O1641" s="9" t="inlineStr">
        <is>
          <t>开局时，获得 46 层敏捷和 48 层寒冷，寒冷持续 40 秒</t>
        </is>
      </c>
      <c r="P1641" s="9" t="inlineStr"/>
      <c r="Q1641" s="9" t="inlineStr"/>
      <c r="R1641" s="9" t="inlineStr">
        <is>
          <t>{"kind":"periodicPulse","periodicPulse":{"startOnly":true,"label":"&lt;battle&gt;开局时，获得 46 层敏捷和 48 层寒冷，寒冷持续 40 秒&lt;/battle&gt;","buffGains":[{"buffId":"agile","count":46},{"buffId":"cold","count":48,"durationMs":40000}]},"executionScope":"beast","visibilityScope":"beast"}</t>
        </is>
      </c>
    </row>
    <row r="1642" ht="32" customHeight="1">
      <c r="A1642" s="8" t="n">
        <v>500523</v>
      </c>
      <c r="B1642" s="8" t="inlineStr">
        <is>
          <t>掠水翼根羽</t>
        </is>
      </c>
      <c r="C1642" s="8" t="inlineStr">
        <is>
          <t>材料</t>
        </is>
      </c>
      <c r="D1642" s="8" t="inlineStr">
        <is>
          <t>spirit</t>
        </is>
      </c>
      <c r="E1642" s="8" t="inlineStr">
        <is>
          <t>wood</t>
        </is>
      </c>
      <c r="F1642" s="8" t="n">
        <v>1</v>
      </c>
      <c r="G1642" s="8" t="inlineStr">
        <is>
          <t>基础/顶层</t>
        </is>
      </c>
      <c r="H1642" s="8" t="inlineStr"/>
      <c r="I1642" s="9" t="inlineStr"/>
      <c r="J1642" s="8" t="inlineStr"/>
      <c r="K1642" s="8" t="inlineStr"/>
      <c r="L1642" s="8" t="inlineStr"/>
      <c r="M1642" s="8" t="inlineStr">
        <is>
          <t>周期触发</t>
        </is>
      </c>
      <c r="N1642" s="8" t="inlineStr">
        <is>
          <t>periodicPulse</t>
        </is>
      </c>
      <c r="O1642" s="9" t="inlineStr">
        <is>
          <t>轮转时，将 50 点体力转化为 30 层闪避和 22 层护甲</t>
        </is>
      </c>
      <c r="P1642" s="9" t="inlineStr"/>
      <c r="Q1642" s="9" t="inlineStr"/>
      <c r="R1642" s="9" t="inlineStr">
        <is>
          <t>{"kind":"periodicPulse","periodicPulse":{"intervalSec":15,"label":"&lt;battle&gt;轮转时，将 50 点体力转化为 30 层闪避和 22 层护甲&lt;/battle&gt;","primaryStatCosts":[{"stat":"stamina","amount":50}],"buffGains":[{"buffId":"dodge","count":30},{"buffId":"armor","count":22}]},"executionScope":"beast","visibilityScope":"beast"}</t>
        </is>
      </c>
    </row>
    <row r="1643" ht="32" customHeight="1">
      <c r="A1643" s="8" t="n">
        <v>500524</v>
      </c>
      <c r="B1643" s="8" t="inlineStr">
        <is>
          <t>浅沼阔蹼膜</t>
        </is>
      </c>
      <c r="C1643" s="8" t="inlineStr">
        <is>
          <t>材料</t>
        </is>
      </c>
      <c r="D1643" s="8" t="inlineStr">
        <is>
          <t>spirit</t>
        </is>
      </c>
      <c r="E1643" s="8" t="inlineStr">
        <is>
          <t>water</t>
        </is>
      </c>
      <c r="F1643" s="8" t="n">
        <v>1</v>
      </c>
      <c r="G1643" s="8" t="inlineStr">
        <is>
          <t>基础/顶层</t>
        </is>
      </c>
      <c r="H1643" s="8" t="inlineStr"/>
      <c r="I1643" s="9" t="inlineStr"/>
      <c r="J1643" s="8" t="inlineStr"/>
      <c r="K1643" s="8" t="inlineStr"/>
      <c r="L1643" s="8" t="inlineStr"/>
      <c r="M1643" s="8" t="inlineStr">
        <is>
          <t>周期触发</t>
        </is>
      </c>
      <c r="N1643" s="8" t="inlineStr">
        <is>
          <t>periodicPulse</t>
        </is>
      </c>
      <c r="O1643" s="9" t="inlineStr">
        <is>
          <t>轮转时，将 40 点体力转化为 28 层敏捷和 16 层寒冷，寒冷持续 40 秒</t>
        </is>
      </c>
      <c r="P1643" s="9" t="inlineStr"/>
      <c r="Q1643" s="9" t="inlineStr"/>
      <c r="R1643" s="9" t="inlineStr">
        <is>
          <t>{"kind":"periodicPulse","periodicPulse":{"intervalSec":18,"label":"&lt;battle&gt;轮转时，将 40 点体力转化为 28 层敏捷和 16 层寒冷，寒冷持续 40 秒&lt;/battle&gt;","primaryStatCosts":[{"stat":"stamina","amount":40}],"buffGains":[{"buffId":"agile","count":28},{"buffId":"cold","count":16,"durationMs":40000}]},"executionScope":"beast","visibilityScope":"beast"}</t>
        </is>
      </c>
    </row>
    <row r="1644" ht="32" customHeight="1">
      <c r="A1644" s="8" t="n">
        <v>500525</v>
      </c>
      <c r="B1644" s="8" t="inlineStr">
        <is>
          <t>曲颈韧筋</t>
        </is>
      </c>
      <c r="C1644" s="8" t="inlineStr">
        <is>
          <t>材料</t>
        </is>
      </c>
      <c r="D1644" s="8" t="inlineStr">
        <is>
          <t>spirit</t>
        </is>
      </c>
      <c r="E1644" s="8" t="inlineStr">
        <is>
          <t>none</t>
        </is>
      </c>
      <c r="F1644" s="8" t="n">
        <v>1</v>
      </c>
      <c r="G1644" s="8" t="inlineStr">
        <is>
          <t>基础/顶层</t>
        </is>
      </c>
      <c r="H1644" s="8" t="inlineStr"/>
      <c r="I1644" s="9" t="inlineStr"/>
      <c r="J1644" s="8" t="inlineStr"/>
      <c r="K1644" s="8" t="inlineStr"/>
      <c r="L1644" s="8" t="inlineStr"/>
      <c r="M1644" s="8" t="inlineStr">
        <is>
          <t>周期触发</t>
        </is>
      </c>
      <c r="N1644" s="8" t="inlineStr">
        <is>
          <t>periodicPulse</t>
        </is>
      </c>
      <c r="O1644" s="9" t="inlineStr">
        <is>
          <t>轮转时，消耗 15 点体力；寒冷不少于 8 层时，再消耗 8 层寒冷，对敌方造成 66 点伤害并施加 6 层麻痹</t>
        </is>
      </c>
      <c r="P1644" s="9" t="inlineStr"/>
      <c r="Q1644" s="9" t="inlineStr">
        <is>
          <t>sourceBuffStacksGreaterThan</t>
        </is>
      </c>
      <c r="R1644" s="9" t="inlineStr">
        <is>
          <t>{"kind":"periodicPulse","periodicPulse":{"intervalSec":18,"label":"&lt;battle&gt;轮转时，消耗 15 点体力；寒冷不少于 8 层时，再消耗 8 层寒冷，对敌方造成 66 点伤害并施加 6 层麻痹&lt;/battle&gt;","battleCondition":{"type":"sourceBuffStacksGreaterThan","buffId":"cold","count":7},"primaryStatCosts":[{"stat":"stamina","amount":15}],"damageHealth":{"target":"enemy","amount":66,"removeSourceBuffStacksAfterDamage":{"buffId":"cold","count":8}},"buffGains":[{"buffId":"paralysis","count":6,"target":"enemy"}]},"executionScope":"beast","visibilityScope":"beast"}</t>
        </is>
      </c>
    </row>
    <row r="1645" ht="32" customHeight="1">
      <c r="A1645" s="8" t="n">
        <v>500526</v>
      </c>
      <c r="B1645" s="8" t="inlineStr">
        <is>
          <t>苇鹭鸣喉囊</t>
        </is>
      </c>
      <c r="C1645" s="8" t="inlineStr">
        <is>
          <t>材料</t>
        </is>
      </c>
      <c r="D1645" s="8" t="inlineStr">
        <is>
          <t>spirit</t>
        </is>
      </c>
      <c r="E1645" s="8" t="inlineStr">
        <is>
          <t>water</t>
        </is>
      </c>
      <c r="F1645" s="8" t="n">
        <v>1</v>
      </c>
      <c r="G1645" s="8" t="inlineStr">
        <is>
          <t>基础/顶层</t>
        </is>
      </c>
      <c r="H1645" s="8" t="inlineStr"/>
      <c r="I1645" s="9" t="inlineStr"/>
      <c r="J1645" s="8" t="inlineStr"/>
      <c r="K1645" s="8" t="inlineStr"/>
      <c r="L1645" s="8" t="inlineStr"/>
      <c r="M1645" s="8" t="inlineStr">
        <is>
          <t>周期触发</t>
        </is>
      </c>
      <c r="N1645" s="8" t="inlineStr">
        <is>
          <t>periodicPulse</t>
        </is>
      </c>
      <c r="O1645" s="9" t="inlineStr">
        <is>
          <t>轮转时，消耗 60 点体力，移除敌方 20 层护甲并扣除 180 点体力</t>
        </is>
      </c>
      <c r="P1645" s="9" t="inlineStr"/>
      <c r="Q1645" s="9" t="inlineStr"/>
      <c r="R1645" s="9" t="inlineStr">
        <is>
          <t>{"kind":"periodicPulse","periodicPulse":{"intervalSec":15,"primaryStatCosts":[{"stat":"stamina","amount":60}],"label":"&lt;battle&gt;轮转时，消耗 60 点体力，移除敌方 20 层护甲并扣除 180 点体力&lt;/battle&gt;","removeBuffStacks":[{"target":"enemy","buffId":"armor","count":20}],"primaryStatDamages":[{"target":"enemy","stat":"stamina","amount":180}]},"executionScope":"beast","visibilityScope":"beast"}</t>
        </is>
      </c>
    </row>
    <row r="1646" ht="32" customHeight="1">
      <c r="A1646" s="8" t="n">
        <v>500594</v>
      </c>
      <c r="B1646" s="8" t="inlineStr">
        <is>
          <t>长趾绳腱</t>
        </is>
      </c>
      <c r="C1646" s="8" t="inlineStr">
        <is>
          <t>材料</t>
        </is>
      </c>
      <c r="D1646" s="8" t="inlineStr">
        <is>
          <t>spirit</t>
        </is>
      </c>
      <c r="E1646" s="8" t="inlineStr">
        <is>
          <t>wood</t>
        </is>
      </c>
      <c r="F1646" s="8" t="n">
        <v>1</v>
      </c>
      <c r="G1646" s="8" t="inlineStr">
        <is>
          <t>基础/顶层</t>
        </is>
      </c>
      <c r="H1646" s="8" t="inlineStr"/>
      <c r="I1646" s="9" t="inlineStr"/>
      <c r="J1646" s="8" t="inlineStr"/>
      <c r="K1646" s="8" t="inlineStr"/>
      <c r="L1646" s="8" t="inlineStr"/>
      <c r="M1646" s="8" t="inlineStr">
        <is>
          <t>周期触发</t>
        </is>
      </c>
      <c r="N1646" s="8" t="inlineStr">
        <is>
          <t>periodicPulse</t>
        </is>
      </c>
      <c r="O1646" s="9" t="inlineStr">
        <is>
          <t>轮转时，恢复自身 40 点法力</t>
        </is>
      </c>
      <c r="P1646" s="9" t="inlineStr"/>
      <c r="Q1646" s="9" t="inlineStr"/>
      <c r="R1646" s="9" t="inlineStr">
        <is>
          <t>{"kind":"periodicPulse","periodicPulse":{"intervalSec":12,"label":"轮转时，恢复自身 40 点法力","primaryStatGains":[{"stat":"mana","amount":40}]},"executionScope":"beast","visibilityScope":"beast"}</t>
        </is>
      </c>
    </row>
    <row r="1647" ht="32" customHeight="1">
      <c r="A1647" s="8" t="n">
        <v>500595</v>
      </c>
      <c r="B1647" s="8" t="inlineStr">
        <is>
          <t>丹睛环羽</t>
        </is>
      </c>
      <c r="C1647" s="8" t="inlineStr">
        <is>
          <t>材料</t>
        </is>
      </c>
      <c r="D1647" s="8" t="inlineStr">
        <is>
          <t>spirit</t>
        </is>
      </c>
      <c r="E1647" s="8" t="inlineStr">
        <is>
          <t>fire</t>
        </is>
      </c>
      <c r="F1647" s="8" t="n">
        <v>1</v>
      </c>
      <c r="G1647" s="8" t="inlineStr">
        <is>
          <t>基础/顶层</t>
        </is>
      </c>
      <c r="H1647" s="8" t="inlineStr"/>
      <c r="I1647" s="9" t="inlineStr"/>
      <c r="J1647" s="8" t="inlineStr"/>
      <c r="K1647" s="8" t="inlineStr"/>
      <c r="L1647" s="8" t="inlineStr"/>
      <c r="M1647" s="8" t="inlineStr">
        <is>
          <t>周期触发</t>
        </is>
      </c>
      <c r="N1647" s="8" t="inlineStr">
        <is>
          <t>periodicPulse</t>
        </is>
      </c>
      <c r="O1647" s="9" t="inlineStr">
        <is>
          <t>轮转时，将 50 点法力转化为自身 180 点气血</t>
        </is>
      </c>
      <c r="P1647" s="9" t="inlineStr"/>
      <c r="Q1647" s="9" t="inlineStr"/>
      <c r="R1647" s="9" t="inlineStr">
        <is>
          <t>{"kind":"periodicPulse","periodicPulse":{"intervalSec":20,"label":"轮转时，将 50 点法力转化为自身 180 点气血","primaryStatCosts":[{"stat":"mana","amount":50}],"primaryStatGains":[{"stat":"health","amount":180}]},"executionScope":"beast","visibilityScope":"beast"}</t>
        </is>
      </c>
    </row>
    <row r="1648" ht="32" customHeight="1">
      <c r="A1648" s="8" t="n">
        <v>500615</v>
      </c>
      <c r="B1648" s="8" t="inlineStr">
        <is>
          <t>铁扣羚心</t>
        </is>
      </c>
      <c r="C1648" s="8" t="inlineStr">
        <is>
          <t>材料</t>
        </is>
      </c>
      <c r="D1648" s="8" t="inlineStr">
        <is>
          <t>spirit</t>
        </is>
      </c>
      <c r="E1648" s="8" t="inlineStr">
        <is>
          <t>fire</t>
        </is>
      </c>
      <c r="F1648" s="8" t="n">
        <v>1</v>
      </c>
      <c r="G1648" s="8" t="inlineStr">
        <is>
          <t>基础/顶层</t>
        </is>
      </c>
      <c r="H1648" s="8" t="inlineStr"/>
      <c r="I1648" s="9" t="inlineStr"/>
      <c r="J1648" s="8" t="inlineStr"/>
      <c r="K1648" s="8" t="inlineStr"/>
      <c r="L1648" s="8" t="inlineStr"/>
      <c r="M1648" s="8" t="inlineStr">
        <is>
          <t>周期触发</t>
        </is>
      </c>
      <c r="N1648" s="8" t="inlineStr">
        <is>
          <t>periodicPulse</t>
        </is>
      </c>
      <c r="O1648" s="9" t="inlineStr">
        <is>
          <t>轮转时，自身至少有 6 层凝金时，最多消耗 12 层凝金，每消耗 1 层凝金，对敌方造成 7 点伤害</t>
        </is>
      </c>
      <c r="P1648" s="9" t="inlineStr">
        <is>
          <t>onPeriodicPulse</t>
        </is>
      </c>
      <c r="Q1648" s="9" t="inlineStr">
        <is>
          <t>consumeBuffStacks</t>
        </is>
      </c>
      <c r="R1648" s="9" t="inlineStr">
        <is>
          <t>{"kind":"periodicPulse","periodicPulse":{"intervalSec":12,"label":"轮转时，自身至少有 6 层凝金时，最多消耗 12 层凝金，&lt;battle&gt;每消耗 1 层凝金，对敌方造成 7 点伤害&lt;/battle&gt;"},"executors":[{"trigger":"onPeriodicPulse","type":"consumeBuffStacks","sourceBuffId":"condensedMetal","requiredStacks":6,"maxStacks":12,"battleDamageHealthPerStack":7,"support":"battleOnly"}],"executionScope":"beast","visibilityScope":"beast"}</t>
        </is>
      </c>
    </row>
    <row r="1649" ht="32" customHeight="1">
      <c r="A1649" s="8" t="n">
        <v>500616</v>
      </c>
      <c r="B1649" s="8" t="inlineStr">
        <is>
          <t>对极铁砂</t>
        </is>
      </c>
      <c r="C1649" s="8" t="inlineStr">
        <is>
          <t>材料</t>
        </is>
      </c>
      <c r="D1649" s="8" t="inlineStr">
        <is>
          <t>spirit</t>
        </is>
      </c>
      <c r="E1649" s="8" t="inlineStr">
        <is>
          <t>metal</t>
        </is>
      </c>
      <c r="F1649" s="8" t="n">
        <v>1</v>
      </c>
      <c r="G1649" s="8" t="inlineStr">
        <is>
          <t>基础/顶层</t>
        </is>
      </c>
      <c r="H1649" s="8" t="inlineStr"/>
      <c r="I1649" s="9" t="inlineStr"/>
      <c r="J1649" s="8" t="inlineStr"/>
      <c r="K1649" s="8" t="inlineStr"/>
      <c r="L1649" s="8" t="inlineStr"/>
      <c r="M1649" s="8" t="inlineStr">
        <is>
          <t>周期触发</t>
        </is>
      </c>
      <c r="N1649" s="8" t="inlineStr">
        <is>
          <t>periodicPulse</t>
        </is>
      </c>
      <c r="O1649" s="9" t="inlineStr">
        <is>
          <t>轮转时，消耗 10 点体力，对敌方造成 144 点伤害</t>
        </is>
      </c>
      <c r="P1649" s="9" t="inlineStr"/>
      <c r="Q1649" s="9" t="inlineStr"/>
      <c r="R1649" s="9" t="inlineStr">
        <is>
          <t>{"kind":"periodicPulse","periodicPulse":{"intervalSec":18,"label":"轮转时，消耗 10 点体力，&lt;battle&gt;对敌方造成 144 点伤害&lt;/battle&gt;","primaryStatCosts":[{"stat":"stamina","amount":10}],"damageHealth":{"target":"enemy","amount":144}},"executionScope":"beast","visibilityScope":"beast"}</t>
        </is>
      </c>
    </row>
    <row r="1650" ht="32" customHeight="1">
      <c r="A1650" s="8" t="n">
        <v>500617</v>
      </c>
      <c r="B1650" s="8" t="inlineStr">
        <is>
          <t>羚蹄锁链</t>
        </is>
      </c>
      <c r="C1650" s="8" t="inlineStr">
        <is>
          <t>材料</t>
        </is>
      </c>
      <c r="D1650" s="8" t="inlineStr">
        <is>
          <t>spirit</t>
        </is>
      </c>
      <c r="E1650" s="8" t="inlineStr">
        <is>
          <t>earth</t>
        </is>
      </c>
      <c r="F1650" s="8" t="n">
        <v>1</v>
      </c>
      <c r="G1650" s="8" t="inlineStr">
        <is>
          <t>基础/顶层</t>
        </is>
      </c>
      <c r="H1650" s="8" t="inlineStr"/>
      <c r="I1650" s="9" t="inlineStr"/>
      <c r="J1650" s="8" t="inlineStr"/>
      <c r="K1650" s="8" t="inlineStr"/>
      <c r="L1650" s="8" t="inlineStr"/>
      <c r="M1650" s="8" t="inlineStr">
        <is>
          <t>周期触发</t>
        </is>
      </c>
      <c r="N1650" s="8" t="inlineStr">
        <is>
          <t>periodicPulse</t>
        </is>
      </c>
      <c r="O1650" s="9" t="inlineStr">
        <is>
          <t>轮转时，消耗 2 点体力，扣除敌方 16 点体力</t>
        </is>
      </c>
      <c r="P1650" s="9" t="inlineStr"/>
      <c r="Q1650" s="9" t="inlineStr"/>
      <c r="R1650" s="9" t="inlineStr">
        <is>
          <t>{"kind":"periodicPulse","periodicPulse":{"intervalSec":18,"primaryStatCosts":[{"stat":"stamina","amount":2}],"label":"轮转时，消耗 2 点体力，&lt;battle&gt;扣除敌方 16 点体力&lt;/battle&gt;","primaryStatDamages":[{"target":"enemy","stat":"stamina","amount":16}]},"executionScope":"beast","visibilityScope":"beast"}</t>
        </is>
      </c>
    </row>
    <row r="1651" ht="32" customHeight="1">
      <c r="A1651" s="8" t="n">
        <v>500626</v>
      </c>
      <c r="B1651" s="8" t="inlineStr">
        <is>
          <t>腹鳞皮条</t>
        </is>
      </c>
      <c r="C1651" s="8" t="inlineStr">
        <is>
          <t>材料</t>
        </is>
      </c>
      <c r="D1651" s="8" t="inlineStr">
        <is>
          <t>spirit</t>
        </is>
      </c>
      <c r="E1651" s="8" t="inlineStr">
        <is>
          <t>earth</t>
        </is>
      </c>
      <c r="F1651" s="8" t="n">
        <v>1</v>
      </c>
      <c r="G1651" s="8" t="inlineStr">
        <is>
          <t>基础/顶层</t>
        </is>
      </c>
      <c r="H1651" s="8" t="inlineStr"/>
      <c r="I1651" s="9" t="inlineStr"/>
      <c r="J1651" s="8" t="inlineStr"/>
      <c r="K1651" s="8" t="inlineStr"/>
      <c r="L1651" s="8" t="inlineStr"/>
      <c r="M1651" s="8" t="inlineStr">
        <is>
          <t>周期触发</t>
        </is>
      </c>
      <c r="N1651" s="8" t="inlineStr">
        <is>
          <t>periodicPulse</t>
        </is>
      </c>
      <c r="O1651" s="9" t="inlineStr">
        <is>
          <t>轮转时，消耗 6 点法力，连续 2 次对敌方造成 30 点伤害</t>
        </is>
      </c>
      <c r="P1651" s="9" t="inlineStr"/>
      <c r="Q1651" s="9" t="inlineStr"/>
      <c r="R1651" s="9" t="inlineStr">
        <is>
          <t>{"kind":"periodicPulse","periodicPulse":{"intervalSec":8,"label":"&lt;battle&gt;轮转时，消耗 6 点法力，连续 2 次对敌方造成 30 点伤害&lt;/battle&gt;","primaryStatCosts":[{"stat":"mana","amount":6}],"damageHealth":{"target":"enemy","amount":30,"repeatCount":2}},"executionScope":"beast","visibilityScope":"beast"}</t>
        </is>
      </c>
    </row>
    <row r="1652" ht="32" customHeight="1">
      <c r="A1652" s="8" t="n">
        <v>500627</v>
      </c>
      <c r="B1652" s="8" t="inlineStr">
        <is>
          <t>张褶棘</t>
        </is>
      </c>
      <c r="C1652" s="8" t="inlineStr">
        <is>
          <t>材料</t>
        </is>
      </c>
      <c r="D1652" s="8" t="inlineStr">
        <is>
          <t>spirit</t>
        </is>
      </c>
      <c r="E1652" s="8" t="inlineStr">
        <is>
          <t>metal</t>
        </is>
      </c>
      <c r="F1652" s="8" t="n">
        <v>1</v>
      </c>
      <c r="G1652" s="8" t="inlineStr">
        <is>
          <t>基础/顶层</t>
        </is>
      </c>
      <c r="H1652" s="8" t="inlineStr"/>
      <c r="I1652" s="9" t="inlineStr"/>
      <c r="J1652" s="8" t="inlineStr"/>
      <c r="K1652" s="8" t="inlineStr"/>
      <c r="L1652" s="8" t="inlineStr"/>
      <c r="M1652" s="8" t="inlineStr">
        <is>
          <t>周期触发</t>
        </is>
      </c>
      <c r="N1652" s="8" t="inlineStr">
        <is>
          <t>periodicPulse</t>
        </is>
      </c>
      <c r="O1652" s="9" t="inlineStr">
        <is>
          <t>轮转时，恢复自身 60 点法力</t>
        </is>
      </c>
      <c r="P1652" s="9" t="inlineStr"/>
      <c r="Q1652" s="9" t="inlineStr"/>
      <c r="R1652" s="9" t="inlineStr">
        <is>
          <t>{"kind":"periodicPulse","periodicPulse":{"intervalSec":20,"label":"轮转时，恢复自身 60 点法力","primaryStatGains":[{"stat":"mana","amount":60}]},"executionScope":"beast","visibilityScope":"beast"}</t>
        </is>
      </c>
    </row>
    <row r="1653" ht="32" customHeight="1">
      <c r="A1653" s="8" t="n">
        <v>500628</v>
      </c>
      <c r="B1653" s="8" t="inlineStr">
        <is>
          <t>琥珀眼珠</t>
        </is>
      </c>
      <c r="C1653" s="8" t="inlineStr">
        <is>
          <t>材料</t>
        </is>
      </c>
      <c r="D1653" s="8" t="inlineStr">
        <is>
          <t>spirit</t>
        </is>
      </c>
      <c r="E1653" s="8" t="inlineStr">
        <is>
          <t>water</t>
        </is>
      </c>
      <c r="F1653" s="8" t="n">
        <v>1</v>
      </c>
      <c r="G1653" s="8" t="inlineStr">
        <is>
          <t>基础/顶层</t>
        </is>
      </c>
      <c r="H1653" s="8" t="inlineStr"/>
      <c r="I1653" s="9" t="inlineStr"/>
      <c r="J1653" s="8" t="inlineStr"/>
      <c r="K1653" s="8" t="inlineStr"/>
      <c r="L1653" s="8" t="inlineStr"/>
      <c r="M1653" s="8" t="inlineStr">
        <is>
          <t>周期触发</t>
        </is>
      </c>
      <c r="N1653" s="8" t="inlineStr">
        <is>
          <t>periodicPulse</t>
        </is>
      </c>
      <c r="O1653" s="9" t="inlineStr">
        <is>
          <t>轮转时，恢复自身 70 点体力</t>
        </is>
      </c>
      <c r="P1653" s="9" t="inlineStr"/>
      <c r="Q1653" s="9" t="inlineStr"/>
      <c r="R1653" s="9" t="inlineStr">
        <is>
          <t>{"kind":"periodicPulse","periodicPulse":{"intervalSec":20,"label":"轮转时，恢复自身 70 点体力","primaryStatGains":[{"stat":"stamina","amount":70}]},"executionScope":"beast","visibilityScope":"beast"}</t>
        </is>
      </c>
    </row>
    <row r="1654" ht="32" customHeight="1">
      <c r="A1654" s="8" t="n">
        <v>500634</v>
      </c>
      <c r="B1654" s="8" t="inlineStr">
        <is>
          <t>负炉铜扣束带</t>
        </is>
      </c>
      <c r="C1654" s="8" t="inlineStr">
        <is>
          <t>材料</t>
        </is>
      </c>
      <c r="D1654" s="8" t="inlineStr">
        <is>
          <t>spirit</t>
        </is>
      </c>
      <c r="E1654" s="8" t="inlineStr">
        <is>
          <t>metal</t>
        </is>
      </c>
      <c r="F1654" s="8" t="n">
        <v>1</v>
      </c>
      <c r="G1654" s="8" t="inlineStr">
        <is>
          <t>基础/顶层</t>
        </is>
      </c>
      <c r="H1654" s="8" t="inlineStr"/>
      <c r="I1654" s="9" t="inlineStr"/>
      <c r="J1654" s="8" t="inlineStr"/>
      <c r="K1654" s="8" t="inlineStr"/>
      <c r="L1654" s="8" t="inlineStr"/>
      <c r="M1654" s="8" t="inlineStr">
        <is>
          <t>周期触发</t>
        </is>
      </c>
      <c r="N1654" s="8" t="inlineStr">
        <is>
          <t>periodicPulse</t>
        </is>
      </c>
      <c r="O1654" s="9" t="inlineStr">
        <is>
          <t>轮转时，将 40 点法力转化为 140 层护甲</t>
        </is>
      </c>
      <c r="P1654" s="9" t="inlineStr"/>
      <c r="Q1654" s="9" t="inlineStr"/>
      <c r="R1654" s="9" t="inlineStr">
        <is>
          <t>{"kind":"periodicPulse","periodicPulse":{"intervalSec":12,"label":"轮转时，将 40 点法力转化为 140 层护甲","primaryStatCosts":[{"stat":"mana","amount":40}],"buffGains":[{"buffId":"armor","count":140}]},"executionScope":"beast","visibilityScope":"beast"}</t>
        </is>
      </c>
    </row>
    <row r="1655" ht="32" customHeight="1">
      <c r="A1655" s="8" t="n">
        <v>500635</v>
      </c>
      <c r="B1655" s="8" t="inlineStr">
        <is>
          <t>厚蹼尾皮</t>
        </is>
      </c>
      <c r="C1655" s="8" t="inlineStr">
        <is>
          <t>材料</t>
        </is>
      </c>
      <c r="D1655" s="8" t="inlineStr">
        <is>
          <t>spirit</t>
        </is>
      </c>
      <c r="E1655" s="8" t="inlineStr">
        <is>
          <t>water</t>
        </is>
      </c>
      <c r="F1655" s="8" t="n">
        <v>1</v>
      </c>
      <c r="G1655" s="8" t="inlineStr">
        <is>
          <t>基础/顶层</t>
        </is>
      </c>
      <c r="H1655" s="8" t="inlineStr"/>
      <c r="I1655" s="9" t="inlineStr"/>
      <c r="J1655" s="8" t="inlineStr"/>
      <c r="K1655" s="8" t="inlineStr"/>
      <c r="L1655" s="8" t="inlineStr"/>
      <c r="M1655" s="8" t="inlineStr">
        <is>
          <t>周期触发</t>
        </is>
      </c>
      <c r="N1655" s="8" t="inlineStr">
        <is>
          <t>periodicPulse</t>
        </is>
      </c>
      <c r="O1655" s="9" t="inlineStr">
        <is>
          <t>轮转时，消耗 140 点体力，对敌方施加 40 层灼烧</t>
        </is>
      </c>
      <c r="P1655" s="9" t="inlineStr"/>
      <c r="Q1655" s="9" t="inlineStr"/>
      <c r="R1655" s="9" t="inlineStr">
        <is>
          <t>{"kind":"periodicPulse","periodicPulse":{"intervalSec":20,"primaryStatCosts":[{"stat":"stamina","amount":140}],"label":"&lt;battle&gt;轮转时，消耗 140 点体力，对敌方施加 40 层灼烧&lt;/battle&gt;","buffGains":[{"buffId":"burning","count":40,"target":"enemy"}]},"executionScope":"beast","visibilityScope":"beast"}</t>
        </is>
      </c>
    </row>
    <row r="1656" ht="32" customHeight="1">
      <c r="A1656" s="8" t="n">
        <v>500636</v>
      </c>
      <c r="B1656" s="8" t="inlineStr">
        <is>
          <t>铜环鸣囊</t>
        </is>
      </c>
      <c r="C1656" s="8" t="inlineStr">
        <is>
          <t>材料</t>
        </is>
      </c>
      <c r="D1656" s="8" t="inlineStr">
        <is>
          <t>spirit</t>
        </is>
      </c>
      <c r="E1656" s="8" t="inlineStr">
        <is>
          <t>fire</t>
        </is>
      </c>
      <c r="F1656" s="8" t="n">
        <v>1</v>
      </c>
      <c r="G1656" s="8" t="inlineStr">
        <is>
          <t>基础/顶层</t>
        </is>
      </c>
      <c r="H1656" s="8" t="inlineStr"/>
      <c r="I1656" s="9" t="inlineStr"/>
      <c r="J1656" s="8" t="inlineStr"/>
      <c r="K1656" s="8" t="inlineStr"/>
      <c r="L1656" s="8" t="inlineStr"/>
      <c r="M1656" s="8" t="inlineStr">
        <is>
          <t>周期触发</t>
        </is>
      </c>
      <c r="N1656" s="8" t="inlineStr">
        <is>
          <t>periodicPulse</t>
        </is>
      </c>
      <c r="O1656" s="9" t="inlineStr">
        <is>
          <t>轮转时，消耗 32 点法力，对敌方施加 36 层麻痹</t>
        </is>
      </c>
      <c r="P1656" s="9" t="inlineStr"/>
      <c r="Q1656" s="9" t="inlineStr"/>
      <c r="R1656" s="9" t="inlineStr">
        <is>
          <t>{"kind":"periodicPulse","periodicPulse":{"intervalSec":22,"label":"&lt;battle&gt;轮转时，消耗 32 点法力，对敌方施加 36 层麻痹&lt;/battle&gt;","primaryStatCosts":[{"stat":"mana","amount":32}],"buffGains":[{"buffId":"paralysis","count":36,"target":"enemy"}]},"executionScope":"beast","visibilityScope":"beast"}</t>
        </is>
      </c>
    </row>
    <row r="1657" ht="32" customHeight="1">
      <c r="A1657" s="8" t="n">
        <v>500656</v>
      </c>
      <c r="B1657" s="8" t="inlineStr">
        <is>
          <t>狸背墨囊</t>
        </is>
      </c>
      <c r="C1657" s="8" t="inlineStr">
        <is>
          <t>材料</t>
        </is>
      </c>
      <c r="D1657" s="8" t="inlineStr">
        <is>
          <t>spirit</t>
        </is>
      </c>
      <c r="E1657" s="8" t="inlineStr">
        <is>
          <t>wood</t>
        </is>
      </c>
      <c r="F1657" s="8" t="n">
        <v>1</v>
      </c>
      <c r="G1657" s="8" t="inlineStr">
        <is>
          <t>基础/顶层</t>
        </is>
      </c>
      <c r="H1657" s="8" t="inlineStr"/>
      <c r="I1657" s="9" t="inlineStr"/>
      <c r="J1657" s="8" t="inlineStr"/>
      <c r="K1657" s="8" t="inlineStr"/>
      <c r="L1657" s="8" t="inlineStr"/>
      <c r="M1657" s="8" t="inlineStr">
        <is>
          <t>周期触发</t>
        </is>
      </c>
      <c r="N1657" s="8" t="inlineStr">
        <is>
          <t>periodicPulse</t>
        </is>
      </c>
      <c r="O1657" s="9" t="inlineStr">
        <is>
          <t>轮转时，恢复自身 48 点法力，获得 12 层再生</t>
        </is>
      </c>
      <c r="P1657" s="9" t="inlineStr"/>
      <c r="Q1657" s="9" t="inlineStr"/>
      <c r="R1657" s="9" t="inlineStr">
        <is>
          <t>{"kind":"periodicPulse","periodicPulse":{"intervalSec":12,"label":"&lt;battle&gt;轮转时，恢复自身 48 点法力，获得 12 层再生&lt;/battle&gt;","primaryStatGains":[{"stat":"mana","amount":48}],"buffGains":[{"buffId":"regeneration","count":12}]},"executionScope":"beast","visibilityScope":"beast"}</t>
        </is>
      </c>
    </row>
    <row r="1658" ht="32" customHeight="1">
      <c r="A1658" s="8" t="n">
        <v>500657</v>
      </c>
      <c r="B1658" s="8" t="inlineStr">
        <is>
          <t>漆盒墨饼</t>
        </is>
      </c>
      <c r="C1658" s="8" t="inlineStr">
        <is>
          <t>材料</t>
        </is>
      </c>
      <c r="D1658" s="8" t="inlineStr">
        <is>
          <t>spirit</t>
        </is>
      </c>
      <c r="E1658" s="8" t="inlineStr">
        <is>
          <t>earth</t>
        </is>
      </c>
      <c r="F1658" s="8" t="n">
        <v>1</v>
      </c>
      <c r="G1658" s="8" t="inlineStr">
        <is>
          <t>基础/顶层</t>
        </is>
      </c>
      <c r="H1658" s="8" t="inlineStr"/>
      <c r="I1658" s="9" t="inlineStr"/>
      <c r="J1658" s="8" t="inlineStr"/>
      <c r="K1658" s="8" t="inlineStr"/>
      <c r="L1658" s="8" t="inlineStr"/>
      <c r="M1658" s="8" t="inlineStr">
        <is>
          <t>周期触发</t>
        </is>
      </c>
      <c r="N1658" s="8" t="inlineStr">
        <is>
          <t>periodicPulse</t>
        </is>
      </c>
      <c r="O1658" s="9" t="inlineStr">
        <is>
          <t>轮转时，恢复自身 20 点体力，获得 8 层再生</t>
        </is>
      </c>
      <c r="P1658" s="9" t="inlineStr"/>
      <c r="Q1658" s="9" t="inlineStr"/>
      <c r="R1658" s="9" t="inlineStr">
        <is>
          <t>{"kind":"periodicPulse","periodicPulse":{"intervalSec":13,"label":"&lt;battle&gt;轮转时，恢复自身 20 点体力，获得 8 层再生&lt;/battle&gt;","primaryStatGains":[{"stat":"stamina","amount":20}],"buffGains":[{"buffId":"regeneration","count":8}]},"executionScope":"beast","visibilityScope":"beast"}</t>
        </is>
      </c>
    </row>
    <row r="1659" ht="32" customHeight="1">
      <c r="A1659" s="8" t="n">
        <v>500658</v>
      </c>
      <c r="B1659" s="8" t="inlineStr">
        <is>
          <t>灵狸绒耳</t>
        </is>
      </c>
      <c r="C1659" s="8" t="inlineStr">
        <is>
          <t>材料</t>
        </is>
      </c>
      <c r="D1659" s="8" t="inlineStr">
        <is>
          <t>spirit</t>
        </is>
      </c>
      <c r="E1659" s="8" t="inlineStr">
        <is>
          <t>metal</t>
        </is>
      </c>
      <c r="F1659" s="8" t="n">
        <v>1</v>
      </c>
      <c r="G1659" s="8" t="inlineStr">
        <is>
          <t>基础/顶层</t>
        </is>
      </c>
      <c r="H1659" s="8" t="inlineStr"/>
      <c r="I1659" s="9" t="inlineStr"/>
      <c r="J1659" s="8" t="inlineStr"/>
      <c r="K1659" s="8" t="inlineStr"/>
      <c r="L1659" s="8" t="inlineStr"/>
      <c r="M1659" s="8" t="inlineStr">
        <is>
          <t>周期触发</t>
        </is>
      </c>
      <c r="N1659" s="8" t="inlineStr">
        <is>
          <t>periodicPulse</t>
        </is>
      </c>
      <c r="O1659" s="9" t="inlineStr">
        <is>
          <t>轮转时，消耗 24 点体力，对敌方造成 104 点伤害</t>
        </is>
      </c>
      <c r="P1659" s="9" t="inlineStr"/>
      <c r="Q1659" s="9" t="inlineStr"/>
      <c r="R1659" s="9" t="inlineStr">
        <is>
          <t>{"kind":"periodicPulse","periodicPulse":{"intervalSec":16,"label":"&lt;battle&gt;轮转时，消耗 24 点体力，对敌方造成 104 点伤害&lt;/battle&gt;","primaryStatCosts":[{"stat":"stamina","amount":24}],"damageHealth":{"target":"enemy","amount":104}},"executionScope":"beast","visibilityScope":"beast"}</t>
        </is>
      </c>
    </row>
    <row r="1660" ht="32" customHeight="1">
      <c r="A1660" s="8" t="n">
        <v>500664</v>
      </c>
      <c r="B1660" s="8" t="inlineStr">
        <is>
          <t>俯冲长翎</t>
        </is>
      </c>
      <c r="C1660" s="8" t="inlineStr">
        <is>
          <t>材料</t>
        </is>
      </c>
      <c r="D1660" s="8" t="inlineStr">
        <is>
          <t>spirit</t>
        </is>
      </c>
      <c r="E1660" s="8" t="inlineStr">
        <is>
          <t>wind</t>
        </is>
      </c>
      <c r="F1660" s="8" t="n">
        <v>1</v>
      </c>
      <c r="G1660" s="8" t="inlineStr">
        <is>
          <t>基础/顶层</t>
        </is>
      </c>
      <c r="H1660" s="8" t="inlineStr"/>
      <c r="I1660" s="9" t="inlineStr"/>
      <c r="J1660" s="8" t="inlineStr"/>
      <c r="K1660" s="8" t="inlineStr"/>
      <c r="L1660" s="8" t="inlineStr"/>
      <c r="M1660" s="8" t="inlineStr">
        <is>
          <t>周期触发</t>
        </is>
      </c>
      <c r="N1660" s="8" t="inlineStr">
        <is>
          <t>periodicPulse</t>
        </is>
      </c>
      <c r="O1660" s="9" t="inlineStr">
        <is>
          <t>凝金不少于 15 层时，消耗 48 点体力和 15 层凝金；每消耗 1 层凝金，对敌方造成 8 点伤害</t>
        </is>
      </c>
      <c r="P1660" s="9" t="inlineStr">
        <is>
          <t>onPeriodicPulse</t>
        </is>
      </c>
      <c r="Q1660" s="9" t="inlineStr">
        <is>
          <t>consumeBuffStacks</t>
        </is>
      </c>
      <c r="R1660" s="9" t="inlineStr">
        <is>
          <t>{"kind":"periodicPulse","periodicPulse":{"intervalSec":18,"label":"凝金不少于 15 层时，消耗 48 点体力和 15 层凝金；&lt;battle&gt;每消耗 1 层凝金，对敌方造成 8 点伤害&lt;/battle&gt;","primaryStatCosts":[{"stat":"stamina","amount":48}],"activationRequirements":{"buffStackThresholds":[{"buffId":"condensedMetal","comparator":"atLeast","count":15}]}},"executors":[{"trigger":"onPeriodicPulse","type":"consumeBuffStacks","sourceBuffId":"condensedMetal","requiredStacks":15,"maxStacks":15,"battleDamageHealthPerStack":8,"support":"common"}],"executionScope":"beast","visibilityScope":"beast"}</t>
        </is>
      </c>
    </row>
    <row r="1661" ht="32" customHeight="1">
      <c r="A1661" s="8" t="n">
        <v>500665</v>
      </c>
      <c r="B1661" s="8" t="inlineStr">
        <is>
          <t>钟钉嗉囊</t>
        </is>
      </c>
      <c r="C1661" s="8" t="inlineStr">
        <is>
          <t>材料</t>
        </is>
      </c>
      <c r="D1661" s="8" t="inlineStr">
        <is>
          <t>spirit</t>
        </is>
      </c>
      <c r="E1661" s="8" t="inlineStr">
        <is>
          <t>wood</t>
        </is>
      </c>
      <c r="F1661" s="8" t="n">
        <v>1</v>
      </c>
      <c r="G1661" s="8" t="inlineStr">
        <is>
          <t>基础/顶层</t>
        </is>
      </c>
      <c r="H1661" s="8" t="inlineStr"/>
      <c r="I1661" s="9" t="inlineStr"/>
      <c r="J1661" s="8" t="inlineStr"/>
      <c r="K1661" s="8" t="inlineStr"/>
      <c r="L1661" s="8" t="inlineStr"/>
      <c r="M1661" s="8" t="inlineStr">
        <is>
          <t>周期触发</t>
        </is>
      </c>
      <c r="N1661" s="8" t="inlineStr">
        <is>
          <t>periodicPulse</t>
        </is>
      </c>
      <c r="O1661" s="9" t="inlineStr">
        <is>
          <t>开局时，获得 240 层护甲、40 层坚硬和 6 层闪避</t>
        </is>
      </c>
      <c r="P1661" s="9" t="inlineStr"/>
      <c r="Q1661" s="9" t="inlineStr"/>
      <c r="R1661" s="9" t="inlineStr">
        <is>
          <t>{"kind":"periodicPulse","periodicPulse":{"startOnly":true,"label":"开局时，获得 240 层护甲、40 层坚硬和 6 层闪避","buffGains":[{"buffId":"armor","count":240},{"buffId":"sturdy","count":40},{"buffId":"dodge","count":6}]},"executionScope":"beast","visibilityScope":"beast"}</t>
        </is>
      </c>
    </row>
    <row r="1662" ht="32" customHeight="1">
      <c r="A1662" s="8" t="n">
        <v>500666</v>
      </c>
      <c r="B1662" s="8" t="inlineStr">
        <is>
          <t>悬铃翼骨</t>
        </is>
      </c>
      <c r="C1662" s="8" t="inlineStr">
        <is>
          <t>材料</t>
        </is>
      </c>
      <c r="D1662" s="8" t="inlineStr">
        <is>
          <t>spirit</t>
        </is>
      </c>
      <c r="E1662" s="8" t="inlineStr">
        <is>
          <t>metal</t>
        </is>
      </c>
      <c r="F1662" s="8" t="n">
        <v>1</v>
      </c>
      <c r="G1662" s="8" t="inlineStr">
        <is>
          <t>基础/顶层</t>
        </is>
      </c>
      <c r="H1662" s="8" t="inlineStr"/>
      <c r="I1662" s="9" t="inlineStr"/>
      <c r="J1662" s="8" t="inlineStr"/>
      <c r="K1662" s="8" t="inlineStr"/>
      <c r="L1662" s="8" t="inlineStr"/>
      <c r="M1662" s="8" t="inlineStr">
        <is>
          <t>周期触发</t>
        </is>
      </c>
      <c r="N1662" s="8" t="inlineStr">
        <is>
          <t>periodicPulse</t>
        </is>
      </c>
      <c r="O1662" s="9" t="inlineStr">
        <is>
          <t>轮转时，恢复自身 120 点体力，获得 30 层凝金</t>
        </is>
      </c>
      <c r="P1662" s="9" t="inlineStr"/>
      <c r="Q1662" s="9" t="inlineStr"/>
      <c r="R1662" s="9" t="inlineStr">
        <is>
          <t>{"kind":"periodicPulse","periodicPulse":{"intervalSec":16,"label":"轮转时，恢复自身 120 点体力，获得 30 层凝金","primaryStatGains":[{"stat":"stamina","amount":120}],"buffGains":[{"buffId":"condensedMetal","count":30}]},"executionScope":"beast","visibilityScope":"beast"}</t>
        </is>
      </c>
    </row>
    <row r="1663" ht="32" customHeight="1">
      <c r="A1663" s="8" t="n">
        <v>500694</v>
      </c>
      <c r="B1663" s="8" t="inlineStr">
        <is>
          <t>淬铁短獠</t>
        </is>
      </c>
      <c r="C1663" s="8" t="inlineStr">
        <is>
          <t>材料</t>
        </is>
      </c>
      <c r="D1663" s="8" t="inlineStr">
        <is>
          <t>spirit</t>
        </is>
      </c>
      <c r="E1663" s="8" t="inlineStr">
        <is>
          <t>metal</t>
        </is>
      </c>
      <c r="F1663" s="8" t="n">
        <v>1</v>
      </c>
      <c r="G1663" s="8" t="inlineStr">
        <is>
          <t>基础/顶层</t>
        </is>
      </c>
      <c r="H1663" s="8" t="inlineStr"/>
      <c r="I1663" s="9" t="inlineStr"/>
      <c r="J1663" s="8" t="inlineStr"/>
      <c r="K1663" s="8" t="inlineStr"/>
      <c r="L1663" s="8" t="inlineStr"/>
      <c r="M1663" s="8" t="inlineStr">
        <is>
          <t>周期触发</t>
        </is>
      </c>
      <c r="N1663" s="8" t="inlineStr">
        <is>
          <t>periodicPulse</t>
        </is>
      </c>
      <c r="O1663" s="9" t="inlineStr">
        <is>
          <t>轮转时，坚硬不少于 5 层时，消耗 120 点体力，对敌方造成 200 点伤害，并施加 6 层麻痹</t>
        </is>
      </c>
      <c r="P1663" s="9" t="inlineStr"/>
      <c r="Q1663" s="9" t="inlineStr">
        <is>
          <t>sourceBuffStacksGreaterThan</t>
        </is>
      </c>
      <c r="R1663" s="9" t="inlineStr">
        <is>
          <t>{"kind":"periodicPulse","periodicPulse":{"intervalSec":16,"label":"&lt;battle&gt;轮转时，坚硬不少于 5 层时，消耗 120 点体力，对敌方造成 200 点伤害，并施加 6 层麻痹&lt;/battle&gt;","battleCondition":{"type":"sourceBuffStacksGreaterThan","buffId":"sturdy","count":4},"primaryStatCosts":[{"stat":"stamina","amount":120}],"damageHealth":{"target":"enemy","amount":200},"buffGains":[{"target":"enemy","buffId":"paralysis","count":6}]},"executionScope":"beast","visibilityScope":"beast"}</t>
        </is>
      </c>
    </row>
    <row r="1664" ht="32" customHeight="1">
      <c r="A1664" s="8" t="n">
        <v>500695</v>
      </c>
      <c r="B1664" s="8" t="inlineStr">
        <is>
          <t>风箱喉囊</t>
        </is>
      </c>
      <c r="C1664" s="8" t="inlineStr">
        <is>
          <t>材料</t>
        </is>
      </c>
      <c r="D1664" s="8" t="inlineStr">
        <is>
          <t>spirit</t>
        </is>
      </c>
      <c r="E1664" s="8" t="inlineStr">
        <is>
          <t>fire</t>
        </is>
      </c>
      <c r="F1664" s="8" t="n">
        <v>1</v>
      </c>
      <c r="G1664" s="8" t="inlineStr">
        <is>
          <t>基础/顶层</t>
        </is>
      </c>
      <c r="H1664" s="8" t="inlineStr"/>
      <c r="I1664" s="9" t="inlineStr"/>
      <c r="J1664" s="8" t="inlineStr"/>
      <c r="K1664" s="8" t="inlineStr"/>
      <c r="L1664" s="8" t="inlineStr"/>
      <c r="M1664" s="8" t="inlineStr">
        <is>
          <t>周期触发</t>
        </is>
      </c>
      <c r="N1664" s="8" t="inlineStr">
        <is>
          <t>periodicPulse</t>
        </is>
      </c>
      <c r="O1664" s="9" t="inlineStr">
        <is>
          <t>轮转时，凝金不少于 10 层时，恢复自身 280 点体力，获得 10 层凝金</t>
        </is>
      </c>
      <c r="P1664" s="9" t="inlineStr"/>
      <c r="Q1664" s="9" t="inlineStr">
        <is>
          <t>sourceBuffStacksGreaterThan</t>
        </is>
      </c>
      <c r="R1664" s="9" t="inlineStr">
        <is>
          <t>{"kind":"periodicPulse","periodicPulse":{"intervalSec":12,"label":"轮转时，凝金不少于 10 层时，恢复自身 280 点体力，获得 10 层凝金","battleCondition":{"type":"sourceBuffStacksGreaterThan","buffId":"condensedMetal","count":9},"primaryStatGains":[{"stat":"stamina","amount":280}],"buffGains":[{"buffId":"condensedMetal","count":10}]},"executionScope":"beast","visibilityScope":"beast"}</t>
        </is>
      </c>
    </row>
    <row r="1665" ht="32" customHeight="1">
      <c r="A1665" s="8" t="n">
        <v>500696</v>
      </c>
      <c r="B1665" s="8" t="inlineStr">
        <is>
          <t>重踏后掌</t>
        </is>
      </c>
      <c r="C1665" s="8" t="inlineStr">
        <is>
          <t>材料</t>
        </is>
      </c>
      <c r="D1665" s="8" t="inlineStr">
        <is>
          <t>spirit</t>
        </is>
      </c>
      <c r="E1665" s="8" t="inlineStr">
        <is>
          <t>earth</t>
        </is>
      </c>
      <c r="F1665" s="8" t="n">
        <v>1</v>
      </c>
      <c r="G1665" s="8" t="inlineStr">
        <is>
          <t>基础/顶层</t>
        </is>
      </c>
      <c r="H1665" s="8" t="inlineStr"/>
      <c r="I1665" s="9" t="inlineStr"/>
      <c r="J1665" s="8" t="inlineStr"/>
      <c r="K1665" s="8" t="inlineStr"/>
      <c r="L1665" s="8" t="inlineStr"/>
      <c r="M1665" s="8" t="inlineStr">
        <is>
          <t>周期触发</t>
        </is>
      </c>
      <c r="N1665" s="8" t="inlineStr">
        <is>
          <t>periodicPulse</t>
        </is>
      </c>
      <c r="O1665" s="9" t="inlineStr">
        <is>
          <t>轮转时，消耗 120 点体力，对敌方造成 100 点伤害，并施加 12 层冰霜</t>
        </is>
      </c>
      <c r="P1665" s="9" t="inlineStr"/>
      <c r="Q1665" s="9" t="inlineStr"/>
      <c r="R1665" s="9" t="inlineStr">
        <is>
          <t>{"kind":"periodicPulse","periodicPulse":{"intervalSec":15,"label":"&lt;battle&gt;轮转时，消耗 120 点体力，对敌方造成 100 点伤害，并施加 12 层冰霜&lt;/battle&gt;","primaryStatCosts":[{"stat":"stamina","amount":120}],"damageHealth":{"target":"enemy","amount":100},"buffGains":[{"target":"enemy","buffId":"frost","count":12}]},"executionScope":"beast","visibilityScope":"beast"}</t>
        </is>
      </c>
    </row>
    <row r="1666" ht="32" customHeight="1">
      <c r="A1666" s="8" t="n">
        <v>500740</v>
      </c>
      <c r="B1666" s="8" t="inlineStr">
        <is>
          <t>分锚尾骨甲</t>
        </is>
      </c>
      <c r="C1666" s="8" t="inlineStr">
        <is>
          <t>材料</t>
        </is>
      </c>
      <c r="D1666" s="8" t="inlineStr">
        <is>
          <t>spirit</t>
        </is>
      </c>
      <c r="E1666" s="8" t="inlineStr">
        <is>
          <t>earth</t>
        </is>
      </c>
      <c r="F1666" s="8" t="n">
        <v>1</v>
      </c>
      <c r="G1666" s="8" t="inlineStr">
        <is>
          <t>基础/顶层</t>
        </is>
      </c>
      <c r="H1666" s="8" t="inlineStr"/>
      <c r="I1666" s="9" t="inlineStr"/>
      <c r="J1666" s="8" t="inlineStr"/>
      <c r="K1666" s="8" t="inlineStr"/>
      <c r="L1666" s="8" t="inlineStr"/>
      <c r="M1666" s="8" t="inlineStr">
        <is>
          <t>周期触发</t>
        </is>
      </c>
      <c r="N1666" s="8" t="inlineStr">
        <is>
          <t>periodicPulse</t>
        </is>
      </c>
      <c r="O1666" s="9" t="inlineStr">
        <is>
          <t>开局时，消耗 160 点体力，获得 900 层护甲</t>
        </is>
      </c>
      <c r="P1666" s="9" t="inlineStr"/>
      <c r="Q1666" s="9" t="inlineStr"/>
      <c r="R1666" s="9" t="inlineStr">
        <is>
          <t>{"kind":"periodicPulse","periodicPulse":{"startOnly":true,"label":"开局时，消耗 160 点体力，获得 900 层护甲","primaryStatCosts":[{"stat":"stamina","amount":160}],"buffGains":[{"buffId":"armor","count":900}]},"executionScope":"beast","visibilityScope":"beast"}</t>
        </is>
      </c>
    </row>
    <row r="1667" ht="32" customHeight="1">
      <c r="A1667" s="8" t="n">
        <v>500741</v>
      </c>
      <c r="B1667" s="8" t="inlineStr">
        <is>
          <t>牵锚尾根筋</t>
        </is>
      </c>
      <c r="C1667" s="8" t="inlineStr">
        <is>
          <t>材料</t>
        </is>
      </c>
      <c r="D1667" s="8" t="inlineStr">
        <is>
          <t>spirit</t>
        </is>
      </c>
      <c r="E1667" s="8" t="inlineStr">
        <is>
          <t>wood</t>
        </is>
      </c>
      <c r="F1667" s="8" t="n">
        <v>1</v>
      </c>
      <c r="G1667" s="8" t="inlineStr">
        <is>
          <t>基础/顶层</t>
        </is>
      </c>
      <c r="H1667" s="8" t="inlineStr"/>
      <c r="I1667" s="9" t="inlineStr"/>
      <c r="J1667" s="8" t="inlineStr"/>
      <c r="K1667" s="8" t="inlineStr"/>
      <c r="L1667" s="8" t="inlineStr"/>
      <c r="M1667" s="8" t="inlineStr">
        <is>
          <t>周期触发</t>
        </is>
      </c>
      <c r="N1667" s="8" t="inlineStr">
        <is>
          <t>periodicPulse</t>
        </is>
      </c>
      <c r="O1667" s="9" t="inlineStr">
        <is>
          <t>轮转时，将 200 点气血转化为 320 点体力</t>
        </is>
      </c>
      <c r="P1667" s="9" t="inlineStr"/>
      <c r="Q1667" s="9" t="inlineStr"/>
      <c r="R1667" s="9" t="inlineStr">
        <is>
          <t>{"kind":"periodicPulse","periodicPulse":{"intervalSec":14,"label":"轮转时，将 200 点气血转化为 320 点体力","primaryStatCosts":[{"stat":"health","amount":200}],"primaryStatGains":[{"stat":"stamina","amount":320}]},"executionScope":"beast","visibilityScope":"beast"}</t>
        </is>
      </c>
    </row>
    <row r="1668" ht="32" customHeight="1">
      <c r="A1668" s="8" t="n">
        <v>500742</v>
      </c>
      <c r="B1668" s="8" t="inlineStr">
        <is>
          <t>沉湾鳄颚骨</t>
        </is>
      </c>
      <c r="C1668" s="8" t="inlineStr">
        <is>
          <t>材料</t>
        </is>
      </c>
      <c r="D1668" s="8" t="inlineStr">
        <is>
          <t>spirit</t>
        </is>
      </c>
      <c r="E1668" s="8" t="inlineStr">
        <is>
          <t>earth</t>
        </is>
      </c>
      <c r="F1668" s="8" t="n">
        <v>1</v>
      </c>
      <c r="G1668" s="8" t="inlineStr">
        <is>
          <t>基础/顶层</t>
        </is>
      </c>
      <c r="H1668" s="8" t="inlineStr"/>
      <c r="I1668" s="9" t="inlineStr"/>
      <c r="J1668" s="8" t="inlineStr"/>
      <c r="K1668" s="8" t="inlineStr"/>
      <c r="L1668" s="8" t="inlineStr"/>
      <c r="M1668" s="8" t="inlineStr">
        <is>
          <t>周期触发</t>
        </is>
      </c>
      <c r="N1668" s="8" t="inlineStr">
        <is>
          <t>periodicPulse</t>
        </is>
      </c>
      <c r="O1668" s="9" t="inlineStr">
        <is>
          <t>轮转时，消耗 120 点体力，对敌方造成 336 点伤害</t>
        </is>
      </c>
      <c r="P1668" s="9" t="inlineStr"/>
      <c r="Q1668" s="9" t="inlineStr"/>
      <c r="R1668" s="9" t="inlineStr">
        <is>
          <t>{"kind":"periodicPulse","periodicPulse":{"intervalSec":18,"label":"&lt;battle&gt;轮转时，消耗 120 点体力，对敌方造成 336 点伤害&lt;/battle&gt;","primaryStatCosts":[{"stat":"stamina","amount":120}],"damageHealth":{"target":"enemy","amount":336}},"executionScope":"beast","visibilityScope":"beast"}</t>
        </is>
      </c>
    </row>
    <row r="1669" ht="32" customHeight="1">
      <c r="A1669" s="8" t="n">
        <v>500743</v>
      </c>
      <c r="B1669" s="8" t="inlineStr">
        <is>
          <t>伏流背脊甲</t>
        </is>
      </c>
      <c r="C1669" s="8" t="inlineStr">
        <is>
          <t>材料</t>
        </is>
      </c>
      <c r="D1669" s="8" t="inlineStr">
        <is>
          <t>spirit</t>
        </is>
      </c>
      <c r="E1669" s="8" t="inlineStr">
        <is>
          <t>water</t>
        </is>
      </c>
      <c r="F1669" s="8" t="n">
        <v>1</v>
      </c>
      <c r="G1669" s="8" t="inlineStr">
        <is>
          <t>基础/顶层</t>
        </is>
      </c>
      <c r="H1669" s="8" t="inlineStr"/>
      <c r="I1669" s="9" t="inlineStr"/>
      <c r="J1669" s="8" t="inlineStr"/>
      <c r="K1669" s="8" t="inlineStr"/>
      <c r="L1669" s="8" t="inlineStr"/>
      <c r="M1669" s="8" t="inlineStr">
        <is>
          <t>周期触发</t>
        </is>
      </c>
      <c r="N1669" s="8" t="inlineStr">
        <is>
          <t>periodicPulse</t>
        </is>
      </c>
      <c r="O1669" s="9" t="inlineStr">
        <is>
          <t>轮转时，将 80 点体力转化为自身 280 点气血</t>
        </is>
      </c>
      <c r="P1669" s="9" t="inlineStr"/>
      <c r="Q1669" s="9" t="inlineStr"/>
      <c r="R1669" s="9" t="inlineStr">
        <is>
          <t>{"kind":"periodicPulse","periodicPulse":{"intervalSec":16,"label":"&lt;battle&gt;轮转时，将 80 点体力转化为自身 280 点气血&lt;/battle&gt;","primaryStatCosts":[{"stat":"stamina","amount":80}],"primaryStatGains":[{"stat":"health","amount":280}]},"executionScope":"beast","visibilityScope":"beast"}</t>
        </is>
      </c>
    </row>
    <row r="1670" ht="32" customHeight="1">
      <c r="A1670" s="8" t="n">
        <v>500744</v>
      </c>
      <c r="B1670" s="8" t="inlineStr">
        <is>
          <t>锁流尾脊节</t>
        </is>
      </c>
      <c r="C1670" s="8" t="inlineStr">
        <is>
          <t>材料</t>
        </is>
      </c>
      <c r="D1670" s="8" t="inlineStr">
        <is>
          <t>spirit</t>
        </is>
      </c>
      <c r="E1670" s="8" t="inlineStr">
        <is>
          <t>water</t>
        </is>
      </c>
      <c r="F1670" s="8" t="n">
        <v>1</v>
      </c>
      <c r="G1670" s="8" t="inlineStr">
        <is>
          <t>基础/顶层</t>
        </is>
      </c>
      <c r="H1670" s="8" t="inlineStr"/>
      <c r="I1670" s="9" t="inlineStr"/>
      <c r="J1670" s="8" t="inlineStr"/>
      <c r="K1670" s="8" t="inlineStr"/>
      <c r="L1670" s="8" t="inlineStr"/>
      <c r="M1670" s="8" t="inlineStr">
        <is>
          <t>周期触发</t>
        </is>
      </c>
      <c r="N1670" s="8" t="inlineStr">
        <is>
          <t>periodicPulse</t>
        </is>
      </c>
      <c r="O1670" s="9" t="inlineStr">
        <is>
          <t>轮转时，消耗 20 点法力，使敌方获得 40 层冰霜</t>
        </is>
      </c>
      <c r="P1670" s="9" t="inlineStr"/>
      <c r="Q1670" s="9" t="inlineStr"/>
      <c r="R1670" s="9" t="inlineStr">
        <is>
          <t>{"kind":"periodicPulse","periodicPulse":{"intervalSec":20,"primaryStatCosts":[{"stat":"mana","amount":20}],"label":"&lt;battle&gt;轮转时，消耗 20 点法力，使敌方获得 40 层冰霜&lt;/battle&gt;","buffGains":[{"buffId":"frost","count":40,"target":"enemy"}]},"executionScope":"beast","visibilityScope":"beast"}</t>
        </is>
      </c>
    </row>
    <row r="1671" ht="32" customHeight="1">
      <c r="A1671" s="8" t="n">
        <v>500745</v>
      </c>
      <c r="B1671" s="8" t="inlineStr">
        <is>
          <t>潭息喉囊</t>
        </is>
      </c>
      <c r="C1671" s="8" t="inlineStr">
        <is>
          <t>材料</t>
        </is>
      </c>
      <c r="D1671" s="8" t="inlineStr">
        <is>
          <t>spirit</t>
        </is>
      </c>
      <c r="E1671" s="8" t="inlineStr">
        <is>
          <t>water</t>
        </is>
      </c>
      <c r="F1671" s="8" t="n">
        <v>1</v>
      </c>
      <c r="G1671" s="8" t="inlineStr">
        <is>
          <t>基础/顶层</t>
        </is>
      </c>
      <c r="H1671" s="8" t="inlineStr"/>
      <c r="I1671" s="9" t="inlineStr"/>
      <c r="J1671" s="8" t="inlineStr"/>
      <c r="K1671" s="8" t="inlineStr"/>
      <c r="L1671" s="8" t="inlineStr"/>
      <c r="M1671" s="8" t="inlineStr">
        <is>
          <t>周期触发</t>
        </is>
      </c>
      <c r="N1671" s="8" t="inlineStr">
        <is>
          <t>periodicPulse</t>
        </is>
      </c>
      <c r="O1671" s="9" t="inlineStr">
        <is>
          <t>轮转时，将 50 点体力转化为 60 点法力</t>
        </is>
      </c>
      <c r="P1671" s="9" t="inlineStr"/>
      <c r="Q1671" s="9" t="inlineStr"/>
      <c r="R1671" s="9" t="inlineStr">
        <is>
          <t>{"kind":"periodicPulse","periodicPulse":{"intervalSec":22,"label":"轮转时，将 50 点体力转化为 60 点法力","primaryStatCosts":[{"stat":"stamina","amount":50}],"primaryStatGains":[{"stat":"mana","amount":60}]},"executionScope":"beast","visibilityScope":"beast"}</t>
        </is>
      </c>
    </row>
    <row r="1672" ht="32" customHeight="1">
      <c r="A1672" s="8" t="n">
        <v>500746</v>
      </c>
      <c r="B1672" s="8" t="inlineStr">
        <is>
          <t>闭水鼻阀骨</t>
        </is>
      </c>
      <c r="C1672" s="8" t="inlineStr">
        <is>
          <t>材料</t>
        </is>
      </c>
      <c r="D1672" s="8" t="inlineStr">
        <is>
          <t>spirit</t>
        </is>
      </c>
      <c r="E1672" s="8" t="inlineStr">
        <is>
          <t>water</t>
        </is>
      </c>
      <c r="F1672" s="8" t="n">
        <v>1</v>
      </c>
      <c r="G1672" s="8" t="inlineStr">
        <is>
          <t>基础/顶层</t>
        </is>
      </c>
      <c r="H1672" s="8" t="inlineStr"/>
      <c r="I1672" s="9" t="inlineStr"/>
      <c r="J1672" s="8" t="inlineStr"/>
      <c r="K1672" s="8" t="inlineStr"/>
      <c r="L1672" s="8" t="inlineStr"/>
      <c r="M1672" s="8" t="inlineStr">
        <is>
          <t>周期触发</t>
        </is>
      </c>
      <c r="N1672" s="8" t="inlineStr">
        <is>
          <t>periodicPulse</t>
        </is>
      </c>
      <c r="O1672" s="9" t="inlineStr">
        <is>
          <t>轮转时，消耗 40 点体力，连续 2 次对敌方造成 32 点伤害</t>
        </is>
      </c>
      <c r="P1672" s="9" t="inlineStr"/>
      <c r="Q1672" s="9" t="inlineStr"/>
      <c r="R1672" s="9" t="inlineStr">
        <is>
          <t>{"kind":"periodicPulse","periodicPulse":{"intervalSec":12,"label":"&lt;battle&gt;轮转时，消耗 40 点体力，连续 2 次对敌方造成 32 点伤害&lt;/battle&gt;","primaryStatCosts":[{"stat":"stamina","amount":40}],"damageHealth":{"target":"enemy","amount":32,"repeatCount":2}},"executionScope":"beast","visibilityScope":"beast"}</t>
        </is>
      </c>
    </row>
    <row r="1673" ht="32" customHeight="1">
      <c r="A1673" s="8" t="n">
        <v>500747</v>
      </c>
      <c r="B1673" s="8" t="inlineStr">
        <is>
          <t>潮痕鳄齿</t>
        </is>
      </c>
      <c r="C1673" s="8" t="inlineStr">
        <is>
          <t>材料</t>
        </is>
      </c>
      <c r="D1673" s="8" t="inlineStr">
        <is>
          <t>spirit</t>
        </is>
      </c>
      <c r="E1673" s="8" t="inlineStr">
        <is>
          <t>metal</t>
        </is>
      </c>
      <c r="F1673" s="8" t="n">
        <v>1</v>
      </c>
      <c r="G1673" s="8" t="inlineStr">
        <is>
          <t>基础/顶层</t>
        </is>
      </c>
      <c r="H1673" s="8" t="inlineStr"/>
      <c r="I1673" s="9" t="inlineStr"/>
      <c r="J1673" s="8" t="inlineStr"/>
      <c r="K1673" s="8" t="inlineStr"/>
      <c r="L1673" s="8" t="inlineStr"/>
      <c r="M1673" s="8" t="inlineStr">
        <is>
          <t>周期触发</t>
        </is>
      </c>
      <c r="N1673" s="8" t="inlineStr">
        <is>
          <t>periodicPulse</t>
        </is>
      </c>
      <c r="O1673" s="9" t="inlineStr">
        <is>
          <t>轮转时，消耗 40 点体力，对敌方造成 80 点伤害</t>
        </is>
      </c>
      <c r="P1673" s="9" t="inlineStr"/>
      <c r="Q1673" s="9" t="inlineStr"/>
      <c r="R1673" s="9" t="inlineStr">
        <is>
          <t>{"kind":"periodicPulse","periodicPulse":{"intervalSec":16,"label":"&lt;battle&gt;轮转时，消耗 40 点体力，对敌方造成 80 点伤害&lt;/battle&gt;","primaryStatCosts":[{"stat":"stamina","amount":40}],"damageHealth":{"target":"enemy","amount":80}},"executionScope":"beast","visibilityScope":"beast"}</t>
        </is>
      </c>
    </row>
    <row r="1674" ht="32" customHeight="1">
      <c r="A1674" s="8" t="n">
        <v>500756</v>
      </c>
      <c r="B1674" s="8" t="inlineStr">
        <is>
          <t>赤纹鼻甲</t>
        </is>
      </c>
      <c r="C1674" s="8" t="inlineStr">
        <is>
          <t>材料</t>
        </is>
      </c>
      <c r="D1674" s="8" t="inlineStr">
        <is>
          <t>spirit</t>
        </is>
      </c>
      <c r="E1674" s="8" t="inlineStr">
        <is>
          <t>fire</t>
        </is>
      </c>
      <c r="F1674" s="8" t="n">
        <v>1</v>
      </c>
      <c r="G1674" s="8" t="inlineStr">
        <is>
          <t>基础/顶层</t>
        </is>
      </c>
      <c r="H1674" s="8" t="inlineStr"/>
      <c r="I1674" s="9" t="inlineStr"/>
      <c r="J1674" s="8" t="inlineStr"/>
      <c r="K1674" s="8" t="inlineStr"/>
      <c r="L1674" s="8" t="inlineStr"/>
      <c r="M1674" s="8" t="inlineStr">
        <is>
          <t>周期触发</t>
        </is>
      </c>
      <c r="N1674" s="8" t="inlineStr">
        <is>
          <t>periodicPulse</t>
        </is>
      </c>
      <c r="O1674" s="9" t="inlineStr">
        <is>
          <t>轮转时，消耗 24 点法力，对敌方造成 88 点伤害</t>
        </is>
      </c>
      <c r="P1674" s="9" t="inlineStr"/>
      <c r="Q1674" s="9" t="inlineStr"/>
      <c r="R1674" s="9" t="inlineStr">
        <is>
          <t>{"kind":"periodicPulse","periodicPulse":{"intervalSec":16,"label":"&lt;battle&gt;轮转时，消耗 24 点法力，对敌方造成 88 点伤害&lt;/battle&gt;","primaryStatCosts":[{"stat":"mana","amount":24}],"damageHealth":{"target":"enemy","amount":88}},"executionScope":"beast","visibilityScope":"beast"}</t>
        </is>
      </c>
    </row>
    <row r="1675" ht="32" customHeight="1">
      <c r="A1675" s="8" t="n">
        <v>500757</v>
      </c>
      <c r="B1675" s="8" t="inlineStr">
        <is>
          <t>滚压髋骨</t>
        </is>
      </c>
      <c r="C1675" s="8" t="inlineStr">
        <is>
          <t>材料</t>
        </is>
      </c>
      <c r="D1675" s="8" t="inlineStr">
        <is>
          <t>spirit</t>
        </is>
      </c>
      <c r="E1675" s="8" t="inlineStr">
        <is>
          <t>earth</t>
        </is>
      </c>
      <c r="F1675" s="8" t="n">
        <v>1</v>
      </c>
      <c r="G1675" s="8" t="inlineStr">
        <is>
          <t>基础/顶层</t>
        </is>
      </c>
      <c r="H1675" s="8" t="inlineStr"/>
      <c r="I1675" s="9" t="inlineStr"/>
      <c r="J1675" s="8" t="inlineStr"/>
      <c r="K1675" s="8" t="inlineStr"/>
      <c r="L1675" s="8" t="inlineStr"/>
      <c r="M1675" s="8" t="inlineStr">
        <is>
          <t>周期触发</t>
        </is>
      </c>
      <c r="N1675" s="8" t="inlineStr">
        <is>
          <t>periodicPulse</t>
        </is>
      </c>
      <c r="O1675" s="9" t="inlineStr">
        <is>
          <t>轮转时，消耗 56 点体力，连续 2 次对敌方造成 60 点伤害</t>
        </is>
      </c>
      <c r="P1675" s="9" t="inlineStr"/>
      <c r="Q1675" s="9" t="inlineStr"/>
      <c r="R1675" s="9" t="inlineStr">
        <is>
          <t>{"kind":"periodicPulse","periodicPulse":{"intervalSec":22,"label":"&lt;battle&gt;轮转时，消耗 56 点体力，连续 2 次对敌方造成 60 点伤害&lt;/battle&gt;","primaryStatCosts":[{"stat":"stamina","amount":56}],"damageHealth":{"target":"enemy","amount":60,"repeatCount":2}},"executionScope":"beast","visibilityScope":"beast"}</t>
        </is>
      </c>
    </row>
    <row r="1676" ht="32" customHeight="1">
      <c r="A1676" s="8" t="n">
        <v>500758</v>
      </c>
      <c r="B1676" s="8" t="inlineStr">
        <is>
          <t>盘卷腰筋</t>
        </is>
      </c>
      <c r="C1676" s="8" t="inlineStr">
        <is>
          <t>材料</t>
        </is>
      </c>
      <c r="D1676" s="8" t="inlineStr">
        <is>
          <t>spirit</t>
        </is>
      </c>
      <c r="E1676" s="8" t="inlineStr">
        <is>
          <t>wood</t>
        </is>
      </c>
      <c r="F1676" s="8" t="n">
        <v>1</v>
      </c>
      <c r="G1676" s="8" t="inlineStr">
        <is>
          <t>基础/顶层</t>
        </is>
      </c>
      <c r="H1676" s="8" t="inlineStr"/>
      <c r="I1676" s="9" t="inlineStr"/>
      <c r="J1676" s="8" t="inlineStr"/>
      <c r="K1676" s="8" t="inlineStr"/>
      <c r="L1676" s="8" t="inlineStr"/>
      <c r="M1676" s="8" t="inlineStr">
        <is>
          <t>周期触发</t>
        </is>
      </c>
      <c r="N1676" s="8" t="inlineStr">
        <is>
          <t>periodicPulse</t>
        </is>
      </c>
      <c r="O1676" s="9" t="inlineStr">
        <is>
          <t>轮转时，恢复自身 120 点体力</t>
        </is>
      </c>
      <c r="P1676" s="9" t="inlineStr"/>
      <c r="Q1676" s="9" t="inlineStr"/>
      <c r="R1676" s="9" t="inlineStr">
        <is>
          <t>{"kind":"periodicPulse","periodicPulse":{"intervalSec":20,"label":"轮转时，恢复自身 120 点体力","primaryStatGains":[{"stat":"stamina","amount":120}]},"executionScope":"beast","visibilityScope":"beast"}</t>
        </is>
      </c>
    </row>
    <row r="1677" ht="32" customHeight="1">
      <c r="A1677" s="8" t="n">
        <v>500767</v>
      </c>
      <c r="B1677" s="8" t="inlineStr">
        <is>
          <t>回弹颈侧筋</t>
        </is>
      </c>
      <c r="C1677" s="8" t="inlineStr">
        <is>
          <t>材料</t>
        </is>
      </c>
      <c r="D1677" s="8" t="inlineStr">
        <is>
          <t>spirit</t>
        </is>
      </c>
      <c r="E1677" s="8" t="inlineStr">
        <is>
          <t>wind</t>
        </is>
      </c>
      <c r="F1677" s="8" t="n">
        <v>1</v>
      </c>
      <c r="G1677" s="8" t="inlineStr">
        <is>
          <t>基础/顶层</t>
        </is>
      </c>
      <c r="H1677" s="8" t="inlineStr"/>
      <c r="I1677" s="9" t="inlineStr"/>
      <c r="J1677" s="8" t="inlineStr"/>
      <c r="K1677" s="8" t="inlineStr"/>
      <c r="L1677" s="8" t="inlineStr"/>
      <c r="M1677" s="8" t="inlineStr">
        <is>
          <t>周期触发</t>
        </is>
      </c>
      <c r="N1677" s="8" t="inlineStr">
        <is>
          <t>periodicPulse</t>
        </is>
      </c>
      <c r="O1677" s="9" t="inlineStr">
        <is>
          <t>轮转时，恢复自身 120 点气血，获得 8 层灵巧</t>
        </is>
      </c>
      <c r="P1677" s="9" t="inlineStr"/>
      <c r="Q1677" s="9" t="inlineStr"/>
      <c r="R1677" s="9" t="inlineStr">
        <is>
          <t>{"kind":"periodicPulse","periodicPulse":{"intervalSec":18,"label":"轮转时，恢复自身 120 点气血，获得 8 层灵巧","primaryStatGains":[{"stat":"health","amount":120}],"buffGains":[{"buffId":"agile","count":8}]},"executionScope":"beast","visibilityScope":"beast"}</t>
        </is>
      </c>
    </row>
    <row r="1678" ht="32" customHeight="1">
      <c r="A1678" s="8" t="n">
        <v>500768</v>
      </c>
      <c r="B1678" s="8" t="inlineStr">
        <is>
          <t>踏震踝核</t>
        </is>
      </c>
      <c r="C1678" s="8" t="inlineStr">
        <is>
          <t>材料</t>
        </is>
      </c>
      <c r="D1678" s="8" t="inlineStr">
        <is>
          <t>spirit</t>
        </is>
      </c>
      <c r="E1678" s="8" t="inlineStr">
        <is>
          <t>earth</t>
        </is>
      </c>
      <c r="F1678" s="8" t="n">
        <v>1</v>
      </c>
      <c r="G1678" s="8" t="inlineStr">
        <is>
          <t>基础/顶层</t>
        </is>
      </c>
      <c r="H1678" s="8" t="inlineStr"/>
      <c r="I1678" s="9" t="inlineStr"/>
      <c r="J1678" s="8" t="inlineStr"/>
      <c r="K1678" s="8" t="inlineStr"/>
      <c r="L1678" s="8" t="inlineStr"/>
      <c r="M1678" s="8" t="inlineStr">
        <is>
          <t>周期触发</t>
        </is>
      </c>
      <c r="N1678" s="8" t="inlineStr">
        <is>
          <t>periodicPulse</t>
        </is>
      </c>
      <c r="O1678" s="9" t="inlineStr">
        <is>
          <t>轮转时，敌方拥有不少于 2 层坚硬时，消耗敌方 2 层坚硬和 4 层护甲，对敌方造成 100 点伤害</t>
        </is>
      </c>
      <c r="P1678" s="9" t="inlineStr"/>
      <c r="Q1678" s="9" t="inlineStr">
        <is>
          <t>targetBuffStacksGreaterThan</t>
        </is>
      </c>
      <c r="R1678" s="9" t="inlineStr">
        <is>
          <t>{"kind":"periodicPulse","periodicPulse":{"intervalSec":20,"label":"&lt;battle&gt;轮转时，敌方拥有不少于 2 层坚硬时，消耗敌方 2 层坚硬和 4 层护甲，对敌方造成 100 点伤害&lt;/battle&gt;","battleCondition":{"type":"targetBuffStacksGreaterThan","buffId":"sturdy","count":1},"removeBuffStacks":[{"target":"enemy","buffId":"sturdy","count":2},{"target":"enemy","buffId":"armor","count":4}],"damageHealth":{"target":"enemy","amount":100}},"executionScope":"beast","visibilityScope":"beast"}</t>
        </is>
      </c>
    </row>
    <row r="1679" ht="32" customHeight="1">
      <c r="A1679" s="8" t="n">
        <v>500769</v>
      </c>
      <c r="B1679" s="8" t="inlineStr">
        <is>
          <t>风听耳羽</t>
        </is>
      </c>
      <c r="C1679" s="8" t="inlineStr">
        <is>
          <t>材料</t>
        </is>
      </c>
      <c r="D1679" s="8" t="inlineStr">
        <is>
          <t>spirit</t>
        </is>
      </c>
      <c r="E1679" s="8" t="inlineStr">
        <is>
          <t>none</t>
        </is>
      </c>
      <c r="F1679" s="8" t="n">
        <v>1</v>
      </c>
      <c r="G1679" s="8" t="inlineStr">
        <is>
          <t>基础/顶层</t>
        </is>
      </c>
      <c r="H1679" s="8" t="inlineStr"/>
      <c r="I1679" s="9" t="inlineStr"/>
      <c r="J1679" s="8" t="inlineStr"/>
      <c r="K1679" s="8" t="inlineStr"/>
      <c r="L1679" s="8" t="inlineStr"/>
      <c r="M1679" s="8" t="inlineStr">
        <is>
          <t>周期触发</t>
        </is>
      </c>
      <c r="N1679" s="8" t="inlineStr">
        <is>
          <t>periodicPulse</t>
        </is>
      </c>
      <c r="O1679" s="9" t="inlineStr">
        <is>
          <t>轮转时，敌方拥有不少于 4 层冰霜时，消耗敌方 4 层冰霜，吸取敌人 8 点法力并造成 32 点伤害</t>
        </is>
      </c>
      <c r="P1679" s="9" t="inlineStr"/>
      <c r="Q1679" s="9" t="inlineStr">
        <is>
          <t>targetBuffStacksGreaterThan</t>
        </is>
      </c>
      <c r="R1679" s="9" t="inlineStr">
        <is>
          <t>{"kind":"periodicPulse","periodicPulse":{"intervalSec":16,"label":"&lt;battle&gt;轮转时，敌方拥有不少于 4 层冰霜时，消耗敌方 4 层冰霜，吸取敌人 8 点法力并造成 32 点伤害&lt;/battle&gt;","battleCondition":{"type":"targetBuffStacksGreaterThan","buffId":"frost","count":3},"removeBuffStacks":[{"target":"enemy","buffId":"frost","count":4}],"drainPrimaryStat":{"target":"enemy","stat":"mana","amount":8,"gainAmount":8},"damageHealth":{"target":"enemy","amount":32}},"executionScope":"beast","visibilityScope":"beast"}</t>
        </is>
      </c>
    </row>
    <row r="1680" ht="32" customHeight="1">
      <c r="A1680" s="8" t="n">
        <v>500775</v>
      </c>
      <c r="B1680" s="8" t="inlineStr">
        <is>
          <t>胸腔鸣膜</t>
        </is>
      </c>
      <c r="C1680" s="8" t="inlineStr">
        <is>
          <t>材料</t>
        </is>
      </c>
      <c r="D1680" s="8" t="inlineStr">
        <is>
          <t>spirit</t>
        </is>
      </c>
      <c r="E1680" s="8" t="inlineStr">
        <is>
          <t>water</t>
        </is>
      </c>
      <c r="F1680" s="8" t="n">
        <v>1</v>
      </c>
      <c r="G1680" s="8" t="inlineStr">
        <is>
          <t>基础/顶层</t>
        </is>
      </c>
      <c r="H1680" s="8" t="inlineStr"/>
      <c r="I1680" s="9" t="inlineStr"/>
      <c r="J1680" s="8" t="inlineStr"/>
      <c r="K1680" s="8" t="inlineStr"/>
      <c r="L1680" s="8" t="inlineStr"/>
      <c r="M1680" s="8" t="inlineStr">
        <is>
          <t>周期触发</t>
        </is>
      </c>
      <c r="N1680" s="8" t="inlineStr">
        <is>
          <t>periodicPulse</t>
        </is>
      </c>
      <c r="O1680" s="9" t="inlineStr">
        <is>
          <t>轮转时，将 40 点体力转化为自身 120 点气血</t>
        </is>
      </c>
      <c r="P1680" s="9" t="inlineStr"/>
      <c r="Q1680" s="9" t="inlineStr"/>
      <c r="R1680" s="9" t="inlineStr">
        <is>
          <t>{"kind":"periodicPulse","periodicPulse":{"intervalSec":18,"label":"轮转时，将 40 点体力转化为自身 120 点气血","primaryStatCosts":[{"stat":"stamina","amount":40}],"primaryStatGains":[{"stat":"health","amount":120}]},"executionScope":"beast","visibilityScope":"beast"}</t>
        </is>
      </c>
    </row>
    <row r="1681" ht="32" customHeight="1">
      <c r="A1681" s="8" t="n">
        <v>500776</v>
      </c>
      <c r="B1681" s="8" t="inlineStr">
        <is>
          <t>节足韧筋</t>
        </is>
      </c>
      <c r="C1681" s="8" t="inlineStr">
        <is>
          <t>材料</t>
        </is>
      </c>
      <c r="D1681" s="8" t="inlineStr">
        <is>
          <t>spirit</t>
        </is>
      </c>
      <c r="E1681" s="8" t="inlineStr">
        <is>
          <t>wood</t>
        </is>
      </c>
      <c r="F1681" s="8" t="n">
        <v>1</v>
      </c>
      <c r="G1681" s="8" t="inlineStr">
        <is>
          <t>基础/顶层</t>
        </is>
      </c>
      <c r="H1681" s="8" t="inlineStr"/>
      <c r="I1681" s="9" t="inlineStr"/>
      <c r="J1681" s="8" t="inlineStr"/>
      <c r="K1681" s="8" t="inlineStr"/>
      <c r="L1681" s="8" t="inlineStr"/>
      <c r="M1681" s="8" t="inlineStr">
        <is>
          <t>周期触发</t>
        </is>
      </c>
      <c r="N1681" s="8" t="inlineStr">
        <is>
          <t>periodicPulse</t>
        </is>
      </c>
      <c r="O1681" s="9" t="inlineStr">
        <is>
          <t>轮转时，消耗 20 点体力，获得 60 层凝金</t>
        </is>
      </c>
      <c r="P1681" s="9" t="inlineStr"/>
      <c r="Q1681" s="9" t="inlineStr"/>
      <c r="R1681" s="9" t="inlineStr">
        <is>
          <t>{"kind":"periodicPulse","periodicPulse":{"intervalSec":20,"label":"轮转时，消耗 20 点体力，获得 60 层凝金","primaryStatCosts":[{"stat":"stamina","amount":20}],"buffGains":[{"buffId":"condensedMetal","count":60}]},"executionScope":"beast","visibilityScope":"beast"}</t>
        </is>
      </c>
    </row>
    <row r="1682" ht="32" customHeight="1">
      <c r="A1682" s="8" t="n">
        <v>500777</v>
      </c>
      <c r="B1682" s="8" t="inlineStr">
        <is>
          <t>盔角髓晶</t>
        </is>
      </c>
      <c r="C1682" s="8" t="inlineStr">
        <is>
          <t>材料</t>
        </is>
      </c>
      <c r="D1682" s="8" t="inlineStr">
        <is>
          <t>spirit</t>
        </is>
      </c>
      <c r="E1682" s="8" t="inlineStr">
        <is>
          <t>earth</t>
        </is>
      </c>
      <c r="F1682" s="8" t="n">
        <v>1</v>
      </c>
      <c r="G1682" s="8" t="inlineStr">
        <is>
          <t>基础/顶层</t>
        </is>
      </c>
      <c r="H1682" s="8" t="inlineStr"/>
      <c r="I1682" s="9" t="inlineStr"/>
      <c r="J1682" s="8" t="inlineStr"/>
      <c r="K1682" s="8" t="inlineStr"/>
      <c r="L1682" s="8" t="inlineStr"/>
      <c r="M1682" s="8" t="inlineStr">
        <is>
          <t>周期触发</t>
        </is>
      </c>
      <c r="N1682" s="8" t="inlineStr">
        <is>
          <t>periodicPulse</t>
        </is>
      </c>
      <c r="O1682" s="9" t="inlineStr">
        <is>
          <t>轮转时，消耗 20 点体力，扣除敌方 220 点体力</t>
        </is>
      </c>
      <c r="P1682" s="9" t="inlineStr"/>
      <c r="Q1682" s="9" t="inlineStr"/>
      <c r="R1682" s="9" t="inlineStr">
        <is>
          <t>{"kind":"periodicPulse","periodicPulse":{"intervalSec":24,"label":"&lt;battle&gt;轮转时，消耗 20 点体力，扣除敌方 220 点体力&lt;/battle&gt;","primaryStatCosts":[{"stat":"stamina","amount":20}],"primaryStatDamages":[{"target":"enemy","stat":"stamina","amount":220}]},"executionScope":"beast","visibilityScope":"beast"}</t>
        </is>
      </c>
    </row>
    <row r="1683" ht="32" customHeight="1">
      <c r="A1683" s="8" t="n">
        <v>500786</v>
      </c>
      <c r="B1683" s="8" t="inlineStr">
        <is>
          <t>平衡尾舵羽</t>
        </is>
      </c>
      <c r="C1683" s="8" t="inlineStr">
        <is>
          <t>材料</t>
        </is>
      </c>
      <c r="D1683" s="8" t="inlineStr">
        <is>
          <t>spirit</t>
        </is>
      </c>
      <c r="E1683" s="8" t="inlineStr">
        <is>
          <t>wood</t>
        </is>
      </c>
      <c r="F1683" s="8" t="n">
        <v>1</v>
      </c>
      <c r="G1683" s="8" t="inlineStr">
        <is>
          <t>基础/顶层</t>
        </is>
      </c>
      <c r="H1683" s="8" t="inlineStr"/>
      <c r="I1683" s="9" t="inlineStr"/>
      <c r="J1683" s="8" t="inlineStr"/>
      <c r="K1683" s="8" t="inlineStr"/>
      <c r="L1683" s="8" t="inlineStr"/>
      <c r="M1683" s="8" t="inlineStr">
        <is>
          <t>周期触发</t>
        </is>
      </c>
      <c r="N1683" s="8" t="inlineStr">
        <is>
          <t>periodicPulse</t>
        </is>
      </c>
      <c r="O1683" s="9" t="inlineStr">
        <is>
          <t>轮转时，消耗 16 点法力，扣除敌方 40 点体力和 48 点法力</t>
        </is>
      </c>
      <c r="P1683" s="9" t="inlineStr"/>
      <c r="Q1683" s="9" t="inlineStr"/>
      <c r="R1683" s="9" t="inlineStr">
        <is>
          <t>{"kind":"periodicPulse","periodicPulse":{"intervalSec":15,"label":"&lt;battle&gt;轮转时，消耗 16 点法力，扣除敌方 40 点体力和 48 点法力&lt;/battle&gt;","primaryStatCosts":[{"stat":"mana","amount":16}],"primaryStatDamages":[{"target":"enemy","stat":"stamina","amount":40},{"target":"enemy","stat":"mana","amount":48}]},"executionScope":"beast","visibilityScope":"beast"}</t>
        </is>
      </c>
    </row>
    <row r="1684" ht="32" customHeight="1">
      <c r="A1684" s="8" t="n">
        <v>500787</v>
      </c>
      <c r="B1684" s="8" t="inlineStr">
        <is>
          <t>绷弦翼根筋</t>
        </is>
      </c>
      <c r="C1684" s="8" t="inlineStr">
        <is>
          <t>材料</t>
        </is>
      </c>
      <c r="D1684" s="8" t="inlineStr">
        <is>
          <t>spirit</t>
        </is>
      </c>
      <c r="E1684" s="8" t="inlineStr">
        <is>
          <t>wood</t>
        </is>
      </c>
      <c r="F1684" s="8" t="n">
        <v>1</v>
      </c>
      <c r="G1684" s="8" t="inlineStr">
        <is>
          <t>基础/顶层</t>
        </is>
      </c>
      <c r="H1684" s="8" t="inlineStr"/>
      <c r="I1684" s="9" t="inlineStr"/>
      <c r="J1684" s="8" t="inlineStr"/>
      <c r="K1684" s="8" t="inlineStr"/>
      <c r="L1684" s="8" t="inlineStr"/>
      <c r="M1684" s="8" t="inlineStr">
        <is>
          <t>周期触发</t>
        </is>
      </c>
      <c r="N1684" s="8" t="inlineStr">
        <is>
          <t>periodicPulse</t>
        </is>
      </c>
      <c r="O1684" s="9" t="inlineStr">
        <is>
          <t>轮转时，消耗 44 点法力；最多消耗 48 层凝金，每消耗 1 层恢复自身 5 点法力</t>
        </is>
      </c>
      <c r="P1684" s="9" t="inlineStr">
        <is>
          <t>onPeriodicPulse</t>
        </is>
      </c>
      <c r="Q1684" s="9" t="inlineStr">
        <is>
          <t>consumeBuffStacks</t>
        </is>
      </c>
      <c r="R1684" s="9" t="inlineStr">
        <is>
          <t>{"kind":"periodicPulse","periodicPulse":{"intervalSec":20,"label":"轮转时，消耗 44 点法力；最多消耗 48 层凝金，每消耗 1 层恢复自身 5 点法力","primaryStatCosts":[{"stat":"mana","amount":44}]},"executors":[{"trigger":"onPeriodicPulse","type":"consumeBuffStacks","sourceBuffId":"condensedMetal","maxStacks":48,"primaryStatGainPerStack":{"stat":"mana","amount":5}}],"executionScope":"beast","visibilityScope":"beast"}</t>
        </is>
      </c>
    </row>
    <row r="1685" ht="32" customHeight="1">
      <c r="A1685" s="8" t="n">
        <v>500788</v>
      </c>
      <c r="B1685" s="8" t="inlineStr">
        <is>
          <t>共鸣胸骨板</t>
        </is>
      </c>
      <c r="C1685" s="8" t="inlineStr">
        <is>
          <t>材料</t>
        </is>
      </c>
      <c r="D1685" s="8" t="inlineStr">
        <is>
          <t>spirit</t>
        </is>
      </c>
      <c r="E1685" s="8" t="inlineStr">
        <is>
          <t>water</t>
        </is>
      </c>
      <c r="F1685" s="8" t="n">
        <v>1</v>
      </c>
      <c r="G1685" s="8" t="inlineStr">
        <is>
          <t>基础/顶层</t>
        </is>
      </c>
      <c r="H1685" s="8" t="inlineStr"/>
      <c r="I1685" s="9" t="inlineStr"/>
      <c r="J1685" s="8" t="inlineStr"/>
      <c r="K1685" s="8" t="inlineStr"/>
      <c r="L1685" s="8" t="inlineStr"/>
      <c r="M1685" s="8" t="inlineStr">
        <is>
          <t>周期触发</t>
        </is>
      </c>
      <c r="N1685" s="8" t="inlineStr">
        <is>
          <t>periodicPulse</t>
        </is>
      </c>
      <c r="O1685" s="9" t="inlineStr">
        <is>
          <t>轮转时，消耗 60 点法力，对敌方造成 360 点伤害；最多消耗敌方 12 层护甲，每消耗 1 层追加 10 点伤害</t>
        </is>
      </c>
      <c r="P1685" s="9" t="inlineStr">
        <is>
          <t>onPeriodicPulse</t>
        </is>
      </c>
      <c r="Q1685" s="9" t="inlineStr">
        <is>
          <t>consumeBuffStacks</t>
        </is>
      </c>
      <c r="R1685" s="9" t="inlineStr">
        <is>
          <t>{"kind":"periodicPulse","periodicPulse":{"intervalSec":15,"label":"&lt;battle&gt;轮转时，消耗 60 点法力，对敌方造成 360 点伤害；最多消耗敌方 12 层护甲，每消耗 1 层追加 10 点伤害&lt;/battle&gt;","primaryStatCosts":[{"stat":"mana","amount":60}],"damageHealth":{"target":"enemy","amount":360}},"executors":[{"trigger":"onPeriodicPulse","type":"consumeBuffStacks","sourceBuffId":"armor","consumeTargetActor":"enemy","maxStacks":12,"battleDamageHealthPerStack":10,"support":"battleOnly"}],"executionScope":"beast","visibilityScope":"beast"}</t>
        </is>
      </c>
    </row>
    <row r="1686" ht="32" customHeight="1">
      <c r="A1686" s="8" t="n">
        <v>500800</v>
      </c>
      <c r="B1686" s="8" t="inlineStr">
        <is>
          <t>青阙犀角符</t>
        </is>
      </c>
      <c r="C1686" s="8" t="inlineStr">
        <is>
          <t>材料</t>
        </is>
      </c>
      <c r="D1686" s="8" t="inlineStr">
        <is>
          <t>common</t>
        </is>
      </c>
      <c r="E1686" s="8" t="inlineStr">
        <is>
          <t>fire</t>
        </is>
      </c>
      <c r="F1686" s="8" t="n">
        <v>1</v>
      </c>
      <c r="G1686" s="8" t="inlineStr">
        <is>
          <t>基础/顶层</t>
        </is>
      </c>
      <c r="H1686" s="8" t="inlineStr"/>
      <c r="I1686" s="9" t="inlineStr"/>
      <c r="J1686" s="8" t="inlineStr"/>
      <c r="K1686" s="8" t="inlineStr"/>
      <c r="L1686" s="8" t="inlineStr"/>
      <c r="M1686" s="8" t="inlineStr">
        <is>
          <t>周期触发</t>
        </is>
      </c>
      <c r="N1686" s="8" t="inlineStr">
        <is>
          <t>periodicPulse</t>
        </is>
      </c>
      <c r="O1686" s="9" t="inlineStr">
        <is>
          <t>轮转时，消耗 1 点法力，每有 1 层蓄势，对敌方造成 1 点伤害</t>
        </is>
      </c>
      <c r="P1686" s="9" t="inlineStr"/>
      <c r="Q1686" s="9" t="inlineStr"/>
      <c r="R1686" s="9" t="inlineStr">
        <is>
          <t>{"kind":"periodicPulse","periodicPulse":{"intervalSec":10,"label":"&lt;battle&gt;轮转时，消耗 1 点法力，每有 1 层蓄势，对敌方造成 1 点伤害&lt;/battle&gt;","primaryStatCosts":[{"stat":"mana","amount":1}],"damageHealth":{"target":"enemy","amount":0,"amountPerSourceBuffStack":{"buffId":"heavy","valuePerStack":1}}},"label":"&lt;battle&gt;轮转时，消耗 1 点法力，每有 1 层蓄势，对敌方造成 1 点伤害&lt;/battle&gt;","executionScope":"beast","visibilityScope":"beast"}</t>
        </is>
      </c>
    </row>
    <row r="1687" ht="32" customHeight="1">
      <c r="A1687" s="8" t="n">
        <v>500801</v>
      </c>
      <c r="B1687" s="8" t="inlineStr">
        <is>
          <t>镇旗髓结</t>
        </is>
      </c>
      <c r="C1687" s="8" t="inlineStr">
        <is>
          <t>材料</t>
        </is>
      </c>
      <c r="D1687" s="8" t="inlineStr">
        <is>
          <t>common</t>
        </is>
      </c>
      <c r="E1687" s="8" t="inlineStr">
        <is>
          <t>fire</t>
        </is>
      </c>
      <c r="F1687" s="8" t="n">
        <v>1</v>
      </c>
      <c r="G1687" s="8" t="inlineStr">
        <is>
          <t>基础/顶层</t>
        </is>
      </c>
      <c r="H1687" s="8" t="inlineStr"/>
      <c r="I1687" s="9" t="inlineStr"/>
      <c r="J1687" s="8" t="inlineStr"/>
      <c r="K1687" s="8" t="inlineStr"/>
      <c r="L1687" s="8" t="inlineStr"/>
      <c r="M1687" s="8" t="inlineStr">
        <is>
          <t>周期触发</t>
        </is>
      </c>
      <c r="N1687" s="8" t="inlineStr">
        <is>
          <t>periodicPulse</t>
        </is>
      </c>
      <c r="O1687" s="9" t="inlineStr">
        <is>
          <t>开局时，获得 3 层坚硬</t>
        </is>
      </c>
      <c r="P1687" s="9" t="inlineStr">
        <is>
          <t>onPeriodicPulse</t>
        </is>
      </c>
      <c r="Q1687" s="9" t="inlineStr">
        <is>
          <t>applyBuff</t>
        </is>
      </c>
      <c r="R1687" s="9" t="inlineStr">
        <is>
          <t>{"kind":"periodicPulse","periodicPulse":{"label":"开局时，获得 3 层坚硬","startOnly":true},"label":"开局时，获得 3 层坚硬","executors":[{"trigger":"onPeriodicPulse","type":"applyBuff","label":"开局时，获得 3 层坚硬","buffId":"sturdy","count":3,"targetActor":"self"}],"executionScope":"beast","visibilityScope":"beast"}</t>
        </is>
      </c>
    </row>
    <row r="1688" ht="32" customHeight="1">
      <c r="A1688" s="8" t="n">
        <v>500801</v>
      </c>
      <c r="B1688" s="8" t="inlineStr">
        <is>
          <t>镇旗髓结</t>
        </is>
      </c>
      <c r="C1688" s="8" t="inlineStr">
        <is>
          <t>材料</t>
        </is>
      </c>
      <c r="D1688" s="8" t="inlineStr">
        <is>
          <t>common</t>
        </is>
      </c>
      <c r="E1688" s="8" t="inlineStr">
        <is>
          <t>fire</t>
        </is>
      </c>
      <c r="F1688" s="8" t="n">
        <v>2</v>
      </c>
      <c r="G1688" s="8" t="inlineStr">
        <is>
          <t>基础/顶层</t>
        </is>
      </c>
      <c r="H1688" s="8" t="inlineStr"/>
      <c r="I1688" s="9" t="inlineStr"/>
      <c r="J1688" s="8" t="inlineStr"/>
      <c r="K1688" s="8" t="inlineStr"/>
      <c r="L1688" s="8" t="inlineStr"/>
      <c r="M1688" s="8" t="inlineStr">
        <is>
          <t>周期触发</t>
        </is>
      </c>
      <c r="N1688" s="8" t="inlineStr">
        <is>
          <t>periodicPulse</t>
        </is>
      </c>
      <c r="O1688" s="9" t="inlineStr">
        <is>
          <t>轮转时，恢复自身 1 点气血</t>
        </is>
      </c>
      <c r="P1688" s="9" t="inlineStr"/>
      <c r="Q1688" s="9" t="inlineStr"/>
      <c r="R1688" s="9" t="inlineStr">
        <is>
          <t>{"kind":"periodicPulse","periodicPulse":{"intervalSec":20,"label":"&lt;battle&gt;轮转时，恢复自身 1 点气血&lt;/battle&gt;","primaryStatGains":[{"stat":"health","amount":1}]},"label":"&lt;battle&gt;轮转时，恢复自身 1 点气血&lt;/battle&gt;","executionScope":"beast","visibilityScope":"beast"}</t>
        </is>
      </c>
    </row>
    <row r="1689" ht="32" customHeight="1">
      <c r="A1689" s="8" t="n">
        <v>600001</v>
      </c>
      <c r="B1689" s="8" t="inlineStr">
        <is>
          <t>小周天阵盘</t>
        </is>
      </c>
      <c r="C1689" s="8" t="inlineStr">
        <is>
          <t>阵法</t>
        </is>
      </c>
      <c r="D1689" s="8" t="inlineStr">
        <is>
          <t>common</t>
        </is>
      </c>
      <c r="E1689" s="8" t="inlineStr">
        <is>
          <t>wood</t>
        </is>
      </c>
      <c r="F1689" s="8" t="n">
        <v>1</v>
      </c>
      <c r="G1689" s="8" t="inlineStr">
        <is>
          <t>基础/顶层</t>
        </is>
      </c>
      <c r="H1689" s="8" t="inlineStr"/>
      <c r="I1689" s="9" t="inlineStr"/>
      <c r="J1689" s="8" t="inlineStr"/>
      <c r="K1689" s="8" t="inlineStr"/>
      <c r="L1689" s="8" t="inlineStr"/>
      <c r="M1689" s="8" t="inlineStr">
        <is>
          <t>说明/执行器</t>
        </is>
      </c>
      <c r="N1689" s="8" t="inlineStr">
        <is>
          <t>effectNote</t>
        </is>
      </c>
      <c r="O1689" s="9" t="inlineStr">
        <is>
          <t>变阵：所有己方储物袋道具获得 2 秒加速；变阵：所有己方储物袋道具获得 2.5 秒加速；变阵：所有己方储物袋道具获得 3 秒加速；变阵：所有己方储物袋道具获得 3.5 秒加速</t>
        </is>
      </c>
      <c r="P1689" s="9" t="inlineStr">
        <is>
          <t>formationSwitch</t>
        </is>
      </c>
      <c r="Q1689" s="9" t="inlineStr">
        <is>
          <t>itemRuntimeStatus</t>
        </is>
      </c>
      <c r="R1689" s="9" t="inlineStr">
        <is>
          <t>{"kind":"effectNote","label":"变阵：所有己方储物袋道具获得 2 秒加速","executors":[{"trigger":"formationSwitch","type":"itemRuntimeStatus","label":"变阵：所有己方储物袋道具获得 2 秒加速","itemRuntimeStatus":"haste","durationSec":2,"targetActor":"self","targetScope":"selfAll"}],"starOverrides":{"1":{"label":"变阵：所有己方储物袋道具获得 2.5 秒加速","executors":[{"durationSec":2.5,"label":"变阵：所有己方储物袋道具获得 2.5 秒加速"}]},"2":{"label":"变阵：所有己方储物袋道具获得 3 秒加速","executors":[{"durationSec":3,"label":"变阵：所有己方储物袋道具获得 3 秒加速"}]},"3":{"label":"变阵：所有己方储物袋道具获得 3.5 秒加速","executors":[{"durationSec":3.5,"label":"变阵：所有己方储物袋道具获得 3.5 秒加速"}]}}}</t>
        </is>
      </c>
    </row>
    <row r="1690" ht="32" customHeight="1">
      <c r="A1690" s="8" t="n">
        <v>600002</v>
      </c>
      <c r="B1690" s="8" t="inlineStr">
        <is>
          <t>寒锁阵盘</t>
        </is>
      </c>
      <c r="C1690" s="8" t="inlineStr">
        <is>
          <t>阵法</t>
        </is>
      </c>
      <c r="D1690" s="8" t="inlineStr">
        <is>
          <t>common</t>
        </is>
      </c>
      <c r="E1690" s="8" t="inlineStr">
        <is>
          <t>water</t>
        </is>
      </c>
      <c r="F1690" s="8" t="n">
        <v>1</v>
      </c>
      <c r="G1690" s="8" t="inlineStr">
        <is>
          <t>基础/顶层</t>
        </is>
      </c>
      <c r="H1690" s="8" t="inlineStr"/>
      <c r="I1690" s="9" t="inlineStr"/>
      <c r="J1690" s="8" t="inlineStr"/>
      <c r="K1690" s="8" t="inlineStr"/>
      <c r="L1690" s="8" t="inlineStr"/>
      <c r="M1690" s="8" t="inlineStr">
        <is>
          <t>说明/执行器</t>
        </is>
      </c>
      <c r="N1690" s="8" t="inlineStr">
        <is>
          <t>effectNote</t>
        </is>
      </c>
      <c r="O1690" s="9" t="inlineStr">
        <is>
          <t>变阵：冻结敌方 3 个道具 3 秒</t>
        </is>
      </c>
      <c r="P1690" s="9" t="inlineStr">
        <is>
          <t>formationSwitch</t>
        </is>
      </c>
      <c r="Q1690" s="9" t="inlineStr">
        <is>
          <t>itemRuntimeStatus</t>
        </is>
      </c>
      <c r="R1690" s="9" t="inlineStr">
        <is>
          <t>{"kind":"effectNote","label":"变阵：冻结敌方 3 个道具 3 秒","executors":[{"trigger":"formationSwitch","type":"itemRuntimeStatus","label":"变阵：冻结敌方 3 个道具 3 秒","itemRuntimeStatus":"freeze","durationSec":3,"targetActor":"enemy","targetScope":"enemyRandom","amount":3}]}</t>
        </is>
      </c>
    </row>
    <row r="1691" ht="32" customHeight="1">
      <c r="A1691" s="8" t="n">
        <v>600003</v>
      </c>
      <c r="B1691" s="8" t="inlineStr">
        <is>
          <t>归元阵盘</t>
        </is>
      </c>
      <c r="C1691" s="8" t="inlineStr">
        <is>
          <t>阵法</t>
        </is>
      </c>
      <c r="D1691" s="8" t="inlineStr">
        <is>
          <t>common</t>
        </is>
      </c>
      <c r="E1691" s="8" t="inlineStr">
        <is>
          <t>water</t>
        </is>
      </c>
      <c r="F1691" s="8" t="n">
        <v>1</v>
      </c>
      <c r="G1691" s="8" t="inlineStr">
        <is>
          <t>基础/顶层</t>
        </is>
      </c>
      <c r="H1691" s="8" t="inlineStr"/>
      <c r="I1691" s="9" t="inlineStr"/>
      <c r="J1691" s="8" t="inlineStr"/>
      <c r="K1691" s="8" t="inlineStr"/>
      <c r="L1691" s="8" t="inlineStr"/>
      <c r="M1691" s="8" t="inlineStr">
        <is>
          <t>说明/执行器</t>
        </is>
      </c>
      <c r="N1691" s="8" t="inlineStr">
        <is>
          <t>effectNote</t>
        </is>
      </c>
      <c r="O1691" s="9" t="inlineStr">
        <is>
          <t>变阵：恢复 10 点气血；变阵：恢复 20 点气血；变阵：恢复 30 点气血；变阵：恢复 40 点气血</t>
        </is>
      </c>
      <c r="P1691" s="9" t="inlineStr">
        <is>
          <t>formationSwitch</t>
        </is>
      </c>
      <c r="Q1691" s="9" t="inlineStr">
        <is>
          <t>modifyPlayerPrimaryStat</t>
        </is>
      </c>
      <c r="R1691" s="9" t="inlineStr">
        <is>
          <t>{"kind":"effectNote","label":"变阵：恢复 10 点气血","executors":[{"trigger":"formationSwitch","type":"modifyPlayerPrimaryStat","label":"变阵：恢复 10 点气血","stat":"health","delta":10}],"starOverrides":{"1":{"label":"变阵：恢复 20 点气血","executors":[{"delta":20,"label":"变阵：恢复 20 点气血"}]},"2":{"label":"变阵：恢复 30 点气血","executors":[{"delta":30,"label":"变阵：恢复 30 点气血"}]},"3":{"label":"变阵：恢复 40 点气血","executors":[{"delta":40,"label":"变阵：恢复 40 点气血"}]}}}</t>
        </is>
      </c>
    </row>
    <row r="1692" ht="32" customHeight="1">
      <c r="A1692" s="8" t="n">
        <v>600004</v>
      </c>
      <c r="B1692" s="8" t="inlineStr">
        <is>
          <t>厚土沉岳阵</t>
        </is>
      </c>
      <c r="C1692" s="8" t="inlineStr">
        <is>
          <t>阵法</t>
        </is>
      </c>
      <c r="D1692" s="8" t="inlineStr">
        <is>
          <t>common</t>
        </is>
      </c>
      <c r="E1692" s="8" t="inlineStr">
        <is>
          <t>earth</t>
        </is>
      </c>
      <c r="F1692" s="8" t="n">
        <v>1</v>
      </c>
      <c r="G1692" s="8" t="inlineStr">
        <is>
          <t>基础/顶层</t>
        </is>
      </c>
      <c r="H1692" s="8" t="inlineStr"/>
      <c r="I1692" s="9" t="inlineStr"/>
      <c r="J1692" s="8" t="inlineStr"/>
      <c r="K1692" s="8" t="inlineStr"/>
      <c r="L1692" s="8" t="inlineStr"/>
      <c r="M1692" s="8" t="inlineStr">
        <is>
          <t>说明/执行器</t>
        </is>
      </c>
      <c r="N1692" s="8" t="inlineStr">
        <is>
          <t>effectNote</t>
        </is>
      </c>
      <c r="O1692" s="9" t="inlineStr">
        <is>
          <t>变阵：每相邻 1 个土属性道具，对敌方施加 1 层冰霜</t>
        </is>
      </c>
      <c r="P1692" s="9" t="inlineStr">
        <is>
          <t>formationSwitch</t>
        </is>
      </c>
      <c r="Q1692" s="9" t="inlineStr">
        <is>
          <t>applyBuff</t>
        </is>
      </c>
      <c r="R1692" s="9" t="inlineStr">
        <is>
          <t>{"kind":"effectNote","label":"变阵：每相邻 1 个土属性道具，对敌方施加 1 层冰霜","executors":[{"trigger":"formationSwitch","type":"applyBuff","label":"变阵：每相邻 1 个土属性道具，对敌方施加 1 层冰霜","buffId":"frost","count":1,"targetActor":"enemy","scaling":{"mode":"count","source":"adjacentItems","elements":["earth"]}}]}</t>
        </is>
      </c>
    </row>
    <row r="1693" ht="32" customHeight="1">
      <c r="A1693" s="8" t="n">
        <v>600005</v>
      </c>
      <c r="B1693" s="8" t="inlineStr">
        <is>
          <t>回元养息阵</t>
        </is>
      </c>
      <c r="C1693" s="8" t="inlineStr">
        <is>
          <t>阵法</t>
        </is>
      </c>
      <c r="D1693" s="8" t="inlineStr">
        <is>
          <t>common</t>
        </is>
      </c>
      <c r="E1693" s="8" t="inlineStr">
        <is>
          <t>wood</t>
        </is>
      </c>
      <c r="F1693" s="8" t="n">
        <v>1</v>
      </c>
      <c r="G1693" s="8" t="inlineStr">
        <is>
          <t>基础/顶层</t>
        </is>
      </c>
      <c r="H1693" s="8" t="inlineStr"/>
      <c r="I1693" s="9" t="inlineStr"/>
      <c r="J1693" s="8" t="inlineStr"/>
      <c r="K1693" s="8" t="inlineStr"/>
      <c r="L1693" s="8" t="inlineStr"/>
      <c r="M1693" s="8" t="inlineStr">
        <is>
          <t>说明/执行器</t>
        </is>
      </c>
      <c r="N1693" s="8" t="inlineStr">
        <is>
          <t>effectNote</t>
        </is>
      </c>
      <c r="O1693" s="9" t="inlineStr">
        <is>
          <t>变阵：6 秒内，体力的恢复量翻倍；变阵：8 秒内，体力的恢复量翻倍；变阵：10 秒内，体力的恢复量翻倍；变阵：12 秒内，体力的恢复量翻倍</t>
        </is>
      </c>
      <c r="P1693" s="9" t="inlineStr">
        <is>
          <t>formationSwitch</t>
        </is>
      </c>
      <c r="Q1693" s="9" t="inlineStr">
        <is>
          <t>temporaryPrimaryStatGainMultiplier</t>
        </is>
      </c>
      <c r="R1693" s="9" t="inlineStr">
        <is>
          <t>{"kind":"effectNote","label":"变阵：6 秒内，体力的恢复量翻倍","executors":[{"trigger":"formationSwitch","type":"temporaryPrimaryStatGainMultiplier","label":"变阵：6 秒内，体力的恢复量翻倍","stat":"stamina","multiplier":2,"durationSec":6}],"starOverrides":{"1":{"label":"变阵：8 秒内，体力的恢复量翻倍","executors":[{"durationSec":8,"label":"变阵：8 秒内，体力的恢复量翻倍"}]},"2":{"label":"变阵：10 秒内，体力的恢复量翻倍","executors":[{"durationSec":10,"label":"变阵：10 秒内，体力的恢复量翻倍"}]},"3":{"label":"变阵：12 秒内，体力的恢复量翻倍","executors":[{"durationSec":12,"label":"变阵：12 秒内，体力的恢复量翻倍"}]}}}</t>
        </is>
      </c>
    </row>
    <row r="1694" ht="32" customHeight="1">
      <c r="A1694" s="8" t="n">
        <v>600006</v>
      </c>
      <c r="B1694" s="8" t="inlineStr">
        <is>
          <t>潮引归灵阵</t>
        </is>
      </c>
      <c r="C1694" s="8" t="inlineStr">
        <is>
          <t>阵法</t>
        </is>
      </c>
      <c r="D1694" s="8" t="inlineStr">
        <is>
          <t>common</t>
        </is>
      </c>
      <c r="E1694" s="8" t="inlineStr">
        <is>
          <t>water</t>
        </is>
      </c>
      <c r="F1694" s="8" t="n">
        <v>1</v>
      </c>
      <c r="G1694" s="8" t="inlineStr">
        <is>
          <t>基础/顶层</t>
        </is>
      </c>
      <c r="H1694" s="8" t="inlineStr"/>
      <c r="I1694" s="9" t="inlineStr"/>
      <c r="J1694" s="8" t="inlineStr"/>
      <c r="K1694" s="8" t="inlineStr"/>
      <c r="L1694" s="8" t="inlineStr"/>
      <c r="M1694" s="8" t="inlineStr">
        <is>
          <t>说明/执行器</t>
        </is>
      </c>
      <c r="N1694" s="8" t="inlineStr">
        <is>
          <t>effectNote</t>
        </is>
      </c>
      <c r="O1694" s="9" t="inlineStr">
        <is>
          <t>变阵：6 秒内，法力的恢复量翻倍；变阵：8 秒内，法力的恢复量翻倍；变阵：10 秒内，法力的恢复量翻倍；变阵：12 秒内，法力的恢复量翻倍</t>
        </is>
      </c>
      <c r="P1694" s="9" t="inlineStr">
        <is>
          <t>formationSwitch</t>
        </is>
      </c>
      <c r="Q1694" s="9" t="inlineStr">
        <is>
          <t>temporaryPrimaryStatGainMultiplier</t>
        </is>
      </c>
      <c r="R1694" s="9" t="inlineStr">
        <is>
          <t>{"kind":"effectNote","label":"变阵：6 秒内，法力的恢复量翻倍","executors":[{"trigger":"formationSwitch","type":"temporaryPrimaryStatGainMultiplier","label":"变阵：6 秒内，法力的恢复量翻倍","stat":"mana","multiplier":2,"durationSec":6}],"starOverrides":{"1":{"label":"变阵：8 秒内，法力的恢复量翻倍","executors":[{"durationSec":8,"label":"变阵：8 秒内，法力的恢复量翻倍"}]},"2":{"label":"变阵：10 秒内，法力的恢复量翻倍","executors":[{"durationSec":10,"label":"变阵：10 秒内，法力的恢复量翻倍"}]},"3":{"label":"变阵：12 秒内，法力的恢复量翻倍","executors":[{"durationSec":12,"label":"变阵：12 秒内，法力的恢复量翻倍"}]}}}</t>
        </is>
      </c>
    </row>
    <row r="1695" ht="32" customHeight="1">
      <c r="A1695" s="8" t="n">
        <v>600007</v>
      </c>
      <c r="B1695" s="8" t="inlineStr">
        <is>
          <t>玄水护心阵</t>
        </is>
      </c>
      <c r="C1695" s="8" t="inlineStr">
        <is>
          <t>阵法</t>
        </is>
      </c>
      <c r="D1695" s="8" t="inlineStr">
        <is>
          <t>common</t>
        </is>
      </c>
      <c r="E1695" s="8" t="inlineStr">
        <is>
          <t>water</t>
        </is>
      </c>
      <c r="F1695" s="8" t="n">
        <v>1</v>
      </c>
      <c r="G1695" s="8" t="inlineStr">
        <is>
          <t>基础/顶层</t>
        </is>
      </c>
      <c r="H1695" s="8" t="inlineStr"/>
      <c r="I1695" s="9" t="inlineStr"/>
      <c r="J1695" s="8" t="inlineStr"/>
      <c r="K1695" s="8" t="inlineStr"/>
      <c r="L1695" s="8" t="inlineStr"/>
      <c r="M1695" s="8" t="inlineStr">
        <is>
          <t>说明/执行器</t>
        </is>
      </c>
      <c r="N1695" s="8" t="inlineStr">
        <is>
          <t>effectNote</t>
        </is>
      </c>
      <c r="O1695" s="9" t="inlineStr">
        <is>
          <t>变阵：6 秒内，使用法力来抵御伤害；变阵：8 秒内，使用法力来抵御伤害；变阵：10 秒内，使用法力来抵御伤害；变阵：12 秒内，使用法力来抵御伤害</t>
        </is>
      </c>
      <c r="P1695" s="9" t="inlineStr">
        <is>
          <t>formationSwitch</t>
        </is>
      </c>
      <c r="Q1695" s="9" t="inlineStr">
        <is>
          <t>temporaryIncomingHealthDamagePrimaryStatShield</t>
        </is>
      </c>
      <c r="R1695" s="9" t="inlineStr">
        <is>
          <t>{"kind":"effectNote","label":"变阵：6 秒内，使用法力来抵御伤害","executors":[{"trigger":"formationSwitch","type":"temporaryIncomingHealthDamagePrimaryStatShield","label":"变阵：6 秒内，使用法力来抵御伤害","stat":"mana","ratio":1,"durationSec":6,"support":"battleOnly"}],"starOverrides":{"1":{"label":"变阵：8 秒内，使用法力来抵御伤害","executors":[{"durationSec":8,"label":"变阵：8 秒内，使用法力来抵御伤害"}]},"2":{"label":"变阵：10 秒内，使用法力来抵御伤害","executors":[{"durationSec":10,"label":"变阵：10 秒内，使用法力来抵御伤害"}]},"3":{"label":"变阵：12 秒内，使用法力来抵御伤害","executors":[{"durationSec":12,"label":"变阵：12 秒内，使用法力来抵御伤害"}]}}}</t>
        </is>
      </c>
    </row>
    <row r="1696" ht="32" customHeight="1">
      <c r="A1696" s="8" t="n">
        <v>600008</v>
      </c>
      <c r="B1696" s="8" t="inlineStr">
        <is>
          <t>赤莲铸甲阵</t>
        </is>
      </c>
      <c r="C1696" s="8" t="inlineStr">
        <is>
          <t>阵法</t>
        </is>
      </c>
      <c r="D1696" s="8" t="inlineStr">
        <is>
          <t>common</t>
        </is>
      </c>
      <c r="E1696" s="8" t="inlineStr">
        <is>
          <t>fire</t>
        </is>
      </c>
      <c r="F1696" s="8" t="n">
        <v>1</v>
      </c>
      <c r="G1696" s="8" t="inlineStr">
        <is>
          <t>基础/顶层</t>
        </is>
      </c>
      <c r="H1696" s="8" t="inlineStr"/>
      <c r="I1696" s="9" t="inlineStr"/>
      <c r="J1696" s="8" t="inlineStr"/>
      <c r="K1696" s="8" t="inlineStr"/>
      <c r="L1696" s="8" t="inlineStr"/>
      <c r="M1696" s="8" t="inlineStr">
        <is>
          <t>说明/执行器</t>
        </is>
      </c>
      <c r="N1696" s="8" t="inlineStr">
        <is>
          <t>effectNote</t>
        </is>
      </c>
      <c r="O1696" s="9" t="inlineStr">
        <is>
          <t>变阵：6 秒内，每获得 1 层炎热，就获得 2 层护甲；变阵：8 秒内，每获得 1 层炎热，就获得 2 层护甲；变阵：10 秒内，每获得 1 层炎热，就获得 2 层护甲；变阵：12 秒内，每获得 1 层炎热，就获得 2 层护甲</t>
        </is>
      </c>
      <c r="P1696" s="9" t="inlineStr">
        <is>
          <t>formationSwitch</t>
        </is>
      </c>
      <c r="Q1696" s="9" t="inlineStr">
        <is>
          <t>temporaryBuffGainMirror</t>
        </is>
      </c>
      <c r="R1696" s="9" t="inlineStr">
        <is>
          <t>{"kind":"effectNote","label":"变阵：6 秒内，每获得 1 层炎热，就获得 2 层护甲","executors":[{"trigger":"formationSwitch","type":"temporaryBuffGainMirror","label":"变阵：6 秒内，每获得 1 层炎热，就获得 2 层护甲","sourceBuffId":"heat","targetBuffId":"armor","countPerSourceStack":2,"durationSec":6,"support":"battleOnly"}],"starOverrides":{"1":{"label":"变阵：8 秒内，每获得 1 层炎热，就获得 2 层护甲","executors":[{"durationSec":8,"label":"变阵：8 秒内，每获得 1 层炎热，就获得 2 层护甲"}]},"2":{"label":"变阵：10 秒内，每获得 1 层炎热，就获得 2 层护甲","executors":[{"durationSec":10,"label":"变阵：10 秒内，每获得 1 层炎热，就获得 2 层护甲"}]},"3":{"label":"变阵：12 秒内，每获得 1 层炎热，就获得 2 层护甲","executors":[{"durationSec":12,"label":"变阵：12 秒内，每获得 1 层炎热，就获得 2 层护甲"}]}}}</t>
        </is>
      </c>
    </row>
    <row r="1697" ht="32" customHeight="1">
      <c r="A1697" s="8" t="n">
        <v>600009</v>
      </c>
      <c r="B1697" s="8" t="inlineStr">
        <is>
          <t>露水幻影阵</t>
        </is>
      </c>
      <c r="C1697" s="8" t="inlineStr">
        <is>
          <t>阵法</t>
        </is>
      </c>
      <c r="D1697" s="8" t="inlineStr">
        <is>
          <t>common</t>
        </is>
      </c>
      <c r="E1697" s="8" t="inlineStr">
        <is>
          <t>water</t>
        </is>
      </c>
      <c r="F1697" s="8" t="n">
        <v>1</v>
      </c>
      <c r="G1697" s="8" t="inlineStr">
        <is>
          <t>基础/顶层</t>
        </is>
      </c>
      <c r="H1697" s="8" t="inlineStr"/>
      <c r="I1697" s="9" t="inlineStr"/>
      <c r="J1697" s="8" t="inlineStr"/>
      <c r="K1697" s="8" t="inlineStr"/>
      <c r="L1697" s="8" t="inlineStr"/>
      <c r="M1697" s="8" t="inlineStr">
        <is>
          <t>说明/执行器</t>
        </is>
      </c>
      <c r="N1697" s="8" t="inlineStr">
        <is>
          <t>effectNote</t>
        </is>
      </c>
      <c r="O1697" s="9" t="inlineStr">
        <is>
          <t>变阵：6 秒内，每获得 1 层露水，就获得 1 层闪避；变阵：8 秒内，每获得 1 层露水，就获得 1 层闪避；变阵：10 秒内，每获得 1 层露水，就获得 1 层闪避；变阵：12 秒内，每获得 1 层露水，就获得 1 层闪避</t>
        </is>
      </c>
      <c r="P1697" s="9" t="inlineStr">
        <is>
          <t>formationSwitch</t>
        </is>
      </c>
      <c r="Q1697" s="9" t="inlineStr">
        <is>
          <t>temporaryBuffGainMirror</t>
        </is>
      </c>
      <c r="R1697" s="9" t="inlineStr">
        <is>
          <t>{"kind":"effectNote","label":"变阵：6 秒内，每获得 1 层露水，就获得 1 层闪避","executors":[{"trigger":"formationSwitch","type":"temporaryBuffGainMirror","label":"变阵：6 秒内，每获得 1 层露水，就获得 1 层闪避","sourceBuffId":"dew","targetBuffId":"dodge","countPerSourceStack":1,"durationSec":6,"support":"battleOnly"}],"starOverrides":{"1":{"label":"变阵：8 秒内，每获得 1 层露水，就获得 1 层闪避","executors":[{"durationSec":8,"label":"变阵：8 秒内，每获得 1 层露水，就获得 1 层闪避"}]},"2":{"label":"变阵：10 秒内，每获得 1 层露水，就获得 1 层闪避","executors":[{"durationSec":10,"label":"变阵：10 秒内，每获得 1 层露水，就获得 1 层闪避"}]},"3":{"label":"变阵：12 秒内，每获得 1 层露水，就获得 1 层闪避","executors":[{"durationSec":12,"label":"变阵：12 秒内，每获得 1 层露水，就获得 1 层闪避"}]}}}</t>
        </is>
      </c>
    </row>
    <row r="1698" ht="32" customHeight="1">
      <c r="A1698" s="8" t="n">
        <v>600010</v>
      </c>
      <c r="B1698" s="8" t="inlineStr">
        <is>
          <t>三才金衡</t>
        </is>
      </c>
      <c r="C1698" s="8" t="inlineStr">
        <is>
          <t>阵法</t>
        </is>
      </c>
      <c r="D1698" s="8" t="inlineStr">
        <is>
          <t>common</t>
        </is>
      </c>
      <c r="E1698" s="8" t="inlineStr">
        <is>
          <t>metal</t>
        </is>
      </c>
      <c r="F1698" s="8" t="n">
        <v>1</v>
      </c>
      <c r="G1698" s="8" t="inlineStr">
        <is>
          <t>基础/顶层</t>
        </is>
      </c>
      <c r="H1698" s="8" t="inlineStr"/>
      <c r="I1698" s="9" t="inlineStr"/>
      <c r="J1698" s="8" t="inlineStr"/>
      <c r="K1698" s="8" t="inlineStr"/>
      <c r="L1698" s="8" t="inlineStr"/>
      <c r="M1698" s="8" t="inlineStr">
        <is>
          <t>说明/执行器</t>
        </is>
      </c>
      <c r="N1698" s="8" t="inlineStr">
        <is>
          <t>effectNote</t>
        </is>
      </c>
      <c r="O1698" s="9" t="inlineStr">
        <is>
          <t>变阵：每相邻 1 件金属性道具，获得 1 层凝金；变阵：每相邻 1 件金属性道具，获得 2 层凝金；变阵：每相邻 1 件金属性道具，获得 3 层凝金；变阵：每相邻 1 件金属性道具，获得 4 层凝金</t>
        </is>
      </c>
      <c r="P1698" s="9" t="inlineStr">
        <is>
          <t>formationSwitch</t>
        </is>
      </c>
      <c r="Q1698" s="9" t="inlineStr">
        <is>
          <t>applyBuff</t>
        </is>
      </c>
      <c r="R1698" s="9" t="inlineStr">
        <is>
          <t>{"kind":"effectNote","label":"变阵：每相邻 1 件金属性道具，获得 1 层凝金","executors":[{"trigger":"formationSwitch","type":"applyBuff","buffId":"condensedMetal","count":1,"targetActor":"self","scaling":{"mode":"count","source":"adjacentItems","elements":["metal"]},"label":"变阵：每相邻 1 件金属性道具，获得 1 层凝金"}],"starOverrides":{"1":{"label":"变阵：每相邻 1 件金属性道具，获得 2 层凝金","executors":[{"count":2,"label":"变阵：每相邻 1 件金属性道具，获得 2 层凝金"}]},"2":{"label":"变阵：每相邻 1 件金属性道具，获得 3 层凝金","executors":[{"count":3,"label":"变阵：每相邻 1 件金属性道具，获得 3 层凝金"}]},"3":{"label":"变阵：每相邻 1 件金属性道具，获得 4 层凝金","executors":[{"count":4,"label":"变阵：每相邻 1 件金属性道具，获得 4 层凝金"}]}}}</t>
        </is>
      </c>
    </row>
    <row r="1699" ht="32" customHeight="1">
      <c r="A1699" s="8" t="n">
        <v>600011</v>
      </c>
      <c r="B1699" s="8" t="inlineStr">
        <is>
          <t>回元铸金轮</t>
        </is>
      </c>
      <c r="C1699" s="8" t="inlineStr">
        <is>
          <t>阵法</t>
        </is>
      </c>
      <c r="D1699" s="8" t="inlineStr">
        <is>
          <t>common</t>
        </is>
      </c>
      <c r="E1699" s="8" t="inlineStr">
        <is>
          <t>metal</t>
        </is>
      </c>
      <c r="F1699" s="8" t="n">
        <v>1</v>
      </c>
      <c r="G1699" s="8" t="inlineStr">
        <is>
          <t>基础/顶层</t>
        </is>
      </c>
      <c r="H1699" s="8" t="inlineStr"/>
      <c r="I1699" s="9" t="inlineStr"/>
      <c r="J1699" s="8" t="inlineStr"/>
      <c r="K1699" s="8" t="inlineStr"/>
      <c r="L1699" s="8" t="inlineStr"/>
      <c r="M1699" s="8" t="inlineStr">
        <is>
          <t>说明/执行器</t>
        </is>
      </c>
      <c r="N1699" s="8" t="inlineStr">
        <is>
          <t>effectNote</t>
        </is>
      </c>
      <c r="O1699" s="9" t="inlineStr">
        <is>
          <t>变阵：最多将 10 层凝金转化为法力，每 1 层转化为 3 点法力</t>
        </is>
      </c>
      <c r="P1699" s="9" t="inlineStr">
        <is>
          <t>formationSwitch</t>
        </is>
      </c>
      <c r="Q1699" s="9" t="inlineStr">
        <is>
          <t>consumeBuffStacks</t>
        </is>
      </c>
      <c r="R1699" s="9" t="inlineStr">
        <is>
          <t>{"kind":"effectNote","label":"变阵：最多将 10 层凝金转化为法力，每 1 层转化为 3 点法力","executors":[{"trigger":"formationSwitch","type":"consumeBuffStacks","sourceBuffId":"condensedMetal","maxStacks":10,"primaryStatGainPerStack":{"stat":"mana","amount":3},"label":"变阵：最多将 10 层凝金转化为法力，每 1 层转化为 3 点法力"}]}</t>
        </is>
      </c>
    </row>
    <row r="1700" ht="32" customHeight="1">
      <c r="A1700" s="8" t="n">
        <v>600012</v>
      </c>
      <c r="B1700" s="8" t="inlineStr">
        <is>
          <t>万锋归炉</t>
        </is>
      </c>
      <c r="C1700" s="8" t="inlineStr">
        <is>
          <t>阵法</t>
        </is>
      </c>
      <c r="D1700" s="8" t="inlineStr">
        <is>
          <t>mystic</t>
        </is>
      </c>
      <c r="E1700" s="8" t="inlineStr">
        <is>
          <t>metal</t>
        </is>
      </c>
      <c r="F1700" s="8" t="n">
        <v>1</v>
      </c>
      <c r="G1700" s="8" t="inlineStr">
        <is>
          <t>基础/顶层</t>
        </is>
      </c>
      <c r="H1700" s="8" t="inlineStr"/>
      <c r="I1700" s="9" t="inlineStr"/>
      <c r="J1700" s="8" t="inlineStr"/>
      <c r="K1700" s="8" t="inlineStr"/>
      <c r="L1700" s="8" t="inlineStr"/>
      <c r="M1700" s="8" t="inlineStr">
        <is>
          <t>说明/执行器</t>
        </is>
      </c>
      <c r="N1700" s="8" t="inlineStr">
        <is>
          <t>effectNote</t>
        </is>
      </c>
      <c r="O1700" s="9" t="inlineStr">
        <is>
          <t>变阵：相邻金属性道具的轮转进度前进 4 秒</t>
        </is>
      </c>
      <c r="P1700" s="9" t="inlineStr">
        <is>
          <t>formationSwitch</t>
        </is>
      </c>
      <c r="Q1700" s="9" t="inlineStr">
        <is>
          <t>advanceRotationProgress；adjacent</t>
        </is>
      </c>
      <c r="R1700" s="9" t="inlineStr">
        <is>
          <t>{"kind":"effectNote","label":"变阵：相邻金属性道具的轮转进度前进 4 秒","executors":[{"trigger":"formationSwitch","type":"advanceRotationProgress","target":{"type":"adjacent"},"targetFilter":{"elements":["metal"]},"deltaMs":4000,"label":"变阵：相邻金属性道具的轮转进度前进 4 秒"}]}</t>
        </is>
      </c>
    </row>
    <row r="1701" ht="32" customHeight="1">
      <c r="A1701" s="8" t="n">
        <v>600013</v>
      </c>
      <c r="B1701" s="8" t="inlineStr">
        <is>
          <t>流风换位阵</t>
        </is>
      </c>
      <c r="C1701" s="8" t="inlineStr">
        <is>
          <t>阵法</t>
        </is>
      </c>
      <c r="D1701" s="8" t="inlineStr">
        <is>
          <t>common</t>
        </is>
      </c>
      <c r="E1701" s="8" t="inlineStr">
        <is>
          <t>wind</t>
        </is>
      </c>
      <c r="F1701" s="8" t="n">
        <v>1</v>
      </c>
      <c r="G1701" s="8" t="inlineStr">
        <is>
          <t>基础/顶层</t>
        </is>
      </c>
      <c r="H1701" s="8" t="inlineStr"/>
      <c r="I1701" s="9" t="inlineStr"/>
      <c r="J1701" s="8" t="inlineStr"/>
      <c r="K1701" s="8" t="inlineStr"/>
      <c r="L1701" s="8" t="inlineStr"/>
      <c r="M1701" s="8" t="inlineStr">
        <is>
          <t>说明/执行器</t>
        </is>
      </c>
      <c r="N1701" s="8" t="inlineStr">
        <is>
          <t>effectNote</t>
        </is>
      </c>
      <c r="O1701" s="9" t="inlineStr">
        <is>
          <t>变阵：每相邻 1 件招式道具，获得 3 层敏捷；变阵：每相邻 1 件招式道具，获得 6 层敏捷；变阵：每相邻 1 件招式道具，获得 9 层敏捷；变阵：每相邻 1 件招式道具，获得 12 层敏捷</t>
        </is>
      </c>
      <c r="P1701" s="9" t="inlineStr">
        <is>
          <t>formationSwitch</t>
        </is>
      </c>
      <c r="Q1701" s="9" t="inlineStr">
        <is>
          <t>applyBuff</t>
        </is>
      </c>
      <c r="R1701" s="9" t="inlineStr">
        <is>
          <t>{"kind":"effectNote","label":"变阵：每相邻 1 件招式道具，获得 3 层敏捷","executors":[{"trigger":"formationSwitch","type":"applyBuff","buffId":"agile","count":3,"targetActor":"self","scaling":{"mode":"count","source":"adjacentItems","categories":["spell"]},"label":"变阵：每相邻 1 件招式道具，获得 3 层敏捷"}],"starOverrides":{"1":{"label":"变阵：每相邻 1 件招式道具，获得 6 层敏捷","executors":[{"count":6,"label":"变阵：每相邻 1 件招式道具，获得 6 层敏捷"}]},"2":{"label":"变阵：每相邻 1 件招式道具，获得 9 层敏捷","executors":[{"count":9,"label":"变阵：每相邻 1 件招式道具，获得 9 层敏捷"}]},"3":{"label":"变阵：每相邻 1 件招式道具，获得 12 层敏捷","executors":[{"count":12,"label":"变阵：每相邻 1 件招式道具，获得 12 层敏捷"}]}}}</t>
        </is>
      </c>
    </row>
    <row r="1702" ht="32" customHeight="1">
      <c r="A1702" s="8" t="n">
        <v>600015</v>
      </c>
      <c r="B1702" s="8" t="inlineStr">
        <is>
          <t>占露铜盘</t>
        </is>
      </c>
      <c r="C1702" s="8" t="inlineStr">
        <is>
          <t>阵法</t>
        </is>
      </c>
      <c r="D1702" s="8" t="inlineStr">
        <is>
          <t>common</t>
        </is>
      </c>
      <c r="E1702" s="8" t="inlineStr">
        <is>
          <t>water</t>
        </is>
      </c>
      <c r="F1702" s="8" t="n">
        <v>1</v>
      </c>
      <c r="G1702" s="8" t="inlineStr">
        <is>
          <t>基础/顶层</t>
        </is>
      </c>
      <c r="H1702" s="8" t="inlineStr"/>
      <c r="I1702" s="9" t="inlineStr"/>
      <c r="J1702" s="8" t="inlineStr"/>
      <c r="K1702" s="8" t="inlineStr"/>
      <c r="L1702" s="8" t="inlineStr"/>
      <c r="M1702" s="8" t="inlineStr">
        <is>
          <t>说明/执行器</t>
        </is>
      </c>
      <c r="N1702" s="8" t="inlineStr">
        <is>
          <t>effectNote</t>
        </is>
      </c>
      <c r="O1702" s="9" t="inlineStr">
        <is>
          <t>变阵：获得 7 层露水；变阵：获得 8 层露水；变阵：获得 9 层露水；变阵：获得 10 层露水</t>
        </is>
      </c>
      <c r="P1702" s="9" t="inlineStr">
        <is>
          <t>formationSwitch</t>
        </is>
      </c>
      <c r="Q1702" s="9" t="inlineStr">
        <is>
          <t>applyBuff</t>
        </is>
      </c>
      <c r="R1702" s="9" t="inlineStr">
        <is>
          <t>{"kind":"effectNote","label":"变阵：获得 7 层露水","executors":[{"trigger":"formationSwitch","type":"applyBuff","buffId":"dew","count":7,"label":"变阵：获得 7 层露水"}],"starOverrides":{"1":{"label":"变阵：获得 8 层露水","executors":[{"count":8,"label":"变阵：获得 8 层露水"}]},"2":{"label":"变阵：获得 9 层露水","executors":[{"count":9,"label":"变阵：获得 9 层露水"}]},"3":{"label":"变阵：获得 10 层露水","executors":[{"count":10,"label":"变阵：获得 10 层露水"}]}}}</t>
        </is>
      </c>
    </row>
    <row r="1703" ht="32" customHeight="1">
      <c r="A1703" s="8" t="n">
        <v>600016</v>
      </c>
      <c r="B1703" s="8" t="inlineStr">
        <is>
          <t>锁雷震脉阵</t>
        </is>
      </c>
      <c r="C1703" s="8" t="inlineStr">
        <is>
          <t>阵法</t>
        </is>
      </c>
      <c r="D1703" s="8" t="inlineStr">
        <is>
          <t>common</t>
        </is>
      </c>
      <c r="E1703" s="8" t="inlineStr">
        <is>
          <t>thunder</t>
        </is>
      </c>
      <c r="F1703" s="8" t="n">
        <v>1</v>
      </c>
      <c r="G1703" s="8" t="inlineStr">
        <is>
          <t>基础/顶层</t>
        </is>
      </c>
      <c r="H1703" s="8" t="inlineStr"/>
      <c r="I1703" s="9" t="inlineStr"/>
      <c r="J1703" s="8" t="inlineStr"/>
      <c r="K1703" s="8" t="inlineStr"/>
      <c r="L1703" s="8" t="inlineStr"/>
      <c r="M1703" s="8" t="inlineStr">
        <is>
          <t>说明/执行器</t>
        </is>
      </c>
      <c r="N1703" s="8" t="inlineStr">
        <is>
          <t>effectNote</t>
        </is>
      </c>
      <c r="O1703" s="9" t="inlineStr">
        <is>
          <t>变阵：对敌方施加 2 层麻痹；变阵：对敌方施加 3 层麻痹；变阵：对敌方施加 4 层麻痹；变阵：对敌方施加 5 层麻痹</t>
        </is>
      </c>
      <c r="P1703" s="9" t="inlineStr">
        <is>
          <t>formationSwitch</t>
        </is>
      </c>
      <c r="Q1703" s="9" t="inlineStr">
        <is>
          <t>applyBuff</t>
        </is>
      </c>
      <c r="R1703" s="9" t="inlineStr">
        <is>
          <t>{"kind":"effectNote","label":"变阵：&lt;battle&gt;对敌方施加 2 层麻痹&lt;/battle&gt;","executors":[{"trigger":"formationSwitch","type":"applyBuff","label":"变阵：&lt;battle&gt;对敌方施加 2 层麻痹&lt;/battle&gt;","buffId":"paralysis","count":2,"targetActor":"enemy"}],"starOverrides":{"1":{"label":"变阵：&lt;battle&gt;对敌方施加 3 层麻痹&lt;/battle&gt;","executors":[{"count":3,"label":"变阵：&lt;battle&gt;对敌方施加 3 层麻痹&lt;/battle&gt;"}]},"2":{"label":"变阵：&lt;battle&gt;对敌方施加 4 层麻痹&lt;/battle&gt;","executors":[{"count":4,"label":"变阵：&lt;battle&gt;对敌方施加 4 层麻痹&lt;/battle&gt;"}]},"3":{"label":"变阵：&lt;battle&gt;对敌方施加 5 层麻痹&lt;/battle&gt;","executors":[{"count":5,"label":"变阵：&lt;battle&gt;对敌方施加 5 层麻痹&lt;/battle&gt;"}]}}}</t>
        </is>
      </c>
    </row>
    <row r="1704" ht="32" customHeight="1">
      <c r="A1704" s="8" t="n">
        <v>600017</v>
      </c>
      <c r="B1704" s="8" t="inlineStr">
        <is>
          <t>玄霜易位盘</t>
        </is>
      </c>
      <c r="C1704" s="8" t="inlineStr">
        <is>
          <t>阵法</t>
        </is>
      </c>
      <c r="D1704" s="8" t="inlineStr">
        <is>
          <t>common</t>
        </is>
      </c>
      <c r="E1704" s="8" t="inlineStr">
        <is>
          <t>ice</t>
        </is>
      </c>
      <c r="F1704" s="8" t="n">
        <v>1</v>
      </c>
      <c r="G1704" s="8" t="inlineStr">
        <is>
          <t>基础/顶层</t>
        </is>
      </c>
      <c r="H1704" s="8" t="inlineStr"/>
      <c r="I1704" s="9" t="inlineStr"/>
      <c r="J1704" s="8" t="inlineStr"/>
      <c r="K1704" s="8" t="inlineStr"/>
      <c r="L1704" s="8" t="inlineStr"/>
      <c r="M1704" s="8" t="inlineStr">
        <is>
          <t>说明/执行器</t>
        </is>
      </c>
      <c r="N1704" s="8" t="inlineStr">
        <is>
          <t>effectNote</t>
        </is>
      </c>
      <c r="O1704" s="9" t="inlineStr">
        <is>
          <t>变阵：消耗 4 层寒冷；使敌方获得 8 层冰霜；变阵：消耗 4 层寒冷；使敌方获得 8 层冰霜；变阵：消耗 4 层寒冷；使敌方获得 10 层冰霜；使敌方获得 10 层冰霜；变阵：消耗 4 层寒冷；使敌方获得 12 层冰霜；使敌方获得 12 层冰霜；变阵：消耗 4 层寒冷；使敌方获得 16 层冰霜；使敌方获得 16 层冰霜</t>
        </is>
      </c>
      <c r="P1704" s="9" t="inlineStr">
        <is>
          <t>formationSwitch</t>
        </is>
      </c>
      <c r="Q1704" s="9" t="inlineStr">
        <is>
          <t>consumeBuffStacks；applyBuff</t>
        </is>
      </c>
      <c r="R1704" s="9" t="inlineStr">
        <is>
          <t>{"kind":"effectNote","label":"变阵：消耗 4 层寒冷；&lt;battle&gt;使敌方获得 8 层冰霜&lt;/battle&gt;","executors":[{"trigger":"formationSwitch","type":"consumeBuffStacks","sourceBuffId":"cold","requiredStacks":4,"maxStacks":4,"support":"common","label":"变阵：消耗 4 层寒冷"},{"trigger":"formationSwitch","type":"applyBuff","buffId":"frost","count":8,"targetActor":"enemy","support":"battleOnly","activationRequirements":{"buffStackThresholds":[{"buffId":"cold","comparator":"atLeast","count":4}]},"label":"&lt;battle&gt;使敌方获得 8 层冰霜&lt;/battle&gt;"}],"starOverrides":{"1":{"label":"变阵：消耗 4 层寒冷；&lt;battle&gt;使敌方获得 10 层冰霜&lt;/battle&gt;","executors":[{},{"count":10,"label":"&lt;battle&gt;使敌方获得 10 层冰霜&lt;/battle&gt;"}]},"2":{"label":"变阵：消耗 4 层寒冷；&lt;battle&gt;使敌方获得 12 层冰霜&lt;/battle&gt;","executors":[{},{"count":12,"label":"&lt;battle&gt;使敌方获得 12 层冰霜&lt;/battle&gt;"}]},"3":{"label":"变阵：消耗 4 层寒冷；&lt;battle&gt;使敌方获得 16 层冰霜&lt;/battle&gt;","executors":[{},{"count":16,"label":"&lt;battle&gt;使敌方获得 16 层冰霜&lt;/battle&gt;"}]}}}</t>
        </is>
      </c>
    </row>
    <row r="1705" ht="32" customHeight="1">
      <c r="A1705" s="8" t="n">
        <v>600018</v>
      </c>
      <c r="B1705" s="8" t="inlineStr">
        <is>
          <t>万籁封天阵</t>
        </is>
      </c>
      <c r="C1705" s="8" t="inlineStr">
        <is>
          <t>阵法</t>
        </is>
      </c>
      <c r="D1705" s="8" t="inlineStr">
        <is>
          <t>spirit</t>
        </is>
      </c>
      <c r="E1705" s="8" t="inlineStr">
        <is>
          <t>ice</t>
        </is>
      </c>
      <c r="F1705" s="8" t="n">
        <v>1</v>
      </c>
      <c r="G1705" s="8" t="inlineStr">
        <is>
          <t>基础/顶层</t>
        </is>
      </c>
      <c r="H1705" s="8" t="inlineStr"/>
      <c r="I1705" s="9" t="inlineStr"/>
      <c r="J1705" s="8" t="inlineStr"/>
      <c r="K1705" s="8" t="inlineStr"/>
      <c r="L1705" s="8" t="inlineStr"/>
      <c r="M1705" s="8" t="inlineStr">
        <is>
          <t>说明/执行器</t>
        </is>
      </c>
      <c r="N1705" s="8" t="inlineStr">
        <is>
          <t>effectNote</t>
        </is>
      </c>
      <c r="O1705" s="9" t="inlineStr">
        <is>
          <t>变阵：消耗 50 层寒冷；使敌方获得 150 层冰霜；使所有冰属性道具加速 4 秒；变阵：消耗 50 层寒冷；使敌方获得 150 层冰霜；使所有冰属性道具加速 4 秒；变阵：消耗 50 层寒冷；使敌方获得 200 层冰霜；使所有冰属性道具加速 5 秒；使敌方获得 200 层冰霜；使所有冰属性道具加速 5 秒；变阵：消耗 50 层寒冷；使敌方获得 250 层冰霜；使所有冰属性道具加速 6 秒；使敌方获得 250 层冰霜；使所有冰属性道具加速 6 秒；变阵：消耗 50 层寒冷；使敌方获得 300 层冰霜；使所有冰属性道具加速 8 秒；使敌方获得 300 层冰霜；使所有冰属性道具加速 8 秒</t>
        </is>
      </c>
      <c r="P1705" s="9" t="inlineStr">
        <is>
          <t>formationSwitch</t>
        </is>
      </c>
      <c r="Q1705" s="9" t="inlineStr">
        <is>
          <t>consumeBuffStacks；applyBuff；itemRuntimeStatus</t>
        </is>
      </c>
      <c r="R1705" s="9" t="inlineStr">
        <is>
          <t>{"kind":"effectNote","label":"变阵：消耗 50 层寒冷；&lt;battle&gt;使敌方获得 150 层冰霜&lt;/battle&gt;；使所有冰属性道具加速 4 秒","executors":[{"trigger":"formationSwitch","type":"consumeBuffStacks","sourceBuffId":"cold","requiredStacks":50,"maxStacks":50,"support":"common","label":"变阵：消耗 50 层寒冷"},{"trigger":"formationSwitch","type":"applyBuff","buffId":"frost","count":150,"targetActor":"enemy","support":"battleOnly","activationRequirements":{"buffStackThresholds":[{"buffId":"cold","comparator":"atLeast","count":50}]},"label":"&lt;battle&gt;使敌方获得 150 层冰霜&lt;/battle&gt;"},{"trigger":"formationSwitch","type":"itemRuntimeStatus","itemRuntimeStatus":"haste","durationSec":4,"targetActor":"self","targetScope":"selfAll","targetFilter":{"elements":["ice"]},"support":"common","activationRequirements":{"buffStackThresholds":[{"buffId":"cold","comparator":"atLeast","count":50}]},"label":"使所有冰属性道具加速 4 秒"}],"starOverrides":{"1":{"label":"变阵：消耗 50 层寒冷；&lt;battle&gt;使敌方获得 200 层冰霜&lt;/battle&gt;；使所有冰属性道具加速 5 秒","executors":[{},{"count":200,"label":"&lt;battle&gt;使敌方获得 200 层冰霜&lt;/battle&gt;"},{"durationSec":5,"label":"使所有冰属性道具加速 5 秒"}]},"2":{"label":"变阵：消耗 50 层寒冷；&lt;battle&gt;使敌方获得 250 层冰霜&lt;/battle&gt;；使所有冰属性道具加速 6 秒","executors":[{},{"count":250,"label":"&lt;battle&gt;使敌方获得 250 层冰霜&lt;/battle&gt;"},{"durationSec":6,"label":"使所有冰属性道具加速 6 秒"}]},"3":{"label":"变阵：消耗 50 层寒冷；&lt;battle&gt;使敌方获得 300 层冰霜&lt;/battle&gt;；使所有冰属性道具加速 8 秒","executors":[{},{"count":300,"label":"&lt;battle&gt;使敌方获得 300 层冰霜&lt;/battle&gt;"},{"durationSec":8,"label":"使所有冰属性道具加速 8 秒"}]}}}</t>
        </is>
      </c>
    </row>
    <row r="1706" ht="32" customHeight="1">
      <c r="A1706" s="8" t="n">
        <v>612101</v>
      </c>
      <c r="B1706" s="8" t="inlineStr">
        <is>
          <t>赤毫引焰阵</t>
        </is>
      </c>
      <c r="C1706" s="8" t="inlineStr">
        <is>
          <t>阵法</t>
        </is>
      </c>
      <c r="D1706" s="8" t="inlineStr">
        <is>
          <t>common</t>
        </is>
      </c>
      <c r="E1706" s="8" t="inlineStr">
        <is>
          <t>fire</t>
        </is>
      </c>
      <c r="F1706" s="8" t="n">
        <v>1</v>
      </c>
      <c r="G1706" s="8" t="inlineStr">
        <is>
          <t>基础/顶层</t>
        </is>
      </c>
      <c r="H1706" s="8" t="inlineStr"/>
      <c r="I1706" s="9" t="inlineStr"/>
      <c r="J1706" s="8" t="inlineStr"/>
      <c r="K1706" s="8" t="inlineStr"/>
      <c r="L1706" s="8" t="inlineStr"/>
      <c r="M1706" s="8" t="inlineStr">
        <is>
          <t>说明/执行器</t>
        </is>
      </c>
      <c r="N1706" s="8" t="inlineStr">
        <is>
          <t>effectNote</t>
        </is>
      </c>
      <c r="O1706" s="9" t="inlineStr">
        <is>
          <t>变阵：所有丹药获得 4 秒减速；变阵：所有丹药获得 5 秒减速；变阵：所有丹药获得 7 秒减速；变阵：所有丹药获得 8 秒减速</t>
        </is>
      </c>
      <c r="P1706" s="9" t="inlineStr">
        <is>
          <t>formationSwitch</t>
        </is>
      </c>
      <c r="Q1706" s="9" t="inlineStr">
        <is>
          <t>itemRuntimeStatus</t>
        </is>
      </c>
      <c r="R1706" s="9" t="inlineStr">
        <is>
          <t>{"kind":"effectNote","label":"变阵：所有丹药获得 4 秒减速","executors":[{"trigger":"formationSwitch","type":"itemRuntimeStatus","itemRuntimeStatus":"slow","durationSec":4,"targetActor":"self","targetScope":"selfAll","targetFilter":{"categories":["pill"]},"label":"变阵：所有丹药获得 4 秒减速"}],"starOverrides":{"1":{"label":"变阵：所有丹药获得 5 秒减速","executors":[{"trigger":"formationSwitch","type":"itemRuntimeStatus","itemRuntimeStatus":"slow","durationSec":5,"targetActor":"self","targetScope":"selfAll","targetFilter":{"categories":["pill"]},"label":"变阵：所有丹药获得 5 秒减速"}]},"2":{"label":"变阵：所有丹药获得 7 秒减速","executors":[{"trigger":"formationSwitch","type":"itemRuntimeStatus","itemRuntimeStatus":"slow","durationSec":7,"targetActor":"self","targetScope":"selfAll","targetFilter":{"categories":["pill"]},"label":"变阵：所有丹药获得 7 秒减速"}]},"3":{"label":"变阵：所有丹药获得 8 秒减速","executors":[{"trigger":"formationSwitch","type":"itemRuntimeStatus","itemRuntimeStatus":"slow","durationSec":8,"targetActor":"self","targetScope":"selfAll","targetFilter":{"categories":["pill"]},"label":"变阵：所有丹药获得 8 秒减速"}]}}}</t>
        </is>
      </c>
    </row>
    <row r="1707" ht="32" customHeight="1">
      <c r="A1707" s="8" t="n">
        <v>612105</v>
      </c>
      <c r="B1707" s="8" t="inlineStr">
        <is>
          <t>炉心导焰阵</t>
        </is>
      </c>
      <c r="C1707" s="8" t="inlineStr">
        <is>
          <t>阵法</t>
        </is>
      </c>
      <c r="D1707" s="8" t="inlineStr">
        <is>
          <t>common</t>
        </is>
      </c>
      <c r="E1707" s="8" t="inlineStr">
        <is>
          <t>fire</t>
        </is>
      </c>
      <c r="F1707" s="8" t="n">
        <v>1</v>
      </c>
      <c r="G1707" s="8" t="inlineStr">
        <is>
          <t>基础/顶层</t>
        </is>
      </c>
      <c r="H1707" s="8" t="inlineStr"/>
      <c r="I1707" s="9" t="inlineStr"/>
      <c r="J1707" s="8" t="inlineStr"/>
      <c r="K1707" s="8" t="inlineStr"/>
      <c r="L1707" s="8" t="inlineStr"/>
      <c r="M1707" s="8" t="inlineStr">
        <is>
          <t>说明/执行器</t>
        </is>
      </c>
      <c r="N1707" s="8" t="inlineStr">
        <is>
          <t>effectNote</t>
        </is>
      </c>
      <c r="O1707" s="9" t="inlineStr">
        <is>
          <t>变阵：所有炼丹炉获得 10 秒加速；变阵：所有炼丹炉获得 13 秒加速；变阵：所有炼丹炉获得 16 秒加速；变阵：所有炼丹炉获得 19 秒加速</t>
        </is>
      </c>
      <c r="P1707" s="9" t="inlineStr">
        <is>
          <t>formationSwitch</t>
        </is>
      </c>
      <c r="Q1707" s="9" t="inlineStr">
        <is>
          <t>itemRuntimeStatus</t>
        </is>
      </c>
      <c r="R1707" s="9" t="inlineStr">
        <is>
          <t>{"kind":"effectNote","label":"变阵：所有炼丹炉获得 10 秒加速","executors":[{"trigger":"formationSwitch","type":"itemRuntimeStatus","itemRuntimeStatus":"haste","durationSec":10,"targetActor":"self","targetScope":"selfAll","targetFilter":{"features":["alchemyFurnace"]},"label":"变阵：所有炼丹炉获得 10 秒加速"}],"starOverrides":{"1":{"label":"变阵：所有炼丹炉获得 13 秒加速","executors":[{"trigger":"formationSwitch","type":"itemRuntimeStatus","itemRuntimeStatus":"haste","durationSec":13,"targetActor":"self","targetScope":"selfAll","targetFilter":{"features":["alchemyFurnace"]},"label":"变阵：所有炼丹炉获得 13 秒加速"}]},"2":{"label":"变阵：所有炼丹炉获得 16 秒加速","executors":[{"trigger":"formationSwitch","type":"itemRuntimeStatus","itemRuntimeStatus":"haste","durationSec":16,"targetActor":"self","targetScope":"selfAll","targetFilter":{"features":["alchemyFurnace"]},"label":"变阵：所有炼丹炉获得 16 秒加速"}]},"3":{"label":"变阵：所有炼丹炉获得 19 秒加速","executors":[{"trigger":"formationSwitch","type":"itemRuntimeStatus","itemRuntimeStatus":"haste","durationSec":19,"targetActor":"self","targetScope":"selfAll","targetFilter":{"features":["alchemyFurnace"]},"label":"变阵：所有炼丹炉获得 19 秒加速"}]}}}</t>
        </is>
      </c>
    </row>
    <row r="1708" ht="32" customHeight="1">
      <c r="A1708" s="8" t="n">
        <v>612150</v>
      </c>
      <c r="B1708" s="8" t="inlineStr">
        <is>
          <t>炉骨转焰匣</t>
        </is>
      </c>
      <c r="C1708" s="8" t="inlineStr">
        <is>
          <t>阵法</t>
        </is>
      </c>
      <c r="D1708" s="8" t="inlineStr">
        <is>
          <t>common</t>
        </is>
      </c>
      <c r="E1708" s="8" t="inlineStr">
        <is>
          <t>fire</t>
        </is>
      </c>
      <c r="F1708" s="8" t="n">
        <v>1</v>
      </c>
      <c r="G1708" s="8" t="inlineStr">
        <is>
          <t>基础/顶层</t>
        </is>
      </c>
      <c r="H1708" s="8" t="inlineStr"/>
      <c r="I1708" s="9" t="inlineStr"/>
      <c r="J1708" s="8" t="inlineStr"/>
      <c r="K1708" s="8" t="inlineStr"/>
      <c r="L1708" s="8" t="inlineStr"/>
      <c r="M1708" s="8" t="inlineStr">
        <is>
          <t>说明/执行器</t>
        </is>
      </c>
      <c r="N1708" s="8" t="inlineStr">
        <is>
          <t>effectNote</t>
        </is>
      </c>
      <c r="O1708" s="9" t="inlineStr">
        <is>
          <t>变阵：最多将 4 层护甲转化为炎热，每层获得 3 层炎热；变阵：最多将 5 层护甲转化为炎热，每层获得 3 层炎热；变阵：最多将 6 层护甲转化为炎热，每层获得 3 层炎热；变阵：最多将 7 层护甲转化为炎热，每层获得 3 层炎热</t>
        </is>
      </c>
      <c r="P1708" s="9" t="inlineStr">
        <is>
          <t>formationSwitch</t>
        </is>
      </c>
      <c r="Q1708" s="9" t="inlineStr">
        <is>
          <t>convertBuffStacks</t>
        </is>
      </c>
      <c r="R1708" s="9" t="inlineStr">
        <is>
          <t>{"kind":"effectNote","label":"变阵：最多将 4 层护甲转化为炎热，每层获得 3 层炎热","executors":[{"trigger":"formationSwitch","type":"convertBuffStacks","sourceBuffId":"armor","targetBuffId":"heat","maxStacks":4,"consumeRatio":3,"label":"变阵：最多将 4 层护甲转化为炎热，每层获得 3 层炎热"}],"starOverrides":{"1":{"label":"变阵：最多将 5 层护甲转化为炎热，每层获得 3 层炎热","executors":[{"trigger":"formationSwitch","type":"convertBuffStacks","sourceBuffId":"armor","targetBuffId":"heat","maxStacks":5,"consumeRatio":3,"label":"变阵：最多将 5 层护甲转化为炎热，每层获得 3 层炎热"}]},"2":{"label":"变阵：最多将 6 层护甲转化为炎热，每层获得 3 层炎热","executors":[{"trigger":"formationSwitch","type":"convertBuffStacks","sourceBuffId":"armor","targetBuffId":"heat","maxStacks":6,"consumeRatio":3,"label":"变阵：最多将 6 层护甲转化为炎热，每层获得 3 层炎热"}]},"3":{"label":"变阵：最多将 7 层护甲转化为炎热，每层获得 3 层炎热","executors":[{"trigger":"formationSwitch","type":"convertBuffStacks","sourceBuffId":"armor","targetBuffId":"heat","maxStacks":7,"consumeRatio":3,"label":"变阵：最多将 7 层护甲转化为炎热，每层获得 3 层炎热"}]}}}</t>
        </is>
      </c>
    </row>
    <row r="1709" ht="32" customHeight="1">
      <c r="A1709" s="8" t="n">
        <v>612152</v>
      </c>
      <c r="B1709" s="8" t="inlineStr">
        <is>
          <t>颅焰回流匣</t>
        </is>
      </c>
      <c r="C1709" s="8" t="inlineStr">
        <is>
          <t>阵法</t>
        </is>
      </c>
      <c r="D1709" s="8" t="inlineStr">
        <is>
          <t>common</t>
        </is>
      </c>
      <c r="E1709" s="8" t="inlineStr">
        <is>
          <t>fire</t>
        </is>
      </c>
      <c r="F1709" s="8" t="n">
        <v>1</v>
      </c>
      <c r="G1709" s="8" t="inlineStr">
        <is>
          <t>基础/顶层</t>
        </is>
      </c>
      <c r="H1709" s="8" t="inlineStr"/>
      <c r="I1709" s="9" t="inlineStr"/>
      <c r="J1709" s="8" t="inlineStr"/>
      <c r="K1709" s="8" t="inlineStr"/>
      <c r="L1709" s="8" t="inlineStr"/>
      <c r="M1709" s="8" t="inlineStr">
        <is>
          <t>说明/执行器</t>
        </is>
      </c>
      <c r="N1709" s="8" t="inlineStr">
        <is>
          <t>effectNote</t>
        </is>
      </c>
      <c r="O1709" s="9" t="inlineStr">
        <is>
          <t>变阵：每有 1 件 1×2 型道具，获得 5 层护甲，最多计算 4 件；变阵：每有 1 件 1×2 型道具，获得 7 层护甲，最多计算 4 件；变阵：每有 1 件 1×2 型道具，获得 8 层护甲，最多计算 4 件；变阵：每有 1 件 1×2 型道具，获得 10 层护甲，最多计算 4 件</t>
        </is>
      </c>
      <c r="P1709" s="9" t="inlineStr">
        <is>
          <t>formationSwitch</t>
        </is>
      </c>
      <c r="Q1709" s="9" t="inlineStr">
        <is>
          <t>applyBuff</t>
        </is>
      </c>
      <c r="R1709" s="9" t="inlineStr">
        <is>
          <t>{"kind":"effectNote","label":"变阵：每有 1 件 1×2 型道具，获得 5 层护甲，最多计算 4 件","executors":[{"trigger":"formationSwitch","type":"applyBuff","buffId":"armor","count":5,"scaling":{"mode":"count","source":"bagItems","shapeSizes":["1x2"],"maxCount":4},"label":"变阵：每有 1 件 1×2 型道具，获得 5 层护甲，最多计算 4 件"}],"starOverrides":{"1":{"label":"变阵：每有 1 件 1×2 型道具，获得 7 层护甲，最多计算 4 件","executors":[{"trigger":"formationSwitch","type":"applyBuff","buffId":"armor","count":7,"scaling":{"mode":"count","source":"bagItems","shapeSizes":["1x2"],"maxCount":4},"label":"变阵：每有 1 件 1×2 型道具，获得 7 层护甲，最多计算 4 件"}]},"2":{"label":"变阵：每有 1 件 1×2 型道具，获得 8 层护甲，最多计算 4 件","executors":[{"trigger":"formationSwitch","type":"applyBuff","buffId":"armor","count":8,"scaling":{"mode":"count","source":"bagItems","shapeSizes":["1x2"],"maxCount":4},"label":"变阵：每有 1 件 1×2 型道具，获得 8 层护甲，最多计算 4 件"}]},"3":{"label":"变阵：每有 1 件 1×2 型道具，获得 10 层护甲，最多计算 4 件","executors":[{"trigger":"formationSwitch","type":"applyBuff","buffId":"armor","count":10,"scaling":{"mode":"count","source":"bagItems","shapeSizes":["1x2"],"maxCount":4},"label":"变阵：每有 1 件 1×2 型道具，获得 10 层护甲，最多计算 4 件"}]}}}</t>
        </is>
      </c>
    </row>
    <row r="1710" ht="32" customHeight="1">
      <c r="A1710" s="8" t="n">
        <v>612154</v>
      </c>
      <c r="B1710" s="8" t="inlineStr">
        <is>
          <t>赤筋牵机枢</t>
        </is>
      </c>
      <c r="C1710" s="8" t="inlineStr">
        <is>
          <t>阵法</t>
        </is>
      </c>
      <c r="D1710" s="8" t="inlineStr">
        <is>
          <t>common</t>
        </is>
      </c>
      <c r="E1710" s="8" t="inlineStr">
        <is>
          <t>fire</t>
        </is>
      </c>
      <c r="F1710" s="8" t="n">
        <v>1</v>
      </c>
      <c r="G1710" s="8" t="inlineStr">
        <is>
          <t>基础/顶层</t>
        </is>
      </c>
      <c r="H1710" s="8" t="inlineStr"/>
      <c r="I1710" s="9" t="inlineStr"/>
      <c r="J1710" s="8" t="inlineStr"/>
      <c r="K1710" s="8" t="inlineStr"/>
      <c r="L1710" s="8" t="inlineStr"/>
      <c r="M1710" s="8" t="inlineStr">
        <is>
          <t>说明/执行器</t>
        </is>
      </c>
      <c r="N1710" s="8" t="inlineStr">
        <is>
          <t>effectNote</t>
        </is>
      </c>
      <c r="O1710" s="9" t="inlineStr">
        <is>
          <t>变阵：左右相邻道具获得 8 秒加速；变阵：左右相邻道具获得 10 秒加速；变阵：左右相邻道具获得 11 秒加速；变阵：左右相邻道具获得 13 秒加速</t>
        </is>
      </c>
      <c r="P1710" s="9" t="inlineStr">
        <is>
          <t>formationSwitch</t>
        </is>
      </c>
      <c r="Q1710" s="9" t="inlineStr">
        <is>
          <t>itemRuntimeStatus</t>
        </is>
      </c>
      <c r="R1710" s="9" t="inlineStr">
        <is>
          <t>{"kind":"effectNote","label":"变阵：左右相邻道具获得 8 秒加速","executors":[{"trigger":"formationSwitch","type":"itemRuntimeStatus","itemRuntimeStatus":"haste","durationSec":8,"targetActor":"self","targetScope":"horizontalAdjacent","label":"变阵：左右相邻道具获得 8 秒加速"}],"starOverrides":{"1":{"label":"变阵：左右相邻道具获得 10 秒加速","executors":[{"trigger":"formationSwitch","type":"itemRuntimeStatus","itemRuntimeStatus":"haste","durationSec":10,"targetActor":"self","targetScope":"horizontalAdjacent","label":"变阵：左右相邻道具获得 10 秒加速"}]},"2":{"label":"变阵：左右相邻道具获得 11 秒加速","executors":[{"trigger":"formationSwitch","type":"itemRuntimeStatus","itemRuntimeStatus":"haste","durationSec":11,"targetActor":"self","targetScope":"horizontalAdjacent","label":"变阵：左右相邻道具获得 11 秒加速"}]},"3":{"label":"变阵：左右相邻道具获得 13 秒加速","executors":[{"trigger":"formationSwitch","type":"itemRuntimeStatus","itemRuntimeStatus":"haste","durationSec":13,"targetActor":"self","targetScope":"horizontalAdjacent","label":"变阵：左右相邻道具获得 13 秒加速"}]}}}</t>
        </is>
      </c>
    </row>
    <row r="1711" ht="32" customHeight="1">
      <c r="A1711" s="8" t="n">
        <v>612155</v>
      </c>
      <c r="B1711" s="8" t="inlineStr">
        <is>
          <t>髓晶炼转枢</t>
        </is>
      </c>
      <c r="C1711" s="8" t="inlineStr">
        <is>
          <t>阵法</t>
        </is>
      </c>
      <c r="D1711" s="8" t="inlineStr">
        <is>
          <t>common</t>
        </is>
      </c>
      <c r="E1711" s="8" t="inlineStr">
        <is>
          <t>fire</t>
        </is>
      </c>
      <c r="F1711" s="8" t="n">
        <v>1</v>
      </c>
      <c r="G1711" s="8" t="inlineStr">
        <is>
          <t>基础/顶层</t>
        </is>
      </c>
      <c r="H1711" s="8" t="inlineStr"/>
      <c r="I1711" s="9" t="inlineStr"/>
      <c r="J1711" s="8" t="inlineStr"/>
      <c r="K1711" s="8" t="inlineStr"/>
      <c r="L1711" s="8" t="inlineStr"/>
      <c r="M1711" s="8" t="inlineStr">
        <is>
          <t>说明/执行器</t>
        </is>
      </c>
      <c r="N1711" s="8" t="inlineStr">
        <is>
          <t>effectNote</t>
        </is>
      </c>
      <c r="O1711" s="9" t="inlineStr">
        <is>
          <t>变阵：本局每有 1 件已耗尽消耗品，获得 5 层炎热，最多计算 4 件；变阵：本局每有 1 件已耗尽消耗品，获得 7 层炎热，最多计算 4 件；变阵：本局每有 1 件已耗尽消耗品，获得 8 层炎热，最多计算 4 件；变阵：本局每有 1 件已耗尽消耗品，获得 10 层炎热，最多计算 4 件</t>
        </is>
      </c>
      <c r="P1711" s="9" t="inlineStr">
        <is>
          <t>formationSwitch</t>
        </is>
      </c>
      <c r="Q1711" s="9" t="inlineStr">
        <is>
          <t>applyBuff</t>
        </is>
      </c>
      <c r="R1711" s="9" t="inlineStr">
        <is>
          <t>{"kind":"effectNote","label":"变阵：本局每有 1 件已耗尽消耗品，获得 5 层炎热，最多计算 4 件","executors":[{"trigger":"formationSwitch","type":"applyBuff","buffId":"heat","count":5,"scaling":{"mode":"count","source":"bagItems","maxCount":4},"label":"变阵：本局每有 1 件已耗尽消耗品，获得 5 层炎热，最多计算 4 件"}],"starOverrides":{"1":{"label":"变阵：本局每有 1 件已耗尽消耗品，获得 7 层炎热，最多计算 4 件","executors":[{"trigger":"formationSwitch","type":"applyBuff","buffId":"heat","count":7,"scaling":{"mode":"count","source":"bagItems","maxCount":4},"label":"变阵：本局每有 1 件已耗尽消耗品，获得 7 层炎热，最多计算 4 件"}]},"2":{"label":"变阵：本局每有 1 件已耗尽消耗品，获得 8 层炎热，最多计算 4 件","executors":[{"trigger":"formationSwitch","type":"applyBuff","buffId":"heat","count":8,"scaling":{"mode":"count","source":"bagItems","maxCount":4},"label":"变阵：本局每有 1 件已耗尽消耗品，获得 8 层炎热，最多计算 4 件"}]},"3":{"label":"变阵：本局每有 1 件已耗尽消耗品，获得 10 层炎热，最多计算 4 件","executors":[{"trigger":"formationSwitch","type":"applyBuff","buffId":"heat","count":10,"scaling":{"mode":"count","source":"bagItems","maxCount":4},"label":"变阵：本局每有 1 件已耗尽消耗品，获得 10 层炎热，最多计算 4 件"}]}}}</t>
        </is>
      </c>
    </row>
    <row r="1712" ht="32" customHeight="1">
      <c r="A1712" s="8" t="n">
        <v>612156</v>
      </c>
      <c r="B1712" s="8" t="inlineStr">
        <is>
          <t>魈牙引砂枢</t>
        </is>
      </c>
      <c r="C1712" s="8" t="inlineStr">
        <is>
          <t>阵法</t>
        </is>
      </c>
      <c r="D1712" s="8" t="inlineStr">
        <is>
          <t>common</t>
        </is>
      </c>
      <c r="E1712" s="8" t="inlineStr">
        <is>
          <t>fire</t>
        </is>
      </c>
      <c r="F1712" s="8" t="n">
        <v>1</v>
      </c>
      <c r="G1712" s="8" t="inlineStr">
        <is>
          <t>基础/顶层</t>
        </is>
      </c>
      <c r="H1712" s="8" t="inlineStr"/>
      <c r="I1712" s="9" t="inlineStr"/>
      <c r="J1712" s="8" t="inlineStr"/>
      <c r="K1712" s="8" t="inlineStr"/>
      <c r="L1712" s="8" t="inlineStr"/>
      <c r="M1712" s="8" t="inlineStr">
        <is>
          <t>说明/执行器</t>
        </is>
      </c>
      <c r="N1712" s="8" t="inlineStr">
        <is>
          <t>effectNote</t>
        </is>
      </c>
      <c r="O1712" s="9" t="inlineStr">
        <is>
          <t>变阵：相邻符箓获得 8 秒加速；变阵：相邻符箓获得 10 秒加速；变阵：相邻符箓获得 11 秒加速；变阵：相邻符箓获得 13 秒加速</t>
        </is>
      </c>
      <c r="P1712" s="9" t="inlineStr">
        <is>
          <t>formationSwitch</t>
        </is>
      </c>
      <c r="Q1712" s="9" t="inlineStr">
        <is>
          <t>itemRuntimeStatus</t>
        </is>
      </c>
      <c r="R1712" s="9" t="inlineStr">
        <is>
          <t>{"kind":"effectNote","label":"变阵：相邻符箓获得 8 秒加速","executors":[{"trigger":"formationSwitch","type":"itemRuntimeStatus","itemRuntimeStatus":"haste","durationSec":8,"targetActor":"self","targetScope":"horizontalAdjacent","targetFilter":{"categories":["talisman"]},"label":"变阵：相邻符箓获得 8 秒加速"}],"starOverrides":{"1":{"label":"变阵：相邻符箓获得 10 秒加速","executors":[{"trigger":"formationSwitch","type":"itemRuntimeStatus","itemRuntimeStatus":"haste","durationSec":10,"targetActor":"self","targetScope":"horizontalAdjacent","targetFilter":{"categories":["talisman"]},"label":"变阵：相邻符箓获得 10 秒加速"}]},"2":{"label":"变阵：相邻符箓获得 11 秒加速","executors":[{"trigger":"formationSwitch","type":"itemRuntimeStatus","itemRuntimeStatus":"haste","durationSec":11,"targetActor":"self","targetScope":"horizontalAdjacent","targetFilter":{"categories":["talisman"]},"label":"变阵：相邻符箓获得 11 秒加速"}]},"3":{"label":"变阵：相邻符箓获得 13 秒加速","executors":[{"trigger":"formationSwitch","type":"itemRuntimeStatus","itemRuntimeStatus":"haste","durationSec":13,"targetActor":"self","targetScope":"horizontalAdjacent","targetFilter":{"categories":["talisman"]},"label":"变阵：相邻符箓获得 13 秒加速"}]}}}</t>
        </is>
      </c>
    </row>
    <row r="1713" ht="32" customHeight="1">
      <c r="A1713" s="8" t="n">
        <v>612157</v>
      </c>
      <c r="B1713" s="8" t="inlineStr">
        <is>
          <t>耳骨回声枢</t>
        </is>
      </c>
      <c r="C1713" s="8" t="inlineStr">
        <is>
          <t>阵法</t>
        </is>
      </c>
      <c r="D1713" s="8" t="inlineStr">
        <is>
          <t>common</t>
        </is>
      </c>
      <c r="E1713" s="8" t="inlineStr">
        <is>
          <t>fire</t>
        </is>
      </c>
      <c r="F1713" s="8" t="n">
        <v>1</v>
      </c>
      <c r="G1713" s="8" t="inlineStr">
        <is>
          <t>基础/顶层</t>
        </is>
      </c>
      <c r="H1713" s="8" t="inlineStr"/>
      <c r="I1713" s="9" t="inlineStr"/>
      <c r="J1713" s="8" t="inlineStr"/>
      <c r="K1713" s="8" t="inlineStr"/>
      <c r="L1713" s="8" t="inlineStr"/>
      <c r="M1713" s="8" t="inlineStr">
        <is>
          <t>说明/执行器</t>
        </is>
      </c>
      <c r="N1713" s="8" t="inlineStr">
        <is>
          <t>effectNote</t>
        </is>
      </c>
      <c r="O1713" s="9" t="inlineStr">
        <is>
          <t>变阵：所有饰品获得 8 秒加速；变阵：所有饰品获得 10 秒加速；变阵：所有饰品获得 11 秒加速；变阵：所有饰品获得 13 秒加速</t>
        </is>
      </c>
      <c r="P1713" s="9" t="inlineStr">
        <is>
          <t>formationSwitch</t>
        </is>
      </c>
      <c r="Q1713" s="9" t="inlineStr">
        <is>
          <t>itemRuntimeStatus</t>
        </is>
      </c>
      <c r="R1713" s="9" t="inlineStr">
        <is>
          <t>{"kind":"effectNote","label":"变阵：所有饰品获得 8 秒加速","executors":[{"trigger":"formationSwitch","type":"itemRuntimeStatus","itemRuntimeStatus":"haste","durationSec":8,"targetActor":"self","targetScope":"selfAll","targetFilter":{"features":["accessory"]},"label":"变阵：所有饰品获得 8 秒加速"}],"starOverrides":{"1":{"label":"变阵：所有饰品获得 10 秒加速","executors":[{"trigger":"formationSwitch","type":"itemRuntimeStatus","itemRuntimeStatus":"haste","durationSec":10,"targetActor":"self","targetScope":"selfAll","targetFilter":{"features":["accessory"]},"label":"变阵：所有饰品获得 10 秒加速"}]},"2":{"label":"变阵：所有饰品获得 11 秒加速","executors":[{"trigger":"formationSwitch","type":"itemRuntimeStatus","itemRuntimeStatus":"haste","durationSec":11,"targetActor":"self","targetScope":"selfAll","targetFilter":{"features":["accessory"]},"label":"变阵：所有饰品获得 11 秒加速"}]},"3":{"label":"变阵：所有饰品获得 13 秒加速","executors":[{"trigger":"formationSwitch","type":"itemRuntimeStatus","itemRuntimeStatus":"haste","durationSec":13,"targetActor":"self","targetScope":"selfAll","targetFilter":{"features":["accessory"]},"label":"变阵：所有饰品获得 13 秒加速"}]}}}</t>
        </is>
      </c>
    </row>
    <row r="1714" ht="32" customHeight="1">
      <c r="A1714" s="8" t="n">
        <v>612201</v>
      </c>
      <c r="B1714" s="8" t="inlineStr">
        <is>
          <t>叠角引势阵</t>
        </is>
      </c>
      <c r="C1714" s="8" t="inlineStr">
        <is>
          <t>阵法</t>
        </is>
      </c>
      <c r="D1714" s="8" t="inlineStr">
        <is>
          <t>common</t>
        </is>
      </c>
      <c r="E1714" s="8" t="inlineStr">
        <is>
          <t>earth</t>
        </is>
      </c>
      <c r="F1714" s="8" t="n">
        <v>1</v>
      </c>
      <c r="G1714" s="8" t="inlineStr">
        <is>
          <t>基础/顶层</t>
        </is>
      </c>
      <c r="H1714" s="8" t="inlineStr"/>
      <c r="I1714" s="9" t="inlineStr"/>
      <c r="J1714" s="8" t="inlineStr"/>
      <c r="K1714" s="8" t="inlineStr"/>
      <c r="L1714" s="8" t="inlineStr"/>
      <c r="M1714" s="8" t="inlineStr">
        <is>
          <t>说明/执行器</t>
        </is>
      </c>
      <c r="N1714" s="8" t="inlineStr">
        <is>
          <t>effectNote</t>
        </is>
      </c>
      <c r="O1714" s="9" t="inlineStr">
        <is>
          <t>变阵：每相邻 1 件阵盘，获得 7 层护甲，最多计算 3 件；变阵：每相邻 1 件阵盘，获得 8 层护甲，最多计算 3 件；变阵：每相邻 1 件阵盘，获得 10 层护甲，最多计算 3 件；变阵：每相邻 1 件阵盘，获得 12 层护甲，最多计算 3 件</t>
        </is>
      </c>
      <c r="P1714" s="9" t="inlineStr">
        <is>
          <t>formationSwitch</t>
        </is>
      </c>
      <c r="Q1714" s="9" t="inlineStr">
        <is>
          <t>applyBuff</t>
        </is>
      </c>
      <c r="R1714" s="9" t="inlineStr">
        <is>
          <t>{"kind":"effectNote","label":"变阵：每相邻 1 件阵盘，获得 7 层护甲，最多计算 3 件","executors":[{"trigger":"formationSwitch","type":"applyBuff","buffId":"armor","count":7,"scaling":{"mode":"count","source":"adjacentItems","categories":["formation"],"maxCount":3},"label":"变阵：每相邻 1 件阵盘，获得 7 层护甲，最多计算 3 件"}],"starOverrides":{"1":{"label":"变阵：每相邻 1 件阵盘，获得 8 层护甲，最多计算 3 件","executors":[{"trigger":"formationSwitch","type":"applyBuff","buffId":"armor","count":8,"scaling":{"mode":"count","source":"adjacentItems","categories":["formation"],"maxCount":3},"label":"变阵：每相邻 1 件阵盘，获得 8 层护甲，最多计算 3 件"}]},"2":{"label":"变阵：每相邻 1 件阵盘，获得 10 层护甲，最多计算 3 件","executors":[{"trigger":"formationSwitch","type":"applyBuff","buffId":"armor","count":10,"scaling":{"mode":"count","source":"adjacentItems","categories":["formation"],"maxCount":3},"label":"变阵：每相邻 1 件阵盘，获得 10 层护甲，最多计算 3 件"}]},"3":{"label":"变阵：每相邻 1 件阵盘，获得 12 层护甲，最多计算 3 件","executors":[{"trigger":"formationSwitch","type":"applyBuff","buffId":"armor","count":12,"scaling":{"mode":"count","source":"adjacentItems","categories":["formation"],"maxCount":3},"label":"变阵：每相邻 1 件阵盘，获得 12 层护甲，最多计算 3 件"}]}}}</t>
        </is>
      </c>
    </row>
    <row r="1715" ht="32" customHeight="1">
      <c r="A1715" s="8" t="n">
        <v>612202</v>
      </c>
      <c r="B1715" s="8" t="inlineStr">
        <is>
          <t>骨纹转枢阵</t>
        </is>
      </c>
      <c r="C1715" s="8" t="inlineStr">
        <is>
          <t>阵法</t>
        </is>
      </c>
      <c r="D1715" s="8" t="inlineStr">
        <is>
          <t>common</t>
        </is>
      </c>
      <c r="E1715" s="8" t="inlineStr">
        <is>
          <t>earth</t>
        </is>
      </c>
      <c r="F1715" s="8" t="n">
        <v>1</v>
      </c>
      <c r="G1715" s="8" t="inlineStr">
        <is>
          <t>基础/顶层</t>
        </is>
      </c>
      <c r="H1715" s="8" t="inlineStr"/>
      <c r="I1715" s="9" t="inlineStr"/>
      <c r="J1715" s="8" t="inlineStr"/>
      <c r="K1715" s="8" t="inlineStr"/>
      <c r="L1715" s="8" t="inlineStr"/>
      <c r="M1715" s="8" t="inlineStr">
        <is>
          <t>说明/执行器</t>
        </is>
      </c>
      <c r="N1715" s="8" t="inlineStr">
        <is>
          <t>effectNote</t>
        </is>
      </c>
      <c r="O1715" s="9" t="inlineStr">
        <is>
          <t>变阵：所有其他阵盘获得 8 秒加速；变阵：所有其他阵盘获得 10 秒加速；变阵：所有其他阵盘获得 11 秒加速；变阵：所有其他阵盘获得 13 秒加速</t>
        </is>
      </c>
      <c r="P1715" s="9" t="inlineStr">
        <is>
          <t>formationSwitch</t>
        </is>
      </c>
      <c r="Q1715" s="9" t="inlineStr">
        <is>
          <t>itemRuntimeStatus</t>
        </is>
      </c>
      <c r="R1715" s="9" t="inlineStr">
        <is>
          <t>{"kind":"effectNote","label":"变阵：所有其他阵盘获得 8 秒加速","executors":[{"trigger":"formationSwitch","type":"itemRuntimeStatus","itemRuntimeStatus":"haste","durationSec":8,"targetActor":"self","targetScope":"selfAll","targetFilter":{"categories":["formation"]},"label":"变阵：所有其他阵盘获得 8 秒加速"}],"starOverrides":{"1":{"label":"变阵：所有其他阵盘获得 10 秒加速","executors":[{"trigger":"formationSwitch","type":"itemRuntimeStatus","itemRuntimeStatus":"haste","durationSec":10,"targetActor":"self","targetScope":"selfAll","targetFilter":{"categories":["formation"]},"label":"变阵：所有其他阵盘获得 10 秒加速"}]},"2":{"label":"变阵：所有其他阵盘获得 11 秒加速","executors":[{"trigger":"formationSwitch","type":"itemRuntimeStatus","itemRuntimeStatus":"haste","durationSec":11,"targetActor":"self","targetScope":"selfAll","targetFilter":{"categories":["formation"]},"label":"变阵：所有其他阵盘获得 11 秒加速"}]},"3":{"label":"变阵：所有其他阵盘获得 13 秒加速","executors":[{"trigger":"formationSwitch","type":"itemRuntimeStatus","itemRuntimeStatus":"haste","durationSec":13,"targetActor":"self","targetScope":"selfAll","targetFilter":{"categories":["formation"]},"label":"变阵：所有其他阵盘获得 13 秒加速"}]}}}</t>
        </is>
      </c>
    </row>
    <row r="1716" ht="32" customHeight="1">
      <c r="A1716" s="8" t="n">
        <v>612204</v>
      </c>
      <c r="B1716" s="8" t="inlineStr">
        <is>
          <t>列脊换势阵</t>
        </is>
      </c>
      <c r="C1716" s="8" t="inlineStr">
        <is>
          <t>阵法</t>
        </is>
      </c>
      <c r="D1716" s="8" t="inlineStr">
        <is>
          <t>common</t>
        </is>
      </c>
      <c r="E1716" s="8" t="inlineStr">
        <is>
          <t>earth</t>
        </is>
      </c>
      <c r="F1716" s="8" t="n">
        <v>1</v>
      </c>
      <c r="G1716" s="8" t="inlineStr">
        <is>
          <t>基础/顶层</t>
        </is>
      </c>
      <c r="H1716" s="8" t="inlineStr"/>
      <c r="I1716" s="9" t="inlineStr"/>
      <c r="J1716" s="8" t="inlineStr"/>
      <c r="K1716" s="8" t="inlineStr"/>
      <c r="L1716" s="8" t="inlineStr"/>
      <c r="M1716" s="8" t="inlineStr">
        <is>
          <t>说明/执行器</t>
        </is>
      </c>
      <c r="N1716" s="8" t="inlineStr">
        <is>
          <t>effectNote</t>
        </is>
      </c>
      <c r="O1716" s="9" t="inlineStr">
        <is>
          <t>变阵：左右相邻道具获得 8 层护甲；变阵：左右相邻道具获得 12 层护甲；变阵：左右相邻道具获得 15 层护甲；变阵：左右相邻道具获得 18 层护甲</t>
        </is>
      </c>
      <c r="P1716" s="9" t="inlineStr">
        <is>
          <t>formationSwitch</t>
        </is>
      </c>
      <c r="Q1716" s="9" t="inlineStr">
        <is>
          <t>applyBuff</t>
        </is>
      </c>
      <c r="R1716" s="9" t="inlineStr">
        <is>
          <t>{"kind":"effectNote","label":"变阵：左右相邻道具获得 8 层护甲","executors":[{"trigger":"formationSwitch","type":"applyBuff","buffId":"armor","count":8,"label":"变阵：左右相邻道具获得 8 层护甲"}],"starOverrides":{"1":{"label":"变阵：左右相邻道具获得 12 层护甲","executors":[{"trigger":"formationSwitch","type":"applyBuff","buffId":"armor","count":12,"label":"变阵：左右相邻道具获得 12 层护甲"}]},"2":{"label":"变阵：左右相邻道具获得 15 层护甲","executors":[{"trigger":"formationSwitch","type":"applyBuff","buffId":"armor","count":15,"label":"变阵：左右相邻道具获得 15 层护甲"}]},"3":{"label":"变阵：左右相邻道具获得 18 层护甲","executors":[{"trigger":"formationSwitch","type":"applyBuff","buffId":"armor","count":18,"label":"变阵：左右相邻道具获得 18 层护甲"}]}}}</t>
        </is>
      </c>
    </row>
    <row r="1717" ht="32" customHeight="1">
      <c r="A1717" s="8" t="n">
        <v>612205</v>
      </c>
      <c r="B1717" s="8" t="inlineStr">
        <is>
          <t>符核转轮阵</t>
        </is>
      </c>
      <c r="C1717" s="8" t="inlineStr">
        <is>
          <t>阵法</t>
        </is>
      </c>
      <c r="D1717" s="8" t="inlineStr">
        <is>
          <t>common</t>
        </is>
      </c>
      <c r="E1717" s="8" t="inlineStr">
        <is>
          <t>earth</t>
        </is>
      </c>
      <c r="F1717" s="8" t="n">
        <v>1</v>
      </c>
      <c r="G1717" s="8" t="inlineStr">
        <is>
          <t>基础/顶层</t>
        </is>
      </c>
      <c r="H1717" s="8" t="inlineStr"/>
      <c r="I1717" s="9" t="inlineStr"/>
      <c r="J1717" s="8" t="inlineStr"/>
      <c r="K1717" s="8" t="inlineStr"/>
      <c r="L1717" s="8" t="inlineStr"/>
      <c r="M1717" s="8" t="inlineStr">
        <is>
          <t>说明/执行器</t>
        </is>
      </c>
      <c r="N1717" s="8" t="inlineStr">
        <is>
          <t>effectNote</t>
        </is>
      </c>
      <c r="O1717" s="9" t="inlineStr">
        <is>
          <t>变阵：所有符箓获得 8 秒加速；变阵：所有符箓获得 10 秒加速；变阵：所有符箓获得 11 秒加速；变阵：所有符箓获得 13 秒加速</t>
        </is>
      </c>
      <c r="P1717" s="9" t="inlineStr">
        <is>
          <t>formationSwitch</t>
        </is>
      </c>
      <c r="Q1717" s="9" t="inlineStr">
        <is>
          <t>itemRuntimeStatus</t>
        </is>
      </c>
      <c r="R1717" s="9" t="inlineStr">
        <is>
          <t>{"kind":"effectNote","label":"变阵：所有符箓获得 8 秒加速","executors":[{"trigger":"formationSwitch","type":"itemRuntimeStatus","itemRuntimeStatus":"haste","durationSec":8,"targetActor":"self","targetScope":"selfAll","targetFilter":{"categories":["talisman"]},"label":"变阵：所有符箓获得 8 秒加速"}],"starOverrides":{"1":{"label":"变阵：所有符箓获得 10 秒加速","executors":[{"trigger":"formationSwitch","type":"itemRuntimeStatus","itemRuntimeStatus":"haste","durationSec":10,"targetActor":"self","targetScope":"selfAll","targetFilter":{"categories":["talisman"]},"label":"变阵：所有符箓获得 10 秒加速"}]},"2":{"label":"变阵：所有符箓获得 11 秒加速","executors":[{"trigger":"formationSwitch","type":"itemRuntimeStatus","itemRuntimeStatus":"haste","durationSec":11,"targetActor":"self","targetScope":"selfAll","targetFilter":{"categories":["talisman"]},"label":"变阵：所有符箓获得 11 秒加速"}]},"3":{"label":"变阵：所有符箓获得 13 秒加速","executors":[{"trigger":"formationSwitch","type":"itemRuntimeStatus","itemRuntimeStatus":"haste","durationSec":13,"targetActor":"self","targetScope":"selfAll","targetFilter":{"categories":["talisman"]},"label":"变阵：所有符箓获得 13 秒加速"}]}}}</t>
        </is>
      </c>
    </row>
    <row r="1718" ht="32" customHeight="1">
      <c r="A1718" s="8" t="n">
        <v>612250</v>
      </c>
      <c r="B1718" s="8" t="inlineStr">
        <is>
          <t>回纹承压盘</t>
        </is>
      </c>
      <c r="C1718" s="8" t="inlineStr">
        <is>
          <t>阵法</t>
        </is>
      </c>
      <c r="D1718" s="8" t="inlineStr">
        <is>
          <t>common</t>
        </is>
      </c>
      <c r="E1718" s="8" t="inlineStr">
        <is>
          <t>metal</t>
        </is>
      </c>
      <c r="F1718" s="8" t="n">
        <v>1</v>
      </c>
      <c r="G1718" s="8" t="inlineStr">
        <is>
          <t>基础/顶层</t>
        </is>
      </c>
      <c r="H1718" s="8" t="inlineStr"/>
      <c r="I1718" s="9" t="inlineStr"/>
      <c r="J1718" s="8" t="inlineStr"/>
      <c r="K1718" s="8" t="inlineStr"/>
      <c r="L1718" s="8" t="inlineStr"/>
      <c r="M1718" s="8" t="inlineStr">
        <is>
          <t>说明/执行器</t>
        </is>
      </c>
      <c r="N1718" s="8" t="inlineStr">
        <is>
          <t>effectNote</t>
        </is>
      </c>
      <c r="O1718" s="9" t="inlineStr">
        <is>
          <t>变阵：未接触储物袋边缘时，获得 3 层护甲；变阵：未接触储物袋边缘时，获得 5 层护甲；变阵：未接触储物袋边缘时，获得 7 层护甲；变阵：未接触储物袋边缘时，获得 8 层护甲</t>
        </is>
      </c>
      <c r="P1718" s="9" t="inlineStr">
        <is>
          <t>formationSwitch</t>
        </is>
      </c>
      <c r="Q1718" s="9" t="inlineStr">
        <is>
          <t>applyBuff</t>
        </is>
      </c>
      <c r="R1718" s="9" t="inlineStr">
        <is>
          <t>{"kind":"effectNote","label":"变阵：未接触储物袋边缘时，获得 3 层护甲","executors":[{"trigger":"formationSwitch","type":"applyBuff","buffId":"armor","count":3,"label":"变阵：未接触储物袋边缘时，获得 3 层护甲","activationRequirements":{"forbiddenEdges":["top","bottom","left","right"]}}],"starOverrides":{"1":{"label":"变阵：未接触储物袋边缘时，获得 5 层护甲","executors":[{"trigger":"formationSwitch","type":"applyBuff","buffId":"armor","count":5,"label":"变阵：未接触储物袋边缘时，获得 5 层护甲","activationRequirements":{"forbiddenEdges":["top","bottom","left","right"]}}]},"2":{"label":"变阵：未接触储物袋边缘时，获得 7 层护甲","executors":[{"trigger":"formationSwitch","type":"applyBuff","buffId":"armor","count":7,"label":"变阵：未接触储物袋边缘时，获得 7 层护甲","activationRequirements":{"forbiddenEdges":["top","bottom","left","right"]}}]},"3":{"label":"变阵：未接触储物袋边缘时，获得 8 层护甲","executors":[{"trigger":"formationSwitch","type":"applyBuff","buffId":"armor","count":8,"label":"变阵：未接触储物袋边缘时，获得 8 层护甲","activationRequirements":{"forbiddenEdges":["top","bottom","left","right"]}}]}}}</t>
        </is>
      </c>
    </row>
    <row r="1719" ht="32" customHeight="1">
      <c r="A1719" s="8" t="n">
        <v>612301</v>
      </c>
      <c r="B1719" s="8" t="inlineStr">
        <is>
          <t>凝月回生阵</t>
        </is>
      </c>
      <c r="C1719" s="8" t="inlineStr">
        <is>
          <t>阵法</t>
        </is>
      </c>
      <c r="D1719" s="8" t="inlineStr">
        <is>
          <t>common</t>
        </is>
      </c>
      <c r="E1719" s="8" t="inlineStr">
        <is>
          <t>water</t>
        </is>
      </c>
      <c r="F1719" s="8" t="n">
        <v>1</v>
      </c>
      <c r="G1719" s="8" t="inlineStr">
        <is>
          <t>基础/顶层</t>
        </is>
      </c>
      <c r="H1719" s="8" t="inlineStr"/>
      <c r="I1719" s="9" t="inlineStr"/>
      <c r="J1719" s="8" t="inlineStr"/>
      <c r="K1719" s="8" t="inlineStr"/>
      <c r="L1719" s="8" t="inlineStr"/>
      <c r="M1719" s="8" t="inlineStr">
        <is>
          <t>说明/执行器</t>
        </is>
      </c>
      <c r="N1719" s="8" t="inlineStr">
        <is>
          <t>effectNote</t>
        </is>
      </c>
      <c r="O1719" s="9" t="inlineStr">
        <is>
          <t>变阵：消耗 5 层再生；移除敌方 5 层护甲；变阵：消耗 7 层再生；移除敌方 7 层护甲；变阵：消耗 8 层再生；移除敌方 8 层护甲；变阵：消耗 10 层再生；移除敌方 10 层护甲</t>
        </is>
      </c>
      <c r="P1719" s="9" t="inlineStr">
        <is>
          <t>formationSwitch</t>
        </is>
      </c>
      <c r="Q1719" s="9" t="inlineStr">
        <is>
          <t>consumeBuffStacks</t>
        </is>
      </c>
      <c r="R1719" s="9" t="inlineStr">
        <is>
          <t>{"kind":"effectNote","label":"变阵：消耗 5 层再生；&lt;battle&gt;移除敌方 5 层护甲&lt;/battle&gt;","executors":[{"trigger":"formationSwitch","type":"consumeBuffStacks","sourceBuffId":"regeneration","requiredStacks":5,"maxStacks":5,"targetBuffRemovals":[{"buffId":"armor","count":5}],"support":"common","label":"变阵：消耗 5 层再生；&lt;battle&gt;移除敌方 5 层护甲&lt;/battle&gt;"}],"starOverrides":{"1":{"label":"变阵：消耗 7 层再生；&lt;battle&gt;移除敌方 7 层护甲&lt;/battle&gt;","executors":[{"requiredStacks":7,"maxStacks":7,"targetBuffRemovals":[{"buffId":"armor","count":7}],"label":"变阵：消耗 7 层再生；&lt;battle&gt;移除敌方 7 层护甲&lt;/battle&gt;"}]},"2":{"label":"变阵：消耗 8 层再生；&lt;battle&gt;移除敌方 8 层护甲&lt;/battle&gt;","executors":[{"requiredStacks":8,"maxStacks":8,"targetBuffRemovals":[{"buffId":"armor","count":8}],"label":"变阵：消耗 8 层再生；&lt;battle&gt;移除敌方 8 层护甲&lt;/battle&gt;"}]},"3":{"label":"变阵：消耗 10 层再生；&lt;battle&gt;移除敌方 10 层护甲&lt;/battle&gt;","executors":[{"requiredStacks":10,"maxStacks":10,"targetBuffRemovals":[{"buffId":"armor","count":10}],"label":"变阵：消耗 10 层再生；&lt;battle&gt;移除敌方 10 层护甲&lt;/battle&gt;"}]}}}</t>
        </is>
      </c>
    </row>
    <row r="1720" ht="32" customHeight="1">
      <c r="A1720" s="8" t="n">
        <v>612302</v>
      </c>
      <c r="B1720" s="8" t="inlineStr">
        <is>
          <t>月涧导流阵</t>
        </is>
      </c>
      <c r="C1720" s="8" t="inlineStr">
        <is>
          <t>阵法</t>
        </is>
      </c>
      <c r="D1720" s="8" t="inlineStr">
        <is>
          <t>common</t>
        </is>
      </c>
      <c r="E1720" s="8" t="inlineStr">
        <is>
          <t>water</t>
        </is>
      </c>
      <c r="F1720" s="8" t="n">
        <v>1</v>
      </c>
      <c r="G1720" s="8" t="inlineStr">
        <is>
          <t>基础/顶层</t>
        </is>
      </c>
      <c r="H1720" s="8" t="inlineStr"/>
      <c r="I1720" s="9" t="inlineStr"/>
      <c r="J1720" s="8" t="inlineStr"/>
      <c r="K1720" s="8" t="inlineStr"/>
      <c r="L1720" s="8" t="inlineStr"/>
      <c r="M1720" s="8" t="inlineStr">
        <is>
          <t>说明/执行器</t>
        </is>
      </c>
      <c r="N1720" s="8" t="inlineStr">
        <is>
          <t>effectNote</t>
        </is>
      </c>
      <c r="O1720" s="9" t="inlineStr">
        <is>
          <t>变阵：敌方随机 1 件道具获得 8 秒减速；变阵：敌方随机 1 件道具获得 9 秒减速；变阵：敌方随机 1 件道具获得 11 秒减速；变阵：敌方随机 1 件道具获得 12 秒减速</t>
        </is>
      </c>
      <c r="P1720" s="9" t="inlineStr">
        <is>
          <t>formationSwitch</t>
        </is>
      </c>
      <c r="Q1720" s="9" t="inlineStr">
        <is>
          <t>itemRuntimeStatus</t>
        </is>
      </c>
      <c r="R1720" s="9" t="inlineStr">
        <is>
          <t>{"kind":"effectNote","label":"变阵：&lt;battle&gt;敌方随机 1 件道具获得 8 秒减速&lt;/battle&gt;","executors":[{"trigger":"formationSwitch","type":"itemRuntimeStatus","itemRuntimeStatus":"slow","durationSec":8,"targetActor":"enemy","targetScope":"enemyRandom","amount":1,"label":"变阵：&lt;battle&gt;敌方随机 1 件道具获得 8 秒减速&lt;/battle&gt;","support":"battleOnly"}],"starOverrides":{"1":{"label":"变阵：&lt;battle&gt;敌方随机 1 件道具获得 9 秒减速&lt;/battle&gt;","executors":[{"trigger":"formationSwitch","type":"itemRuntimeStatus","itemRuntimeStatus":"slow","durationSec":9,"targetActor":"enemy","targetScope":"enemyRandom","amount":1,"label":"变阵：&lt;battle&gt;敌方随机 1 件道具获得 9 秒减速&lt;/battle&gt;","support":"battleOnly"}]},"2":{"label":"变阵：&lt;battle&gt;敌方随机 1 件道具获得 11 秒减速&lt;/battle&gt;","executors":[{"trigger":"formationSwitch","type":"itemRuntimeStatus","itemRuntimeStatus":"slow","durationSec":11,"targetActor":"enemy","targetScope":"enemyRandom","amount":1,"label":"变阵：&lt;battle&gt;敌方随机 1 件道具获得 11 秒减速&lt;/battle&gt;","support":"battleOnly"}]},"3":{"label":"变阵：&lt;battle&gt;敌方随机 1 件道具获得 12 秒减速&lt;/battle&gt;","executors":[{"trigger":"formationSwitch","type":"itemRuntimeStatus","itemRuntimeStatus":"slow","durationSec":12,"targetActor":"enemy","targetScope":"enemyRandom","amount":1,"label":"变阵：&lt;battle&gt;敌方随机 1 件道具获得 12 秒减速&lt;/battle&gt;","support":"battleOnly"}]}}}</t>
        </is>
      </c>
    </row>
    <row r="1721" ht="32" customHeight="1">
      <c r="A1721" s="8" t="n">
        <v>612303</v>
      </c>
      <c r="B1721" s="8" t="inlineStr">
        <is>
          <t>月池回澜幡</t>
        </is>
      </c>
      <c r="C1721" s="8" t="inlineStr">
        <is>
          <t>阵法</t>
        </is>
      </c>
      <c r="D1721" s="8" t="inlineStr">
        <is>
          <t>common</t>
        </is>
      </c>
      <c r="E1721" s="8" t="inlineStr">
        <is>
          <t>water</t>
        </is>
      </c>
      <c r="F1721" s="8" t="n">
        <v>1</v>
      </c>
      <c r="G1721" s="8" t="inlineStr">
        <is>
          <t>基础/顶层</t>
        </is>
      </c>
      <c r="H1721" s="8" t="inlineStr"/>
      <c r="I1721" s="9" t="inlineStr"/>
      <c r="J1721" s="8" t="inlineStr"/>
      <c r="K1721" s="8" t="inlineStr"/>
      <c r="L1721" s="8" t="inlineStr"/>
      <c r="M1721" s="8" t="inlineStr">
        <is>
          <t>说明/执行器</t>
        </is>
      </c>
      <c r="N1721" s="8" t="inlineStr">
        <is>
          <t>effectNote</t>
        </is>
      </c>
      <c r="O1721" s="9" t="inlineStr">
        <is>
          <t>变阵：相邻丹药获得 5 秒减速；变阵：相邻丹药获得 7 秒减速；变阵：相邻丹药获得 8 秒减速；变阵：相邻丹药获得 9 秒减速</t>
        </is>
      </c>
      <c r="P1721" s="9" t="inlineStr">
        <is>
          <t>formationSwitch</t>
        </is>
      </c>
      <c r="Q1721" s="9" t="inlineStr">
        <is>
          <t>itemRuntimeStatus</t>
        </is>
      </c>
      <c r="R1721" s="9" t="inlineStr">
        <is>
          <t>{"kind":"effectNote","label":"变阵：相邻丹药获得 5 秒减速","executors":[{"trigger":"formationSwitch","type":"itemRuntimeStatus","itemRuntimeStatus":"slow","durationSec":5,"targetActor":"self","targetScope":"horizontalAdjacent","targetFilter":{"categories":["pill"]},"label":"变阵：相邻丹药获得 5 秒减速"}],"starOverrides":{"1":{"label":"变阵：相邻丹药获得 7 秒减速","executors":[{"trigger":"formationSwitch","type":"itemRuntimeStatus","itemRuntimeStatus":"slow","durationSec":7,"targetActor":"self","targetScope":"horizontalAdjacent","targetFilter":{"categories":["pill"]},"label":"变阵：相邻丹药获得 7 秒减速"}]},"2":{"label":"变阵：相邻丹药获得 8 秒减速","executors":[{"trigger":"formationSwitch","type":"itemRuntimeStatus","itemRuntimeStatus":"slow","durationSec":8,"targetActor":"self","targetScope":"horizontalAdjacent","targetFilter":{"categories":["pill"]},"label":"变阵：相邻丹药获得 8 秒减速"}]},"3":{"label":"变阵：相邻丹药获得 9 秒减速","executors":[{"trigger":"formationSwitch","type":"itemRuntimeStatus","itemRuntimeStatus":"slow","durationSec":9,"targetActor":"self","targetScope":"horizontalAdjacent","targetFilter":{"categories":["pill"]},"label":"变阵：相邻丹药获得 9 秒减速"}]}}}</t>
        </is>
      </c>
    </row>
    <row r="1722" ht="32" customHeight="1">
      <c r="A1722" s="8" t="n">
        <v>612350</v>
      </c>
      <c r="B1722" s="8" t="inlineStr">
        <is>
          <t>清辉引潮盘</t>
        </is>
      </c>
      <c r="C1722" s="8" t="inlineStr">
        <is>
          <t>阵法</t>
        </is>
      </c>
      <c r="D1722" s="8" t="inlineStr">
        <is>
          <t>common</t>
        </is>
      </c>
      <c r="E1722" s="8" t="inlineStr">
        <is>
          <t>metal</t>
        </is>
      </c>
      <c r="F1722" s="8" t="n">
        <v>1</v>
      </c>
      <c r="G1722" s="8" t="inlineStr">
        <is>
          <t>基础/顶层</t>
        </is>
      </c>
      <c r="H1722" s="8" t="inlineStr"/>
      <c r="I1722" s="9" t="inlineStr"/>
      <c r="J1722" s="8" t="inlineStr"/>
      <c r="K1722" s="8" t="inlineStr"/>
      <c r="L1722" s="8" t="inlineStr"/>
      <c r="M1722" s="8" t="inlineStr">
        <is>
          <t>说明/执行器</t>
        </is>
      </c>
      <c r="N1722" s="8" t="inlineStr">
        <is>
          <t>effectNote</t>
        </is>
      </c>
      <c r="O1722" s="9" t="inlineStr">
        <is>
          <t>变阵：位于储物袋边缘时，获得 8 层露水；变阵：位于储物袋边缘时，获得 12 层露水；变阵：位于储物袋边缘时，获得 15 层露水；变阵：位于储物袋边缘时，获得 18 层露水</t>
        </is>
      </c>
      <c r="P1722" s="9" t="inlineStr">
        <is>
          <t>formationSwitch</t>
        </is>
      </c>
      <c r="Q1722" s="9" t="inlineStr">
        <is>
          <t>applyBuff</t>
        </is>
      </c>
      <c r="R1722" s="9" t="inlineStr">
        <is>
          <t>{"kind":"effectNote","label":"变阵：位于储物袋边缘时，获得 8 层露水","executors":[{"trigger":"formationSwitch","type":"applyBuff","buffId":"dew","count":8,"label":"变阵：位于储物袋边缘时，获得 8 层露水","activationRequirements":{"sourceEdges":["top","bottom","left","right"]}}],"starOverrides":{"1":{"label":"变阵：位于储物袋边缘时，获得 12 层露水","executors":[{"trigger":"formationSwitch","type":"applyBuff","buffId":"dew","count":12,"label":"变阵：位于储物袋边缘时，获得 12 层露水","activationRequirements":{"sourceEdges":["top","bottom","left","right"]}}]},"2":{"label":"变阵：位于储物袋边缘时，获得 15 层露水","executors":[{"trigger":"formationSwitch","type":"applyBuff","buffId":"dew","count":15,"label":"变阵：位于储物袋边缘时，获得 15 层露水","activationRequirements":{"sourceEdges":["top","bottom","left","right"]}}]},"3":{"label":"变阵：位于储物袋边缘时，获得 18 层露水","executors":[{"trigger":"formationSwitch","type":"applyBuff","buffId":"dew","count":18,"label":"变阵：位于储物袋边缘时，获得 18 层露水","activationRequirements":{"sourceEdges":["top","bottom","left","right"]}}]}}}</t>
        </is>
      </c>
    </row>
    <row r="1723" ht="32" customHeight="1">
      <c r="A1723" s="8" t="n">
        <v>612402</v>
      </c>
      <c r="B1723" s="8" t="inlineStr">
        <is>
          <t>梧绒回风阵框</t>
        </is>
      </c>
      <c r="C1723" s="8" t="inlineStr">
        <is>
          <t>阵法</t>
        </is>
      </c>
      <c r="D1723" s="8" t="inlineStr">
        <is>
          <t>common</t>
        </is>
      </c>
      <c r="E1723" s="8" t="inlineStr">
        <is>
          <t>wood</t>
        </is>
      </c>
      <c r="F1723" s="8" t="n">
        <v>1</v>
      </c>
      <c r="G1723" s="8" t="inlineStr">
        <is>
          <t>基础/顶层</t>
        </is>
      </c>
      <c r="H1723" s="8" t="inlineStr"/>
      <c r="I1723" s="9" t="inlineStr"/>
      <c r="J1723" s="8" t="inlineStr"/>
      <c r="K1723" s="8" t="inlineStr"/>
      <c r="L1723" s="8" t="inlineStr"/>
      <c r="M1723" s="8" t="inlineStr">
        <is>
          <t>说明/执行器</t>
        </is>
      </c>
      <c r="N1723" s="8" t="inlineStr">
        <is>
          <t>effectNote</t>
        </is>
      </c>
      <c r="O1723" s="9" t="inlineStr">
        <is>
          <t>变阵：所有装备获得 8 秒加速；变阵：所有装备获得 10 秒加速；变阵：所有装备获得 11 秒加速；变阵：所有装备获得 13 秒加速</t>
        </is>
      </c>
      <c r="P1723" s="9" t="inlineStr">
        <is>
          <t>formationSwitch</t>
        </is>
      </c>
      <c r="Q1723" s="9" t="inlineStr">
        <is>
          <t>itemRuntimeStatus</t>
        </is>
      </c>
      <c r="R1723" s="9" t="inlineStr">
        <is>
          <t>{"kind":"effectNote","label":"变阵：所有装备获得 8 秒加速","executors":[{"trigger":"formationSwitch","type":"itemRuntimeStatus","itemRuntimeStatus":"haste","durationSec":8,"targetActor":"self","targetScope":"selfAll","targetFilter":{"features":["equipment"]},"label":"变阵：所有装备获得 8 秒加速"}],"starOverrides":{"1":{"label":"变阵：所有装备获得 10 秒加速","executors":[{"trigger":"formationSwitch","type":"itemRuntimeStatus","itemRuntimeStatus":"haste","durationSec":10,"targetActor":"self","targetScope":"selfAll","targetFilter":{"features":["equipment"]},"label":"变阵：所有装备获得 10 秒加速"}]},"2":{"label":"变阵：所有装备获得 11 秒加速","executors":[{"trigger":"formationSwitch","type":"itemRuntimeStatus","itemRuntimeStatus":"haste","durationSec":11,"targetActor":"self","targetScope":"selfAll","targetFilter":{"features":["equipment"]},"label":"变阵：所有装备获得 11 秒加速"}]},"3":{"label":"变阵：所有装备获得 13 秒加速","executors":[{"trigger":"formationSwitch","type":"itemRuntimeStatus","itemRuntimeStatus":"haste","durationSec":13,"targetActor":"self","targetScope":"selfAll","targetFilter":{"features":["equipment"]},"label":"变阵：所有装备获得 13 秒加速"}]}}}</t>
        </is>
      </c>
    </row>
    <row r="1724" ht="32" customHeight="1">
      <c r="A1724" s="8" t="n">
        <v>612404</v>
      </c>
      <c r="B1724" s="8" t="inlineStr">
        <is>
          <t>牵脉灵筋阵旗</t>
        </is>
      </c>
      <c r="C1724" s="8" t="inlineStr">
        <is>
          <t>阵法</t>
        </is>
      </c>
      <c r="D1724" s="8" t="inlineStr">
        <is>
          <t>common</t>
        </is>
      </c>
      <c r="E1724" s="8" t="inlineStr">
        <is>
          <t>wood</t>
        </is>
      </c>
      <c r="F1724" s="8" t="n">
        <v>1</v>
      </c>
      <c r="G1724" s="8" t="inlineStr">
        <is>
          <t>基础/顶层</t>
        </is>
      </c>
      <c r="H1724" s="8" t="inlineStr"/>
      <c r="I1724" s="9" t="inlineStr"/>
      <c r="J1724" s="8" t="inlineStr"/>
      <c r="K1724" s="8" t="inlineStr"/>
      <c r="L1724" s="8" t="inlineStr"/>
      <c r="M1724" s="8" t="inlineStr">
        <is>
          <t>说明/执行器</t>
        </is>
      </c>
      <c r="N1724" s="8" t="inlineStr">
        <is>
          <t>effectNote</t>
        </is>
      </c>
      <c r="O1724" s="9" t="inlineStr">
        <is>
          <t>变阵：所有武器获得 8 秒加速；变阵：所有武器获得 10 秒加速；变阵：所有武器获得 11 秒加速；变阵：所有武器获得 13 秒加速</t>
        </is>
      </c>
      <c r="P1724" s="9" t="inlineStr">
        <is>
          <t>formationSwitch</t>
        </is>
      </c>
      <c r="Q1724" s="9" t="inlineStr">
        <is>
          <t>itemRuntimeStatus</t>
        </is>
      </c>
      <c r="R1724" s="9" t="inlineStr">
        <is>
          <t>{"kind":"effectNote","label":"变阵：所有武器获得 8 秒加速","executors":[{"trigger":"formationSwitch","type":"itemRuntimeStatus","itemRuntimeStatus":"haste","durationSec":8,"targetActor":"self","targetScope":"selfAll","targetFilter":{"features":["weapon"]},"label":"变阵：所有武器获得 8 秒加速"}],"starOverrides":{"1":{"label":"变阵：所有武器获得 10 秒加速","executors":[{"trigger":"formationSwitch","type":"itemRuntimeStatus","itemRuntimeStatus":"haste","durationSec":10,"targetActor":"self","targetScope":"selfAll","targetFilter":{"features":["weapon"]},"label":"变阵：所有武器获得 10 秒加速"}]},"2":{"label":"变阵：所有武器获得 11 秒加速","executors":[{"trigger":"formationSwitch","type":"itemRuntimeStatus","itemRuntimeStatus":"haste","durationSec":11,"targetActor":"self","targetScope":"selfAll","targetFilter":{"features":["weapon"]},"label":"变阵：所有武器获得 11 秒加速"}]},"3":{"label":"变阵：所有武器获得 13 秒加速","executors":[{"trigger":"formationSwitch","type":"itemRuntimeStatus","itemRuntimeStatus":"haste","durationSec":13,"targetActor":"self","targetScope":"selfAll","targetFilter":{"features":["weapon"]},"label":"变阵：所有武器获得 13 秒加速"}]}}}</t>
        </is>
      </c>
    </row>
    <row r="1725" ht="32" customHeight="1">
      <c r="A1725" s="8" t="n">
        <v>612454</v>
      </c>
      <c r="B1725" s="8" t="inlineStr">
        <is>
          <t>青核回枢法盘</t>
        </is>
      </c>
      <c r="C1725" s="8" t="inlineStr">
        <is>
          <t>阵法</t>
        </is>
      </c>
      <c r="D1725" s="8" t="inlineStr">
        <is>
          <t>common</t>
        </is>
      </c>
      <c r="E1725" s="8" t="inlineStr">
        <is>
          <t>wood</t>
        </is>
      </c>
      <c r="F1725" s="8" t="n">
        <v>1</v>
      </c>
      <c r="G1725" s="8" t="inlineStr">
        <is>
          <t>基础/顶层</t>
        </is>
      </c>
      <c r="H1725" s="8" t="inlineStr"/>
      <c r="I1725" s="9" t="inlineStr"/>
      <c r="J1725" s="8" t="inlineStr"/>
      <c r="K1725" s="8" t="inlineStr"/>
      <c r="L1725" s="8" t="inlineStr"/>
      <c r="M1725" s="8" t="inlineStr">
        <is>
          <t>说明/执行器</t>
        </is>
      </c>
      <c r="N1725" s="8" t="inlineStr">
        <is>
          <t>effectNote</t>
        </is>
      </c>
      <c r="O1725" s="9" t="inlineStr">
        <is>
          <t>变阵：每有 1 件招式，恢复 5 点法力，最多计算 4 件；变阵：每有 1 件招式，恢复 7 点法力，最多计算 4 件；变阵：每有 1 件招式，恢复 8 点法力，最多计算 4 件；变阵：每有 1 件招式，恢复 10 点法力，最多计算 4 件</t>
        </is>
      </c>
      <c r="P1725" s="9" t="inlineStr">
        <is>
          <t>formationSwitch</t>
        </is>
      </c>
      <c r="Q1725" s="9" t="inlineStr">
        <is>
          <t>grantResources；primaryStat</t>
        </is>
      </c>
      <c r="R1725" s="9" t="inlineStr">
        <is>
          <t>{"kind":"effectNote","label":"变阵：每有 1 件招式，恢复 5 点法力，最多计算 4 件","executors":[{"trigger":"formationSwitch","type":"grantResources","grants":[{"type":"primaryStat","stat":"mana","delta":5}],"scaling":{"mode":"count","source":"bagItems","categories":["spell"],"maxCount":4},"label":"变阵：每有 1 件招式，恢复 5 点法力，最多计算 4 件"}],"starOverrides":{"1":{"label":"变阵：每有 1 件招式，恢复 7 点法力，最多计算 4 件","executors":[{"trigger":"formationSwitch","type":"grantResources","grants":[{"type":"primaryStat","stat":"mana","delta":7}],"scaling":{"mode":"count","source":"bagItems","categories":["spell"],"maxCount":4},"label":"变阵：每有 1 件招式，恢复 7 点法力，最多计算 4 件"}]},"2":{"label":"变阵：每有 1 件招式，恢复 8 点法力，最多计算 4 件","executors":[{"trigger":"formationSwitch","type":"grantResources","grants":[{"type":"primaryStat","stat":"mana","delta":8}],"scaling":{"mode":"count","source":"bagItems","categories":["spell"],"maxCount":4},"label":"变阵：每有 1 件招式，恢复 8 点法力，最多计算 4 件"}]},"3":{"label":"变阵：每有 1 件招式，恢复 10 点法力，最多计算 4 件","executors":[{"trigger":"formationSwitch","type":"grantResources","grants":[{"type":"primaryStat","stat":"mana","delta":10}],"scaling":{"mode":"count","source":"bagItems","categories":["spell"],"maxCount":4},"label":"变阵：每有 1 件招式，恢复 10 点法力，最多计算 4 件"}]}}}</t>
        </is>
      </c>
    </row>
    <row r="1726" ht="32" customHeight="1">
      <c r="A1726" s="8" t="n">
        <v>612455</v>
      </c>
      <c r="B1726" s="8" t="inlineStr">
        <is>
          <t>灵瞳索敌灵枢</t>
        </is>
      </c>
      <c r="C1726" s="8" t="inlineStr">
        <is>
          <t>阵法</t>
        </is>
      </c>
      <c r="D1726" s="8" t="inlineStr">
        <is>
          <t>common</t>
        </is>
      </c>
      <c r="E1726" s="8" t="inlineStr">
        <is>
          <t>wood</t>
        </is>
      </c>
      <c r="F1726" s="8" t="n">
        <v>1</v>
      </c>
      <c r="G1726" s="8" t="inlineStr">
        <is>
          <t>基础/顶层</t>
        </is>
      </c>
      <c r="H1726" s="8" t="inlineStr"/>
      <c r="I1726" s="9" t="inlineStr"/>
      <c r="J1726" s="8" t="inlineStr"/>
      <c r="K1726" s="8" t="inlineStr"/>
      <c r="L1726" s="8" t="inlineStr"/>
      <c r="M1726" s="8" t="inlineStr">
        <is>
          <t>说明/执行器</t>
        </is>
      </c>
      <c r="N1726" s="8" t="inlineStr">
        <is>
          <t>effectNote</t>
        </is>
      </c>
      <c r="O1726" s="9" t="inlineStr">
        <is>
          <t>变阵：敌方随机 2 件道具获得 6 秒减速；变阵：敌方随机 2 件道具获得 8 秒减速；变阵：敌方随机 2 件道具获得 9 秒减速；变阵：敌方随机 2 件道具获得 11 秒减速</t>
        </is>
      </c>
      <c r="P1726" s="9" t="inlineStr">
        <is>
          <t>formationSwitch</t>
        </is>
      </c>
      <c r="Q1726" s="9" t="inlineStr">
        <is>
          <t>itemRuntimeStatus</t>
        </is>
      </c>
      <c r="R1726" s="9" t="inlineStr">
        <is>
          <t>{"kind":"effectNote","label":"变阵：&lt;battle&gt;敌方随机 2 件道具获得 6 秒减速&lt;/battle&gt;","executors":[{"trigger":"formationSwitch","type":"itemRuntimeStatus","itemRuntimeStatus":"slow","durationSec":6,"targetActor":"enemy","targetScope":"enemyRandom","amount":2,"label":"变阵：&lt;battle&gt;敌方随机 2 件道具获得 6 秒减速&lt;/battle&gt;","support":"battleOnly"}],"starOverrides":{"1":{"label":"变阵：&lt;battle&gt;敌方随机 2 件道具获得 8 秒减速&lt;/battle&gt;","executors":[{"trigger":"formationSwitch","type":"itemRuntimeStatus","itemRuntimeStatus":"slow","durationSec":8,"targetActor":"enemy","targetScope":"enemyRandom","amount":2,"label":"变阵：&lt;battle&gt;敌方随机 2 件道具获得 8 秒减速&lt;/battle&gt;","support":"battleOnly"}]},"2":{"label":"变阵：&lt;battle&gt;敌方随机 2 件道具获得 9 秒减速&lt;/battle&gt;","executors":[{"trigger":"formationSwitch","type":"itemRuntimeStatus","itemRuntimeStatus":"slow","durationSec":9,"targetActor":"enemy","targetScope":"enemyRandom","amount":2,"label":"变阵：&lt;battle&gt;敌方随机 2 件道具获得 9 秒减速&lt;/battle&gt;","support":"battleOnly"}]},"3":{"label":"变阵：&lt;battle&gt;敌方随机 2 件道具获得 11 秒减速&lt;/battle&gt;","executors":[{"trigger":"formationSwitch","type":"itemRuntimeStatus","itemRuntimeStatus":"slow","durationSec":11,"targetActor":"enemy","targetScope":"enemyRandom","amount":2,"label":"变阵：&lt;battle&gt;敌方随机 2 件道具获得 11 秒减速&lt;/battle&gt;","support":"battleOnly"}]}}}</t>
        </is>
      </c>
    </row>
    <row r="1727" ht="32" customHeight="1">
      <c r="A1727" s="8" t="n">
        <v>612550</v>
      </c>
      <c r="B1727" s="8" t="inlineStr">
        <is>
          <t>赤炉回纹盘</t>
        </is>
      </c>
      <c r="C1727" s="8" t="inlineStr">
        <is>
          <t>阵法</t>
        </is>
      </c>
      <c r="D1727" s="8" t="inlineStr">
        <is>
          <t>common</t>
        </is>
      </c>
      <c r="E1727" s="8" t="inlineStr">
        <is>
          <t>fire</t>
        </is>
      </c>
      <c r="F1727" s="8" t="n">
        <v>1</v>
      </c>
      <c r="G1727" s="8" t="inlineStr">
        <is>
          <t>基础/顶层</t>
        </is>
      </c>
      <c r="H1727" s="8" t="inlineStr"/>
      <c r="I1727" s="9" t="inlineStr"/>
      <c r="J1727" s="8" t="inlineStr"/>
      <c r="K1727" s="8" t="inlineStr"/>
      <c r="L1727" s="8" t="inlineStr"/>
      <c r="M1727" s="8" t="inlineStr">
        <is>
          <t>说明/执行器</t>
        </is>
      </c>
      <c r="N1727" s="8" t="inlineStr">
        <is>
          <t>effectNote</t>
        </is>
      </c>
      <c r="O1727" s="9" t="inlineStr">
        <is>
          <t>变阵：最多将 4 层炎热转化为护甲，每层获得 5 层护甲；变阵：最多将 5 层炎热转化为护甲，每层获得 5 层护甲；变阵：最多将 6 层炎热转化为护甲，每层获得 5 层护甲；变阵：最多将 7 层炎热转化为护甲，每层获得 5 层护甲</t>
        </is>
      </c>
      <c r="P1727" s="9" t="inlineStr">
        <is>
          <t>formationSwitch</t>
        </is>
      </c>
      <c r="Q1727" s="9" t="inlineStr">
        <is>
          <t>convertBuffStacks</t>
        </is>
      </c>
      <c r="R1727" s="9" t="inlineStr">
        <is>
          <t>{"kind":"effectNote","label":"变阵：最多将 4 层炎热转化为护甲，每层获得 5 层护甲","executors":[{"trigger":"formationSwitch","type":"convertBuffStacks","sourceBuffId":"heat","targetBuffId":"armor","maxStacks":4,"consumeRatio":5,"label":"变阵：最多将 4 层炎热转化为护甲，每层获得 5 层护甲"}],"starOverrides":{"1":{"label":"变阵：最多将 5 层炎热转化为护甲，每层获得 5 层护甲","executors":[{"trigger":"formationSwitch","type":"convertBuffStacks","sourceBuffId":"heat","targetBuffId":"armor","maxStacks":5,"consumeRatio":5,"label":"变阵：最多将 5 层炎热转化为护甲，每层获得 5 层护甲"}]},"2":{"label":"变阵：最多将 6 层炎热转化为护甲，每层获得 5 层护甲","executors":[{"trigger":"formationSwitch","type":"convertBuffStacks","sourceBuffId":"heat","targetBuffId":"armor","maxStacks":6,"consumeRatio":5,"label":"变阵：最多将 6 层炎热转化为护甲，每层获得 5 层护甲"}]},"3":{"label":"变阵：最多将 7 层炎热转化为护甲，每层获得 5 层护甲","executors":[{"trigger":"formationSwitch","type":"convertBuffStacks","sourceBuffId":"heat","targetBuffId":"armor","maxStacks":7,"consumeRatio":5,"label":"变阵：最多将 7 层炎热转化为护甲，每层获得 5 层护甲"}]}}}</t>
        </is>
      </c>
    </row>
    <row r="1728" ht="32" customHeight="1">
      <c r="A1728" s="8" t="n">
        <v>612552</v>
      </c>
      <c r="B1728" s="8" t="inlineStr">
        <is>
          <t>四爪引脉盘</t>
        </is>
      </c>
      <c r="C1728" s="8" t="inlineStr">
        <is>
          <t>阵法</t>
        </is>
      </c>
      <c r="D1728" s="8" t="inlineStr">
        <is>
          <t>common</t>
        </is>
      </c>
      <c r="E1728" s="8" t="inlineStr">
        <is>
          <t>fire</t>
        </is>
      </c>
      <c r="F1728" s="8" t="n">
        <v>1</v>
      </c>
      <c r="G1728" s="8" t="inlineStr">
        <is>
          <t>基础/顶层</t>
        </is>
      </c>
      <c r="H1728" s="8" t="inlineStr"/>
      <c r="I1728" s="9" t="inlineStr"/>
      <c r="J1728" s="8" t="inlineStr"/>
      <c r="K1728" s="8" t="inlineStr"/>
      <c r="L1728" s="8" t="inlineStr"/>
      <c r="M1728" s="8" t="inlineStr">
        <is>
          <t>说明/执行器</t>
        </is>
      </c>
      <c r="N1728" s="8" t="inlineStr">
        <is>
          <t>effectNote</t>
        </is>
      </c>
      <c r="O1728" s="9" t="inlineStr">
        <is>
          <t>变阵：左右相邻武器获得 11 秒加速；变阵：左右相邻武器获得 13 秒加速；变阵：左右相邻武器获得 14 秒加速；变阵：左右相邻武器获得 16 秒加速</t>
        </is>
      </c>
      <c r="P1728" s="9" t="inlineStr">
        <is>
          <t>formationSwitch</t>
        </is>
      </c>
      <c r="Q1728" s="9" t="inlineStr">
        <is>
          <t>itemRuntimeStatus</t>
        </is>
      </c>
      <c r="R1728" s="9" t="inlineStr">
        <is>
          <t>{"kind":"effectNote","label":"变阵：左右相邻武器获得 11 秒加速","executors":[{"trigger":"formationSwitch","type":"itemRuntimeStatus","itemRuntimeStatus":"haste","durationSec":11,"targetActor":"self","targetScope":"horizontalAdjacent","targetFilter":{"features":["weapon"]},"label":"变阵：左右相邻武器获得 11 秒加速"}],"starOverrides":{"1":{"label":"变阵：左右相邻武器获得 13 秒加速","executors":[{"trigger":"formationSwitch","type":"itemRuntimeStatus","itemRuntimeStatus":"haste","durationSec":13,"targetActor":"self","targetScope":"horizontalAdjacent","targetFilter":{"features":["weapon"]},"label":"变阵：左右相邻武器获得 13 秒加速"}]},"2":{"label":"变阵：左右相邻武器获得 14 秒加速","executors":[{"trigger":"formationSwitch","type":"itemRuntimeStatus","itemRuntimeStatus":"haste","durationSec":14,"targetActor":"self","targetScope":"horizontalAdjacent","targetFilter":{"features":["weapon"]},"label":"变阵：左右相邻武器获得 14 秒加速"}]},"3":{"label":"变阵：左右相邻武器获得 16 秒加速","executors":[{"trigger":"formationSwitch","type":"itemRuntimeStatus","itemRuntimeStatus":"haste","durationSec":16,"targetActor":"self","targetScope":"horizontalAdjacent","targetFilter":{"features":["weapon"]},"label":"变阵：左右相邻武器获得 16 秒加速"}]}}}</t>
        </is>
      </c>
    </row>
    <row r="1729" ht="32" customHeight="1">
      <c r="A1729" s="8" t="n">
        <v>612604</v>
      </c>
      <c r="B1729" s="8" t="inlineStr">
        <is>
          <t>三叉寒流阵</t>
        </is>
      </c>
      <c r="C1729" s="8" t="inlineStr">
        <is>
          <t>阵法</t>
        </is>
      </c>
      <c r="D1729" s="8" t="inlineStr">
        <is>
          <t>spirit</t>
        </is>
      </c>
      <c r="E1729" s="8" t="inlineStr">
        <is>
          <t>water</t>
        </is>
      </c>
      <c r="F1729" s="8" t="n">
        <v>1</v>
      </c>
      <c r="G1729" s="8" t="inlineStr">
        <is>
          <t>基础/顶层</t>
        </is>
      </c>
      <c r="H1729" s="8" t="inlineStr"/>
      <c r="I1729" s="9" t="inlineStr"/>
      <c r="J1729" s="8" t="inlineStr"/>
      <c r="K1729" s="8" t="inlineStr"/>
      <c r="L1729" s="8" t="inlineStr"/>
      <c r="M1729" s="8" t="inlineStr">
        <is>
          <t>说明/执行器</t>
        </is>
      </c>
      <c r="N1729" s="8" t="inlineStr">
        <is>
          <t>effectNote</t>
        </is>
      </c>
      <c r="O1729" s="9" t="inlineStr">
        <is>
          <t>变阵：所有水属性道具获得 8 秒加速；变阵：所有水属性道具获得 10 秒加速；变阵：所有水属性道具获得 12 秒加速；变阵：所有水属性道具获得 14 秒加速</t>
        </is>
      </c>
      <c r="P1729" s="9" t="inlineStr">
        <is>
          <t>formationSwitch</t>
        </is>
      </c>
      <c r="Q1729" s="9" t="inlineStr">
        <is>
          <t>itemRuntimeStatus</t>
        </is>
      </c>
      <c r="R1729" s="9" t="inlineStr">
        <is>
          <t>{"kind":"effectNote","label":"变阵：所有水属性道具获得 8 秒加速","executors":[{"trigger":"formationSwitch","type":"itemRuntimeStatus","itemRuntimeStatus":"haste","durationSec":8,"targetActor":"self","targetScope":"selfAll","targetFilter":{"elements":["water"]},"label":"变阵：所有水属性道具获得 8 秒加速"}],"starOverrides":{"1":{"label":"变阵：所有水属性道具获得 10 秒加速","executors":[{"trigger":"formationSwitch","type":"itemRuntimeStatus","itemRuntimeStatus":"haste","durationSec":10,"targetActor":"self","targetScope":"selfAll","targetFilter":{"elements":["water"]},"label":"变阵：所有水属性道具获得 10 秒加速"}]},"2":{"label":"变阵：所有水属性道具获得 12 秒加速","executors":[{"trigger":"formationSwitch","type":"itemRuntimeStatus","itemRuntimeStatus":"haste","durationSec":12,"targetActor":"self","targetScope":"selfAll","targetFilter":{"elements":["water"]},"label":"变阵：所有水属性道具获得 12 秒加速"}]},"3":{"label":"变阵：所有水属性道具获得 14 秒加速","executors":[{"trigger":"formationSwitch","type":"itemRuntimeStatus","itemRuntimeStatus":"haste","durationSec":14,"targetActor":"self","targetScope":"selfAll","targetFilter":{"elements":["water"]},"label":"变阵：所有水属性道具获得 14 秒加速"}]}}}</t>
        </is>
      </c>
    </row>
    <row r="1730" ht="32" customHeight="1">
      <c r="A1730" s="8" t="n">
        <v>612701</v>
      </c>
      <c r="B1730" s="8" t="inlineStr">
        <is>
          <t>地行爪阵</t>
        </is>
      </c>
      <c r="C1730" s="8" t="inlineStr">
        <is>
          <t>阵法</t>
        </is>
      </c>
      <c r="D1730" s="8" t="inlineStr">
        <is>
          <t>common</t>
        </is>
      </c>
      <c r="E1730" s="8" t="inlineStr">
        <is>
          <t>earth</t>
        </is>
      </c>
      <c r="F1730" s="8" t="n">
        <v>1</v>
      </c>
      <c r="G1730" s="8" t="inlineStr">
        <is>
          <t>基础/顶层</t>
        </is>
      </c>
      <c r="H1730" s="8" t="inlineStr"/>
      <c r="I1730" s="9" t="inlineStr"/>
      <c r="J1730" s="8" t="inlineStr"/>
      <c r="K1730" s="8" t="inlineStr"/>
      <c r="L1730" s="8" t="inlineStr"/>
      <c r="M1730" s="8" t="inlineStr">
        <is>
          <t>说明/执行器</t>
        </is>
      </c>
      <c r="N1730" s="8" t="inlineStr">
        <is>
          <t>effectNote</t>
        </is>
      </c>
      <c r="O1730" s="9" t="inlineStr">
        <is>
          <t>变阵：相邻武器获得 10 秒加速；变阵：相邻武器获得 11 秒加速；变阵：相邻武器获得 13 秒加速；变阵：相邻武器获得 14 秒加速</t>
        </is>
      </c>
      <c r="P1730" s="9" t="inlineStr">
        <is>
          <t>formationSwitch</t>
        </is>
      </c>
      <c r="Q1730" s="9" t="inlineStr">
        <is>
          <t>itemRuntimeStatus</t>
        </is>
      </c>
      <c r="R1730" s="9" t="inlineStr">
        <is>
          <t>{"kind":"effectNote","label":"变阵：相邻武器获得 10 秒加速","executors":[{"trigger":"formationSwitch","type":"itemRuntimeStatus","itemRuntimeStatus":"haste","durationSec":10,"targetActor":"self","targetScope":"horizontalAdjacent","targetFilter":{"features":["weapon"]},"label":"变阵：相邻武器获得 10 秒加速"}],"starOverrides":{"1":{"label":"变阵：相邻武器获得 11 秒加速","executors":[{"trigger":"formationSwitch","type":"itemRuntimeStatus","itemRuntimeStatus":"haste","durationSec":11,"targetActor":"self","targetScope":"horizontalAdjacent","targetFilter":{"features":["weapon"]},"label":"变阵：相邻武器获得 11 秒加速"}]},"2":{"label":"变阵：相邻武器获得 13 秒加速","executors":[{"trigger":"formationSwitch","type":"itemRuntimeStatus","itemRuntimeStatus":"haste","durationSec":13,"targetActor":"self","targetScope":"horizontalAdjacent","targetFilter":{"features":["weapon"]},"label":"变阵：相邻武器获得 13 秒加速"}]},"3":{"label":"变阵：相邻武器获得 14 秒加速","executors":[{"trigger":"formationSwitch","type":"itemRuntimeStatus","itemRuntimeStatus":"haste","durationSec":14,"targetActor":"self","targetScope":"horizontalAdjacent","targetFilter":{"features":["weapon"]},"label":"变阵：相邻武器获得 14 秒加速"}]}}}</t>
        </is>
      </c>
    </row>
    <row r="1731" ht="32" customHeight="1">
      <c r="A1731" s="8" t="n">
        <v>612705</v>
      </c>
      <c r="B1731" s="8" t="inlineStr">
        <is>
          <t>聚脉心鳞阵</t>
        </is>
      </c>
      <c r="C1731" s="8" t="inlineStr">
        <is>
          <t>阵法</t>
        </is>
      </c>
      <c r="D1731" s="8" t="inlineStr">
        <is>
          <t>common</t>
        </is>
      </c>
      <c r="E1731" s="8" t="inlineStr">
        <is>
          <t>earth</t>
        </is>
      </c>
      <c r="F1731" s="8" t="n">
        <v>1</v>
      </c>
      <c r="G1731" s="8" t="inlineStr">
        <is>
          <t>基础/顶层</t>
        </is>
      </c>
      <c r="H1731" s="8" t="inlineStr"/>
      <c r="I1731" s="9" t="inlineStr"/>
      <c r="J1731" s="8" t="inlineStr"/>
      <c r="K1731" s="8" t="inlineStr"/>
      <c r="L1731" s="8" t="inlineStr"/>
      <c r="M1731" s="8" t="inlineStr">
        <is>
          <t>说明/执行器</t>
        </is>
      </c>
      <c r="N1731" s="8" t="inlineStr">
        <is>
          <t>effectNote</t>
        </is>
      </c>
      <c r="O1731" s="9" t="inlineStr">
        <is>
          <t>变阵：最多将 4 层蓄势转化为护甲，每层获得 5 层护甲；变阵：最多将 5 层蓄势转化为护甲，每层获得 5 层护甲；变阵：最多将 6 层蓄势转化为护甲，每层获得 5 层护甲；变阵：最多将 7 层蓄势转化为护甲，每层获得 5 层护甲</t>
        </is>
      </c>
      <c r="P1731" s="9" t="inlineStr">
        <is>
          <t>formationSwitch</t>
        </is>
      </c>
      <c r="Q1731" s="9" t="inlineStr">
        <is>
          <t>convertBuffStacks</t>
        </is>
      </c>
      <c r="R1731" s="9" t="inlineStr">
        <is>
          <t>{"kind":"effectNote","label":"变阵：最多将 4 层蓄势转化为护甲，每层获得 5 层护甲","executors":[{"trigger":"formationSwitch","type":"convertBuffStacks","sourceBuffId":"heavy","targetBuffId":"armor","maxStacks":4,"consumeRatio":5,"label":"变阵：最多将 4 层蓄势转化为护甲，每层获得 5 层护甲"}],"starOverrides":{"1":{"label":"变阵：最多将 5 层蓄势转化为护甲，每层获得 5 层护甲","executors":[{"trigger":"formationSwitch","type":"convertBuffStacks","sourceBuffId":"heavy","targetBuffId":"armor","maxStacks":5,"consumeRatio":5,"label":"变阵：最多将 5 层蓄势转化为护甲，每层获得 5 层护甲"}]},"2":{"label":"变阵：最多将 6 层蓄势转化为护甲，每层获得 5 层护甲","executors":[{"trigger":"formationSwitch","type":"convertBuffStacks","sourceBuffId":"heavy","targetBuffId":"armor","maxStacks":6,"consumeRatio":5,"label":"变阵：最多将 6 层蓄势转化为护甲，每层获得 5 层护甲"}]},"3":{"label":"变阵：最多将 7 层蓄势转化为护甲，每层获得 5 层护甲","executors":[{"trigger":"formationSwitch","type":"convertBuffStacks","sourceBuffId":"heavy","targetBuffId":"armor","maxStacks":7,"consumeRatio":5,"label":"变阵：最多将 7 层蓄势转化为护甲，每层获得 5 层护甲"}]}}}</t>
        </is>
      </c>
    </row>
    <row r="1732" ht="32" customHeight="1">
      <c r="A1732" s="8" t="n">
        <v>612706</v>
      </c>
      <c r="B1732" s="8" t="inlineStr">
        <is>
          <t>胆石坤元阵</t>
        </is>
      </c>
      <c r="C1732" s="8" t="inlineStr">
        <is>
          <t>阵法</t>
        </is>
      </c>
      <c r="D1732" s="8" t="inlineStr">
        <is>
          <t>common</t>
        </is>
      </c>
      <c r="E1732" s="8" t="inlineStr">
        <is>
          <t>earth</t>
        </is>
      </c>
      <c r="F1732" s="8" t="n">
        <v>1</v>
      </c>
      <c r="G1732" s="8" t="inlineStr">
        <is>
          <t>基础/顶层</t>
        </is>
      </c>
      <c r="H1732" s="8" t="inlineStr"/>
      <c r="I1732" s="9" t="inlineStr"/>
      <c r="J1732" s="8" t="inlineStr"/>
      <c r="K1732" s="8" t="inlineStr"/>
      <c r="L1732" s="8" t="inlineStr"/>
      <c r="M1732" s="8" t="inlineStr">
        <is>
          <t>说明/执行器</t>
        </is>
      </c>
      <c r="N1732" s="8" t="inlineStr">
        <is>
          <t>effectNote</t>
        </is>
      </c>
      <c r="O1732" s="9" t="inlineStr">
        <is>
          <t>变阵：左右相邻丹药获得 7 秒减速；变阵：左右相邻丹药获得 8 秒减速；变阵：左右相邻丹药获得 9 秒减速；变阵：左右相邻丹药获得 10 秒减速</t>
        </is>
      </c>
      <c r="P1732" s="9" t="inlineStr">
        <is>
          <t>formationSwitch</t>
        </is>
      </c>
      <c r="Q1732" s="9" t="inlineStr">
        <is>
          <t>itemRuntimeStatus</t>
        </is>
      </c>
      <c r="R1732" s="9" t="inlineStr">
        <is>
          <t>{"kind":"effectNote","label":"变阵：左右相邻丹药获得 7 秒减速","executors":[{"trigger":"formationSwitch","type":"itemRuntimeStatus","itemRuntimeStatus":"slow","durationSec":7,"targetActor":"self","targetScope":"horizontalAdjacent","targetFilter":{"categories":["pill"]},"label":"变阵：左右相邻丹药获得 7 秒减速"}],"starOverrides":{"1":{"label":"变阵：左右相邻丹药获得 8 秒减速","executors":[{"trigger":"formationSwitch","type":"itemRuntimeStatus","itemRuntimeStatus":"slow","durationSec":8,"targetActor":"self","targetScope":"horizontalAdjacent","targetFilter":{"categories":["pill"]},"label":"变阵：左右相邻丹药获得 8 秒减速"}]},"2":{"label":"变阵：左右相邻丹药获得 9 秒减速","executors":[{"trigger":"formationSwitch","type":"itemRuntimeStatus","itemRuntimeStatus":"slow","durationSec":9,"targetActor":"self","targetScope":"horizontalAdjacent","targetFilter":{"categories":["pill"]},"label":"变阵：左右相邻丹药获得 9 秒减速"}]},"3":{"label":"变阵：左右相邻丹药获得 10 秒减速","executors":[{"trigger":"formationSwitch","type":"itemRuntimeStatus","itemRuntimeStatus":"slow","durationSec":10,"targetActor":"self","targetScope":"horizontalAdjacent","targetFilter":{"categories":["pill"]},"label":"变阵：左右相邻丹药获得 10 秒减速"}]}}}</t>
        </is>
      </c>
    </row>
    <row r="1733" ht="32" customHeight="1">
      <c r="A1733" s="8" t="n">
        <v>613400</v>
      </c>
      <c r="B1733" s="8" t="inlineStr">
        <is>
          <t>共鸣胸骨板锁势阵盘</t>
        </is>
      </c>
      <c r="C1733" s="8" t="inlineStr">
        <is>
          <t>阵法</t>
        </is>
      </c>
      <c r="D1733" s="8" t="inlineStr">
        <is>
          <t>spirit</t>
        </is>
      </c>
      <c r="E1733" s="8" t="inlineStr">
        <is>
          <t>metal</t>
        </is>
      </c>
      <c r="F1733" s="8" t="n">
        <v>1</v>
      </c>
      <c r="G1733" s="8" t="inlineStr">
        <is>
          <t>基础/顶层</t>
        </is>
      </c>
      <c r="H1733" s="8" t="inlineStr"/>
      <c r="I1733" s="9" t="inlineStr"/>
      <c r="J1733" s="8" t="inlineStr"/>
      <c r="K1733" s="8" t="inlineStr"/>
      <c r="L1733" s="8" t="inlineStr"/>
      <c r="M1733" s="8" t="inlineStr">
        <is>
          <t>说明/执行器</t>
        </is>
      </c>
      <c r="N1733" s="8" t="inlineStr">
        <is>
          <t>effectNote</t>
        </is>
      </c>
      <c r="O1733" s="9" t="inlineStr">
        <is>
          <t>变阵：敌方随机 5 件道具获得 3 秒减速；变阵：敌方随机 5 件道具获得 4 秒减速；变阵：敌方随机 5 件道具获得 5 秒减速；变阵：敌方随机 5 件道具获得 6 秒减速</t>
        </is>
      </c>
      <c r="P1733" s="9" t="inlineStr">
        <is>
          <t>formationSwitch</t>
        </is>
      </c>
      <c r="Q1733" s="9" t="inlineStr">
        <is>
          <t>itemRuntimeStatus</t>
        </is>
      </c>
      <c r="R1733" s="9" t="inlineStr">
        <is>
          <t>{"kind":"effectNote","label":"变阵：&lt;battle&gt;敌方随机 5 件道具获得 3 秒减速&lt;/battle&gt;","executors":[{"trigger":"formationSwitch","type":"itemRuntimeStatus","itemRuntimeStatus":"slow","durationSec":3,"targetActor":"enemy","targetScope":"enemyRandom","amount":5,"support":"battleOnly","label":"变阵：&lt;battle&gt;敌方随机 5 件道具获得 3 秒减速&lt;/battle&gt;"}],"starOverrides":{"1":{"label":"变阵：&lt;battle&gt;敌方随机 5 件道具获得 4 秒减速&lt;/battle&gt;","executors":[{"trigger":"formationSwitch","type":"itemRuntimeStatus","itemRuntimeStatus":"slow","durationSec":4,"targetActor":"enemy","targetScope":"enemyRandom","amount":5,"support":"battleOnly","label":"变阵：&lt;battle&gt;敌方随机 5 件道具获得 4 秒减速&lt;/battle&gt;"}]},"2":{"label":"变阵：&lt;battle&gt;敌方随机 5 件道具获得 5 秒减速&lt;/battle&gt;","executors":[{"trigger":"formationSwitch","type":"itemRuntimeStatus","itemRuntimeStatus":"slow","durationSec":5,"targetActor":"enemy","targetScope":"enemyRandom","amount":5,"support":"battleOnly","label":"变阵：&lt;battle&gt;敌方随机 5 件道具获得 5 秒减速&lt;/battle&gt;"}]},"3":{"label":"变阵：&lt;battle&gt;敌方随机 5 件道具获得 6 秒减速&lt;/battle&gt;","executors":[{"trigger":"formationSwitch","type":"itemRuntimeStatus","itemRuntimeStatus":"slow","durationSec":6,"targetActor":"enemy","targetScope":"enemyRandom","amount":5,"support":"battleOnly","label":"变阵：&lt;battle&gt;敌方随机 5 件道具获得 6 秒减速&lt;/battle&gt;"}]}}}</t>
        </is>
      </c>
    </row>
    <row r="1734" ht="32" customHeight="1">
      <c r="A1734" s="8" t="n">
        <v>614100</v>
      </c>
      <c r="B1734" s="8" t="inlineStr">
        <is>
          <t>盘卷腰筋锁势阵盘</t>
        </is>
      </c>
      <c r="C1734" s="8" t="inlineStr">
        <is>
          <t>阵法</t>
        </is>
      </c>
      <c r="D1734" s="8" t="inlineStr">
        <is>
          <t>spirit</t>
        </is>
      </c>
      <c r="E1734" s="8" t="inlineStr">
        <is>
          <t>fire</t>
        </is>
      </c>
      <c r="F1734" s="8" t="n">
        <v>1</v>
      </c>
      <c r="G1734" s="8" t="inlineStr">
        <is>
          <t>基础/顶层</t>
        </is>
      </c>
      <c r="H1734" s="8" t="inlineStr"/>
      <c r="I1734" s="9" t="inlineStr"/>
      <c r="J1734" s="8" t="inlineStr"/>
      <c r="K1734" s="8" t="inlineStr"/>
      <c r="L1734" s="8" t="inlineStr"/>
      <c r="M1734" s="8" t="inlineStr">
        <is>
          <t>说明/执行器</t>
        </is>
      </c>
      <c r="N1734" s="8" t="inlineStr">
        <is>
          <t>effectNote</t>
        </is>
      </c>
      <c r="O1734" s="9" t="inlineStr">
        <is>
          <t>变阵：每相邻 1 件火属性道具，对敌方施加 6 层冰霜，最多计算 2 件；变阵：每相邻 1 件火属性道具，对敌方施加 10 层冰霜，最多计算 2 件；变阵：每相邻 1 件火属性道具，对敌方施加 16 层冰霜，最多计算 2 件；变阵：每相邻 1 件火属性道具，对敌方施加 20 层冰霜，最多计算 2 件</t>
        </is>
      </c>
      <c r="P1734" s="9" t="inlineStr">
        <is>
          <t>formationSwitch</t>
        </is>
      </c>
      <c r="Q1734" s="9" t="inlineStr">
        <is>
          <t>applyBuff</t>
        </is>
      </c>
      <c r="R1734" s="9" t="inlineStr">
        <is>
          <t>{"kind":"effectNote","label":"变阵：每相邻 1 件火属性道具，&lt;battle&gt;对敌方施加 6 层冰霜&lt;/battle&gt;，最多计算 2 件","executors":[{"trigger":"formationSwitch","type":"applyBuff","buffId":"frost","count":6,"targetActor":"enemy","scaling":{"mode":"count","source":"adjacentItems","elements":["fire"],"maxCount":2},"support":"battleOnly","label":"变阵：每相邻 1 件火属性道具，&lt;battle&gt;对敌方施加 6 层冰霜&lt;/battle&gt;，最多计算 2 件"}],"starOverrides":{"1":{"label":"变阵：每相邻 1 件火属性道具，&lt;battle&gt;对敌方施加 10 层冰霜&lt;/battle&gt;，最多计算 2 件","executors":[{"trigger":"formationSwitch","type":"applyBuff","buffId":"frost","count":10,"targetActor":"enemy","scaling":{"mode":"count","source":"adjacentItems","elements":["fire"],"maxCount":2},"support":"battleOnly","label":"变阵：每相邻 1 件火属性道具，&lt;battle&gt;对敌方施加 10 层冰霜&lt;/battle&gt;，最多计算 2 件"}]},"2":{"label":"变阵：每相邻 1 件火属性道具，&lt;battle&gt;对敌方施加 16 层冰霜&lt;/battle&gt;，最多计算 2 件","executors":[{"trigger":"formationSwitch","type":"applyBuff","buffId":"frost","count":16,"targetActor":"enemy","scaling":{"mode":"count","source":"adjacentItems","elements":["fire"],"maxCount":2},"support":"battleOnly","label":"变阵：每相邻 1 件火属性道具，&lt;battle&gt;对敌方施加 16 层冰霜&lt;/battle&gt;，最多计算 2 件"}]},"3":{"label":"变阵：每相邻 1 件火属性道具，&lt;battle&gt;对敌方施加 20 层冰霜&lt;/battle&gt;，最多计算 2 件","executors":[{"trigger":"formationSwitch","type":"applyBuff","buffId":"frost","count":20,"targetActor":"enemy","scaling":{"mode":"count","source":"adjacentItems","elements":["fire"],"maxCount":2},"support":"battleOnly","label":"变阵：每相邻 1 件火属性道具，&lt;battle&gt;对敌方施加 20 层冰霜&lt;/battle&gt;，最多计算 2 件"}]}}}</t>
        </is>
      </c>
    </row>
    <row r="1735" ht="32" customHeight="1">
      <c r="A1735" s="8" t="n">
        <v>614101</v>
      </c>
      <c r="B1735" s="8" t="inlineStr">
        <is>
          <t>滚压髋骨锁势阵盘</t>
        </is>
      </c>
      <c r="C1735" s="8" t="inlineStr">
        <is>
          <t>阵法</t>
        </is>
      </c>
      <c r="D1735" s="8" t="inlineStr">
        <is>
          <t>spirit</t>
        </is>
      </c>
      <c r="E1735" s="8" t="inlineStr">
        <is>
          <t>earth</t>
        </is>
      </c>
      <c r="F1735" s="8" t="n">
        <v>1</v>
      </c>
      <c r="G1735" s="8" t="inlineStr">
        <is>
          <t>基础/顶层</t>
        </is>
      </c>
      <c r="H1735" s="8" t="inlineStr"/>
      <c r="I1735" s="9" t="inlineStr"/>
      <c r="J1735" s="8" t="inlineStr"/>
      <c r="K1735" s="8" t="inlineStr"/>
      <c r="L1735" s="8" t="inlineStr"/>
      <c r="M1735" s="8" t="inlineStr">
        <is>
          <t>说明/执行器</t>
        </is>
      </c>
      <c r="N1735" s="8" t="inlineStr">
        <is>
          <t>effectNote</t>
        </is>
      </c>
      <c r="O1735" s="9" t="inlineStr">
        <is>
          <t>变阵：敌方占格面积最大的道具获得 10 秒减速；变阵：敌方占格面积最大的道具获得 13 秒减速；变阵：敌方占格面积最大的道具获得 15 秒减速；变阵：敌方占格面积最大的道具获得 18 秒减速</t>
        </is>
      </c>
      <c r="P1735" s="9" t="inlineStr">
        <is>
          <t>formationSwitch</t>
        </is>
      </c>
      <c r="Q1735" s="9" t="inlineStr">
        <is>
          <t>itemRuntimeStatus</t>
        </is>
      </c>
      <c r="R1735" s="9" t="inlineStr">
        <is>
          <t>{"kind":"effectNote","label":"变阵：&lt;battle&gt;敌方占格面积最大的道具获得 10 秒减速&lt;/battle&gt;","executors":[{"trigger":"formationSwitch","type":"itemRuntimeStatus","itemRuntimeStatus":"slow","durationSec":10,"targetActor":"enemy","targetScope":"enemyLargest","amount":1,"support":"battleOnly","label":"变阵：&lt;battle&gt;敌方占格面积最大的道具获得 10 秒减速&lt;/battle&gt;"}],"starOverrides":{"1":{"label":"变阵：&lt;battle&gt;敌方占格面积最大的道具获得 13 秒减速&lt;/battle&gt;","executors":[{"trigger":"formationSwitch","type":"itemRuntimeStatus","itemRuntimeStatus":"slow","durationSec":13,"targetActor":"enemy","targetScope":"enemyLargest","amount":1,"support":"battleOnly","label":"变阵：&lt;battle&gt;敌方占格面积最大的道具获得 13 秒减速&lt;/battle&gt;"}]},"2":{"label":"变阵：&lt;battle&gt;敌方占格面积最大的道具获得 15 秒减速&lt;/battle&gt;","executors":[{"trigger":"formationSwitch","type":"itemRuntimeStatus","itemRuntimeStatus":"slow","durationSec":15,"targetActor":"enemy","targetScope":"enemyLargest","amount":1,"support":"battleOnly","label":"变阵：&lt;battle&gt;敌方占格面积最大的道具获得 15 秒减速&lt;/battle&gt;"}]},"3":{"label":"变阵：&lt;battle&gt;敌方占格面积最大的道具获得 18 秒减速&lt;/battle&gt;","executors":[{"trigger":"formationSwitch","type":"itemRuntimeStatus","itemRuntimeStatus":"slow","durationSec":18,"targetActor":"enemy","targetScope":"enemyLargest","amount":1,"support":"battleOnly","label":"变阵：&lt;battle&gt;敌方占格面积最大的道具获得 18 秒减速&lt;/battle&gt;"}]}}}</t>
        </is>
      </c>
    </row>
    <row r="1736" ht="32" customHeight="1">
      <c r="A1736" s="8" t="n">
        <v>615500</v>
      </c>
      <c r="B1736" s="8" t="inlineStr">
        <is>
          <t>腹鳞皮条三衡阵盘</t>
        </is>
      </c>
      <c r="C1736" s="8" t="inlineStr">
        <is>
          <t>阵法</t>
        </is>
      </c>
      <c r="D1736" s="8" t="inlineStr">
        <is>
          <t>spirit</t>
        </is>
      </c>
      <c r="E1736" s="8" t="inlineStr">
        <is>
          <t>earth</t>
        </is>
      </c>
      <c r="F1736" s="8" t="n">
        <v>1</v>
      </c>
      <c r="G1736" s="8" t="inlineStr">
        <is>
          <t>基础/顶层</t>
        </is>
      </c>
      <c r="H1736" s="8" t="inlineStr"/>
      <c r="I1736" s="9" t="inlineStr"/>
      <c r="J1736" s="8" t="inlineStr"/>
      <c r="K1736" s="8" t="inlineStr"/>
      <c r="L1736" s="8" t="inlineStr"/>
      <c r="M1736" s="8" t="inlineStr">
        <is>
          <t>说明/执行器</t>
        </is>
      </c>
      <c r="N1736" s="8" t="inlineStr">
        <is>
          <t>effectNote</t>
        </is>
      </c>
      <c r="O1736" s="9" t="inlineStr">
        <is>
          <t>变阵：敌方随机 5 件道具获得 3 秒减速；变阵：敌方随机 5 件道具获得 4 秒减速；变阵：敌方随机 5 件道具获得 5 秒减速；变阵：敌方随机 5 件道具获得 6 秒减速</t>
        </is>
      </c>
      <c r="P1736" s="9" t="inlineStr">
        <is>
          <t>formationSwitch</t>
        </is>
      </c>
      <c r="Q1736" s="9" t="inlineStr">
        <is>
          <t>itemRuntimeStatus</t>
        </is>
      </c>
      <c r="R1736" s="9" t="inlineStr">
        <is>
          <t>{"kind":"effectNote","label":"变阵：&lt;battle&gt;敌方随机 5 件道具获得 3 秒减速&lt;/battle&gt;","executors":[{"trigger":"formationSwitch","type":"itemRuntimeStatus","itemRuntimeStatus":"slow","durationSec":3,"targetActor":"enemy","targetScope":"enemyRandom","amount":5,"support":"battleOnly","label":"变阵：&lt;battle&gt;敌方随机 5 件道具获得 3 秒减速&lt;/battle&gt;"}],"starOverrides":{"1":{"label":"变阵：&lt;battle&gt;敌方随机 5 件道具获得 4 秒减速&lt;/battle&gt;","executors":[{"trigger":"formationSwitch","type":"itemRuntimeStatus","itemRuntimeStatus":"slow","durationSec":4,"targetActor":"enemy","targetScope":"enemyRandom","amount":5,"support":"battleOnly","label":"变阵：&lt;battle&gt;敌方随机 5 件道具获得 4 秒减速&lt;/battle&gt;"}]},"2":{"label":"变阵：&lt;battle&gt;敌方随机 5 件道具获得 5 秒减速&lt;/battle&gt;","executors":[{"trigger":"formationSwitch","type":"itemRuntimeStatus","itemRuntimeStatus":"slow","durationSec":5,"targetActor":"enemy","targetScope":"enemyRandom","amount":5,"support":"battleOnly","label":"变阵：&lt;battle&gt;敌方随机 5 件道具获得 5 秒减速&lt;/battle&gt;"}]},"3":{"label":"变阵：&lt;battle&gt;敌方随机 5 件道具获得 6 秒减速&lt;/battle&gt;","executors":[{"trigger":"formationSwitch","type":"itemRuntimeStatus","itemRuntimeStatus":"slow","durationSec":6,"targetActor":"enemy","targetScope":"enemyRandom","amount":5,"support":"battleOnly","label":"变阵：&lt;battle&gt;敌方随机 5 件道具获得 6 秒减速&lt;/battle&gt;"}]}}}</t>
        </is>
      </c>
    </row>
    <row r="1737" ht="32" customHeight="1">
      <c r="A1737" s="8" t="n">
        <v>616000</v>
      </c>
      <c r="B1737" s="8" t="inlineStr">
        <is>
          <t>闭水鼻阀骨锁势阵盘</t>
        </is>
      </c>
      <c r="C1737" s="8" t="inlineStr">
        <is>
          <t>阵法</t>
        </is>
      </c>
      <c r="D1737" s="8" t="inlineStr">
        <is>
          <t>spirit</t>
        </is>
      </c>
      <c r="E1737" s="8" t="inlineStr">
        <is>
          <t>water</t>
        </is>
      </c>
      <c r="F1737" s="8" t="n">
        <v>1</v>
      </c>
      <c r="G1737" s="8" t="inlineStr">
        <is>
          <t>基础/顶层</t>
        </is>
      </c>
      <c r="H1737" s="8" t="inlineStr"/>
      <c r="I1737" s="9" t="inlineStr"/>
      <c r="J1737" s="8" t="inlineStr"/>
      <c r="K1737" s="8" t="inlineStr"/>
      <c r="L1737" s="8" t="inlineStr"/>
      <c r="M1737" s="8" t="inlineStr">
        <is>
          <t>说明/执行器</t>
        </is>
      </c>
      <c r="N1737" s="8" t="inlineStr">
        <is>
          <t>effectNote</t>
        </is>
      </c>
      <c r="O1737" s="9" t="inlineStr">
        <is>
          <t>变阵：敌方随机 5 件道具获得 3 秒减速；变阵：敌方随机 5 件道具获得 4 秒减速；变阵：敌方随机 5 件道具获得 5 秒减速；变阵：敌方随机 5 件道具获得 6 秒减速</t>
        </is>
      </c>
      <c r="P1737" s="9" t="inlineStr">
        <is>
          <t>formationSwitch</t>
        </is>
      </c>
      <c r="Q1737" s="9" t="inlineStr">
        <is>
          <t>itemRuntimeStatus</t>
        </is>
      </c>
      <c r="R1737" s="9" t="inlineStr">
        <is>
          <t>{"kind":"effectNote","label":"变阵：&lt;battle&gt;敌方随机 5 件道具获得 3 秒减速&lt;/battle&gt;","executors":[{"trigger":"formationSwitch","type":"itemRuntimeStatus","itemRuntimeStatus":"slow","durationSec":3,"targetActor":"enemy","targetScope":"enemyRandom","amount":5,"support":"battleOnly","label":"变阵：&lt;battle&gt;敌方随机 5 件道具获得 3 秒减速&lt;/battle&gt;"}],"starOverrides":{"1":{"label":"变阵：&lt;battle&gt;敌方随机 5 件道具获得 4 秒减速&lt;/battle&gt;","executors":[{"trigger":"formationSwitch","type":"itemRuntimeStatus","itemRuntimeStatus":"slow","durationSec":4,"targetActor":"enemy","targetScope":"enemyRandom","amount":5,"support":"battleOnly","label":"变阵：&lt;battle&gt;敌方随机 5 件道具获得 4 秒减速&lt;/battle&gt;"}]},"2":{"label":"变阵：&lt;battle&gt;敌方随机 5 件道具获得 5 秒减速&lt;/battle&gt;","executors":[{"trigger":"formationSwitch","type":"itemRuntimeStatus","itemRuntimeStatus":"slow","durationSec":5,"targetActor":"enemy","targetScope":"enemyRandom","amount":5,"support":"battleOnly","label":"变阵：&lt;battle&gt;敌方随机 5 件道具获得 5 秒减速&lt;/battle&gt;"}]},"3":{"label":"变阵：&lt;battle&gt;敌方随机 5 件道具获得 6 秒减速&lt;/battle&gt;","executors":[{"trigger":"formationSwitch","type":"itemRuntimeStatus","itemRuntimeStatus":"slow","durationSec":6,"targetActor":"enemy","targetScope":"enemyRandom","amount":5,"support":"battleOnly","label":"变阵：&lt;battle&gt;敌方随机 5 件道具获得 6 秒减速&lt;/battle&gt;"}]}}}</t>
        </is>
      </c>
    </row>
    <row r="1738" ht="32" customHeight="1">
      <c r="A1738" s="8" t="n">
        <v>616400</v>
      </c>
      <c r="B1738" s="8" t="inlineStr">
        <is>
          <t>丹睛环羽换势阵盘</t>
        </is>
      </c>
      <c r="C1738" s="8" t="inlineStr">
        <is>
          <t>阵法</t>
        </is>
      </c>
      <c r="D1738" s="8" t="inlineStr">
        <is>
          <t>spirit</t>
        </is>
      </c>
      <c r="E1738" s="8" t="inlineStr">
        <is>
          <t>fire</t>
        </is>
      </c>
      <c r="F1738" s="8" t="n">
        <v>1</v>
      </c>
      <c r="G1738" s="8" t="inlineStr">
        <is>
          <t>基础/顶层</t>
        </is>
      </c>
      <c r="H1738" s="8" t="inlineStr"/>
      <c r="I1738" s="9" t="inlineStr"/>
      <c r="J1738" s="8" t="inlineStr"/>
      <c r="K1738" s="8" t="inlineStr"/>
      <c r="L1738" s="8" t="inlineStr"/>
      <c r="M1738" s="8" t="inlineStr">
        <is>
          <t>说明/执行器</t>
        </is>
      </c>
      <c r="N1738" s="8" t="inlineStr">
        <is>
          <t>effectNote</t>
        </is>
      </c>
      <c r="O1738" s="9" t="inlineStr">
        <is>
          <t>变阵：每相邻 1 件符箓或投掷物，获得 16 层炎热，最多计算 2 件；变阵：每相邻 1 件符箓或投掷物，获得 20 层炎热，最多计算 2 件；变阵：每相邻 1 件符箓或投掷物，获得 26 层炎热，最多计算 2 件；变阵：每相邻 1 件符箓或投掷物，获得 30 层炎热，最多计算 2 件</t>
        </is>
      </c>
      <c r="P1738" s="9" t="inlineStr">
        <is>
          <t>formationSwitch</t>
        </is>
      </c>
      <c r="Q1738" s="9" t="inlineStr">
        <is>
          <t>applyBuff</t>
        </is>
      </c>
      <c r="R1738" s="9" t="inlineStr">
        <is>
          <t>{"kind":"effectNote","label":"变阵：每相邻 1 件符箓或投掷物，获得 16 层炎热，最多计算 2 件","executors":[{"trigger":"formationSwitch","type":"applyBuff","buffId":"heat","count":16,"scaling":{"mode":"count","source":"adjacentItems","categories":["talisman","throwable"],"maxCount":2},"label":"变阵：每相邻 1 件符箓或投掷物，获得 16 层炎热，最多计算 2 件"}],"starOverrides":{"1":{"label":"变阵：每相邻 1 件符箓或投掷物，获得 20 层炎热，最多计算 2 件","executors":[{"trigger":"formationSwitch","type":"applyBuff","buffId":"heat","count":20,"scaling":{"mode":"count","source":"adjacentItems","categories":["talisman","throwable"],"maxCount":2},"label":"变阵：每相邻 1 件符箓或投掷物，获得 20 层炎热，最多计算 2 件"}]},"2":{"label":"变阵：每相邻 1 件符箓或投掷物，获得 26 层炎热，最多计算 2 件","executors":[{"trigger":"formationSwitch","type":"applyBuff","buffId":"heat","count":26,"scaling":{"mode":"count","source":"adjacentItems","categories":["talisman","throwable"],"maxCount":2},"label":"变阵：每相邻 1 件符箓或投掷物，获得 26 层炎热，最多计算 2 件"}]},"3":{"label":"变阵：每相邻 1 件符箓或投掷物，获得 30 层炎热，最多计算 2 件","executors":[{"trigger":"formationSwitch","type":"applyBuff","buffId":"heat","count":30,"scaling":{"mode":"count","source":"adjacentItems","categories":["talisman","throwable"],"maxCount":2},"label":"变阵：每相邻 1 件符箓或投掷物，获得 30 层炎热，最多计算 2 件"}]}}}</t>
        </is>
      </c>
    </row>
    <row r="1739" ht="32" customHeight="1">
      <c r="A1739" s="8" t="n">
        <v>616401</v>
      </c>
      <c r="B1739" s="8" t="inlineStr">
        <is>
          <t>长趾绳腱换势阵盘</t>
        </is>
      </c>
      <c r="C1739" s="8" t="inlineStr">
        <is>
          <t>阵法</t>
        </is>
      </c>
      <c r="D1739" s="8" t="inlineStr">
        <is>
          <t>spirit</t>
        </is>
      </c>
      <c r="E1739" s="8" t="inlineStr">
        <is>
          <t>fire</t>
        </is>
      </c>
      <c r="F1739" s="8" t="n">
        <v>1</v>
      </c>
      <c r="G1739" s="8" t="inlineStr">
        <is>
          <t>基础/顶层</t>
        </is>
      </c>
      <c r="H1739" s="8" t="inlineStr"/>
      <c r="I1739" s="9" t="inlineStr"/>
      <c r="J1739" s="8" t="inlineStr"/>
      <c r="K1739" s="8" t="inlineStr"/>
      <c r="L1739" s="8" t="inlineStr"/>
      <c r="M1739" s="8" t="inlineStr">
        <is>
          <t>说明/执行器</t>
        </is>
      </c>
      <c r="N1739" s="8" t="inlineStr">
        <is>
          <t>effectNote</t>
        </is>
      </c>
      <c r="O1739" s="9" t="inlineStr">
        <is>
          <t>变阵：左右相邻道具获得 10 秒加速；变阵：左右相邻道具获得 13 秒加速；变阵：左右相邻道具获得 15 秒加速；变阵：左右相邻道具获得 18 秒加速</t>
        </is>
      </c>
      <c r="P1739" s="9" t="inlineStr">
        <is>
          <t>formationSwitch</t>
        </is>
      </c>
      <c r="Q1739" s="9" t="inlineStr">
        <is>
          <t>itemRuntimeStatus</t>
        </is>
      </c>
      <c r="R1739" s="9" t="inlineStr">
        <is>
          <t>{"kind":"effectNote","label":"变阵：左右相邻道具获得 10 秒加速","executors":[{"trigger":"formationSwitch","type":"itemRuntimeStatus","itemRuntimeStatus":"haste","durationSec":10,"targetActor":"self","targetScope":"horizontalAdjacent","label":"变阵：左右相邻道具获得 10 秒加速"}],"starOverrides":{"1":{"label":"变阵：左右相邻道具获得 13 秒加速","executors":[{"trigger":"formationSwitch","type":"itemRuntimeStatus","itemRuntimeStatus":"haste","durationSec":13,"targetActor":"self","targetScope":"horizontalAdjacent","label":"变阵：左右相邻道具获得 13 秒加速"}]},"2":{"label":"变阵：左右相邻道具获得 15 秒加速","executors":[{"trigger":"formationSwitch","type":"itemRuntimeStatus","itemRuntimeStatus":"haste","durationSec":15,"targetActor":"self","targetScope":"horizontalAdjacent","label":"变阵：左右相邻道具获得 15 秒加速"}]},"3":{"label":"变阵：左右相邻道具获得 18 秒加速","executors":[{"trigger":"formationSwitch","type":"itemRuntimeStatus","itemRuntimeStatus":"haste","durationSec":18,"targetActor":"self","targetScope":"horizontalAdjacent","label":"变阵：左右相邻道具获得 18 秒加速"}]}}}</t>
        </is>
      </c>
    </row>
    <row r="1740" ht="32" customHeight="1">
      <c r="A1740" s="8" t="n">
        <v>616600</v>
      </c>
      <c r="B1740" s="8" t="inlineStr">
        <is>
          <t>悬铃翼骨回环阵图</t>
        </is>
      </c>
      <c r="C1740" s="8" t="inlineStr">
        <is>
          <t>阵法</t>
        </is>
      </c>
      <c r="D1740" s="8" t="inlineStr">
        <is>
          <t>spirit</t>
        </is>
      </c>
      <c r="E1740" s="8" t="inlineStr">
        <is>
          <t>metal</t>
        </is>
      </c>
      <c r="F1740" s="8" t="n">
        <v>1</v>
      </c>
      <c r="G1740" s="8" t="inlineStr">
        <is>
          <t>基础/顶层</t>
        </is>
      </c>
      <c r="H1740" s="8" t="inlineStr"/>
      <c r="I1740" s="9" t="inlineStr"/>
      <c r="J1740" s="8" t="inlineStr"/>
      <c r="K1740" s="8" t="inlineStr"/>
      <c r="L1740" s="8" t="inlineStr"/>
      <c r="M1740" s="8" t="inlineStr">
        <is>
          <t>说明/执行器</t>
        </is>
      </c>
      <c r="N1740" s="8" t="inlineStr">
        <is>
          <t>effectNote</t>
        </is>
      </c>
      <c r="O1740" s="9" t="inlineStr">
        <is>
          <t>变阵：对敌方施加 6 层麻痹；变阵：对敌方施加 10 层麻痹；变阵：对敌方施加 16 层麻痹；变阵：对敌方施加 20 层麻痹</t>
        </is>
      </c>
      <c r="P1740" s="9" t="inlineStr">
        <is>
          <t>formationSwitch</t>
        </is>
      </c>
      <c r="Q1740" s="9" t="inlineStr">
        <is>
          <t>applyBuff</t>
        </is>
      </c>
      <c r="R1740" s="9" t="inlineStr">
        <is>
          <t>{"kind":"effectNote","label":"变阵：&lt;battle&gt;对敌方施加 6 层麻痹&lt;/battle&gt;","executors":[{"trigger":"formationSwitch","type":"applyBuff","buffId":"paralysis","count":6,"targetActor":"enemy","support":"battleOnly","label":"变阵：&lt;battle&gt;对敌方施加 6 层麻痹&lt;/battle&gt;"}],"starOverrides":{"1":{"label":"变阵：&lt;battle&gt;对敌方施加 10 层麻痹&lt;/battle&gt;","executors":[{"trigger":"formationSwitch","type":"applyBuff","buffId":"paralysis","count":10,"targetActor":"enemy","support":"battleOnly","label":"变阵：&lt;battle&gt;对敌方施加 10 层麻痹&lt;/battle&gt;"}]},"2":{"label":"变阵：&lt;battle&gt;对敌方施加 16 层麻痹&lt;/battle&gt;","executors":[{"trigger":"formationSwitch","type":"applyBuff","buffId":"paralysis","count":16,"targetActor":"enemy","support":"battleOnly","label":"变阵：&lt;battle&gt;对敌方施加 16 层麻痹&lt;/battle&gt;"}]},"3":{"label":"变阵：&lt;battle&gt;对敌方施加 20 层麻痹&lt;/battle&gt;","executors":[{"trigger":"formationSwitch","type":"applyBuff","buffId":"paralysis","count":20,"targetActor":"enemy","support":"battleOnly","label":"变阵：&lt;battle&gt;对敌方施加 20 层麻痹&lt;/battle&gt;"}]}}}</t>
        </is>
      </c>
    </row>
    <row r="1741" ht="32" customHeight="1">
      <c r="A1741" s="8" t="n">
        <v>616601</v>
      </c>
      <c r="B1741" s="8" t="inlineStr">
        <is>
          <t>钟钉嗉囊回环阵图</t>
        </is>
      </c>
      <c r="C1741" s="8" t="inlineStr">
        <is>
          <t>阵法</t>
        </is>
      </c>
      <c r="D1741" s="8" t="inlineStr">
        <is>
          <t>spirit</t>
        </is>
      </c>
      <c r="E1741" s="8" t="inlineStr">
        <is>
          <t>wood</t>
        </is>
      </c>
      <c r="F1741" s="8" t="n">
        <v>1</v>
      </c>
      <c r="G1741" s="8" t="inlineStr">
        <is>
          <t>基础/顶层</t>
        </is>
      </c>
      <c r="H1741" s="8" t="inlineStr"/>
      <c r="I1741" s="9" t="inlineStr"/>
      <c r="J1741" s="8" t="inlineStr"/>
      <c r="K1741" s="8" t="inlineStr"/>
      <c r="L1741" s="8" t="inlineStr"/>
      <c r="M1741" s="8" t="inlineStr">
        <is>
          <t>说明/执行器</t>
        </is>
      </c>
      <c r="N1741" s="8" t="inlineStr">
        <is>
          <t>effectNote</t>
        </is>
      </c>
      <c r="O1741" s="9" t="inlineStr">
        <is>
          <t>变阵：相邻占格面积不少于 4 的道具获得 10 秒加速；变阵：相邻占格面积不少于 4 的道具获得 13 秒加速；变阵：相邻占格面积不少于 4 的道具获得 15 秒加速；变阵：相邻占格面积不少于 4 的道具获得 18 秒加速</t>
        </is>
      </c>
      <c r="P1741" s="9" t="inlineStr">
        <is>
          <t>formationSwitch</t>
        </is>
      </c>
      <c r="Q1741" s="9" t="inlineStr">
        <is>
          <t>itemRuntimeStatus</t>
        </is>
      </c>
      <c r="R1741" s="9" t="inlineStr">
        <is>
          <t>{"kind":"effectNote","label":"变阵：相邻占格面积不少于 4 的道具获得 10 秒加速","executors":[{"trigger":"formationSwitch","type":"itemRuntimeStatus","itemRuntimeStatus":"haste","durationSec":10,"targetActor":"self","targetScope":"adjacent","targetFilter":{"minShapeArea":4},"label":"变阵：相邻占格面积不少于 4 的道具获得 10 秒加速"}],"starOverrides":{"1":{"label":"变阵：相邻占格面积不少于 4 的道具获得 13 秒加速","executors":[{"trigger":"formationSwitch","type":"itemRuntimeStatus","itemRuntimeStatus":"haste","durationSec":13,"targetActor":"self","targetScope":"adjacent","targetFilter":{"minShapeArea":4},"label":"变阵：相邻占格面积不少于 4 的道具获得 13 秒加速"}]},"2":{"label":"变阵：相邻占格面积不少于 4 的道具获得 15 秒加速","executors":[{"trigger":"formationSwitch","type":"itemRuntimeStatus","itemRuntimeStatus":"haste","durationSec":15,"targetActor":"self","targetScope":"adjacent","targetFilter":{"minShapeArea":4},"label":"变阵：相邻占格面积不少于 4 的道具获得 15 秒加速"}]},"3":{"label":"变阵：相邻占格面积不少于 4 的道具获得 18 秒加速","executors":[{"trigger":"formationSwitch","type":"itemRuntimeStatus","itemRuntimeStatus":"haste","durationSec":18,"targetActor":"self","targetScope":"adjacent","targetFilter":{"minShapeArea":4},"label":"变阵：相邻占格面积不少于 4 的道具获得 18 秒加速"}]}}}</t>
        </is>
      </c>
    </row>
    <row r="1742" ht="32" customHeight="1">
      <c r="A1742" s="8" t="n">
        <v>616602</v>
      </c>
      <c r="B1742" s="8" t="inlineStr">
        <is>
          <t>俯冲长翎回环阵图</t>
        </is>
      </c>
      <c r="C1742" s="8" t="inlineStr">
        <is>
          <t>阵法</t>
        </is>
      </c>
      <c r="D1742" s="8" t="inlineStr">
        <is>
          <t>spirit</t>
        </is>
      </c>
      <c r="E1742" s="8" t="inlineStr">
        <is>
          <t>wind</t>
        </is>
      </c>
      <c r="F1742" s="8" t="n">
        <v>1</v>
      </c>
      <c r="G1742" s="8" t="inlineStr">
        <is>
          <t>基础/顶层</t>
        </is>
      </c>
      <c r="H1742" s="8" t="inlineStr"/>
      <c r="I1742" s="9" t="inlineStr"/>
      <c r="J1742" s="8" t="inlineStr"/>
      <c r="K1742" s="8" t="inlineStr"/>
      <c r="L1742" s="8" t="inlineStr"/>
      <c r="M1742" s="8" t="inlineStr">
        <is>
          <t>说明/执行器</t>
        </is>
      </c>
      <c r="N1742" s="8" t="inlineStr">
        <is>
          <t>effectNote</t>
        </is>
      </c>
      <c r="O1742" s="9" t="inlineStr">
        <is>
          <t>变阵：上下相邻的风属性道具获得 13 秒加速；变阵：上下相邻的风属性道具获得 15 秒加速；变阵：上下相邻的风属性道具获得 18 秒加速；变阵：上下相邻的风属性道具获得 20 秒加速</t>
        </is>
      </c>
      <c r="P1742" s="9" t="inlineStr">
        <is>
          <t>formationSwitch</t>
        </is>
      </c>
      <c r="Q1742" s="9" t="inlineStr">
        <is>
          <t>itemRuntimeStatus</t>
        </is>
      </c>
      <c r="R1742" s="9" t="inlineStr">
        <is>
          <t>{"kind":"effectNote","label":"变阵：上下相邻的风属性道具获得 13 秒加速","executors":[{"trigger":"formationSwitch","type":"itemRuntimeStatus","itemRuntimeStatus":"haste","durationSec":13,"targetActor":"self","targetScope":"verticalAdjacent","targetFilter":{"elements":["wind"]},"label":"变阵：上下相邻的风属性道具获得 13 秒加速"}],"starOverrides":{"1":{"label":"变阵：上下相邻的风属性道具获得 15 秒加速","executors":[{"trigger":"formationSwitch","type":"itemRuntimeStatus","itemRuntimeStatus":"haste","durationSec":15,"targetActor":"self","targetScope":"verticalAdjacent","targetFilter":{"elements":["wind"]},"label":"变阵：上下相邻的风属性道具获得 15 秒加速"}]},"2":{"label":"变阵：上下相邻的风属性道具获得 18 秒加速","executors":[{"trigger":"formationSwitch","type":"itemRuntimeStatus","itemRuntimeStatus":"haste","durationSec":18,"targetActor":"self","targetScope":"verticalAdjacent","targetFilter":{"elements":["wind"]},"label":"变阵：上下相邻的风属性道具获得 18 秒加速"}]},"3":{"label":"变阵：上下相邻的风属性道具获得 20 秒加速","executors":[{"trigger":"formationSwitch","type":"itemRuntimeStatus","itemRuntimeStatus":"haste","durationSec":20,"targetActor":"self","targetScope":"verticalAdjacent","targetFilter":{"elements":["wind"]},"label":"变阵：上下相邻的风属性道具获得 20 秒加速"}]}}}</t>
        </is>
      </c>
    </row>
    <row r="1743" ht="32" customHeight="1">
      <c r="A1743" s="8" t="n">
        <v>618001</v>
      </c>
      <c r="B1743" s="8" t="inlineStr">
        <is>
          <t>炉口赤芒阵刃</t>
        </is>
      </c>
      <c r="C1743" s="8" t="inlineStr">
        <is>
          <t>阵法</t>
        </is>
      </c>
      <c r="D1743" s="8" t="inlineStr">
        <is>
          <t>common</t>
        </is>
      </c>
      <c r="E1743" s="8" t="inlineStr">
        <is>
          <t>fire</t>
        </is>
      </c>
      <c r="F1743" s="8" t="n">
        <v>1</v>
      </c>
      <c r="G1743" s="8" t="inlineStr">
        <is>
          <t>基础/顶层</t>
        </is>
      </c>
      <c r="H1743" s="8" t="inlineStr"/>
      <c r="I1743" s="9" t="inlineStr"/>
      <c r="J1743" s="8" t="inlineStr"/>
      <c r="K1743" s="8" t="inlineStr"/>
      <c r="L1743" s="8" t="inlineStr"/>
      <c r="M1743" s="8" t="inlineStr">
        <is>
          <t>周期触发</t>
        </is>
      </c>
      <c r="N1743" s="8" t="inlineStr">
        <is>
          <t>periodicPulse</t>
        </is>
      </c>
      <c r="O1743" s="9" t="inlineStr">
        <is>
          <t>轮转时，对敌方造成 55 点伤害</t>
        </is>
      </c>
      <c r="P1743" s="9" t="inlineStr"/>
      <c r="Q1743" s="9" t="inlineStr"/>
      <c r="R1743" s="9" t="inlineStr">
        <is>
          <t>{"kind":"periodicPulse","periodicPulse":{"label":"&lt;battle&gt;轮转时，对敌方造成 55 点伤害&lt;/battle&gt;","intervalSec":8,"damageHealth":{"target":"enemy","amount":55}}}</t>
        </is>
      </c>
    </row>
    <row r="1744" ht="32" customHeight="1">
      <c r="A1744" s="8" t="n">
        <v>618001</v>
      </c>
      <c r="B1744" s="8" t="inlineStr">
        <is>
          <t>炉口赤芒阵刃</t>
        </is>
      </c>
      <c r="C1744" s="8" t="inlineStr">
        <is>
          <t>阵法</t>
        </is>
      </c>
      <c r="D1744" s="8" t="inlineStr">
        <is>
          <t>common</t>
        </is>
      </c>
      <c r="E1744" s="8" t="inlineStr">
        <is>
          <t>fire</t>
        </is>
      </c>
      <c r="F1744" s="8" t="n">
        <v>2</v>
      </c>
      <c r="G1744" s="8" t="inlineStr">
        <is>
          <t>基础/顶层</t>
        </is>
      </c>
      <c r="H1744" s="8" t="inlineStr"/>
      <c r="I1744" s="9" t="inlineStr"/>
      <c r="J1744" s="8" t="inlineStr"/>
      <c r="K1744" s="8" t="inlineStr"/>
      <c r="L1744" s="8" t="inlineStr"/>
      <c r="M1744" s="8" t="inlineStr">
        <is>
          <t>条件触发</t>
        </is>
      </c>
      <c r="N1744" s="8" t="inlineStr">
        <is>
          <t>triggered</t>
        </is>
      </c>
      <c r="O1744" s="9" t="inlineStr">
        <is>
          <t>累计获得 120 层灼烧后毁坏</t>
        </is>
      </c>
      <c r="P1744" s="9" t="inlineStr">
        <is>
          <t>onBuffGain</t>
        </is>
      </c>
      <c r="Q1744" s="9" t="inlineStr">
        <is>
          <t>itemRuntimeDisable；self</t>
        </is>
      </c>
      <c r="R1744" s="9" t="inlineStr">
        <is>
          <t>{"kind":"triggered","label":"&lt;battle&gt;累计获得 120 层灼烧后毁坏&lt;/battle&gt;","triggeredEffect":{"trigger":"onBuffGain","type":"itemRuntimeDisable","target":{"type":"self"},"charge":{"threshold":120,"source":{"trigger":"onBuffGain","buffIds":["burning"]}}}}</t>
        </is>
      </c>
    </row>
    <row r="1745" ht="32" customHeight="1">
      <c r="A1745" s="8" t="n">
        <v>618002</v>
      </c>
      <c r="B1745" s="8" t="inlineStr">
        <is>
          <t>回烬续脉盘</t>
        </is>
      </c>
      <c r="C1745" s="8" t="inlineStr">
        <is>
          <t>阵法</t>
        </is>
      </c>
      <c r="D1745" s="8" t="inlineStr">
        <is>
          <t>common</t>
        </is>
      </c>
      <c r="E1745" s="8" t="inlineStr">
        <is>
          <t>fire</t>
        </is>
      </c>
      <c r="F1745" s="8" t="n">
        <v>1</v>
      </c>
      <c r="G1745" s="8" t="inlineStr">
        <is>
          <t>基础/顶层</t>
        </is>
      </c>
      <c r="H1745" s="8" t="inlineStr"/>
      <c r="I1745" s="9" t="inlineStr"/>
      <c r="J1745" s="8" t="inlineStr"/>
      <c r="K1745" s="8" t="inlineStr"/>
      <c r="L1745" s="8" t="inlineStr"/>
      <c r="M1745" s="8" t="inlineStr">
        <is>
          <t>周期触发</t>
        </is>
      </c>
      <c r="N1745" s="8" t="inlineStr">
        <is>
          <t>periodicPulse</t>
        </is>
      </c>
      <c r="O1745" s="9" t="inlineStr">
        <is>
          <t>轮转时，恢复 400 点气血；自身气血低于 30% 时恢复量翻倍</t>
        </is>
      </c>
      <c r="P1745" s="9" t="inlineStr"/>
      <c r="Q1745" s="9" t="inlineStr">
        <is>
          <t>sourcePrimaryStatRatioBelow</t>
        </is>
      </c>
      <c r="R1745" s="9" t="inlineStr">
        <is>
          <t>{"kind":"periodicPulse","periodicPulse":{"label":"&lt;battle&gt;轮转时，恢复 400 点气血；自身气血低于 30% 时恢复量翻倍&lt;/battle&gt;","intervalSec":12,"battlePrimaryStatGains":[{"stat":"health","amount":400,"conditionalMultiplier":{"type":"sourcePrimaryStatRatioBelow","stat":"health","ratio":0.3,"multiplier":2}}]}}</t>
        </is>
      </c>
    </row>
    <row r="1746" ht="32" customHeight="1">
      <c r="A1746" s="8" t="n">
        <v>618002</v>
      </c>
      <c r="B1746" s="8" t="inlineStr">
        <is>
          <t>回烬续脉盘</t>
        </is>
      </c>
      <c r="C1746" s="8" t="inlineStr">
        <is>
          <t>阵法</t>
        </is>
      </c>
      <c r="D1746" s="8" t="inlineStr">
        <is>
          <t>common</t>
        </is>
      </c>
      <c r="E1746" s="8" t="inlineStr">
        <is>
          <t>fire</t>
        </is>
      </c>
      <c r="F1746" s="8" t="n">
        <v>2</v>
      </c>
      <c r="G1746" s="8" t="inlineStr">
        <is>
          <t>基础/顶层</t>
        </is>
      </c>
      <c r="H1746" s="8" t="inlineStr"/>
      <c r="I1746" s="9" t="inlineStr"/>
      <c r="J1746" s="8" t="inlineStr"/>
      <c r="K1746" s="8" t="inlineStr"/>
      <c r="L1746" s="8" t="inlineStr"/>
      <c r="M1746" s="8" t="inlineStr">
        <is>
          <t>条件触发</t>
        </is>
      </c>
      <c r="N1746" s="8" t="inlineStr">
        <is>
          <t>triggered</t>
        </is>
      </c>
      <c r="O1746" s="9" t="inlineStr">
        <is>
          <t>累计获得 200 层灼烧后毁坏</t>
        </is>
      </c>
      <c r="P1746" s="9" t="inlineStr">
        <is>
          <t>onBuffGain</t>
        </is>
      </c>
      <c r="Q1746" s="9" t="inlineStr">
        <is>
          <t>itemRuntimeDisable；self</t>
        </is>
      </c>
      <c r="R1746" s="9" t="inlineStr">
        <is>
          <t>{"kind":"triggered","label":"&lt;battle&gt;累计获得 200 层灼烧后毁坏&lt;/battle&gt;","triggeredEffect":{"trigger":"onBuffGain","type":"itemRuntimeDisable","target":{"type":"self"},"charge":{"threshold":200,"source":{"trigger":"onBuffGain","buffIds":["burning"]}}}}</t>
        </is>
      </c>
    </row>
    <row r="1747" ht="32" customHeight="1">
      <c r="A1747" s="8" t="n">
        <v>618003</v>
      </c>
      <c r="B1747" s="8" t="inlineStr">
        <is>
          <t>三候护炉环</t>
        </is>
      </c>
      <c r="C1747" s="8" t="inlineStr">
        <is>
          <t>阵法</t>
        </is>
      </c>
      <c r="D1747" s="8" t="inlineStr">
        <is>
          <t>common</t>
        </is>
      </c>
      <c r="E1747" s="8" t="inlineStr">
        <is>
          <t>fire</t>
        </is>
      </c>
      <c r="F1747" s="8" t="n">
        <v>1</v>
      </c>
      <c r="G1747" s="8" t="inlineStr">
        <is>
          <t>基础/顶层</t>
        </is>
      </c>
      <c r="H1747" s="8" t="inlineStr"/>
      <c r="I1747" s="9" t="inlineStr"/>
      <c r="J1747" s="8" t="inlineStr"/>
      <c r="K1747" s="8" t="inlineStr"/>
      <c r="L1747" s="8" t="inlineStr"/>
      <c r="M1747" s="8" t="inlineStr">
        <is>
          <t>周期触发</t>
        </is>
      </c>
      <c r="N1747" s="8" t="inlineStr">
        <is>
          <t>periodicPulse</t>
        </is>
      </c>
      <c r="O1747" s="9" t="inlineStr">
        <is>
          <t>轮转时，如果坚硬层数低于 20 层，将坚硬层数补齐到 20 层</t>
        </is>
      </c>
      <c r="P1747" s="9" t="inlineStr"/>
      <c r="Q1747" s="9" t="inlineStr"/>
      <c r="R1747" s="9" t="inlineStr">
        <is>
          <t>{"kind":"periodicPulse","periodicPulse":{"label":"&lt;battle&gt;轮转时，如果坚硬层数低于 20 层，将坚硬层数补齐到 20 层&lt;/battle&gt;","intervalSec":15,"buffGains":[{"buffId":"sturdy","count":20,"maxStacks":20,"target":"self"}]}}</t>
        </is>
      </c>
    </row>
    <row r="1748" ht="32" customHeight="1">
      <c r="A1748" s="8" t="n">
        <v>618003</v>
      </c>
      <c r="B1748" s="8" t="inlineStr">
        <is>
          <t>三候护炉环</t>
        </is>
      </c>
      <c r="C1748" s="8" t="inlineStr">
        <is>
          <t>阵法</t>
        </is>
      </c>
      <c r="D1748" s="8" t="inlineStr">
        <is>
          <t>common</t>
        </is>
      </c>
      <c r="E1748" s="8" t="inlineStr">
        <is>
          <t>fire</t>
        </is>
      </c>
      <c r="F1748" s="8" t="n">
        <v>2</v>
      </c>
      <c r="G1748" s="8" t="inlineStr">
        <is>
          <t>基础/顶层</t>
        </is>
      </c>
      <c r="H1748" s="8" t="inlineStr"/>
      <c r="I1748" s="9" t="inlineStr"/>
      <c r="J1748" s="8" t="inlineStr"/>
      <c r="K1748" s="8" t="inlineStr"/>
      <c r="L1748" s="8" t="inlineStr"/>
      <c r="M1748" s="8" t="inlineStr">
        <is>
          <t>条件触发</t>
        </is>
      </c>
      <c r="N1748" s="8" t="inlineStr">
        <is>
          <t>triggered</t>
        </is>
      </c>
      <c r="O1748" s="9" t="inlineStr">
        <is>
          <t>累计获得 120 层灼烧后毁坏</t>
        </is>
      </c>
      <c r="P1748" s="9" t="inlineStr">
        <is>
          <t>onBuffGain</t>
        </is>
      </c>
      <c r="Q1748" s="9" t="inlineStr">
        <is>
          <t>itemRuntimeDisable；self</t>
        </is>
      </c>
      <c r="R1748" s="9" t="inlineStr">
        <is>
          <t>{"kind":"triggered","label":"&lt;battle&gt;累计获得 120 层灼烧后毁坏&lt;/battle&gt;","triggeredEffect":{"trigger":"onBuffGain","type":"itemRuntimeDisable","target":{"type":"self"},"charge":{"threshold":120,"source":{"trigger":"onBuffGain","buffIds":["burning"]}}}}</t>
        </is>
      </c>
    </row>
    <row r="1749" ht="32" customHeight="1">
      <c r="A1749" s="8" t="n">
        <v>618004</v>
      </c>
      <c r="B1749" s="8" t="inlineStr">
        <is>
          <t>守烬炉心</t>
        </is>
      </c>
      <c r="C1749" s="8" t="inlineStr">
        <is>
          <t>阵法</t>
        </is>
      </c>
      <c r="D1749" s="8" t="inlineStr">
        <is>
          <t>common</t>
        </is>
      </c>
      <c r="E1749" s="8" t="inlineStr">
        <is>
          <t>fire</t>
        </is>
      </c>
      <c r="F1749" s="8" t="n">
        <v>1</v>
      </c>
      <c r="G1749" s="8" t="inlineStr">
        <is>
          <t>基础/顶层</t>
        </is>
      </c>
      <c r="H1749" s="8" t="inlineStr"/>
      <c r="I1749" s="9" t="inlineStr"/>
      <c r="J1749" s="8" t="inlineStr"/>
      <c r="K1749" s="8" t="inlineStr"/>
      <c r="L1749" s="8" t="inlineStr"/>
      <c r="M1749" s="8" t="inlineStr">
        <is>
          <t>周期触发</t>
        </is>
      </c>
      <c r="N1749" s="8" t="inlineStr">
        <is>
          <t>periodicPulse</t>
        </is>
      </c>
      <c r="O1749" s="9" t="inlineStr">
        <is>
          <t>轮转时，恢复所有被毁坏的法阵道具</t>
        </is>
      </c>
      <c r="P1749" s="9" t="inlineStr">
        <is>
          <t>onPeriodicPulse</t>
        </is>
      </c>
      <c r="Q1749" s="9" t="inlineStr">
        <is>
          <t>itemRuntimeRestore；other</t>
        </is>
      </c>
      <c r="R1749" s="9" t="inlineStr">
        <is>
          <t>{"kind":"periodicPulse","periodicPulse":{"label":"&lt;battle&gt;轮转时，恢复所有被毁坏的法阵道具&lt;/battle&gt;","intervalSec":120},"executors":[{"trigger":"onPeriodicPulse","type":"itemRuntimeRestore","target":{"type":"other"},"targetFilter":{"tags":["sect-formation-facility"]},"resetCharge":true,"resetRotation":true,"label":"&lt;battle&gt;轮转时，恢复所有被毁坏的法阵道具&lt;/battle&gt;"}]}</t>
        </is>
      </c>
    </row>
    <row r="1750" ht="32" customHeight="1">
      <c r="A1750" s="8" t="n">
        <v>618004</v>
      </c>
      <c r="B1750" s="8" t="inlineStr">
        <is>
          <t>守烬炉心</t>
        </is>
      </c>
      <c r="C1750" s="8" t="inlineStr">
        <is>
          <t>阵法</t>
        </is>
      </c>
      <c r="D1750" s="8" t="inlineStr">
        <is>
          <t>common</t>
        </is>
      </c>
      <c r="E1750" s="8" t="inlineStr">
        <is>
          <t>fire</t>
        </is>
      </c>
      <c r="F1750" s="8" t="n">
        <v>2</v>
      </c>
      <c r="G1750" s="8" t="inlineStr">
        <is>
          <t>基础/顶层</t>
        </is>
      </c>
      <c r="H1750" s="8" t="inlineStr"/>
      <c r="I1750" s="9" t="inlineStr"/>
      <c r="J1750" s="8" t="inlineStr"/>
      <c r="K1750" s="8" t="inlineStr"/>
      <c r="L1750" s="8" t="inlineStr"/>
      <c r="M1750" s="8" t="inlineStr">
        <is>
          <t>条件触发</t>
        </is>
      </c>
      <c r="N1750" s="8" t="inlineStr">
        <is>
          <t>triggered</t>
        </is>
      </c>
      <c r="O1750" s="9" t="inlineStr">
        <is>
          <t>累计获得 240 层灼烧后毁坏</t>
        </is>
      </c>
      <c r="P1750" s="9" t="inlineStr">
        <is>
          <t>onBuffGain</t>
        </is>
      </c>
      <c r="Q1750" s="9" t="inlineStr">
        <is>
          <t>itemRuntimeDisable；self</t>
        </is>
      </c>
      <c r="R1750" s="9" t="inlineStr">
        <is>
          <t>{"kind":"triggered","label":"&lt;battle&gt;累计获得 240 层灼烧后毁坏&lt;/battle&gt;","triggeredEffect":{"trigger":"onBuffGain","type":"itemRuntimeDisable","target":{"type":"self"},"charge":{"threshold":240,"source":{"trigger":"onBuffGain","buffIds":["burning"]}}}}</t>
        </is>
      </c>
    </row>
    <row r="1751" ht="32" customHeight="1">
      <c r="A1751" s="8" t="n">
        <v>618005</v>
      </c>
      <c r="B1751" s="8" t="inlineStr">
        <is>
          <t>雾岭截锋旗</t>
        </is>
      </c>
      <c r="C1751" s="8" t="inlineStr">
        <is>
          <t>阵法</t>
        </is>
      </c>
      <c r="D1751" s="8" t="inlineStr">
        <is>
          <t>common</t>
        </is>
      </c>
      <c r="E1751" s="8" t="inlineStr">
        <is>
          <t>earth</t>
        </is>
      </c>
      <c r="F1751" s="8" t="n">
        <v>1</v>
      </c>
      <c r="G1751" s="8" t="inlineStr">
        <is>
          <t>基础/顶层</t>
        </is>
      </c>
      <c r="H1751" s="8" t="inlineStr"/>
      <c r="I1751" s="9" t="inlineStr"/>
      <c r="J1751" s="8" t="inlineStr"/>
      <c r="K1751" s="8" t="inlineStr"/>
      <c r="L1751" s="8" t="inlineStr"/>
      <c r="M1751" s="8" t="inlineStr">
        <is>
          <t>周期触发</t>
        </is>
      </c>
      <c r="N1751" s="8" t="inlineStr">
        <is>
          <t>periodicPulse</t>
        </is>
      </c>
      <c r="O1751" s="9" t="inlineStr">
        <is>
          <t>轮转时，对敌方造成 58 点伤害</t>
        </is>
      </c>
      <c r="P1751" s="9" t="inlineStr"/>
      <c r="Q1751" s="9" t="inlineStr"/>
      <c r="R1751" s="9" t="inlineStr">
        <is>
          <t>{"kind":"periodicPulse","periodicPulse":{"label":"&lt;battle&gt;轮转时，对敌方造成 58 点伤害&lt;/battle&gt;","intervalSec":10,"damageHealth":{"target":"enemy","amount":58}}}</t>
        </is>
      </c>
    </row>
    <row r="1752" ht="32" customHeight="1">
      <c r="A1752" s="8" t="n">
        <v>618005</v>
      </c>
      <c r="B1752" s="8" t="inlineStr">
        <is>
          <t>雾岭截锋旗</t>
        </is>
      </c>
      <c r="C1752" s="8" t="inlineStr">
        <is>
          <t>阵法</t>
        </is>
      </c>
      <c r="D1752" s="8" t="inlineStr">
        <is>
          <t>common</t>
        </is>
      </c>
      <c r="E1752" s="8" t="inlineStr">
        <is>
          <t>earth</t>
        </is>
      </c>
      <c r="F1752" s="8" t="n">
        <v>2</v>
      </c>
      <c r="G1752" s="8" t="inlineStr">
        <is>
          <t>基础/顶层</t>
        </is>
      </c>
      <c r="H1752" s="8" t="inlineStr"/>
      <c r="I1752" s="9" t="inlineStr"/>
      <c r="J1752" s="8" t="inlineStr"/>
      <c r="K1752" s="8" t="inlineStr"/>
      <c r="L1752" s="8" t="inlineStr"/>
      <c r="M1752" s="8" t="inlineStr">
        <is>
          <t>条件触发</t>
        </is>
      </c>
      <c r="N1752" s="8" t="inlineStr">
        <is>
          <t>triggered</t>
        </is>
      </c>
      <c r="O1752" s="9" t="inlineStr">
        <is>
          <t>累计获得 100 层凝滞后毁坏</t>
        </is>
      </c>
      <c r="P1752" s="9" t="inlineStr">
        <is>
          <t>onBuffGain</t>
        </is>
      </c>
      <c r="Q1752" s="9" t="inlineStr">
        <is>
          <t>itemRuntimeDisable；self</t>
        </is>
      </c>
      <c r="R1752" s="9" t="inlineStr">
        <is>
          <t>{"kind":"triggered","label":"&lt;battle&gt;累计获得 100 层凝滞后毁坏&lt;/battle&gt;","triggeredEffect":{"trigger":"onBuffGain","type":"itemRuntimeDisable","target":{"type":"self"},"charge":{"threshold":100,"source":{"trigger":"onBuffGain","buffIds":["stagnation"]}}}}</t>
        </is>
      </c>
    </row>
    <row r="1753" ht="32" customHeight="1">
      <c r="A1753" s="8" t="n">
        <v>618006</v>
      </c>
      <c r="B1753" s="8" t="inlineStr">
        <is>
          <t>回环补位盘</t>
        </is>
      </c>
      <c r="C1753" s="8" t="inlineStr">
        <is>
          <t>阵法</t>
        </is>
      </c>
      <c r="D1753" s="8" t="inlineStr">
        <is>
          <t>common</t>
        </is>
      </c>
      <c r="E1753" s="8" t="inlineStr">
        <is>
          <t>earth</t>
        </is>
      </c>
      <c r="F1753" s="8" t="n">
        <v>1</v>
      </c>
      <c r="G1753" s="8" t="inlineStr">
        <is>
          <t>基础/顶层</t>
        </is>
      </c>
      <c r="H1753" s="8" t="inlineStr"/>
      <c r="I1753" s="9" t="inlineStr"/>
      <c r="J1753" s="8" t="inlineStr"/>
      <c r="K1753" s="8" t="inlineStr"/>
      <c r="L1753" s="8" t="inlineStr"/>
      <c r="M1753" s="8" t="inlineStr">
        <is>
          <t>周期触发</t>
        </is>
      </c>
      <c r="N1753" s="8" t="inlineStr">
        <is>
          <t>periodicPulse</t>
        </is>
      </c>
      <c r="O1753" s="9" t="inlineStr">
        <is>
          <t>轮转时，恢复 360 点气血；自身气血低于 30% 时恢复量翻倍</t>
        </is>
      </c>
      <c r="P1753" s="9" t="inlineStr"/>
      <c r="Q1753" s="9" t="inlineStr">
        <is>
          <t>sourcePrimaryStatRatioBelow</t>
        </is>
      </c>
      <c r="R1753" s="9" t="inlineStr">
        <is>
          <t>{"kind":"periodicPulse","periodicPulse":{"label":"&lt;battle&gt;轮转时，恢复 360 点气血；自身气血低于 30% 时恢复量翻倍&lt;/battle&gt;","intervalSec":10,"battlePrimaryStatGains":[{"stat":"health","amount":360,"conditionalMultiplier":{"type":"sourcePrimaryStatRatioBelow","stat":"health","ratio":0.3,"multiplier":2}}]}}</t>
        </is>
      </c>
    </row>
    <row r="1754" ht="32" customHeight="1">
      <c r="A1754" s="8" t="n">
        <v>618006</v>
      </c>
      <c r="B1754" s="8" t="inlineStr">
        <is>
          <t>回环补位盘</t>
        </is>
      </c>
      <c r="C1754" s="8" t="inlineStr">
        <is>
          <t>阵法</t>
        </is>
      </c>
      <c r="D1754" s="8" t="inlineStr">
        <is>
          <t>common</t>
        </is>
      </c>
      <c r="E1754" s="8" t="inlineStr">
        <is>
          <t>earth</t>
        </is>
      </c>
      <c r="F1754" s="8" t="n">
        <v>2</v>
      </c>
      <c r="G1754" s="8" t="inlineStr">
        <is>
          <t>基础/顶层</t>
        </is>
      </c>
      <c r="H1754" s="8" t="inlineStr"/>
      <c r="I1754" s="9" t="inlineStr"/>
      <c r="J1754" s="8" t="inlineStr"/>
      <c r="K1754" s="8" t="inlineStr"/>
      <c r="L1754" s="8" t="inlineStr"/>
      <c r="M1754" s="8" t="inlineStr">
        <is>
          <t>条件触发</t>
        </is>
      </c>
      <c r="N1754" s="8" t="inlineStr">
        <is>
          <t>triggered</t>
        </is>
      </c>
      <c r="O1754" s="9" t="inlineStr">
        <is>
          <t>累计获得 180 层凝滞后毁坏</t>
        </is>
      </c>
      <c r="P1754" s="9" t="inlineStr">
        <is>
          <t>onBuffGain</t>
        </is>
      </c>
      <c r="Q1754" s="9" t="inlineStr">
        <is>
          <t>itemRuntimeDisable；self</t>
        </is>
      </c>
      <c r="R1754" s="9" t="inlineStr">
        <is>
          <t>{"kind":"triggered","label":"&lt;battle&gt;累计获得 180 层凝滞后毁坏&lt;/battle&gt;","triggeredEffect":{"trigger":"onBuffGain","type":"itemRuntimeDisable","target":{"type":"self"},"charge":{"threshold":180,"source":{"trigger":"onBuffGain","buffIds":["stagnation"]}}}}</t>
        </is>
      </c>
    </row>
    <row r="1755" ht="32" customHeight="1">
      <c r="A1755" s="8" t="n">
        <v>618007</v>
      </c>
      <c r="B1755" s="8" t="inlineStr">
        <is>
          <t>负岳承符环</t>
        </is>
      </c>
      <c r="C1755" s="8" t="inlineStr">
        <is>
          <t>阵法</t>
        </is>
      </c>
      <c r="D1755" s="8" t="inlineStr">
        <is>
          <t>common</t>
        </is>
      </c>
      <c r="E1755" s="8" t="inlineStr">
        <is>
          <t>earth</t>
        </is>
      </c>
      <c r="F1755" s="8" t="n">
        <v>1</v>
      </c>
      <c r="G1755" s="8" t="inlineStr">
        <is>
          <t>基础/顶层</t>
        </is>
      </c>
      <c r="H1755" s="8" t="inlineStr"/>
      <c r="I1755" s="9" t="inlineStr"/>
      <c r="J1755" s="8" t="inlineStr"/>
      <c r="K1755" s="8" t="inlineStr"/>
      <c r="L1755" s="8" t="inlineStr"/>
      <c r="M1755" s="8" t="inlineStr">
        <is>
          <t>周期触发</t>
        </is>
      </c>
      <c r="N1755" s="8" t="inlineStr">
        <is>
          <t>periodicPulse</t>
        </is>
      </c>
      <c r="O1755" s="9" t="inlineStr">
        <is>
          <t>轮转时，如果坚硬层数低于 20 层，将坚硬层数补齐到 20 层</t>
        </is>
      </c>
      <c r="P1755" s="9" t="inlineStr"/>
      <c r="Q1755" s="9" t="inlineStr"/>
      <c r="R1755" s="9" t="inlineStr">
        <is>
          <t>{"kind":"periodicPulse","periodicPulse":{"label":"&lt;battle&gt;轮转时，如果坚硬层数低于 20 层，将坚硬层数补齐到 20 层&lt;/battle&gt;","intervalSec":12,"buffGains":[{"buffId":"sturdy","count":20,"maxStacks":20,"target":"self"}]}}</t>
        </is>
      </c>
    </row>
    <row r="1756" ht="32" customHeight="1">
      <c r="A1756" s="8" t="n">
        <v>618007</v>
      </c>
      <c r="B1756" s="8" t="inlineStr">
        <is>
          <t>负岳承符环</t>
        </is>
      </c>
      <c r="C1756" s="8" t="inlineStr">
        <is>
          <t>阵法</t>
        </is>
      </c>
      <c r="D1756" s="8" t="inlineStr">
        <is>
          <t>common</t>
        </is>
      </c>
      <c r="E1756" s="8" t="inlineStr">
        <is>
          <t>earth</t>
        </is>
      </c>
      <c r="F1756" s="8" t="n">
        <v>2</v>
      </c>
      <c r="G1756" s="8" t="inlineStr">
        <is>
          <t>基础/顶层</t>
        </is>
      </c>
      <c r="H1756" s="8" t="inlineStr"/>
      <c r="I1756" s="9" t="inlineStr"/>
      <c r="J1756" s="8" t="inlineStr"/>
      <c r="K1756" s="8" t="inlineStr"/>
      <c r="L1756" s="8" t="inlineStr"/>
      <c r="M1756" s="8" t="inlineStr">
        <is>
          <t>条件触发</t>
        </is>
      </c>
      <c r="N1756" s="8" t="inlineStr">
        <is>
          <t>triggered</t>
        </is>
      </c>
      <c r="O1756" s="9" t="inlineStr">
        <is>
          <t>累计获得 160 层凝滞后毁坏</t>
        </is>
      </c>
      <c r="P1756" s="9" t="inlineStr">
        <is>
          <t>onBuffGain</t>
        </is>
      </c>
      <c r="Q1756" s="9" t="inlineStr">
        <is>
          <t>itemRuntimeDisable；self</t>
        </is>
      </c>
      <c r="R1756" s="9" t="inlineStr">
        <is>
          <t>{"kind":"triggered","label":"&lt;battle&gt;累计获得 160 层凝滞后毁坏&lt;/battle&gt;","triggeredEffect":{"trigger":"onBuffGain","type":"itemRuntimeDisable","target":{"type":"self"},"charge":{"threshold":160,"source":{"trigger":"onBuffGain","buffIds":["stagnation"]}}}}</t>
        </is>
      </c>
    </row>
    <row r="1757" ht="32" customHeight="1">
      <c r="A1757" s="8" t="n">
        <v>618008</v>
      </c>
      <c r="B1757" s="8" t="inlineStr">
        <is>
          <t>定阙地脉印</t>
        </is>
      </c>
      <c r="C1757" s="8" t="inlineStr">
        <is>
          <t>阵法</t>
        </is>
      </c>
      <c r="D1757" s="8" t="inlineStr">
        <is>
          <t>common</t>
        </is>
      </c>
      <c r="E1757" s="8" t="inlineStr">
        <is>
          <t>earth</t>
        </is>
      </c>
      <c r="F1757" s="8" t="n">
        <v>1</v>
      </c>
      <c r="G1757" s="8" t="inlineStr">
        <is>
          <t>基础/顶层</t>
        </is>
      </c>
      <c r="H1757" s="8" t="inlineStr"/>
      <c r="I1757" s="9" t="inlineStr"/>
      <c r="J1757" s="8" t="inlineStr"/>
      <c r="K1757" s="8" t="inlineStr"/>
      <c r="L1757" s="8" t="inlineStr"/>
      <c r="M1757" s="8" t="inlineStr">
        <is>
          <t>周期触发</t>
        </is>
      </c>
      <c r="N1757" s="8" t="inlineStr">
        <is>
          <t>periodicPulse</t>
        </is>
      </c>
      <c r="O1757" s="9" t="inlineStr">
        <is>
          <t>轮转时，恢复所有被毁坏的法阵道具</t>
        </is>
      </c>
      <c r="P1757" s="9" t="inlineStr">
        <is>
          <t>onPeriodicPulse</t>
        </is>
      </c>
      <c r="Q1757" s="9" t="inlineStr">
        <is>
          <t>itemRuntimeRestore；other</t>
        </is>
      </c>
      <c r="R1757" s="9" t="inlineStr">
        <is>
          <t>{"kind":"periodicPulse","periodicPulse":{"label":"&lt;battle&gt;轮转时，恢复所有被毁坏的法阵道具&lt;/battle&gt;","intervalSec":120},"executors":[{"trigger":"onPeriodicPulse","type":"itemRuntimeRestore","target":{"type":"other"},"targetFilter":{"tags":["sect-formation-facility"]},"resetCharge":true,"resetRotation":true,"label":"&lt;battle&gt;轮转时，恢复所有被毁坏的法阵道具&lt;/battle&gt;"}]}</t>
        </is>
      </c>
    </row>
    <row r="1758" ht="32" customHeight="1">
      <c r="A1758" s="8" t="n">
        <v>618008</v>
      </c>
      <c r="B1758" s="8" t="inlineStr">
        <is>
          <t>定阙地脉印</t>
        </is>
      </c>
      <c r="C1758" s="8" t="inlineStr">
        <is>
          <t>阵法</t>
        </is>
      </c>
      <c r="D1758" s="8" t="inlineStr">
        <is>
          <t>common</t>
        </is>
      </c>
      <c r="E1758" s="8" t="inlineStr">
        <is>
          <t>earth</t>
        </is>
      </c>
      <c r="F1758" s="8" t="n">
        <v>2</v>
      </c>
      <c r="G1758" s="8" t="inlineStr">
        <is>
          <t>基础/顶层</t>
        </is>
      </c>
      <c r="H1758" s="8" t="inlineStr"/>
      <c r="I1758" s="9" t="inlineStr"/>
      <c r="J1758" s="8" t="inlineStr"/>
      <c r="K1758" s="8" t="inlineStr"/>
      <c r="L1758" s="8" t="inlineStr"/>
      <c r="M1758" s="8" t="inlineStr">
        <is>
          <t>条件触发</t>
        </is>
      </c>
      <c r="N1758" s="8" t="inlineStr">
        <is>
          <t>triggered</t>
        </is>
      </c>
      <c r="O1758" s="9" t="inlineStr">
        <is>
          <t>累计获得 200 层凝滞后毁坏</t>
        </is>
      </c>
      <c r="P1758" s="9" t="inlineStr">
        <is>
          <t>onBuffGain</t>
        </is>
      </c>
      <c r="Q1758" s="9" t="inlineStr">
        <is>
          <t>itemRuntimeDisable；self</t>
        </is>
      </c>
      <c r="R1758" s="9" t="inlineStr">
        <is>
          <t>{"kind":"triggered","label":"&lt;battle&gt;累计获得 200 层凝滞后毁坏&lt;/battle&gt;","triggeredEffect":{"trigger":"onBuffGain","type":"itemRuntimeDisable","target":{"type":"self"},"charge":{"threshold":200,"source":{"trigger":"onBuffGain","buffIds":["stagnation"]}}}}</t>
        </is>
      </c>
    </row>
    <row r="1759" ht="32" customHeight="1">
      <c r="A1759" s="8" t="n">
        <v>618009</v>
      </c>
      <c r="B1759" s="8" t="inlineStr">
        <is>
          <t>镜月返潮针</t>
        </is>
      </c>
      <c r="C1759" s="8" t="inlineStr">
        <is>
          <t>阵法</t>
        </is>
      </c>
      <c r="D1759" s="8" t="inlineStr">
        <is>
          <t>common</t>
        </is>
      </c>
      <c r="E1759" s="8" t="inlineStr">
        <is>
          <t>water</t>
        </is>
      </c>
      <c r="F1759" s="8" t="n">
        <v>1</v>
      </c>
      <c r="G1759" s="8" t="inlineStr">
        <is>
          <t>基础/顶层</t>
        </is>
      </c>
      <c r="H1759" s="8" t="inlineStr"/>
      <c r="I1759" s="9" t="inlineStr"/>
      <c r="J1759" s="8" t="inlineStr"/>
      <c r="K1759" s="8" t="inlineStr"/>
      <c r="L1759" s="8" t="inlineStr"/>
      <c r="M1759" s="8" t="inlineStr">
        <is>
          <t>周期触发</t>
        </is>
      </c>
      <c r="N1759" s="8" t="inlineStr">
        <is>
          <t>periodicPulse</t>
        </is>
      </c>
      <c r="O1759" s="9" t="inlineStr">
        <is>
          <t>轮转时，对敌方造成 68 点伤害</t>
        </is>
      </c>
      <c r="P1759" s="9" t="inlineStr"/>
      <c r="Q1759" s="9" t="inlineStr"/>
      <c r="R1759" s="9" t="inlineStr">
        <is>
          <t>{"kind":"periodicPulse","periodicPulse":{"label":"&lt;battle&gt;轮转时，对敌方造成 68 点伤害&lt;/battle&gt;","intervalSec":12,"damageHealth":{"target":"enemy","amount":68}}}</t>
        </is>
      </c>
    </row>
    <row r="1760" ht="32" customHeight="1">
      <c r="A1760" s="8" t="n">
        <v>618009</v>
      </c>
      <c r="B1760" s="8" t="inlineStr">
        <is>
          <t>镜月返潮针</t>
        </is>
      </c>
      <c r="C1760" s="8" t="inlineStr">
        <is>
          <t>阵法</t>
        </is>
      </c>
      <c r="D1760" s="8" t="inlineStr">
        <is>
          <t>common</t>
        </is>
      </c>
      <c r="E1760" s="8" t="inlineStr">
        <is>
          <t>water</t>
        </is>
      </c>
      <c r="F1760" s="8" t="n">
        <v>2</v>
      </c>
      <c r="G1760" s="8" t="inlineStr">
        <is>
          <t>基础/顶层</t>
        </is>
      </c>
      <c r="H1760" s="8" t="inlineStr"/>
      <c r="I1760" s="9" t="inlineStr"/>
      <c r="J1760" s="8" t="inlineStr"/>
      <c r="K1760" s="8" t="inlineStr"/>
      <c r="L1760" s="8" t="inlineStr"/>
      <c r="M1760" s="8" t="inlineStr">
        <is>
          <t>条件触发</t>
        </is>
      </c>
      <c r="N1760" s="8" t="inlineStr">
        <is>
          <t>triggered</t>
        </is>
      </c>
      <c r="O1760" s="9" t="inlineStr">
        <is>
          <t>累计获得 160 层乱流后毁坏</t>
        </is>
      </c>
      <c r="P1760" s="9" t="inlineStr">
        <is>
          <t>onBuffGain</t>
        </is>
      </c>
      <c r="Q1760" s="9" t="inlineStr">
        <is>
          <t>itemRuntimeDisable；self</t>
        </is>
      </c>
      <c r="R1760" s="9" t="inlineStr">
        <is>
          <t>{"kind":"triggered","label":"&lt;battle&gt;累计获得 160 层乱流后毁坏&lt;/battle&gt;","triggeredEffect":{"trigger":"onBuffGain","type":"itemRuntimeDisable","target":{"type":"self"},"charge":{"threshold":160,"source":{"trigger":"onBuffGain","buffIds":["turbulence"]}}}}</t>
        </is>
      </c>
    </row>
    <row r="1761" ht="32" customHeight="1">
      <c r="A1761" s="8" t="n">
        <v>618010</v>
      </c>
      <c r="B1761" s="8" t="inlineStr">
        <is>
          <t>凝露回息环</t>
        </is>
      </c>
      <c r="C1761" s="8" t="inlineStr">
        <is>
          <t>阵法</t>
        </is>
      </c>
      <c r="D1761" s="8" t="inlineStr">
        <is>
          <t>common</t>
        </is>
      </c>
      <c r="E1761" s="8" t="inlineStr">
        <is>
          <t>water</t>
        </is>
      </c>
      <c r="F1761" s="8" t="n">
        <v>1</v>
      </c>
      <c r="G1761" s="8" t="inlineStr">
        <is>
          <t>基础/顶层</t>
        </is>
      </c>
      <c r="H1761" s="8" t="inlineStr"/>
      <c r="I1761" s="9" t="inlineStr"/>
      <c r="J1761" s="8" t="inlineStr"/>
      <c r="K1761" s="8" t="inlineStr"/>
      <c r="L1761" s="8" t="inlineStr"/>
      <c r="M1761" s="8" t="inlineStr">
        <is>
          <t>周期触发</t>
        </is>
      </c>
      <c r="N1761" s="8" t="inlineStr">
        <is>
          <t>periodicPulse</t>
        </is>
      </c>
      <c r="O1761" s="9" t="inlineStr">
        <is>
          <t>轮转时，恢复 320 点气血；自身气血低于 30% 时恢复量翻倍</t>
        </is>
      </c>
      <c r="P1761" s="9" t="inlineStr"/>
      <c r="Q1761" s="9" t="inlineStr">
        <is>
          <t>sourcePrimaryStatRatioBelow</t>
        </is>
      </c>
      <c r="R1761" s="9" t="inlineStr">
        <is>
          <t>{"kind":"periodicPulse","periodicPulse":{"label":"&lt;battle&gt;轮转时，恢复 320 点气血；自身气血低于 30% 时恢复量翻倍&lt;/battle&gt;","intervalSec":8,"battlePrimaryStatGains":[{"stat":"health","amount":320,"conditionalMultiplier":{"type":"sourcePrimaryStatRatioBelow","stat":"health","ratio":0.3,"multiplier":2}}]}}</t>
        </is>
      </c>
    </row>
    <row r="1762" ht="32" customHeight="1">
      <c r="A1762" s="8" t="n">
        <v>618010</v>
      </c>
      <c r="B1762" s="8" t="inlineStr">
        <is>
          <t>凝露回息环</t>
        </is>
      </c>
      <c r="C1762" s="8" t="inlineStr">
        <is>
          <t>阵法</t>
        </is>
      </c>
      <c r="D1762" s="8" t="inlineStr">
        <is>
          <t>common</t>
        </is>
      </c>
      <c r="E1762" s="8" t="inlineStr">
        <is>
          <t>water</t>
        </is>
      </c>
      <c r="F1762" s="8" t="n">
        <v>2</v>
      </c>
      <c r="G1762" s="8" t="inlineStr">
        <is>
          <t>基础/顶层</t>
        </is>
      </c>
      <c r="H1762" s="8" t="inlineStr"/>
      <c r="I1762" s="9" t="inlineStr"/>
      <c r="J1762" s="8" t="inlineStr"/>
      <c r="K1762" s="8" t="inlineStr"/>
      <c r="L1762" s="8" t="inlineStr"/>
      <c r="M1762" s="8" t="inlineStr">
        <is>
          <t>条件触发</t>
        </is>
      </c>
      <c r="N1762" s="8" t="inlineStr">
        <is>
          <t>triggered</t>
        </is>
      </c>
      <c r="O1762" s="9" t="inlineStr">
        <is>
          <t>累计获得 220 层乱流后毁坏</t>
        </is>
      </c>
      <c r="P1762" s="9" t="inlineStr">
        <is>
          <t>onBuffGain</t>
        </is>
      </c>
      <c r="Q1762" s="9" t="inlineStr">
        <is>
          <t>itemRuntimeDisable；self</t>
        </is>
      </c>
      <c r="R1762" s="9" t="inlineStr">
        <is>
          <t>{"kind":"triggered","label":"&lt;battle&gt;累计获得 220 层乱流后毁坏&lt;/battle&gt;","triggeredEffect":{"trigger":"onBuffGain","type":"itemRuntimeDisable","target":{"type":"self"},"charge":{"threshold":220,"source":{"trigger":"onBuffGain","buffIds":["turbulence"]}}}}</t>
        </is>
      </c>
    </row>
    <row r="1763" ht="32" customHeight="1">
      <c r="A1763" s="8" t="n">
        <v>618011</v>
      </c>
      <c r="B1763" s="8" t="inlineStr">
        <is>
          <t>竹影月池幕</t>
        </is>
      </c>
      <c r="C1763" s="8" t="inlineStr">
        <is>
          <t>阵法</t>
        </is>
      </c>
      <c r="D1763" s="8" t="inlineStr">
        <is>
          <t>common</t>
        </is>
      </c>
      <c r="E1763" s="8" t="inlineStr">
        <is>
          <t>water</t>
        </is>
      </c>
      <c r="F1763" s="8" t="n">
        <v>1</v>
      </c>
      <c r="G1763" s="8" t="inlineStr">
        <is>
          <t>基础/顶层</t>
        </is>
      </c>
      <c r="H1763" s="8" t="inlineStr"/>
      <c r="I1763" s="9" t="inlineStr"/>
      <c r="J1763" s="8" t="inlineStr"/>
      <c r="K1763" s="8" t="inlineStr"/>
      <c r="L1763" s="8" t="inlineStr"/>
      <c r="M1763" s="8" t="inlineStr">
        <is>
          <t>周期触发</t>
        </is>
      </c>
      <c r="N1763" s="8" t="inlineStr">
        <is>
          <t>periodicPulse</t>
        </is>
      </c>
      <c r="O1763" s="9" t="inlineStr">
        <is>
          <t>轮转时，如果坚硬层数低于 20 层，将坚硬层数补齐到 20 层</t>
        </is>
      </c>
      <c r="P1763" s="9" t="inlineStr"/>
      <c r="Q1763" s="9" t="inlineStr"/>
      <c r="R1763" s="9" t="inlineStr">
        <is>
          <t>{"kind":"periodicPulse","periodicPulse":{"label":"&lt;battle&gt;轮转时，如果坚硬层数低于 20 层，将坚硬层数补齐到 20 层&lt;/battle&gt;","intervalSec":16,"buffGains":[{"buffId":"sturdy","count":20,"maxStacks":20,"target":"self"}]}}</t>
        </is>
      </c>
    </row>
    <row r="1764" ht="32" customHeight="1">
      <c r="A1764" s="8" t="n">
        <v>618011</v>
      </c>
      <c r="B1764" s="8" t="inlineStr">
        <is>
          <t>竹影月池幕</t>
        </is>
      </c>
      <c r="C1764" s="8" t="inlineStr">
        <is>
          <t>阵法</t>
        </is>
      </c>
      <c r="D1764" s="8" t="inlineStr">
        <is>
          <t>common</t>
        </is>
      </c>
      <c r="E1764" s="8" t="inlineStr">
        <is>
          <t>water</t>
        </is>
      </c>
      <c r="F1764" s="8" t="n">
        <v>2</v>
      </c>
      <c r="G1764" s="8" t="inlineStr">
        <is>
          <t>基础/顶层</t>
        </is>
      </c>
      <c r="H1764" s="8" t="inlineStr"/>
      <c r="I1764" s="9" t="inlineStr"/>
      <c r="J1764" s="8" t="inlineStr"/>
      <c r="K1764" s="8" t="inlineStr"/>
      <c r="L1764" s="8" t="inlineStr"/>
      <c r="M1764" s="8" t="inlineStr">
        <is>
          <t>条件触发</t>
        </is>
      </c>
      <c r="N1764" s="8" t="inlineStr">
        <is>
          <t>triggered</t>
        </is>
      </c>
      <c r="O1764" s="9" t="inlineStr">
        <is>
          <t>累计获得 180 层乱流后毁坏</t>
        </is>
      </c>
      <c r="P1764" s="9" t="inlineStr">
        <is>
          <t>onBuffGain</t>
        </is>
      </c>
      <c r="Q1764" s="9" t="inlineStr">
        <is>
          <t>itemRuntimeDisable；self</t>
        </is>
      </c>
      <c r="R1764" s="9" t="inlineStr">
        <is>
          <t>{"kind":"triggered","label":"&lt;battle&gt;累计获得 180 层乱流后毁坏&lt;/battle&gt;","triggeredEffect":{"trigger":"onBuffGain","type":"itemRuntimeDisable","target":{"type":"self"},"charge":{"threshold":180,"source":{"trigger":"onBuffGain","buffIds":["turbulence"]}}}}</t>
        </is>
      </c>
    </row>
    <row r="1765" ht="32" customHeight="1">
      <c r="A1765" s="8" t="n">
        <v>618012</v>
      </c>
      <c r="B1765" s="8" t="inlineStr">
        <is>
          <t>澄月水心</t>
        </is>
      </c>
      <c r="C1765" s="8" t="inlineStr">
        <is>
          <t>阵法</t>
        </is>
      </c>
      <c r="D1765" s="8" t="inlineStr">
        <is>
          <t>common</t>
        </is>
      </c>
      <c r="E1765" s="8" t="inlineStr">
        <is>
          <t>water</t>
        </is>
      </c>
      <c r="F1765" s="8" t="n">
        <v>1</v>
      </c>
      <c r="G1765" s="8" t="inlineStr">
        <is>
          <t>基础/顶层</t>
        </is>
      </c>
      <c r="H1765" s="8" t="inlineStr"/>
      <c r="I1765" s="9" t="inlineStr"/>
      <c r="J1765" s="8" t="inlineStr"/>
      <c r="K1765" s="8" t="inlineStr"/>
      <c r="L1765" s="8" t="inlineStr"/>
      <c r="M1765" s="8" t="inlineStr">
        <is>
          <t>周期触发</t>
        </is>
      </c>
      <c r="N1765" s="8" t="inlineStr">
        <is>
          <t>periodicPulse</t>
        </is>
      </c>
      <c r="O1765" s="9" t="inlineStr">
        <is>
          <t>轮转时，恢复所有被毁坏的法阵道具</t>
        </is>
      </c>
      <c r="P1765" s="9" t="inlineStr">
        <is>
          <t>onPeriodicPulse</t>
        </is>
      </c>
      <c r="Q1765" s="9" t="inlineStr">
        <is>
          <t>itemRuntimeRestore；other</t>
        </is>
      </c>
      <c r="R1765" s="9" t="inlineStr">
        <is>
          <t>{"kind":"periodicPulse","periodicPulse":{"label":"&lt;battle&gt;轮转时，恢复所有被毁坏的法阵道具&lt;/battle&gt;","intervalSec":120},"executors":[{"trigger":"onPeriodicPulse","type":"itemRuntimeRestore","target":{"type":"other"},"targetFilter":{"tags":["sect-formation-facility"]},"resetCharge":true,"resetRotation":true,"label":"&lt;battle&gt;轮转时，恢复所有被毁坏的法阵道具&lt;/battle&gt;"}]}</t>
        </is>
      </c>
    </row>
    <row r="1766" ht="32" customHeight="1">
      <c r="A1766" s="8" t="n">
        <v>618012</v>
      </c>
      <c r="B1766" s="8" t="inlineStr">
        <is>
          <t>澄月水心</t>
        </is>
      </c>
      <c r="C1766" s="8" t="inlineStr">
        <is>
          <t>阵法</t>
        </is>
      </c>
      <c r="D1766" s="8" t="inlineStr">
        <is>
          <t>common</t>
        </is>
      </c>
      <c r="E1766" s="8" t="inlineStr">
        <is>
          <t>water</t>
        </is>
      </c>
      <c r="F1766" s="8" t="n">
        <v>2</v>
      </c>
      <c r="G1766" s="8" t="inlineStr">
        <is>
          <t>基础/顶层</t>
        </is>
      </c>
      <c r="H1766" s="8" t="inlineStr"/>
      <c r="I1766" s="9" t="inlineStr"/>
      <c r="J1766" s="8" t="inlineStr"/>
      <c r="K1766" s="8" t="inlineStr"/>
      <c r="L1766" s="8" t="inlineStr"/>
      <c r="M1766" s="8" t="inlineStr">
        <is>
          <t>条件触发</t>
        </is>
      </c>
      <c r="N1766" s="8" t="inlineStr">
        <is>
          <t>triggered</t>
        </is>
      </c>
      <c r="O1766" s="9" t="inlineStr">
        <is>
          <t>累计获得 280 层乱流后毁坏</t>
        </is>
      </c>
      <c r="P1766" s="9" t="inlineStr">
        <is>
          <t>onBuffGain</t>
        </is>
      </c>
      <c r="Q1766" s="9" t="inlineStr">
        <is>
          <t>itemRuntimeDisable；self</t>
        </is>
      </c>
      <c r="R1766" s="9" t="inlineStr">
        <is>
          <t>{"kind":"triggered","label":"&lt;battle&gt;累计获得 280 层乱流后毁坏&lt;/battle&gt;","triggeredEffect":{"trigger":"onBuffGain","type":"itemRuntimeDisable","target":{"type":"self"},"charge":{"threshold":280,"source":{"trigger":"onBuffGain","buffIds":["turbulence"]}}}}</t>
        </is>
      </c>
    </row>
    <row r="1767" ht="32" customHeight="1">
      <c r="A1767" s="8" t="n">
        <v>700001</v>
      </c>
      <c r="B1767" s="8" t="inlineStr">
        <is>
          <t>千斤坠符</t>
        </is>
      </c>
      <c r="C1767" s="8" t="inlineStr">
        <is>
          <t>符箓</t>
        </is>
      </c>
      <c r="D1767" s="8" t="inlineStr">
        <is>
          <t>common</t>
        </is>
      </c>
      <c r="E1767" s="8" t="inlineStr">
        <is>
          <t>none</t>
        </is>
      </c>
      <c r="F1767" s="8" t="n">
        <v>1</v>
      </c>
      <c r="G1767" s="8" t="inlineStr">
        <is>
          <t>基础/顶层</t>
        </is>
      </c>
      <c r="H1767" s="8" t="inlineStr"/>
      <c r="I1767" s="9" t="inlineStr"/>
      <c r="J1767" s="8" t="inlineStr"/>
      <c r="K1767" s="8" t="inlineStr"/>
      <c r="L1767" s="8" t="inlineStr"/>
      <c r="M1767" s="8" t="inlineStr">
        <is>
          <t>消耗品效果</t>
        </is>
      </c>
      <c r="N1767" s="8" t="inlineStr">
        <is>
          <t>consumable</t>
        </is>
      </c>
      <c r="O1767" s="9" t="inlineStr">
        <is>
          <t>体力上限临时 +5</t>
        </is>
      </c>
      <c r="P1767" s="9" t="inlineStr"/>
      <c r="Q1767" s="9" t="inlineStr">
        <is>
          <t>staminaTemporaryMaxFlatBonus</t>
        </is>
      </c>
      <c r="R1767" s="9" t="inlineStr">
        <is>
          <t>{"kind":"consumable","label":"体力上限临时 +5","consumable":{"durationSec":60,"maxUses":3,"label":"体力上限临时 +5","effects":[{"kind":"passive","passiveEffect":{"type":"staminaTemporaryMaxFlatBonus","value":5}}]}}</t>
        </is>
      </c>
    </row>
    <row r="1768" ht="32" customHeight="1">
      <c r="A1768" s="8" t="n">
        <v>700002</v>
      </c>
      <c r="B1768" s="8" t="inlineStr">
        <is>
          <t>云火旧符</t>
        </is>
      </c>
      <c r="C1768" s="8" t="inlineStr">
        <is>
          <t>符箓</t>
        </is>
      </c>
      <c r="D1768" s="8" t="inlineStr">
        <is>
          <t>common</t>
        </is>
      </c>
      <c r="E1768" s="8" t="inlineStr">
        <is>
          <t>fire</t>
        </is>
      </c>
      <c r="F1768" s="8" t="n">
        <v>1</v>
      </c>
      <c r="G1768" s="8" t="inlineStr">
        <is>
          <t>基础/顶层</t>
        </is>
      </c>
      <c r="H1768" s="8" t="inlineStr"/>
      <c r="I1768" s="9" t="inlineStr"/>
      <c r="J1768" s="8" t="inlineStr"/>
      <c r="K1768" s="8" t="inlineStr"/>
      <c r="L1768" s="8" t="inlineStr"/>
      <c r="M1768" s="8" t="inlineStr">
        <is>
          <t>消耗品效果</t>
        </is>
      </c>
      <c r="N1768" s="8" t="inlineStr">
        <is>
          <t>consumable</t>
        </is>
      </c>
      <c r="O1768" s="9" t="inlineStr">
        <is>
          <t>获得 2 层炎热</t>
        </is>
      </c>
      <c r="P1768" s="9" t="inlineStr">
        <is>
          <t>onConsumableExhausted</t>
        </is>
      </c>
      <c r="Q1768" s="9" t="inlineStr">
        <is>
          <t>applyBuff</t>
        </is>
      </c>
      <c r="R1768" s="9" t="inlineStr">
        <is>
          <t>{"kind":"consumable","consumable":{"durationSec":2,"label":"获得 2 层炎热","maxUses":10},"executors":[{"trigger":"onConsumableExhausted","type":"applyBuff","buffId":"heat","count":2,"label":"获得 2 层炎热"}]}</t>
        </is>
      </c>
    </row>
    <row r="1769" ht="32" customHeight="1">
      <c r="A1769" s="8" t="n">
        <v>700008</v>
      </c>
      <c r="B1769" s="8" t="inlineStr">
        <is>
          <t>浅波符</t>
        </is>
      </c>
      <c r="C1769" s="8" t="inlineStr">
        <is>
          <t>符箓</t>
        </is>
      </c>
      <c r="D1769" s="8" t="inlineStr">
        <is>
          <t>common</t>
        </is>
      </c>
      <c r="E1769" s="8" t="inlineStr">
        <is>
          <t>water</t>
        </is>
      </c>
      <c r="F1769" s="8" t="n">
        <v>1</v>
      </c>
      <c r="G1769" s="8" t="inlineStr">
        <is>
          <t>基础/顶层</t>
        </is>
      </c>
      <c r="H1769" s="8" t="inlineStr"/>
      <c r="I1769" s="9" t="inlineStr"/>
      <c r="J1769" s="8" t="inlineStr"/>
      <c r="K1769" s="8" t="inlineStr"/>
      <c r="L1769" s="8" t="inlineStr"/>
      <c r="M1769" s="8" t="inlineStr">
        <is>
          <t>消耗品效果</t>
        </is>
      </c>
      <c r="N1769" s="8" t="inlineStr">
        <is>
          <t>consumable</t>
        </is>
      </c>
      <c r="O1769" s="9" t="inlineStr">
        <is>
          <t>恢复 5 点法力</t>
        </is>
      </c>
      <c r="P1769" s="9" t="inlineStr">
        <is>
          <t>onConsumableExhausted</t>
        </is>
      </c>
      <c r="Q1769" s="9" t="inlineStr">
        <is>
          <t>modifyPlayerPrimaryStat</t>
        </is>
      </c>
      <c r="R1769" s="9" t="inlineStr">
        <is>
          <t>{"kind":"consumable","consumable":{"durationSec":6,"maxUses":1,"label":"恢复 5 点法力"},"executors":[{"trigger":"onConsumableExhausted","type":"modifyPlayerPrimaryStat","stat":"mana","delta":5,"label":"恢复 5 点法力"}]}</t>
        </is>
      </c>
    </row>
    <row r="1770" ht="32" customHeight="1">
      <c r="A1770" s="8" t="n">
        <v>700010</v>
      </c>
      <c r="B1770" s="8" t="inlineStr">
        <is>
          <t>续力符</t>
        </is>
      </c>
      <c r="C1770" s="8" t="inlineStr">
        <is>
          <t>符箓</t>
        </is>
      </c>
      <c r="D1770" s="8" t="inlineStr">
        <is>
          <t>common</t>
        </is>
      </c>
      <c r="E1770" s="8" t="inlineStr">
        <is>
          <t>none</t>
        </is>
      </c>
      <c r="F1770" s="8" t="n">
        <v>1</v>
      </c>
      <c r="G1770" s="8" t="inlineStr">
        <is>
          <t>基础/顶层</t>
        </is>
      </c>
      <c r="H1770" s="8" t="inlineStr"/>
      <c r="I1770" s="9" t="inlineStr"/>
      <c r="J1770" s="8" t="inlineStr"/>
      <c r="K1770" s="8" t="inlineStr"/>
      <c r="L1770" s="8" t="inlineStr"/>
      <c r="M1770" s="8" t="inlineStr">
        <is>
          <t>消耗品效果</t>
        </is>
      </c>
      <c r="N1770" s="8" t="inlineStr">
        <is>
          <t>consumable</t>
        </is>
      </c>
      <c r="O1770" s="9" t="inlineStr">
        <is>
          <t>恢复 3 点体力</t>
        </is>
      </c>
      <c r="P1770" s="9" t="inlineStr">
        <is>
          <t>onConsumableExhausted</t>
        </is>
      </c>
      <c r="Q1770" s="9" t="inlineStr">
        <is>
          <t>modifyPlayerPrimaryStat</t>
        </is>
      </c>
      <c r="R1770" s="9" t="inlineStr">
        <is>
          <t>{"kind":"consumable","consumable":{"durationSec":6,"maxUses":3,"label":"恢复 3 点体力"},"executors":[{"trigger":"onConsumableExhausted","type":"modifyPlayerPrimaryStat","stat":"stamina","delta":3,"label":"恢复 3 点体力"}]}</t>
        </is>
      </c>
    </row>
    <row r="1771" ht="32" customHeight="1">
      <c r="A1771" s="8" t="n">
        <v>700011</v>
      </c>
      <c r="B1771" s="8" t="inlineStr">
        <is>
          <t>回法符</t>
        </is>
      </c>
      <c r="C1771" s="8" t="inlineStr">
        <is>
          <t>符箓</t>
        </is>
      </c>
      <c r="D1771" s="8" t="inlineStr">
        <is>
          <t>common</t>
        </is>
      </c>
      <c r="E1771" s="8" t="inlineStr">
        <is>
          <t>none</t>
        </is>
      </c>
      <c r="F1771" s="8" t="n">
        <v>1</v>
      </c>
      <c r="G1771" s="8" t="inlineStr">
        <is>
          <t>基础/顶层</t>
        </is>
      </c>
      <c r="H1771" s="8" t="inlineStr"/>
      <c r="I1771" s="9" t="inlineStr"/>
      <c r="J1771" s="8" t="inlineStr"/>
      <c r="K1771" s="8" t="inlineStr"/>
      <c r="L1771" s="8" t="inlineStr"/>
      <c r="M1771" s="8" t="inlineStr">
        <is>
          <t>消耗品效果</t>
        </is>
      </c>
      <c r="N1771" s="8" t="inlineStr">
        <is>
          <t>consumable</t>
        </is>
      </c>
      <c r="O1771" s="9" t="inlineStr">
        <is>
          <t>恢复 5 点法力</t>
        </is>
      </c>
      <c r="P1771" s="9" t="inlineStr">
        <is>
          <t>onConsumableExhausted</t>
        </is>
      </c>
      <c r="Q1771" s="9" t="inlineStr">
        <is>
          <t>modifyPlayerPrimaryStat</t>
        </is>
      </c>
      <c r="R1771" s="9" t="inlineStr">
        <is>
          <t>{"kind":"consumable","consumable":{"durationSec":6,"maxUses":3,"label":"恢复 5 点法力"},"executors":[{"trigger":"onConsumableExhausted","type":"modifyPlayerPrimaryStat","stat":"mana","delta":5,"label":"恢复 5 点法力"}]}</t>
        </is>
      </c>
    </row>
    <row r="1772" ht="32" customHeight="1">
      <c r="A1772" s="8" t="n">
        <v>700012</v>
      </c>
      <c r="B1772" s="8" t="inlineStr">
        <is>
          <t>冻星符</t>
        </is>
      </c>
      <c r="C1772" s="8" t="inlineStr">
        <is>
          <t>符箓</t>
        </is>
      </c>
      <c r="D1772" s="8" t="inlineStr">
        <is>
          <t>common</t>
        </is>
      </c>
      <c r="E1772" s="8" t="inlineStr">
        <is>
          <t>water</t>
        </is>
      </c>
      <c r="F1772" s="8" t="n">
        <v>1</v>
      </c>
      <c r="G1772" s="8" t="inlineStr">
        <is>
          <t>基础/顶层</t>
        </is>
      </c>
      <c r="H1772" s="8" t="inlineStr"/>
      <c r="I1772" s="9" t="inlineStr"/>
      <c r="J1772" s="8" t="inlineStr"/>
      <c r="K1772" s="8" t="inlineStr"/>
      <c r="L1772" s="8" t="inlineStr"/>
      <c r="M1772" s="8" t="inlineStr">
        <is>
          <t>消耗品效果</t>
        </is>
      </c>
      <c r="N1772" s="8" t="inlineStr">
        <is>
          <t>consumable</t>
        </is>
      </c>
      <c r="O1772" s="9" t="inlineStr">
        <is>
          <t>消耗 8 层寒冷；冻结敌方随机 3 件道具 3 秒；消耗 8 层寒冷；冻结敌方随机 3 件道具 3 秒</t>
        </is>
      </c>
      <c r="P1772" s="9" t="inlineStr">
        <is>
          <t>onConsumableExhausted</t>
        </is>
      </c>
      <c r="Q1772" s="9" t="inlineStr">
        <is>
          <t>consumeBuffStacks；itemRuntimeStatus</t>
        </is>
      </c>
      <c r="R1772" s="9" t="inlineStr">
        <is>
          <t>{"kind":"consumable","consumable":{"durationSec":1,"maxUses":2,"label":"消耗 8 层寒冷；&lt;battle&gt;冻结敌方随机 3 件道具 3 秒&lt;/battle&gt;"},"executors":[{"trigger":"onConsumableExhausted","type":"consumeBuffStacks","sourceBuffId":"cold","requiredStacks":8,"maxStacks":8,"support":"common","activationRequirements":{"buffStackThresholds":[{"buffId":"cold","comparator":"atLeast","count":8}]},"label":"消耗 8 层寒冷"},{"trigger":"onConsumableExhausted","type":"itemRuntimeStatus","itemRuntimeStatus":"freeze","durationSec":3,"targetActor":"enemy","targetScope":"enemyRandom","amount":3,"support":"battleOnly","activationRequirements":{"buffStackThresholds":[{"buffId":"cold","comparator":"atLeast","count":8}]},"label":"&lt;battle&gt;冻结敌方随机 3 件道具 3 秒&lt;/battle&gt;"}]}</t>
        </is>
      </c>
    </row>
    <row r="1773" ht="32" customHeight="1">
      <c r="A1773" s="8" t="n">
        <v>700013</v>
      </c>
      <c r="B1773" s="8" t="inlineStr">
        <is>
          <t>轻羽风行符</t>
        </is>
      </c>
      <c r="C1773" s="8" t="inlineStr">
        <is>
          <t>符箓</t>
        </is>
      </c>
      <c r="D1773" s="8" t="inlineStr">
        <is>
          <t>common</t>
        </is>
      </c>
      <c r="E1773" s="8" t="inlineStr">
        <is>
          <t>wind</t>
        </is>
      </c>
      <c r="F1773" s="8" t="n">
        <v>1</v>
      </c>
      <c r="G1773" s="8" t="inlineStr">
        <is>
          <t>基础/顶层</t>
        </is>
      </c>
      <c r="H1773" s="8" t="inlineStr"/>
      <c r="I1773" s="9" t="inlineStr"/>
      <c r="J1773" s="8" t="inlineStr"/>
      <c r="K1773" s="8" t="inlineStr"/>
      <c r="L1773" s="8" t="inlineStr"/>
      <c r="M1773" s="8" t="inlineStr">
        <is>
          <t>消耗品效果</t>
        </is>
      </c>
      <c r="N1773" s="8" t="inlineStr">
        <is>
          <t>consumable</t>
        </is>
      </c>
      <c r="O1773" s="9" t="inlineStr">
        <is>
          <t>使用后获得 3 层敏捷，持续 15 秒；获得 3 层敏捷，持续 15 秒</t>
        </is>
      </c>
      <c r="P1773" s="9" t="inlineStr">
        <is>
          <t>onConsumableActivated</t>
        </is>
      </c>
      <c r="Q1773" s="9" t="inlineStr">
        <is>
          <t>applyBuff</t>
        </is>
      </c>
      <c r="R1773" s="9" t="inlineStr">
        <is>
          <t>{"kind":"consumable","label":"使用后获得 3 层敏捷，持续 15 秒","consumable":{"durationSec":15,"maxUses":1,"label":"使用后获得 3 层敏捷，持续 15 秒"},"executors":[{"trigger":"onConsumableActivated","type":"applyBuff","buffId":"agile","count":3,"durationMs":15000,"label":"获得 3 层敏捷，持续 15 秒"}]}</t>
        </is>
      </c>
    </row>
    <row r="1774" ht="32" customHeight="1">
      <c r="A1774" s="8" t="n">
        <v>700014</v>
      </c>
      <c r="B1774" s="8" t="inlineStr">
        <is>
          <t>雷击符</t>
        </is>
      </c>
      <c r="C1774" s="8" t="inlineStr">
        <is>
          <t>符箓</t>
        </is>
      </c>
      <c r="D1774" s="8" t="inlineStr">
        <is>
          <t>common</t>
        </is>
      </c>
      <c r="E1774" s="8" t="inlineStr">
        <is>
          <t>metal</t>
        </is>
      </c>
      <c r="F1774" s="8" t="n">
        <v>1</v>
      </c>
      <c r="G1774" s="8" t="inlineStr">
        <is>
          <t>基础/顶层</t>
        </is>
      </c>
      <c r="H1774" s="8" t="inlineStr"/>
      <c r="I1774" s="9" t="inlineStr"/>
      <c r="J1774" s="8" t="inlineStr"/>
      <c r="K1774" s="8" t="inlineStr"/>
      <c r="L1774" s="8" t="inlineStr"/>
      <c r="M1774" s="8" t="inlineStr">
        <is>
          <t>消耗品效果</t>
        </is>
      </c>
      <c r="N1774" s="8" t="inlineStr">
        <is>
          <t>consumable</t>
        </is>
      </c>
      <c r="O1774" s="9" t="inlineStr">
        <is>
          <t>对敌方造成 6 点伤害</t>
        </is>
      </c>
      <c r="P1774" s="9" t="inlineStr">
        <is>
          <t>onConsumableExhausted</t>
        </is>
      </c>
      <c r="Q1774" s="9" t="inlineStr">
        <is>
          <t>battleDamageHealth</t>
        </is>
      </c>
      <c r="R1774" s="9" t="inlineStr">
        <is>
          <t>{"kind":"consumable","consumable":{"durationSec":2,"maxUses":8,"label":"&lt;battle&gt;对敌方造成 6 点伤害&lt;/battle&gt;"},"executors":[{"trigger":"onConsumableExhausted","type":"battleDamageHealth","amount":6,"support":"battleOnly","label":"&lt;battle&gt;对敌方造成 6 点伤害&lt;/battle&gt;"}]}</t>
        </is>
      </c>
    </row>
    <row r="1775" ht="32" customHeight="1">
      <c r="A1775" s="8" t="n">
        <v>700019</v>
      </c>
      <c r="B1775" s="8" t="inlineStr">
        <is>
          <t>聚霆符</t>
        </is>
      </c>
      <c r="C1775" s="8" t="inlineStr">
        <is>
          <t>符箓</t>
        </is>
      </c>
      <c r="D1775" s="8" t="inlineStr">
        <is>
          <t>common</t>
        </is>
      </c>
      <c r="E1775" s="8" t="inlineStr">
        <is>
          <t>thunder</t>
        </is>
      </c>
      <c r="F1775" s="8" t="n">
        <v>1</v>
      </c>
      <c r="G1775" s="8" t="inlineStr">
        <is>
          <t>基础/顶层</t>
        </is>
      </c>
      <c r="H1775" s="8" t="inlineStr"/>
      <c r="I1775" s="9" t="inlineStr"/>
      <c r="J1775" s="8" t="inlineStr"/>
      <c r="K1775" s="8" t="inlineStr"/>
      <c r="L1775" s="8" t="inlineStr"/>
      <c r="M1775" s="8" t="inlineStr">
        <is>
          <t>消耗品效果</t>
        </is>
      </c>
      <c r="N1775" s="8" t="inlineStr">
        <is>
          <t>consumable</t>
        </is>
      </c>
      <c r="O1775" s="9" t="inlineStr">
        <is>
          <t>获得 6 层引雷；获得 8 层引雷；获得 10 层引雷；获得 12 层引雷</t>
        </is>
      </c>
      <c r="P1775" s="9" t="inlineStr">
        <is>
          <t>onConsumableExhausted</t>
        </is>
      </c>
      <c r="Q1775" s="9" t="inlineStr">
        <is>
          <t>applyBuff</t>
        </is>
      </c>
      <c r="R1775" s="9" t="inlineStr">
        <is>
          <t>{"kind":"consumable","label":"获得 6 层引雷","consumable":{"durationSec":2,"maxUses":1,"label":"获得 6 层引雷"},"executors":[{"trigger":"onConsumableExhausted","type":"applyBuff","buffId":"lightningCharge","count":6,"targetActor":"self","label":"获得 6 层引雷"}],"starOverrides":{"1":{"label":"获得 8 层引雷","consumable":{"durationSec":2,"maxUses":1,"label":"获得 8 层引雷"},"executors":[{"trigger":"onConsumableExhausted","type":"applyBuff","buffId":"lightningCharge","count":8,"targetActor":"self","label":"获得 8 层引雷"}]},"2":{"label":"获得 10 层引雷","consumable":{"durationSec":2,"maxUses":1,"label":"获得 10 层引雷"},"executors":[{"trigger":"onConsumableExhausted","type":"applyBuff","buffId":"lightningCharge","count":10,"targetActor":"self","label":"获得 10 层引雷"}]},"3":{"label":"获得 12 层引雷","consumable":{"durationSec":2,"maxUses":1,"label":"获得 12 层引雷"},"executors":[{"trigger":"onConsumableExhausted","type":"applyBuff","buffId":"lightningCharge","count":12,"targetActor":"self","label":"获得 12 层引雷"}]}}}</t>
        </is>
      </c>
    </row>
    <row r="1776" ht="32" customHeight="1">
      <c r="A1776" s="8" t="n">
        <v>700020</v>
      </c>
      <c r="B1776" s="8" t="inlineStr">
        <is>
          <t>霜行符</t>
        </is>
      </c>
      <c r="C1776" s="8" t="inlineStr">
        <is>
          <t>符箓</t>
        </is>
      </c>
      <c r="D1776" s="8" t="inlineStr">
        <is>
          <t>common</t>
        </is>
      </c>
      <c r="E1776" s="8" t="inlineStr">
        <is>
          <t>ice</t>
        </is>
      </c>
      <c r="F1776" s="8" t="n">
        <v>1</v>
      </c>
      <c r="G1776" s="8" t="inlineStr">
        <is>
          <t>基础/顶层</t>
        </is>
      </c>
      <c r="H1776" s="8" t="inlineStr"/>
      <c r="I1776" s="9" t="inlineStr"/>
      <c r="J1776" s="8" t="inlineStr"/>
      <c r="K1776" s="8" t="inlineStr"/>
      <c r="L1776" s="8" t="inlineStr"/>
      <c r="M1776" s="8" t="inlineStr">
        <is>
          <t>消耗品效果</t>
        </is>
      </c>
      <c r="N1776" s="8" t="inlineStr">
        <is>
          <t>consumable</t>
        </is>
      </c>
      <c r="O1776" s="9" t="inlineStr">
        <is>
          <t>使用后获得 8 层寒冷；使用后获得 10 层寒冷；使用后获得 12 层寒冷；使用后获得 15 层寒冷</t>
        </is>
      </c>
      <c r="P1776" s="9" t="inlineStr">
        <is>
          <t>onConsumableExhausted</t>
        </is>
      </c>
      <c r="Q1776" s="9" t="inlineStr">
        <is>
          <t>applyBuff</t>
        </is>
      </c>
      <c r="R1776" s="9" t="inlineStr">
        <is>
          <t>{"kind":"consumable","label":"使用后获得 8 层寒冷","consumable":{"durationSec":2,"maxUses":1,"label":"使用后获得 8 层寒冷"},"executors":[{"trigger":"onConsumableExhausted","type":"applyBuff","buffId":"cold","count":8,"targetActor":"self","label":"使用后获得 8 层寒冷"}],"starOverrides":{"1":{"label":"使用后获得 10 层寒冷","consumable":{"label":"使用后获得 10 层寒冷"},"executors":[{"count":10,"label":"使用后获得 10 层寒冷"}]},"2":{"label":"使用后获得 12 层寒冷","consumable":{"label":"使用后获得 12 层寒冷"},"executors":[{"count":12,"label":"使用后获得 12 层寒冷"}]},"3":{"label":"使用后获得 15 层寒冷","consumable":{"label":"使用后获得 15 层寒冷"},"executors":[{"count":15,"label":"使用后获得 15 层寒冷"}]}}}</t>
        </is>
      </c>
    </row>
    <row r="1777" ht="32" customHeight="1">
      <c r="A1777" s="8" t="n">
        <v>700021</v>
      </c>
      <c r="B1777" s="8" t="inlineStr">
        <is>
          <t>冰牢符</t>
        </is>
      </c>
      <c r="C1777" s="8" t="inlineStr">
        <is>
          <t>符箓</t>
        </is>
      </c>
      <c r="D1777" s="8" t="inlineStr">
        <is>
          <t>common</t>
        </is>
      </c>
      <c r="E1777" s="8" t="inlineStr">
        <is>
          <t>ice</t>
        </is>
      </c>
      <c r="F1777" s="8" t="n">
        <v>1</v>
      </c>
      <c r="G1777" s="8" t="inlineStr">
        <is>
          <t>基础/顶层</t>
        </is>
      </c>
      <c r="H1777" s="8" t="inlineStr"/>
      <c r="I1777" s="9" t="inlineStr"/>
      <c r="J1777" s="8" t="inlineStr"/>
      <c r="K1777" s="8" t="inlineStr"/>
      <c r="L1777" s="8" t="inlineStr"/>
      <c r="M1777" s="8" t="inlineStr">
        <is>
          <t>消耗品效果</t>
        </is>
      </c>
      <c r="N1777" s="8" t="inlineStr">
        <is>
          <t>consumable</t>
        </is>
      </c>
      <c r="O1777" s="9" t="inlineStr">
        <is>
          <t>消耗敌方 6 层冰霜，使敌方一件最大道具冻结 4 秒；消耗敌方 6 层冰霜；使敌方一件最大道具冻结 4 秒；消耗敌方 6 层冰霜，使敌方一件最大道具冻结 5 秒；消耗敌方 6 层冰霜，使敌方一件最大道具冻结 6 秒；消耗敌方 6 层冰霜，使敌方一件最大道具冻结 8 秒</t>
        </is>
      </c>
      <c r="P1777" s="9" t="inlineStr">
        <is>
          <t>onConsumableActivated</t>
        </is>
      </c>
      <c r="Q1777" s="9" t="inlineStr">
        <is>
          <t>consumeBuffStacks；itemRuntimeStatus</t>
        </is>
      </c>
      <c r="R1777" s="9" t="inlineStr">
        <is>
          <t>{"kind":"consumable","label":"&lt;battle&gt;消耗敌方 6 层冰霜，使敌方一件最大道具冻结 4 秒&lt;/battle&gt;","consumable":{"durationSec":2,"maxUses":1,"label":"&lt;battle&gt;消耗敌方 6 层冰霜，使敌方一件最大道具冻结 4 秒&lt;/battle&gt;"},"executors":[{"trigger":"onConsumableActivated","type":"consumeBuffStacks","sourceBuffId":"frost","consumeTargetActor":"enemy","requiredStacks":6,"maxStacks":6,"support":"battleOnly","label":"&lt;battle&gt;消耗敌方 6 层冰霜&lt;/battle&gt;"},{"trigger":"onConsumableActivated","type":"itemRuntimeStatus","itemRuntimeStatus":"freeze","durationSec":4,"targetActor":"enemy","targetScope":"enemyLargest","amount":1,"support":"battleOnly","label":"&lt;battle&gt;使敌方一件最大道具冻结 4 秒&lt;/battle&gt;"}],"starOverrides":{"1":{"label":"&lt;battle&gt;消耗敌方 6 层冰霜，使敌方一件最大道具冻结 5 秒&lt;/battle&gt;","executors":[{},{"durationSec":5}]},"2":{"label":"&lt;battle&gt;消耗敌方 6 层冰霜，使敌方一件最大道具冻结 6 秒&lt;/battle&gt;","executors":[{},{"durationSec":6}]},"3":{"label":"&lt;battle&gt;消耗敌方 6 层冰霜，使敌方一件最大道具冻结 8 秒&lt;/battle&gt;","executors":[{},{"durationSec":8}]}}}</t>
        </is>
      </c>
    </row>
    <row r="1778" ht="32" customHeight="1">
      <c r="A1778" s="8" t="n">
        <v>712100</v>
      </c>
      <c r="B1778" s="8" t="inlineStr">
        <is>
          <t>赤骨破关符</t>
        </is>
      </c>
      <c r="C1778" s="8" t="inlineStr">
        <is>
          <t>符箓</t>
        </is>
      </c>
      <c r="D1778" s="8" t="inlineStr">
        <is>
          <t>common</t>
        </is>
      </c>
      <c r="E1778" s="8" t="inlineStr">
        <is>
          <t>fire</t>
        </is>
      </c>
      <c r="F1778" s="8" t="n">
        <v>1</v>
      </c>
      <c r="G1778" s="8" t="inlineStr">
        <is>
          <t>基础/顶层</t>
        </is>
      </c>
      <c r="H1778" s="8" t="inlineStr"/>
      <c r="I1778" s="9" t="inlineStr"/>
      <c r="J1778" s="8" t="inlineStr"/>
      <c r="K1778" s="8" t="inlineStr"/>
      <c r="L1778" s="8" t="inlineStr"/>
      <c r="M1778" s="8" t="inlineStr">
        <is>
          <t>消耗品效果</t>
        </is>
      </c>
      <c r="N1778" s="8" t="inlineStr">
        <is>
          <t>consumable</t>
        </is>
      </c>
      <c r="O1778" s="9" t="inlineStr">
        <is>
          <t>对敌方造成 27 点伤害；对敌方造成 37 点伤害；对敌方造成 48 点伤害；对敌方造成 58 点伤害</t>
        </is>
      </c>
      <c r="P1778" s="9" t="inlineStr">
        <is>
          <t>onConsumableActivated</t>
        </is>
      </c>
      <c r="Q1778" s="9" t="inlineStr">
        <is>
          <t>battleDamageHealth</t>
        </is>
      </c>
      <c r="R1778" s="9" t="inlineStr">
        <is>
          <t>{"kind":"consumable","label":"&lt;battle&gt;对敌方造成 27 点伤害&lt;/battle&gt;","consumable":{"durationSec":2,"maxUses":3,"label":"&lt;battle&gt;对敌方造成 27 点伤害&lt;/battle&gt;"},"executors":[{"trigger":"onConsumableActivated","type":"battleDamageHealth","amount":27,"support":"battleOnly","label":"&lt;battle&gt;对敌方造成 27 点伤害&lt;/battle&gt;"}],"starOverrides":{"1":{"label":"&lt;battle&gt;对敌方造成 37 点伤害&lt;/battle&gt;","consumable":{"durationSec":2,"maxUses":3,"label":"&lt;battle&gt;对敌方造成 37 点伤害&lt;/battle&gt;"},"executors":[{"trigger":"onConsumableActivated","type":"battleDamageHealth","amount":37,"support":"battleOnly","label":"&lt;battle&gt;对敌方造成 37 点伤害&lt;/battle&gt;"}]},"2":{"label":"&lt;battle&gt;对敌方造成 48 点伤害&lt;/battle&gt;","consumable":{"durationSec":2,"maxUses":3,"label":"&lt;battle&gt;对敌方造成 48 点伤害&lt;/battle&gt;"},"executors":[{"trigger":"onConsumableActivated","type":"battleDamageHealth","amount":48,"support":"battleOnly","label":"&lt;battle&gt;对敌方造成 48 点伤害&lt;/battle&gt;"}]},"3":{"label":"&lt;battle&gt;对敌方造成 58 点伤害&lt;/battle&gt;","consumable":{"durationSec":2,"maxUses":3,"label":"&lt;battle&gt;对敌方造成 58 点伤害&lt;/battle&gt;"},"executors":[{"trigger":"onConsumableActivated","type":"battleDamageHealth","amount":58,"support":"battleOnly","label":"&lt;battle&gt;对敌方造成 58 点伤害&lt;/battle&gt;"}]}}}</t>
        </is>
      </c>
    </row>
    <row r="1779" ht="32" customHeight="1">
      <c r="A1779" s="8" t="n">
        <v>712101</v>
      </c>
      <c r="B1779" s="8" t="inlineStr">
        <is>
          <t>焦火裂爪符</t>
        </is>
      </c>
      <c r="C1779" s="8" t="inlineStr">
        <is>
          <t>符箓</t>
        </is>
      </c>
      <c r="D1779" s="8" t="inlineStr">
        <is>
          <t>common</t>
        </is>
      </c>
      <c r="E1779" s="8" t="inlineStr">
        <is>
          <t>fire</t>
        </is>
      </c>
      <c r="F1779" s="8" t="n">
        <v>1</v>
      </c>
      <c r="G1779" s="8" t="inlineStr">
        <is>
          <t>基础/顶层</t>
        </is>
      </c>
      <c r="H1779" s="8" t="inlineStr"/>
      <c r="I1779" s="9" t="inlineStr"/>
      <c r="J1779" s="8" t="inlineStr"/>
      <c r="K1779" s="8" t="inlineStr"/>
      <c r="L1779" s="8" t="inlineStr"/>
      <c r="M1779" s="8" t="inlineStr">
        <is>
          <t>消耗品效果</t>
        </is>
      </c>
      <c r="N1779" s="8" t="inlineStr">
        <is>
          <t>consumable</t>
        </is>
      </c>
      <c r="O1779" s="9" t="inlineStr">
        <is>
          <t>移除敌方 6 层护甲；移除敌方 8 层护甲；移除敌方 9 层护甲；移除敌方 11 层护甲</t>
        </is>
      </c>
      <c r="P1779" s="9" t="inlineStr">
        <is>
          <t>onConsumableActivated</t>
        </is>
      </c>
      <c r="Q1779" s="9" t="inlineStr">
        <is>
          <t>consumeBuffStacks</t>
        </is>
      </c>
      <c r="R1779" s="9" t="inlineStr">
        <is>
          <t>{"kind":"consumable","label":"&lt;battle&gt;移除敌方 6 层护甲&lt;/battle&gt;","consumable":{"durationSec":2,"maxUses":5,"label":"&lt;battle&gt;移除敌方 6 层护甲&lt;/battle&gt;"},"executors":[{"trigger":"onConsumableActivated","type":"consumeBuffStacks","sourceBuffId":"armor","maxStacks":6,"consumeRatio":1,"consumeTargetActor":"enemy","label":"&lt;battle&gt;移除敌方 6 层护甲&lt;/battle&gt;","support":"battleOnly"}],"starOverrides":{"1":{"label":"&lt;battle&gt;移除敌方 8 层护甲&lt;/battle&gt;","consumable":{"durationSec":2,"maxUses":5,"label":"&lt;battle&gt;移除敌方 8 层护甲&lt;/battle&gt;"},"executors":[{"trigger":"onConsumableActivated","type":"consumeBuffStacks","sourceBuffId":"armor","maxStacks":8,"consumeRatio":1,"consumeTargetActor":"enemy","label":"&lt;battle&gt;移除敌方 8 层护甲&lt;/battle&gt;","support":"battleOnly"}]},"2":{"label":"&lt;battle&gt;移除敌方 9 层护甲&lt;/battle&gt;","consumable":{"durationSec":2,"maxUses":5,"label":"&lt;battle&gt;移除敌方 9 层护甲&lt;/battle&gt;"},"executors":[{"trigger":"onConsumableActivated","type":"consumeBuffStacks","sourceBuffId":"armor","maxStacks":9,"consumeRatio":1,"consumeTargetActor":"enemy","label":"&lt;battle&gt;移除敌方 9 层护甲&lt;/battle&gt;","support":"battleOnly"}]},"3":{"label":"&lt;battle&gt;移除敌方 11 层护甲&lt;/battle&gt;","consumable":{"durationSec":2,"maxUses":5,"label":"&lt;battle&gt;移除敌方 11 层护甲&lt;/battle&gt;"},"executors":[{"trigger":"onConsumableActivated","type":"consumeBuffStacks","sourceBuffId":"armor","maxStacks":11,"consumeRatio":1,"consumeTargetActor":"enemy","label":"&lt;battle&gt;移除敌方 11 层护甲&lt;/battle&gt;","support":"battleOnly"}]}}}</t>
        </is>
      </c>
    </row>
    <row r="1780" ht="32" customHeight="1">
      <c r="A1780" s="8" t="n">
        <v>712102</v>
      </c>
      <c r="B1780" s="8" t="inlineStr">
        <is>
          <t>赤囊喷焰符</t>
        </is>
      </c>
      <c r="C1780" s="8" t="inlineStr">
        <is>
          <t>符箓</t>
        </is>
      </c>
      <c r="D1780" s="8" t="inlineStr">
        <is>
          <t>common</t>
        </is>
      </c>
      <c r="E1780" s="8" t="inlineStr">
        <is>
          <t>fire</t>
        </is>
      </c>
      <c r="F1780" s="8" t="n">
        <v>1</v>
      </c>
      <c r="G1780" s="8" t="inlineStr">
        <is>
          <t>基础/顶层</t>
        </is>
      </c>
      <c r="H1780" s="8" t="inlineStr"/>
      <c r="I1780" s="9" t="inlineStr"/>
      <c r="J1780" s="8" t="inlineStr"/>
      <c r="K1780" s="8" t="inlineStr"/>
      <c r="L1780" s="8" t="inlineStr"/>
      <c r="M1780" s="8" t="inlineStr">
        <is>
          <t>消耗品效果</t>
        </is>
      </c>
      <c r="N1780" s="8" t="inlineStr">
        <is>
          <t>consumable</t>
        </is>
      </c>
      <c r="O1780" s="9" t="inlineStr">
        <is>
          <t>对敌方施加 7 层灼烧；对敌方施加 8 层灼烧；对敌方施加 9 层灼烧；对敌方施加 11 层灼烧</t>
        </is>
      </c>
      <c r="P1780" s="9" t="inlineStr">
        <is>
          <t>onConsumableActivated</t>
        </is>
      </c>
      <c r="Q1780" s="9" t="inlineStr">
        <is>
          <t>applyBuff</t>
        </is>
      </c>
      <c r="R1780" s="9" t="inlineStr">
        <is>
          <t>{"kind":"consumable","label":"&lt;battle&gt;对敌方施加 7 层灼烧&lt;/battle&gt;","consumable":{"durationSec":2,"maxUses":5,"label":"&lt;battle&gt;对敌方施加 7 层灼烧&lt;/battle&gt;"},"executors":[{"trigger":"onConsumableActivated","type":"applyBuff","buffId":"burning","count":7,"targetActor":"enemy","polarity":"detrimental","label":"&lt;battle&gt;对敌方施加 7 层灼烧&lt;/battle&gt;","support":"battleOnly"}],"starOverrides":{"1":{"label":"&lt;battle&gt;对敌方施加 8 层灼烧&lt;/battle&gt;","consumable":{"durationSec":2,"maxUses":5,"label":"&lt;battle&gt;对敌方施加 8 层灼烧&lt;/battle&gt;"},"executors":[{"trigger":"onConsumableActivated","type":"applyBuff","buffId":"burning","count":8,"targetActor":"enemy","polarity":"detrimental","label":"&lt;battle&gt;对敌方施加 8 层灼烧&lt;/battle&gt;","support":"battleOnly"}]},"2":{"label":"&lt;battle&gt;对敌方施加 9 层灼烧&lt;/battle&gt;","consumable":{"durationSec":2,"maxUses":5,"label":"&lt;battle&gt;对敌方施加 9 层灼烧&lt;/battle&gt;"},"executors":[{"trigger":"onConsumableActivated","type":"applyBuff","buffId":"burning","count":9,"targetActor":"enemy","polarity":"detrimental","label":"&lt;battle&gt;对敌方施加 9 层灼烧&lt;/battle&gt;","support":"battleOnly"}]},"3":{"label":"&lt;battle&gt;对敌方施加 11 层灼烧&lt;/battle&gt;","consumable":{"durationSec":2,"maxUses":5,"label":"&lt;battle&gt;对敌方施加 11 层灼烧&lt;/battle&gt;"},"executors":[{"trigger":"onConsumableActivated","type":"applyBuff","buffId":"burning","count":11,"targetActor":"enemy","polarity":"detrimental","label":"&lt;battle&gt;对敌方施加 11 层灼烧&lt;/battle&gt;","support":"battleOnly"}]}}}</t>
        </is>
      </c>
    </row>
    <row r="1781" ht="32" customHeight="1">
      <c r="A1781" s="8" t="n">
        <v>712103</v>
      </c>
      <c r="B1781" s="8" t="inlineStr">
        <is>
          <t>炉筋崩火符</t>
        </is>
      </c>
      <c r="C1781" s="8" t="inlineStr">
        <is>
          <t>符箓</t>
        </is>
      </c>
      <c r="D1781" s="8" t="inlineStr">
        <is>
          <t>common</t>
        </is>
      </c>
      <c r="E1781" s="8" t="inlineStr">
        <is>
          <t>fire</t>
        </is>
      </c>
      <c r="F1781" s="8" t="n">
        <v>1</v>
      </c>
      <c r="G1781" s="8" t="inlineStr">
        <is>
          <t>基础/顶层</t>
        </is>
      </c>
      <c r="H1781" s="8" t="inlineStr"/>
      <c r="I1781" s="9" t="inlineStr"/>
      <c r="J1781" s="8" t="inlineStr"/>
      <c r="K1781" s="8" t="inlineStr"/>
      <c r="L1781" s="8" t="inlineStr"/>
      <c r="M1781" s="8" t="inlineStr">
        <is>
          <t>消耗品效果</t>
        </is>
      </c>
      <c r="N1781" s="8" t="inlineStr">
        <is>
          <t>consumable</t>
        </is>
      </c>
      <c r="O1781" s="9" t="inlineStr">
        <is>
          <t>获得 5 层炎热；获得 6 层炎热；获得 8 层炎热；获得 9 层炎热</t>
        </is>
      </c>
      <c r="P1781" s="9" t="inlineStr">
        <is>
          <t>onConsumableActivated</t>
        </is>
      </c>
      <c r="Q1781" s="9" t="inlineStr">
        <is>
          <t>applyBuff</t>
        </is>
      </c>
      <c r="R1781" s="9" t="inlineStr">
        <is>
          <t>{"kind":"consumable","label":"获得 5 层炎热","consumable":{"durationSec":2,"maxUses":6,"label":"获得 5 层炎热"},"executors":[{"trigger":"onConsumableActivated","type":"applyBuff","buffId":"heat","count":5,"label":"获得 5 层炎热"}],"starOverrides":{"1":{"label":"获得 6 层炎热","consumable":{"durationSec":2,"maxUses":6,"label":"获得 6 层炎热"},"executors":[{"trigger":"onConsumableActivated","type":"applyBuff","buffId":"heat","count":6,"label":"获得 6 层炎热"}]},"2":{"label":"获得 8 层炎热","consumable":{"durationSec":2,"maxUses":6,"label":"获得 8 层炎热"},"executors":[{"trigger":"onConsumableActivated","type":"applyBuff","buffId":"heat","count":8,"label":"获得 8 层炎热"}]},"3":{"label":"获得 9 层炎热","consumable":{"durationSec":2,"maxUses":6,"label":"获得 9 层炎热"},"executors":[{"trigger":"onConsumableActivated","type":"applyBuff","buffId":"heat","count":9,"label":"获得 9 层炎热"}]}}}</t>
        </is>
      </c>
    </row>
    <row r="1782" ht="32" customHeight="1">
      <c r="A1782" s="8" t="n">
        <v>712104</v>
      </c>
      <c r="B1782" s="8" t="inlineStr">
        <is>
          <t>牙砂破罡符</t>
        </is>
      </c>
      <c r="C1782" s="8" t="inlineStr">
        <is>
          <t>符箓</t>
        </is>
      </c>
      <c r="D1782" s="8" t="inlineStr">
        <is>
          <t>common</t>
        </is>
      </c>
      <c r="E1782" s="8" t="inlineStr">
        <is>
          <t>fire</t>
        </is>
      </c>
      <c r="F1782" s="8" t="n">
        <v>1</v>
      </c>
      <c r="G1782" s="8" t="inlineStr">
        <is>
          <t>基础/顶层</t>
        </is>
      </c>
      <c r="H1782" s="8" t="inlineStr"/>
      <c r="I1782" s="9" t="inlineStr"/>
      <c r="J1782" s="8" t="inlineStr"/>
      <c r="K1782" s="8" t="inlineStr"/>
      <c r="L1782" s="8" t="inlineStr"/>
      <c r="M1782" s="8" t="inlineStr">
        <is>
          <t>消耗品效果</t>
        </is>
      </c>
      <c r="N1782" s="8" t="inlineStr">
        <is>
          <t>consumable</t>
        </is>
      </c>
      <c r="O1782" s="9" t="inlineStr">
        <is>
          <t>对敌方造成 24 点伤害；对敌方造成 34 点伤害；对敌方造成 44 点伤害；对敌方造成 54 点伤害</t>
        </is>
      </c>
      <c r="P1782" s="9" t="inlineStr">
        <is>
          <t>onConsumableActivated</t>
        </is>
      </c>
      <c r="Q1782" s="9" t="inlineStr">
        <is>
          <t>battleDamageHealth</t>
        </is>
      </c>
      <c r="R1782" s="9" t="inlineStr">
        <is>
          <t>{"kind":"consumable","label":"&lt;battle&gt;对敌方造成 24 点伤害&lt;/battle&gt;","consumable":{"durationSec":2,"maxUses":3,"label":"&lt;battle&gt;对敌方造成 24 点伤害&lt;/battle&gt;"},"executors":[{"trigger":"onConsumableActivated","type":"battleDamageHealth","amount":24,"support":"battleOnly","label":"&lt;battle&gt;对敌方造成 24 点伤害&lt;/battle&gt;"}],"starOverrides":{"1":{"label":"&lt;battle&gt;对敌方造成 34 点伤害&lt;/battle&gt;","consumable":{"durationSec":2,"maxUses":3,"label":"&lt;battle&gt;对敌方造成 34 点伤害&lt;/battle&gt;"},"executors":[{"trigger":"onConsumableActivated","type":"battleDamageHealth","amount":34,"support":"battleOnly","label":"&lt;battle&gt;对敌方造成 34 点伤害&lt;/battle&gt;"}]},"2":{"label":"&lt;battle&gt;对敌方造成 44 点伤害&lt;/battle&gt;","consumable":{"durationSec":2,"maxUses":3,"label":"&lt;battle&gt;对敌方造成 44 点伤害&lt;/battle&gt;"},"executors":[{"trigger":"onConsumableActivated","type":"battleDamageHealth","amount":44,"support":"battleOnly","label":"&lt;battle&gt;对敌方造成 44 点伤害&lt;/battle&gt;"}]},"3":{"label":"&lt;battle&gt;对敌方造成 54 点伤害&lt;/battle&gt;","consumable":{"durationSec":2,"maxUses":3,"label":"&lt;battle&gt;对敌方造成 54 点伤害&lt;/battle&gt;"},"executors":[{"trigger":"onConsumableActivated","type":"battleDamageHealth","amount":54,"support":"battleOnly","label":"&lt;battle&gt;对敌方造成 54 点伤害&lt;/battle&gt;"}]}}}</t>
        </is>
      </c>
    </row>
    <row r="1783" ht="32" customHeight="1">
      <c r="A1783" s="8" t="n">
        <v>712350</v>
      </c>
      <c r="B1783" s="8" t="inlineStr">
        <is>
          <t>月膜凝流箓</t>
        </is>
      </c>
      <c r="C1783" s="8" t="inlineStr">
        <is>
          <t>符箓</t>
        </is>
      </c>
      <c r="D1783" s="8" t="inlineStr">
        <is>
          <t>common</t>
        </is>
      </c>
      <c r="E1783" s="8" t="inlineStr">
        <is>
          <t>water</t>
        </is>
      </c>
      <c r="F1783" s="8" t="n">
        <v>1</v>
      </c>
      <c r="G1783" s="8" t="inlineStr">
        <is>
          <t>基础/顶层</t>
        </is>
      </c>
      <c r="H1783" s="8" t="inlineStr"/>
      <c r="I1783" s="9" t="inlineStr"/>
      <c r="J1783" s="8" t="inlineStr"/>
      <c r="K1783" s="8" t="inlineStr"/>
      <c r="L1783" s="8" t="inlineStr"/>
      <c r="M1783" s="8" t="inlineStr">
        <is>
          <t>消耗品效果</t>
        </is>
      </c>
      <c r="N1783" s="8" t="inlineStr">
        <is>
          <t>consumable</t>
        </is>
      </c>
      <c r="O1783" s="9" t="inlineStr">
        <is>
          <t>敌方占格面积最大的道具冻结 4 秒；敌方占格面积最大的道具冻结 5 秒；敌方占格面积最大的道具冻结 6 秒；敌方占格面积最大的道具冻结 7 秒</t>
        </is>
      </c>
      <c r="P1783" s="9" t="inlineStr">
        <is>
          <t>onConsumableActivated</t>
        </is>
      </c>
      <c r="Q1783" s="9" t="inlineStr">
        <is>
          <t>itemRuntimeStatus</t>
        </is>
      </c>
      <c r="R1783" s="9" t="inlineStr">
        <is>
          <t>{"kind":"consumable","label":"&lt;battle&gt;敌方占格面积最大的道具冻结 4 秒&lt;/battle&gt;","consumable":{"durationSec":2,"maxUses":4,"label":"&lt;battle&gt;敌方占格面积最大的道具冻结 4 秒&lt;/battle&gt;"},"executors":[{"trigger":"onConsumableActivated","type":"itemRuntimeStatus","itemRuntimeStatus":"freeze","durationSec":4,"targetActor":"enemy","targetScope":"enemyLargest","amount":1,"label":"&lt;battle&gt;敌方占格面积最大的道具冻结 4 秒&lt;/battle&gt;","support":"battleOnly"}],"starOverrides":{"1":{"label":"&lt;battle&gt;敌方占格面积最大的道具冻结 5 秒&lt;/battle&gt;","consumable":{"durationSec":2,"maxUses":4,"label":"&lt;battle&gt;敌方占格面积最大的道具冻结 5 秒&lt;/battle&gt;"},"executors":[{"trigger":"onConsumableActivated","type":"itemRuntimeStatus","itemRuntimeStatus":"freeze","durationSec":5,"targetActor":"enemy","targetScope":"enemyLargest","amount":1,"label":"&lt;battle&gt;敌方占格面积最大的道具冻结 5 秒&lt;/battle&gt;","support":"battleOnly"}]},"2":{"label":"&lt;battle&gt;敌方占格面积最大的道具冻结 6 秒&lt;/battle&gt;","consumable":{"durationSec":2,"maxUses":4,"label":"&lt;battle&gt;敌方占格面积最大的道具冻结 6 秒&lt;/battle&gt;"},"executors":[{"trigger":"onConsumableActivated","type":"itemRuntimeStatus","itemRuntimeStatus":"freeze","durationSec":6,"targetActor":"enemy","targetScope":"enemyLargest","amount":1,"label":"&lt;battle&gt;敌方占格面积最大的道具冻结 6 秒&lt;/battle&gt;","support":"battleOnly"}]},"3":{"label":"&lt;battle&gt;敌方占格面积最大的道具冻结 7 秒&lt;/battle&gt;","consumable":{"durationSec":2,"maxUses":4,"label":"&lt;battle&gt;敌方占格面积最大的道具冻结 7 秒&lt;/battle&gt;"},"executors":[{"trigger":"onConsumableActivated","type":"itemRuntimeStatus","itemRuntimeStatus":"freeze","durationSec":7,"targetActor":"enemy","targetScope":"enemyLargest","amount":1,"label":"&lt;battle&gt;敌方占格面积最大的道具冻结 7 秒&lt;/battle&gt;","support":"battleOnly"}]}}}</t>
        </is>
      </c>
    </row>
    <row r="1784" ht="32" customHeight="1">
      <c r="A1784" s="8" t="n">
        <v>712500</v>
      </c>
      <c r="B1784" s="8" t="inlineStr">
        <is>
          <t>岩心破障符</t>
        </is>
      </c>
      <c r="C1784" s="8" t="inlineStr">
        <is>
          <t>符箓</t>
        </is>
      </c>
      <c r="D1784" s="8" t="inlineStr">
        <is>
          <t>common</t>
        </is>
      </c>
      <c r="E1784" s="8" t="inlineStr">
        <is>
          <t>fire</t>
        </is>
      </c>
      <c r="F1784" s="8" t="n">
        <v>1</v>
      </c>
      <c r="G1784" s="8" t="inlineStr">
        <is>
          <t>基础/顶层</t>
        </is>
      </c>
      <c r="H1784" s="8" t="inlineStr"/>
      <c r="I1784" s="9" t="inlineStr"/>
      <c r="J1784" s="8" t="inlineStr"/>
      <c r="K1784" s="8" t="inlineStr"/>
      <c r="L1784" s="8" t="inlineStr"/>
      <c r="M1784" s="8" t="inlineStr">
        <is>
          <t>消耗品效果</t>
        </is>
      </c>
      <c r="N1784" s="8" t="inlineStr">
        <is>
          <t>consumable</t>
        </is>
      </c>
      <c r="O1784" s="9" t="inlineStr">
        <is>
          <t>对敌方造成 34 点伤害；对敌方造成 46 点伤害；对敌方造成 58 点伤害；对敌方造成 70 点伤害</t>
        </is>
      </c>
      <c r="P1784" s="9" t="inlineStr">
        <is>
          <t>onConsumableActivated</t>
        </is>
      </c>
      <c r="Q1784" s="9" t="inlineStr">
        <is>
          <t>battleDamageHealth</t>
        </is>
      </c>
      <c r="R1784" s="9" t="inlineStr">
        <is>
          <t>{"kind":"consumable","label":"&lt;battle&gt;对敌方造成 34 点伤害&lt;/battle&gt;","consumable":{"durationSec":2,"maxUses":3,"label":"&lt;battle&gt;对敌方造成 34 点伤害&lt;/battle&gt;"},"executors":[{"trigger":"onConsumableActivated","type":"battleDamageHealth","amount":34,"support":"battleOnly","label":"&lt;battle&gt;对敌方造成 34 点伤害&lt;/battle&gt;"}],"starOverrides":{"1":{"label":"&lt;battle&gt;对敌方造成 46 点伤害&lt;/battle&gt;","consumable":{"durationSec":2,"maxUses":3,"label":"&lt;battle&gt;对敌方造成 46 点伤害&lt;/battle&gt;"},"executors":[{"trigger":"onConsumableActivated","type":"battleDamageHealth","amount":46,"support":"battleOnly","label":"&lt;battle&gt;对敌方造成 46 点伤害&lt;/battle&gt;"}]},"2":{"label":"&lt;battle&gt;对敌方造成 58 点伤害&lt;/battle&gt;","consumable":{"durationSec":2,"maxUses":3,"label":"&lt;battle&gt;对敌方造成 58 点伤害&lt;/battle&gt;"},"executors":[{"trigger":"onConsumableActivated","type":"battleDamageHealth","amount":58,"support":"battleOnly","label":"&lt;battle&gt;对敌方造成 58 点伤害&lt;/battle&gt;"}]},"3":{"label":"&lt;battle&gt;对敌方造成 70 点伤害&lt;/battle&gt;","consumable":{"durationSec":2,"maxUses":3,"label":"&lt;battle&gt;对敌方造成 70 点伤害&lt;/battle&gt;"},"executors":[{"trigger":"onConsumableActivated","type":"battleDamageHealth","amount":70,"support":"battleOnly","label":"&lt;battle&gt;对敌方造成 70 点伤害&lt;/battle&gt;"}]}}}</t>
        </is>
      </c>
    </row>
    <row r="1785" ht="32" customHeight="1">
      <c r="A1785" s="8" t="n">
        <v>712502</v>
      </c>
      <c r="B1785" s="8" t="inlineStr">
        <is>
          <t>破甲爪符</t>
        </is>
      </c>
      <c r="C1785" s="8" t="inlineStr">
        <is>
          <t>符箓</t>
        </is>
      </c>
      <c r="D1785" s="8" t="inlineStr">
        <is>
          <t>common</t>
        </is>
      </c>
      <c r="E1785" s="8" t="inlineStr">
        <is>
          <t>fire</t>
        </is>
      </c>
      <c r="F1785" s="8" t="n">
        <v>1</v>
      </c>
      <c r="G1785" s="8" t="inlineStr">
        <is>
          <t>基础/顶层</t>
        </is>
      </c>
      <c r="H1785" s="8" t="inlineStr"/>
      <c r="I1785" s="9" t="inlineStr"/>
      <c r="J1785" s="8" t="inlineStr"/>
      <c r="K1785" s="8" t="inlineStr"/>
      <c r="L1785" s="8" t="inlineStr"/>
      <c r="M1785" s="8" t="inlineStr">
        <is>
          <t>消耗品效果</t>
        </is>
      </c>
      <c r="N1785" s="8" t="inlineStr">
        <is>
          <t>consumable</t>
        </is>
      </c>
      <c r="O1785" s="9" t="inlineStr">
        <is>
          <t>移除敌方 8 层护甲；移除敌方 9 层护甲；移除敌方 11 层护甲；移除敌方 12 层护甲</t>
        </is>
      </c>
      <c r="P1785" s="9" t="inlineStr">
        <is>
          <t>onConsumableActivated</t>
        </is>
      </c>
      <c r="Q1785" s="9" t="inlineStr">
        <is>
          <t>consumeBuffStacks</t>
        </is>
      </c>
      <c r="R1785" s="9" t="inlineStr">
        <is>
          <t>{"kind":"consumable","label":"&lt;battle&gt;移除敌方 8 层护甲&lt;/battle&gt;","consumable":{"durationSec":2,"maxUses":5,"label":"&lt;battle&gt;移除敌方 8 层护甲&lt;/battle&gt;"},"executors":[{"trigger":"onConsumableActivated","type":"consumeBuffStacks","sourceBuffId":"armor","maxStacks":8,"consumeRatio":1,"consumeTargetActor":"enemy","label":"&lt;battle&gt;移除敌方 8 层护甲&lt;/battle&gt;","support":"battleOnly"}],"starOverrides":{"1":{"label":"&lt;battle&gt;移除敌方 9 层护甲&lt;/battle&gt;","consumable":{"durationSec":2,"maxUses":5,"label":"&lt;battle&gt;移除敌方 9 层护甲&lt;/battle&gt;"},"executors":[{"trigger":"onConsumableActivated","type":"consumeBuffStacks","sourceBuffId":"armor","maxStacks":9,"consumeRatio":1,"consumeTargetActor":"enemy","label":"&lt;battle&gt;移除敌方 9 层护甲&lt;/battle&gt;","support":"battleOnly"}]},"2":{"label":"&lt;battle&gt;移除敌方 11 层护甲&lt;/battle&gt;","consumable":{"durationSec":2,"maxUses":5,"label":"&lt;battle&gt;移除敌方 11 层护甲&lt;/battle&gt;"},"executors":[{"trigger":"onConsumableActivated","type":"consumeBuffStacks","sourceBuffId":"armor","maxStacks":11,"consumeRatio":1,"consumeTargetActor":"enemy","label":"&lt;battle&gt;移除敌方 11 层护甲&lt;/battle&gt;","support":"battleOnly"}]},"3":{"label":"&lt;battle&gt;移除敌方 12 层护甲&lt;/battle&gt;","consumable":{"durationSec":2,"maxUses":5,"label":"&lt;battle&gt;移除敌方 12 层护甲&lt;/battle&gt;"},"executors":[{"trigger":"onConsumableActivated","type":"consumeBuffStacks","sourceBuffId":"armor","maxStacks":12,"consumeRatio":1,"consumeTargetActor":"enemy","label":"&lt;battle&gt;移除敌方 12 层护甲&lt;/battle&gt;","support":"battleOnly"}]}}}</t>
        </is>
      </c>
    </row>
    <row r="1786" ht="32" customHeight="1">
      <c r="A1786" s="8" t="n">
        <v>712503</v>
      </c>
      <c r="B1786" s="8" t="inlineStr">
        <is>
          <t>炉线截焰符</t>
        </is>
      </c>
      <c r="C1786" s="8" t="inlineStr">
        <is>
          <t>符箓</t>
        </is>
      </c>
      <c r="D1786" s="8" t="inlineStr">
        <is>
          <t>common</t>
        </is>
      </c>
      <c r="E1786" s="8" t="inlineStr">
        <is>
          <t>fire</t>
        </is>
      </c>
      <c r="F1786" s="8" t="n">
        <v>1</v>
      </c>
      <c r="G1786" s="8" t="inlineStr">
        <is>
          <t>基础/顶层</t>
        </is>
      </c>
      <c r="H1786" s="8" t="inlineStr"/>
      <c r="I1786" s="9" t="inlineStr"/>
      <c r="J1786" s="8" t="inlineStr"/>
      <c r="K1786" s="8" t="inlineStr"/>
      <c r="L1786" s="8" t="inlineStr"/>
      <c r="M1786" s="8" t="inlineStr">
        <is>
          <t>消耗品效果</t>
        </is>
      </c>
      <c r="N1786" s="8" t="inlineStr">
        <is>
          <t>consumable</t>
        </is>
      </c>
      <c r="O1786" s="9" t="inlineStr">
        <is>
          <t>相邻符箓耗尽时，对敌方施加 3 层灼烧；相邻符箓耗尽时，对敌方施加 4 层灼烧；相邻符箓耗尽时，对敌方施加 5 层灼烧；相邻符箓耗尽时，对敌方施加 6 层灼烧</t>
        </is>
      </c>
      <c r="P1786" s="9" t="inlineStr">
        <is>
          <t>onConsumableExhausted</t>
        </is>
      </c>
      <c r="Q1786" s="9" t="inlineStr">
        <is>
          <t>applyBuff；adjacent</t>
        </is>
      </c>
      <c r="R1786" s="9" t="inlineStr">
        <is>
          <t>{"kind":"consumable","label":"相邻符箓耗尽时，&lt;battle&gt;对敌方施加 3 层灼烧&lt;/battle&gt;","consumable":{"durationSec":8,"maxUses":5,"label":"相邻符箓耗尽时，&lt;battle&gt;对敌方施加 3 层灼烧&lt;/battle&gt;"},"executors":[{"trigger":"onConsumableExhausted","type":"applyBuff","buffId":"burning","count":3,"targetActor":"enemy","polarity":"detrimental","eventSource":{"target":{"type":"adjacent"},"filter":{"categories":["talisman"]}},"support":"battleOnly","label":"相邻符箓耗尽时，&lt;battle&gt;对敌方施加 3 层灼烧&lt;/battle&gt;"}],"starOverrides":{"1":{"label":"相邻符箓耗尽时，&lt;battle&gt;对敌方施加 4 层灼烧&lt;/battle&gt;","consumable":{"durationSec":10,"maxUses":5,"label":"相邻符箓耗尽时，&lt;battle&gt;对敌方施加 4 层灼烧&lt;/battle&gt;"},"executors":[{"trigger":"onConsumableExhausted","type":"applyBuff","buffId":"burning","count":4,"targetActor":"enemy","polarity":"detrimental","eventSource":{"target":{"type":"adjacent"},"filter":{"categories":["talisman"]}},"support":"battleOnly","label":"相邻符箓耗尽时，&lt;battle&gt;对敌方施加 4 层灼烧&lt;/battle&gt;"}]},"2":{"label":"相邻符箓耗尽时，&lt;battle&gt;对敌方施加 5 层灼烧&lt;/battle&gt;","consumable":{"durationSec":12,"maxUses":5,"label":"相邻符箓耗尽时，&lt;battle&gt;对敌方施加 5 层灼烧&lt;/battle&gt;"},"executors":[{"trigger":"onConsumableExhausted","type":"applyBuff","buffId":"burning","count":5,"targetActor":"enemy","polarity":"detrimental","eventSource":{"target":{"type":"adjacent"},"filter":{"categories":["talisman"]}},"support":"battleOnly","label":"相邻符箓耗尽时，&lt;battle&gt;对敌方施加 5 层灼烧&lt;/battle&gt;"}]},"3":{"label":"相邻符箓耗尽时，&lt;battle&gt;对敌方施加 6 层灼烧&lt;/battle&gt;","consumable":{"durationSec":14,"maxUses":5,"label":"相邻符箓耗尽时，&lt;battle&gt;对敌方施加 6 层灼烧&lt;/battle&gt;"},"executors":[{"trigger":"onConsumableExhausted","type":"applyBuff","buffId":"burning","count":6,"targetActor":"enemy","polarity":"detrimental","eventSource":{"target":{"type":"adjacent"},"filter":{"categories":["talisman"]}},"support":"battleOnly","label":"相邻符箓耗尽时，&lt;battle&gt;对敌方施加 6 层灼烧&lt;/battle&gt;"}]}}}</t>
        </is>
      </c>
    </row>
    <row r="1787" ht="32" customHeight="1">
      <c r="A1787" s="8" t="n">
        <v>712504</v>
      </c>
      <c r="B1787" s="8" t="inlineStr">
        <is>
          <t>热髓破势符</t>
        </is>
      </c>
      <c r="C1787" s="8" t="inlineStr">
        <is>
          <t>符箓</t>
        </is>
      </c>
      <c r="D1787" s="8" t="inlineStr">
        <is>
          <t>common</t>
        </is>
      </c>
      <c r="E1787" s="8" t="inlineStr">
        <is>
          <t>fire</t>
        </is>
      </c>
      <c r="F1787" s="8" t="n">
        <v>1</v>
      </c>
      <c r="G1787" s="8" t="inlineStr">
        <is>
          <t>基础/顶层</t>
        </is>
      </c>
      <c r="H1787" s="8" t="inlineStr"/>
      <c r="I1787" s="9" t="inlineStr"/>
      <c r="J1787" s="8" t="inlineStr"/>
      <c r="K1787" s="8" t="inlineStr"/>
      <c r="L1787" s="8" t="inlineStr"/>
      <c r="M1787" s="8" t="inlineStr">
        <is>
          <t>消耗品效果</t>
        </is>
      </c>
      <c r="N1787" s="8" t="inlineStr">
        <is>
          <t>consumable</t>
        </is>
      </c>
      <c r="O1787" s="9" t="inlineStr">
        <is>
          <t>对敌方造成 31 点伤害；对敌方造成 41 点伤害；对敌方造成 51 点伤害；对敌方造成 61 点伤害</t>
        </is>
      </c>
      <c r="P1787" s="9" t="inlineStr">
        <is>
          <t>onConsumableActivated</t>
        </is>
      </c>
      <c r="Q1787" s="9" t="inlineStr">
        <is>
          <t>battleDamageHealth</t>
        </is>
      </c>
      <c r="R1787" s="9" t="inlineStr">
        <is>
          <t>{"kind":"consumable","label":"&lt;battle&gt;对敌方造成 31 点伤害&lt;/battle&gt;","consumable":{"durationSec":2,"maxUses":3,"label":"&lt;battle&gt;对敌方造成 31 点伤害&lt;/battle&gt;"},"executors":[{"trigger":"onConsumableActivated","type":"battleDamageHealth","amount":31,"support":"battleOnly","label":"&lt;battle&gt;对敌方造成 31 点伤害&lt;/battle&gt;"}],"starOverrides":{"1":{"label":"&lt;battle&gt;对敌方造成 41 点伤害&lt;/battle&gt;","consumable":{"durationSec":2,"maxUses":3,"label":"&lt;battle&gt;对敌方造成 41 点伤害&lt;/battle&gt;"},"executors":[{"trigger":"onConsumableActivated","type":"battleDamageHealth","amount":41,"support":"battleOnly","label":"&lt;battle&gt;对敌方造成 41 点伤害&lt;/battle&gt;"}]},"2":{"label":"&lt;battle&gt;对敌方造成 51 点伤害&lt;/battle&gt;","consumable":{"durationSec":2,"maxUses":3,"label":"&lt;battle&gt;对敌方造成 51 点伤害&lt;/battle&gt;"},"executors":[{"trigger":"onConsumableActivated","type":"battleDamageHealth","amount":51,"support":"battleOnly","label":"&lt;battle&gt;对敌方造成 51 点伤害&lt;/battle&gt;"}]},"3":{"label":"&lt;battle&gt;对敌方造成 61 点伤害&lt;/battle&gt;","consumable":{"durationSec":2,"maxUses":3,"label":"&lt;battle&gt;对敌方造成 61 点伤害&lt;/battle&gt;"},"executors":[{"trigger":"onConsumableActivated","type":"battleDamageHealth","amount":61,"support":"battleOnly","label":"&lt;battle&gt;对敌方造成 61 点伤害&lt;/battle&gt;"}]}}}</t>
        </is>
      </c>
    </row>
    <row r="1788" ht="32" customHeight="1">
      <c r="A1788" s="8" t="n">
        <v>712601</v>
      </c>
      <c r="B1788" s="8" t="inlineStr">
        <is>
          <t>寒雾卸劲符</t>
        </is>
      </c>
      <c r="C1788" s="8" t="inlineStr">
        <is>
          <t>符箓</t>
        </is>
      </c>
      <c r="D1788" s="8" t="inlineStr">
        <is>
          <t>spirit</t>
        </is>
      </c>
      <c r="E1788" s="8" t="inlineStr">
        <is>
          <t>water</t>
        </is>
      </c>
      <c r="F1788" s="8" t="n">
        <v>1</v>
      </c>
      <c r="G1788" s="8" t="inlineStr">
        <is>
          <t>基础/顶层</t>
        </is>
      </c>
      <c r="H1788" s="8" t="inlineStr"/>
      <c r="I1788" s="9" t="inlineStr"/>
      <c r="J1788" s="8" t="inlineStr"/>
      <c r="K1788" s="8" t="inlineStr"/>
      <c r="L1788" s="8" t="inlineStr"/>
      <c r="M1788" s="8" t="inlineStr">
        <is>
          <t>消耗品效果</t>
        </is>
      </c>
      <c r="N1788" s="8" t="inlineStr">
        <is>
          <t>consumable</t>
        </is>
      </c>
      <c r="O1788" s="9" t="inlineStr">
        <is>
          <t>敌方占格面积最大的 10 件道具获得 8 秒减速；敌方占格面积最大的 10 件道具获得 9 秒减速；敌方占格面积最大的 10 件道具获得 11 秒减速；敌方占格面积最大的 10 件道具获得 12 秒减速</t>
        </is>
      </c>
      <c r="P1788" s="9" t="inlineStr">
        <is>
          <t>onConsumableActivated</t>
        </is>
      </c>
      <c r="Q1788" s="9" t="inlineStr">
        <is>
          <t>itemRuntimeStatus</t>
        </is>
      </c>
      <c r="R1788" s="9" t="inlineStr">
        <is>
          <t>{"kind":"consumable","label":"&lt;battle&gt;敌方占格面积最大的 10 件道具获得 8 秒减速&lt;/battle&gt;","consumable":{"durationSec":2,"maxUses":3,"label":"&lt;battle&gt;敌方占格面积最大的 10 件道具获得 8 秒减速&lt;/battle&gt;"},"executors":[{"trigger":"onConsumableActivated","type":"itemRuntimeStatus","itemRuntimeStatus":"slow","durationSec":8,"targetActor":"enemy","targetScope":"enemyLargest","amount":10,"label":"&lt;battle&gt;敌方占格面积最大的 10 件道具获得 8 秒减速&lt;/battle&gt;","support":"battleOnly"}],"starOverrides":{"1":{"label":"&lt;battle&gt;敌方占格面积最大的 10 件道具获得 9 秒减速&lt;/battle&gt;","consumable":{"durationSec":2,"maxUses":3,"label":"&lt;battle&gt;敌方占格面积最大的 10 件道具获得 9 秒减速&lt;/battle&gt;"},"executors":[{"trigger":"onConsumableActivated","type":"itemRuntimeStatus","itemRuntimeStatus":"slow","durationSec":9,"targetActor":"enemy","targetScope":"enemyLargest","amount":10,"label":"&lt;battle&gt;敌方占格面积最大的 10 件道具获得 9 秒减速&lt;/battle&gt;","support":"battleOnly"}]},"2":{"label":"&lt;battle&gt;敌方占格面积最大的 10 件道具获得 11 秒减速&lt;/battle&gt;","consumable":{"durationSec":2,"maxUses":3,"label":"&lt;battle&gt;敌方占格面积最大的 10 件道具获得 11 秒减速&lt;/battle&gt;"},"executors":[{"trigger":"onConsumableActivated","type":"itemRuntimeStatus","itemRuntimeStatus":"slow","durationSec":11,"targetActor":"enemy","targetScope":"enemyLargest","amount":10,"label":"&lt;battle&gt;敌方占格面积最大的 10 件道具获得 11 秒减速&lt;/battle&gt;","support":"battleOnly"}]},"3":{"label":"&lt;battle&gt;敌方占格面积最大的 10 件道具获得 12 秒减速&lt;/battle&gt;","consumable":{"durationSec":2,"maxUses":3,"label":"&lt;battle&gt;敌方占格面积最大的 10 件道具获得 12 秒减速&lt;/battle&gt;"},"executors":[{"trigger":"onConsumableActivated","type":"itemRuntimeStatus","itemRuntimeStatus":"slow","durationSec":12,"targetActor":"enemy","targetScope":"enemyLargest","amount":10,"label":"&lt;battle&gt;敌方占格面积最大的 10 件道具获得 12 秒减速&lt;/battle&gt;","support":"battleOnly"}]}}}</t>
        </is>
      </c>
    </row>
    <row r="1789" ht="32" customHeight="1">
      <c r="A1789" s="8" t="n">
        <v>712603</v>
      </c>
      <c r="B1789" s="8" t="inlineStr">
        <is>
          <t>霜骨破甲符</t>
        </is>
      </c>
      <c r="C1789" s="8" t="inlineStr">
        <is>
          <t>符箓</t>
        </is>
      </c>
      <c r="D1789" s="8" t="inlineStr">
        <is>
          <t>spirit</t>
        </is>
      </c>
      <c r="E1789" s="8" t="inlineStr">
        <is>
          <t>water</t>
        </is>
      </c>
      <c r="F1789" s="8" t="n">
        <v>1</v>
      </c>
      <c r="G1789" s="8" t="inlineStr">
        <is>
          <t>基础/顶层</t>
        </is>
      </c>
      <c r="H1789" s="8" t="inlineStr"/>
      <c r="I1789" s="9" t="inlineStr"/>
      <c r="J1789" s="8" t="inlineStr"/>
      <c r="K1789" s="8" t="inlineStr"/>
      <c r="L1789" s="8" t="inlineStr"/>
      <c r="M1789" s="8" t="inlineStr">
        <is>
          <t>消耗品效果</t>
        </is>
      </c>
      <c r="N1789" s="8" t="inlineStr">
        <is>
          <t>consumable</t>
        </is>
      </c>
      <c r="O1789" s="9" t="inlineStr">
        <is>
          <t>移除敌方 12 层坚硬；移除敌方 16 层坚硬；移除敌方 18 层坚硬；移除敌方 22 层坚硬</t>
        </is>
      </c>
      <c r="P1789" s="9" t="inlineStr">
        <is>
          <t>onConsumableActivated</t>
        </is>
      </c>
      <c r="Q1789" s="9" t="inlineStr">
        <is>
          <t>consumeBuffStacks</t>
        </is>
      </c>
      <c r="R1789" s="9" t="inlineStr">
        <is>
          <t>{"kind":"consumable","label":"&lt;battle&gt;移除敌方 12 层坚硬&lt;/battle&gt;","consumable":{"durationSec":2,"maxUses":4,"label":"&lt;battle&gt;移除敌方 12 层坚硬&lt;/battle&gt;"},"executors":[{"trigger":"onConsumableActivated","type":"consumeBuffStacks","sourceBuffId":"sturdy","maxStacks":12,"consumeRatio":1,"consumeTargetActor":"enemy","label":"&lt;battle&gt;移除敌方 12 层坚硬&lt;/battle&gt;","support":"battleOnly"}],"starOverrides":{"1":{"label":"&lt;battle&gt;移除敌方 16 层坚硬&lt;/battle&gt;","consumable":{"durationSec":2,"maxUses":4,"label":"&lt;battle&gt;移除敌方 16 层坚硬&lt;/battle&gt;"},"executors":[{"trigger":"onConsumableActivated","type":"consumeBuffStacks","sourceBuffId":"sturdy","maxStacks":16,"consumeRatio":1,"consumeTargetActor":"enemy","label":"&lt;battle&gt;移除敌方 16 层坚硬&lt;/battle&gt;","support":"battleOnly"}]},"2":{"label":"&lt;battle&gt;移除敌方 18 层坚硬&lt;/battle&gt;","consumable":{"durationSec":2,"maxUses":4,"label":"&lt;battle&gt;移除敌方 18 层坚硬&lt;/battle&gt;"},"executors":[{"trigger":"onConsumableActivated","type":"consumeBuffStacks","sourceBuffId":"sturdy","maxStacks":18,"consumeRatio":1,"consumeTargetActor":"enemy","label":"&lt;battle&gt;移除敌方 18 层坚硬&lt;/battle&gt;","support":"battleOnly"}]},"3":{"label":"&lt;battle&gt;移除敌方 22 层坚硬&lt;/battle&gt;","consumable":{"durationSec":2,"maxUses":4,"label":"&lt;battle&gt;移除敌方 22 层坚硬&lt;/battle&gt;"},"executors":[{"trigger":"onConsumableActivated","type":"consumeBuffStacks","sourceBuffId":"sturdy","maxStacks":22,"consumeRatio":1,"consumeTargetActor":"enemy","label":"&lt;battle&gt;移除敌方 22 层坚硬&lt;/battle&gt;","support":"battleOnly"}]}}}</t>
        </is>
      </c>
    </row>
    <row r="1790" ht="32" customHeight="1">
      <c r="A1790" s="8" t="n">
        <v>712604</v>
      </c>
      <c r="B1790" s="8" t="inlineStr">
        <is>
          <t>裂霜角锋符</t>
        </is>
      </c>
      <c r="C1790" s="8" t="inlineStr">
        <is>
          <t>符箓</t>
        </is>
      </c>
      <c r="D1790" s="8" t="inlineStr">
        <is>
          <t>spirit</t>
        </is>
      </c>
      <c r="E1790" s="8" t="inlineStr">
        <is>
          <t>water</t>
        </is>
      </c>
      <c r="F1790" s="8" t="n">
        <v>1</v>
      </c>
      <c r="G1790" s="8" t="inlineStr">
        <is>
          <t>基础/顶层</t>
        </is>
      </c>
      <c r="H1790" s="8" t="inlineStr"/>
      <c r="I1790" s="9" t="inlineStr"/>
      <c r="J1790" s="8" t="inlineStr"/>
      <c r="K1790" s="8" t="inlineStr"/>
      <c r="L1790" s="8" t="inlineStr"/>
      <c r="M1790" s="8" t="inlineStr">
        <is>
          <t>消耗品效果</t>
        </is>
      </c>
      <c r="N1790" s="8" t="inlineStr">
        <is>
          <t>consumable</t>
        </is>
      </c>
      <c r="O1790" s="9" t="inlineStr">
        <is>
          <t>对敌方造成 240 点伤害，并使敌方占格面积最大的 10 件道具冻结 3 秒；对敌方造成 360 点伤害，并使敌方占格面积最大的 10 件道具冻结 4 秒；对敌方造成 480 点伤害，并使敌方占格面积最大的 10 件道具冻结 5 秒；对敌方造成 600 点伤害，并使敌方占格面积最大的 10 件道具冻结 6 秒</t>
        </is>
      </c>
      <c r="P1790" s="9" t="inlineStr">
        <is>
          <t>onConsumableActivated</t>
        </is>
      </c>
      <c r="Q1790" s="9" t="inlineStr">
        <is>
          <t>battleDamageHealth；itemRuntimeStatus</t>
        </is>
      </c>
      <c r="R1790" s="9" t="inlineStr">
        <is>
          <t>{"kind":"consumable","label":"&lt;battle&gt;对敌方造成 240 点伤害，并使敌方占格面积最大的 10 件道具冻结 3 秒&lt;/battle&gt;","consumable":{"durationSec":2,"maxUses":3,"label":"&lt;battle&gt;对敌方造成 240 点伤害，并使敌方占格面积最大的 10 件道具冻结 3 秒&lt;/battle&gt;"},"executors":[{"trigger":"onConsumableActivated","type":"battleDamageHealth","amount":240,"support":"battleOnly","label":"&lt;battle&gt;对敌方造成 240 点伤害，并使敌方占格面积最大的 10 件道具冻结 3 秒&lt;/battle&gt;"},{"trigger":"onConsumableActivated","type":"itemRuntimeStatus","itemRuntimeStatus":"freeze","durationSec":3,"targetActor":"enemy","targetScope":"enemyLargest","amount":10,"label":"&lt;battle&gt;对敌方造成 240 点伤害，并使敌方占格面积最大的 10 件道具冻结 3 秒&lt;/battle&gt;","support":"battleOnly"}],"starOverrides":{"1":{"label":"&lt;battle&gt;对敌方造成 360 点伤害，并使敌方占格面积最大的 10 件道具冻结 4 秒&lt;/battle&gt;","consumable":{"durationSec":2,"maxUses":3,"label":"&lt;battle&gt;对敌方造成 360 点伤害，并使敌方占格面积最大的 10 件道具冻结 4 秒&lt;/battle&gt;"},"executors":[{"trigger":"onConsumableActivated","type":"battleDamageHealth","amount":360,"support":"battleOnly","label":"&lt;battle&gt;对敌方造成 360 点伤害，并使敌方占格面积最大的 10 件道具冻结 4 秒&lt;/battle&gt;"},{"trigger":"onConsumableActivated","type":"itemRuntimeStatus","itemRuntimeStatus":"freeze","durationSec":4,"targetActor":"enemy","targetScope":"enemyLargest","amount":10,"label":"&lt;battle&gt;对敌方造成 360 点伤害，并使敌方占格面积最大的 10 件道具冻结 4 秒&lt;/battle&gt;","support":"battleOnly"}]},"2":{"label":"&lt;battle&gt;对敌方造成 480 点伤害，并使敌方占格面积最大的 10 件道具冻结 5 秒&lt;/battle&gt;","consumable":{"durationSec":2,"maxUses":3,"label":"&lt;battle&gt;对敌方造成 480 点伤害，并使敌方占格面积最大的 10 件道具冻结 5 秒&lt;/battle&gt;"},"executors":[{"trigger":"onConsumableActivated","type":"battleDamageHealth","amount":480,"support":"battleOnly","label":"&lt;battle&gt;对敌方造成 480 点伤害，并使敌方占格面积最大的 10 件道具冻结 5 秒&lt;/battle&gt;"},{"trigger":"onConsumableActivated","type":"itemRuntimeStatus","itemRuntimeStatus":"freeze","durationSec":5,"targetActor":"enemy","targetScope":"enemyLargest","amount":10,"label":"&lt;battle&gt;对敌方造成 480 点伤害，并使敌方占格面积最大的 10 件道具冻结 5 秒&lt;/battle&gt;","support":"battleOnly"}]},"3":{"label":"&lt;battle&gt;对敌方造成 600 点伤害，并使敌方占格面积最大的 10 件道具冻结 6 秒&lt;/battle&gt;","consumable":{"durationSec":2,"maxUses":3,"label":"&lt;battle&gt;对敌方造成 600 点伤害，并使敌方占格面积最大的 10 件道具冻结 6 秒&lt;/battle&gt;"},"executors":[{"trigger":"onConsumableActivated","type":"battleDamageHealth","amount":600,"support":"battleOnly","label":"&lt;battle&gt;对敌方造成 600 点伤害，并使敌方占格面积最大的 10 件道具冻结 6 秒&lt;/battle&gt;"},{"trigger":"onConsumableActivated","type":"itemRuntimeStatus","itemRuntimeStatus":"freeze","durationSec":6,"targetActor":"enemy","targetScope":"enemyLargest","amount":10,"label":"&lt;battle&gt;对敌方造成 600 点伤害，并使敌方占格面积最大的 10 件道具冻结 6 秒&lt;/battle&gt;","support":"battleOnly"}]}}}</t>
        </is>
      </c>
    </row>
    <row r="1791" ht="32" customHeight="1">
      <c r="A1791" s="8" t="n">
        <v>712605</v>
      </c>
      <c r="B1791" s="8" t="inlineStr">
        <is>
          <t>寒髓裂脉符</t>
        </is>
      </c>
      <c r="C1791" s="8" t="inlineStr">
        <is>
          <t>符箓</t>
        </is>
      </c>
      <c r="D1791" s="8" t="inlineStr">
        <is>
          <t>spirit</t>
        </is>
      </c>
      <c r="E1791" s="8" t="inlineStr">
        <is>
          <t>water</t>
        </is>
      </c>
      <c r="F1791" s="8" t="n">
        <v>1</v>
      </c>
      <c r="G1791" s="8" t="inlineStr">
        <is>
          <t>基础/顶层</t>
        </is>
      </c>
      <c r="H1791" s="8" t="inlineStr"/>
      <c r="I1791" s="9" t="inlineStr"/>
      <c r="J1791" s="8" t="inlineStr"/>
      <c r="K1791" s="8" t="inlineStr"/>
      <c r="L1791" s="8" t="inlineStr"/>
      <c r="M1791" s="8" t="inlineStr">
        <is>
          <t>消耗品效果</t>
        </is>
      </c>
      <c r="N1791" s="8" t="inlineStr">
        <is>
          <t>consumable</t>
        </is>
      </c>
      <c r="O1791" s="9" t="inlineStr">
        <is>
          <t>对敌方造成 400 点伤害，并对敌方施加 100 层寒冷；对敌方造成 540 点伤害，并对敌方施加 140 层寒冷；对敌方造成 680 点伤害，并对敌方施加 160 层寒冷；对敌方造成 820 点伤害，并对敌方施加 200 层寒冷</t>
        </is>
      </c>
      <c r="P1791" s="9" t="inlineStr">
        <is>
          <t>onConsumableActivated</t>
        </is>
      </c>
      <c r="Q1791" s="9" t="inlineStr">
        <is>
          <t>battleDamageHealth；applyBuff</t>
        </is>
      </c>
      <c r="R1791" s="9" t="inlineStr">
        <is>
          <t>{"kind":"consumable","label":"&lt;battle&gt;对敌方造成 400 点伤害，并对敌方施加 100 层寒冷&lt;/battle&gt;","consumable":{"durationSec":2,"maxUses":3,"label":"&lt;battle&gt;对敌方造成 400 点伤害，并对敌方施加 100 层寒冷&lt;/battle&gt;"},"executors":[{"trigger":"onConsumableActivated","type":"battleDamageHealth","amount":400,"support":"battleOnly","label":"&lt;battle&gt;对敌方造成 400 点伤害，并对敌方施加 100 层寒冷&lt;/battle&gt;"},{"trigger":"onConsumableActivated","type":"applyBuff","buffId":"cold","count":100,"targetActor":"enemy","polarity":"detrimental","label":"&lt;battle&gt;对敌方造成 400 点伤害，并对敌方施加 100 层寒冷&lt;/battle&gt;","support":"battleOnly"}],"starOverrides":{"1":{"label":"&lt;battle&gt;对敌方造成 540 点伤害，并对敌方施加 140 层寒冷&lt;/battle&gt;","consumable":{"durationSec":2,"maxUses":3,"label":"&lt;battle&gt;对敌方造成 540 点伤害，并对敌方施加 140 层寒冷&lt;/battle&gt;"},"executors":[{"trigger":"onConsumableActivated","type":"battleDamageHealth","amount":540,"support":"battleOnly","label":"&lt;battle&gt;对敌方造成 540 点伤害，并对敌方施加 140 层寒冷&lt;/battle&gt;"},{"trigger":"onConsumableActivated","type":"applyBuff","buffId":"cold","count":140,"targetActor":"enemy","polarity":"detrimental","label":"&lt;battle&gt;对敌方造成 540 点伤害，并对敌方施加 140 层寒冷&lt;/battle&gt;","support":"battleOnly"}]},"2":{"label":"&lt;battle&gt;对敌方造成 680 点伤害，并对敌方施加 160 层寒冷&lt;/battle&gt;","consumable":{"durationSec":2,"maxUses":3,"label":"&lt;battle&gt;对敌方造成 680 点伤害，并对敌方施加 160 层寒冷&lt;/battle&gt;"},"executors":[{"trigger":"onConsumableActivated","type":"battleDamageHealth","amount":680,"support":"battleOnly","label":"&lt;battle&gt;对敌方造成 680 点伤害，并对敌方施加 160 层寒冷&lt;/battle&gt;"},{"trigger":"onConsumableActivated","type":"applyBuff","buffId":"cold","count":160,"targetActor":"enemy","polarity":"detrimental","label":"&lt;battle&gt;对敌方造成 680 点伤害，并对敌方施加 160 层寒冷&lt;/battle&gt;","support":"battleOnly"}]},"3":{"label":"&lt;battle&gt;对敌方造成 820 点伤害，并对敌方施加 200 层寒冷&lt;/battle&gt;","consumable":{"durationSec":2,"maxUses":3,"label":"&lt;battle&gt;对敌方造成 820 点伤害，并对敌方施加 200 层寒冷&lt;/battle&gt;"},"executors":[{"trigger":"onConsumableActivated","type":"battleDamageHealth","amount":820,"support":"battleOnly","label":"&lt;battle&gt;对敌方造成 820 点伤害，并对敌方施加 200 层寒冷&lt;/battle&gt;"},{"trigger":"onConsumableActivated","type":"applyBuff","buffId":"cold","count":200,"targetActor":"enemy","polarity":"detrimental","label":"&lt;battle&gt;对敌方造成 820 点伤害，并对敌方施加 200 层寒冷&lt;/battle&gt;","support":"battleOnly"}]}}}</t>
        </is>
      </c>
    </row>
    <row r="1792" ht="32" customHeight="1">
      <c r="A1792" s="8" t="n">
        <v>712606</v>
      </c>
      <c r="B1792" s="8" t="inlineStr">
        <is>
          <t>霜筋锁脉符</t>
        </is>
      </c>
      <c r="C1792" s="8" t="inlineStr">
        <is>
          <t>符箓</t>
        </is>
      </c>
      <c r="D1792" s="8" t="inlineStr">
        <is>
          <t>spirit</t>
        </is>
      </c>
      <c r="E1792" s="8" t="inlineStr">
        <is>
          <t>water</t>
        </is>
      </c>
      <c r="F1792" s="8" t="n">
        <v>1</v>
      </c>
      <c r="G1792" s="8" t="inlineStr">
        <is>
          <t>基础/顶层</t>
        </is>
      </c>
      <c r="H1792" s="8" t="inlineStr"/>
      <c r="I1792" s="9" t="inlineStr"/>
      <c r="J1792" s="8" t="inlineStr"/>
      <c r="K1792" s="8" t="inlineStr"/>
      <c r="L1792" s="8" t="inlineStr"/>
      <c r="M1792" s="8" t="inlineStr">
        <is>
          <t>消耗品效果</t>
        </is>
      </c>
      <c r="N1792" s="8" t="inlineStr">
        <is>
          <t>consumable</t>
        </is>
      </c>
      <c r="O1792" s="9" t="inlineStr">
        <is>
          <t>敌方随机 20 件道具获得 6 秒减速；敌方随机 20 件道具获得 9 秒减速；敌方随机 30 件道具获得 9 秒减速；敌方随机 30 件道具获得 12 秒减速</t>
        </is>
      </c>
      <c r="P1792" s="9" t="inlineStr">
        <is>
          <t>onConsumableActivated</t>
        </is>
      </c>
      <c r="Q1792" s="9" t="inlineStr">
        <is>
          <t>itemRuntimeStatus</t>
        </is>
      </c>
      <c r="R1792" s="9" t="inlineStr">
        <is>
          <t>{"kind":"consumable","label":"&lt;battle&gt;敌方随机 20 件道具获得 6 秒减速&lt;/battle&gt;","consumable":{"durationSec":2,"maxUses":3,"label":"&lt;battle&gt;敌方随机 20 件道具获得 6 秒减速&lt;/battle&gt;"},"executors":[{"trigger":"onConsumableActivated","type":"itemRuntimeStatus","itemRuntimeStatus":"slow","durationSec":6,"targetActor":"enemy","targetScope":"enemyRandom","amount":20,"label":"&lt;battle&gt;敌方随机 20 件道具获得 6 秒减速&lt;/battle&gt;","support":"battleOnly"}],"starOverrides":{"1":{"label":"&lt;battle&gt;敌方随机 20 件道具获得 9 秒减速&lt;/battle&gt;","consumable":{"durationSec":2,"maxUses":3,"label":"&lt;battle&gt;敌方随机 20 件道具获得 9 秒减速&lt;/battle&gt;"},"executors":[{"trigger":"onConsumableActivated","type":"itemRuntimeStatus","itemRuntimeStatus":"slow","durationSec":9,"targetActor":"enemy","targetScope":"enemyRandom","amount":20,"label":"&lt;battle&gt;敌方随机 20 件道具获得 9 秒减速&lt;/battle&gt;","support":"battleOnly"}]},"2":{"label":"&lt;battle&gt;敌方随机 30 件道具获得 9 秒减速&lt;/battle&gt;","consumable":{"durationSec":2,"maxUses":3,"label":"&lt;battle&gt;敌方随机 30 件道具获得 9 秒减速&lt;/battle&gt;"},"executors":[{"trigger":"onConsumableActivated","type":"itemRuntimeStatus","itemRuntimeStatus":"slow","durationSec":9,"targetActor":"enemy","targetScope":"enemyRandom","amount":30,"label":"&lt;battle&gt;敌方随机 30 件道具获得 9 秒减速&lt;/battle&gt;","support":"battleOnly"}]},"3":{"label":"&lt;battle&gt;敌方随机 30 件道具获得 12 秒减速&lt;/battle&gt;","consumable":{"durationSec":2,"maxUses":3,"label":"&lt;battle&gt;敌方随机 30 件道具获得 12 秒减速&lt;/battle&gt;"},"executors":[{"trigger":"onConsumableActivated","type":"itemRuntimeStatus","itemRuntimeStatus":"slow","durationSec":12,"targetActor":"enemy","targetScope":"enemyRandom","amount":30,"label":"&lt;battle&gt;敌方随机 30 件道具获得 12 秒减速&lt;/battle&gt;","support":"battleOnly"}]}}}</t>
        </is>
      </c>
    </row>
    <row r="1793" ht="32" customHeight="1">
      <c r="A1793" s="8" t="n">
        <v>713300</v>
      </c>
      <c r="B1793" s="8" t="inlineStr">
        <is>
          <t>狸背墨囊回响符</t>
        </is>
      </c>
      <c r="C1793" s="8" t="inlineStr">
        <is>
          <t>符箓</t>
        </is>
      </c>
      <c r="D1793" s="8" t="inlineStr">
        <is>
          <t>spirit</t>
        </is>
      </c>
      <c r="E1793" s="8" t="inlineStr">
        <is>
          <t>wood</t>
        </is>
      </c>
      <c r="F1793" s="8" t="n">
        <v>1</v>
      </c>
      <c r="G1793" s="8" t="inlineStr">
        <is>
          <t>基础/顶层</t>
        </is>
      </c>
      <c r="H1793" s="8" t="inlineStr"/>
      <c r="I1793" s="9" t="inlineStr"/>
      <c r="J1793" s="8" t="inlineStr"/>
      <c r="K1793" s="8" t="inlineStr"/>
      <c r="L1793" s="8" t="inlineStr"/>
      <c r="M1793" s="8" t="inlineStr">
        <is>
          <t>消耗品效果</t>
        </is>
      </c>
      <c r="N1793" s="8" t="inlineStr">
        <is>
          <t>consumable</t>
        </is>
      </c>
      <c r="O1793" s="9" t="inlineStr">
        <is>
          <t>获得 12 层再生；获得 16 层再生；获得 20 层再生；获得 24 层再生</t>
        </is>
      </c>
      <c r="P1793" s="9" t="inlineStr">
        <is>
          <t>onConsumableExhausted</t>
        </is>
      </c>
      <c r="Q1793" s="9" t="inlineStr">
        <is>
          <t>applyBuff</t>
        </is>
      </c>
      <c r="R1793" s="9" t="inlineStr">
        <is>
          <t>{"kind":"consumable","label":"获得 12 层再生","consumable":{"durationSec":2,"maxUses":7,"label":"获得 12 层再生"},"executors":[{"trigger":"onConsumableExhausted","type":"applyBuff","buffId":"regeneration","count":12,"label":"获得 12 层再生"}],"starOverrides":{"1":{"label":"获得 16 层再生","consumable":{"durationSec":2,"maxUses":7,"label":"获得 16 层再生"},"executors":[{"trigger":"onConsumableExhausted","type":"applyBuff","buffId":"regeneration","count":16,"label":"获得 16 层再生"}]},"2":{"label":"获得 20 层再生","consumable":{"durationSec":2,"maxUses":7,"label":"获得 20 层再生"},"executors":[{"trigger":"onConsumableExhausted","type":"applyBuff","buffId":"regeneration","count":20,"label":"获得 20 层再生"}]},"3":{"label":"获得 24 层再生","consumable":{"durationSec":2,"maxUses":7,"label":"获得 24 层再生"},"executors":[{"trigger":"onConsumableExhausted","type":"applyBuff","buffId":"regeneration","count":24,"label":"获得 24 层再生"}]}}}</t>
        </is>
      </c>
    </row>
    <row r="1794" ht="32" customHeight="1">
      <c r="A1794" s="8" t="n">
        <v>713400</v>
      </c>
      <c r="B1794" s="8" t="inlineStr">
        <is>
          <t>共鸣胸骨板引脉符</t>
        </is>
      </c>
      <c r="C1794" s="8" t="inlineStr">
        <is>
          <t>符箓</t>
        </is>
      </c>
      <c r="D1794" s="8" t="inlineStr">
        <is>
          <t>spirit</t>
        </is>
      </c>
      <c r="E1794" s="8" t="inlineStr">
        <is>
          <t>metal</t>
        </is>
      </c>
      <c r="F1794" s="8" t="n">
        <v>1</v>
      </c>
      <c r="G1794" s="8" t="inlineStr">
        <is>
          <t>基础/顶层</t>
        </is>
      </c>
      <c r="H1794" s="8" t="inlineStr"/>
      <c r="I1794" s="9" t="inlineStr"/>
      <c r="J1794" s="8" t="inlineStr"/>
      <c r="K1794" s="8" t="inlineStr"/>
      <c r="L1794" s="8" t="inlineStr"/>
      <c r="M1794" s="8" t="inlineStr">
        <is>
          <t>消耗品效果</t>
        </is>
      </c>
      <c r="N1794" s="8" t="inlineStr">
        <is>
          <t>consumable</t>
        </is>
      </c>
      <c r="O1794" s="9" t="inlineStr">
        <is>
          <t>消耗 6 点法力，对敌方造成 60 点伤害，并施加 2 层麻痹；消耗 3 点法力，对敌方造成 60 点伤害，并施加 2 层麻痹；消耗 8 点法力，对敌方造成 80 点伤害，并施加 4 层麻痹；消耗 10 点法力，对敌方造成 100 点伤害，并施加 6 层麻痹；消耗 5 点法力，对敌方造成 100 点伤害，并施加 6 层麻痹；消耗 12 点法力，对敌方造成 120 点伤害，并施加 8 层麻痹；消耗 6 点法力，对敌方造成 120 点伤害，并施加 8 层麻痹</t>
        </is>
      </c>
      <c r="P1794" s="9" t="inlineStr">
        <is>
          <t>onConsumableExhausted</t>
        </is>
      </c>
      <c r="Q1794" s="9" t="inlineStr">
        <is>
          <t>battleDamageHealth；applyBuff；modifyPlayerPrimaryStat</t>
        </is>
      </c>
      <c r="R1794" s="9" t="inlineStr">
        <is>
          <t>{"kind":"consumable","label":"消耗 6 点法力，&lt;battle&gt;对敌方造成 60 点伤害，并施加 2 层麻痹&lt;/battle&gt;","consumable":{"durationSec":2,"maxUses":3,"label":"消耗 6 点法力，&lt;battle&gt;对敌方造成 60 点伤害，并施加 2 层麻痹&lt;/battle&gt;"},"executors":[{"trigger":"onConsumableExhausted","type":"battleDamageHealth","amount":60,"support":"battleOnly","label":"消耗 6 点法力，&lt;battle&gt;对敌方造成 60 点伤害，并施加 2 层麻痹&lt;/battle&gt;","activationRequirements":{"primaryStatThreshold":{"stat":"mana","comparator":"atLeast","amount":6}}},{"trigger":"onConsumableExhausted","type":"applyBuff","buffId":"paralysis","count":2,"targetActor":"enemy","support":"battleOnly","label":"消耗 6 点法力，&lt;battle&gt;对敌方造成 60 点伤害，并施加 2 层麻痹&lt;/battle&gt;","activationRequirements":{"primaryStatThreshold":{"stat":"mana","comparator":"atLeast","amount":6}}},{"trigger":"onConsumableExhausted","type":"modifyPlayerPrimaryStat","stat":"mana","delta":-6,"label":"消耗 3 点法力，&lt;battle&gt;对敌方造成 60 点伤害，并施加 2 层麻痹&lt;/battle&gt;"}],"starOverrides":{"1":{"label":"消耗 8 点法力，&lt;battle&gt;对敌方造成 80 点伤害，并施加 4 层麻痹&lt;/battle&gt;","consumable":{"durationSec":2,"maxUses":3,"label":"消耗 8 点法力，&lt;battle&gt;对敌方造成 80 点伤害，并施加 4 层麻痹&lt;/battle&gt;"},"executors":[{"trigger":"onConsumableExhausted","type":"battleDamageHealth","amount":80,"support":"battleOnly","label":"消耗 8 点法力，&lt;battle&gt;对敌方造成 80 点伤害，并施加 4 层麻痹&lt;/battle&gt;","activationRequirements":{"primaryStatThreshold":{"stat":"mana","comparator":"atLeast","amount":4}}},{"trigger":"onConsumableExhausted","type":"applyBuff","buffId":"paralysis","count":4,"targetActor":"enemy","support":"battleOnly","label":"消耗 8 点法力，&lt;battle&gt;对敌方造成 80 点伤害，并施加 4 层麻痹&lt;/battle&gt;","activationRequirements":{"primaryStatThreshold":{"stat":"mana","comparator":"atLeast","amount":4}}},{"trigger":"onConsumableExhausted","type":"modifyPlayerPrimaryStat","stat":"mana","delta":-8,"label":"消耗 8 点法力，&lt;battle&gt;对敌方造成 80 点伤害，并施加 4 层麻痹&lt;/battle&gt;"}]},"2":{"label":"消耗 10 点法力，&lt;battle&gt;对敌方造成 100 点伤害，并施加 6 层麻痹&lt;/battle&gt;","consumable":{"durationSec":2,"maxUses":3,"label":"消耗 10 点法力，&lt;battle&gt;对敌方造成 100 点伤害，并施加 6 层麻痹&lt;/battle&gt;"},"executors":[{"trigger":"onConsumableExhausted","type":"battleDamageHealth","amount":100,"support":"battleOnly","label":"消耗 10 点法力，&lt;battle&gt;对敌方造成 100 点伤害，并施加 6 层麻痹&lt;/battle&gt;","activationRequirements":{"primaryStatThreshold":{"stat":"mana","comparator":"atLeast","amount":10}}},{"trigger":"onConsumableExhausted","type":"applyBuff","buffId":"paralysis","count":6,"targetActor":"enemy","support":"battleOnly","label":"消耗 10 点法力，&lt;battle&gt;对敌方造成 100 点伤害，并施加 6 层麻痹&lt;/battle&gt;","activationRequirements":{"primaryStatThreshold":{"stat":"mana","comparator":"atLeast","amount":10}}},{"trigger":"onConsumableExhausted","type":"modifyPlayerPrimaryStat","stat":"mana","delta":-10,"label":"消耗 5 点法力，&lt;battle&gt;对敌方造成 100 点伤害，并施加 6 层麻痹&lt;/battle&gt;"}]},"3":{"label":"消耗 12 点法力，&lt;battle&gt;对敌方造成 120 点伤害，并施加 8 层麻痹&lt;/battle&gt;","consumable":{"durationSec":2,"maxUses":3,"label":"消耗 12 点法力，&lt;battle&gt;对敌方造成 120 点伤害，并施加 8 层麻痹&lt;/battle&gt;"},"executors":[{"trigger":"onConsumableExhausted","type":"battleDamageHealth","amount":120,"support":"battleOnly","label":"消耗 12 点法力，&lt;battle&gt;对敌方造成 120 点伤害，并施加 8 层麻痹&lt;/battle&gt;","activationRequirements":{"primaryStatThreshold":{"stat":"mana","comparator":"atLeast","amount":12}}},{"trigger":"onConsumableExhausted","type":"applyBuff","buffId":"paralysis","count":8,"targetActor":"enemy","support":"battleOnly","label":"消耗 12 点法力，&lt;battle&gt;对敌方造成 120 点伤害，并施加 8 层麻痹&lt;/battle&gt;","activationRequirements":{"primaryStatThreshold":{"stat":"mana","comparator":"atLeast","amount":12}}},{"trigger":"onConsumableExhausted","type":"modifyPlayerPrimaryStat","stat":"mana","delta":-12,"label":"消耗 6 点法力，&lt;battle&gt;对敌方造成 120 点伤害，并施加 8 层麻痹&lt;/battle&gt;"}]}}}</t>
        </is>
      </c>
    </row>
    <row r="1795" ht="32" customHeight="1">
      <c r="A1795" s="8" t="n">
        <v>713401</v>
      </c>
      <c r="B1795" s="8" t="inlineStr">
        <is>
          <t>绷弦翼根筋引脉符</t>
        </is>
      </c>
      <c r="C1795" s="8" t="inlineStr">
        <is>
          <t>符箓</t>
        </is>
      </c>
      <c r="D1795" s="8" t="inlineStr">
        <is>
          <t>spirit</t>
        </is>
      </c>
      <c r="E1795" s="8" t="inlineStr">
        <is>
          <t>wood</t>
        </is>
      </c>
      <c r="F1795" s="8" t="n">
        <v>1</v>
      </c>
      <c r="G1795" s="8" t="inlineStr">
        <is>
          <t>基础/顶层</t>
        </is>
      </c>
      <c r="H1795" s="8" t="inlineStr"/>
      <c r="I1795" s="9" t="inlineStr"/>
      <c r="J1795" s="8" t="inlineStr"/>
      <c r="K1795" s="8" t="inlineStr"/>
      <c r="L1795" s="8" t="inlineStr"/>
      <c r="M1795" s="8" t="inlineStr">
        <is>
          <t>消耗品效果</t>
        </is>
      </c>
      <c r="N1795" s="8" t="inlineStr">
        <is>
          <t>consumable</t>
        </is>
      </c>
      <c r="O1795" s="9" t="inlineStr">
        <is>
          <t>使相邻法器获得 10 秒加速；使相邻法器获得 13 秒加速；使相邻法器获得 15 秒加速；使相邻法器获得 18 秒加速</t>
        </is>
      </c>
      <c r="P1795" s="9" t="inlineStr">
        <is>
          <t>onConsumableExhausted</t>
        </is>
      </c>
      <c r="Q1795" s="9" t="inlineStr">
        <is>
          <t>itemRuntimeStatus</t>
        </is>
      </c>
      <c r="R1795" s="9" t="inlineStr">
        <is>
          <t>{"kind":"consumable","label":"使相邻法器获得 10 秒加速","consumable":{"durationSec":2,"maxUses":6,"label":"使相邻法器获得 10 秒加速"},"executors":[{"trigger":"onConsumableExhausted","type":"itemRuntimeStatus","itemRuntimeStatus":"haste","durationSec":10,"targetActor":"self","targetScope":"adjacent","targetFilter":{"categories":["implement"]},"label":"使相邻法器获得 10 秒加速"}],"starOverrides":{"1":{"label":"使相邻法器获得 13 秒加速","consumable":{"durationSec":2,"maxUses":6,"label":"使相邻法器获得 13 秒加速"},"executors":[{"trigger":"onConsumableExhausted","type":"itemRuntimeStatus","itemRuntimeStatus":"haste","durationSec":13,"targetActor":"self","targetScope":"adjacent","targetFilter":{"categories":["implement"]},"label":"使相邻法器获得 13 秒加速"}]},"2":{"label":"使相邻法器获得 15 秒加速","consumable":{"durationSec":2,"maxUses":6,"label":"使相邻法器获得 15 秒加速"},"executors":[{"trigger":"onConsumableExhausted","type":"itemRuntimeStatus","itemRuntimeStatus":"haste","durationSec":15,"targetActor":"self","targetScope":"adjacent","targetFilter":{"categories":["implement"]},"label":"使相邻法器获得 15 秒加速"}]},"3":{"label":"使相邻法器获得 18 秒加速","consumable":{"durationSec":2,"maxUses":6,"label":"使相邻法器获得 18 秒加速"},"executors":[{"trigger":"onConsumableExhausted","type":"itemRuntimeStatus","itemRuntimeStatus":"haste","durationSec":18,"targetActor":"self","targetScope":"adjacent","targetFilter":{"categories":["implement"]},"label":"使相邻法器获得 18 秒加速"}]}}}</t>
        </is>
      </c>
    </row>
    <row r="1796" ht="32" customHeight="1">
      <c r="A1796" s="8" t="n">
        <v>713402</v>
      </c>
      <c r="B1796" s="8" t="inlineStr">
        <is>
          <t>平衡尾舵羽引脉符</t>
        </is>
      </c>
      <c r="C1796" s="8" t="inlineStr">
        <is>
          <t>符箓</t>
        </is>
      </c>
      <c r="D1796" s="8" t="inlineStr">
        <is>
          <t>spirit</t>
        </is>
      </c>
      <c r="E1796" s="8" t="inlineStr">
        <is>
          <t>wood</t>
        </is>
      </c>
      <c r="F1796" s="8" t="n">
        <v>1</v>
      </c>
      <c r="G1796" s="8" t="inlineStr">
        <is>
          <t>基础/顶层</t>
        </is>
      </c>
      <c r="H1796" s="8" t="inlineStr"/>
      <c r="I1796" s="9" t="inlineStr"/>
      <c r="J1796" s="8" t="inlineStr"/>
      <c r="K1796" s="8" t="inlineStr"/>
      <c r="L1796" s="8" t="inlineStr"/>
      <c r="M1796" s="8" t="inlineStr">
        <is>
          <t>消耗品效果</t>
        </is>
      </c>
      <c r="N1796" s="8" t="inlineStr">
        <is>
          <t>consumable</t>
        </is>
      </c>
      <c r="O1796" s="9" t="inlineStr">
        <is>
          <t>冻结敌方占格面积最大的道具 5 秒；冻结敌方占格面积最大的道具 8 秒；冻结敌方占格面积最大的道具 10 秒；冻结敌方占格面积最大的道具 13 秒</t>
        </is>
      </c>
      <c r="P1796" s="9" t="inlineStr">
        <is>
          <t>onConsumableExhausted</t>
        </is>
      </c>
      <c r="Q1796" s="9" t="inlineStr">
        <is>
          <t>itemRuntimeStatus</t>
        </is>
      </c>
      <c r="R1796" s="9" t="inlineStr">
        <is>
          <t>{"kind":"consumable","label":"&lt;battle&gt;冻结敌方占格面积最大的道具 5 秒&lt;/battle&gt;","consumable":{"durationSec":2,"maxUses":5,"label":"&lt;battle&gt;冻结敌方占格面积最大的道具 5 秒&lt;/battle&gt;"},"executors":[{"trigger":"onConsumableExhausted","type":"itemRuntimeStatus","itemRuntimeStatus":"freeze","durationSec":5,"targetActor":"enemy","targetScope":"enemyLargest","amount":1,"support":"battleOnly","label":"&lt;battle&gt;冻结敌方占格面积最大的道具 5 秒&lt;/battle&gt;"}],"starOverrides":{"1":{"label":"&lt;battle&gt;冻结敌方占格面积最大的道具 8 秒&lt;/battle&gt;","consumable":{"durationSec":2,"maxUses":5,"label":"&lt;battle&gt;冻结敌方占格面积最大的道具 8 秒&lt;/battle&gt;"},"executors":[{"trigger":"onConsumableExhausted","type":"itemRuntimeStatus","itemRuntimeStatus":"freeze","durationSec":8,"targetActor":"enemy","targetScope":"enemyLargest","amount":1,"support":"battleOnly","label":"&lt;battle&gt;冻结敌方占格面积最大的道具 8 秒&lt;/battle&gt;"}]},"2":{"label":"&lt;battle&gt;冻结敌方占格面积最大的道具 10 秒&lt;/battle&gt;","consumable":{"durationSec":2,"maxUses":5,"label":"&lt;battle&gt;冻结敌方占格面积最大的道具 10 秒&lt;/battle&gt;"},"executors":[{"trigger":"onConsumableExhausted","type":"itemRuntimeStatus","itemRuntimeStatus":"freeze","durationSec":10,"targetActor":"enemy","targetScope":"enemyLargest","amount":1,"support":"battleOnly","label":"&lt;battle&gt;冻结敌方占格面积最大的道具 10 秒&lt;/battle&gt;"}]},"3":{"label":"&lt;battle&gt;冻结敌方占格面积最大的道具 13 秒&lt;/battle&gt;","consumable":{"durationSec":2,"maxUses":5,"label":"&lt;battle&gt;冻结敌方占格面积最大的道具 13 秒&lt;/battle&gt;"},"executors":[{"trigger":"onConsumableExhausted","type":"itemRuntimeStatus","itemRuntimeStatus":"freeze","durationSec":13,"targetActor":"enemy","targetScope":"enemyLargest","amount":1,"support":"battleOnly","label":"&lt;battle&gt;冻结敌方占格面积最大的道具 13 秒&lt;/battle&gt;"}]}}}</t>
        </is>
      </c>
    </row>
    <row r="1797" ht="32" customHeight="1">
      <c r="A1797" s="8" t="n">
        <v>713600</v>
      </c>
      <c r="B1797" s="8" t="inlineStr">
        <is>
          <t>羚蹄锁链回响符</t>
        </is>
      </c>
      <c r="C1797" s="8" t="inlineStr">
        <is>
          <t>符箓</t>
        </is>
      </c>
      <c r="D1797" s="8" t="inlineStr">
        <is>
          <t>spirit</t>
        </is>
      </c>
      <c r="E1797" s="8" t="inlineStr">
        <is>
          <t>metal</t>
        </is>
      </c>
      <c r="F1797" s="8" t="n">
        <v>1</v>
      </c>
      <c r="G1797" s="8" t="inlineStr">
        <is>
          <t>基础/顶层</t>
        </is>
      </c>
      <c r="H1797" s="8" t="inlineStr"/>
      <c r="I1797" s="9" t="inlineStr"/>
      <c r="J1797" s="8" t="inlineStr"/>
      <c r="K1797" s="8" t="inlineStr"/>
      <c r="L1797" s="8" t="inlineStr"/>
      <c r="M1797" s="8" t="inlineStr">
        <is>
          <t>消耗品效果</t>
        </is>
      </c>
      <c r="N1797" s="8" t="inlineStr">
        <is>
          <t>consumable</t>
        </is>
      </c>
      <c r="O1797" s="9" t="inlineStr">
        <is>
          <t>最多将 12 层凝金转化为 5 倍层数的护甲；最多将 16 层凝金转化为 5 倍层数的护甲；最多将 20 层凝金转化为 5 倍层数的护甲；最多将 24 层凝金转化为 5 倍层数的护甲</t>
        </is>
      </c>
      <c r="P1797" s="9" t="inlineStr">
        <is>
          <t>onConsumableExhausted</t>
        </is>
      </c>
      <c r="Q1797" s="9" t="inlineStr">
        <is>
          <t>convertBuffStacks</t>
        </is>
      </c>
      <c r="R1797" s="9" t="inlineStr">
        <is>
          <t>{"kind":"consumable","label":"最多将 12 层凝金转化为 5 倍层数的护甲","consumable":{"durationSec":2,"maxUses":7,"label":"最多将 12 层凝金转化为 5 倍层数的护甲"},"executors":[{"trigger":"onConsumableExhausted","type":"convertBuffStacks","sourceBuffId":"condensedMetal","targetBuffId":"armor","maxStacks":12,"consumeRatio":5,"label":"最多将 12 层凝金转化为 5 倍层数的护甲"}],"starOverrides":{"1":{"label":"最多将 16 层凝金转化为 5 倍层数的护甲","consumable":{"durationSec":2,"maxUses":7,"label":"最多将 16 层凝金转化为 5 倍层数的护甲"},"executors":[{"trigger":"onConsumableExhausted","type":"convertBuffStacks","sourceBuffId":"condensedMetal","targetBuffId":"armor","maxStacks":16,"consumeRatio":5,"label":"最多将 16 层凝金转化为 5 倍层数的护甲"}]},"2":{"label":"最多将 20 层凝金转化为 5 倍层数的护甲","consumable":{"durationSec":2,"maxUses":7,"label":"最多将 20 层凝金转化为 5 倍层数的护甲"},"executors":[{"trigger":"onConsumableExhausted","type":"convertBuffStacks","sourceBuffId":"condensedMetal","targetBuffId":"armor","maxStacks":20,"consumeRatio":5,"label":"最多将 20 层凝金转化为 5 倍层数的护甲"}]},"3":{"label":"最多将 24 层凝金转化为 5 倍层数的护甲","consumable":{"durationSec":2,"maxUses":7,"label":"最多将 24 层凝金转化为 5 倍层数的护甲"},"executors":[{"trigger":"onConsumableExhausted","type":"convertBuffStacks","sourceBuffId":"condensedMetal","targetBuffId":"armor","maxStacks":24,"consumeRatio":5,"label":"最多将 24 层凝金转化为 5 倍层数的护甲"}]}}}</t>
        </is>
      </c>
    </row>
    <row r="1798" ht="32" customHeight="1">
      <c r="A1798" s="8" t="n">
        <v>713601</v>
      </c>
      <c r="B1798" s="8" t="inlineStr">
        <is>
          <t>对极铁砂回响符</t>
        </is>
      </c>
      <c r="C1798" s="8" t="inlineStr">
        <is>
          <t>符箓</t>
        </is>
      </c>
      <c r="D1798" s="8" t="inlineStr">
        <is>
          <t>spirit</t>
        </is>
      </c>
      <c r="E1798" s="8" t="inlineStr">
        <is>
          <t>metal</t>
        </is>
      </c>
      <c r="F1798" s="8" t="n">
        <v>1</v>
      </c>
      <c r="G1798" s="8" t="inlineStr">
        <is>
          <t>基础/顶层</t>
        </is>
      </c>
      <c r="H1798" s="8" t="inlineStr"/>
      <c r="I1798" s="9" t="inlineStr"/>
      <c r="J1798" s="8" t="inlineStr"/>
      <c r="K1798" s="8" t="inlineStr"/>
      <c r="L1798" s="8" t="inlineStr"/>
      <c r="M1798" s="8" t="inlineStr">
        <is>
          <t>消耗品效果</t>
        </is>
      </c>
      <c r="N1798" s="8" t="inlineStr">
        <is>
          <t>consumable</t>
        </is>
      </c>
      <c r="O1798" s="9" t="inlineStr">
        <is>
          <t>敌方占格面积最大的道具获得 10 秒减速；敌方占格面积最大的道具获得 13 秒减速；敌方占格面积最大的道具获得 15 秒减速；敌方占格面积最大的道具获得 18 秒减速</t>
        </is>
      </c>
      <c r="P1798" s="9" t="inlineStr">
        <is>
          <t>onConsumableExhausted</t>
        </is>
      </c>
      <c r="Q1798" s="9" t="inlineStr">
        <is>
          <t>itemRuntimeStatus</t>
        </is>
      </c>
      <c r="R1798" s="9" t="inlineStr">
        <is>
          <t>{"kind":"consumable","label":"&lt;battle&gt;敌方占格面积最大的道具获得 10 秒减速&lt;/battle&gt;","consumable":{"durationSec":2,"maxUses":5,"label":"&lt;battle&gt;敌方占格面积最大的道具获得 10 秒减速&lt;/battle&gt;"},"executors":[{"trigger":"onConsumableExhausted","type":"itemRuntimeStatus","itemRuntimeStatus":"slow","durationSec":10,"targetActor":"enemy","targetScope":"enemyLargest","amount":1,"support":"battleOnly","label":"&lt;battle&gt;敌方占格面积最大的道具获得 10 秒减速&lt;/battle&gt;"}],"starOverrides":{"1":{"label":"&lt;battle&gt;敌方占格面积最大的道具获得 13 秒减速&lt;/battle&gt;","consumable":{"durationSec":2,"maxUses":5,"label":"&lt;battle&gt;敌方占格面积最大的道具获得 13 秒减速&lt;/battle&gt;"},"executors":[{"trigger":"onConsumableExhausted","type":"itemRuntimeStatus","itemRuntimeStatus":"slow","durationSec":13,"targetActor":"enemy","targetScope":"enemyLargest","amount":1,"support":"battleOnly","label":"&lt;battle&gt;敌方占格面积最大的道具获得 13 秒减速&lt;/battle&gt;"}]},"2":{"label":"&lt;battle&gt;敌方占格面积最大的道具获得 15 秒减速&lt;/battle&gt;","consumable":{"durationSec":2,"maxUses":5,"label":"&lt;battle&gt;敌方占格面积最大的道具获得 15 秒减速&lt;/battle&gt;"},"executors":[{"trigger":"onConsumableExhausted","type":"itemRuntimeStatus","itemRuntimeStatus":"slow","durationSec":15,"targetActor":"enemy","targetScope":"enemyLargest","amount":1,"support":"battleOnly","label":"&lt;battle&gt;敌方占格面积最大的道具获得 15 秒减速&lt;/battle&gt;"}]},"3":{"label":"&lt;battle&gt;敌方占格面积最大的道具获得 18 秒减速&lt;/battle&gt;","consumable":{"durationSec":2,"maxUses":5,"label":"&lt;battle&gt;敌方占格面积最大的道具获得 18 秒减速&lt;/battle&gt;"},"executors":[{"trigger":"onConsumableExhausted","type":"itemRuntimeStatus","itemRuntimeStatus":"slow","durationSec":18,"targetActor":"enemy","targetScope":"enemyLargest","amount":1,"support":"battleOnly","label":"&lt;battle&gt;敌方占格面积最大的道具获得 18 秒减速&lt;/battle&gt;"}]}}}</t>
        </is>
      </c>
    </row>
    <row r="1799" ht="32" customHeight="1">
      <c r="A1799" s="8" t="n">
        <v>713602</v>
      </c>
      <c r="B1799" s="8" t="inlineStr">
        <is>
          <t>铁扣羚心回响符</t>
        </is>
      </c>
      <c r="C1799" s="8" t="inlineStr">
        <is>
          <t>符箓</t>
        </is>
      </c>
      <c r="D1799" s="8" t="inlineStr">
        <is>
          <t>spirit</t>
        </is>
      </c>
      <c r="E1799" s="8" t="inlineStr">
        <is>
          <t>fire</t>
        </is>
      </c>
      <c r="F1799" s="8" t="n">
        <v>1</v>
      </c>
      <c r="G1799" s="8" t="inlineStr">
        <is>
          <t>基础/顶层</t>
        </is>
      </c>
      <c r="H1799" s="8" t="inlineStr"/>
      <c r="I1799" s="9" t="inlineStr"/>
      <c r="J1799" s="8" t="inlineStr"/>
      <c r="K1799" s="8" t="inlineStr"/>
      <c r="L1799" s="8" t="inlineStr"/>
      <c r="M1799" s="8" t="inlineStr">
        <is>
          <t>消耗品效果</t>
        </is>
      </c>
      <c r="N1799" s="8" t="inlineStr">
        <is>
          <t>consumable</t>
        </is>
      </c>
      <c r="O1799" s="9" t="inlineStr">
        <is>
          <t>获得 16 层炎热；获得 20 层炎热；获得 26 层炎热；获得 30 层炎热</t>
        </is>
      </c>
      <c r="P1799" s="9" t="inlineStr">
        <is>
          <t>onConsumableExhausted</t>
        </is>
      </c>
      <c r="Q1799" s="9" t="inlineStr">
        <is>
          <t>applyBuff</t>
        </is>
      </c>
      <c r="R1799" s="9" t="inlineStr">
        <is>
          <t>{"kind":"consumable","label":"获得 16 层炎热","consumable":{"durationSec":2,"maxUses":7,"label":"获得 16 层炎热"},"executors":[{"trigger":"onConsumableExhausted","type":"applyBuff","buffId":"heat","count":16,"label":"获得 16 层炎热"}],"starOverrides":{"1":{"label":"获得 20 层炎热","consumable":{"durationSec":2,"maxUses":7,"label":"获得 20 层炎热"},"executors":[{"trigger":"onConsumableExhausted","type":"applyBuff","buffId":"heat","count":20,"label":"获得 20 层炎热"}]},"2":{"label":"获得 26 层炎热","consumable":{"durationSec":2,"maxUses":7,"label":"获得 26 层炎热"},"executors":[{"trigger":"onConsumableExhausted","type":"applyBuff","buffId":"heat","count":26,"label":"获得 26 层炎热"}]},"3":{"label":"获得 30 层炎热","consumable":{"durationSec":2,"maxUses":7,"label":"获得 30 层炎热"},"executors":[{"trigger":"onConsumableExhausted","type":"applyBuff","buffId":"heat","count":30,"label":"获得 30 层炎热"}]}}}</t>
        </is>
      </c>
    </row>
    <row r="1800" ht="32" customHeight="1">
      <c r="A1800" s="8" t="n">
        <v>714100</v>
      </c>
      <c r="B1800" s="8" t="inlineStr">
        <is>
          <t>盘卷腰筋引脉符</t>
        </is>
      </c>
      <c r="C1800" s="8" t="inlineStr">
        <is>
          <t>符箓</t>
        </is>
      </c>
      <c r="D1800" s="8" t="inlineStr">
        <is>
          <t>spirit</t>
        </is>
      </c>
      <c r="E1800" s="8" t="inlineStr">
        <is>
          <t>fire</t>
        </is>
      </c>
      <c r="F1800" s="8" t="n">
        <v>1</v>
      </c>
      <c r="G1800" s="8" t="inlineStr">
        <is>
          <t>基础/顶层</t>
        </is>
      </c>
      <c r="H1800" s="8" t="inlineStr"/>
      <c r="I1800" s="9" t="inlineStr"/>
      <c r="J1800" s="8" t="inlineStr"/>
      <c r="K1800" s="8" t="inlineStr"/>
      <c r="L1800" s="8" t="inlineStr"/>
      <c r="M1800" s="8" t="inlineStr">
        <is>
          <t>消耗品效果</t>
        </is>
      </c>
      <c r="N1800" s="8" t="inlineStr">
        <is>
          <t>consumable</t>
        </is>
      </c>
      <c r="O1800" s="9" t="inlineStr">
        <is>
          <t>最多将 10 层蓄势转化为 8 倍层数的护甲；最多将 12 层蓄势转化为 8 倍层数的护甲；最多将 14 层蓄势转化为 8 倍层数的护甲；最多将 16 层蓄势转化为 8 倍层数的护甲</t>
        </is>
      </c>
      <c r="P1800" s="9" t="inlineStr">
        <is>
          <t>onConsumableExhausted</t>
        </is>
      </c>
      <c r="Q1800" s="9" t="inlineStr">
        <is>
          <t>convertBuffStacks</t>
        </is>
      </c>
      <c r="R1800" s="9" t="inlineStr">
        <is>
          <t>{"kind":"consumable","label":"最多将 10 层蓄势转化为 8 倍层数的护甲","consumable":{"durationSec":2,"maxUses":5,"label":"最多将 10 层蓄势转化为 8 倍层数的护甲"},"executors":[{"trigger":"onConsumableExhausted","type":"convertBuffStacks","sourceBuffId":"heavy","targetBuffId":"armor","maxStacks":10,"consumeRatio":8,"label":"最多将 10 层蓄势转化为 8 倍层数的护甲"}],"starOverrides":{"1":{"label":"最多将 12 层蓄势转化为 8 倍层数的护甲","consumable":{"durationSec":2,"maxUses":5,"label":"最多将 12 层蓄势转化为 8 倍层数的护甲"},"executors":[{"trigger":"onConsumableExhausted","type":"convertBuffStacks","sourceBuffId":"heavy","targetBuffId":"armor","maxStacks":12,"consumeRatio":8,"label":"最多将 12 层蓄势转化为 8 倍层数的护甲"}]},"2":{"label":"最多将 14 层蓄势转化为 8 倍层数的护甲","consumable":{"durationSec":2,"maxUses":5,"label":"最多将 14 层蓄势转化为 8 倍层数的护甲"},"executors":[{"trigger":"onConsumableExhausted","type":"convertBuffStacks","sourceBuffId":"heavy","targetBuffId":"armor","maxStacks":14,"consumeRatio":8,"label":"最多将 14 层蓄势转化为 8 倍层数的护甲"}]},"3":{"label":"最多将 16 层蓄势转化为 8 倍层数的护甲","consumable":{"durationSec":2,"maxUses":5,"label":"最多将 16 层蓄势转化为 8 倍层数的护甲"},"executors":[{"trigger":"onConsumableExhausted","type":"convertBuffStacks","sourceBuffId":"heavy","targetBuffId":"armor","maxStacks":16,"consumeRatio":8,"label":"最多将 16 层蓄势转化为 8 倍层数的护甲"}]}}}</t>
        </is>
      </c>
    </row>
    <row r="1801" ht="32" customHeight="1">
      <c r="A1801" s="8" t="n">
        <v>714101</v>
      </c>
      <c r="B1801" s="8" t="inlineStr">
        <is>
          <t>滚压髋骨引脉符</t>
        </is>
      </c>
      <c r="C1801" s="8" t="inlineStr">
        <is>
          <t>符箓</t>
        </is>
      </c>
      <c r="D1801" s="8" t="inlineStr">
        <is>
          <t>spirit</t>
        </is>
      </c>
      <c r="E1801" s="8" t="inlineStr">
        <is>
          <t>earth</t>
        </is>
      </c>
      <c r="F1801" s="8" t="n">
        <v>1</v>
      </c>
      <c r="G1801" s="8" t="inlineStr">
        <is>
          <t>基础/顶层</t>
        </is>
      </c>
      <c r="H1801" s="8" t="inlineStr"/>
      <c r="I1801" s="9" t="inlineStr"/>
      <c r="J1801" s="8" t="inlineStr"/>
      <c r="K1801" s="8" t="inlineStr"/>
      <c r="L1801" s="8" t="inlineStr"/>
      <c r="M1801" s="8" t="inlineStr">
        <is>
          <t>消耗品效果</t>
        </is>
      </c>
      <c r="N1801" s="8" t="inlineStr">
        <is>
          <t>consumable</t>
        </is>
      </c>
      <c r="O1801" s="9" t="inlineStr">
        <is>
          <t>对敌方造成 80 点伤害，并移除敌方 8 层护甲；对敌方造成 100 点伤害，并移除敌方 12 层护甲；对敌方造成 120 点伤害，并移除敌方 16 层护甲；对敌方造成 140 点伤害，并移除敌方 20 层护甲</t>
        </is>
      </c>
      <c r="P1801" s="9" t="inlineStr">
        <is>
          <t>onConsumableExhausted</t>
        </is>
      </c>
      <c r="Q1801" s="9" t="inlineStr">
        <is>
          <t>battleDamageHealth；consumeBuffStacks</t>
        </is>
      </c>
      <c r="R1801" s="9" t="inlineStr">
        <is>
          <t>{"kind":"consumable","label":"&lt;battle&gt;对敌方造成 80 点伤害，并移除敌方 8 层护甲&lt;/battle&gt;","consumable":{"durationSec":2,"maxUses":3,"label":"&lt;battle&gt;对敌方造成 80 点伤害，并移除敌方 8 层护甲&lt;/battle&gt;"},"executors":[{"trigger":"onConsumableExhausted","type":"battleDamageHealth","amount":80,"support":"battleOnly","label":"&lt;battle&gt;对敌方造成 80 点伤害，并移除敌方 8 层护甲&lt;/battle&gt;"},{"trigger":"onConsumableExhausted","type":"consumeBuffStacks","sourceBuffId":"armor","consumeTargetActor":"enemy","maxStacks":8,"support":"battleOnly","label":"&lt;battle&gt;对敌方造成 80 点伤害，并移除敌方 8 层护甲&lt;/battle&gt;"}],"starOverrides":{"1":{"label":"&lt;battle&gt;对敌方造成 100 点伤害，并移除敌方 12 层护甲&lt;/battle&gt;","consumable":{"durationSec":2,"maxUses":3,"label":"&lt;battle&gt;对敌方造成 100 点伤害，并移除敌方 12 层护甲&lt;/battle&gt;"},"executors":[{"trigger":"onConsumableExhausted","type":"battleDamageHealth","amount":100,"support":"battleOnly","label":"&lt;battle&gt;对敌方造成 100 点伤害，并移除敌方 12 层护甲&lt;/battle&gt;"},{"trigger":"onConsumableExhausted","type":"consumeBuffStacks","sourceBuffId":"armor","consumeTargetActor":"enemy","maxStacks":12,"support":"battleOnly","label":"&lt;battle&gt;对敌方造成 100 点伤害，并移除敌方 12 层护甲&lt;/battle&gt;"}]},"2":{"label":"&lt;battle&gt;对敌方造成 120 点伤害，并移除敌方 16 层护甲&lt;/battle&gt;","consumable":{"durationSec":2,"maxUses":3,"label":"&lt;battle&gt;对敌方造成 120 点伤害，并移除敌方 16 层护甲&lt;/battle&gt;"},"executors":[{"trigger":"onConsumableExhausted","type":"battleDamageHealth","amount":120,"support":"battleOnly","label":"&lt;battle&gt;对敌方造成 120 点伤害，并移除敌方 16 层护甲&lt;/battle&gt;"},{"trigger":"onConsumableExhausted","type":"consumeBuffStacks","sourceBuffId":"armor","consumeTargetActor":"enemy","maxStacks":16,"support":"battleOnly","label":"&lt;battle&gt;对敌方造成 120 点伤害，并移除敌方 16 层护甲&lt;/battle&gt;"}]},"3":{"label":"&lt;battle&gt;对敌方造成 140 点伤害，并移除敌方 20 层护甲&lt;/battle&gt;","consumable":{"durationSec":2,"maxUses":3,"label":"&lt;battle&gt;对敌方造成 140 点伤害，并移除敌方 20 层护甲&lt;/battle&gt;"},"executors":[{"trigger":"onConsumableExhausted","type":"battleDamageHealth","amount":140,"support":"battleOnly","label":"&lt;battle&gt;对敌方造成 140 点伤害，并移除敌方 20 层护甲&lt;/battle&gt;"},{"trigger":"onConsumableExhausted","type":"consumeBuffStacks","sourceBuffId":"armor","consumeTargetActor":"enemy","maxStacks":20,"support":"battleOnly","label":"&lt;battle&gt;对敌方造成 140 点伤害，并移除敌方 20 层护甲&lt;/battle&gt;"}]}}}</t>
        </is>
      </c>
    </row>
    <row r="1802" ht="32" customHeight="1">
      <c r="A1802" s="8" t="n">
        <v>714102</v>
      </c>
      <c r="B1802" s="8" t="inlineStr">
        <is>
          <t>赤纹鼻甲引脉符</t>
        </is>
      </c>
      <c r="C1802" s="8" t="inlineStr">
        <is>
          <t>符箓</t>
        </is>
      </c>
      <c r="D1802" s="8" t="inlineStr">
        <is>
          <t>spirit</t>
        </is>
      </c>
      <c r="E1802" s="8" t="inlineStr">
        <is>
          <t>fire</t>
        </is>
      </c>
      <c r="F1802" s="8" t="n">
        <v>1</v>
      </c>
      <c r="G1802" s="8" t="inlineStr">
        <is>
          <t>基础/顶层</t>
        </is>
      </c>
      <c r="H1802" s="8" t="inlineStr"/>
      <c r="I1802" s="9" t="inlineStr"/>
      <c r="J1802" s="8" t="inlineStr"/>
      <c r="K1802" s="8" t="inlineStr"/>
      <c r="L1802" s="8" t="inlineStr"/>
      <c r="M1802" s="8" t="inlineStr">
        <is>
          <t>消耗品效果</t>
        </is>
      </c>
      <c r="N1802" s="8" t="inlineStr">
        <is>
          <t>consumable</t>
        </is>
      </c>
      <c r="O1802" s="9" t="inlineStr">
        <is>
          <t>对敌方造成 70 点伤害，并施加 8 层灼烧；对敌方造成 90 点伤害，并施加 10 层灼烧；对敌方造成 110 点伤害，并施加 12 层灼烧；对敌方造成 130 点伤害，并施加 14 层灼烧</t>
        </is>
      </c>
      <c r="P1802" s="9" t="inlineStr">
        <is>
          <t>onConsumableExhausted</t>
        </is>
      </c>
      <c r="Q1802" s="9" t="inlineStr">
        <is>
          <t>battleDamageHealth；applyBuff</t>
        </is>
      </c>
      <c r="R1802" s="9" t="inlineStr">
        <is>
          <t>{"kind":"consumable","label":"&lt;battle&gt;对敌方造成 70 点伤害，并施加 8 层灼烧&lt;/battle&gt;","consumable":{"durationSec":2,"maxUses":3,"label":"&lt;battle&gt;对敌方造成 70 点伤害，并施加 8 层灼烧&lt;/battle&gt;"},"executors":[{"trigger":"onConsumableExhausted","type":"battleDamageHealth","amount":70,"support":"battleOnly","label":"&lt;battle&gt;对敌方造成 70 点伤害，并施加 8 层灼烧&lt;/battle&gt;"},{"trigger":"onConsumableExhausted","type":"applyBuff","buffId":"burning","count":8,"targetActor":"enemy","support":"battleOnly","label":"&lt;battle&gt;对敌方造成 70 点伤害，并施加 8 层灼烧&lt;/battle&gt;"}],"starOverrides":{"1":{"label":"&lt;battle&gt;对敌方造成 90 点伤害，并施加 10 层灼烧&lt;/battle&gt;","consumable":{"durationSec":2,"maxUses":3,"label":"&lt;battle&gt;对敌方造成 90 点伤害，并施加 10 层灼烧&lt;/battle&gt;"},"executors":[{"trigger":"onConsumableExhausted","type":"battleDamageHealth","amount":90,"support":"battleOnly","label":"&lt;battle&gt;对敌方造成 90 点伤害，并施加 10 层灼烧&lt;/battle&gt;"},{"trigger":"onConsumableExhausted","type":"applyBuff","buffId":"burning","count":10,"targetActor":"enemy","support":"battleOnly","label":"&lt;battle&gt;对敌方造成 90 点伤害，并施加 10 层灼烧&lt;/battle&gt;"}]},"2":{"label":"&lt;battle&gt;对敌方造成 110 点伤害，并施加 12 层灼烧&lt;/battle&gt;","consumable":{"durationSec":2,"maxUses":3,"label":"&lt;battle&gt;对敌方造成 110 点伤害，并施加 12 层灼烧&lt;/battle&gt;"},"executors":[{"trigger":"onConsumableExhausted","type":"battleDamageHealth","amount":110,"support":"battleOnly","label":"&lt;battle&gt;对敌方造成 110 点伤害，并施加 12 层灼烧&lt;/battle&gt;"},{"trigger":"onConsumableExhausted","type":"applyBuff","buffId":"burning","count":12,"targetActor":"enemy","support":"battleOnly","label":"&lt;battle&gt;对敌方造成 110 点伤害，并施加 12 层灼烧&lt;/battle&gt;"}]},"3":{"label":"&lt;battle&gt;对敌方造成 130 点伤害，并施加 14 层灼烧&lt;/battle&gt;","consumable":{"durationSec":2,"maxUses":3,"label":"&lt;battle&gt;对敌方造成 130 点伤害，并施加 14 层灼烧&lt;/battle&gt;"},"executors":[{"trigger":"onConsumableExhausted","type":"battleDamageHealth","amount":130,"support":"battleOnly","label":"&lt;battle&gt;对敌方造成 130 点伤害，并施加 14 层灼烧&lt;/battle&gt;"},{"trigger":"onConsumableExhausted","type":"applyBuff","buffId":"burning","count":14,"targetActor":"enemy","support":"battleOnly","label":"&lt;battle&gt;对敌方造成 130 点伤害，并施加 14 层灼烧&lt;/battle&gt;"}]}}}</t>
        </is>
      </c>
    </row>
    <row r="1803" ht="32" customHeight="1">
      <c r="A1803" s="8" t="n">
        <v>714500</v>
      </c>
      <c r="B1803" s="8" t="inlineStr">
        <is>
          <t>风听耳羽引脉符</t>
        </is>
      </c>
      <c r="C1803" s="8" t="inlineStr">
        <is>
          <t>符箓</t>
        </is>
      </c>
      <c r="D1803" s="8" t="inlineStr">
        <is>
          <t>spirit</t>
        </is>
      </c>
      <c r="E1803" s="8" t="inlineStr">
        <is>
          <t>none</t>
        </is>
      </c>
      <c r="F1803" s="8" t="n">
        <v>1</v>
      </c>
      <c r="G1803" s="8" t="inlineStr">
        <is>
          <t>基础/顶层</t>
        </is>
      </c>
      <c r="H1803" s="8" t="inlineStr"/>
      <c r="I1803" s="9" t="inlineStr"/>
      <c r="J1803" s="8" t="inlineStr"/>
      <c r="K1803" s="8" t="inlineStr"/>
      <c r="L1803" s="8" t="inlineStr"/>
      <c r="M1803" s="8" t="inlineStr">
        <is>
          <t>消耗品效果</t>
        </is>
      </c>
      <c r="N1803" s="8" t="inlineStr">
        <is>
          <t>consumable</t>
        </is>
      </c>
      <c r="O1803" s="9" t="inlineStr">
        <is>
          <t>冻结敌方随机 1 件道具 8 秒；冻结敌方随机 1 件道具 10 秒；冻结敌方随机 1 件道具 13 秒；冻结敌方随机 1 件道具 15 秒</t>
        </is>
      </c>
      <c r="P1803" s="9" t="inlineStr">
        <is>
          <t>onConsumableExhausted</t>
        </is>
      </c>
      <c r="Q1803" s="9" t="inlineStr">
        <is>
          <t>itemRuntimeStatus</t>
        </is>
      </c>
      <c r="R1803" s="9" t="inlineStr">
        <is>
          <t>{"kind":"consumable","label":"&lt;battle&gt;冻结敌方随机 1 件道具 8 秒&lt;/battle&gt;","consumable":{"durationSec":2,"maxUses":4,"label":"&lt;battle&gt;冻结敌方随机 1 件道具 8 秒&lt;/battle&gt;"},"executors":[{"trigger":"onConsumableExhausted","type":"itemRuntimeStatus","itemRuntimeStatus":"freeze","durationSec":8,"targetActor":"enemy","targetScope":"enemyRandom","amount":1,"support":"battleOnly","label":"&lt;battle&gt;冻结敌方随机 1 件道具 8 秒&lt;/battle&gt;"}],"starOverrides":{"1":{"label":"&lt;battle&gt;冻结敌方随机 1 件道具 10 秒&lt;/battle&gt;","consumable":{"durationSec":2,"maxUses":4,"label":"&lt;battle&gt;冻结敌方随机 1 件道具 10 秒&lt;/battle&gt;"},"executors":[{"trigger":"onConsumableExhausted","type":"itemRuntimeStatus","itemRuntimeStatus":"freeze","durationSec":10,"targetActor":"enemy","targetScope":"enemyRandom","amount":1,"support":"battleOnly","label":"&lt;battle&gt;冻结敌方随机 1 件道具 10 秒&lt;/battle&gt;"}]},"2":{"label":"&lt;battle&gt;冻结敌方随机 1 件道具 13 秒&lt;/battle&gt;","consumable":{"durationSec":2,"maxUses":4,"label":"&lt;battle&gt;冻结敌方随机 1 件道具 13 秒&lt;/battle&gt;"},"executors":[{"trigger":"onConsumableExhausted","type":"itemRuntimeStatus","itemRuntimeStatus":"freeze","durationSec":13,"targetActor":"enemy","targetScope":"enemyRandom","amount":1,"support":"battleOnly","label":"&lt;battle&gt;冻结敌方随机 1 件道具 13 秒&lt;/battle&gt;"}]},"3":{"label":"&lt;battle&gt;冻结敌方随机 1 件道具 15 秒&lt;/battle&gt;","consumable":{"durationSec":2,"maxUses":4,"label":"&lt;battle&gt;冻结敌方随机 1 件道具 15 秒&lt;/battle&gt;"},"executors":[{"trigger":"onConsumableExhausted","type":"itemRuntimeStatus","itemRuntimeStatus":"freeze","durationSec":15,"targetActor":"enemy","targetScope":"enemyRandom","amount":1,"support":"battleOnly","label":"&lt;battle&gt;冻结敌方随机 1 件道具 15 秒&lt;/battle&gt;"}]}}}</t>
        </is>
      </c>
    </row>
    <row r="1804" ht="32" customHeight="1">
      <c r="A1804" s="8" t="n">
        <v>714501</v>
      </c>
      <c r="B1804" s="8" t="inlineStr">
        <is>
          <t>踏震踝核引脉符</t>
        </is>
      </c>
      <c r="C1804" s="8" t="inlineStr">
        <is>
          <t>符箓</t>
        </is>
      </c>
      <c r="D1804" s="8" t="inlineStr">
        <is>
          <t>spirit</t>
        </is>
      </c>
      <c r="E1804" s="8" t="inlineStr">
        <is>
          <t>metal</t>
        </is>
      </c>
      <c r="F1804" s="8" t="n">
        <v>1</v>
      </c>
      <c r="G1804" s="8" t="inlineStr">
        <is>
          <t>基础/顶层</t>
        </is>
      </c>
      <c r="H1804" s="8" t="inlineStr"/>
      <c r="I1804" s="9" t="inlineStr"/>
      <c r="J1804" s="8" t="inlineStr"/>
      <c r="K1804" s="8" t="inlineStr"/>
      <c r="L1804" s="8" t="inlineStr"/>
      <c r="M1804" s="8" t="inlineStr">
        <is>
          <t>消耗品效果</t>
        </is>
      </c>
      <c r="N1804" s="8" t="inlineStr">
        <is>
          <t>consumable</t>
        </is>
      </c>
      <c r="O1804" s="9" t="inlineStr">
        <is>
          <t>消耗 6 点体力，对敌方造成 60 点伤害，并施加 6 层冰霜；消耗 3 点体力，对敌方造成 60 点伤害，并施加 6 层冰霜；消耗 8 点体力，对敌方造成 80 点伤害，并施加 8 层冰霜；消耗 10 点体力，对敌方造成 100 点伤害，并施加 10 层冰霜；消耗 12 点体力，对敌方造成 120 点伤害，并施加 12 层冰霜</t>
        </is>
      </c>
      <c r="P1804" s="9" t="inlineStr">
        <is>
          <t>onConsumableExhausted</t>
        </is>
      </c>
      <c r="Q1804" s="9" t="inlineStr">
        <is>
          <t>battleDamageHealth；applyBuff；modifyPlayerPrimaryStat</t>
        </is>
      </c>
      <c r="R1804" s="9" t="inlineStr">
        <is>
          <t>{"kind":"consumable","label":"消耗 6 点体力，&lt;battle&gt;对敌方造成 60 点伤害，并施加 6 层冰霜&lt;/battle&gt;","consumable":{"durationSec":2,"maxUses":4,"label":"消耗 6 点体力，&lt;battle&gt;对敌方造成 60 点伤害，并施加 6 层冰霜&lt;/battle&gt;"},"executors":[{"trigger":"onConsumableExhausted","type":"battleDamageHealth","amount":60,"support":"battleOnly","label":"消耗 6 点体力，&lt;battle&gt;对敌方造成 60 点伤害，并施加 6 层冰霜&lt;/battle&gt;","activationRequirements":{"primaryStatThreshold":{"stat":"stamina","comparator":"atLeast","amount":6}}},{"trigger":"onConsumableExhausted","type":"applyBuff","buffId":"frost","count":6,"targetActor":"enemy","support":"battleOnly","label":"消耗 6 点体力，&lt;battle&gt;对敌方造成 60 点伤害，并施加 6 层冰霜&lt;/battle&gt;","activationRequirements":{"primaryStatThreshold":{"stat":"stamina","comparator":"atLeast","amount":6}}},{"trigger":"onConsumableExhausted","type":"modifyPlayerPrimaryStat","stat":"stamina","delta":-6,"label":"消耗 3 点体力，&lt;battle&gt;对敌方造成 60 点伤害，并施加 6 层冰霜&lt;/battle&gt;"}],"starOverrides":{"1":{"label":"消耗 8 点体力，&lt;battle&gt;对敌方造成 80 点伤害，并施加 8 层冰霜&lt;/battle&gt;","consumable":{"durationSec":2,"maxUses":4,"label":"消耗 8 点体力，&lt;battle&gt;对敌方造成 80 点伤害，并施加 8 层冰霜&lt;/battle&gt;"},"executors":[{"trigger":"onConsumableExhausted","type":"battleDamageHealth","amount":80,"support":"battleOnly","label":"消耗 8 点体力，&lt;battle&gt;对敌方造成 80 点伤害，并施加 8 层冰霜&lt;/battle&gt;","activationRequirements":{"primaryStatThreshold":{"stat":"stamina","comparator":"atLeast","amount":4}}},{"trigger":"onConsumableExhausted","type":"applyBuff","buffId":"frost","count":8,"targetActor":"enemy","support":"battleOnly","label":"消耗 8 点体力，&lt;battle&gt;对敌方造成 80 点伤害，并施加 8 层冰霜&lt;/battle&gt;","activationRequirements":{"primaryStatThreshold":{"stat":"stamina","comparator":"atLeast","amount":4}}},{"trigger":"onConsumableExhausted","type":"modifyPlayerPrimaryStat","stat":"stamina","delta":-8,"label":"消耗 8 点体力，&lt;battle&gt;对敌方造成 80 点伤害，并施加 8 层冰霜&lt;/battle&gt;"}]},"2":{"label":"消耗 10 点体力，&lt;battle&gt;对敌方造成 100 点伤害，并施加 10 层冰霜&lt;/battle&gt;","consumable":{"durationSec":2,"maxUses":4,"label":"消耗 10 点体力，&lt;battle&gt;对敌方造成 100 点伤害，并施加 10 层冰霜&lt;/battle&gt;"},"executors":[{"trigger":"onConsumableExhausted","type":"battleDamageHealth","amount":100,"support":"battleOnly","label":"消耗 10 点体力，&lt;battle&gt;对敌方造成 100 点伤害，并施加 10 层冰霜&lt;/battle&gt;","activationRequirements":{"primaryStatThreshold":{"stat":"stamina","comparator":"atLeast","amount":5}}},{"trigger":"onConsumableExhausted","type":"applyBuff","buffId":"frost","count":10,"targetActor":"enemy","support":"battleOnly","label":"消耗 10 点体力，&lt;battle&gt;对敌方造成 100 点伤害，并施加 10 层冰霜&lt;/battle&gt;","activationRequirements":{"primaryStatThreshold":{"stat":"stamina","comparator":"atLeast","amount":5}}},{"trigger":"onConsumableExhausted","type":"modifyPlayerPrimaryStat","stat":"stamina","delta":-10,"label":"消耗 10 点体力，&lt;battle&gt;对敌方造成 100 点伤害，并施加 10 层冰霜&lt;/battle&gt;"}]},"3":{"label":"消耗 12 点体力，&lt;battle&gt;对敌方造成 120 点伤害，并施加 12 层冰霜&lt;/battle&gt;","consumable":{"durationSec":2,"maxUses":4,"label":"消耗 12 点体力，&lt;battle&gt;对敌方造成 120 点伤害，并施加 12 层冰霜&lt;/battle&gt;"},"executors":[{"trigger":"onConsumableExhausted","type":"battleDamageHealth","amount":120,"support":"battleOnly","label":"消耗 12 点体力，&lt;battle&gt;对敌方造成 120 点伤害，并施加 12 层冰霜&lt;/battle&gt;","activationRequirements":{"primaryStatThreshold":{"stat":"stamina","comparator":"atLeast","amount":6}}},{"trigger":"onConsumableExhausted","type":"applyBuff","buffId":"frost","count":12,"targetActor":"enemy","support":"battleOnly","label":"消耗 12 点体力，&lt;battle&gt;对敌方造成 120 点伤害，并施加 12 层冰霜&lt;/battle&gt;","activationRequirements":{"primaryStatThreshold":{"stat":"stamina","comparator":"atLeast","amount":6}}},{"trigger":"onConsumableExhausted","type":"modifyPlayerPrimaryStat","stat":"stamina","delta":-12,"label":"消耗 12 点体力，&lt;battle&gt;对敌方造成 120 点伤害，并施加 12 层冰霜&lt;/battle&gt;"}]}}}</t>
        </is>
      </c>
    </row>
    <row r="1805" ht="32" customHeight="1">
      <c r="A1805" s="8" t="n">
        <v>714502</v>
      </c>
      <c r="B1805" s="8" t="inlineStr">
        <is>
          <t>回弹颈侧筋引脉符</t>
        </is>
      </c>
      <c r="C1805" s="8" t="inlineStr">
        <is>
          <t>符箓</t>
        </is>
      </c>
      <c r="D1805" s="8" t="inlineStr">
        <is>
          <t>spirit</t>
        </is>
      </c>
      <c r="E1805" s="8" t="inlineStr">
        <is>
          <t>wood</t>
        </is>
      </c>
      <c r="F1805" s="8" t="n">
        <v>1</v>
      </c>
      <c r="G1805" s="8" t="inlineStr">
        <is>
          <t>基础/顶层</t>
        </is>
      </c>
      <c r="H1805" s="8" t="inlineStr"/>
      <c r="I1805" s="9" t="inlineStr"/>
      <c r="J1805" s="8" t="inlineStr"/>
      <c r="K1805" s="8" t="inlineStr"/>
      <c r="L1805" s="8" t="inlineStr"/>
      <c r="M1805" s="8" t="inlineStr">
        <is>
          <t>消耗品效果</t>
        </is>
      </c>
      <c r="N1805" s="8" t="inlineStr">
        <is>
          <t>consumable</t>
        </is>
      </c>
      <c r="O1805" s="9" t="inlineStr">
        <is>
          <t>敌方随机 2 件道具获得 8 秒减速；敌方随机 2 件道具获得 10 秒减速；敌方随机 2 件道具获得 13 秒减速；敌方随机 2 件道具获得 15 秒减速</t>
        </is>
      </c>
      <c r="P1805" s="9" t="inlineStr">
        <is>
          <t>onConsumableExhausted</t>
        </is>
      </c>
      <c r="Q1805" s="9" t="inlineStr">
        <is>
          <t>itemRuntimeStatus</t>
        </is>
      </c>
      <c r="R1805" s="9" t="inlineStr">
        <is>
          <t>{"kind":"consumable","label":"&lt;battle&gt;敌方随机 2 件道具获得 8 秒减速&lt;/battle&gt;","consumable":{"durationSec":2,"maxUses":4,"label":"&lt;battle&gt;敌方随机 2 件道具获得 8 秒减速&lt;/battle&gt;"},"executors":[{"trigger":"onConsumableExhausted","type":"itemRuntimeStatus","itemRuntimeStatus":"slow","durationSec":8,"targetActor":"enemy","targetScope":"enemyRandom","amount":2,"support":"battleOnly","label":"&lt;battle&gt;敌方随机 2 件道具获得 8 秒减速&lt;/battle&gt;"}],"starOverrides":{"1":{"label":"&lt;battle&gt;敌方随机 2 件道具获得 10 秒减速&lt;/battle&gt;","consumable":{"durationSec":2,"maxUses":4,"label":"&lt;battle&gt;敌方随机 2 件道具获得 10 秒减速&lt;/battle&gt;"},"executors":[{"trigger":"onConsumableExhausted","type":"itemRuntimeStatus","itemRuntimeStatus":"slow","durationSec":10,"targetActor":"enemy","targetScope":"enemyRandom","amount":2,"support":"battleOnly","label":"&lt;battle&gt;敌方随机 2 件道具获得 10 秒减速&lt;/battle&gt;"}]},"2":{"label":"&lt;battle&gt;敌方随机 2 件道具获得 13 秒减速&lt;/battle&gt;","consumable":{"durationSec":2,"maxUses":4,"label":"&lt;battle&gt;敌方随机 2 件道具获得 13 秒减速&lt;/battle&gt;"},"executors":[{"trigger":"onConsumableExhausted","type":"itemRuntimeStatus","itemRuntimeStatus":"slow","durationSec":13,"targetActor":"enemy","targetScope":"enemyRandom","amount":2,"support":"battleOnly","label":"&lt;battle&gt;敌方随机 2 件道具获得 13 秒减速&lt;/battle&gt;"}]},"3":{"label":"&lt;battle&gt;敌方随机 2 件道具获得 15 秒减速&lt;/battle&gt;","consumable":{"durationSec":2,"maxUses":4,"label":"&lt;battle&gt;敌方随机 2 件道具获得 15 秒减速&lt;/battle&gt;"},"executors":[{"trigger":"onConsumableExhausted","type":"itemRuntimeStatus","itemRuntimeStatus":"slow","durationSec":15,"targetActor":"enemy","targetScope":"enemyRandom","amount":2,"support":"battleOnly","label":"&lt;battle&gt;敌方随机 2 件道具获得 15 秒减速&lt;/battle&gt;"}]}}}</t>
        </is>
      </c>
    </row>
    <row r="1806" ht="32" customHeight="1">
      <c r="A1806" s="8" t="n">
        <v>714800</v>
      </c>
      <c r="B1806" s="8" t="inlineStr">
        <is>
          <t>盔角髓晶引脉符</t>
        </is>
      </c>
      <c r="C1806" s="8" t="inlineStr">
        <is>
          <t>符箓</t>
        </is>
      </c>
      <c r="D1806" s="8" t="inlineStr">
        <is>
          <t>spirit</t>
        </is>
      </c>
      <c r="E1806" s="8" t="inlineStr">
        <is>
          <t>metal</t>
        </is>
      </c>
      <c r="F1806" s="8" t="n">
        <v>1</v>
      </c>
      <c r="G1806" s="8" t="inlineStr">
        <is>
          <t>基础/顶层</t>
        </is>
      </c>
      <c r="H1806" s="8" t="inlineStr"/>
      <c r="I1806" s="9" t="inlineStr"/>
      <c r="J1806" s="8" t="inlineStr"/>
      <c r="K1806" s="8" t="inlineStr"/>
      <c r="L1806" s="8" t="inlineStr"/>
      <c r="M1806" s="8" t="inlineStr">
        <is>
          <t>消耗品效果</t>
        </is>
      </c>
      <c r="N1806" s="8" t="inlineStr">
        <is>
          <t>consumable</t>
        </is>
      </c>
      <c r="O1806" s="9" t="inlineStr">
        <is>
          <t>冻结敌方占格面积最大的道具 8 秒；冻结敌方占格面积最大的道具 10 秒；冻结敌方占格面积最大的道具 13 秒；冻结敌方占格面积最大的道具 15 秒</t>
        </is>
      </c>
      <c r="P1806" s="9" t="inlineStr">
        <is>
          <t>onConsumableExhausted</t>
        </is>
      </c>
      <c r="Q1806" s="9" t="inlineStr">
        <is>
          <t>itemRuntimeStatus</t>
        </is>
      </c>
      <c r="R1806" s="9" t="inlineStr">
        <is>
          <t>{"kind":"consumable","label":"&lt;battle&gt;冻结敌方占格面积最大的道具 8 秒&lt;/battle&gt;","consumable":{"durationSec":2,"maxUses":4,"label":"&lt;battle&gt;冻结敌方占格面积最大的道具 8 秒&lt;/battle&gt;"},"executors":[{"trigger":"onConsumableExhausted","type":"itemRuntimeStatus","itemRuntimeStatus":"freeze","durationSec":8,"targetActor":"enemy","targetScope":"enemyLargest","amount":1,"support":"battleOnly","label":"&lt;battle&gt;冻结敌方占格面积最大的道具 8 秒&lt;/battle&gt;"}],"starOverrides":{"1":{"label":"&lt;battle&gt;冻结敌方占格面积最大的道具 10 秒&lt;/battle&gt;","consumable":{"durationSec":2,"maxUses":4,"label":"&lt;battle&gt;冻结敌方占格面积最大的道具 10 秒&lt;/battle&gt;"},"executors":[{"trigger":"onConsumableExhausted","type":"itemRuntimeStatus","itemRuntimeStatus":"freeze","durationSec":10,"targetActor":"enemy","targetScope":"enemyLargest","amount":1,"support":"battleOnly","label":"&lt;battle&gt;冻结敌方占格面积最大的道具 10 秒&lt;/battle&gt;"}]},"2":{"label":"&lt;battle&gt;冻结敌方占格面积最大的道具 13 秒&lt;/battle&gt;","consumable":{"durationSec":2,"maxUses":4,"label":"&lt;battle&gt;冻结敌方占格面积最大的道具 13 秒&lt;/battle&gt;"},"executors":[{"trigger":"onConsumableExhausted","type":"itemRuntimeStatus","itemRuntimeStatus":"freeze","durationSec":13,"targetActor":"enemy","targetScope":"enemyLargest","amount":1,"support":"battleOnly","label":"&lt;battle&gt;冻结敌方占格面积最大的道具 13 秒&lt;/battle&gt;"}]},"3":{"label":"&lt;battle&gt;冻结敌方占格面积最大的道具 15 秒&lt;/battle&gt;","consumable":{"durationSec":2,"maxUses":4,"label":"&lt;battle&gt;冻结敌方占格面积最大的道具 15 秒&lt;/battle&gt;"},"executors":[{"trigger":"onConsumableExhausted","type":"itemRuntimeStatus","itemRuntimeStatus":"freeze","durationSec":15,"targetActor":"enemy","targetScope":"enemyLargest","amount":1,"support":"battleOnly","label":"&lt;battle&gt;冻结敌方占格面积最大的道具 15 秒&lt;/battle&gt;"}]}}}</t>
        </is>
      </c>
    </row>
    <row r="1807" ht="32" customHeight="1">
      <c r="A1807" s="8" t="n">
        <v>714801</v>
      </c>
      <c r="B1807" s="8" t="inlineStr">
        <is>
          <t>节足韧筋引脉符</t>
        </is>
      </c>
      <c r="C1807" s="8" t="inlineStr">
        <is>
          <t>符箓</t>
        </is>
      </c>
      <c r="D1807" s="8" t="inlineStr">
        <is>
          <t>spirit</t>
        </is>
      </c>
      <c r="E1807" s="8" t="inlineStr">
        <is>
          <t>wood</t>
        </is>
      </c>
      <c r="F1807" s="8" t="n">
        <v>1</v>
      </c>
      <c r="G1807" s="8" t="inlineStr">
        <is>
          <t>基础/顶层</t>
        </is>
      </c>
      <c r="H1807" s="8" t="inlineStr"/>
      <c r="I1807" s="9" t="inlineStr"/>
      <c r="J1807" s="8" t="inlineStr"/>
      <c r="K1807" s="8" t="inlineStr"/>
      <c r="L1807" s="8" t="inlineStr"/>
      <c r="M1807" s="8" t="inlineStr">
        <is>
          <t>消耗品效果</t>
        </is>
      </c>
      <c r="N1807" s="8" t="inlineStr">
        <is>
          <t>consumable</t>
        </is>
      </c>
      <c r="O1807" s="9" t="inlineStr">
        <is>
          <t>使相邻武器获得 13 秒加速；使相邻武器获得 15 秒加速；使相邻武器获得 18 秒加速；使相邻武器获得 20 秒加速</t>
        </is>
      </c>
      <c r="P1807" s="9" t="inlineStr">
        <is>
          <t>onConsumableExhausted</t>
        </is>
      </c>
      <c r="Q1807" s="9" t="inlineStr">
        <is>
          <t>itemRuntimeStatus</t>
        </is>
      </c>
      <c r="R1807" s="9" t="inlineStr">
        <is>
          <t>{"kind":"consumable","label":"使相邻武器获得 13 秒加速","consumable":{"durationSec":2,"maxUses":6,"label":"使相邻武器获得 13 秒加速"},"executors":[{"trigger":"onConsumableExhausted","type":"itemRuntimeStatus","itemRuntimeStatus":"haste","durationSec":13,"targetActor":"self","targetScope":"adjacent","targetFilter":{"features":["weapon"]},"label":"使相邻武器获得 13 秒加速"}],"starOverrides":{"1":{"label":"使相邻武器获得 15 秒加速","consumable":{"durationSec":2,"maxUses":6,"label":"使相邻武器获得 15 秒加速"},"executors":[{"trigger":"onConsumableExhausted","type":"itemRuntimeStatus","itemRuntimeStatus":"haste","durationSec":15,"targetActor":"self","targetScope":"adjacent","targetFilter":{"features":["weapon"]},"label":"使相邻武器获得 15 秒加速"}]},"2":{"label":"使相邻武器获得 18 秒加速","consumable":{"durationSec":2,"maxUses":6,"label":"使相邻武器获得 18 秒加速"},"executors":[{"trigger":"onConsumableExhausted","type":"itemRuntimeStatus","itemRuntimeStatus":"haste","durationSec":18,"targetActor":"self","targetScope":"adjacent","targetFilter":{"features":["weapon"]},"label":"使相邻武器获得 18 秒加速"}]},"3":{"label":"使相邻武器获得 20 秒加速","consumable":{"durationSec":2,"maxUses":6,"label":"使相邻武器获得 20 秒加速"},"executors":[{"trigger":"onConsumableExhausted","type":"itemRuntimeStatus","itemRuntimeStatus":"haste","durationSec":20,"targetActor":"self","targetScope":"adjacent","targetFilter":{"features":["weapon"]},"label":"使相邻武器获得 20 秒加速"}]}}}</t>
        </is>
      </c>
    </row>
    <row r="1808" ht="32" customHeight="1">
      <c r="A1808" s="8" t="n">
        <v>714802</v>
      </c>
      <c r="B1808" s="8" t="inlineStr">
        <is>
          <t>胸腔鸣膜引脉符</t>
        </is>
      </c>
      <c r="C1808" s="8" t="inlineStr">
        <is>
          <t>符箓</t>
        </is>
      </c>
      <c r="D1808" s="8" t="inlineStr">
        <is>
          <t>spirit</t>
        </is>
      </c>
      <c r="E1808" s="8" t="inlineStr">
        <is>
          <t>fire</t>
        </is>
      </c>
      <c r="F1808" s="8" t="n">
        <v>1</v>
      </c>
      <c r="G1808" s="8" t="inlineStr">
        <is>
          <t>基础/顶层</t>
        </is>
      </c>
      <c r="H1808" s="8" t="inlineStr"/>
      <c r="I1808" s="9" t="inlineStr"/>
      <c r="J1808" s="8" t="inlineStr"/>
      <c r="K1808" s="8" t="inlineStr"/>
      <c r="L1808" s="8" t="inlineStr"/>
      <c r="M1808" s="8" t="inlineStr">
        <is>
          <t>消耗品效果</t>
        </is>
      </c>
      <c r="N1808" s="8" t="inlineStr">
        <is>
          <t>consumable</t>
        </is>
      </c>
      <c r="O1808" s="9" t="inlineStr">
        <is>
          <t>对敌方施加 4 层麻痹；对敌方施加 6 层麻痹；对敌方施加 10 层麻痹；对敌方施加 12 层麻痹</t>
        </is>
      </c>
      <c r="P1808" s="9" t="inlineStr">
        <is>
          <t>onConsumableExhausted</t>
        </is>
      </c>
      <c r="Q1808" s="9" t="inlineStr">
        <is>
          <t>applyBuff</t>
        </is>
      </c>
      <c r="R1808" s="9" t="inlineStr">
        <is>
          <t>{"kind":"consumable","label":"&lt;battle&gt;对敌方施加 4 层麻痹&lt;/battle&gt;","consumable":{"durationSec":2,"maxUses":4,"label":"&lt;battle&gt;对敌方施加 4 层麻痹&lt;/battle&gt;"},"executors":[{"trigger":"onConsumableExhausted","type":"applyBuff","buffId":"paralysis","count":4,"targetActor":"enemy","support":"battleOnly","label":"&lt;battle&gt;对敌方施加 4 层麻痹&lt;/battle&gt;"}],"starOverrides":{"1":{"label":"&lt;battle&gt;对敌方施加 6 层麻痹&lt;/battle&gt;","consumable":{"durationSec":2,"maxUses":4,"label":"&lt;battle&gt;对敌方施加 6 层麻痹&lt;/battle&gt;"},"executors":[{"trigger":"onConsumableExhausted","type":"applyBuff","buffId":"paralysis","count":6,"targetActor":"enemy","support":"battleOnly","label":"&lt;battle&gt;对敌方施加 6 层麻痹&lt;/battle&gt;"}]},"2":{"label":"&lt;battle&gt;对敌方施加 10 层麻痹&lt;/battle&gt;","consumable":{"durationSec":2,"maxUses":4,"label":"&lt;battle&gt;对敌方施加 10 层麻痹&lt;/battle&gt;"},"executors":[{"trigger":"onConsumableExhausted","type":"applyBuff","buffId":"paralysis","count":10,"targetActor":"enemy","support":"battleOnly","label":"&lt;battle&gt;对敌方施加 10 层麻痹&lt;/battle&gt;"}]},"3":{"label":"&lt;battle&gt;对敌方施加 12 层麻痹&lt;/battle&gt;","consumable":{"durationSec":2,"maxUses":4,"label":"&lt;battle&gt;对敌方施加 12 层麻痹&lt;/battle&gt;"},"executors":[{"trigger":"onConsumableExhausted","type":"applyBuff","buffId":"paralysis","count":12,"targetActor":"enemy","support":"battleOnly","label":"&lt;battle&gt;对敌方施加 12 层麻痹&lt;/battle&gt;"}]}}}</t>
        </is>
      </c>
    </row>
    <row r="1809" ht="32" customHeight="1">
      <c r="A1809" s="8" t="n">
        <v>715000</v>
      </c>
      <c r="B1809" s="8" t="inlineStr">
        <is>
          <t>青铜钩杆节引脉符</t>
        </is>
      </c>
      <c r="C1809" s="8" t="inlineStr">
        <is>
          <t>符箓</t>
        </is>
      </c>
      <c r="D1809" s="8" t="inlineStr">
        <is>
          <t>spirit</t>
        </is>
      </c>
      <c r="E1809" s="8" t="inlineStr">
        <is>
          <t>metal</t>
        </is>
      </c>
      <c r="F1809" s="8" t="n">
        <v>1</v>
      </c>
      <c r="G1809" s="8" t="inlineStr">
        <is>
          <t>基础/顶层</t>
        </is>
      </c>
      <c r="H1809" s="8" t="inlineStr"/>
      <c r="I1809" s="9" t="inlineStr"/>
      <c r="J1809" s="8" t="inlineStr"/>
      <c r="K1809" s="8" t="inlineStr"/>
      <c r="L1809" s="8" t="inlineStr"/>
      <c r="M1809" s="8" t="inlineStr">
        <is>
          <t>消耗品效果</t>
        </is>
      </c>
      <c r="N1809" s="8" t="inlineStr">
        <is>
          <t>consumable</t>
        </is>
      </c>
      <c r="O1809" s="9" t="inlineStr">
        <is>
          <t>冻结敌方随机 2 件道具 3 秒；冻结敌方随机 2 件道具 5 秒；冻结敌方随机 2 件道具 8 秒；冻结敌方随机 2 件道具 10 秒</t>
        </is>
      </c>
      <c r="P1809" s="9" t="inlineStr">
        <is>
          <t>onConsumableExhausted</t>
        </is>
      </c>
      <c r="Q1809" s="9" t="inlineStr">
        <is>
          <t>itemRuntimeStatus</t>
        </is>
      </c>
      <c r="R1809" s="9" t="inlineStr">
        <is>
          <t>{"kind":"consumable","label":"&lt;battle&gt;冻结敌方随机 2 件道具 3 秒&lt;/battle&gt;","consumable":{"durationSec":2,"maxUses":5,"label":"&lt;battle&gt;冻结敌方随机 2 件道具 3 秒&lt;/battle&gt;"},"executors":[{"trigger":"onConsumableExhausted","type":"itemRuntimeStatus","itemRuntimeStatus":"freeze","durationSec":3,"targetActor":"enemy","targetScope":"enemyRandom","amount":2,"support":"battleOnly","label":"&lt;battle&gt;冻结敌方随机 2 件道具 3 秒&lt;/battle&gt;"}],"starOverrides":{"1":{"label":"&lt;battle&gt;冻结敌方随机 2 件道具 5 秒&lt;/battle&gt;","consumable":{"durationSec":2,"maxUses":5,"label":"&lt;battle&gt;冻结敌方随机 2 件道具 5 秒&lt;/battle&gt;"},"executors":[{"trigger":"onConsumableExhausted","type":"itemRuntimeStatus","itemRuntimeStatus":"freeze","durationSec":5,"targetActor":"enemy","targetScope":"enemyRandom","amount":2,"support":"battleOnly","label":"&lt;battle&gt;冻结敌方随机 2 件道具 5 秒&lt;/battle&gt;"}]},"2":{"label":"&lt;battle&gt;冻结敌方随机 2 件道具 8 秒&lt;/battle&gt;","consumable":{"durationSec":2,"maxUses":5,"label":"&lt;battle&gt;冻结敌方随机 2 件道具 8 秒&lt;/battle&gt;"},"executors":[{"trigger":"onConsumableExhausted","type":"itemRuntimeStatus","itemRuntimeStatus":"freeze","durationSec":8,"targetActor":"enemy","targetScope":"enemyRandom","amount":2,"support":"battleOnly","label":"&lt;battle&gt;冻结敌方随机 2 件道具 8 秒&lt;/battle&gt;"}]},"3":{"label":"&lt;battle&gt;冻结敌方随机 2 件道具 10 秒&lt;/battle&gt;","consumable":{"durationSec":2,"maxUses":5,"label":"&lt;battle&gt;冻结敌方随机 2 件道具 10 秒&lt;/battle&gt;"},"executors":[{"trigger":"onConsumableExhausted","type":"itemRuntimeStatus","itemRuntimeStatus":"freeze","durationSec":10,"targetActor":"enemy","targetScope":"enemyRandom","amount":2,"support":"battleOnly","label":"&lt;battle&gt;冻结敌方随机 2 件道具 10 秒&lt;/battle&gt;"}]}}}</t>
        </is>
      </c>
    </row>
    <row r="1810" ht="32" customHeight="1">
      <c r="A1810" s="8" t="n">
        <v>715001</v>
      </c>
      <c r="B1810" s="8" t="inlineStr">
        <is>
          <t>束胸眼腺引脉符</t>
        </is>
      </c>
      <c r="C1810" s="8" t="inlineStr">
        <is>
          <t>符箓</t>
        </is>
      </c>
      <c r="D1810" s="8" t="inlineStr">
        <is>
          <t>spirit</t>
        </is>
      </c>
      <c r="E1810" s="8" t="inlineStr">
        <is>
          <t>water</t>
        </is>
      </c>
      <c r="F1810" s="8" t="n">
        <v>1</v>
      </c>
      <c r="G1810" s="8" t="inlineStr">
        <is>
          <t>基础/顶层</t>
        </is>
      </c>
      <c r="H1810" s="8" t="inlineStr"/>
      <c r="I1810" s="9" t="inlineStr"/>
      <c r="J1810" s="8" t="inlineStr"/>
      <c r="K1810" s="8" t="inlineStr"/>
      <c r="L1810" s="8" t="inlineStr"/>
      <c r="M1810" s="8" t="inlineStr">
        <is>
          <t>消耗品效果</t>
        </is>
      </c>
      <c r="N1810" s="8" t="inlineStr">
        <is>
          <t>consumable</t>
        </is>
      </c>
      <c r="O1810" s="9" t="inlineStr">
        <is>
          <t>对敌方造成 60 点伤害，并施加 6 层中毒；对敌方造成 80 点伤害，并施加 8 层中毒；对敌方造成 100 点伤害，并施加 10 层中毒；对敌方造成 120 点伤害，并施加 12 层中毒</t>
        </is>
      </c>
      <c r="P1810" s="9" t="inlineStr">
        <is>
          <t>onConsumableExhausted</t>
        </is>
      </c>
      <c r="Q1810" s="9" t="inlineStr">
        <is>
          <t>battleDamageHealth；applyBuff</t>
        </is>
      </c>
      <c r="R1810" s="9" t="inlineStr">
        <is>
          <t>{"kind":"consumable","label":"&lt;battle&gt;对敌方造成 60 点伤害，并施加 6 层中毒&lt;/battle&gt;","consumable":{"durationSec":2,"maxUses":4,"label":"&lt;battle&gt;对敌方造成 60 点伤害，并施加 6 层中毒&lt;/battle&gt;"},"executors":[{"trigger":"onConsumableExhausted","type":"battleDamageHealth","amount":60,"support":"battleOnly","label":"&lt;battle&gt;对敌方造成 60 点伤害，并施加 6 层中毒&lt;/battle&gt;"},{"trigger":"onConsumableExhausted","type":"applyBuff","buffId":"poison","count":6,"targetActor":"enemy","support":"battleOnly","label":"&lt;battle&gt;对敌方造成 60 点伤害，并施加 6 层中毒&lt;/battle&gt;"}],"starOverrides":{"1":{"label":"&lt;battle&gt;对敌方造成 80 点伤害，并施加 8 层中毒&lt;/battle&gt;","consumable":{"durationSec":2,"maxUses":4,"label":"&lt;battle&gt;对敌方造成 80 点伤害，并施加 8 层中毒&lt;/battle&gt;"},"executors":[{"trigger":"onConsumableExhausted","type":"battleDamageHealth","amount":80,"support":"battleOnly","label":"&lt;battle&gt;对敌方造成 80 点伤害，并施加 8 层中毒&lt;/battle&gt;"},{"trigger":"onConsumableExhausted","type":"applyBuff","buffId":"poison","count":8,"targetActor":"enemy","support":"battleOnly","label":"&lt;battle&gt;对敌方造成 80 点伤害，并施加 8 层中毒&lt;/battle&gt;"}]},"2":{"label":"&lt;battle&gt;对敌方造成 100 点伤害，并施加 10 层中毒&lt;/battle&gt;","consumable":{"durationSec":2,"maxUses":4,"label":"&lt;battle&gt;对敌方造成 100 点伤害，并施加 10 层中毒&lt;/battle&gt;"},"executors":[{"trigger":"onConsumableExhausted","type":"battleDamageHealth","amount":100,"support":"battleOnly","label":"&lt;battle&gt;对敌方造成 100 点伤害，并施加 10 层中毒&lt;/battle&gt;"},{"trigger":"onConsumableExhausted","type":"applyBuff","buffId":"poison","count":10,"targetActor":"enemy","support":"battleOnly","label":"&lt;battle&gt;对敌方造成 100 点伤害，并施加 10 层中毒&lt;/battle&gt;"}]},"3":{"label":"&lt;battle&gt;对敌方造成 120 点伤害，并施加 12 层中毒&lt;/battle&gt;","consumable":{"durationSec":2,"maxUses":4,"label":"&lt;battle&gt;对敌方造成 120 点伤害，并施加 12 层中毒&lt;/battle&gt;"},"executors":[{"trigger":"onConsumableExhausted","type":"battleDamageHealth","amount":120,"support":"battleOnly","label":"&lt;battle&gt;对敌方造成 120 点伤害，并施加 12 层中毒&lt;/battle&gt;"},{"trigger":"onConsumableExhausted","type":"applyBuff","buffId":"poison","count":12,"targetActor":"enemy","support":"battleOnly","label":"&lt;battle&gt;对敌方造成 120 点伤害，并施加 12 层中毒&lt;/battle&gt;"}]}}}</t>
        </is>
      </c>
    </row>
    <row r="1811" ht="32" customHeight="1">
      <c r="A1811" s="8" t="n">
        <v>715002</v>
      </c>
      <c r="B1811" s="8" t="inlineStr">
        <is>
          <t>鳞尾节鞭引脉符</t>
        </is>
      </c>
      <c r="C1811" s="8" t="inlineStr">
        <is>
          <t>符箓</t>
        </is>
      </c>
      <c r="D1811" s="8" t="inlineStr">
        <is>
          <t>spirit</t>
        </is>
      </c>
      <c r="E1811" s="8" t="inlineStr">
        <is>
          <t>wood</t>
        </is>
      </c>
      <c r="F1811" s="8" t="n">
        <v>1</v>
      </c>
      <c r="G1811" s="8" t="inlineStr">
        <is>
          <t>基础/顶层</t>
        </is>
      </c>
      <c r="H1811" s="8" t="inlineStr"/>
      <c r="I1811" s="9" t="inlineStr"/>
      <c r="J1811" s="8" t="inlineStr"/>
      <c r="K1811" s="8" t="inlineStr"/>
      <c r="L1811" s="8" t="inlineStr"/>
      <c r="M1811" s="8" t="inlineStr">
        <is>
          <t>消耗品效果</t>
        </is>
      </c>
      <c r="N1811" s="8" t="inlineStr">
        <is>
          <t>consumable</t>
        </is>
      </c>
      <c r="O1811" s="9" t="inlineStr">
        <is>
          <t>敌方随机 2 件道具获得 10 秒减速；敌方随机 2 件道具获得 13 秒减速；敌方随机 2 件道具获得 15 秒减速；敌方随机 2 件道具获得 18 秒减速</t>
        </is>
      </c>
      <c r="P1811" s="9" t="inlineStr">
        <is>
          <t>onConsumableExhausted</t>
        </is>
      </c>
      <c r="Q1811" s="9" t="inlineStr">
        <is>
          <t>itemRuntimeStatus</t>
        </is>
      </c>
      <c r="R1811" s="9" t="inlineStr">
        <is>
          <t>{"kind":"consumable","label":"&lt;battle&gt;敌方随机 2 件道具获得 10 秒减速&lt;/battle&gt;","consumable":{"durationSec":2,"maxUses":4,"label":"&lt;battle&gt;敌方随机 2 件道具获得 10 秒减速&lt;/battle&gt;"},"executors":[{"trigger":"onConsumableExhausted","type":"itemRuntimeStatus","itemRuntimeStatus":"slow","durationSec":10,"targetActor":"enemy","targetScope":"enemyRandom","amount":2,"support":"battleOnly","label":"&lt;battle&gt;敌方随机 2 件道具获得 10 秒减速&lt;/battle&gt;"}],"starOverrides":{"1":{"label":"&lt;battle&gt;敌方随机 2 件道具获得 13 秒减速&lt;/battle&gt;","consumable":{"durationSec":2,"maxUses":4,"label":"&lt;battle&gt;敌方随机 2 件道具获得 13 秒减速&lt;/battle&gt;"},"executors":[{"trigger":"onConsumableExhausted","type":"itemRuntimeStatus","itemRuntimeStatus":"slow","durationSec":13,"targetActor":"enemy","targetScope":"enemyRandom","amount":2,"support":"battleOnly","label":"&lt;battle&gt;敌方随机 2 件道具获得 13 秒减速&lt;/battle&gt;"}]},"2":{"label":"&lt;battle&gt;敌方随机 2 件道具获得 15 秒减速&lt;/battle&gt;","consumable":{"durationSec":2,"maxUses":4,"label":"&lt;battle&gt;敌方随机 2 件道具获得 15 秒减速&lt;/battle&gt;"},"executors":[{"trigger":"onConsumableExhausted","type":"itemRuntimeStatus","itemRuntimeStatus":"slow","durationSec":15,"targetActor":"enemy","targetScope":"enemyRandom","amount":2,"support":"battleOnly","label":"&lt;battle&gt;敌方随机 2 件道具获得 15 秒减速&lt;/battle&gt;"}]},"3":{"label":"&lt;battle&gt;敌方随机 2 件道具获得 18 秒减速&lt;/battle&gt;","consumable":{"durationSec":2,"maxUses":4,"label":"&lt;battle&gt;敌方随机 2 件道具获得 18 秒减速&lt;/battle&gt;"},"executors":[{"trigger":"onConsumableExhausted","type":"itemRuntimeStatus","itemRuntimeStatus":"slow","durationSec":18,"targetActor":"enemy","targetScope":"enemyRandom","amount":2,"support":"battleOnly","label":"&lt;battle&gt;敌方随机 2 件道具获得 18 秒减速&lt;/battle&gt;"}]}}}</t>
        </is>
      </c>
    </row>
    <row r="1812" ht="32" customHeight="1">
      <c r="A1812" s="8" t="n">
        <v>715200</v>
      </c>
      <c r="B1812" s="8" t="inlineStr">
        <is>
          <t>铜环鸣囊护脉符</t>
        </is>
      </c>
      <c r="C1812" s="8" t="inlineStr">
        <is>
          <t>符箓</t>
        </is>
      </c>
      <c r="D1812" s="8" t="inlineStr">
        <is>
          <t>spirit</t>
        </is>
      </c>
      <c r="E1812" s="8" t="inlineStr">
        <is>
          <t>fire</t>
        </is>
      </c>
      <c r="F1812" s="8" t="n">
        <v>1</v>
      </c>
      <c r="G1812" s="8" t="inlineStr">
        <is>
          <t>基础/顶层</t>
        </is>
      </c>
      <c r="H1812" s="8" t="inlineStr"/>
      <c r="I1812" s="9" t="inlineStr"/>
      <c r="J1812" s="8" t="inlineStr"/>
      <c r="K1812" s="8" t="inlineStr"/>
      <c r="L1812" s="8" t="inlineStr"/>
      <c r="M1812" s="8" t="inlineStr">
        <is>
          <t>消耗品效果</t>
        </is>
      </c>
      <c r="N1812" s="8" t="inlineStr">
        <is>
          <t>consumable</t>
        </is>
      </c>
      <c r="O1812" s="9" t="inlineStr">
        <is>
          <t>对敌方施加 26 层灼烧；对敌方施加 30 层灼烧；对敌方施加 36 层灼烧；对敌方施加 40 层灼烧</t>
        </is>
      </c>
      <c r="P1812" s="9" t="inlineStr">
        <is>
          <t>onConsumableExhausted</t>
        </is>
      </c>
      <c r="Q1812" s="9" t="inlineStr">
        <is>
          <t>applyBuff</t>
        </is>
      </c>
      <c r="R1812" s="9" t="inlineStr">
        <is>
          <t>{"kind":"consumable","label":"&lt;battle&gt;对敌方施加 26 层灼烧&lt;/battle&gt;","consumable":{"durationSec":2,"maxUses":6,"label":"&lt;battle&gt;对敌方施加 26 层灼烧&lt;/battle&gt;"},"executors":[{"trigger":"onConsumableExhausted","type":"applyBuff","buffId":"burning","count":26,"targetActor":"enemy","support":"battleOnly","label":"&lt;battle&gt;对敌方施加 26 层灼烧&lt;/battle&gt;"}],"starOverrides":{"1":{"label":"&lt;battle&gt;对敌方施加 30 层灼烧&lt;/battle&gt;","consumable":{"durationSec":2,"maxUses":6,"label":"&lt;battle&gt;对敌方施加 30 层灼烧&lt;/battle&gt;"},"executors":[{"trigger":"onConsumableExhausted","type":"applyBuff","buffId":"burning","count":30,"targetActor":"enemy","support":"battleOnly","label":"&lt;battle&gt;对敌方施加 30 层灼烧&lt;/battle&gt;"}]},"2":{"label":"&lt;battle&gt;对敌方施加 36 层灼烧&lt;/battle&gt;","consumable":{"durationSec":2,"maxUses":6,"label":"&lt;battle&gt;对敌方施加 36 层灼烧&lt;/battle&gt;"},"executors":[{"trigger":"onConsumableExhausted","type":"applyBuff","buffId":"burning","count":36,"targetActor":"enemy","support":"battleOnly","label":"&lt;battle&gt;对敌方施加 36 层灼烧&lt;/battle&gt;"}]},"3":{"label":"&lt;battle&gt;对敌方施加 40 层灼烧&lt;/battle&gt;","consumable":{"durationSec":2,"maxUses":6,"label":"&lt;battle&gt;对敌方施加 40 层灼烧&lt;/battle&gt;"},"executors":[{"trigger":"onConsumableExhausted","type":"applyBuff","buffId":"burning","count":40,"targetActor":"enemy","support":"battleOnly","label":"&lt;battle&gt;对敌方施加 40 层灼烧&lt;/battle&gt;"}]}}}</t>
        </is>
      </c>
    </row>
    <row r="1813" ht="32" customHeight="1">
      <c r="A1813" s="8" t="n">
        <v>715201</v>
      </c>
      <c r="B1813" s="8" t="inlineStr">
        <is>
          <t>厚蹼尾皮护脉符</t>
        </is>
      </c>
      <c r="C1813" s="8" t="inlineStr">
        <is>
          <t>符箓</t>
        </is>
      </c>
      <c r="D1813" s="8" t="inlineStr">
        <is>
          <t>spirit</t>
        </is>
      </c>
      <c r="E1813" s="8" t="inlineStr">
        <is>
          <t>water</t>
        </is>
      </c>
      <c r="F1813" s="8" t="n">
        <v>1</v>
      </c>
      <c r="G1813" s="8" t="inlineStr">
        <is>
          <t>基础/顶层</t>
        </is>
      </c>
      <c r="H1813" s="8" t="inlineStr"/>
      <c r="I1813" s="9" t="inlineStr"/>
      <c r="J1813" s="8" t="inlineStr"/>
      <c r="K1813" s="8" t="inlineStr"/>
      <c r="L1813" s="8" t="inlineStr"/>
      <c r="M1813" s="8" t="inlineStr">
        <is>
          <t>消耗品效果</t>
        </is>
      </c>
      <c r="N1813" s="8" t="inlineStr">
        <is>
          <t>consumable</t>
        </is>
      </c>
      <c r="O1813" s="9" t="inlineStr">
        <is>
          <t>使相邻水属性道具获得 10 秒加速；使相邻水属性道具获得 13 秒加速；使相邻水属性道具获得 15 秒加速；使相邻水属性道具获得 18 秒加速</t>
        </is>
      </c>
      <c r="P1813" s="9" t="inlineStr">
        <is>
          <t>onConsumableExhausted</t>
        </is>
      </c>
      <c r="Q1813" s="9" t="inlineStr">
        <is>
          <t>itemRuntimeStatus</t>
        </is>
      </c>
      <c r="R1813" s="9" t="inlineStr">
        <is>
          <t>{"kind":"consumable","label":"使相邻水属性道具获得 10 秒加速","consumable":{"durationSec":2,"maxUses":7,"label":"使相邻水属性道具获得 10 秒加速"},"executors":[{"trigger":"onConsumableExhausted","type":"itemRuntimeStatus","itemRuntimeStatus":"haste","durationSec":10,"targetActor":"self","targetScope":"adjacent","targetFilter":{"elements":["water"]},"label":"使相邻水属性道具获得 10 秒加速"}],"starOverrides":{"1":{"label":"使相邻水属性道具获得 13 秒加速","consumable":{"durationSec":2,"maxUses":7,"label":"使相邻水属性道具获得 13 秒加速"},"executors":[{"trigger":"onConsumableExhausted","type":"itemRuntimeStatus","itemRuntimeStatus":"haste","durationSec":13,"targetActor":"self","targetScope":"adjacent","targetFilter":{"elements":["water"]},"label":"使相邻水属性道具获得 13 秒加速"}]},"2":{"label":"使相邻水属性道具获得 15 秒加速","consumable":{"durationSec":2,"maxUses":7,"label":"使相邻水属性道具获得 15 秒加速"},"executors":[{"trigger":"onConsumableExhausted","type":"itemRuntimeStatus","itemRuntimeStatus":"haste","durationSec":15,"targetActor":"self","targetScope":"adjacent","targetFilter":{"elements":["water"]},"label":"使相邻水属性道具获得 15 秒加速"}]},"3":{"label":"使相邻水属性道具获得 18 秒加速","consumable":{"durationSec":2,"maxUses":7,"label":"使相邻水属性道具获得 18 秒加速"},"executors":[{"trigger":"onConsumableExhausted","type":"itemRuntimeStatus","itemRuntimeStatus":"haste","durationSec":18,"targetActor":"self","targetScope":"adjacent","targetFilter":{"elements":["water"]},"label":"使相邻水属性道具获得 18 秒加速"}]}}}</t>
        </is>
      </c>
    </row>
    <row r="1814" ht="32" customHeight="1">
      <c r="A1814" s="8" t="n">
        <v>715202</v>
      </c>
      <c r="B1814" s="8" t="inlineStr">
        <is>
          <t>负炉铜扣束带护脉符</t>
        </is>
      </c>
      <c r="C1814" s="8" t="inlineStr">
        <is>
          <t>符箓</t>
        </is>
      </c>
      <c r="D1814" s="8" t="inlineStr">
        <is>
          <t>spirit</t>
        </is>
      </c>
      <c r="E1814" s="8" t="inlineStr">
        <is>
          <t>metal</t>
        </is>
      </c>
      <c r="F1814" s="8" t="n">
        <v>1</v>
      </c>
      <c r="G1814" s="8" t="inlineStr">
        <is>
          <t>基础/顶层</t>
        </is>
      </c>
      <c r="H1814" s="8" t="inlineStr"/>
      <c r="I1814" s="9" t="inlineStr"/>
      <c r="J1814" s="8" t="inlineStr"/>
      <c r="K1814" s="8" t="inlineStr"/>
      <c r="L1814" s="8" t="inlineStr"/>
      <c r="M1814" s="8" t="inlineStr">
        <is>
          <t>消耗品效果</t>
        </is>
      </c>
      <c r="N1814" s="8" t="inlineStr">
        <is>
          <t>consumable</t>
        </is>
      </c>
      <c r="O1814" s="9" t="inlineStr">
        <is>
          <t>最多将 12 层护甲转化为等量凝金；最多将 16 层护甲转化为等量凝金；最多将 20 层护甲转化为等量凝金；最多将 24 层护甲转化为等量凝金</t>
        </is>
      </c>
      <c r="P1814" s="9" t="inlineStr">
        <is>
          <t>onConsumableExhausted</t>
        </is>
      </c>
      <c r="Q1814" s="9" t="inlineStr">
        <is>
          <t>convertBuffStacks</t>
        </is>
      </c>
      <c r="R1814" s="9" t="inlineStr">
        <is>
          <t>{"kind":"consumable","label":"最多将 12 层护甲转化为等量凝金","consumable":{"durationSec":2,"maxUses":7,"label":"最多将 12 层护甲转化为等量凝金"},"executors":[{"trigger":"onConsumableExhausted","type":"convertBuffStacks","sourceBuffId":"armor","targetBuffId":"condensedMetal","maxStacks":12,"consumeRatio":1,"label":"最多将 12 层护甲转化为等量凝金"}],"starOverrides":{"1":{"label":"最多将 16 层护甲转化为等量凝金","consumable":{"durationSec":2,"maxUses":7,"label":"最多将 16 层护甲转化为等量凝金"},"executors":[{"trigger":"onConsumableExhausted","type":"convertBuffStacks","sourceBuffId":"armor","targetBuffId":"condensedMetal","maxStacks":16,"consumeRatio":1,"label":"最多将 16 层护甲转化为等量凝金"}]},"2":{"label":"最多将 20 层护甲转化为等量凝金","consumable":{"durationSec":2,"maxUses":7,"label":"最多将 20 层护甲转化为等量凝金"},"executors":[{"trigger":"onConsumableExhausted","type":"convertBuffStacks","sourceBuffId":"armor","targetBuffId":"condensedMetal","maxStacks":20,"consumeRatio":1,"label":"最多将 20 层护甲转化为等量凝金"}]},"3":{"label":"最多将 24 层护甲转化为等量凝金","consumable":{"durationSec":2,"maxUses":7,"label":"最多将 24 层护甲转化为等量凝金"},"executors":[{"trigger":"onConsumableExhausted","type":"convertBuffStacks","sourceBuffId":"armor","targetBuffId":"condensedMetal","maxStacks":24,"consumeRatio":1,"label":"最多将 24 层护甲转化为等量凝金"}]}}}</t>
        </is>
      </c>
    </row>
    <row r="1815" ht="32" customHeight="1">
      <c r="A1815" s="8" t="n">
        <v>715500</v>
      </c>
      <c r="B1815" s="8" t="inlineStr">
        <is>
          <t>琥珀眼珠护脉符</t>
        </is>
      </c>
      <c r="C1815" s="8" t="inlineStr">
        <is>
          <t>符箓</t>
        </is>
      </c>
      <c r="D1815" s="8" t="inlineStr">
        <is>
          <t>spirit</t>
        </is>
      </c>
      <c r="E1815" s="8" t="inlineStr">
        <is>
          <t>fire</t>
        </is>
      </c>
      <c r="F1815" s="8" t="n">
        <v>1</v>
      </c>
      <c r="G1815" s="8" t="inlineStr">
        <is>
          <t>基础/顶层</t>
        </is>
      </c>
      <c r="H1815" s="8" t="inlineStr"/>
      <c r="I1815" s="9" t="inlineStr"/>
      <c r="J1815" s="8" t="inlineStr"/>
      <c r="K1815" s="8" t="inlineStr"/>
      <c r="L1815" s="8" t="inlineStr"/>
      <c r="M1815" s="8" t="inlineStr">
        <is>
          <t>消耗品效果</t>
        </is>
      </c>
      <c r="N1815" s="8" t="inlineStr">
        <is>
          <t>consumable</t>
        </is>
      </c>
      <c r="O1815" s="9" t="inlineStr">
        <is>
          <t>对敌方造成 30 点伤害，并冻结敌方占格面积最大的道具 2 秒；对敌方造成 40 点伤害，并冻结敌方占格面积最大的道具 3 秒；对敌方造成 50 点伤害，并冻结敌方占格面积最大的道具 4 秒；对敌方造成 60 点伤害，并冻结敌方占格面积最大的道具 5 秒</t>
        </is>
      </c>
      <c r="P1815" s="9" t="inlineStr">
        <is>
          <t>onConsumableExhausted</t>
        </is>
      </c>
      <c r="Q1815" s="9" t="inlineStr">
        <is>
          <t>battleDamageHealth；itemRuntimeStatus</t>
        </is>
      </c>
      <c r="R1815" s="9" t="inlineStr">
        <is>
          <t>{"kind":"consumable","label":"&lt;battle&gt;对敌方造成 30 点伤害，并冻结敌方占格面积最大的道具 2 秒&lt;/battle&gt;","consumable":{"durationSec":2,"maxUses":4,"label":"&lt;battle&gt;对敌方造成 30 点伤害，并冻结敌方占格面积最大的道具 2 秒&lt;/battle&gt;"},"executors":[{"trigger":"onConsumableExhausted","type":"battleDamageHealth","amount":30,"support":"battleOnly","label":"&lt;battle&gt;对敌方造成 30 点伤害，并冻结敌方占格面积最大的道具 2 秒&lt;/battle&gt;"},{"trigger":"onConsumableExhausted","type":"itemRuntimeStatus","itemRuntimeStatus":"freeze","durationSec":2,"targetActor":"enemy","targetScope":"enemyLargest","amount":1,"support":"battleOnly","label":"&lt;battle&gt;对敌方造成 30 点伤害，并冻结敌方占格面积最大的道具 2 秒&lt;/battle&gt;"}],"starOverrides":{"1":{"label":"&lt;battle&gt;对敌方造成 40 点伤害，并冻结敌方占格面积最大的道具 3 秒&lt;/battle&gt;","consumable":{"durationSec":2,"maxUses":4,"label":"&lt;battle&gt;对敌方造成 40 点伤害，并冻结敌方占格面积最大的道具 3 秒&lt;/battle&gt;"},"executors":[{"trigger":"onConsumableExhausted","type":"battleDamageHealth","amount":40,"support":"battleOnly","label":"&lt;battle&gt;对敌方造成 40 点伤害，并冻结敌方占格面积最大的道具 3 秒&lt;/battle&gt;"},{"trigger":"onConsumableExhausted","type":"itemRuntimeStatus","itemRuntimeStatus":"freeze","durationSec":3,"targetActor":"enemy","targetScope":"enemyLargest","amount":1,"support":"battleOnly","label":"&lt;battle&gt;对敌方造成 40 点伤害，并冻结敌方占格面积最大的道具 3 秒&lt;/battle&gt;"}]},"2":{"label":"&lt;battle&gt;对敌方造成 50 点伤害，并冻结敌方占格面积最大的道具 4 秒&lt;/battle&gt;","consumable":{"durationSec":2,"maxUses":4,"label":"&lt;battle&gt;对敌方造成 50 点伤害，并冻结敌方占格面积最大的道具 4 秒&lt;/battle&gt;"},"executors":[{"trigger":"onConsumableExhausted","type":"battleDamageHealth","amount":50,"support":"battleOnly","label":"&lt;battle&gt;对敌方造成 50 点伤害，并冻结敌方占格面积最大的道具 4 秒&lt;/battle&gt;"},{"trigger":"onConsumableExhausted","type":"itemRuntimeStatus","itemRuntimeStatus":"freeze","durationSec":4,"targetActor":"enemy","targetScope":"enemyLargest","amount":1,"support":"battleOnly","label":"&lt;battle&gt;对敌方造成 50 点伤害，并冻结敌方占格面积最大的道具 4 秒&lt;/battle&gt;"}]},"3":{"label":"&lt;battle&gt;对敌方造成 60 点伤害，并冻结敌方占格面积最大的道具 5 秒&lt;/battle&gt;","consumable":{"durationSec":2,"maxUses":4,"label":"&lt;battle&gt;对敌方造成 60 点伤害，并冻结敌方占格面积最大的道具 5 秒&lt;/battle&gt;"},"executors":[{"trigger":"onConsumableExhausted","type":"battleDamageHealth","amount":60,"support":"battleOnly","label":"&lt;battle&gt;对敌方造成 60 点伤害，并冻结敌方占格面积最大的道具 5 秒&lt;/battle&gt;"},{"trigger":"onConsumableExhausted","type":"itemRuntimeStatus","itemRuntimeStatus":"freeze","durationSec":5,"targetActor":"enemy","targetScope":"enemyLargest","amount":1,"support":"battleOnly","label":"&lt;battle&gt;对敌方造成 60 点伤害，并冻结敌方占格面积最大的道具 5 秒&lt;/battle&gt;"}]}}}</t>
        </is>
      </c>
    </row>
    <row r="1816" ht="32" customHeight="1">
      <c r="A1816" s="8" t="n">
        <v>715501</v>
      </c>
      <c r="B1816" s="8" t="inlineStr">
        <is>
          <t>张褶棘护脉符</t>
        </is>
      </c>
      <c r="C1816" s="8" t="inlineStr">
        <is>
          <t>符箓</t>
        </is>
      </c>
      <c r="D1816" s="8" t="inlineStr">
        <is>
          <t>spirit</t>
        </is>
      </c>
      <c r="E1816" s="8" t="inlineStr">
        <is>
          <t>metal</t>
        </is>
      </c>
      <c r="F1816" s="8" t="n">
        <v>1</v>
      </c>
      <c r="G1816" s="8" t="inlineStr">
        <is>
          <t>基础/顶层</t>
        </is>
      </c>
      <c r="H1816" s="8" t="inlineStr"/>
      <c r="I1816" s="9" t="inlineStr"/>
      <c r="J1816" s="8" t="inlineStr"/>
      <c r="K1816" s="8" t="inlineStr"/>
      <c r="L1816" s="8" t="inlineStr"/>
      <c r="M1816" s="8" t="inlineStr">
        <is>
          <t>消耗品效果</t>
        </is>
      </c>
      <c r="N1816" s="8" t="inlineStr">
        <is>
          <t>consumable</t>
        </is>
      </c>
      <c r="O1816" s="9" t="inlineStr">
        <is>
          <t>消耗 4 点法力，对敌方造成 40 点伤害，并施加 2 层麻痹；消耗 6 点法力，对敌方造成 50 点伤害，并施加 4 层麻痹；消耗 8 点法力，对敌方造成 60 点伤害，并施加 6 层麻痹；消耗 10 点法力，对敌方造成 70 点伤害，并施加 8 层麻痹；消耗 5 点法力，对敌方造成 70 点伤害，并施加 8 层麻痹</t>
        </is>
      </c>
      <c r="P1816" s="9" t="inlineStr">
        <is>
          <t>onConsumableExhausted</t>
        </is>
      </c>
      <c r="Q1816" s="9" t="inlineStr">
        <is>
          <t>battleDamageHealth；applyBuff；modifyPlayerPrimaryStat</t>
        </is>
      </c>
      <c r="R1816" s="9" t="inlineStr">
        <is>
          <t>{"kind":"consumable","label":"消耗 4 点法力，&lt;battle&gt;对敌方造成 40 点伤害，并施加 2 层麻痹&lt;/battle&gt;","consumable":{"durationSec":2,"maxUses":3,"label":"消耗 4 点法力，&lt;battle&gt;对敌方造成 40 点伤害，并施加 2 层麻痹&lt;/battle&gt;"},"executors":[{"trigger":"onConsumableExhausted","type":"battleDamageHealth","amount":40,"support":"battleOnly","label":"消耗 4 点法力，&lt;battle&gt;对敌方造成 40 点伤害，并施加 2 层麻痹&lt;/battle&gt;","activationRequirements":{"primaryStatThreshold":{"stat":"mana","comparator":"atLeast","amount":4}}},{"trigger":"onConsumableExhausted","type":"applyBuff","buffId":"paralysis","count":2,"targetActor":"enemy","support":"battleOnly","label":"消耗 4 点法力，&lt;battle&gt;对敌方造成 40 点伤害，并施加 2 层麻痹&lt;/battle&gt;","activationRequirements":{"primaryStatThreshold":{"stat":"mana","comparator":"atLeast","amount":4}}},{"trigger":"onConsumableExhausted","type":"modifyPlayerPrimaryStat","stat":"mana","delta":-4,"label":"消耗 4 点法力，&lt;battle&gt;对敌方造成 40 点伤害，并施加 2 层麻痹&lt;/battle&gt;"}],"starOverrides":{"1":{"label":"消耗 6 点法力，&lt;battle&gt;对敌方造成 50 点伤害，并施加 4 层麻痹&lt;/battle&gt;","consumable":{"durationSec":2,"maxUses":3,"label":"消耗 6 点法力，&lt;battle&gt;对敌方造成 50 点伤害，并施加 4 层麻痹&lt;/battle&gt;"},"executors":[{"trigger":"onConsumableExhausted","type":"battleDamageHealth","amount":50,"support":"battleOnly","label":"消耗 6 点法力，&lt;battle&gt;对敌方造成 50 点伤害，并施加 4 层麻痹&lt;/battle&gt;","activationRequirements":{"primaryStatThreshold":{"stat":"mana","comparator":"atLeast","amount":3}}},{"trigger":"onConsumableExhausted","type":"applyBuff","buffId":"paralysis","count":4,"targetActor":"enemy","support":"battleOnly","label":"消耗 6 点法力，&lt;battle&gt;对敌方造成 50 点伤害，并施加 4 层麻痹&lt;/battle&gt;","activationRequirements":{"primaryStatThreshold":{"stat":"mana","comparator":"atLeast","amount":3}}},{"trigger":"onConsumableExhausted","type":"modifyPlayerPrimaryStat","stat":"mana","delta":-6,"label":"消耗 6 点法力，&lt;battle&gt;对敌方造成 50 点伤害，并施加 4 层麻痹&lt;/battle&gt;"}]},"2":{"label":"消耗 8 点法力，&lt;battle&gt;对敌方造成 60 点伤害，并施加 6 层麻痹&lt;/battle&gt;","consumable":{"durationSec":2,"maxUses":3,"label":"消耗 8 点法力，&lt;battle&gt;对敌方造成 60 点伤害，并施加 6 层麻痹&lt;/battle&gt;"},"executors":[{"trigger":"onConsumableExhausted","type":"battleDamageHealth","amount":60,"support":"battleOnly","label":"消耗 8 点法力，&lt;battle&gt;对敌方造成 60 点伤害，并施加 6 层麻痹&lt;/battle&gt;","activationRequirements":{"primaryStatThreshold":{"stat":"mana","comparator":"atLeast","amount":4}}},{"trigger":"onConsumableExhausted","type":"applyBuff","buffId":"paralysis","count":6,"targetActor":"enemy","support":"battleOnly","label":"消耗 8 点法力，&lt;battle&gt;对敌方造成 60 点伤害，并施加 6 层麻痹&lt;/battle&gt;","activationRequirements":{"primaryStatThreshold":{"stat":"mana","comparator":"atLeast","amount":4}}},{"trigger":"onConsumableExhausted","type":"modifyPlayerPrimaryStat","stat":"mana","delta":-8,"label":"消耗 8 点法力，&lt;battle&gt;对敌方造成 60 点伤害，并施加 6 层麻痹&lt;/battle&gt;"}]},"3":{"label":"消耗 10 点法力，&lt;battle&gt;对敌方造成 70 点伤害，并施加 8 层麻痹&lt;/battle&gt;","consumable":{"durationSec":2,"maxUses":3,"label":"消耗 10 点法力，&lt;battle&gt;对敌方造成 70 点伤害，并施加 8 层麻痹&lt;/battle&gt;"},"executors":[{"trigger":"onConsumableExhausted","type":"battleDamageHealth","amount":70,"support":"battleOnly","label":"消耗 10 点法力，&lt;battle&gt;对敌方造成 70 点伤害，并施加 8 层麻痹&lt;/battle&gt;","activationRequirements":{"primaryStatThreshold":{"stat":"mana","comparator":"atLeast","amount":10}}},{"trigger":"onConsumableExhausted","type":"applyBuff","buffId":"paralysis","count":8,"targetActor":"enemy","support":"battleOnly","label":"消耗 10 点法力，&lt;battle&gt;对敌方造成 70 点伤害，并施加 8 层麻痹&lt;/battle&gt;","activationRequirements":{"primaryStatThreshold":{"stat":"mana","comparator":"atLeast","amount":10}}},{"trigger":"onConsumableExhausted","type":"modifyPlayerPrimaryStat","stat":"mana","delta":-10,"label":"消耗 5 点法力，&lt;battle&gt;对敌方造成 70 点伤害，并施加 8 层麻痹&lt;/battle&gt;"}]}}}</t>
        </is>
      </c>
    </row>
    <row r="1817" ht="32" customHeight="1">
      <c r="A1817" s="8" t="n">
        <v>715502</v>
      </c>
      <c r="B1817" s="8" t="inlineStr">
        <is>
          <t>腹鳞皮条护脉符</t>
        </is>
      </c>
      <c r="C1817" s="8" t="inlineStr">
        <is>
          <t>符箓</t>
        </is>
      </c>
      <c r="D1817" s="8" t="inlineStr">
        <is>
          <t>spirit</t>
        </is>
      </c>
      <c r="E1817" s="8" t="inlineStr">
        <is>
          <t>earth</t>
        </is>
      </c>
      <c r="F1817" s="8" t="n">
        <v>1</v>
      </c>
      <c r="G1817" s="8" t="inlineStr">
        <is>
          <t>基础/顶层</t>
        </is>
      </c>
      <c r="H1817" s="8" t="inlineStr"/>
      <c r="I1817" s="9" t="inlineStr"/>
      <c r="J1817" s="8" t="inlineStr"/>
      <c r="K1817" s="8" t="inlineStr"/>
      <c r="L1817" s="8" t="inlineStr"/>
      <c r="M1817" s="8" t="inlineStr">
        <is>
          <t>消耗品效果</t>
        </is>
      </c>
      <c r="N1817" s="8" t="inlineStr">
        <is>
          <t>consumable</t>
        </is>
      </c>
      <c r="O1817" s="9" t="inlineStr">
        <is>
          <t>获得 16 层闪避；获得 20 层闪避；获得 26 层闪避；获得 30 层闪避</t>
        </is>
      </c>
      <c r="P1817" s="9" t="inlineStr">
        <is>
          <t>onConsumableExhausted</t>
        </is>
      </c>
      <c r="Q1817" s="9" t="inlineStr">
        <is>
          <t>applyBuff</t>
        </is>
      </c>
      <c r="R1817" s="9" t="inlineStr">
        <is>
          <t>{"kind":"consumable","label":"获得 16 层闪避","consumable":{"durationSec":2,"maxUses":6,"label":"获得 16 层闪避"},"executors":[{"trigger":"onConsumableExhausted","type":"applyBuff","buffId":"dodge","count":16,"label":"获得 16 层闪避"}],"starOverrides":{"1":{"label":"获得 20 层闪避","consumable":{"durationSec":2,"maxUses":6,"label":"获得 20 层闪避"},"executors":[{"trigger":"onConsumableExhausted","type":"applyBuff","buffId":"dodge","count":20,"label":"获得 20 层闪避"}]},"2":{"label":"获得 26 层闪避","consumable":{"durationSec":2,"maxUses":6,"label":"获得 26 层闪避"},"executors":[{"trigger":"onConsumableExhausted","type":"applyBuff","buffId":"dodge","count":26,"label":"获得 26 层闪避"}]},"3":{"label":"获得 30 层闪避","consumable":{"durationSec":2,"maxUses":6,"label":"获得 30 层闪避"},"executors":[{"trigger":"onConsumableExhausted","type":"applyBuff","buffId":"dodge","count":30,"label":"获得 30 层闪避"}]}}}</t>
        </is>
      </c>
    </row>
    <row r="1818" ht="32" customHeight="1">
      <c r="A1818" s="8" t="n">
        <v>716000</v>
      </c>
      <c r="B1818" s="8" t="inlineStr">
        <is>
          <t>潮痕鳄齿引脉符</t>
        </is>
      </c>
      <c r="C1818" s="8" t="inlineStr">
        <is>
          <t>符箓</t>
        </is>
      </c>
      <c r="D1818" s="8" t="inlineStr">
        <is>
          <t>spirit</t>
        </is>
      </c>
      <c r="E1818" s="8" t="inlineStr">
        <is>
          <t>metal</t>
        </is>
      </c>
      <c r="F1818" s="8" t="n">
        <v>1</v>
      </c>
      <c r="G1818" s="8" t="inlineStr">
        <is>
          <t>基础/顶层</t>
        </is>
      </c>
      <c r="H1818" s="8" t="inlineStr"/>
      <c r="I1818" s="9" t="inlineStr"/>
      <c r="J1818" s="8" t="inlineStr"/>
      <c r="K1818" s="8" t="inlineStr"/>
      <c r="L1818" s="8" t="inlineStr"/>
      <c r="M1818" s="8" t="inlineStr">
        <is>
          <t>消耗品效果</t>
        </is>
      </c>
      <c r="N1818" s="8" t="inlineStr">
        <is>
          <t>consumable</t>
        </is>
      </c>
      <c r="O1818" s="9" t="inlineStr">
        <is>
          <t>对敌方施加 20 层冰霜；对敌方施加 26 层冰霜；对敌方施加 30 层冰霜；对敌方施加 36 层冰霜</t>
        </is>
      </c>
      <c r="P1818" s="9" t="inlineStr">
        <is>
          <t>onConsumableExhausted</t>
        </is>
      </c>
      <c r="Q1818" s="9" t="inlineStr">
        <is>
          <t>applyBuff</t>
        </is>
      </c>
      <c r="R1818" s="9" t="inlineStr">
        <is>
          <t>{"kind":"consumable","label":"&lt;battle&gt;对敌方施加 20 层冰霜&lt;/battle&gt;","consumable":{"durationSec":2,"maxUses":6,"label":"&lt;battle&gt;对敌方施加 20 层冰霜&lt;/battle&gt;"},"executors":[{"trigger":"onConsumableExhausted","type":"applyBuff","buffId":"frost","count":20,"targetActor":"enemy","support":"battleOnly","label":"&lt;battle&gt;对敌方施加 20 层冰霜&lt;/battle&gt;"}],"starOverrides":{"1":{"label":"&lt;battle&gt;对敌方施加 26 层冰霜&lt;/battle&gt;","consumable":{"durationSec":2,"maxUses":6,"label":"&lt;battle&gt;对敌方施加 26 层冰霜&lt;/battle&gt;"},"executors":[{"trigger":"onConsumableExhausted","type":"applyBuff","buffId":"frost","count":26,"targetActor":"enemy","support":"battleOnly","label":"&lt;battle&gt;对敌方施加 26 层冰霜&lt;/battle&gt;"}]},"2":{"label":"&lt;battle&gt;对敌方施加 30 层冰霜&lt;/battle&gt;","consumable":{"durationSec":2,"maxUses":6,"label":"&lt;battle&gt;对敌方施加 30 层冰霜&lt;/battle&gt;"},"executors":[{"trigger":"onConsumableExhausted","type":"applyBuff","buffId":"frost","count":30,"targetActor":"enemy","support":"battleOnly","label":"&lt;battle&gt;对敌方施加 30 层冰霜&lt;/battle&gt;"}]},"3":{"label":"&lt;battle&gt;对敌方施加 36 层冰霜&lt;/battle&gt;","consumable":{"durationSec":2,"maxUses":6,"label":"&lt;battle&gt;对敌方施加 36 层冰霜&lt;/battle&gt;"},"executors":[{"trigger":"onConsumableExhausted","type":"applyBuff","buffId":"frost","count":36,"targetActor":"enemy","support":"battleOnly","label":"&lt;battle&gt;对敌方施加 36 层冰霜&lt;/battle&gt;"}]}}}</t>
        </is>
      </c>
    </row>
    <row r="1819" ht="32" customHeight="1">
      <c r="A1819" s="8" t="n">
        <v>716001</v>
      </c>
      <c r="B1819" s="8" t="inlineStr">
        <is>
          <t>潭息喉囊引脉符</t>
        </is>
      </c>
      <c r="C1819" s="8" t="inlineStr">
        <is>
          <t>符箓</t>
        </is>
      </c>
      <c r="D1819" s="8" t="inlineStr">
        <is>
          <t>spirit</t>
        </is>
      </c>
      <c r="E1819" s="8" t="inlineStr">
        <is>
          <t>water</t>
        </is>
      </c>
      <c r="F1819" s="8" t="n">
        <v>1</v>
      </c>
      <c r="G1819" s="8" t="inlineStr">
        <is>
          <t>基础/顶层</t>
        </is>
      </c>
      <c r="H1819" s="8" t="inlineStr"/>
      <c r="I1819" s="9" t="inlineStr"/>
      <c r="J1819" s="8" t="inlineStr"/>
      <c r="K1819" s="8" t="inlineStr"/>
      <c r="L1819" s="8" t="inlineStr"/>
      <c r="M1819" s="8" t="inlineStr">
        <is>
          <t>消耗品效果</t>
        </is>
      </c>
      <c r="N1819" s="8" t="inlineStr">
        <is>
          <t>consumable</t>
        </is>
      </c>
      <c r="O1819" s="9" t="inlineStr">
        <is>
          <t>冻结敌方随机 1 件道具 5 秒；冻结敌方随机 1 件道具 8 秒；冻结敌方随机 1 件道具 10 秒；冻结敌方随机 1 件道具 13 秒</t>
        </is>
      </c>
      <c r="P1819" s="9" t="inlineStr">
        <is>
          <t>onConsumableExhausted</t>
        </is>
      </c>
      <c r="Q1819" s="9" t="inlineStr">
        <is>
          <t>itemRuntimeStatus</t>
        </is>
      </c>
      <c r="R1819" s="9" t="inlineStr">
        <is>
          <t>{"kind":"consumable","label":"&lt;battle&gt;冻结敌方随机 1 件道具 5 秒&lt;/battle&gt;","consumable":{"durationSec":2,"maxUses":5,"label":"&lt;battle&gt;冻结敌方随机 1 件道具 5 秒&lt;/battle&gt;"},"executors":[{"trigger":"onConsumableExhausted","type":"itemRuntimeStatus","itemRuntimeStatus":"freeze","durationSec":5,"targetActor":"enemy","targetScope":"enemyRandom","amount":1,"support":"battleOnly","label":"&lt;battle&gt;冻结敌方随机 1 件道具 5 秒&lt;/battle&gt;"}],"starOverrides":{"1":{"label":"&lt;battle&gt;冻结敌方随机 1 件道具 8 秒&lt;/battle&gt;","consumable":{"durationSec":2,"maxUses":5,"label":"&lt;battle&gt;冻结敌方随机 1 件道具 8 秒&lt;/battle&gt;"},"executors":[{"trigger":"onConsumableExhausted","type":"itemRuntimeStatus","itemRuntimeStatus":"freeze","durationSec":8,"targetActor":"enemy","targetScope":"enemyRandom","amount":1,"support":"battleOnly","label":"&lt;battle&gt;冻结敌方随机 1 件道具 8 秒&lt;/battle&gt;"}]},"2":{"label":"&lt;battle&gt;冻结敌方随机 1 件道具 10 秒&lt;/battle&gt;","consumable":{"durationSec":2,"maxUses":5,"label":"&lt;battle&gt;冻结敌方随机 1 件道具 10 秒&lt;/battle&gt;"},"executors":[{"trigger":"onConsumableExhausted","type":"itemRuntimeStatus","itemRuntimeStatus":"freeze","durationSec":10,"targetActor":"enemy","targetScope":"enemyRandom","amount":1,"support":"battleOnly","label":"&lt;battle&gt;冻结敌方随机 1 件道具 10 秒&lt;/battle&gt;"}]},"3":{"label":"&lt;battle&gt;冻结敌方随机 1 件道具 13 秒&lt;/battle&gt;","consumable":{"durationSec":2,"maxUses":5,"label":"&lt;battle&gt;冻结敌方随机 1 件道具 13 秒&lt;/battle&gt;"},"executors":[{"trigger":"onConsumableExhausted","type":"itemRuntimeStatus","itemRuntimeStatus":"freeze","durationSec":13,"targetActor":"enemy","targetScope":"enemyRandom","amount":1,"support":"battleOnly","label":"&lt;battle&gt;冻结敌方随机 1 件道具 13 秒&lt;/battle&gt;"}]}}}</t>
        </is>
      </c>
    </row>
    <row r="1820" ht="32" customHeight="1">
      <c r="A1820" s="8" t="n">
        <v>716300</v>
      </c>
      <c r="B1820" s="8" t="inlineStr">
        <is>
          <t>重踏后掌回响符</t>
        </is>
      </c>
      <c r="C1820" s="8" t="inlineStr">
        <is>
          <t>符箓</t>
        </is>
      </c>
      <c r="D1820" s="8" t="inlineStr">
        <is>
          <t>spirit</t>
        </is>
      </c>
      <c r="E1820" s="8" t="inlineStr">
        <is>
          <t>earth</t>
        </is>
      </c>
      <c r="F1820" s="8" t="n">
        <v>1</v>
      </c>
      <c r="G1820" s="8" t="inlineStr">
        <is>
          <t>基础/顶层</t>
        </is>
      </c>
      <c r="H1820" s="8" t="inlineStr"/>
      <c r="I1820" s="9" t="inlineStr"/>
      <c r="J1820" s="8" t="inlineStr"/>
      <c r="K1820" s="8" t="inlineStr"/>
      <c r="L1820" s="8" t="inlineStr"/>
      <c r="M1820" s="8" t="inlineStr">
        <is>
          <t>消耗品效果</t>
        </is>
      </c>
      <c r="N1820" s="8" t="inlineStr">
        <is>
          <t>consumable</t>
        </is>
      </c>
      <c r="O1820" s="9" t="inlineStr">
        <is>
          <t>获得 12 层坚硬；获得 16 层坚硬；获得 20 层坚硬；获得 24 层坚硬</t>
        </is>
      </c>
      <c r="P1820" s="9" t="inlineStr">
        <is>
          <t>onConsumableExhausted</t>
        </is>
      </c>
      <c r="Q1820" s="9" t="inlineStr">
        <is>
          <t>applyBuff</t>
        </is>
      </c>
      <c r="R1820" s="9" t="inlineStr">
        <is>
          <t>{"kind":"consumable","label":"获得 12 层坚硬","consumable":{"durationSec":2,"maxUses":7,"label":"获得 12 层坚硬"},"executors":[{"trigger":"onConsumableExhausted","type":"applyBuff","buffId":"sturdy","count":12,"label":"获得 12 层坚硬"}],"starOverrides":{"1":{"label":"获得 16 层坚硬","consumable":{"durationSec":2,"maxUses":7,"label":"获得 16 层坚硬"},"executors":[{"trigger":"onConsumableExhausted","type":"applyBuff","buffId":"sturdy","count":16,"label":"获得 16 层坚硬"}]},"2":{"label":"获得 20 层坚硬","consumable":{"durationSec":2,"maxUses":7,"label":"获得 20 层坚硬"},"executors":[{"trigger":"onConsumableExhausted","type":"applyBuff","buffId":"sturdy","count":20,"label":"获得 20 层坚硬"}]},"3":{"label":"获得 24 层坚硬","consumable":{"durationSec":2,"maxUses":7,"label":"获得 24 层坚硬"},"executors":[{"trigger":"onConsumableExhausted","type":"applyBuff","buffId":"sturdy","count":24,"label":"获得 24 层坚硬"}]}}}</t>
        </is>
      </c>
    </row>
    <row r="1821" ht="32" customHeight="1">
      <c r="A1821" s="8" t="n">
        <v>716301</v>
      </c>
      <c r="B1821" s="8" t="inlineStr">
        <is>
          <t>风箱喉囊回响符</t>
        </is>
      </c>
      <c r="C1821" s="8" t="inlineStr">
        <is>
          <t>符箓</t>
        </is>
      </c>
      <c r="D1821" s="8" t="inlineStr">
        <is>
          <t>spirit</t>
        </is>
      </c>
      <c r="E1821" s="8" t="inlineStr">
        <is>
          <t>fire</t>
        </is>
      </c>
      <c r="F1821" s="8" t="n">
        <v>1</v>
      </c>
      <c r="G1821" s="8" t="inlineStr">
        <is>
          <t>基础/顶层</t>
        </is>
      </c>
      <c r="H1821" s="8" t="inlineStr"/>
      <c r="I1821" s="9" t="inlineStr"/>
      <c r="J1821" s="8" t="inlineStr"/>
      <c r="K1821" s="8" t="inlineStr"/>
      <c r="L1821" s="8" t="inlineStr"/>
      <c r="M1821" s="8" t="inlineStr">
        <is>
          <t>消耗品效果</t>
        </is>
      </c>
      <c r="N1821" s="8" t="inlineStr">
        <is>
          <t>consumable</t>
        </is>
      </c>
      <c r="O1821" s="9" t="inlineStr">
        <is>
          <t>将 10 层炎热转化为 3 层坚硬；将 20 层炎热转化为 4 层坚硬；将 20 层炎热转化为 5 层坚硬；将 20 层炎热转化为 6 层坚硬</t>
        </is>
      </c>
      <c r="P1821" s="9" t="inlineStr">
        <is>
          <t>onConsumableExhausted</t>
        </is>
      </c>
      <c r="Q1821" s="9" t="inlineStr">
        <is>
          <t>convertBuffStacks</t>
        </is>
      </c>
      <c r="R1821" s="9" t="inlineStr">
        <is>
          <t>{"kind":"consumable","label":"将 10 层炎热转化为 3 层坚硬","consumable":{"durationSec":2,"maxUses":8,"label":"将 10 层炎热转化为 3 层坚硬"},"executors":[{"trigger":"onConsumableExhausted","type":"convertBuffStacks","sourceBuffId":"heat","targetBuffId":"sturdy","requiredStacks":10,"maxStacks":10,"consumeRatio":0.3,"label":"将 10 层炎热转化为 3 层坚硬"}],"starOverrides":{"1":{"label":"将 20 层炎热转化为 4 层坚硬","consumable":{"durationSec":2,"maxUses":8,"label":"将 20 层炎热转化为 4 层坚硬"},"executors":[{"trigger":"onConsumableExhausted","type":"convertBuffStacks","sourceBuffId":"heat","targetBuffId":"sturdy","requiredStacks":10,"maxStacks":20,"consumeRatio":0.2,"label":"将 20 层炎热转化为 4 层坚硬"}]},"2":{"label":"将 20 层炎热转化为 5 层坚硬","consumable":{"durationSec":2,"maxUses":8,"label":"将 20 层炎热转化为 5 层坚硬"},"executors":[{"trigger":"onConsumableExhausted","type":"convertBuffStacks","sourceBuffId":"heat","targetBuffId":"sturdy","requiredStacks":10,"maxStacks":20,"consumeRatio":0.25,"label":"将 20 层炎热转化为 5 层坚硬"}]},"3":{"label":"将 20 层炎热转化为 6 层坚硬","consumable":{"durationSec":2,"maxUses":8,"label":"将 20 层炎热转化为 6 层坚硬"},"executors":[{"trigger":"onConsumableExhausted","type":"convertBuffStacks","sourceBuffId":"heat","targetBuffId":"sturdy","requiredStacks":10,"maxStacks":20,"consumeRatio":0.3,"label":"将 20 层炎热转化为 6 层坚硬"}]}}}</t>
        </is>
      </c>
    </row>
    <row r="1822" ht="32" customHeight="1">
      <c r="A1822" s="8" t="n">
        <v>716302</v>
      </c>
      <c r="B1822" s="8" t="inlineStr">
        <is>
          <t>淬铁短獠回响符</t>
        </is>
      </c>
      <c r="C1822" s="8" t="inlineStr">
        <is>
          <t>符箓</t>
        </is>
      </c>
      <c r="D1822" s="8" t="inlineStr">
        <is>
          <t>spirit</t>
        </is>
      </c>
      <c r="E1822" s="8" t="inlineStr">
        <is>
          <t>metal</t>
        </is>
      </c>
      <c r="F1822" s="8" t="n">
        <v>1</v>
      </c>
      <c r="G1822" s="8" t="inlineStr">
        <is>
          <t>基础/顶层</t>
        </is>
      </c>
      <c r="H1822" s="8" t="inlineStr"/>
      <c r="I1822" s="9" t="inlineStr"/>
      <c r="J1822" s="8" t="inlineStr"/>
      <c r="K1822" s="8" t="inlineStr"/>
      <c r="L1822" s="8" t="inlineStr"/>
      <c r="M1822" s="8" t="inlineStr">
        <is>
          <t>消耗品效果</t>
        </is>
      </c>
      <c r="N1822" s="8" t="inlineStr">
        <is>
          <t>consumable</t>
        </is>
      </c>
      <c r="O1822" s="9" t="inlineStr">
        <is>
          <t>最多消耗 24 层护甲，每消耗 1 层，对敌方造成 8 点伤害；并对敌方施加 10 层冰霜；最多消耗 24 层护甲，每消耗 1 层，对敌方造成 10 点伤害；并对敌方施加 16 层冰霜；最多消耗 24 层护甲，每消耗 1 层，对敌方造成 20 点伤害；并对敌方施加 16 层冰霜；最多消耗 24 层护甲，每消耗 1 层，对敌方造成 13 点伤害；并对敌方施加 20 层冰霜；最多消耗 24 层护甲，每消耗 1 层，对敌方造成 26 点伤害；并对敌方施加 20 层冰霜；最多消耗 24 层护甲，每消耗 1 层，对敌方造成 15 点伤害；并对敌方施加 26 层冰霜</t>
        </is>
      </c>
      <c r="P1822" s="9" t="inlineStr">
        <is>
          <t>onConsumableExhausted</t>
        </is>
      </c>
      <c r="Q1822" s="9" t="inlineStr">
        <is>
          <t>consumeBuffStacks；applyBuff</t>
        </is>
      </c>
      <c r="R1822" s="9" t="inlineStr">
        <is>
          <t>{"kind":"consumable","label":"最多消耗 24 层护甲，&lt;battle&gt;每消耗 1 层，对敌方造成 8 点伤害；并对敌方施加 10 层冰霜&lt;/battle&gt;","consumable":{"durationSec":2,"maxUses":3,"label":"最多消耗 24 层护甲，&lt;battle&gt;每消耗 1 层，对敌方造成 8 点伤害；并对敌方施加 10 层冰霜&lt;/battle&gt;"},"executors":[{"trigger":"onConsumableExhausted","type":"consumeBuffStacks","sourceBuffId":"armor","maxStacks":24,"battleDamageHealthPerStack":8,"label":"最多消耗 24 层护甲，&lt;battle&gt;每消耗 1 层，对敌方造成 8 点伤害；并对敌方施加 10 层冰霜&lt;/battle&gt;"},{"trigger":"onConsumableExhausted","type":"applyBuff","buffId":"frost","count":10,"targetActor":"enemy","support":"battleOnly","label":"最多消耗 24 层护甲，&lt;battle&gt;每消耗 1 层，对敌方造成 8 点伤害；并对敌方施加 10 层冰霜&lt;/battle&gt;"}],"starOverrides":{"1":{"label":"最多消耗 24 层护甲，&lt;battle&gt;每消耗 1 层，对敌方造成 10 点伤害；并对敌方施加 16 层冰霜&lt;/battle&gt;","consumable":{"durationSec":2,"maxUses":3,"label":"最多消耗 24 层护甲，&lt;battle&gt;每消耗 1 层，对敌方造成 10 点伤害；并对敌方施加 16 层冰霜&lt;/battle&gt;"},"executors":[{"trigger":"onConsumableExhausted","type":"consumeBuffStacks","sourceBuffId":"armor","maxStacks":24,"battleDamageHealthPerStack":10,"label":"最多消耗 24 层护甲，&lt;battle&gt;每消耗 1 层，对敌方造成 10 点伤害；并对敌方施加 16 层冰霜&lt;/battle&gt;"},{"trigger":"onConsumableExhausted","type":"applyBuff","buffId":"frost","count":16,"targetActor":"enemy","support":"battleOnly","label":"最多消耗 24 层护甲，&lt;battle&gt;每消耗 1 层，对敌方造成 20 点伤害；并对敌方施加 16 层冰霜&lt;/battle&gt;"}]},"2":{"label":"最多消耗 24 层护甲，&lt;battle&gt;每消耗 1 层，对敌方造成 13 点伤害；并对敌方施加 20 层冰霜&lt;/battle&gt;","consumable":{"durationSec":2,"maxUses":3,"label":"最多消耗 24 层护甲，&lt;battle&gt;每消耗 1 层，对敌方造成 13 点伤害；并对敌方施加 20 层冰霜&lt;/battle&gt;"},"executors":[{"trigger":"onConsumableExhausted","type":"consumeBuffStacks","sourceBuffId":"armor","maxStacks":24,"battleDamageHealthPerStack":13,"label":"最多消耗 24 层护甲，&lt;battle&gt;每消耗 1 层，对敌方造成 13 点伤害；并对敌方施加 20 层冰霜&lt;/battle&gt;"},{"trigger":"onConsumableExhausted","type":"applyBuff","buffId":"frost","count":20,"targetActor":"enemy","support":"battleOnly","label":"最多消耗 24 层护甲，&lt;battle&gt;每消耗 1 层，对敌方造成 26 点伤害；并对敌方施加 20 层冰霜&lt;/battle&gt;"}]},"3":{"label":"最多消耗 24 层护甲，&lt;battle&gt;每消耗 1 层，对敌方造成 15 点伤害；并对敌方施加 26 层冰霜&lt;/battle&gt;","consumable":{"durationSec":2,"maxUses":3,"label":"最多消耗 24 层护甲，&lt;battle&gt;每消耗 1 层，对敌方造成 15 点伤害；并对敌方施加 26 层冰霜&lt;/battle&gt;"},"executors":[{"trigger":"onConsumableExhausted","type":"consumeBuffStacks","sourceBuffId":"armor","maxStacks":24,"battleDamageHealthPerStack":15,"label":"最多消耗 24 层护甲，&lt;battle&gt;每消耗 1 层，对敌方造成 15 点伤害；并对敌方施加 26 层冰霜&lt;/battle&gt;"},{"trigger":"onConsumableExhausted","type":"applyBuff","buffId":"frost","count":26,"targetActor":"enemy","support":"battleOnly","label":"最多消耗 24 层护甲，&lt;battle&gt;每消耗 1 层，对敌方造成 15 点伤害；并对敌方施加 26 层冰霜&lt;/battle&gt;"}]}}}</t>
        </is>
      </c>
    </row>
    <row r="1823" ht="32" customHeight="1">
      <c r="A1823" s="8" t="n">
        <v>800001</v>
      </c>
      <c r="B1823" s="8" t="inlineStr">
        <is>
          <t>碎石劲</t>
        </is>
      </c>
      <c r="C1823" s="8" t="inlineStr">
        <is>
          <t>招式</t>
        </is>
      </c>
      <c r="D1823" s="8" t="inlineStr">
        <is>
          <t>common</t>
        </is>
      </c>
      <c r="E1823" s="8" t="inlineStr">
        <is>
          <t>none</t>
        </is>
      </c>
      <c r="F1823" s="8" t="n">
        <v>1</v>
      </c>
      <c r="G1823" s="8" t="inlineStr">
        <is>
          <t>基础/顶层</t>
        </is>
      </c>
      <c r="H1823" s="8" t="inlineStr"/>
      <c r="I1823" s="9" t="inlineStr"/>
      <c r="J1823" s="8" t="inlineStr"/>
      <c r="K1823" s="8" t="inlineStr"/>
      <c r="L1823" s="8" t="inlineStr"/>
      <c r="M1823" s="8" t="inlineStr">
        <is>
          <t>说明/执行器</t>
        </is>
      </c>
      <c r="N1823" s="8" t="inlineStr">
        <is>
          <t>effectNote</t>
        </is>
      </c>
      <c r="O1823" s="9" t="inlineStr">
        <is>
          <t>长按释放，消耗 6 点法力，使所有武器造成的伤害时可移除敌方 2 层坚硬，持续 10 秒</t>
        </is>
      </c>
      <c r="P1823" s="9" t="inlineStr">
        <is>
          <t>onActiveSpellCast</t>
        </is>
      </c>
      <c r="Q1823" s="9" t="inlineStr">
        <is>
          <t>temporaryWeaponDamageTargetBuffRemoval</t>
        </is>
      </c>
      <c r="R1823" s="9" t="inlineStr">
        <is>
          <t>{"kind":"effectNote","label":"长按释放，消耗 6 点法力，&lt;battle&gt;使所有武器造成的伤害时可移除敌方 2 层坚硬，持续 10 秒&lt;/battle&gt;","executors":[{"trigger":"onActiveSpellCast","type":"temporaryWeaponDamageTargetBuffRemoval","amount":2,"buffId":"sturdy","durationSec":10,"support":"battleOnly","costs":[{"stat":"mana","amount":6,"realmGrowth":{"qiRefining":[6,12]}}],"realmGrowth":{"qiRefining":[2,3]}}]}</t>
        </is>
      </c>
    </row>
    <row r="1824" ht="32" customHeight="1">
      <c r="A1824" s="8" t="n">
        <v>800002</v>
      </c>
      <c r="B1824" s="8" t="inlineStr">
        <is>
          <t>回身劲</t>
        </is>
      </c>
      <c r="C1824" s="8" t="inlineStr">
        <is>
          <t>招式</t>
        </is>
      </c>
      <c r="D1824" s="8" t="inlineStr">
        <is>
          <t>common</t>
        </is>
      </c>
      <c r="E1824" s="8" t="inlineStr">
        <is>
          <t>none</t>
        </is>
      </c>
      <c r="F1824" s="8" t="n">
        <v>1</v>
      </c>
      <c r="G1824" s="8" t="inlineStr">
        <is>
          <t>基础/顶层</t>
        </is>
      </c>
      <c r="H1824" s="8" t="inlineStr"/>
      <c r="I1824" s="9" t="inlineStr"/>
      <c r="J1824" s="8" t="inlineStr"/>
      <c r="K1824" s="8" t="inlineStr"/>
      <c r="L1824" s="8" t="inlineStr"/>
      <c r="M1824" s="8" t="inlineStr">
        <is>
          <t>说明/执行器</t>
        </is>
      </c>
      <c r="N1824" s="8" t="inlineStr">
        <is>
          <t>effectNote</t>
        </is>
      </c>
      <c r="O1824" s="9" t="inlineStr">
        <is>
          <t>长按释放，消耗 10 点法力，对敌方造成伤害，数值等同于上一次武器对其造成的伤害值</t>
        </is>
      </c>
      <c r="P1824" s="9" t="inlineStr">
        <is>
          <t>onActiveSpellCast</t>
        </is>
      </c>
      <c r="Q1824" s="9" t="inlineStr">
        <is>
          <t>damageLastWeaponDamage</t>
        </is>
      </c>
      <c r="R1824" s="9" t="inlineStr">
        <is>
          <t>{"kind":"effectNote","label":"长按释放，消耗 10 点法力，&lt;battle&gt;对敌方造成伤害，数值等同于上一次武器对其造成的伤害值&lt;/battle&gt;","executors":[{"trigger":"onActiveSpellCast","type":"damageLastWeaponDamage","amount":0,"costs":[{"stat":"mana","amount":10,"realmGrowth":{"qiRefining":[10,20]}}]}]}</t>
        </is>
      </c>
    </row>
    <row r="1825" ht="32" customHeight="1">
      <c r="A1825" s="8" t="n">
        <v>800003</v>
      </c>
      <c r="B1825" s="8" t="inlineStr">
        <is>
          <t>凝息劲</t>
        </is>
      </c>
      <c r="C1825" s="8" t="inlineStr">
        <is>
          <t>招式</t>
        </is>
      </c>
      <c r="D1825" s="8" t="inlineStr">
        <is>
          <t>common</t>
        </is>
      </c>
      <c r="E1825" s="8" t="inlineStr">
        <is>
          <t>none</t>
        </is>
      </c>
      <c r="F1825" s="8" t="n">
        <v>1</v>
      </c>
      <c r="G1825" s="8" t="inlineStr">
        <is>
          <t>基础/顶层</t>
        </is>
      </c>
      <c r="H1825" s="8" t="inlineStr"/>
      <c r="I1825" s="9" t="inlineStr"/>
      <c r="J1825" s="8" t="inlineStr"/>
      <c r="K1825" s="8" t="inlineStr"/>
      <c r="L1825" s="8" t="inlineStr"/>
      <c r="M1825" s="8" t="inlineStr">
        <is>
          <t>说明/执行器</t>
        </is>
      </c>
      <c r="N1825" s="8" t="inlineStr">
        <is>
          <t>effectNote</t>
        </is>
      </c>
      <c r="O1825" s="9" t="inlineStr">
        <is>
          <t>长按释放，消耗 15 点气血，10 秒内获得的体力翻倍</t>
        </is>
      </c>
      <c r="P1825" s="9" t="inlineStr">
        <is>
          <t>onActiveSpellCast</t>
        </is>
      </c>
      <c r="Q1825" s="9" t="inlineStr">
        <is>
          <t>temporaryPrimaryStatGainMultiplier</t>
        </is>
      </c>
      <c r="R1825" s="9" t="inlineStr">
        <is>
          <t>{"kind":"effectNote","label":"长按释放，消耗 15 点气血，10 秒内获得的体力翻倍","executors":[{"trigger":"onActiveSpellCast","type":"temporaryPrimaryStatGainMultiplier","stat":"stamina","amount":2,"durationSec":10,"costs":[{"stat":"health","amount":15,"realmGrowth":{"qiRefining":[15,30]}}]}]}</t>
        </is>
      </c>
    </row>
    <row r="1826" ht="32" customHeight="1">
      <c r="A1826" s="8" t="n">
        <v>800004</v>
      </c>
      <c r="B1826" s="8" t="inlineStr">
        <is>
          <t>铁骨劲</t>
        </is>
      </c>
      <c r="C1826" s="8" t="inlineStr">
        <is>
          <t>招式</t>
        </is>
      </c>
      <c r="D1826" s="8" t="inlineStr">
        <is>
          <t>common</t>
        </is>
      </c>
      <c r="E1826" s="8" t="inlineStr">
        <is>
          <t>none</t>
        </is>
      </c>
      <c r="F1826" s="8" t="n">
        <v>1</v>
      </c>
      <c r="G1826" s="8" t="inlineStr">
        <is>
          <t>基础/顶层</t>
        </is>
      </c>
      <c r="H1826" s="8" t="inlineStr"/>
      <c r="I1826" s="9" t="inlineStr"/>
      <c r="J1826" s="8" t="inlineStr"/>
      <c r="K1826" s="8" t="inlineStr"/>
      <c r="L1826" s="8" t="inlineStr"/>
      <c r="M1826" s="8" t="inlineStr">
        <is>
          <t>说明/执行器</t>
        </is>
      </c>
      <c r="N1826" s="8" t="inlineStr">
        <is>
          <t>effectNote</t>
        </is>
      </c>
      <c r="O1826" s="9" t="inlineStr">
        <is>
          <t>长按释放，消耗 10 点法力，获得 15 层护甲和 5 层坚硬</t>
        </is>
      </c>
      <c r="P1826" s="9" t="inlineStr">
        <is>
          <t>onActiveSpellCast</t>
        </is>
      </c>
      <c r="Q1826" s="9" t="inlineStr">
        <is>
          <t>buffGain</t>
        </is>
      </c>
      <c r="R1826" s="9" t="inlineStr">
        <is>
          <t>{"kind":"effectNote","label":"长按释放，消耗 10 点法力，获得 15 层护甲和 5 层坚硬","executors":[{"trigger":"onActiveSpellCast","type":"buffGain","buffId":"armor","amount":15,"realmGrowth":{"qiRefining":[15,23]},"costs":[{"stat":"mana","amount":10,"realmGrowth":{"qiRefining":[10,20]}}]},{"trigger":"onActiveSpellCast","type":"buffGain","buffId":"sturdy","amount":5,"realmGrowth":{"qiRefining":[5,8]}}]}</t>
        </is>
      </c>
    </row>
    <row r="1827" ht="32" customHeight="1">
      <c r="A1827" s="8" t="n">
        <v>800005</v>
      </c>
      <c r="B1827" s="8" t="inlineStr">
        <is>
          <t>伏虎势</t>
        </is>
      </c>
      <c r="C1827" s="8" t="inlineStr">
        <is>
          <t>招式</t>
        </is>
      </c>
      <c r="D1827" s="8" t="inlineStr">
        <is>
          <t>common</t>
        </is>
      </c>
      <c r="E1827" s="8" t="inlineStr">
        <is>
          <t>none</t>
        </is>
      </c>
      <c r="F1827" s="8" t="n">
        <v>1</v>
      </c>
      <c r="G1827" s="8" t="inlineStr">
        <is>
          <t>基础/顶层</t>
        </is>
      </c>
      <c r="H1827" s="8" t="inlineStr"/>
      <c r="I1827" s="9" t="inlineStr"/>
      <c r="J1827" s="8" t="inlineStr"/>
      <c r="K1827" s="8" t="inlineStr"/>
      <c r="L1827" s="8" t="inlineStr"/>
      <c r="M1827" s="8" t="inlineStr">
        <is>
          <t>说明/执行器</t>
        </is>
      </c>
      <c r="N1827" s="8" t="inlineStr">
        <is>
          <t>effectNote</t>
        </is>
      </c>
      <c r="O1827" s="9" t="inlineStr">
        <is>
          <t>长按释放，如果体力低于 30，清空体力，对敌方造成等同于体力 3 倍的伤害</t>
        </is>
      </c>
      <c r="P1827" s="9" t="inlineStr">
        <is>
          <t>onActiveSpellCast</t>
        </is>
      </c>
      <c r="Q1827" s="9" t="inlineStr">
        <is>
          <t>damageByCurrentPrimaryStat</t>
        </is>
      </c>
      <c r="R1827" s="9" t="inlineStr">
        <is>
          <t>{"kind":"effectNote","label":"长按释放，如果体力低于 30，清空体力，&lt;battle&gt;对敌方造成等同于体力 3 倍的伤害&lt;/battle&gt;","executors":[{"trigger":"onActiveSpellCast","type":"damageByCurrentPrimaryStat","stat":"stamina","amount":3,"activationRequirements":{"primaryStatThreshold":{"stat":"stamina","comparator":"lessThan","amount":30}},"consumeAll":true,"support":"common"}]}</t>
        </is>
      </c>
    </row>
    <row r="1828" ht="32" customHeight="1">
      <c r="A1828" s="8" t="n">
        <v>800006</v>
      </c>
      <c r="B1828" s="8" t="inlineStr">
        <is>
          <t>崩山劲</t>
        </is>
      </c>
      <c r="C1828" s="8" t="inlineStr">
        <is>
          <t>招式</t>
        </is>
      </c>
      <c r="D1828" s="8" t="inlineStr">
        <is>
          <t>common</t>
        </is>
      </c>
      <c r="E1828" s="8" t="inlineStr">
        <is>
          <t>none</t>
        </is>
      </c>
      <c r="F1828" s="8" t="n">
        <v>1</v>
      </c>
      <c r="G1828" s="8" t="inlineStr">
        <is>
          <t>基础/顶层</t>
        </is>
      </c>
      <c r="H1828" s="8" t="inlineStr"/>
      <c r="I1828" s="9" t="inlineStr"/>
      <c r="J1828" s="8" t="inlineStr"/>
      <c r="K1828" s="8" t="inlineStr"/>
      <c r="L1828" s="8" t="inlineStr"/>
      <c r="M1828" s="8" t="inlineStr">
        <is>
          <t>说明/执行器</t>
        </is>
      </c>
      <c r="N1828" s="8" t="inlineStr">
        <is>
          <t>effectNote</t>
        </is>
      </c>
      <c r="O1828" s="9" t="inlineStr">
        <is>
          <t>长按释放，每有 1 层坚硬，对敌方造成 5 点伤害</t>
        </is>
      </c>
      <c r="P1828" s="9" t="inlineStr">
        <is>
          <t>onActiveSpellCast</t>
        </is>
      </c>
      <c r="Q1828" s="9" t="inlineStr">
        <is>
          <t>damageHealth</t>
        </is>
      </c>
      <c r="R1828" s="9" t="inlineStr">
        <is>
          <t>{"kind":"effectNote","label":"长按释放，&lt;battle&gt;每有 1 层坚硬，对敌方造成 5 点伤害&lt;/battle&gt;","executors":[{"trigger":"onActiveSpellCast","type":"damageHealth","amount":0,"amountPerSourceBuffStack":{"buffId":"sturdy","valuePerStack":5,"realmGrowth":{"qiRefining":[5,10]}}}]}</t>
        </is>
      </c>
    </row>
    <row r="1829" ht="32" customHeight="1">
      <c r="A1829" s="8" t="n">
        <v>800007</v>
      </c>
      <c r="B1829" s="8" t="inlineStr">
        <is>
          <t>血罡护体</t>
        </is>
      </c>
      <c r="C1829" s="8" t="inlineStr">
        <is>
          <t>招式</t>
        </is>
      </c>
      <c r="D1829" s="8" t="inlineStr">
        <is>
          <t>common</t>
        </is>
      </c>
      <c r="E1829" s="8" t="inlineStr">
        <is>
          <t>none</t>
        </is>
      </c>
      <c r="F1829" s="8" t="n">
        <v>1</v>
      </c>
      <c r="G1829" s="8" t="inlineStr">
        <is>
          <t>基础/顶层</t>
        </is>
      </c>
      <c r="H1829" s="8" t="inlineStr"/>
      <c r="I1829" s="9" t="inlineStr"/>
      <c r="J1829" s="8" t="inlineStr"/>
      <c r="K1829" s="8" t="inlineStr"/>
      <c r="L1829" s="8" t="inlineStr"/>
      <c r="M1829" s="8" t="inlineStr">
        <is>
          <t>说明/执行器</t>
        </is>
      </c>
      <c r="N1829" s="8" t="inlineStr">
        <is>
          <t>effectNote</t>
        </is>
      </c>
      <c r="O1829" s="9" t="inlineStr">
        <is>
          <t>长按释放，将 10 点法力转化为 10 层坚硬</t>
        </is>
      </c>
      <c r="P1829" s="9" t="inlineStr">
        <is>
          <t>onActiveSpellCast</t>
        </is>
      </c>
      <c r="Q1829" s="9" t="inlineStr">
        <is>
          <t>buffGain</t>
        </is>
      </c>
      <c r="R1829" s="9" t="inlineStr">
        <is>
          <t>{"kind":"effectNote","label":"长按释放，将 10 点法力转化为 10 层坚硬","executors":[{"trigger":"onActiveSpellCast","type":"buffGain","buffId":"sturdy","amount":10,"realmGrowth":{"qiRefining":[10,15]},"costs":[{"stat":"mana","amount":10,"realmGrowth":{"qiRefining":[10,20]}}]}]}</t>
        </is>
      </c>
    </row>
    <row r="1830" ht="32" customHeight="1">
      <c r="A1830" s="8" t="n">
        <v>800008</v>
      </c>
      <c r="B1830" s="8" t="inlineStr">
        <is>
          <t>纳云开府</t>
        </is>
      </c>
      <c r="C1830" s="8" t="inlineStr">
        <is>
          <t>招式</t>
        </is>
      </c>
      <c r="D1830" s="8" t="inlineStr">
        <is>
          <t>common</t>
        </is>
      </c>
      <c r="E1830" s="8" t="inlineStr">
        <is>
          <t>wood</t>
        </is>
      </c>
      <c r="F1830" s="8" t="n">
        <v>1</v>
      </c>
      <c r="G1830" s="8" t="inlineStr">
        <is>
          <t>基础/顶层</t>
        </is>
      </c>
      <c r="H1830" s="8" t="inlineStr"/>
      <c r="I1830" s="9" t="inlineStr"/>
      <c r="J1830" s="8" t="inlineStr"/>
      <c r="K1830" s="8" t="inlineStr"/>
      <c r="L1830" s="8" t="inlineStr"/>
      <c r="M1830" s="8" t="inlineStr">
        <is>
          <t>被动效果</t>
        </is>
      </c>
      <c r="N1830" s="8" t="inlineStr">
        <is>
          <t>passive</t>
        </is>
      </c>
      <c r="O1830" s="9" t="inlineStr">
        <is>
          <t>本局内法力上限临时提升 10 点，体力上限临时提升 10 点</t>
        </is>
      </c>
      <c r="P1830" s="9" t="inlineStr"/>
      <c r="Q1830" s="9" t="inlineStr">
        <is>
          <t>primaryStatMaxFlatBonuses</t>
        </is>
      </c>
      <c r="R1830" s="9" t="inlineStr">
        <is>
          <t>{"kind":"passive","label":"本局内法力上限临时提升 10 点，体力上限临时提升 10 点","passiveEffect":{"type":"primaryStatMaxFlatBonuses","bonuses":[{"stat":"mana","value":10,"realmGrowth":{"qiRefining":[10,20]}},{"stat":"stamina","value":10,"realmGrowth":{"qiRefining":[10,20]}}],"label":"本局内法力上限临时提升 10 点，体力上限临时提升 10 点"}}</t>
        </is>
      </c>
    </row>
    <row r="1831" ht="32" customHeight="1">
      <c r="A1831" s="8" t="n">
        <v>800009</v>
      </c>
      <c r="B1831" s="8" t="inlineStr">
        <is>
          <t>散云护身</t>
        </is>
      </c>
      <c r="C1831" s="8" t="inlineStr">
        <is>
          <t>招式</t>
        </is>
      </c>
      <c r="D1831" s="8" t="inlineStr">
        <is>
          <t>common</t>
        </is>
      </c>
      <c r="E1831" s="8" t="inlineStr">
        <is>
          <t>wood</t>
        </is>
      </c>
      <c r="F1831" s="8" t="n">
        <v>1</v>
      </c>
      <c r="G1831" s="8" t="inlineStr">
        <is>
          <t>基础/顶层</t>
        </is>
      </c>
      <c r="H1831" s="8" t="inlineStr"/>
      <c r="I1831" s="9" t="inlineStr"/>
      <c r="J1831" s="8" t="inlineStr"/>
      <c r="K1831" s="8" t="inlineStr"/>
      <c r="L1831" s="8" t="inlineStr"/>
      <c r="M1831" s="8" t="inlineStr">
        <is>
          <t>说明/执行器</t>
        </is>
      </c>
      <c r="N1831" s="8" t="inlineStr">
        <is>
          <t>effectNote</t>
        </is>
      </c>
      <c r="O1831" s="9" t="inlineStr">
        <is>
          <t>长按释放，恢复自身 10 点气血，获得 1 层闪避</t>
        </is>
      </c>
      <c r="P1831" s="9" t="inlineStr">
        <is>
          <t>onActiveSpellCast</t>
        </is>
      </c>
      <c r="Q1831" s="9" t="inlineStr">
        <is>
          <t>primaryStatGain；buffGain</t>
        </is>
      </c>
      <c r="R1831" s="9" t="inlineStr">
        <is>
          <t>{"kind":"effectNote","label":"长按释放，恢复自身 10 点气血，获得 1 层闪避","executors":[{"trigger":"onActiveSpellCast","type":"primaryStatGain","amount":10,"realmGrowth":{"qiRefining":[10,20]},"stat":"health"},{"trigger":"onActiveSpellCast","type":"buffGain","buffId":"dodge","amount":1,"realmGrowth":{"qiRefining":[1,2]}}]}</t>
        </is>
      </c>
    </row>
    <row r="1832" ht="32" customHeight="1">
      <c r="A1832" s="8" t="n">
        <v>800010</v>
      </c>
      <c r="B1832" s="8" t="inlineStr">
        <is>
          <t>行云续府</t>
        </is>
      </c>
      <c r="C1832" s="8" t="inlineStr">
        <is>
          <t>招式</t>
        </is>
      </c>
      <c r="D1832" s="8" t="inlineStr">
        <is>
          <t>common</t>
        </is>
      </c>
      <c r="E1832" s="8" t="inlineStr">
        <is>
          <t>wood</t>
        </is>
      </c>
      <c r="F1832" s="8" t="n">
        <v>1</v>
      </c>
      <c r="G1832" s="8" t="inlineStr">
        <is>
          <t>基础/顶层</t>
        </is>
      </c>
      <c r="H1832" s="8" t="inlineStr"/>
      <c r="I1832" s="9" t="inlineStr"/>
      <c r="J1832" s="8" t="inlineStr"/>
      <c r="K1832" s="8" t="inlineStr"/>
      <c r="L1832" s="8" t="inlineStr"/>
      <c r="M1832" s="8" t="inlineStr">
        <is>
          <t>说明/执行器</t>
        </is>
      </c>
      <c r="N1832" s="8" t="inlineStr">
        <is>
          <t>effectNote</t>
        </is>
      </c>
      <c r="O1832" s="9" t="inlineStr">
        <is>
          <t>长按释放，恢复 10 点法力</t>
        </is>
      </c>
      <c r="P1832" s="9" t="inlineStr">
        <is>
          <t>onActiveSpellCast</t>
        </is>
      </c>
      <c r="Q1832" s="9" t="inlineStr">
        <is>
          <t>primaryStatGain</t>
        </is>
      </c>
      <c r="R1832" s="9" t="inlineStr">
        <is>
          <t>{"kind":"effectNote","label":"长按释放，恢复 10 点法力","executors":[{"trigger":"onActiveSpellCast","type":"primaryStatGain","stat":"mana","amount":10,"realmGrowth":{"qiRefining":[10,20]}}]}</t>
        </is>
      </c>
    </row>
    <row r="1833" ht="32" customHeight="1">
      <c r="A1833" s="8" t="n">
        <v>800011</v>
      </c>
      <c r="B1833" s="8" t="inlineStr">
        <is>
          <t>截云散劲</t>
        </is>
      </c>
      <c r="C1833" s="8" t="inlineStr">
        <is>
          <t>招式</t>
        </is>
      </c>
      <c r="D1833" s="8" t="inlineStr">
        <is>
          <t>common</t>
        </is>
      </c>
      <c r="E1833" s="8" t="inlineStr">
        <is>
          <t>wood</t>
        </is>
      </c>
      <c r="F1833" s="8" t="n">
        <v>1</v>
      </c>
      <c r="G1833" s="8" t="inlineStr">
        <is>
          <t>基础/顶层</t>
        </is>
      </c>
      <c r="H1833" s="8" t="inlineStr"/>
      <c r="I1833" s="9" t="inlineStr"/>
      <c r="J1833" s="8" t="inlineStr"/>
      <c r="K1833" s="8" t="inlineStr"/>
      <c r="L1833" s="8" t="inlineStr"/>
      <c r="M1833" s="8" t="inlineStr">
        <is>
          <t>周期触发</t>
        </is>
      </c>
      <c r="N1833" s="8" t="inlineStr">
        <is>
          <t>periodicPulse</t>
        </is>
      </c>
      <c r="O1833" s="9" t="inlineStr">
        <is>
          <t>开局：获得 10 层闪避</t>
        </is>
      </c>
      <c r="P1833" s="9" t="inlineStr"/>
      <c r="Q1833" s="9" t="inlineStr"/>
      <c r="R1833" s="9" t="inlineStr">
        <is>
          <t>{"kind":"periodicPulse","label":"开局：获得 10 层闪避","periodicPulse":{"startOnly":true,"buffGains":[{"buffId":"dodge","count":10,"realmGrowth":{"qiRefining":[10,15]}}],"label":"开局：获得 10 层闪避"}}</t>
        </is>
      </c>
    </row>
    <row r="1834" ht="32" customHeight="1">
      <c r="A1834" s="8" t="n">
        <v>800012</v>
      </c>
      <c r="B1834" s="8" t="inlineStr">
        <is>
          <t>青云省耗诀</t>
        </is>
      </c>
      <c r="C1834" s="8" t="inlineStr">
        <is>
          <t>招式</t>
        </is>
      </c>
      <c r="D1834" s="8" t="inlineStr">
        <is>
          <t>common</t>
        </is>
      </c>
      <c r="E1834" s="8" t="inlineStr">
        <is>
          <t>wood</t>
        </is>
      </c>
      <c r="F1834" s="8" t="n">
        <v>1</v>
      </c>
      <c r="G1834" s="8" t="inlineStr">
        <is>
          <t>基础/顶层</t>
        </is>
      </c>
      <c r="H1834" s="8" t="inlineStr"/>
      <c r="I1834" s="9" t="inlineStr"/>
      <c r="J1834" s="8" t="inlineStr"/>
      <c r="K1834" s="8" t="inlineStr"/>
      <c r="L1834" s="8" t="inlineStr"/>
      <c r="M1834" s="8" t="inlineStr">
        <is>
          <t>说明/执行器</t>
        </is>
      </c>
      <c r="N1834" s="8" t="inlineStr">
        <is>
          <t>effectNote</t>
        </is>
      </c>
      <c r="O1834" s="9" t="inlineStr">
        <is>
          <t>长按释放，5 秒内所有道具的属性消耗降低 2 点</t>
        </is>
      </c>
      <c r="P1834" s="9" t="inlineStr">
        <is>
          <t>onActiveSpellCast</t>
        </is>
      </c>
      <c r="Q1834" s="9" t="inlineStr">
        <is>
          <t>temporaryActiveSpellCostModifier</t>
        </is>
      </c>
      <c r="R1834" s="9" t="inlineStr">
        <is>
          <t>{"kind":"effectNote","label":"长按释放，5 秒内所有道具的属性消耗降低 2 点","executors":[{"trigger":"onActiveSpellCast","type":"temporaryActiveSpellCostModifier","stat":"all","amount":-2,"durationSec":5,"realmGrowth":{"qiRefining":[-2,-4]}}]}</t>
        </is>
      </c>
    </row>
    <row r="1835" ht="32" customHeight="1">
      <c r="A1835" s="8" t="n">
        <v>800013</v>
      </c>
      <c r="B1835" s="8" t="inlineStr">
        <is>
          <t>云海回生息</t>
        </is>
      </c>
      <c r="C1835" s="8" t="inlineStr">
        <is>
          <t>招式</t>
        </is>
      </c>
      <c r="D1835" s="8" t="inlineStr">
        <is>
          <t>common</t>
        </is>
      </c>
      <c r="E1835" s="8" t="inlineStr">
        <is>
          <t>wood</t>
        </is>
      </c>
      <c r="F1835" s="8" t="n">
        <v>1</v>
      </c>
      <c r="G1835" s="8" t="inlineStr">
        <is>
          <t>基础/顶层</t>
        </is>
      </c>
      <c r="H1835" s="8" t="inlineStr"/>
      <c r="I1835" s="9" t="inlineStr"/>
      <c r="J1835" s="8" t="inlineStr"/>
      <c r="K1835" s="8" t="inlineStr"/>
      <c r="L1835" s="8" t="inlineStr"/>
      <c r="M1835" s="8" t="inlineStr">
        <is>
          <t>说明/执行器</t>
        </is>
      </c>
      <c r="N1835" s="8" t="inlineStr">
        <is>
          <t>effectNote</t>
        </is>
      </c>
      <c r="O1835" s="9" t="inlineStr">
        <is>
          <t>开局：本局内体力上限临时下降 30%，法力上限临时提升 30%</t>
        </is>
      </c>
      <c r="P1835" s="9" t="inlineStr"/>
      <c r="Q1835" s="9" t="inlineStr"/>
      <c r="R1835" s="9" t="inlineStr">
        <is>
          <t>{"kind":"effectNote","label":"开局：本局内体力上限临时下降 30%，法力上限临时提升 30%"}</t>
        </is>
      </c>
    </row>
    <row r="1836" ht="32" customHeight="1">
      <c r="A1836" s="8" t="n">
        <v>800014</v>
      </c>
      <c r="B1836" s="8" t="inlineStr">
        <is>
          <t>回炉纳气</t>
        </is>
      </c>
      <c r="C1836" s="8" t="inlineStr">
        <is>
          <t>招式</t>
        </is>
      </c>
      <c r="D1836" s="8" t="inlineStr">
        <is>
          <t>common</t>
        </is>
      </c>
      <c r="E1836" s="8" t="inlineStr">
        <is>
          <t>fire</t>
        </is>
      </c>
      <c r="F1836" s="8" t="n">
        <v>1</v>
      </c>
      <c r="G1836" s="8" t="inlineStr">
        <is>
          <t>基础/顶层</t>
        </is>
      </c>
      <c r="H1836" s="8" t="inlineStr"/>
      <c r="I1836" s="9" t="inlineStr"/>
      <c r="J1836" s="8" t="inlineStr"/>
      <c r="K1836" s="8" t="inlineStr"/>
      <c r="L1836" s="8" t="inlineStr"/>
      <c r="M1836" s="8" t="inlineStr">
        <is>
          <t>说明/执行器</t>
        </is>
      </c>
      <c r="N1836" s="8" t="inlineStr">
        <is>
          <t>effectNote</t>
        </is>
      </c>
      <c r="O1836" s="9" t="inlineStr">
        <is>
          <t>长按释放，恢复 7 点法力；每当有丹药耗尽时，本招式剩余冷却缩短 15 秒</t>
        </is>
      </c>
      <c r="P1836" s="9" t="inlineStr">
        <is>
          <t>onActiveSpellCast；onConsumableExhausted</t>
        </is>
      </c>
      <c r="Q1836" s="9" t="inlineStr">
        <is>
          <t>primaryStatGain；reduceActiveSpellCooldown；any</t>
        </is>
      </c>
      <c r="R1836" s="9" t="inlineStr">
        <is>
          <t>{"kind":"effectNote","label":"长按释放，恢复 7 点法力；每当有丹药耗尽时，本招式剩余冷却缩短 15 秒","executors":[{"trigger":"onActiveSpellCast","type":"primaryStatGain","stat":"mana","amount":7,"realmGrowth":{"qiRefining":[7,14]}},{"trigger":"onConsumableExhausted","type":"reduceActiveSpellCooldown","deltaMs":15000,"eventSource":{"target":{"type":"any"},"filter":{"categories":["pill"]}}}]}</t>
        </is>
      </c>
    </row>
    <row r="1837" ht="32" customHeight="1">
      <c r="A1837" s="8" t="n">
        <v>800015</v>
      </c>
      <c r="B1837" s="8" t="inlineStr">
        <is>
          <t>药气润身</t>
        </is>
      </c>
      <c r="C1837" s="8" t="inlineStr">
        <is>
          <t>招式</t>
        </is>
      </c>
      <c r="D1837" s="8" t="inlineStr">
        <is>
          <t>common</t>
        </is>
      </c>
      <c r="E1837" s="8" t="inlineStr">
        <is>
          <t>fire</t>
        </is>
      </c>
      <c r="F1837" s="8" t="n">
        <v>1</v>
      </c>
      <c r="G1837" s="8" t="inlineStr">
        <is>
          <t>基础/顶层</t>
        </is>
      </c>
      <c r="H1837" s="8" t="inlineStr"/>
      <c r="I1837" s="9" t="inlineStr"/>
      <c r="J1837" s="8" t="inlineStr"/>
      <c r="K1837" s="8" t="inlineStr"/>
      <c r="L1837" s="8" t="inlineStr"/>
      <c r="M1837" s="8" t="inlineStr">
        <is>
          <t>说明/执行器</t>
        </is>
      </c>
      <c r="N1837" s="8" t="inlineStr">
        <is>
          <t>effectNote</t>
        </is>
      </c>
      <c r="O1837" s="9" t="inlineStr">
        <is>
          <t>所有丹药的耗尽速度加快 100%，每当有丹药耗尽时，恢复 10 点法力与 10 点体力</t>
        </is>
      </c>
      <c r="P1837" s="9" t="inlineStr">
        <is>
          <t>onConsumableExhausted</t>
        </is>
      </c>
      <c r="Q1837" s="9" t="inlineStr">
        <is>
          <t>modifyPlayerPrimaryStat；any</t>
        </is>
      </c>
      <c r="R1837" s="9" t="inlineStr">
        <is>
          <t>{"kind":"effectNote","label":"所有丹药的耗尽速度加快 100%，每当有丹药耗尽时，恢复 10 点法力与 10 点体力","executors":[{"trigger":"onConsumableExhausted","type":"modifyPlayerPrimaryStat","stat":"mana","delta":10,"eventSource":{"target":{"type":"any"},"filter":{"categories":["pill"]}},"realmGrowth":{"qiRefining":[10,20]}},{"trigger":"onConsumableExhausted","type":"modifyPlayerPrimaryStat","stat":"stamina","delta":10,"eventSource":{"target":{"type":"any"},"filter":{"categories":["pill"]}},"realmGrowth":{"qiRefining":[10,20]}}]}</t>
        </is>
      </c>
    </row>
    <row r="1838" ht="32" customHeight="1">
      <c r="A1838" s="8" t="n">
        <v>800016</v>
      </c>
      <c r="B1838" s="8" t="inlineStr">
        <is>
          <t>丹息回流</t>
        </is>
      </c>
      <c r="C1838" s="8" t="inlineStr">
        <is>
          <t>招式</t>
        </is>
      </c>
      <c r="D1838" s="8" t="inlineStr">
        <is>
          <t>common</t>
        </is>
      </c>
      <c r="E1838" s="8" t="inlineStr">
        <is>
          <t>fire</t>
        </is>
      </c>
      <c r="F1838" s="8" t="n">
        <v>1</v>
      </c>
      <c r="G1838" s="8" t="inlineStr">
        <is>
          <t>基础/顶层</t>
        </is>
      </c>
      <c r="H1838" s="8" t="inlineStr"/>
      <c r="I1838" s="9" t="inlineStr"/>
      <c r="J1838" s="8" t="inlineStr"/>
      <c r="K1838" s="8" t="inlineStr"/>
      <c r="L1838" s="8" t="inlineStr"/>
      <c r="M1838" s="8" t="inlineStr">
        <is>
          <t>说明/执行器</t>
        </is>
      </c>
      <c r="N1838" s="8" t="inlineStr">
        <is>
          <t>effectNote</t>
        </is>
      </c>
      <c r="O1838" s="9" t="inlineStr">
        <is>
          <t>所有丹药的耗尽速度降低 50%</t>
        </is>
      </c>
      <c r="P1838" s="9" t="inlineStr"/>
      <c r="Q1838" s="9" t="inlineStr"/>
      <c r="R1838" s="9" t="inlineStr">
        <is>
          <t>{"kind":"effectNote","label":"所有丹药的耗尽速度降低 50%"}</t>
        </is>
      </c>
    </row>
    <row r="1839" ht="32" customHeight="1">
      <c r="A1839" s="8" t="n">
        <v>800017</v>
      </c>
      <c r="B1839" s="8" t="inlineStr">
        <is>
          <t>炉息归元</t>
        </is>
      </c>
      <c r="C1839" s="8" t="inlineStr">
        <is>
          <t>招式</t>
        </is>
      </c>
      <c r="D1839" s="8" t="inlineStr">
        <is>
          <t>common</t>
        </is>
      </c>
      <c r="E1839" s="8" t="inlineStr">
        <is>
          <t>fire</t>
        </is>
      </c>
      <c r="F1839" s="8" t="n">
        <v>1</v>
      </c>
      <c r="G1839" s="8" t="inlineStr">
        <is>
          <t>基础/顶层</t>
        </is>
      </c>
      <c r="H1839" s="8" t="inlineStr"/>
      <c r="I1839" s="9" t="inlineStr"/>
      <c r="J1839" s="8" t="inlineStr"/>
      <c r="K1839" s="8" t="inlineStr"/>
      <c r="L1839" s="8" t="inlineStr"/>
      <c r="M1839" s="8" t="inlineStr">
        <is>
          <t>说明/执行器</t>
        </is>
      </c>
      <c r="N1839" s="8" t="inlineStr">
        <is>
          <t>effectNote</t>
        </is>
      </c>
      <c r="O1839" s="9" t="inlineStr">
        <is>
          <t>长按释放，恢复 20 点法力；本局内每有 1 个丹药耗尽，额外恢复 5 点法力</t>
        </is>
      </c>
      <c r="P1839" s="9" t="inlineStr">
        <is>
          <t>onActiveSpellCast</t>
        </is>
      </c>
      <c r="Q1839" s="9" t="inlineStr">
        <is>
          <t>primaryStatGain</t>
        </is>
      </c>
      <c r="R1839" s="9" t="inlineStr">
        <is>
          <t>{"kind":"effectNote","label":"长按释放，恢复 20 点法力；本局内每有 1 个丹药耗尽，额外恢复 5 点法力","executors":[{"trigger":"onActiveSpellCast","type":"primaryStatGain","stat":"mana","amount":20,"realmGrowth":{"qiRefining":[20,40]},"amountPerExhaustedConsumable":{"categories":["pill"],"valuePerItem":5,"realmGrowth":{"qiRefining":[5,10]}}}]}</t>
        </is>
      </c>
    </row>
    <row r="1840" ht="32" customHeight="1">
      <c r="A1840" s="8" t="n">
        <v>800018</v>
      </c>
      <c r="B1840" s="8" t="inlineStr">
        <is>
          <t>五气弹</t>
        </is>
      </c>
      <c r="C1840" s="8" t="inlineStr">
        <is>
          <t>招式</t>
        </is>
      </c>
      <c r="D1840" s="8" t="inlineStr">
        <is>
          <t>common</t>
        </is>
      </c>
      <c r="E1840" s="8" t="inlineStr">
        <is>
          <t>none</t>
        </is>
      </c>
      <c r="F1840" s="8" t="n">
        <v>1</v>
      </c>
      <c r="G1840" s="8" t="inlineStr">
        <is>
          <t>基础/顶层</t>
        </is>
      </c>
      <c r="H1840" s="8" t="inlineStr"/>
      <c r="I1840" s="9" t="inlineStr"/>
      <c r="J1840" s="8" t="inlineStr"/>
      <c r="K1840" s="8" t="inlineStr"/>
      <c r="L1840" s="8" t="inlineStr"/>
      <c r="M1840" s="8" t="inlineStr">
        <is>
          <t>说明/执行器</t>
        </is>
      </c>
      <c r="N1840" s="8" t="inlineStr">
        <is>
          <t>effectNote</t>
        </is>
      </c>
      <c r="O1840" s="9" t="inlineStr">
        <is>
          <t>长按释放，消耗 1 点法力，对敌方造成 3 点伤害，相邻每有一个五行属性道具，额外释放一次</t>
        </is>
      </c>
      <c r="P1840" s="9" t="inlineStr">
        <is>
          <t>onActiveSpellCast</t>
        </is>
      </c>
      <c r="Q1840" s="9" t="inlineStr">
        <is>
          <t>damageHealth</t>
        </is>
      </c>
      <c r="R1840" s="9" t="inlineStr">
        <is>
          <t>{"kind":"effectNote","label":"长按释放，消耗 1 点法力，&lt;battle&gt;对敌方造成 3 点伤害&lt;/battle&gt;，相邻每有一个五行属性道具，额外释放一次","executors":[{"trigger":"onActiveSpellCast","type":"damageHealth","amount":3,"realmGrowth":{"qiRefining":[3,6]},"additionalExecutionsPerAdjacentMatchingItem":{"elements":["metal","wood","water","fire","earth"]},"costs":[{"stat":"mana","amount":1,"realmGrowth":{"qiRefining":[1,2]}}]}]}</t>
        </is>
      </c>
    </row>
    <row r="1841" ht="32" customHeight="1">
      <c r="A1841" s="8" t="n">
        <v>800019</v>
      </c>
      <c r="B1841" s="8" t="inlineStr">
        <is>
          <t>引气护身</t>
        </is>
      </c>
      <c r="C1841" s="8" t="inlineStr">
        <is>
          <t>招式</t>
        </is>
      </c>
      <c r="D1841" s="8" t="inlineStr">
        <is>
          <t>common</t>
        </is>
      </c>
      <c r="E1841" s="8" t="inlineStr">
        <is>
          <t>none</t>
        </is>
      </c>
      <c r="F1841" s="8" t="n">
        <v>1</v>
      </c>
      <c r="G1841" s="8" t="inlineStr">
        <is>
          <t>基础/顶层</t>
        </is>
      </c>
      <c r="H1841" s="8" t="inlineStr"/>
      <c r="I1841" s="9" t="inlineStr"/>
      <c r="J1841" s="8" t="inlineStr"/>
      <c r="K1841" s="8" t="inlineStr"/>
      <c r="L1841" s="8" t="inlineStr"/>
      <c r="M1841" s="8" t="inlineStr">
        <is>
          <t>说明/执行器</t>
        </is>
      </c>
      <c r="N1841" s="8" t="inlineStr">
        <is>
          <t>effectNote</t>
        </is>
      </c>
      <c r="O1841" s="9" t="inlineStr">
        <is>
          <t>长按释放，消耗 4 点法力，相邻每有一个五行属性道具，获得 2 层坚硬</t>
        </is>
      </c>
      <c r="P1841" s="9" t="inlineStr">
        <is>
          <t>onActiveSpellCast</t>
        </is>
      </c>
      <c r="Q1841" s="9" t="inlineStr">
        <is>
          <t>buffGain</t>
        </is>
      </c>
      <c r="R1841" s="9" t="inlineStr">
        <is>
          <t>{"kind":"effectNote","label":"长按释放，消耗 4 点法力，相邻每有一个五行属性道具，获得 2 层坚硬","executors":[{"trigger":"onActiveSpellCast","type":"buffGain","buffId":"sturdy","amount":0,"amountPerAdjacentMatchingItem":{"valuePerItem":2,"elements":["metal","wood","water","fire","earth"],"realmGrowth":{"qiRefining":[2,3]}},"costs":[{"stat":"mana","amount":4,"realmGrowth":{"qiRefining":[4,8]}}]}]}</t>
        </is>
      </c>
    </row>
    <row r="1842" ht="32" customHeight="1">
      <c r="A1842" s="8" t="n">
        <v>800020</v>
      </c>
      <c r="B1842" s="8" t="inlineStr">
        <is>
          <t>火弹术</t>
        </is>
      </c>
      <c r="C1842" s="8" t="inlineStr">
        <is>
          <t>招式</t>
        </is>
      </c>
      <c r="D1842" s="8" t="inlineStr">
        <is>
          <t>common</t>
        </is>
      </c>
      <c r="E1842" s="8" t="inlineStr">
        <is>
          <t>fire</t>
        </is>
      </c>
      <c r="F1842" s="8" t="n">
        <v>1</v>
      </c>
      <c r="G1842" s="8" t="inlineStr">
        <is>
          <t>基础/顶层</t>
        </is>
      </c>
      <c r="H1842" s="8" t="inlineStr"/>
      <c r="I1842" s="9" t="inlineStr"/>
      <c r="J1842" s="8" t="inlineStr"/>
      <c r="K1842" s="8" t="inlineStr"/>
      <c r="L1842" s="8" t="inlineStr"/>
      <c r="M1842" s="8" t="inlineStr">
        <is>
          <t>说明/执行器</t>
        </is>
      </c>
      <c r="N1842" s="8" t="inlineStr">
        <is>
          <t>effectNote</t>
        </is>
      </c>
      <c r="O1842" s="9" t="inlineStr">
        <is>
          <t>长按释放，消耗 5 点法力，对敌方造成 15 点伤害；和火属性道具相邻时，伤害翻倍</t>
        </is>
      </c>
      <c r="P1842" s="9" t="inlineStr">
        <is>
          <t>onActiveSpellCast</t>
        </is>
      </c>
      <c r="Q1842" s="9" t="inlineStr">
        <is>
          <t>damageHealth</t>
        </is>
      </c>
      <c r="R1842" s="9" t="inlineStr">
        <is>
          <t>{"kind":"effectNote","label":"长按释放，消耗 5 点法力，&lt;battle&gt;对敌方造成 15 点伤害；和火属性道具相邻时，伤害翻倍&lt;/battle&gt;","executors":[{"trigger":"onActiveSpellCast","type":"damageHealth","amount":15,"realmGrowth":{"qiRefining":[15,30]},"effectMultiplierWhenAdjacent":{"elements":["fire"],"multiplier":2},"costs":[{"stat":"mana","amount":5,"realmGrowth":{"qiRefining":[5,10]}}]}]}</t>
        </is>
      </c>
    </row>
    <row r="1843" ht="32" customHeight="1">
      <c r="A1843" s="8" t="n">
        <v>800021</v>
      </c>
      <c r="B1843" s="8" t="inlineStr">
        <is>
          <t>冰锥术</t>
        </is>
      </c>
      <c r="C1843" s="8" t="inlineStr">
        <is>
          <t>招式</t>
        </is>
      </c>
      <c r="D1843" s="8" t="inlineStr">
        <is>
          <t>common</t>
        </is>
      </c>
      <c r="E1843" s="8" t="inlineStr">
        <is>
          <t>ice</t>
        </is>
      </c>
      <c r="F1843" s="8" t="n">
        <v>1</v>
      </c>
      <c r="G1843" s="8" t="inlineStr">
        <is>
          <t>基础/顶层</t>
        </is>
      </c>
      <c r="H1843" s="8" t="inlineStr"/>
      <c r="I1843" s="9" t="inlineStr"/>
      <c r="J1843" s="8" t="inlineStr"/>
      <c r="K1843" s="8" t="inlineStr"/>
      <c r="L1843" s="8" t="inlineStr"/>
      <c r="M1843" s="8" t="inlineStr">
        <is>
          <t>说明/执行器</t>
        </is>
      </c>
      <c r="N1843" s="8" t="inlineStr">
        <is>
          <t>effectNote</t>
        </is>
      </c>
      <c r="O1843" s="9" t="inlineStr">
        <is>
          <t>长按释放，消耗 20 点法力，造成 28 点伤害，并使敌方随机 3 件道具减速 2 秒；和 2 件水属性道具相邻时，伤害和减速时长翻倍</t>
        </is>
      </c>
      <c r="P1843" s="9" t="inlineStr">
        <is>
          <t>onActiveSpellCast</t>
        </is>
      </c>
      <c r="Q1843" s="9" t="inlineStr">
        <is>
          <t>damageHealth；itemRuntimeStatus</t>
        </is>
      </c>
      <c r="R1843" s="9" t="inlineStr">
        <is>
          <t>{"kind":"effectNote","label":"长按释放，消耗 20 点法力，&lt;battle&gt;造成 28 点伤害，并使敌方随机 3 件道具减速 2 秒；和 2 件水属性道具相邻时，伤害和减速时长翻倍&lt;/battle&gt;","executors":[{"trigger":"onActiveSpellCast","type":"damageHealth","amount":28,"realmGrowth":{"qiRefining":[28,56]},"effectMultiplierWhenAdjacent":{"elements":["water"],"minCount":2,"multiplier":2},"costs":[{"stat":"mana","amount":20,"realmGrowth":{"qiRefining":[20,40]}}]},{"trigger":"onActiveSpellCast","type":"itemRuntimeStatus","itemRuntimeStatus":"slow","targetActor":"enemy","amount":3,"durationSec":2,"effectMultiplierWhenAdjacent":{"elements":["water"],"minCount":2,"multiplier":2}}]}</t>
        </is>
      </c>
    </row>
    <row r="1844" ht="32" customHeight="1">
      <c r="A1844" s="8" t="n">
        <v>800022</v>
      </c>
      <c r="B1844" s="8" t="inlineStr">
        <is>
          <t>暴风雪</t>
        </is>
      </c>
      <c r="C1844" s="8" t="inlineStr">
        <is>
          <t>招式</t>
        </is>
      </c>
      <c r="D1844" s="8" t="inlineStr">
        <is>
          <t>common</t>
        </is>
      </c>
      <c r="E1844" s="8" t="inlineStr">
        <is>
          <t>ice</t>
        </is>
      </c>
      <c r="F1844" s="8" t="n">
        <v>1</v>
      </c>
      <c r="G1844" s="8" t="inlineStr">
        <is>
          <t>基础/顶层</t>
        </is>
      </c>
      <c r="H1844" s="8" t="inlineStr"/>
      <c r="I1844" s="9" t="inlineStr"/>
      <c r="J1844" s="8" t="inlineStr"/>
      <c r="K1844" s="8" t="inlineStr"/>
      <c r="L1844" s="8" t="inlineStr"/>
      <c r="M1844" s="8" t="inlineStr">
        <is>
          <t>说明/执行器</t>
        </is>
      </c>
      <c r="N1844" s="8" t="inlineStr">
        <is>
          <t>effectNote</t>
        </is>
      </c>
      <c r="O1844" s="9" t="inlineStr">
        <is>
          <t>长按释放，消耗 40 点法力，造成 40 点伤害，并使敌方随机 5 件道具减速 5 秒；和 3 件水属性道具相邻时，伤害翻倍</t>
        </is>
      </c>
      <c r="P1844" s="9" t="inlineStr">
        <is>
          <t>onActiveSpellCast</t>
        </is>
      </c>
      <c r="Q1844" s="9" t="inlineStr">
        <is>
          <t>damageHealth；itemRuntimeStatus</t>
        </is>
      </c>
      <c r="R1844" s="9" t="inlineStr">
        <is>
          <t>{"kind":"effectNote","label":"长按释放，消耗 40 点法力，&lt;battle&gt;造成 40 点伤害，并使敌方随机 5 件道具减速 5 秒；和 3 件水属性道具相邻时，伤害翻倍&lt;/battle&gt;","executors":[{"trigger":"onActiveSpellCast","type":"damageHealth","amount":40,"realmGrowth":{"qiRefining":[40,80]},"effectMultiplierWhenAdjacent":{"elements":["water"],"minCount":3,"multiplier":2},"costs":[{"stat":"mana","amount":40,"realmGrowth":{"qiRefining":[40,80]}}]},{"trigger":"onActiveSpellCast","type":"itemRuntimeStatus","itemRuntimeStatus":"slow","targetActor":"enemy","amount":5,"durationSec":5}]}</t>
        </is>
      </c>
    </row>
    <row r="1845" ht="32" customHeight="1">
      <c r="A1845" s="8" t="n">
        <v>800023</v>
      </c>
      <c r="B1845" s="8" t="inlineStr">
        <is>
          <t>陨石术</t>
        </is>
      </c>
      <c r="C1845" s="8" t="inlineStr">
        <is>
          <t>招式</t>
        </is>
      </c>
      <c r="D1845" s="8" t="inlineStr">
        <is>
          <t>common</t>
        </is>
      </c>
      <c r="E1845" s="8" t="inlineStr">
        <is>
          <t>fire</t>
        </is>
      </c>
      <c r="F1845" s="8" t="n">
        <v>1</v>
      </c>
      <c r="G1845" s="8" t="inlineStr">
        <is>
          <t>基础/顶层</t>
        </is>
      </c>
      <c r="H1845" s="8" t="inlineStr"/>
      <c r="I1845" s="9" t="inlineStr"/>
      <c r="J1845" s="8" t="inlineStr"/>
      <c r="K1845" s="8" t="inlineStr"/>
      <c r="L1845" s="8" t="inlineStr"/>
      <c r="M1845" s="8" t="inlineStr">
        <is>
          <t>说明/执行器</t>
        </is>
      </c>
      <c r="N1845" s="8" t="inlineStr">
        <is>
          <t>effectNote</t>
        </is>
      </c>
      <c r="O1845" s="9" t="inlineStr">
        <is>
          <t>长按释放，消耗 50 点法力，对敌方造成 100 点伤害；和火属性功法相邻时，伤害翻倍</t>
        </is>
      </c>
      <c r="P1845" s="9" t="inlineStr">
        <is>
          <t>onActiveSpellCast</t>
        </is>
      </c>
      <c r="Q1845" s="9" t="inlineStr">
        <is>
          <t>damageHealth</t>
        </is>
      </c>
      <c r="R1845" s="9" t="inlineStr">
        <is>
          <t>{"kind":"effectNote","label":"长按释放，消耗 50 点法力，&lt;battle&gt;对敌方造成 100 点伤害；和火属性功法相邻时，伤害翻倍&lt;/battle&gt;","executors":[{"trigger":"onActiveSpellCast","type":"damageHealth","amount":100,"realmGrowth":{"qiRefining":[100,200]},"effectMultiplierWhenAdjacent":{"categories":["scripture"],"elements":["fire"],"multiplier":2},"costs":[{"stat":"mana","amount":50,"realmGrowth":{"qiRefining":[50,100]}}]}]}</t>
        </is>
      </c>
    </row>
    <row r="1846" ht="32" customHeight="1">
      <c r="A1846" s="8" t="n">
        <v>800024</v>
      </c>
      <c r="B1846" s="8" t="inlineStr">
        <is>
          <t>月下回息</t>
        </is>
      </c>
      <c r="C1846" s="8" t="inlineStr">
        <is>
          <t>招式</t>
        </is>
      </c>
      <c r="D1846" s="8" t="inlineStr">
        <is>
          <t>common</t>
        </is>
      </c>
      <c r="E1846" s="8" t="inlineStr">
        <is>
          <t>none</t>
        </is>
      </c>
      <c r="F1846" s="8" t="n">
        <v>1</v>
      </c>
      <c r="G1846" s="8" t="inlineStr">
        <is>
          <t>基础/顶层</t>
        </is>
      </c>
      <c r="H1846" s="8" t="inlineStr"/>
      <c r="I1846" s="9" t="inlineStr"/>
      <c r="J1846" s="8" t="inlineStr"/>
      <c r="K1846" s="8" t="inlineStr"/>
      <c r="L1846" s="8" t="inlineStr"/>
      <c r="M1846" s="8" t="inlineStr">
        <is>
          <t>说明/执行器</t>
        </is>
      </c>
      <c r="N1846" s="8" t="inlineStr">
        <is>
          <t>effectNote</t>
        </is>
      </c>
      <c r="O1846" s="9" t="inlineStr">
        <is>
          <t>长按释放，消耗 5 点法力，10 秒内所有法力恢复翻倍</t>
        </is>
      </c>
      <c r="P1846" s="9" t="inlineStr">
        <is>
          <t>onActiveSpellCast</t>
        </is>
      </c>
      <c r="Q1846" s="9" t="inlineStr">
        <is>
          <t>temporaryPrimaryStatGainMultiplier</t>
        </is>
      </c>
      <c r="R1846" s="9" t="inlineStr">
        <is>
          <t>{"kind":"effectNote","label":"长按释放，消耗 5 点法力，10 秒内所有法力恢复翻倍","executors":[{"trigger":"onActiveSpellCast","type":"temporaryPrimaryStatGainMultiplier","stat":"mana","amount":2,"durationSec":10,"costs":[{"stat":"mana","amount":5,"realmGrowth":{"qiRefining":[5,10]}}]}]}</t>
        </is>
      </c>
    </row>
    <row r="1847" ht="32" customHeight="1">
      <c r="A1847" s="8" t="n">
        <v>800025</v>
      </c>
      <c r="B1847" s="8" t="inlineStr">
        <is>
          <t>清辉护脉</t>
        </is>
      </c>
      <c r="C1847" s="8" t="inlineStr">
        <is>
          <t>招式</t>
        </is>
      </c>
      <c r="D1847" s="8" t="inlineStr">
        <is>
          <t>common</t>
        </is>
      </c>
      <c r="E1847" s="8" t="inlineStr">
        <is>
          <t>none</t>
        </is>
      </c>
      <c r="F1847" s="8" t="n">
        <v>1</v>
      </c>
      <c r="G1847" s="8" t="inlineStr">
        <is>
          <t>基础/顶层</t>
        </is>
      </c>
      <c r="H1847" s="8" t="inlineStr"/>
      <c r="I1847" s="9" t="inlineStr"/>
      <c r="J1847" s="8" t="inlineStr"/>
      <c r="K1847" s="8" t="inlineStr"/>
      <c r="L1847" s="8" t="inlineStr"/>
      <c r="M1847" s="8" t="inlineStr">
        <is>
          <t>说明/执行器</t>
        </is>
      </c>
      <c r="N1847" s="8" t="inlineStr">
        <is>
          <t>effectNote</t>
        </is>
      </c>
      <c r="O1847" s="9" t="inlineStr">
        <is>
          <t>长按释放，消耗最多 50 点体力，然后恢复等量法力。</t>
        </is>
      </c>
      <c r="P1847" s="9" t="inlineStr">
        <is>
          <t>onActiveSpellCast</t>
        </is>
      </c>
      <c r="Q1847" s="9" t="inlineStr">
        <is>
          <t>primaryStatTransferAll</t>
        </is>
      </c>
      <c r="R1847" s="9" t="inlineStr">
        <is>
          <t>{"kind":"effectNote","label":"长按释放，消耗最多 50 点体力，然后恢复等量法力。","executors":[{"trigger":"onActiveSpellCast","type":"primaryStatTransferAll","sourceStat":"stamina","stat":"mana","amount":1,"maxAmount":50}]}</t>
        </is>
      </c>
    </row>
    <row r="1848" ht="32" customHeight="1">
      <c r="A1848" s="8" t="n">
        <v>800026</v>
      </c>
      <c r="B1848" s="8" t="inlineStr">
        <is>
          <t>月刃</t>
        </is>
      </c>
      <c r="C1848" s="8" t="inlineStr">
        <is>
          <t>招式</t>
        </is>
      </c>
      <c r="D1848" s="8" t="inlineStr">
        <is>
          <t>common</t>
        </is>
      </c>
      <c r="E1848" s="8" t="inlineStr">
        <is>
          <t>none</t>
        </is>
      </c>
      <c r="F1848" s="8" t="n">
        <v>1</v>
      </c>
      <c r="G1848" s="8" t="inlineStr">
        <is>
          <t>基础/顶层</t>
        </is>
      </c>
      <c r="H1848" s="8" t="inlineStr"/>
      <c r="I1848" s="9" t="inlineStr"/>
      <c r="J1848" s="8" t="inlineStr"/>
      <c r="K1848" s="8" t="inlineStr"/>
      <c r="L1848" s="8" t="inlineStr"/>
      <c r="M1848" s="8" t="inlineStr">
        <is>
          <t>周期触发</t>
        </is>
      </c>
      <c r="N1848" s="8" t="inlineStr">
        <is>
          <t>periodicPulse</t>
        </is>
      </c>
      <c r="O1848" s="9" t="inlineStr">
        <is>
          <t>轮转时，法力低于 30% 时，对敌方造成 5 点伤害</t>
        </is>
      </c>
      <c r="P1848" s="9" t="inlineStr"/>
      <c r="Q1848" s="9" t="inlineStr">
        <is>
          <t>sourcePrimaryStatRatioBelow</t>
        </is>
      </c>
      <c r="R1848" s="9" t="inlineStr">
        <is>
          <t>{"kind":"periodicPulse","periodicPulse":{"intervalSec":3,"label":"&lt;battle&gt;轮转时，法力低于 30% 时，对敌方造成 5 点伤害&lt;/battle&gt;","battleCondition":{"type":"sourcePrimaryStatRatioBelow","stat":"mana","ratio":0.3},"damageHealth":{"target":"enemy","amount":5,"realmGrowth":{"qiRefining":[5,10]}}}}</t>
        </is>
      </c>
    </row>
    <row r="1849" ht="32" customHeight="1">
      <c r="A1849" s="8" t="n">
        <v>800027</v>
      </c>
      <c r="B1849" s="8" t="inlineStr">
        <is>
          <t>残月敛神</t>
        </is>
      </c>
      <c r="C1849" s="8" t="inlineStr">
        <is>
          <t>招式</t>
        </is>
      </c>
      <c r="D1849" s="8" t="inlineStr">
        <is>
          <t>common</t>
        </is>
      </c>
      <c r="E1849" s="8" t="inlineStr">
        <is>
          <t>none</t>
        </is>
      </c>
      <c r="F1849" s="8" t="n">
        <v>1</v>
      </c>
      <c r="G1849" s="8" t="inlineStr">
        <is>
          <t>基础/顶层</t>
        </is>
      </c>
      <c r="H1849" s="8" t="inlineStr"/>
      <c r="I1849" s="9" t="inlineStr"/>
      <c r="J1849" s="8" t="inlineStr"/>
      <c r="K1849" s="8" t="inlineStr"/>
      <c r="L1849" s="8" t="inlineStr"/>
      <c r="M1849" s="8" t="inlineStr">
        <is>
          <t>被动效果</t>
        </is>
      </c>
      <c r="N1849" s="8" t="inlineStr">
        <is>
          <t>passive</t>
        </is>
      </c>
      <c r="O1849" s="9" t="inlineStr">
        <is>
          <t>消耗法力的道具造成的伤害 +8</t>
        </is>
      </c>
      <c r="P1849" s="9" t="inlineStr"/>
      <c r="Q1849" s="9" t="inlineStr">
        <is>
          <t>battleItemDamageFlatModifier</t>
        </is>
      </c>
      <c r="R1849" s="9" t="inlineStr">
        <is>
          <t>{"kind":"passive","label":"&lt;battle&gt;消耗法力的道具造成的伤害 +8&lt;/battle&gt;","passiveEffect":{"type":"battleItemDamageFlatModifier","value":8,"targetFilter":{"hasManaCost":true},"label":"消耗法力的道具造成的伤害 +8","realmGrowth":{"qiRefining":[8,16]}}}</t>
        </is>
      </c>
    </row>
    <row r="1850" ht="32" customHeight="1">
      <c r="A1850" s="8" t="n">
        <v>800028</v>
      </c>
      <c r="B1850" s="8" t="inlineStr">
        <is>
          <t>月影换府</t>
        </is>
      </c>
      <c r="C1850" s="8" t="inlineStr">
        <is>
          <t>招式</t>
        </is>
      </c>
      <c r="D1850" s="8" t="inlineStr">
        <is>
          <t>common</t>
        </is>
      </c>
      <c r="E1850" s="8" t="inlineStr">
        <is>
          <t>none</t>
        </is>
      </c>
      <c r="F1850" s="8" t="n">
        <v>1</v>
      </c>
      <c r="G1850" s="8" t="inlineStr">
        <is>
          <t>基础/顶层</t>
        </is>
      </c>
      <c r="H1850" s="8" t="inlineStr"/>
      <c r="I1850" s="9" t="inlineStr"/>
      <c r="J1850" s="8" t="inlineStr"/>
      <c r="K1850" s="8" t="inlineStr"/>
      <c r="L1850" s="8" t="inlineStr"/>
      <c r="M1850" s="8" t="inlineStr">
        <is>
          <t>说明/执行器</t>
        </is>
      </c>
      <c r="N1850" s="8" t="inlineStr">
        <is>
          <t>effectNote</t>
        </is>
      </c>
      <c r="O1850" s="9" t="inlineStr">
        <is>
          <t>长按释放，将当前剩余体力和剩余法力互换（不会突破上限）</t>
        </is>
      </c>
      <c r="P1850" s="9" t="inlineStr">
        <is>
          <t>onActiveSpellCast</t>
        </is>
      </c>
      <c r="Q1850" s="9" t="inlineStr">
        <is>
          <t>primaryStatSwap</t>
        </is>
      </c>
      <c r="R1850" s="9" t="inlineStr">
        <is>
          <t>{"kind":"effectNote","label":"长按释放，将当前剩余体力和剩余法力互换（不会突破上限）","executors":[{"trigger":"onActiveSpellCast","type":"primaryStatSwap","sourceStat":"stamina","stat":"mana","amount":1}]}</t>
        </is>
      </c>
    </row>
    <row r="1851" ht="32" customHeight="1">
      <c r="A1851" s="8" t="n">
        <v>800029</v>
      </c>
      <c r="B1851" s="8" t="inlineStr">
        <is>
          <t>静夜无波</t>
        </is>
      </c>
      <c r="C1851" s="8" t="inlineStr">
        <is>
          <t>招式</t>
        </is>
      </c>
      <c r="D1851" s="8" t="inlineStr">
        <is>
          <t>common</t>
        </is>
      </c>
      <c r="E1851" s="8" t="inlineStr">
        <is>
          <t>none</t>
        </is>
      </c>
      <c r="F1851" s="8" t="n">
        <v>1</v>
      </c>
      <c r="G1851" s="8" t="inlineStr">
        <is>
          <t>基础/顶层</t>
        </is>
      </c>
      <c r="H1851" s="8" t="inlineStr"/>
      <c r="I1851" s="9" t="inlineStr"/>
      <c r="J1851" s="8" t="inlineStr"/>
      <c r="K1851" s="8" t="inlineStr"/>
      <c r="L1851" s="8" t="inlineStr"/>
      <c r="M1851" s="8" t="inlineStr">
        <is>
          <t>说明/执行器</t>
        </is>
      </c>
      <c r="N1851" s="8" t="inlineStr">
        <is>
          <t>effectNote</t>
        </is>
      </c>
      <c r="O1851" s="9" t="inlineStr">
        <is>
          <t>长按释放，消耗 8 点法力，我方获得 15 层闪避</t>
        </is>
      </c>
      <c r="P1851" s="9" t="inlineStr">
        <is>
          <t>onActiveSpellCast</t>
        </is>
      </c>
      <c r="Q1851" s="9" t="inlineStr">
        <is>
          <t>buffGain</t>
        </is>
      </c>
      <c r="R1851" s="9" t="inlineStr">
        <is>
          <t>{"kind":"effectNote","label":"长按释放，消耗 8 点法力，我方获得 15 层闪避","executors":[{"trigger":"onActiveSpellCast","type":"buffGain","buffId":"dodge","amount":15,"realmGrowth":{"qiRefining":[15,23]},"costs":[{"stat":"mana","amount":8,"realmGrowth":{"qiRefining":[8,16]}}]}]}</t>
        </is>
      </c>
    </row>
    <row r="1852" ht="32" customHeight="1">
      <c r="A1852" s="8" t="n">
        <v>800030</v>
      </c>
      <c r="B1852" s="8" t="inlineStr">
        <is>
          <t>月满归元</t>
        </is>
      </c>
      <c r="C1852" s="8" t="inlineStr">
        <is>
          <t>招式</t>
        </is>
      </c>
      <c r="D1852" s="8" t="inlineStr">
        <is>
          <t>common</t>
        </is>
      </c>
      <c r="E1852" s="8" t="inlineStr">
        <is>
          <t>none</t>
        </is>
      </c>
      <c r="F1852" s="8" t="n">
        <v>1</v>
      </c>
      <c r="G1852" s="8" t="inlineStr">
        <is>
          <t>基础/顶层</t>
        </is>
      </c>
      <c r="H1852" s="8" t="inlineStr"/>
      <c r="I1852" s="9" t="inlineStr"/>
      <c r="J1852" s="8" t="inlineStr"/>
      <c r="K1852" s="8" t="inlineStr"/>
      <c r="L1852" s="8" t="inlineStr"/>
      <c r="M1852" s="8" t="inlineStr">
        <is>
          <t>周期触发</t>
        </is>
      </c>
      <c r="N1852" s="8" t="inlineStr">
        <is>
          <t>periodicPulse</t>
        </is>
      </c>
      <c r="O1852" s="9" t="inlineStr">
        <is>
          <t>轮转时，法力满时，恢复 20 点气血和 20 点体力</t>
        </is>
      </c>
      <c r="P1852" s="9" t="inlineStr"/>
      <c r="Q1852" s="9" t="inlineStr"/>
      <c r="R1852" s="9" t="inlineStr">
        <is>
          <t>{"kind":"periodicPulse","periodicPulse":{"intervalSec":10,"label":"轮转时，法力满时，恢复 20 点气血和 20 点体力","activationRequirements":{"primaryStatThreshold":{"stat":"mana","comparator":"atLeast","ratio":1}},"primaryStatGains":[{"stat":"stamina","amount":20,"realmGrowth":{"qiRefining":[20,40]}},{"stat":"health","amount":20,"realmGrowth":{"qiRefining":[20,40]}}]}}</t>
        </is>
      </c>
    </row>
    <row r="1853" ht="32" customHeight="1">
      <c r="A1853" s="8" t="n">
        <v>800031</v>
      </c>
      <c r="B1853" s="8" t="inlineStr">
        <is>
          <t>赤阳掌</t>
        </is>
      </c>
      <c r="C1853" s="8" t="inlineStr">
        <is>
          <t>招式</t>
        </is>
      </c>
      <c r="D1853" s="8" t="inlineStr">
        <is>
          <t>common</t>
        </is>
      </c>
      <c r="E1853" s="8" t="inlineStr">
        <is>
          <t>fire</t>
        </is>
      </c>
      <c r="F1853" s="8" t="n">
        <v>1</v>
      </c>
      <c r="G1853" s="8" t="inlineStr">
        <is>
          <t>基础/顶层</t>
        </is>
      </c>
      <c r="H1853" s="8" t="inlineStr"/>
      <c r="I1853" s="9" t="inlineStr"/>
      <c r="J1853" s="8" t="inlineStr"/>
      <c r="K1853" s="8" t="inlineStr"/>
      <c r="L1853" s="8" t="inlineStr"/>
      <c r="M1853" s="8" t="inlineStr">
        <is>
          <t>说明/执行器</t>
        </is>
      </c>
      <c r="N1853" s="8" t="inlineStr">
        <is>
          <t>effectNote</t>
        </is>
      </c>
      <c r="O1853" s="9" t="inlineStr">
        <is>
          <t>长按释放，消耗 7 层炎热，对敌方施加 7 层灼烧</t>
        </is>
      </c>
      <c r="P1853" s="9" t="inlineStr">
        <is>
          <t>onActiveSpellCast</t>
        </is>
      </c>
      <c r="Q1853" s="9" t="inlineStr">
        <is>
          <t>buffGain</t>
        </is>
      </c>
      <c r="R1853" s="9" t="inlineStr">
        <is>
          <t>{"kind":"effectNote","label":"长按释放，消耗 7 层炎热，&lt;battle&gt;对敌方施加 7 层灼烧&lt;/battle&gt;","executors":[{"trigger":"onActiveSpellCast","type":"buffGain","buffId":"burning","amount":7,"targetActor":"enemy","consumeSourceBuffStacks":{"buffId":"heat","requiredStacks":7,"maxStacks":7},"realmGrowth":{"qiRefining":[7,11]}}]}</t>
        </is>
      </c>
    </row>
    <row r="1854" ht="32" customHeight="1">
      <c r="A1854" s="8" t="n">
        <v>800032</v>
      </c>
      <c r="B1854" s="8" t="inlineStr">
        <is>
          <t>灼脉式</t>
        </is>
      </c>
      <c r="C1854" s="8" t="inlineStr">
        <is>
          <t>招式</t>
        </is>
      </c>
      <c r="D1854" s="8" t="inlineStr">
        <is>
          <t>common</t>
        </is>
      </c>
      <c r="E1854" s="8" t="inlineStr">
        <is>
          <t>fire</t>
        </is>
      </c>
      <c r="F1854" s="8" t="n">
        <v>1</v>
      </c>
      <c r="G1854" s="8" t="inlineStr">
        <is>
          <t>基础/顶层</t>
        </is>
      </c>
      <c r="H1854" s="8" t="inlineStr"/>
      <c r="I1854" s="9" t="inlineStr"/>
      <c r="J1854" s="8" t="inlineStr"/>
      <c r="K1854" s="8" t="inlineStr"/>
      <c r="L1854" s="8" t="inlineStr"/>
      <c r="M1854" s="8" t="inlineStr">
        <is>
          <t>说明/执行器</t>
        </is>
      </c>
      <c r="N1854" s="8" t="inlineStr">
        <is>
          <t>effectNote</t>
        </is>
      </c>
      <c r="O1854" s="9" t="inlineStr">
        <is>
          <t>长按释放，消耗 10 点法力，获得 5 层炎热，对敌方施加相同数量的灼烧</t>
        </is>
      </c>
      <c r="P1854" s="9" t="inlineStr">
        <is>
          <t>onActiveSpellCast</t>
        </is>
      </c>
      <c r="Q1854" s="9" t="inlineStr">
        <is>
          <t>buffGain</t>
        </is>
      </c>
      <c r="R1854" s="9" t="inlineStr">
        <is>
          <t>{"kind":"effectNote","label":"长按释放，消耗 10 点法力，获得 5 层炎热，&lt;battle&gt;对敌方施加相同数量的灼烧&lt;/battle&gt;","executors":[{"trigger":"onActiveSpellCast","type":"buffGain","buffId":"heat","amount":5,"realmGrowth":{"qiRefining":[5,8]},"costs":[{"stat":"mana","amount":10,"realmGrowth":{"qiRefining":[10,20]}}]},{"trigger":"onActiveSpellCast","type":"buffGain","buffId":"burning","amount":5,"targetActor":"enemy","realmGrowth":{"qiRefining":[5,8]}}]}</t>
        </is>
      </c>
    </row>
    <row r="1855" ht="32" customHeight="1">
      <c r="A1855" s="8" t="n">
        <v>800033</v>
      </c>
      <c r="B1855" s="8" t="inlineStr">
        <is>
          <t>扶阳息</t>
        </is>
      </c>
      <c r="C1855" s="8" t="inlineStr">
        <is>
          <t>招式</t>
        </is>
      </c>
      <c r="D1855" s="8" t="inlineStr">
        <is>
          <t>common</t>
        </is>
      </c>
      <c r="E1855" s="8" t="inlineStr">
        <is>
          <t>fire</t>
        </is>
      </c>
      <c r="F1855" s="8" t="n">
        <v>1</v>
      </c>
      <c r="G1855" s="8" t="inlineStr">
        <is>
          <t>基础/顶层</t>
        </is>
      </c>
      <c r="H1855" s="8" t="inlineStr"/>
      <c r="I1855" s="9" t="inlineStr"/>
      <c r="J1855" s="8" t="inlineStr"/>
      <c r="K1855" s="8" t="inlineStr"/>
      <c r="L1855" s="8" t="inlineStr"/>
      <c r="M1855" s="8" t="inlineStr">
        <is>
          <t>说明/执行器</t>
        </is>
      </c>
      <c r="N1855" s="8" t="inlineStr">
        <is>
          <t>effectNote</t>
        </is>
      </c>
      <c r="O1855" s="9" t="inlineStr">
        <is>
          <t>长按释放，消耗 10 点法力，获得 12 层炎热</t>
        </is>
      </c>
      <c r="P1855" s="9" t="inlineStr">
        <is>
          <t>onActiveSpellCast</t>
        </is>
      </c>
      <c r="Q1855" s="9" t="inlineStr">
        <is>
          <t>buffGain</t>
        </is>
      </c>
      <c r="R1855" s="9" t="inlineStr">
        <is>
          <t>{"kind":"effectNote","label":"长按释放，消耗 10 点法力，获得 12 层炎热","executors":[{"trigger":"onActiveSpellCast","type":"buffGain","buffId":"heat","amount":12,"realmGrowth":{"qiRefining":[12,18]},"costs":[{"stat":"mana","amount":10,"realmGrowth":{"qiRefining":[10,20]}}]}]}</t>
        </is>
      </c>
    </row>
    <row r="1856" ht="32" customHeight="1">
      <c r="A1856" s="8" t="n">
        <v>800034</v>
      </c>
      <c r="B1856" s="8" t="inlineStr">
        <is>
          <t>烈日护身</t>
        </is>
      </c>
      <c r="C1856" s="8" t="inlineStr">
        <is>
          <t>招式</t>
        </is>
      </c>
      <c r="D1856" s="8" t="inlineStr">
        <is>
          <t>common</t>
        </is>
      </c>
      <c r="E1856" s="8" t="inlineStr">
        <is>
          <t>fire</t>
        </is>
      </c>
      <c r="F1856" s="8" t="n">
        <v>1</v>
      </c>
      <c r="G1856" s="8" t="inlineStr">
        <is>
          <t>基础/顶层</t>
        </is>
      </c>
      <c r="H1856" s="8" t="inlineStr"/>
      <c r="I1856" s="9" t="inlineStr"/>
      <c r="J1856" s="8" t="inlineStr"/>
      <c r="K1856" s="8" t="inlineStr"/>
      <c r="L1856" s="8" t="inlineStr"/>
      <c r="M1856" s="8" t="inlineStr">
        <is>
          <t>说明/执行器</t>
        </is>
      </c>
      <c r="N1856" s="8" t="inlineStr">
        <is>
          <t>effectNote</t>
        </is>
      </c>
      <c r="O1856" s="9" t="inlineStr">
        <is>
          <t>长按释放，消耗 5 点法力，将所有炎热转化为 3 倍层数的护甲</t>
        </is>
      </c>
      <c r="P1856" s="9" t="inlineStr">
        <is>
          <t>onActiveSpellCast</t>
        </is>
      </c>
      <c r="Q1856" s="9" t="inlineStr">
        <is>
          <t>buffGain</t>
        </is>
      </c>
      <c r="R1856" s="9" t="inlineStr">
        <is>
          <t>{"kind":"effectNote","label":"长按释放，消耗 5 点法力，将所有炎热转化为 3 倍层数的护甲","executors":[{"trigger":"onActiveSpellCast","type":"buffGain","buffId":"armor","amount":0,"amountPerSourceBuffStack":{"buffId":"heat","valuePerStack":3,"realmGrowth":{"qiRefining":[3,5]}},"costs":[{"stat":"mana","amount":5,"realmGrowth":{"qiRefining":[5,10]}}],"consumeSourceBuffStacks":{"buffId":"heat","consumeRatio":1,"consumeRounding":"floor"}}]}</t>
        </is>
      </c>
    </row>
    <row r="1857" ht="32" customHeight="1">
      <c r="A1857" s="8" t="n">
        <v>800035</v>
      </c>
      <c r="B1857" s="8" t="inlineStr">
        <is>
          <t>炎轮步</t>
        </is>
      </c>
      <c r="C1857" s="8" t="inlineStr">
        <is>
          <t>招式</t>
        </is>
      </c>
      <c r="D1857" s="8" t="inlineStr">
        <is>
          <t>common</t>
        </is>
      </c>
      <c r="E1857" s="8" t="inlineStr">
        <is>
          <t>fire</t>
        </is>
      </c>
      <c r="F1857" s="8" t="n">
        <v>1</v>
      </c>
      <c r="G1857" s="8" t="inlineStr">
        <is>
          <t>基础/顶层</t>
        </is>
      </c>
      <c r="H1857" s="8" t="inlineStr"/>
      <c r="I1857" s="9" t="inlineStr"/>
      <c r="J1857" s="8" t="inlineStr"/>
      <c r="K1857" s="8" t="inlineStr"/>
      <c r="L1857" s="8" t="inlineStr"/>
      <c r="M1857" s="8" t="inlineStr">
        <is>
          <t>周期触发</t>
        </is>
      </c>
      <c r="N1857" s="8" t="inlineStr">
        <is>
          <t>periodicPulse</t>
        </is>
      </c>
      <c r="O1857" s="9" t="inlineStr">
        <is>
          <t>轮转时，每有 1 层炎热，使下方相邻招式获得 2 秒加速（最多计算 20 层）</t>
        </is>
      </c>
      <c r="P1857" s="9" t="inlineStr"/>
      <c r="Q1857" s="9" t="inlineStr"/>
      <c r="R1857" s="9" t="inlineStr">
        <is>
          <t>{"kind":"periodicPulse","periodicPulse":{"intervalSec":20,"label":"轮转时，每有 1 层炎热，使下方相邻招式获得 2 秒加速（最多计算 20 层）","itemRuntimeStatusEffects":[{"itemRuntimeStatus":"haste","durationSec":0,"durationPerSourceBuffStack":{"buffId":"heat","valuePerStack":2,"maxStacks":20},"targetScope":"adjacent","direction":"down","targetFilter":{"categories":["spell"]}}]}}</t>
        </is>
      </c>
    </row>
    <row r="1858" ht="32" customHeight="1">
      <c r="A1858" s="8" t="n">
        <v>800036</v>
      </c>
      <c r="B1858" s="8" t="inlineStr">
        <is>
          <t>焚气指</t>
        </is>
      </c>
      <c r="C1858" s="8" t="inlineStr">
        <is>
          <t>招式</t>
        </is>
      </c>
      <c r="D1858" s="8" t="inlineStr">
        <is>
          <t>common</t>
        </is>
      </c>
      <c r="E1858" s="8" t="inlineStr">
        <is>
          <t>fire</t>
        </is>
      </c>
      <c r="F1858" s="8" t="n">
        <v>1</v>
      </c>
      <c r="G1858" s="8" t="inlineStr">
        <is>
          <t>基础/顶层</t>
        </is>
      </c>
      <c r="H1858" s="8" t="inlineStr"/>
      <c r="I1858" s="9" t="inlineStr"/>
      <c r="J1858" s="8" t="inlineStr"/>
      <c r="K1858" s="8" t="inlineStr"/>
      <c r="L1858" s="8" t="inlineStr"/>
      <c r="M1858" s="8" t="inlineStr">
        <is>
          <t>说明/执行器</t>
        </is>
      </c>
      <c r="N1858" s="8" t="inlineStr">
        <is>
          <t>effectNote</t>
        </is>
      </c>
      <c r="O1858" s="9" t="inlineStr">
        <is>
          <t>消耗敌方所有灼烧，每消耗 1 层，对其造成 7 点伤害</t>
        </is>
      </c>
      <c r="P1858" s="9" t="inlineStr">
        <is>
          <t>onActiveSpellCast</t>
        </is>
      </c>
      <c r="Q1858" s="9" t="inlineStr">
        <is>
          <t>damageHealth</t>
        </is>
      </c>
      <c r="R1858" s="9" t="inlineStr">
        <is>
          <t>{"kind":"effectNote","label":"&lt;battle&gt;消耗敌方所有灼烧，每消耗 1 层，对其造成 7 点伤害&lt;/battle&gt;","executors":[{"trigger":"onActiveSpellCast","type":"damageHealth","amount":0,"amountPerConsumedBuffStack":7,"consumeBuffStacks":{"buffId":"burning","targetActor":"enemy","requiredStacks":1,"consumeAll":true},"realmGrowthByField":{"amountPerConsumedBuffStack":{"qiRefining":[7,14]}}}]}</t>
        </is>
      </c>
    </row>
    <row r="1859" ht="32" customHeight="1">
      <c r="A1859" s="8" t="n">
        <v>800037</v>
      </c>
      <c r="B1859" s="8" t="inlineStr">
        <is>
          <t>日轮坠</t>
        </is>
      </c>
      <c r="C1859" s="8" t="inlineStr">
        <is>
          <t>招式</t>
        </is>
      </c>
      <c r="D1859" s="8" t="inlineStr">
        <is>
          <t>common</t>
        </is>
      </c>
      <c r="E1859" s="8" t="inlineStr">
        <is>
          <t>fire</t>
        </is>
      </c>
      <c r="F1859" s="8" t="n">
        <v>1</v>
      </c>
      <c r="G1859" s="8" t="inlineStr">
        <is>
          <t>基础/顶层</t>
        </is>
      </c>
      <c r="H1859" s="8" t="inlineStr"/>
      <c r="I1859" s="9" t="inlineStr"/>
      <c r="J1859" s="8" t="inlineStr"/>
      <c r="K1859" s="8" t="inlineStr"/>
      <c r="L1859" s="8" t="inlineStr"/>
      <c r="M1859" s="8" t="inlineStr">
        <is>
          <t>说明/执行器</t>
        </is>
      </c>
      <c r="N1859" s="8" t="inlineStr">
        <is>
          <t>effectNote</t>
        </is>
      </c>
      <c r="O1859" s="9" t="inlineStr">
        <is>
          <t>每当相邻道具使用时，对敌方造成等同于我方炎热层数的伤害，然后消耗我方 3 层炎热；对敌方造成等同于我方炎热层数的伤害</t>
        </is>
      </c>
      <c r="P1859" s="9" t="inlineStr">
        <is>
          <t>onItemUse</t>
        </is>
      </c>
      <c r="Q1859" s="9" t="inlineStr">
        <is>
          <t>battleDamageHealth；adjacent</t>
        </is>
      </c>
      <c r="R1859" s="9" t="inlineStr">
        <is>
          <t>{"kind":"effectNote","label":"每当相邻道具使用时，&lt;battle&gt;对敌方造成等同于我方炎热层数的伤害&lt;/battle&gt;，然后消耗我方 3 层炎热","executors":[{"trigger":"onItemUse","type":"battleDamageHealth","label":"&lt;battle&gt;对敌方造成等同于我方炎热层数的伤害&lt;/battle&gt;","amount":0,"amountPerSourceBuffStack":{"buffId":"heat","valuePerStack":1,"realmGrowth":{"qiRefining":[1,2]}},"consumeSourceBuffStacks":{"buffId":"heat","maxStacks":3},"eventSource":{"target":{"type":"adjacent"}},"support":"battleOnly"}]}</t>
        </is>
      </c>
    </row>
    <row r="1860" ht="32" customHeight="1">
      <c r="A1860" s="8" t="n">
        <v>800038</v>
      </c>
      <c r="B1860" s="8" t="inlineStr">
        <is>
          <t>雷波刺</t>
        </is>
      </c>
      <c r="C1860" s="8" t="inlineStr">
        <is>
          <t>招式</t>
        </is>
      </c>
      <c r="D1860" s="8" t="inlineStr">
        <is>
          <t>common</t>
        </is>
      </c>
      <c r="E1860" s="8" t="inlineStr">
        <is>
          <t>thunder</t>
        </is>
      </c>
      <c r="F1860" s="8" t="n">
        <v>1</v>
      </c>
      <c r="G1860" s="8" t="inlineStr">
        <is>
          <t>基础/顶层</t>
        </is>
      </c>
      <c r="H1860" s="8" t="inlineStr"/>
      <c r="I1860" s="9" t="inlineStr"/>
      <c r="J1860" s="8" t="inlineStr"/>
      <c r="K1860" s="8" t="inlineStr"/>
      <c r="L1860" s="8" t="inlineStr"/>
      <c r="M1860" s="8" t="inlineStr">
        <is>
          <t>被动效果</t>
        </is>
      </c>
      <c r="N1860" s="8" t="inlineStr">
        <is>
          <t>passive</t>
        </is>
      </c>
      <c r="O1860" s="9" t="inlineStr">
        <is>
          <t>任意武器对敌人造成伤害时，双方都获得 1 层引雷</t>
        </is>
      </c>
      <c r="P1860" s="9" t="inlineStr"/>
      <c r="Q1860" s="9" t="inlineStr">
        <is>
          <t>actualHealthDamageReaction</t>
        </is>
      </c>
      <c r="R1860" s="9" t="inlineStr">
        <is>
          <t>{"kind":"passive","label":"&lt;battle&gt;任意武器对敌人造成伤害时，双方都获得 1 层引雷&lt;/battle&gt;","passiveEffect":{"type":"actualHealthDamageReaction","direction":"dealt","sourceFilter":{"features":["weapon"]},"selfBuffGain":{"buffId":"lightningCharge","count":1,"realmGrowth":{"qiRefining":[1,2]}},"otherBuffGain":{"buffId":"lightningCharge","count":1,"realmGrowth":{"qiRefining":[1,2]}},"label":"&lt;battle&gt;任意武器对敌人造成伤害时，双方都获得 1 层引雷&lt;/battle&gt;"}}</t>
        </is>
      </c>
    </row>
    <row r="1861" ht="32" customHeight="1">
      <c r="A1861" s="8" t="n">
        <v>800039</v>
      </c>
      <c r="B1861" s="8" t="inlineStr">
        <is>
          <t>寒雷缚</t>
        </is>
      </c>
      <c r="C1861" s="8" t="inlineStr">
        <is>
          <t>招式</t>
        </is>
      </c>
      <c r="D1861" s="8" t="inlineStr">
        <is>
          <t>common</t>
        </is>
      </c>
      <c r="E1861" s="8" t="inlineStr">
        <is>
          <t>thunder</t>
        </is>
      </c>
      <c r="F1861" s="8" t="n">
        <v>1</v>
      </c>
      <c r="G1861" s="8" t="inlineStr">
        <is>
          <t>基础/顶层</t>
        </is>
      </c>
      <c r="H1861" s="8" t="inlineStr"/>
      <c r="I1861" s="9" t="inlineStr"/>
      <c r="J1861" s="8" t="inlineStr"/>
      <c r="K1861" s="8" t="inlineStr"/>
      <c r="L1861" s="8" t="inlineStr"/>
      <c r="M1861" s="8" t="inlineStr">
        <is>
          <t>说明/执行器</t>
        </is>
      </c>
      <c r="N1861" s="8" t="inlineStr">
        <is>
          <t>effectNote</t>
        </is>
      </c>
      <c r="O1861" s="9" t="inlineStr">
        <is>
          <t>长按释放，消耗3点法力，获得 3 层引雷，对敌方施加4层麻痹</t>
        </is>
      </c>
      <c r="P1861" s="9" t="inlineStr">
        <is>
          <t>onActiveSpellCast</t>
        </is>
      </c>
      <c r="Q1861" s="9" t="inlineStr">
        <is>
          <t>buffGain</t>
        </is>
      </c>
      <c r="R1861" s="9" t="inlineStr">
        <is>
          <t>{"kind":"effectNote","label":"长按释放，消耗3点法力，获得 3 层引雷，&lt;battle&gt;对敌方施加4层麻痹&lt;/battle&gt;","executors":[{"trigger":"onActiveSpellCast","type":"buffGain","buffId":"lightningCharge","amount":3,"realmGrowth":{"qiRefining":[3,5]},"costs":[{"stat":"mana","amount":3,"realmGrowth":{"qiRefining":[3,6]}}],"label":"长按释放，消耗3点法力，获得 3 层引雷，&lt;battle&gt;对敌方施加4层麻痹&lt;/battle&gt;"},{"trigger":"onActiveSpellCast","type":"buffGain","targetActor":"enemy","buffId":"paralysis","amount":4,"support":"battleOnly","label":"长按释放，消耗3点法力，获得 3 层引雷，&lt;battle&gt;对敌方施加4层麻痹&lt;/battle&gt;"}]}</t>
        </is>
      </c>
    </row>
    <row r="1862" ht="32" customHeight="1">
      <c r="A1862" s="8" t="n">
        <v>800040</v>
      </c>
      <c r="B1862" s="8" t="inlineStr">
        <is>
          <t>潭息回法</t>
        </is>
      </c>
      <c r="C1862" s="8" t="inlineStr">
        <is>
          <t>招式</t>
        </is>
      </c>
      <c r="D1862" s="8" t="inlineStr">
        <is>
          <t>common</t>
        </is>
      </c>
      <c r="E1862" s="8" t="inlineStr">
        <is>
          <t>thunder</t>
        </is>
      </c>
      <c r="F1862" s="8" t="n">
        <v>1</v>
      </c>
      <c r="G1862" s="8" t="inlineStr">
        <is>
          <t>基础/顶层</t>
        </is>
      </c>
      <c r="H1862" s="8" t="inlineStr"/>
      <c r="I1862" s="9" t="inlineStr"/>
      <c r="J1862" s="8" t="inlineStr"/>
      <c r="K1862" s="8" t="inlineStr"/>
      <c r="L1862" s="8" t="inlineStr"/>
      <c r="M1862" s="8" t="inlineStr">
        <is>
          <t>周期触发</t>
        </is>
      </c>
      <c r="N1862" s="8" t="inlineStr">
        <is>
          <t>periodicPulse</t>
        </is>
      </c>
      <c r="O1862" s="9" t="inlineStr">
        <is>
          <t>如果引雷层数不少于 10 层，恢复 10 点法力</t>
        </is>
      </c>
      <c r="P1862" s="9" t="inlineStr"/>
      <c r="Q1862" s="9" t="inlineStr"/>
      <c r="R1862" s="9" t="inlineStr">
        <is>
          <t>{"kind":"periodicPulse","periodicPulse":{"intervalSec":12,"label":"如果引雷层数不少于 10 层，恢复 10 点法力","activationRequirements":{"buffStackThresholds":[{"buffId":"lightningCharge","comparator":"atLeast","count":10}]},"primaryStatGains":[{"stat":"mana","amount":10,"realmGrowth":{"qiRefining":[10,20]}}]}}</t>
        </is>
      </c>
    </row>
    <row r="1863" ht="32" customHeight="1">
      <c r="A1863" s="8" t="n">
        <v>800041</v>
      </c>
      <c r="B1863" s="8" t="inlineStr">
        <is>
          <t>潭雷回响</t>
        </is>
      </c>
      <c r="C1863" s="8" t="inlineStr">
        <is>
          <t>招式</t>
        </is>
      </c>
      <c r="D1863" s="8" t="inlineStr">
        <is>
          <t>common</t>
        </is>
      </c>
      <c r="E1863" s="8" t="inlineStr">
        <is>
          <t>thunder</t>
        </is>
      </c>
      <c r="F1863" s="8" t="n">
        <v>1</v>
      </c>
      <c r="G1863" s="8" t="inlineStr">
        <is>
          <t>基础/顶层</t>
        </is>
      </c>
      <c r="H1863" s="8" t="inlineStr"/>
      <c r="I1863" s="9" t="inlineStr"/>
      <c r="J1863" s="8" t="inlineStr"/>
      <c r="K1863" s="8" t="inlineStr"/>
      <c r="L1863" s="8" t="inlineStr"/>
      <c r="M1863" s="8" t="inlineStr">
        <is>
          <t>被动效果</t>
        </is>
      </c>
      <c r="N1863" s="8" t="inlineStr">
        <is>
          <t>passive</t>
        </is>
      </c>
      <c r="O1863" s="9" t="inlineStr">
        <is>
          <t>当敌方对我方造成伤害时，消耗 3 层引雷，反弹最多 10 点伤害</t>
        </is>
      </c>
      <c r="P1863" s="9" t="inlineStr"/>
      <c r="Q1863" s="9" t="inlineStr">
        <is>
          <t>actualHealthDamageReaction</t>
        </is>
      </c>
      <c r="R1863" s="9" t="inlineStr">
        <is>
          <t>{"kind":"passive","label":"&lt;battle&gt;当敌方对我方造成伤害时，消耗 3 层引雷，反弹最多 10 点伤害&lt;/battle&gt;","passiveEffect":{"type":"actualHealthDamageReaction","direction":"received","cooldownSec":4,"consumeBuffStacks":{"buffId":"lightningCharge","count":3},"counterDamageRatio":1,"counterDamageMax":10,"label":"&lt;battle&gt;当敌方对我方造成伤害时，消耗 3 层引雷，反弹最多 10 点伤害&lt;/battle&gt;"}}</t>
        </is>
      </c>
    </row>
    <row r="1864" ht="32" customHeight="1">
      <c r="A1864" s="8" t="n">
        <v>800042</v>
      </c>
      <c r="B1864" s="8" t="inlineStr">
        <is>
          <t>雷脉锁</t>
        </is>
      </c>
      <c r="C1864" s="8" t="inlineStr">
        <is>
          <t>招式</t>
        </is>
      </c>
      <c r="D1864" s="8" t="inlineStr">
        <is>
          <t>common</t>
        </is>
      </c>
      <c r="E1864" s="8" t="inlineStr">
        <is>
          <t>thunder</t>
        </is>
      </c>
      <c r="F1864" s="8" t="n">
        <v>1</v>
      </c>
      <c r="G1864" s="8" t="inlineStr">
        <is>
          <t>基础/顶层</t>
        </is>
      </c>
      <c r="H1864" s="8" t="inlineStr"/>
      <c r="I1864" s="9" t="inlineStr"/>
      <c r="J1864" s="8" t="inlineStr"/>
      <c r="K1864" s="8" t="inlineStr"/>
      <c r="L1864" s="8" t="inlineStr"/>
      <c r="M1864" s="8" t="inlineStr">
        <is>
          <t>周期触发</t>
        </is>
      </c>
      <c r="N1864" s="8" t="inlineStr">
        <is>
          <t>periodicPulse</t>
        </is>
      </c>
      <c r="O1864" s="9" t="inlineStr">
        <is>
          <t>消耗 5 层引雷，对敌方施加8层麻痹</t>
        </is>
      </c>
      <c r="P1864" s="9" t="inlineStr">
        <is>
          <t>onPeriodicPulse</t>
        </is>
      </c>
      <c r="Q1864" s="9" t="inlineStr">
        <is>
          <t>consumeBuffStacks</t>
        </is>
      </c>
      <c r="R1864" s="9" t="inlineStr">
        <is>
          <t>{"kind":"periodicPulse","periodicPulse":{"intervalSec":7,"label":"消耗 5 层引雷，&lt;battle&gt;对敌方施加8层麻痹&lt;/battle&gt;","activationRequirements":{"buffStackThresholds":[{"buffId":"lightningCharge","comparator":"atLeast","count":5}]}},"executors":[{"trigger":"onPeriodicPulse","type":"consumeBuffStacks","sourceBuffId":"lightningCharge","maxStacks":5,"requiredStacks":5,"label":"消耗 5 层引雷，&lt;battle&gt;对敌方施加8层麻痹&lt;/battle&gt;","targetBuffGainPerStack":{"buffId":"paralysis","countPerStack":1.6},"support":"battleOnly"}]}</t>
        </is>
      </c>
    </row>
    <row r="1865" ht="32" customHeight="1">
      <c r="A1865" s="8" t="n">
        <v>800043</v>
      </c>
      <c r="B1865" s="8" t="inlineStr">
        <is>
          <t>雷纹护身</t>
        </is>
      </c>
      <c r="C1865" s="8" t="inlineStr">
        <is>
          <t>招式</t>
        </is>
      </c>
      <c r="D1865" s="8" t="inlineStr">
        <is>
          <t>common</t>
        </is>
      </c>
      <c r="E1865" s="8" t="inlineStr">
        <is>
          <t>thunder</t>
        </is>
      </c>
      <c r="F1865" s="8" t="n">
        <v>1</v>
      </c>
      <c r="G1865" s="8" t="inlineStr">
        <is>
          <t>基础/顶层</t>
        </is>
      </c>
      <c r="H1865" s="8" t="inlineStr"/>
      <c r="I1865" s="9" t="inlineStr"/>
      <c r="J1865" s="8" t="inlineStr"/>
      <c r="K1865" s="8" t="inlineStr"/>
      <c r="L1865" s="8" t="inlineStr"/>
      <c r="M1865" s="8" t="inlineStr">
        <is>
          <t>被动效果</t>
        </is>
      </c>
      <c r="N1865" s="8" t="inlineStr">
        <is>
          <t>passive</t>
        </is>
      </c>
      <c r="O1865" s="9" t="inlineStr">
        <is>
          <t>受到伤害时，有几率消耗 1 层引雷，对敌人造成 5 点伤害，几率等同于当前暴击率</t>
        </is>
      </c>
      <c r="P1865" s="9" t="inlineStr"/>
      <c r="Q1865" s="9" t="inlineStr">
        <is>
          <t>actualHealthDamageReaction</t>
        </is>
      </c>
      <c r="R1865" s="9" t="inlineStr">
        <is>
          <t>{"kind":"passive","label":"&lt;battle&gt;受到伤害时，有几率消耗 1 层引雷，对敌人造成 5 点伤害，几率等同于当前暴击率&lt;/battle&gt;","passiveEffect":{"type":"actualHealthDamageReaction","direction":"received","consumeBuffStacks":{"buffId":"lightningCharge","count":1},"counterDamageFlat":5,"label":"&lt;battle&gt;受到伤害时，有几率消耗 1 层引雷，对敌人造成 5 点伤害，几率等同于当前暴击率&lt;/battle&gt;","realmGrowthByField":{"counterDamageFlat":{"qiRefining":[5,10]}},"chanceSource":"criticalRate"}}</t>
        </is>
      </c>
    </row>
    <row r="1866" ht="32" customHeight="1">
      <c r="A1866" s="8" t="n">
        <v>800044</v>
      </c>
      <c r="B1866" s="8" t="inlineStr">
        <is>
          <t>玄冥雷落</t>
        </is>
      </c>
      <c r="C1866" s="8" t="inlineStr">
        <is>
          <t>招式</t>
        </is>
      </c>
      <c r="D1866" s="8" t="inlineStr">
        <is>
          <t>common</t>
        </is>
      </c>
      <c r="E1866" s="8" t="inlineStr">
        <is>
          <t>thunder</t>
        </is>
      </c>
      <c r="F1866" s="8" t="n">
        <v>1</v>
      </c>
      <c r="G1866" s="8" t="inlineStr">
        <is>
          <t>基础/顶层</t>
        </is>
      </c>
      <c r="H1866" s="8" t="inlineStr"/>
      <c r="I1866" s="9" t="inlineStr"/>
      <c r="J1866" s="8" t="inlineStr"/>
      <c r="K1866" s="8" t="inlineStr"/>
      <c r="L1866" s="8" t="inlineStr"/>
      <c r="M1866" s="8" t="inlineStr">
        <is>
          <t>说明/执行器</t>
        </is>
      </c>
      <c r="N1866" s="8" t="inlineStr">
        <is>
          <t>effectNote</t>
        </is>
      </c>
      <c r="O1866" s="9" t="inlineStr">
        <is>
          <t>长按释放，消耗所有引雷，对敌方造成 3 倍层数的伤害</t>
        </is>
      </c>
      <c r="P1866" s="9" t="inlineStr">
        <is>
          <t>onActiveSpellCast</t>
        </is>
      </c>
      <c r="Q1866" s="9" t="inlineStr">
        <is>
          <t>damageHealth</t>
        </is>
      </c>
      <c r="R1866" s="9" t="inlineStr">
        <is>
          <t>{"kind":"effectNote","label":"&lt;battle&gt;长按释放，消耗所有引雷，对敌方造成 3 倍层数的伤害&lt;/battle&gt;","executors":[{"trigger":"onActiveSpellCast","type":"damageHealth","amount":0,"amountPerConsumedBuffStack":3,"consumeBuffStacks":{"buffId":"lightningCharge","targetActor":"self","requiredStacks":1,"consumeAll":true},"realmGrowthByField":{"amountPerConsumedBuffStack":{"qiRefining":[3,6]}},"label":"&lt;battle&gt;长按释放，消耗所有引雷，对敌方造成 3 倍层数的伤害&lt;/battle&gt;"}]}</t>
        </is>
      </c>
    </row>
    <row r="1867" ht="32" customHeight="1">
      <c r="A1867" s="8" t="n">
        <v>800045</v>
      </c>
      <c r="B1867" s="8" t="inlineStr">
        <is>
          <t>纳印</t>
        </is>
      </c>
      <c r="C1867" s="8" t="inlineStr">
        <is>
          <t>招式</t>
        </is>
      </c>
      <c r="D1867" s="8" t="inlineStr">
        <is>
          <t>common</t>
        </is>
      </c>
      <c r="E1867" s="8" t="inlineStr">
        <is>
          <t>none</t>
        </is>
      </c>
      <c r="F1867" s="8" t="n">
        <v>1</v>
      </c>
      <c r="G1867" s="8" t="inlineStr">
        <is>
          <t>基础/顶层</t>
        </is>
      </c>
      <c r="H1867" s="8" t="inlineStr"/>
      <c r="I1867" s="9" t="inlineStr"/>
      <c r="J1867" s="8" t="inlineStr"/>
      <c r="K1867" s="8" t="inlineStr"/>
      <c r="L1867" s="8" t="inlineStr"/>
      <c r="M1867" s="8" t="inlineStr">
        <is>
          <t>被动效果</t>
        </is>
      </c>
      <c r="N1867" s="8" t="inlineStr">
        <is>
          <t>passive</t>
        </is>
      </c>
      <c r="O1867" s="9" t="inlineStr">
        <is>
          <t>法力上限 +10，每击杀一只妖兽后效果升级。；法力上限</t>
        </is>
      </c>
      <c r="P1867" s="9" t="inlineStr">
        <is>
          <t>onEnemyDefeated</t>
        </is>
      </c>
      <c r="Q1867" s="9" t="inlineStr">
        <is>
          <t>primaryStatMaxFlatBonus</t>
        </is>
      </c>
      <c r="R1867" s="9" t="inlineStr">
        <is>
          <t>{"kind":"passive","label":"法力上限 +10，&lt;battle&gt;每击杀一只妖兽后效果升级&lt;/battle&gt;。","passiveEffect":{"type":"primaryStatMaxFlatBonus","stat":"mana","value":10,"label":"法力上限 +10，&lt;battle&gt;每击杀一只妖兽后效果升级&lt;/battle&gt;。","realmGrowth":{"qiRefining":[10,20]}},"growth":{"lifecycle":"permanent","trigger":"onEnemyDefeated","bindings":[{"path":"passiveEffect.value","delta":1,"maxValue":100,"label":"法力上限","textOccurrence":0}],"support":"battleOnly"}}</t>
        </is>
      </c>
    </row>
    <row r="1868" ht="32" customHeight="1">
      <c r="A1868" s="8" t="n">
        <v>800046</v>
      </c>
      <c r="B1868" s="8" t="inlineStr">
        <is>
          <t>敛气诀</t>
        </is>
      </c>
      <c r="C1868" s="8" t="inlineStr">
        <is>
          <t>招式</t>
        </is>
      </c>
      <c r="D1868" s="8" t="inlineStr">
        <is>
          <t>common</t>
        </is>
      </c>
      <c r="E1868" s="8" t="inlineStr">
        <is>
          <t>none</t>
        </is>
      </c>
      <c r="F1868" s="8" t="n">
        <v>1</v>
      </c>
      <c r="G1868" s="8" t="inlineStr">
        <is>
          <t>基础/顶层</t>
        </is>
      </c>
      <c r="H1868" s="8" t="inlineStr"/>
      <c r="I1868" s="9" t="inlineStr"/>
      <c r="J1868" s="8" t="inlineStr"/>
      <c r="K1868" s="8" t="inlineStr"/>
      <c r="L1868" s="8" t="inlineStr"/>
      <c r="M1868" s="8" t="inlineStr">
        <is>
          <t>说明/执行器</t>
        </is>
      </c>
      <c r="N1868" s="8" t="inlineStr">
        <is>
          <t>effectNote</t>
        </is>
      </c>
      <c r="O1868" s="9" t="inlineStr">
        <is>
          <t>开局：所有招式冷却时间快进 50%</t>
        </is>
      </c>
      <c r="P1868" s="9" t="inlineStr"/>
      <c r="Q1868" s="9" t="inlineStr"/>
      <c r="R1868" s="9" t="inlineStr">
        <is>
          <t>{"kind":"effectNote","label":"开局：所有招式冷却时间快进 50%"}</t>
        </is>
      </c>
    </row>
    <row r="1869" ht="32" customHeight="1">
      <c r="A1869" s="8" t="n">
        <v>800047</v>
      </c>
      <c r="B1869" s="8" t="inlineStr">
        <is>
          <t>回元</t>
        </is>
      </c>
      <c r="C1869" s="8" t="inlineStr">
        <is>
          <t>招式</t>
        </is>
      </c>
      <c r="D1869" s="8" t="inlineStr">
        <is>
          <t>common</t>
        </is>
      </c>
      <c r="E1869" s="8" t="inlineStr">
        <is>
          <t>none</t>
        </is>
      </c>
      <c r="F1869" s="8" t="n">
        <v>1</v>
      </c>
      <c r="G1869" s="8" t="inlineStr">
        <is>
          <t>基础/顶层</t>
        </is>
      </c>
      <c r="H1869" s="8" t="inlineStr"/>
      <c r="I1869" s="9" t="inlineStr"/>
      <c r="J1869" s="8" t="inlineStr"/>
      <c r="K1869" s="8" t="inlineStr"/>
      <c r="L1869" s="8" t="inlineStr"/>
      <c r="M1869" s="8" t="inlineStr">
        <is>
          <t>周期触发</t>
        </is>
      </c>
      <c r="N1869" s="8" t="inlineStr">
        <is>
          <t>periodicPulse</t>
        </is>
      </c>
      <c r="O1869" s="9" t="inlineStr">
        <is>
          <t>轮转时，法力低于 50% 时，恢复 8 点法力</t>
        </is>
      </c>
      <c r="P1869" s="9" t="inlineStr"/>
      <c r="Q1869" s="9" t="inlineStr"/>
      <c r="R1869" s="9" t="inlineStr">
        <is>
          <t>{"kind":"periodicPulse","label":"轮转时，法力低于 50% 时，恢复 8 点法力","periodicPulse":{"intervalSec":8,"activationRequirements":{"primaryStatThreshold":{"stat":"mana","comparator":"lessThan","ratio":0.5}},"primaryStatGains":[{"stat":"mana","amount":8,"realmGrowth":{"qiRefining":[8,16]}}],"label":"轮转时，法力低于 50% 时，恢复 8 点法力"}}</t>
        </is>
      </c>
    </row>
    <row r="1870" ht="32" customHeight="1">
      <c r="A1870" s="8" t="n">
        <v>800048</v>
      </c>
      <c r="B1870" s="8" t="inlineStr">
        <is>
          <t>开府印</t>
        </is>
      </c>
      <c r="C1870" s="8" t="inlineStr">
        <is>
          <t>招式</t>
        </is>
      </c>
      <c r="D1870" s="8" t="inlineStr">
        <is>
          <t>common</t>
        </is>
      </c>
      <c r="E1870" s="8" t="inlineStr">
        <is>
          <t>none</t>
        </is>
      </c>
      <c r="F1870" s="8" t="n">
        <v>1</v>
      </c>
      <c r="G1870" s="8" t="inlineStr">
        <is>
          <t>基础/顶层</t>
        </is>
      </c>
      <c r="H1870" s="8" t="inlineStr"/>
      <c r="I1870" s="9" t="inlineStr"/>
      <c r="J1870" s="8" t="inlineStr"/>
      <c r="K1870" s="8" t="inlineStr"/>
      <c r="L1870" s="8" t="inlineStr"/>
      <c r="M1870" s="8" t="inlineStr">
        <is>
          <t>周期触发</t>
        </is>
      </c>
      <c r="N1870" s="8" t="inlineStr">
        <is>
          <t>periodicPulse</t>
        </is>
      </c>
      <c r="O1870" s="9" t="inlineStr">
        <is>
          <t>开局：消耗 20 点法力，气血上限临时 +40%</t>
        </is>
      </c>
      <c r="P1870" s="9" t="inlineStr"/>
      <c r="Q1870" s="9" t="inlineStr"/>
      <c r="R1870" s="9" t="inlineStr">
        <is>
          <t>{"kind":"periodicPulse","label":"开局：消耗 20 点法力，气血上限临时 +40%","periodicPulse":{"label":"开局：消耗 20 点法力，气血上限临时 +40%","startOnly":true,"primaryStatCosts":[{"stat":"mana","amount":20,"realmGrowth":{"qiRefining":[20,40]}}],"temporaryPrimaryStatMaxBonusFromPrimaryStatMax":{"stat":"health","sourceStat":"mana","ratio":0.4}}}</t>
        </is>
      </c>
    </row>
    <row r="1871" ht="32" customHeight="1">
      <c r="A1871" s="8" t="n">
        <v>800049</v>
      </c>
      <c r="B1871" s="8" t="inlineStr">
        <is>
          <t>锁元</t>
        </is>
      </c>
      <c r="C1871" s="8" t="inlineStr">
        <is>
          <t>招式</t>
        </is>
      </c>
      <c r="D1871" s="8" t="inlineStr">
        <is>
          <t>common</t>
        </is>
      </c>
      <c r="E1871" s="8" t="inlineStr">
        <is>
          <t>none</t>
        </is>
      </c>
      <c r="F1871" s="8" t="n">
        <v>1</v>
      </c>
      <c r="G1871" s="8" t="inlineStr">
        <is>
          <t>基础/顶层</t>
        </is>
      </c>
      <c r="H1871" s="8" t="inlineStr"/>
      <c r="I1871" s="9" t="inlineStr"/>
      <c r="J1871" s="8" t="inlineStr"/>
      <c r="K1871" s="8" t="inlineStr"/>
      <c r="L1871" s="8" t="inlineStr"/>
      <c r="M1871" s="8" t="inlineStr">
        <is>
          <t>说明/执行器</t>
        </is>
      </c>
      <c r="N1871" s="8" t="inlineStr">
        <is>
          <t>effectNote</t>
        </is>
      </c>
      <c r="O1871" s="9" t="inlineStr">
        <is>
          <t>长按释放，8 秒内我方法力不会减少</t>
        </is>
      </c>
      <c r="P1871" s="9" t="inlineStr">
        <is>
          <t>onActiveSpellCast</t>
        </is>
      </c>
      <c r="Q1871" s="9" t="inlineStr">
        <is>
          <t>temporaryActiveSpellCostModifier</t>
        </is>
      </c>
      <c r="R1871" s="9" t="inlineStr">
        <is>
          <t>{"kind":"effectNote","label":"长按释放，8 秒内我方法力不会减少","executors":[{"trigger":"onActiveSpellCast","type":"temporaryActiveSpellCostModifier","stat":"mana","amount":-999,"durationSec":8}]}</t>
        </is>
      </c>
    </row>
    <row r="1872" ht="32" customHeight="1">
      <c r="A1872" s="8" t="n">
        <v>800050</v>
      </c>
      <c r="B1872" s="8" t="inlineStr">
        <is>
          <t>引元成盾</t>
        </is>
      </c>
      <c r="C1872" s="8" t="inlineStr">
        <is>
          <t>招式</t>
        </is>
      </c>
      <c r="D1872" s="8" t="inlineStr">
        <is>
          <t>common</t>
        </is>
      </c>
      <c r="E1872" s="8" t="inlineStr">
        <is>
          <t>none</t>
        </is>
      </c>
      <c r="F1872" s="8" t="n">
        <v>1</v>
      </c>
      <c r="G1872" s="8" t="inlineStr">
        <is>
          <t>基础/顶层</t>
        </is>
      </c>
      <c r="H1872" s="8" t="inlineStr"/>
      <c r="I1872" s="9" t="inlineStr"/>
      <c r="J1872" s="8" t="inlineStr"/>
      <c r="K1872" s="8" t="inlineStr"/>
      <c r="L1872" s="8" t="inlineStr"/>
      <c r="M1872" s="8" t="inlineStr">
        <is>
          <t>说明/执行器</t>
        </is>
      </c>
      <c r="N1872" s="8" t="inlineStr">
        <is>
          <t>effectNote</t>
        </is>
      </c>
      <c r="O1872" s="9" t="inlineStr">
        <is>
          <t>受到伤害时，优先使用法力抵挡 80% 的伤害</t>
        </is>
      </c>
      <c r="P1872" s="9" t="inlineStr"/>
      <c r="Q1872" s="9" t="inlineStr"/>
      <c r="R1872" s="9" t="inlineStr">
        <is>
          <t>{"kind":"effectNote","label":"&lt;battle&gt;受到伤害时，优先使用法力抵挡 80% 的伤害&lt;/battle&gt;"}</t>
        </is>
      </c>
    </row>
    <row r="1873" ht="32" customHeight="1">
      <c r="A1873" s="8" t="n">
        <v>800051</v>
      </c>
      <c r="B1873" s="8" t="inlineStr">
        <is>
          <t>镇元大印</t>
        </is>
      </c>
      <c r="C1873" s="8" t="inlineStr">
        <is>
          <t>招式</t>
        </is>
      </c>
      <c r="D1873" s="8" t="inlineStr">
        <is>
          <t>common</t>
        </is>
      </c>
      <c r="E1873" s="8" t="inlineStr">
        <is>
          <t>none</t>
        </is>
      </c>
      <c r="F1873" s="8" t="n">
        <v>1</v>
      </c>
      <c r="G1873" s="8" t="inlineStr">
        <is>
          <t>基础/顶层</t>
        </is>
      </c>
      <c r="H1873" s="8" t="inlineStr"/>
      <c r="I1873" s="9" t="inlineStr"/>
      <c r="J1873" s="8" t="inlineStr"/>
      <c r="K1873" s="8" t="inlineStr"/>
      <c r="L1873" s="8" t="inlineStr"/>
      <c r="M1873" s="8" t="inlineStr">
        <is>
          <t>说明/执行器</t>
        </is>
      </c>
      <c r="N1873" s="8" t="inlineStr">
        <is>
          <t>effectNote</t>
        </is>
      </c>
      <c r="O1873" s="9" t="inlineStr">
        <is>
          <t>长按释放，消耗 50点法力，10 秒内禁止敌方恢复气血和获得 Buff</t>
        </is>
      </c>
      <c r="P1873" s="9" t="inlineStr">
        <is>
          <t>onActiveSpellCast</t>
        </is>
      </c>
      <c r="Q1873" s="9" t="inlineStr">
        <is>
          <t>temporaryHealingBlock；temporaryBuffGainBlock</t>
        </is>
      </c>
      <c r="R1873" s="9" t="inlineStr">
        <is>
          <t>{"kind":"effectNote","label":"长按释放，消耗 50点法力，&lt;battle&gt;10 秒内禁止敌方恢复气血和获得 Buff&lt;/battle&gt;","executors":[{"trigger":"onActiveSpellCast","type":"temporaryHealingBlock","amount":1,"targetActor":"enemy","durationSec":10,"costs":[{"stat":"mana","amount":50}],"label":"长按释放，消耗 50点法力，&lt;battle&gt;10 秒内禁止敌方恢复气血和获得 Buff&lt;/battle&gt;"},{"trigger":"onActiveSpellCast","type":"temporaryBuffGainBlock","amount":1,"targetActor":"enemy","durationSec":10,"label":"长按释放，消耗 50点法力，&lt;battle&gt;10 秒内禁止敌方恢复气血和获得 Buff&lt;/battle&gt;"}]}</t>
        </is>
      </c>
    </row>
    <row r="1874" ht="32" customHeight="1">
      <c r="A1874" s="8" t="n">
        <v>800052</v>
      </c>
      <c r="B1874" s="8" t="inlineStr">
        <is>
          <t>启悟</t>
        </is>
      </c>
      <c r="C1874" s="8" t="inlineStr">
        <is>
          <t>招式</t>
        </is>
      </c>
      <c r="D1874" s="8" t="inlineStr">
        <is>
          <t>common</t>
        </is>
      </c>
      <c r="E1874" s="8" t="inlineStr">
        <is>
          <t>none</t>
        </is>
      </c>
      <c r="F1874" s="8" t="n">
        <v>1</v>
      </c>
      <c r="G1874" s="8" t="inlineStr">
        <is>
          <t>基础/顶层</t>
        </is>
      </c>
      <c r="H1874" s="8" t="inlineStr"/>
      <c r="I1874" s="9" t="inlineStr"/>
      <c r="J1874" s="8" t="inlineStr"/>
      <c r="K1874" s="8" t="inlineStr"/>
      <c r="L1874" s="8" t="inlineStr"/>
      <c r="M1874" s="8" t="inlineStr">
        <is>
          <t>周期触发</t>
        </is>
      </c>
      <c r="N1874" s="8" t="inlineStr">
        <is>
          <t>periodicPulse</t>
        </is>
      </c>
      <c r="O1874" s="9" t="inlineStr">
        <is>
          <t>轮转时，获得等同于道具数量1倍的修为</t>
        </is>
      </c>
      <c r="P1874" s="9" t="inlineStr"/>
      <c r="Q1874" s="9" t="inlineStr"/>
      <c r="R1874" s="9" t="inlineStr">
        <is>
          <t>{"kind":"periodicPulse","periodicPulse":{"intervalSec":12,"cultivationGain":1,"scaling":{"mode":"count","source":"bagItems"},"label":"&lt;cultivation&gt;轮转时，获得等同于道具数量1倍的修为&lt;/cultivation&gt;","realmGrowthByField":{"cultivationGain":{"qiRefining":[1,3]}}}}</t>
        </is>
      </c>
    </row>
    <row r="1875" ht="32" customHeight="1">
      <c r="A1875" s="8" t="n">
        <v>800053</v>
      </c>
      <c r="B1875" s="8" t="inlineStr">
        <is>
          <t>观简</t>
        </is>
      </c>
      <c r="C1875" s="8" t="inlineStr">
        <is>
          <t>招式</t>
        </is>
      </c>
      <c r="D1875" s="8" t="inlineStr">
        <is>
          <t>common</t>
        </is>
      </c>
      <c r="E1875" s="8" t="inlineStr">
        <is>
          <t>none</t>
        </is>
      </c>
      <c r="F1875" s="8" t="n">
        <v>1</v>
      </c>
      <c r="G1875" s="8" t="inlineStr">
        <is>
          <t>基础/顶层</t>
        </is>
      </c>
      <c r="H1875" s="8" t="inlineStr"/>
      <c r="I1875" s="9" t="inlineStr"/>
      <c r="J1875" s="8" t="inlineStr"/>
      <c r="K1875" s="8" t="inlineStr"/>
      <c r="L1875" s="8" t="inlineStr"/>
      <c r="M1875" s="8" t="inlineStr">
        <is>
          <t>周期触发</t>
        </is>
      </c>
      <c r="N1875" s="8" t="inlineStr">
        <is>
          <t>periodicPulse</t>
        </is>
      </c>
      <c r="O1875" s="9" t="inlineStr">
        <is>
          <t>轮转时，每有 1 个相邻功法，获得 3 点修为</t>
        </is>
      </c>
      <c r="P1875" s="9" t="inlineStr"/>
      <c r="Q1875" s="9" t="inlineStr"/>
      <c r="R1875" s="9" t="inlineStr">
        <is>
          <t>{"kind":"periodicPulse","periodicPulse":{"intervalSec":5,"cultivationGain":3,"scaling":{"mode":"count","source":"adjacentItems","categories":["scripture"]},"label":"&lt;cultivation&gt;轮转时，每有 1 个相邻功法，获得 3 点修为&lt;/cultivation&gt;","realmGrowthByField":{"cultivationGain":{"qiRefining":[3,6]}}}}</t>
        </is>
      </c>
    </row>
    <row r="1876" ht="32" customHeight="1">
      <c r="A1876" s="8" t="n">
        <v>800054</v>
      </c>
      <c r="B1876" s="8" t="inlineStr">
        <is>
          <t>明心诀</t>
        </is>
      </c>
      <c r="C1876" s="8" t="inlineStr">
        <is>
          <t>招式</t>
        </is>
      </c>
      <c r="D1876" s="8" t="inlineStr">
        <is>
          <t>common</t>
        </is>
      </c>
      <c r="E1876" s="8" t="inlineStr">
        <is>
          <t>none</t>
        </is>
      </c>
      <c r="F1876" s="8" t="n">
        <v>1</v>
      </c>
      <c r="G1876" s="8" t="inlineStr">
        <is>
          <t>基础/顶层</t>
        </is>
      </c>
      <c r="H1876" s="8" t="inlineStr"/>
      <c r="I1876" s="9" t="inlineStr"/>
      <c r="J1876" s="8" t="inlineStr"/>
      <c r="K1876" s="8" t="inlineStr"/>
      <c r="L1876" s="8" t="inlineStr"/>
      <c r="M1876" s="8" t="inlineStr">
        <is>
          <t>说明/执行器</t>
        </is>
      </c>
      <c r="N1876" s="8" t="inlineStr">
        <is>
          <t>effectNote</t>
        </is>
      </c>
      <c r="O1876" s="9" t="inlineStr">
        <is>
          <t>长按释放，消耗30点法力，清除全部负面效果</t>
        </is>
      </c>
      <c r="P1876" s="9" t="inlineStr">
        <is>
          <t>onActiveSpellCast</t>
        </is>
      </c>
      <c r="Q1876" s="9" t="inlineStr">
        <is>
          <t>removeBuffStacks</t>
        </is>
      </c>
      <c r="R1876" s="9" t="inlineStr">
        <is>
          <t>{"kind":"effectNote","label":"长按释放，消耗30点法力，清除全部负面效果","executors":[{"trigger":"onActiveSpellCast","type":"removeBuffStacks","buffId":"poison","amount":1,"consumeSourceBuffStacks":{"buffId":"poison","consumeRatio":1,"consumeRounding":"floor"},"realmGrowth":{"qiRefining":[1,2]},"costs":[{"stat":"mana","amount":30}],"label":"长按释放，消耗30点法力，清除全部负面效果"},{"trigger":"onActiveSpellCast","type":"removeBuffStacks","buffId":"burning","amount":1,"consumeSourceBuffStacks":{"buffId":"burning","consumeRatio":1,"consumeRounding":"floor"},"realmGrowth":{"qiRefining":[1,2]},"label":"长按释放，消耗30点法力，清除全部负面效果"},{"trigger":"onActiveSpellCast","type":"removeBuffStacks","buffId":"frost","amount":1,"consumeSourceBuffStacks":{"buffId":"frost","consumeRatio":1,"consumeRounding":"floor"},"realmGrowth":{"qiRefining":[1,2]},"label":"长按释放，消耗30点法力，清除全部负面效果"},{"trigger":"onActiveSpellCast","type":"removeBuffStacks","buffId":"heavy","amount":1,"consumeSourceBuffStacks":{"buffId":"heavy","consumeRatio":1,"consumeRounding":"floor"},"realmGrowth":{"qiRefining":[1,2]},"label":"长按释放，消耗30点法力，清除全部负面效果"}]}</t>
        </is>
      </c>
    </row>
    <row r="1877" ht="32" customHeight="1">
      <c r="A1877" s="8" t="n">
        <v>800055</v>
      </c>
      <c r="B1877" s="8" t="inlineStr">
        <is>
          <t>旁通</t>
        </is>
      </c>
      <c r="C1877" s="8" t="inlineStr">
        <is>
          <t>招式</t>
        </is>
      </c>
      <c r="D1877" s="8" t="inlineStr">
        <is>
          <t>common</t>
        </is>
      </c>
      <c r="E1877" s="8" t="inlineStr">
        <is>
          <t>none</t>
        </is>
      </c>
      <c r="F1877" s="8" t="n">
        <v>1</v>
      </c>
      <c r="G1877" s="8" t="inlineStr">
        <is>
          <t>基础/顶层</t>
        </is>
      </c>
      <c r="H1877" s="8" t="inlineStr"/>
      <c r="I1877" s="9" t="inlineStr"/>
      <c r="J1877" s="8" t="inlineStr"/>
      <c r="K1877" s="8" t="inlineStr"/>
      <c r="L1877" s="8" t="inlineStr"/>
      <c r="M1877" s="8" t="inlineStr">
        <is>
          <t>条件触发</t>
        </is>
      </c>
      <c r="N1877" s="8" t="inlineStr">
        <is>
          <t>triggered</t>
        </is>
      </c>
      <c r="O1877" s="9" t="inlineStr">
        <is>
          <t>相邻道具使用时，获得 5 点修为</t>
        </is>
      </c>
      <c r="P1877" s="9" t="inlineStr">
        <is>
          <t>onItemUse</t>
        </is>
      </c>
      <c r="Q1877" s="9" t="inlineStr">
        <is>
          <t>gainCultivation；adjacent</t>
        </is>
      </c>
      <c r="R1877" s="9" t="inlineStr">
        <is>
          <t>{"kind":"triggered","label":"相邻道具使用时，&lt;cultivation&gt;获得 5 点修为&lt;/cultivation&gt;","triggeredEffect":{"trigger":"onItemUse","type":"gainCultivation","amount":5,"eventSource":{"target":{"type":"adjacent"}},"realmGrowth":{"qiRefining":[5,10]}}}</t>
        </is>
      </c>
    </row>
    <row r="1878" ht="32" customHeight="1">
      <c r="A1878" s="8" t="n">
        <v>800056</v>
      </c>
      <c r="B1878" s="8" t="inlineStr">
        <is>
          <t>破障问道</t>
        </is>
      </c>
      <c r="C1878" s="8" t="inlineStr">
        <is>
          <t>招式</t>
        </is>
      </c>
      <c r="D1878" s="8" t="inlineStr">
        <is>
          <t>common</t>
        </is>
      </c>
      <c r="E1878" s="8" t="inlineStr">
        <is>
          <t>none</t>
        </is>
      </c>
      <c r="F1878" s="8" t="n">
        <v>1</v>
      </c>
      <c r="G1878" s="8" t="inlineStr">
        <is>
          <t>基础/顶层</t>
        </is>
      </c>
      <c r="H1878" s="8" t="inlineStr"/>
      <c r="I1878" s="9" t="inlineStr"/>
      <c r="J1878" s="8" t="inlineStr"/>
      <c r="K1878" s="8" t="inlineStr"/>
      <c r="L1878" s="8" t="inlineStr"/>
      <c r="M1878" s="8" t="inlineStr">
        <is>
          <t>说明/执行器</t>
        </is>
      </c>
      <c r="N1878" s="8" t="inlineStr">
        <is>
          <t>effectNote</t>
        </is>
      </c>
      <c r="O1878" s="9" t="inlineStr">
        <is>
          <t>长按释放，消耗敌方 10 层坚硬和 10 层护甲，对敌方造成 20 点伤害</t>
        </is>
      </c>
      <c r="P1878" s="9" t="inlineStr">
        <is>
          <t>onActiveSpellCast</t>
        </is>
      </c>
      <c r="Q1878" s="9" t="inlineStr">
        <is>
          <t>removeBuffStacks；damageHealth</t>
        </is>
      </c>
      <c r="R1878" s="9" t="inlineStr">
        <is>
          <t>{"kind":"effectNote","label":"长按释放，&lt;battle&gt;消耗敌方 10 层坚硬和 10 层护甲，对敌方造成 20 点伤害&lt;/battle&gt;","executors":[{"trigger":"onActiveSpellCast","type":"removeBuffStacks","buffId":"sturdy","amount":10,"targetActor":"enemy","realmGrowth":{"qiRefining":[10,15]}},{"trigger":"onActiveSpellCast","type":"removeBuffStacks","buffId":"armor","amount":10,"targetActor":"enemy","realmGrowth":{"qiRefining":[10,15]}},{"trigger":"onActiveSpellCast","type":"damageHealth","amount":20,"realmGrowth":{"qiRefining":[20,40]}}]}</t>
        </is>
      </c>
    </row>
    <row r="1879" ht="32" customHeight="1">
      <c r="A1879" s="8" t="n">
        <v>800057</v>
      </c>
      <c r="B1879" s="8" t="inlineStr">
        <is>
          <t>玉简同鸣</t>
        </is>
      </c>
      <c r="C1879" s="8" t="inlineStr">
        <is>
          <t>招式</t>
        </is>
      </c>
      <c r="D1879" s="8" t="inlineStr">
        <is>
          <t>common</t>
        </is>
      </c>
      <c r="E1879" s="8" t="inlineStr">
        <is>
          <t>none</t>
        </is>
      </c>
      <c r="F1879" s="8" t="n">
        <v>1</v>
      </c>
      <c r="G1879" s="8" t="inlineStr">
        <is>
          <t>基础/顶层</t>
        </is>
      </c>
      <c r="H1879" s="8" t="inlineStr"/>
      <c r="I1879" s="9" t="inlineStr"/>
      <c r="J1879" s="8" t="inlineStr"/>
      <c r="K1879" s="8" t="inlineStr"/>
      <c r="L1879" s="8" t="inlineStr"/>
      <c r="M1879" s="8" t="inlineStr">
        <is>
          <t>说明/执行器</t>
        </is>
      </c>
      <c r="N1879" s="8" t="inlineStr">
        <is>
          <t>effectNote</t>
        </is>
      </c>
      <c r="O1879" s="9" t="inlineStr">
        <is>
          <t>长按释放，10 秒内使所有道具获得的修为值提升 50%</t>
        </is>
      </c>
      <c r="P1879" s="9" t="inlineStr">
        <is>
          <t>onActiveSpellCast</t>
        </is>
      </c>
      <c r="Q1879" s="9" t="inlineStr">
        <is>
          <t>temporaryAllCultivationGainMultiplier</t>
        </is>
      </c>
      <c r="R1879" s="9" t="inlineStr">
        <is>
          <t>{"kind":"effectNote","label":"长按释放，10 秒内使所有道具获得的修为值提升 50%","executors":[{"trigger":"onActiveSpellCast","type":"temporaryAllCultivationGainMultiplier","amount":1.5,"durationSec":10,"support":"cultivationOnly"}]}</t>
        </is>
      </c>
    </row>
    <row r="1880" ht="32" customHeight="1">
      <c r="A1880" s="8" t="n">
        <v>800058</v>
      </c>
      <c r="B1880" s="8" t="inlineStr">
        <is>
          <t>一念悟道</t>
        </is>
      </c>
      <c r="C1880" s="8" t="inlineStr">
        <is>
          <t>招式</t>
        </is>
      </c>
      <c r="D1880" s="8" t="inlineStr">
        <is>
          <t>common</t>
        </is>
      </c>
      <c r="E1880" s="8" t="inlineStr">
        <is>
          <t>none</t>
        </is>
      </c>
      <c r="F1880" s="8" t="n">
        <v>1</v>
      </c>
      <c r="G1880" s="8" t="inlineStr">
        <is>
          <t>基础/顶层</t>
        </is>
      </c>
      <c r="H1880" s="8" t="inlineStr"/>
      <c r="I1880" s="9" t="inlineStr"/>
      <c r="J1880" s="8" t="inlineStr"/>
      <c r="K1880" s="8" t="inlineStr"/>
      <c r="L1880" s="8" t="inlineStr"/>
      <c r="M1880" s="8" t="inlineStr">
        <is>
          <t>条件触发</t>
        </is>
      </c>
      <c r="N1880" s="8" t="inlineStr">
        <is>
          <t>triggered</t>
        </is>
      </c>
      <c r="O1880" s="9" t="inlineStr">
        <is>
          <t>累计获得 100 点修为后，将悟道玉简的 100 点修为转化为由所有其他功法均摊</t>
        </is>
      </c>
      <c r="P1880" s="9" t="inlineStr">
        <is>
          <t>onCultivationGain</t>
        </is>
      </c>
      <c r="Q1880" s="9" t="inlineStr">
        <is>
          <t>redistributeSourceScriptureCultivation；any</t>
        </is>
      </c>
      <c r="R1880" s="9" t="inlineStr">
        <is>
          <t>{"kind":"triggered","label":"&lt;cultivation&gt;累计获得 100 点修为后，将悟道玉简的 100 点修为转化为由所有其他功法均摊&lt;/cultivation&gt;","triggeredEffect":{"trigger":"onCultivationGain","type":"redistributeSourceScriptureCultivation","amount":100,"eventSource":{"target":{"type":"any"},"filter":{"numericIds":[100014,800052,800053,800054,800055,800056,800057,800058]}},"charge":{"threshold":100,"source":{"trigger":"onCultivationGain"}}}}</t>
        </is>
      </c>
    </row>
    <row r="1881" ht="32" customHeight="1">
      <c r="A1881" s="8" t="n">
        <v>800059</v>
      </c>
      <c r="B1881" s="8" t="inlineStr">
        <is>
          <t>焰纹</t>
        </is>
      </c>
      <c r="C1881" s="8" t="inlineStr">
        <is>
          <t>招式</t>
        </is>
      </c>
      <c r="D1881" s="8" t="inlineStr">
        <is>
          <t>spirit</t>
        </is>
      </c>
      <c r="E1881" s="8" t="inlineStr">
        <is>
          <t>fire</t>
        </is>
      </c>
      <c r="F1881" s="8" t="n">
        <v>1</v>
      </c>
      <c r="G1881" s="8" t="inlineStr">
        <is>
          <t>基础/顶层</t>
        </is>
      </c>
      <c r="H1881" s="8" t="inlineStr"/>
      <c r="I1881" s="9" t="inlineStr"/>
      <c r="J1881" s="8" t="inlineStr"/>
      <c r="K1881" s="8" t="inlineStr"/>
      <c r="L1881" s="8" t="inlineStr"/>
      <c r="M1881" s="8" t="inlineStr">
        <is>
          <t>说明/执行器</t>
        </is>
      </c>
      <c r="N1881" s="8" t="inlineStr">
        <is>
          <t>effectNote</t>
        </is>
      </c>
      <c r="O1881" s="9" t="inlineStr">
        <is>
          <t>长按释放，对敌方造成 6 点伤害</t>
        </is>
      </c>
      <c r="P1881" s="9" t="inlineStr">
        <is>
          <t>onActiveSpellCast</t>
        </is>
      </c>
      <c r="Q1881" s="9" t="inlineStr">
        <is>
          <t>damageHealth</t>
        </is>
      </c>
      <c r="R1881" s="9" t="inlineStr">
        <is>
          <t>{"kind":"effectNote","label":"长按释放，对敌方造成 6 点伤害","executors":[{"trigger":"onActiveSpellCast","type":"damageHealth","amount":6,"realmGrowth":{"foundation":[6,12]}}]}</t>
        </is>
      </c>
    </row>
    <row r="1882" ht="32" customHeight="1">
      <c r="A1882" s="8" t="n">
        <v>800060</v>
      </c>
      <c r="B1882" s="8" t="inlineStr">
        <is>
          <t>火器息</t>
        </is>
      </c>
      <c r="C1882" s="8" t="inlineStr">
        <is>
          <t>招式</t>
        </is>
      </c>
      <c r="D1882" s="8" t="inlineStr">
        <is>
          <t>spirit</t>
        </is>
      </c>
      <c r="E1882" s="8" t="inlineStr">
        <is>
          <t>fire</t>
        </is>
      </c>
      <c r="F1882" s="8" t="n">
        <v>1</v>
      </c>
      <c r="G1882" s="8" t="inlineStr">
        <is>
          <t>基础/顶层</t>
        </is>
      </c>
      <c r="H1882" s="8" t="inlineStr"/>
      <c r="I1882" s="9" t="inlineStr"/>
      <c r="J1882" s="8" t="inlineStr"/>
      <c r="K1882" s="8" t="inlineStr"/>
      <c r="L1882" s="8" t="inlineStr"/>
      <c r="M1882" s="8" t="inlineStr">
        <is>
          <t>说明/执行器</t>
        </is>
      </c>
      <c r="N1882" s="8" t="inlineStr">
        <is>
          <t>effectNote</t>
        </is>
      </c>
      <c r="O1882" s="9" t="inlineStr">
        <is>
          <t>长按释放，对敌方造成 6 点伤害</t>
        </is>
      </c>
      <c r="P1882" s="9" t="inlineStr">
        <is>
          <t>onActiveSpellCast</t>
        </is>
      </c>
      <c r="Q1882" s="9" t="inlineStr">
        <is>
          <t>damageHealth</t>
        </is>
      </c>
      <c r="R1882" s="9" t="inlineStr">
        <is>
          <t>{"kind":"effectNote","label":"长按释放，对敌方造成 6 点伤害","executors":[{"trigger":"onActiveSpellCast","type":"damageHealth","amount":6,"realmGrowth":{"foundation":[6,12]}}]}</t>
        </is>
      </c>
    </row>
    <row r="1883" ht="32" customHeight="1">
      <c r="A1883" s="8" t="n">
        <v>800061</v>
      </c>
      <c r="B1883" s="8" t="inlineStr">
        <is>
          <t>炉心</t>
        </is>
      </c>
      <c r="C1883" s="8" t="inlineStr">
        <is>
          <t>招式</t>
        </is>
      </c>
      <c r="D1883" s="8" t="inlineStr">
        <is>
          <t>spirit</t>
        </is>
      </c>
      <c r="E1883" s="8" t="inlineStr">
        <is>
          <t>fire</t>
        </is>
      </c>
      <c r="F1883" s="8" t="n">
        <v>1</v>
      </c>
      <c r="G1883" s="8" t="inlineStr">
        <is>
          <t>基础/顶层</t>
        </is>
      </c>
      <c r="H1883" s="8" t="inlineStr"/>
      <c r="I1883" s="9" t="inlineStr"/>
      <c r="J1883" s="8" t="inlineStr"/>
      <c r="K1883" s="8" t="inlineStr"/>
      <c r="L1883" s="8" t="inlineStr"/>
      <c r="M1883" s="8" t="inlineStr">
        <is>
          <t>说明/执行器</t>
        </is>
      </c>
      <c r="N1883" s="8" t="inlineStr">
        <is>
          <t>effectNote</t>
        </is>
      </c>
      <c r="O1883" s="9" t="inlineStr">
        <is>
          <t>长按释放，对敌方造成 6 点伤害</t>
        </is>
      </c>
      <c r="P1883" s="9" t="inlineStr">
        <is>
          <t>onActiveSpellCast</t>
        </is>
      </c>
      <c r="Q1883" s="9" t="inlineStr">
        <is>
          <t>damageHealth</t>
        </is>
      </c>
      <c r="R1883" s="9" t="inlineStr">
        <is>
          <t>{"kind":"effectNote","label":"长按释放，对敌方造成 6 点伤害","executors":[{"trigger":"onActiveSpellCast","type":"damageHealth","amount":6,"realmGrowth":{"foundation":[6,12]}}]}</t>
        </is>
      </c>
    </row>
    <row r="1884" ht="32" customHeight="1">
      <c r="A1884" s="8" t="n">
        <v>800062</v>
      </c>
      <c r="B1884" s="8" t="inlineStr">
        <is>
          <t>赤卷护身</t>
        </is>
      </c>
      <c r="C1884" s="8" t="inlineStr">
        <is>
          <t>招式</t>
        </is>
      </c>
      <c r="D1884" s="8" t="inlineStr">
        <is>
          <t>spirit</t>
        </is>
      </c>
      <c r="E1884" s="8" t="inlineStr">
        <is>
          <t>fire</t>
        </is>
      </c>
      <c r="F1884" s="8" t="n">
        <v>1</v>
      </c>
      <c r="G1884" s="8" t="inlineStr">
        <is>
          <t>基础/顶层</t>
        </is>
      </c>
      <c r="H1884" s="8" t="inlineStr"/>
      <c r="I1884" s="9" t="inlineStr"/>
      <c r="J1884" s="8" t="inlineStr"/>
      <c r="K1884" s="8" t="inlineStr"/>
      <c r="L1884" s="8" t="inlineStr"/>
      <c r="M1884" s="8" t="inlineStr">
        <is>
          <t>说明/执行器</t>
        </is>
      </c>
      <c r="N1884" s="8" t="inlineStr">
        <is>
          <t>effectNote</t>
        </is>
      </c>
      <c r="O1884" s="9" t="inlineStr">
        <is>
          <t>长按释放，对敌方造成 6 点伤害</t>
        </is>
      </c>
      <c r="P1884" s="9" t="inlineStr">
        <is>
          <t>onActiveSpellCast</t>
        </is>
      </c>
      <c r="Q1884" s="9" t="inlineStr">
        <is>
          <t>damageHealth</t>
        </is>
      </c>
      <c r="R1884" s="9" t="inlineStr">
        <is>
          <t>{"kind":"effectNote","label":"长按释放，对敌方造成 6 点伤害","executors":[{"trigger":"onActiveSpellCast","type":"damageHealth","amount":6,"realmGrowth":{"foundation":[6,12]}}]}</t>
        </is>
      </c>
    </row>
    <row r="1885" ht="32" customHeight="1">
      <c r="A1885" s="8" t="n">
        <v>800063</v>
      </c>
      <c r="B1885" s="8" t="inlineStr">
        <is>
          <t>逐焰</t>
        </is>
      </c>
      <c r="C1885" s="8" t="inlineStr">
        <is>
          <t>招式</t>
        </is>
      </c>
      <c r="D1885" s="8" t="inlineStr">
        <is>
          <t>spirit</t>
        </is>
      </c>
      <c r="E1885" s="8" t="inlineStr">
        <is>
          <t>fire</t>
        </is>
      </c>
      <c r="F1885" s="8" t="n">
        <v>1</v>
      </c>
      <c r="G1885" s="8" t="inlineStr">
        <is>
          <t>基础/顶层</t>
        </is>
      </c>
      <c r="H1885" s="8" t="inlineStr"/>
      <c r="I1885" s="9" t="inlineStr"/>
      <c r="J1885" s="8" t="inlineStr"/>
      <c r="K1885" s="8" t="inlineStr"/>
      <c r="L1885" s="8" t="inlineStr"/>
      <c r="M1885" s="8" t="inlineStr">
        <is>
          <t>说明/执行器</t>
        </is>
      </c>
      <c r="N1885" s="8" t="inlineStr">
        <is>
          <t>effectNote</t>
        </is>
      </c>
      <c r="O1885" s="9" t="inlineStr">
        <is>
          <t>长按释放，对敌方造成 6 点伤害</t>
        </is>
      </c>
      <c r="P1885" s="9" t="inlineStr">
        <is>
          <t>onActiveSpellCast</t>
        </is>
      </c>
      <c r="Q1885" s="9" t="inlineStr">
        <is>
          <t>damageHealth</t>
        </is>
      </c>
      <c r="R1885" s="9" t="inlineStr">
        <is>
          <t>{"kind":"effectNote","label":"长按释放，对敌方造成 6 点伤害","executors":[{"trigger":"onActiveSpellCast","type":"damageHealth","amount":6,"realmGrowth":{"foundation":[6,12]}}]}</t>
        </is>
      </c>
    </row>
    <row r="1886" ht="32" customHeight="1">
      <c r="A1886" s="8" t="n">
        <v>800064</v>
      </c>
      <c r="B1886" s="8" t="inlineStr">
        <is>
          <t>焚纹引器</t>
        </is>
      </c>
      <c r="C1886" s="8" t="inlineStr">
        <is>
          <t>招式</t>
        </is>
      </c>
      <c r="D1886" s="8" t="inlineStr">
        <is>
          <t>spirit</t>
        </is>
      </c>
      <c r="E1886" s="8" t="inlineStr">
        <is>
          <t>fire</t>
        </is>
      </c>
      <c r="F1886" s="8" t="n">
        <v>1</v>
      </c>
      <c r="G1886" s="8" t="inlineStr">
        <is>
          <t>基础/顶层</t>
        </is>
      </c>
      <c r="H1886" s="8" t="inlineStr"/>
      <c r="I1886" s="9" t="inlineStr"/>
      <c r="J1886" s="8" t="inlineStr"/>
      <c r="K1886" s="8" t="inlineStr"/>
      <c r="L1886" s="8" t="inlineStr"/>
      <c r="M1886" s="8" t="inlineStr">
        <is>
          <t>说明/执行器</t>
        </is>
      </c>
      <c r="N1886" s="8" t="inlineStr">
        <is>
          <t>effectNote</t>
        </is>
      </c>
      <c r="O1886" s="9" t="inlineStr">
        <is>
          <t>长按释放，对敌方造成 6 点伤害</t>
        </is>
      </c>
      <c r="P1886" s="9" t="inlineStr">
        <is>
          <t>onActiveSpellCast</t>
        </is>
      </c>
      <c r="Q1886" s="9" t="inlineStr">
        <is>
          <t>damageHealth</t>
        </is>
      </c>
      <c r="R1886" s="9" t="inlineStr">
        <is>
          <t>{"kind":"effectNote","label":"长按释放，对敌方造成 6 点伤害","executors":[{"trigger":"onActiveSpellCast","type":"damageHealth","amount":6,"realmGrowth":{"foundation":[6,12]}}]}</t>
        </is>
      </c>
    </row>
    <row r="1887" ht="32" customHeight="1">
      <c r="A1887" s="8" t="n">
        <v>800065</v>
      </c>
      <c r="B1887" s="8" t="inlineStr">
        <is>
          <t>秘卷焰潮</t>
        </is>
      </c>
      <c r="C1887" s="8" t="inlineStr">
        <is>
          <t>招式</t>
        </is>
      </c>
      <c r="D1887" s="8" t="inlineStr">
        <is>
          <t>spirit</t>
        </is>
      </c>
      <c r="E1887" s="8" t="inlineStr">
        <is>
          <t>fire</t>
        </is>
      </c>
      <c r="F1887" s="8" t="n">
        <v>1</v>
      </c>
      <c r="G1887" s="8" t="inlineStr">
        <is>
          <t>基础/顶层</t>
        </is>
      </c>
      <c r="H1887" s="8" t="inlineStr"/>
      <c r="I1887" s="9" t="inlineStr"/>
      <c r="J1887" s="8" t="inlineStr"/>
      <c r="K1887" s="8" t="inlineStr"/>
      <c r="L1887" s="8" t="inlineStr"/>
      <c r="M1887" s="8" t="inlineStr">
        <is>
          <t>说明/执行器</t>
        </is>
      </c>
      <c r="N1887" s="8" t="inlineStr">
        <is>
          <t>effectNote</t>
        </is>
      </c>
      <c r="O1887" s="9" t="inlineStr">
        <is>
          <t>长按释放，对敌方造成 6 点伤害</t>
        </is>
      </c>
      <c r="P1887" s="9" t="inlineStr">
        <is>
          <t>onActiveSpellCast</t>
        </is>
      </c>
      <c r="Q1887" s="9" t="inlineStr">
        <is>
          <t>damageHealth</t>
        </is>
      </c>
      <c r="R1887" s="9" t="inlineStr">
        <is>
          <t>{"kind":"effectNote","label":"长按释放，对敌方造成 6 点伤害","executors":[{"trigger":"onActiveSpellCast","type":"damageHealth","amount":6,"realmGrowth":{"foundation":[6,12]}}]}</t>
        </is>
      </c>
    </row>
    <row r="1888" ht="32" customHeight="1">
      <c r="A1888" s="8" t="n">
        <v>800066</v>
      </c>
      <c r="B1888" s="8" t="inlineStr">
        <is>
          <t>引灵</t>
        </is>
      </c>
      <c r="C1888" s="8" t="inlineStr">
        <is>
          <t>招式</t>
        </is>
      </c>
      <c r="D1888" s="8" t="inlineStr">
        <is>
          <t>common</t>
        </is>
      </c>
      <c r="E1888" s="8" t="inlineStr">
        <is>
          <t>wood</t>
        </is>
      </c>
      <c r="F1888" s="8" t="n">
        <v>1</v>
      </c>
      <c r="G1888" s="8" t="inlineStr">
        <is>
          <t>基础/顶层</t>
        </is>
      </c>
      <c r="H1888" s="8" t="inlineStr"/>
      <c r="I1888" s="9" t="inlineStr"/>
      <c r="J1888" s="8" t="inlineStr"/>
      <c r="K1888" s="8" t="inlineStr"/>
      <c r="L1888" s="8" t="inlineStr"/>
      <c r="M1888" s="8" t="inlineStr">
        <is>
          <t>周期触发</t>
        </is>
      </c>
      <c r="N1888" s="8" t="inlineStr">
        <is>
          <t>periodicPulse</t>
        </is>
      </c>
      <c r="O1888" s="9" t="inlineStr">
        <is>
          <t>开局：获得 5 层再生</t>
        </is>
      </c>
      <c r="P1888" s="9" t="inlineStr"/>
      <c r="Q1888" s="9" t="inlineStr"/>
      <c r="R1888" s="9" t="inlineStr">
        <is>
          <t>{"kind":"periodicPulse","periodicPulse":{"startOnly":true,"label":"开局：获得 5 层再生","buffGains":[{"buffId":"regeneration","count":5,"realmGrowth":{"qiRefining":[5,8]}}]}}</t>
        </is>
      </c>
    </row>
    <row r="1889" ht="32" customHeight="1">
      <c r="A1889" s="8" t="n">
        <v>800067</v>
      </c>
      <c r="B1889" s="8" t="inlineStr">
        <is>
          <t>青芽</t>
        </is>
      </c>
      <c r="C1889" s="8" t="inlineStr">
        <is>
          <t>招式</t>
        </is>
      </c>
      <c r="D1889" s="8" t="inlineStr">
        <is>
          <t>common</t>
        </is>
      </c>
      <c r="E1889" s="8" t="inlineStr">
        <is>
          <t>wood</t>
        </is>
      </c>
      <c r="F1889" s="8" t="n">
        <v>1</v>
      </c>
      <c r="G1889" s="8" t="inlineStr">
        <is>
          <t>基础/顶层</t>
        </is>
      </c>
      <c r="H1889" s="8" t="inlineStr"/>
      <c r="I1889" s="9" t="inlineStr"/>
      <c r="J1889" s="8" t="inlineStr"/>
      <c r="K1889" s="8" t="inlineStr"/>
      <c r="L1889" s="8" t="inlineStr"/>
      <c r="M1889" s="8" t="inlineStr">
        <is>
          <t>条件触发</t>
        </is>
      </c>
      <c r="N1889" s="8" t="inlineStr">
        <is>
          <t>triggered</t>
        </is>
      </c>
      <c r="O1889" s="9" t="inlineStr">
        <is>
          <t>每当上下相邻招式释放时，获得 2 层再生</t>
        </is>
      </c>
      <c r="P1889" s="9" t="inlineStr">
        <is>
          <t>onItemUse</t>
        </is>
      </c>
      <c r="Q1889" s="9" t="inlineStr">
        <is>
          <t>applyBuff；directional-adjacent</t>
        </is>
      </c>
      <c r="R1889" s="9" t="inlineStr">
        <is>
          <t>{"kind":"triggered","label":"每当上下相邻招式释放时，获得 2 层再生","triggeredEffect":{"trigger":"onItemUse","type":"applyBuff","buffId":"regeneration","count":2,"eventSource":{"target":{"type":"directional-adjacent","direction":"both-vertical"},"filter":{"categories":["spell"]}},"realmGrowth":{"qiRefining":[2,3]}}}</t>
        </is>
      </c>
    </row>
    <row r="1890" ht="32" customHeight="1">
      <c r="A1890" s="8" t="n">
        <v>800068</v>
      </c>
      <c r="B1890" s="8" t="inlineStr">
        <is>
          <t>叶脉诀</t>
        </is>
      </c>
      <c r="C1890" s="8" t="inlineStr">
        <is>
          <t>招式</t>
        </is>
      </c>
      <c r="D1890" s="8" t="inlineStr">
        <is>
          <t>common</t>
        </is>
      </c>
      <c r="E1890" s="8" t="inlineStr">
        <is>
          <t>wood</t>
        </is>
      </c>
      <c r="F1890" s="8" t="n">
        <v>1</v>
      </c>
      <c r="G1890" s="8" t="inlineStr">
        <is>
          <t>基础/顶层</t>
        </is>
      </c>
      <c r="H1890" s="8" t="inlineStr"/>
      <c r="I1890" s="9" t="inlineStr"/>
      <c r="J1890" s="8" t="inlineStr"/>
      <c r="K1890" s="8" t="inlineStr"/>
      <c r="L1890" s="8" t="inlineStr"/>
      <c r="M1890" s="8" t="inlineStr">
        <is>
          <t>条件触发</t>
        </is>
      </c>
      <c r="N1890" s="8" t="inlineStr">
        <is>
          <t>triggered</t>
        </is>
      </c>
      <c r="O1890" s="9" t="inlineStr">
        <is>
          <t>每当有丹药耗尽时，获得 5 层再生</t>
        </is>
      </c>
      <c r="P1890" s="9" t="inlineStr">
        <is>
          <t>onConsumableExhausted</t>
        </is>
      </c>
      <c r="Q1890" s="9" t="inlineStr">
        <is>
          <t>applyBuff；any</t>
        </is>
      </c>
      <c r="R1890" s="9" t="inlineStr">
        <is>
          <t>{"kind":"triggered","label":"每当有丹药耗尽时，获得 5 层再生","triggeredEffect":{"trigger":"onConsumableExhausted","type":"applyBuff","buffId":"regeneration","count":5,"eventSource":{"target":{"type":"any"},"filter":{"categories":["pill"]}},"realmGrowth":{"qiRefining":[5,8]}}}</t>
        </is>
      </c>
    </row>
    <row r="1891" ht="32" customHeight="1">
      <c r="A1891" s="8" t="n">
        <v>800069</v>
      </c>
      <c r="B1891" s="8" t="inlineStr">
        <is>
          <t>木息化法</t>
        </is>
      </c>
      <c r="C1891" s="8" t="inlineStr">
        <is>
          <t>招式</t>
        </is>
      </c>
      <c r="D1891" s="8" t="inlineStr">
        <is>
          <t>common</t>
        </is>
      </c>
      <c r="E1891" s="8" t="inlineStr">
        <is>
          <t>wood</t>
        </is>
      </c>
      <c r="F1891" s="8" t="n">
        <v>1</v>
      </c>
      <c r="G1891" s="8" t="inlineStr">
        <is>
          <t>基础/顶层</t>
        </is>
      </c>
      <c r="H1891" s="8" t="inlineStr"/>
      <c r="I1891" s="9" t="inlineStr"/>
      <c r="J1891" s="8" t="inlineStr"/>
      <c r="K1891" s="8" t="inlineStr"/>
      <c r="L1891" s="8" t="inlineStr"/>
      <c r="M1891" s="8" t="inlineStr">
        <is>
          <t>周期触发</t>
        </is>
      </c>
      <c r="N1891" s="8" t="inlineStr">
        <is>
          <t>periodicPulse</t>
        </is>
      </c>
      <c r="O1891" s="9" t="inlineStr">
        <is>
          <t>轮转时，每有 1 层再生，恢复 3 点体力，恢复 3 点法力</t>
        </is>
      </c>
      <c r="P1891" s="9" t="inlineStr"/>
      <c r="Q1891" s="9" t="inlineStr"/>
      <c r="R1891" s="9" t="inlineStr">
        <is>
          <t>{"kind":"periodicPulse","label":"轮转时，每有 1 层再生，恢复 3 点体力，恢复 3 点法力","periodicPulse":{"intervalSec":15,"label":"轮转时，每有 1 层再生，恢复 3 点体力，恢复 3 点法力","primaryStatGainsPerBuffStack":{"buffId":"regeneration","gains":[{"stat":"stamina","valuePerStack":3,"realmGrowth":{"qiRefining":[3,6]}},{"stat":"mana","valuePerStack":3,"realmGrowth":{"qiRefining":[3,6]}}]}}}</t>
        </is>
      </c>
    </row>
    <row r="1892" ht="32" customHeight="1">
      <c r="A1892" s="8" t="n">
        <v>800070</v>
      </c>
      <c r="B1892" s="8" t="inlineStr">
        <is>
          <t>竹简生辉</t>
        </is>
      </c>
      <c r="C1892" s="8" t="inlineStr">
        <is>
          <t>招式</t>
        </is>
      </c>
      <c r="D1892" s="8" t="inlineStr">
        <is>
          <t>common</t>
        </is>
      </c>
      <c r="E1892" s="8" t="inlineStr">
        <is>
          <t>wood</t>
        </is>
      </c>
      <c r="F1892" s="8" t="n">
        <v>1</v>
      </c>
      <c r="G1892" s="8" t="inlineStr">
        <is>
          <t>基础/顶层</t>
        </is>
      </c>
      <c r="H1892" s="8" t="inlineStr"/>
      <c r="I1892" s="9" t="inlineStr"/>
      <c r="J1892" s="8" t="inlineStr"/>
      <c r="K1892" s="8" t="inlineStr"/>
      <c r="L1892" s="8" t="inlineStr"/>
      <c r="M1892" s="8" t="inlineStr">
        <is>
          <t>说明/执行器</t>
        </is>
      </c>
      <c r="N1892" s="8" t="inlineStr">
        <is>
          <t>effectNote</t>
        </is>
      </c>
      <c r="O1892" s="9" t="inlineStr">
        <is>
          <t>长按释放，每相邻一个功法或符箓，消耗敌方 5 层护甲和 3 层坚硬</t>
        </is>
      </c>
      <c r="P1892" s="9" t="inlineStr">
        <is>
          <t>onActiveSpellCast</t>
        </is>
      </c>
      <c r="Q1892" s="9" t="inlineStr">
        <is>
          <t>removeBuffStacks</t>
        </is>
      </c>
      <c r="R1892" s="9" t="inlineStr">
        <is>
          <t>{"kind":"effectNote","label":"长按释放，每相邻一个功法或符箓，&lt;battle&gt;消耗敌方 5 层护甲和 3 层坚硬&lt;/battle&gt;","executors":[{"trigger":"onActiveSpellCast","type":"removeBuffStacks","buffId":"armor","targetActor":"enemy","amount":0,"amountPerAdjacentMatchingItem":{"valuePerItem":5,"categories":["scripture","talisman"],"realmGrowth":{"qiRefining":[5,8]}}},{"trigger":"onActiveSpellCast","type":"removeBuffStacks","buffId":"sturdy","targetActor":"enemy","amount":0,"amountPerAdjacentMatchingItem":{"valuePerItem":3,"categories":["scripture","talisman"],"realmGrowth":{"qiRefining":[3,5]}}}]}</t>
        </is>
      </c>
    </row>
    <row r="1893" ht="32" customHeight="1">
      <c r="A1893" s="8" t="n">
        <v>800071</v>
      </c>
      <c r="B1893" s="8" t="inlineStr">
        <is>
          <t>灵根回响</t>
        </is>
      </c>
      <c r="C1893" s="8" t="inlineStr">
        <is>
          <t>招式</t>
        </is>
      </c>
      <c r="D1893" s="8" t="inlineStr">
        <is>
          <t>common</t>
        </is>
      </c>
      <c r="E1893" s="8" t="inlineStr">
        <is>
          <t>wood</t>
        </is>
      </c>
      <c r="F1893" s="8" t="n">
        <v>1</v>
      </c>
      <c r="G1893" s="8" t="inlineStr">
        <is>
          <t>基础/顶层</t>
        </is>
      </c>
      <c r="H1893" s="8" t="inlineStr"/>
      <c r="I1893" s="9" t="inlineStr"/>
      <c r="J1893" s="8" t="inlineStr"/>
      <c r="K1893" s="8" t="inlineStr"/>
      <c r="L1893" s="8" t="inlineStr"/>
      <c r="M1893" s="8" t="inlineStr">
        <is>
          <t>被动效果</t>
        </is>
      </c>
      <c r="N1893" s="8" t="inlineStr">
        <is>
          <t>passive</t>
        </is>
      </c>
      <c r="O1893" s="9" t="inlineStr">
        <is>
          <t>每有 1 层再生，体力上限临时 +1</t>
        </is>
      </c>
      <c r="P1893" s="9" t="inlineStr"/>
      <c r="Q1893" s="9" t="inlineStr">
        <is>
          <t>primaryStatTemporaryMaxFlatBonus</t>
        </is>
      </c>
      <c r="R1893" s="9" t="inlineStr">
        <is>
          <t>{"kind":"passive","passiveEffect":{"type":"primaryStatTemporaryMaxFlatBonus","stat":"stamina","value":1,"scaling":{"mode":"count","source":"buffStacks","buffId":"regeneration"},"label":"每有 1 层再生，体力上限临时 +1","realmGrowthByField":{"value":{"qiRefining":[1,2]}}}}</t>
        </is>
      </c>
    </row>
    <row r="1894" ht="32" customHeight="1">
      <c r="A1894" s="8" t="n">
        <v>800071</v>
      </c>
      <c r="B1894" s="8" t="inlineStr">
        <is>
          <t>灵根回响</t>
        </is>
      </c>
      <c r="C1894" s="8" t="inlineStr">
        <is>
          <t>招式</t>
        </is>
      </c>
      <c r="D1894" s="8" t="inlineStr">
        <is>
          <t>common</t>
        </is>
      </c>
      <c r="E1894" s="8" t="inlineStr">
        <is>
          <t>wood</t>
        </is>
      </c>
      <c r="F1894" s="8" t="n">
        <v>2</v>
      </c>
      <c r="G1894" s="8" t="inlineStr">
        <is>
          <t>基础/顶层</t>
        </is>
      </c>
      <c r="H1894" s="8" t="inlineStr"/>
      <c r="I1894" s="9" t="inlineStr"/>
      <c r="J1894" s="8" t="inlineStr"/>
      <c r="K1894" s="8" t="inlineStr"/>
      <c r="L1894" s="8" t="inlineStr"/>
      <c r="M1894" s="8" t="inlineStr">
        <is>
          <t>被动效果</t>
        </is>
      </c>
      <c r="N1894" s="8" t="inlineStr">
        <is>
          <t>passive</t>
        </is>
      </c>
      <c r="O1894" s="9" t="inlineStr">
        <is>
          <t>每有 1 层再生，法力上限临时 +1</t>
        </is>
      </c>
      <c r="P1894" s="9" t="inlineStr"/>
      <c r="Q1894" s="9" t="inlineStr">
        <is>
          <t>primaryStatTemporaryMaxFlatBonus</t>
        </is>
      </c>
      <c r="R1894" s="9" t="inlineStr">
        <is>
          <t>{"kind":"passive","passiveEffect":{"type":"primaryStatTemporaryMaxFlatBonus","stat":"mana","value":1,"scaling":{"mode":"count","source":"buffStacks","buffId":"regeneration"},"label":"每有 1 层再生，法力上限临时 +1","realmGrowthByField":{"value":{"qiRefining":[1,2]}}}}</t>
        </is>
      </c>
    </row>
    <row r="1895" ht="32" customHeight="1">
      <c r="A1895" s="8" t="n">
        <v>800072</v>
      </c>
      <c r="B1895" s="8" t="inlineStr">
        <is>
          <t>青木归元潮</t>
        </is>
      </c>
      <c r="C1895" s="8" t="inlineStr">
        <is>
          <t>招式</t>
        </is>
      </c>
      <c r="D1895" s="8" t="inlineStr">
        <is>
          <t>common</t>
        </is>
      </c>
      <c r="E1895" s="8" t="inlineStr">
        <is>
          <t>wood</t>
        </is>
      </c>
      <c r="F1895" s="8" t="n">
        <v>1</v>
      </c>
      <c r="G1895" s="8" t="inlineStr">
        <is>
          <t>基础/顶层</t>
        </is>
      </c>
      <c r="H1895" s="8" t="inlineStr"/>
      <c r="I1895" s="9" t="inlineStr"/>
      <c r="J1895" s="8" t="inlineStr"/>
      <c r="K1895" s="8" t="inlineStr"/>
      <c r="L1895" s="8" t="inlineStr"/>
      <c r="M1895" s="8" t="inlineStr">
        <is>
          <t>说明/执行器</t>
        </is>
      </c>
      <c r="N1895" s="8" t="inlineStr">
        <is>
          <t>effectNote</t>
        </is>
      </c>
      <c r="O1895" s="9" t="inlineStr">
        <is>
          <t>使下方相邻功法所属的所有招式获得 8 秒加速</t>
        </is>
      </c>
      <c r="P1895" s="9" t="inlineStr">
        <is>
          <t>onActiveSpellCast</t>
        </is>
      </c>
      <c r="Q1895" s="9" t="inlineStr">
        <is>
          <t>itemRuntimeStatus</t>
        </is>
      </c>
      <c r="R1895" s="9" t="inlineStr">
        <is>
          <t>{"kind":"effectNote","label":"使下方相邻功法所属的所有招式获得 8 秒加速","executors":[{"trigger":"onActiveSpellCast","type":"itemRuntimeStatus","itemRuntimeStatus":"haste","durationSec":8,"targetActor":"self","targetSelection":"sourceScriptureSpellsOfDirectionalAdjacent","targetDirection":"down"}]}</t>
        </is>
      </c>
    </row>
    <row r="1896" ht="32" customHeight="1">
      <c r="A1896" s="8" t="n">
        <v>800073</v>
      </c>
      <c r="B1896" s="8" t="inlineStr">
        <is>
          <t>寒息</t>
        </is>
      </c>
      <c r="C1896" s="8" t="inlineStr">
        <is>
          <t>招式</t>
        </is>
      </c>
      <c r="D1896" s="8" t="inlineStr">
        <is>
          <t>common</t>
        </is>
      </c>
      <c r="E1896" s="8" t="inlineStr">
        <is>
          <t>water</t>
        </is>
      </c>
      <c r="F1896" s="8" t="n">
        <v>1</v>
      </c>
      <c r="G1896" s="8" t="inlineStr">
        <is>
          <t>基础/顶层</t>
        </is>
      </c>
      <c r="H1896" s="8" t="inlineStr"/>
      <c r="I1896" s="9" t="inlineStr"/>
      <c r="J1896" s="8" t="inlineStr"/>
      <c r="K1896" s="8" t="inlineStr"/>
      <c r="L1896" s="8" t="inlineStr"/>
      <c r="M1896" s="8" t="inlineStr">
        <is>
          <t>说明/执行器</t>
        </is>
      </c>
      <c r="N1896" s="8" t="inlineStr">
        <is>
          <t>effectNote</t>
        </is>
      </c>
      <c r="O1896" s="9" t="inlineStr">
        <is>
          <t>长按释放，消耗 10 点法力，获得 8 层寒冷</t>
        </is>
      </c>
      <c r="P1896" s="9" t="inlineStr">
        <is>
          <t>onActiveSpellCast</t>
        </is>
      </c>
      <c r="Q1896" s="9" t="inlineStr">
        <is>
          <t>buffGain</t>
        </is>
      </c>
      <c r="R1896" s="9" t="inlineStr">
        <is>
          <t>{"kind":"effectNote","label":"长按释放，消耗 10 点法力，获得 8 层寒冷","executors":[{"trigger":"onActiveSpellCast","type":"buffGain","buffId":"cold","amount":8,"realmGrowth":{"qiRefining":[8,12]},"costs":[{"stat":"mana","amount":10,"realmGrowth":{"qiRefining":[10,20]}}]}]}</t>
        </is>
      </c>
    </row>
    <row r="1897" ht="32" customHeight="1">
      <c r="A1897" s="8" t="n">
        <v>800074</v>
      </c>
      <c r="B1897" s="8" t="inlineStr">
        <is>
          <t>波纹</t>
        </is>
      </c>
      <c r="C1897" s="8" t="inlineStr">
        <is>
          <t>招式</t>
        </is>
      </c>
      <c r="D1897" s="8" t="inlineStr">
        <is>
          <t>common</t>
        </is>
      </c>
      <c r="E1897" s="8" t="inlineStr">
        <is>
          <t>water</t>
        </is>
      </c>
      <c r="F1897" s="8" t="n">
        <v>1</v>
      </c>
      <c r="G1897" s="8" t="inlineStr">
        <is>
          <t>基础/顶层</t>
        </is>
      </c>
      <c r="H1897" s="8" t="inlineStr"/>
      <c r="I1897" s="9" t="inlineStr"/>
      <c r="J1897" s="8" t="inlineStr"/>
      <c r="K1897" s="8" t="inlineStr"/>
      <c r="L1897" s="8" t="inlineStr"/>
      <c r="M1897" s="8" t="inlineStr">
        <is>
          <t>说明/执行器</t>
        </is>
      </c>
      <c r="N1897" s="8" t="inlineStr">
        <is>
          <t>effectNote</t>
        </is>
      </c>
      <c r="O1897" s="9" t="inlineStr">
        <is>
          <t>长按释放，消耗 3 层寒冷对敌方施加 10 层冰霜</t>
        </is>
      </c>
      <c r="P1897" s="9" t="inlineStr">
        <is>
          <t>onActiveSpellCast</t>
        </is>
      </c>
      <c r="Q1897" s="9" t="inlineStr">
        <is>
          <t>buffGain</t>
        </is>
      </c>
      <c r="R1897" s="9" t="inlineStr">
        <is>
          <t>{"kind":"effectNote","label":"长按释放，消耗 3 层寒冷&lt;battle&gt;对敌方施加 10 层冰霜&lt;/battle&gt;","executors":[{"trigger":"onActiveSpellCast","type":"buffGain","buffId":"frost","amount":10,"targetActor":"enemy","consumeSourceBuffStacks":{"buffId":"cold","requiredStacks":3,"maxStacks":3,"consumeRatio":1,"realmGrowthByField":{"maxStacks":{"qiRefining":[3,5]}}},"label":"长按释放，消耗 3 层寒冷&lt;battle&gt;对敌方施加 10 层冰霜&lt;/battle&gt;","realmGrowth":{"qiRefining":[10,15]}}]}</t>
        </is>
      </c>
    </row>
    <row r="1898" ht="32" customHeight="1">
      <c r="A1898" s="8" t="n">
        <v>800075</v>
      </c>
      <c r="B1898" s="8" t="inlineStr">
        <is>
          <t>回澜</t>
        </is>
      </c>
      <c r="C1898" s="8" t="inlineStr">
        <is>
          <t>招式</t>
        </is>
      </c>
      <c r="D1898" s="8" t="inlineStr">
        <is>
          <t>common</t>
        </is>
      </c>
      <c r="E1898" s="8" t="inlineStr">
        <is>
          <t>water</t>
        </is>
      </c>
      <c r="F1898" s="8" t="n">
        <v>1</v>
      </c>
      <c r="G1898" s="8" t="inlineStr">
        <is>
          <t>基础/顶层</t>
        </is>
      </c>
      <c r="H1898" s="8" t="inlineStr"/>
      <c r="I1898" s="9" t="inlineStr"/>
      <c r="J1898" s="8" t="inlineStr"/>
      <c r="K1898" s="8" t="inlineStr"/>
      <c r="L1898" s="8" t="inlineStr"/>
      <c r="M1898" s="8" t="inlineStr">
        <is>
          <t>说明/执行器</t>
        </is>
      </c>
      <c r="N1898" s="8" t="inlineStr">
        <is>
          <t>effectNote</t>
        </is>
      </c>
      <c r="O1898" s="9" t="inlineStr">
        <is>
          <t>长按释放，消耗 10 点法力；将最多 20 层露水转化为等量寒冷</t>
        </is>
      </c>
      <c r="P1898" s="9" t="inlineStr">
        <is>
          <t>onActiveSpellCast</t>
        </is>
      </c>
      <c r="Q1898" s="9" t="inlineStr">
        <is>
          <t>buffGain</t>
        </is>
      </c>
      <c r="R1898" s="9" t="inlineStr">
        <is>
          <t>{"kind":"effectNote","label":"长按释放，消耗 10 点法力；将最多 20 层露水转化为等量寒冷","executors":[{"trigger":"onActiveSpellCast","type":"buffGain","buffId":"cold","amount":0,"amountPerConsumedBuffStack":1,"consumeBuffStacks":{"buffId":"dew","targetActor":"self","requiredStacks":1,"maxStacks":20,"realmGrowthByField":{"maxStacks":{"qiRefining":[20,30]}}},"costs":[{"stat":"mana","amount":10,"realmGrowth":{"qiRefining":[10,20]}}],"realmGrowthByField":{"amountPerConsumedBuffStack":{"qiRefining":[1,2]}},"label":"长按释放，消耗 10 点法力；将最多 20 层露水转化为等量寒冷"}]}</t>
        </is>
      </c>
    </row>
    <row r="1899" ht="32" customHeight="1">
      <c r="A1899" s="8" t="n">
        <v>800076</v>
      </c>
      <c r="B1899" s="8" t="inlineStr">
        <is>
          <t>冰脉调息</t>
        </is>
      </c>
      <c r="C1899" s="8" t="inlineStr">
        <is>
          <t>招式</t>
        </is>
      </c>
      <c r="D1899" s="8" t="inlineStr">
        <is>
          <t>common</t>
        </is>
      </c>
      <c r="E1899" s="8" t="inlineStr">
        <is>
          <t>water</t>
        </is>
      </c>
      <c r="F1899" s="8" t="n">
        <v>1</v>
      </c>
      <c r="G1899" s="8" t="inlineStr">
        <is>
          <t>基础/顶层</t>
        </is>
      </c>
      <c r="H1899" s="8" t="inlineStr"/>
      <c r="I1899" s="9" t="inlineStr"/>
      <c r="J1899" s="8" t="inlineStr"/>
      <c r="K1899" s="8" t="inlineStr"/>
      <c r="L1899" s="8" t="inlineStr"/>
      <c r="M1899" s="8" t="inlineStr">
        <is>
          <t>周期触发</t>
        </is>
      </c>
      <c r="N1899" s="8" t="inlineStr">
        <is>
          <t>periodicPulse</t>
        </is>
      </c>
      <c r="O1899" s="9" t="inlineStr">
        <is>
          <t>寒冷层数超过 15 时，消耗 5 点法力，恢复 20 点气血</t>
        </is>
      </c>
      <c r="P1899" s="9" t="inlineStr"/>
      <c r="Q1899" s="9" t="inlineStr"/>
      <c r="R1899" s="9" t="inlineStr">
        <is>
          <t>{"kind":"periodicPulse","periodicPulse":{"intervalSec":10,"primaryStatCosts":[{"stat":"mana","amount":5,"realmGrowth":{"qiRefining":[5,10]}}],"primaryStatGains":[{"stat":"health","amount":20,"realmGrowth":{"qiRefining":[20,40]}}],"activationRequirements":{"buffStackThresholds":[{"buffId":"cold","comparator":"atLeast","count":16}]},"label":"寒冷层数超过 15 时，消耗 5 点法力，恢复 20 点气血"}}</t>
        </is>
      </c>
    </row>
    <row r="1900" ht="32" customHeight="1">
      <c r="A1900" s="8" t="n">
        <v>800077</v>
      </c>
      <c r="B1900" s="8" t="inlineStr">
        <is>
          <t>冷雾护法</t>
        </is>
      </c>
      <c r="C1900" s="8" t="inlineStr">
        <is>
          <t>招式</t>
        </is>
      </c>
      <c r="D1900" s="8" t="inlineStr">
        <is>
          <t>common</t>
        </is>
      </c>
      <c r="E1900" s="8" t="inlineStr">
        <is>
          <t>water</t>
        </is>
      </c>
      <c r="F1900" s="8" t="n">
        <v>1</v>
      </c>
      <c r="G1900" s="8" t="inlineStr">
        <is>
          <t>基础/顶层</t>
        </is>
      </c>
      <c r="H1900" s="8" t="inlineStr"/>
      <c r="I1900" s="9" t="inlineStr"/>
      <c r="J1900" s="8" t="inlineStr"/>
      <c r="K1900" s="8" t="inlineStr"/>
      <c r="L1900" s="8" t="inlineStr"/>
      <c r="M1900" s="8" t="inlineStr">
        <is>
          <t>说明/执行器</t>
        </is>
      </c>
      <c r="N1900" s="8" t="inlineStr">
        <is>
          <t>effectNote</t>
        </is>
      </c>
      <c r="O1900" s="9" t="inlineStr">
        <is>
          <t>长按释放，将 20 层寒冷转化为 8 层坚硬</t>
        </is>
      </c>
      <c r="P1900" s="9" t="inlineStr">
        <is>
          <t>onActiveSpellCast</t>
        </is>
      </c>
      <c r="Q1900" s="9" t="inlineStr">
        <is>
          <t>buffGain</t>
        </is>
      </c>
      <c r="R1900" s="9" t="inlineStr">
        <is>
          <t>{"kind":"effectNote","label":"长按释放，将 20 层寒冷转化为 8 层坚硬","executors":[{"trigger":"onActiveSpellCast","type":"buffGain","buffId":"sturdy","amount":8,"realmGrowth":{"qiRefining":[8,12]},"consumeSourceBuffStacks":{"buffId":"cold","requiredStacks":20,"maxStacks":20,"consumeRatio":0.4},"label":"长按释放，将 20 层寒冷转化为 8 层坚硬"}]}</t>
        </is>
      </c>
    </row>
    <row r="1901" ht="32" customHeight="1">
      <c r="A1901" s="8" t="n">
        <v>800078</v>
      </c>
      <c r="B1901" s="8" t="inlineStr">
        <is>
          <t>寒层纳法</t>
        </is>
      </c>
      <c r="C1901" s="8" t="inlineStr">
        <is>
          <t>招式</t>
        </is>
      </c>
      <c r="D1901" s="8" t="inlineStr">
        <is>
          <t>common</t>
        </is>
      </c>
      <c r="E1901" s="8" t="inlineStr">
        <is>
          <t>water</t>
        </is>
      </c>
      <c r="F1901" s="8" t="n">
        <v>1</v>
      </c>
      <c r="G1901" s="8" t="inlineStr">
        <is>
          <t>基础/顶层</t>
        </is>
      </c>
      <c r="H1901" s="8" t="inlineStr"/>
      <c r="I1901" s="9" t="inlineStr"/>
      <c r="J1901" s="8" t="inlineStr"/>
      <c r="K1901" s="8" t="inlineStr"/>
      <c r="L1901" s="8" t="inlineStr"/>
      <c r="M1901" s="8" t="inlineStr">
        <is>
          <t>被动效果</t>
        </is>
      </c>
      <c r="N1901" s="8" t="inlineStr">
        <is>
          <t>passive</t>
        </is>
      </c>
      <c r="O1901" s="9" t="inlineStr">
        <is>
          <t>每次受到伤害时，获得 1 层寒冷和 3 点法力</t>
        </is>
      </c>
      <c r="P1901" s="9" t="inlineStr"/>
      <c r="Q1901" s="9" t="inlineStr">
        <is>
          <t>actualHealthDamageReaction</t>
        </is>
      </c>
      <c r="R1901" s="9" t="inlineStr">
        <is>
          <t>{"kind":"passive","label":"&lt;battle&gt;每次受到伤害时，获得 1 层寒冷和 3 点法力&lt;/battle&gt;","passiveEffect":{"type":"actualHealthDamageReaction","direction":"received","selfBuffGain":{"buffId":"cold","count":1,"realmGrowth":{"qiRefining":[1,2]}},"selfPrimaryStatGain":{"stat":"mana","amount":3,"realmGrowth":{"qiRefining":[3,6]}},"label":"&lt;battle&gt;每次受到伤害时，获得 1 层寒冷和 3 点法力&lt;/battle&gt;"}}</t>
        </is>
      </c>
    </row>
    <row r="1902" ht="32" customHeight="1">
      <c r="A1902" s="8" t="n">
        <v>800079</v>
      </c>
      <c r="B1902" s="8" t="inlineStr">
        <is>
          <t>万波归息</t>
        </is>
      </c>
      <c r="C1902" s="8" t="inlineStr">
        <is>
          <t>招式</t>
        </is>
      </c>
      <c r="D1902" s="8" t="inlineStr">
        <is>
          <t>common</t>
        </is>
      </c>
      <c r="E1902" s="8" t="inlineStr">
        <is>
          <t>water</t>
        </is>
      </c>
      <c r="F1902" s="8" t="n">
        <v>1</v>
      </c>
      <c r="G1902" s="8" t="inlineStr">
        <is>
          <t>基础/顶层</t>
        </is>
      </c>
      <c r="H1902" s="8" t="inlineStr"/>
      <c r="I1902" s="9" t="inlineStr"/>
      <c r="J1902" s="8" t="inlineStr"/>
      <c r="K1902" s="8" t="inlineStr"/>
      <c r="L1902" s="8" t="inlineStr"/>
      <c r="M1902" s="8" t="inlineStr">
        <is>
          <t>说明/执行器</t>
        </is>
      </c>
      <c r="N1902" s="8" t="inlineStr">
        <is>
          <t>effectNote</t>
        </is>
      </c>
      <c r="O1902" s="9" t="inlineStr">
        <is>
          <t>长按释放，将己方全部露水转化为等量寒冷</t>
        </is>
      </c>
      <c r="P1902" s="9" t="inlineStr">
        <is>
          <t>onActiveSpellCast</t>
        </is>
      </c>
      <c r="Q1902" s="9" t="inlineStr">
        <is>
          <t>buffGain</t>
        </is>
      </c>
      <c r="R1902" s="9" t="inlineStr">
        <is>
          <t>{"kind":"effectNote","label":"长按释放，将己方全部露水转化为等量寒冷","executors":[{"trigger":"onActiveSpellCast","type":"buffGain","buffId":"cold","amount":0,"amountPerSourceBuffStack":{"buffId":"dew","valuePerStack":1,"realmGrowth":{"qiRefining":[1,2]}},"consumeSourceBuffStacks":{"buffId":"dew","consumeRatio":1}}]}</t>
        </is>
      </c>
    </row>
    <row r="1903" ht="32" customHeight="1">
      <c r="A1903" s="8" t="n">
        <v>800080</v>
      </c>
      <c r="B1903" s="8" t="inlineStr">
        <is>
          <t>凝金</t>
        </is>
      </c>
      <c r="C1903" s="8" t="inlineStr">
        <is>
          <t>招式</t>
        </is>
      </c>
      <c r="D1903" s="8" t="inlineStr">
        <is>
          <t>common</t>
        </is>
      </c>
      <c r="E1903" s="8" t="inlineStr">
        <is>
          <t>metal</t>
        </is>
      </c>
      <c r="F1903" s="8" t="n">
        <v>1</v>
      </c>
      <c r="G1903" s="8" t="inlineStr">
        <is>
          <t>基础/顶层</t>
        </is>
      </c>
      <c r="H1903" s="8" t="inlineStr"/>
      <c r="I1903" s="9" t="inlineStr"/>
      <c r="J1903" s="8" t="inlineStr"/>
      <c r="K1903" s="8" t="inlineStr"/>
      <c r="L1903" s="8" t="inlineStr"/>
      <c r="M1903" s="8" t="inlineStr">
        <is>
          <t>周期触发</t>
        </is>
      </c>
      <c r="N1903" s="8" t="inlineStr">
        <is>
          <t>periodicPulse</t>
        </is>
      </c>
      <c r="O1903" s="9" t="inlineStr">
        <is>
          <t>轮转时，每有 1 件金属性道具，获得 1 层凝金</t>
        </is>
      </c>
      <c r="P1903" s="9" t="inlineStr"/>
      <c r="Q1903" s="9" t="inlineStr"/>
      <c r="R1903" s="9" t="inlineStr">
        <is>
          <t>{"kind":"periodicPulse","periodicPulse":{"intervalSec":10,"label":"轮转时，每有 1 件金属性道具，获得 1 层凝金","buffGains":[{"buffId":"condensedMetal","count":1,"realmGrowth":{"qiRefining":[1,2]}}],"scaling":{"mode":"count","source":"bagItems","elements":["metal"]}}}</t>
        </is>
      </c>
    </row>
    <row r="1904" ht="32" customHeight="1">
      <c r="A1904" s="8" t="n">
        <v>800081</v>
      </c>
      <c r="B1904" s="8" t="inlineStr">
        <is>
          <t>金位</t>
        </is>
      </c>
      <c r="C1904" s="8" t="inlineStr">
        <is>
          <t>招式</t>
        </is>
      </c>
      <c r="D1904" s="8" t="inlineStr">
        <is>
          <t>common</t>
        </is>
      </c>
      <c r="E1904" s="8" t="inlineStr">
        <is>
          <t>metal</t>
        </is>
      </c>
      <c r="F1904" s="8" t="n">
        <v>1</v>
      </c>
      <c r="G1904" s="8" t="inlineStr">
        <is>
          <t>基础/顶层</t>
        </is>
      </c>
      <c r="H1904" s="8" t="inlineStr"/>
      <c r="I1904" s="9" t="inlineStr"/>
      <c r="J1904" s="8" t="inlineStr"/>
      <c r="K1904" s="8" t="inlineStr"/>
      <c r="L1904" s="8" t="inlineStr"/>
      <c r="M1904" s="8" t="inlineStr">
        <is>
          <t>被动效果</t>
        </is>
      </c>
      <c r="N1904" s="8" t="inlineStr">
        <is>
          <t>passive</t>
        </is>
      </c>
      <c r="O1904" s="9" t="inlineStr">
        <is>
          <t>储物袋边缘道具额外视为金属性</t>
        </is>
      </c>
      <c r="P1904" s="9" t="inlineStr"/>
      <c r="Q1904" s="9" t="inlineStr">
        <is>
          <t>edgeElementOverride</t>
        </is>
      </c>
      <c r="R1904" s="9" t="inlineStr">
        <is>
          <t>{"kind":"passive","passiveEffect":{"type":"edgeElementOverride","element":"metal","label":"储物袋边缘道具额外视为金属性"}}</t>
        </is>
      </c>
    </row>
    <row r="1905" ht="32" customHeight="1">
      <c r="A1905" s="8" t="n">
        <v>800082</v>
      </c>
      <c r="B1905" s="8" t="inlineStr">
        <is>
          <t>阵核</t>
        </is>
      </c>
      <c r="C1905" s="8" t="inlineStr">
        <is>
          <t>招式</t>
        </is>
      </c>
      <c r="D1905" s="8" t="inlineStr">
        <is>
          <t>common</t>
        </is>
      </c>
      <c r="E1905" s="8" t="inlineStr">
        <is>
          <t>metal</t>
        </is>
      </c>
      <c r="F1905" s="8" t="n">
        <v>1</v>
      </c>
      <c r="G1905" s="8" t="inlineStr">
        <is>
          <t>基础/顶层</t>
        </is>
      </c>
      <c r="H1905" s="8" t="inlineStr"/>
      <c r="I1905" s="9" t="inlineStr"/>
      <c r="J1905" s="8" t="inlineStr"/>
      <c r="K1905" s="8" t="inlineStr"/>
      <c r="L1905" s="8" t="inlineStr"/>
      <c r="M1905" s="8" t="inlineStr">
        <is>
          <t>被动效果</t>
        </is>
      </c>
      <c r="N1905" s="8" t="inlineStr">
        <is>
          <t>passive</t>
        </is>
      </c>
      <c r="O1905" s="9" t="inlineStr">
        <is>
          <t>相邻 4 件金属性道具时，凝金转化护甲量翻倍</t>
        </is>
      </c>
      <c r="P1905" s="9" t="inlineStr"/>
      <c r="Q1905" s="9" t="inlineStr">
        <is>
          <t>buffConversionOutputMultiplier</t>
        </is>
      </c>
      <c r="R1905" s="9" t="inlineStr">
        <is>
          <t>{"kind":"passive","passiveEffect":{"type":"buffConversionOutputMultiplier","sourceBuffId":"condensedMetal","targetBuffId":"armor","multiplier":2,"activationRequirements":{"neighborCounts":[{"minCount":4,"elements":["metal"]}]},"label":"相邻 4 件金属性道具时，凝金转化护甲量翻倍"}}</t>
        </is>
      </c>
    </row>
    <row r="1906" ht="32" customHeight="1">
      <c r="A1906" s="8" t="n">
        <v>800083</v>
      </c>
      <c r="B1906" s="8" t="inlineStr">
        <is>
          <t>三邻成阵</t>
        </is>
      </c>
      <c r="C1906" s="8" t="inlineStr">
        <is>
          <t>招式</t>
        </is>
      </c>
      <c r="D1906" s="8" t="inlineStr">
        <is>
          <t>common</t>
        </is>
      </c>
      <c r="E1906" s="8" t="inlineStr">
        <is>
          <t>metal</t>
        </is>
      </c>
      <c r="F1906" s="8" t="n">
        <v>1</v>
      </c>
      <c r="G1906" s="8" t="inlineStr">
        <is>
          <t>基础/顶层</t>
        </is>
      </c>
      <c r="H1906" s="8" t="inlineStr"/>
      <c r="I1906" s="9" t="inlineStr"/>
      <c r="J1906" s="8" t="inlineStr"/>
      <c r="K1906" s="8" t="inlineStr"/>
      <c r="L1906" s="8" t="inlineStr"/>
      <c r="M1906" s="8" t="inlineStr">
        <is>
          <t>周期触发</t>
        </is>
      </c>
      <c r="N1906" s="8" t="inlineStr">
        <is>
          <t>periodicPulse</t>
        </is>
      </c>
      <c r="O1906" s="9" t="inlineStr">
        <is>
          <t>轮转时，每有 1 层凝金，使敌方所有道具获得 0.7 秒减速（最多计算 20 层）</t>
        </is>
      </c>
      <c r="P1906" s="9" t="inlineStr"/>
      <c r="Q1906" s="9" t="inlineStr"/>
      <c r="R1906" s="9" t="inlineStr">
        <is>
          <t>{"kind":"periodicPulse","periodicPulse":{"intervalSec":12,"label":"&lt;battle&gt;轮转时，每有 1 层凝金，使敌方所有道具获得 0.7 秒减速（最多计算 20 层）&lt;/battle&gt;","itemRuntimeStatusEffects":[{"itemRuntimeStatus":"slow","durationSec":0,"durationPerSourceBuffStack":{"buffId":"condensedMetal","valuePerStack":0.7,"maxStacks":20},"targetScope":"enemyAll"}]}}</t>
        </is>
      </c>
    </row>
    <row r="1907" ht="32" customHeight="1">
      <c r="A1907" s="8" t="n">
        <v>800084</v>
      </c>
      <c r="B1907" s="8" t="inlineStr">
        <is>
          <t>金纹护身</t>
        </is>
      </c>
      <c r="C1907" s="8" t="inlineStr">
        <is>
          <t>招式</t>
        </is>
      </c>
      <c r="D1907" s="8" t="inlineStr">
        <is>
          <t>common</t>
        </is>
      </c>
      <c r="E1907" s="8" t="inlineStr">
        <is>
          <t>metal</t>
        </is>
      </c>
      <c r="F1907" s="8" t="n">
        <v>1</v>
      </c>
      <c r="G1907" s="8" t="inlineStr">
        <is>
          <t>基础/顶层</t>
        </is>
      </c>
      <c r="H1907" s="8" t="inlineStr"/>
      <c r="I1907" s="9" t="inlineStr"/>
      <c r="J1907" s="8" t="inlineStr"/>
      <c r="K1907" s="8" t="inlineStr"/>
      <c r="L1907" s="8" t="inlineStr"/>
      <c r="M1907" s="8" t="inlineStr">
        <is>
          <t>说明/执行器</t>
        </is>
      </c>
      <c r="N1907" s="8" t="inlineStr">
        <is>
          <t>effectNote</t>
        </is>
      </c>
      <c r="O1907" s="9" t="inlineStr">
        <is>
          <t>长按释放，消耗 5 点法力，每 5 层凝金转化为 1 层坚硬，最多 10 层坚硬</t>
        </is>
      </c>
      <c r="P1907" s="9" t="inlineStr">
        <is>
          <t>onActiveSpellCast</t>
        </is>
      </c>
      <c r="Q1907" s="9" t="inlineStr">
        <is>
          <t>buffGain</t>
        </is>
      </c>
      <c r="R1907" s="9" t="inlineStr">
        <is>
          <t>{"kind":"effectNote","label":"长按释放，消耗 5 点法力，每 5 层凝金转化为 1 层坚硬，最多 10 层坚硬","executors":[{"trigger":"onActiveSpellCast","type":"buffGain","buffId":"sturdy","amount":0,"amountPerSourceBuffStack":{"buffId":"condensedMetal","valuePerStack":0.2,"maxStacks":50,"realmGrowth":{"qiRefining":[0.2,1]}},"consumeSourceBuffStacks":{"buffId":"condensedMetal","consumeRatio":1,"consumeRounding":"floor"},"costs":[{"stat":"mana","amount":5,"realmGrowth":{"qiRefining":[5,10]}}]}]}</t>
        </is>
      </c>
    </row>
    <row r="1908" ht="32" customHeight="1">
      <c r="A1908" s="8" t="n">
        <v>800085</v>
      </c>
      <c r="B1908" s="8" t="inlineStr">
        <is>
          <t>锁锋</t>
        </is>
      </c>
      <c r="C1908" s="8" t="inlineStr">
        <is>
          <t>招式</t>
        </is>
      </c>
      <c r="D1908" s="8" t="inlineStr">
        <is>
          <t>common</t>
        </is>
      </c>
      <c r="E1908" s="8" t="inlineStr">
        <is>
          <t>metal</t>
        </is>
      </c>
      <c r="F1908" s="8" t="n">
        <v>1</v>
      </c>
      <c r="G1908" s="8" t="inlineStr">
        <is>
          <t>基础/顶层</t>
        </is>
      </c>
      <c r="H1908" s="8" t="inlineStr"/>
      <c r="I1908" s="9" t="inlineStr"/>
      <c r="J1908" s="8" t="inlineStr"/>
      <c r="K1908" s="8" t="inlineStr"/>
      <c r="L1908" s="8" t="inlineStr"/>
      <c r="M1908" s="8" t="inlineStr">
        <is>
          <t>条件触发</t>
        </is>
      </c>
      <c r="N1908" s="8" t="inlineStr">
        <is>
          <t>triggered</t>
        </is>
      </c>
      <c r="O1908" s="9" t="inlineStr">
        <is>
          <t>左侧相邻道具消耗法力时，获得 5 层凝金</t>
        </is>
      </c>
      <c r="P1908" s="9" t="inlineStr">
        <is>
          <t>onPrimaryStatConsumed</t>
        </is>
      </c>
      <c r="Q1908" s="9" t="inlineStr">
        <is>
          <t>applyBuff；directional-adjacent</t>
        </is>
      </c>
      <c r="R1908" s="9" t="inlineStr">
        <is>
          <t>{"kind":"triggered","label":"左侧相邻道具消耗法力时，获得 5 层凝金","triggeredEffect":{"trigger":"onPrimaryStatConsumed","type":"applyBuff","buffId":"condensedMetal","count":5,"eventSource":{"target":{"type":"directional-adjacent","direction":"left"}},"realmGrowth":{"qiRefining":[5,8]}}}</t>
        </is>
      </c>
    </row>
    <row r="1909" ht="32" customHeight="1">
      <c r="A1909" s="8" t="n">
        <v>800086</v>
      </c>
      <c r="B1909" s="8" t="inlineStr">
        <is>
          <t>凝金大阵</t>
        </is>
      </c>
      <c r="C1909" s="8" t="inlineStr">
        <is>
          <t>招式</t>
        </is>
      </c>
      <c r="D1909" s="8" t="inlineStr">
        <is>
          <t>common</t>
        </is>
      </c>
      <c r="E1909" s="8" t="inlineStr">
        <is>
          <t>metal</t>
        </is>
      </c>
      <c r="F1909" s="8" t="n">
        <v>1</v>
      </c>
      <c r="G1909" s="8" t="inlineStr">
        <is>
          <t>基础/顶层</t>
        </is>
      </c>
      <c r="H1909" s="8" t="inlineStr"/>
      <c r="I1909" s="9" t="inlineStr"/>
      <c r="J1909" s="8" t="inlineStr"/>
      <c r="K1909" s="8" t="inlineStr"/>
      <c r="L1909" s="8" t="inlineStr"/>
      <c r="M1909" s="8" t="inlineStr">
        <is>
          <t>被动效果</t>
        </is>
      </c>
      <c r="N1909" s="8" t="inlineStr">
        <is>
          <t>passive</t>
        </is>
      </c>
      <c r="O1909" s="9" t="inlineStr">
        <is>
          <t>凝金的持续时间缩短 50%</t>
        </is>
      </c>
      <c r="P1909" s="9" t="inlineStr"/>
      <c r="Q1909" s="9" t="inlineStr">
        <is>
          <t>buffDurationModifier</t>
        </is>
      </c>
      <c r="R1909" s="9" t="inlineStr">
        <is>
          <t>{"kind":"passive","label":"凝金的持续时间缩短 50%","passiveEffect":{"type":"buffDurationModifier","buffId":"condensedMetal","bonus":-0.5,"label":"凝金的持续时间缩短 50%"}}</t>
        </is>
      </c>
    </row>
    <row r="1910" ht="32" customHeight="1">
      <c r="A1910" s="8" t="n">
        <v>800086</v>
      </c>
      <c r="B1910" s="8" t="inlineStr">
        <is>
          <t>凝金大阵</t>
        </is>
      </c>
      <c r="C1910" s="8" t="inlineStr">
        <is>
          <t>招式</t>
        </is>
      </c>
      <c r="D1910" s="8" t="inlineStr">
        <is>
          <t>common</t>
        </is>
      </c>
      <c r="E1910" s="8" t="inlineStr">
        <is>
          <t>metal</t>
        </is>
      </c>
      <c r="F1910" s="8" t="n">
        <v>2</v>
      </c>
      <c r="G1910" s="8" t="inlineStr">
        <is>
          <t>基础/顶层</t>
        </is>
      </c>
      <c r="H1910" s="8" t="inlineStr"/>
      <c r="I1910" s="9" t="inlineStr"/>
      <c r="J1910" s="8" t="inlineStr"/>
      <c r="K1910" s="8" t="inlineStr"/>
      <c r="L1910" s="8" t="inlineStr"/>
      <c r="M1910" s="8" t="inlineStr">
        <is>
          <t>周期触发</t>
        </is>
      </c>
      <c r="N1910" s="8" t="inlineStr">
        <is>
          <t>periodicPulse</t>
        </is>
      </c>
      <c r="O1910" s="9" t="inlineStr">
        <is>
          <t>轮转时，使敌方所有道具获得 4.5 秒减速</t>
        </is>
      </c>
      <c r="P1910" s="9" t="inlineStr"/>
      <c r="Q1910" s="9" t="inlineStr"/>
      <c r="R1910" s="9" t="inlineStr">
        <is>
          <t>{"kind":"periodicPulse","label":"&lt;battle&gt;轮转时，使敌方所有道具获得 4.5 秒减速&lt;/battle&gt;","periodicPulse":{"intervalSec":15,"label":"&lt;battle&gt;轮转时，使敌方所有道具获得 4.5 秒减速&lt;/battle&gt;","itemRuntimeStatusEffects":[{"itemRuntimeStatus":"slow","durationSec":4.5,"targetScope":"enemyAll"}],"activationRequirements":{"bagCounts":[{"minCount":10,"elements":["metal"]}]}}}</t>
        </is>
      </c>
    </row>
    <row r="1911" ht="32" customHeight="1">
      <c r="A1911" s="8" t="n">
        <v>800094</v>
      </c>
      <c r="B1911" s="8" t="inlineStr">
        <is>
          <t>沉息</t>
        </is>
      </c>
      <c r="C1911" s="8" t="inlineStr">
        <is>
          <t>招式</t>
        </is>
      </c>
      <c r="D1911" s="8" t="inlineStr">
        <is>
          <t>common</t>
        </is>
      </c>
      <c r="E1911" s="8" t="inlineStr">
        <is>
          <t>earth</t>
        </is>
      </c>
      <c r="F1911" s="8" t="n">
        <v>1</v>
      </c>
      <c r="G1911" s="8" t="inlineStr">
        <is>
          <t>基础/顶层</t>
        </is>
      </c>
      <c r="H1911" s="8" t="inlineStr"/>
      <c r="I1911" s="9" t="inlineStr"/>
      <c r="J1911" s="8" t="inlineStr"/>
      <c r="K1911" s="8" t="inlineStr"/>
      <c r="L1911" s="8" t="inlineStr"/>
      <c r="M1911" s="8" t="inlineStr">
        <is>
          <t>周期触发</t>
        </is>
      </c>
      <c r="N1911" s="8" t="inlineStr">
        <is>
          <t>periodicPulse</t>
        </is>
      </c>
      <c r="O1911" s="9" t="inlineStr">
        <is>
          <t>轮转时，每有 1 层蓄势，恢复 1 点气血</t>
        </is>
      </c>
      <c r="P1911" s="9" t="inlineStr"/>
      <c r="Q1911" s="9" t="inlineStr"/>
      <c r="R1911" s="9" t="inlineStr">
        <is>
          <t>{"kind":"periodicPulse","periodicPulse":{"intervalSec":10,"primaryStatGainPerBuffStack":{"buffId":"heavy","stat":"health","valuePerStack":1,"realmGrowth":{"qiRefining":[1,2]}},"label":"轮转时，每有 1 层蓄势，恢复 1 点气血"}}</t>
        </is>
      </c>
    </row>
    <row r="1912" ht="32" customHeight="1">
      <c r="A1912" s="8" t="n">
        <v>800095</v>
      </c>
      <c r="B1912" s="8" t="inlineStr">
        <is>
          <t>厚土</t>
        </is>
      </c>
      <c r="C1912" s="8" t="inlineStr">
        <is>
          <t>招式</t>
        </is>
      </c>
      <c r="D1912" s="8" t="inlineStr">
        <is>
          <t>common</t>
        </is>
      </c>
      <c r="E1912" s="8" t="inlineStr">
        <is>
          <t>earth</t>
        </is>
      </c>
      <c r="F1912" s="8" t="n">
        <v>1</v>
      </c>
      <c r="G1912" s="8" t="inlineStr">
        <is>
          <t>基础/顶层</t>
        </is>
      </c>
      <c r="H1912" s="8" t="inlineStr"/>
      <c r="I1912" s="9" t="inlineStr"/>
      <c r="J1912" s="8" t="inlineStr"/>
      <c r="K1912" s="8" t="inlineStr"/>
      <c r="L1912" s="8" t="inlineStr"/>
      <c r="M1912" s="8" t="inlineStr">
        <is>
          <t>被动效果</t>
        </is>
      </c>
      <c r="N1912" s="8" t="inlineStr">
        <is>
          <t>passive</t>
        </is>
      </c>
      <c r="O1912" s="9" t="inlineStr">
        <is>
          <t>相邻道具每次获得蓄势时，额外获得 1 层蓄势</t>
        </is>
      </c>
      <c r="P1912" s="9" t="inlineStr"/>
      <c r="Q1912" s="9" t="inlineStr">
        <is>
          <t>buffGainMirror；adjacent</t>
        </is>
      </c>
      <c r="R1912" s="9" t="inlineStr">
        <is>
          <t>{"kind":"passive","passiveEffect":{"type":"buffGainMirror","sourceBuffId":"heavy","targetBuffId":"heavy","countPerGain":1,"sourceTarget":{"type":"adjacent"},"label":"相邻道具每次获得蓄势时，额外获得 1 层蓄势","realmGrowthByField":{"countPerGain":{"qiRefining":[1,2]}}},"label":"相邻道具每次获得蓄势时，额外获得 1 层蓄势"}</t>
        </is>
      </c>
    </row>
    <row r="1913" ht="32" customHeight="1">
      <c r="A1913" s="8" t="n">
        <v>800096</v>
      </c>
      <c r="B1913" s="8" t="inlineStr">
        <is>
          <t>归元</t>
        </is>
      </c>
      <c r="C1913" s="8" t="inlineStr">
        <is>
          <t>招式</t>
        </is>
      </c>
      <c r="D1913" s="8" t="inlineStr">
        <is>
          <t>common</t>
        </is>
      </c>
      <c r="E1913" s="8" t="inlineStr">
        <is>
          <t>earth</t>
        </is>
      </c>
      <c r="F1913" s="8" t="n">
        <v>1</v>
      </c>
      <c r="G1913" s="8" t="inlineStr">
        <is>
          <t>基础/顶层</t>
        </is>
      </c>
      <c r="H1913" s="8" t="inlineStr"/>
      <c r="I1913" s="9" t="inlineStr"/>
      <c r="J1913" s="8" t="inlineStr"/>
      <c r="K1913" s="8" t="inlineStr"/>
      <c r="L1913" s="8" t="inlineStr"/>
      <c r="M1913" s="8" t="inlineStr">
        <is>
          <t>说明/执行器</t>
        </is>
      </c>
      <c r="N1913" s="8" t="inlineStr">
        <is>
          <t>effectNote</t>
        </is>
      </c>
      <c r="O1913" s="9" t="inlineStr">
        <is>
          <t>长按释放，将所有蓄势转化为 2 倍的气血</t>
        </is>
      </c>
      <c r="P1913" s="9" t="inlineStr">
        <is>
          <t>onActiveSpellCast</t>
        </is>
      </c>
      <c r="Q1913" s="9" t="inlineStr">
        <is>
          <t>primaryStatGain</t>
        </is>
      </c>
      <c r="R1913" s="9" t="inlineStr">
        <is>
          <t>{"kind":"effectNote","label":"长按释放，将所有蓄势转化为 2 倍的气血","executors":[{"trigger":"onActiveSpellCast","type":"primaryStatGain","amount":0,"amountPerSourceBuffStack":{"buffId":"heavy","valuePerStack":2,"realmGrowth":{"qiRefining":[2,4]}},"consumeSourceBuffStacks":{"buffId":"heavy"},"stat":"health"}]}</t>
        </is>
      </c>
    </row>
    <row r="1914" ht="32" customHeight="1">
      <c r="A1914" s="8" t="n">
        <v>800097</v>
      </c>
      <c r="B1914" s="8" t="inlineStr">
        <is>
          <t>重息护身</t>
        </is>
      </c>
      <c r="C1914" s="8" t="inlineStr">
        <is>
          <t>招式</t>
        </is>
      </c>
      <c r="D1914" s="8" t="inlineStr">
        <is>
          <t>common</t>
        </is>
      </c>
      <c r="E1914" s="8" t="inlineStr">
        <is>
          <t>earth</t>
        </is>
      </c>
      <c r="F1914" s="8" t="n">
        <v>1</v>
      </c>
      <c r="G1914" s="8" t="inlineStr">
        <is>
          <t>基础/顶层</t>
        </is>
      </c>
      <c r="H1914" s="8" t="inlineStr"/>
      <c r="I1914" s="9" t="inlineStr"/>
      <c r="J1914" s="8" t="inlineStr"/>
      <c r="K1914" s="8" t="inlineStr"/>
      <c r="L1914" s="8" t="inlineStr"/>
      <c r="M1914" s="8" t="inlineStr">
        <is>
          <t>说明/执行器</t>
        </is>
      </c>
      <c r="N1914" s="8" t="inlineStr">
        <is>
          <t>effectNote</t>
        </is>
      </c>
      <c r="O1914" s="9" t="inlineStr">
        <is>
          <t>长按释放，将所有蓄势转化为 2 倍的护甲</t>
        </is>
      </c>
      <c r="P1914" s="9" t="inlineStr">
        <is>
          <t>onActiveSpellCast</t>
        </is>
      </c>
      <c r="Q1914" s="9" t="inlineStr">
        <is>
          <t>buffGain</t>
        </is>
      </c>
      <c r="R1914" s="9" t="inlineStr">
        <is>
          <t>{"kind":"effectNote","label":"长按释放，将所有蓄势转化为 2 倍的护甲","executors":[{"trigger":"onActiveSpellCast","type":"buffGain","buffId":"armor","amount":0,"amountPerSourceBuffStack":{"buffId":"heavy","valuePerStack":2,"realmGrowth":{"qiRefining":[2,3]}},"consumeSourceBuffStacks":{"buffId":"heavy"}}]}</t>
        </is>
      </c>
    </row>
    <row r="1915" ht="32" customHeight="1">
      <c r="A1915" s="8" t="n">
        <v>800098</v>
      </c>
      <c r="B1915" s="8" t="inlineStr">
        <is>
          <t>石压炼体</t>
        </is>
      </c>
      <c r="C1915" s="8" t="inlineStr">
        <is>
          <t>招式</t>
        </is>
      </c>
      <c r="D1915" s="8" t="inlineStr">
        <is>
          <t>common</t>
        </is>
      </c>
      <c r="E1915" s="8" t="inlineStr">
        <is>
          <t>earth</t>
        </is>
      </c>
      <c r="F1915" s="8" t="n">
        <v>1</v>
      </c>
      <c r="G1915" s="8" t="inlineStr">
        <is>
          <t>基础/顶层</t>
        </is>
      </c>
      <c r="H1915" s="8" t="inlineStr"/>
      <c r="I1915" s="9" t="inlineStr"/>
      <c r="J1915" s="8" t="inlineStr"/>
      <c r="K1915" s="8" t="inlineStr"/>
      <c r="L1915" s="8" t="inlineStr"/>
      <c r="M1915" s="8" t="inlineStr">
        <is>
          <t>说明/执行器</t>
        </is>
      </c>
      <c r="N1915" s="8" t="inlineStr">
        <is>
          <t>effectNote</t>
        </is>
      </c>
      <c r="O1915" s="9" t="inlineStr">
        <is>
          <t>长按释放，消耗 10 点气血，将所有蓄势转化为临时的体力上限</t>
        </is>
      </c>
      <c r="P1915" s="9" t="inlineStr">
        <is>
          <t>onActiveSpellCast</t>
        </is>
      </c>
      <c r="Q1915" s="9" t="inlineStr">
        <is>
          <t>temporaryPrimaryStatMaxBonus</t>
        </is>
      </c>
      <c r="R1915" s="9" t="inlineStr">
        <is>
          <t>{"kind":"effectNote","label":"长按释放，消耗 10 点气血，将所有蓄势转化为临时的体力上限","executors":[{"trigger":"onActiveSpellCast","type":"temporaryPrimaryStatMaxBonus","stat":"stamina","amount":0,"durationSec":10,"amountPerSourceBuffStack":{"buffId":"heavy","valuePerStack":1,"realmGrowth":{"qiRefining":[1,2]}},"consumeSourceBuffStacks":{"buffId":"heavy"},"costs":[{"stat":"health","amount":10,"realmGrowth":{"qiRefining":[10,20]}}]}]}</t>
        </is>
      </c>
    </row>
    <row r="1916" ht="32" customHeight="1">
      <c r="A1916" s="8" t="n">
        <v>800099</v>
      </c>
      <c r="B1916" s="8" t="inlineStr">
        <is>
          <t>沉重纳力</t>
        </is>
      </c>
      <c r="C1916" s="8" t="inlineStr">
        <is>
          <t>招式</t>
        </is>
      </c>
      <c r="D1916" s="8" t="inlineStr">
        <is>
          <t>common</t>
        </is>
      </c>
      <c r="E1916" s="8" t="inlineStr">
        <is>
          <t>earth</t>
        </is>
      </c>
      <c r="F1916" s="8" t="n">
        <v>1</v>
      </c>
      <c r="G1916" s="8" t="inlineStr">
        <is>
          <t>基础/顶层</t>
        </is>
      </c>
      <c r="H1916" s="8" t="inlineStr"/>
      <c r="I1916" s="9" t="inlineStr"/>
      <c r="J1916" s="8" t="inlineStr"/>
      <c r="K1916" s="8" t="inlineStr"/>
      <c r="L1916" s="8" t="inlineStr"/>
      <c r="M1916" s="8" t="inlineStr">
        <is>
          <t>说明/执行器</t>
        </is>
      </c>
      <c r="N1916" s="8" t="inlineStr">
        <is>
          <t>effectNote</t>
        </is>
      </c>
      <c r="O1916" s="9" t="inlineStr">
        <is>
          <t>长按释放，最多将 20 层蓄势转化为 40 点体力</t>
        </is>
      </c>
      <c r="P1916" s="9" t="inlineStr">
        <is>
          <t>onActiveSpellCast</t>
        </is>
      </c>
      <c r="Q1916" s="9" t="inlineStr">
        <is>
          <t>primaryStatGain</t>
        </is>
      </c>
      <c r="R1916" s="9" t="inlineStr">
        <is>
          <t>{"kind":"effectNote","label":"长按释放，最多将 20 层蓄势转化为 40 点体力","executors":[{"trigger":"onActiveSpellCast","type":"primaryStatGain","stat":"stamina","amount":0,"amountPerConsumedBuffStack":2,"consumeBuffStacks":{"buffId":"heavy","targetActor":"self","requiredStacks":1,"maxStacks":20},"realmGrowthByField":{"amountPerConsumedBuffStack":{"qiRefining":[2,4]}}}]}</t>
        </is>
      </c>
    </row>
    <row r="1917" ht="32" customHeight="1">
      <c r="A1917" s="8" t="n">
        <v>800100</v>
      </c>
      <c r="B1917" s="8" t="inlineStr">
        <is>
          <t>山息归元</t>
        </is>
      </c>
      <c r="C1917" s="8" t="inlineStr">
        <is>
          <t>招式</t>
        </is>
      </c>
      <c r="D1917" s="8" t="inlineStr">
        <is>
          <t>common</t>
        </is>
      </c>
      <c r="E1917" s="8" t="inlineStr">
        <is>
          <t>earth</t>
        </is>
      </c>
      <c r="F1917" s="8" t="n">
        <v>1</v>
      </c>
      <c r="G1917" s="8" t="inlineStr">
        <is>
          <t>基础/顶层</t>
        </is>
      </c>
      <c r="H1917" s="8" t="inlineStr"/>
      <c r="I1917" s="9" t="inlineStr"/>
      <c r="J1917" s="8" t="inlineStr"/>
      <c r="K1917" s="8" t="inlineStr"/>
      <c r="L1917" s="8" t="inlineStr"/>
      <c r="M1917" s="8" t="inlineStr">
        <is>
          <t>说明/执行器</t>
        </is>
      </c>
      <c r="N1917" s="8" t="inlineStr">
        <is>
          <t>effectNote</t>
        </is>
      </c>
      <c r="O1917" s="9" t="inlineStr">
        <is>
          <t>长按释放，将 50 层蓄势转化为 100 点体力和 50 点法力</t>
        </is>
      </c>
      <c r="P1917" s="9" t="inlineStr">
        <is>
          <t>onActiveSpellCast</t>
        </is>
      </c>
      <c r="Q1917" s="9" t="inlineStr">
        <is>
          <t>primaryStatGain</t>
        </is>
      </c>
      <c r="R1917" s="9" t="inlineStr">
        <is>
          <t>{"kind":"effectNote","label":"长按释放，将 50 层蓄势转化为 100 点体力和 50 点法力","executors":[{"trigger":"onActiveSpellCast","type":"primaryStatGain","stat":"stamina","amount":100,"realmGrowth":{"qiRefining":[100,200]},"consumeBuffStacks":{"buffId":"heavy","targetActor":"self","requiredStacks":50,"maxStacks":50}},{"trigger":"onActiveSpellCast","type":"primaryStatGain","stat":"mana","amount":50,"realmGrowth":{"qiRefining":[50,100]},"activationRequirements":{"buffStackThresholds":[{"buffId":"heavy","comparator":"atLeast","count":50}]}}]}</t>
        </is>
      </c>
    </row>
    <row r="1918" ht="32" customHeight="1">
      <c r="A1918" s="8" t="n">
        <v>800108</v>
      </c>
      <c r="B1918" s="8" t="inlineStr">
        <is>
          <t>搬山</t>
        </is>
      </c>
      <c r="C1918" s="8" t="inlineStr">
        <is>
          <t>招式</t>
        </is>
      </c>
      <c r="D1918" s="8" t="inlineStr">
        <is>
          <t>common</t>
        </is>
      </c>
      <c r="E1918" s="8" t="inlineStr">
        <is>
          <t>earth</t>
        </is>
      </c>
      <c r="F1918" s="8" t="n">
        <v>1</v>
      </c>
      <c r="G1918" s="8" t="inlineStr">
        <is>
          <t>基础/顶层</t>
        </is>
      </c>
      <c r="H1918" s="8" t="inlineStr"/>
      <c r="I1918" s="9" t="inlineStr"/>
      <c r="J1918" s="8" t="inlineStr"/>
      <c r="K1918" s="8" t="inlineStr"/>
      <c r="L1918" s="8" t="inlineStr"/>
      <c r="M1918" s="8" t="inlineStr">
        <is>
          <t>说明/执行器</t>
        </is>
      </c>
      <c r="N1918" s="8" t="inlineStr">
        <is>
          <t>effectNote</t>
        </is>
      </c>
      <c r="O1918" s="9" t="inlineStr">
        <is>
          <t>长按释放，将 10 点体力转化为 5 层蓄势</t>
        </is>
      </c>
      <c r="P1918" s="9" t="inlineStr">
        <is>
          <t>onActiveSpellCast</t>
        </is>
      </c>
      <c r="Q1918" s="9" t="inlineStr">
        <is>
          <t>buffGain</t>
        </is>
      </c>
      <c r="R1918" s="9" t="inlineStr">
        <is>
          <t>{"kind":"effectNote","label":"长按释放，将 10 点体力转化为 5 层蓄势","executors":[{"trigger":"onActiveSpellCast","type":"buffGain","buffId":"heavy","amount":5,"realmGrowth":{"qiRefining":[5,8]},"costs":[{"stat":"stamina","amount":10,"realmGrowth":{"qiRefining":[10,20]}}]}]}</t>
        </is>
      </c>
    </row>
    <row r="1919" ht="32" customHeight="1">
      <c r="A1919" s="8" t="n">
        <v>800109</v>
      </c>
      <c r="B1919" s="8" t="inlineStr">
        <is>
          <t>运气</t>
        </is>
      </c>
      <c r="C1919" s="8" t="inlineStr">
        <is>
          <t>招式</t>
        </is>
      </c>
      <c r="D1919" s="8" t="inlineStr">
        <is>
          <t>common</t>
        </is>
      </c>
      <c r="E1919" s="8" t="inlineStr">
        <is>
          <t>earth</t>
        </is>
      </c>
      <c r="F1919" s="8" t="n">
        <v>1</v>
      </c>
      <c r="G1919" s="8" t="inlineStr">
        <is>
          <t>基础/顶层</t>
        </is>
      </c>
      <c r="H1919" s="8" t="inlineStr"/>
      <c r="I1919" s="9" t="inlineStr"/>
      <c r="J1919" s="8" t="inlineStr"/>
      <c r="K1919" s="8" t="inlineStr"/>
      <c r="L1919" s="8" t="inlineStr"/>
      <c r="M1919" s="8" t="inlineStr">
        <is>
          <t>说明/执行器</t>
        </is>
      </c>
      <c r="N1919" s="8" t="inlineStr">
        <is>
          <t>effectNote</t>
        </is>
      </c>
      <c r="O1919" s="9" t="inlineStr">
        <is>
          <t>长按释放，将 10 点气血转化为 5 层蓄势</t>
        </is>
      </c>
      <c r="P1919" s="9" t="inlineStr">
        <is>
          <t>onActiveSpellCast</t>
        </is>
      </c>
      <c r="Q1919" s="9" t="inlineStr">
        <is>
          <t>buffGain</t>
        </is>
      </c>
      <c r="R1919" s="9" t="inlineStr">
        <is>
          <t>{"kind":"effectNote","label":"长按释放，将 10 点气血转化为 5 层蓄势","executors":[{"trigger":"onActiveSpellCast","type":"buffGain","buffId":"heavy","amount":5,"realmGrowth":{"qiRefining":[5,8]},"costs":[{"stat":"health","amount":10,"realmGrowth":{"qiRefining":[10,20]}}]}]}</t>
        </is>
      </c>
    </row>
    <row r="1920" ht="32" customHeight="1">
      <c r="A1920" s="8" t="n">
        <v>800110</v>
      </c>
      <c r="B1920" s="8" t="inlineStr">
        <is>
          <t>力入丹田</t>
        </is>
      </c>
      <c r="C1920" s="8" t="inlineStr">
        <is>
          <t>招式</t>
        </is>
      </c>
      <c r="D1920" s="8" t="inlineStr">
        <is>
          <t>common</t>
        </is>
      </c>
      <c r="E1920" s="8" t="inlineStr">
        <is>
          <t>earth</t>
        </is>
      </c>
      <c r="F1920" s="8" t="n">
        <v>1</v>
      </c>
      <c r="G1920" s="8" t="inlineStr">
        <is>
          <t>基础/顶层</t>
        </is>
      </c>
      <c r="H1920" s="8" t="inlineStr"/>
      <c r="I1920" s="9" t="inlineStr"/>
      <c r="J1920" s="8" t="inlineStr"/>
      <c r="K1920" s="8" t="inlineStr"/>
      <c r="L1920" s="8" t="inlineStr"/>
      <c r="M1920" s="8" t="inlineStr">
        <is>
          <t>说明/执行器</t>
        </is>
      </c>
      <c r="N1920" s="8" t="inlineStr">
        <is>
          <t>effectNote</t>
        </is>
      </c>
      <c r="O1920" s="9" t="inlineStr">
        <is>
          <t>长按释放，最多将 10 层护甲转化为等量蓄势</t>
        </is>
      </c>
      <c r="P1920" s="9" t="inlineStr">
        <is>
          <t>onActiveSpellCast</t>
        </is>
      </c>
      <c r="Q1920" s="9" t="inlineStr">
        <is>
          <t>buffGain</t>
        </is>
      </c>
      <c r="R1920" s="9" t="inlineStr">
        <is>
          <t>{"kind":"effectNote","label":"长按释放，最多将 10 层护甲转化为等量蓄势","executors":[{"trigger":"onActiveSpellCast","type":"buffGain","buffId":"heavy","amount":0,"amountPerConsumedBuffStack":1,"consumeBuffStacks":{"buffId":"armor","targetActor":"self","requiredStacks":1,"maxStacks":10},"realmGrowthByField":{"amountPerConsumedBuffStack":{"qiRefining":[1,2]}}}]}</t>
        </is>
      </c>
    </row>
    <row r="1921" ht="32" customHeight="1">
      <c r="A1921" s="8" t="n">
        <v>800111</v>
      </c>
      <c r="B1921" s="8" t="inlineStr">
        <is>
          <t>山步</t>
        </is>
      </c>
      <c r="C1921" s="8" t="inlineStr">
        <is>
          <t>招式</t>
        </is>
      </c>
      <c r="D1921" s="8" t="inlineStr">
        <is>
          <t>common</t>
        </is>
      </c>
      <c r="E1921" s="8" t="inlineStr">
        <is>
          <t>earth</t>
        </is>
      </c>
      <c r="F1921" s="8" t="n">
        <v>1</v>
      </c>
      <c r="G1921" s="8" t="inlineStr">
        <is>
          <t>基础/顶层</t>
        </is>
      </c>
      <c r="H1921" s="8" t="inlineStr"/>
      <c r="I1921" s="9" t="inlineStr"/>
      <c r="J1921" s="8" t="inlineStr"/>
      <c r="K1921" s="8" t="inlineStr"/>
      <c r="L1921" s="8" t="inlineStr"/>
      <c r="M1921" s="8" t="inlineStr">
        <is>
          <t>条件触发</t>
        </is>
      </c>
      <c r="N1921" s="8" t="inlineStr">
        <is>
          <t>triggered</t>
        </is>
      </c>
      <c r="O1921" s="9" t="inlineStr">
        <is>
          <t>每当获得蓄势时，对敌方造成 3 点伤害</t>
        </is>
      </c>
      <c r="P1921" s="9" t="inlineStr">
        <is>
          <t>onBuffGain</t>
        </is>
      </c>
      <c r="Q1921" s="9" t="inlineStr">
        <is>
          <t>battleDamageHealth</t>
        </is>
      </c>
      <c r="R1921" s="9" t="inlineStr">
        <is>
          <t>{"kind":"triggered","label":"&lt;battle&gt;每当获得蓄势时，对敌方造成 3 点伤害&lt;/battle&gt;","triggeredEffect":{"trigger":"onBuffGain","type":"battleDamageHealth","amount":3,"eventBuffId":"heavy","realmGrowth":{"qiRefining":[3,6]}}}</t>
        </is>
      </c>
    </row>
    <row r="1922" ht="32" customHeight="1">
      <c r="A1922" s="8" t="n">
        <v>800112</v>
      </c>
      <c r="B1922" s="8" t="inlineStr">
        <is>
          <t>转力成法</t>
        </is>
      </c>
      <c r="C1922" s="8" t="inlineStr">
        <is>
          <t>招式</t>
        </is>
      </c>
      <c r="D1922" s="8" t="inlineStr">
        <is>
          <t>common</t>
        </is>
      </c>
      <c r="E1922" s="8" t="inlineStr">
        <is>
          <t>earth</t>
        </is>
      </c>
      <c r="F1922" s="8" t="n">
        <v>1</v>
      </c>
      <c r="G1922" s="8" t="inlineStr">
        <is>
          <t>基础/顶层</t>
        </is>
      </c>
      <c r="H1922" s="8" t="inlineStr"/>
      <c r="I1922" s="9" t="inlineStr"/>
      <c r="J1922" s="8" t="inlineStr"/>
      <c r="K1922" s="8" t="inlineStr"/>
      <c r="L1922" s="8" t="inlineStr"/>
      <c r="M1922" s="8" t="inlineStr">
        <is>
          <t>说明/执行器</t>
        </is>
      </c>
      <c r="N1922" s="8" t="inlineStr">
        <is>
          <t>effectNote</t>
        </is>
      </c>
      <c r="O1922" s="9" t="inlineStr">
        <is>
          <t>长按释放，将所有蓄势转化为 2 倍数量的法力</t>
        </is>
      </c>
      <c r="P1922" s="9" t="inlineStr">
        <is>
          <t>onActiveSpellCast</t>
        </is>
      </c>
      <c r="Q1922" s="9" t="inlineStr">
        <is>
          <t>primaryStatGain</t>
        </is>
      </c>
      <c r="R1922" s="9" t="inlineStr">
        <is>
          <t>{"kind":"effectNote","label":"长按释放，将所有蓄势转化为 2 倍数量的法力","executors":[{"trigger":"onActiveSpellCast","type":"primaryStatGain","stat":"mana","amount":0,"amountPerSourceBuffStack":{"buffId":"heavy","valuePerStack":2,"realmGrowth":{"qiRefining":[2,4]}},"consumeSourceBuffStacks":{"buffId":"heavy"}}]}</t>
        </is>
      </c>
    </row>
    <row r="1923" ht="32" customHeight="1">
      <c r="A1923" s="8" t="n">
        <v>800113</v>
      </c>
      <c r="B1923" s="8" t="inlineStr">
        <is>
          <t>横山行气</t>
        </is>
      </c>
      <c r="C1923" s="8" t="inlineStr">
        <is>
          <t>招式</t>
        </is>
      </c>
      <c r="D1923" s="8" t="inlineStr">
        <is>
          <t>common</t>
        </is>
      </c>
      <c r="E1923" s="8" t="inlineStr">
        <is>
          <t>earth</t>
        </is>
      </c>
      <c r="F1923" s="8" t="n">
        <v>1</v>
      </c>
      <c r="G1923" s="8" t="inlineStr">
        <is>
          <t>基础/顶层</t>
        </is>
      </c>
      <c r="H1923" s="8" t="inlineStr"/>
      <c r="I1923" s="9" t="inlineStr"/>
      <c r="J1923" s="8" t="inlineStr"/>
      <c r="K1923" s="8" t="inlineStr"/>
      <c r="L1923" s="8" t="inlineStr"/>
      <c r="M1923" s="8" t="inlineStr">
        <is>
          <t>说明/执行器</t>
        </is>
      </c>
      <c r="N1923" s="8" t="inlineStr">
        <is>
          <t>effectNote</t>
        </is>
      </c>
      <c r="O1923" s="9" t="inlineStr">
        <is>
          <t>长按释放，将 30 点体力和 30 点法力转化为 30 层蓄势</t>
        </is>
      </c>
      <c r="P1923" s="9" t="inlineStr">
        <is>
          <t>onActiveSpellCast</t>
        </is>
      </c>
      <c r="Q1923" s="9" t="inlineStr">
        <is>
          <t>buffGain</t>
        </is>
      </c>
      <c r="R1923" s="9" t="inlineStr">
        <is>
          <t>{"kind":"effectNote","label":"长按释放，将 30 点体力和 30 点法力转化为 30 层蓄势","executors":[{"trigger":"onActiveSpellCast","type":"buffGain","buffId":"heavy","amount":30,"realmGrowth":{"qiRefining":[30,45]},"costs":[{"stat":"stamina","amount":30,"realmGrowth":{"qiRefining":[30,60]}},{"stat":"mana","amount":30,"realmGrowth":{"qiRefining":[30,60]}}]}]}</t>
        </is>
      </c>
    </row>
    <row r="1924" ht="32" customHeight="1">
      <c r="A1924" s="8" t="n">
        <v>800114</v>
      </c>
      <c r="B1924" s="8" t="inlineStr">
        <is>
          <t>搬山归法</t>
        </is>
      </c>
      <c r="C1924" s="8" t="inlineStr">
        <is>
          <t>招式</t>
        </is>
      </c>
      <c r="D1924" s="8" t="inlineStr">
        <is>
          <t>common</t>
        </is>
      </c>
      <c r="E1924" s="8" t="inlineStr">
        <is>
          <t>earth</t>
        </is>
      </c>
      <c r="F1924" s="8" t="n">
        <v>1</v>
      </c>
      <c r="G1924" s="8" t="inlineStr">
        <is>
          <t>基础/顶层</t>
        </is>
      </c>
      <c r="H1924" s="8" t="inlineStr"/>
      <c r="I1924" s="9" t="inlineStr"/>
      <c r="J1924" s="8" t="inlineStr"/>
      <c r="K1924" s="8" t="inlineStr"/>
      <c r="L1924" s="8" t="inlineStr"/>
      <c r="M1924" s="8" t="inlineStr">
        <is>
          <t>说明/执行器</t>
        </is>
      </c>
      <c r="N1924" s="8" t="inlineStr">
        <is>
          <t>effectNote</t>
        </is>
      </c>
      <c r="O1924" s="9" t="inlineStr">
        <is>
          <t>长按释放，消耗所有蓄势，每消耗 1 层蓄势，对敌人造成 3 点伤害，恢复 1 点法力和 1 点体力</t>
        </is>
      </c>
      <c r="P1924" s="9" t="inlineStr">
        <is>
          <t>onActiveSpellCast</t>
        </is>
      </c>
      <c r="Q1924" s="9" t="inlineStr">
        <is>
          <t>damageHealth；primaryStatGain</t>
        </is>
      </c>
      <c r="R1924" s="9" t="inlineStr">
        <is>
          <t>{"kind":"effectNote","label":"长按释放，消耗所有蓄势，每消耗 1 层蓄势，&lt;battle&gt;对敌人造成 3 点伤害&lt;/battle&gt;，恢复 1 点法力和 1 点体力","executors":[{"trigger":"onActiveSpellCast","type":"damageHealth","amount":0,"amountPerSourceBuffStack":{"buffId":"heavy","valuePerStack":3,"realmGrowth":{"qiRefining":[3,6]}}},{"trigger":"onActiveSpellCast","type":"primaryStatGain","stat":"stamina","amount":0,"amountPerSourceBuffStack":{"buffId":"heavy","valuePerStack":1,"realmGrowth":{"qiRefining":[1,2]}}},{"trigger":"onActiveSpellCast","type":"primaryStatGain","stat":"mana","amount":0,"amountPerSourceBuffStack":{"buffId":"heavy","valuePerStack":1,"realmGrowth":{"qiRefining":[1,2]}},"consumeSourceBuffStacks":{"buffId":"heavy","consumeRatio":1,"consumeRounding":"floor"}}]}</t>
        </is>
      </c>
    </row>
    <row r="1925" ht="32" customHeight="1">
      <c r="A1925" s="8" t="n">
        <v>800115</v>
      </c>
      <c r="B1925" s="8" t="inlineStr">
        <is>
          <t>养火</t>
        </is>
      </c>
      <c r="C1925" s="8" t="inlineStr">
        <is>
          <t>招式</t>
        </is>
      </c>
      <c r="D1925" s="8" t="inlineStr">
        <is>
          <t>common</t>
        </is>
      </c>
      <c r="E1925" s="8" t="inlineStr">
        <is>
          <t>fire</t>
        </is>
      </c>
      <c r="F1925" s="8" t="n">
        <v>1</v>
      </c>
      <c r="G1925" s="8" t="inlineStr">
        <is>
          <t>基础/顶层</t>
        </is>
      </c>
      <c r="H1925" s="8" t="inlineStr"/>
      <c r="I1925" s="9" t="inlineStr"/>
      <c r="J1925" s="8" t="inlineStr"/>
      <c r="K1925" s="8" t="inlineStr"/>
      <c r="L1925" s="8" t="inlineStr"/>
      <c r="M1925" s="8" t="inlineStr">
        <is>
          <t>说明/执行器</t>
        </is>
      </c>
      <c r="N1925" s="8" t="inlineStr">
        <is>
          <t>effectNote</t>
        </is>
      </c>
      <c r="O1925" s="9" t="inlineStr">
        <is>
          <t>长按释放，每有 1 层炎热，使相邻炼丹炉获得 0.1 秒加速</t>
        </is>
      </c>
      <c r="P1925" s="9" t="inlineStr">
        <is>
          <t>onActiveSpellCast</t>
        </is>
      </c>
      <c r="Q1925" s="9" t="inlineStr">
        <is>
          <t>itemRuntimeStatus</t>
        </is>
      </c>
      <c r="R1925" s="9" t="inlineStr">
        <is>
          <t>{"kind":"effectNote","label":"长按释放，每有 1 层炎热，使相邻炼丹炉获得 0.1 秒加速","executors":[{"trigger":"onActiveSpellCast","type":"itemRuntimeStatus","itemRuntimeStatus":"haste","targetSelection":"adjacent","targetFilter":{"features":["alchemyFurnace"]},"durationSec":0,"durationPerSourceBuffStack":{"buffId":"heat","valuePerStack":0.1}}]}</t>
        </is>
      </c>
    </row>
    <row r="1926" ht="32" customHeight="1">
      <c r="A1926" s="8" t="n">
        <v>800116</v>
      </c>
      <c r="B1926" s="8" t="inlineStr">
        <is>
          <t>细焰</t>
        </is>
      </c>
      <c r="C1926" s="8" t="inlineStr">
        <is>
          <t>招式</t>
        </is>
      </c>
      <c r="D1926" s="8" t="inlineStr">
        <is>
          <t>common</t>
        </is>
      </c>
      <c r="E1926" s="8" t="inlineStr">
        <is>
          <t>fire</t>
        </is>
      </c>
      <c r="F1926" s="8" t="n">
        <v>1</v>
      </c>
      <c r="G1926" s="8" t="inlineStr">
        <is>
          <t>基础/顶层</t>
        </is>
      </c>
      <c r="H1926" s="8" t="inlineStr"/>
      <c r="I1926" s="9" t="inlineStr"/>
      <c r="J1926" s="8" t="inlineStr"/>
      <c r="K1926" s="8" t="inlineStr"/>
      <c r="L1926" s="8" t="inlineStr"/>
      <c r="M1926" s="8" t="inlineStr">
        <is>
          <t>说明/执行器</t>
        </is>
      </c>
      <c r="N1926" s="8" t="inlineStr">
        <is>
          <t>effectNote</t>
        </is>
      </c>
      <c r="O1926" s="9" t="inlineStr">
        <is>
          <t>每当丹药耗尽时，对敌方施加 5 层灼烧</t>
        </is>
      </c>
      <c r="P1926" s="9" t="inlineStr">
        <is>
          <t>onConsumableExhausted</t>
        </is>
      </c>
      <c r="Q1926" s="9" t="inlineStr">
        <is>
          <t>applyBuff；any</t>
        </is>
      </c>
      <c r="R1926" s="9" t="inlineStr">
        <is>
          <t>{"kind":"effectNote","label":"&lt;battle&gt;每当丹药耗尽时，对敌方施加 5 层灼烧&lt;/battle&gt;","executors":[{"trigger":"onConsumableExhausted","type":"applyBuff","buffId":"burning","count":5,"targetActor":"enemy","support":"battleOnly","eventSource":{"target":{"type":"any"},"filter":{"categories":["pill"]}},"realmGrowth":{"qiRefining":[5,8]}}]}</t>
        </is>
      </c>
    </row>
    <row r="1927" ht="32" customHeight="1">
      <c r="A1927" s="8" t="n">
        <v>800117</v>
      </c>
      <c r="B1927" s="8" t="inlineStr">
        <is>
          <t>体火入周天</t>
        </is>
      </c>
      <c r="C1927" s="8" t="inlineStr">
        <is>
          <t>招式</t>
        </is>
      </c>
      <c r="D1927" s="8" t="inlineStr">
        <is>
          <t>common</t>
        </is>
      </c>
      <c r="E1927" s="8" t="inlineStr">
        <is>
          <t>fire</t>
        </is>
      </c>
      <c r="F1927" s="8" t="n">
        <v>1</v>
      </c>
      <c r="G1927" s="8" t="inlineStr">
        <is>
          <t>基础/顶层</t>
        </is>
      </c>
      <c r="H1927" s="8" t="inlineStr"/>
      <c r="I1927" s="9" t="inlineStr"/>
      <c r="J1927" s="8" t="inlineStr"/>
      <c r="K1927" s="8" t="inlineStr"/>
      <c r="L1927" s="8" t="inlineStr"/>
      <c r="M1927" s="8" t="inlineStr">
        <is>
          <t>说明/执行器</t>
        </is>
      </c>
      <c r="N1927" s="8" t="inlineStr">
        <is>
          <t>effectNote</t>
        </is>
      </c>
      <c r="O1927" s="9" t="inlineStr">
        <is>
          <t>每当丹药耗尽时，获得 10 层炎热</t>
        </is>
      </c>
      <c r="P1927" s="9" t="inlineStr">
        <is>
          <t>onConsumableExhausted</t>
        </is>
      </c>
      <c r="Q1927" s="9" t="inlineStr">
        <is>
          <t>applyBuff；any</t>
        </is>
      </c>
      <c r="R1927" s="9" t="inlineStr">
        <is>
          <t>{"kind":"effectNote","label":"每当丹药耗尽时，获得 10 层炎热","executors":[{"trigger":"onConsumableExhausted","type":"applyBuff","buffId":"heat","count":10,"eventSource":{"target":{"type":"any"},"filter":{"categories":["pill"]}},"realmGrowth":{"qiRefining":[10,15]}}]}</t>
        </is>
      </c>
    </row>
    <row r="1928" ht="32" customHeight="1">
      <c r="A1928" s="8" t="n">
        <v>800118</v>
      </c>
      <c r="B1928" s="8" t="inlineStr">
        <is>
          <t>丹霞息</t>
        </is>
      </c>
      <c r="C1928" s="8" t="inlineStr">
        <is>
          <t>招式</t>
        </is>
      </c>
      <c r="D1928" s="8" t="inlineStr">
        <is>
          <t>common</t>
        </is>
      </c>
      <c r="E1928" s="8" t="inlineStr">
        <is>
          <t>fire</t>
        </is>
      </c>
      <c r="F1928" s="8" t="n">
        <v>1</v>
      </c>
      <c r="G1928" s="8" t="inlineStr">
        <is>
          <t>基础/顶层</t>
        </is>
      </c>
      <c r="H1928" s="8" t="inlineStr"/>
      <c r="I1928" s="9" t="inlineStr"/>
      <c r="J1928" s="8" t="inlineStr"/>
      <c r="K1928" s="8" t="inlineStr"/>
      <c r="L1928" s="8" t="inlineStr"/>
      <c r="M1928" s="8" t="inlineStr">
        <is>
          <t>说明/执行器</t>
        </is>
      </c>
      <c r="N1928" s="8" t="inlineStr">
        <is>
          <t>effectNote</t>
        </is>
      </c>
      <c r="O1928" s="9" t="inlineStr">
        <is>
          <t>每当丹药耗尽时，使相邻炼丹炉获得 10 秒加速</t>
        </is>
      </c>
      <c r="P1928" s="9" t="inlineStr">
        <is>
          <t>onConsumableExhausted</t>
        </is>
      </c>
      <c r="Q1928" s="9" t="inlineStr">
        <is>
          <t>itemRuntimeStatus；any</t>
        </is>
      </c>
      <c r="R1928" s="9" t="inlineStr">
        <is>
          <t>{"kind":"effectNote","label":"每当丹药耗尽时，使相邻炼丹炉获得 10 秒加速","executors":[{"trigger":"onConsumableExhausted","type":"itemRuntimeStatus","itemRuntimeStatus":"haste","targetScope":"adjacent","targetFilter":{"features":["alchemyFurnace"]},"durationSec":10,"eventSource":{"target":{"type":"any"},"filter":{"categories":["pill"]}}}]}</t>
        </is>
      </c>
    </row>
    <row r="1929" ht="32" customHeight="1">
      <c r="A1929" s="8" t="n">
        <v>800119</v>
      </c>
      <c r="B1929" s="8" t="inlineStr">
        <is>
          <t>温炉护身</t>
        </is>
      </c>
      <c r="C1929" s="8" t="inlineStr">
        <is>
          <t>招式</t>
        </is>
      </c>
      <c r="D1929" s="8" t="inlineStr">
        <is>
          <t>common</t>
        </is>
      </c>
      <c r="E1929" s="8" t="inlineStr">
        <is>
          <t>fire</t>
        </is>
      </c>
      <c r="F1929" s="8" t="n">
        <v>1</v>
      </c>
      <c r="G1929" s="8" t="inlineStr">
        <is>
          <t>基础/顶层</t>
        </is>
      </c>
      <c r="H1929" s="8" t="inlineStr"/>
      <c r="I1929" s="9" t="inlineStr"/>
      <c r="J1929" s="8" t="inlineStr"/>
      <c r="K1929" s="8" t="inlineStr"/>
      <c r="L1929" s="8" t="inlineStr"/>
      <c r="M1929" s="8" t="inlineStr">
        <is>
          <t>说明/执行器</t>
        </is>
      </c>
      <c r="N1929" s="8" t="inlineStr">
        <is>
          <t>effectNote</t>
        </is>
      </c>
      <c r="O1929" s="9" t="inlineStr">
        <is>
          <t>每当丹药耗尽时，获得 30 层护甲和 10 层坚硬</t>
        </is>
      </c>
      <c r="P1929" s="9" t="inlineStr">
        <is>
          <t>onConsumableExhausted</t>
        </is>
      </c>
      <c r="Q1929" s="9" t="inlineStr">
        <is>
          <t>applyBuff；any</t>
        </is>
      </c>
      <c r="R1929" s="9" t="inlineStr">
        <is>
          <t>{"kind":"effectNote","label":"每当丹药耗尽时，获得 30 层护甲和 10 层坚硬","executors":[{"trigger":"onConsumableExhausted","type":"applyBuff","buffId":"armor","count":30,"eventSource":{"target":{"type":"any"},"filter":{"categories":["pill"]}},"realmGrowth":{"qiRefining":[30,45]}},{"trigger":"onConsumableExhausted","type":"applyBuff","buffId":"sturdy","count":10,"eventSource":{"target":{"type":"any"},"filter":{"categories":["pill"]}},"realmGrowth":{"qiRefining":[10,15]}}]}</t>
        </is>
      </c>
    </row>
    <row r="1930" ht="32" customHeight="1">
      <c r="A1930" s="8" t="n">
        <v>800120</v>
      </c>
      <c r="B1930" s="8" t="inlineStr">
        <is>
          <t>小火成修</t>
        </is>
      </c>
      <c r="C1930" s="8" t="inlineStr">
        <is>
          <t>招式</t>
        </is>
      </c>
      <c r="D1930" s="8" t="inlineStr">
        <is>
          <t>common</t>
        </is>
      </c>
      <c r="E1930" s="8" t="inlineStr">
        <is>
          <t>fire</t>
        </is>
      </c>
      <c r="F1930" s="8" t="n">
        <v>1</v>
      </c>
      <c r="G1930" s="8" t="inlineStr">
        <is>
          <t>基础/顶层</t>
        </is>
      </c>
      <c r="H1930" s="8" t="inlineStr"/>
      <c r="I1930" s="9" t="inlineStr"/>
      <c r="J1930" s="8" t="inlineStr"/>
      <c r="K1930" s="8" t="inlineStr"/>
      <c r="L1930" s="8" t="inlineStr"/>
      <c r="M1930" s="8" t="inlineStr">
        <is>
          <t>被动效果</t>
        </is>
      </c>
      <c r="N1930" s="8" t="inlineStr">
        <is>
          <t>passive</t>
        </is>
      </c>
      <c r="O1930" s="9" t="inlineStr">
        <is>
          <t>炎热层数小于上限的 50% 时，本功法获得的修为翻倍</t>
        </is>
      </c>
      <c r="P1930" s="9" t="inlineStr"/>
      <c r="Q1930" s="9" t="inlineStr">
        <is>
          <t>conditionalSelfCultivationGainMultiplier</t>
        </is>
      </c>
      <c r="R1930" s="9" t="inlineStr">
        <is>
          <t>{"kind":"passive","label":"炎热层数小于上限的 50% 时，本功法获得的修为翻倍","passiveEffect":{"type":"conditionalSelfCultivationGainMultiplier","value":2,"buffId":"heat","maxStackRatioBelow":0.5,"label":"炎热层数小于上限的 50% 时，本功法获得的修为翻倍"}}</t>
        </is>
      </c>
    </row>
    <row r="1931" ht="32" customHeight="1">
      <c r="A1931" s="8" t="n">
        <v>800121</v>
      </c>
      <c r="B1931" s="8" t="inlineStr">
        <is>
          <t>丹霞火轮</t>
        </is>
      </c>
      <c r="C1931" s="8" t="inlineStr">
        <is>
          <t>招式</t>
        </is>
      </c>
      <c r="D1931" s="8" t="inlineStr">
        <is>
          <t>common</t>
        </is>
      </c>
      <c r="E1931" s="8" t="inlineStr">
        <is>
          <t>fire</t>
        </is>
      </c>
      <c r="F1931" s="8" t="n">
        <v>1</v>
      </c>
      <c r="G1931" s="8" t="inlineStr">
        <is>
          <t>基础/顶层</t>
        </is>
      </c>
      <c r="H1931" s="8" t="inlineStr"/>
      <c r="I1931" s="9" t="inlineStr"/>
      <c r="J1931" s="8" t="inlineStr"/>
      <c r="K1931" s="8" t="inlineStr"/>
      <c r="L1931" s="8" t="inlineStr"/>
      <c r="M1931" s="8" t="inlineStr">
        <is>
          <t>说明/执行器</t>
        </is>
      </c>
      <c r="N1931" s="8" t="inlineStr">
        <is>
          <t>effectNote</t>
        </is>
      </c>
      <c r="O1931" s="9" t="inlineStr">
        <is>
          <t>长按释放，消耗 40 点法力，炼丹炉每相邻 1 个道具，对敌方施加 3 层灼烧</t>
        </is>
      </c>
      <c r="P1931" s="9" t="inlineStr">
        <is>
          <t>onActiveSpellCast</t>
        </is>
      </c>
      <c r="Q1931" s="9" t="inlineStr">
        <is>
          <t>buffGain</t>
        </is>
      </c>
      <c r="R1931" s="9" t="inlineStr">
        <is>
          <t>{"kind":"effectNote","label":"长按释放，消耗 40 点法力，&lt;battle&gt;炼丹炉每相邻 1 个道具，对敌方施加 3 层灼烧&lt;/battle&gt;","executors":[{"trigger":"onActiveSpellCast","type":"buffGain","buffId":"burning","targetActor":"enemy","amount":0,"support":"battleOnly","amountPerAdjacentItemOfMatchingBagItem":{"valuePerItem":3,"features":["alchemyFurnace"],"realmGrowth":{"qiRefining":[3,5]}},"costs":[{"stat":"mana","amount":40,"realmGrowth":{"qiRefining":[40,80]}}]}]}</t>
        </is>
      </c>
    </row>
    <row r="1932" ht="32" customHeight="1">
      <c r="A1932" s="8" t="n">
        <v>800122</v>
      </c>
      <c r="B1932" s="8" t="inlineStr">
        <is>
          <t>立旗</t>
        </is>
      </c>
      <c r="C1932" s="8" t="inlineStr">
        <is>
          <t>招式</t>
        </is>
      </c>
      <c r="D1932" s="8" t="inlineStr">
        <is>
          <t>common</t>
        </is>
      </c>
      <c r="E1932" s="8" t="inlineStr">
        <is>
          <t>earth</t>
        </is>
      </c>
      <c r="F1932" s="8" t="n">
        <v>1</v>
      </c>
      <c r="G1932" s="8" t="inlineStr">
        <is>
          <t>基础/顶层</t>
        </is>
      </c>
      <c r="H1932" s="8" t="inlineStr"/>
      <c r="I1932" s="9" t="inlineStr"/>
      <c r="J1932" s="8" t="inlineStr"/>
      <c r="K1932" s="8" t="inlineStr"/>
      <c r="L1932" s="8" t="inlineStr"/>
      <c r="M1932" s="8" t="inlineStr">
        <is>
          <t>说明/执行器</t>
        </is>
      </c>
      <c r="N1932" s="8" t="inlineStr">
        <is>
          <t>effectNote</t>
        </is>
      </c>
      <c r="O1932" s="9" t="inlineStr">
        <is>
          <t>长按释放，消耗 15 点法力，在空格中生成 1 件随机临时符箓</t>
        </is>
      </c>
      <c r="P1932" s="9" t="inlineStr">
        <is>
          <t>onActiveSpellCast</t>
        </is>
      </c>
      <c r="Q1932" s="9" t="inlineStr">
        <is>
          <t>createTemporaryItem</t>
        </is>
      </c>
      <c r="R1932" s="9" t="inlineStr">
        <is>
          <t>{"kind":"effectNote","label":"长按释放，消耗 15 点法力，在空格中生成 1 件随机临时符箓","executors":[{"trigger":"onActiveSpellCast","type":"createTemporaryItem","amount":1,"randomFilter":{"categories":["talisman"]},"costs":[{"stat":"mana","amount":15,"realmGrowth":{"qiRefining":[15,30]}}]}]}</t>
        </is>
      </c>
    </row>
    <row r="1933" ht="32" customHeight="1">
      <c r="A1933" s="8" t="n">
        <v>800123</v>
      </c>
      <c r="B1933" s="8" t="inlineStr">
        <is>
          <t>符息</t>
        </is>
      </c>
      <c r="C1933" s="8" t="inlineStr">
        <is>
          <t>招式</t>
        </is>
      </c>
      <c r="D1933" s="8" t="inlineStr">
        <is>
          <t>common</t>
        </is>
      </c>
      <c r="E1933" s="8" t="inlineStr">
        <is>
          <t>earth</t>
        </is>
      </c>
      <c r="F1933" s="8" t="n">
        <v>1</v>
      </c>
      <c r="G1933" s="8" t="inlineStr">
        <is>
          <t>基础/顶层</t>
        </is>
      </c>
      <c r="H1933" s="8" t="inlineStr"/>
      <c r="I1933" s="9" t="inlineStr"/>
      <c r="J1933" s="8" t="inlineStr"/>
      <c r="K1933" s="8" t="inlineStr"/>
      <c r="L1933" s="8" t="inlineStr"/>
      <c r="M1933" s="8" t="inlineStr">
        <is>
          <t>条件触发</t>
        </is>
      </c>
      <c r="N1933" s="8" t="inlineStr">
        <is>
          <t>triggered</t>
        </is>
      </c>
      <c r="O1933" s="9" t="inlineStr">
        <is>
          <t>每次使用符箓时，获得 10 点体力</t>
        </is>
      </c>
      <c r="P1933" s="9" t="inlineStr">
        <is>
          <t>onConsumableActivated</t>
        </is>
      </c>
      <c r="Q1933" s="9" t="inlineStr">
        <is>
          <t>modifyPlayerPrimaryStat；any</t>
        </is>
      </c>
      <c r="R1933" s="9" t="inlineStr">
        <is>
          <t>{"kind":"triggered","label":"每次使用符箓时，获得 10 点体力","triggeredEffect":{"trigger":"onConsumableActivated","type":"modifyPlayerPrimaryStat","stat":"stamina","delta":10,"eventSource":{"target":{"type":"any"},"filter":{"categories":["talisman"]}},"realmGrowth":{"qiRefining":[10,20]}}}</t>
        </is>
      </c>
    </row>
    <row r="1934" ht="32" customHeight="1">
      <c r="A1934" s="8" t="n">
        <v>800124</v>
      </c>
      <c r="B1934" s="8" t="inlineStr">
        <is>
          <t>法入地脉</t>
        </is>
      </c>
      <c r="C1934" s="8" t="inlineStr">
        <is>
          <t>招式</t>
        </is>
      </c>
      <c r="D1934" s="8" t="inlineStr">
        <is>
          <t>common</t>
        </is>
      </c>
      <c r="E1934" s="8" t="inlineStr">
        <is>
          <t>earth</t>
        </is>
      </c>
      <c r="F1934" s="8" t="n">
        <v>1</v>
      </c>
      <c r="G1934" s="8" t="inlineStr">
        <is>
          <t>基础/顶层</t>
        </is>
      </c>
      <c r="H1934" s="8" t="inlineStr"/>
      <c r="I1934" s="9" t="inlineStr"/>
      <c r="J1934" s="8" t="inlineStr"/>
      <c r="K1934" s="8" t="inlineStr"/>
      <c r="L1934" s="8" t="inlineStr"/>
      <c r="M1934" s="8" t="inlineStr">
        <is>
          <t>条件触发</t>
        </is>
      </c>
      <c r="N1934" s="8" t="inlineStr">
        <is>
          <t>triggered</t>
        </is>
      </c>
      <c r="O1934" s="9" t="inlineStr">
        <is>
          <t>每次使用符箓时，获得 3 层蓄势</t>
        </is>
      </c>
      <c r="P1934" s="9" t="inlineStr">
        <is>
          <t>onConsumableActivated</t>
        </is>
      </c>
      <c r="Q1934" s="9" t="inlineStr">
        <is>
          <t>applyBuff；any</t>
        </is>
      </c>
      <c r="R1934" s="9" t="inlineStr">
        <is>
          <t>{"kind":"triggered","label":"每次使用符箓时，获得 3 层蓄势","triggeredEffect":{"trigger":"onConsumableActivated","type":"applyBuff","buffId":"heavy","count":3,"eventSource":{"target":{"type":"any"},"filter":{"categories":["talisman"]}},"realmGrowth":{"qiRefining":[3,5]}}}</t>
        </is>
      </c>
    </row>
    <row r="1935" ht="32" customHeight="1">
      <c r="A1935" s="8" t="n">
        <v>800125</v>
      </c>
      <c r="B1935" s="8" t="inlineStr">
        <is>
          <t>青阙阵位</t>
        </is>
      </c>
      <c r="C1935" s="8" t="inlineStr">
        <is>
          <t>招式</t>
        </is>
      </c>
      <c r="D1935" s="8" t="inlineStr">
        <is>
          <t>common</t>
        </is>
      </c>
      <c r="E1935" s="8" t="inlineStr">
        <is>
          <t>earth</t>
        </is>
      </c>
      <c r="F1935" s="8" t="n">
        <v>1</v>
      </c>
      <c r="G1935" s="8" t="inlineStr">
        <is>
          <t>基础/顶层</t>
        </is>
      </c>
      <c r="H1935" s="8" t="inlineStr"/>
      <c r="I1935" s="9" t="inlineStr"/>
      <c r="J1935" s="8" t="inlineStr"/>
      <c r="K1935" s="8" t="inlineStr"/>
      <c r="L1935" s="8" t="inlineStr"/>
      <c r="M1935" s="8" t="inlineStr">
        <is>
          <t>说明/执行器</t>
        </is>
      </c>
      <c r="N1935" s="8" t="inlineStr">
        <is>
          <t>effectNote</t>
        </is>
      </c>
      <c r="O1935" s="9" t="inlineStr">
        <is>
          <t>当储物袋四角都是符箓时，对敌方造成 35 点伤害</t>
        </is>
      </c>
      <c r="P1935" s="9" t="inlineStr">
        <is>
          <t>onActiveSpellCast</t>
        </is>
      </c>
      <c r="Q1935" s="9" t="inlineStr">
        <is>
          <t>damageHealth</t>
        </is>
      </c>
      <c r="R1935" s="9" t="inlineStr">
        <is>
          <t>{"kind":"effectNote","label":"当储物袋四角都是符箓时，&lt;battle&gt;对敌方造成 35 点伤害&lt;/battle&gt;","executors":[{"trigger":"onActiveSpellCast","type":"damageHealth","amount":35,"activationRequirements":{"occupiedCorners":{"minCount":4,"categories":["talisman"]}},"realmGrowth":{"qiRefining":[35,70]}}]}</t>
        </is>
      </c>
    </row>
    <row r="1936" ht="32" customHeight="1">
      <c r="A1936" s="8" t="n">
        <v>800126</v>
      </c>
      <c r="B1936" s="8" t="inlineStr">
        <is>
          <t>旗影护身</t>
        </is>
      </c>
      <c r="C1936" s="8" t="inlineStr">
        <is>
          <t>招式</t>
        </is>
      </c>
      <c r="D1936" s="8" t="inlineStr">
        <is>
          <t>common</t>
        </is>
      </c>
      <c r="E1936" s="8" t="inlineStr">
        <is>
          <t>earth</t>
        </is>
      </c>
      <c r="F1936" s="8" t="n">
        <v>1</v>
      </c>
      <c r="G1936" s="8" t="inlineStr">
        <is>
          <t>基础/顶层</t>
        </is>
      </c>
      <c r="H1936" s="8" t="inlineStr"/>
      <c r="I1936" s="9" t="inlineStr"/>
      <c r="J1936" s="8" t="inlineStr"/>
      <c r="K1936" s="8" t="inlineStr"/>
      <c r="L1936" s="8" t="inlineStr"/>
      <c r="M1936" s="8" t="inlineStr">
        <is>
          <t>周期触发</t>
        </is>
      </c>
      <c r="N1936" s="8" t="inlineStr">
        <is>
          <t>periodicPulse</t>
        </is>
      </c>
      <c r="O1936" s="9" t="inlineStr">
        <is>
          <t>轮转时，每有 1 个相邻符箓，获得 3 层护甲</t>
        </is>
      </c>
      <c r="P1936" s="9" t="inlineStr"/>
      <c r="Q1936" s="9" t="inlineStr"/>
      <c r="R1936" s="9" t="inlineStr">
        <is>
          <t>{"kind":"periodicPulse","periodicPulse":{"intervalSec":10,"label":"轮转时，每有 1 个相邻符箓，获得 3 层护甲","buffGains":[{"buffId":"armor","count":3,"realmGrowth":{"qiRefining":[3,5]}}],"scaling":{"mode":"count","source":"adjacentItems","categories":["talisman"]}}}</t>
        </is>
      </c>
    </row>
    <row r="1937" ht="32" customHeight="1">
      <c r="A1937" s="8" t="n">
        <v>800127</v>
      </c>
      <c r="B1937" s="8" t="inlineStr">
        <is>
          <t>横旗行气</t>
        </is>
      </c>
      <c r="C1937" s="8" t="inlineStr">
        <is>
          <t>招式</t>
        </is>
      </c>
      <c r="D1937" s="8" t="inlineStr">
        <is>
          <t>common</t>
        </is>
      </c>
      <c r="E1937" s="8" t="inlineStr">
        <is>
          <t>earth</t>
        </is>
      </c>
      <c r="F1937" s="8" t="n">
        <v>1</v>
      </c>
      <c r="G1937" s="8" t="inlineStr">
        <is>
          <t>基础/顶层</t>
        </is>
      </c>
      <c r="H1937" s="8" t="inlineStr"/>
      <c r="I1937" s="9" t="inlineStr"/>
      <c r="J1937" s="8" t="inlineStr"/>
      <c r="K1937" s="8" t="inlineStr"/>
      <c r="L1937" s="8" t="inlineStr"/>
      <c r="M1937" s="8" t="inlineStr">
        <is>
          <t>说明/执行器</t>
        </is>
      </c>
      <c r="N1937" s="8" t="inlineStr">
        <is>
          <t>effectNote</t>
        </is>
      </c>
      <c r="O1937" s="9" t="inlineStr">
        <is>
          <t>长按释放，消耗 20 点法力，使用右侧相邻符箓，并使其效果额外激发一次</t>
        </is>
      </c>
      <c r="P1937" s="9" t="inlineStr">
        <is>
          <t>onActiveSpellCast</t>
        </is>
      </c>
      <c r="Q1937" s="9" t="inlineStr">
        <is>
          <t>activateAdjacentConsumable</t>
        </is>
      </c>
      <c r="R1937" s="9" t="inlineStr">
        <is>
          <t>{"kind":"effectNote","label":"长按释放，消耗 20 点法力，&lt;battle&gt;使用右侧相邻符箓，并使其效果额外激发一次&lt;/battle&gt;","executors":[{"trigger":"onActiveSpellCast","type":"activateAdjacentConsumable","amount":2,"targetDirection":"right","targetFilter":{"categories":["talisman"]},"costs":[{"stat":"mana","amount":20,"realmGrowth":{"qiRefining":[20,40]}}]}]}</t>
        </is>
      </c>
    </row>
    <row r="1938" ht="32" customHeight="1">
      <c r="A1938" s="8" t="n">
        <v>800128</v>
      </c>
      <c r="B1938" s="8" t="inlineStr">
        <is>
          <t>符旗归修</t>
        </is>
      </c>
      <c r="C1938" s="8" t="inlineStr">
        <is>
          <t>招式</t>
        </is>
      </c>
      <c r="D1938" s="8" t="inlineStr">
        <is>
          <t>common</t>
        </is>
      </c>
      <c r="E1938" s="8" t="inlineStr">
        <is>
          <t>earth</t>
        </is>
      </c>
      <c r="F1938" s="8" t="n">
        <v>1</v>
      </c>
      <c r="G1938" s="8" t="inlineStr">
        <is>
          <t>基础/顶层</t>
        </is>
      </c>
      <c r="H1938" s="8" t="inlineStr"/>
      <c r="I1938" s="9" t="inlineStr"/>
      <c r="J1938" s="8" t="inlineStr"/>
      <c r="K1938" s="8" t="inlineStr"/>
      <c r="L1938" s="8" t="inlineStr"/>
      <c r="M1938" s="8" t="inlineStr">
        <is>
          <t>被动效果</t>
        </is>
      </c>
      <c r="N1938" s="8" t="inlineStr">
        <is>
          <t>passive</t>
        </is>
      </c>
      <c r="O1938" s="9" t="inlineStr">
        <is>
          <t>如果储物袋中有不少于 8 种不同符箓，青阙符旗诀获得修为 +50%；青阙符旗诀获得修为 +50%</t>
        </is>
      </c>
      <c r="P1938" s="9" t="inlineStr"/>
      <c r="Q1938" s="9" t="inlineStr">
        <is>
          <t>globalOutputModifier</t>
        </is>
      </c>
      <c r="R1938" s="9" t="inlineStr">
        <is>
          <t>{"kind":"passive","label":"如果储物袋中有不少于 8 种不同符箓，青阙符旗诀获得修为 +50%","passiveEffect":{"type":"globalOutputModifier","stat":"cultivation","bonus":0.5,"targetFilter":{"categories":["scripture"],"tags":["scripture_100024"]},"activationRequirements":{"distinctBagCounts":[{"minCount":8,"categories":["talisman"]}]},"label":"青阙符旗诀获得修为 +50%"}}</t>
        </is>
      </c>
    </row>
    <row r="1939" ht="32" customHeight="1">
      <c r="A1939" s="8" t="n">
        <v>800129</v>
      </c>
      <c r="B1939" s="8" t="inlineStr">
        <is>
          <t>调息</t>
        </is>
      </c>
      <c r="C1939" s="8" t="inlineStr">
        <is>
          <t>招式</t>
        </is>
      </c>
      <c r="D1939" s="8" t="inlineStr">
        <is>
          <t>common</t>
        </is>
      </c>
      <c r="E1939" s="8" t="inlineStr">
        <is>
          <t>water</t>
        </is>
      </c>
      <c r="F1939" s="8" t="n">
        <v>1</v>
      </c>
      <c r="G1939" s="8" t="inlineStr">
        <is>
          <t>基础/顶层</t>
        </is>
      </c>
      <c r="H1939" s="8" t="inlineStr"/>
      <c r="I1939" s="9" t="inlineStr"/>
      <c r="J1939" s="8" t="inlineStr"/>
      <c r="K1939" s="8" t="inlineStr"/>
      <c r="L1939" s="8" t="inlineStr"/>
      <c r="M1939" s="8" t="inlineStr">
        <is>
          <t>被动效果</t>
        </is>
      </c>
      <c r="N1939" s="8" t="inlineStr">
        <is>
          <t>passive</t>
        </is>
      </c>
      <c r="O1939" s="9" t="inlineStr">
        <is>
          <t>露水恢复属性时，如果该属性低于 30%，恢复效果翻倍</t>
        </is>
      </c>
      <c r="P1939" s="9" t="inlineStr"/>
      <c r="Q1939" s="9" t="inlineStr">
        <is>
          <t>dewRecoveryModifier</t>
        </is>
      </c>
      <c r="R1939" s="9" t="inlineStr">
        <is>
          <t>{"kind":"passive","label":"露水恢复属性时，如果该属性低于 30%，恢复效果翻倍","passiveEffect":{"type":"dewRecoveryModifier","multiplier":2,"restoredStatRatioBelow":0.3,"label":"露水恢复属性时，如果该属性低于 30%，恢复效果翻倍"}}</t>
        </is>
      </c>
    </row>
    <row r="1940" ht="32" customHeight="1">
      <c r="A1940" s="8" t="n">
        <v>800130</v>
      </c>
      <c r="B1940" s="8" t="inlineStr">
        <is>
          <t>静水</t>
        </is>
      </c>
      <c r="C1940" s="8" t="inlineStr">
        <is>
          <t>招式</t>
        </is>
      </c>
      <c r="D1940" s="8" t="inlineStr">
        <is>
          <t>common</t>
        </is>
      </c>
      <c r="E1940" s="8" t="inlineStr">
        <is>
          <t>water</t>
        </is>
      </c>
      <c r="F1940" s="8" t="n">
        <v>1</v>
      </c>
      <c r="G1940" s="8" t="inlineStr">
        <is>
          <t>基础/顶层</t>
        </is>
      </c>
      <c r="H1940" s="8" t="inlineStr"/>
      <c r="I1940" s="9" t="inlineStr"/>
      <c r="J1940" s="8" t="inlineStr"/>
      <c r="K1940" s="8" t="inlineStr"/>
      <c r="L1940" s="8" t="inlineStr"/>
      <c r="M1940" s="8" t="inlineStr">
        <is>
          <t>说明/执行器</t>
        </is>
      </c>
      <c r="N1940" s="8" t="inlineStr">
        <is>
          <t>effectNote</t>
        </is>
      </c>
      <c r="O1940" s="9" t="inlineStr">
        <is>
          <t>长按释放，如果露水层数为 0，获得 15 层露水</t>
        </is>
      </c>
      <c r="P1940" s="9" t="inlineStr">
        <is>
          <t>onActiveSpellCast</t>
        </is>
      </c>
      <c r="Q1940" s="9" t="inlineStr">
        <is>
          <t>buffGain</t>
        </is>
      </c>
      <c r="R1940" s="9" t="inlineStr">
        <is>
          <t>{"kind":"effectNote","label":"长按释放，如果露水层数为 0，获得 15 层露水","executors":[{"trigger":"onActiveSpellCast","type":"buffGain","buffId":"dew","amount":15,"realmGrowth":{"qiRefining":[15,23]},"activationRequirements":{"buffStackThresholds":[{"buffId":"dew","comparator":"atMost","count":0}]}}]}</t>
        </is>
      </c>
    </row>
    <row r="1941" ht="32" customHeight="1">
      <c r="A1941" s="8" t="n">
        <v>800131</v>
      </c>
      <c r="B1941" s="8" t="inlineStr">
        <is>
          <t>回气</t>
        </is>
      </c>
      <c r="C1941" s="8" t="inlineStr">
        <is>
          <t>招式</t>
        </is>
      </c>
      <c r="D1941" s="8" t="inlineStr">
        <is>
          <t>common</t>
        </is>
      </c>
      <c r="E1941" s="8" t="inlineStr">
        <is>
          <t>water</t>
        </is>
      </c>
      <c r="F1941" s="8" t="n">
        <v>1</v>
      </c>
      <c r="G1941" s="8" t="inlineStr">
        <is>
          <t>基础/顶层</t>
        </is>
      </c>
      <c r="H1941" s="8" t="inlineStr"/>
      <c r="I1941" s="9" t="inlineStr"/>
      <c r="J1941" s="8" t="inlineStr"/>
      <c r="K1941" s="8" t="inlineStr"/>
      <c r="L1941" s="8" t="inlineStr"/>
      <c r="M1941" s="8" t="inlineStr">
        <is>
          <t>说明/执行器</t>
        </is>
      </c>
      <c r="N1941" s="8" t="inlineStr">
        <is>
          <t>effectNote</t>
        </is>
      </c>
      <c r="O1941" s="9" t="inlineStr">
        <is>
          <t>长按释放，消耗 5 层露水，获得 10 点体力和 10 点法力</t>
        </is>
      </c>
      <c r="P1941" s="9" t="inlineStr">
        <is>
          <t>onActiveSpellCast</t>
        </is>
      </c>
      <c r="Q1941" s="9" t="inlineStr">
        <is>
          <t>primaryStatGain</t>
        </is>
      </c>
      <c r="R1941" s="9" t="inlineStr">
        <is>
          <t>{"kind":"effectNote","label":"长按释放，消耗 5 层露水，获得 10 点体力和 10 点法力","executors":[{"trigger":"onActiveSpellCast","type":"primaryStatGain","stat":"stamina","amount":10,"realmGrowth":{"qiRefining":[10,20]},"consumeBuffStacks":{"buffId":"dew","targetActor":"self","requiredStacks":5,"maxStacks":5}},{"trigger":"onActiveSpellCast","type":"primaryStatGain","stat":"mana","amount":10,"realmGrowth":{"qiRefining":[10,20]},"activationRequirements":{"buffStackThresholds":[{"buffId":"dew","comparator":"atLeast","count":5}]}}]}</t>
        </is>
      </c>
    </row>
    <row r="1942" ht="32" customHeight="1">
      <c r="A1942" s="8" t="n">
        <v>800132</v>
      </c>
      <c r="B1942" s="8" t="inlineStr">
        <is>
          <t>水月护心</t>
        </is>
      </c>
      <c r="C1942" s="8" t="inlineStr">
        <is>
          <t>招式</t>
        </is>
      </c>
      <c r="D1942" s="8" t="inlineStr">
        <is>
          <t>common</t>
        </is>
      </c>
      <c r="E1942" s="8" t="inlineStr">
        <is>
          <t>water</t>
        </is>
      </c>
      <c r="F1942" s="8" t="n">
        <v>1</v>
      </c>
      <c r="G1942" s="8" t="inlineStr">
        <is>
          <t>基础/顶层</t>
        </is>
      </c>
      <c r="H1942" s="8" t="inlineStr"/>
      <c r="I1942" s="9" t="inlineStr"/>
      <c r="J1942" s="8" t="inlineStr"/>
      <c r="K1942" s="8" t="inlineStr"/>
      <c r="L1942" s="8" t="inlineStr"/>
      <c r="M1942" s="8" t="inlineStr">
        <is>
          <t>周期触发</t>
        </is>
      </c>
      <c r="N1942" s="8" t="inlineStr">
        <is>
          <t>periodicPulse</t>
        </is>
      </c>
      <c r="O1942" s="9" t="inlineStr">
        <is>
          <t>轮转时，当露水满层时，获得 3 层护甲</t>
        </is>
      </c>
      <c r="P1942" s="9" t="inlineStr"/>
      <c r="Q1942" s="9" t="inlineStr"/>
      <c r="R1942" s="9" t="inlineStr">
        <is>
          <t>{"kind":"periodicPulse","periodicPulse":{"intervalSec":5,"label":"轮转时，当露水满层时，获得 3 层护甲","buffGains":[{"buffId":"armor","count":3,"realmGrowth":{"qiRefining":[3,5]}}],"activationRequirements":{"buffStackThresholds":[{"buffId":"dew","comparator":"atCap","count":0}]}}}</t>
        </is>
      </c>
    </row>
    <row r="1943" ht="32" customHeight="1">
      <c r="A1943" s="8" t="n">
        <v>800133</v>
      </c>
      <c r="B1943" s="8" t="inlineStr">
        <is>
          <t>双息归元</t>
        </is>
      </c>
      <c r="C1943" s="8" t="inlineStr">
        <is>
          <t>招式</t>
        </is>
      </c>
      <c r="D1943" s="8" t="inlineStr">
        <is>
          <t>common</t>
        </is>
      </c>
      <c r="E1943" s="8" t="inlineStr">
        <is>
          <t>water</t>
        </is>
      </c>
      <c r="F1943" s="8" t="n">
        <v>1</v>
      </c>
      <c r="G1943" s="8" t="inlineStr">
        <is>
          <t>基础/顶层</t>
        </is>
      </c>
      <c r="H1943" s="8" t="inlineStr"/>
      <c r="I1943" s="9" t="inlineStr"/>
      <c r="J1943" s="8" t="inlineStr"/>
      <c r="K1943" s="8" t="inlineStr"/>
      <c r="L1943" s="8" t="inlineStr"/>
      <c r="M1943" s="8" t="inlineStr">
        <is>
          <t>被动效果</t>
        </is>
      </c>
      <c r="N1943" s="8" t="inlineStr">
        <is>
          <t>passive</t>
        </is>
      </c>
      <c r="O1943" s="9" t="inlineStr">
        <is>
          <t>当气血为满时，露水的恢复效果翻倍</t>
        </is>
      </c>
      <c r="P1943" s="9" t="inlineStr"/>
      <c r="Q1943" s="9" t="inlineStr">
        <is>
          <t>dewRecoveryModifier</t>
        </is>
      </c>
      <c r="R1943" s="9" t="inlineStr">
        <is>
          <t>{"kind":"passive","label":"当气血为满时，露水的恢复效果翻倍","passiveEffect":{"type":"dewRecoveryModifier","multiplier":2,"activationRequirements":{"primaryStatThreshold":{"stat":"health","comparator":"atLeast","ratio":0.999}},"label":"当气血为满时，露水的恢复效果翻倍"}}</t>
        </is>
      </c>
    </row>
    <row r="1944" ht="32" customHeight="1">
      <c r="A1944" s="8" t="n">
        <v>800134</v>
      </c>
      <c r="B1944" s="8" t="inlineStr">
        <is>
          <t>横波调息</t>
        </is>
      </c>
      <c r="C1944" s="8" t="inlineStr">
        <is>
          <t>招式</t>
        </is>
      </c>
      <c r="D1944" s="8" t="inlineStr">
        <is>
          <t>common</t>
        </is>
      </c>
      <c r="E1944" s="8" t="inlineStr">
        <is>
          <t>water</t>
        </is>
      </c>
      <c r="F1944" s="8" t="n">
        <v>1</v>
      </c>
      <c r="G1944" s="8" t="inlineStr">
        <is>
          <t>基础/顶层</t>
        </is>
      </c>
      <c r="H1944" s="8" t="inlineStr"/>
      <c r="I1944" s="9" t="inlineStr"/>
      <c r="J1944" s="8" t="inlineStr"/>
      <c r="K1944" s="8" t="inlineStr"/>
      <c r="L1944" s="8" t="inlineStr"/>
      <c r="M1944" s="8" t="inlineStr">
        <is>
          <t>周期触发</t>
        </is>
      </c>
      <c r="N1944" s="8" t="inlineStr">
        <is>
          <t>periodicPulse</t>
        </is>
      </c>
      <c r="O1944" s="9" t="inlineStr">
        <is>
          <t>轮转时，如果体力、法力全满，消耗最多 20 点体力和最多 20 点法力，获得 20 层露水</t>
        </is>
      </c>
      <c r="P1944" s="9" t="inlineStr"/>
      <c r="Q1944" s="9" t="inlineStr"/>
      <c r="R1944" s="9" t="inlineStr">
        <is>
          <t>{"kind":"periodicPulse","periodicPulse":{"intervalSec":15,"label":"轮转时，如果体力、法力全满，消耗最多 20 点体力和最多 20 点法力，获得 20 层露水","primaryStatCosts":[{"stat":"stamina","amount":20,"realmGrowth":{"qiRefining":[20,40]}},{"stat":"mana","amount":20,"realmGrowth":{"qiRefining":[20,40]}}],"buffGains":[{"buffId":"dew","count":20,"realmGrowth":{"qiRefining":[20,30]}}],"activationRequirements":{"primaryStatThreshold":{"stat":"stamina","comparator":"atLeast","ratio":1},"additionalPrimaryStatThresholds":[{"stat":"mana","comparator":"atLeast","ratio":1}]}}}</t>
        </is>
      </c>
    </row>
    <row r="1945" ht="32" customHeight="1">
      <c r="A1945" s="8" t="n">
        <v>800135</v>
      </c>
      <c r="B1945" s="8" t="inlineStr">
        <is>
          <t>月照长息</t>
        </is>
      </c>
      <c r="C1945" s="8" t="inlineStr">
        <is>
          <t>招式</t>
        </is>
      </c>
      <c r="D1945" s="8" t="inlineStr">
        <is>
          <t>common</t>
        </is>
      </c>
      <c r="E1945" s="8" t="inlineStr">
        <is>
          <t>water</t>
        </is>
      </c>
      <c r="F1945" s="8" t="n">
        <v>1</v>
      </c>
      <c r="G1945" s="8" t="inlineStr">
        <is>
          <t>基础/顶层</t>
        </is>
      </c>
      <c r="H1945" s="8" t="inlineStr"/>
      <c r="I1945" s="9" t="inlineStr"/>
      <c r="J1945" s="8" t="inlineStr"/>
      <c r="K1945" s="8" t="inlineStr"/>
      <c r="L1945" s="8" t="inlineStr"/>
      <c r="M1945" s="8" t="inlineStr">
        <is>
          <t>被动效果</t>
        </is>
      </c>
      <c r="N1945" s="8" t="inlineStr">
        <is>
          <t>passive</t>
        </is>
      </c>
      <c r="O1945" s="9" t="inlineStr">
        <is>
          <t>露水只会恢复当前数值最低的属性</t>
        </is>
      </c>
      <c r="P1945" s="9" t="inlineStr"/>
      <c r="Q1945" s="9" t="inlineStr">
        <is>
          <t>dewRecoveryModifier</t>
        </is>
      </c>
      <c r="R1945" s="9" t="inlineStr">
        <is>
          <t>{"kind":"passive","label":"露水只会恢复当前数值最低的属性","passiveEffect":{"type":"dewRecoveryModifier","targetMode":"lowestCurrent","label":"露水只会恢复当前数值最低的属性"}}</t>
        </is>
      </c>
    </row>
    <row r="1946" ht="32" customHeight="1">
      <c r="A1946" s="8" t="n">
        <v>800136</v>
      </c>
      <c r="B1946" s="8" t="inlineStr">
        <is>
          <t>映月冰锥术</t>
        </is>
      </c>
      <c r="C1946" s="8" t="inlineStr">
        <is>
          <t>招式</t>
        </is>
      </c>
      <c r="D1946" s="8" t="inlineStr">
        <is>
          <t>common</t>
        </is>
      </c>
      <c r="E1946" s="8" t="inlineStr">
        <is>
          <t>ice</t>
        </is>
      </c>
      <c r="F1946" s="8" t="n">
        <v>1</v>
      </c>
      <c r="G1946" s="8" t="inlineStr">
        <is>
          <t>基础/顶层</t>
        </is>
      </c>
      <c r="H1946" s="8" t="inlineStr"/>
      <c r="I1946" s="9" t="inlineStr"/>
      <c r="J1946" s="8" t="inlineStr"/>
      <c r="K1946" s="8" t="inlineStr"/>
      <c r="L1946" s="8" t="inlineStr"/>
      <c r="M1946" s="8" t="inlineStr">
        <is>
          <t>说明/执行器</t>
        </is>
      </c>
      <c r="N1946" s="8" t="inlineStr">
        <is>
          <t>effectNote</t>
        </is>
      </c>
      <c r="O1946" s="9" t="inlineStr">
        <is>
          <t>长按释放，消耗 1 点法力，造成 14 点伤害，并使敌方随机 3 件道具减速 2 秒；和水属性功法相邻时，效果翻倍</t>
        </is>
      </c>
      <c r="P1946" s="9" t="inlineStr">
        <is>
          <t>onActiveSpellCast</t>
        </is>
      </c>
      <c r="Q1946" s="9" t="inlineStr">
        <is>
          <t>damageHealth；itemRuntimeStatus</t>
        </is>
      </c>
      <c r="R1946" s="9" t="inlineStr">
        <is>
          <t>{"kind":"effectNote","label":"长按释放，消耗 1 点法力，&lt;battle&gt;造成 14 点伤害，并使敌方随机 3 件道具减速 2 秒；和水属性功法相邻时，效果翻倍&lt;/battle&gt;","executors":[{"trigger":"onActiveSpellCast","type":"damageHealth","amount":14,"effectMultiplierWhenAdjacent":{"categories":["scripture"],"elements":["water"],"multiplier":2},"costs":[{"stat":"mana","amount":1,"realmGrowth":{"qiRefining":[1,2]}}],"realmGrowth":{"qiRefining":[14,28]}},{"trigger":"onActiveSpellCast","type":"itemRuntimeStatus","itemRuntimeStatus":"slow","targetActor":"enemy","amount":3,"durationSec":2,"effectMultiplierWhenAdjacent":{"categories":["scripture"],"elements":["water"],"multiplier":2}}]}</t>
        </is>
      </c>
    </row>
    <row r="1947" ht="32" customHeight="1">
      <c r="A1947" s="8" t="n">
        <v>800137</v>
      </c>
      <c r="B1947" s="8" t="inlineStr">
        <is>
          <t>映月暴风雪</t>
        </is>
      </c>
      <c r="C1947" s="8" t="inlineStr">
        <is>
          <t>招式</t>
        </is>
      </c>
      <c r="D1947" s="8" t="inlineStr">
        <is>
          <t>common</t>
        </is>
      </c>
      <c r="E1947" s="8" t="inlineStr">
        <is>
          <t>ice</t>
        </is>
      </c>
      <c r="F1947" s="8" t="n">
        <v>1</v>
      </c>
      <c r="G1947" s="8" t="inlineStr">
        <is>
          <t>基础/顶层</t>
        </is>
      </c>
      <c r="H1947" s="8" t="inlineStr"/>
      <c r="I1947" s="9" t="inlineStr"/>
      <c r="J1947" s="8" t="inlineStr"/>
      <c r="K1947" s="8" t="inlineStr"/>
      <c r="L1947" s="8" t="inlineStr"/>
      <c r="M1947" s="8" t="inlineStr">
        <is>
          <t>说明/执行器</t>
        </is>
      </c>
      <c r="N1947" s="8" t="inlineStr">
        <is>
          <t>effectNote</t>
        </is>
      </c>
      <c r="O1947" s="9" t="inlineStr">
        <is>
          <t>长按释放，消耗 8 点法力，造成 20 点伤害，并使敌方随机 5 件道具减速 5 秒；和水属性功法相邻时，伤害翻倍</t>
        </is>
      </c>
      <c r="P1947" s="9" t="inlineStr">
        <is>
          <t>onActiveSpellCast</t>
        </is>
      </c>
      <c r="Q1947" s="9" t="inlineStr">
        <is>
          <t>damageHealth；itemRuntimeStatus</t>
        </is>
      </c>
      <c r="R1947" s="9" t="inlineStr">
        <is>
          <t>{"kind":"effectNote","label":"长按释放，消耗 8 点法力，&lt;battle&gt;造成 20 点伤害，并使敌方随机 5 件道具减速 5 秒；和水属性功法相邻时，伤害翻倍&lt;/battle&gt;","executors":[{"trigger":"onActiveSpellCast","type":"damageHealth","amount":20,"effectMultiplierWhenAdjacent":{"categories":["scripture"],"elements":["water"],"multiplier":2},"costs":[{"stat":"mana","amount":8,"realmGrowth":{"qiRefining":[8,16]}}],"realmGrowth":{"qiRefining":[20,40]}},{"trigger":"onActiveSpellCast","type":"itemRuntimeStatus","itemRuntimeStatus":"slow","targetActor":"enemy","amount":5,"durationSec":5}]}</t>
        </is>
      </c>
    </row>
    <row r="1948" ht="32" customHeight="1">
      <c r="A1948" s="8" t="n">
        <v>800138</v>
      </c>
      <c r="B1948" s="8" t="inlineStr">
        <is>
          <t>引金</t>
        </is>
      </c>
      <c r="C1948" s="8" t="inlineStr">
        <is>
          <t>招式</t>
        </is>
      </c>
      <c r="D1948" s="8" t="inlineStr">
        <is>
          <t>common</t>
        </is>
      </c>
      <c r="E1948" s="8" t="inlineStr">
        <is>
          <t>metal</t>
        </is>
      </c>
      <c r="F1948" s="8" t="n">
        <v>1</v>
      </c>
      <c r="G1948" s="8" t="inlineStr">
        <is>
          <t>基础/顶层</t>
        </is>
      </c>
      <c r="H1948" s="8" t="inlineStr"/>
      <c r="I1948" s="9" t="inlineStr"/>
      <c r="J1948" s="8" t="inlineStr"/>
      <c r="K1948" s="8" t="inlineStr"/>
      <c r="L1948" s="8" t="inlineStr"/>
      <c r="M1948" s="8" t="inlineStr">
        <is>
          <t>条件触发</t>
        </is>
      </c>
      <c r="N1948" s="8" t="inlineStr">
        <is>
          <t>triggered</t>
        </is>
      </c>
      <c r="O1948" s="9" t="inlineStr">
        <is>
          <t>相邻武器消耗法力时，获得等同于实际消耗量的凝金，单次最多 5 层</t>
        </is>
      </c>
      <c r="P1948" s="9" t="inlineStr">
        <is>
          <t>onPrimaryStatConsumed</t>
        </is>
      </c>
      <c r="Q1948" s="9" t="inlineStr">
        <is>
          <t>applyBuff；adjacent</t>
        </is>
      </c>
      <c r="R1948" s="9" t="inlineStr">
        <is>
          <t>{"kind":"triggered","label":"相邻武器消耗法力时，获得等同于实际消耗量的凝金，单次最多 5 层","triggeredEffect":{"trigger":"onPrimaryStatConsumed","type":"applyBuff","buffId":"condensedMetal","countPerEventPrimaryStatConsumed":{"stat":"mana","costPerStack":1,"maxCount":5},"eventSource":{"target":{"type":"adjacent"},"filter":{"features":["weapon"]}}}}</t>
        </is>
      </c>
    </row>
    <row r="1949" ht="32" customHeight="1">
      <c r="A1949" s="8" t="n">
        <v>800139</v>
      </c>
      <c r="B1949" s="8" t="inlineStr">
        <is>
          <t>金刃</t>
        </is>
      </c>
      <c r="C1949" s="8" t="inlineStr">
        <is>
          <t>招式</t>
        </is>
      </c>
      <c r="D1949" s="8" t="inlineStr">
        <is>
          <t>common</t>
        </is>
      </c>
      <c r="E1949" s="8" t="inlineStr">
        <is>
          <t>metal</t>
        </is>
      </c>
      <c r="F1949" s="8" t="n">
        <v>1</v>
      </c>
      <c r="G1949" s="8" t="inlineStr">
        <is>
          <t>基础/顶层</t>
        </is>
      </c>
      <c r="H1949" s="8" t="inlineStr"/>
      <c r="I1949" s="9" t="inlineStr"/>
      <c r="J1949" s="8" t="inlineStr"/>
      <c r="K1949" s="8" t="inlineStr"/>
      <c r="L1949" s="8" t="inlineStr"/>
      <c r="M1949" s="8" t="inlineStr">
        <is>
          <t>说明/执行器</t>
        </is>
      </c>
      <c r="N1949" s="8" t="inlineStr">
        <is>
          <t>effectNote</t>
        </is>
      </c>
      <c r="O1949" s="9" t="inlineStr">
        <is>
          <t>长按释放，消耗 3 点法力和 3 层凝金，对敌方造成 15 点伤害</t>
        </is>
      </c>
      <c r="P1949" s="9" t="inlineStr">
        <is>
          <t>onActiveSpellCast</t>
        </is>
      </c>
      <c r="Q1949" s="9" t="inlineStr">
        <is>
          <t>damageHealth</t>
        </is>
      </c>
      <c r="R1949" s="9" t="inlineStr">
        <is>
          <t>{"kind":"effectNote","label":"长按释放，消耗 3 点法力和 3 层凝金，&lt;battle&gt;对敌方造成 15 点伤害&lt;/battle&gt;","executors":[{"trigger":"onActiveSpellCast","type":"damageHealth","amount":15,"realmGrowth":{"qiRefining":[15,30]},"consumeSourceBuffStacks":{"buffId":"condensedMetal","requiredStacks":3,"maxStacks":3},"costs":[{"stat":"mana","amount":3,"realmGrowth":{"qiRefining":[3,6]}}]}]}</t>
        </is>
      </c>
    </row>
    <row r="1950" ht="32" customHeight="1">
      <c r="A1950" s="8" t="n">
        <v>800140</v>
      </c>
      <c r="B1950" s="8" t="inlineStr">
        <is>
          <t>回锋斩</t>
        </is>
      </c>
      <c r="C1950" s="8" t="inlineStr">
        <is>
          <t>招式</t>
        </is>
      </c>
      <c r="D1950" s="8" t="inlineStr">
        <is>
          <t>common</t>
        </is>
      </c>
      <c r="E1950" s="8" t="inlineStr">
        <is>
          <t>metal</t>
        </is>
      </c>
      <c r="F1950" s="8" t="n">
        <v>1</v>
      </c>
      <c r="G1950" s="8" t="inlineStr">
        <is>
          <t>基础/顶层</t>
        </is>
      </c>
      <c r="H1950" s="8" t="inlineStr"/>
      <c r="I1950" s="9" t="inlineStr"/>
      <c r="J1950" s="8" t="inlineStr"/>
      <c r="K1950" s="8" t="inlineStr"/>
      <c r="L1950" s="8" t="inlineStr"/>
      <c r="M1950" s="8" t="inlineStr">
        <is>
          <t>说明/执行器</t>
        </is>
      </c>
      <c r="N1950" s="8" t="inlineStr">
        <is>
          <t>effectNote</t>
        </is>
      </c>
      <c r="O1950" s="9" t="inlineStr">
        <is>
          <t>长按释放，消耗 12 层凝金，对敌方造成 3 次伤害，每次等于上一次武器造成的伤害</t>
        </is>
      </c>
      <c r="P1950" s="9" t="inlineStr">
        <is>
          <t>onActiveSpellCast</t>
        </is>
      </c>
      <c r="Q1950" s="9" t="inlineStr">
        <is>
          <t>damageLastWeaponDamage</t>
        </is>
      </c>
      <c r="R1950" s="9" t="inlineStr">
        <is>
          <t>{"kind":"effectNote","label":"长按释放，&lt;battle&gt;消耗 12 层凝金，对敌方造成 3 次伤害，每次等于上一次武器造成的伤害&lt;/battle&gt;","executors":[{"trigger":"onActiveSpellCast","type":"damageLastWeaponDamage","amount":0,"repeatCount":3,"consumeSourceBuffStacks":{"buffId":"condensedMetal","requiredStacks":12,"maxStacks":12}}]}</t>
        </is>
      </c>
    </row>
    <row r="1951" ht="32" customHeight="1">
      <c r="A1951" s="8" t="n">
        <v>800141</v>
      </c>
      <c r="B1951" s="8" t="inlineStr">
        <is>
          <t>碎甲式</t>
        </is>
      </c>
      <c r="C1951" s="8" t="inlineStr">
        <is>
          <t>招式</t>
        </is>
      </c>
      <c r="D1951" s="8" t="inlineStr">
        <is>
          <t>common</t>
        </is>
      </c>
      <c r="E1951" s="8" t="inlineStr">
        <is>
          <t>metal</t>
        </is>
      </c>
      <c r="F1951" s="8" t="n">
        <v>1</v>
      </c>
      <c r="G1951" s="8" t="inlineStr">
        <is>
          <t>基础/顶层</t>
        </is>
      </c>
      <c r="H1951" s="8" t="inlineStr"/>
      <c r="I1951" s="9" t="inlineStr"/>
      <c r="J1951" s="8" t="inlineStr"/>
      <c r="K1951" s="8" t="inlineStr"/>
      <c r="L1951" s="8" t="inlineStr"/>
      <c r="M1951" s="8" t="inlineStr">
        <is>
          <t>说明/执行器</t>
        </is>
      </c>
      <c r="N1951" s="8" t="inlineStr">
        <is>
          <t>effectNote</t>
        </is>
      </c>
      <c r="O1951" s="9" t="inlineStr">
        <is>
          <t>长按释放，消耗 6 点法力，使武器造成实际伤害时额外移除敌方 2 层护甲，持续 10 秒</t>
        </is>
      </c>
      <c r="P1951" s="9" t="inlineStr">
        <is>
          <t>onActiveSpellCast</t>
        </is>
      </c>
      <c r="Q1951" s="9" t="inlineStr">
        <is>
          <t>temporaryWeaponDamageTargetBuffRemoval</t>
        </is>
      </c>
      <c r="R1951" s="9" t="inlineStr">
        <is>
          <t>{"kind":"effectNote","label":"长按释放，消耗 6 点法力，&lt;battle&gt;使武器造成实际伤害时额外移除敌方 2 层护甲，持续 10 秒&lt;/battle&gt;","executors":[{"trigger":"onActiveSpellCast","type":"temporaryWeaponDamageTargetBuffRemoval","amount":2,"buffId":"armor","durationSec":10,"costs":[{"stat":"mana","amount":6,"realmGrowth":{"qiRefining":[6,12]}}],"realmGrowth":{"qiRefining":[2,3]}}]}</t>
        </is>
      </c>
    </row>
    <row r="1952" ht="32" customHeight="1">
      <c r="A1952" s="8" t="n">
        <v>800142</v>
      </c>
      <c r="B1952" s="8" t="inlineStr">
        <is>
          <t>炼金回气法</t>
        </is>
      </c>
      <c r="C1952" s="8" t="inlineStr">
        <is>
          <t>招式</t>
        </is>
      </c>
      <c r="D1952" s="8" t="inlineStr">
        <is>
          <t>common</t>
        </is>
      </c>
      <c r="E1952" s="8" t="inlineStr">
        <is>
          <t>metal</t>
        </is>
      </c>
      <c r="F1952" s="8" t="n">
        <v>1</v>
      </c>
      <c r="G1952" s="8" t="inlineStr">
        <is>
          <t>基础/顶层</t>
        </is>
      </c>
      <c r="H1952" s="8" t="inlineStr"/>
      <c r="I1952" s="9" t="inlineStr"/>
      <c r="J1952" s="8" t="inlineStr"/>
      <c r="K1952" s="8" t="inlineStr"/>
      <c r="L1952" s="8" t="inlineStr"/>
      <c r="M1952" s="8" t="inlineStr">
        <is>
          <t>说明/执行器</t>
        </is>
      </c>
      <c r="N1952" s="8" t="inlineStr">
        <is>
          <t>effectNote</t>
        </is>
      </c>
      <c r="O1952" s="9" t="inlineStr">
        <is>
          <t>长按释放，将最多 12 层凝金转化为等量法力</t>
        </is>
      </c>
      <c r="P1952" s="9" t="inlineStr">
        <is>
          <t>onActiveSpellCast</t>
        </is>
      </c>
      <c r="Q1952" s="9" t="inlineStr">
        <is>
          <t>primaryStatGain</t>
        </is>
      </c>
      <c r="R1952" s="9" t="inlineStr">
        <is>
          <t>{"kind":"effectNote","label":"长按释放，将最多 12 层凝金转化为等量法力","executors":[{"trigger":"onActiveSpellCast","type":"primaryStatGain","stat":"mana","amount":0,"amountPerConsumedBuffStack":1,"consumeBuffStacks":{"buffId":"condensedMetal","targetActor":"self","requiredStacks":1,"maxStacks":12},"realmGrowthByField":{"amountPerConsumedBuffStack":{"qiRefining":[1,2]}}}]}</t>
        </is>
      </c>
    </row>
    <row r="1953" ht="32" customHeight="1">
      <c r="A1953" s="8" t="n">
        <v>800143</v>
      </c>
      <c r="B1953" s="8" t="inlineStr">
        <is>
          <t>金气贯锋术</t>
        </is>
      </c>
      <c r="C1953" s="8" t="inlineStr">
        <is>
          <t>招式</t>
        </is>
      </c>
      <c r="D1953" s="8" t="inlineStr">
        <is>
          <t>common</t>
        </is>
      </c>
      <c r="E1953" s="8" t="inlineStr">
        <is>
          <t>metal</t>
        </is>
      </c>
      <c r="F1953" s="8" t="n">
        <v>1</v>
      </c>
      <c r="G1953" s="8" t="inlineStr">
        <is>
          <t>基础/顶层</t>
        </is>
      </c>
      <c r="H1953" s="8" t="inlineStr"/>
      <c r="I1953" s="9" t="inlineStr"/>
      <c r="J1953" s="8" t="inlineStr"/>
      <c r="K1953" s="8" t="inlineStr"/>
      <c r="L1953" s="8" t="inlineStr"/>
      <c r="M1953" s="8" t="inlineStr">
        <is>
          <t>说明/执行器</t>
        </is>
      </c>
      <c r="N1953" s="8" t="inlineStr">
        <is>
          <t>effectNote</t>
        </is>
      </c>
      <c r="O1953" s="9" t="inlineStr">
        <is>
          <t>长按释放，消耗 8 点法力和 8 层凝金，对敌方造成 18 点无视护甲的伤害</t>
        </is>
      </c>
      <c r="P1953" s="9" t="inlineStr">
        <is>
          <t>onActiveSpellCast</t>
        </is>
      </c>
      <c r="Q1953" s="9" t="inlineStr">
        <is>
          <t>damageHealth</t>
        </is>
      </c>
      <c r="R1953" s="9" t="inlineStr">
        <is>
          <t>{"kind":"effectNote","label":"长按释放，消耗 8 点法力和 8 层凝金，&lt;battle&gt;对敌方造成 18 点无视护甲的伤害&lt;/battle&gt;","executors":[{"trigger":"onActiveSpellCast","type":"damageHealth","amount":18,"realmGrowth":{"qiRefining":[18,36]},"ignoreArmor":true,"consumeSourceBuffStacks":{"buffId":"condensedMetal","requiredStacks":8,"maxStacks":8},"costs":[{"stat":"mana","amount":8,"realmGrowth":{"qiRefining":[8,16]}}]}]}</t>
        </is>
      </c>
    </row>
    <row r="1954" ht="32" customHeight="1">
      <c r="A1954" s="8" t="n">
        <v>800144</v>
      </c>
      <c r="B1954" s="8" t="inlineStr">
        <is>
          <t>百兵凝锋破阵诀</t>
        </is>
      </c>
      <c r="C1954" s="8" t="inlineStr">
        <is>
          <t>招式</t>
        </is>
      </c>
      <c r="D1954" s="8" t="inlineStr">
        <is>
          <t>common</t>
        </is>
      </c>
      <c r="E1954" s="8" t="inlineStr">
        <is>
          <t>metal</t>
        </is>
      </c>
      <c r="F1954" s="8" t="n">
        <v>1</v>
      </c>
      <c r="G1954" s="8" t="inlineStr">
        <is>
          <t>基础/顶层</t>
        </is>
      </c>
      <c r="H1954" s="8" t="inlineStr"/>
      <c r="I1954" s="9" t="inlineStr"/>
      <c r="J1954" s="8" t="inlineStr"/>
      <c r="K1954" s="8" t="inlineStr"/>
      <c r="L1954" s="8" t="inlineStr"/>
      <c r="M1954" s="8" t="inlineStr">
        <is>
          <t>说明/执行器</t>
        </is>
      </c>
      <c r="N1954" s="8" t="inlineStr">
        <is>
          <t>effectNote</t>
        </is>
      </c>
      <c r="O1954" s="9" t="inlineStr">
        <is>
          <t>长按释放，消耗 15 点法力和 15 层凝金，对敌方造成 10 点伤害多次，次数等于储物袋中武器数量</t>
        </is>
      </c>
      <c r="P1954" s="9" t="inlineStr">
        <is>
          <t>onActiveSpellCast</t>
        </is>
      </c>
      <c r="Q1954" s="9" t="inlineStr">
        <is>
          <t>damageHealth</t>
        </is>
      </c>
      <c r="R1954" s="9" t="inlineStr">
        <is>
          <t>{"kind":"effectNote","label":"长按释放，消耗 15 点法力和 15 层凝金，&lt;battle&gt;对敌方造成 10 点伤害多次，次数等于储物袋中武器数量&lt;/battle&gt;","executors":[{"trigger":"onActiveSpellCast","type":"damageHealth","amount":10,"realmGrowth":{"qiRefining":[10,20]},"repeatCountPerMatchingBagItem":{"features":["weapon"]},"consumeSourceBuffStacks":{"buffId":"condensedMetal","requiredStacks":15,"maxStacks":15},"costs":[{"stat":"mana","amount":15,"realmGrowth":{"qiRefining":[15,30]}}]}]}</t>
        </is>
      </c>
    </row>
    <row r="1955" ht="32" customHeight="1">
      <c r="A1955" s="8" t="n">
        <v>800145</v>
      </c>
      <c r="B1955" s="8" t="inlineStr">
        <is>
          <t>加甲</t>
        </is>
      </c>
      <c r="C1955" s="8" t="inlineStr">
        <is>
          <t>招式</t>
        </is>
      </c>
      <c r="D1955" s="8" t="inlineStr">
        <is>
          <t>common</t>
        </is>
      </c>
      <c r="E1955" s="8" t="inlineStr">
        <is>
          <t>none</t>
        </is>
      </c>
      <c r="F1955" s="8" t="n">
        <v>1</v>
      </c>
      <c r="G1955" s="8" t="inlineStr">
        <is>
          <t>基础/顶层</t>
        </is>
      </c>
      <c r="H1955" s="8" t="inlineStr"/>
      <c r="I1955" s="9" t="inlineStr"/>
      <c r="J1955" s="8" t="inlineStr"/>
      <c r="K1955" s="8" t="inlineStr"/>
      <c r="L1955" s="8" t="inlineStr"/>
      <c r="M1955" s="8" t="inlineStr">
        <is>
          <t>说明/执行器</t>
        </is>
      </c>
      <c r="N1955" s="8" t="inlineStr">
        <is>
          <t>effectNote</t>
        </is>
      </c>
      <c r="O1955" s="9" t="inlineStr">
        <is>
          <t>长按释放，消耗 4 点体力，获得 8 层护甲</t>
        </is>
      </c>
      <c r="P1955" s="9" t="inlineStr">
        <is>
          <t>onActiveSpellCast</t>
        </is>
      </c>
      <c r="Q1955" s="9" t="inlineStr">
        <is>
          <t>buffGain</t>
        </is>
      </c>
      <c r="R1955" s="9" t="inlineStr">
        <is>
          <t>{"kind":"effectNote","label":"长按释放，消耗 4 点体力，获得 8 层护甲","executors":[{"trigger":"onActiveSpellCast","type":"buffGain","buffId":"armor","amount":8,"realmGrowth":{"qiRefining":[8,12]},"costs":[{"stat":"stamina","amount":4,"realmGrowth":{"qiRefining":[4,8]}}]}]}</t>
        </is>
      </c>
    </row>
    <row r="1956" ht="32" customHeight="1">
      <c r="A1956" s="8" t="n">
        <v>800146</v>
      </c>
      <c r="B1956" s="8" t="inlineStr">
        <is>
          <t>沉身</t>
        </is>
      </c>
      <c r="C1956" s="8" t="inlineStr">
        <is>
          <t>招式</t>
        </is>
      </c>
      <c r="D1956" s="8" t="inlineStr">
        <is>
          <t>common</t>
        </is>
      </c>
      <c r="E1956" s="8" t="inlineStr">
        <is>
          <t>none</t>
        </is>
      </c>
      <c r="F1956" s="8" t="n">
        <v>1</v>
      </c>
      <c r="G1956" s="8" t="inlineStr">
        <is>
          <t>基础/顶层</t>
        </is>
      </c>
      <c r="H1956" s="8" t="inlineStr"/>
      <c r="I1956" s="9" t="inlineStr"/>
      <c r="J1956" s="8" t="inlineStr"/>
      <c r="K1956" s="8" t="inlineStr"/>
      <c r="L1956" s="8" t="inlineStr"/>
      <c r="M1956" s="8" t="inlineStr">
        <is>
          <t>说明/执行器</t>
        </is>
      </c>
      <c r="N1956" s="8" t="inlineStr">
        <is>
          <t>effectNote</t>
        </is>
      </c>
      <c r="O1956" s="9" t="inlineStr">
        <is>
          <t>长按释放，消耗 5 点体力，获得 4 层蓄势和 4 层护甲</t>
        </is>
      </c>
      <c r="P1956" s="9" t="inlineStr">
        <is>
          <t>onActiveSpellCast</t>
        </is>
      </c>
      <c r="Q1956" s="9" t="inlineStr">
        <is>
          <t>buffGain</t>
        </is>
      </c>
      <c r="R1956" s="9" t="inlineStr">
        <is>
          <t>{"kind":"effectNote","label":"长按释放，消耗 5 点体力，获得 4 层蓄势和 4 层护甲","executors":[{"trigger":"onActiveSpellCast","type":"buffGain","buffId":"heavy","amount":4,"realmGrowth":{"qiRefining":[4,6]},"costs":[{"stat":"stamina","amount":5,"realmGrowth":{"qiRefining":[5,10]}}]},{"trigger":"onActiveSpellCast","type":"buffGain","buffId":"armor","amount":4,"realmGrowth":{"qiRefining":[4,6]}}]}</t>
        </is>
      </c>
    </row>
    <row r="1957" ht="32" customHeight="1">
      <c r="A1957" s="8" t="n">
        <v>800147</v>
      </c>
      <c r="B1957" s="8" t="inlineStr">
        <is>
          <t>护甲回力</t>
        </is>
      </c>
      <c r="C1957" s="8" t="inlineStr">
        <is>
          <t>招式</t>
        </is>
      </c>
      <c r="D1957" s="8" t="inlineStr">
        <is>
          <t>common</t>
        </is>
      </c>
      <c r="E1957" s="8" t="inlineStr">
        <is>
          <t>none</t>
        </is>
      </c>
      <c r="F1957" s="8" t="n">
        <v>1</v>
      </c>
      <c r="G1957" s="8" t="inlineStr">
        <is>
          <t>基础/顶层</t>
        </is>
      </c>
      <c r="H1957" s="8" t="inlineStr"/>
      <c r="I1957" s="9" t="inlineStr"/>
      <c r="J1957" s="8" t="inlineStr"/>
      <c r="K1957" s="8" t="inlineStr"/>
      <c r="L1957" s="8" t="inlineStr"/>
      <c r="M1957" s="8" t="inlineStr">
        <is>
          <t>周期触发</t>
        </is>
      </c>
      <c r="N1957" s="8" t="inlineStr">
        <is>
          <t>periodicPulse</t>
        </is>
      </c>
      <c r="O1957" s="9" t="inlineStr">
        <is>
          <t>轮转时，如果护甲超过 10 层，获得 5 点体力</t>
        </is>
      </c>
      <c r="P1957" s="9" t="inlineStr"/>
      <c r="Q1957" s="9" t="inlineStr"/>
      <c r="R1957" s="9" t="inlineStr">
        <is>
          <t>{"kind":"periodicPulse","periodicPulse":{"intervalSec":10,"label":"轮转时，如果护甲超过 10 层，获得 5 点体力","primaryStatGains":[{"stat":"stamina","amount":5,"realmGrowth":{"qiRefining":[5,10]}}],"activationRequirements":{"buffStackThresholds":[{"buffId":"armor","comparator":"atLeast","count":11}]}}}</t>
        </is>
      </c>
    </row>
    <row r="1958" ht="32" customHeight="1">
      <c r="A1958" s="8" t="n">
        <v>800148</v>
      </c>
      <c r="B1958" s="8" t="inlineStr">
        <is>
          <t>铁衣覆身</t>
        </is>
      </c>
      <c r="C1958" s="8" t="inlineStr">
        <is>
          <t>招式</t>
        </is>
      </c>
      <c r="D1958" s="8" t="inlineStr">
        <is>
          <t>common</t>
        </is>
      </c>
      <c r="E1958" s="8" t="inlineStr">
        <is>
          <t>none</t>
        </is>
      </c>
      <c r="F1958" s="8" t="n">
        <v>1</v>
      </c>
      <c r="G1958" s="8" t="inlineStr">
        <is>
          <t>基础/顶层</t>
        </is>
      </c>
      <c r="H1958" s="8" t="inlineStr"/>
      <c r="I1958" s="9" t="inlineStr"/>
      <c r="J1958" s="8" t="inlineStr"/>
      <c r="K1958" s="8" t="inlineStr"/>
      <c r="L1958" s="8" t="inlineStr"/>
      <c r="M1958" s="8" t="inlineStr">
        <is>
          <t>周期触发</t>
        </is>
      </c>
      <c r="N1958" s="8" t="inlineStr">
        <is>
          <t>periodicPulse</t>
        </is>
      </c>
      <c r="O1958" s="9" t="inlineStr">
        <is>
          <t>轮转时，如果护甲超过 10 层，获得 2 层坚硬</t>
        </is>
      </c>
      <c r="P1958" s="9" t="inlineStr"/>
      <c r="Q1958" s="9" t="inlineStr"/>
      <c r="R1958" s="9" t="inlineStr">
        <is>
          <t>{"kind":"periodicPulse","periodicPulse":{"intervalSec":10,"label":"轮转时，如果护甲超过 10 层，获得 2 层坚硬","buffGains":[{"buffId":"sturdy","count":2,"realmGrowth":{"qiRefining":[2,3]}}],"activationRequirements":{"buffStackThresholds":[{"buffId":"armor","comparator":"atLeast","count":11}]}}}</t>
        </is>
      </c>
    </row>
    <row r="1959" ht="32" customHeight="1">
      <c r="A1959" s="8" t="n">
        <v>800149</v>
      </c>
      <c r="B1959" s="8" t="inlineStr">
        <is>
          <t>重甲守势诀</t>
        </is>
      </c>
      <c r="C1959" s="8" t="inlineStr">
        <is>
          <t>招式</t>
        </is>
      </c>
      <c r="D1959" s="8" t="inlineStr">
        <is>
          <t>common</t>
        </is>
      </c>
      <c r="E1959" s="8" t="inlineStr">
        <is>
          <t>none</t>
        </is>
      </c>
      <c r="F1959" s="8" t="n">
        <v>1</v>
      </c>
      <c r="G1959" s="8" t="inlineStr">
        <is>
          <t>基础/顶层</t>
        </is>
      </c>
      <c r="H1959" s="8" t="inlineStr"/>
      <c r="I1959" s="9" t="inlineStr"/>
      <c r="J1959" s="8" t="inlineStr"/>
      <c r="K1959" s="8" t="inlineStr"/>
      <c r="L1959" s="8" t="inlineStr"/>
      <c r="M1959" s="8" t="inlineStr">
        <is>
          <t>周期触发</t>
        </is>
      </c>
      <c r="N1959" s="8" t="inlineStr">
        <is>
          <t>periodicPulse</t>
        </is>
      </c>
      <c r="O1959" s="9" t="inlineStr">
        <is>
          <t>开局时，如果拥有不少于 8 件装备，获得 30 层护甲</t>
        </is>
      </c>
      <c r="P1959" s="9" t="inlineStr"/>
      <c r="Q1959" s="9" t="inlineStr"/>
      <c r="R1959" s="9" t="inlineStr">
        <is>
          <t>{"kind":"periodicPulse","periodicPulse":{"startOnly":true,"label":"开局时，如果拥有不少于 8 件装备，获得 30 层护甲","buffGains":[{"buffId":"armor","count":30,"realmGrowth":{"qiRefining":[30,45]}}],"activationRequirements":{"bagCounts":[{"minCount":8,"features":["equipment"]}]}}}</t>
        </is>
      </c>
    </row>
    <row r="1960" ht="32" customHeight="1">
      <c r="A1960" s="8" t="n">
        <v>800150</v>
      </c>
      <c r="B1960" s="8" t="inlineStr">
        <is>
          <t>负甲冲身式</t>
        </is>
      </c>
      <c r="C1960" s="8" t="inlineStr">
        <is>
          <t>招式</t>
        </is>
      </c>
      <c r="D1960" s="8" t="inlineStr">
        <is>
          <t>common</t>
        </is>
      </c>
      <c r="E1960" s="8" t="inlineStr">
        <is>
          <t>none</t>
        </is>
      </c>
      <c r="F1960" s="8" t="n">
        <v>1</v>
      </c>
      <c r="G1960" s="8" t="inlineStr">
        <is>
          <t>基础/顶层</t>
        </is>
      </c>
      <c r="H1960" s="8" t="inlineStr"/>
      <c r="I1960" s="9" t="inlineStr"/>
      <c r="J1960" s="8" t="inlineStr"/>
      <c r="K1960" s="8" t="inlineStr"/>
      <c r="L1960" s="8" t="inlineStr"/>
      <c r="M1960" s="8" t="inlineStr">
        <is>
          <t>说明/执行器</t>
        </is>
      </c>
      <c r="N1960" s="8" t="inlineStr">
        <is>
          <t>effectNote</t>
        </is>
      </c>
      <c r="O1960" s="9" t="inlineStr">
        <is>
          <t>长按释放，消耗 20 点体力和 20 层护甲，对敌方造成 60 点伤害</t>
        </is>
      </c>
      <c r="P1960" s="9" t="inlineStr">
        <is>
          <t>onActiveSpellCast</t>
        </is>
      </c>
      <c r="Q1960" s="9" t="inlineStr">
        <is>
          <t>damageHealth</t>
        </is>
      </c>
      <c r="R1960" s="9" t="inlineStr">
        <is>
          <t>{"kind":"effectNote","label":"长按释放，消耗 20 点体力和 20 层护甲，&lt;battle&gt;对敌方造成 60 点伤害&lt;/battle&gt;","executors":[{"trigger":"onActiveSpellCast","type":"damageHealth","amount":60,"realmGrowth":{"qiRefining":[60,120]},"consumeSourceBuffStacks":{"buffId":"armor","requiredStacks":20,"maxStacks":20},"costs":[{"stat":"stamina","amount":20,"realmGrowth":{"qiRefining":[20,40]}}]}]}</t>
        </is>
      </c>
    </row>
    <row r="1961" ht="32" customHeight="1">
      <c r="A1961" s="8" t="n">
        <v>800151</v>
      </c>
      <c r="B1961" s="8" t="inlineStr">
        <is>
          <t>百炼护具结阵法</t>
        </is>
      </c>
      <c r="C1961" s="8" t="inlineStr">
        <is>
          <t>招式</t>
        </is>
      </c>
      <c r="D1961" s="8" t="inlineStr">
        <is>
          <t>common</t>
        </is>
      </c>
      <c r="E1961" s="8" t="inlineStr">
        <is>
          <t>none</t>
        </is>
      </c>
      <c r="F1961" s="8" t="n">
        <v>1</v>
      </c>
      <c r="G1961" s="8" t="inlineStr">
        <is>
          <t>基础/顶层</t>
        </is>
      </c>
      <c r="H1961" s="8" t="inlineStr"/>
      <c r="I1961" s="9" t="inlineStr"/>
      <c r="J1961" s="8" t="inlineStr"/>
      <c r="K1961" s="8" t="inlineStr"/>
      <c r="L1961" s="8" t="inlineStr"/>
      <c r="M1961" s="8" t="inlineStr">
        <is>
          <t>周期触发</t>
        </is>
      </c>
      <c r="N1961" s="8" t="inlineStr">
        <is>
          <t>periodicPulse</t>
        </is>
      </c>
      <c r="O1961" s="9" t="inlineStr">
        <is>
          <t>轮转时，每有 1 件装备，获得 2 层护甲，最多计算 10 件</t>
        </is>
      </c>
      <c r="P1961" s="9" t="inlineStr"/>
      <c r="Q1961" s="9" t="inlineStr"/>
      <c r="R1961" s="9" t="inlineStr">
        <is>
          <t>{"kind":"periodicPulse","periodicPulse":{"intervalSec":10,"label":"轮转时，每有 1 件装备，获得 2 层护甲，最多计算 10 件","buffGains":[{"buffId":"armor","count":2,"realmGrowth":{"qiRefining":[2,3]}}],"scaling":{"mode":"count","source":"bagItems","features":["equipment"],"maxCount":10}}}</t>
        </is>
      </c>
    </row>
    <row r="1962" ht="32" customHeight="1">
      <c r="A1962" s="8" t="n">
        <v>800152</v>
      </c>
      <c r="B1962" s="8" t="inlineStr">
        <is>
          <t>听潮引</t>
        </is>
      </c>
      <c r="C1962" s="8" t="inlineStr">
        <is>
          <t>招式</t>
        </is>
      </c>
      <c r="D1962" s="8" t="inlineStr">
        <is>
          <t>common</t>
        </is>
      </c>
      <c r="E1962" s="8" t="inlineStr">
        <is>
          <t>water</t>
        </is>
      </c>
      <c r="F1962" s="8" t="n">
        <v>1</v>
      </c>
      <c r="G1962" s="8" t="inlineStr">
        <is>
          <t>基础/顶层</t>
        </is>
      </c>
      <c r="H1962" s="8" t="inlineStr"/>
      <c r="I1962" s="9" t="inlineStr"/>
      <c r="J1962" s="8" t="inlineStr"/>
      <c r="K1962" s="8" t="inlineStr"/>
      <c r="L1962" s="8" t="inlineStr"/>
      <c r="M1962" s="8" t="inlineStr">
        <is>
          <t>周期触发</t>
        </is>
      </c>
      <c r="N1962" s="8" t="inlineStr">
        <is>
          <t>periodicPulse</t>
        </is>
      </c>
      <c r="O1962" s="9" t="inlineStr">
        <is>
          <t>轮转时，如果拥有不少于 10 层露水，获得 3 层再生</t>
        </is>
      </c>
      <c r="P1962" s="9" t="inlineStr"/>
      <c r="Q1962" s="9" t="inlineStr"/>
      <c r="R1962" s="9" t="inlineStr">
        <is>
          <t>{"kind":"periodicPulse","periodicPulse":{"intervalSec":10,"label":"轮转时，如果拥有不少于 10 层露水，获得 3 层再生","buffGains":[{"buffId":"regeneration","count":3,"realmGrowth":{"qiRefining":[3,5]}}],"activationRequirements":{"buffStackThresholds":[{"buffId":"dew","comparator":"atLeast","count":10}]}}}</t>
        </is>
      </c>
    </row>
    <row r="1963" ht="32" customHeight="1">
      <c r="A1963" s="8" t="n">
        <v>800153</v>
      </c>
      <c r="B1963" s="8" t="inlineStr">
        <is>
          <t>澜息照</t>
        </is>
      </c>
      <c r="C1963" s="8" t="inlineStr">
        <is>
          <t>招式</t>
        </is>
      </c>
      <c r="D1963" s="8" t="inlineStr">
        <is>
          <t>common</t>
        </is>
      </c>
      <c r="E1963" s="8" t="inlineStr">
        <is>
          <t>water</t>
        </is>
      </c>
      <c r="F1963" s="8" t="n">
        <v>1</v>
      </c>
      <c r="G1963" s="8" t="inlineStr">
        <is>
          <t>基础/顶层</t>
        </is>
      </c>
      <c r="H1963" s="8" t="inlineStr"/>
      <c r="I1963" s="9" t="inlineStr"/>
      <c r="J1963" s="8" t="inlineStr"/>
      <c r="K1963" s="8" t="inlineStr"/>
      <c r="L1963" s="8" t="inlineStr"/>
      <c r="M1963" s="8" t="inlineStr">
        <is>
          <t>周期触发</t>
        </is>
      </c>
      <c r="N1963" s="8" t="inlineStr">
        <is>
          <t>periodicPulse</t>
        </is>
      </c>
      <c r="O1963" s="9" t="inlineStr">
        <is>
          <t>轮转时，如果拥有不少于 10 层露水，获得 8 点修为</t>
        </is>
      </c>
      <c r="P1963" s="9" t="inlineStr"/>
      <c r="Q1963" s="9" t="inlineStr"/>
      <c r="R1963" s="9" t="inlineStr">
        <is>
          <t>{"kind":"periodicPulse","periodicPulse":{"intervalSec":10,"cultivationGain":8,"label":"&lt;cultivation&gt;轮转时，如果拥有不少于 10 层露水，获得 8 点修为&lt;/cultivation&gt;","activationRequirements":{"buffStackThresholds":[{"buffId":"dew","comparator":"atLeast","count":10}]},"realmGrowthByField":{"cultivationGain":{"qiRefining":[8,16]}}}}</t>
        </is>
      </c>
    </row>
    <row r="1964" ht="32" customHeight="1">
      <c r="A1964" s="8" t="n">
        <v>800154</v>
      </c>
      <c r="B1964" s="8" t="inlineStr">
        <is>
          <t>桥鸣辨</t>
        </is>
      </c>
      <c r="C1964" s="8" t="inlineStr">
        <is>
          <t>招式</t>
        </is>
      </c>
      <c r="D1964" s="8" t="inlineStr">
        <is>
          <t>common</t>
        </is>
      </c>
      <c r="E1964" s="8" t="inlineStr">
        <is>
          <t>water</t>
        </is>
      </c>
      <c r="F1964" s="8" t="n">
        <v>1</v>
      </c>
      <c r="G1964" s="8" t="inlineStr">
        <is>
          <t>基础/顶层</t>
        </is>
      </c>
      <c r="H1964" s="8" t="inlineStr"/>
      <c r="I1964" s="9" t="inlineStr"/>
      <c r="J1964" s="8" t="inlineStr"/>
      <c r="K1964" s="8" t="inlineStr"/>
      <c r="L1964" s="8" t="inlineStr"/>
      <c r="M1964" s="8" t="inlineStr">
        <is>
          <t>说明/执行器</t>
        </is>
      </c>
      <c r="N1964" s="8" t="inlineStr">
        <is>
          <t>effectNote</t>
        </is>
      </c>
      <c r="O1964" s="9" t="inlineStr">
        <is>
          <t>长按释放，消耗 6 层露水，给敌方施加10层乱流</t>
        </is>
      </c>
      <c r="P1964" s="9" t="inlineStr">
        <is>
          <t>onActiveSpellCast</t>
        </is>
      </c>
      <c r="Q1964" s="9" t="inlineStr">
        <is>
          <t>buffGain</t>
        </is>
      </c>
      <c r="R1964" s="9" t="inlineStr">
        <is>
          <t>{"kind":"effectNote","label":"长按释放，消耗 6 层露水，&lt;battle&gt;给敌方施加10层乱流&lt;/battle&gt;","executors":[{"trigger":"onActiveSpellCast","type":"buffGain","targetActor":"enemy","support":"battleOnly","consumeSourceBuffStacks":{"buffId":"dew","requiredStacks":6,"maxStacks":6},"buffId":"turbulence","amount":10,"label":"长按释放，消耗 6 层露水，&lt;battle&gt;给敌方施加10层乱流&lt;/battle&gt;"}]}</t>
        </is>
      </c>
    </row>
    <row r="1965" ht="32" customHeight="1">
      <c r="A1965" s="8" t="n">
        <v>800155</v>
      </c>
      <c r="B1965" s="8" t="inlineStr">
        <is>
          <t>回波定</t>
        </is>
      </c>
      <c r="C1965" s="8" t="inlineStr">
        <is>
          <t>招式</t>
        </is>
      </c>
      <c r="D1965" s="8" t="inlineStr">
        <is>
          <t>common</t>
        </is>
      </c>
      <c r="E1965" s="8" t="inlineStr">
        <is>
          <t>water</t>
        </is>
      </c>
      <c r="F1965" s="8" t="n">
        <v>1</v>
      </c>
      <c r="G1965" s="8" t="inlineStr">
        <is>
          <t>基础/顶层</t>
        </is>
      </c>
      <c r="H1965" s="8" t="inlineStr"/>
      <c r="I1965" s="9" t="inlineStr"/>
      <c r="J1965" s="8" t="inlineStr"/>
      <c r="K1965" s="8" t="inlineStr"/>
      <c r="L1965" s="8" t="inlineStr"/>
      <c r="M1965" s="8" t="inlineStr">
        <is>
          <t>说明/执行器</t>
        </is>
      </c>
      <c r="N1965" s="8" t="inlineStr">
        <is>
          <t>effectNote</t>
        </is>
      </c>
      <c r="O1965" s="9" t="inlineStr">
        <is>
          <t>长按释放，消耗 10 点法力，获得 4 层坚硬，并使敌方随机 2 件道具冻结 1 秒</t>
        </is>
      </c>
      <c r="P1965" s="9" t="inlineStr">
        <is>
          <t>onActiveSpellCast</t>
        </is>
      </c>
      <c r="Q1965" s="9" t="inlineStr">
        <is>
          <t>buffGain；itemRuntimeStatus</t>
        </is>
      </c>
      <c r="R1965" s="9" t="inlineStr">
        <is>
          <t>{"kind":"effectNote","label":"长按释放，消耗 10 点法力，获得 4 层坚硬，&lt;battle&gt;并使敌方随机 2 件道具冻结 1 秒&lt;/battle&gt;","executors":[{"trigger":"onActiveSpellCast","type":"buffGain","buffId":"sturdy","amount":4,"realmGrowth":{"qiRefining":[4,6]},"costs":[{"stat":"mana","amount":10,"realmGrowth":{"qiRefining":[10,20]}}]},{"trigger":"onActiveSpellCast","type":"itemRuntimeStatus","itemRuntimeStatus":"freeze","targetActor":"enemy","targetSelection":"random","amount":2,"durationSec":1}]}</t>
        </is>
      </c>
    </row>
    <row r="1966" ht="32" customHeight="1">
      <c r="A1966" s="8" t="n">
        <v>800156</v>
      </c>
      <c r="B1966" s="8" t="inlineStr">
        <is>
          <t>潮门合</t>
        </is>
      </c>
      <c r="C1966" s="8" t="inlineStr">
        <is>
          <t>招式</t>
        </is>
      </c>
      <c r="D1966" s="8" t="inlineStr">
        <is>
          <t>common</t>
        </is>
      </c>
      <c r="E1966" s="8" t="inlineStr">
        <is>
          <t>water</t>
        </is>
      </c>
      <c r="F1966" s="8" t="n">
        <v>1</v>
      </c>
      <c r="G1966" s="8" t="inlineStr">
        <is>
          <t>基础/顶层</t>
        </is>
      </c>
      <c r="H1966" s="8" t="inlineStr"/>
      <c r="I1966" s="9" t="inlineStr"/>
      <c r="J1966" s="8" t="inlineStr"/>
      <c r="K1966" s="8" t="inlineStr"/>
      <c r="L1966" s="8" t="inlineStr"/>
      <c r="M1966" s="8" t="inlineStr">
        <is>
          <t>说明/执行器</t>
        </is>
      </c>
      <c r="N1966" s="8" t="inlineStr">
        <is>
          <t>effectNote</t>
        </is>
      </c>
      <c r="O1966" s="9" t="inlineStr">
        <is>
          <t>长按释放，6 秒内所有道具的属性消耗降低 3 点</t>
        </is>
      </c>
      <c r="P1966" s="9" t="inlineStr">
        <is>
          <t>onActiveSpellCast</t>
        </is>
      </c>
      <c r="Q1966" s="9" t="inlineStr">
        <is>
          <t>temporaryActiveSpellCostModifier</t>
        </is>
      </c>
      <c r="R1966" s="9" t="inlineStr">
        <is>
          <t>{"kind":"effectNote","label":"长按释放，6 秒内所有道具的属性消耗降低 3 点","executors":[{"trigger":"onActiveSpellCast","type":"temporaryActiveSpellCostModifier","stat":"all","amount":-3,"durationSec":6,"realmGrowth":{"qiRefining":[-3,-6]}}]}</t>
        </is>
      </c>
    </row>
    <row r="1967" ht="32" customHeight="1">
      <c r="A1967" s="8" t="n">
        <v>800157</v>
      </c>
      <c r="B1967" s="8" t="inlineStr">
        <is>
          <t>青河闻真</t>
        </is>
      </c>
      <c r="C1967" s="8" t="inlineStr">
        <is>
          <t>招式</t>
        </is>
      </c>
      <c r="D1967" s="8" t="inlineStr">
        <is>
          <t>common</t>
        </is>
      </c>
      <c r="E1967" s="8" t="inlineStr">
        <is>
          <t>water</t>
        </is>
      </c>
      <c r="F1967" s="8" t="n">
        <v>1</v>
      </c>
      <c r="G1967" s="8" t="inlineStr">
        <is>
          <t>基础/顶层</t>
        </is>
      </c>
      <c r="H1967" s="8" t="inlineStr"/>
      <c r="I1967" s="9" t="inlineStr"/>
      <c r="J1967" s="8" t="inlineStr"/>
      <c r="K1967" s="8" t="inlineStr"/>
      <c r="L1967" s="8" t="inlineStr"/>
      <c r="M1967" s="8" t="inlineStr">
        <is>
          <t>说明/执行器</t>
        </is>
      </c>
      <c r="N1967" s="8" t="inlineStr">
        <is>
          <t>effectNote</t>
        </is>
      </c>
      <c r="O1967" s="9" t="inlineStr">
        <is>
          <t>长按释放，10 秒内青河听潮篇获得的修为值增加 20%</t>
        </is>
      </c>
      <c r="P1967" s="9" t="inlineStr">
        <is>
          <t>onActiveSpellCast</t>
        </is>
      </c>
      <c r="Q1967" s="9" t="inlineStr">
        <is>
          <t>temporarySourceScriptureCultivationGainMultiplier</t>
        </is>
      </c>
      <c r="R1967" s="9" t="inlineStr">
        <is>
          <t>{"kind":"effectNote","label":"长按释放，&lt;cultivation&gt;10 秒内青河听潮篇获得的修为值增加 20%&lt;/cultivation&gt;","executors":[{"trigger":"onActiveSpellCast","type":"temporarySourceScriptureCultivationGainMultiplier","amount":1.2,"durationSec":10}]}</t>
        </is>
      </c>
    </row>
    <row r="1968" ht="32" customHeight="1">
      <c r="A1968" s="8" t="n">
        <v>800158</v>
      </c>
      <c r="B1968" s="8" t="inlineStr">
        <is>
          <t>潜痕步</t>
        </is>
      </c>
      <c r="C1968" s="8" t="inlineStr">
        <is>
          <t>招式</t>
        </is>
      </c>
      <c r="D1968" s="8" t="inlineStr">
        <is>
          <t>common</t>
        </is>
      </c>
      <c r="E1968" s="8" t="inlineStr">
        <is>
          <t>wind</t>
        </is>
      </c>
      <c r="F1968" s="8" t="n">
        <v>1</v>
      </c>
      <c r="G1968" s="8" t="inlineStr">
        <is>
          <t>基础/顶层</t>
        </is>
      </c>
      <c r="H1968" s="8" t="inlineStr"/>
      <c r="I1968" s="9" t="inlineStr"/>
      <c r="J1968" s="8" t="inlineStr"/>
      <c r="K1968" s="8" t="inlineStr"/>
      <c r="L1968" s="8" t="inlineStr"/>
      <c r="M1968" s="8" t="inlineStr">
        <is>
          <t>周期触发</t>
        </is>
      </c>
      <c r="N1968" s="8" t="inlineStr">
        <is>
          <t>periodicPulse</t>
        </is>
      </c>
      <c r="O1968" s="9" t="inlineStr">
        <is>
          <t>开局时，对接下来的 3 次伤害，每次有 50% 的概率规避伤害</t>
        </is>
      </c>
      <c r="P1968" s="9" t="inlineStr"/>
      <c r="Q1968" s="9" t="inlineStr"/>
      <c r="R1968" s="9" t="inlineStr">
        <is>
          <t>{"kind":"periodicPulse","periodicPulse":{"startOnly":true,"label":"&lt;battle&gt;开局时，对接下来的 3 次伤害，每次有 50% 的概率规避伤害&lt;/battle&gt;","buffGains":[{"buffId":"dodge","count":3,"realmGrowth":{"qiRefining":[3,5]}}]}}</t>
        </is>
      </c>
    </row>
    <row r="1969" ht="32" customHeight="1">
      <c r="A1969" s="8" t="n">
        <v>800159</v>
      </c>
      <c r="B1969" s="8" t="inlineStr">
        <is>
          <t>水线寻</t>
        </is>
      </c>
      <c r="C1969" s="8" t="inlineStr">
        <is>
          <t>招式</t>
        </is>
      </c>
      <c r="D1969" s="8" t="inlineStr">
        <is>
          <t>common</t>
        </is>
      </c>
      <c r="E1969" s="8" t="inlineStr">
        <is>
          <t>wind</t>
        </is>
      </c>
      <c r="F1969" s="8" t="n">
        <v>1</v>
      </c>
      <c r="G1969" s="8" t="inlineStr">
        <is>
          <t>基础/顶层</t>
        </is>
      </c>
      <c r="H1969" s="8" t="inlineStr"/>
      <c r="I1969" s="9" t="inlineStr"/>
      <c r="J1969" s="8" t="inlineStr"/>
      <c r="K1969" s="8" t="inlineStr"/>
      <c r="L1969" s="8" t="inlineStr"/>
      <c r="M1969" s="8" t="inlineStr">
        <is>
          <t>周期触发</t>
        </is>
      </c>
      <c r="N1969" s="8" t="inlineStr">
        <is>
          <t>periodicPulse</t>
        </is>
      </c>
      <c r="O1969" s="9" t="inlineStr">
        <is>
          <t>开局时，如果敏捷层数不低于 5 层，储物袋左边缘的所有道具获得 5 秒加速</t>
        </is>
      </c>
      <c r="P1969" s="9" t="inlineStr"/>
      <c r="Q1969" s="9" t="inlineStr"/>
      <c r="R1969" s="9" t="inlineStr">
        <is>
          <t>{"kind":"periodicPulse","periodicPulse":{"startOnly":true,"label":"开局时，如果敏捷层数不低于 5 层，储物袋左边缘的所有道具获得 5 秒加速","itemRuntimeStatusEffects":[{"itemRuntimeStatus":"haste","durationSec":5,"targetScope":"selfAll","targetFilter":{"touchedEdges":["left"]}}],"activationRequirements":{"buffStackThresholds":[{"buffId":"agile","comparator":"atLeast","count":5}]}}}</t>
        </is>
      </c>
    </row>
    <row r="1970" ht="32" customHeight="1">
      <c r="A1970" s="8" t="n">
        <v>800160</v>
      </c>
      <c r="B1970" s="8" t="inlineStr">
        <is>
          <t>回涡锁</t>
        </is>
      </c>
      <c r="C1970" s="8" t="inlineStr">
        <is>
          <t>招式</t>
        </is>
      </c>
      <c r="D1970" s="8" t="inlineStr">
        <is>
          <t>common</t>
        </is>
      </c>
      <c r="E1970" s="8" t="inlineStr">
        <is>
          <t>wind</t>
        </is>
      </c>
      <c r="F1970" s="8" t="n">
        <v>1</v>
      </c>
      <c r="G1970" s="8" t="inlineStr">
        <is>
          <t>基础/顶层</t>
        </is>
      </c>
      <c r="H1970" s="8" t="inlineStr"/>
      <c r="I1970" s="9" t="inlineStr"/>
      <c r="J1970" s="8" t="inlineStr"/>
      <c r="K1970" s="8" t="inlineStr"/>
      <c r="L1970" s="8" t="inlineStr"/>
      <c r="M1970" s="8" t="inlineStr">
        <is>
          <t>周期触发</t>
        </is>
      </c>
      <c r="N1970" s="8" t="inlineStr">
        <is>
          <t>periodicPulse</t>
        </is>
      </c>
      <c r="O1970" s="9" t="inlineStr">
        <is>
          <t>开局时，如果敏捷层数不低于 5 层，使敌方随机 3 件道具减速 5 秒</t>
        </is>
      </c>
      <c r="P1970" s="9" t="inlineStr"/>
      <c r="Q1970" s="9" t="inlineStr"/>
      <c r="R1970" s="9" t="inlineStr">
        <is>
          <t>{"kind":"periodicPulse","periodicPulse":{"startOnly":true,"label":"&lt;battle&gt;开局时，如果敏捷层数不低于 5 层，使敌方随机 3 件道具减速 5 秒&lt;/battle&gt;","itemRuntimeStatusEffects":[{"itemRuntimeStatus":"slow","durationSec":5,"targetScope":"enemyRandom","amount":3}],"activationRequirements":{"buffStackThresholds":[{"buffId":"agile","comparator":"atLeast","count":5}]}}}</t>
        </is>
      </c>
    </row>
    <row r="1971" ht="32" customHeight="1">
      <c r="A1971" s="8" t="n">
        <v>800161</v>
      </c>
      <c r="B1971" s="8" t="inlineStr">
        <is>
          <t>伏波缚</t>
        </is>
      </c>
      <c r="C1971" s="8" t="inlineStr">
        <is>
          <t>招式</t>
        </is>
      </c>
      <c r="D1971" s="8" t="inlineStr">
        <is>
          <t>common</t>
        </is>
      </c>
      <c r="E1971" s="8" t="inlineStr">
        <is>
          <t>wind</t>
        </is>
      </c>
      <c r="F1971" s="8" t="n">
        <v>1</v>
      </c>
      <c r="G1971" s="8" t="inlineStr">
        <is>
          <t>基础/顶层</t>
        </is>
      </c>
      <c r="H1971" s="8" t="inlineStr"/>
      <c r="I1971" s="9" t="inlineStr"/>
      <c r="J1971" s="8" t="inlineStr"/>
      <c r="K1971" s="8" t="inlineStr"/>
      <c r="L1971" s="8" t="inlineStr"/>
      <c r="M1971" s="8" t="inlineStr">
        <is>
          <t>说明/执行器</t>
        </is>
      </c>
      <c r="N1971" s="8" t="inlineStr">
        <is>
          <t>effectNote</t>
        </is>
      </c>
      <c r="O1971" s="9" t="inlineStr">
        <is>
          <t>消耗全部敏捷层数，获得 10 层坚硬和 8 层闪避</t>
        </is>
      </c>
      <c r="P1971" s="9" t="inlineStr">
        <is>
          <t>onActiveSpellCast</t>
        </is>
      </c>
      <c r="Q1971" s="9" t="inlineStr">
        <is>
          <t>buffGain</t>
        </is>
      </c>
      <c r="R1971" s="9" t="inlineStr">
        <is>
          <t>{"kind":"effectNote","label":"消耗全部敏捷层数，获得 10 层坚硬和 8 层闪避","executors":[{"trigger":"onActiveSpellCast","type":"buffGain","buffId":"sturdy","amount":10,"realmGrowth":{"qiRefining":[10,15]},"consumeSourceBuffStacks":{"buffId":"agile"}},{"trigger":"onActiveSpellCast","type":"buffGain","buffId":"dodge","amount":8,"realmGrowth":{"qiRefining":[8,12]},"activationRequirements":{"buffStackThresholds":[{"buffId":"agile","comparator":"atLeast","count":1}]}}]}</t>
        </is>
      </c>
    </row>
    <row r="1972" ht="32" customHeight="1">
      <c r="A1972" s="8" t="n">
        <v>800162</v>
      </c>
      <c r="B1972" s="8" t="inlineStr">
        <is>
          <t>溯源针</t>
        </is>
      </c>
      <c r="C1972" s="8" t="inlineStr">
        <is>
          <t>招式</t>
        </is>
      </c>
      <c r="D1972" s="8" t="inlineStr">
        <is>
          <t>common</t>
        </is>
      </c>
      <c r="E1972" s="8" t="inlineStr">
        <is>
          <t>wind</t>
        </is>
      </c>
      <c r="F1972" s="8" t="n">
        <v>1</v>
      </c>
      <c r="G1972" s="8" t="inlineStr">
        <is>
          <t>基础/顶层</t>
        </is>
      </c>
      <c r="H1972" s="8" t="inlineStr"/>
      <c r="I1972" s="9" t="inlineStr"/>
      <c r="J1972" s="8" t="inlineStr"/>
      <c r="K1972" s="8" t="inlineStr"/>
      <c r="L1972" s="8" t="inlineStr"/>
      <c r="M1972" s="8" t="inlineStr">
        <is>
          <t>条件触发</t>
        </is>
      </c>
      <c r="N1972" s="8" t="inlineStr">
        <is>
          <t>triggered</t>
        </is>
      </c>
      <c r="O1972" s="9" t="inlineStr">
        <is>
          <t>每次成功闪避后，对敌方造成等同于我方敏捷层数的伤害</t>
        </is>
      </c>
      <c r="P1972" s="9" t="inlineStr">
        <is>
          <t>onDodgeSucceeded</t>
        </is>
      </c>
      <c r="Q1972" s="9" t="inlineStr">
        <is>
          <t>battleDamageHealth</t>
        </is>
      </c>
      <c r="R1972" s="9" t="inlineStr">
        <is>
          <t>{"kind":"triggered","label":"&lt;battle&gt;每次成功闪避后，对敌方造成等同于我方敏捷层数的伤害&lt;/battle&gt;","triggeredEffect":{"trigger":"onDodgeSucceeded","type":"battleDamageHealth","amount":0,"cooldownSec":4,"amountPerSourceBuffStack":{"buffId":"agile","valuePerStack":1,"realmGrowth":{"qiRefining":[1,2]}}}}</t>
        </is>
      </c>
    </row>
    <row r="1973" ht="32" customHeight="1">
      <c r="A1973" s="8" t="n">
        <v>800163</v>
      </c>
      <c r="B1973" s="8" t="inlineStr">
        <is>
          <t>百里追汐</t>
        </is>
      </c>
      <c r="C1973" s="8" t="inlineStr">
        <is>
          <t>招式</t>
        </is>
      </c>
      <c r="D1973" s="8" t="inlineStr">
        <is>
          <t>common</t>
        </is>
      </c>
      <c r="E1973" s="8" t="inlineStr">
        <is>
          <t>wind</t>
        </is>
      </c>
      <c r="F1973" s="8" t="n">
        <v>1</v>
      </c>
      <c r="G1973" s="8" t="inlineStr">
        <is>
          <t>基础/顶层</t>
        </is>
      </c>
      <c r="H1973" s="8" t="inlineStr"/>
      <c r="I1973" s="9" t="inlineStr"/>
      <c r="J1973" s="8" t="inlineStr"/>
      <c r="K1973" s="8" t="inlineStr"/>
      <c r="L1973" s="8" t="inlineStr"/>
      <c r="M1973" s="8" t="inlineStr">
        <is>
          <t>周期触发</t>
        </is>
      </c>
      <c r="N1973" s="8" t="inlineStr">
        <is>
          <t>periodicPulse</t>
        </is>
      </c>
      <c r="O1973" s="9" t="inlineStr">
        <is>
          <t>轮转时，消耗 1 层敏捷，使敌方接下来 1 次闪避判定必定失效</t>
        </is>
      </c>
      <c r="P1973" s="9" t="inlineStr">
        <is>
          <t>onPeriodicPulse</t>
        </is>
      </c>
      <c r="Q1973" s="9" t="inlineStr">
        <is>
          <t>consumeBuffStacks</t>
        </is>
      </c>
      <c r="R1973" s="9" t="inlineStr">
        <is>
          <t>{"kind":"periodicPulse","periodicPulse":{"intervalSec":7,"label":"轮转时，消耗 1 层敏捷，&lt;battle&gt;使敌方接下来 1 次闪避判定必定失效&lt;/battle&gt;"},"executors":[{"trigger":"onPeriodicPulse","type":"consumeBuffStacks","sourceBuffId":"dodge","requiredStacks":1,"maxStacks":1,"consumeTargetActor":"enemy","support":"battleOnly","activationRequirements":{"buffStackThresholds":[{"buffId":"agile","comparator":"atLeast","count":1}]}},{"trigger":"onPeriodicPulse","type":"consumeBuffStacks","sourceBuffId":"agile","requiredStacks":1,"maxStacks":1}]}</t>
        </is>
      </c>
    </row>
    <row r="1974" ht="32" customHeight="1">
      <c r="A1974" s="8" t="n">
        <v>800164</v>
      </c>
      <c r="B1974" s="8" t="inlineStr">
        <is>
          <t>牵索引</t>
        </is>
      </c>
      <c r="C1974" s="8" t="inlineStr">
        <is>
          <t>招式</t>
        </is>
      </c>
      <c r="D1974" s="8" t="inlineStr">
        <is>
          <t>common</t>
        </is>
      </c>
      <c r="E1974" s="8" t="inlineStr">
        <is>
          <t>water</t>
        </is>
      </c>
      <c r="F1974" s="8" t="n">
        <v>1</v>
      </c>
      <c r="G1974" s="8" t="inlineStr">
        <is>
          <t>基础/顶层</t>
        </is>
      </c>
      <c r="H1974" s="8" t="inlineStr"/>
      <c r="I1974" s="9" t="inlineStr"/>
      <c r="J1974" s="8" t="inlineStr"/>
      <c r="K1974" s="8" t="inlineStr"/>
      <c r="L1974" s="8" t="inlineStr"/>
      <c r="M1974" s="8" t="inlineStr">
        <is>
          <t>说明/执行器</t>
        </is>
      </c>
      <c r="N1974" s="8" t="inlineStr">
        <is>
          <t>effectNote</t>
        </is>
      </c>
      <c r="O1974" s="9" t="inlineStr">
        <is>
          <t>长按释放，获得 3 层露水，使右侧所有武器获得 2 秒加速；敏捷不少于 5 层时，加速时间再增加 2 秒</t>
        </is>
      </c>
      <c r="P1974" s="9" t="inlineStr">
        <is>
          <t>onActiveSpellCast</t>
        </is>
      </c>
      <c r="Q1974" s="9" t="inlineStr">
        <is>
          <t>buffGain；itemRuntimeStatus</t>
        </is>
      </c>
      <c r="R1974" s="9" t="inlineStr">
        <is>
          <t>{"kind":"effectNote","label":"长按释放，获得 3 层露水，使右侧所有武器获得 2 秒加速；敏捷不少于 5 层时，加速时间再增加 2 秒","executors":[{"trigger":"onActiveSpellCast","type":"buffGain","buffId":"dew","amount":3,"realmGrowth":{"qiRefining":[3,5]}},{"trigger":"onActiveSpellCast","type":"itemRuntimeStatus","itemRuntimeStatus":"haste","targetSelection":"directionalAdjacent","targetDirection":"right","targetFilter":{"features":["weapon"]},"durationSec":2},{"trigger":"onActiveSpellCast","type":"itemRuntimeStatus","itemRuntimeStatus":"haste","targetSelection":"directionalAdjacent","targetDirection":"right","targetFilter":{"features":["weapon"]},"durationSec":2,"activationRequirements":{"buffStackThresholds":[{"buffId":"agile","comparator":"atLeast","count":5}]}}]}</t>
        </is>
      </c>
    </row>
    <row r="1975" ht="32" customHeight="1">
      <c r="A1975" s="8" t="n">
        <v>800165</v>
      </c>
      <c r="B1975" s="8" t="inlineStr">
        <is>
          <t>舟钉回</t>
        </is>
      </c>
      <c r="C1975" s="8" t="inlineStr">
        <is>
          <t>招式</t>
        </is>
      </c>
      <c r="D1975" s="8" t="inlineStr">
        <is>
          <t>common</t>
        </is>
      </c>
      <c r="E1975" s="8" t="inlineStr">
        <is>
          <t>water</t>
        </is>
      </c>
      <c r="F1975" s="8" t="n">
        <v>1</v>
      </c>
      <c r="G1975" s="8" t="inlineStr">
        <is>
          <t>基础/顶层</t>
        </is>
      </c>
      <c r="H1975" s="8" t="inlineStr"/>
      <c r="I1975" s="9" t="inlineStr"/>
      <c r="J1975" s="8" t="inlineStr"/>
      <c r="K1975" s="8" t="inlineStr"/>
      <c r="L1975" s="8" t="inlineStr"/>
      <c r="M1975" s="8" t="inlineStr">
        <is>
          <t>说明/执行器</t>
        </is>
      </c>
      <c r="N1975" s="8" t="inlineStr">
        <is>
          <t>effectNote</t>
        </is>
      </c>
      <c r="O1975" s="9" t="inlineStr">
        <is>
          <t>长按释放，消耗 10 点体力，获得 3 层露水，使同行最右侧武器下一次伤害额外造成 30 点伤害</t>
        </is>
      </c>
      <c r="P1975" s="9" t="inlineStr">
        <is>
          <t>onActiveSpellCast</t>
        </is>
      </c>
      <c r="Q1975" s="9" t="inlineStr">
        <is>
          <t>buffGain；temporaryWeaponDamageFlatModifier</t>
        </is>
      </c>
      <c r="R1975" s="9" t="inlineStr">
        <is>
          <t>{"kind":"effectNote","label":"长按释放，消耗 10 点体力，获得 3 层露水，&lt;battle&gt;使同行最右侧武器下一次伤害额外造成 30 点伤害&lt;/battle&gt;","executors":[{"trigger":"onActiveSpellCast","type":"buffGain","buffId":"dew","amount":3,"realmGrowth":{"qiRefining":[3,5]},"costs":[{"stat":"stamina","amount":10,"realmGrowth":{"qiRefining":[10,20]}}]},{"trigger":"onActiveSpellCast","type":"temporaryWeaponDamageFlatModifier","amount":30,"realmGrowth":{"qiRefining":[30,60]},"durationSec":60,"targetFilter":{"features":["weapon"]},"targetSelection":"sameRowRightmost","consumeOnNextUse":true,"independentDamageEvent":true,"support":"battleOnly"}]}</t>
        </is>
      </c>
    </row>
    <row r="1976" ht="32" customHeight="1">
      <c r="A1976" s="8" t="n">
        <v>800166</v>
      </c>
      <c r="B1976" s="8" t="inlineStr">
        <is>
          <t>转舵卸</t>
        </is>
      </c>
      <c r="C1976" s="8" t="inlineStr">
        <is>
          <t>招式</t>
        </is>
      </c>
      <c r="D1976" s="8" t="inlineStr">
        <is>
          <t>common</t>
        </is>
      </c>
      <c r="E1976" s="8" t="inlineStr">
        <is>
          <t>water</t>
        </is>
      </c>
      <c r="F1976" s="8" t="n">
        <v>1</v>
      </c>
      <c r="G1976" s="8" t="inlineStr">
        <is>
          <t>基础/顶层</t>
        </is>
      </c>
      <c r="H1976" s="8" t="inlineStr"/>
      <c r="I1976" s="9" t="inlineStr"/>
      <c r="J1976" s="8" t="inlineStr"/>
      <c r="K1976" s="8" t="inlineStr"/>
      <c r="L1976" s="8" t="inlineStr"/>
      <c r="M1976" s="8" t="inlineStr">
        <is>
          <t>说明/执行器</t>
        </is>
      </c>
      <c r="N1976" s="8" t="inlineStr">
        <is>
          <t>effectNote</t>
        </is>
      </c>
      <c r="O1976" s="9" t="inlineStr">
        <is>
          <t>受到伤害时，使用体力抵挡 30% 的伤害（最多 50 点）</t>
        </is>
      </c>
      <c r="P1976" s="9" t="inlineStr"/>
      <c r="Q1976" s="9" t="inlineStr"/>
      <c r="R1976" s="9" t="inlineStr">
        <is>
          <t>{"kind":"effectNote","label":"&lt;battle&gt;受到伤害时，使用体力抵挡 30% 的伤害（最多 50 点）&lt;/battle&gt;"}</t>
        </is>
      </c>
    </row>
    <row r="1977" ht="32" customHeight="1">
      <c r="A1977" s="8" t="n">
        <v>800167</v>
      </c>
      <c r="B1977" s="8" t="inlineStr">
        <is>
          <t>横缆困</t>
        </is>
      </c>
      <c r="C1977" s="8" t="inlineStr">
        <is>
          <t>招式</t>
        </is>
      </c>
      <c r="D1977" s="8" t="inlineStr">
        <is>
          <t>common</t>
        </is>
      </c>
      <c r="E1977" s="8" t="inlineStr">
        <is>
          <t>water</t>
        </is>
      </c>
      <c r="F1977" s="8" t="n">
        <v>1</v>
      </c>
      <c r="G1977" s="8" t="inlineStr">
        <is>
          <t>基础/顶层</t>
        </is>
      </c>
      <c r="H1977" s="8" t="inlineStr"/>
      <c r="I1977" s="9" t="inlineStr"/>
      <c r="J1977" s="8" t="inlineStr"/>
      <c r="K1977" s="8" t="inlineStr"/>
      <c r="L1977" s="8" t="inlineStr"/>
      <c r="M1977" s="8" t="inlineStr">
        <is>
          <t>说明/执行器</t>
        </is>
      </c>
      <c r="N1977" s="8" t="inlineStr">
        <is>
          <t>effectNote</t>
        </is>
      </c>
      <c r="O1977" s="9" t="inlineStr">
        <is>
          <t>长按释放，消耗 6 点体力，使敌方随机 2 件道具减速 5 秒</t>
        </is>
      </c>
      <c r="P1977" s="9" t="inlineStr">
        <is>
          <t>onActiveSpellCast</t>
        </is>
      </c>
      <c r="Q1977" s="9" t="inlineStr">
        <is>
          <t>itemRuntimeStatus</t>
        </is>
      </c>
      <c r="R1977" s="9" t="inlineStr">
        <is>
          <t>{"kind":"effectNote","label":"长按释放，消耗 6 点体力，&lt;battle&gt;使敌方随机 2 件道具减速 5 秒&lt;/battle&gt;","executors":[{"trigger":"onActiveSpellCast","type":"itemRuntimeStatus","itemRuntimeStatus":"slow","targetActor":"enemy","targetSelection":"random","amount":2,"durationSec":5,"support":"battleOnly","costs":[{"stat":"stamina","amount":6,"realmGrowth":{"qiRefining":[6,12]}}]}]}</t>
        </is>
      </c>
    </row>
    <row r="1978" ht="32" customHeight="1">
      <c r="A1978" s="8" t="n">
        <v>800168</v>
      </c>
      <c r="B1978" s="8" t="inlineStr">
        <is>
          <t>回澜振</t>
        </is>
      </c>
      <c r="C1978" s="8" t="inlineStr">
        <is>
          <t>招式</t>
        </is>
      </c>
      <c r="D1978" s="8" t="inlineStr">
        <is>
          <t>common</t>
        </is>
      </c>
      <c r="E1978" s="8" t="inlineStr">
        <is>
          <t>water</t>
        </is>
      </c>
      <c r="F1978" s="8" t="n">
        <v>1</v>
      </c>
      <c r="G1978" s="8" t="inlineStr">
        <is>
          <t>基础/顶层</t>
        </is>
      </c>
      <c r="H1978" s="8" t="inlineStr"/>
      <c r="I1978" s="9" t="inlineStr"/>
      <c r="J1978" s="8" t="inlineStr"/>
      <c r="K1978" s="8" t="inlineStr"/>
      <c r="L1978" s="8" t="inlineStr"/>
      <c r="M1978" s="8" t="inlineStr">
        <is>
          <t>说明/执行器</t>
        </is>
      </c>
      <c r="N1978" s="8" t="inlineStr">
        <is>
          <t>effectNote</t>
        </is>
      </c>
      <c r="O1978" s="9" t="inlineStr">
        <is>
          <t>长按释放，消耗 14 点体力，敌方每有 1 件道具处于加速状态，随机使 1 件道具获得 3 秒减速</t>
        </is>
      </c>
      <c r="P1978" s="9" t="inlineStr">
        <is>
          <t>onActiveSpellCast</t>
        </is>
      </c>
      <c r="Q1978" s="9" t="inlineStr">
        <is>
          <t>itemRuntimeStatus</t>
        </is>
      </c>
      <c r="R1978" s="9" t="inlineStr">
        <is>
          <t>{"kind":"effectNote","label":"长按释放，消耗 14 点体力，&lt;battle&gt;敌方每有 1 件道具处于加速状态，随机使 1 件道具获得 3 秒减速&lt;/battle&gt;","executors":[{"trigger":"onActiveSpellCast","type":"itemRuntimeStatus","itemRuntimeStatus":"slow","targetActor":"enemy","targetSelection":"random","amount":0,"durationSec":3,"support":"battleOnly","amountPerMatchingBagItem":{"valuePerItem":1,"runtimeStatuses":["haste"],"targetActor":"enemy"},"costs":[{"stat":"stamina","amount":14,"realmGrowth":{"qiRefining":[14,28]}}]}]}</t>
        </is>
      </c>
    </row>
    <row r="1979" ht="32" customHeight="1">
      <c r="A1979" s="8" t="n">
        <v>800169</v>
      </c>
      <c r="B1979" s="8" t="inlineStr">
        <is>
          <t>百机同牵</t>
        </is>
      </c>
      <c r="C1979" s="8" t="inlineStr">
        <is>
          <t>招式</t>
        </is>
      </c>
      <c r="D1979" s="8" t="inlineStr">
        <is>
          <t>common</t>
        </is>
      </c>
      <c r="E1979" s="8" t="inlineStr">
        <is>
          <t>water</t>
        </is>
      </c>
      <c r="F1979" s="8" t="n">
        <v>1</v>
      </c>
      <c r="G1979" s="8" t="inlineStr">
        <is>
          <t>基础/顶层</t>
        </is>
      </c>
      <c r="H1979" s="8" t="inlineStr"/>
      <c r="I1979" s="9" t="inlineStr"/>
      <c r="J1979" s="8" t="inlineStr"/>
      <c r="K1979" s="8" t="inlineStr"/>
      <c r="L1979" s="8" t="inlineStr"/>
      <c r="M1979" s="8" t="inlineStr">
        <is>
          <t>说明/执行器</t>
        </is>
      </c>
      <c r="N1979" s="8" t="inlineStr">
        <is>
          <t>effectNote</t>
        </is>
      </c>
      <c r="O1979" s="9" t="inlineStr">
        <is>
          <t>长按释放，消耗全部露水和 20 点体力，敌我场上每有 1 件加速或减速道具，对敌方造成 10 点伤害</t>
        </is>
      </c>
      <c r="P1979" s="9" t="inlineStr">
        <is>
          <t>onActiveSpellCast</t>
        </is>
      </c>
      <c r="Q1979" s="9" t="inlineStr">
        <is>
          <t>damageHealth</t>
        </is>
      </c>
      <c r="R1979" s="9" t="inlineStr">
        <is>
          <t>{"kind":"effectNote","label":"长按释放，消耗全部露水和 20 点体力，&lt;battle&gt;敌我场上每有 1 件加速或减速道具，对敌方造成 10 点伤害&lt;/battle&gt;","executors":[{"trigger":"onActiveSpellCast","type":"damageHealth","amount":0,"support":"battleOnly","amountPerMatchingBagItem":{"valuePerItem":10,"runtimeStatuses":["haste","slow"],"targetActor":"both","realmGrowth":{"qiRefining":[10,20]}},"costs":[{"stat":"stamina","amount":20,"realmGrowth":{"qiRefining":[20,40]}}],"consumeSourceBuffStacks":{"buffId":"dew","requiredStacks":1,"consumeRatio":1}}]}</t>
        </is>
      </c>
    </row>
    <row r="1980" ht="32" customHeight="1">
      <c r="A1980" s="8" t="n">
        <v>800262</v>
      </c>
      <c r="B1980" s="8" t="inlineStr">
        <is>
          <t>引露</t>
        </is>
      </c>
      <c r="C1980" s="8" t="inlineStr">
        <is>
          <t>招式</t>
        </is>
      </c>
      <c r="D1980" s="8" t="inlineStr">
        <is>
          <t>common</t>
        </is>
      </c>
      <c r="E1980" s="8" t="inlineStr">
        <is>
          <t>water</t>
        </is>
      </c>
      <c r="F1980" s="8" t="n">
        <v>1</v>
      </c>
      <c r="G1980" s="8" t="inlineStr">
        <is>
          <t>基础/顶层</t>
        </is>
      </c>
      <c r="H1980" s="8" t="inlineStr"/>
      <c r="I1980" s="9" t="inlineStr"/>
      <c r="J1980" s="8" t="inlineStr"/>
      <c r="K1980" s="8" t="inlineStr"/>
      <c r="L1980" s="8" t="inlineStr"/>
      <c r="M1980" s="8" t="inlineStr">
        <is>
          <t>周期触发</t>
        </is>
      </c>
      <c r="N1980" s="8" t="inlineStr">
        <is>
          <t>periodicPulse</t>
        </is>
      </c>
      <c r="O1980" s="9" t="inlineStr">
        <is>
          <t>开局时，将 10 点法力转化为 10 层露水</t>
        </is>
      </c>
      <c r="P1980" s="9" t="inlineStr"/>
      <c r="Q1980" s="9" t="inlineStr"/>
      <c r="R1980" s="9" t="inlineStr">
        <is>
          <t>{"kind":"periodicPulse","periodicPulse":{"startOnly":true,"label":"开局时，将 10 点法力转化为 10 层露水","primaryStatCosts":[{"stat":"mana","amount":10,"realmGrowth":{"qiRefining":[10,20]}}],"buffGains":[{"buffId":"dew","count":10,"realmGrowth":{"qiRefining":[10,15]}}]}}</t>
        </is>
      </c>
    </row>
    <row r="1981" ht="32" customHeight="1">
      <c r="A1981" s="8" t="n">
        <v>800263</v>
      </c>
      <c r="B1981" s="8" t="inlineStr">
        <is>
          <t>水线穿心</t>
        </is>
      </c>
      <c r="C1981" s="8" t="inlineStr">
        <is>
          <t>招式</t>
        </is>
      </c>
      <c r="D1981" s="8" t="inlineStr">
        <is>
          <t>common</t>
        </is>
      </c>
      <c r="E1981" s="8" t="inlineStr">
        <is>
          <t>water</t>
        </is>
      </c>
      <c r="F1981" s="8" t="n">
        <v>1</v>
      </c>
      <c r="G1981" s="8" t="inlineStr">
        <is>
          <t>基础/顶层</t>
        </is>
      </c>
      <c r="H1981" s="8" t="inlineStr"/>
      <c r="I1981" s="9" t="inlineStr"/>
      <c r="J1981" s="8" t="inlineStr"/>
      <c r="K1981" s="8" t="inlineStr"/>
      <c r="L1981" s="8" t="inlineStr"/>
      <c r="M1981" s="8" t="inlineStr">
        <is>
          <t>周期触发</t>
        </is>
      </c>
      <c r="N1981" s="8" t="inlineStr">
        <is>
          <t>periodicPulse</t>
        </is>
      </c>
      <c r="O1981" s="9" t="inlineStr">
        <is>
          <t>开局时，如果本列全部都是水属性招式，每个水属性招式对敌方造成 15 点伤害</t>
        </is>
      </c>
      <c r="P1981" s="9" t="inlineStr"/>
      <c r="Q1981" s="9" t="inlineStr"/>
      <c r="R1981" s="9" t="inlineStr">
        <is>
          <t>{"kind":"periodicPulse","periodicPulse":{"startOnly":true,"label":"&lt;battle&gt;开局时，如果本列全部都是水属性招式，每个水属性招式对敌方造成 15 点伤害&lt;/battle&gt;","damageHealth":{"target":"enemy","amount":15,"repeatCountScaling":{"mode":"count","source":"alignedItems","axis":"column","categories":["spell"],"elements":["water"],"includeSelf":true},"realmGrowth":{"qiRefining":[15,30]}},"activationRequirements":{"lineChains":[{"axis":"column","minLength":1,"categories":["spell"],"elements":["water"],"requireAllItemsOnLineMatch":true}]}}}</t>
        </is>
      </c>
    </row>
    <row r="1982" ht="32" customHeight="1">
      <c r="A1982" s="8" t="n">
        <v>800264</v>
      </c>
      <c r="B1982" s="8" t="inlineStr">
        <is>
          <t>潮满则寒</t>
        </is>
      </c>
      <c r="C1982" s="8" t="inlineStr">
        <is>
          <t>招式</t>
        </is>
      </c>
      <c r="D1982" s="8" t="inlineStr">
        <is>
          <t>common</t>
        </is>
      </c>
      <c r="E1982" s="8" t="inlineStr">
        <is>
          <t>water</t>
        </is>
      </c>
      <c r="F1982" s="8" t="n">
        <v>1</v>
      </c>
      <c r="G1982" s="8" t="inlineStr">
        <is>
          <t>基础/顶层</t>
        </is>
      </c>
      <c r="H1982" s="8" t="inlineStr"/>
      <c r="I1982" s="9" t="inlineStr"/>
      <c r="J1982" s="8" t="inlineStr"/>
      <c r="K1982" s="8" t="inlineStr"/>
      <c r="L1982" s="8" t="inlineStr"/>
      <c r="M1982" s="8" t="inlineStr">
        <is>
          <t>周期触发</t>
        </is>
      </c>
      <c r="N1982" s="8" t="inlineStr">
        <is>
          <t>periodicPulse</t>
        </is>
      </c>
      <c r="O1982" s="9" t="inlineStr">
        <is>
          <t>消耗 5 点法力，每有 3 层寒冷，对敌方施加 1 层冰霜</t>
        </is>
      </c>
      <c r="P1982" s="9" t="inlineStr">
        <is>
          <t>onPeriodicPulse</t>
        </is>
      </c>
      <c r="Q1982" s="9" t="inlineStr">
        <is>
          <t>applyBuff</t>
        </is>
      </c>
      <c r="R1982" s="9" t="inlineStr">
        <is>
          <t>{"kind":"periodicPulse","periodicPulse":{"intervalSec":7,"label":"消耗 5 点法力，&lt;battle&gt;每有 3 层寒冷，对敌方施加 1 层冰霜&lt;/battle&gt;","primaryStatCosts":[{"stat":"mana","amount":5,"realmGrowth":{"qiRefining":[5,10]}}]},"executors":[{"trigger":"onPeriodicPulse","type":"applyBuff","buffId":"frost","count":1,"targetActor":"enemy","support":"battleOnly","scaling":{"mode":"count","source":"buffStacks","buffId":"cold","countDivisor":3}}]}</t>
        </is>
      </c>
    </row>
    <row r="1983" ht="32" customHeight="1">
      <c r="A1983" s="8" t="n">
        <v>800265</v>
      </c>
      <c r="B1983" s="8" t="inlineStr">
        <is>
          <t>寒汊回生法</t>
        </is>
      </c>
      <c r="C1983" s="8" t="inlineStr">
        <is>
          <t>招式</t>
        </is>
      </c>
      <c r="D1983" s="8" t="inlineStr">
        <is>
          <t>common</t>
        </is>
      </c>
      <c r="E1983" s="8" t="inlineStr">
        <is>
          <t>water</t>
        </is>
      </c>
      <c r="F1983" s="8" t="n">
        <v>1</v>
      </c>
      <c r="G1983" s="8" t="inlineStr">
        <is>
          <t>基础/顶层</t>
        </is>
      </c>
      <c r="H1983" s="8" t="inlineStr"/>
      <c r="I1983" s="9" t="inlineStr"/>
      <c r="J1983" s="8" t="inlineStr"/>
      <c r="K1983" s="8" t="inlineStr"/>
      <c r="L1983" s="8" t="inlineStr"/>
      <c r="M1983" s="8" t="inlineStr">
        <is>
          <t>周期触发</t>
        </is>
      </c>
      <c r="N1983" s="8" t="inlineStr">
        <is>
          <t>periodicPulse</t>
        </is>
      </c>
      <c r="O1983" s="9" t="inlineStr">
        <is>
          <t>寒冷层数超过 20 时，恢复 20 点气血和 10 点法力</t>
        </is>
      </c>
      <c r="P1983" s="9" t="inlineStr"/>
      <c r="Q1983" s="9" t="inlineStr"/>
      <c r="R1983" s="9" t="inlineStr">
        <is>
          <t>{"kind":"periodicPulse","periodicPulse":{"intervalSec":13,"primaryStatGains":[{"stat":"health","amount":20,"realmGrowth":{"qiRefining":[20,40]}},{"stat":"mana","amount":10,"realmGrowth":{"qiRefining":[10,20]}}],"activationRequirements":{"buffStackThresholds":[{"buffId":"cold","comparator":"atLeast","count":21}]},"label":"寒冷层数超过 20 时，恢复 20 点气血和 10 点法力"}}</t>
        </is>
      </c>
    </row>
    <row r="1984" ht="32" customHeight="1">
      <c r="A1984" s="8" t="n">
        <v>800266</v>
      </c>
      <c r="B1984" s="8" t="inlineStr">
        <is>
          <t>开三闸</t>
        </is>
      </c>
      <c r="C1984" s="8" t="inlineStr">
        <is>
          <t>招式</t>
        </is>
      </c>
      <c r="D1984" s="8" t="inlineStr">
        <is>
          <t>common</t>
        </is>
      </c>
      <c r="E1984" s="8" t="inlineStr">
        <is>
          <t>water</t>
        </is>
      </c>
      <c r="F1984" s="8" t="n">
        <v>1</v>
      </c>
      <c r="G1984" s="8" t="inlineStr">
        <is>
          <t>基础/顶层</t>
        </is>
      </c>
      <c r="H1984" s="8" t="inlineStr"/>
      <c r="I1984" s="9" t="inlineStr"/>
      <c r="J1984" s="8" t="inlineStr"/>
      <c r="K1984" s="8" t="inlineStr"/>
      <c r="L1984" s="8" t="inlineStr"/>
      <c r="M1984" s="8" t="inlineStr">
        <is>
          <t>说明/执行器</t>
        </is>
      </c>
      <c r="N1984" s="8" t="inlineStr">
        <is>
          <t>effectNote</t>
        </is>
      </c>
      <c r="O1984" s="9" t="inlineStr">
        <is>
          <t>每当使用水属性消耗品时，对敌方造成 3 次 10 点伤害；使用水属性消耗品时造成 10 点伤害；使用水属性消耗品时再次造成 10 点伤害；使用水属性消耗品时第三次造成 10 点伤害</t>
        </is>
      </c>
      <c r="P1984" s="9" t="inlineStr">
        <is>
          <t>onConsumableActivated</t>
        </is>
      </c>
      <c r="Q1984" s="9" t="inlineStr">
        <is>
          <t>battleDamageHealth；any</t>
        </is>
      </c>
      <c r="R1984" s="9" t="inlineStr">
        <is>
          <t>{"kind":"effectNote","label":"每当使用水属性消耗品时，&lt;battle&gt;对敌方造成 3 次 10 点伤害&lt;/battle&gt;","executors":[{"trigger":"onConsumableActivated","type":"battleDamageHealth","amount":10,"support":"battleOnly","label":"&lt;battle&gt;使用水属性消耗品时造成 10 点伤害&lt;/battle&gt;","eventSource":{"target":{"type":"any"},"filter":{"categories":["pill","talisman"],"elements":["water"]}},"realmGrowth":{"qiRefining":[10,20]}},{"trigger":"onConsumableActivated","type":"battleDamageHealth","amount":10,"support":"battleOnly","label":"&lt;battle&gt;使用水属性消耗品时再次造成 10 点伤害&lt;/battle&gt;","eventSource":{"target":{"type":"any"},"filter":{"categories":["pill","talisman"],"elements":["water"]}},"realmGrowth":{"qiRefining":[10,20]}},{"trigger":"onConsumableActivated","type":"battleDamageHealth","amount":10,"support":"battleOnly","label":"&lt;battle&gt;使用水属性消耗品时第三次造成 10 点伤害&lt;/battle&gt;","eventSource":{"target":{"type":"any"},"filter":{"categories":["pill","talisman"],"elements":["water"]}},"realmGrowth":{"qiRefining":[10,20]}}]}</t>
        </is>
      </c>
    </row>
    <row r="1985" ht="32" customHeight="1">
      <c r="A1985" s="8" t="n">
        <v>800267</v>
      </c>
      <c r="B1985" s="8" t="inlineStr">
        <is>
          <t>潮头压境</t>
        </is>
      </c>
      <c r="C1985" s="8" t="inlineStr">
        <is>
          <t>招式</t>
        </is>
      </c>
      <c r="D1985" s="8" t="inlineStr">
        <is>
          <t>common</t>
        </is>
      </c>
      <c r="E1985" s="8" t="inlineStr">
        <is>
          <t>water</t>
        </is>
      </c>
      <c r="F1985" s="8" t="n">
        <v>1</v>
      </c>
      <c r="G1985" s="8" t="inlineStr">
        <is>
          <t>基础/顶层</t>
        </is>
      </c>
      <c r="H1985" s="8" t="inlineStr"/>
      <c r="I1985" s="9" t="inlineStr"/>
      <c r="J1985" s="8" t="inlineStr"/>
      <c r="K1985" s="8" t="inlineStr"/>
      <c r="L1985" s="8" t="inlineStr"/>
      <c r="M1985" s="8" t="inlineStr">
        <is>
          <t>周期触发</t>
        </is>
      </c>
      <c r="N1985" s="8" t="inlineStr">
        <is>
          <t>periodicPulse</t>
        </is>
      </c>
      <c r="O1985" s="9" t="inlineStr">
        <is>
          <t>轮转时，我方露水达到敌方 2 倍时，对敌方施加 10 层冰霜</t>
        </is>
      </c>
      <c r="P1985" s="9" t="inlineStr"/>
      <c r="Q1985" s="9" t="inlineStr">
        <is>
          <t>sourceBuffStacksAtLeastTargetRatio</t>
        </is>
      </c>
      <c r="R1985" s="9" t="inlineStr">
        <is>
          <t>{"kind":"periodicPulse","periodicPulse":{"intervalSec":15,"label":"&lt;battle&gt;轮转时，我方露水达到敌方 2 倍时，对敌方施加 10 层冰霜&lt;/battle&gt;","battleCondition":{"type":"sourceBuffStacksAtLeastTargetRatio","buffId":"dew","ratio":2},"buffGains":[{"buffId":"frost","count":10,"target":"enemy","realmGrowth":{"qiRefining":[10,15]}}]}}</t>
        </is>
      </c>
    </row>
    <row r="1986" ht="32" customHeight="1">
      <c r="A1986" s="8" t="n">
        <v>800268</v>
      </c>
      <c r="B1986" s="8" t="inlineStr">
        <is>
          <t>万流成冰</t>
        </is>
      </c>
      <c r="C1986" s="8" t="inlineStr">
        <is>
          <t>招式</t>
        </is>
      </c>
      <c r="D1986" s="8" t="inlineStr">
        <is>
          <t>common</t>
        </is>
      </c>
      <c r="E1986" s="8" t="inlineStr">
        <is>
          <t>water</t>
        </is>
      </c>
      <c r="F1986" s="8" t="n">
        <v>1</v>
      </c>
      <c r="G1986" s="8" t="inlineStr">
        <is>
          <t>基础/顶层</t>
        </is>
      </c>
      <c r="H1986" s="8" t="inlineStr"/>
      <c r="I1986" s="9" t="inlineStr"/>
      <c r="J1986" s="8" t="inlineStr"/>
      <c r="K1986" s="8" t="inlineStr"/>
      <c r="L1986" s="8" t="inlineStr"/>
      <c r="M1986" s="8" t="inlineStr">
        <is>
          <t>说明/执行器</t>
        </is>
      </c>
      <c r="N1986" s="8" t="inlineStr">
        <is>
          <t>effectNote</t>
        </is>
      </c>
      <c r="O1986" s="9" t="inlineStr">
        <is>
          <t>长按释放，每有 1 个水属性法器，使敌方随机 1 件道具冻结 1 秒</t>
        </is>
      </c>
      <c r="P1986" s="9" t="inlineStr">
        <is>
          <t>onActiveSpellCast</t>
        </is>
      </c>
      <c r="Q1986" s="9" t="inlineStr">
        <is>
          <t>itemRuntimeStatus</t>
        </is>
      </c>
      <c r="R1986" s="9" t="inlineStr">
        <is>
          <t>{"kind":"effectNote","label":"长按释放，每有 1 个水属性法器，使敌方随机 1 件道具冻结 1 秒","executors":[{"trigger":"onActiveSpellCast","type":"itemRuntimeStatus","itemRuntimeStatus":"freeze","targetActor":"enemy","targetSelection":"random","amount":0,"durationSec":1,"amountPerMatchingBagItem":{"valuePerItem":1,"categories":["implement"],"elements":["water"]},"support":"battleOnly"}]}</t>
        </is>
      </c>
    </row>
    <row r="1987" ht="32" customHeight="1">
      <c r="A1987" s="8" t="n">
        <v>800269</v>
      </c>
      <c r="B1987" s="8" t="inlineStr">
        <is>
          <t>借来一阵风</t>
        </is>
      </c>
      <c r="C1987" s="8" t="inlineStr">
        <is>
          <t>招式</t>
        </is>
      </c>
      <c r="D1987" s="8" t="inlineStr">
        <is>
          <t>common</t>
        </is>
      </c>
      <c r="E1987" s="8" t="inlineStr">
        <is>
          <t>wind</t>
        </is>
      </c>
      <c r="F1987" s="8" t="n">
        <v>1</v>
      </c>
      <c r="G1987" s="8" t="inlineStr">
        <is>
          <t>基础/顶层</t>
        </is>
      </c>
      <c r="H1987" s="8" t="inlineStr"/>
      <c r="I1987" s="9" t="inlineStr"/>
      <c r="J1987" s="8" t="inlineStr"/>
      <c r="K1987" s="8" t="inlineStr"/>
      <c r="L1987" s="8" t="inlineStr"/>
      <c r="M1987" s="8" t="inlineStr">
        <is>
          <t>条件触发</t>
        </is>
      </c>
      <c r="N1987" s="8" t="inlineStr">
        <is>
          <t>triggered</t>
        </is>
      </c>
      <c r="O1987" s="9" t="inlineStr">
        <is>
          <t>每当上下相邻招式释放时，获得 1 层敏捷</t>
        </is>
      </c>
      <c r="P1987" s="9" t="inlineStr">
        <is>
          <t>onItemUse</t>
        </is>
      </c>
      <c r="Q1987" s="9" t="inlineStr">
        <is>
          <t>applyBuff；directional-adjacent</t>
        </is>
      </c>
      <c r="R1987" s="9" t="inlineStr">
        <is>
          <t>{"kind":"triggered","label":"每当上下相邻招式释放时，获得 1 层敏捷","triggeredEffect":{"trigger":"onItemUse","type":"applyBuff","buffId":"agile","count":1,"eventSource":{"target":{"type":"directional-adjacent","direction":"both-vertical"},"filter":{"categories":["spell"]}},"realmGrowth":{"qiRefining":[1,2]}}}</t>
        </is>
      </c>
    </row>
    <row r="1988" ht="32" customHeight="1">
      <c r="A1988" s="8" t="n">
        <v>800270</v>
      </c>
      <c r="B1988" s="8" t="inlineStr">
        <is>
          <t>割浪</t>
        </is>
      </c>
      <c r="C1988" s="8" t="inlineStr">
        <is>
          <t>招式</t>
        </is>
      </c>
      <c r="D1988" s="8" t="inlineStr">
        <is>
          <t>common</t>
        </is>
      </c>
      <c r="E1988" s="8" t="inlineStr">
        <is>
          <t>wind</t>
        </is>
      </c>
      <c r="F1988" s="8" t="n">
        <v>1</v>
      </c>
      <c r="G1988" s="8" t="inlineStr">
        <is>
          <t>基础/顶层</t>
        </is>
      </c>
      <c r="H1988" s="8" t="inlineStr"/>
      <c r="I1988" s="9" t="inlineStr"/>
      <c r="J1988" s="8" t="inlineStr"/>
      <c r="K1988" s="8" t="inlineStr"/>
      <c r="L1988" s="8" t="inlineStr"/>
      <c r="M1988" s="8" t="inlineStr">
        <is>
          <t>周期触发</t>
        </is>
      </c>
      <c r="N1988" s="8" t="inlineStr">
        <is>
          <t>periodicPulse</t>
        </is>
      </c>
      <c r="O1988" s="9" t="inlineStr">
        <is>
          <t>轮转时，如果再生不低于 8 层且敏捷不低于 4 层，对敌方造成 18 点伤害</t>
        </is>
      </c>
      <c r="P1988" s="9" t="inlineStr"/>
      <c r="Q1988" s="9" t="inlineStr"/>
      <c r="R1988" s="9" t="inlineStr">
        <is>
          <t>{"kind":"periodicPulse","periodicPulse":{"intervalSec":10,"label":"轮转时，如果再生不低于 8 层且敏捷不低于 4 层，&lt;battle&gt;对敌方造成 18 点伤害&lt;/battle&gt;","activationRequirements":{"buffStackThresholds":[{"buffId":"regeneration","comparator":"atLeast","count":8},{"buffId":"agile","comparator":"atLeast","count":4}]},"damageHealth":{"target":"enemy","amount":18,"realmGrowth":{"qiRefining":[18,36]}}}}</t>
        </is>
      </c>
    </row>
    <row r="1989" ht="32" customHeight="1">
      <c r="A1989" s="8" t="n">
        <v>800271</v>
      </c>
      <c r="B1989" s="8" t="inlineStr">
        <is>
          <t>药尽帆张</t>
        </is>
      </c>
      <c r="C1989" s="8" t="inlineStr">
        <is>
          <t>招式</t>
        </is>
      </c>
      <c r="D1989" s="8" t="inlineStr">
        <is>
          <t>common</t>
        </is>
      </c>
      <c r="E1989" s="8" t="inlineStr">
        <is>
          <t>wind</t>
        </is>
      </c>
      <c r="F1989" s="8" t="n">
        <v>1</v>
      </c>
      <c r="G1989" s="8" t="inlineStr">
        <is>
          <t>基础/顶层</t>
        </is>
      </c>
      <c r="H1989" s="8" t="inlineStr"/>
      <c r="I1989" s="9" t="inlineStr"/>
      <c r="J1989" s="8" t="inlineStr"/>
      <c r="K1989" s="8" t="inlineStr"/>
      <c r="L1989" s="8" t="inlineStr"/>
      <c r="M1989" s="8" t="inlineStr">
        <is>
          <t>条件触发</t>
        </is>
      </c>
      <c r="N1989" s="8" t="inlineStr">
        <is>
          <t>triggered</t>
        </is>
      </c>
      <c r="O1989" s="9" t="inlineStr">
        <is>
          <t>每当有丹药耗尽时，获得 5 层敏捷</t>
        </is>
      </c>
      <c r="P1989" s="9" t="inlineStr">
        <is>
          <t>onConsumableExhausted</t>
        </is>
      </c>
      <c r="Q1989" s="9" t="inlineStr">
        <is>
          <t>applyBuff；any</t>
        </is>
      </c>
      <c r="R1989" s="9" t="inlineStr">
        <is>
          <t>{"kind":"triggered","label":"每当有丹药耗尽时，获得 5 层敏捷","triggeredEffect":{"trigger":"onConsumableExhausted","type":"applyBuff","buffId":"agile","count":5,"eventSource":{"target":{"type":"any"},"filter":{"categories":["pill"]}},"realmGrowth":{"qiRefining":[5,8]}}}</t>
        </is>
      </c>
    </row>
    <row r="1990" ht="32" customHeight="1">
      <c r="A1990" s="8" t="n">
        <v>800272</v>
      </c>
      <c r="B1990" s="8" t="inlineStr">
        <is>
          <t>歇舟养气法</t>
        </is>
      </c>
      <c r="C1990" s="8" t="inlineStr">
        <is>
          <t>招式</t>
        </is>
      </c>
      <c r="D1990" s="8" t="inlineStr">
        <is>
          <t>common</t>
        </is>
      </c>
      <c r="E1990" s="8" t="inlineStr">
        <is>
          <t>wind</t>
        </is>
      </c>
      <c r="F1990" s="8" t="n">
        <v>1</v>
      </c>
      <c r="G1990" s="8" t="inlineStr">
        <is>
          <t>基础/顶层</t>
        </is>
      </c>
      <c r="H1990" s="8" t="inlineStr"/>
      <c r="I1990" s="9" t="inlineStr"/>
      <c r="J1990" s="8" t="inlineStr"/>
      <c r="K1990" s="8" t="inlineStr"/>
      <c r="L1990" s="8" t="inlineStr"/>
      <c r="M1990" s="8" t="inlineStr">
        <is>
          <t>条件触发</t>
        </is>
      </c>
      <c r="N1990" s="8" t="inlineStr">
        <is>
          <t>triggered</t>
        </is>
      </c>
      <c r="O1990" s="9" t="inlineStr">
        <is>
          <t>每消耗 1 层敏捷，恢复 2 点气血</t>
        </is>
      </c>
      <c r="P1990" s="9" t="inlineStr">
        <is>
          <t>onBuffConsumed</t>
        </is>
      </c>
      <c r="Q1990" s="9" t="inlineStr">
        <is>
          <t>modifyPlayerPrimaryStat</t>
        </is>
      </c>
      <c r="R1990" s="9" t="inlineStr">
        <is>
          <t>{"kind":"triggered","label":"每消耗 1 层敏捷，恢复 2 点气血","triggeredEffect":{"trigger":"onBuffConsumed","eventBuffId":"agile","type":"modifyPlayerPrimaryStat","stat":"health","deltaPerEventBuffStack":2,"realmGrowthByField":{"deltaPerEventBuffStack":{"qiRefining":[2,4]}},"label":"每消耗 1 层敏捷，恢复 2 点气血"}}</t>
        </is>
      </c>
    </row>
    <row r="1991" ht="32" customHeight="1">
      <c r="A1991" s="8" t="n">
        <v>800273</v>
      </c>
      <c r="B1991" s="8" t="inlineStr">
        <is>
          <t>逆汐穿港</t>
        </is>
      </c>
      <c r="C1991" s="8" t="inlineStr">
        <is>
          <t>招式</t>
        </is>
      </c>
      <c r="D1991" s="8" t="inlineStr">
        <is>
          <t>common</t>
        </is>
      </c>
      <c r="E1991" s="8" t="inlineStr">
        <is>
          <t>wind</t>
        </is>
      </c>
      <c r="F1991" s="8" t="n">
        <v>1</v>
      </c>
      <c r="G1991" s="8" t="inlineStr">
        <is>
          <t>基础/顶层</t>
        </is>
      </c>
      <c r="H1991" s="8" t="inlineStr"/>
      <c r="I1991" s="9" t="inlineStr"/>
      <c r="J1991" s="8" t="inlineStr"/>
      <c r="K1991" s="8" t="inlineStr"/>
      <c r="L1991" s="8" t="inlineStr"/>
      <c r="M1991" s="8" t="inlineStr">
        <is>
          <t>说明/执行器</t>
        </is>
      </c>
      <c r="N1991" s="8" t="inlineStr">
        <is>
          <t>effectNote</t>
        </is>
      </c>
      <c r="O1991" s="9" t="inlineStr">
        <is>
          <t>本局内，体力上限 +0、法力上限 +0，每次获得敏捷后效果升级。；本局内，体力上限；法力上限</t>
        </is>
      </c>
      <c r="P1991" s="9" t="inlineStr">
        <is>
          <t>onBuffGain</t>
        </is>
      </c>
      <c r="Q1991" s="9" t="inlineStr">
        <is>
          <t>primaryStatMaxFlatBonus</t>
        </is>
      </c>
      <c r="R1991" s="9" t="inlineStr">
        <is>
          <t>{"kind":"effectNote","label":"本局内，体力上限 +0、法力上限 +0，每次获得敏捷后效果升级。","executors":[],"modifiers":[{"type":"primaryStatMaxFlatBonus","stat":"stamina","value":0,"label":"本局内，体力上限 +0、法力上限 +0，每次获得敏捷后效果升级。"},{"type":"primaryStatMaxFlatBonus","stat":"mana","value":0,"label":"本局内，体力上限 +0、法力上限 +0，每次获得敏捷后效果升级。"}],"growth":{"lifecycle":"singleGame","trigger":"onBuffGain","bindings":[{"path":"modifiers.0.value","delta":1,"maxValue":50,"label":"本局内，体力上限","textOccurrence":0},{"path":"modifiers.1.value","delta":1,"maxValue":50,"label":"法力上限","textOccurrence":1}],"eventBuffId":"agile","support":"common"}}</t>
        </is>
      </c>
    </row>
    <row r="1992" ht="32" customHeight="1">
      <c r="A1992" s="8" t="n">
        <v>800274</v>
      </c>
      <c r="B1992" s="8" t="inlineStr">
        <is>
          <t>大帆遮阵</t>
        </is>
      </c>
      <c r="C1992" s="8" t="inlineStr">
        <is>
          <t>招式</t>
        </is>
      </c>
      <c r="D1992" s="8" t="inlineStr">
        <is>
          <t>common</t>
        </is>
      </c>
      <c r="E1992" s="8" t="inlineStr">
        <is>
          <t>wind</t>
        </is>
      </c>
      <c r="F1992" s="8" t="n">
        <v>1</v>
      </c>
      <c r="G1992" s="8" t="inlineStr">
        <is>
          <t>基础/顶层</t>
        </is>
      </c>
      <c r="H1992" s="8" t="inlineStr"/>
      <c r="I1992" s="9" t="inlineStr"/>
      <c r="J1992" s="8" t="inlineStr"/>
      <c r="K1992" s="8" t="inlineStr"/>
      <c r="L1992" s="8" t="inlineStr"/>
      <c r="M1992" s="8" t="inlineStr">
        <is>
          <t>说明/执行器</t>
        </is>
      </c>
      <c r="N1992" s="8" t="inlineStr">
        <is>
          <t>effectNote</t>
        </is>
      </c>
      <c r="O1992" s="9" t="inlineStr">
        <is>
          <t>累计获得50层再生后，消耗50点体力，获得30层敏捷和20层闪避</t>
        </is>
      </c>
      <c r="P1992" s="9" t="inlineStr">
        <is>
          <t>formationSwitch；onBuffGain</t>
        </is>
      </c>
      <c r="Q1992" s="9" t="inlineStr">
        <is>
          <t>applyBuff</t>
        </is>
      </c>
      <c r="R1992" s="9" t="inlineStr">
        <is>
          <t>{"kind":"effectNote","label":"累计获得50层再生后，消耗50点体力，获得30层敏捷和20层闪避","executors":[{"trigger":"formationSwitch","type":"applyBuff","buffId":"agile","count":30,"realmGrowth":{"qiRefining":[30,45]},"charge":{"threshold":50,"source":{"trigger":"onBuffGain","buffIds":["regeneration"]}},"primaryStatCost":{"stat":"stamina","amount":50,"realmGrowth":{"qiRefining":[50,100]}},"label":"累计获得50层再生后，消耗50点体力，获得30层敏捷和20层闪避"},{"trigger":"formationSwitch","type":"applyBuff","buffId":"dodge","count":20,"realmGrowth":{"qiRefining":[20,30]},"charge":{"threshold":50,"source":{"trigger":"onBuffGain","buffIds":["regeneration"]}},"label":"累计获得50层再生后，消耗50点体力，获得30层敏捷和20层闪避"}]}</t>
        </is>
      </c>
    </row>
    <row r="1993" ht="32" customHeight="1">
      <c r="A1993" s="8" t="n">
        <v>800275</v>
      </c>
      <c r="B1993" s="8" t="inlineStr">
        <is>
          <t>好风送万舟</t>
        </is>
      </c>
      <c r="C1993" s="8" t="inlineStr">
        <is>
          <t>招式</t>
        </is>
      </c>
      <c r="D1993" s="8" t="inlineStr">
        <is>
          <t>common</t>
        </is>
      </c>
      <c r="E1993" s="8" t="inlineStr">
        <is>
          <t>wind</t>
        </is>
      </c>
      <c r="F1993" s="8" t="n">
        <v>1</v>
      </c>
      <c r="G1993" s="8" t="inlineStr">
        <is>
          <t>基础/顶层</t>
        </is>
      </c>
      <c r="H1993" s="8" t="inlineStr"/>
      <c r="I1993" s="9" t="inlineStr"/>
      <c r="J1993" s="8" t="inlineStr"/>
      <c r="K1993" s="8" t="inlineStr"/>
      <c r="L1993" s="8" t="inlineStr"/>
      <c r="M1993" s="8" t="inlineStr">
        <is>
          <t>说明/执行器</t>
        </is>
      </c>
      <c r="N1993" s="8" t="inlineStr">
        <is>
          <t>effectNote</t>
        </is>
      </c>
      <c r="O1993" s="9" t="inlineStr">
        <is>
          <t>长按释放，消耗 25 点法力，使下方相邻功法所属的所有招式获得 8 秒加速</t>
        </is>
      </c>
      <c r="P1993" s="9" t="inlineStr">
        <is>
          <t>onActiveSpellCast</t>
        </is>
      </c>
      <c r="Q1993" s="9" t="inlineStr">
        <is>
          <t>itemRuntimeStatus</t>
        </is>
      </c>
      <c r="R1993" s="9" t="inlineStr">
        <is>
          <t>{"kind":"effectNote","label":"长按释放，消耗 25 点法力，使下方相邻功法所属的所有招式获得 8 秒加速","executors":[{"trigger":"onActiveSpellCast","type":"itemRuntimeStatus","itemRuntimeStatus":"haste","durationSec":8,"targetActor":"self","targetSelection":"sourceScriptureSpellsOfDirectionalAdjacent","targetDirection":"down","costs":[{"stat":"mana","amount":25,"realmGrowth":{"foundation":[25,50]}}]}]}</t>
        </is>
      </c>
    </row>
    <row r="1994" ht="32" customHeight="1">
      <c r="A1994" s="8" t="n">
        <v>800276</v>
      </c>
      <c r="B1994" s="8" t="inlineStr">
        <is>
          <t>一契成金</t>
        </is>
      </c>
      <c r="C1994" s="8" t="inlineStr">
        <is>
          <t>招式</t>
        </is>
      </c>
      <c r="D1994" s="8" t="inlineStr">
        <is>
          <t>common</t>
        </is>
      </c>
      <c r="E1994" s="8" t="inlineStr">
        <is>
          <t>metal</t>
        </is>
      </c>
      <c r="F1994" s="8" t="n">
        <v>1</v>
      </c>
      <c r="G1994" s="8" t="inlineStr">
        <is>
          <t>基础/顶层</t>
        </is>
      </c>
      <c r="H1994" s="8" t="inlineStr"/>
      <c r="I1994" s="9" t="inlineStr"/>
      <c r="J1994" s="8" t="inlineStr"/>
      <c r="K1994" s="8" t="inlineStr"/>
      <c r="L1994" s="8" t="inlineStr"/>
      <c r="M1994" s="8" t="inlineStr">
        <is>
          <t>周期触发</t>
        </is>
      </c>
      <c r="N1994" s="8" t="inlineStr">
        <is>
          <t>periodicPulse</t>
        </is>
      </c>
      <c r="O1994" s="9" t="inlineStr">
        <is>
          <t>轮转时，每有 1 件金属性道具，获得 1 层凝金</t>
        </is>
      </c>
      <c r="P1994" s="9" t="inlineStr"/>
      <c r="Q1994" s="9" t="inlineStr"/>
      <c r="R1994" s="9" t="inlineStr">
        <is>
          <t>{"kind":"periodicPulse","periodicPulse":{"intervalSec":10,"label":"轮转时，每有 1 件金属性道具，获得 1 层凝金","buffGains":[{"buffId":"condensedMetal","count":1,"realmGrowth":{"qiRefining":[1,2]}}],"scaling":{"mode":"count","source":"bagItems","elements":["metal"]}}}</t>
        </is>
      </c>
    </row>
    <row r="1995" ht="32" customHeight="1">
      <c r="A1995" s="8" t="n">
        <v>800277</v>
      </c>
      <c r="B1995" s="8" t="inlineStr">
        <is>
          <t>断锋</t>
        </is>
      </c>
      <c r="C1995" s="8" t="inlineStr">
        <is>
          <t>招式</t>
        </is>
      </c>
      <c r="D1995" s="8" t="inlineStr">
        <is>
          <t>common</t>
        </is>
      </c>
      <c r="E1995" s="8" t="inlineStr">
        <is>
          <t>metal</t>
        </is>
      </c>
      <c r="F1995" s="8" t="n">
        <v>1</v>
      </c>
      <c r="G1995" s="8" t="inlineStr">
        <is>
          <t>基础/顶层</t>
        </is>
      </c>
      <c r="H1995" s="8" t="inlineStr"/>
      <c r="I1995" s="9" t="inlineStr"/>
      <c r="J1995" s="8" t="inlineStr"/>
      <c r="K1995" s="8" t="inlineStr"/>
      <c r="L1995" s="8" t="inlineStr"/>
      <c r="M1995" s="8" t="inlineStr">
        <is>
          <t>说明/执行器</t>
        </is>
      </c>
      <c r="N1995" s="8" t="inlineStr">
        <is>
          <t>effectNote</t>
        </is>
      </c>
      <c r="O1995" s="9" t="inlineStr">
        <is>
          <t>长按释放，消耗 3 点法力和 3 层凝金，对敌方造成 22 点伤害</t>
        </is>
      </c>
      <c r="P1995" s="9" t="inlineStr">
        <is>
          <t>onActiveSpellCast</t>
        </is>
      </c>
      <c r="Q1995" s="9" t="inlineStr">
        <is>
          <t>damageHealth</t>
        </is>
      </c>
      <c r="R1995" s="9" t="inlineStr">
        <is>
          <t>{"kind":"effectNote","label":"长按释放，消耗 3 点法力和 3 层凝金，&lt;battle&gt;对敌方造成 22 点伤害&lt;/battle&gt;","executors":[{"trigger":"onActiveSpellCast","type":"damageHealth","amount":22,"realmGrowth":{"qiRefining":[22,44]},"consumeSourceBuffStacks":{"buffId":"condensedMetal","requiredStacks":3,"maxStacks":3},"costs":[{"stat":"mana","amount":3,"realmGrowth":{"qiRefining":[3,6]}}]}]}</t>
        </is>
      </c>
    </row>
    <row r="1996" ht="32" customHeight="1">
      <c r="A1996" s="8" t="n">
        <v>800278</v>
      </c>
      <c r="B1996" s="8" t="inlineStr">
        <is>
          <t>旧账重收</t>
        </is>
      </c>
      <c r="C1996" s="8" t="inlineStr">
        <is>
          <t>招式</t>
        </is>
      </c>
      <c r="D1996" s="8" t="inlineStr">
        <is>
          <t>common</t>
        </is>
      </c>
      <c r="E1996" s="8" t="inlineStr">
        <is>
          <t>metal</t>
        </is>
      </c>
      <c r="F1996" s="8" t="n">
        <v>1</v>
      </c>
      <c r="G1996" s="8" t="inlineStr">
        <is>
          <t>基础/顶层</t>
        </is>
      </c>
      <c r="H1996" s="8" t="inlineStr"/>
      <c r="I1996" s="9" t="inlineStr"/>
      <c r="J1996" s="8" t="inlineStr"/>
      <c r="K1996" s="8" t="inlineStr"/>
      <c r="L1996" s="8" t="inlineStr"/>
      <c r="M1996" s="8" t="inlineStr">
        <is>
          <t>说明/执行器</t>
        </is>
      </c>
      <c r="N1996" s="8" t="inlineStr">
        <is>
          <t>effectNote</t>
        </is>
      </c>
      <c r="O1996" s="9" t="inlineStr">
        <is>
          <t>长按释放，将最多 6 层凝金转化为等量法力</t>
        </is>
      </c>
      <c r="P1996" s="9" t="inlineStr">
        <is>
          <t>onActiveSpellCast</t>
        </is>
      </c>
      <c r="Q1996" s="9" t="inlineStr">
        <is>
          <t>primaryStatGain</t>
        </is>
      </c>
      <c r="R1996" s="9" t="inlineStr">
        <is>
          <t>{"kind":"effectNote","label":"长按释放，将最多 6 层凝金转化为等量法力","executors":[{"trigger":"onActiveSpellCast","type":"primaryStatGain","stat":"mana","amount":0,"amountPerConsumedBuffStack":1,"consumeBuffStacks":{"buffId":"condensedMetal","targetActor":"self","requiredStacks":1,"maxStacks":6},"realmGrowthByField":{"amountPerConsumedBuffStack":{"qiRefining":[1,2]}}}]}</t>
        </is>
      </c>
    </row>
    <row r="1997" ht="32" customHeight="1">
      <c r="A1997" s="8" t="n">
        <v>800279</v>
      </c>
      <c r="B1997" s="8" t="inlineStr">
        <is>
          <t>十息封械令</t>
        </is>
      </c>
      <c r="C1997" s="8" t="inlineStr">
        <is>
          <t>招式</t>
        </is>
      </c>
      <c r="D1997" s="8" t="inlineStr">
        <is>
          <t>common</t>
        </is>
      </c>
      <c r="E1997" s="8" t="inlineStr">
        <is>
          <t>metal</t>
        </is>
      </c>
      <c r="F1997" s="8" t="n">
        <v>1</v>
      </c>
      <c r="G1997" s="8" t="inlineStr">
        <is>
          <t>基础/顶层</t>
        </is>
      </c>
      <c r="H1997" s="8" t="inlineStr"/>
      <c r="I1997" s="9" t="inlineStr"/>
      <c r="J1997" s="8" t="inlineStr"/>
      <c r="K1997" s="8" t="inlineStr"/>
      <c r="L1997" s="8" t="inlineStr"/>
      <c r="M1997" s="8" t="inlineStr">
        <is>
          <t>说明/执行器</t>
        </is>
      </c>
      <c r="N1997" s="8" t="inlineStr">
        <is>
          <t>effectNote</t>
        </is>
      </c>
      <c r="O1997" s="9" t="inlineStr">
        <is>
          <t>长按释放，消耗 10 点法力，移除敌方 6 层护甲</t>
        </is>
      </c>
      <c r="P1997" s="9" t="inlineStr">
        <is>
          <t>onActiveSpellCast</t>
        </is>
      </c>
      <c r="Q1997" s="9" t="inlineStr">
        <is>
          <t>removeBuffStacks</t>
        </is>
      </c>
      <c r="R1997" s="9" t="inlineStr">
        <is>
          <t>{"kind":"effectNote","label":"长按释放，消耗 10 点法力，&lt;battle&gt;移除敌方 6 层护甲&lt;/battle&gt;","executors":[{"trigger":"onActiveSpellCast","type":"removeBuffStacks","buffId":"armor","targetActor":"enemy","amount":6,"costs":[{"stat":"mana","amount":10,"realmGrowth":{"qiRefining":[10,20]}}],"realmGrowth":{"qiRefining":[6,9]}}]}</t>
        </is>
      </c>
    </row>
    <row r="1998" ht="32" customHeight="1">
      <c r="A1998" s="8" t="n">
        <v>800280</v>
      </c>
      <c r="B1998" s="8" t="inlineStr">
        <is>
          <t>金筹落</t>
        </is>
      </c>
      <c r="C1998" s="8" t="inlineStr">
        <is>
          <t>招式</t>
        </is>
      </c>
      <c r="D1998" s="8" t="inlineStr">
        <is>
          <t>common</t>
        </is>
      </c>
      <c r="E1998" s="8" t="inlineStr">
        <is>
          <t>metal</t>
        </is>
      </c>
      <c r="F1998" s="8" t="n">
        <v>1</v>
      </c>
      <c r="G1998" s="8" t="inlineStr">
        <is>
          <t>基础/顶层</t>
        </is>
      </c>
      <c r="H1998" s="8" t="inlineStr"/>
      <c r="I1998" s="9" t="inlineStr"/>
      <c r="J1998" s="8" t="inlineStr"/>
      <c r="K1998" s="8" t="inlineStr"/>
      <c r="L1998" s="8" t="inlineStr"/>
      <c r="M1998" s="8" t="inlineStr">
        <is>
          <t>说明/执行器</t>
        </is>
      </c>
      <c r="N1998" s="8" t="inlineStr">
        <is>
          <t>effectNote</t>
        </is>
      </c>
      <c r="O1998" s="9" t="inlineStr">
        <is>
          <t>长按释放，消耗 12 点法力和 8 层凝金，先移除敌方 6 层护甲，再对其造成 40 点伤害</t>
        </is>
      </c>
      <c r="P1998" s="9" t="inlineStr">
        <is>
          <t>onActiveSpellCast</t>
        </is>
      </c>
      <c r="Q1998" s="9" t="inlineStr">
        <is>
          <t>removeBuffStacks；damageHealth</t>
        </is>
      </c>
      <c r="R1998" s="9" t="inlineStr">
        <is>
          <t>{"kind":"effectNote","label":"长按释放，消耗 12 点法力和 8 层凝金，&lt;battle&gt;先移除敌方 6 层护甲，再对其造成 40 点伤害&lt;/battle&gt;","executors":[{"trigger":"onActiveSpellCast","type":"removeBuffStacks","buffId":"armor","targetActor":"enemy","amount":6,"activationRequirements":{"buffStackThresholds":[{"buffId":"condensedMetal","comparator":"atLeast","count":8}]},"consumeSourceBuffStacks":{"buffId":"condensedMetal","requiredStacks":8,"maxStacks":8},"costs":[{"stat":"mana","amount":12,"realmGrowth":{"foundation":[12,24]}}],"realmGrowth":{"qiRefining":[6,9]}},{"trigger":"onActiveSpellCast","type":"damageHealth","amount":40,"realmGrowth":{"foundation":[40,80]},"activationRequirements":{"buffStackThresholds":[{"buffId":"condensedMetal","comparator":"atLeast","count":8}]}}]}</t>
        </is>
      </c>
    </row>
    <row r="1999" ht="32" customHeight="1">
      <c r="A1999" s="8" t="n">
        <v>800281</v>
      </c>
      <c r="B1999" s="8" t="inlineStr">
        <is>
          <t>缚脉契网</t>
        </is>
      </c>
      <c r="C1999" s="8" t="inlineStr">
        <is>
          <t>招式</t>
        </is>
      </c>
      <c r="D1999" s="8" t="inlineStr">
        <is>
          <t>common</t>
        </is>
      </c>
      <c r="E1999" s="8" t="inlineStr">
        <is>
          <t>metal</t>
        </is>
      </c>
      <c r="F1999" s="8" t="n">
        <v>1</v>
      </c>
      <c r="G1999" s="8" t="inlineStr">
        <is>
          <t>基础/顶层</t>
        </is>
      </c>
      <c r="H1999" s="8" t="inlineStr"/>
      <c r="I1999" s="9" t="inlineStr"/>
      <c r="J1999" s="8" t="inlineStr"/>
      <c r="K1999" s="8" t="inlineStr"/>
      <c r="L1999" s="8" t="inlineStr"/>
      <c r="M1999" s="8" t="inlineStr">
        <is>
          <t>说明/执行器</t>
        </is>
      </c>
      <c r="N1999" s="8" t="inlineStr">
        <is>
          <t>effectNote</t>
        </is>
      </c>
      <c r="O1999" s="9" t="inlineStr">
        <is>
          <t>长按释放，消耗 14 点法力和 10 层凝金，对敌方施加 8 层冰霜</t>
        </is>
      </c>
      <c r="P1999" s="9" t="inlineStr">
        <is>
          <t>onActiveSpellCast</t>
        </is>
      </c>
      <c r="Q1999" s="9" t="inlineStr">
        <is>
          <t>buffGain</t>
        </is>
      </c>
      <c r="R1999" s="9" t="inlineStr">
        <is>
          <t>{"kind":"effectNote","label":"长按释放，消耗 14 点法力和 10 层凝金，&lt;battle&gt;对敌方施加 8 层冰霜&lt;/battle&gt;","executors":[{"trigger":"onActiveSpellCast","type":"buffGain","buffId":"frost","amount":8,"targetActor":"enemy","consumeSourceBuffStacks":{"buffId":"condensedMetal","requiredStacks":10,"maxStacks":10},"costs":[{"stat":"mana","amount":14,"realmGrowth":{"foundation":[14,28]}}],"realmGrowth":{"qiRefining":[8,12]}}]}</t>
        </is>
      </c>
    </row>
    <row r="2000" ht="32" customHeight="1">
      <c r="A2000" s="8" t="n">
        <v>800282</v>
      </c>
      <c r="B2000" s="8" t="inlineStr">
        <is>
          <t>诸契归锋</t>
        </is>
      </c>
      <c r="C2000" s="8" t="inlineStr">
        <is>
          <t>招式</t>
        </is>
      </c>
      <c r="D2000" s="8" t="inlineStr">
        <is>
          <t>common</t>
        </is>
      </c>
      <c r="E2000" s="8" t="inlineStr">
        <is>
          <t>metal</t>
        </is>
      </c>
      <c r="F2000" s="8" t="n">
        <v>1</v>
      </c>
      <c r="G2000" s="8" t="inlineStr">
        <is>
          <t>基础/顶层</t>
        </is>
      </c>
      <c r="H2000" s="8" t="inlineStr"/>
      <c r="I2000" s="9" t="inlineStr"/>
      <c r="J2000" s="8" t="inlineStr"/>
      <c r="K2000" s="8" t="inlineStr"/>
      <c r="L2000" s="8" t="inlineStr"/>
      <c r="M2000" s="8" t="inlineStr">
        <is>
          <t>说明/执行器</t>
        </is>
      </c>
      <c r="N2000" s="8" t="inlineStr">
        <is>
          <t>effectNote</t>
        </is>
      </c>
      <c r="O2000" s="9" t="inlineStr">
        <is>
          <t>长按释放，消耗 15 点法力和 15 层凝金，先移除敌方 10 层护甲，再对其造成 60 点伤害</t>
        </is>
      </c>
      <c r="P2000" s="9" t="inlineStr">
        <is>
          <t>onActiveSpellCast</t>
        </is>
      </c>
      <c r="Q2000" s="9" t="inlineStr">
        <is>
          <t>removeBuffStacks；damageHealth</t>
        </is>
      </c>
      <c r="R2000" s="9" t="inlineStr">
        <is>
          <t>{"kind":"effectNote","label":"长按释放，消耗 15 点法力和 15 层凝金，&lt;battle&gt;先移除敌方 10 层护甲，再对其造成 60 点伤害&lt;/battle&gt;","executors":[{"trigger":"onActiveSpellCast","type":"removeBuffStacks","buffId":"armor","targetActor":"enemy","amount":10,"activationRequirements":{"buffStackThresholds":[{"buffId":"condensedMetal","comparator":"atLeast","count":15}]},"consumeSourceBuffStacks":{"buffId":"condensedMetal","requiredStacks":15,"maxStacks":15},"costs":[{"stat":"mana","amount":15,"realmGrowth":{"foundation":[15,30]}}],"realmGrowth":{"qiRefining":[10,15]}},{"trigger":"onActiveSpellCast","type":"damageHealth","amount":60,"realmGrowth":{"foundation":[60,120]},"activationRequirements":{"buffStackThresholds":[{"buffId":"condensedMetal","comparator":"atLeast","count":15}]}}]}</t>
        </is>
      </c>
    </row>
    <row r="2001" ht="32" customHeight="1">
      <c r="A2001" s="8" t="n">
        <v>800283</v>
      </c>
      <c r="B2001" s="8" t="inlineStr">
        <is>
          <t>添火</t>
        </is>
      </c>
      <c r="C2001" s="8" t="inlineStr">
        <is>
          <t>招式</t>
        </is>
      </c>
      <c r="D2001" s="8" t="inlineStr">
        <is>
          <t>common</t>
        </is>
      </c>
      <c r="E2001" s="8" t="inlineStr">
        <is>
          <t>fire</t>
        </is>
      </c>
      <c r="F2001" s="8" t="n">
        <v>1</v>
      </c>
      <c r="G2001" s="8" t="inlineStr">
        <is>
          <t>基础/顶层</t>
        </is>
      </c>
      <c r="H2001" s="8" t="inlineStr"/>
      <c r="I2001" s="9" t="inlineStr"/>
      <c r="J2001" s="8" t="inlineStr"/>
      <c r="K2001" s="8" t="inlineStr"/>
      <c r="L2001" s="8" t="inlineStr"/>
      <c r="M2001" s="8" t="inlineStr">
        <is>
          <t>说明/执行器</t>
        </is>
      </c>
      <c r="N2001" s="8" t="inlineStr">
        <is>
          <t>effectNote</t>
        </is>
      </c>
      <c r="O2001" s="9" t="inlineStr">
        <is>
          <t>长按释放，消耗 10 点法力，获得 10 层炎热</t>
        </is>
      </c>
      <c r="P2001" s="9" t="inlineStr">
        <is>
          <t>onActiveSpellCast</t>
        </is>
      </c>
      <c r="Q2001" s="9" t="inlineStr">
        <is>
          <t>buffGain</t>
        </is>
      </c>
      <c r="R2001" s="9" t="inlineStr">
        <is>
          <t>{"kind":"effectNote","label":"长按释放，消耗 10 点法力，获得 10 层炎热","executors":[{"trigger":"onActiveSpellCast","type":"buffGain","buffId":"heat","amount":10,"realmGrowth":{"qiRefining":[10,15]},"costs":[{"stat":"mana","amount":10,"realmGrowth":{"qiRefining":[10,20]}}]}]}</t>
        </is>
      </c>
    </row>
    <row r="2002" ht="32" customHeight="1">
      <c r="A2002" s="8" t="n">
        <v>800284</v>
      </c>
      <c r="B2002" s="8" t="inlineStr">
        <is>
          <t>赤槌迸星</t>
        </is>
      </c>
      <c r="C2002" s="8" t="inlineStr">
        <is>
          <t>招式</t>
        </is>
      </c>
      <c r="D2002" s="8" t="inlineStr">
        <is>
          <t>common</t>
        </is>
      </c>
      <c r="E2002" s="8" t="inlineStr">
        <is>
          <t>fire</t>
        </is>
      </c>
      <c r="F2002" s="8" t="n">
        <v>1</v>
      </c>
      <c r="G2002" s="8" t="inlineStr">
        <is>
          <t>基础/顶层</t>
        </is>
      </c>
      <c r="H2002" s="8" t="inlineStr"/>
      <c r="I2002" s="9" t="inlineStr"/>
      <c r="J2002" s="8" t="inlineStr"/>
      <c r="K2002" s="8" t="inlineStr"/>
      <c r="L2002" s="8" t="inlineStr"/>
      <c r="M2002" s="8" t="inlineStr">
        <is>
          <t>说明/执行器</t>
        </is>
      </c>
      <c r="N2002" s="8" t="inlineStr">
        <is>
          <t>effectNote</t>
        </is>
      </c>
      <c r="O2002" s="9" t="inlineStr">
        <is>
          <t>相邻武器使用时，消耗 3 层炎热，对敌方施加 1 层灼烧</t>
        </is>
      </c>
      <c r="P2002" s="9" t="inlineStr">
        <is>
          <t>onItemUse</t>
        </is>
      </c>
      <c r="Q2002" s="9" t="inlineStr">
        <is>
          <t>consumeBuffStacks；adjacent；applyBuff</t>
        </is>
      </c>
      <c r="R2002" s="9" t="inlineStr">
        <is>
          <t>{"kind":"effectNote","label":"相邻武器使用时，消耗 3 层炎热，&lt;battle&gt;对敌方施加 1 层灼烧&lt;/battle&gt;","executors":[{"trigger":"onItemUse","type":"consumeBuffStacks","sourceBuffId":"heat","requiredStacks":3,"maxStacks":3,"eventSource":{"target":{"type":"adjacent"},"filter":{"features":["weapon"]}}},{"trigger":"onItemUse","type":"applyBuff","buffId":"burning","count":1,"targetActor":"enemy","support":"battleOnly","activationRequirements":{"buffStackThresholds":[{"buffId":"heat","comparator":"atLeast","count":3}]},"eventSource":{"target":{"type":"adjacent"},"filter":{"features":["weapon"]}},"realmGrowth":{"qiRefining":[1,2]}}]}</t>
        </is>
      </c>
    </row>
    <row r="2003" ht="32" customHeight="1">
      <c r="A2003" s="8" t="n">
        <v>800285</v>
      </c>
      <c r="B2003" s="8" t="inlineStr">
        <is>
          <t>炉中十焰倾</t>
        </is>
      </c>
      <c r="C2003" s="8" t="inlineStr">
        <is>
          <t>招式</t>
        </is>
      </c>
      <c r="D2003" s="8" t="inlineStr">
        <is>
          <t>common</t>
        </is>
      </c>
      <c r="E2003" s="8" t="inlineStr">
        <is>
          <t>fire</t>
        </is>
      </c>
      <c r="F2003" s="8" t="n">
        <v>1</v>
      </c>
      <c r="G2003" s="8" t="inlineStr">
        <is>
          <t>基础/顶层</t>
        </is>
      </c>
      <c r="H2003" s="8" t="inlineStr"/>
      <c r="I2003" s="9" t="inlineStr"/>
      <c r="J2003" s="8" t="inlineStr"/>
      <c r="K2003" s="8" t="inlineStr"/>
      <c r="L2003" s="8" t="inlineStr"/>
      <c r="M2003" s="8" t="inlineStr">
        <is>
          <t>说明/执行器</t>
        </is>
      </c>
      <c r="N2003" s="8" t="inlineStr">
        <is>
          <t>effectNote</t>
        </is>
      </c>
      <c r="O2003" s="9" t="inlineStr">
        <is>
          <t>长按释放，炎热不低于 12 层时消耗 10 层露水，对敌方施加 6 层灼烧</t>
        </is>
      </c>
      <c r="P2003" s="9" t="inlineStr">
        <is>
          <t>onActiveSpellCast</t>
        </is>
      </c>
      <c r="Q2003" s="9" t="inlineStr">
        <is>
          <t>buffGain</t>
        </is>
      </c>
      <c r="R2003" s="9" t="inlineStr">
        <is>
          <t>{"kind":"effectNote","label":"长按释放，炎热不低于 12 层时消耗 10 层露水，&lt;battle&gt;对敌方施加 6 层灼烧&lt;/battle&gt;","executors":[{"trigger":"onActiveSpellCast","type":"buffGain","buffId":"burning","amount":6,"targetActor":"enemy","consumeBuffStacks":{"buffId":"dew","targetActor":"self","requiredStacks":10,"maxStacks":10},"activationRequirements":{"buffStackThresholds":[{"buffId":"heat","comparator":"atLeast","count":12}]},"realmGrowth":{"qiRefining":[6,9]}}]}</t>
        </is>
      </c>
    </row>
    <row r="2004" ht="32" customHeight="1">
      <c r="A2004" s="8" t="n">
        <v>800286</v>
      </c>
      <c r="B2004" s="8" t="inlineStr">
        <is>
          <t>藏焰铸甲法</t>
        </is>
      </c>
      <c r="C2004" s="8" t="inlineStr">
        <is>
          <t>招式</t>
        </is>
      </c>
      <c r="D2004" s="8" t="inlineStr">
        <is>
          <t>common</t>
        </is>
      </c>
      <c r="E2004" s="8" t="inlineStr">
        <is>
          <t>fire</t>
        </is>
      </c>
      <c r="F2004" s="8" t="n">
        <v>1</v>
      </c>
      <c r="G2004" s="8" t="inlineStr">
        <is>
          <t>基础/顶层</t>
        </is>
      </c>
      <c r="H2004" s="8" t="inlineStr"/>
      <c r="I2004" s="9" t="inlineStr"/>
      <c r="J2004" s="8" t="inlineStr"/>
      <c r="K2004" s="8" t="inlineStr"/>
      <c r="L2004" s="8" t="inlineStr"/>
      <c r="M2004" s="8" t="inlineStr">
        <is>
          <t>说明/执行器</t>
        </is>
      </c>
      <c r="N2004" s="8" t="inlineStr">
        <is>
          <t>effectNote</t>
        </is>
      </c>
      <c r="O2004" s="9" t="inlineStr">
        <is>
          <t>长按释放，消耗 10 点体力，每有 1 个装备，获得 3 层炎热</t>
        </is>
      </c>
      <c r="P2004" s="9" t="inlineStr">
        <is>
          <t>onActiveSpellCast</t>
        </is>
      </c>
      <c r="Q2004" s="9" t="inlineStr">
        <is>
          <t>buffGain</t>
        </is>
      </c>
      <c r="R2004" s="9" t="inlineStr">
        <is>
          <t>{"kind":"effectNote","label":"长按释放，消耗 10 点体力，每有 1 个装备，获得 3 层炎热","executors":[{"trigger":"onActiveSpellCast","type":"buffGain","buffId":"heat","amount":0,"amountPerMatchingBagItem":{"valuePerItem":3,"features":["equipment"],"realmGrowth":{"qiRefining":[3,5]}},"costs":[{"stat":"stamina","amount":10,"realmGrowth":{"qiRefining":[10,20]}}]}]}</t>
        </is>
      </c>
    </row>
    <row r="2005" ht="32" customHeight="1">
      <c r="A2005" s="8" t="n">
        <v>800287</v>
      </c>
      <c r="B2005" s="8" t="inlineStr">
        <is>
          <t>双炉鸣</t>
        </is>
      </c>
      <c r="C2005" s="8" t="inlineStr">
        <is>
          <t>招式</t>
        </is>
      </c>
      <c r="D2005" s="8" t="inlineStr">
        <is>
          <t>common</t>
        </is>
      </c>
      <c r="E2005" s="8" t="inlineStr">
        <is>
          <t>fire</t>
        </is>
      </c>
      <c r="F2005" s="8" t="n">
        <v>1</v>
      </c>
      <c r="G2005" s="8" t="inlineStr">
        <is>
          <t>基础/顶层</t>
        </is>
      </c>
      <c r="H2005" s="8" t="inlineStr"/>
      <c r="I2005" s="9" t="inlineStr"/>
      <c r="J2005" s="8" t="inlineStr"/>
      <c r="K2005" s="8" t="inlineStr"/>
      <c r="L2005" s="8" t="inlineStr"/>
      <c r="M2005" s="8" t="inlineStr">
        <is>
          <t>说明/执行器</t>
        </is>
      </c>
      <c r="N2005" s="8" t="inlineStr">
        <is>
          <t>effectNote</t>
        </is>
      </c>
      <c r="O2005" s="9" t="inlineStr">
        <is>
          <t>长按释放，消耗 25 层炎热，使所有炼丹炉获得 15 秒加速</t>
        </is>
      </c>
      <c r="P2005" s="9" t="inlineStr">
        <is>
          <t>onActiveSpellCast</t>
        </is>
      </c>
      <c r="Q2005" s="9" t="inlineStr">
        <is>
          <t>itemRuntimeStatus</t>
        </is>
      </c>
      <c r="R2005" s="9" t="inlineStr">
        <is>
          <t>{"kind":"effectNote","label":"长按释放，消耗 25 层炎热，使所有炼丹炉获得 15 秒加速","executors":[{"trigger":"onActiveSpellCast","type":"itemRuntimeStatus","itemRuntimeStatus":"haste","targetActor":"self","targetSelection":"all","targetFilter":{"features":["alchemyFurnace"]},"durationSec":15,"consumeSourceBuffStacks":{"buffId":"heat","requiredStacks":25,"maxStacks":25}}]}</t>
        </is>
      </c>
    </row>
    <row r="2006" ht="32" customHeight="1">
      <c r="A2006" s="8" t="n">
        <v>800288</v>
      </c>
      <c r="B2006" s="8" t="inlineStr">
        <is>
          <t>百炉压阵</t>
        </is>
      </c>
      <c r="C2006" s="8" t="inlineStr">
        <is>
          <t>招式</t>
        </is>
      </c>
      <c r="D2006" s="8" t="inlineStr">
        <is>
          <t>common</t>
        </is>
      </c>
      <c r="E2006" s="8" t="inlineStr">
        <is>
          <t>fire</t>
        </is>
      </c>
      <c r="F2006" s="8" t="n">
        <v>1</v>
      </c>
      <c r="G2006" s="8" t="inlineStr">
        <is>
          <t>基础/顶层</t>
        </is>
      </c>
      <c r="H2006" s="8" t="inlineStr"/>
      <c r="I2006" s="9" t="inlineStr"/>
      <c r="J2006" s="8" t="inlineStr"/>
      <c r="K2006" s="8" t="inlineStr"/>
      <c r="L2006" s="8" t="inlineStr"/>
      <c r="M2006" s="8" t="inlineStr">
        <is>
          <t>周期触发</t>
        </is>
      </c>
      <c r="N2006" s="8" t="inlineStr">
        <is>
          <t>periodicPulse</t>
        </is>
      </c>
      <c r="O2006" s="9" t="inlineStr">
        <is>
          <t>开局时，炼丹炉中每有 1 个道具，对敌方施加 1 层灼烧</t>
        </is>
      </c>
      <c r="P2006" s="9" t="inlineStr">
        <is>
          <t>onPeriodicPulse</t>
        </is>
      </c>
      <c r="Q2006" s="9" t="inlineStr">
        <is>
          <t>applyBuff</t>
        </is>
      </c>
      <c r="R2006" s="9" t="inlineStr">
        <is>
          <t>{"kind":"periodicPulse","periodicPulse":{"startOnly":true,"label":"&lt;battle&gt;开局时，炼丹炉中每有 1 个道具，对敌方施加 1 层灼烧&lt;/battle&gt;"},"executors":[{"trigger":"onPeriodicPulse","type":"applyBuff","buffId":"burning","count":1,"targetActor":"enemy","scaling":{"mode":"count","source":"alchemyFurnaceContents"},"support":"battleOnly","realmGrowth":{"qiRefining":[1,2]}}]}</t>
        </is>
      </c>
    </row>
    <row r="2007" ht="32" customHeight="1">
      <c r="A2007" s="8" t="n">
        <v>800289</v>
      </c>
      <c r="B2007" s="8" t="inlineStr">
        <is>
          <t>炉火邻声</t>
        </is>
      </c>
      <c r="C2007" s="8" t="inlineStr">
        <is>
          <t>招式</t>
        </is>
      </c>
      <c r="D2007" s="8" t="inlineStr">
        <is>
          <t>common</t>
        </is>
      </c>
      <c r="E2007" s="8" t="inlineStr">
        <is>
          <t>fire</t>
        </is>
      </c>
      <c r="F2007" s="8" t="n">
        <v>1</v>
      </c>
      <c r="G2007" s="8" t="inlineStr">
        <is>
          <t>基础/顶层</t>
        </is>
      </c>
      <c r="H2007" s="8" t="inlineStr"/>
      <c r="I2007" s="9" t="inlineStr"/>
      <c r="J2007" s="8" t="inlineStr"/>
      <c r="K2007" s="8" t="inlineStr"/>
      <c r="L2007" s="8" t="inlineStr"/>
      <c r="M2007" s="8" t="inlineStr">
        <is>
          <t>周期触发</t>
        </is>
      </c>
      <c r="N2007" s="8" t="inlineStr">
        <is>
          <t>periodicPulse</t>
        </is>
      </c>
      <c r="O2007" s="9" t="inlineStr">
        <is>
          <t>开局时，每有 1 个相邻丹药，获得 5 层炎热</t>
        </is>
      </c>
      <c r="P2007" s="9" t="inlineStr">
        <is>
          <t>onPeriodicPulse</t>
        </is>
      </c>
      <c r="Q2007" s="9" t="inlineStr">
        <is>
          <t>applyBuff</t>
        </is>
      </c>
      <c r="R2007" s="9" t="inlineStr">
        <is>
          <t>{"kind":"periodicPulse","periodicPulse":{"startOnly":true,"label":"开局时，每有 1 个相邻丹药，获得 5 层炎热"},"executors":[{"trigger":"onPeriodicPulse","type":"applyBuff","buffId":"heat","count":0,"scaling":{"mode":"count","source":"adjacentItems","categories":["pill"]}}]}</t>
        </is>
      </c>
    </row>
    <row r="2008" ht="32" customHeight="1">
      <c r="A2008" s="8" t="n">
        <v>800290</v>
      </c>
      <c r="B2008" s="8" t="inlineStr">
        <is>
          <t>披甲</t>
        </is>
      </c>
      <c r="C2008" s="8" t="inlineStr">
        <is>
          <t>招式</t>
        </is>
      </c>
      <c r="D2008" s="8" t="inlineStr">
        <is>
          <t>common</t>
        </is>
      </c>
      <c r="E2008" s="8" t="inlineStr">
        <is>
          <t>earth</t>
        </is>
      </c>
      <c r="F2008" s="8" t="n">
        <v>1</v>
      </c>
      <c r="G2008" s="8" t="inlineStr">
        <is>
          <t>基础/顶层</t>
        </is>
      </c>
      <c r="H2008" s="8" t="inlineStr"/>
      <c r="I2008" s="9" t="inlineStr"/>
      <c r="J2008" s="8" t="inlineStr"/>
      <c r="K2008" s="8" t="inlineStr"/>
      <c r="L2008" s="8" t="inlineStr"/>
      <c r="M2008" s="8" t="inlineStr">
        <is>
          <t>说明/执行器</t>
        </is>
      </c>
      <c r="N2008" s="8" t="inlineStr">
        <is>
          <t>effectNote</t>
        </is>
      </c>
      <c r="O2008" s="9" t="inlineStr">
        <is>
          <t>长按释放，消耗 5 点体力，获得 10 层护甲</t>
        </is>
      </c>
      <c r="P2008" s="9" t="inlineStr">
        <is>
          <t>onActiveSpellCast</t>
        </is>
      </c>
      <c r="Q2008" s="9" t="inlineStr">
        <is>
          <t>buffGain</t>
        </is>
      </c>
      <c r="R2008" s="9" t="inlineStr">
        <is>
          <t>{"kind":"effectNote","label":"长按释放，消耗 5 点体力，获得 10 层护甲","executors":[{"trigger":"onActiveSpellCast","type":"buffGain","buffId":"armor","amount":10,"realmGrowth":{"qiRefining":[10,15]},"costs":[{"stat":"stamina","amount":5,"realmGrowth":{"qiRefining":[5,10]}}]}]}</t>
        </is>
      </c>
    </row>
    <row r="2009" ht="32" customHeight="1">
      <c r="A2009" s="8" t="n">
        <v>800291</v>
      </c>
      <c r="B2009" s="8" t="inlineStr">
        <is>
          <t>沉桩定身法</t>
        </is>
      </c>
      <c r="C2009" s="8" t="inlineStr">
        <is>
          <t>招式</t>
        </is>
      </c>
      <c r="D2009" s="8" t="inlineStr">
        <is>
          <t>common</t>
        </is>
      </c>
      <c r="E2009" s="8" t="inlineStr">
        <is>
          <t>earth</t>
        </is>
      </c>
      <c r="F2009" s="8" t="n">
        <v>1</v>
      </c>
      <c r="G2009" s="8" t="inlineStr">
        <is>
          <t>基础/顶层</t>
        </is>
      </c>
      <c r="H2009" s="8" t="inlineStr"/>
      <c r="I2009" s="9" t="inlineStr"/>
      <c r="J2009" s="8" t="inlineStr"/>
      <c r="K2009" s="8" t="inlineStr"/>
      <c r="L2009" s="8" t="inlineStr"/>
      <c r="M2009" s="8" t="inlineStr">
        <is>
          <t>说明/执行器</t>
        </is>
      </c>
      <c r="N2009" s="8" t="inlineStr">
        <is>
          <t>effectNote</t>
        </is>
      </c>
      <c r="O2009" s="9" t="inlineStr">
        <is>
          <t>长按释放，消耗 3 层蓄势，使敌方随机 1 个道具冻结 3 秒，灵力：5</t>
        </is>
      </c>
      <c r="P2009" s="9" t="inlineStr">
        <is>
          <t>onActiveSpellCast</t>
        </is>
      </c>
      <c r="Q2009" s="9" t="inlineStr">
        <is>
          <t>itemRuntimeStatus</t>
        </is>
      </c>
      <c r="R2009" s="9" t="inlineStr">
        <is>
          <t>{"kind":"effectNote","label":"长按释放，消耗 3 层蓄势，&lt;battle&gt;使敌方随机 1 个道具冻结 3 秒&lt;/battle&gt;，灵力：5","executors":[{"trigger":"onActiveSpellCast","type":"itemRuntimeStatus","itemRuntimeStatus":"freeze","targetActor":"enemy","targetSelection":"random","amount":1,"durationSec":3,"support":"battleOnly","consumeSourceBuffStacks":{"buffId":"heavy","requiredStacks":3,"maxStacks":3},"rotationLimit":5,"realmGrowthByField":{"rotationLimit":{"qiRefining":[5,7]}},"label":"长按释放，消耗 3 层蓄势，&lt;battle&gt;使敌方随机 1 个道具冻结 3 秒&lt;/battle&gt;，灵力：5"}]}</t>
        </is>
      </c>
    </row>
    <row r="2010" ht="32" customHeight="1">
      <c r="A2010" s="8" t="n">
        <v>800292</v>
      </c>
      <c r="B2010" s="8" t="inlineStr">
        <is>
          <t>叩门者自受其震</t>
        </is>
      </c>
      <c r="C2010" s="8" t="inlineStr">
        <is>
          <t>招式</t>
        </is>
      </c>
      <c r="D2010" s="8" t="inlineStr">
        <is>
          <t>common</t>
        </is>
      </c>
      <c r="E2010" s="8" t="inlineStr">
        <is>
          <t>earth</t>
        </is>
      </c>
      <c r="F2010" s="8" t="n">
        <v>1</v>
      </c>
      <c r="G2010" s="8" t="inlineStr">
        <is>
          <t>基础/顶层</t>
        </is>
      </c>
      <c r="H2010" s="8" t="inlineStr"/>
      <c r="I2010" s="9" t="inlineStr"/>
      <c r="J2010" s="8" t="inlineStr"/>
      <c r="K2010" s="8" t="inlineStr"/>
      <c r="L2010" s="8" t="inlineStr"/>
      <c r="M2010" s="8" t="inlineStr">
        <is>
          <t>条件触发</t>
        </is>
      </c>
      <c r="N2010" s="8" t="inlineStr">
        <is>
          <t>triggered</t>
        </is>
      </c>
      <c r="O2010" s="9" t="inlineStr">
        <is>
          <t>护甲不少于 30 层时，消耗 20 点体力，下一次受到攻击时，对敌方造成30点伤害</t>
        </is>
      </c>
      <c r="P2010" s="9" t="inlineStr">
        <is>
          <t>onIncomingHealthDamage</t>
        </is>
      </c>
      <c r="Q2010" s="9" t="inlineStr">
        <is>
          <t>battleDamageHealth</t>
        </is>
      </c>
      <c r="R2010" s="9" t="inlineStr">
        <is>
          <t>{"kind":"triggered","label":"&lt;battle&gt;护甲不少于 30 层时，消耗 20 点体力，下一次受到攻击时，对敌方造成30点伤害&lt;/battle&gt;","triggeredEffect":{"trigger":"onIncomingHealthDamage","type":"battleDamageHealth","amount":30,"support":"battleOnly","triggerOnNoActualDamage":true,"cooldownSec":10,"primaryStatCost":{"stat":"stamina","amount":20,"realmGrowth":{"qiRefining":[20,40]}},"activationRequirements":{"buffStackThresholds":[{"buffId":"armor","comparator":"atLeast","count":30}]},"realmGrowth":{"qiRefining":[30,60]}}}</t>
        </is>
      </c>
    </row>
    <row r="2011" ht="32" customHeight="1">
      <c r="A2011" s="8" t="n">
        <v>800293</v>
      </c>
      <c r="B2011" s="8" t="inlineStr">
        <is>
          <t>卸千钧筑一墙</t>
        </is>
      </c>
      <c r="C2011" s="8" t="inlineStr">
        <is>
          <t>招式</t>
        </is>
      </c>
      <c r="D2011" s="8" t="inlineStr">
        <is>
          <t>common</t>
        </is>
      </c>
      <c r="E2011" s="8" t="inlineStr">
        <is>
          <t>earth</t>
        </is>
      </c>
      <c r="F2011" s="8" t="n">
        <v>1</v>
      </c>
      <c r="G2011" s="8" t="inlineStr">
        <is>
          <t>基础/顶层</t>
        </is>
      </c>
      <c r="H2011" s="8" t="inlineStr"/>
      <c r="I2011" s="9" t="inlineStr"/>
      <c r="J2011" s="8" t="inlineStr"/>
      <c r="K2011" s="8" t="inlineStr"/>
      <c r="L2011" s="8" t="inlineStr"/>
      <c r="M2011" s="8" t="inlineStr">
        <is>
          <t>说明/执行器</t>
        </is>
      </c>
      <c r="N2011" s="8" t="inlineStr">
        <is>
          <t>effectNote</t>
        </is>
      </c>
      <c r="O2011" s="9" t="inlineStr">
        <is>
          <t>长按释放，消耗最多 15 层蓄势，每消耗 1 层获得 2 层护甲</t>
        </is>
      </c>
      <c r="P2011" s="9" t="inlineStr">
        <is>
          <t>onActiveSpellCast</t>
        </is>
      </c>
      <c r="Q2011" s="9" t="inlineStr">
        <is>
          <t>buffGain</t>
        </is>
      </c>
      <c r="R2011" s="9" t="inlineStr">
        <is>
          <t>{"kind":"effectNote","label":"长按释放，消耗最多 15 层蓄势，每消耗 1 层获得 2 层护甲","executors":[{"trigger":"onActiveSpellCast","type":"buffGain","buffId":"armor","amount":0,"amountPerConsumedBuffStack":2,"consumeBuffStacks":{"buffId":"heavy","targetActor":"self","requiredStacks":15,"maxStacks":15,"realmGrowthByField":{"maxStacks":{"qiRefining":[15,22]}}},"label":"长按释放，消耗最多 15 层蓄势，每消耗 1 层获得 2 层护甲"}]}</t>
        </is>
      </c>
    </row>
    <row r="2012" ht="32" customHeight="1">
      <c r="A2012" s="8" t="n">
        <v>800294</v>
      </c>
      <c r="B2012" s="8" t="inlineStr">
        <is>
          <t>坤壁起</t>
        </is>
      </c>
      <c r="C2012" s="8" t="inlineStr">
        <is>
          <t>招式</t>
        </is>
      </c>
      <c r="D2012" s="8" t="inlineStr">
        <is>
          <t>common</t>
        </is>
      </c>
      <c r="E2012" s="8" t="inlineStr">
        <is>
          <t>earth</t>
        </is>
      </c>
      <c r="F2012" s="8" t="n">
        <v>1</v>
      </c>
      <c r="G2012" s="8" t="inlineStr">
        <is>
          <t>基础/顶层</t>
        </is>
      </c>
      <c r="H2012" s="8" t="inlineStr"/>
      <c r="I2012" s="9" t="inlineStr"/>
      <c r="J2012" s="8" t="inlineStr"/>
      <c r="K2012" s="8" t="inlineStr"/>
      <c r="L2012" s="8" t="inlineStr"/>
      <c r="M2012" s="8" t="inlineStr">
        <is>
          <t>说明/执行器</t>
        </is>
      </c>
      <c r="N2012" s="8" t="inlineStr">
        <is>
          <t>effectNote</t>
        </is>
      </c>
      <c r="O2012" s="9" t="inlineStr">
        <is>
          <t>长按释放，消耗 15 层蓄势，每有 1 件装备，获得 2 层坚硬</t>
        </is>
      </c>
      <c r="P2012" s="9" t="inlineStr">
        <is>
          <t>onActiveSpellCast</t>
        </is>
      </c>
      <c r="Q2012" s="9" t="inlineStr">
        <is>
          <t>buffGain</t>
        </is>
      </c>
      <c r="R2012" s="9" t="inlineStr">
        <is>
          <t>{"kind":"effectNote","label":"长按释放，消耗 15 层蓄势，每有 1 件装备，获得 2 层坚硬","executors":[{"trigger":"onActiveSpellCast","type":"buffGain","buffId":"sturdy","amount":0,"amountPerMatchingBagItem":{"valuePerItem":2,"features":["equipment"]},"consumeSourceBuffStacks":{"buffId":"heavy","requiredStacks":15,"maxStacks":15,"realmGrowthByField":{"maxStacks":{"qiRefining":[15,22]}}},"label":"长按释放，消耗 15 层蓄势，每有 1 件装备，获得 2 层坚硬"}]}</t>
        </is>
      </c>
    </row>
    <row r="2013" ht="32" customHeight="1">
      <c r="A2013" s="8" t="n">
        <v>800295</v>
      </c>
      <c r="B2013" s="8" t="inlineStr">
        <is>
          <t>门后无潮声</t>
        </is>
      </c>
      <c r="C2013" s="8" t="inlineStr">
        <is>
          <t>招式</t>
        </is>
      </c>
      <c r="D2013" s="8" t="inlineStr">
        <is>
          <t>common</t>
        </is>
      </c>
      <c r="E2013" s="8" t="inlineStr">
        <is>
          <t>earth</t>
        </is>
      </c>
      <c r="F2013" s="8" t="n">
        <v>1</v>
      </c>
      <c r="G2013" s="8" t="inlineStr">
        <is>
          <t>基础/顶层</t>
        </is>
      </c>
      <c r="H2013" s="8" t="inlineStr"/>
      <c r="I2013" s="9" t="inlineStr"/>
      <c r="J2013" s="8" t="inlineStr"/>
      <c r="K2013" s="8" t="inlineStr"/>
      <c r="L2013" s="8" t="inlineStr"/>
      <c r="M2013" s="8" t="inlineStr">
        <is>
          <t>说明/执行器</t>
        </is>
      </c>
      <c r="N2013" s="8" t="inlineStr">
        <is>
          <t>effectNote</t>
        </is>
      </c>
      <c r="O2013" s="9" t="inlineStr">
        <is>
          <t>长按释放，消耗 25 层露水，获得 20 层护甲</t>
        </is>
      </c>
      <c r="P2013" s="9" t="inlineStr">
        <is>
          <t>onActiveSpellCast</t>
        </is>
      </c>
      <c r="Q2013" s="9" t="inlineStr">
        <is>
          <t>buffGain</t>
        </is>
      </c>
      <c r="R2013" s="9" t="inlineStr">
        <is>
          <t>{"kind":"effectNote","label":"长按释放，消耗 25 层露水，获得 20 层护甲","executors":[{"trigger":"onActiveSpellCast","type":"buffGain","buffId":"armor","amount":20,"realmGrowth":{"foundation":[20,30]},"consumeSourceBuffStacks":{"buffId":"dew","requiredStacks":25,"maxStacks":25,"realmGrowthByField":{"maxStacks":{"qiRefining":[25,35]}}},"label":"长按释放，消耗 25 层露水，获得 20 层护甲"}]}</t>
        </is>
      </c>
    </row>
    <row r="2014" ht="32" customHeight="1">
      <c r="A2014" s="8" t="n">
        <v>800296</v>
      </c>
      <c r="B2014" s="8" t="inlineStr">
        <is>
          <t>负岳撞关</t>
        </is>
      </c>
      <c r="C2014" s="8" t="inlineStr">
        <is>
          <t>招式</t>
        </is>
      </c>
      <c r="D2014" s="8" t="inlineStr">
        <is>
          <t>common</t>
        </is>
      </c>
      <c r="E2014" s="8" t="inlineStr">
        <is>
          <t>earth</t>
        </is>
      </c>
      <c r="F2014" s="8" t="n">
        <v>1</v>
      </c>
      <c r="G2014" s="8" t="inlineStr">
        <is>
          <t>基础/顶层</t>
        </is>
      </c>
      <c r="H2014" s="8" t="inlineStr"/>
      <c r="I2014" s="9" t="inlineStr"/>
      <c r="J2014" s="8" t="inlineStr"/>
      <c r="K2014" s="8" t="inlineStr"/>
      <c r="L2014" s="8" t="inlineStr"/>
      <c r="M2014" s="8" t="inlineStr">
        <is>
          <t>说明/执行器</t>
        </is>
      </c>
      <c r="N2014" s="8" t="inlineStr">
        <is>
          <t>effectNote</t>
        </is>
      </c>
      <c r="O2014" s="9" t="inlineStr">
        <is>
          <t>长按释放，护甲不少于 50 层时，消耗 100 点体力和 25 层护甲，对敌方造成 120 点伤害</t>
        </is>
      </c>
      <c r="P2014" s="9" t="inlineStr">
        <is>
          <t>onActiveSpellCast</t>
        </is>
      </c>
      <c r="Q2014" s="9" t="inlineStr">
        <is>
          <t>damageHealth</t>
        </is>
      </c>
      <c r="R2014" s="9" t="inlineStr">
        <is>
          <t>{"kind":"effectNote","label":"长按释放，护甲不少于 50 层时，消耗 100 点体力和 25 层护甲，&lt;battle&gt;对敌方造成 120 点伤害&lt;/battle&gt;","executors":[{"trigger":"onActiveSpellCast","type":"damageHealth","amount":120,"realmGrowth":{"foundation":[120,240]},"activationRequirements":{"buffStackThresholds":[{"buffId":"armor","comparator":"atLeast","count":50}]},"consumeSourceBuffStacks":{"buffId":"armor","requiredStacks":25,"maxStacks":25,"realmGrowthByField":{"maxStacks":{"qiRefining":[25,35]}}},"costs":[{"stat":"stamina","amount":100,"realmGrowth":{"foundation":[100,200]}}],"label":"长按释放，护甲不少于 50 层时，消耗 100 点体力和 25 层护甲，&lt;battle&gt;对敌方造成 120 点伤害&lt;/battle&gt;"}]}</t>
        </is>
      </c>
    </row>
    <row r="2015" ht="32" customHeight="1">
      <c r="A2015" s="8" t="n">
        <v>800297</v>
      </c>
      <c r="B2015" s="8" t="inlineStr">
        <is>
          <t>玄霜吐纳</t>
        </is>
      </c>
      <c r="C2015" s="8" t="inlineStr">
        <is>
          <t>招式</t>
        </is>
      </c>
      <c r="D2015" s="8" t="inlineStr">
        <is>
          <t>common</t>
        </is>
      </c>
      <c r="E2015" s="8" t="inlineStr">
        <is>
          <t>ice</t>
        </is>
      </c>
      <c r="F2015" s="8" t="n">
        <v>1</v>
      </c>
      <c r="G2015" s="8" t="inlineStr">
        <is>
          <t>基础/顶层</t>
        </is>
      </c>
      <c r="H2015" s="8" t="inlineStr"/>
      <c r="I2015" s="9" t="inlineStr"/>
      <c r="J2015" s="8" t="inlineStr"/>
      <c r="K2015" s="8" t="inlineStr"/>
      <c r="L2015" s="8" t="inlineStr"/>
      <c r="M2015" s="8" t="inlineStr">
        <is>
          <t>说明/执行器</t>
        </is>
      </c>
      <c r="N2015" s="8" t="inlineStr">
        <is>
          <t>effectNote</t>
        </is>
      </c>
      <c r="O2015" s="9" t="inlineStr">
        <is>
          <t>长按释放，每有1件相邻冰属性道具，将 2 点法力转化为 2 层寒冷</t>
        </is>
      </c>
      <c r="P2015" s="9" t="inlineStr">
        <is>
          <t>onActiveSpellCast</t>
        </is>
      </c>
      <c r="Q2015" s="9" t="inlineStr">
        <is>
          <t>buffGain</t>
        </is>
      </c>
      <c r="R2015" s="9" t="inlineStr">
        <is>
          <t>{"kind":"effectNote","label":"长按释放，每有1件相邻冰属性道具，将 2 点法力转化为 2 层寒冷","executors":[{"trigger":"onActiveSpellCast","type":"buffGain","buffId":"cold","amount":0,"costs":[{"stat":"mana","amount":0,"amountPerAdjacentMatchingItem":{"valuePerItem":2,"elements":["ice"],"realmGrowth":{"qiRefining":[2,4]}}}],"amountPerAdjacentMatchingItem":{"valuePerItem":2,"elements":["ice"],"realmGrowth":{"qiRefining":[2,3]}},"label":"长按释放，每有1件相邻冰属性道具，将 2 点法力转化为 2 层寒冷"}]}</t>
        </is>
      </c>
    </row>
    <row r="2016" ht="32" customHeight="1">
      <c r="A2016" s="8" t="n">
        <v>800298</v>
      </c>
      <c r="B2016" s="8" t="inlineStr">
        <is>
          <t>冰脉回元</t>
        </is>
      </c>
      <c r="C2016" s="8" t="inlineStr">
        <is>
          <t>招式</t>
        </is>
      </c>
      <c r="D2016" s="8" t="inlineStr">
        <is>
          <t>common</t>
        </is>
      </c>
      <c r="E2016" s="8" t="inlineStr">
        <is>
          <t>ice</t>
        </is>
      </c>
      <c r="F2016" s="8" t="n">
        <v>1</v>
      </c>
      <c r="G2016" s="8" t="inlineStr">
        <is>
          <t>基础/顶层</t>
        </is>
      </c>
      <c r="H2016" s="8" t="inlineStr"/>
      <c r="I2016" s="9" t="inlineStr"/>
      <c r="J2016" s="8" t="inlineStr"/>
      <c r="K2016" s="8" t="inlineStr"/>
      <c r="L2016" s="8" t="inlineStr"/>
      <c r="M2016" s="8" t="inlineStr">
        <is>
          <t>说明/执行器</t>
        </is>
      </c>
      <c r="N2016" s="8" t="inlineStr">
        <is>
          <t>effectNote</t>
        </is>
      </c>
      <c r="O2016" s="9" t="inlineStr">
        <is>
          <t>长按释放，将 8 层寒冷转化为 15 点体力</t>
        </is>
      </c>
      <c r="P2016" s="9" t="inlineStr">
        <is>
          <t>onActiveSpellCast</t>
        </is>
      </c>
      <c r="Q2016" s="9" t="inlineStr">
        <is>
          <t>primaryStatGain</t>
        </is>
      </c>
      <c r="R2016" s="9" t="inlineStr">
        <is>
          <t>{"kind":"effectNote","label":"长按释放，将 8 层寒冷转化为 15 点体力","executors":[{"trigger":"onActiveSpellCast","type":"primaryStatGain","stat":"stamina","amount":15,"realmGrowth":{"qiRefining":[15,30]},"consumeBuffStacks":{"buffId":"cold","targetActor":"self","requiredStacks":8,"maxStacks":8,"realmGrowthByField":{"maxStacks":{"qiRefining":[8,12]}}},"label":"长按释放，将 8 层寒冷转化为 15 点体力"}]}</t>
        </is>
      </c>
    </row>
    <row r="2017" ht="32" customHeight="1">
      <c r="A2017" s="8" t="n">
        <v>800299</v>
      </c>
      <c r="B2017" s="8" t="inlineStr">
        <is>
          <t>凝霜指</t>
        </is>
      </c>
      <c r="C2017" s="8" t="inlineStr">
        <is>
          <t>招式</t>
        </is>
      </c>
      <c r="D2017" s="8" t="inlineStr">
        <is>
          <t>common</t>
        </is>
      </c>
      <c r="E2017" s="8" t="inlineStr">
        <is>
          <t>ice</t>
        </is>
      </c>
      <c r="F2017" s="8" t="n">
        <v>1</v>
      </c>
      <c r="G2017" s="8" t="inlineStr">
        <is>
          <t>基础/顶层</t>
        </is>
      </c>
      <c r="H2017" s="8" t="inlineStr"/>
      <c r="I2017" s="9" t="inlineStr"/>
      <c r="J2017" s="8" t="inlineStr"/>
      <c r="K2017" s="8" t="inlineStr"/>
      <c r="L2017" s="8" t="inlineStr"/>
      <c r="M2017" s="8" t="inlineStr">
        <is>
          <t>说明/执行器</t>
        </is>
      </c>
      <c r="N2017" s="8" t="inlineStr">
        <is>
          <t>effectNote</t>
        </is>
      </c>
      <c r="O2017" s="9" t="inlineStr">
        <is>
          <t>长按释放，消耗 5 层寒冷，对敌方施加 5 层冰霜</t>
        </is>
      </c>
      <c r="P2017" s="9" t="inlineStr">
        <is>
          <t>onActiveSpellCast</t>
        </is>
      </c>
      <c r="Q2017" s="9" t="inlineStr">
        <is>
          <t>buffGain</t>
        </is>
      </c>
      <c r="R2017" s="9" t="inlineStr">
        <is>
          <t>{"kind":"effectNote","label":"长按释放，&lt;battle&gt;消耗 5 层寒冷，对敌方施加 5 层冰霜&lt;/battle&gt;","executors":[{"trigger":"onActiveSpellCast","type":"buffGain","buffId":"frost","amount":5,"targetActor":"enemy","consumeBuffStacks":{"buffId":"cold","targetActor":"self","requiredStacks":5,"maxStacks":5,"realmGrowthByField":{"maxStacks":{"qiRefining":[5,8]}}},"realmGrowth":{"qiRefining":[5,8]},"label":"长按释放，&lt;battle&gt;消耗 5 层寒冷，对敌方施加 5 层冰霜&lt;/battle&gt;"}]}</t>
        </is>
      </c>
    </row>
    <row r="2018" ht="32" customHeight="1">
      <c r="A2018" s="8" t="n">
        <v>800300</v>
      </c>
      <c r="B2018" s="8" t="inlineStr">
        <is>
          <t>寒甲诀</t>
        </is>
      </c>
      <c r="C2018" s="8" t="inlineStr">
        <is>
          <t>招式</t>
        </is>
      </c>
      <c r="D2018" s="8" t="inlineStr">
        <is>
          <t>common</t>
        </is>
      </c>
      <c r="E2018" s="8" t="inlineStr">
        <is>
          <t>ice</t>
        </is>
      </c>
      <c r="F2018" s="8" t="n">
        <v>1</v>
      </c>
      <c r="G2018" s="8" t="inlineStr">
        <is>
          <t>基础/顶层</t>
        </is>
      </c>
      <c r="H2018" s="8" t="inlineStr"/>
      <c r="I2018" s="9" t="inlineStr"/>
      <c r="J2018" s="8" t="inlineStr"/>
      <c r="K2018" s="8" t="inlineStr"/>
      <c r="L2018" s="8" t="inlineStr"/>
      <c r="M2018" s="8" t="inlineStr">
        <is>
          <t>说明/执行器</t>
        </is>
      </c>
      <c r="N2018" s="8" t="inlineStr">
        <is>
          <t>effectNote</t>
        </is>
      </c>
      <c r="O2018" s="9" t="inlineStr">
        <is>
          <t>长按释放，将 20 层寒冷转化为 10 层坚硬</t>
        </is>
      </c>
      <c r="P2018" s="9" t="inlineStr">
        <is>
          <t>onActiveSpellCast</t>
        </is>
      </c>
      <c r="Q2018" s="9" t="inlineStr">
        <is>
          <t>buffGain</t>
        </is>
      </c>
      <c r="R2018" s="9" t="inlineStr">
        <is>
          <t>{"kind":"effectNote","label":"长按释放，将 20 层寒冷转化为 10 层坚硬","executors":[{"trigger":"onActiveSpellCast","type":"buffGain","buffId":"sturdy","amount":10,"realmGrowth":{"qiRefining":[10,15]},"consumeBuffStacks":{"buffId":"cold","targetActor":"self","requiredStacks":20,"maxStacks":20,"realmGrowthByField":{"maxStacks":{"qiRefining":[20,30]}}},"label":"长按释放，将 20 层寒冷转化为 10 层坚硬"}]}</t>
        </is>
      </c>
    </row>
    <row r="2019" ht="32" customHeight="1">
      <c r="A2019" s="8" t="n">
        <v>800301</v>
      </c>
      <c r="B2019" s="8" t="inlineStr">
        <is>
          <t>霜刃诀</t>
        </is>
      </c>
      <c r="C2019" s="8" t="inlineStr">
        <is>
          <t>招式</t>
        </is>
      </c>
      <c r="D2019" s="8" t="inlineStr">
        <is>
          <t>common</t>
        </is>
      </c>
      <c r="E2019" s="8" t="inlineStr">
        <is>
          <t>ice</t>
        </is>
      </c>
      <c r="F2019" s="8" t="n">
        <v>1</v>
      </c>
      <c r="G2019" s="8" t="inlineStr">
        <is>
          <t>基础/顶层</t>
        </is>
      </c>
      <c r="H2019" s="8" t="inlineStr"/>
      <c r="I2019" s="9" t="inlineStr"/>
      <c r="J2019" s="8" t="inlineStr"/>
      <c r="K2019" s="8" t="inlineStr"/>
      <c r="L2019" s="8" t="inlineStr"/>
      <c r="M2019" s="8" t="inlineStr">
        <is>
          <t>说明/执行器</t>
        </is>
      </c>
      <c r="N2019" s="8" t="inlineStr">
        <is>
          <t>effectNote</t>
        </is>
      </c>
      <c r="O2019" s="9" t="inlineStr">
        <is>
          <t>长按释放，消耗 20 层寒冷，对敌方造成 40 点伤害</t>
        </is>
      </c>
      <c r="P2019" s="9" t="inlineStr">
        <is>
          <t>onActiveSpellCast</t>
        </is>
      </c>
      <c r="Q2019" s="9" t="inlineStr">
        <is>
          <t>damageHealth</t>
        </is>
      </c>
      <c r="R2019" s="9" t="inlineStr">
        <is>
          <t>{"kind":"effectNote","label":"长按释放，&lt;battle&gt;消耗 20 层寒冷，对敌方造成 40 点伤害&lt;/battle&gt;","executors":[{"trigger":"onActiveSpellCast","type":"damageHealth","amount":40,"realmGrowth":{"qiRefining":[40,80]},"consumeBuffStacks":{"buffId":"cold","targetActor":"self","requiredStacks":20,"maxStacks":20,"realmGrowthByField":{"maxStacks":{"qiRefining":[20,30]}}},"label":"长按释放，&lt;battle&gt;消耗 20 层寒冷，对敌方造成 40 点伤害&lt;/battle&gt;"}]}</t>
        </is>
      </c>
    </row>
    <row r="2020" ht="32" customHeight="1">
      <c r="A2020" s="8" t="n">
        <v>800302</v>
      </c>
      <c r="B2020" s="8" t="inlineStr">
        <is>
          <t>封轮诀</t>
        </is>
      </c>
      <c r="C2020" s="8" t="inlineStr">
        <is>
          <t>招式</t>
        </is>
      </c>
      <c r="D2020" s="8" t="inlineStr">
        <is>
          <t>common</t>
        </is>
      </c>
      <c r="E2020" s="8" t="inlineStr">
        <is>
          <t>ice</t>
        </is>
      </c>
      <c r="F2020" s="8" t="n">
        <v>1</v>
      </c>
      <c r="G2020" s="8" t="inlineStr">
        <is>
          <t>基础/顶层</t>
        </is>
      </c>
      <c r="H2020" s="8" t="inlineStr"/>
      <c r="I2020" s="9" t="inlineStr"/>
      <c r="J2020" s="8" t="inlineStr"/>
      <c r="K2020" s="8" t="inlineStr"/>
      <c r="L2020" s="8" t="inlineStr"/>
      <c r="M2020" s="8" t="inlineStr">
        <is>
          <t>说明/执行器</t>
        </is>
      </c>
      <c r="N2020" s="8" t="inlineStr">
        <is>
          <t>effectNote</t>
        </is>
      </c>
      <c r="O2020" s="9" t="inlineStr">
        <is>
          <t>长按释放，消耗 8 层寒冷，使敌方一件最大道具冻结 4 秒</t>
        </is>
      </c>
      <c r="P2020" s="9" t="inlineStr">
        <is>
          <t>onActiveSpellCast</t>
        </is>
      </c>
      <c r="Q2020" s="9" t="inlineStr">
        <is>
          <t>itemRuntimeStatus</t>
        </is>
      </c>
      <c r="R2020" s="9" t="inlineStr">
        <is>
          <t>{"kind":"effectNote","label":"长按释放，&lt;battle&gt;消耗 8 层寒冷，使敌方一件最大道具冻结 4 秒&lt;/battle&gt;","executors":[{"trigger":"onActiveSpellCast","type":"itemRuntimeStatus","itemRuntimeStatus":"freeze","targetActor":"enemy","targetSelection":"largest","amount":1,"durationSec":4,"consumeBuffStacks":{"buffId":"cold","targetActor":"self","requiredStacks":8,"maxStacks":8}}]}</t>
        </is>
      </c>
    </row>
    <row r="2021" ht="32" customHeight="1">
      <c r="A2021" s="8" t="n">
        <v>800303</v>
      </c>
      <c r="B2021" s="8" t="inlineStr">
        <is>
          <t>万籁冰封</t>
        </is>
      </c>
      <c r="C2021" s="8" t="inlineStr">
        <is>
          <t>招式</t>
        </is>
      </c>
      <c r="D2021" s="8" t="inlineStr">
        <is>
          <t>common</t>
        </is>
      </c>
      <c r="E2021" s="8" t="inlineStr">
        <is>
          <t>ice</t>
        </is>
      </c>
      <c r="F2021" s="8" t="n">
        <v>1</v>
      </c>
      <c r="G2021" s="8" t="inlineStr">
        <is>
          <t>基础/顶层</t>
        </is>
      </c>
      <c r="H2021" s="8" t="inlineStr"/>
      <c r="I2021" s="9" t="inlineStr"/>
      <c r="J2021" s="8" t="inlineStr"/>
      <c r="K2021" s="8" t="inlineStr"/>
      <c r="L2021" s="8" t="inlineStr"/>
      <c r="M2021" s="8" t="inlineStr">
        <is>
          <t>说明/执行器</t>
        </is>
      </c>
      <c r="N2021" s="8" t="inlineStr">
        <is>
          <t>effectNote</t>
        </is>
      </c>
      <c r="O2021" s="9" t="inlineStr">
        <is>
          <t>累计获得100层寒冷后，可长按释放，消耗 25 点法力与 20 层寒冷；再消耗敌方 20 层冰霜，使敌方所有道具冻结 3 秒</t>
        </is>
      </c>
      <c r="P2021" s="9" t="inlineStr">
        <is>
          <t>onActiveSpellCast；onBuffGain</t>
        </is>
      </c>
      <c r="Q2021" s="9" t="inlineStr">
        <is>
          <t>itemRuntimeStatus</t>
        </is>
      </c>
      <c r="R2021" s="9" t="inlineStr">
        <is>
          <t>{"kind":"effectNote","label":"累计获得100层寒冷后，可长按释放，消耗 25 点法力与 20 层寒冷；&lt;battle&gt;再消耗敌方 20 层冰霜，使敌方所有道具冻结 3 秒&lt;/battle&gt;","executors":[{"trigger":"onActiveSpellCast","type":"itemRuntimeStatus","itemRuntimeStatus":"freeze","targetActor":"enemy","targetSelection":"all","durationSec":3,"costs":[{"stat":"mana","amount":25,"realmGrowth":{"qiRefining":[25,50]}}],"consumeBuffStacks":{"buffId":"cold","targetActor":"self","requiredStacks":20,"maxStacks":20,"realmGrowthByField":{"maxStacks":{"qiRefining":[20,30]}}},"charge":{"threshold":100,"source":{"trigger":"onBuffGain","buffIds":["cold"]}},"label":"累计获得100层寒冷后，可长按释放，消耗 25 点法力与 20 层寒冷；&lt;battle&gt;再消耗敌方 20 层冰霜，使敌方所有道具冻结 3 秒&lt;/battle&gt;"},{"trigger":"onActiveSpellCast","type":"itemRuntimeStatus","itemRuntimeStatus":"freeze","targetActor":"enemy","targetSelection":"all","durationSec":3,"consumeBuffStacks":{"buffId":"frost","targetActor":"enemy","requiredStacks":20,"maxStacks":20},"label":"累计获得100层寒冷后，可长按释放，消耗 25 点法力与 20 层寒冷；&lt;battle&gt;再消耗敌方 20 层冰霜，使敌方所有道具冻结 3 秒&lt;/battle&gt;"}]}</t>
        </is>
      </c>
    </row>
    <row r="2022" ht="32" customHeight="1">
      <c r="A2022" s="8" t="n">
        <v>900001</v>
      </c>
      <c r="B2022" s="8" t="inlineStr">
        <is>
          <t>天雷子</t>
        </is>
      </c>
      <c r="C2022" s="8" t="inlineStr">
        <is>
          <t>投掷物</t>
        </is>
      </c>
      <c r="D2022" s="8" t="inlineStr">
        <is>
          <t>common</t>
        </is>
      </c>
      <c r="E2022" s="8" t="inlineStr">
        <is>
          <t>thunder</t>
        </is>
      </c>
      <c r="F2022" s="8" t="n">
        <v>1</v>
      </c>
      <c r="G2022" s="8" t="inlineStr">
        <is>
          <t>基础/顶层</t>
        </is>
      </c>
      <c r="H2022" s="8" t="inlineStr"/>
      <c r="I2022" s="9" t="inlineStr"/>
      <c r="J2022" s="8" t="inlineStr"/>
      <c r="K2022" s="8" t="inlineStr"/>
      <c r="L2022" s="8" t="inlineStr"/>
      <c r="M2022" s="8" t="inlineStr">
        <is>
          <t>说明/执行器</t>
        </is>
      </c>
      <c r="N2022" s="8" t="inlineStr">
        <is>
          <t>effectNote</t>
        </is>
      </c>
      <c r="O2022" s="9" t="inlineStr">
        <is>
          <t>获得 100 层引雷，对敌方造成 100 点伤害，对敌方施加 30 层麻痹</t>
        </is>
      </c>
      <c r="P2022" s="9" t="inlineStr">
        <is>
          <t>onActiveSpellCast</t>
        </is>
      </c>
      <c r="Q2022" s="9" t="inlineStr">
        <is>
          <t>buffGain；damageHealth</t>
        </is>
      </c>
      <c r="R2022" s="9" t="inlineStr">
        <is>
          <t>{"kind":"effectNote","label":"获得 100 层引雷，&lt;battle&gt;对敌方造成 100 点伤害，对敌方施加 30 层麻痹&lt;/battle&gt;","executors":[{"trigger":"onActiveSpellCast","type":"buffGain","buffId":"lightningCharge","amount":100,"targetActor":"self"},{"trigger":"onActiveSpellCast","type":"damageHealth","amount":100},{"trigger":"onActiveSpellCast","type":"buffGain","buffId":"paralysis","amount":30,"targetActor":"enemy"}]}</t>
        </is>
      </c>
    </row>
    <row r="2023" ht="32" customHeight="1">
      <c r="A2023" s="8" t="n">
        <v>900002</v>
      </c>
      <c r="B2023" s="8" t="inlineStr">
        <is>
          <t>炎爆丸</t>
        </is>
      </c>
      <c r="C2023" s="8" t="inlineStr">
        <is>
          <t>投掷物</t>
        </is>
      </c>
      <c r="D2023" s="8" t="inlineStr">
        <is>
          <t>common</t>
        </is>
      </c>
      <c r="E2023" s="8" t="inlineStr">
        <is>
          <t>fire</t>
        </is>
      </c>
      <c r="F2023" s="8" t="n">
        <v>1</v>
      </c>
      <c r="G2023" s="8" t="inlineStr">
        <is>
          <t>基础/顶层</t>
        </is>
      </c>
      <c r="H2023" s="8" t="inlineStr"/>
      <c r="I2023" s="9" t="inlineStr"/>
      <c r="J2023" s="8" t="inlineStr"/>
      <c r="K2023" s="8" t="inlineStr"/>
      <c r="L2023" s="8" t="inlineStr"/>
      <c r="M2023" s="8" t="inlineStr">
        <is>
          <t>说明/执行器</t>
        </is>
      </c>
      <c r="N2023" s="8" t="inlineStr">
        <is>
          <t>effectNote</t>
        </is>
      </c>
      <c r="O2023" s="9" t="inlineStr">
        <is>
          <t>投掷，对敌方造成 20 点伤害，并施加 6 层灼烧</t>
        </is>
      </c>
      <c r="P2023" s="9" t="inlineStr">
        <is>
          <t>onActiveSpellCast</t>
        </is>
      </c>
      <c r="Q2023" s="9" t="inlineStr">
        <is>
          <t>damageHealth；buffGain</t>
        </is>
      </c>
      <c r="R2023" s="9" t="inlineStr">
        <is>
          <t>{"kind":"effectNote","label":"投掷，对敌方造成 20 点伤害，并施加 6 层灼烧","executors":[{"trigger":"onActiveSpellCast","type":"damageHealth","amount":20},{"trigger":"onActiveSpellCast","type":"buffGain","buffId":"burning","amount":6,"targetActor":"enemy"}]}</t>
        </is>
      </c>
    </row>
    <row r="2024" ht="32" customHeight="1">
      <c r="A2024" s="8" t="n">
        <v>900003</v>
      </c>
      <c r="B2024" s="8" t="inlineStr">
        <is>
          <t>火药爆弹</t>
        </is>
      </c>
      <c r="C2024" s="8" t="inlineStr">
        <is>
          <t>投掷物</t>
        </is>
      </c>
      <c r="D2024" s="8" t="inlineStr">
        <is>
          <t>common</t>
        </is>
      </c>
      <c r="E2024" s="8" t="inlineStr">
        <is>
          <t>fire</t>
        </is>
      </c>
      <c r="F2024" s="8" t="n">
        <v>1</v>
      </c>
      <c r="G2024" s="8" t="inlineStr">
        <is>
          <t>基础/顶层</t>
        </is>
      </c>
      <c r="H2024" s="8" t="inlineStr"/>
      <c r="I2024" s="9" t="inlineStr"/>
      <c r="J2024" s="8" t="inlineStr"/>
      <c r="K2024" s="8" t="inlineStr"/>
      <c r="L2024" s="8" t="inlineStr"/>
      <c r="M2024" s="8" t="inlineStr">
        <is>
          <t>说明/执行器</t>
        </is>
      </c>
      <c r="N2024" s="8" t="inlineStr">
        <is>
          <t>effectNote</t>
        </is>
      </c>
      <c r="O2024" s="9" t="inlineStr">
        <is>
          <t>投掷，消耗 2 点气血，对敌方造成 10 点伤害</t>
        </is>
      </c>
      <c r="P2024" s="9" t="inlineStr">
        <is>
          <t>onActiveSpellCast</t>
        </is>
      </c>
      <c r="Q2024" s="9" t="inlineStr">
        <is>
          <t>damageHealth</t>
        </is>
      </c>
      <c r="R2024" s="9" t="inlineStr">
        <is>
          <t>{"kind":"effectNote","label":"投掷，消耗 2 点气血，对敌方造成 10 点伤害","executors":[{"trigger":"onActiveSpellCast","type":"damageHealth","amount":10,"costs":[{"stat":"health","amount":2}]}]}</t>
        </is>
      </c>
    </row>
    <row r="2025" ht="32" customHeight="1">
      <c r="A2025" s="8" t="n">
        <v>900004</v>
      </c>
      <c r="B2025" s="8" t="inlineStr">
        <is>
          <t>蚀骨毒珠</t>
        </is>
      </c>
      <c r="C2025" s="8" t="inlineStr">
        <is>
          <t>投掷物</t>
        </is>
      </c>
      <c r="D2025" s="8" t="inlineStr">
        <is>
          <t>common</t>
        </is>
      </c>
      <c r="E2025" s="8" t="inlineStr">
        <is>
          <t>wood</t>
        </is>
      </c>
      <c r="F2025" s="8" t="n">
        <v>1</v>
      </c>
      <c r="G2025" s="8" t="inlineStr">
        <is>
          <t>基础/顶层</t>
        </is>
      </c>
      <c r="H2025" s="8" t="inlineStr"/>
      <c r="I2025" s="9" t="inlineStr"/>
      <c r="J2025" s="8" t="inlineStr"/>
      <c r="K2025" s="8" t="inlineStr"/>
      <c r="L2025" s="8" t="inlineStr"/>
      <c r="M2025" s="8" t="inlineStr">
        <is>
          <t>说明/执行器</t>
        </is>
      </c>
      <c r="N2025" s="8" t="inlineStr">
        <is>
          <t>effectNote</t>
        </is>
      </c>
      <c r="O2025" s="9" t="inlineStr">
        <is>
          <t>投掷，对敌方施加 5 层中毒</t>
        </is>
      </c>
      <c r="P2025" s="9" t="inlineStr">
        <is>
          <t>onActiveSpellCast</t>
        </is>
      </c>
      <c r="Q2025" s="9" t="inlineStr">
        <is>
          <t>buffGain</t>
        </is>
      </c>
      <c r="R2025" s="9" t="inlineStr">
        <is>
          <t>{"kind":"effectNote","label":"投掷，对敌方施加 5 层中毒","executors":[{"trigger":"onActiveSpellCast","type":"buffGain","buffId":"poison","amount":5,"targetActor":"enemy"}]}</t>
        </is>
      </c>
    </row>
    <row r="2026" ht="32" customHeight="1">
      <c r="A2026" s="8" t="n">
        <v>900005</v>
      </c>
      <c r="B2026" s="8" t="inlineStr">
        <is>
          <t>碎岳破甲锥</t>
        </is>
      </c>
      <c r="C2026" s="8" t="inlineStr">
        <is>
          <t>投掷物</t>
        </is>
      </c>
      <c r="D2026" s="8" t="inlineStr">
        <is>
          <t>common</t>
        </is>
      </c>
      <c r="E2026" s="8" t="inlineStr">
        <is>
          <t>earth</t>
        </is>
      </c>
      <c r="F2026" s="8" t="n">
        <v>1</v>
      </c>
      <c r="G2026" s="8" t="inlineStr">
        <is>
          <t>基础/顶层</t>
        </is>
      </c>
      <c r="H2026" s="8" t="inlineStr"/>
      <c r="I2026" s="9" t="inlineStr"/>
      <c r="J2026" s="8" t="inlineStr"/>
      <c r="K2026" s="8" t="inlineStr"/>
      <c r="L2026" s="8" t="inlineStr"/>
      <c r="M2026" s="8" t="inlineStr">
        <is>
          <t>说明/执行器</t>
        </is>
      </c>
      <c r="N2026" s="8" t="inlineStr">
        <is>
          <t>effectNote</t>
        </is>
      </c>
      <c r="O2026" s="9" t="inlineStr">
        <is>
          <t>投掷，消耗敌方 15 层坚硬</t>
        </is>
      </c>
      <c r="P2026" s="9" t="inlineStr">
        <is>
          <t>onActiveSpellCast</t>
        </is>
      </c>
      <c r="Q2026" s="9" t="inlineStr">
        <is>
          <t>removeBuffStacks</t>
        </is>
      </c>
      <c r="R2026" s="9" t="inlineStr">
        <is>
          <t>{"kind":"effectNote","label":"投掷，消耗敌方 15 层坚硬","executors":[{"trigger":"onActiveSpellCast","type":"removeBuffStacks","buffId":"sturdy","amount":15,"targetActor":"enemy"}]}</t>
        </is>
      </c>
    </row>
    <row r="2027" ht="32" customHeight="1">
      <c r="A2027" s="8" t="n">
        <v>900006</v>
      </c>
      <c r="B2027" s="8" t="inlineStr">
        <is>
          <t>坠山石丸</t>
        </is>
      </c>
      <c r="C2027" s="8" t="inlineStr">
        <is>
          <t>投掷物</t>
        </is>
      </c>
      <c r="D2027" s="8" t="inlineStr">
        <is>
          <t>common</t>
        </is>
      </c>
      <c r="E2027" s="8" t="inlineStr">
        <is>
          <t>earth</t>
        </is>
      </c>
      <c r="F2027" s="8" t="n">
        <v>1</v>
      </c>
      <c r="G2027" s="8" t="inlineStr">
        <is>
          <t>基础/顶层</t>
        </is>
      </c>
      <c r="H2027" s="8" t="inlineStr"/>
      <c r="I2027" s="9" t="inlineStr"/>
      <c r="J2027" s="8" t="inlineStr"/>
      <c r="K2027" s="8" t="inlineStr"/>
      <c r="L2027" s="8" t="inlineStr"/>
      <c r="M2027" s="8" t="inlineStr">
        <is>
          <t>说明/执行器</t>
        </is>
      </c>
      <c r="N2027" s="8" t="inlineStr">
        <is>
          <t>effectNote</t>
        </is>
      </c>
      <c r="O2027" s="9" t="inlineStr">
        <is>
          <t>投掷，对敌方施加 20 层凝滞</t>
        </is>
      </c>
      <c r="P2027" s="9" t="inlineStr">
        <is>
          <t>onActiveSpellCast</t>
        </is>
      </c>
      <c r="Q2027" s="9" t="inlineStr">
        <is>
          <t>buffGain</t>
        </is>
      </c>
      <c r="R2027" s="9" t="inlineStr">
        <is>
          <t>{"kind":"effectNote","label":"投掷，&lt;battle&gt;对敌方施加 20 层凝滞&lt;/battle&gt;","executors":[{"trigger":"onActiveSpellCast","type":"buffGain","buffId":"stagnation","amount":20,"targetActor":"enemy"}]}</t>
        </is>
      </c>
    </row>
    <row r="2028" ht="32" customHeight="1">
      <c r="A2028" s="8" t="n">
        <v>900007</v>
      </c>
      <c r="B2028" s="8" t="inlineStr">
        <is>
          <t>裂甲飞针</t>
        </is>
      </c>
      <c r="C2028" s="8" t="inlineStr">
        <is>
          <t>投掷物</t>
        </is>
      </c>
      <c r="D2028" s="8" t="inlineStr">
        <is>
          <t>common</t>
        </is>
      </c>
      <c r="E2028" s="8" t="inlineStr">
        <is>
          <t>metal</t>
        </is>
      </c>
      <c r="F2028" s="8" t="n">
        <v>1</v>
      </c>
      <c r="G2028" s="8" t="inlineStr">
        <is>
          <t>基础/顶层</t>
        </is>
      </c>
      <c r="H2028" s="8" t="inlineStr"/>
      <c r="I2028" s="9" t="inlineStr"/>
      <c r="J2028" s="8" t="inlineStr"/>
      <c r="K2028" s="8" t="inlineStr"/>
      <c r="L2028" s="8" t="inlineStr"/>
      <c r="M2028" s="8" t="inlineStr">
        <is>
          <t>说明/执行器</t>
        </is>
      </c>
      <c r="N2028" s="8" t="inlineStr">
        <is>
          <t>effectNote</t>
        </is>
      </c>
      <c r="O2028" s="9" t="inlineStr">
        <is>
          <t>投掷，消耗敌方 15 层护甲</t>
        </is>
      </c>
      <c r="P2028" s="9" t="inlineStr">
        <is>
          <t>onActiveSpellCast</t>
        </is>
      </c>
      <c r="Q2028" s="9" t="inlineStr">
        <is>
          <t>removeBuffStacks</t>
        </is>
      </c>
      <c r="R2028" s="9" t="inlineStr">
        <is>
          <t>{"kind":"effectNote","label":"投掷，消耗敌方 15 层护甲","executors":[{"trigger":"onActiveSpellCast","type":"removeBuffStacks","buffId":"armor","amount":15,"targetActor":"enemy"}]}</t>
        </is>
      </c>
    </row>
    <row r="2029" ht="32" customHeight="1">
      <c r="A2029" s="8" t="n">
        <v>912101</v>
      </c>
      <c r="B2029" s="8" t="inlineStr">
        <is>
          <t>颅片爆炉盘</t>
        </is>
      </c>
      <c r="C2029" s="8" t="inlineStr">
        <is>
          <t>投掷物</t>
        </is>
      </c>
      <c r="D2029" s="8" t="inlineStr">
        <is>
          <t>common</t>
        </is>
      </c>
      <c r="E2029" s="8" t="inlineStr">
        <is>
          <t>fire</t>
        </is>
      </c>
      <c r="F2029" s="8" t="n">
        <v>1</v>
      </c>
      <c r="G2029" s="8" t="inlineStr">
        <is>
          <t>基础/顶层</t>
        </is>
      </c>
      <c r="H2029" s="8" t="inlineStr"/>
      <c r="I2029" s="9" t="inlineStr"/>
      <c r="J2029" s="8" t="inlineStr"/>
      <c r="K2029" s="8" t="inlineStr"/>
      <c r="L2029" s="8" t="inlineStr"/>
      <c r="M2029" s="8" t="inlineStr">
        <is>
          <t>说明/执行器</t>
        </is>
      </c>
      <c r="N2029" s="8" t="inlineStr">
        <is>
          <t>effectNote</t>
        </is>
      </c>
      <c r="O2029" s="9" t="inlineStr">
        <is>
          <t>投掷，每有 1 件装备，对敌方造成 7 点伤害；投掷，每有 1 件装备，对敌方造成 8 点伤害；投掷，每有 1 件装备，对敌方造成 10 点伤害；投掷，每有 1 件装备，对敌方造成 12 点伤害</t>
        </is>
      </c>
      <c r="P2029" s="9" t="inlineStr">
        <is>
          <t>onActiveSpellCast</t>
        </is>
      </c>
      <c r="Q2029" s="9" t="inlineStr">
        <is>
          <t>damageHealth</t>
        </is>
      </c>
      <c r="R2029" s="9" t="inlineStr">
        <is>
          <t>{"kind":"effectNote","label":"投掷，&lt;battle&gt;每有 1 件装备，对敌方造成 7 点伤害&lt;/battle&gt;","executors":[{"trigger":"onActiveSpellCast","type":"damageHealth","amount":0,"amountPerMatchingBagItem":{"valuePerItem":7,"features":["equipment"]},"label":"投掷，&lt;battle&gt;每有 1 件装备，对敌方造成 7 点伤害&lt;/battle&gt;"}],"starOverrides":{"1":{"label":"投掷，&lt;battle&gt;每有 1 件装备，对敌方造成 8 点伤害&lt;/battle&gt;","executors":[{"trigger":"onActiveSpellCast","type":"damageHealth","amount":0,"amountPerMatchingBagItem":{"valuePerItem":8,"features":["equipment"]},"label":"投掷，&lt;battle&gt;每有 1 件装备，对敌方造成 8 点伤害&lt;/battle&gt;"}]},"2":{"label":"投掷，&lt;battle&gt;每有 1 件装备，对敌方造成 10 点伤害&lt;/battle&gt;","executors":[{"trigger":"onActiveSpellCast","type":"damageHealth","amount":0,"amountPerMatchingBagItem":{"valuePerItem":10,"features":["equipment"]},"label":"投掷，&lt;battle&gt;每有 1 件装备，对敌方造成 10 点伤害&lt;/battle&gt;"}]},"3":{"label":"投掷，&lt;battle&gt;每有 1 件装备，对敌方造成 12 点伤害&lt;/battle&gt;","executors":[{"trigger":"onActiveSpellCast","type":"damageHealth","amount":0,"amountPerMatchingBagItem":{"valuePerItem":12,"features":["equipment"]},"label":"投掷，&lt;battle&gt;每有 1 件装备，对敌方造成 12 点伤害&lt;/battle&gt;"}]}}}</t>
        </is>
      </c>
    </row>
    <row r="2030" ht="32" customHeight="1">
      <c r="A2030" s="8" t="n">
        <v>912103</v>
      </c>
      <c r="B2030" s="8" t="inlineStr">
        <is>
          <t>丹髓震炉丸</t>
        </is>
      </c>
      <c r="C2030" s="8" t="inlineStr">
        <is>
          <t>投掷物</t>
        </is>
      </c>
      <c r="D2030" s="8" t="inlineStr">
        <is>
          <t>common</t>
        </is>
      </c>
      <c r="E2030" s="8" t="inlineStr">
        <is>
          <t>fire</t>
        </is>
      </c>
      <c r="F2030" s="8" t="n">
        <v>1</v>
      </c>
      <c r="G2030" s="8" t="inlineStr">
        <is>
          <t>基础/顶层</t>
        </is>
      </c>
      <c r="H2030" s="8" t="inlineStr"/>
      <c r="I2030" s="9" t="inlineStr"/>
      <c r="J2030" s="8" t="inlineStr"/>
      <c r="K2030" s="8" t="inlineStr"/>
      <c r="L2030" s="8" t="inlineStr"/>
      <c r="M2030" s="8" t="inlineStr">
        <is>
          <t>说明/执行器</t>
        </is>
      </c>
      <c r="N2030" s="8" t="inlineStr">
        <is>
          <t>effectNote</t>
        </is>
      </c>
      <c r="O2030" s="9" t="inlineStr">
        <is>
          <t>投掷，本局每有 1 件已耗尽符箓，对敌方施加 7 层灼烧；投掷，本局每有 1 件已耗尽符箓，对敌方施加 8 层灼烧；投掷，本局每有 1 件已耗尽符箓，对敌方施加 10 层灼烧；投掷，本局每有 1 件已耗尽符箓，对敌方施加 12 层灼烧</t>
        </is>
      </c>
      <c r="P2030" s="9" t="inlineStr">
        <is>
          <t>onActiveSpellCast</t>
        </is>
      </c>
      <c r="Q2030" s="9" t="inlineStr">
        <is>
          <t>buffGain</t>
        </is>
      </c>
      <c r="R2030" s="9" t="inlineStr">
        <is>
          <t>{"kind":"effectNote","label":"投掷，&lt;battle&gt;本局每有 1 件已耗尽符箓，对敌方施加 7 层灼烧&lt;/battle&gt;","executors":[{"trigger":"onActiveSpellCast","type":"buffGain","buffId":"burning","amount":0,"targetActor":"enemy","amountPerExhaustedConsumable":{"valuePerItem":7,"categories":["talisman"]},"label":"投掷，&lt;battle&gt;本局每有 1 件已耗尽符箓，对敌方施加 7 层灼烧&lt;/battle&gt;"}],"starOverrides":{"1":{"label":"投掷，&lt;battle&gt;本局每有 1 件已耗尽符箓，对敌方施加 8 层灼烧&lt;/battle&gt;","executors":[{"trigger":"onActiveSpellCast","type":"buffGain","buffId":"burning","amount":0,"targetActor":"enemy","amountPerExhaustedConsumable":{"valuePerItem":8,"categories":["talisman"]},"label":"投掷，&lt;battle&gt;本局每有 1 件已耗尽符箓，对敌方施加 8 层灼烧&lt;/battle&gt;"}]},"2":{"label":"投掷，&lt;battle&gt;本局每有 1 件已耗尽符箓，对敌方施加 10 层灼烧&lt;/battle&gt;","executors":[{"trigger":"onActiveSpellCast","type":"buffGain","buffId":"burning","amount":0,"targetActor":"enemy","amountPerExhaustedConsumable":{"valuePerItem":10,"categories":["talisman"]},"label":"投掷，&lt;battle&gt;本局每有 1 件已耗尽符箓，对敌方施加 10 层灼烧&lt;/battle&gt;"}]},"3":{"label":"投掷，&lt;battle&gt;本局每有 1 件已耗尽符箓，对敌方施加 12 层灼烧&lt;/battle&gt;","executors":[{"trigger":"onActiveSpellCast","type":"buffGain","buffId":"burning","amount":0,"targetActor":"enemy","amountPerExhaustedConsumable":{"valuePerItem":12,"categories":["talisman"]},"label":"投掷，&lt;battle&gt;本局每有 1 件已耗尽符箓，对敌方施加 12 层灼烧&lt;/battle&gt;"}]}}}</t>
        </is>
      </c>
    </row>
    <row r="2031" ht="32" customHeight="1">
      <c r="A2031" s="8" t="n">
        <v>912104</v>
      </c>
      <c r="B2031" s="8" t="inlineStr">
        <is>
          <t>炉烟鸣爆子</t>
        </is>
      </c>
      <c r="C2031" s="8" t="inlineStr">
        <is>
          <t>投掷物</t>
        </is>
      </c>
      <c r="D2031" s="8" t="inlineStr">
        <is>
          <t>common</t>
        </is>
      </c>
      <c r="E2031" s="8" t="inlineStr">
        <is>
          <t>fire</t>
        </is>
      </c>
      <c r="F2031" s="8" t="n">
        <v>1</v>
      </c>
      <c r="G2031" s="8" t="inlineStr">
        <is>
          <t>基础/顶层</t>
        </is>
      </c>
      <c r="H2031" s="8" t="inlineStr"/>
      <c r="I2031" s="9" t="inlineStr"/>
      <c r="J2031" s="8" t="inlineStr"/>
      <c r="K2031" s="8" t="inlineStr"/>
      <c r="L2031" s="8" t="inlineStr"/>
      <c r="M2031" s="8" t="inlineStr">
        <is>
          <t>说明/执行器</t>
        </is>
      </c>
      <c r="N2031" s="8" t="inlineStr">
        <is>
          <t>effectNote</t>
        </is>
      </c>
      <c r="O2031" s="9" t="inlineStr">
        <is>
          <t>投掷，每有 1 件饰品，对敌方造成 7 点伤害，对敌方施加 10 层灼烧；投掷，每有 1 件饰品，对敌方造成 7 点伤害；投掷，每有 1 件饰品，对敌方造成 7 点伤害，并施加 10 层灼烧；投掷，每有 1 件饰品，对敌方造成 8 点伤害，对敌方施加 10 层灼烧；投掷，每有 1 件饰品，对敌方造成 8 点伤害；投掷，每有 1 件饰品，对敌方造成 8 点伤害，并施加 10 层灼烧；投掷，每有 1 件饰品，对敌方造成 10 点伤害，对敌方施加 10 层灼烧；投掷，每有 1 件饰品，对敌方造成 10 点伤害；投掷，每有 1 件饰品，对敌方造成 10 点伤害，并施加 10 层灼烧；投掷，每有 1 件饰品，对敌方造成 12 点伤害，对敌方施加 10 层灼烧；投掷，每有 1 件饰品，对敌方造成 12 点伤害；投掷，每有 1 件饰品，对敌方造成 12 点伤害，并施加 10 层灼烧</t>
        </is>
      </c>
      <c r="P2031" s="9" t="inlineStr">
        <is>
          <t>onActiveSpellCast</t>
        </is>
      </c>
      <c r="Q2031" s="9" t="inlineStr">
        <is>
          <t>damageHealth；buffGain</t>
        </is>
      </c>
      <c r="R2031" s="9" t="inlineStr">
        <is>
          <t>{"kind":"effectNote","label":"投掷，&lt;battle&gt;每有 1 件饰品，对敌方造成 7 点伤害，对敌方施加 10 层灼烧&lt;/battle&gt;","executors":[{"trigger":"onActiveSpellCast","type":"damageHealth","amount":0,"amountPerMatchingBagItem":{"valuePerItem":7,"features":["accessory"]},"label":"投掷，&lt;battle&gt;每有 1 件饰品，对敌方造成 7 点伤害&lt;/battle&gt;"},{"trigger":"onActiveSpellCast","type":"buffGain","buffId":"burning","amount":10,"targetActor":"enemy","label":"投掷，&lt;battle&gt;每有 1 件饰品，对敌方造成 7 点伤害&lt;/battle&gt;，并施加 10 层灼烧"}],"starOverrides":{"1":{"label":"投掷，&lt;battle&gt;每有 1 件饰品，对敌方造成 8 点伤害，对敌方施加 10 层灼烧&lt;/battle&gt;","executors":[{"trigger":"onActiveSpellCast","type":"damageHealth","amount":0,"amountPerMatchingBagItem":{"valuePerItem":8,"features":["accessory"]},"label":"投掷，&lt;battle&gt;每有 1 件饰品，对敌方造成 8 点伤害&lt;/battle&gt;"},{"trigger":"onActiveSpellCast","type":"buffGain","buffId":"burning","amount":10,"targetActor":"enemy","label":"投掷，&lt;battle&gt;每有 1 件饰品，对敌方造成 8 点伤害&lt;/battle&gt;，并施加 10 层灼烧"}]},"2":{"label":"投掷，&lt;battle&gt;每有 1 件饰品，对敌方造成 10 点伤害，对敌方施加 10 层灼烧&lt;/battle&gt;","executors":[{"trigger":"onActiveSpellCast","type":"damageHealth","amount":0,"amountPerMatchingBagItem":{"valuePerItem":10,"features":["accessory"]},"label":"投掷，&lt;battle&gt;每有 1 件饰品，对敌方造成 10 点伤害&lt;/battle&gt;"},{"trigger":"onActiveSpellCast","type":"buffGain","buffId":"burning","amount":10,"targetActor":"enemy","label":"投掷，&lt;battle&gt;每有 1 件饰品，对敌方造成 10 点伤害&lt;/battle&gt;，并施加 10 层灼烧"}]},"3":{"label":"投掷，&lt;battle&gt;每有 1 件饰品，对敌方造成 12 点伤害，对敌方施加 10 层灼烧&lt;/battle&gt;","executors":[{"trigger":"onActiveSpellCast","type":"damageHealth","amount":0,"amountPerMatchingBagItem":{"valuePerItem":12,"features":["accessory"]},"label":"投掷，&lt;battle&gt;每有 1 件饰品，对敌方造成 12 点伤害&lt;/battle&gt;"},{"trigger":"onActiveSpellCast","type":"buffGain","buffId":"burning","amount":10,"targetActor":"enemy","label":"投掷，&lt;battle&gt;每有 1 件饰品，对敌方造成 12 点伤害&lt;/battle&gt;，并施加 10 层灼烧"}]}}}</t>
        </is>
      </c>
    </row>
    <row r="2032" ht="32" customHeight="1">
      <c r="A2032" s="8" t="n">
        <v>912200</v>
      </c>
      <c r="B2032" s="8" t="inlineStr">
        <is>
          <t>裂符甲弹</t>
        </is>
      </c>
      <c r="C2032" s="8" t="inlineStr">
        <is>
          <t>投掷物</t>
        </is>
      </c>
      <c r="D2032" s="8" t="inlineStr">
        <is>
          <t>common</t>
        </is>
      </c>
      <c r="E2032" s="8" t="inlineStr">
        <is>
          <t>metal</t>
        </is>
      </c>
      <c r="F2032" s="8" t="n">
        <v>1</v>
      </c>
      <c r="G2032" s="8" t="inlineStr">
        <is>
          <t>基础/顶层</t>
        </is>
      </c>
      <c r="H2032" s="8" t="inlineStr"/>
      <c r="I2032" s="9" t="inlineStr"/>
      <c r="J2032" s="8" t="inlineStr"/>
      <c r="K2032" s="8" t="inlineStr"/>
      <c r="L2032" s="8" t="inlineStr"/>
      <c r="M2032" s="8" t="inlineStr">
        <is>
          <t>说明/执行器</t>
        </is>
      </c>
      <c r="N2032" s="8" t="inlineStr">
        <is>
          <t>effectNote</t>
        </is>
      </c>
      <c r="O2032" s="9" t="inlineStr">
        <is>
          <t>投掷，每有 1 件装备，对敌方造成 8 点伤害，对敌方施加 20 层裂甲；投掷，每有 1 件装备，对敌方造成 8 点伤害；投掷，每有 1 件装备，对敌方造成 8 点伤害，并施加 20 层破甲；投掷，每有 1 件装备，对敌方造成 12 点伤害，对敌方施加 20 层裂甲；投掷，每有 1 件装备，对敌方造成 12 点伤害；投掷，每有 1 件装备，对敌方造成 12 点伤害，并施加 20 层破甲；投掷，每有 1 件装备，对敌方造成 15 点伤害，对敌方施加 20 层裂甲；投掷，每有 1 件装备，对敌方造成 15 点伤害；投掷，每有 1 件装备，对敌方造成 15 点伤害，并施加 20 层破甲；投掷，每有 1 件装备，对敌方造成 18 点伤害，对敌方施加 20 层裂甲；投掷，每有 1 件装备，对敌方造成 18 点伤害；投掷，每有 1 件装备，对敌方造成 18 点伤害，并施加 20 层破甲</t>
        </is>
      </c>
      <c r="P2032" s="9" t="inlineStr">
        <is>
          <t>onActiveSpellCast</t>
        </is>
      </c>
      <c r="Q2032" s="9" t="inlineStr">
        <is>
          <t>damageHealth；buffGain</t>
        </is>
      </c>
      <c r="R2032" s="9" t="inlineStr">
        <is>
          <t>{"kind":"effectNote","label":"投掷，&lt;battle&gt;每有 1 件装备，对敌方造成 8 点伤害，对敌方施加 20 层裂甲&lt;/battle&gt;","executors":[{"trigger":"onActiveSpellCast","type":"damageHealth","amount":0,"amountPerMatchingBagItem":{"valuePerItem":8,"features":["equipment"]},"label":"投掷，&lt;battle&gt;每有 1 件装备，对敌方造成 8 点伤害&lt;/battle&gt;"},{"trigger":"onActiveSpellCast","type":"buffGain","buffId":"crackArmor","amount":20,"targetActor":"enemy","label":"投掷，&lt;battle&gt;每有 1 件装备，对敌方造成 8 点伤害&lt;/battle&gt;，并施加 20 层破甲"}],"starOverrides":{"1":{"label":"投掷，&lt;battle&gt;每有 1 件装备，对敌方造成 12 点伤害，对敌方施加 20 层裂甲&lt;/battle&gt;","executors":[{"trigger":"onActiveSpellCast","type":"damageHealth","amount":0,"amountPerMatchingBagItem":{"valuePerItem":12,"features":["equipment"]},"label":"投掷，&lt;battle&gt;每有 1 件装备，对敌方造成 12 点伤害&lt;/battle&gt;"},{"trigger":"onActiveSpellCast","type":"buffGain","buffId":"crackArmor","amount":20,"targetActor":"enemy","label":"投掷，&lt;battle&gt;每有 1 件装备，对敌方造成 12 点伤害&lt;/battle&gt;，并施加 20 层破甲"}]},"2":{"label":"投掷，&lt;battle&gt;每有 1 件装备，对敌方造成 15 点伤害，对敌方施加 20 层裂甲&lt;/battle&gt;","executors":[{"trigger":"onActiveSpellCast","type":"damageHealth","amount":0,"amountPerMatchingBagItem":{"valuePerItem":15,"features":["equipment"]},"label":"投掷，&lt;battle&gt;每有 1 件装备，对敌方造成 15 点伤害&lt;/battle&gt;"},{"trigger":"onActiveSpellCast","type":"buffGain","buffId":"crackArmor","amount":20,"targetActor":"enemy","label":"投掷，&lt;battle&gt;每有 1 件装备，对敌方造成 15 点伤害&lt;/battle&gt;，并施加 20 层破甲"}]},"3":{"label":"投掷，&lt;battle&gt;每有 1 件装备，对敌方造成 18 点伤害，对敌方施加 20 层裂甲&lt;/battle&gt;","executors":[{"trigger":"onActiveSpellCast","type":"damageHealth","amount":0,"amountPerMatchingBagItem":{"valuePerItem":18,"features":["equipment"]},"label":"投掷，&lt;battle&gt;每有 1 件装备，对敌方造成 18 点伤害&lt;/battle&gt;"},{"trigger":"onActiveSpellCast","type":"buffGain","buffId":"crackArmor","amount":20,"targetActor":"enemy","label":"投掷，&lt;battle&gt;每有 1 件装备，对敌方造成 18 点伤害&lt;/battle&gt;，并施加 20 层破甲"}]}}}</t>
        </is>
      </c>
    </row>
    <row r="2033" ht="32" customHeight="1">
      <c r="A2033" s="8" t="n">
        <v>912203</v>
      </c>
      <c r="B2033" s="8" t="inlineStr">
        <is>
          <t>震地蹄雷</t>
        </is>
      </c>
      <c r="C2033" s="8" t="inlineStr">
        <is>
          <t>投掷物</t>
        </is>
      </c>
      <c r="D2033" s="8" t="inlineStr">
        <is>
          <t>common</t>
        </is>
      </c>
      <c r="E2033" s="8" t="inlineStr">
        <is>
          <t>earth</t>
        </is>
      </c>
      <c r="F2033" s="8" t="n">
        <v>1</v>
      </c>
      <c r="G2033" s="8" t="inlineStr">
        <is>
          <t>基础/顶层</t>
        </is>
      </c>
      <c r="H2033" s="8" t="inlineStr"/>
      <c r="I2033" s="9" t="inlineStr"/>
      <c r="J2033" s="8" t="inlineStr"/>
      <c r="K2033" s="8" t="inlineStr"/>
      <c r="L2033" s="8" t="inlineStr"/>
      <c r="M2033" s="8" t="inlineStr">
        <is>
          <t>说明/执行器</t>
        </is>
      </c>
      <c r="N2033" s="8" t="inlineStr">
        <is>
          <t>effectNote</t>
        </is>
      </c>
      <c r="O2033" s="9" t="inlineStr">
        <is>
          <t>投掷，对敌方造成 31 点伤害，对敌方施加 30 层凝滞；投掷，对敌方造成 31 点伤害；投掷，对敌方造成 31 点伤害，并施加 30 层凝滞；投掷，对敌方造成 41 点伤害，对敌方施加 30 层凝滞；投掷，对敌方造成 41 点伤害；投掷，对敌方造成 41 点伤害，并施加 30 层凝滞；投掷，对敌方造成 51 点伤害，对敌方施加 30 层凝滞；投掷，对敌方造成 51 点伤害；投掷，对敌方造成 51 点伤害，并施加 30 层凝滞；投掷，对敌方造成 61 点伤害，对敌方施加 30 层凝滞；投掷，对敌方造成 61 点伤害；投掷，对敌方造成 61 点伤害，并施加 30 层凝滞</t>
        </is>
      </c>
      <c r="P2033" s="9" t="inlineStr">
        <is>
          <t>onActiveSpellCast</t>
        </is>
      </c>
      <c r="Q2033" s="9" t="inlineStr">
        <is>
          <t>damageHealth；buffGain</t>
        </is>
      </c>
      <c r="R2033" s="9" t="inlineStr">
        <is>
          <t>{"kind":"effectNote","label":"投掷，&lt;battle&gt;对敌方造成 31 点伤害，对敌方施加 30 层凝滞&lt;/battle&gt;","executors":[{"trigger":"onActiveSpellCast","type":"damageHealth","amount":31,"label":"投掷，&lt;battle&gt;对敌方造成 31 点伤害&lt;/battle&gt;"},{"trigger":"onActiveSpellCast","type":"buffGain","buffId":"stagnation","amount":30,"targetActor":"enemy","label":"投掷，&lt;battle&gt;对敌方造成 31 点伤害&lt;/battle&gt;，并施加 30 层凝滞"}],"starOverrides":{"1":{"label":"投掷，&lt;battle&gt;对敌方造成 41 点伤害，对敌方施加 30 层凝滞&lt;/battle&gt;","executors":[{"trigger":"onActiveSpellCast","type":"damageHealth","amount":41,"label":"投掷，&lt;battle&gt;对敌方造成 41 点伤害&lt;/battle&gt;"},{"trigger":"onActiveSpellCast","type":"buffGain","buffId":"stagnation","amount":30,"targetActor":"enemy","label":"投掷，&lt;battle&gt;对敌方造成 41 点伤害&lt;/battle&gt;，并施加 30 层凝滞"}]},"2":{"label":"投掷，&lt;battle&gt;对敌方造成 51 点伤害，对敌方施加 30 层凝滞&lt;/battle&gt;","executors":[{"trigger":"onActiveSpellCast","type":"damageHealth","amount":51,"label":"投掷，&lt;battle&gt;对敌方造成 51 点伤害&lt;/battle&gt;"},{"trigger":"onActiveSpellCast","type":"buffGain","buffId":"stagnation","amount":30,"targetActor":"enemy","label":"投掷，&lt;battle&gt;对敌方造成 51 点伤害&lt;/battle&gt;，并施加 30 层凝滞"}]},"3":{"label":"投掷，&lt;battle&gt;对敌方造成 61 点伤害，对敌方施加 30 层凝滞&lt;/battle&gt;","executors":[{"trigger":"onActiveSpellCast","type":"damageHealth","amount":61,"label":"投掷，&lt;battle&gt;对敌方造成 61 点伤害&lt;/battle&gt;"},{"trigger":"onActiveSpellCast","type":"buffGain","buffId":"stagnation","amount":30,"targetActor":"enemy","label":"投掷，&lt;battle&gt;对敌方造成 61 点伤害&lt;/battle&gt;，并施加 30 层凝滞"}]}}}</t>
        </is>
      </c>
    </row>
    <row r="2034" ht="32" customHeight="1">
      <c r="A2034" s="8" t="n">
        <v>912300</v>
      </c>
      <c r="B2034" s="8" t="inlineStr">
        <is>
          <t>清辉裂潮镖</t>
        </is>
      </c>
      <c r="C2034" s="8" t="inlineStr">
        <is>
          <t>投掷物</t>
        </is>
      </c>
      <c r="D2034" s="8" t="inlineStr">
        <is>
          <t>common</t>
        </is>
      </c>
      <c r="E2034" s="8" t="inlineStr">
        <is>
          <t>metal</t>
        </is>
      </c>
      <c r="F2034" s="8" t="n">
        <v>1</v>
      </c>
      <c r="G2034" s="8" t="inlineStr">
        <is>
          <t>基础/顶层</t>
        </is>
      </c>
      <c r="H2034" s="8" t="inlineStr"/>
      <c r="I2034" s="9" t="inlineStr"/>
      <c r="J2034" s="8" t="inlineStr"/>
      <c r="K2034" s="8" t="inlineStr"/>
      <c r="L2034" s="8" t="inlineStr"/>
      <c r="M2034" s="8" t="inlineStr">
        <is>
          <t>说明/执行器</t>
        </is>
      </c>
      <c r="N2034" s="8" t="inlineStr">
        <is>
          <t>effectNote</t>
        </is>
      </c>
      <c r="O2034" s="9" t="inlineStr">
        <is>
          <t>投掷，每有 1 件金属性道具，对敌方造成 5 点伤害；投掷，每有 1 件金属性道具，对敌方造成 7 点伤害；投掷，每有 1 件金属性道具，对敌方造成 8 点伤害；投掷，每有 1 件金属性道具，对敌方造成 10 点伤害</t>
        </is>
      </c>
      <c r="P2034" s="9" t="inlineStr">
        <is>
          <t>onActiveSpellCast</t>
        </is>
      </c>
      <c r="Q2034" s="9" t="inlineStr">
        <is>
          <t>damageHealth</t>
        </is>
      </c>
      <c r="R2034" s="9" t="inlineStr">
        <is>
          <t>{"kind":"effectNote","label":"投掷，&lt;battle&gt;每有 1 件金属性道具，对敌方造成 5 点伤害&lt;/battle&gt;","executors":[{"trigger":"onActiveSpellCast","type":"damageHealth","amount":0,"amountPerMatchingBagItem":{"valuePerItem":5,"elements":["metal"]},"label":"投掷，&lt;battle&gt;每有 1 件金属性道具，对敌方造成 5 点伤害&lt;/battle&gt;"}],"starOverrides":{"1":{"label":"投掷，&lt;battle&gt;每有 1 件金属性道具，对敌方造成 7 点伤害&lt;/battle&gt;","executors":[{"trigger":"onActiveSpellCast","type":"damageHealth","amount":0,"amountPerMatchingBagItem":{"valuePerItem":7,"elements":["metal"]},"label":"投掷，&lt;battle&gt;每有 1 件金属性道具，对敌方造成 7 点伤害&lt;/battle&gt;"}]},"2":{"label":"投掷，&lt;battle&gt;每有 1 件金属性道具，对敌方造成 8 点伤害&lt;/battle&gt;","executors":[{"trigger":"onActiveSpellCast","type":"damageHealth","amount":0,"amountPerMatchingBagItem":{"valuePerItem":8,"elements":["metal"]},"label":"投掷，&lt;battle&gt;每有 1 件金属性道具，对敌方造成 8 点伤害&lt;/battle&gt;"}]},"3":{"label":"投掷，&lt;battle&gt;每有 1 件金属性道具，对敌方造成 10 点伤害&lt;/battle&gt;","executors":[{"trigger":"onActiveSpellCast","type":"damageHealth","amount":0,"amountPerMatchingBagItem":{"valuePerItem":10,"elements":["metal"]},"label":"投掷，&lt;battle&gt;每有 1 件金属性道具，对敌方造成 10 点伤害&lt;/battle&gt;"}]}}}</t>
        </is>
      </c>
    </row>
    <row r="2035" ht="32" customHeight="1">
      <c r="A2035" s="8" t="n">
        <v>912301</v>
      </c>
      <c r="B2035" s="8" t="inlineStr">
        <is>
          <t>凝月爆潮囊</t>
        </is>
      </c>
      <c r="C2035" s="8" t="inlineStr">
        <is>
          <t>投掷物</t>
        </is>
      </c>
      <c r="D2035" s="8" t="inlineStr">
        <is>
          <t>common</t>
        </is>
      </c>
      <c r="E2035" s="8" t="inlineStr">
        <is>
          <t>water</t>
        </is>
      </c>
      <c r="F2035" s="8" t="n">
        <v>1</v>
      </c>
      <c r="G2035" s="8" t="inlineStr">
        <is>
          <t>基础/顶层</t>
        </is>
      </c>
      <c r="H2035" s="8" t="inlineStr"/>
      <c r="I2035" s="9" t="inlineStr"/>
      <c r="J2035" s="8" t="inlineStr"/>
      <c r="K2035" s="8" t="inlineStr"/>
      <c r="L2035" s="8" t="inlineStr"/>
      <c r="M2035" s="8" t="inlineStr">
        <is>
          <t>说明/执行器</t>
        </is>
      </c>
      <c r="N2035" s="8" t="inlineStr">
        <is>
          <t>effectNote</t>
        </is>
      </c>
      <c r="O2035" s="9" t="inlineStr">
        <is>
          <t>投掷，恢复 40 点气血；投掷，恢复 50 点气血；投掷，恢复 59 点气血；投掷，恢复 69 点气血</t>
        </is>
      </c>
      <c r="P2035" s="9" t="inlineStr">
        <is>
          <t>onActiveSpellCast</t>
        </is>
      </c>
      <c r="Q2035" s="9" t="inlineStr">
        <is>
          <t>primaryStatGain</t>
        </is>
      </c>
      <c r="R2035" s="9" t="inlineStr">
        <is>
          <t>{"kind":"effectNote","label":"投掷，恢复 40 点气血","executors":[{"trigger":"onActiveSpellCast","type":"primaryStatGain","stat":"health","amount":40,"label":"投掷，恢复 40 点气血"}],"starOverrides":{"1":{"label":"投掷，恢复 50 点气血","executors":[{"trigger":"onActiveSpellCast","type":"primaryStatGain","stat":"health","amount":50,"label":"投掷，恢复 50 点气血"}]},"2":{"label":"投掷，恢复 59 点气血","executors":[{"trigger":"onActiveSpellCast","type":"primaryStatGain","stat":"health","amount":59,"label":"投掷，恢复 59 点气血"}]},"3":{"label":"投掷，恢复 69 点气血","executors":[{"trigger":"onActiveSpellCast","type":"primaryStatGain","stat":"health","amount":69,"label":"投掷，恢复 69 点气血"}]}}}</t>
        </is>
      </c>
    </row>
    <row r="2036" ht="32" customHeight="1">
      <c r="A2036" s="8" t="n">
        <v>912304</v>
      </c>
      <c r="B2036" s="8" t="inlineStr">
        <is>
          <t>月涧坠月弹</t>
        </is>
      </c>
      <c r="C2036" s="8" t="inlineStr">
        <is>
          <t>投掷物</t>
        </is>
      </c>
      <c r="D2036" s="8" t="inlineStr">
        <is>
          <t>common</t>
        </is>
      </c>
      <c r="E2036" s="8" t="inlineStr">
        <is>
          <t>metal</t>
        </is>
      </c>
      <c r="F2036" s="8" t="n">
        <v>1</v>
      </c>
      <c r="G2036" s="8" t="inlineStr">
        <is>
          <t>基础/顶层</t>
        </is>
      </c>
      <c r="H2036" s="8" t="inlineStr"/>
      <c r="I2036" s="9" t="inlineStr"/>
      <c r="J2036" s="8" t="inlineStr"/>
      <c r="K2036" s="8" t="inlineStr"/>
      <c r="L2036" s="8" t="inlineStr"/>
      <c r="M2036" s="8" t="inlineStr">
        <is>
          <t>说明/执行器</t>
        </is>
      </c>
      <c r="N2036" s="8" t="inlineStr">
        <is>
          <t>effectNote</t>
        </is>
      </c>
      <c r="O2036" s="9" t="inlineStr">
        <is>
          <t>投掷，对敌方造成 28 点伤害，并使敌方随机 1 件道具获得 3 秒减速；投掷，对敌方造成 38 点伤害，并使敌方随机 1 件道具获得 4 秒减速；投掷，对敌方造成 48 点伤害，并使敌方随机 1 件道具获得 5 秒减速；投掷，对敌方造成 58 点伤害，并使敌方随机 1 件道具获得 6 秒减速</t>
        </is>
      </c>
      <c r="P2036" s="9" t="inlineStr">
        <is>
          <t>onActiveSpellCast</t>
        </is>
      </c>
      <c r="Q2036" s="9" t="inlineStr">
        <is>
          <t>damageHealth；itemRuntimeStatus</t>
        </is>
      </c>
      <c r="R2036" s="9" t="inlineStr">
        <is>
          <t>{"kind":"effectNote","label":"投掷，&lt;battle&gt;对敌方造成 28 点伤害，并使敌方随机 1 件道具获得 3 秒减速&lt;/battle&gt;","executors":[{"trigger":"onActiveSpellCast","type":"damageHealth","amount":28,"label":"投掷，&lt;battle&gt;对敌方造成 28 点伤害，并使敌方随机 1 件道具获得 3 秒减速&lt;/battle&gt;"},{"trigger":"onActiveSpellCast","type":"itemRuntimeStatus","itemRuntimeStatus":"slow","durationSec":3,"targetActor":"enemy","targetSelection":"random","amount":1,"label":"投掷，&lt;battle&gt;对敌方造成 28 点伤害，并使敌方随机 1 件道具获得 3 秒减速&lt;/battle&gt;"}],"starOverrides":{"1":{"label":"投掷，&lt;battle&gt;对敌方造成 38 点伤害，并使敌方随机 1 件道具获得 4 秒减速&lt;/battle&gt;","executors":[{"trigger":"onActiveSpellCast","type":"damageHealth","amount":38,"label":"投掷，&lt;battle&gt;对敌方造成 38 点伤害，并使敌方随机 1 件道具获得 4 秒减速&lt;/battle&gt;"},{"trigger":"onActiveSpellCast","type":"itemRuntimeStatus","itemRuntimeStatus":"slow","durationSec":4,"targetActor":"enemy","targetSelection":"random","amount":1,"label":"投掷，&lt;battle&gt;对敌方造成 38 点伤害，并使敌方随机 1 件道具获得 4 秒减速&lt;/battle&gt;"}]},"2":{"label":"投掷，&lt;battle&gt;对敌方造成 48 点伤害，并使敌方随机 1 件道具获得 5 秒减速&lt;/battle&gt;","executors":[{"trigger":"onActiveSpellCast","type":"damageHealth","amount":48,"label":"投掷，&lt;battle&gt;对敌方造成 48 点伤害，并使敌方随机 1 件道具获得 5 秒减速&lt;/battle&gt;"},{"trigger":"onActiveSpellCast","type":"itemRuntimeStatus","itemRuntimeStatus":"slow","durationSec":5,"targetActor":"enemy","targetSelection":"random","amount":1,"label":"投掷，&lt;battle&gt;对敌方造成 48 点伤害，并使敌方随机 1 件道具获得 5 秒减速&lt;/battle&gt;"}]},"3":{"label":"投掷，&lt;battle&gt;对敌方造成 58 点伤害，并使敌方随机 1 件道具获得 6 秒减速&lt;/battle&gt;","executors":[{"trigger":"onActiveSpellCast","type":"damageHealth","amount":58,"label":"投掷，&lt;battle&gt;对敌方造成 58 点伤害，并使敌方随机 1 件道具获得 6 秒减速&lt;/battle&gt;"},{"trigger":"onActiveSpellCast","type":"itemRuntimeStatus","itemRuntimeStatus":"slow","durationSec":6,"targetActor":"enemy","targetSelection":"random","amount":1,"label":"投掷，&lt;battle&gt;对敌方造成 58 点伤害，并使敌方随机 1 件道具获得 6 秒减速&lt;/battle&gt;"}]}}}</t>
        </is>
      </c>
    </row>
    <row r="2037" ht="32" customHeight="1">
      <c r="A2037" s="8" t="n">
        <v>912405</v>
      </c>
      <c r="B2037" s="8" t="inlineStr">
        <is>
          <t>木息髓爆筒</t>
        </is>
      </c>
      <c r="C2037" s="8" t="inlineStr">
        <is>
          <t>投掷物</t>
        </is>
      </c>
      <c r="D2037" s="8" t="inlineStr">
        <is>
          <t>common</t>
        </is>
      </c>
      <c r="E2037" s="8" t="inlineStr">
        <is>
          <t>wood</t>
        </is>
      </c>
      <c r="F2037" s="8" t="n">
        <v>1</v>
      </c>
      <c r="G2037" s="8" t="inlineStr">
        <is>
          <t>基础/顶层</t>
        </is>
      </c>
      <c r="H2037" s="8" t="inlineStr"/>
      <c r="I2037" s="9" t="inlineStr"/>
      <c r="J2037" s="8" t="inlineStr"/>
      <c r="K2037" s="8" t="inlineStr"/>
      <c r="L2037" s="8" t="inlineStr"/>
      <c r="M2037" s="8" t="inlineStr">
        <is>
          <t>说明/执行器</t>
        </is>
      </c>
      <c r="N2037" s="8" t="inlineStr">
        <is>
          <t>effectNote</t>
        </is>
      </c>
      <c r="O2037" s="9" t="inlineStr">
        <is>
          <t>投掷，本局每有 1 件已耗尽投掷物，对敌方造成 7 点伤害；投掷，本局每有 1 件已耗尽投掷物，对敌方造成 8 点伤害；投掷，本局每有 1 件已耗尽投掷物，对敌方造成 10 点伤害；投掷，本局每有 1 件已耗尽投掷物，对敌方造成 12 点伤害</t>
        </is>
      </c>
      <c r="P2037" s="9" t="inlineStr">
        <is>
          <t>onActiveSpellCast</t>
        </is>
      </c>
      <c r="Q2037" s="9" t="inlineStr">
        <is>
          <t>damageHealth</t>
        </is>
      </c>
      <c r="R2037" s="9" t="inlineStr">
        <is>
          <t>{"kind":"effectNote","label":"投掷，&lt;battle&gt;本局每有 1 件已耗尽投掷物，对敌方造成 7 点伤害&lt;/battle&gt;","executors":[{"trigger":"onActiveSpellCast","type":"damageHealth","amount":0,"amountPerExhaustedConsumable":{"valuePerItem":7,"categories":["throwable"]},"label":"投掷，&lt;battle&gt;本局每有 1 件已耗尽投掷物，对敌方造成 7 点伤害&lt;/battle&gt;"}],"starOverrides":{"1":{"label":"投掷，&lt;battle&gt;本局每有 1 件已耗尽投掷物，对敌方造成 8 点伤害&lt;/battle&gt;","executors":[{"trigger":"onActiveSpellCast","type":"damageHealth","amount":0,"amountPerExhaustedConsumable":{"valuePerItem":8,"categories":["throwable"]},"label":"投掷，&lt;battle&gt;本局每有 1 件已耗尽投掷物，对敌方造成 8 点伤害&lt;/battle&gt;"}]},"2":{"label":"投掷，&lt;battle&gt;本局每有 1 件已耗尽投掷物，对敌方造成 10 点伤害&lt;/battle&gt;","executors":[{"trigger":"onActiveSpellCast","type":"damageHealth","amount":0,"amountPerExhaustedConsumable":{"valuePerItem":10,"categories":["throwable"]},"label":"投掷，&lt;battle&gt;本局每有 1 件已耗尽投掷物，对敌方造成 10 点伤害&lt;/battle&gt;"}]},"3":{"label":"投掷，&lt;battle&gt;本局每有 1 件已耗尽投掷物，对敌方造成 12 点伤害&lt;/battle&gt;","executors":[{"trigger":"onActiveSpellCast","type":"damageHealth","amount":0,"amountPerExhaustedConsumable":{"valuePerItem":12,"categories":["throwable"]},"label":"投掷，&lt;battle&gt;本局每有 1 件已耗尽投掷物，对敌方造成 12 点伤害&lt;/battle&gt;"}]}}}</t>
        </is>
      </c>
    </row>
    <row r="2038" ht="32" customHeight="1">
      <c r="A2038" s="8" t="n">
        <v>912406</v>
      </c>
      <c r="B2038" s="8" t="inlineStr">
        <is>
          <t>断啸破罡哨箭</t>
        </is>
      </c>
      <c r="C2038" s="8" t="inlineStr">
        <is>
          <t>投掷物</t>
        </is>
      </c>
      <c r="D2038" s="8" t="inlineStr">
        <is>
          <t>common</t>
        </is>
      </c>
      <c r="E2038" s="8" t="inlineStr">
        <is>
          <t>wood</t>
        </is>
      </c>
      <c r="F2038" s="8" t="n">
        <v>1</v>
      </c>
      <c r="G2038" s="8" t="inlineStr">
        <is>
          <t>基础/顶层</t>
        </is>
      </c>
      <c r="H2038" s="8" t="inlineStr"/>
      <c r="I2038" s="9" t="inlineStr"/>
      <c r="J2038" s="8" t="inlineStr"/>
      <c r="K2038" s="8" t="inlineStr"/>
      <c r="L2038" s="8" t="inlineStr"/>
      <c r="M2038" s="8" t="inlineStr">
        <is>
          <t>说明/执行器</t>
        </is>
      </c>
      <c r="N2038" s="8" t="inlineStr">
        <is>
          <t>effectNote</t>
        </is>
      </c>
      <c r="O2038" s="9" t="inlineStr">
        <is>
          <t>投掷，每有 1 件招式，对敌方造成 7 点伤害；投掷，每有 1 件招式，对敌方造成 8 点伤害；投掷，每有 1 件招式，对敌方造成 10 点伤害；投掷，每有 1 件招式，对敌方造成 12 点伤害</t>
        </is>
      </c>
      <c r="P2038" s="9" t="inlineStr">
        <is>
          <t>onActiveSpellCast</t>
        </is>
      </c>
      <c r="Q2038" s="9" t="inlineStr">
        <is>
          <t>damageHealth</t>
        </is>
      </c>
      <c r="R2038" s="9" t="inlineStr">
        <is>
          <t>{"kind":"effectNote","label":"投掷，&lt;battle&gt;每有 1 件招式，对敌方造成 7 点伤害&lt;/battle&gt;","executors":[{"trigger":"onActiveSpellCast","type":"damageHealth","amount":0,"amountPerMatchingBagItem":{"valuePerItem":7,"categories":["spell"]},"label":"投掷，&lt;battle&gt;每有 1 件招式，对敌方造成 7 点伤害&lt;/battle&gt;"}],"starOverrides":{"1":{"label":"投掷，&lt;battle&gt;每有 1 件招式，对敌方造成 8 点伤害&lt;/battle&gt;","executors":[{"trigger":"onActiveSpellCast","type":"damageHealth","amount":0,"amountPerMatchingBagItem":{"valuePerItem":8,"categories":["spell"]},"label":"投掷，&lt;battle&gt;每有 1 件招式，对敌方造成 8 点伤害&lt;/battle&gt;"}]},"2":{"label":"投掷，&lt;battle&gt;每有 1 件招式，对敌方造成 10 点伤害&lt;/battle&gt;","executors":[{"trigger":"onActiveSpellCast","type":"damageHealth","amount":0,"amountPerMatchingBagItem":{"valuePerItem":10,"categories":["spell"]},"label":"投掷，&lt;battle&gt;每有 1 件招式，对敌方造成 10 点伤害&lt;/battle&gt;"}]},"3":{"label":"投掷，&lt;battle&gt;每有 1 件招式，对敌方造成 12 点伤害&lt;/battle&gt;","executors":[{"trigger":"onActiveSpellCast","type":"damageHealth","amount":0,"amountPerMatchingBagItem":{"valuePerItem":12,"categories":["spell"]},"label":"投掷，&lt;battle&gt;每有 1 件招式，对敌方造成 12 点伤害&lt;/battle&gt;"}]}}}</t>
        </is>
      </c>
    </row>
    <row r="2039" ht="32" customHeight="1">
      <c r="A2039" s="8" t="n">
        <v>912407</v>
      </c>
      <c r="B2039" s="8" t="inlineStr">
        <is>
          <t>裂胆震灵弹</t>
        </is>
      </c>
      <c r="C2039" s="8" t="inlineStr">
        <is>
          <t>投掷物</t>
        </is>
      </c>
      <c r="D2039" s="8" t="inlineStr">
        <is>
          <t>common</t>
        </is>
      </c>
      <c r="E2039" s="8" t="inlineStr">
        <is>
          <t>wood</t>
        </is>
      </c>
      <c r="F2039" s="8" t="n">
        <v>1</v>
      </c>
      <c r="G2039" s="8" t="inlineStr">
        <is>
          <t>基础/顶层</t>
        </is>
      </c>
      <c r="H2039" s="8" t="inlineStr"/>
      <c r="I2039" s="9" t="inlineStr"/>
      <c r="J2039" s="8" t="inlineStr"/>
      <c r="K2039" s="8" t="inlineStr"/>
      <c r="L2039" s="8" t="inlineStr"/>
      <c r="M2039" s="8" t="inlineStr">
        <is>
          <t>说明/执行器</t>
        </is>
      </c>
      <c r="N2039" s="8" t="inlineStr">
        <is>
          <t>effectNote</t>
        </is>
      </c>
      <c r="O2039" s="9" t="inlineStr">
        <is>
          <t>投掷，对敌方造成 24 点伤害，并使敌方占格面积最大的道具获得 5 秒减速；投掷，对敌方造成 31 点伤害，并使敌方占格面积最大的道具获得 6 秒减速；投掷，对敌方造成 37 点伤害，并使敌方占格面积最大的道具获得 8 秒减速；投掷，对敌方造成 44 点伤害，并使敌方占格面积最大的道具获得 9 秒减速</t>
        </is>
      </c>
      <c r="P2039" s="9" t="inlineStr">
        <is>
          <t>onActiveSpellCast</t>
        </is>
      </c>
      <c r="Q2039" s="9" t="inlineStr">
        <is>
          <t>damageHealth；itemRuntimeStatus</t>
        </is>
      </c>
      <c r="R2039" s="9" t="inlineStr">
        <is>
          <t>{"kind":"effectNote","label":"投掷，&lt;battle&gt;对敌方造成 24 点伤害，并使敌方占格面积最大的道具获得 5 秒减速&lt;/battle&gt;","executors":[{"trigger":"onActiveSpellCast","type":"damageHealth","amount":24,"label":"投掷，&lt;battle&gt;对敌方造成 24 点伤害，并使敌方占格面积最大的道具获得 5 秒减速&lt;/battle&gt;"},{"trigger":"onActiveSpellCast","type":"itemRuntimeStatus","itemRuntimeStatus":"slow","durationSec":5,"targetActor":"enemy","targetSelection":"largest","amount":1,"label":"投掷，&lt;battle&gt;对敌方造成 24 点伤害，并使敌方占格面积最大的道具获得 5 秒减速&lt;/battle&gt;"}],"starOverrides":{"1":{"label":"投掷，&lt;battle&gt;对敌方造成 31 点伤害，并使敌方占格面积最大的道具获得 6 秒减速&lt;/battle&gt;","executors":[{"trigger":"onActiveSpellCast","type":"damageHealth","amount":31,"label":"投掷，&lt;battle&gt;对敌方造成 31 点伤害，并使敌方占格面积最大的道具获得 6 秒减速&lt;/battle&gt;"},{"trigger":"onActiveSpellCast","type":"itemRuntimeStatus","itemRuntimeStatus":"slow","durationSec":6,"targetActor":"enemy","targetSelection":"largest","amount":1,"label":"投掷，&lt;battle&gt;对敌方造成 31 点伤害，并使敌方占格面积最大的道具获得 6 秒减速&lt;/battle&gt;"}]},"2":{"label":"投掷，&lt;battle&gt;对敌方造成 37 点伤害，并使敌方占格面积最大的道具获得 8 秒减速&lt;/battle&gt;","executors":[{"trigger":"onActiveSpellCast","type":"damageHealth","amount":37,"label":"投掷，&lt;battle&gt;对敌方造成 37 点伤害，并使敌方占格面积最大的道具获得 8 秒减速&lt;/battle&gt;"},{"trigger":"onActiveSpellCast","type":"itemRuntimeStatus","itemRuntimeStatus":"slow","durationSec":8,"targetActor":"enemy","targetSelection":"largest","amount":1,"label":"投掷，&lt;battle&gt;对敌方造成 37 点伤害，并使敌方占格面积最大的道具获得 8 秒减速&lt;/battle&gt;"}]},"3":{"label":"投掷，&lt;battle&gt;对敌方造成 44 点伤害，并使敌方占格面积最大的道具获得 9 秒减速&lt;/battle&gt;","executors":[{"trigger":"onActiveSpellCast","type":"damageHealth","amount":44,"label":"投掷，&lt;battle&gt;对敌方造成 44 点伤害，并使敌方占格面积最大的道具获得 9 秒减速&lt;/battle&gt;"},{"trigger":"onActiveSpellCast","type":"itemRuntimeStatus","itemRuntimeStatus":"slow","durationSec":9,"targetActor":"enemy","targetSelection":"largest","amount":1,"label":"投掷，&lt;battle&gt;对敌方造成 44 点伤害，并使敌方占格面积最大的道具获得 9 秒减速&lt;/battle&gt;"}]}}}</t>
        </is>
      </c>
    </row>
    <row r="2040" ht="32" customHeight="1">
      <c r="A2040" s="8" t="n">
        <v>912408</v>
      </c>
      <c r="B2040" s="8" t="inlineStr">
        <is>
          <t>破障追魂镖</t>
        </is>
      </c>
      <c r="C2040" s="8" t="inlineStr">
        <is>
          <t>投掷物</t>
        </is>
      </c>
      <c r="D2040" s="8" t="inlineStr">
        <is>
          <t>common</t>
        </is>
      </c>
      <c r="E2040" s="8" t="inlineStr">
        <is>
          <t>wood</t>
        </is>
      </c>
      <c r="F2040" s="8" t="n">
        <v>1</v>
      </c>
      <c r="G2040" s="8" t="inlineStr">
        <is>
          <t>基础/顶层</t>
        </is>
      </c>
      <c r="H2040" s="8" t="inlineStr"/>
      <c r="I2040" s="9" t="inlineStr"/>
      <c r="J2040" s="8" t="inlineStr"/>
      <c r="K2040" s="8" t="inlineStr"/>
      <c r="L2040" s="8" t="inlineStr"/>
      <c r="M2040" s="8" t="inlineStr">
        <is>
          <t>说明/执行器</t>
        </is>
      </c>
      <c r="N2040" s="8" t="inlineStr">
        <is>
          <t>effectNote</t>
        </is>
      </c>
      <c r="O2040" s="9" t="inlineStr">
        <is>
          <t>投掷，对敌方造成 34 点伤害，并使敌方随机 1 件道具获得 6 秒减速；投掷，对敌方造成 44 点伤害，并使敌方随机 1 件道具获得 8 秒减速；投掷，对敌方造成 54 点伤害，并使敌方随机 1 件道具获得 9 秒减速；投掷，对敌方造成 65 点伤害，并使敌方随机 1 件道具获得 11 秒减速</t>
        </is>
      </c>
      <c r="P2040" s="9" t="inlineStr">
        <is>
          <t>onActiveSpellCast</t>
        </is>
      </c>
      <c r="Q2040" s="9" t="inlineStr">
        <is>
          <t>damageHealth；itemRuntimeStatus</t>
        </is>
      </c>
      <c r="R2040" s="9" t="inlineStr">
        <is>
          <t>{"kind":"effectNote","label":"投掷，&lt;battle&gt;对敌方造成 34 点伤害，并使敌方随机 1 件道具获得 6 秒减速&lt;/battle&gt;","executors":[{"trigger":"onActiveSpellCast","type":"damageHealth","amount":34,"label":"投掷，&lt;battle&gt;对敌方造成 34 点伤害，并使敌方随机 1 件道具获得 6 秒减速&lt;/battle&gt;"},{"trigger":"onActiveSpellCast","type":"itemRuntimeStatus","itemRuntimeStatus":"slow","durationSec":6,"targetActor":"enemy","targetSelection":"random","amount":1,"label":"投掷，&lt;battle&gt;对敌方造成 34 点伤害，并使敌方随机 1 件道具获得 6 秒减速&lt;/battle&gt;"}],"starOverrides":{"1":{"label":"投掷，&lt;battle&gt;对敌方造成 44 点伤害，并使敌方随机 1 件道具获得 8 秒减速&lt;/battle&gt;","executors":[{"trigger":"onActiveSpellCast","type":"damageHealth","amount":44,"label":"投掷，&lt;battle&gt;对敌方造成 44 点伤害，并使敌方随机 1 件道具获得 8 秒减速&lt;/battle&gt;"},{"trigger":"onActiveSpellCast","type":"itemRuntimeStatus","itemRuntimeStatus":"slow","durationSec":8,"targetActor":"enemy","targetSelection":"random","amount":1,"label":"投掷，&lt;battle&gt;对敌方造成 44 点伤害，并使敌方随机 1 件道具获得 8 秒减速&lt;/battle&gt;"}]},"2":{"label":"投掷，&lt;battle&gt;对敌方造成 54 点伤害，并使敌方随机 1 件道具获得 9 秒减速&lt;/battle&gt;","executors":[{"trigger":"onActiveSpellCast","type":"damageHealth","amount":54,"label":"投掷，&lt;battle&gt;对敌方造成 54 点伤害，并使敌方随机 1 件道具获得 9 秒减速&lt;/battle&gt;"},{"trigger":"onActiveSpellCast","type":"itemRuntimeStatus","itemRuntimeStatus":"slow","durationSec":9,"targetActor":"enemy","targetSelection":"random","amount":1,"label":"投掷，&lt;battle&gt;对敌方造成 54 点伤害，并使敌方随机 1 件道具获得 9 秒减速&lt;/battle&gt;"}]},"3":{"label":"投掷，&lt;battle&gt;对敌方造成 65 点伤害，并使敌方随机 1 件道具获得 11 秒减速&lt;/battle&gt;","executors":[{"trigger":"onActiveSpellCast","type":"damageHealth","amount":65,"label":"投掷，&lt;battle&gt;对敌方造成 65 点伤害，并使敌方随机 1 件道具获得 11 秒减速&lt;/battle&gt;"},{"trigger":"onActiveSpellCast","type":"itemRuntimeStatus","itemRuntimeStatus":"slow","durationSec":11,"targetActor":"enemy","targetSelection":"random","amount":1,"label":"投掷，&lt;battle&gt;对敌方造成 65 点伤害，并使敌方随机 1 件道具获得 11 秒减速&lt;/battle&gt;"}]}}}</t>
        </is>
      </c>
    </row>
    <row r="2041" ht="32" customHeight="1">
      <c r="A2041" s="8" t="n">
        <v>912702</v>
      </c>
      <c r="B2041" s="8" t="inlineStr">
        <is>
          <t>裂髓骨矛</t>
        </is>
      </c>
      <c r="C2041" s="8" t="inlineStr">
        <is>
          <t>投掷物</t>
        </is>
      </c>
      <c r="D2041" s="8" t="inlineStr">
        <is>
          <t>common</t>
        </is>
      </c>
      <c r="E2041" s="8" t="inlineStr">
        <is>
          <t>earth</t>
        </is>
      </c>
      <c r="F2041" s="8" t="n">
        <v>1</v>
      </c>
      <c r="G2041" s="8" t="inlineStr">
        <is>
          <t>基础/顶层</t>
        </is>
      </c>
      <c r="H2041" s="8" t="inlineStr"/>
      <c r="I2041" s="9" t="inlineStr"/>
      <c r="J2041" s="8" t="inlineStr"/>
      <c r="K2041" s="8" t="inlineStr"/>
      <c r="L2041" s="8" t="inlineStr"/>
      <c r="M2041" s="8" t="inlineStr">
        <is>
          <t>说明/执行器</t>
        </is>
      </c>
      <c r="N2041" s="8" t="inlineStr">
        <is>
          <t>effectNote</t>
        </is>
      </c>
      <c r="O2041" s="9" t="inlineStr">
        <is>
          <t>投掷，每有 1 件 1×2 型道具，对敌方造成 7 点伤害；投掷，每有 1 件 1×2 型道具，对敌方造成 8 点伤害；投掷，每有 1 件 1×2 型道具，对敌方造成 10 点伤害；投掷，每有 1 件 1×2 型道具，对敌方造成 12 点伤害</t>
        </is>
      </c>
      <c r="P2041" s="9" t="inlineStr">
        <is>
          <t>onActiveSpellCast</t>
        </is>
      </c>
      <c r="Q2041" s="9" t="inlineStr">
        <is>
          <t>damageHealth</t>
        </is>
      </c>
      <c r="R2041" s="9" t="inlineStr">
        <is>
          <t>{"kind":"effectNote","label":"投掷，&lt;battle&gt;每有 1 件 1×2 型道具，对敌方造成 7 点伤害&lt;/battle&gt;","executors":[{"trigger":"onActiveSpellCast","type":"damageHealth","amount":0,"amountPerMatchingBagItem":{"valuePerItem":7,"shapeSizes":["1x2"]},"label":"投掷，&lt;battle&gt;每有 1 件 1×2 型道具，对敌方造成 7 点伤害&lt;/battle&gt;"}],"starOverrides":{"1":{"label":"投掷，&lt;battle&gt;每有 1 件 1×2 型道具，对敌方造成 8 点伤害&lt;/battle&gt;","executors":[{"trigger":"onActiveSpellCast","type":"damageHealth","amount":0,"amountPerMatchingBagItem":{"valuePerItem":8,"shapeSizes":["1x2"]},"label":"投掷，&lt;battle&gt;每有 1 件 1×2 型道具，对敌方造成 8 点伤害&lt;/battle&gt;"}]},"2":{"label":"投掷，&lt;battle&gt;每有 1 件 1×2 型道具，对敌方造成 10 点伤害&lt;/battle&gt;","executors":[{"trigger":"onActiveSpellCast","type":"damageHealth","amount":0,"amountPerMatchingBagItem":{"valuePerItem":10,"shapeSizes":["1x2"]},"label":"投掷，&lt;battle&gt;每有 1 件 1×2 型道具，对敌方造成 10 点伤害&lt;/battle&gt;"}]},"3":{"label":"投掷，&lt;battle&gt;每有 1 件 1×2 型道具，对敌方造成 12 点伤害&lt;/battle&gt;","executors":[{"trigger":"onActiveSpellCast","type":"damageHealth","amount":0,"amountPerMatchingBagItem":{"valuePerItem":12,"shapeSizes":["1x2"]},"label":"投掷，&lt;battle&gt;每有 1 件 1×2 型道具，对敌方造成 12 点伤害&lt;/battle&gt;"}]}}}</t>
        </is>
      </c>
    </row>
    <row r="2042" ht="32" customHeight="1">
      <c r="A2042" s="8" t="n">
        <v>912705</v>
      </c>
      <c r="B2042" s="8" t="inlineStr">
        <is>
          <t>裂心鳞梭</t>
        </is>
      </c>
      <c r="C2042" s="8" t="inlineStr">
        <is>
          <t>投掷物</t>
        </is>
      </c>
      <c r="D2042" s="8" t="inlineStr">
        <is>
          <t>common</t>
        </is>
      </c>
      <c r="E2042" s="8" t="inlineStr">
        <is>
          <t>earth</t>
        </is>
      </c>
      <c r="F2042" s="8" t="n">
        <v>1</v>
      </c>
      <c r="G2042" s="8" t="inlineStr">
        <is>
          <t>基础/顶层</t>
        </is>
      </c>
      <c r="H2042" s="8" t="inlineStr"/>
      <c r="I2042" s="9" t="inlineStr"/>
      <c r="J2042" s="8" t="inlineStr"/>
      <c r="K2042" s="8" t="inlineStr"/>
      <c r="L2042" s="8" t="inlineStr"/>
      <c r="M2042" s="8" t="inlineStr">
        <is>
          <t>说明/执行器</t>
        </is>
      </c>
      <c r="N2042" s="8" t="inlineStr">
        <is>
          <t>effectNote</t>
        </is>
      </c>
      <c r="O2042" s="9" t="inlineStr">
        <is>
          <t>投掷，移除敌方 9 层护甲；投掷，移除敌方 11 层护甲；投掷，移除敌方 12 层护甲；投掷，移除敌方 14 层护甲</t>
        </is>
      </c>
      <c r="P2042" s="9" t="inlineStr">
        <is>
          <t>onActiveSpellCast</t>
        </is>
      </c>
      <c r="Q2042" s="9" t="inlineStr">
        <is>
          <t>removeBuffStacks</t>
        </is>
      </c>
      <c r="R2042" s="9" t="inlineStr">
        <is>
          <t>{"kind":"effectNote","label":"投掷，&lt;battle&gt;移除敌方 9 层护甲&lt;/battle&gt;","executors":[{"trigger":"onActiveSpellCast","type":"removeBuffStacks","buffId":"armor","amount":9,"targetActor":"enemy","label":"投掷，&lt;battle&gt;移除敌方 9 层护甲&lt;/battle&gt;"}],"starOverrides":{"1":{"label":"投掷，&lt;battle&gt;移除敌方 11 层护甲&lt;/battle&gt;","executors":[{"trigger":"onActiveSpellCast","type":"removeBuffStacks","buffId":"armor","amount":11,"targetActor":"enemy","label":"投掷，&lt;battle&gt;移除敌方 11 层护甲&lt;/battle&gt;"}]},"2":{"label":"投掷，&lt;battle&gt;移除敌方 12 层护甲&lt;/battle&gt;","executors":[{"trigger":"onActiveSpellCast","type":"removeBuffStacks","buffId":"armor","amount":12,"targetActor":"enemy","label":"投掷，&lt;battle&gt;移除敌方 12 层护甲&lt;/battle&gt;"}]},"3":{"label":"投掷，&lt;battle&gt;移除敌方 14 层护甲&lt;/battle&gt;","executors":[{"trigger":"onActiveSpellCast","type":"removeBuffStacks","buffId":"armor","amount":14,"targetActor":"enemy","label":"投掷，&lt;battle&gt;移除敌方 14 层护甲&lt;/battle&gt;"}]}}}</t>
        </is>
      </c>
    </row>
    <row r="2043" ht="32" customHeight="1">
      <c r="A2043" s="8" t="n">
        <v>912706</v>
      </c>
      <c r="B2043" s="8" t="inlineStr">
        <is>
          <t>玄胆爆珠</t>
        </is>
      </c>
      <c r="C2043" s="8" t="inlineStr">
        <is>
          <t>投掷物</t>
        </is>
      </c>
      <c r="D2043" s="8" t="inlineStr">
        <is>
          <t>common</t>
        </is>
      </c>
      <c r="E2043" s="8" t="inlineStr">
        <is>
          <t>earth</t>
        </is>
      </c>
      <c r="F2043" s="8" t="n">
        <v>1</v>
      </c>
      <c r="G2043" s="8" t="inlineStr">
        <is>
          <t>基础/顶层</t>
        </is>
      </c>
      <c r="H2043" s="8" t="inlineStr"/>
      <c r="I2043" s="9" t="inlineStr"/>
      <c r="J2043" s="8" t="inlineStr"/>
      <c r="K2043" s="8" t="inlineStr"/>
      <c r="L2043" s="8" t="inlineStr"/>
      <c r="M2043" s="8" t="inlineStr">
        <is>
          <t>说明/执行器</t>
        </is>
      </c>
      <c r="N2043" s="8" t="inlineStr">
        <is>
          <t>effectNote</t>
        </is>
      </c>
      <c r="O2043" s="9" t="inlineStr">
        <is>
          <t>投掷，本局每有 1 件已耗尽消耗品，对敌方造成 7 点伤害；投掷，本局每有 1 件已耗尽消耗品，对敌方造成 8 点伤害；投掷，本局每有 1 件已耗尽消耗品，对敌方造成 10 点伤害；投掷，本局每有 1 件已耗尽消耗品，对敌方造成 12 点伤害</t>
        </is>
      </c>
      <c r="P2043" s="9" t="inlineStr">
        <is>
          <t>onActiveSpellCast</t>
        </is>
      </c>
      <c r="Q2043" s="9" t="inlineStr">
        <is>
          <t>damageHealth</t>
        </is>
      </c>
      <c r="R2043" s="9" t="inlineStr">
        <is>
          <t>{"kind":"effectNote","label":"投掷，&lt;battle&gt;本局每有 1 件已耗尽消耗品，对敌方造成 7 点伤害&lt;/battle&gt;","executors":[{"trigger":"onActiveSpellCast","type":"damageHealth","amount":0,"amountPerExhaustedConsumable":{"valuePerItem":7},"label":"投掷，&lt;battle&gt;本局每有 1 件已耗尽消耗品，对敌方造成 7 点伤害&lt;/battle&gt;"}],"starOverrides":{"1":{"label":"投掷，&lt;battle&gt;本局每有 1 件已耗尽消耗品，对敌方造成 8 点伤害&lt;/battle&gt;","executors":[{"trigger":"onActiveSpellCast","type":"damageHealth","amount":0,"amountPerExhaustedConsumable":{"valuePerItem":8},"label":"投掷，&lt;battle&gt;本局每有 1 件已耗尽消耗品，对敌方造成 8 点伤害&lt;/battle&gt;"}]},"2":{"label":"投掷，&lt;battle&gt;本局每有 1 件已耗尽消耗品，对敌方造成 10 点伤害&lt;/battle&gt;","executors":[{"trigger":"onActiveSpellCast","type":"damageHealth","amount":0,"amountPerExhaustedConsumable":{"valuePerItem":10},"label":"投掷，&lt;battle&gt;本局每有 1 件已耗尽消耗品，对敌方造成 10 点伤害&lt;/battle&gt;"}]},"3":{"label":"投掷，&lt;battle&gt;本局每有 1 件已耗尽消耗品，对敌方造成 12 点伤害&lt;/battle&gt;","executors":[{"trigger":"onActiveSpellCast","type":"damageHealth","amount":0,"amountPerExhaustedConsumable":{"valuePerItem":12},"label":"投掷，&lt;battle&gt;本局每有 1 件已耗尽消耗品，对敌方造成 12 点伤害&lt;/battle&gt;"}]}}}</t>
        </is>
      </c>
    </row>
    <row r="2044" ht="32" customHeight="1">
      <c r="A2044" s="8" t="n">
        <v>913300</v>
      </c>
      <c r="B2044" s="8" t="inlineStr">
        <is>
          <t>灵狸绒耳震鸣丸</t>
        </is>
      </c>
      <c r="C2044" s="8" t="inlineStr">
        <is>
          <t>投掷物</t>
        </is>
      </c>
      <c r="D2044" s="8" t="inlineStr">
        <is>
          <t>spirit</t>
        </is>
      </c>
      <c r="E2044" s="8" t="inlineStr">
        <is>
          <t>metal</t>
        </is>
      </c>
      <c r="F2044" s="8" t="n">
        <v>1</v>
      </c>
      <c r="G2044" s="8" t="inlineStr">
        <is>
          <t>基础/顶层</t>
        </is>
      </c>
      <c r="H2044" s="8" t="inlineStr"/>
      <c r="I2044" s="9" t="inlineStr"/>
      <c r="J2044" s="8" t="inlineStr"/>
      <c r="K2044" s="8" t="inlineStr"/>
      <c r="L2044" s="8" t="inlineStr"/>
      <c r="M2044" s="8" t="inlineStr">
        <is>
          <t>说明/执行器</t>
        </is>
      </c>
      <c r="N2044" s="8" t="inlineStr">
        <is>
          <t>effectNote</t>
        </is>
      </c>
      <c r="O2044" s="9" t="inlineStr">
        <is>
          <t>投掷，每有 1 件 1×1 道具，对敌方造成 8 点伤害，最多计 6 件，并施加 2 层中毒；投掷，每有 1 件 1×1 道具，对敌方造成 10 点伤害，最多计 6 件，并施加 3 层中毒；投掷，每有 1 件 1×1 道具，对敌方造成 13 点伤害，最多计 6 件，并施加 4 层中毒；投掷，每有 1 件 1×1 道具，对敌方造成 15 点伤害，最多计 6 件，并施加 5 层中毒</t>
        </is>
      </c>
      <c r="P2044" s="9" t="inlineStr">
        <is>
          <t>onActiveSpellCast</t>
        </is>
      </c>
      <c r="Q2044" s="9" t="inlineStr">
        <is>
          <t>damageHealth；buffGain</t>
        </is>
      </c>
      <c r="R2044" s="9" t="inlineStr">
        <is>
          <t>{"kind":"effectNote","label":"投掷，&lt;battle&gt;每有 1 件 1×1 道具，对敌方造成 8 点伤害，最多计 6 件，并施加 2 层中毒&lt;/battle&gt;","executors":[{"trigger":"onActiveSpellCast","type":"damageHealth","amount":0,"amountPerMatchingBagItem":{"valuePerItem":8,"shapeSizes":["1x1"],"maxCount":6},"label":"投掷，&lt;battle&gt;每有 1 件 1×1 道具，对敌方造成 8 点伤害，最多计 6 件，并施加 2 层中毒&lt;/battle&gt;"},{"trigger":"onActiveSpellCast","type":"buffGain","buffId":"poison","amount":2,"targetActor":"enemy","label":"投掷，&lt;battle&gt;每有 1 件 1×1 道具，对敌方造成 8 点伤害，最多计 6 件，并施加 2 层中毒&lt;/battle&gt;"}],"starOverrides":{"1":{"label":"投掷，&lt;battle&gt;每有 1 件 1×1 道具，对敌方造成 10 点伤害，最多计 6 件，并施加 3 层中毒&lt;/battle&gt;","executors":[{"trigger":"onActiveSpellCast","type":"damageHealth","amount":0,"amountPerMatchingBagItem":{"valuePerItem":10,"shapeSizes":["1x1"],"maxCount":6},"label":"投掷，&lt;battle&gt;每有 1 件 1×1 道具，对敌方造成 10 点伤害，最多计 6 件，并施加 3 层中毒&lt;/battle&gt;"},{"trigger":"onActiveSpellCast","type":"buffGain","buffId":"poison","amount":3,"targetActor":"enemy","label":"投掷，&lt;battle&gt;每有 1 件 1×1 道具，对敌方造成 10 点伤害，最多计 6 件，并施加 3 层中毒&lt;/battle&gt;"}]},"2":{"label":"投掷，&lt;battle&gt;每有 1 件 1×1 道具，对敌方造成 13 点伤害，最多计 6 件，并施加 4 层中毒&lt;/battle&gt;","executors":[{"trigger":"onActiveSpellCast","type":"damageHealth","amount":0,"amountPerMatchingBagItem":{"valuePerItem":13,"shapeSizes":["1x1"],"maxCount":6},"label":"投掷，&lt;battle&gt;每有 1 件 1×1 道具，对敌方造成 13 点伤害，最多计 6 件，并施加 4 层中毒&lt;/battle&gt;"},{"trigger":"onActiveSpellCast","type":"buffGain","buffId":"poison","amount":4,"targetActor":"enemy","label":"投掷，&lt;battle&gt;每有 1 件 1×1 道具，对敌方造成 13 点伤害，最多计 6 件，并施加 4 层中毒&lt;/battle&gt;"}]},"3":{"label":"投掷，&lt;battle&gt;每有 1 件 1×1 道具，对敌方造成 15 点伤害，最多计 6 件，并施加 5 层中毒&lt;/battle&gt;","executors":[{"trigger":"onActiveSpellCast","type":"damageHealth","amount":0,"amountPerMatchingBagItem":{"valuePerItem":15,"shapeSizes":["1x1"],"maxCount":6},"label":"投掷，&lt;battle&gt;每有 1 件 1×1 道具，对敌方造成 15 点伤害，最多计 6 件，并施加 5 层中毒&lt;/battle&gt;"},{"trigger":"onActiveSpellCast","type":"buffGain","buffId":"poison","amount":5,"targetActor":"enemy","label":"投掷，&lt;battle&gt;每有 1 件 1×1 道具，对敌方造成 15 点伤害，最多计 6 件，并施加 5 层中毒&lt;/battle&gt;"}]}}}</t>
        </is>
      </c>
    </row>
    <row r="2045" ht="32" customHeight="1">
      <c r="A2045" s="8" t="n">
        <v>913301</v>
      </c>
      <c r="B2045" s="8" t="inlineStr">
        <is>
          <t>漆盒墨饼震鸣丸</t>
        </is>
      </c>
      <c r="C2045" s="8" t="inlineStr">
        <is>
          <t>投掷物</t>
        </is>
      </c>
      <c r="D2045" s="8" t="inlineStr">
        <is>
          <t>spirit</t>
        </is>
      </c>
      <c r="E2045" s="8" t="inlineStr">
        <is>
          <t>earth</t>
        </is>
      </c>
      <c r="F2045" s="8" t="n">
        <v>1</v>
      </c>
      <c r="G2045" s="8" t="inlineStr">
        <is>
          <t>基础/顶层</t>
        </is>
      </c>
      <c r="H2045" s="8" t="inlineStr"/>
      <c r="I2045" s="9" t="inlineStr"/>
      <c r="J2045" s="8" t="inlineStr"/>
      <c r="K2045" s="8" t="inlineStr"/>
      <c r="L2045" s="8" t="inlineStr"/>
      <c r="M2045" s="8" t="inlineStr">
        <is>
          <t>说明/执行器</t>
        </is>
      </c>
      <c r="N2045" s="8" t="inlineStr">
        <is>
          <t>effectNote</t>
        </is>
      </c>
      <c r="O2045" s="9" t="inlineStr">
        <is>
          <t>投掷，使敌方随机 2 件道具获得 8 秒减速；投掷，使敌方随机 2 件道具获得 10 秒减速；投掷，使敌方随机 2 件道具获得 13 秒减速；投掷，使敌方随机 2 件道具获得 15 秒减速</t>
        </is>
      </c>
      <c r="P2045" s="9" t="inlineStr">
        <is>
          <t>onActiveSpellCast</t>
        </is>
      </c>
      <c r="Q2045" s="9" t="inlineStr">
        <is>
          <t>itemRuntimeStatus</t>
        </is>
      </c>
      <c r="R2045" s="9" t="inlineStr">
        <is>
          <t>{"kind":"effectNote","label":"投掷，&lt;battle&gt;使敌方随机 2 件道具获得 8 秒减速&lt;/battle&gt;","executors":[{"trigger":"onActiveSpellCast","type":"itemRuntimeStatus","itemRuntimeStatus":"slow","durationSec":8,"targetActor":"enemy","targetSelection":"random","amount":2,"label":"投掷，&lt;battle&gt;使敌方随机 2 件道具获得 8 秒减速&lt;/battle&gt;"}],"starOverrides":{"1":{"label":"投掷，&lt;battle&gt;使敌方随机 2 件道具获得 10 秒减速&lt;/battle&gt;","executors":[{"trigger":"onActiveSpellCast","type":"itemRuntimeStatus","itemRuntimeStatus":"slow","durationSec":10,"targetActor":"enemy","targetSelection":"random","amount":2,"label":"投掷，&lt;battle&gt;使敌方随机 2 件道具获得 10 秒减速&lt;/battle&gt;"}]},"2":{"label":"投掷，&lt;battle&gt;使敌方随机 2 件道具获得 13 秒减速&lt;/battle&gt;","executors":[{"trigger":"onActiveSpellCast","type":"itemRuntimeStatus","itemRuntimeStatus":"slow","durationSec":13,"targetActor":"enemy","targetSelection":"random","amount":2,"label":"投掷，&lt;battle&gt;使敌方随机 2 件道具获得 13 秒减速&lt;/battle&gt;"}]},"3":{"label":"投掷，&lt;battle&gt;使敌方随机 2 件道具获得 15 秒减速&lt;/battle&gt;","executors":[{"trigger":"onActiveSpellCast","type":"itemRuntimeStatus","itemRuntimeStatus":"slow","durationSec":15,"targetActor":"enemy","targetSelection":"random","amount":2,"label":"投掷，&lt;battle&gt;使敌方随机 2 件道具获得 15 秒减速&lt;/battle&gt;"}]}}}</t>
        </is>
      </c>
    </row>
    <row r="2046" ht="32" customHeight="1">
      <c r="A2046" s="8" t="n">
        <v>914800</v>
      </c>
      <c r="B2046" s="8" t="inlineStr">
        <is>
          <t>盔角髓晶裂势投器</t>
        </is>
      </c>
      <c r="C2046" s="8" t="inlineStr">
        <is>
          <t>投掷物</t>
        </is>
      </c>
      <c r="D2046" s="8" t="inlineStr">
        <is>
          <t>spirit</t>
        </is>
      </c>
      <c r="E2046" s="8" t="inlineStr">
        <is>
          <t>metal</t>
        </is>
      </c>
      <c r="F2046" s="8" t="n">
        <v>1</v>
      </c>
      <c r="G2046" s="8" t="inlineStr">
        <is>
          <t>基础/顶层</t>
        </is>
      </c>
      <c r="H2046" s="8" t="inlineStr"/>
      <c r="I2046" s="9" t="inlineStr"/>
      <c r="J2046" s="8" t="inlineStr"/>
      <c r="K2046" s="8" t="inlineStr"/>
      <c r="L2046" s="8" t="inlineStr"/>
      <c r="M2046" s="8" t="inlineStr">
        <is>
          <t>说明/执行器</t>
        </is>
      </c>
      <c r="N2046" s="8" t="inlineStr">
        <is>
          <t>effectNote</t>
        </is>
      </c>
      <c r="O2046" s="9" t="inlineStr">
        <is>
          <t>投掷，对敌方造成 80 点伤害，并施加 3 层冰霜；投掷，对敌方造成 100 点伤害，并施加 4 层冰霜；投掷，对敌方造成 120 点伤害，并施加 5 层冰霜；投掷，对敌方造成 140 点伤害，并施加 6 层冰霜</t>
        </is>
      </c>
      <c r="P2046" s="9" t="inlineStr">
        <is>
          <t>onActiveSpellCast</t>
        </is>
      </c>
      <c r="Q2046" s="9" t="inlineStr">
        <is>
          <t>damageHealth；buffGain</t>
        </is>
      </c>
      <c r="R2046" s="9" t="inlineStr">
        <is>
          <t>{"kind":"effectNote","label":"投掷，&lt;battle&gt;对敌方造成 80 点伤害，并施加 3 层冰霜&lt;/battle&gt;","executors":[{"trigger":"onActiveSpellCast","type":"damageHealth","amount":80,"label":"投掷，&lt;battle&gt;对敌方造成 80 点伤害，并施加 3 层冰霜&lt;/battle&gt;"},{"trigger":"onActiveSpellCast","type":"buffGain","buffId":"frost","amount":3,"targetActor":"enemy","label":"投掷，&lt;battle&gt;对敌方造成 80 点伤害，并施加 3 层冰霜&lt;/battle&gt;"}],"starOverrides":{"1":{"label":"投掷，&lt;battle&gt;对敌方造成 100 点伤害，并施加 4 层冰霜&lt;/battle&gt;","executors":[{"trigger":"onActiveSpellCast","type":"damageHealth","amount":100,"label":"投掷，&lt;battle&gt;对敌方造成 100 点伤害，并施加 4 层冰霜&lt;/battle&gt;"},{"trigger":"onActiveSpellCast","type":"buffGain","buffId":"frost","amount":4,"targetActor":"enemy","label":"投掷，&lt;battle&gt;对敌方造成 100 点伤害，并施加 4 层冰霜&lt;/battle&gt;"}]},"2":{"label":"投掷，&lt;battle&gt;对敌方造成 120 点伤害，并施加 5 层冰霜&lt;/battle&gt;","executors":[{"trigger":"onActiveSpellCast","type":"damageHealth","amount":120,"label":"投掷，&lt;battle&gt;对敌方造成 120 点伤害，并施加 5 层冰霜&lt;/battle&gt;"},{"trigger":"onActiveSpellCast","type":"buffGain","buffId":"frost","amount":5,"targetActor":"enemy","label":"投掷，&lt;battle&gt;对敌方造成 120 点伤害，并施加 5 层冰霜&lt;/battle&gt;"}]},"3":{"label":"投掷，&lt;battle&gt;对敌方造成 140 点伤害，并施加 6 层冰霜&lt;/battle&gt;","executors":[{"trigger":"onActiveSpellCast","type":"damageHealth","amount":140,"label":"投掷，&lt;battle&gt;对敌方造成 140 点伤害，并施加 6 层冰霜&lt;/battle&gt;"},{"trigger":"onActiveSpellCast","type":"buffGain","buffId":"frost","amount":6,"targetActor":"enemy","label":"投掷，&lt;battle&gt;对敌方造成 140 点伤害，并施加 6 层冰霜&lt;/battle&gt;"}]}}}</t>
        </is>
      </c>
    </row>
    <row r="2047" ht="32" customHeight="1">
      <c r="A2047" s="8" t="n">
        <v>914801</v>
      </c>
      <c r="B2047" s="8" t="inlineStr">
        <is>
          <t>节足韧筋裂势投器</t>
        </is>
      </c>
      <c r="C2047" s="8" t="inlineStr">
        <is>
          <t>投掷物</t>
        </is>
      </c>
      <c r="D2047" s="8" t="inlineStr">
        <is>
          <t>spirit</t>
        </is>
      </c>
      <c r="E2047" s="8" t="inlineStr">
        <is>
          <t>wood</t>
        </is>
      </c>
      <c r="F2047" s="8" t="n">
        <v>1</v>
      </c>
      <c r="G2047" s="8" t="inlineStr">
        <is>
          <t>基础/顶层</t>
        </is>
      </c>
      <c r="H2047" s="8" t="inlineStr"/>
      <c r="I2047" s="9" t="inlineStr"/>
      <c r="J2047" s="8" t="inlineStr"/>
      <c r="K2047" s="8" t="inlineStr"/>
      <c r="L2047" s="8" t="inlineStr"/>
      <c r="M2047" s="8" t="inlineStr">
        <is>
          <t>说明/执行器</t>
        </is>
      </c>
      <c r="N2047" s="8" t="inlineStr">
        <is>
          <t>effectNote</t>
        </is>
      </c>
      <c r="O2047" s="9" t="inlineStr">
        <is>
          <t>投掷，对敌方造成 60 点伤害，并使敌方随机 2 件道具获得 3 秒减速；投掷，对敌方造成 80 点伤害，并使敌方随机 2 件道具获得 4 秒减速；投掷，对敌方造成 100 点伤害，并使敌方随机 2 件道具获得 5 秒减速；投掷，对敌方造成 120 点伤害，并使敌方随机 2 件道具获得 6 秒减速</t>
        </is>
      </c>
      <c r="P2047" s="9" t="inlineStr">
        <is>
          <t>onActiveSpellCast</t>
        </is>
      </c>
      <c r="Q2047" s="9" t="inlineStr">
        <is>
          <t>damageHealth；itemRuntimeStatus</t>
        </is>
      </c>
      <c r="R2047" s="9" t="inlineStr">
        <is>
          <t>{"kind":"effectNote","label":"投掷，&lt;battle&gt;对敌方造成 60 点伤害，并使敌方随机 2 件道具获得 3 秒减速&lt;/battle&gt;","executors":[{"trigger":"onActiveSpellCast","type":"damageHealth","amount":60,"label":"投掷，&lt;battle&gt;对敌方造成 60 点伤害，并使敌方随机 2 件道具获得 3 秒减速&lt;/battle&gt;"},{"trigger":"onActiveSpellCast","type":"itemRuntimeStatus","itemRuntimeStatus":"slow","durationSec":3,"targetActor":"enemy","targetSelection":"random","amount":2,"label":"投掷，&lt;battle&gt;对敌方造成 60 点伤害，并使敌方随机 2 件道具获得 3 秒减速&lt;/battle&gt;"}],"starOverrides":{"1":{"label":"投掷，&lt;battle&gt;对敌方造成 80 点伤害，并使敌方随机 2 件道具获得 4 秒减速&lt;/battle&gt;","executors":[{"trigger":"onActiveSpellCast","type":"damageHealth","amount":80,"label":"投掷，&lt;battle&gt;对敌方造成 80 点伤害，并使敌方随机 2 件道具获得 4 秒减速&lt;/battle&gt;"},{"trigger":"onActiveSpellCast","type":"itemRuntimeStatus","itemRuntimeStatus":"slow","durationSec":4,"targetActor":"enemy","targetSelection":"random","amount":2,"label":"投掷，&lt;battle&gt;对敌方造成 80 点伤害，并使敌方随机 2 件道具获得 4 秒减速&lt;/battle&gt;"}]},"2":{"label":"投掷，&lt;battle&gt;对敌方造成 100 点伤害，并使敌方随机 2 件道具获得 5 秒减速&lt;/battle&gt;","executors":[{"trigger":"onActiveSpellCast","type":"damageHealth","amount":100,"label":"投掷，&lt;battle&gt;对敌方造成 100 点伤害，并使敌方随机 2 件道具获得 5 秒减速&lt;/battle&gt;"},{"trigger":"onActiveSpellCast","type":"itemRuntimeStatus","itemRuntimeStatus":"slow","durationSec":5,"targetActor":"enemy","targetSelection":"random","amount":2,"label":"投掷，&lt;battle&gt;对敌方造成 100 点伤害，并使敌方随机 2 件道具获得 5 秒减速&lt;/battle&gt;"}]},"3":{"label":"投掷，&lt;battle&gt;对敌方造成 120 点伤害，并使敌方随机 2 件道具获得 6 秒减速&lt;/battle&gt;","executors":[{"trigger":"onActiveSpellCast","type":"damageHealth","amount":120,"label":"投掷，&lt;battle&gt;对敌方造成 120 点伤害，并使敌方随机 2 件道具获得 6 秒减速&lt;/battle&gt;"},{"trigger":"onActiveSpellCast","type":"itemRuntimeStatus","itemRuntimeStatus":"slow","durationSec":6,"targetActor":"enemy","targetSelection":"random","amount":2,"label":"投掷，&lt;battle&gt;对敌方造成 120 点伤害，并使敌方随机 2 件道具获得 6 秒减速&lt;/battle&gt;"}]}}}</t>
        </is>
      </c>
    </row>
    <row r="2048" ht="32" customHeight="1">
      <c r="A2048" s="8" t="n">
        <v>914802</v>
      </c>
      <c r="B2048" s="8" t="inlineStr">
        <is>
          <t>胸腔鸣膜裂势投器</t>
        </is>
      </c>
      <c r="C2048" s="8" t="inlineStr">
        <is>
          <t>投掷物</t>
        </is>
      </c>
      <c r="D2048" s="8" t="inlineStr">
        <is>
          <t>spirit</t>
        </is>
      </c>
      <c r="E2048" s="8" t="inlineStr">
        <is>
          <t>fire</t>
        </is>
      </c>
      <c r="F2048" s="8" t="n">
        <v>1</v>
      </c>
      <c r="G2048" s="8" t="inlineStr">
        <is>
          <t>基础/顶层</t>
        </is>
      </c>
      <c r="H2048" s="8" t="inlineStr"/>
      <c r="I2048" s="9" t="inlineStr"/>
      <c r="J2048" s="8" t="inlineStr"/>
      <c r="K2048" s="8" t="inlineStr"/>
      <c r="L2048" s="8" t="inlineStr"/>
      <c r="M2048" s="8" t="inlineStr">
        <is>
          <t>说明/执行器</t>
        </is>
      </c>
      <c r="N2048" s="8" t="inlineStr">
        <is>
          <t>effectNote</t>
        </is>
      </c>
      <c r="O2048" s="9" t="inlineStr">
        <is>
          <t>投掷，对敌方造成 70 点伤害，并施加 3 层冰霜；投掷，对敌方造成 90 点伤害，并施加 4 层冰霜；投掷，对敌方造成 110 点伤害，并施加 5 层冰霜；投掷，对敌方造成 130 点伤害，并施加 6 层冰霜</t>
        </is>
      </c>
      <c r="P2048" s="9" t="inlineStr">
        <is>
          <t>onActiveSpellCast</t>
        </is>
      </c>
      <c r="Q2048" s="9" t="inlineStr">
        <is>
          <t>damageHealth；buffGain</t>
        </is>
      </c>
      <c r="R2048" s="9" t="inlineStr">
        <is>
          <t>{"kind":"effectNote","label":"投掷，&lt;battle&gt;对敌方造成 70 点伤害，并施加 3 层冰霜&lt;/battle&gt;","executors":[{"trigger":"onActiveSpellCast","type":"damageHealth","amount":70,"label":"投掷，&lt;battle&gt;对敌方造成 70 点伤害，并施加 3 层冰霜&lt;/battle&gt;"},{"trigger":"onActiveSpellCast","type":"buffGain","buffId":"frost","amount":3,"targetActor":"enemy","label":"投掷，&lt;battle&gt;对敌方造成 70 点伤害，并施加 3 层冰霜&lt;/battle&gt;"}],"starOverrides":{"1":{"label":"投掷，&lt;battle&gt;对敌方造成 90 点伤害，并施加 4 层冰霜&lt;/battle&gt;","executors":[{"trigger":"onActiveSpellCast","type":"damageHealth","amount":90,"label":"投掷，&lt;battle&gt;对敌方造成 90 点伤害，并施加 4 层冰霜&lt;/battle&gt;"},{"trigger":"onActiveSpellCast","type":"buffGain","buffId":"frost","amount":4,"targetActor":"enemy","label":"投掷，&lt;battle&gt;对敌方造成 90 点伤害，并施加 4 层冰霜&lt;/battle&gt;"}]},"2":{"label":"投掷，&lt;battle&gt;对敌方造成 110 点伤害，并施加 5 层冰霜&lt;/battle&gt;","executors":[{"trigger":"onActiveSpellCast","type":"damageHealth","amount":110,"label":"投掷，&lt;battle&gt;对敌方造成 110 点伤害，并施加 5 层冰霜&lt;/battle&gt;"},{"trigger":"onActiveSpellCast","type":"buffGain","buffId":"frost","amount":5,"targetActor":"enemy","label":"投掷，&lt;battle&gt;对敌方造成 110 点伤害，并施加 5 层冰霜&lt;/battle&gt;"}]},"3":{"label":"投掷，&lt;battle&gt;对敌方造成 130 点伤害，并施加 6 层冰霜&lt;/battle&gt;","executors":[{"trigger":"onActiveSpellCast","type":"damageHealth","amount":130,"label":"投掷，&lt;battle&gt;对敌方造成 130 点伤害，并施加 6 层冰霜&lt;/battle&gt;"},{"trigger":"onActiveSpellCast","type":"buffGain","buffId":"frost","amount":6,"targetActor":"enemy","label":"投掷，&lt;battle&gt;对敌方造成 130 点伤害，并施加 6 层冰霜&lt;/battle&gt;"}]}}}</t>
        </is>
      </c>
    </row>
    <row r="2049" ht="32" customHeight="1">
      <c r="A2049" s="8" t="n">
        <v>915200</v>
      </c>
      <c r="B2049" s="8" t="inlineStr">
        <is>
          <t>铜环鸣囊震鸣丸</t>
        </is>
      </c>
      <c r="C2049" s="8" t="inlineStr">
        <is>
          <t>投掷物</t>
        </is>
      </c>
      <c r="D2049" s="8" t="inlineStr">
        <is>
          <t>spirit</t>
        </is>
      </c>
      <c r="E2049" s="8" t="inlineStr">
        <is>
          <t>fire</t>
        </is>
      </c>
      <c r="F2049" s="8" t="n">
        <v>1</v>
      </c>
      <c r="G2049" s="8" t="inlineStr">
        <is>
          <t>基础/顶层</t>
        </is>
      </c>
      <c r="H2049" s="8" t="inlineStr"/>
      <c r="I2049" s="9" t="inlineStr"/>
      <c r="J2049" s="8" t="inlineStr"/>
      <c r="K2049" s="8" t="inlineStr"/>
      <c r="L2049" s="8" t="inlineStr"/>
      <c r="M2049" s="8" t="inlineStr">
        <is>
          <t>说明/执行器</t>
        </is>
      </c>
      <c r="N2049" s="8" t="inlineStr">
        <is>
          <t>effectNote</t>
        </is>
      </c>
      <c r="O2049" s="9" t="inlineStr">
        <is>
          <t>投掷，对敌方造成 80 点伤害，并施加 3 层灼烧；投掷，对敌方造成 110 点伤害，并施加 4 层灼烧；投掷，对敌方造成 140 点伤害，并施加 5 层灼烧；投掷，对敌方造成 170 点伤害，并施加 6 层灼烧</t>
        </is>
      </c>
      <c r="P2049" s="9" t="inlineStr">
        <is>
          <t>onActiveSpellCast</t>
        </is>
      </c>
      <c r="Q2049" s="9" t="inlineStr">
        <is>
          <t>damageHealth；buffGain</t>
        </is>
      </c>
      <c r="R2049" s="9" t="inlineStr">
        <is>
          <t>{"kind":"effectNote","label":"投掷，&lt;battle&gt;对敌方造成 80 点伤害，并施加 3 层灼烧&lt;/battle&gt;","executors":[{"trigger":"onActiveSpellCast","type":"damageHealth","amount":80,"label":"投掷，&lt;battle&gt;对敌方造成 80 点伤害，并施加 3 层灼烧&lt;/battle&gt;"},{"trigger":"onActiveSpellCast","type":"buffGain","buffId":"burning","amount":3,"targetActor":"enemy","label":"投掷，&lt;battle&gt;对敌方造成 80 点伤害，并施加 3 层灼烧&lt;/battle&gt;"}],"starOverrides":{"1":{"label":"投掷，&lt;battle&gt;对敌方造成 110 点伤害，并施加 4 层灼烧&lt;/battle&gt;","executors":[{"trigger":"onActiveSpellCast","type":"damageHealth","amount":110,"label":"投掷，&lt;battle&gt;对敌方造成 110 点伤害，并施加 4 层灼烧&lt;/battle&gt;"},{"trigger":"onActiveSpellCast","type":"buffGain","buffId":"burning","amount":4,"targetActor":"enemy","label":"投掷，&lt;battle&gt;对敌方造成 110 点伤害，并施加 4 层灼烧&lt;/battle&gt;"}]},"2":{"label":"投掷，&lt;battle&gt;对敌方造成 140 点伤害，并施加 5 层灼烧&lt;/battle&gt;","executors":[{"trigger":"onActiveSpellCast","type":"damageHealth","amount":140,"label":"投掷，&lt;battle&gt;对敌方造成 140 点伤害，并施加 5 层灼烧&lt;/battle&gt;"},{"trigger":"onActiveSpellCast","type":"buffGain","buffId":"burning","amount":5,"targetActor":"enemy","label":"投掷，&lt;battle&gt;对敌方造成 140 点伤害，并施加 5 层灼烧&lt;/battle&gt;"}]},"3":{"label":"投掷，&lt;battle&gt;对敌方造成 170 点伤害，并施加 6 层灼烧&lt;/battle&gt;","executors":[{"trigger":"onActiveSpellCast","type":"damageHealth","amount":170,"label":"投掷，&lt;battle&gt;对敌方造成 170 点伤害，并施加 6 层灼烧&lt;/battle&gt;"},{"trigger":"onActiveSpellCast","type":"buffGain","buffId":"burning","amount":6,"targetActor":"enemy","label":"投掷，&lt;battle&gt;对敌方造成 170 点伤害，并施加 6 层灼烧&lt;/battle&gt;"}]}}}</t>
        </is>
      </c>
    </row>
    <row r="2050" ht="32" customHeight="1">
      <c r="A2050" s="8" t="n">
        <v>915201</v>
      </c>
      <c r="B2050" s="8" t="inlineStr">
        <is>
          <t>厚蹼尾皮震鸣丸</t>
        </is>
      </c>
      <c r="C2050" s="8" t="inlineStr">
        <is>
          <t>投掷物</t>
        </is>
      </c>
      <c r="D2050" s="8" t="inlineStr">
        <is>
          <t>spirit</t>
        </is>
      </c>
      <c r="E2050" s="8" t="inlineStr">
        <is>
          <t>water</t>
        </is>
      </c>
      <c r="F2050" s="8" t="n">
        <v>1</v>
      </c>
      <c r="G2050" s="8" t="inlineStr">
        <is>
          <t>基础/顶层</t>
        </is>
      </c>
      <c r="H2050" s="8" t="inlineStr"/>
      <c r="I2050" s="9" t="inlineStr"/>
      <c r="J2050" s="8" t="inlineStr"/>
      <c r="K2050" s="8" t="inlineStr"/>
      <c r="L2050" s="8" t="inlineStr"/>
      <c r="M2050" s="8" t="inlineStr">
        <is>
          <t>说明/执行器</t>
        </is>
      </c>
      <c r="N2050" s="8" t="inlineStr">
        <is>
          <t>effectNote</t>
        </is>
      </c>
      <c r="O2050" s="9" t="inlineStr">
        <is>
          <t>投掷，对敌方造成 70 点伤害，并施加 3 层冰霜；投掷，对敌方造成 90 点伤害，并施加 4 层冰霜；投掷，对敌方造成 110 点伤害，并施加 5 层冰霜；投掷，对敌方造成 130 点伤害，并施加 6 层冰霜</t>
        </is>
      </c>
      <c r="P2050" s="9" t="inlineStr">
        <is>
          <t>onActiveSpellCast</t>
        </is>
      </c>
      <c r="Q2050" s="9" t="inlineStr">
        <is>
          <t>damageHealth；buffGain</t>
        </is>
      </c>
      <c r="R2050" s="9" t="inlineStr">
        <is>
          <t>{"kind":"effectNote","label":"投掷，&lt;battle&gt;对敌方造成 70 点伤害，并施加 3 层冰霜&lt;/battle&gt;","executors":[{"trigger":"onActiveSpellCast","type":"damageHealth","amount":70,"label":"投掷，&lt;battle&gt;对敌方造成 70 点伤害，并施加 3 层冰霜&lt;/battle&gt;"},{"trigger":"onActiveSpellCast","type":"buffGain","buffId":"frost","amount":3,"targetActor":"enemy","label":"投掷，&lt;battle&gt;对敌方造成 70 点伤害，并施加 3 层冰霜&lt;/battle&gt;"}],"starOverrides":{"1":{"label":"投掷，&lt;battle&gt;对敌方造成 90 点伤害，并施加 4 层冰霜&lt;/battle&gt;","executors":[{"trigger":"onActiveSpellCast","type":"damageHealth","amount":90,"label":"投掷，&lt;battle&gt;对敌方造成 90 点伤害，并施加 4 层冰霜&lt;/battle&gt;"},{"trigger":"onActiveSpellCast","type":"buffGain","buffId":"frost","amount":4,"targetActor":"enemy","label":"投掷，&lt;battle&gt;对敌方造成 90 点伤害，并施加 4 层冰霜&lt;/battle&gt;"}]},"2":{"label":"投掷，&lt;battle&gt;对敌方造成 110 点伤害，并施加 5 层冰霜&lt;/battle&gt;","executors":[{"trigger":"onActiveSpellCast","type":"damageHealth","amount":110,"label":"投掷，&lt;battle&gt;对敌方造成 110 点伤害，并施加 5 层冰霜&lt;/battle&gt;"},{"trigger":"onActiveSpellCast","type":"buffGain","buffId":"frost","amount":5,"targetActor":"enemy","label":"投掷，&lt;battle&gt;对敌方造成 110 点伤害，并施加 5 层冰霜&lt;/battle&gt;"}]},"3":{"label":"投掷，&lt;battle&gt;对敌方造成 130 点伤害，并施加 6 层冰霜&lt;/battle&gt;","executors":[{"trigger":"onActiveSpellCast","type":"damageHealth","amount":130,"label":"投掷，&lt;battle&gt;对敌方造成 130 点伤害，并施加 6 层冰霜&lt;/battle&gt;"},{"trigger":"onActiveSpellCast","type":"buffGain","buffId":"frost","amount":6,"targetActor":"enemy","label":"投掷，&lt;battle&gt;对敌方造成 130 点伤害，并施加 6 层冰霜&lt;/battle&gt;"}]}}}</t>
        </is>
      </c>
    </row>
    <row r="2051" ht="32" customHeight="1">
      <c r="A2051" s="8" t="n">
        <v>915202</v>
      </c>
      <c r="B2051" s="8" t="inlineStr">
        <is>
          <t>负炉铜扣束带震鸣丸</t>
        </is>
      </c>
      <c r="C2051" s="8" t="inlineStr">
        <is>
          <t>投掷物</t>
        </is>
      </c>
      <c r="D2051" s="8" t="inlineStr">
        <is>
          <t>spirit</t>
        </is>
      </c>
      <c r="E2051" s="8" t="inlineStr">
        <is>
          <t>metal</t>
        </is>
      </c>
      <c r="F2051" s="8" t="n">
        <v>1</v>
      </c>
      <c r="G2051" s="8" t="inlineStr">
        <is>
          <t>基础/顶层</t>
        </is>
      </c>
      <c r="H2051" s="8" t="inlineStr"/>
      <c r="I2051" s="9" t="inlineStr"/>
      <c r="J2051" s="8" t="inlineStr"/>
      <c r="K2051" s="8" t="inlineStr"/>
      <c r="L2051" s="8" t="inlineStr"/>
      <c r="M2051" s="8" t="inlineStr">
        <is>
          <t>说明/执行器</t>
        </is>
      </c>
      <c r="N2051" s="8" t="inlineStr">
        <is>
          <t>effectNote</t>
        </is>
      </c>
      <c r="O2051" s="9" t="inlineStr">
        <is>
          <t>投掷，对敌方造成 70 点伤害，并施加 3 层冰霜；投掷，对敌方造成 90 点伤害，并施加 4 层冰霜；投掷，对敌方造成 110 点伤害，并施加 5 层冰霜；投掷，对敌方造成 130 点伤害，并施加 6 层冰霜</t>
        </is>
      </c>
      <c r="P2051" s="9" t="inlineStr">
        <is>
          <t>onActiveSpellCast</t>
        </is>
      </c>
      <c r="Q2051" s="9" t="inlineStr">
        <is>
          <t>damageHealth；buffGain</t>
        </is>
      </c>
      <c r="R2051" s="9" t="inlineStr">
        <is>
          <t>{"kind":"effectNote","label":"投掷，&lt;battle&gt;对敌方造成 70 点伤害，并施加 3 层冰霜&lt;/battle&gt;","executors":[{"trigger":"onActiveSpellCast","type":"damageHealth","amount":70,"label":"投掷，&lt;battle&gt;对敌方造成 70 点伤害，并施加 3 层冰霜&lt;/battle&gt;"},{"trigger":"onActiveSpellCast","type":"buffGain","buffId":"frost","amount":3,"targetActor":"enemy","label":"投掷，&lt;battle&gt;对敌方造成 70 点伤害，并施加 3 层冰霜&lt;/battle&gt;"}],"starOverrides":{"1":{"label":"投掷，&lt;battle&gt;对敌方造成 90 点伤害，并施加 4 层冰霜&lt;/battle&gt;","executors":[{"trigger":"onActiveSpellCast","type":"damageHealth","amount":90,"label":"投掷，&lt;battle&gt;对敌方造成 90 点伤害，并施加 4 层冰霜&lt;/battle&gt;"},{"trigger":"onActiveSpellCast","type":"buffGain","buffId":"frost","amount":4,"targetActor":"enemy","label":"投掷，&lt;battle&gt;对敌方造成 90 点伤害，并施加 4 层冰霜&lt;/battle&gt;"}]},"2":{"label":"投掷，&lt;battle&gt;对敌方造成 110 点伤害，并施加 5 层冰霜&lt;/battle&gt;","executors":[{"trigger":"onActiveSpellCast","type":"damageHealth","amount":110,"label":"投掷，&lt;battle&gt;对敌方造成 110 点伤害，并施加 5 层冰霜&lt;/battle&gt;"},{"trigger":"onActiveSpellCast","type":"buffGain","buffId":"frost","amount":5,"targetActor":"enemy","label":"投掷，&lt;battle&gt;对敌方造成 110 点伤害，并施加 5 层冰霜&lt;/battle&gt;"}]},"3":{"label":"投掷，&lt;battle&gt;对敌方造成 130 点伤害，并施加 6 层冰霜&lt;/battle&gt;","executors":[{"trigger":"onActiveSpellCast","type":"damageHealth","amount":130,"label":"投掷，&lt;battle&gt;对敌方造成 130 点伤害，并施加 6 层冰霜&lt;/battle&gt;"},{"trigger":"onActiveSpellCast","type":"buffGain","buffId":"frost","amount":6,"targetActor":"enemy","label":"投掷，&lt;battle&gt;对敌方造成 130 点伤害，并施加 6 层冰霜&lt;/battle&gt;"}]}}}</t>
        </is>
      </c>
    </row>
    <row r="2052" ht="32" customHeight="1">
      <c r="A2052" s="8" t="n">
        <v>915500</v>
      </c>
      <c r="B2052" s="8" t="inlineStr">
        <is>
          <t>琥珀眼珠震鸣丸</t>
        </is>
      </c>
      <c r="C2052" s="8" t="inlineStr">
        <is>
          <t>投掷物</t>
        </is>
      </c>
      <c r="D2052" s="8" t="inlineStr">
        <is>
          <t>spirit</t>
        </is>
      </c>
      <c r="E2052" s="8" t="inlineStr">
        <is>
          <t>fire</t>
        </is>
      </c>
      <c r="F2052" s="8" t="n">
        <v>1</v>
      </c>
      <c r="G2052" s="8" t="inlineStr">
        <is>
          <t>基础/顶层</t>
        </is>
      </c>
      <c r="H2052" s="8" t="inlineStr"/>
      <c r="I2052" s="9" t="inlineStr"/>
      <c r="J2052" s="8" t="inlineStr"/>
      <c r="K2052" s="8" t="inlineStr"/>
      <c r="L2052" s="8" t="inlineStr"/>
      <c r="M2052" s="8" t="inlineStr">
        <is>
          <t>说明/执行器</t>
        </is>
      </c>
      <c r="N2052" s="8" t="inlineStr">
        <is>
          <t>effectNote</t>
        </is>
      </c>
      <c r="O2052" s="9" t="inlineStr">
        <is>
          <t>投掷，对敌方造成 60 点伤害，并施加 4 层冰霜；投掷，对敌方造成 80 点伤害，并施加 5 层冰霜；投掷，对敌方造成 100 点伤害，并施加 6 层冰霜；投掷，对敌方造成 120 点伤害，并施加 7 层冰霜</t>
        </is>
      </c>
      <c r="P2052" s="9" t="inlineStr">
        <is>
          <t>onActiveSpellCast</t>
        </is>
      </c>
      <c r="Q2052" s="9" t="inlineStr">
        <is>
          <t>damageHealth；buffGain</t>
        </is>
      </c>
      <c r="R2052" s="9" t="inlineStr">
        <is>
          <t>{"kind":"effectNote","label":"投掷，&lt;battle&gt;对敌方造成 60 点伤害，并施加 4 层冰霜&lt;/battle&gt;","executors":[{"trigger":"onActiveSpellCast","type":"damageHealth","amount":60,"label":"投掷，&lt;battle&gt;对敌方造成 60 点伤害，并施加 4 层冰霜&lt;/battle&gt;"},{"trigger":"onActiveSpellCast","type":"buffGain","buffId":"frost","amount":4,"targetActor":"enemy","label":"投掷，&lt;battle&gt;对敌方造成 60 点伤害，并施加 4 层冰霜&lt;/battle&gt;"}],"starOverrides":{"1":{"label":"投掷，&lt;battle&gt;对敌方造成 80 点伤害，并施加 5 层冰霜&lt;/battle&gt;","executors":[{"trigger":"onActiveSpellCast","type":"damageHealth","amount":80,"label":"投掷，&lt;battle&gt;对敌方造成 80 点伤害，并施加 5 层冰霜&lt;/battle&gt;"},{"trigger":"onActiveSpellCast","type":"buffGain","buffId":"frost","amount":5,"targetActor":"enemy","label":"投掷，&lt;battle&gt;对敌方造成 80 点伤害，并施加 5 层冰霜&lt;/battle&gt;"}]},"2":{"label":"投掷，&lt;battle&gt;对敌方造成 100 点伤害，并施加 6 层冰霜&lt;/battle&gt;","executors":[{"trigger":"onActiveSpellCast","type":"damageHealth","amount":100,"label":"投掷，&lt;battle&gt;对敌方造成 100 点伤害，并施加 6 层冰霜&lt;/battle&gt;"},{"trigger":"onActiveSpellCast","type":"buffGain","buffId":"frost","amount":6,"targetActor":"enemy","label":"投掷，&lt;battle&gt;对敌方造成 100 点伤害，并施加 6 层冰霜&lt;/battle&gt;"}]},"3":{"label":"投掷，&lt;battle&gt;对敌方造成 120 点伤害，并施加 7 层冰霜&lt;/battle&gt;","executors":[{"trigger":"onActiveSpellCast","type":"damageHealth","amount":120,"label":"投掷，&lt;battle&gt;对敌方造成 120 点伤害，并施加 7 层冰霜&lt;/battle&gt;"},{"trigger":"onActiveSpellCast","type":"buffGain","buffId":"frost","amount":7,"targetActor":"enemy","label":"投掷，&lt;battle&gt;对敌方造成 120 点伤害，并施加 7 层冰霜&lt;/battle&gt;"}]}}}</t>
        </is>
      </c>
    </row>
    <row r="2053" ht="32" customHeight="1">
      <c r="A2053" s="8" t="n">
        <v>915501</v>
      </c>
      <c r="B2053" s="8" t="inlineStr">
        <is>
          <t>张褶棘震鸣丸</t>
        </is>
      </c>
      <c r="C2053" s="8" t="inlineStr">
        <is>
          <t>投掷物</t>
        </is>
      </c>
      <c r="D2053" s="8" t="inlineStr">
        <is>
          <t>spirit</t>
        </is>
      </c>
      <c r="E2053" s="8" t="inlineStr">
        <is>
          <t>metal</t>
        </is>
      </c>
      <c r="F2053" s="8" t="n">
        <v>1</v>
      </c>
      <c r="G2053" s="8" t="inlineStr">
        <is>
          <t>基础/顶层</t>
        </is>
      </c>
      <c r="H2053" s="8" t="inlineStr"/>
      <c r="I2053" s="9" t="inlineStr"/>
      <c r="J2053" s="8" t="inlineStr"/>
      <c r="K2053" s="8" t="inlineStr"/>
      <c r="L2053" s="8" t="inlineStr"/>
      <c r="M2053" s="8" t="inlineStr">
        <is>
          <t>说明/执行器</t>
        </is>
      </c>
      <c r="N2053" s="8" t="inlineStr">
        <is>
          <t>effectNote</t>
        </is>
      </c>
      <c r="O2053" s="9" t="inlineStr">
        <is>
          <t>投掷，对敌方造成 90 点伤害，并施加 2 层冰霜；投掷，对敌方造成 110 点伤害，并施加 3 层冰霜；投掷，对敌方造成 130 点伤害，并施加 4 层冰霜；投掷，对敌方造成 150 点伤害，并施加 5 层冰霜</t>
        </is>
      </c>
      <c r="P2053" s="9" t="inlineStr">
        <is>
          <t>onActiveSpellCast</t>
        </is>
      </c>
      <c r="Q2053" s="9" t="inlineStr">
        <is>
          <t>damageHealth；buffGain</t>
        </is>
      </c>
      <c r="R2053" s="9" t="inlineStr">
        <is>
          <t>{"kind":"effectNote","label":"投掷，&lt;battle&gt;对敌方造成 90 点伤害，并施加 2 层冰霜&lt;/battle&gt;","executors":[{"trigger":"onActiveSpellCast","type":"damageHealth","amount":90,"label":"投掷，&lt;battle&gt;对敌方造成 90 点伤害，并施加 2 层冰霜&lt;/battle&gt;"},{"trigger":"onActiveSpellCast","type":"buffGain","buffId":"frost","amount":2,"targetActor":"enemy","label":"投掷，&lt;battle&gt;对敌方造成 90 点伤害，并施加 2 层冰霜&lt;/battle&gt;"}],"starOverrides":{"1":{"label":"投掷，&lt;battle&gt;对敌方造成 110 点伤害，并施加 3 层冰霜&lt;/battle&gt;","executors":[{"trigger":"onActiveSpellCast","type":"damageHealth","amount":110,"label":"投掷，&lt;battle&gt;对敌方造成 110 点伤害，并施加 3 层冰霜&lt;/battle&gt;"},{"trigger":"onActiveSpellCast","type":"buffGain","buffId":"frost","amount":3,"targetActor":"enemy","label":"投掷，&lt;battle&gt;对敌方造成 110 点伤害，并施加 3 层冰霜&lt;/battle&gt;"}]},"2":{"label":"投掷，&lt;battle&gt;对敌方造成 130 点伤害，并施加 4 层冰霜&lt;/battle&gt;","executors":[{"trigger":"onActiveSpellCast","type":"damageHealth","amount":130,"label":"投掷，&lt;battle&gt;对敌方造成 130 点伤害，并施加 4 层冰霜&lt;/battle&gt;"},{"trigger":"onActiveSpellCast","type":"buffGain","buffId":"frost","amount":4,"targetActor":"enemy","label":"投掷，&lt;battle&gt;对敌方造成 130 点伤害，并施加 4 层冰霜&lt;/battle&gt;"}]},"3":{"label":"投掷，&lt;battle&gt;对敌方造成 150 点伤害，并施加 5 层冰霜&lt;/battle&gt;","executors":[{"trigger":"onActiveSpellCast","type":"damageHealth","amount":150,"label":"投掷，&lt;battle&gt;对敌方造成 150 点伤害，并施加 5 层冰霜&lt;/battle&gt;"},{"trigger":"onActiveSpellCast","type":"buffGain","buffId":"frost","amount":5,"targetActor":"enemy","label":"投掷，&lt;battle&gt;对敌方造成 150 点伤害，并施加 5 层冰霜&lt;/battle&gt;"}]}}}</t>
        </is>
      </c>
    </row>
    <row r="2054" ht="32" customHeight="1">
      <c r="A2054" s="8" t="n">
        <v>915502</v>
      </c>
      <c r="B2054" s="8" t="inlineStr">
        <is>
          <t>腹鳞皮条震鸣丸</t>
        </is>
      </c>
      <c r="C2054" s="8" t="inlineStr">
        <is>
          <t>投掷物</t>
        </is>
      </c>
      <c r="D2054" s="8" t="inlineStr">
        <is>
          <t>spirit</t>
        </is>
      </c>
      <c r="E2054" s="8" t="inlineStr">
        <is>
          <t>earth</t>
        </is>
      </c>
      <c r="F2054" s="8" t="n">
        <v>1</v>
      </c>
      <c r="G2054" s="8" t="inlineStr">
        <is>
          <t>基础/顶层</t>
        </is>
      </c>
      <c r="H2054" s="8" t="inlineStr"/>
      <c r="I2054" s="9" t="inlineStr"/>
      <c r="J2054" s="8" t="inlineStr"/>
      <c r="K2054" s="8" t="inlineStr"/>
      <c r="L2054" s="8" t="inlineStr"/>
      <c r="M2054" s="8" t="inlineStr">
        <is>
          <t>说明/执行器</t>
        </is>
      </c>
      <c r="N2054" s="8" t="inlineStr">
        <is>
          <t>effectNote</t>
        </is>
      </c>
      <c r="O2054" s="9" t="inlineStr">
        <is>
          <t>投掷，对敌方造成 60 点伤害，并施加 2 层中毒；投掷，对敌方造成 80 点伤害，并施加 3 层中毒；投掷，对敌方造成 100 点伤害，并施加 4 层中毒；投掷，对敌方造成 120 点伤害，并施加 5 层中毒</t>
        </is>
      </c>
      <c r="P2054" s="9" t="inlineStr">
        <is>
          <t>onActiveSpellCast</t>
        </is>
      </c>
      <c r="Q2054" s="9" t="inlineStr">
        <is>
          <t>damageHealth；buffGain</t>
        </is>
      </c>
      <c r="R2054" s="9" t="inlineStr">
        <is>
          <t>{"kind":"effectNote","label":"投掷，&lt;battle&gt;对敌方造成 60 点伤害，并施加 2 层中毒&lt;/battle&gt;","executors":[{"trigger":"onActiveSpellCast","type":"damageHealth","amount":60,"label":"投掷，&lt;battle&gt;对敌方造成 60 点伤害，并施加 2 层中毒&lt;/battle&gt;"},{"trigger":"onActiveSpellCast","type":"buffGain","buffId":"poison","amount":2,"targetActor":"enemy","label":"投掷，&lt;battle&gt;对敌方造成 60 点伤害，并施加 2 层中毒&lt;/battle&gt;"}],"starOverrides":{"1":{"label":"投掷，&lt;battle&gt;对敌方造成 80 点伤害，并施加 3 层中毒&lt;/battle&gt;","executors":[{"trigger":"onActiveSpellCast","type":"damageHealth","amount":80,"label":"投掷，&lt;battle&gt;对敌方造成 80 点伤害，并施加 3 层中毒&lt;/battle&gt;"},{"trigger":"onActiveSpellCast","type":"buffGain","buffId":"poison","amount":3,"targetActor":"enemy","label":"投掷，&lt;battle&gt;对敌方造成 80 点伤害，并施加 3 层中毒&lt;/battle&gt;"}]},"2":{"label":"投掷，&lt;battle&gt;对敌方造成 100 点伤害，并施加 4 层中毒&lt;/battle&gt;","executors":[{"trigger":"onActiveSpellCast","type":"damageHealth","amount":100,"label":"投掷，&lt;battle&gt;对敌方造成 100 点伤害，并施加 4 层中毒&lt;/battle&gt;"},{"trigger":"onActiveSpellCast","type":"buffGain","buffId":"poison","amount":4,"targetActor":"enemy","label":"投掷，&lt;battle&gt;对敌方造成 100 点伤害，并施加 4 层中毒&lt;/battle&gt;"}]},"3":{"label":"投掷，&lt;battle&gt;对敌方造成 120 点伤害，并施加 5 层中毒&lt;/battle&gt;","executors":[{"trigger":"onActiveSpellCast","type":"damageHealth","amount":120,"label":"投掷，&lt;battle&gt;对敌方造成 120 点伤害，并施加 5 层中毒&lt;/battle&gt;"},{"trigger":"onActiveSpellCast","type":"buffGain","buffId":"poison","amount":5,"targetActor":"enemy","label":"投掷，&lt;battle&gt;对敌方造成 120 点伤害，并施加 5 层中毒&lt;/battle&gt;"}]}}}</t>
        </is>
      </c>
    </row>
    <row r="2055" ht="32" customHeight="1">
      <c r="A2055" s="8" t="n">
        <v>916000</v>
      </c>
      <c r="B2055" s="8" t="inlineStr">
        <is>
          <t>潮痕鳄齿裂势投器</t>
        </is>
      </c>
      <c r="C2055" s="8" t="inlineStr">
        <is>
          <t>投掷物</t>
        </is>
      </c>
      <c r="D2055" s="8" t="inlineStr">
        <is>
          <t>spirit</t>
        </is>
      </c>
      <c r="E2055" s="8" t="inlineStr">
        <is>
          <t>metal</t>
        </is>
      </c>
      <c r="F2055" s="8" t="n">
        <v>1</v>
      </c>
      <c r="G2055" s="8" t="inlineStr">
        <is>
          <t>基础/顶层</t>
        </is>
      </c>
      <c r="H2055" s="8" t="inlineStr"/>
      <c r="I2055" s="9" t="inlineStr"/>
      <c r="J2055" s="8" t="inlineStr"/>
      <c r="K2055" s="8" t="inlineStr"/>
      <c r="L2055" s="8" t="inlineStr"/>
      <c r="M2055" s="8" t="inlineStr">
        <is>
          <t>说明/执行器</t>
        </is>
      </c>
      <c r="N2055" s="8" t="inlineStr">
        <is>
          <t>effectNote</t>
        </is>
      </c>
      <c r="O2055" s="9" t="inlineStr">
        <is>
          <t>投掷，对敌方造成 90 点伤害，并移除敌方 3 层护甲；投掷，对敌方造成 110 点伤害，并移除敌方 5 层护甲；投掷，对敌方造成 130 点伤害，并移除敌方 7 层护甲；投掷，对敌方造成 150 点伤害，并移除敌方 9 层护甲</t>
        </is>
      </c>
      <c r="P2055" s="9" t="inlineStr">
        <is>
          <t>onActiveSpellCast</t>
        </is>
      </c>
      <c r="Q2055" s="9" t="inlineStr">
        <is>
          <t>damageHealth；removeBuffStacks</t>
        </is>
      </c>
      <c r="R2055" s="9" t="inlineStr">
        <is>
          <t>{"kind":"effectNote","label":"投掷，&lt;battle&gt;对敌方造成 90 点伤害，并移除敌方 3 层护甲&lt;/battle&gt;","executors":[{"trigger":"onActiveSpellCast","type":"damageHealth","amount":90,"label":"投掷，&lt;battle&gt;对敌方造成 90 点伤害，并移除敌方 3 层护甲&lt;/battle&gt;"},{"trigger":"onActiveSpellCast","type":"removeBuffStacks","buffId":"armor","amount":3,"targetActor":"enemy","label":"投掷，&lt;battle&gt;对敌方造成 90 点伤害，并移除敌方 3 层护甲&lt;/battle&gt;"}],"starOverrides":{"1":{"label":"投掷，&lt;battle&gt;对敌方造成 110 点伤害，并移除敌方 5 层护甲&lt;/battle&gt;","executors":[{"trigger":"onActiveSpellCast","type":"damageHealth","amount":110,"label":"投掷，&lt;battle&gt;对敌方造成 110 点伤害，并移除敌方 5 层护甲&lt;/battle&gt;"},{"trigger":"onActiveSpellCast","type":"removeBuffStacks","buffId":"armor","amount":5,"targetActor":"enemy","label":"投掷，&lt;battle&gt;对敌方造成 110 点伤害，并移除敌方 5 层护甲&lt;/battle&gt;"}]},"2":{"label":"投掷，&lt;battle&gt;对敌方造成 130 点伤害，并移除敌方 7 层护甲&lt;/battle&gt;","executors":[{"trigger":"onActiveSpellCast","type":"damageHealth","amount":130,"label":"投掷，&lt;battle&gt;对敌方造成 130 点伤害，并移除敌方 7 层护甲&lt;/battle&gt;"},{"trigger":"onActiveSpellCast","type":"removeBuffStacks","buffId":"armor","amount":7,"targetActor":"enemy","label":"投掷，&lt;battle&gt;对敌方造成 130 点伤害，并移除敌方 7 层护甲&lt;/battle&gt;"}]},"3":{"label":"投掷，&lt;battle&gt;对敌方造成 150 点伤害，并移除敌方 9 层护甲&lt;/battle&gt;","executors":[{"trigger":"onActiveSpellCast","type":"damageHealth","amount":150,"label":"投掷，&lt;battle&gt;对敌方造成 150 点伤害，并移除敌方 9 层护甲&lt;/battle&gt;"},{"trigger":"onActiveSpellCast","type":"removeBuffStacks","buffId":"armor","amount":9,"targetActor":"enemy","label":"投掷，&lt;battle&gt;对敌方造成 150 点伤害，并移除敌方 9 层护甲&lt;/battle&gt;"}]}}}</t>
        </is>
      </c>
    </row>
    <row r="2056" ht="32" customHeight="1">
      <c r="A2056" s="8" t="n">
        <v>916001</v>
      </c>
      <c r="B2056" s="8" t="inlineStr">
        <is>
          <t>闭水鼻阀骨裂势投器</t>
        </is>
      </c>
      <c r="C2056" s="8" t="inlineStr">
        <is>
          <t>投掷物</t>
        </is>
      </c>
      <c r="D2056" s="8" t="inlineStr">
        <is>
          <t>spirit</t>
        </is>
      </c>
      <c r="E2056" s="8" t="inlineStr">
        <is>
          <t>water</t>
        </is>
      </c>
      <c r="F2056" s="8" t="n">
        <v>1</v>
      </c>
      <c r="G2056" s="8" t="inlineStr">
        <is>
          <t>基础/顶层</t>
        </is>
      </c>
      <c r="H2056" s="8" t="inlineStr"/>
      <c r="I2056" s="9" t="inlineStr"/>
      <c r="J2056" s="8" t="inlineStr"/>
      <c r="K2056" s="8" t="inlineStr"/>
      <c r="L2056" s="8" t="inlineStr"/>
      <c r="M2056" s="8" t="inlineStr">
        <is>
          <t>说明/执行器</t>
        </is>
      </c>
      <c r="N2056" s="8" t="inlineStr">
        <is>
          <t>effectNote</t>
        </is>
      </c>
      <c r="O2056" s="9" t="inlineStr">
        <is>
          <t>投掷，对敌方造成 80 点伤害，并施加 2 层冰霜；投掷，对敌方造成 100 点伤害，并施加 3 层冰霜；投掷，对敌方造成 120 点伤害，并施加 4 层冰霜；投掷，对敌方造成 140 点伤害，并施加 5 层冰霜</t>
        </is>
      </c>
      <c r="P2056" s="9" t="inlineStr">
        <is>
          <t>onActiveSpellCast</t>
        </is>
      </c>
      <c r="Q2056" s="9" t="inlineStr">
        <is>
          <t>damageHealth；buffGain</t>
        </is>
      </c>
      <c r="R2056" s="9" t="inlineStr">
        <is>
          <t>{"kind":"effectNote","label":"投掷，&lt;battle&gt;对敌方造成 80 点伤害，并施加 2 层冰霜&lt;/battle&gt;","executors":[{"trigger":"onActiveSpellCast","type":"damageHealth","amount":80,"label":"投掷，&lt;battle&gt;对敌方造成 80 点伤害，并施加 2 层冰霜&lt;/battle&gt;"},{"trigger":"onActiveSpellCast","type":"buffGain","buffId":"frost","amount":2,"targetActor":"enemy","label":"投掷，&lt;battle&gt;对敌方造成 80 点伤害，并施加 2 层冰霜&lt;/battle&gt;"}],"starOverrides":{"1":{"label":"投掷，&lt;battle&gt;对敌方造成 100 点伤害，并施加 3 层冰霜&lt;/battle&gt;","executors":[{"trigger":"onActiveSpellCast","type":"damageHealth","amount":100,"label":"投掷，&lt;battle&gt;对敌方造成 100 点伤害，并施加 3 层冰霜&lt;/battle&gt;"},{"trigger":"onActiveSpellCast","type":"buffGain","buffId":"frost","amount":3,"targetActor":"enemy","label":"投掷，&lt;battle&gt;对敌方造成 100 点伤害，并施加 3 层冰霜&lt;/battle&gt;"}]},"2":{"label":"投掷，&lt;battle&gt;对敌方造成 120 点伤害，并施加 4 层冰霜&lt;/battle&gt;","executors":[{"trigger":"onActiveSpellCast","type":"damageHealth","amount":120,"label":"投掷，&lt;battle&gt;对敌方造成 120 点伤害，并施加 4 层冰霜&lt;/battle&gt;"},{"trigger":"onActiveSpellCast","type":"buffGain","buffId":"frost","amount":4,"targetActor":"enemy","label":"投掷，&lt;battle&gt;对敌方造成 120 点伤害，并施加 4 层冰霜&lt;/battle&gt;"}]},"3":{"label":"投掷，&lt;battle&gt;对敌方造成 140 点伤害，并施加 5 层冰霜&lt;/battle&gt;","executors":[{"trigger":"onActiveSpellCast","type":"damageHealth","amount":140,"label":"投掷，&lt;battle&gt;对敌方造成 140 点伤害，并施加 5 层冰霜&lt;/battle&gt;"},{"trigger":"onActiveSpellCast","type":"buffGain","buffId":"frost","amount":5,"targetActor":"enemy","label":"投掷，&lt;battle&gt;对敌方造成 140 点伤害，并施加 5 层冰霜&lt;/battle&gt;"}]}}}</t>
        </is>
      </c>
    </row>
    <row r="2057" ht="32" customHeight="1">
      <c r="A2057" s="8" t="n">
        <v>916002</v>
      </c>
      <c r="B2057" s="8" t="inlineStr">
        <is>
          <t>潭息喉囊裂势投器</t>
        </is>
      </c>
      <c r="C2057" s="8" t="inlineStr">
        <is>
          <t>投掷物</t>
        </is>
      </c>
      <c r="D2057" s="8" t="inlineStr">
        <is>
          <t>spirit</t>
        </is>
      </c>
      <c r="E2057" s="8" t="inlineStr">
        <is>
          <t>water</t>
        </is>
      </c>
      <c r="F2057" s="8" t="n">
        <v>1</v>
      </c>
      <c r="G2057" s="8" t="inlineStr">
        <is>
          <t>基础/顶层</t>
        </is>
      </c>
      <c r="H2057" s="8" t="inlineStr"/>
      <c r="I2057" s="9" t="inlineStr"/>
      <c r="J2057" s="8" t="inlineStr"/>
      <c r="K2057" s="8" t="inlineStr"/>
      <c r="L2057" s="8" t="inlineStr"/>
      <c r="M2057" s="8" t="inlineStr">
        <is>
          <t>说明/执行器</t>
        </is>
      </c>
      <c r="N2057" s="8" t="inlineStr">
        <is>
          <t>effectNote</t>
        </is>
      </c>
      <c r="O2057" s="9" t="inlineStr">
        <is>
          <t>投掷，对敌方造成 50 点伤害，并施加 3 层中毒；投掷，对敌方造成 70 点伤害，并施加 4 层中毒；投掷，对敌方造成 90 点伤害，并施加 5 层中毒；投掷，对敌方造成 110 点伤害，并施加 6 层中毒</t>
        </is>
      </c>
      <c r="P2057" s="9" t="inlineStr">
        <is>
          <t>onActiveSpellCast</t>
        </is>
      </c>
      <c r="Q2057" s="9" t="inlineStr">
        <is>
          <t>damageHealth；buffGain</t>
        </is>
      </c>
      <c r="R2057" s="9" t="inlineStr">
        <is>
          <t>{"kind":"effectNote","label":"投掷，&lt;battle&gt;对敌方造成 50 点伤害，并施加 3 层中毒&lt;/battle&gt;","executors":[{"trigger":"onActiveSpellCast","type":"damageHealth","amount":50,"label":"投掷，&lt;battle&gt;对敌方造成 50 点伤害，并施加 3 层中毒&lt;/battle&gt;"},{"trigger":"onActiveSpellCast","type":"buffGain","buffId":"poison","amount":3,"targetActor":"enemy","label":"投掷，&lt;battle&gt;对敌方造成 50 点伤害，并施加 3 层中毒&lt;/battle&gt;"}],"starOverrides":{"1":{"label":"投掷，&lt;battle&gt;对敌方造成 70 点伤害，并施加 4 层中毒&lt;/battle&gt;","executors":[{"trigger":"onActiveSpellCast","type":"damageHealth","amount":70,"label":"投掷，&lt;battle&gt;对敌方造成 70 点伤害，并施加 4 层中毒&lt;/battle&gt;"},{"trigger":"onActiveSpellCast","type":"buffGain","buffId":"poison","amount":4,"targetActor":"enemy","label":"投掷，&lt;battle&gt;对敌方造成 70 点伤害，并施加 4 层中毒&lt;/battle&gt;"}]},"2":{"label":"投掷，&lt;battle&gt;对敌方造成 90 点伤害，并施加 5 层中毒&lt;/battle&gt;","executors":[{"trigger":"onActiveSpellCast","type":"damageHealth","amount":90,"label":"投掷，&lt;battle&gt;对敌方造成 90 点伤害，并施加 5 层中毒&lt;/battle&gt;"},{"trigger":"onActiveSpellCast","type":"buffGain","buffId":"poison","amount":5,"targetActor":"enemy","label":"投掷，&lt;battle&gt;对敌方造成 90 点伤害，并施加 5 层中毒&lt;/battle&gt;"}]},"3":{"label":"投掷，&lt;battle&gt;对敌方造成 110 点伤害，并施加 6 层中毒&lt;/battle&gt;","executors":[{"trigger":"onActiveSpellCast","type":"damageHealth","amount":110,"label":"投掷，&lt;battle&gt;对敌方造成 110 点伤害，并施加 6 层中毒&lt;/battle&gt;"},{"trigger":"onActiveSpellCast","type":"buffGain","buffId":"poison","amount":6,"targetActor":"enemy","label":"投掷，&lt;battle&gt;对敌方造成 110 点伤害，并施加 6 层中毒&lt;/battle&gt;"}]}}}</t>
        </is>
      </c>
    </row>
    <row r="2058" ht="32" customHeight="1">
      <c r="A2058" s="8" t="n">
        <v>916400</v>
      </c>
      <c r="B2058" s="8" t="inlineStr">
        <is>
          <t>丹睛环羽裂势丸</t>
        </is>
      </c>
      <c r="C2058" s="8" t="inlineStr">
        <is>
          <t>投掷物</t>
        </is>
      </c>
      <c r="D2058" s="8" t="inlineStr">
        <is>
          <t>spirit</t>
        </is>
      </c>
      <c r="E2058" s="8" t="inlineStr">
        <is>
          <t>fire</t>
        </is>
      </c>
      <c r="F2058" s="8" t="n">
        <v>1</v>
      </c>
      <c r="G2058" s="8" t="inlineStr">
        <is>
          <t>基础/顶层</t>
        </is>
      </c>
      <c r="H2058" s="8" t="inlineStr"/>
      <c r="I2058" s="9" t="inlineStr"/>
      <c r="J2058" s="8" t="inlineStr"/>
      <c r="K2058" s="8" t="inlineStr"/>
      <c r="L2058" s="8" t="inlineStr"/>
      <c r="M2058" s="8" t="inlineStr">
        <is>
          <t>说明/执行器</t>
        </is>
      </c>
      <c r="N2058" s="8" t="inlineStr">
        <is>
          <t>effectNote</t>
        </is>
      </c>
      <c r="O2058" s="9" t="inlineStr">
        <is>
          <t>投掷，最多消耗 4 层炎热，每消耗 1 层对敌方造成 15 点伤害，并施加 3 层灼烧；投掷，最多消耗 5 层炎热，每消耗 1 层对敌方造成 15 点伤害，并施加 4 层灼烧；投掷，最多消耗 6 层炎热，每消耗 1 层对敌方造成 15 点伤害，并施加 5 层灼烧；投掷，最多消耗 7 层炎热，每消耗 1 层对敌方造成 15 点伤害，并施加 6 层灼烧</t>
        </is>
      </c>
      <c r="P2058" s="9" t="inlineStr">
        <is>
          <t>onActiveSpellCast</t>
        </is>
      </c>
      <c r="Q2058" s="9" t="inlineStr">
        <is>
          <t>damageHealth；buffGain</t>
        </is>
      </c>
      <c r="R2058" s="9" t="inlineStr">
        <is>
          <t>{"kind":"effectNote","label":"投掷，&lt;battle&gt;最多消耗 4 层炎热，每消耗 1 层对敌方造成 15 点伤害，并施加 3 层灼烧&lt;/battle&gt;","executors":[{"trigger":"onActiveSpellCast","type":"damageHealth","amount":0,"amountPerConsumedBuffStack":15,"consumeBuffStacks":{"buffId":"heat","targetActor":"self","requiredStacks":1,"maxStacks":4},"label":"投掷，&lt;battle&gt;最多消耗 4 层炎热，每消耗 1 层对敌方造成 15 点伤害，并施加 3 层灼烧&lt;/battle&gt;"},{"trigger":"onActiveSpellCast","type":"buffGain","buffId":"burning","amount":3,"targetActor":"enemy","label":"投掷，&lt;battle&gt;最多消耗 4 层炎热，每消耗 1 层对敌方造成 15 点伤害，并施加 3 层灼烧&lt;/battle&gt;"}],"starOverrides":{"1":{"label":"投掷，&lt;battle&gt;最多消耗 5 层炎热，每消耗 1 层对敌方造成 15 点伤害，并施加 4 层灼烧&lt;/battle&gt;","executors":[{"trigger":"onActiveSpellCast","type":"damageHealth","amount":0,"amountPerConsumedBuffStack":15,"consumeBuffStacks":{"buffId":"heat","targetActor":"self","requiredStacks":1,"maxStacks":5},"label":"投掷，&lt;battle&gt;最多消耗 5 层炎热，每消耗 1 层对敌方造成 15 点伤害，并施加 4 层灼烧&lt;/battle&gt;"},{"trigger":"onActiveSpellCast","type":"buffGain","buffId":"burning","amount":4,"targetActor":"enemy","label":"投掷，&lt;battle&gt;最多消耗 5 层炎热，每消耗 1 层对敌方造成 15 点伤害，并施加 4 层灼烧&lt;/battle&gt;"}]},"2":{"label":"投掷，&lt;battle&gt;最多消耗 6 层炎热，每消耗 1 层对敌方造成 15 点伤害，并施加 5 层灼烧&lt;/battle&gt;","executors":[{"trigger":"onActiveSpellCast","type":"damageHealth","amount":0,"amountPerConsumedBuffStack":15,"consumeBuffStacks":{"buffId":"heat","targetActor":"self","requiredStacks":1,"maxStacks":6},"label":"投掷，&lt;battle&gt;最多消耗 6 层炎热，每消耗 1 层对敌方造成 15 点伤害，并施加 5 层灼烧&lt;/battle&gt;"},{"trigger":"onActiveSpellCast","type":"buffGain","buffId":"burning","amount":5,"targetActor":"enemy","label":"投掷，&lt;battle&gt;最多消耗 6 层炎热，每消耗 1 层对敌方造成 15 点伤害，并施加 5 层灼烧&lt;/battle&gt;"}]},"3":{"label":"投掷，&lt;battle&gt;最多消耗 7 层炎热，每消耗 1 层对敌方造成 15 点伤害，并施加 6 层灼烧&lt;/battle&gt;","executors":[{"trigger":"onActiveSpellCast","type":"damageHealth","amount":0,"amountPerConsumedBuffStack":15,"consumeBuffStacks":{"buffId":"heat","targetActor":"self","requiredStacks":1,"maxStacks":7},"label":"投掷，&lt;battle&gt;最多消耗 7 层炎热，每消耗 1 层对敌方造成 15 点伤害，并施加 6 层灼烧&lt;/battle&gt;"},{"trigger":"onActiveSpellCast","type":"buffGain","buffId":"burning","amount":6,"targetActor":"enemy","label":"投掷，&lt;battle&gt;最多消耗 7 层炎热，每消耗 1 层对敌方造成 15 点伤害，并施加 6 层灼烧&lt;/battle&gt;"}]}}}</t>
        </is>
      </c>
    </row>
    <row r="2059" ht="32" customHeight="1">
      <c r="A2059" s="8" t="n">
        <v>916401</v>
      </c>
      <c r="B2059" s="8" t="inlineStr">
        <is>
          <t>长趾绳腱裂势丸</t>
        </is>
      </c>
      <c r="C2059" s="8" t="inlineStr">
        <is>
          <t>投掷物</t>
        </is>
      </c>
      <c r="D2059" s="8" t="inlineStr">
        <is>
          <t>spirit</t>
        </is>
      </c>
      <c r="E2059" s="8" t="inlineStr">
        <is>
          <t>fire</t>
        </is>
      </c>
      <c r="F2059" s="8" t="n">
        <v>1</v>
      </c>
      <c r="G2059" s="8" t="inlineStr">
        <is>
          <t>基础/顶层</t>
        </is>
      </c>
      <c r="H2059" s="8" t="inlineStr"/>
      <c r="I2059" s="9" t="inlineStr"/>
      <c r="J2059" s="8" t="inlineStr"/>
      <c r="K2059" s="8" t="inlineStr"/>
      <c r="L2059" s="8" t="inlineStr"/>
      <c r="M2059" s="8" t="inlineStr">
        <is>
          <t>说明/执行器</t>
        </is>
      </c>
      <c r="N2059" s="8" t="inlineStr">
        <is>
          <t>effectNote</t>
        </is>
      </c>
      <c r="O2059" s="9" t="inlineStr">
        <is>
          <t>投掷，对敌方造成 60 点伤害，并使敌方占格面积最大的道具获得 3 秒减速；投掷，对敌方造成 76 点伤害，并使敌方占格面积最大的道具获得 4 秒减速；投掷，对敌方造成 90 点伤害，并使敌方占格面积最大的道具获得 5 秒减速；投掷，对敌方造成 106 点伤害，并使敌方占格面积最大的道具获得 6 秒减速</t>
        </is>
      </c>
      <c r="P2059" s="9" t="inlineStr">
        <is>
          <t>onActiveSpellCast</t>
        </is>
      </c>
      <c r="Q2059" s="9" t="inlineStr">
        <is>
          <t>damageHealth；itemRuntimeStatus</t>
        </is>
      </c>
      <c r="R2059" s="9" t="inlineStr">
        <is>
          <t>{"kind":"effectNote","label":"投掷，&lt;battle&gt;对敌方造成 60 点伤害，并使敌方占格面积最大的道具获得 3 秒减速&lt;/battle&gt;","executors":[{"trigger":"onActiveSpellCast","type":"damageHealth","amount":60,"label":"投掷，&lt;battle&gt;对敌方造成 60 点伤害，并使敌方占格面积最大的道具获得 3 秒减速&lt;/battle&gt;"},{"trigger":"onActiveSpellCast","type":"itemRuntimeStatus","itemRuntimeStatus":"slow","durationSec":3,"targetActor":"enemy","targetSelection":"largest","amount":1,"label":"投掷，&lt;battle&gt;对敌方造成 60 点伤害，并使敌方占格面积最大的道具获得 3 秒减速&lt;/battle&gt;"}],"starOverrides":{"1":{"label":"投掷，&lt;battle&gt;对敌方造成 76 点伤害，并使敌方占格面积最大的道具获得 4 秒减速&lt;/battle&gt;","executors":[{"trigger":"onActiveSpellCast","type":"damageHealth","amount":76,"label":"投掷，&lt;battle&gt;对敌方造成 76 点伤害，并使敌方占格面积最大的道具获得 4 秒减速&lt;/battle&gt;"},{"trigger":"onActiveSpellCast","type":"itemRuntimeStatus","itemRuntimeStatus":"slow","durationSec":4,"targetActor":"enemy","targetSelection":"largest","amount":1,"label":"投掷，&lt;battle&gt;对敌方造成 76 点伤害，并使敌方占格面积最大的道具获得 4 秒减速&lt;/battle&gt;"}]},"2":{"label":"投掷，&lt;battle&gt;对敌方造成 90 点伤害，并使敌方占格面积最大的道具获得 5 秒减速&lt;/battle&gt;","executors":[{"trigger":"onActiveSpellCast","type":"damageHealth","amount":90,"label":"投掷，&lt;battle&gt;对敌方造成 90 点伤害，并使敌方占格面积最大的道具获得 5 秒减速&lt;/battle&gt;"},{"trigger":"onActiveSpellCast","type":"itemRuntimeStatus","itemRuntimeStatus":"slow","durationSec":5,"targetActor":"enemy","targetSelection":"largest","amount":1,"label":"投掷，&lt;battle&gt;对敌方造成 90 点伤害，并使敌方占格面积最大的道具获得 5 秒减速&lt;/battle&gt;"}]},"3":{"label":"投掷，&lt;battle&gt;对敌方造成 106 点伤害，并使敌方占格面积最大的道具获得 6 秒减速&lt;/battle&gt;","executors":[{"trigger":"onActiveSpellCast","type":"damageHealth","amount":106,"label":"投掷，&lt;battle&gt;对敌方造成 106 点伤害，并使敌方占格面积最大的道具获得 6 秒减速&lt;/battle&gt;"},{"trigger":"onActiveSpellCast","type":"itemRuntimeStatus","itemRuntimeStatus":"slow","durationSec":6,"targetActor":"enemy","targetSelection":"largest","amount":1,"label":"投掷，&lt;battle&gt;对敌方造成 106 点伤害，并使敌方占格面积最大的道具获得 6 秒减速&lt;/battle&gt;"}]}}}</t>
        </is>
      </c>
    </row>
    <row r="2060" ht="32" customHeight="1">
      <c r="A2060" s="8" t="n">
        <v>916500</v>
      </c>
      <c r="B2060" s="8" t="inlineStr">
        <is>
          <t>镇步四蹄铃震鸣丸</t>
        </is>
      </c>
      <c r="C2060" s="8" t="inlineStr">
        <is>
          <t>投掷物</t>
        </is>
      </c>
      <c r="D2060" s="8" t="inlineStr">
        <is>
          <t>spirit</t>
        </is>
      </c>
      <c r="E2060" s="8" t="inlineStr">
        <is>
          <t>metal</t>
        </is>
      </c>
      <c r="F2060" s="8" t="n">
        <v>1</v>
      </c>
      <c r="G2060" s="8" t="inlineStr">
        <is>
          <t>基础/顶层</t>
        </is>
      </c>
      <c r="H2060" s="8" t="inlineStr"/>
      <c r="I2060" s="9" t="inlineStr"/>
      <c r="J2060" s="8" t="inlineStr"/>
      <c r="K2060" s="8" t="inlineStr"/>
      <c r="L2060" s="8" t="inlineStr"/>
      <c r="M2060" s="8" t="inlineStr">
        <is>
          <t>说明/执行器</t>
        </is>
      </c>
      <c r="N2060" s="8" t="inlineStr">
        <is>
          <t>effectNote</t>
        </is>
      </c>
      <c r="O2060" s="9" t="inlineStr">
        <is>
          <t>投掷，对敌方造成 80 点伤害，并移除敌方 4 层护甲；投掷，对敌方造成 100 点伤害，并移除敌方 5 层护甲；投掷，对敌方造成 120 点伤害，并移除敌方 6 层护甲；投掷，对敌方造成 140 点伤害，并移除敌方 7 层护甲</t>
        </is>
      </c>
      <c r="P2060" s="9" t="inlineStr">
        <is>
          <t>onActiveSpellCast</t>
        </is>
      </c>
      <c r="Q2060" s="9" t="inlineStr">
        <is>
          <t>damageHealth；removeBuffStacks</t>
        </is>
      </c>
      <c r="R2060" s="9" t="inlineStr">
        <is>
          <t>{"kind":"effectNote","label":"投掷，&lt;battle&gt;对敌方造成 80 点伤害，并移除敌方 4 层护甲&lt;/battle&gt;","executors":[{"trigger":"onActiveSpellCast","type":"damageHealth","amount":80,"label":"投掷，&lt;battle&gt;对敌方造成 80 点伤害，并移除敌方 4 层护甲&lt;/battle&gt;"},{"trigger":"onActiveSpellCast","type":"removeBuffStacks","buffId":"armor","amount":4,"targetActor":"enemy","label":"投掷，&lt;battle&gt;对敌方造成 80 点伤害，并移除敌方 4 层护甲&lt;/battle&gt;"}],"starOverrides":{"1":{"label":"投掷，&lt;battle&gt;对敌方造成 100 点伤害，并移除敌方 5 层护甲&lt;/battle&gt;","executors":[{"trigger":"onActiveSpellCast","type":"damageHealth","amount":100,"label":"投掷，&lt;battle&gt;对敌方造成 100 点伤害，并移除敌方 5 层护甲&lt;/battle&gt;"},{"trigger":"onActiveSpellCast","type":"removeBuffStacks","buffId":"armor","amount":5,"targetActor":"enemy","label":"投掷，&lt;battle&gt;对敌方造成 100 点伤害，并移除敌方 5 层护甲&lt;/battle&gt;"}]},"2":{"label":"投掷，&lt;battle&gt;对敌方造成 120 点伤害，并移除敌方 6 层护甲&lt;/battle&gt;","executors":[{"trigger":"onActiveSpellCast","type":"damageHealth","amount":120,"label":"投掷，&lt;battle&gt;对敌方造成 120 点伤害，并移除敌方 6 层护甲&lt;/battle&gt;"},{"trigger":"onActiveSpellCast","type":"removeBuffStacks","buffId":"armor","amount":6,"targetActor":"enemy","label":"投掷，&lt;battle&gt;对敌方造成 120 点伤害，并移除敌方 6 层护甲&lt;/battle&gt;"}]},"3":{"label":"投掷，&lt;battle&gt;对敌方造成 140 点伤害，并移除敌方 7 层护甲&lt;/battle&gt;","executors":[{"trigger":"onActiveSpellCast","type":"damageHealth","amount":140,"label":"投掷，&lt;battle&gt;对敌方造成 140 点伤害，并移除敌方 7 层护甲&lt;/battle&gt;"},{"trigger":"onActiveSpellCast","type":"removeBuffStacks","buffId":"armor","amount":7,"targetActor":"enemy","label":"投掷，&lt;battle&gt;对敌方造成 140 点伤害，并移除敌方 7 层护甲&lt;/battle&gt;"}]}}}</t>
        </is>
      </c>
    </row>
    <row r="2061" ht="32" customHeight="1">
      <c r="A2061" s="8" t="n">
        <v>916501</v>
      </c>
      <c r="B2061" s="8" t="inlineStr">
        <is>
          <t>崩岩獠牙铜套震鸣丸</t>
        </is>
      </c>
      <c r="C2061" s="8" t="inlineStr">
        <is>
          <t>投掷物</t>
        </is>
      </c>
      <c r="D2061" s="8" t="inlineStr">
        <is>
          <t>spirit</t>
        </is>
      </c>
      <c r="E2061" s="8" t="inlineStr">
        <is>
          <t>metal</t>
        </is>
      </c>
      <c r="F2061" s="8" t="n">
        <v>1</v>
      </c>
      <c r="G2061" s="8" t="inlineStr">
        <is>
          <t>基础/顶层</t>
        </is>
      </c>
      <c r="H2061" s="8" t="inlineStr"/>
      <c r="I2061" s="9" t="inlineStr"/>
      <c r="J2061" s="8" t="inlineStr"/>
      <c r="K2061" s="8" t="inlineStr"/>
      <c r="L2061" s="8" t="inlineStr"/>
      <c r="M2061" s="8" t="inlineStr">
        <is>
          <t>说明/执行器</t>
        </is>
      </c>
      <c r="N2061" s="8" t="inlineStr">
        <is>
          <t>effectNote</t>
        </is>
      </c>
      <c r="O2061" s="9" t="inlineStr">
        <is>
          <t>投掷，每有 1 件 2×2 道具，对敌方造成 13 点伤害，最多计 4 件，并施加 2 层冰霜；投掷，每有 1 件 2×2 道具，对敌方造成 15 点伤害，最多计 4 件，并施加 3 层冰霜；投掷，每有 1 件 2×2 道具，对敌方造成 18 点伤害，最多计 4 件，并施加 4 层冰霜；投掷，每有 1 件 2×2 道具，对敌方造成 20 点伤害，最多计 4 件，并施加 5 层冰霜</t>
        </is>
      </c>
      <c r="P2061" s="9" t="inlineStr">
        <is>
          <t>onActiveSpellCast</t>
        </is>
      </c>
      <c r="Q2061" s="9" t="inlineStr">
        <is>
          <t>damageHealth；buffGain</t>
        </is>
      </c>
      <c r="R2061" s="9" t="inlineStr">
        <is>
          <t>{"kind":"effectNote","label":"投掷，&lt;battle&gt;每有 1 件 2×2 道具，对敌方造成 13 点伤害，最多计 4 件，并施加 2 层冰霜&lt;/battle&gt;","executors":[{"trigger":"onActiveSpellCast","type":"damageHealth","amount":0,"amountPerMatchingBagItem":{"valuePerItem":13,"shapeSizes":["2x2"],"maxCount":4},"label":"投掷，&lt;battle&gt;每有 1 件 2×2 道具，对敌方造成 13 点伤害，最多计 4 件，并施加 2 层冰霜&lt;/battle&gt;"},{"trigger":"onActiveSpellCast","type":"buffGain","buffId":"frost","amount":2,"targetActor":"enemy","label":"投掷，&lt;battle&gt;每有 1 件 2×2 道具，对敌方造成 13 点伤害，最多计 4 件，并施加 2 层冰霜&lt;/battle&gt;"}],"starOverrides":{"1":{"label":"投掷，&lt;battle&gt;每有 1 件 2×2 道具，对敌方造成 15 点伤害，最多计 4 件，并施加 3 层冰霜&lt;/battle&gt;","executors":[{"trigger":"onActiveSpellCast","type":"damageHealth","amount":0,"amountPerMatchingBagItem":{"valuePerItem":15,"shapeSizes":["2x2"],"maxCount":4},"label":"投掷，&lt;battle&gt;每有 1 件 2×2 道具，对敌方造成 15 点伤害，最多计 4 件，并施加 3 层冰霜&lt;/battle&gt;"},{"trigger":"onActiveSpellCast","type":"buffGain","buffId":"frost","amount":3,"targetActor":"enemy","label":"投掷，&lt;battle&gt;每有 1 件 2×2 道具，对敌方造成 15 点伤害，最多计 4 件，并施加 3 层冰霜&lt;/battle&gt;"}]},"2":{"label":"投掷，&lt;battle&gt;每有 1 件 2×2 道具，对敌方造成 18 点伤害，最多计 4 件，并施加 4 层冰霜&lt;/battle&gt;","executors":[{"trigger":"onActiveSpellCast","type":"damageHealth","amount":0,"amountPerMatchingBagItem":{"valuePerItem":18,"shapeSizes":["2x2"],"maxCount":4},"label":"投掷，&lt;battle&gt;每有 1 件 2×2 道具，对敌方造成 18 点伤害，最多计 4 件，并施加 4 层冰霜&lt;/battle&gt;"},{"trigger":"onActiveSpellCast","type":"buffGain","buffId":"frost","amount":4,"targetActor":"enemy","label":"投掷，&lt;battle&gt;每有 1 件 2×2 道具，对敌方造成 18 点伤害，最多计 4 件，并施加 4 层冰霜&lt;/battle&gt;"}]},"3":{"label":"投掷，&lt;battle&gt;每有 1 件 2×2 道具，对敌方造成 20 点伤害，最多计 4 件，并施加 5 层冰霜&lt;/battle&gt;","executors":[{"trigger":"onActiveSpellCast","type":"damageHealth","amount":0,"amountPerMatchingBagItem":{"valuePerItem":20,"shapeSizes":["2x2"],"maxCount":4},"label":"投掷，&lt;battle&gt;每有 1 件 2×2 道具，对敌方造成 20 点伤害，最多计 4 件，并施加 5 层冰霜&lt;/battle&gt;"},{"trigger":"onActiveSpellCast","type":"buffGain","buffId":"frost","amount":5,"targetActor":"enemy","label":"投掷，&lt;battle&gt;每有 1 件 2×2 道具，对敌方造成 20 点伤害，最多计 4 件，并施加 5 层冰霜&lt;/battle&gt;"}]}}}</t>
        </is>
      </c>
    </row>
    <row r="2062" ht="32" customHeight="1">
      <c r="A2062" s="8" t="n">
        <v>916502</v>
      </c>
      <c r="B2062" s="8" t="inlineStr">
        <is>
          <t>旧铜护鼻铠震鸣丸</t>
        </is>
      </c>
      <c r="C2062" s="8" t="inlineStr">
        <is>
          <t>投掷物</t>
        </is>
      </c>
      <c r="D2062" s="8" t="inlineStr">
        <is>
          <t>spirit</t>
        </is>
      </c>
      <c r="E2062" s="8" t="inlineStr">
        <is>
          <t>metal</t>
        </is>
      </c>
      <c r="F2062" s="8" t="n">
        <v>1</v>
      </c>
      <c r="G2062" s="8" t="inlineStr">
        <is>
          <t>基础/顶层</t>
        </is>
      </c>
      <c r="H2062" s="8" t="inlineStr"/>
      <c r="I2062" s="9" t="inlineStr"/>
      <c r="J2062" s="8" t="inlineStr"/>
      <c r="K2062" s="8" t="inlineStr"/>
      <c r="L2062" s="8" t="inlineStr"/>
      <c r="M2062" s="8" t="inlineStr">
        <is>
          <t>说明/执行器</t>
        </is>
      </c>
      <c r="N2062" s="8" t="inlineStr">
        <is>
          <t>effectNote</t>
        </is>
      </c>
      <c r="O2062" s="9" t="inlineStr">
        <is>
          <t>投掷，恢复 60 点气血，并获得 10 层护甲；投掷，恢复 80 点气血，并获得 13 层护甲；投掷，恢复 100 点气血，并获得 15 层护甲；投掷，恢复 120 点气血，并获得 18 层护甲</t>
        </is>
      </c>
      <c r="P2062" s="9" t="inlineStr">
        <is>
          <t>onActiveSpellCast</t>
        </is>
      </c>
      <c r="Q2062" s="9" t="inlineStr">
        <is>
          <t>primaryStatGain；buffGain</t>
        </is>
      </c>
      <c r="R2062" s="9" t="inlineStr">
        <is>
          <t>{"kind":"effectNote","label":"投掷，恢复 60 点气血，并获得 10 层护甲","executors":[{"trigger":"onActiveSpellCast","type":"primaryStatGain","stat":"health","amount":60,"label":"投掷，恢复 60 点气血，并获得 10 层护甲"},{"trigger":"onActiveSpellCast","type":"buffGain","buffId":"armor","amount":10,"label":"投掷，恢复 60 点气血，并获得 10 层护甲"}],"starOverrides":{"1":{"label":"投掷，恢复 80 点气血，并获得 13 层护甲","executors":[{"trigger":"onActiveSpellCast","type":"primaryStatGain","stat":"health","amount":80,"label":"投掷，恢复 80 点气血，并获得 13 层护甲"},{"trigger":"onActiveSpellCast","type":"buffGain","buffId":"armor","amount":13,"label":"投掷，恢复 80 点气血，并获得 13 层护甲"}]},"2":{"label":"投掷，恢复 100 点气血，并获得 15 层护甲","executors":[{"trigger":"onActiveSpellCast","type":"primaryStatGain","stat":"health","amount":100,"label":"投掷，恢复 100 点气血，并获得 15 层护甲"},{"trigger":"onActiveSpellCast","type":"buffGain","buffId":"armor","amount":15,"label":"投掷，恢复 100 点气血，并获得 15 层护甲"}]},"3":{"label":"投掷，恢复 120 点气血，并获得 18 层护甲","executors":[{"trigger":"onActiveSpellCast","type":"primaryStatGain","stat":"health","amount":120,"label":"投掷，恢复 120 点气血，并获得 18 层护甲"},{"trigger":"onActiveSpellCast","type":"buffGain","buffId":"armor","amount":18,"label":"投掷，恢复 120 点气血，并获得 18 层护甲"}]}}}</t>
        </is>
      </c>
    </row>
    <row r="2063" ht="32" customHeight="1">
      <c r="A2063" s="8" t="n">
        <v>916600</v>
      </c>
      <c r="B2063" s="8" t="inlineStr">
        <is>
          <t>悬铃翼骨震鸣丸</t>
        </is>
      </c>
      <c r="C2063" s="8" t="inlineStr">
        <is>
          <t>投掷物</t>
        </is>
      </c>
      <c r="D2063" s="8" t="inlineStr">
        <is>
          <t>spirit</t>
        </is>
      </c>
      <c r="E2063" s="8" t="inlineStr">
        <is>
          <t>metal</t>
        </is>
      </c>
      <c r="F2063" s="8" t="n">
        <v>1</v>
      </c>
      <c r="G2063" s="8" t="inlineStr">
        <is>
          <t>基础/顶层</t>
        </is>
      </c>
      <c r="H2063" s="8" t="inlineStr"/>
      <c r="I2063" s="9" t="inlineStr"/>
      <c r="J2063" s="8" t="inlineStr"/>
      <c r="K2063" s="8" t="inlineStr"/>
      <c r="L2063" s="8" t="inlineStr"/>
      <c r="M2063" s="8" t="inlineStr">
        <is>
          <t>说明/执行器</t>
        </is>
      </c>
      <c r="N2063" s="8" t="inlineStr">
        <is>
          <t>effectNote</t>
        </is>
      </c>
      <c r="O2063" s="9" t="inlineStr">
        <is>
          <t>投掷，对敌方造成 90 点伤害，并施加 1 层麻痹；投掷，对敌方造成 120 点伤害，并施加 2 层麻痹；投掷，对敌方造成 150 点伤害，并施加 3 层麻痹；投掷，对敌方造成 180 点伤害，并施加 4 层麻痹</t>
        </is>
      </c>
      <c r="P2063" s="9" t="inlineStr">
        <is>
          <t>onActiveSpellCast</t>
        </is>
      </c>
      <c r="Q2063" s="9" t="inlineStr">
        <is>
          <t>damageHealth；buffGain</t>
        </is>
      </c>
      <c r="R2063" s="9" t="inlineStr">
        <is>
          <t>{"kind":"effectNote","label":"投掷，&lt;battle&gt;对敌方造成 90 点伤害，并施加 1 层麻痹&lt;/battle&gt;","executors":[{"trigger":"onActiveSpellCast","type":"damageHealth","amount":90,"label":"投掷，&lt;battle&gt;对敌方造成 90 点伤害，并施加 1 层麻痹&lt;/battle&gt;"},{"trigger":"onActiveSpellCast","type":"buffGain","buffId":"paralysis","amount":1,"targetActor":"enemy","label":"投掷，&lt;battle&gt;对敌方造成 90 点伤害，并施加 1 层麻痹&lt;/battle&gt;"}],"starOverrides":{"1":{"label":"投掷，&lt;battle&gt;对敌方造成 120 点伤害，并施加 2 层麻痹&lt;/battle&gt;","executors":[{"trigger":"onActiveSpellCast","type":"damageHealth","amount":120,"label":"投掷，&lt;battle&gt;对敌方造成 120 点伤害，并施加 2 层麻痹&lt;/battle&gt;"},{"trigger":"onActiveSpellCast","type":"buffGain","buffId":"paralysis","amount":2,"targetActor":"enemy","label":"投掷，&lt;battle&gt;对敌方造成 120 点伤害，并施加 2 层麻痹&lt;/battle&gt;"}]},"2":{"label":"投掷，&lt;battle&gt;对敌方造成 150 点伤害，并施加 3 层麻痹&lt;/battle&gt;","executors":[{"trigger":"onActiveSpellCast","type":"damageHealth","amount":150,"label":"投掷，&lt;battle&gt;对敌方造成 150 点伤害，并施加 3 层麻痹&lt;/battle&gt;"},{"trigger":"onActiveSpellCast","type":"buffGain","buffId":"paralysis","amount":3,"targetActor":"enemy","label":"投掷，&lt;battle&gt;对敌方造成 150 点伤害，并施加 3 层麻痹&lt;/battle&gt;"}]},"3":{"label":"投掷，&lt;battle&gt;对敌方造成 180 点伤害，并施加 4 层麻痹&lt;/battle&gt;","executors":[{"trigger":"onActiveSpellCast","type":"damageHealth","amount":180,"label":"投掷，&lt;battle&gt;对敌方造成 180 点伤害，并施加 4 层麻痹&lt;/battle&gt;"},{"trigger":"onActiveSpellCast","type":"buffGain","buffId":"paralysis","amount":4,"targetActor":"enemy","label":"投掷，&lt;battle&gt;对敌方造成 180 点伤害，并施加 4 层麻痹&lt;/battle&gt;"}]}}}</t>
        </is>
      </c>
    </row>
    <row r="2064" ht="32" customHeight="1">
      <c r="A2064" s="8" t="n">
        <v>916601</v>
      </c>
      <c r="B2064" s="8" t="inlineStr">
        <is>
          <t>钟钉嗉囊震鸣丸</t>
        </is>
      </c>
      <c r="C2064" s="8" t="inlineStr">
        <is>
          <t>投掷物</t>
        </is>
      </c>
      <c r="D2064" s="8" t="inlineStr">
        <is>
          <t>spirit</t>
        </is>
      </c>
      <c r="E2064" s="8" t="inlineStr">
        <is>
          <t>wood</t>
        </is>
      </c>
      <c r="F2064" s="8" t="n">
        <v>1</v>
      </c>
      <c r="G2064" s="8" t="inlineStr">
        <is>
          <t>基础/顶层</t>
        </is>
      </c>
      <c r="H2064" s="8" t="inlineStr"/>
      <c r="I2064" s="9" t="inlineStr"/>
      <c r="J2064" s="8" t="inlineStr"/>
      <c r="K2064" s="8" t="inlineStr"/>
      <c r="L2064" s="8" t="inlineStr"/>
      <c r="M2064" s="8" t="inlineStr">
        <is>
          <t>说明/执行器</t>
        </is>
      </c>
      <c r="N2064" s="8" t="inlineStr">
        <is>
          <t>effectNote</t>
        </is>
      </c>
      <c r="O2064" s="9" t="inlineStr">
        <is>
          <t>投掷，对敌方造成 80 点伤害，并施加 3 层冰霜；投掷，对敌方造成 110 点伤害，并施加 4 层冰霜；投掷，对敌方造成 140 点伤害，并施加 5 层冰霜；投掷，对敌方造成 170 点伤害，并施加 6 层冰霜</t>
        </is>
      </c>
      <c r="P2064" s="9" t="inlineStr">
        <is>
          <t>onActiveSpellCast</t>
        </is>
      </c>
      <c r="Q2064" s="9" t="inlineStr">
        <is>
          <t>damageHealth；buffGain</t>
        </is>
      </c>
      <c r="R2064" s="9" t="inlineStr">
        <is>
          <t>{"kind":"effectNote","label":"投掷，&lt;battle&gt;对敌方造成 80 点伤害，并施加 3 层冰霜&lt;/battle&gt;","executors":[{"trigger":"onActiveSpellCast","type":"damageHealth","amount":80,"label":"投掷，&lt;battle&gt;对敌方造成 80 点伤害，并施加 3 层冰霜&lt;/battle&gt;"},{"trigger":"onActiveSpellCast","type":"buffGain","buffId":"frost","amount":3,"targetActor":"enemy","label":"投掷，&lt;battle&gt;对敌方造成 80 点伤害，并施加 3 层冰霜&lt;/battle&gt;"}],"starOverrides":{"1":{"label":"投掷，&lt;battle&gt;对敌方造成 110 点伤害，并施加 4 层冰霜&lt;/battle&gt;","executors":[{"trigger":"onActiveSpellCast","type":"damageHealth","amount":110,"label":"投掷，&lt;battle&gt;对敌方造成 110 点伤害，并施加 4 层冰霜&lt;/battle&gt;"},{"trigger":"onActiveSpellCast","type":"buffGain","buffId":"frost","amount":4,"targetActor":"enemy","label":"投掷，&lt;battle&gt;对敌方造成 110 点伤害，并施加 4 层冰霜&lt;/battle&gt;"}]},"2":{"label":"投掷，&lt;battle&gt;对敌方造成 140 点伤害，并施加 5 层冰霜&lt;/battle&gt;","executors":[{"trigger":"onActiveSpellCast","type":"damageHealth","amount":140,"label":"投掷，&lt;battle&gt;对敌方造成 140 点伤害，并施加 5 层冰霜&lt;/battle&gt;"},{"trigger":"onActiveSpellCast","type":"buffGain","buffId":"frost","amount":5,"targetActor":"enemy","label":"投掷，&lt;battle&gt;对敌方造成 140 点伤害，并施加 5 层冰霜&lt;/battle&gt;"}]},"3":{"label":"投掷，&lt;battle&gt;对敌方造成 170 点伤害，并施加 6 层冰霜&lt;/battle&gt;","executors":[{"trigger":"onActiveSpellCast","type":"damageHealth","amount":170,"label":"投掷，&lt;battle&gt;对敌方造成 170 点伤害，并施加 6 层冰霜&lt;/battle&gt;"},{"trigger":"onActiveSpellCast","type":"buffGain","buffId":"frost","amount":6,"targetActor":"enemy","label":"投掷，&lt;battle&gt;对敌方造成 170 点伤害，并施加 6 层冰霜&lt;/battle&gt;"}]}}}</t>
        </is>
      </c>
    </row>
    <row r="2065" ht="32" customHeight="1">
      <c r="A2065" s="8" t="n">
        <v>916602</v>
      </c>
      <c r="B2065" s="8" t="inlineStr">
        <is>
          <t>俯冲长翎震鸣丸</t>
        </is>
      </c>
      <c r="C2065" s="8" t="inlineStr">
        <is>
          <t>投掷物</t>
        </is>
      </c>
      <c r="D2065" s="8" t="inlineStr">
        <is>
          <t>spirit</t>
        </is>
      </c>
      <c r="E2065" s="8" t="inlineStr">
        <is>
          <t>wind</t>
        </is>
      </c>
      <c r="F2065" s="8" t="n">
        <v>1</v>
      </c>
      <c r="G2065" s="8" t="inlineStr">
        <is>
          <t>基础/顶层</t>
        </is>
      </c>
      <c r="H2065" s="8" t="inlineStr"/>
      <c r="I2065" s="9" t="inlineStr"/>
      <c r="J2065" s="8" t="inlineStr"/>
      <c r="K2065" s="8" t="inlineStr"/>
      <c r="L2065" s="8" t="inlineStr"/>
      <c r="M2065" s="8" t="inlineStr">
        <is>
          <t>说明/执行器</t>
        </is>
      </c>
      <c r="N2065" s="8" t="inlineStr">
        <is>
          <t>effectNote</t>
        </is>
      </c>
      <c r="O2065" s="9" t="inlineStr">
        <is>
          <t>投掷，对敌方造成 90 点伤害，并使敌方随机 2 件道具获得 3 秒减速；投掷，对敌方造成 120 点伤害，并使敌方随机 2 件道具获得 4 秒减速；投掷，对敌方造成 150 点伤害，并使敌方随机 2 件道具获得 5 秒减速；投掷，对敌方造成 180 点伤害，并使敌方随机 2 件道具获得 6 秒减速</t>
        </is>
      </c>
      <c r="P2065" s="9" t="inlineStr">
        <is>
          <t>onActiveSpellCast</t>
        </is>
      </c>
      <c r="Q2065" s="9" t="inlineStr">
        <is>
          <t>damageHealth；itemRuntimeStatus</t>
        </is>
      </c>
      <c r="R2065" s="9" t="inlineStr">
        <is>
          <t>{"kind":"effectNote","label":"投掷，&lt;battle&gt;对敌方造成 90 点伤害，并使敌方随机 2 件道具获得 3 秒减速&lt;/battle&gt;","executors":[{"trigger":"onActiveSpellCast","type":"damageHealth","amount":90,"label":"投掷，&lt;battle&gt;对敌方造成 90 点伤害，并使敌方随机 2 件道具获得 3 秒减速&lt;/battle&gt;"},{"trigger":"onActiveSpellCast","type":"itemRuntimeStatus","itemRuntimeStatus":"slow","durationSec":3,"targetActor":"enemy","targetSelection":"random","amount":2,"label":"投掷，&lt;battle&gt;对敌方造成 90 点伤害，并使敌方随机 2 件道具获得 3 秒减速&lt;/battle&gt;"}],"starOverrides":{"1":{"label":"投掷，&lt;battle&gt;对敌方造成 120 点伤害，并使敌方随机 2 件道具获得 4 秒减速&lt;/battle&gt;","executors":[{"trigger":"onActiveSpellCast","type":"damageHealth","amount":120,"label":"投掷，&lt;battle&gt;对敌方造成 120 点伤害，并使敌方随机 2 件道具获得 4 秒减速&lt;/battle&gt;"},{"trigger":"onActiveSpellCast","type":"itemRuntimeStatus","itemRuntimeStatus":"slow","durationSec":4,"targetActor":"enemy","targetSelection":"random","amount":2,"label":"投掷，&lt;battle&gt;对敌方造成 120 点伤害，并使敌方随机 2 件道具获得 4 秒减速&lt;/battle&gt;"}]},"2":{"label":"投掷，&lt;battle&gt;对敌方造成 150 点伤害，并使敌方随机 2 件道具获得 5 秒减速&lt;/battle&gt;","executors":[{"trigger":"onActiveSpellCast","type":"damageHealth","amount":150,"label":"投掷，&lt;battle&gt;对敌方造成 150 点伤害，并使敌方随机 2 件道具获得 5 秒减速&lt;/battle&gt;"},{"trigger":"onActiveSpellCast","type":"itemRuntimeStatus","itemRuntimeStatus":"slow","durationSec":5,"targetActor":"enemy","targetSelection":"random","amount":2,"label":"投掷，&lt;battle&gt;对敌方造成 150 点伤害，并使敌方随机 2 件道具获得 5 秒减速&lt;/battle&gt;"}]},"3":{"label":"投掷，&lt;battle&gt;对敌方造成 180 点伤害，并使敌方随机 2 件道具获得 6 秒减速&lt;/battle&gt;","executors":[{"trigger":"onActiveSpellCast","type":"damageHealth","amount":180,"label":"投掷，&lt;battle&gt;对敌方造成 180 点伤害，并使敌方随机 2 件道具获得 6 秒减速&lt;/battle&gt;"},{"trigger":"onActiveSpellCast","type":"itemRuntimeStatus","itemRuntimeStatus":"slow","durationSec":6,"targetActor":"enemy","targetSelection":"random","amount":2,"label":"投掷，&lt;battle&gt;对敌方造成 180 点伤害，并使敌方随机 2 件道具获得 6 秒减速&lt;/battle&gt;"}]}}}</t>
        </is>
      </c>
    </row>
  </sheetData>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J35"/>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30" customHeight="1">
      <c r="A1" s="1" t="inlineStr">
        <is>
          <t>统计汇总</t>
        </is>
      </c>
    </row>
    <row r="2" ht="32" customHeight="1">
      <c r="A2" s="2" t="inlineStr">
        <is>
          <t>所有数量由“物品清单”工作表公式计算；一个物品可以同时含多种效果类型。</t>
        </is>
      </c>
    </row>
    <row r="3"/>
    <row r="4">
      <c r="A4" s="10" t="inlineStr">
        <is>
          <t>关键指标</t>
        </is>
      </c>
      <c r="B4" s="11" t="n"/>
    </row>
    <row r="5">
      <c r="A5" s="12" t="inlineStr">
        <is>
          <t>有效物品总数</t>
        </is>
      </c>
      <c r="B5" s="12">
        <f>COUNTA('物品清单'!$B:$B)-1</f>
        <v/>
      </c>
    </row>
    <row r="6">
      <c r="A6" s="12" t="inlineStr">
        <is>
          <t>效果明细行数</t>
        </is>
      </c>
      <c r="B6" s="12" t="n">
        <v>2064</v>
      </c>
    </row>
    <row r="7"/>
    <row r="8">
      <c r="E8" s="13" t="inlineStr">
        <is>
          <t>类别</t>
        </is>
      </c>
      <c r="F8" s="13" t="inlineStr">
        <is>
          <t>代码</t>
        </is>
      </c>
      <c r="G8" s="13" t="inlineStr">
        <is>
          <t>数量</t>
        </is>
      </c>
      <c r="H8" s="13" t="inlineStr">
        <is>
          <t>品阶</t>
        </is>
      </c>
      <c r="I8" s="13" t="inlineStr">
        <is>
          <t>代码</t>
        </is>
      </c>
      <c r="J8" s="13" t="inlineStr">
        <is>
          <t>数量</t>
        </is>
      </c>
    </row>
    <row r="9">
      <c r="E9" s="12" t="inlineStr">
        <is>
          <t>法器</t>
        </is>
      </c>
      <c r="F9" s="12" t="inlineStr">
        <is>
          <t>implement</t>
        </is>
      </c>
      <c r="G9" s="12">
        <f>COUNTIF('物品清单'!$E:$E,"implement")</f>
        <v/>
      </c>
      <c r="H9" s="12" t="inlineStr">
        <is>
          <t>common</t>
        </is>
      </c>
      <c r="I9" s="12" t="inlineStr">
        <is>
          <t>common</t>
        </is>
      </c>
      <c r="J9" s="12">
        <f>COUNTIF('物品清单'!$F:$F,"common")</f>
        <v/>
      </c>
    </row>
    <row r="10">
      <c r="E10" s="12" t="inlineStr">
        <is>
          <t>材料</t>
        </is>
      </c>
      <c r="F10" s="12" t="inlineStr">
        <is>
          <t>material</t>
        </is>
      </c>
      <c r="G10" s="12">
        <f>COUNTIF('物品清单'!$E:$E,"material")</f>
        <v/>
      </c>
      <c r="H10" s="12" t="inlineStr">
        <is>
          <t>spirit</t>
        </is>
      </c>
      <c r="I10" s="12" t="inlineStr">
        <is>
          <t>spirit</t>
        </is>
      </c>
      <c r="J10" s="12">
        <f>COUNTIF('物品清单'!$F:$F,"spirit")</f>
        <v/>
      </c>
    </row>
    <row r="11">
      <c r="E11" s="12" t="inlineStr">
        <is>
          <t>招式</t>
        </is>
      </c>
      <c r="F11" s="12" t="inlineStr">
        <is>
          <t>spell</t>
        </is>
      </c>
      <c r="G11" s="12">
        <f>COUNTIF('物品清单'!$E:$E,"spell")</f>
        <v/>
      </c>
      <c r="H11" s="12" t="inlineStr">
        <is>
          <t>mystic</t>
        </is>
      </c>
      <c r="I11" s="12" t="inlineStr">
        <is>
          <t>mystic</t>
        </is>
      </c>
      <c r="J11" s="12">
        <f>COUNTIF('物品清单'!$F:$F,"mystic")</f>
        <v/>
      </c>
    </row>
    <row r="12">
      <c r="E12" s="12" t="inlineStr">
        <is>
          <t>丹药</t>
        </is>
      </c>
      <c r="F12" s="12" t="inlineStr">
        <is>
          <t>pill</t>
        </is>
      </c>
      <c r="G12" s="12">
        <f>COUNTIF('物品清单'!$E:$E,"pill")</f>
        <v/>
      </c>
      <c r="H12" s="12" t="inlineStr">
        <is>
          <t>earth</t>
        </is>
      </c>
      <c r="I12" s="12" t="inlineStr">
        <is>
          <t>earth</t>
        </is>
      </c>
      <c r="J12" s="12">
        <f>COUNTIF('物品清单'!$F:$F,"earth")</f>
        <v/>
      </c>
    </row>
    <row r="13">
      <c r="E13" s="12" t="inlineStr">
        <is>
          <t>阵法</t>
        </is>
      </c>
      <c r="F13" s="12" t="inlineStr">
        <is>
          <t>formation</t>
        </is>
      </c>
      <c r="G13" s="12">
        <f>COUNTIF('物品清单'!$E:$E,"formation")</f>
        <v/>
      </c>
    </row>
    <row r="14">
      <c r="E14" s="12" t="inlineStr">
        <is>
          <t>符箓</t>
        </is>
      </c>
      <c r="F14" s="12" t="inlineStr">
        <is>
          <t>talisman</t>
        </is>
      </c>
      <c r="G14" s="12">
        <f>COUNTIF('物品清单'!$E:$E,"talisman")</f>
        <v/>
      </c>
    </row>
    <row r="15">
      <c r="E15" s="12" t="inlineStr">
        <is>
          <t>投掷物</t>
        </is>
      </c>
      <c r="F15" s="12" t="inlineStr">
        <is>
          <t>throwable</t>
        </is>
      </c>
      <c r="G15" s="12">
        <f>COUNTIF('物品清单'!$E:$E,"throwable")</f>
        <v/>
      </c>
    </row>
    <row r="16">
      <c r="E16" s="12" t="inlineStr">
        <is>
          <t>功法</t>
        </is>
      </c>
      <c r="F16" s="12" t="inlineStr">
        <is>
          <t>scripture</t>
        </is>
      </c>
      <c r="G16" s="12">
        <f>COUNTIF('物品清单'!$E:$E,"scripture")</f>
        <v/>
      </c>
    </row>
    <row r="17">
      <c r="E17" s="12" t="inlineStr">
        <is>
          <t>占卜</t>
        </is>
      </c>
      <c r="F17" s="12" t="inlineStr">
        <is>
          <t>divination</t>
        </is>
      </c>
      <c r="G17" s="12">
        <f>COUNTIF('物品清单'!$E:$E,"divination")</f>
        <v/>
      </c>
    </row>
    <row r="18">
      <c r="E18" s="12" t="inlineStr">
        <is>
          <t>宝箱</t>
        </is>
      </c>
      <c r="F18" s="12" t="inlineStr">
        <is>
          <t>chest</t>
        </is>
      </c>
      <c r="G18" s="12">
        <f>COUNTIF('物品清单'!$E:$E,"chest")</f>
        <v/>
      </c>
    </row>
    <row r="19"/>
    <row r="20"/>
    <row r="21"/>
    <row r="22"/>
    <row r="23"/>
    <row r="24"/>
    <row r="25">
      <c r="A25" s="13" t="inlineStr">
        <is>
          <t>元素</t>
        </is>
      </c>
      <c r="B25" s="13" t="inlineStr">
        <is>
          <t>代码</t>
        </is>
      </c>
      <c r="C25" s="13" t="inlineStr">
        <is>
          <t>数量</t>
        </is>
      </c>
      <c r="E25" s="13" t="inlineStr">
        <is>
          <t>效果类型（按含该类型的物品数）</t>
        </is>
      </c>
      <c r="F25" s="13" t="inlineStr">
        <is>
          <t>代码</t>
        </is>
      </c>
      <c r="G25" s="13" t="inlineStr">
        <is>
          <t>数量</t>
        </is>
      </c>
    </row>
    <row r="26">
      <c r="A26" s="12" t="inlineStr">
        <is>
          <t>水</t>
        </is>
      </c>
      <c r="B26" s="12" t="inlineStr">
        <is>
          <t>water</t>
        </is>
      </c>
      <c r="C26" s="12">
        <f>COUNTIF('物品清单'!$H:$H,"water")</f>
        <v/>
      </c>
      <c r="E26" s="12" t="inlineStr">
        <is>
          <t>周期触发</t>
        </is>
      </c>
      <c r="F26" s="12" t="inlineStr">
        <is>
          <t>periodicPulse</t>
        </is>
      </c>
      <c r="G26" s="12">
        <f>COUNTIF('物品清单'!$P:$P,"*periodicPulse*")</f>
        <v/>
      </c>
    </row>
    <row r="27">
      <c r="A27" s="12" t="inlineStr">
        <is>
          <t>火</t>
        </is>
      </c>
      <c r="B27" s="12" t="inlineStr">
        <is>
          <t>fire</t>
        </is>
      </c>
      <c r="C27" s="12">
        <f>COUNTIF('物品清单'!$H:$H,"fire")</f>
        <v/>
      </c>
      <c r="E27" s="12" t="inlineStr">
        <is>
          <t>条件触发</t>
        </is>
      </c>
      <c r="F27" s="12" t="inlineStr">
        <is>
          <t>triggered</t>
        </is>
      </c>
      <c r="G27" s="12">
        <f>COUNTIF('物品清单'!$P:$P,"*triggered*")</f>
        <v/>
      </c>
    </row>
    <row r="28">
      <c r="A28" s="12" t="inlineStr">
        <is>
          <t>金</t>
        </is>
      </c>
      <c r="B28" s="12" t="inlineStr">
        <is>
          <t>metal</t>
        </is>
      </c>
      <c r="C28" s="12">
        <f>COUNTIF('物品清单'!$H:$H,"metal")</f>
        <v/>
      </c>
      <c r="E28" s="12" t="inlineStr">
        <is>
          <t>说明/执行器</t>
        </is>
      </c>
      <c r="F28" s="12" t="inlineStr">
        <is>
          <t>effectNote</t>
        </is>
      </c>
      <c r="G28" s="12">
        <f>COUNTIF('物品清单'!$P:$P,"*effectNote*")</f>
        <v/>
      </c>
    </row>
    <row r="29">
      <c r="A29" s="12" t="inlineStr">
        <is>
          <t>土</t>
        </is>
      </c>
      <c r="B29" s="12" t="inlineStr">
        <is>
          <t>earth</t>
        </is>
      </c>
      <c r="C29" s="12">
        <f>COUNTIF('物品清单'!$H:$H,"earth")</f>
        <v/>
      </c>
      <c r="E29" s="12" t="inlineStr">
        <is>
          <t>消耗品效果</t>
        </is>
      </c>
      <c r="F29" s="12" t="inlineStr">
        <is>
          <t>consumable</t>
        </is>
      </c>
      <c r="G29" s="12">
        <f>COUNTIF('物品清单'!$P:$P,"*consumable*")</f>
        <v/>
      </c>
    </row>
    <row r="30">
      <c r="A30" s="12" t="inlineStr">
        <is>
          <t>木</t>
        </is>
      </c>
      <c r="B30" s="12" t="inlineStr">
        <is>
          <t>wood</t>
        </is>
      </c>
      <c r="C30" s="12">
        <f>COUNTIF('物品清单'!$H:$H,"wood")</f>
        <v/>
      </c>
      <c r="E30" s="12" t="inlineStr">
        <is>
          <t>被动效果</t>
        </is>
      </c>
      <c r="F30" s="12" t="inlineStr">
        <is>
          <t>passive</t>
        </is>
      </c>
      <c r="G30" s="12">
        <f>COUNTIF('物品清单'!$P:$P,"*passive*")</f>
        <v/>
      </c>
    </row>
    <row r="31">
      <c r="A31" s="12" t="inlineStr">
        <is>
          <t>无</t>
        </is>
      </c>
      <c r="B31" s="12" t="inlineStr">
        <is>
          <t>none</t>
        </is>
      </c>
      <c r="C31" s="12">
        <f>COUNTIF('物品清单'!$H:$H,"none")</f>
        <v/>
      </c>
      <c r="E31" s="12" t="inlineStr">
        <is>
          <t>功法成长</t>
        </is>
      </c>
      <c r="F31" s="12" t="inlineStr">
        <is>
          <t>scriptureProgression</t>
        </is>
      </c>
      <c r="G31" s="12">
        <f>COUNTIF('物品清单'!$P:$P,"*scriptureProgression*")</f>
        <v/>
      </c>
    </row>
    <row r="32">
      <c r="A32" s="12" t="inlineStr">
        <is>
          <t>风</t>
        </is>
      </c>
      <c r="B32" s="12" t="inlineStr">
        <is>
          <t>wind</t>
        </is>
      </c>
      <c r="C32" s="12">
        <f>COUNTIF('物品清单'!$H:$H,"wind")</f>
        <v/>
      </c>
    </row>
    <row r="33">
      <c r="A33" s="12" t="inlineStr">
        <is>
          <t>雷</t>
        </is>
      </c>
      <c r="B33" s="12" t="inlineStr">
        <is>
          <t>thunder</t>
        </is>
      </c>
      <c r="C33" s="12">
        <f>COUNTIF('物品清单'!$H:$H,"thunder")</f>
        <v/>
      </c>
    </row>
    <row r="34">
      <c r="A34" s="12" t="inlineStr">
        <is>
          <t>冰</t>
        </is>
      </c>
      <c r="B34" s="12" t="inlineStr">
        <is>
          <t>ice</t>
        </is>
      </c>
      <c r="C34" s="12">
        <f>COUNTIF('物品清单'!$H:$H,"ice")</f>
        <v/>
      </c>
    </row>
    <row r="35">
      <c r="A35" s="12" t="inlineStr">
        <is>
          <t>poison</t>
        </is>
      </c>
      <c r="B35" s="12" t="inlineStr">
        <is>
          <t>poison</t>
        </is>
      </c>
      <c r="C35" s="12">
        <f>COUNTIF('物品清单'!$H:$H,"poison")</f>
        <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2026-09-24T14:30:03Z</dcterms:created>
  <dcterms:modified xmlns:dcterms="http://purl.org/dc/terms/" xmlns:xsi="http://www.w3.org/2001/XMLSchema-instance" xsi:type="dcterms:W3CDTF">2026-09-24T14:30:07Z</dcterms:modified>
</cp:coreProperties>
</file>