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1_全部价目" sheetId="2" r:id="rId2"/>
    <sheet name="02_实际效果" sheetId="3" r:id="rId3"/>
    <sheet name="03_收益核对" sheetId="4" r:id="rId4"/>
    <sheet name="04_来源与边界" sheetId="5" r:id="rId5"/>
  </sheets>
  <definedNames>
    <definedName name="_xlnm._FilterDatabase" localSheetId="1" hidden="1">'01_全部价目'!$A$4:$N$146</definedName>
    <definedName name="_xlnm._FilterDatabase" localSheetId="2" hidden="1">'02_实际效果'!$A$4:$K$146</definedName>
    <definedName name="_xlnm._FilterDatabase" localSheetId="4" hidden="1">'04_来源与边界'!$A$4:$D$20</definedName>
    <definedName name="_xlnm.Print_Area" localSheetId="0">'00_说明'!$A$1:$E$29</definedName>
    <definedName name="_xlnm.Print_Area" localSheetId="1">'01_全部价目'!$A$1:$K$146</definedName>
    <definedName name="_xlnm.Print_Area" localSheetId="2">'02_实际效果'!$A$1:$H$146</definedName>
    <definedName name="_xlnm.Print_Area" localSheetId="3">'03_收益核对'!$A$1:$H$38</definedName>
    <definedName name="_xlnm.Print_Area" localSheetId="4">'04_来源与边界'!$A$1:$D$20</definedName>
    <definedName name="_xlnm.Print_Titles" localSheetId="1">'01_全部价目'!$4:$4</definedName>
    <definedName name="_xlnm.Print_Titles" localSheetId="2">'02_实际效果'!$4:$4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5" authorId="0">
      <text>
        <r>
          <rPr>
            <sz val="8"/>
            <color indexed="81"/>
            <rFont val="Tahoma"/>
            <family val="2"/>
          </rPr>
          <t>建议，尚未确认。
下品主武器锚点；11伤／5.5秒、耗体3，适合持续使用。
依据：data/maps/inventory_items.json:3</t>
        </r>
      </text>
    </comment>
    <comment ref="E6" authorId="0">
      <text>
        <r>
          <rPr>
            <sz val="8"/>
            <color indexed="81"/>
            <rFont val="Tahoma"/>
            <family val="2"/>
          </rPr>
          <t>建议，尚未确认。
14穿刺／7秒；两格远程器型，耗体5限制持续输出。
依据：data/maps/inventory_items.json:108</t>
        </r>
      </text>
    </comment>
    <comment ref="E7" authorId="0">
      <text>
        <r>
          <rPr>
            <sz val="8"/>
            <color indexed="81"/>
            <rFont val="Tahoma"/>
            <family val="2"/>
          </rPr>
          <t>建议，尚未确认。
12钝击／6秒、耗体4，和短剑处于同档。
依据：data/maps/inventory_items.json:213</t>
        </r>
      </text>
    </comment>
    <comment ref="E8" authorId="0">
      <text>
        <r>
          <rPr>
            <sz val="8"/>
            <color indexed="81"/>
            <rFont val="Tahoma"/>
            <family val="2"/>
          </rPr>
          <t>建议，尚未确认。
单格入门刀；6伤／4.5秒，低伤低耗体。
依据：data/maps/inventory_items.json:38</t>
        </r>
      </text>
    </comment>
    <comment ref="E9" authorId="0">
      <text>
        <r>
          <rPr>
            <sz val="8"/>
            <color indexed="81"/>
            <rFont val="Tahoma"/>
            <family val="2"/>
          </rPr>
          <t>建议，尚未确认。
20伤爆发较高，但8.5秒轮转且耗体6，略低于通用短剑。
依据：data/maps/inventory_items.json:73</t>
        </r>
      </text>
    </comment>
    <comment ref="E10" authorId="0">
      <text>
        <r>
          <rPr>
            <sz val="8"/>
            <color indexed="81"/>
            <rFont val="Tahoma"/>
            <family val="2"/>
          </rPr>
          <t>建议，尚未确认。
单格、3.5秒快轮转；4点基础伤害，作为便宜起步选择。
依据：data/maps/inventory_items.json:143</t>
        </r>
      </text>
    </comment>
    <comment ref="E11" authorId="0">
      <text>
        <r>
          <rPr>
            <sz val="8"/>
            <color indexed="81"/>
            <rFont val="Tahoma"/>
            <family val="2"/>
          </rPr>
          <t>建议，尚未确认。
24伤单次爆发；三格占用、9秒CD与耗体7限制溢价。
依据：data/maps/inventory_items.json:178</t>
        </r>
      </text>
    </comment>
    <comment ref="E12" authorId="0">
      <text>
        <r>
          <rPr>
            <sz val="8"/>
            <color indexed="81"/>
            <rFont val="Tahoma"/>
            <family val="2"/>
          </rPr>
          <t>建议，尚未确认。
单格基础钝击；8伤／6.5秒，不按大伤武器定价。
依据：data/maps/inventory_items.json:248</t>
        </r>
      </text>
    </comment>
    <comment ref="E13" authorId="0">
      <text>
        <r>
          <rPr>
            <sz val="8"/>
            <color indexed="81"/>
            <rFont val="Tahoma"/>
            <family val="2"/>
          </rPr>
          <t>建议，尚未确认。
10伤／4秒的较快轮转，但占三格，限制加价。
依据：data/maps/inventory_items.json:283</t>
        </r>
      </text>
    </comment>
    <comment ref="E14" authorId="0">
      <text>
        <r>
          <rPr>
            <sz val="8"/>
            <color indexed="81"/>
            <rFont val="Tahoma"/>
            <family val="2"/>
          </rPr>
          <t>建议，尚未确认。
18伤／5.5秒、耗体3；凡品纯伤主武器锚点。
依据：data/maps/inventory_items.json:318</t>
        </r>
      </text>
    </comment>
    <comment ref="E15" authorId="0">
      <text>
        <r>
          <rPr>
            <sz val="8"/>
            <color indexed="81"/>
            <rFont val="Tahoma"/>
            <family val="2"/>
          </rPr>
          <t>建议，尚未确认。
16伤并附1灼烧；伤害与持续状态兼顾。
依据：data/maps/inventory_items.json:353</t>
        </r>
      </text>
    </comment>
    <comment ref="E16" authorId="0">
      <text>
        <r>
          <rPr>
            <sz val="8"/>
            <color indexed="81"/>
            <rFont val="Tahoma"/>
            <family val="2"/>
          </rPr>
          <t>建议，尚未确认。
17伤并附1寒霜；配合主动水攻，控制价值需构筑兑现。
依据：data/maps/inventory_items.json:396</t>
        </r>
      </text>
    </comment>
    <comment ref="E17" authorId="0">
      <text>
        <r>
          <rPr>
            <sz val="8"/>
            <color indexed="81"/>
            <rFont val="Tahoma"/>
            <family val="2"/>
          </rPr>
          <t>建议，尚未确认。
单格10伤并可施加流血；需伤及气血，低耗体有利循环。
依据：data/maps/inventory_items.json:439</t>
        </r>
      </text>
    </comment>
    <comment ref="E18" authorId="0">
      <text>
        <r>
          <rPr>
            <sz val="8"/>
            <color indexed="81"/>
            <rFont val="Tahoma"/>
            <family val="2"/>
          </rPr>
          <t>建议，尚未确认。
单格12伤附锋痕；轮转比钢刀慢，略增协同估值。
依据：data/maps/inventory_items.json:482</t>
        </r>
      </text>
    </comment>
    <comment ref="E19" authorId="0">
      <text>
        <r>
          <rPr>
            <sz val="8"/>
            <color indexed="81"/>
            <rFont val="Tahoma"/>
            <family val="2"/>
          </rPr>
          <t>建议，尚未确认。
单格11伤附破甲；依赖后续主动火伤，不无限抬高功能价。
依据：data/maps/inventory_items.json:525</t>
        </r>
      </text>
    </comment>
    <comment ref="E20" authorId="0">
      <text>
        <r>
          <rPr>
            <sz val="8"/>
            <color indexed="81"/>
            <rFont val="Tahoma"/>
            <family val="2"/>
          </rPr>
          <t>建议，尚未确认。
30伤附2疲惫；爆发高，8.5秒与耗体6约束持续性。
依据：data/maps/inventory_items.json:568</t>
        </r>
      </text>
    </comment>
    <comment ref="E21" authorId="0">
      <text>
        <r>
          <rPr>
            <sz val="8"/>
            <color indexed="81"/>
            <rFont val="Tahoma"/>
            <family val="2"/>
          </rPr>
          <t>建议，尚未确认。
28伤附2锋痕；作为大伤与金系协同件。
依据：data/maps/inventory_items.json:611</t>
        </r>
      </text>
    </comment>
    <comment ref="E22" authorId="0">
      <text>
        <r>
          <rPr>
            <sz val="8"/>
            <color indexed="81"/>
            <rFont val="Tahoma"/>
            <family val="2"/>
          </rPr>
          <t>建议，尚未确认。
28伤附2重伤；压制回复与资源，价格接近同型斧。
依据：data/maps/inventory_items.json:654</t>
        </r>
      </text>
    </comment>
    <comment ref="E23" authorId="0">
      <text>
        <r>
          <rPr>
            <sz val="8"/>
            <color indexed="81"/>
            <rFont val="Tahoma"/>
            <family val="2"/>
          </rPr>
          <t>建议，尚未确认。
24穿刺／7秒；凡品纯伤弓，未额外施加状态。
依据：data/maps/inventory_items.json:697</t>
        </r>
      </text>
    </comment>
    <comment ref="E24" authorId="0">
      <text>
        <r>
          <rPr>
            <sz val="8"/>
            <color indexed="81"/>
            <rFont val="Tahoma"/>
            <family val="2"/>
          </rPr>
          <t>建议，尚未确认。
20伤附1枯脉；以功能补偿部分直伤。
依据：data/maps/inventory_items.json:732</t>
        </r>
      </text>
    </comment>
    <comment ref="E25" authorId="0">
      <text>
        <r>
          <rPr>
            <sz val="8"/>
            <color indexed="81"/>
            <rFont val="Tahoma"/>
            <family val="2"/>
          </rPr>
          <t>建议，尚未确认。
22伤附1连环；雷攻配合价值，耗体6略高。
依据：data/maps/inventory_items.json:775</t>
        </r>
      </text>
    </comment>
    <comment ref="E26" authorId="0">
      <text>
        <r>
          <rPr>
            <sz val="8"/>
            <color indexed="81"/>
            <rFont val="Tahoma"/>
            <family val="2"/>
          </rPr>
          <t>建议，尚未确认。
单格8伤／3.5秒，伤及气血才施加流血；低门槛快攻。
依据：data/maps/inventory_items.json:818</t>
        </r>
      </text>
    </comment>
    <comment ref="E27" authorId="0">
      <text>
        <r>
          <rPr>
            <sz val="8"/>
            <color indexed="81"/>
            <rFont val="Tahoma"/>
            <family val="2"/>
          </rPr>
          <t>建议，尚未确认。
单格3秒快攻并附失衡；轮转与控制带来溢价。
依据：data/maps/inventory_items.json:861</t>
        </r>
      </text>
    </comment>
    <comment ref="E28" authorId="0">
      <text>
        <r>
          <rPr>
            <sz val="8"/>
            <color indexed="81"/>
            <rFont val="Tahoma"/>
            <family val="2"/>
          </rPr>
          <t>建议，尚未确认。
34伤附2缠绕；三格与耗体7限制价格上浮。
依据：data/maps/inventory_items.json:904</t>
        </r>
      </text>
    </comment>
    <comment ref="E29" authorId="0">
      <text>
        <r>
          <rPr>
            <sz val="8"/>
            <color indexed="81"/>
            <rFont val="Tahoma"/>
            <family val="2"/>
          </rPr>
          <t>建议，尚未确认。
38伤附2雷印；凡品长枪高端，9.5秒和耗体8为代价。
依据：data/maps/inventory_items.json:947</t>
        </r>
      </text>
    </comment>
    <comment ref="E30" authorId="0">
      <text>
        <r>
          <rPr>
            <sz val="8"/>
            <color indexed="81"/>
            <rFont val="Tahoma"/>
            <family val="2"/>
          </rPr>
          <t>建议，尚未确认。
20钝击附1破甲；中速主武器与火系协同。
依据：data/maps/inventory_items.json:990</t>
        </r>
      </text>
    </comment>
    <comment ref="E31" authorId="0">
      <text>
        <r>
          <rPr>
            <sz val="8"/>
            <color indexed="81"/>
            <rFont val="Tahoma"/>
            <family val="2"/>
          </rPr>
          <t>建议，尚未确认。
26钝击／7秒的纯伤器具；不额外计算未有的控制。
依据：data/maps/inventory_items.json:1033</t>
        </r>
      </text>
    </comment>
    <comment ref="E32" authorId="0">
      <text>
        <r>
          <rPr>
            <sz val="8"/>
            <color indexed="81"/>
            <rFont val="Tahoma"/>
            <family val="2"/>
          </rPr>
          <t>建议，尚未确认。
单格16钝击附疲惫；7秒慢轮转抑制溢价。
依据：data/maps/inventory_items.json:1068</t>
        </r>
      </text>
    </comment>
    <comment ref="E33" authorId="0">
      <text>
        <r>
          <rPr>
            <sz val="8"/>
            <color indexed="81"/>
            <rFont val="Tahoma"/>
            <family val="2"/>
          </rPr>
          <t>建议，尚未确认。
单格14伤，命中自身加雷蕴；兼作雷系积累件。
依据：data/maps/inventory_items.json:1111</t>
        </r>
      </text>
    </comment>
    <comment ref="E34" authorId="0">
      <text>
        <r>
          <rPr>
            <sz val="8"/>
            <color indexed="81"/>
            <rFont val="Tahoma"/>
            <family val="2"/>
          </rPr>
          <t>建议，尚未确认。
14伤／4秒附毒蚀；持续施毒有价值，三格占用。
依据：data/maps/inventory_items.json:1154</t>
        </r>
      </text>
    </comment>
    <comment ref="E35" authorId="0">
      <text>
        <r>
          <rPr>
            <sz val="8"/>
            <color indexed="81"/>
            <rFont val="Tahoma"/>
            <family val="2"/>
          </rPr>
          <t>建议，尚未确认。
15伤／4.5秒附雷印；频率较高，但占三格。
依据：data/maps/inventory_items.json:1197</t>
        </r>
      </text>
    </comment>
    <comment ref="E36" authorId="0">
      <text>
        <r>
          <rPr>
            <sz val="8"/>
            <color indexed="81"/>
            <rFont val="Tahoma"/>
            <family val="2"/>
          </rPr>
          <t>建议，尚未确认。
单格可施2流血；需伤及气血，按条件效果计价。
依据：data/maps/inventory_items.json:1240</t>
        </r>
      </text>
    </comment>
    <comment ref="E37" authorId="0">
      <text>
        <r>
          <rPr>
            <sz val="8"/>
            <color indexed="81"/>
            <rFont val="Tahoma"/>
            <family val="2"/>
          </rPr>
          <t>建议，尚未确认。
32钝击附2重伤；高爆发但9秒和耗体7限制循环。
依据：data/maps/inventory_items.json:1283</t>
        </r>
      </text>
    </comment>
    <comment ref="E38" authorId="0">
      <text>
        <r>
          <rPr>
            <sz val="8"/>
            <color indexed="81"/>
            <rFont val="Tahoma"/>
            <family val="2"/>
          </rPr>
          <t>建议，尚未确认。
单格驱散载体兼13伤；功能溢价仍受7秒CD约束。
依据：data/maps/inventory_items.json:1326</t>
        </r>
      </text>
    </comment>
    <comment ref="E39" authorId="0">
      <text>
        <r>
          <rPr>
            <sz val="8"/>
            <color indexed="81"/>
            <rFont val="Tahoma"/>
            <family val="2"/>
          </rPr>
          <t>建议，尚未确认。
16伤附缠绕；三格木系铺垫件，与藤鞭同档。
依据：data/maps/inventory_items.json:1369</t>
        </r>
      </text>
    </comment>
    <comment ref="E40" authorId="0">
      <text>
        <r>
          <rPr>
            <sz val="8"/>
            <color indexed="81"/>
            <rFont val="Tahoma"/>
            <family val="2"/>
          </rPr>
          <t>建议，尚未确认。
36伤附2灼烧；高伤火枪，耗体8、三格占用。
依据：data/maps/inventory_items.json:1412</t>
        </r>
      </text>
    </comment>
    <comment ref="E41" authorId="0">
      <text>
        <r>
          <rPr>
            <sz val="8"/>
            <color indexed="81"/>
            <rFont val="Tahoma"/>
            <family val="2"/>
          </rPr>
          <t>建议，尚未确认。
轻甲上限7、每6秒回4；布装联动有价值，仍保持入门价。
依据：data/maps/inventory_items.json:1455</t>
        </r>
      </text>
    </comment>
    <comment ref="E42" authorId="0">
      <text>
        <r>
          <rPr>
            <sz val="8"/>
            <color indexed="81"/>
            <rFont val="Tahoma"/>
            <family val="2"/>
          </rPr>
          <t>建议，尚未确认。
只提供2上限、每7.5秒回1，低价补位件。
依据：data/maps/inventory_items.json:1532</t>
        </r>
      </text>
    </comment>
    <comment ref="E43" authorId="0">
      <text>
        <r>
          <rPr>
            <sz val="8"/>
            <color indexed="81"/>
            <rFont val="Tahoma"/>
            <family val="2"/>
          </rPr>
          <t>建议，尚未确认。
单格回甲4／7.5秒较实用，但自身上限仅2。
依据：data/maps/inventory_items.json:1566</t>
        </r>
      </text>
    </comment>
    <comment ref="E44" authorId="0">
      <text>
        <r>
          <rPr>
            <sz val="8"/>
            <color indexed="81"/>
            <rFont val="Tahoma"/>
            <family val="2"/>
          </rPr>
          <t>建议，尚未确认。
重甲上限10、每9秒回5；容量和铁装联动高于布甲。
依据：data/maps/inventory_items.json:1496</t>
        </r>
      </text>
    </comment>
    <comment ref="E45" authorId="0">
      <text>
        <r>
          <rPr>
            <sz val="8"/>
            <color indexed="81"/>
            <rFont val="Tahoma"/>
            <family val="2"/>
          </rPr>
          <t>建议，尚未确认。
1上限、回甲1；便宜布装联动配件。
依据：data/maps/inventory_items.json:1604</t>
        </r>
      </text>
    </comment>
    <comment ref="E46" authorId="0">
      <text>
        <r>
          <rPr>
            <sz val="8"/>
            <color indexed="81"/>
            <rFont val="Tahoma"/>
            <family val="2"/>
          </rPr>
          <t>建议，尚未确认。
2上限、回甲1；高于护臂但9秒轮转较慢。
依据：data/maps/inventory_items.json:1639</t>
        </r>
      </text>
    </comment>
    <comment ref="E47" authorId="0">
      <text>
        <r>
          <rPr>
            <sz val="8"/>
            <color indexed="81"/>
            <rFont val="Tahoma"/>
            <family val="2"/>
          </rPr>
          <t>建议，尚未确认。
2上限、回甲2；铁装联动配件。
依据：data/maps/inventory_items.json:1674</t>
        </r>
      </text>
    </comment>
    <comment ref="E48" authorId="0">
      <text>
        <r>
          <rPr>
            <sz val="8"/>
            <color indexed="81"/>
            <rFont val="Tahoma"/>
            <family val="2"/>
          </rPr>
          <t>建议，尚未确认。
3上限、回甲3；比铁护臂略高。
依据：data/maps/inventory_items.json:1709</t>
        </r>
      </text>
    </comment>
    <comment ref="E49" authorId="0">
      <text>
        <r>
          <rPr>
            <sz val="8"/>
            <color indexed="81"/>
            <rFont val="Tahoma"/>
            <family val="2"/>
          </rPr>
          <t>建议，尚未确认。
13上限、回甲7／6秒；凡品纯防御基准。
依据：data/maps/inventory_items.json:1744</t>
        </r>
      </text>
    </comment>
    <comment ref="E50" authorId="0">
      <text>
        <r>
          <rPr>
            <sz val="8"/>
            <color indexed="81"/>
            <rFont val="Tahoma"/>
            <family val="2"/>
          </rPr>
          <t>建议，尚未确认。
12上限、回甲6并加润脉；加入水系协同价值。
依据：data/maps/inventory_items.json:1778</t>
        </r>
      </text>
    </comment>
    <comment ref="E51" authorId="0">
      <text>
        <r>
          <rPr>
            <sz val="8"/>
            <color indexed="81"/>
            <rFont val="Tahoma"/>
            <family val="2"/>
          </rPr>
          <t>建议，尚未确认。
18上限、回甲8；重甲容量较高，轮转慢于布衣。
依据：data/maps/inventory_items.json:1821</t>
        </r>
      </text>
    </comment>
    <comment ref="E52" authorId="0">
      <text>
        <r>
          <rPr>
            <sz val="8"/>
            <color indexed="81"/>
            <rFont val="Tahoma"/>
            <family val="2"/>
          </rPr>
          <t>建议，尚未确认。
16上限、回甲6；受击准备可加附炎，不能当每次受击都触发。
依据：data/maps/inventory_items.json:1856</t>
        </r>
      </text>
    </comment>
    <comment ref="E53" authorId="0">
      <text>
        <r>
          <rPr>
            <sz val="8"/>
            <color indexed="81"/>
            <rFont val="Tahoma"/>
            <family val="2"/>
          </rPr>
          <t>建议，尚未确认。
14上限、回甲6并加2雷蕴；攻防协同套装主件。
依据：data/maps/inventory_items.json:1899</t>
        </r>
      </text>
    </comment>
    <comment ref="E54" authorId="0">
      <text>
        <r>
          <rPr>
            <sz val="8"/>
            <color indexed="81"/>
            <rFont val="Tahoma"/>
            <family val="2"/>
          </rPr>
          <t>建议，尚未确认。
单格4上限、回甲2，受击后按独立准备获得轻灵。
依据：data/maps/inventory_items.json:1942</t>
        </r>
      </text>
    </comment>
    <comment ref="E55" authorId="0">
      <text>
        <r>
          <rPr>
            <sz val="8"/>
            <color indexed="81"/>
            <rFont val="Tahoma"/>
            <family val="2"/>
          </rPr>
          <t>建议，尚未确认。
单格4上限、回甲3，受击准备获得坚韧。
依据：data/maps/inventory_items.json:1985</t>
        </r>
      </text>
    </comment>
    <comment ref="E56" authorId="0">
      <text>
        <r>
          <rPr>
            <sz val="8"/>
            <color indexed="81"/>
            <rFont val="Tahoma"/>
            <family val="2"/>
          </rPr>
          <t>建议，尚未确认。
单格4上限、回甲2并循环生机；价格含回复协同。
依据：data/maps/inventory_items.json:2028</t>
        </r>
      </text>
    </comment>
    <comment ref="E57" authorId="0">
      <text>
        <r>
          <rPr>
            <sz val="8"/>
            <color indexed="81"/>
            <rFont val="Tahoma"/>
            <family val="2"/>
          </rPr>
          <t>建议，尚未确认。
单格3上限、回甲2并循环轻灵；主动产状态。
依据：data/maps/inventory_items.json:2070</t>
        </r>
      </text>
    </comment>
    <comment ref="E58" authorId="0">
      <text>
        <r>
          <rPr>
            <sz val="8"/>
            <color indexed="81"/>
            <rFont val="Tahoma"/>
            <family val="2"/>
          </rPr>
          <t>建议，尚未确认。
单格3上限、回甲2；受击准备获得反锋。
依据：data/maps/inventory_items.json:2112</t>
        </r>
      </text>
    </comment>
    <comment ref="E59" authorId="0">
      <text>
        <r>
          <rPr>
            <sz val="8"/>
            <color indexed="81"/>
            <rFont val="Tahoma"/>
            <family val="2"/>
          </rPr>
          <t>建议，尚未确认。
凡品铁护臂：回甲4并加反锋，显著强于同名下品。
依据：data/maps/inventory_items.json:2155</t>
        </r>
      </text>
    </comment>
    <comment ref="E60" authorId="0">
      <text>
        <r>
          <rPr>
            <sz val="8"/>
            <color indexed="81"/>
            <rFont val="Tahoma"/>
            <family val="2"/>
          </rPr>
          <t>建议，尚未确认。
3上限、回甲2；受击准备获得润脉并有水装谱系。
依据：data/maps/inventory_items.json:2199</t>
        </r>
      </text>
    </comment>
    <comment ref="E61" authorId="0">
      <text>
        <r>
          <rPr>
            <sz val="8"/>
            <color indexed="81"/>
            <rFont val="Tahoma"/>
            <family val="2"/>
          </rPr>
          <t>建议，尚未确认。
4上限、回甲3；受击准备获得2雷蕴。
依据：data/maps/inventory_items.json:2243</t>
        </r>
      </text>
    </comment>
    <comment ref="E62" authorId="0">
      <text>
        <r>
          <rPr>
            <sz val="8"/>
            <color indexed="81"/>
            <rFont val="Tahoma"/>
            <family val="2"/>
          </rPr>
          <t>建议，尚未确认。
4上限、回甲2并产轻灵；单格补位件。
依据：data/maps/inventory_items.json:2288</t>
        </r>
      </text>
    </comment>
    <comment ref="E63" authorId="0">
      <text>
        <r>
          <rPr>
            <sz val="8"/>
            <color indexed="81"/>
            <rFont val="Tahoma"/>
            <family val="2"/>
          </rPr>
          <t>建议，尚未确认。
4上限、回甲5；受击准备获得2坚韧。
依据：data/maps/inventory_items.json:2330</t>
        </r>
      </text>
    </comment>
    <comment ref="E64" authorId="0">
      <text>
        <r>
          <rPr>
            <sz val="8"/>
            <color indexed="81"/>
            <rFont val="Tahoma"/>
            <family val="2"/>
          </rPr>
          <t>建议，尚未确认。
4上限、回甲3并产润脉；主动效果稳定。
依据：data/maps/inventory_items.json:2374</t>
        </r>
      </text>
    </comment>
    <comment ref="E65" authorId="0">
      <text>
        <r>
          <rPr>
            <sz val="8"/>
            <color indexed="81"/>
            <rFont val="Tahoma"/>
            <family val="2"/>
          </rPr>
          <t>建议，尚未确认。
5上限、回甲4并产2生机；10.5秒慢轮转限制加价。
依据：data/maps/inventory_items.json:2417</t>
        </r>
      </text>
    </comment>
    <comment ref="E66" authorId="0">
      <text>
        <r>
          <rPr>
            <sz val="8"/>
            <color indexed="81"/>
            <rFont val="Tahoma"/>
            <family val="2"/>
          </rPr>
          <t>建议，尚未确认。
8上限且受击准备产坚韧；没有主动回甲，不按完整产甲件估价。
依据：data/maps/inventory_items.json:2459</t>
        </r>
      </text>
    </comment>
    <comment ref="E67" authorId="0">
      <text>
        <r>
          <rPr>
            <sz val="8"/>
            <color indexed="81"/>
            <rFont val="Tahoma"/>
            <family val="2"/>
          </rPr>
          <t>建议，尚未确认。
6上限、回甲3；受击准备获得2反锋。
依据：data/maps/inventory_items.json:2497</t>
        </r>
      </text>
    </comment>
    <comment ref="E68" authorId="0">
      <text>
        <r>
          <rPr>
            <sz val="8"/>
            <color indexed="81"/>
            <rFont val="Tahoma"/>
            <family val="2"/>
          </rPr>
          <t>建议，尚未确认。
3上限并每9秒产2轻灵；无回甲，主要价值在状态构筑。
依据：data/maps/inventory_items.json:2540</t>
        </r>
      </text>
    </comment>
    <comment ref="E69" authorId="0">
      <text>
        <r>
          <rPr>
            <sz val="8"/>
            <color indexed="81"/>
            <rFont val="Tahoma"/>
            <family val="2"/>
          </rPr>
          <t>建议，尚未确认。
两格5上限、回甲6并加生机；持续防御组件。
依据：data/maps/inventory_items.json:2577</t>
        </r>
      </text>
    </comment>
    <comment ref="E70" authorId="0">
      <text>
        <r>
          <rPr>
            <sz val="8"/>
            <color indexed="81"/>
            <rFont val="Tahoma"/>
            <family val="2"/>
          </rPr>
          <t>建议，尚未确认。
两格8上限、回甲5；受击准备获得2反锋。
依据：data/maps/inventory_items.json:2619</t>
        </r>
      </text>
    </comment>
    <comment ref="E71" authorId="0">
      <text>
        <r>
          <rPr>
            <sz val="8"/>
            <color indexed="81"/>
            <rFont val="Tahoma"/>
            <family val="2"/>
          </rPr>
          <t>建议，尚未确认。
两格6上限、回甲5并产润脉；与同型盾接近。
依据：data/maps/inventory_items.json:2662</t>
        </r>
      </text>
    </comment>
    <comment ref="E72" authorId="0">
      <text>
        <r>
          <rPr>
            <sz val="8"/>
            <color indexed="81"/>
            <rFont val="Tahoma"/>
            <family val="2"/>
          </rPr>
          <t>建议，尚未确认。
仅提供12护甲上限，没有回甲；依赖其他组件填充。
依据：data/maps/inventory_items.json:2704</t>
        </r>
      </text>
    </comment>
    <comment ref="E73" authorId="0">
      <text>
        <r>
          <rPr>
            <sz val="8"/>
            <color indexed="81"/>
            <rFont val="Tahoma"/>
            <family val="2"/>
          </rPr>
          <t>建议，尚未确认。
4上限、回甲2并产附炎；火系单格配件。
依据：data/maps/inventory_items.json:2732</t>
        </r>
      </text>
    </comment>
    <comment ref="E74" authorId="0">
      <text>
        <r>
          <rPr>
            <sz val="8"/>
            <color indexed="81"/>
            <rFont val="Tahoma"/>
            <family val="2"/>
          </rPr>
          <t>建议，尚未确认。
4上限、回甲2并产雷蕴；雷系单格配件。
依据：data/maps/inventory_items.json:2774</t>
        </r>
      </text>
    </comment>
    <comment ref="E75" authorId="0">
      <text>
        <r>
          <rPr>
            <sz val="8"/>
            <color indexed="81"/>
            <rFont val="Tahoma"/>
            <family val="2"/>
          </rPr>
          <t>建议，尚未确认。
6上限、回甲2并产2附炎；10秒轮转较慢。
依据：data/maps/inventory_items.json:2817</t>
        </r>
      </text>
    </comment>
    <comment ref="E76" authorId="0">
      <text>
        <r>
          <rPr>
            <sz val="8"/>
            <color indexed="81"/>
            <rFont val="Tahoma"/>
            <family val="2"/>
          </rPr>
          <t>建议，尚未确认。
4上限并每9秒产2润脉；没有回甲，以状态价值定价。
依据：data/maps/inventory_items.json:2859</t>
        </r>
      </text>
    </comment>
    <comment ref="E77" authorId="0">
      <text>
        <r>
          <rPr>
            <sz val="8"/>
            <color indexed="81"/>
            <rFont val="Tahoma"/>
            <family val="2"/>
          </rPr>
          <t>建议，尚未确认。
单格双资源循环回复，6秒恢复5气血及7体力；受2/3上限限制。
依据：data/maps/inventory_items.json:2896</t>
        </r>
      </text>
    </comment>
    <comment ref="E78" authorId="0">
      <text>
        <r>
          <rPr>
            <sz val="8"/>
            <color indexed="81"/>
            <rFont val="Tahoma"/>
            <family val="2"/>
          </rPr>
          <t>建议，尚未确认。
单资源循环回血8／7.5秒；受2/3上限限制。
依据：data/maps/inventory_items.json:2939</t>
        </r>
      </text>
    </comment>
    <comment ref="E79" authorId="0">
      <text>
        <r>
          <rPr>
            <sz val="8"/>
            <color indexed="81"/>
            <rFont val="Tahoma"/>
            <family val="2"/>
          </rPr>
          <t>建议，尚未确认。
循环回体12／7.5秒，支持持续攻击；受2/3上限限制。
依据：data/maps/inventory_items.json:2974</t>
        </r>
      </text>
    </comment>
    <comment ref="E80" authorId="0">
      <text>
        <r>
          <rPr>
            <sz val="8"/>
            <color indexed="81"/>
            <rFont val="Tahoma"/>
            <family val="2"/>
          </rPr>
          <t>建议，尚未确认。
循环回灵8／7.5秒，支持法器构筑；受2/3上限限制。
依据：data/maps/inventory_items.json:3009</t>
        </r>
      </text>
    </comment>
    <comment ref="E81" authorId="0">
      <text>
        <r>
          <rPr>
            <sz val="8"/>
            <color indexed="81"/>
            <rFont val="Tahoma"/>
            <family val="2"/>
          </rPr>
          <t>建议，尚未确认。
每7.5秒回13气血，可回至满值但耗灵2。
依据：data/maps/inventory_items.json:3044</t>
        </r>
      </text>
    </comment>
    <comment ref="E82" authorId="0">
      <text>
        <r>
          <rPr>
            <sz val="8"/>
            <color indexed="81"/>
            <rFont val="Tahoma"/>
            <family val="2"/>
          </rPr>
          <t>建议，尚未确认。
每7.5秒回18体力且不耗灵；2/3上限约束。
依据：data/maps/inventory_items.json:3079</t>
        </r>
      </text>
    </comment>
    <comment ref="E83" authorId="0">
      <text>
        <r>
          <rPr>
            <sz val="8"/>
            <color indexed="81"/>
            <rFont val="Tahoma"/>
            <family val="2"/>
          </rPr>
          <t>建议，尚未确认。
每7.5秒回13灵力；循环法器供能，2/3上限约束。
依据：data/maps/inventory_items.json:3114</t>
        </r>
      </text>
    </comment>
    <comment ref="E84" authorId="0">
      <text>
        <r>
          <rPr>
            <sz val="8"/>
            <color indexed="81"/>
            <rFont val="Tahoma"/>
            <family val="2"/>
          </rPr>
          <t>建议，尚未确认。
每8.5秒回7气血及10灵力；双资源但2/3封顶。
依据：data/maps/inventory_items.json:3149</t>
        </r>
      </text>
    </comment>
    <comment ref="E85" authorId="0">
      <text>
        <r>
          <rPr>
            <sz val="8"/>
            <color indexed="81"/>
            <rFont val="Tahoma"/>
            <family val="2"/>
          </rPr>
          <t>建议，尚未确认。
单格22法术伤并附锋痕；每次耗灵6。
依据：data/maps/inventory_items.json:3192</t>
        </r>
      </text>
    </comment>
    <comment ref="E86" authorId="0">
      <text>
        <r>
          <rPr>
            <sz val="8"/>
            <color indexed="81"/>
            <rFont val="Tahoma"/>
            <family val="2"/>
          </rPr>
          <t>建议，尚未确认。
单格产3生机；耗灵4，需战斗时间兑现。
依据：data/maps/inventory_items.json:3236</t>
        </r>
      </text>
    </comment>
    <comment ref="E87" authorId="0">
      <text>
        <r>
          <rPr>
            <sz val="8"/>
            <color indexed="81"/>
            <rFont val="Tahoma"/>
            <family val="2"/>
          </rPr>
          <t>建议，尚未确认。
单格23法术伤并附寒霜；控制协同但耗灵6。
依据：data/maps/inventory_items.json:3271</t>
        </r>
      </text>
    </comment>
    <comment ref="E88" authorId="0">
      <text>
        <r>
          <rPr>
            <sz val="8"/>
            <color indexed="81"/>
            <rFont val="Tahoma"/>
            <family val="2"/>
          </rPr>
          <t>建议，尚未确认。
单格产3附炎；依赖主动攻击构筑兑现。
依据：data/maps/inventory_items.json:3315</t>
        </r>
      </text>
    </comment>
    <comment ref="E89" authorId="0">
      <text>
        <r>
          <rPr>
            <sz val="8"/>
            <color indexed="81"/>
            <rFont val="Tahoma"/>
            <family val="2"/>
          </rPr>
          <t>建议，尚未确认。
单格产3坚韧；耗灵4的防御型支持。
依据：data/maps/inventory_items.json:3350</t>
        </r>
      </text>
    </comment>
    <comment ref="E90" authorId="0">
      <text>
        <r>
          <rPr>
            <sz val="8"/>
            <color indexed="81"/>
            <rFont val="Tahoma"/>
            <family val="2"/>
          </rPr>
          <t>建议，尚未确认。
每7.5秒施4失衡；两格、耗灵4约束功能溢价。
依据：data/maps/inventory_items.json:3385</t>
        </r>
      </text>
    </comment>
    <comment ref="E91" authorId="0">
      <text>
        <r>
          <rPr>
            <sz val="8"/>
            <color indexed="81"/>
            <rFont val="Tahoma"/>
            <family val="2"/>
          </rPr>
          <t>建议，尚未确认。
单格每9秒施4雷印；雷系构筑专用价值。
依据：data/maps/inventory_items.json:3420</t>
        </r>
      </text>
    </comment>
    <comment ref="E92" authorId="0">
      <text>
        <r>
          <rPr>
            <sz val="8"/>
            <color indexed="81"/>
            <rFont val="Tahoma"/>
            <family val="2"/>
          </rPr>
          <t>建议，尚未确认。
仅加10护甲上限，没有回甲；不能按成品护盾定价。
依据：data/maps/inventory_items.json:3455</t>
        </r>
      </text>
    </comment>
    <comment ref="E93" authorId="0">
      <text>
        <r>
          <rPr>
            <sz val="8"/>
            <color indexed="81"/>
            <rFont val="Tahoma"/>
            <family val="2"/>
          </rPr>
          <t>建议，尚未确认。
每6秒回7护甲，耗灵3；需已有上限配合。
依据：data/maps/inventory_items.json:3481</t>
        </r>
      </text>
    </comment>
    <comment ref="E94" authorId="0">
      <text>
        <r>
          <rPr>
            <sz val="8"/>
            <color indexed="81"/>
            <rFont val="Tahoma"/>
            <family val="2"/>
          </rPr>
          <t>建议，尚未确认。
每10.5秒加15灵盾，耗灵6且受盾上限限制。
依据：data/maps/inventory_items.json:3513</t>
        </r>
      </text>
    </comment>
    <comment ref="E95" authorId="0">
      <text>
        <r>
          <rPr>
            <sz val="8"/>
            <color indexed="81"/>
            <rFont val="Tahoma"/>
            <family val="2"/>
          </rPr>
          <t>建议，尚未确认。
单格每9秒施3枯脉；依赖目标与水系配合。
依据：data/maps/inventory_items.json:3546</t>
        </r>
      </text>
    </comment>
    <comment ref="E96" authorId="0">
      <text>
        <r>
          <rPr>
            <sz val="8"/>
            <color indexed="81"/>
            <rFont val="Tahoma"/>
            <family val="2"/>
          </rPr>
          <t>建议，尚未确认。
两格施2驱散；功能稀缺，10.5秒和耗灵4抑制溢价。
依据：data/maps/inventory_items.json:3581</t>
        </r>
      </text>
    </comment>
    <comment ref="E97" authorId="0">
      <text>
        <r>
          <rPr>
            <sz val="8"/>
            <color indexed="81"/>
            <rFont val="Tahoma"/>
            <family val="2"/>
          </rPr>
          <t>建议，尚未确认。
单格施2连环；需主动雷攻配合。
依据：data/maps/inventory_items.json:3616</t>
        </r>
      </text>
    </comment>
    <comment ref="E98" authorId="0">
      <text>
        <r>
          <rPr>
            <sz val="8"/>
            <color indexed="81"/>
            <rFont val="Tahoma"/>
            <family val="2"/>
          </rPr>
          <t>建议，尚未确认。
单格产3雷蕴；累积雷盾的循环支持件。
依据：data/maps/inventory_items.json:3651</t>
        </r>
      </text>
    </comment>
    <comment ref="E99" authorId="0">
      <text>
        <r>
          <rPr>
            <sz val="8"/>
            <color indexed="81"/>
            <rFont val="Tahoma"/>
            <family val="2"/>
          </rPr>
          <t>建议，尚未确认。
一份共回9气血；分三跳，作为基础补给锚点。
依据：data/maps/inventory_items.json:3686</t>
        </r>
      </text>
    </comment>
    <comment ref="E100" authorId="0">
      <text>
        <r>
          <rPr>
            <sz val="8"/>
            <color indexed="81"/>
            <rFont val="Tahoma"/>
            <family val="2"/>
          </rPr>
          <t>建议，尚未确认。
一份共回18体力；按体力资源价值计，不与气血按点等价。
依据：data/maps/inventory_items.json:3721</t>
        </r>
      </text>
    </comment>
    <comment ref="E101" authorId="0">
      <text>
        <r>
          <rPr>
            <sz val="8"/>
            <color indexed="81"/>
            <rFont val="Tahoma"/>
            <family val="2"/>
          </rPr>
          <t>建议，尚未确认。
一份清毒并免毒15秒；针对性强，不按常驻免疫估值。
依据：data/maps/inventory_items.json:3756</t>
        </r>
      </text>
    </comment>
    <comment ref="E102" authorId="0">
      <text>
        <r>
          <rPr>
            <sz val="8"/>
            <color indexed="81"/>
            <rFont val="Tahoma"/>
            <family val="2"/>
          </rPr>
          <t>建议，尚未确认。
一份共回12灵力；法器构筑补给略高于回体。
依据：data/maps/inventory_items.json:3788</t>
        </r>
      </text>
    </comment>
    <comment ref="E103" authorId="0">
      <text>
        <r>
          <rPr>
            <sz val="8"/>
            <color indexed="81"/>
            <rFont val="Tahoma"/>
            <family val="2"/>
          </rPr>
          <t>建议，尚未确认。
即时回6气血；总量低于止血丹，以即时性补偿。
依据：data/maps/inventory_items.json:3823</t>
        </r>
      </text>
    </comment>
    <comment ref="E104" authorId="0">
      <text>
        <r>
          <rPr>
            <sz val="8"/>
            <color indexed="81"/>
            <rFont val="Tahoma"/>
            <family val="2"/>
          </rPr>
          <t>建议，尚未确认。
即时回5气血及9体力；双资源补给。
依据：data/maps/inventory_items.json:3856</t>
        </r>
      </text>
    </comment>
    <comment ref="E105" authorId="0">
      <text>
        <r>
          <rPr>
            <sz val="8"/>
            <color indexed="81"/>
            <rFont val="Tahoma"/>
            <family val="2"/>
          </rPr>
          <t>建议，尚未确认。
一份共回21气血，分三跳；高于下品但仍作常用补给。
依据：data/maps/inventory_items.json:3895</t>
        </r>
      </text>
    </comment>
    <comment ref="E106" authorId="0">
      <text>
        <r>
          <rPr>
            <sz val="8"/>
            <color indexed="81"/>
            <rFont val="Tahoma"/>
            <family val="2"/>
          </rPr>
          <t>建议，尚未确认。
一份共回30体力；资源用途不同，不按气血等点定价。
依据：data/maps/inventory_items.json:3930</t>
        </r>
      </text>
    </comment>
    <comment ref="E107" authorId="0">
      <text>
        <r>
          <rPr>
            <sz val="8"/>
            <color indexed="81"/>
            <rFont val="Tahoma"/>
            <family val="2"/>
          </rPr>
          <t>建议，尚未确认。
一份共回27灵力；法器补给，略高于回血丹。
依据：data/maps/inventory_items.json:3965</t>
        </r>
      </text>
    </comment>
    <comment ref="E108" authorId="0">
      <text>
        <r>
          <rPr>
            <sz val="8"/>
            <color indexed="81"/>
            <rFont val="Tahoma"/>
            <family val="2"/>
          </rPr>
          <t>建议，尚未确认。
一份即时回12气血及18体力；双资源与即时性溢价。
依据：data/maps/inventory_items.json:4000</t>
        </r>
      </text>
    </comment>
    <comment ref="E109" authorId="0">
      <text>
        <r>
          <rPr>
            <sz val="8"/>
            <color indexed="81"/>
            <rFont val="Tahoma"/>
            <family val="2"/>
          </rPr>
          <t>建议，尚未确认。
一次施4坚韧；一次性状态，不能按常驻法器价出售。
依据：data/maps/inventory_items.json:4039</t>
        </r>
      </text>
    </comment>
    <comment ref="E110" authorId="0">
      <text>
        <r>
          <rPr>
            <sz val="8"/>
            <color indexed="81"/>
            <rFont val="Tahoma"/>
            <family val="2"/>
          </rPr>
          <t>建议，尚未确认。
12秒减10%火直接伤；窄用途消耗品，不按品级机械加价。
依据：data/maps/inventory_items.json:4074</t>
        </r>
      </text>
    </comment>
    <comment ref="E111" authorId="0">
      <text>
        <r>
          <rPr>
            <sz val="8"/>
            <color indexed="81"/>
            <rFont val="Tahoma"/>
            <family val="2"/>
          </rPr>
          <t>建议，尚未确认。
12秒减10%水直接伤；与同机制抗性丹同价。
依据：data/maps/inventory_items.json:4108</t>
        </r>
      </text>
    </comment>
    <comment ref="E112" authorId="0">
      <text>
        <r>
          <rPr>
            <sz val="8"/>
            <color indexed="81"/>
            <rFont val="Tahoma"/>
            <family val="2"/>
          </rPr>
          <t>建议，尚未确认。
12秒减10%金直接伤；与同机制抗性丹同价。
依据：data/maps/inventory_items.json:4142</t>
        </r>
      </text>
    </comment>
    <comment ref="E113" authorId="0">
      <text>
        <r>
          <rPr>
            <sz val="8"/>
            <color indexed="81"/>
            <rFont val="Tahoma"/>
            <family val="2"/>
          </rPr>
          <t>建议，尚未确认。
12秒减10%木直接伤；与同机制抗性丹同价。
依据：data/maps/inventory_items.json:4176</t>
        </r>
      </text>
    </comment>
    <comment ref="E114" authorId="0">
      <text>
        <r>
          <rPr>
            <sz val="8"/>
            <color indexed="81"/>
            <rFont val="Tahoma"/>
            <family val="2"/>
          </rPr>
          <t>建议，尚未确认。
12秒减10%土直接伤；与同机制抗性丹同价。
依据：data/maps/inventory_items.json:4210</t>
        </r>
      </text>
    </comment>
    <comment ref="E115" authorId="0">
      <text>
        <r>
          <rPr>
            <sz val="8"/>
            <color indexed="81"/>
            <rFont val="Tahoma"/>
            <family val="2"/>
          </rPr>
          <t>建议，尚未确认。
一次18穿刺，零资源消耗；6秒CD，从完整CD起步。
依据：data/maps/inventory_items.json:4244</t>
        </r>
      </text>
    </comment>
    <comment ref="E116" authorId="0">
      <text>
        <r>
          <rPr>
            <sz val="8"/>
            <color indexed="81"/>
            <rFont val="Tahoma"/>
            <family val="2"/>
          </rPr>
          <t>建议，尚未确认。
一次26斩击；较飞针爆发高、8.5秒CD。
依据：data/maps/inventory_items.json:4279</t>
        </r>
      </text>
    </comment>
    <comment ref="E117" authorId="0">
      <text>
        <r>
          <rPr>
            <sz val="8"/>
            <color indexed="81"/>
            <rFont val="Tahoma"/>
            <family val="2"/>
          </rPr>
          <t>建议，尚未确认。
一次32钝击；9.5秒较慢，不按可循环武器估价。
依据：data/maps/inventory_items.json:4314</t>
        </r>
      </text>
    </comment>
    <comment ref="E118" authorId="0">
      <text>
        <r>
          <rPr>
            <sz val="8"/>
            <color indexed="81"/>
            <rFont val="Tahoma"/>
            <family val="2"/>
          </rPr>
          <t>建议，尚未确认。
一次12穿刺并命中施3毒蚀；按附加状态给少量溢价。
依据：data/maps/inventory_items.json:4349</t>
        </r>
      </text>
    </comment>
    <comment ref="E119" authorId="0">
      <text>
        <r>
          <rPr>
            <sz val="8"/>
            <color indexed="81"/>
            <rFont val="Tahoma"/>
            <family val="2"/>
          </rPr>
          <t>建议，尚未确认。
一次30法术型伤害；一次性爆发且不耗灵。
依据：data/maps/inventory_items.json:4392</t>
        </r>
      </text>
    </comment>
    <comment ref="E120" authorId="0">
      <text>
        <r>
          <rPr>
            <sz val="8"/>
            <color indexed="81"/>
            <rFont val="Tahoma"/>
            <family val="2"/>
          </rPr>
          <t>建议，尚未确认。
首胜必得、之后10%；仅稀有核心材料，不具有玩家回体效果。
依据：data/maps/enemy_materials.json:95</t>
        </r>
      </text>
    </comment>
    <comment ref="E121" authorId="0">
      <text>
        <r>
          <rPr>
            <sz val="8"/>
            <color indexed="81"/>
            <rFont val="Tahoma"/>
            <family val="2"/>
          </rPr>
          <t>建议，尚未确认。
首领25%独立掉落；较大皮材，用途未接配方，溢价控制在小幅。
依据：data/maps/enemy_materials.json:26</t>
        </r>
      </text>
    </comment>
    <comment ref="E122" authorId="0">
      <text>
        <r>
          <rPr>
            <sz val="8"/>
            <color indexed="81"/>
            <rFont val="Tahoma"/>
            <family val="2"/>
          </rPr>
          <t>建议，尚未确认。
首领25%独立掉落；普通硬质兽材。
依据：data/maps/enemy_materials.json:49</t>
        </r>
      </text>
    </comment>
    <comment ref="E123" authorId="0">
      <text>
        <r>
          <rPr>
            <sz val="8"/>
            <color indexed="81"/>
            <rFont val="Tahoma"/>
            <family val="2"/>
          </rPr>
          <t>建议，尚未确认。
首领25%独立掉落；普通鬃材，不含蓄势效果。
依据：data/maps/enemy_materials.json:72</t>
        </r>
      </text>
    </comment>
    <comment ref="E124" authorId="0">
      <text>
        <r>
          <rPr>
            <sz val="8"/>
            <color indexed="81"/>
            <rFont val="Tahoma"/>
            <family val="2"/>
          </rPr>
          <t>建议，尚未确认。
首领25%独立掉落；只按獠牙材料计价，不含敌方攻击能力。
依据：data/maps/enemy_materials.json:3</t>
        </r>
      </text>
    </comment>
    <comment ref="E125" authorId="0">
      <text>
        <r>
          <rPr>
            <sz val="8"/>
            <color indexed="81"/>
            <rFont val="Tahoma"/>
            <family val="2"/>
          </rPr>
          <t>建议，尚未确认。
普通怪25%独立掉落；喙类原料。
依据：data/maps/enemy_materials.json:214</t>
        </r>
      </text>
    </comment>
    <comment ref="E126" authorId="0">
      <text>
        <r>
          <rPr>
            <sz val="8"/>
            <color indexed="81"/>
            <rFont val="Tahoma"/>
            <family val="2"/>
          </rPr>
          <t>建议，尚未确认。
普通怪25%独立掉落；大型甲材，暂给小幅材料溢价。
依据：data/maps/enemy_materials.json:190</t>
        </r>
      </text>
    </comment>
    <comment ref="E127" authorId="0">
      <text>
        <r>
          <rPr>
            <sz val="8"/>
            <color indexed="81"/>
            <rFont val="Tahoma"/>
            <family val="2"/>
          </rPr>
          <t>建议，尚未确认。
普通怪25%独立掉落；骨类原料。
依据：data/maps/enemy_materials.json:238</t>
        </r>
      </text>
    </comment>
    <comment ref="E128" authorId="0">
      <text>
        <r>
          <rPr>
            <sz val="8"/>
            <color indexed="81"/>
            <rFont val="Tahoma"/>
            <family val="2"/>
          </rPr>
          <t>建议，尚未确认。
普通怪25%独立掉落；爪类原料。
依据：data/maps/enemy_materials.json:118</t>
        </r>
      </text>
    </comment>
    <comment ref="E129" authorId="0">
      <text>
        <r>
          <rPr>
            <sz val="8"/>
            <color indexed="81"/>
            <rFont val="Tahoma"/>
            <family val="2"/>
          </rPr>
          <t>建议，尚未确认。
普通怪25%独立掉落；牙类原料。
依据：data/maps/enemy_materials.json:142</t>
        </r>
      </text>
    </comment>
    <comment ref="E130" authorId="0">
      <text>
        <r>
          <rPr>
            <sz val="8"/>
            <color indexed="81"/>
            <rFont val="Tahoma"/>
            <family val="2"/>
          </rPr>
          <t>建议，尚未确认。
普通怪25%独立掉落；普通皮材，未赋予战斗防御。
依据：data/maps/enemy_materials.json:166</t>
        </r>
      </text>
    </comment>
    <comment ref="E131" authorId="0">
      <text>
        <r>
          <rPr>
            <sz val="8"/>
            <color indexed="81"/>
            <rFont val="Tahoma"/>
            <family val="2"/>
          </rPr>
          <t>建议，尚未确认。
普通怪25%独立掉落；与同阶喙类原料同价。
依据：data/maps/enemy_materials.json:286</t>
        </r>
      </text>
    </comment>
    <comment ref="E132" authorId="0">
      <text>
        <r>
          <rPr>
            <sz val="8"/>
            <color indexed="81"/>
            <rFont val="Tahoma"/>
            <family val="2"/>
          </rPr>
          <t>建议，尚未确认。
普通怪25%独立掉落；与山狼爪材同档。
依据：data/maps/enemy_materials.json:310</t>
        </r>
      </text>
    </comment>
    <comment ref="E133" authorId="0">
      <text>
        <r>
          <rPr>
            <sz val="8"/>
            <color indexed="81"/>
            <rFont val="Tahoma"/>
            <family val="2"/>
          </rPr>
          <t>建议，尚未确认。
普通怪25%独立掉落；羽材，未按敌方产甲能力计价。
依据：data/maps/enemy_materials.json:262</t>
        </r>
      </text>
    </comment>
    <comment ref="E134" authorId="0">
      <text>
        <r>
          <rPr>
            <sz val="8"/>
            <color indexed="81"/>
            <rFont val="Tahoma"/>
            <family val="2"/>
          </rPr>
          <t>建议，尚未确认。
常见清毒药材；与止血草同档。
依据：data/maps/herbs.json:49</t>
        </r>
      </text>
    </comment>
    <comment ref="E135" authorId="0">
      <text>
        <r>
          <rPr>
            <sz val="8"/>
            <color indexed="81"/>
            <rFont val="Tahoma"/>
            <family val="2"/>
          </rPr>
          <t>建议，尚未确认。
已注册但旧祠投放未开放；普通回体药材，同档估值。
依据：data/maps/herbs.json:26</t>
        </r>
      </text>
    </comment>
    <comment ref="E136" authorId="0">
      <text>
        <r>
          <rPr>
            <sz val="8"/>
            <color indexed="81"/>
            <rFont val="Tahoma"/>
            <family val="2"/>
          </rPr>
          <t>建议，尚未确认。
设定含微弱灵气、辅助回灵；仅少量溢价。
依据：data/maps/herbs.json:72</t>
        </r>
      </text>
    </comment>
    <comment ref="E137" authorId="0">
      <text>
        <r>
          <rPr>
            <sz val="8"/>
            <color indexed="81"/>
            <rFont val="Tahoma"/>
            <family val="2"/>
          </rPr>
          <t>建议，尚未确认。
常见药材锚点；配方未定，不虚构炼丹成本。
依据：data/maps/herbs.json:3</t>
        </r>
      </text>
    </comment>
    <comment ref="E138" authorId="0">
      <text>
        <r>
          <rPr>
            <sz val="8"/>
            <color indexed="81"/>
            <rFont val="Tahoma"/>
            <family val="2"/>
          </rPr>
          <t>建议，尚未确认。
现有下品矿石；暂不凭颜色或名称认定更稀有。
依据：data/maps/minerals.json:26</t>
        </r>
      </text>
    </comment>
    <comment ref="E139" authorId="0">
      <text>
        <r>
          <rPr>
            <sz val="8"/>
            <color indexed="81"/>
            <rFont val="Tahoma"/>
            <family val="2"/>
          </rPr>
          <t>建议，尚未确认。
现有下品矿石；冶炼配方未定，与同阶赤铜同价。
依据：data/maps/minerals.json:3</t>
        </r>
      </text>
    </comment>
    <comment ref="E140" authorId="0">
      <text>
        <r>
          <rPr>
            <sz val="8"/>
            <color indexed="81"/>
            <rFont val="Tahoma"/>
            <family val="2"/>
          </rPr>
          <t>建议，尚未确认。
3×3基础盘、气血和体力各+5；备用物品估值，当前使用时不直接出售。
依据：data/maps/qinglan_boards.json:3</t>
        </r>
      </text>
    </comment>
    <comment ref="E141" authorId="0">
      <text>
        <r>
          <rPr>
            <sz val="8"/>
            <color indexed="81"/>
            <rFont val="Tahoma"/>
            <family val="2"/>
          </rPr>
          <t>建议，尚未确认。
4×3加格、气血体力各+10及状态上限；前期长期升级锚点。
依据：data/maps/qinglan_boards.json:24</t>
        </r>
      </text>
    </comment>
    <comment ref="E142" authorId="0">
      <text>
        <r>
          <rPr>
            <sz val="8"/>
            <color indexed="81"/>
            <rFont val="Tahoma"/>
            <family val="2"/>
          </rPr>
          <t>建议，尚未确认。
4×4及更高资源／状态上限；炼气估值，非青石镇上架承诺。
依据：data/maps/qinglan_boards.json:46</t>
        </r>
      </text>
    </comment>
    <comment ref="E143" authorId="0">
      <text>
        <r>
          <rPr>
            <sz val="8"/>
            <color indexed="81"/>
            <rFont val="Tahoma"/>
            <family val="2"/>
          </rPr>
          <t>建议，尚未确认。
5×4、筑基盘；先按境界价阶预估，必须与筑基收入复核。
依据：data/maps/qinglan_boards.json:68</t>
        </r>
      </text>
    </comment>
    <comment ref="E144" authorId="0">
      <text>
        <r>
          <rPr>
            <sz val="8"/>
            <color indexed="81"/>
            <rFont val="Tahoma"/>
            <family val="2"/>
          </rPr>
          <t>建议，尚未确认。
5×5、结丹盘；境界价阶预估，必须与结丹收入复核。
依据：data/maps/qinglan_boards.json:90</t>
        </r>
      </text>
    </comment>
    <comment ref="E145" authorId="0">
      <text>
        <r>
          <rPr>
            <sz val="8"/>
            <color indexed="81"/>
            <rFont val="Tahoma"/>
            <family val="2"/>
          </rPr>
          <t>建议，尚未确认。
6×5、元婴盘；境界价阶预估，必须与元婴收入复核。
依据：data/maps/qinglan_boards.json:113</t>
        </r>
      </text>
    </comment>
    <comment ref="E146" authorId="0">
      <text>
        <r>
          <rPr>
            <sz val="8"/>
            <color indexed="81"/>
            <rFont val="Tahoma"/>
            <family val="2"/>
          </rPr>
          <t>建议，尚未确认。
6×6、化神盘；境界价阶预估，必须与化神收入复核。
依据：data/maps/qinglan_boards.json:136</t>
        </r>
      </text>
    </comment>
  </commentList>
</comments>
</file>

<file path=xl/sharedStrings.xml><?xml version="1.0" encoding="utf-8"?>
<sst xmlns="http://schemas.openxmlformats.org/spreadsheetml/2006/main" count="2086" uniqueCount="754">
  <si>
    <t>142项物品 · 基准价首版建议</t>
  </si>
  <si>
    <t>2026-10-12｜蓝色数字可调整；黑色为公式结果；所有逐件基准价均为建议。</t>
  </si>
  <si>
    <t>玩家买入因数</t>
  </si>
  <si>
    <t>向上取整</t>
  </si>
  <si>
    <t>已确认：买入基准价的150%。</t>
  </si>
  <si>
    <t>玩家卖出因数</t>
  </si>
  <si>
    <t>向下取整</t>
  </si>
  <si>
    <t>已确认：卖出基准价的50%，不基于买价再折算。</t>
  </si>
  <si>
    <t>范围：36武器＋36防具＋22法器＋16丹药＋5暗器＋14妖材＋4药材＋2矿石＋7阵盘。已覆盖当前142种库存定义；同名不同品级按独立ID计。</t>
  </si>
  <si>
    <t>本表未写入游戏价目。高阶阵盘价格为阶段梯度估值，尚无中后期收入依据；定价不等于青石镇有现货，也不代表解除任务／收藏／上阵物品禁售。</t>
  </si>
  <si>
    <t>品类</t>
  </si>
  <si>
    <t>数量</t>
  </si>
  <si>
    <t>最低基准价</t>
  </si>
  <si>
    <t>最高基准价</t>
  </si>
  <si>
    <t>定价侧重</t>
  </si>
  <si>
    <t>武器</t>
  </si>
  <si>
    <t>伤害、轮转、耗体、占格与条件状态共同判断。</t>
  </si>
  <si>
    <t>防具</t>
  </si>
  <si>
    <t>区分护甲上限、实际回甲与受击准备；上限不等于开战满甲。</t>
  </si>
  <si>
    <t>法器</t>
  </si>
  <si>
    <t>可重复使用，考虑供能、回复上限和耗灵。</t>
  </si>
  <si>
    <t>丹药</t>
  </si>
  <si>
    <t>按单份计价；补给可负担，专门抗性药保持低价。</t>
  </si>
  <si>
    <t>暗器</t>
  </si>
  <si>
    <t>按单件计价；零资源爆发仍会永久消耗物品。</t>
  </si>
  <si>
    <t>妖材</t>
  </si>
  <si>
    <t>只计材料价值；掉率可参考，制作需求仍待定。</t>
  </si>
  <si>
    <t>药材</t>
  </si>
  <si>
    <t>低价基础原料；不虚构配方数量。</t>
  </si>
  <si>
    <t>矿石</t>
  </si>
  <si>
    <t>现两种同阶矿石暂同价。</t>
  </si>
  <si>
    <t>阵盘</t>
  </si>
  <si>
    <t>格数、资源与状态上限、境界跨度；高阶为低置信估值。</t>
  </si>
  <si>
    <t>建议锚点：止血丹基准8（买12／卖4）；青石短剑基准60（买90／卖30）；凡品铁剑基准140（买210／卖70）。其他条目在同类中按效果与成本校正，并非全类统一倍率。</t>
  </si>
  <si>
    <t>收益页仅用既有掉率乘以建议卖价做静态期望核对，不是游戏已到账收益、不是模拟或最终平衡。材料卖钱之外的收入、实战耗药、制作成本及商铺库存仍需后续衔接。</t>
  </si>
  <si>
    <t>全部价目｜1份／件的灵石价格</t>
  </si>
  <si>
    <t>只编辑E列基准价或说明页因数；F/G买卖价、M相对演示价差额会自动更新。空白演示价表示目前未在样例货架上。</t>
  </si>
  <si>
    <t>序号</t>
  </si>
  <si>
    <t>品级</t>
  </si>
  <si>
    <t>物品名称</t>
  </si>
  <si>
    <t>建议基准价</t>
  </si>
  <si>
    <t>玩家买入价</t>
  </si>
  <si>
    <t>玩家卖出价</t>
  </si>
  <si>
    <t>单位</t>
  </si>
  <si>
    <t>经营场所</t>
  </si>
  <si>
    <t>定价理由</t>
  </si>
  <si>
    <t>校价关注</t>
  </si>
  <si>
    <t>原演示买价</t>
  </si>
  <si>
    <t>建议买价差</t>
  </si>
  <si>
    <t>稳定物品ID</t>
  </si>
  <si>
    <t>下品</t>
  </si>
  <si>
    <t>青石短剑</t>
  </si>
  <si>
    <t>件</t>
  </si>
  <si>
    <t>普通商铺</t>
  </si>
  <si>
    <t>下品主武器锚点；11伤／5.5秒、耗体3，适合持续使用。</t>
  </si>
  <si>
    <t>初稿待审；未作实战经济平衡</t>
  </si>
  <si>
    <t>base.map_item.qingshi_short_sword</t>
  </si>
  <si>
    <t>猎弓</t>
  </si>
  <si>
    <t>14穿刺／7秒；两格远程器型，耗体5限制持续输出。</t>
  </si>
  <si>
    <t>base.map_item.hunting_bow</t>
  </si>
  <si>
    <t>短柄铁锤</t>
  </si>
  <si>
    <t>12钝击／6秒、耗体4，和短剑处于同档。</t>
  </si>
  <si>
    <t>base.map_item.short_iron_hammer</t>
  </si>
  <si>
    <t>铁刀</t>
  </si>
  <si>
    <t>单格入门刀；6伤／4.5秒，低伤低耗体。</t>
  </si>
  <si>
    <t>base.map_item.t01_0002</t>
  </si>
  <si>
    <t>柴斧</t>
  </si>
  <si>
    <t>20伤爆发较高，但8.5秒轮转且耗体6，略低于通用短剑。</t>
  </si>
  <si>
    <t>base.map_item.t01_0003</t>
  </si>
  <si>
    <t>匕首</t>
  </si>
  <si>
    <t>单格、3.5秒快轮转；4点基础伤害，作为便宜起步选择。</t>
  </si>
  <si>
    <t>base.map_item.t01_0005</t>
  </si>
  <si>
    <t>长枪</t>
  </si>
  <si>
    <t>24伤单次爆发；三格占用、9秒CD与耗体7限制溢价。</t>
  </si>
  <si>
    <t>base.map_item.t01_0006</t>
  </si>
  <si>
    <t>石印</t>
  </si>
  <si>
    <t>单格基础钝击；8伤／6.5秒，不按大伤武器定价。</t>
  </si>
  <si>
    <t>base.map_item.t01_0008</t>
  </si>
  <si>
    <t>皮鞭</t>
  </si>
  <si>
    <t>10伤／4秒的较快轮转，但占三格，限制加价。</t>
  </si>
  <si>
    <t>base.map_item.t01_0009</t>
  </si>
  <si>
    <t>凡品</t>
  </si>
  <si>
    <t>铁剑</t>
  </si>
  <si>
    <t>18伤／5.5秒、耗体3；凡品纯伤主武器锚点。</t>
  </si>
  <si>
    <t>base.map_item.t01_0028</t>
  </si>
  <si>
    <t>赤纹剑</t>
  </si>
  <si>
    <t>16伤并附1灼烧；伤害与持续状态兼顾。</t>
  </si>
  <si>
    <t>base.map_item.t01_0029</t>
  </si>
  <si>
    <t>寒水剑</t>
  </si>
  <si>
    <t>17伤并附1寒霜；配合主动水攻，控制价值需构筑兑现。</t>
  </si>
  <si>
    <t>base.map_item.t01_0030</t>
  </si>
  <si>
    <t>钢刀</t>
  </si>
  <si>
    <t>单格10伤并可施加流血；需伤及气血，低耗体有利循环。</t>
  </si>
  <si>
    <t>base.map_item.t01_0031</t>
  </si>
  <si>
    <t>金纹刀</t>
  </si>
  <si>
    <t>单格12伤附锋痕；轮转比钢刀慢，略增协同估值。</t>
  </si>
  <si>
    <t>base.map_item.t01_0032</t>
  </si>
  <si>
    <t>赤焰刀</t>
  </si>
  <si>
    <t>单格11伤附破甲；依赖后续主动火伤，不无限抬高功能价。</t>
  </si>
  <si>
    <t>base.map_item.t01_0033</t>
  </si>
  <si>
    <t>开山斧</t>
  </si>
  <si>
    <t>30伤附2疲惫；爆发高，8.5秒与耗体6约束持续性。</t>
  </si>
  <si>
    <t>base.map_item.t01_0034</t>
  </si>
  <si>
    <t>金刚斧</t>
  </si>
  <si>
    <t>28伤附2锋痕；作为大伤与金系协同件。</t>
  </si>
  <si>
    <t>base.map_item.t01_0035</t>
  </si>
  <si>
    <t>厚土斧</t>
  </si>
  <si>
    <t>28伤附2重伤；压制回复与资源，价格接近同型斧。</t>
  </si>
  <si>
    <t>base.map_item.t01_0036</t>
  </si>
  <si>
    <t>桑木弓</t>
  </si>
  <si>
    <t>24穿刺／7秒；凡品纯伤弓，未额外施加状态。</t>
  </si>
  <si>
    <t>base.map_item.t01_0037</t>
  </si>
  <si>
    <t>水纹弓</t>
  </si>
  <si>
    <t>20伤附1枯脉；以功能补偿部分直伤。</t>
  </si>
  <si>
    <t>base.map_item.t01_0038</t>
  </si>
  <si>
    <t>雷纹弓</t>
  </si>
  <si>
    <t>22伤附1连环；雷攻配合价值，耗体6略高。</t>
  </si>
  <si>
    <t>base.map_item.t01_0039</t>
  </si>
  <si>
    <t>精铁匕</t>
  </si>
  <si>
    <t>单格8伤／3.5秒，伤及气血才施加流血；低门槛快攻。</t>
  </si>
  <si>
    <t>base.map_item.t01_0040</t>
  </si>
  <si>
    <t>风刃匕</t>
  </si>
  <si>
    <t>单格3秒快攻并附失衡；轮转与控制带来溢价。</t>
  </si>
  <si>
    <t>base.map_item.t01_0041</t>
  </si>
  <si>
    <t>青木枪</t>
  </si>
  <si>
    <t>34伤附2缠绕；三格与耗体7限制价格上浮。</t>
  </si>
  <si>
    <t>base.map_item.t01_0042</t>
  </si>
  <si>
    <t>雷纹枪</t>
  </si>
  <si>
    <t>38伤附2雷印；凡品长枪高端，9.5秒和耗体8为代价。</t>
  </si>
  <si>
    <t>base.map_item.t01_0043</t>
  </si>
  <si>
    <t>炎纹锤</t>
  </si>
  <si>
    <t>20钝击附1破甲；中速主武器与火系协同。</t>
  </si>
  <si>
    <t>base.map_item.t01_0044</t>
  </si>
  <si>
    <t>石骨锤</t>
  </si>
  <si>
    <t>26钝击／7秒的纯伤器具；不额外计算未有的控制。</t>
  </si>
  <si>
    <t>base.map_item.t01_0045</t>
  </si>
  <si>
    <t>镇土印</t>
  </si>
  <si>
    <t>单格16钝击附疲惫；7秒慢轮转抑制溢价。</t>
  </si>
  <si>
    <t>base.map_item.t01_0046</t>
  </si>
  <si>
    <t>雷纹印</t>
  </si>
  <si>
    <t>单格14伤，命中自身加雷蕴；兼作雷系积累件。</t>
  </si>
  <si>
    <t>base.map_item.t01_0047</t>
  </si>
  <si>
    <t>藤鞭</t>
  </si>
  <si>
    <t>14伤／4秒附毒蚀；持续施毒有价值，三格占用。</t>
  </si>
  <si>
    <t>base.map_item.t01_0048</t>
  </si>
  <si>
    <t>雷鞭</t>
  </si>
  <si>
    <t>15伤／4.5秒附雷印；频率较高，但占三格。</t>
  </si>
  <si>
    <t>base.map_item.t01_0049</t>
  </si>
  <si>
    <t>刺血匕</t>
  </si>
  <si>
    <t>单格可施2流血；需伤及气血，按条件效果计价。</t>
  </si>
  <si>
    <t>base.map_item.t01_0050</t>
  </si>
  <si>
    <t>震骨锤</t>
  </si>
  <si>
    <t>32钝击附2重伤；高爆发但9秒和耗体7限制循环。</t>
  </si>
  <si>
    <t>base.map_item.t01_0051</t>
  </si>
  <si>
    <t>清风印</t>
  </si>
  <si>
    <t>单格驱散载体兼13伤；功能溢价仍受7秒CD约束。</t>
  </si>
  <si>
    <t>base.map_item.t01_0052</t>
  </si>
  <si>
    <t>荆鞭</t>
  </si>
  <si>
    <t>16伤附缠绕；三格木系铺垫件，与藤鞭同档。</t>
  </si>
  <si>
    <t>base.map_item.t01_0053</t>
  </si>
  <si>
    <t>赤焰枪</t>
  </si>
  <si>
    <t>36伤附2灼烧；高伤火枪，耗体8、三格占用。</t>
  </si>
  <si>
    <t>base.map_item.t01_0054</t>
  </si>
  <si>
    <t>粗布甲</t>
  </si>
  <si>
    <t>轻甲上限7、每6秒回4；布装联动有价值，仍保持入门价。</t>
  </si>
  <si>
    <t>base.map_item.coarse_cloth_armor</t>
  </si>
  <si>
    <t>旧铁盔</t>
  </si>
  <si>
    <t>只提供2上限、每7.5秒回1，低价补位件。</t>
  </si>
  <si>
    <t>base.map_item.old_iron_helmet</t>
  </si>
  <si>
    <t>木圆盾</t>
  </si>
  <si>
    <t>单格回甲4／7.5秒较实用，但自身上限仅2。</t>
  </si>
  <si>
    <t>base.map_item.round_wood_shield</t>
  </si>
  <si>
    <t>铁甲</t>
  </si>
  <si>
    <t>重甲上限10、每9秒回5；容量和铁装联动高于布甲。</t>
  </si>
  <si>
    <t>base.map_item.t01_0011</t>
  </si>
  <si>
    <t>布护臂</t>
  </si>
  <si>
    <t>1上限、回甲1；便宜布装联动配件。</t>
  </si>
  <si>
    <t>base.map_item.t01_0014</t>
  </si>
  <si>
    <t>布护腿</t>
  </si>
  <si>
    <t>2上限、回甲1；高于护臂但9秒轮转较慢。</t>
  </si>
  <si>
    <t>base.map_item.t01_0015</t>
  </si>
  <si>
    <t>铁护臂</t>
  </si>
  <si>
    <t>2上限、回甲2；铁装联动配件。</t>
  </si>
  <si>
    <t>base.map_item.t01_0016</t>
  </si>
  <si>
    <t>铁护腿</t>
  </si>
  <si>
    <t>3上限、回甲3；比铁护臂略高。</t>
  </si>
  <si>
    <t>base.map_item.t01_0017</t>
  </si>
  <si>
    <t>细布衣</t>
  </si>
  <si>
    <t>13上限、回甲7／6秒；凡品纯防御基准。</t>
  </si>
  <si>
    <t>base.map_item.t01_0055</t>
  </si>
  <si>
    <t>水纹衣</t>
  </si>
  <si>
    <t>12上限、回甲6并加润脉；加入水系协同价值。</t>
  </si>
  <si>
    <t>base.map_item.t01_0056</t>
  </si>
  <si>
    <t>札甲</t>
  </si>
  <si>
    <t>18上限、回甲8；重甲容量较高，轮转慢于布衣。</t>
  </si>
  <si>
    <t>base.map_item.t01_0057</t>
  </si>
  <si>
    <t>赤铜甲</t>
  </si>
  <si>
    <t>16上限、回甲6；受击准备可加附炎，不能当每次受击都触发。</t>
  </si>
  <si>
    <t>base.map_item.t01_0058</t>
  </si>
  <si>
    <t>雷纹法袍</t>
  </si>
  <si>
    <t>14上限、回甲6并加2雷蕴；攻防协同套装主件。</t>
  </si>
  <si>
    <t>base.map_item.t01_0059</t>
  </si>
  <si>
    <t>皮帽</t>
  </si>
  <si>
    <t>单格4上限、回甲2，受击后按独立准备获得轻灵。</t>
  </si>
  <si>
    <t>base.map_item.t01_0060</t>
  </si>
  <si>
    <t>铁盔</t>
  </si>
  <si>
    <t>单格4上限、回甲3，受击准备获得坚韧。</t>
  </si>
  <si>
    <t>base.map_item.t01_0061</t>
  </si>
  <si>
    <t>木纹冠</t>
  </si>
  <si>
    <t>单格4上限、回甲2并循环生机；价格含回复协同。</t>
  </si>
  <si>
    <t>base.map_item.t01_0062</t>
  </si>
  <si>
    <t>风纹冠</t>
  </si>
  <si>
    <t>单格3上限、回甲2并循环轻灵；主动产状态。</t>
  </si>
  <si>
    <t>base.map_item.t01_0063</t>
  </si>
  <si>
    <t>皮护臂</t>
  </si>
  <si>
    <t>单格3上限、回甲2；受击准备获得反锋。</t>
  </si>
  <si>
    <t>base.map_item.t01_0064</t>
  </si>
  <si>
    <t>凡品铁护臂：回甲4并加反锋，显著强于同名下品。</t>
  </si>
  <si>
    <t>base.map_item.t01_0065</t>
  </si>
  <si>
    <t>水纹护臂</t>
  </si>
  <si>
    <t>3上限、回甲2；受击准备获得润脉并有水装谱系。</t>
  </si>
  <si>
    <t>base.map_item.t01_0066</t>
  </si>
  <si>
    <t>雷纹护臂</t>
  </si>
  <si>
    <t>4上限、回甲3；受击准备获得2雷蕴。</t>
  </si>
  <si>
    <t>base.map_item.t01_0067</t>
  </si>
  <si>
    <t>皮护腿</t>
  </si>
  <si>
    <t>4上限、回甲2并产轻灵；单格补位件。</t>
  </si>
  <si>
    <t>base.map_item.t01_0068</t>
  </si>
  <si>
    <t>铁胫甲</t>
  </si>
  <si>
    <t>4上限、回甲5；受击准备获得2坚韧。</t>
  </si>
  <si>
    <t>base.map_item.t01_0069</t>
  </si>
  <si>
    <t>水纹护腿</t>
  </si>
  <si>
    <t>4上限、回甲3并产润脉；主动效果稳定。</t>
  </si>
  <si>
    <t>base.map_item.t01_0070</t>
  </si>
  <si>
    <t>藤甲护腿</t>
  </si>
  <si>
    <t>5上限、回甲4并产2生机；10.5秒慢轮转限制加价。</t>
  </si>
  <si>
    <t>base.map_item.t01_0071</t>
  </si>
  <si>
    <t>皮护肩</t>
  </si>
  <si>
    <t>8上限且受击准备产坚韧；没有主动回甲，不按完整产甲件估价。</t>
  </si>
  <si>
    <t>base.map_item.t01_0072</t>
  </si>
  <si>
    <t>金纹护肩</t>
  </si>
  <si>
    <t>6上限、回甲3；受击准备获得2反锋。</t>
  </si>
  <si>
    <t>base.map_item.t01_0073</t>
  </si>
  <si>
    <t>灵丝腰带</t>
  </si>
  <si>
    <t>3上限并每9秒产2轻灵；无回甲，主要价值在状态构筑。</t>
  </si>
  <si>
    <t>base.map_item.t01_0074</t>
  </si>
  <si>
    <t>包铁木盾</t>
  </si>
  <si>
    <t>两格5上限、回甲6并加生机；持续防御组件。</t>
  </si>
  <si>
    <t>base.map_item.t01_0075</t>
  </si>
  <si>
    <t>铁盾</t>
  </si>
  <si>
    <t>两格8上限、回甲5；受击准备获得2反锋。</t>
  </si>
  <si>
    <t>base.map_item.t01_0076</t>
  </si>
  <si>
    <t>水纹盾</t>
  </si>
  <si>
    <t>两格6上限、回甲5并产润脉；与同型盾接近。</t>
  </si>
  <si>
    <t>base.map_item.t01_0077</t>
  </si>
  <si>
    <t>束甲带</t>
  </si>
  <si>
    <t>仅提供12护甲上限，没有回甲；依赖其他组件填充。</t>
  </si>
  <si>
    <t>base.map_item.t01_0078</t>
  </si>
  <si>
    <t>燎火护臂</t>
  </si>
  <si>
    <t>4上限、回甲2并产附炎；火系单格配件。</t>
  </si>
  <si>
    <t>base.map_item.t01_0079</t>
  </si>
  <si>
    <t>雷纹护腿</t>
  </si>
  <si>
    <t>4上限、回甲2并产雷蕴；雷系单格配件。</t>
  </si>
  <si>
    <t>base.map_item.t01_0080</t>
  </si>
  <si>
    <t>炎纹护肩</t>
  </si>
  <si>
    <t>6上限、回甲2并产2附炎；10秒轮转较慢。</t>
  </si>
  <si>
    <t>base.map_item.t01_0081</t>
  </si>
  <si>
    <t>润脉腰带</t>
  </si>
  <si>
    <t>4上限并每9秒产2润脉；没有回甲，以状态价值定价。</t>
  </si>
  <si>
    <t>base.map_item.t01_0082</t>
  </si>
  <si>
    <t>温玉佩</t>
  </si>
  <si>
    <t>宗门商铺</t>
  </si>
  <si>
    <t>单格双资源循环回复，6秒恢复5气血及7体力；受2/3上限限制。</t>
  </si>
  <si>
    <t>base.map_item.warm_jade</t>
  </si>
  <si>
    <t>回春玉</t>
  </si>
  <si>
    <t>单资源循环回血8／7.5秒；受2/3上限限制。</t>
  </si>
  <si>
    <t>base.map_item.t01_0019</t>
  </si>
  <si>
    <t>养息珠</t>
  </si>
  <si>
    <t>循环回体12／7.5秒，支持持续攻击；受2/3上限限制。</t>
  </si>
  <si>
    <t>base.map_item.t01_0020</t>
  </si>
  <si>
    <t>聚灵珠</t>
  </si>
  <si>
    <t>循环回灵8／7.5秒，支持法器构筑；受2/3上限限制。</t>
  </si>
  <si>
    <t>base.map_item.t01_0021</t>
  </si>
  <si>
    <t>回春佩</t>
  </si>
  <si>
    <t>每7.5秒回13气血，可回至满值但耗灵2。</t>
  </si>
  <si>
    <t>base.map_item.t01_0083</t>
  </si>
  <si>
    <t>行气珠</t>
  </si>
  <si>
    <t>每7.5秒回18体力且不耗灵；2/3上限约束。</t>
  </si>
  <si>
    <t>base.map_item.t01_0084</t>
  </si>
  <si>
    <t>聚元环</t>
  </si>
  <si>
    <t>每7.5秒回13灵力；循环法器供能，2/3上限约束。</t>
  </si>
  <si>
    <t>base.map_item.t01_0085</t>
  </si>
  <si>
    <t>调息玉</t>
  </si>
  <si>
    <t>每8.5秒回7气血及10灵力；双资源但2/3封顶。</t>
  </si>
  <si>
    <t>base.map_item.t01_0086</t>
  </si>
  <si>
    <t>金光镜</t>
  </si>
  <si>
    <t>单格22法术伤并附锋痕；每次耗灵6。</t>
  </si>
  <si>
    <t>base.map_item.t01_0087</t>
  </si>
  <si>
    <t>青木铃</t>
  </si>
  <si>
    <t>单格产3生机；耗灵4，需战斗时间兑现。</t>
  </si>
  <si>
    <t>base.map_item.t01_0088</t>
  </si>
  <si>
    <t>寒水珠</t>
  </si>
  <si>
    <t>单格23法术伤并附寒霜；控制协同但耗灵6。</t>
  </si>
  <si>
    <t>base.map_item.t01_0089</t>
  </si>
  <si>
    <t>火灵珠</t>
  </si>
  <si>
    <t>单格产3附炎；依赖主动攻击构筑兑现。</t>
  </si>
  <si>
    <t>base.map_item.t01_0090</t>
  </si>
  <si>
    <t>坤土珠</t>
  </si>
  <si>
    <t>单格产3坚韧；耗灵4的防御型支持。</t>
  </si>
  <si>
    <t>base.map_item.t01_0091</t>
  </si>
  <si>
    <t>逐风旗</t>
  </si>
  <si>
    <t>每7.5秒施4失衡；两格、耗灵4约束功能溢价。</t>
  </si>
  <si>
    <t>base.map_item.t01_0092</t>
  </si>
  <si>
    <t>引雷珠</t>
  </si>
  <si>
    <t>单格每9秒施4雷印；雷系构筑专用价值。</t>
  </si>
  <si>
    <t>base.map_item.t01_0093</t>
  </si>
  <si>
    <t>护心镜</t>
  </si>
  <si>
    <t>仅加10护甲上限，没有回甲；不能按成品护盾定价。</t>
  </si>
  <si>
    <t>base.map_item.t01_0094</t>
  </si>
  <si>
    <t>复甲环</t>
  </si>
  <si>
    <t>每6秒回7护甲，耗灵3；需已有上限配合。</t>
  </si>
  <si>
    <t>base.map_item.t01_0095</t>
  </si>
  <si>
    <t>灵盾珠</t>
  </si>
  <si>
    <t>每10.5秒加15灵盾，耗灵6且受盾上限限制。</t>
  </si>
  <si>
    <t>base.map_item.t01_0096</t>
  </si>
  <si>
    <t>枯脉瓶</t>
  </si>
  <si>
    <t>单格每9秒施3枯脉；依赖目标与水系配合。</t>
  </si>
  <si>
    <t>base.map_item.t01_0097</t>
  </si>
  <si>
    <t>清风拂</t>
  </si>
  <si>
    <t>两格施2驱散；功能稀缺，10.5秒和耗灵4抑制溢价。</t>
  </si>
  <si>
    <t>base.map_item.t01_0098</t>
  </si>
  <si>
    <t>锁雷环</t>
  </si>
  <si>
    <t>单格施2连环；需主动雷攻配合。</t>
  </si>
  <si>
    <t>base.map_item.t01_0099</t>
  </si>
  <si>
    <t>蕴雷铃</t>
  </si>
  <si>
    <t>单格产3雷蕴；累积雷盾的循环支持件。</t>
  </si>
  <si>
    <t>base.map_item.t01_0100</t>
  </si>
  <si>
    <t>止血丹</t>
  </si>
  <si>
    <t>份</t>
  </si>
  <si>
    <t>药材铺</t>
  </si>
  <si>
    <t>一份共回9气血；分三跳，作为基础补给锚点。</t>
  </si>
  <si>
    <t>按1份／件计价；留意自动消耗速度与战斗补给成本</t>
  </si>
  <si>
    <t>base.map_item.hemostatic_pill</t>
  </si>
  <si>
    <t>强筋丸</t>
  </si>
  <si>
    <t>一份共回18体力；按体力资源价值计，不与气血按点等价。</t>
  </si>
  <si>
    <t>base.map_item.sinew_pill</t>
  </si>
  <si>
    <t>消毒散</t>
  </si>
  <si>
    <t>一份清毒并免毒15秒；针对性强，不按常驻免疫估值。</t>
  </si>
  <si>
    <t>base.map_item.detox_powder</t>
  </si>
  <si>
    <t>回灵丹</t>
  </si>
  <si>
    <t>一份共回12灵力；法器构筑补给略高于回体。</t>
  </si>
  <si>
    <t>base.map_item.t01_0025</t>
  </si>
  <si>
    <t>金疮散</t>
  </si>
  <si>
    <t>即时回6气血；总量低于止血丹，以即时性补偿。</t>
  </si>
  <si>
    <t>base.map_item.t01_0026</t>
  </si>
  <si>
    <t>回元散</t>
  </si>
  <si>
    <t>即时回5气血及9体力；双资源补给。</t>
  </si>
  <si>
    <t>base.map_item.t01_0027</t>
  </si>
  <si>
    <t>回春丹</t>
  </si>
  <si>
    <t>一份共回21气血，分三跳；高于下品但仍作常用补给。</t>
  </si>
  <si>
    <t>base.map_item.t01_0101</t>
  </si>
  <si>
    <t>益气丹</t>
  </si>
  <si>
    <t>一份共回30体力；资源用途不同，不按气血等点定价。</t>
  </si>
  <si>
    <t>base.map_item.t01_0102</t>
  </si>
  <si>
    <t>聚灵丹</t>
  </si>
  <si>
    <t>一份共回27灵力；法器补给，略高于回血丹。</t>
  </si>
  <si>
    <t>base.map_item.t01_0103</t>
  </si>
  <si>
    <t>培元丹</t>
  </si>
  <si>
    <t>一份即时回12气血及18体力；双资源与即时性溢价。</t>
  </si>
  <si>
    <t>base.map_item.t01_0104</t>
  </si>
  <si>
    <t>铁骨丸</t>
  </si>
  <si>
    <t>一次施4坚韧；一次性状态，不能按常驻法器价出售。</t>
  </si>
  <si>
    <t>base.map_item.t01_0105</t>
  </si>
  <si>
    <t>避火丹</t>
  </si>
  <si>
    <t>12秒减10%火直接伤；窄用途消耗品，不按品级机械加价。</t>
  </si>
  <si>
    <t>base.map_item.t01_0106</t>
  </si>
  <si>
    <t>辟寒丹</t>
  </si>
  <si>
    <t>12秒减10%水直接伤；与同机制抗性丹同价。</t>
  </si>
  <si>
    <t>base.map_item.t01_0107</t>
  </si>
  <si>
    <t>辟金丹</t>
  </si>
  <si>
    <t>12秒减10%金直接伤；与同机制抗性丹同价。</t>
  </si>
  <si>
    <t>base.map_item.t01_0108</t>
  </si>
  <si>
    <t>御木丹</t>
  </si>
  <si>
    <t>12秒减10%木直接伤；与同机制抗性丹同价。</t>
  </si>
  <si>
    <t>base.map_item.t01_0109</t>
  </si>
  <si>
    <t>镇土丹</t>
  </si>
  <si>
    <t>12秒减10%土直接伤；与同机制抗性丹同价。</t>
  </si>
  <si>
    <t>base.map_item.t01_0110</t>
  </si>
  <si>
    <t>飞针</t>
  </si>
  <si>
    <t>铁匠铺</t>
  </si>
  <si>
    <t>一次18穿刺，零资源消耗；6秒CD，从完整CD起步。</t>
  </si>
  <si>
    <t>base.map_item.t01_0111</t>
  </si>
  <si>
    <t>柳叶镖</t>
  </si>
  <si>
    <t>一次26斩击；较飞针爆发高、8.5秒CD。</t>
  </si>
  <si>
    <t>base.map_item.t01_0112</t>
  </si>
  <si>
    <t>铁丸</t>
  </si>
  <si>
    <t>一次32钝击；9.5秒较慢，不按可循环武器估价。</t>
  </si>
  <si>
    <t>base.map_item.t01_0113</t>
  </si>
  <si>
    <t>毒针</t>
  </si>
  <si>
    <t>一次12穿刺并命中施3毒蚀；按附加状态给少量溢价。</t>
  </si>
  <si>
    <t>base.map_item.t01_0114</t>
  </si>
  <si>
    <t>火砂</t>
  </si>
  <si>
    <t>一次30法术型伤害；一次性爆发且不耗灵。</t>
  </si>
  <si>
    <t>base.map_item.t01_0115</t>
  </si>
  <si>
    <t>赤鬃兽心</t>
  </si>
  <si>
    <t>首胜必得、之后10%；仅稀有核心材料，不具有玩家回体效果。</t>
  </si>
  <si>
    <t>仅材料；不继承敌方器官效果，制作需求未定</t>
  </si>
  <si>
    <t>base.material.cslz_heart</t>
  </si>
  <si>
    <t>厚鬃皮</t>
  </si>
  <si>
    <t>首领25%独立掉落；较大皮材，用途未接配方，溢价控制在小幅。</t>
  </si>
  <si>
    <t>base.material.cslz_hide</t>
  </si>
  <si>
    <t>獠猪铁蹄</t>
  </si>
  <si>
    <t>首领25%独立掉落；普通硬质兽材。</t>
  </si>
  <si>
    <t>base.material.cslz_hoof</t>
  </si>
  <si>
    <t>赤鬃</t>
  </si>
  <si>
    <t>首领25%独立掉落；普通鬃材，不含蓄势效果。</t>
  </si>
  <si>
    <t>base.material.cslz_mane</t>
  </si>
  <si>
    <t>赤鬃獠牙</t>
  </si>
  <si>
    <t>首领25%独立掉落；只按獠牙材料计价，不含敌方攻击能力。</t>
  </si>
  <si>
    <t>base.material.cslz_tusk</t>
  </si>
  <si>
    <t>河鼋尖喙</t>
  </si>
  <si>
    <t>普通怪25%独立掉落；喙类原料。</t>
  </si>
  <si>
    <t>base.material.heyuan_beak</t>
  </si>
  <si>
    <t>青壳甲片</t>
  </si>
  <si>
    <t>普通怪25%独立掉落；大型甲材，暂给小幅材料溢价。</t>
  </si>
  <si>
    <t>base.material.heyuan_shell</t>
  </si>
  <si>
    <t>河鼋尾骨</t>
  </si>
  <si>
    <t>普通怪25%独立掉落；骨类原料。</t>
  </si>
  <si>
    <t>base.material.heyuan_tail</t>
  </si>
  <si>
    <t>山狼利爪</t>
  </si>
  <si>
    <t>普通怪25%独立掉落；爪类原料。</t>
  </si>
  <si>
    <t>base.material.shanlang_claw</t>
  </si>
  <si>
    <t>山狼尖牙</t>
  </si>
  <si>
    <t>普通怪25%独立掉落；牙类原料。</t>
  </si>
  <si>
    <t>base.material.shanlang_fang</t>
  </si>
  <si>
    <t>山狼皮</t>
  </si>
  <si>
    <t>普通怪25%独立掉落；普通皮材，未赋予战斗防御。</t>
  </si>
  <si>
    <t>base.material.shanlang_hide</t>
  </si>
  <si>
    <t>岩雉硬喙</t>
  </si>
  <si>
    <t>普通怪25%独立掉落；与同阶喙类原料同价。</t>
  </si>
  <si>
    <t>base.material.yanzhi_beak</t>
  </si>
  <si>
    <t>岩雉钩爪</t>
  </si>
  <si>
    <t>普通怪25%独立掉落；与山狼爪材同档。</t>
  </si>
  <si>
    <t>base.material.yanzhi_claw</t>
  </si>
  <si>
    <t>青翎</t>
  </si>
  <si>
    <t>普通怪25%独立掉落；羽材，未按敌方产甲能力计价。</t>
  </si>
  <si>
    <t>base.material.yanzhi_feather</t>
  </si>
  <si>
    <t>苦艾叶</t>
  </si>
  <si>
    <t>株</t>
  </si>
  <si>
    <t>常见清毒药材；与止血草同档。</t>
  </si>
  <si>
    <t>制作配方与需求量未定，后续需核对材料成本</t>
  </si>
  <si>
    <t>base.material.kuaiye</t>
  </si>
  <si>
    <t>青藤根</t>
  </si>
  <si>
    <t>已注册但旧祠投放未开放；普通回体药材，同档估值。</t>
  </si>
  <si>
    <t>base.material.qingtenggen</t>
  </si>
  <si>
    <t>溪露苔</t>
  </si>
  <si>
    <t>设定含微弱灵气、辅助回灵；仅少量溢价。</t>
  </si>
  <si>
    <t>base.material.xilutai</t>
  </si>
  <si>
    <t>止血草</t>
  </si>
  <si>
    <t>常见药材锚点；配方未定，不虚构炼丹成本。</t>
  </si>
  <si>
    <t>base.material.zhixuecao</t>
  </si>
  <si>
    <t>赤铜矿</t>
  </si>
  <si>
    <t>块</t>
  </si>
  <si>
    <t>现有下品矿石；暂不凭颜色或名称认定更稀有。</t>
  </si>
  <si>
    <t>base.material.chitongkuang</t>
  </si>
  <si>
    <t>粗铁矿</t>
  </si>
  <si>
    <t>现有下品矿石；冶炼配方未定，与同阶赤铜同价。</t>
  </si>
  <si>
    <t>base.material.cutiekuang</t>
  </si>
  <si>
    <t>普通行囊</t>
  </si>
  <si>
    <t>3×3基础盘、气血和体力各+5；备用物品估值，当前使用时不直接出售。</t>
  </si>
  <si>
    <t>当前使用阵盘禁直接出售；有估值不等于允许上架</t>
  </si>
  <si>
    <t>base.map_item.bag_board</t>
  </si>
  <si>
    <t>青岚 · 晓岚</t>
  </si>
  <si>
    <t>4×3加格、气血体力各+10及状态上限；前期长期升级锚点。</t>
  </si>
  <si>
    <t>base.map_item.qinglan_board_1</t>
  </si>
  <si>
    <t>青岚 · 听风</t>
  </si>
  <si>
    <t>4×4及更高资源／状态上限；炼气估值，非青石镇上架承诺。</t>
  </si>
  <si>
    <t>境界价格梯度占位；缺少该阶段收入锚点，低置信度</t>
  </si>
  <si>
    <t>base.map_item.qinglan_board_2</t>
  </si>
  <si>
    <t>良品</t>
  </si>
  <si>
    <t>青岚 · 凝翠</t>
  </si>
  <si>
    <t>5×4、筑基盘；先按境界价阶预估，必须与筑基收入复核。</t>
  </si>
  <si>
    <t>base.map_item.qinglan_board_3</t>
  </si>
  <si>
    <t>上品</t>
  </si>
  <si>
    <t>青岚 · 流霞</t>
  </si>
  <si>
    <t>5×5、结丹盘；境界价阶预估，必须与结丹收入复核。</t>
  </si>
  <si>
    <t>base.map_item.qinglan_board_4</t>
  </si>
  <si>
    <t>灵品</t>
  </si>
  <si>
    <t>青岚 · 凌霄</t>
  </si>
  <si>
    <t>6×5、元婴盘；境界价阶预估，必须与元婴收入复核。</t>
  </si>
  <si>
    <t>base.map_item.qinglan_board_5</t>
  </si>
  <si>
    <t>玄品</t>
  </si>
  <si>
    <t>青岚 · 太虚</t>
  </si>
  <si>
    <t>6×6、化神盘；境界价阶预估，必须与化神收入复核。</t>
  </si>
  <si>
    <t>base.map_item.qinglan_board_6</t>
  </si>
  <si>
    <t>实际效果｜来自当前库存注册后的物品说明</t>
  </si>
  <si>
    <t>本页为当前实现证据，不是新增玩法。用于核对价格依据；掉落材料与敌人阵盘器官分开，阵盘占格栏显示实盘格数。</t>
  </si>
  <si>
    <t>占格／盘格</t>
  </si>
  <si>
    <t>冷却秒</t>
  </si>
  <si>
    <t>耗体</t>
  </si>
  <si>
    <t>耗灵</t>
  </si>
  <si>
    <t>当前实装说明</t>
  </si>
  <si>
    <t>来源文件</t>
  </si>
  <si>
    <t>来源行</t>
  </si>
  <si>
    <t>来源／掉落补充</t>
  </si>
  <si>
    <t>1.0×2.0</t>
  </si>
  <si>
    <t>冷却：5.5秒，耗费3点体力，对敌方造成11点斩击伤害。</t>
  </si>
  <si>
    <t>data/maps/inventory_items.json</t>
  </si>
  <si>
    <t>冷却：7.0秒，耗费5点体力，对敌方造成14点穿刺伤害。</t>
  </si>
  <si>
    <t>冷却：6.0秒，耗费4点体力，对敌方造成12点钝击伤害。</t>
  </si>
  <si>
    <t>1.0×1.0</t>
  </si>
  <si>
    <t>冷却：4.5秒，耗费2点体力，对敌方造成6点斩击伤害。</t>
  </si>
  <si>
    <t>2.0×1.0</t>
  </si>
  <si>
    <t>冷却：8.5秒，耗费6点体力，对敌方造成20点斩击伤害。</t>
  </si>
  <si>
    <t>冷却：3.5秒，耗费2点体力，对敌方造成4点穿刺伤害。</t>
  </si>
  <si>
    <t>3.0×1.0</t>
  </si>
  <si>
    <t>冷却：9.0秒，耗费7点体力，对敌方造成24点穿刺伤害。</t>
  </si>
  <si>
    <t>冷却：6.5秒，耗费3点体力，对敌方造成8点钝击伤害。</t>
  </si>
  <si>
    <t>冷却：4.0秒，耗费3点体力，对敌方造成10点钝击伤害。</t>
  </si>
  <si>
    <t>冷却：5.5秒，耗费3点体力，对敌方造成18点斩击伤害。</t>
  </si>
  <si>
    <t>冷却：5.5秒，耗费4点体力，对敌方造成16点斩击伤害。
命中后向敌方施加1层灼烧。</t>
  </si>
  <si>
    <t>冷却：6.0秒，耗费4点体力，对敌方造成17点斩击伤害。
命中后向敌方施加1层寒霜。</t>
  </si>
  <si>
    <t>冷却：4.5秒，耗费2点体力，对敌方造成10点斩击伤害。
实际伤及气血后向敌方施加1层流血。</t>
  </si>
  <si>
    <t>冷却：5.5秒，耗费3点体力，对敌方造成12点斩击伤害。
命中后向敌方施加1层锋痕。</t>
  </si>
  <si>
    <t>冷却：5.5秒，耗费3点体力，对敌方造成11点斩击伤害。
命中后向敌方施加1层破甲。</t>
  </si>
  <si>
    <t>冷却：8.5秒，耗费6点体力，对敌方造成30点斩击伤害。
命中后向敌方施加2层疲惫。</t>
  </si>
  <si>
    <t>冷却：8.5秒，耗费6点体力，对敌方造成28点斩击伤害。
命中后向敌方施加2层锋痕。</t>
  </si>
  <si>
    <t>冷却：8.5秒，耗费6点体力，对敌方造成28点斩击伤害。
命中后向敌方施加2层重伤。</t>
  </si>
  <si>
    <t>冷却：7.0秒，耗费5点体力，对敌方造成24点穿刺伤害。</t>
  </si>
  <si>
    <t>冷却：7.0秒，耗费5点体力，对敌方造成20点穿刺伤害。
命中后向敌方施加1层枯脉。</t>
  </si>
  <si>
    <t>冷却：7.0秒，耗费6点体力，对敌方造成22点穿刺伤害。
命中后向敌方施加1层连环。</t>
  </si>
  <si>
    <t>冷却：3.5秒，耗费2点体力，对敌方造成8点穿刺伤害。
实际伤及气血后向敌方施加1层流血。</t>
  </si>
  <si>
    <t>冷却：3.0秒，耗费2点体力，对敌方造成7点穿刺伤害。
命中后向敌方施加1层失衡。</t>
  </si>
  <si>
    <t>冷却：8.5秒，耗费7点体力，对敌方造成34点穿刺伤害。
命中后向敌方施加2层缠绕。</t>
  </si>
  <si>
    <t>冷却：9.5秒，耗费8点体力，对敌方造成38点穿刺伤害。
命中后向敌方施加2层雷印。</t>
  </si>
  <si>
    <t>冷却：6.0秒，耗费4点体力，对敌方造成20点钝击伤害。
命中后向敌方施加1层破甲。</t>
  </si>
  <si>
    <t>冷却：7.0秒，耗费5点体力，对敌方造成26点钝击伤害。</t>
  </si>
  <si>
    <t>冷却：7.0秒，耗费3点体力，对敌方造成16点钝击伤害。
命中后向敌方施加1层疲惫。</t>
  </si>
  <si>
    <t>冷却：6.0秒，耗费3点体力，对敌方造成14点钝击伤害。
命中后向自身施加1层雷蕴。</t>
  </si>
  <si>
    <t>冷却：4.0秒，耗费3点体力，对敌方造成14点钝击伤害。
命中后向敌方施加1层毒蚀。</t>
  </si>
  <si>
    <t>冷却：4.5秒，耗费4点体力，对敌方造成15点钝击伤害。
命中后向敌方施加1层雷印。</t>
  </si>
  <si>
    <t>冷却：4.5秒，耗费2点体力，对敌方造成8点穿刺伤害。
实际伤及气血后向敌方施加2层流血。</t>
  </si>
  <si>
    <t>冷却：9.0秒，耗费7点体力，对敌方造成32点钝击伤害。
命中后向敌方施加2层重伤。</t>
  </si>
  <si>
    <t>冷却：7.0秒，耗费3点体力，对敌方造成13点钝击伤害。
命中后向敌方施加1层驱散。</t>
  </si>
  <si>
    <t>冷却：4.5秒，耗费3点体力，对敌方造成16点钝击伤害。
命中后向敌方施加1层缠绕。</t>
  </si>
  <si>
    <t>冷却：9.0秒，耗费8点体力，对敌方造成36点穿刺伤害。
命中后向敌方施加2层灼烧。</t>
  </si>
  <si>
    <t>冷却：6.0秒，恢复4点护甲。
上限：护甲+7。
套装：布护臂和布护腿同时与粗布甲紧贴，粗布甲护甲上限额外+3，粗布甲恢复护甲额外+2，且额外恢复2体力。</t>
  </si>
  <si>
    <t>冷却：7.5秒，恢复1点护甲。
上限：护甲+2。</t>
  </si>
  <si>
    <t>冷却：7.5秒，恢复4点护甲。
上限：护甲+2。</t>
  </si>
  <si>
    <t>冷却：9.0秒，恢复5点护甲。
上限：护甲+10。
套装：铁护臂和铁护腿同时与铁甲紧贴，铁甲护甲上限额外+3，铁甲恢复护甲额外+2。</t>
  </si>
  <si>
    <t>冷却：7.5秒，恢复1点护甲。
上限：护甲+1。</t>
  </si>
  <si>
    <t>冷却：9.0秒，恢复1点护甲。
上限：护甲+2。</t>
  </si>
  <si>
    <t>冷却：7.5秒，恢复2点护甲。
上限：护甲+2。</t>
  </si>
  <si>
    <t>冷却：9.0秒，恢复3点护甲。
上限：护甲+3。</t>
  </si>
  <si>
    <t>冷却：6.0秒，恢复7点护甲。
上限：护甲+13。</t>
  </si>
  <si>
    <t>冷却：7.0秒，恢复6点护甲。
发动时向自身施加1层润脉。
上限：护甲+12。</t>
  </si>
  <si>
    <t>冷却：8.5秒，恢复8点护甲。
上限：护甲+18。</t>
  </si>
  <si>
    <t>冷却：8.5秒，恢复6点护甲。
冷却：独立9秒准备，合格受击时为自身施加2层附炎；成功施加后重开9秒。
上限：护甲+16。</t>
  </si>
  <si>
    <t>冷却：9.0秒，恢复6点护甲。
发动时向自身施加2层雷蕴。
上限：护甲+14。</t>
  </si>
  <si>
    <t>冷却：7.0秒，恢复2点护甲。
冷却：独立9秒准备，合格受击时为自身施加1层轻灵；成功施加后重开9秒。
上限：护甲+4。</t>
  </si>
  <si>
    <t>冷却：7.5秒，恢复3点护甲。
冷却：独立9秒准备，合格受击时为自身施加1层坚韧；成功施加后重开9秒。
上限：护甲+4。</t>
  </si>
  <si>
    <t>冷却：9.0秒，恢复2点护甲。
发动时向自身施加1层生机。
上限：护甲+4。</t>
  </si>
  <si>
    <t>冷却：8.5秒，恢复2点护甲。
发动时向自身施加1层轻灵。
上限：护甲+3。</t>
  </si>
  <si>
    <t>冷却：7.0秒，恢复2点护甲。
冷却：独立9秒准备，合格受击时为自身施加1层反锋；成功施加后重开9秒。
上限：护甲+3。</t>
  </si>
  <si>
    <t>冷却：7.5秒，恢复4点护甲。
发动时向自身施加1层反锋。
上限：护甲+3。</t>
  </si>
  <si>
    <t>冷却：8.5秒，恢复2点护甲。
冷却：独立9秒准备，合格受击时为自身施加1层润脉；成功施加后重开9秒。
上限：护甲+3。</t>
  </si>
  <si>
    <t>冷却：9.0秒，恢复3点护甲。
冷却：独立9秒准备，合格受击时为自身施加2层雷蕴；成功施加后重开9秒。
上限：护甲+4。</t>
  </si>
  <si>
    <t>冷却：9.0秒，恢复2点护甲。
发动时向自身施加1层轻灵。
上限：护甲+4。</t>
  </si>
  <si>
    <t>冷却：9.0秒，恢复5点护甲。
冷却：独立9秒准备，合格受击时为自身施加2层坚韧；成功施加后重开9秒。
上限：护甲+4。</t>
  </si>
  <si>
    <t>冷却：8.5秒，恢复3点护甲。
发动时向自身施加1层润脉。
上限：护甲+4。</t>
  </si>
  <si>
    <t>冷却：10.5秒，恢复4点护甲。
发动时向自身施加2层生机。
上限：护甲+5。</t>
  </si>
  <si>
    <t>冷却：独立9秒准备，合格受击时为自身施加1层坚韧；成功施加后重开9秒。
上限：护甲+8。</t>
  </si>
  <si>
    <t>冷却：9.0秒，恢复3点护甲。
冷却：独立9秒准备，合格受击时为自身施加2层反锋；成功施加后重开9秒。
上限：护甲+6。</t>
  </si>
  <si>
    <t>冷却：9.0秒，发动时向自身施加2层轻灵。
上限：护甲+3。</t>
  </si>
  <si>
    <t>冷却：7.5秒，恢复6点护甲。
发动时向自身施加1层生机。
上限：护甲+5。</t>
  </si>
  <si>
    <t>冷却：9.0秒，恢复5点护甲。
冷却：独立9秒准备，合格受击时为自身施加2层反锋；成功施加后重开9秒。
上限：护甲+8。</t>
  </si>
  <si>
    <t>冷却：8.5秒，恢复5点护甲。
发动时向自身施加1层润脉。
上限：护甲+6。</t>
  </si>
  <si>
    <t>上限：护甲+12。</t>
  </si>
  <si>
    <t>冷却：8.0秒，恢复2点护甲。
发动时向自身施加1层附炎。
上限：护甲+4。</t>
  </si>
  <si>
    <t>冷却：9.0秒，恢复2点护甲。
发动时向自身施加1层雷蕴。
上限：护甲+4。</t>
  </si>
  <si>
    <t>冷却：10.0秒，恢复2点护甲。
发动时向自身施加2层附炎。
上限：护甲+6。</t>
  </si>
  <si>
    <t>冷却：9.0秒，发动时向自身施加2层润脉。
上限：护甲+4。</t>
  </si>
  <si>
    <t>冷却：6.0秒，同时恢复5点气血、7点体力。
恢复上限：各自最大值的2/3（向下取整）。</t>
  </si>
  <si>
    <t>冷却：7.5秒，同时恢复8点气血。
恢复上限：各自最大值的2/3（向下取整）。</t>
  </si>
  <si>
    <t>冷却：7.5秒，同时恢复12点体力。
恢复上限：各自最大值的2/3（向下取整）。</t>
  </si>
  <si>
    <t>冷却：7.5秒，同时恢复8点灵力。
恢复上限：各自最大值的2/3（向下取整）。</t>
  </si>
  <si>
    <t>冷却：7.5秒，每次实际发动消耗2灵力。
同时恢复13点气血。
恢复上限：各自最大值的1/1（向下取整）。</t>
  </si>
  <si>
    <t>冷却：7.5秒，同时恢复18点体力。
恢复上限：各自最大值的2/3（向下取整）。</t>
  </si>
  <si>
    <t>冷却：7.5秒，同时恢复13点灵力。
恢复上限：各自最大值的2/3（向下取整）。</t>
  </si>
  <si>
    <t>冷却：8.5秒，同时恢复7点气血、10点灵力。
恢复上限：各自最大值的2/3（向下取整）。</t>
  </si>
  <si>
    <t>冷却：7.0秒，每次实际发动消耗6灵力。
对敌方造成22点法术型伤害。
命中后向敌方施加1层锋痕。</t>
  </si>
  <si>
    <t>冷却：9.0秒，每次实际发动消耗4灵力。
发动时向自身施加3层生机。</t>
  </si>
  <si>
    <t>冷却：7.5秒，每次实际发动消耗6灵力。
对敌方造成23点法术型伤害。
命中后向敌方施加1层寒霜。</t>
  </si>
  <si>
    <t>冷却：7.5秒，每次实际发动消耗4灵力。
发动时向自身施加3层附炎。</t>
  </si>
  <si>
    <t>冷却：9.0秒，每次实际发动消耗4灵力。
发动时向自身施加3层坚韧。</t>
  </si>
  <si>
    <t>冷却：7.5秒，每次实际发动消耗4灵力。
发动时向敌方施加4层失衡。</t>
  </si>
  <si>
    <t>冷却：9.0秒，每次实际发动消耗4灵力。
发动时向敌方施加4层雷印。</t>
  </si>
  <si>
    <t>上限：护甲+10。</t>
  </si>
  <si>
    <t>冷却：6.0秒，每次实际发动消耗3灵力。
恢复7点护甲。</t>
  </si>
  <si>
    <t>冷却：10.5秒，每次实际发动消耗6灵力。
增加15普通灵盾，受当前上限限制；满值停用，受攻击减值后重开完整CD。</t>
  </si>
  <si>
    <t>冷却：9.0秒，每次实际发动消耗4灵力。
发动时向敌方施加3层枯脉。</t>
  </si>
  <si>
    <t>冷却：10.5秒，每次实际发动消耗4灵力。
发动时向敌方施加2层驱散。</t>
  </si>
  <si>
    <t>冷却：9.0秒，每次实际发动消耗4灵力。
发动时向敌方施加2层连环。</t>
  </si>
  <si>
    <t>冷却：9.0秒，每次实际发动消耗4灵力。
发动时向自身施加3层雷蕴。</t>
  </si>
  <si>
    <t>冷却：10.0秒，持续：每2.0秒恢复3点气血，共3次，总计9点。
同一具体物品仅一叠，每叠最多10份。首瓶开战就绪，条件满足才使用；使用后消耗一瓶并进入CD。</t>
  </si>
  <si>
    <t>冷却：11.5秒，持续：每2.0秒恢复6点体力，共3次，总计18点。
同一具体物品仅一叠，每叠最多10份。首瓶开战就绪，条件满足才使用；使用后消耗一瓶并进入CD。</t>
  </si>
  <si>
    <t>冷却：8.5秒，清除当前毒蚀，15.0秒内免除毒蚀效果。
同一具体物品仅一叠，每叠最多10份。首瓶开战就绪，条件满足才使用；使用后消耗一瓶并进入CD。</t>
  </si>
  <si>
    <t>冷却：11.5秒，持续：每2.0秒恢复4点灵力，共3次，总计12点。
同一具体物品仅一叠，每叠最多10份。首瓶开战就绪，条件满足才使用；使用后消耗一瓶并进入CD。</t>
  </si>
  <si>
    <t>冷却：8.5秒，立即恢复6点气血。
同一具体物品仅一叠，每叠最多10份。首瓶开战就绪，条件满足才使用；使用后消耗一瓶并进入CD。</t>
  </si>
  <si>
    <t>冷却：10.5秒，立即恢复5点气血。
立即恢复9点体力。
同一具体物品仅一叠，每叠最多10份。首瓶开战就绪，条件满足才使用；使用后消耗一瓶并进入CD。</t>
  </si>
  <si>
    <t>冷却：12.0秒，持续：每2.0秒恢复7点气血，共3次，总计21点。
同一具体物品仅一叠，每叠最多10份。首瓶开战就绪，条件满足才使用；使用后消耗一瓶并进入CD。</t>
  </si>
  <si>
    <t>冷却：13.0秒，持续：每2.0秒恢复10点体力，共3次，总计30点。
同一具体物品仅一叠，每叠最多10份。首瓶开战就绪，条件满足才使用；使用后消耗一瓶并进入CD。</t>
  </si>
  <si>
    <t>冷却：13.0秒，持续：每2.0秒恢复9点灵力，共3次，总计27点。
同一具体物品仅一叠，每叠最多10份。首瓶开战就绪，条件满足才使用；使用后消耗一瓶并进入CD。</t>
  </si>
  <si>
    <t>冷却：12.0秒，立即恢复12点气血。
立即恢复18点体力。
同一具体物品仅一叠，每叠最多10份。首瓶开战就绪，条件满足才使用；使用后消耗一瓶并进入CD。</t>
  </si>
  <si>
    <t>冷却：18.0秒，发动时向自身施加4层坚韧。
同一具体物品仅一叠，每叠最多10份。首瓶开战就绪，条件满足才使用；使用后消耗一瓶并进入CD。</t>
  </si>
  <si>
    <t>冷却：22.5秒，对应火直接伤害降低10%，持续12秒；不减少持续跳伤。
同一具体物品仅一叠，每叠最多10份。首瓶开战就绪，条件满足才使用；使用后消耗一瓶并进入CD。</t>
  </si>
  <si>
    <t>冷却：22.5秒，对应水直接伤害降低10%，持续12秒；不减少持续跳伤。
同一具体物品仅一叠，每叠最多10份。首瓶开战就绪，条件满足才使用；使用后消耗一瓶并进入CD。</t>
  </si>
  <si>
    <t>冷却：22.5秒，对应金直接伤害降低10%，持续12秒；不减少持续跳伤。
同一具体物品仅一叠，每叠最多10份。首瓶开战就绪，条件满足才使用；使用后消耗一瓶并进入CD。</t>
  </si>
  <si>
    <t>冷却：22.5秒，对应木直接伤害降低10%，持续12秒；不减少持续跳伤。
同一具体物品仅一叠，每叠最多10份。首瓶开战就绪，条件满足才使用；使用后消耗一瓶并进入CD。</t>
  </si>
  <si>
    <t>冷却：22.5秒，对应土直接伤害降低10%，持续12秒；不减少持续跳伤。
同一具体物品仅一叠，每叠最多10份。首瓶开战就绪，条件满足才使用；使用后消耗一瓶并进入CD。</t>
  </si>
  <si>
    <t>冷却：6.0秒，对敌方造成18点穿刺伤害。
同一具体物品仅一叠，每叠最多10份。暗器首轮从完整CD开始，发动后消耗一件。</t>
  </si>
  <si>
    <t>冷却：8.5秒，对敌方造成26点斩击伤害。
同一具体物品仅一叠，每叠最多10份。暗器首轮从完整CD开始，发动后消耗一件。</t>
  </si>
  <si>
    <t>冷却：9.5秒，对敌方造成32点钝击伤害。
同一具体物品仅一叠，每叠最多10份。暗器首轮从完整CD开始，发动后消耗一件。</t>
  </si>
  <si>
    <t>冷却：7.5秒，对敌方造成12点穿刺伤害。
命中后向敌方施加3层毒蚀。
同一具体物品仅一叠，每叠最多10份。暗器首轮从完整CD开始，发动后消耗一件。</t>
  </si>
  <si>
    <t>冷却：9.0秒，对敌方造成30点法术型伤害。
同一具体物品仅一叠，每叠最多10份。暗器首轮从完整CD开始，发动后消耗一件。</t>
  </si>
  <si>
    <t>赤鬃獠猪掉落的兽材。仅作材料，不能放入战斗阵盘。</t>
  </si>
  <si>
    <t>data/maps/enemy_materials.json</t>
  </si>
  <si>
    <t>赤鬃獠猪；常规独立掉落10%；首胜必得</t>
  </si>
  <si>
    <t>2.0×2.0</t>
  </si>
  <si>
    <t>赤鬃獠猪；常规独立掉落25%</t>
  </si>
  <si>
    <t>青壳河鼋掉落的兽材。仅作材料，不能放入战斗阵盘。</t>
  </si>
  <si>
    <t>青壳河鼋；常规独立掉落25%</t>
  </si>
  <si>
    <t>灰脊山狼掉落的兽材。仅作材料，不能放入战斗阵盘。</t>
  </si>
  <si>
    <t>灰脊山狼；常规独立掉落25%</t>
  </si>
  <si>
    <t>青翎岩雉掉落的兽材。仅作材料，不能放入战斗阵盘。</t>
  </si>
  <si>
    <t>青翎岩雉；常规独立掉落25%</t>
  </si>
  <si>
    <t>叶片灰绿，气味浓烈，具有清毒、处理伤口的用途。</t>
  </si>
  <si>
    <t>data/maps/herbs.json</t>
  </si>
  <si>
    <t>山坡荒地</t>
  </si>
  <si>
    <t>青藤盘附岩石，根茎结实，药性偏温。适合恢复体力、调养身体。</t>
  </si>
  <si>
    <t>无名旧祠（位置待定）</t>
  </si>
  <si>
    <t>生长于阴凉湿润的石面，略含微弱灵气，能够辅助恢复灵力。</t>
  </si>
  <si>
    <t>潮湿溪石</t>
  </si>
  <si>
    <t>常见低矮草本，叶缘略带红色。用于制作止血、治疗外伤的药品。</t>
  </si>
  <si>
    <t>林间草坡</t>
  </si>
  <si>
    <t>赤褐色矿石，易于熔炼，可加工成铜质器具与配件。</t>
  </si>
  <si>
    <t>data/maps/minerals.json</t>
  </si>
  <si>
    <t>西崖矿隙</t>
  </si>
  <si>
    <t>灰黑色矿石，质地坚实，可用于打造普通铁质装备。</t>
  </si>
  <si>
    <t>溪湾砂矿</t>
  </si>
  <si>
    <t>3×3</t>
  </si>
  <si>
    <t>寻常修士使用的基础行囊。
适用境界：凡人及以上。
上限：气血+5，体力+5。</t>
  </si>
  <si>
    <t>data/maps/qinglan_boards.json</t>
  </si>
  <si>
    <t>4×3</t>
  </si>
  <si>
    <t>出自青岚宗的制式阵盘。
适用境界：凡人及以上。
上限：气血+10，体力+10。
自身增益上限：生机+4，轻灵+4。</t>
  </si>
  <si>
    <t>4×4</t>
  </si>
  <si>
    <t>出自青岚宗的制式阵盘。
适用境界：炼气及以上。
上限：气血+20，体力+15，灵力+10。
自身增益上限：生机+8，轻灵+4，坚韧+2。
施加减益上限：失衡+2，驱散+2。</t>
  </si>
  <si>
    <t>5×4</t>
  </si>
  <si>
    <t>出自青岚宗的制式阵盘。
适用境界：筑基及以上。
上限：气血+30，体力+20，灵力+30。
自身增益上限：生机+12，轻灵+8，坚韧+4。
施加减益上限：失衡+4，驱散+4。</t>
  </si>
  <si>
    <t>5×5</t>
  </si>
  <si>
    <t>出自青岚宗的制式阵盘。
适用境界：结丹及以上。
上限：气血+40，体力+25，灵力+40。
自身增益上限：生机+16，轻灵+8，坚韧+6。
施加减益上限：失衡+6，驱散+6。</t>
  </si>
  <si>
    <t>6×5</t>
  </si>
  <si>
    <t>出自青岚宗的制式阵盘。
适用境界：元婴及以上。
上限：气血+50，体力+30，灵力+50。
自身增益上限：生机+20，轻灵+12，坚韧+8。
施加减益上限：失衡+6，驱散+6。</t>
  </si>
  <si>
    <t>6×6</t>
  </si>
  <si>
    <t>出自青岚宗的制式阵盘。
适用境界：化神及以上。
上限：气血+60，体力+40，灵力+60。
自身增益上限：生机+24，轻灵+12，坚韧+10。
施加减益上限：失衡+8，驱散+8。</t>
  </si>
  <si>
    <t>材料出售期望｜静态核对，未进行战斗模拟</t>
  </si>
  <si>
    <t>金额随价目表变更；仅计算既有掉落概率×建议卖价，不扣耗药，不含修为／历练，当前游戏出售功能尚未启用。</t>
  </si>
  <si>
    <t>怪物</t>
  </si>
  <si>
    <t>掉落物</t>
  </si>
  <si>
    <t>常规掉率</t>
  </si>
  <si>
    <t>建议卖价</t>
  </si>
  <si>
    <t>常规期望收入</t>
  </si>
  <si>
    <t>该种怪首胜掉率</t>
  </si>
  <si>
    <t>该种怪首胜期望收入</t>
  </si>
  <si>
    <t>来源／说明</t>
  </si>
  <si>
    <t>赤鬃獠猪</t>
  </si>
  <si>
    <t>data/enemies/chisong_liaozhu.json</t>
  </si>
  <si>
    <t>data/enemies/chisong_liaozhu.json；首胜凭证按怪物种类，非每个节点</t>
  </si>
  <si>
    <t>赤鬃獠猪合计</t>
  </si>
  <si>
    <t>长期平均值；一次战斗可能没有任何材料。</t>
  </si>
  <si>
    <t>灰脊山狼</t>
  </si>
  <si>
    <t>data/enemies/huiji_shanlang.json</t>
  </si>
  <si>
    <t>灰脊山狼合计</t>
  </si>
  <si>
    <t>青壳河鼋</t>
  </si>
  <si>
    <t>data/enemies/qingke_heyuan.json</t>
  </si>
  <si>
    <t>青壳河鼋合计</t>
  </si>
  <si>
    <t>青翎岩雉</t>
  </si>
  <si>
    <t>data/enemies/qingling_yanzhi.json</t>
  </si>
  <si>
    <t>青翎岩雉合计</t>
  </si>
  <si>
    <t>对照：三种普通怪材料理论收入为每胜6.75～8.5灵石，赤鬃獠猪常规16.5、该种怪首胜52.5。止血丹购买12，青石短剑90；如果每战频繁自动耗药，单靠卖兽材可能无法覆盖支出，需结合赠药／宝箱／其他收入再测。</t>
  </si>
  <si>
    <t>采集物</t>
  </si>
  <si>
    <t>快速／1天</t>
  </si>
  <si>
    <t>预计数量</t>
  </si>
  <si>
    <t>单件卖价</t>
  </si>
  <si>
    <t>预计出售收入</t>
  </si>
  <si>
    <t>深入／3天数量</t>
  </si>
  <si>
    <t>数量=1+0或1</t>
  </si>
  <si>
    <t>既有采药／采矿每次额外0或1，各50%。</t>
  </si>
  <si>
    <t>青藤根尚未正式投放；本行仅同方式假设。</t>
  </si>
  <si>
    <t>来源与效力边界</t>
  </si>
  <si>
    <t>性质</t>
  </si>
  <si>
    <t>文件／依据</t>
  </si>
  <si>
    <t>内容与边界</t>
  </si>
  <si>
    <t>状态</t>
  </si>
  <si>
    <t>用户定案</t>
  </si>
  <si>
    <t>docs/01_核心定案_七系功法与战斗规则.md §1.51</t>
  </si>
  <si>
    <t>四店分类、买入150%／卖出50%，买入上取整／卖出下取整。</t>
  </si>
  <si>
    <t>已确认</t>
  </si>
  <si>
    <t>价格建议</t>
  </si>
  <si>
    <t>docs/sources/item-base-price-proposal-2026-10-12.json</t>
  </si>
  <si>
    <t>142项逐件基准价与理由由本轮拟定，尚未获最终确认，未接入游戏。</t>
  </si>
  <si>
    <t>待审</t>
  </si>
  <si>
    <t>实装读取</t>
  </si>
  <si>
    <t>MapLoadoutStore.create_state → ItemTooltip.effect_text</t>
  </si>
  <si>
    <t>只读加载内容注册表并导出142条说明；未读取正式存档，未执行战斗模拟。</t>
  </si>
  <si>
    <t>已核对</t>
  </si>
  <si>
    <t>游戏价目</t>
  </si>
  <si>
    <t>data/shops/item_base_prices.json</t>
  </si>
  <si>
    <t>正式prices仍为空；没有将本表写入该文件，现有样例购买价保持。</t>
  </si>
  <si>
    <t>保持现状</t>
  </si>
  <si>
    <t>禁售保护</t>
  </si>
  <si>
    <t>已上阵／当前使用阵盘不可直接售；收藏默认禁售，关键与任务品禁售。基准价不替代售卖资格检查。</t>
  </si>
  <si>
    <t>规则已定；出售未接</t>
  </si>
  <si>
    <t>未纳入</t>
  </si>
  <si>
    <t>docs/sources/wuming-jiuci-enemies-2026-10-08.json</t>
  </si>
  <si>
    <t>旧祠18项兽材只在设计记录，未注册库存；独立修炼库35书／56术也不视为实物商品。</t>
  </si>
  <si>
    <t>后续新增实物再补价</t>
  </si>
  <si>
    <t>高阶估值</t>
  </si>
  <si>
    <t>青岚·听风／凝翠／流霞／凌霄／太虚</t>
  </si>
  <si>
    <t>按晓岚300起步、每境界4倍的建议梯度临时估值；不是基于已验证中后期收入。不得据测试档赠送高阶盘推定正式经济。</t>
  </si>
  <si>
    <t>低置信度，待经济复核</t>
  </si>
  <si>
    <t>生产约束</t>
  </si>
  <si>
    <t>docs/t01-05-材料与锻造词典_编制与审校记录_2026-09-27.md</t>
  </si>
  <si>
    <t>制作配方／投入数量未接；现阶段不能验证买材→制作→出售的成本与利润。</t>
  </si>
  <si>
    <t>后续校验</t>
  </si>
  <si>
    <t>购买范围</t>
  </si>
  <si>
    <t>data/shops/trade_rules.json</t>
  </si>
  <si>
    <t>经营类别不等于货架。各店资格、库存、补货与高阶货品投放需独立配置。</t>
  </si>
  <si>
    <t>不得由估价自动上架</t>
  </si>
  <si>
    <t>表格读取</t>
  </si>
  <si>
    <t>01_全部价目 E列；00_说明 B5/B6</t>
  </si>
  <si>
    <t>蓝色为建议输入；黑色为公式与派生值；每份／件统一计价。修改表格只重算表内价格，不自动回写JSON或游戏文件。</t>
  </si>
  <si>
    <t>可修改重算</t>
  </si>
  <si>
    <t>验证范围</t>
  </si>
  <si>
    <t>openpyxl回读＋整数算术核对</t>
  </si>
  <si>
    <t>公式与缓存逐项一致、142项ID无遗漏重复、已核对源文件哈希；环境无Excel/LibreOffice，未做原生排版渲染。</t>
  </si>
  <si>
    <t>打开本地表格时可核对布局</t>
  </si>
  <si>
    <t>实际数据</t>
  </si>
  <si>
    <t>SHA256 317a8146b245c82fd740cb5b384c417b598f7efc666f8ce98e57da9d0971c6b5</t>
  </si>
  <si>
    <t>只读来源</t>
  </si>
  <si>
    <t>SHA256 eaf6608d88c77194550ac438f42e35d629561c40246e3ee86ec2389a0fc3108b</t>
  </si>
  <si>
    <t>SHA256 456b3b8ccd7a61fc0eeed5a8cab6acda233cda8ddcb9bb0b51760a1fdb6e39a4</t>
  </si>
  <si>
    <t>SHA256 a989f3518dfdc73283ed48bdb5bd7d80e429afed526eddf44754730126fd314d</t>
  </si>
  <si>
    <t>SHA256 061a9fe4bfdb20fc7adc9d5698d1f3fc12e672d7e4f758cba8605af987bcb435</t>
  </si>
</sst>
</file>

<file path=xl/styles.xml><?xml version="1.0" encoding="utf-8"?>
<styleSheet xmlns="http://schemas.openxmlformats.org/spreadsheetml/2006/main">
  <numFmts count="4">
    <numFmt numFmtId="164" formatCode="0%"/>
    <numFmt numFmtId="165" formatCode="#,##0"/>
    <numFmt numFmtId="166" formatCode="0.0%"/>
    <numFmt numFmtId="167" formatCode="0.00"/>
  </numFmts>
  <fonts count="13">
    <font>
      <sz val="11"/>
      <color theme="1"/>
      <name val="Calibri"/>
      <family val="2"/>
      <scheme val="minor"/>
    </font>
    <font>
      <b/>
      <sz val="22"/>
      <color rgb="FFFFFFFF"/>
      <name val="Microsoft YaHei"/>
      <family val="2"/>
    </font>
    <font>
      <sz val="10"/>
      <color rgb="FF69737A"/>
      <name val="Microsoft YaHei"/>
      <family val="2"/>
    </font>
    <font>
      <sz val="10"/>
      <color rgb="FF25363D"/>
      <name val="Microsoft YaHei"/>
      <family val="2"/>
    </font>
    <font>
      <sz val="10"/>
      <color rgb="FF7540A0"/>
      <name val="Microsoft YaHei"/>
      <family val="2"/>
    </font>
    <font>
      <sz val="10"/>
      <color rgb="FF825600"/>
      <name val="Microsoft YaHei"/>
      <family val="2"/>
    </font>
    <font>
      <b/>
      <sz val="10"/>
      <color rgb="FFFFFFFF"/>
      <name val="Microsoft YaHei"/>
      <family val="2"/>
    </font>
    <font>
      <sz val="10"/>
      <color rgb="FF151515"/>
      <name val="Microsoft YaHei"/>
      <family val="2"/>
    </font>
    <font>
      <sz val="10"/>
      <color rgb="FF28734C"/>
      <name val="Microsoft YaHei"/>
      <family val="2"/>
    </font>
    <font>
      <sz val="10"/>
      <color rgb="FF1456A0"/>
      <name val="Microsoft YaHei"/>
      <family val="2"/>
    </font>
    <font>
      <sz val="9"/>
      <color rgb="FF28734C"/>
      <name val="Microsoft YaHei"/>
      <family val="2"/>
    </font>
    <font>
      <sz val="10"/>
      <color theme="1"/>
      <name val="Microsoft YaHei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83845"/>
        <bgColor indexed="64"/>
      </patternFill>
    </fill>
    <fill>
      <patternFill patternType="solid">
        <fgColor rgb="FFF5F0FA"/>
        <bgColor indexed="64"/>
      </patternFill>
    </fill>
    <fill>
      <patternFill patternType="solid">
        <fgColor rgb="FFFFF0D7"/>
        <bgColor indexed="64"/>
      </patternFill>
    </fill>
    <fill>
      <patternFill patternType="solid">
        <fgColor rgb="FF226E79"/>
        <bgColor indexed="64"/>
      </patternFill>
    </fill>
    <fill>
      <patternFill patternType="solid">
        <fgColor rgb="FFF1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4" fillId="3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5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 wrapText="1"/>
    </xf>
    <xf numFmtId="165" fontId="9" fillId="6" borderId="0" xfId="0" applyNumberFormat="1" applyFont="1" applyFill="1" applyAlignment="1">
      <alignment horizontal="right" vertical="center"/>
    </xf>
    <xf numFmtId="0" fontId="10" fillId="0" borderId="0" xfId="0" applyFont="1" applyAlignment="1">
      <alignment vertical="center" wrapText="1"/>
    </xf>
    <xf numFmtId="166" fontId="11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9"/>
  <sheetViews>
    <sheetView showGridLines="0" tabSelected="1" workbookViewId="0">
      <pane ySplit="3" topLeftCell="A4" activePane="bottomLeft" state="frozen"/>
      <selection pane="bottomLeft"/>
    </sheetView>
  </sheetViews>
  <sheetFormatPr defaultRowHeight="28" customHeight="1"/>
  <cols>
    <col min="1" max="1" width="22.7109375" customWidth="1"/>
    <col min="2" max="2" width="17.7109375" customWidth="1"/>
    <col min="3" max="4" width="16.7109375" customWidth="1"/>
    <col min="5" max="5" width="62.7109375" customWidth="1"/>
  </cols>
  <sheetData>
    <row r="1" spans="1:5" ht="28" customHeight="1">
      <c r="A1" s="1" t="s">
        <v>0</v>
      </c>
      <c r="B1" s="1"/>
      <c r="C1" s="1"/>
      <c r="D1" s="1"/>
      <c r="E1" s="1"/>
    </row>
    <row r="2" spans="1:5" ht="28" customHeight="1">
      <c r="A2" s="1"/>
      <c r="B2" s="1"/>
      <c r="C2" s="1"/>
      <c r="D2" s="1"/>
      <c r="E2" s="1"/>
    </row>
    <row r="3" spans="1:5" ht="28" customHeight="1">
      <c r="A3" s="2" t="s">
        <v>1</v>
      </c>
      <c r="B3" s="2"/>
      <c r="C3" s="2"/>
      <c r="D3" s="2"/>
      <c r="E3" s="2"/>
    </row>
    <row r="5" spans="1:5" ht="28" customHeight="1">
      <c r="A5" s="3" t="s">
        <v>2</v>
      </c>
      <c r="B5" s="4">
        <v>1.5</v>
      </c>
      <c r="C5" s="3" t="s">
        <v>3</v>
      </c>
      <c r="D5" s="2" t="s">
        <v>4</v>
      </c>
      <c r="E5" s="2"/>
    </row>
    <row r="6" spans="1:5" ht="28" customHeight="1">
      <c r="A6" s="3" t="s">
        <v>5</v>
      </c>
      <c r="B6" s="4">
        <v>0.5</v>
      </c>
      <c r="C6" s="3" t="s">
        <v>6</v>
      </c>
      <c r="D6" s="2" t="s">
        <v>7</v>
      </c>
      <c r="E6" s="2"/>
    </row>
    <row r="8" spans="1:5" ht="28" customHeight="1">
      <c r="A8" s="3" t="s">
        <v>8</v>
      </c>
      <c r="B8" s="3"/>
      <c r="C8" s="3"/>
      <c r="D8" s="3"/>
      <c r="E8" s="3"/>
    </row>
    <row r="9" spans="1:5" ht="28" customHeight="1">
      <c r="A9" s="3"/>
      <c r="B9" s="3"/>
      <c r="C9" s="3"/>
      <c r="D9" s="3"/>
      <c r="E9" s="3"/>
    </row>
    <row r="11" spans="1:5" ht="28" customHeight="1">
      <c r="A11" s="5" t="s">
        <v>9</v>
      </c>
      <c r="B11" s="5"/>
      <c r="C11" s="5"/>
      <c r="D11" s="5"/>
      <c r="E11" s="5"/>
    </row>
    <row r="12" spans="1:5" ht="28" customHeight="1">
      <c r="A12" s="5"/>
      <c r="B12" s="5"/>
      <c r="C12" s="5"/>
      <c r="D12" s="5"/>
      <c r="E12" s="5"/>
    </row>
    <row r="14" spans="1:5" ht="28" customHeight="1">
      <c r="A14" s="6" t="s">
        <v>10</v>
      </c>
      <c r="B14" s="6" t="s">
        <v>11</v>
      </c>
      <c r="C14" s="6" t="s">
        <v>12</v>
      </c>
      <c r="D14" s="6" t="s">
        <v>13</v>
      </c>
      <c r="E14" s="6" t="s">
        <v>14</v>
      </c>
    </row>
    <row r="15" spans="1:5" ht="42" customHeight="1">
      <c r="A15" s="3" t="s">
        <v>15</v>
      </c>
      <c r="B15" s="7">
        <f>COUNTA('01_全部价目'!D5:D40)</f>
        <v>36</v>
      </c>
      <c r="C15" s="7">
        <f>MIN('01_全部价目'!E5:E40)</f>
        <v>30</v>
      </c>
      <c r="D15" s="7">
        <f>MAX('01_全部价目'!E5:E40)</f>
        <v>216</v>
      </c>
      <c r="E15" s="3" t="s">
        <v>16</v>
      </c>
    </row>
    <row r="16" spans="1:5" ht="42" customHeight="1">
      <c r="A16" s="3" t="s">
        <v>17</v>
      </c>
      <c r="B16" s="7">
        <f>COUNTA('01_全部价目'!D41:D76)</f>
        <v>36</v>
      </c>
      <c r="C16" s="7">
        <f>MIN('01_全部价目'!E41:E76)</f>
        <v>12</v>
      </c>
      <c r="D16" s="7">
        <f>MAX('01_全部价目'!E41:E76)</f>
        <v>176</v>
      </c>
      <c r="E16" s="3" t="s">
        <v>18</v>
      </c>
    </row>
    <row r="17" spans="1:5" ht="42" customHeight="1">
      <c r="A17" s="3" t="s">
        <v>19</v>
      </c>
      <c r="B17" s="7">
        <f>COUNTA('01_全部价目'!D77:D98)</f>
        <v>22</v>
      </c>
      <c r="C17" s="7">
        <f>MIN('01_全部价目'!E77:E98)</f>
        <v>80</v>
      </c>
      <c r="D17" s="7">
        <f>MAX('01_全部价目'!E77:E98)</f>
        <v>228</v>
      </c>
      <c r="E17" s="3" t="s">
        <v>20</v>
      </c>
    </row>
    <row r="18" spans="1:5" ht="42" customHeight="1">
      <c r="A18" s="3" t="s">
        <v>21</v>
      </c>
      <c r="B18" s="7">
        <f>COUNTA('01_全部价目'!D99:D114)</f>
        <v>16</v>
      </c>
      <c r="C18" s="7">
        <f>MIN('01_全部价目'!E99:E114)</f>
        <v>8</v>
      </c>
      <c r="D18" s="7">
        <f>MAX('01_全部价目'!E99:E114)</f>
        <v>24</v>
      </c>
      <c r="E18" s="3" t="s">
        <v>22</v>
      </c>
    </row>
    <row r="19" spans="1:5" ht="42" customHeight="1">
      <c r="A19" s="3" t="s">
        <v>23</v>
      </c>
      <c r="B19" s="7">
        <f>COUNTA('01_全部价目'!D115:D119)</f>
        <v>5</v>
      </c>
      <c r="C19" s="7">
        <f>MIN('01_全部价目'!E115:E119)</f>
        <v>12</v>
      </c>
      <c r="D19" s="7">
        <f>MAX('01_全部价目'!E115:E119)</f>
        <v>20</v>
      </c>
      <c r="E19" s="3" t="s">
        <v>24</v>
      </c>
    </row>
    <row r="20" spans="1:5" ht="42" customHeight="1">
      <c r="A20" s="3" t="s">
        <v>25</v>
      </c>
      <c r="B20" s="7">
        <f>COUNTA('01_全部价目'!D120:D133)</f>
        <v>14</v>
      </c>
      <c r="C20" s="7">
        <f>MIN('01_全部价目'!E120:E133)</f>
        <v>16</v>
      </c>
      <c r="D20" s="7">
        <f>MAX('01_全部价目'!E120:E133)</f>
        <v>80</v>
      </c>
      <c r="E20" s="3" t="s">
        <v>26</v>
      </c>
    </row>
    <row r="21" spans="1:5" ht="42" customHeight="1">
      <c r="A21" s="3" t="s">
        <v>27</v>
      </c>
      <c r="B21" s="7">
        <f>COUNTA('01_全部价目'!D134:D137)</f>
        <v>4</v>
      </c>
      <c r="C21" s="7">
        <f>MIN('01_全部价目'!E134:E137)</f>
        <v>4</v>
      </c>
      <c r="D21" s="7">
        <f>MAX('01_全部价目'!E134:E137)</f>
        <v>6</v>
      </c>
      <c r="E21" s="3" t="s">
        <v>28</v>
      </c>
    </row>
    <row r="22" spans="1:5" ht="42" customHeight="1">
      <c r="A22" s="3" t="s">
        <v>29</v>
      </c>
      <c r="B22" s="7">
        <f>COUNTA('01_全部价目'!D138:D139)</f>
        <v>2</v>
      </c>
      <c r="C22" s="7">
        <f>MIN('01_全部价目'!E138:E139)</f>
        <v>8</v>
      </c>
      <c r="D22" s="7">
        <f>MAX('01_全部价目'!E138:E139)</f>
        <v>8</v>
      </c>
      <c r="E22" s="3" t="s">
        <v>30</v>
      </c>
    </row>
    <row r="23" spans="1:5" ht="42" customHeight="1">
      <c r="A23" s="3" t="s">
        <v>31</v>
      </c>
      <c r="B23" s="7">
        <f>COUNTA('01_全部价目'!D140:D146)</f>
        <v>7</v>
      </c>
      <c r="C23" s="7">
        <f>MIN('01_全部价目'!E140:E146)</f>
        <v>60</v>
      </c>
      <c r="D23" s="7">
        <f>MAX('01_全部价目'!E140:E146)</f>
        <v>307200</v>
      </c>
      <c r="E23" s="3" t="s">
        <v>32</v>
      </c>
    </row>
    <row r="25" spans="1:5" ht="28" customHeight="1">
      <c r="A25" s="3" t="s">
        <v>33</v>
      </c>
      <c r="B25" s="3"/>
      <c r="C25" s="3"/>
      <c r="D25" s="3"/>
      <c r="E25" s="3"/>
    </row>
    <row r="26" spans="1:5" ht="28" customHeight="1">
      <c r="A26" s="3"/>
      <c r="B26" s="3"/>
      <c r="C26" s="3"/>
      <c r="D26" s="3"/>
      <c r="E26" s="3"/>
    </row>
    <row r="28" spans="1:5" ht="28" customHeight="1">
      <c r="A28" s="5" t="s">
        <v>34</v>
      </c>
      <c r="B28" s="5"/>
      <c r="C28" s="5"/>
      <c r="D28" s="5"/>
      <c r="E28" s="5"/>
    </row>
    <row r="29" spans="1:5" ht="28" customHeight="1">
      <c r="A29" s="5"/>
      <c r="B29" s="5"/>
      <c r="C29" s="5"/>
      <c r="D29" s="5"/>
      <c r="E29" s="5"/>
    </row>
  </sheetData>
  <mergeCells count="8">
    <mergeCell ref="A1:E2"/>
    <mergeCell ref="A3:E3"/>
    <mergeCell ref="D5:E5"/>
    <mergeCell ref="D6:E6"/>
    <mergeCell ref="A8:E9"/>
    <mergeCell ref="A11:E12"/>
    <mergeCell ref="A25:E26"/>
    <mergeCell ref="A28:E29"/>
  </mergeCells>
  <dataValidations count="1">
    <dataValidation type="decimal" allowBlank="1" showInputMessage="1" showErrorMessage="1" error="因数需大于0且不超过100。" sqref="B5:B6">
      <formula1>0.0001</formula1>
      <formula2>100</formula2>
    </dataValidation>
  </dataValidations>
  <pageMargins left="0.3" right="0.3" top="0.4" bottom="0.4" header="0.3" footer="0.3"/>
  <pageSetup paperSize="9" fitToHeight="0" orientation="landscape"/>
  <headerFooter>
    <oddFooter>&amp;L首版建议 · 未写入游戏&amp;R第 &amp;P 页 /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46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28" customHeight="1" outlineLevelCol="1"/>
  <cols>
    <col min="1" max="1" width="6.7109375" customWidth="1"/>
    <col min="2" max="3" width="8.7109375" customWidth="1"/>
    <col min="4" max="4" width="20.7109375" customWidth="1"/>
    <col min="5" max="7" width="12.7109375" customWidth="1"/>
    <col min="8" max="8" width="7.7109375" customWidth="1"/>
    <col min="9" max="9" width="12.7109375" customWidth="1"/>
    <col min="10" max="10" width="48.7109375" customWidth="1"/>
    <col min="11" max="11" width="36.7109375" customWidth="1"/>
    <col min="12" max="14" width="0" hidden="1" customWidth="1" outlineLevel="1"/>
  </cols>
  <sheetData>
    <row r="1" spans="1:14" ht="28" customHeight="1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8" customHeight="1">
      <c r="A3" s="2" t="s">
        <v>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28" customHeight="1">
      <c r="A4" s="6" t="s">
        <v>37</v>
      </c>
      <c r="B4" s="6" t="s">
        <v>10</v>
      </c>
      <c r="C4" s="6" t="s">
        <v>38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44</v>
      </c>
      <c r="J4" s="6" t="s">
        <v>45</v>
      </c>
      <c r="K4" s="6" t="s">
        <v>46</v>
      </c>
      <c r="L4" s="6" t="s">
        <v>47</v>
      </c>
      <c r="M4" s="6" t="s">
        <v>48</v>
      </c>
      <c r="N4" s="6" t="s">
        <v>49</v>
      </c>
    </row>
    <row r="5" spans="1:14" ht="64" customHeight="1">
      <c r="A5" s="3">
        <v>1</v>
      </c>
      <c r="B5" s="8" t="s">
        <v>15</v>
      </c>
      <c r="C5" s="8" t="s">
        <v>50</v>
      </c>
      <c r="D5" s="8" t="s">
        <v>51</v>
      </c>
      <c r="E5" s="9">
        <v>60</v>
      </c>
      <c r="F5" s="7">
        <f>ROUNDUP(E5*'00_说明'!$B$5,0)</f>
        <v>90</v>
      </c>
      <c r="G5" s="7">
        <f>ROUNDDOWN(E5*'00_说明'!$B$6,0)</f>
        <v>30</v>
      </c>
      <c r="H5" s="3" t="s">
        <v>52</v>
      </c>
      <c r="I5" s="3" t="s">
        <v>53</v>
      </c>
      <c r="J5" s="3" t="s">
        <v>54</v>
      </c>
      <c r="K5" s="3" t="s">
        <v>55</v>
      </c>
      <c r="L5" s="8">
        <v>80</v>
      </c>
      <c r="M5" s="7">
        <f>IF(ISNUMBER(L5),F5-L5,"")</f>
        <v>10</v>
      </c>
      <c r="N5" s="10" t="s">
        <v>56</v>
      </c>
    </row>
    <row r="6" spans="1:14" ht="64" customHeight="1">
      <c r="A6" s="3">
        <v>2</v>
      </c>
      <c r="B6" s="8" t="s">
        <v>15</v>
      </c>
      <c r="C6" s="8" t="s">
        <v>50</v>
      </c>
      <c r="D6" s="8" t="s">
        <v>57</v>
      </c>
      <c r="E6" s="9">
        <v>64</v>
      </c>
      <c r="F6" s="7">
        <f>ROUNDUP(E6*'00_说明'!$B$5,0)</f>
        <v>96</v>
      </c>
      <c r="G6" s="7">
        <f>ROUNDDOWN(E6*'00_说明'!$B$6,0)</f>
        <v>32</v>
      </c>
      <c r="H6" s="3" t="s">
        <v>52</v>
      </c>
      <c r="I6" s="3" t="s">
        <v>53</v>
      </c>
      <c r="J6" s="3" t="s">
        <v>58</v>
      </c>
      <c r="K6" s="3" t="s">
        <v>55</v>
      </c>
      <c r="L6" s="8">
        <v>100</v>
      </c>
      <c r="M6" s="7">
        <f>IF(ISNUMBER(L6),F6-L6,"")</f>
        <v>-4</v>
      </c>
      <c r="N6" s="10" t="s">
        <v>59</v>
      </c>
    </row>
    <row r="7" spans="1:14" ht="64" customHeight="1">
      <c r="A7" s="3">
        <v>3</v>
      </c>
      <c r="B7" s="8" t="s">
        <v>15</v>
      </c>
      <c r="C7" s="8" t="s">
        <v>50</v>
      </c>
      <c r="D7" s="8" t="s">
        <v>60</v>
      </c>
      <c r="E7" s="9">
        <v>60</v>
      </c>
      <c r="F7" s="7">
        <f>ROUNDUP(E7*'00_说明'!$B$5,0)</f>
        <v>90</v>
      </c>
      <c r="G7" s="7">
        <f>ROUNDDOWN(E7*'00_说明'!$B$6,0)</f>
        <v>30</v>
      </c>
      <c r="H7" s="3" t="s">
        <v>52</v>
      </c>
      <c r="I7" s="3" t="s">
        <v>53</v>
      </c>
      <c r="J7" s="3" t="s">
        <v>61</v>
      </c>
      <c r="K7" s="3" t="s">
        <v>55</v>
      </c>
      <c r="L7" s="8">
        <v>90</v>
      </c>
      <c r="M7" s="7">
        <f>IF(ISNUMBER(L7),F7-L7,"")</f>
        <v>0</v>
      </c>
      <c r="N7" s="10" t="s">
        <v>62</v>
      </c>
    </row>
    <row r="8" spans="1:14" ht="64" customHeight="1">
      <c r="A8" s="3">
        <v>4</v>
      </c>
      <c r="B8" s="8" t="s">
        <v>15</v>
      </c>
      <c r="C8" s="8" t="s">
        <v>50</v>
      </c>
      <c r="D8" s="8" t="s">
        <v>63</v>
      </c>
      <c r="E8" s="9">
        <v>36</v>
      </c>
      <c r="F8" s="7">
        <f>ROUNDUP(E8*'00_说明'!$B$5,0)</f>
        <v>54</v>
      </c>
      <c r="G8" s="7">
        <f>ROUNDDOWN(E8*'00_说明'!$B$6,0)</f>
        <v>18</v>
      </c>
      <c r="H8" s="3" t="s">
        <v>52</v>
      </c>
      <c r="I8" s="3" t="s">
        <v>53</v>
      </c>
      <c r="J8" s="3" t="s">
        <v>64</v>
      </c>
      <c r="K8" s="3" t="s">
        <v>55</v>
      </c>
      <c r="M8" s="7">
        <f>IF(ISNUMBER(L8),F8-L8,"")</f>
        <v/>
      </c>
      <c r="N8" s="10" t="s">
        <v>65</v>
      </c>
    </row>
    <row r="9" spans="1:14" ht="64" customHeight="1">
      <c r="A9" s="3">
        <v>5</v>
      </c>
      <c r="B9" s="8" t="s">
        <v>15</v>
      </c>
      <c r="C9" s="8" t="s">
        <v>50</v>
      </c>
      <c r="D9" s="8" t="s">
        <v>66</v>
      </c>
      <c r="E9" s="9">
        <v>56</v>
      </c>
      <c r="F9" s="7">
        <f>ROUNDUP(E9*'00_说明'!$B$5,0)</f>
        <v>84</v>
      </c>
      <c r="G9" s="7">
        <f>ROUNDDOWN(E9*'00_说明'!$B$6,0)</f>
        <v>28</v>
      </c>
      <c r="H9" s="3" t="s">
        <v>52</v>
      </c>
      <c r="I9" s="3" t="s">
        <v>53</v>
      </c>
      <c r="J9" s="3" t="s">
        <v>67</v>
      </c>
      <c r="K9" s="3" t="s">
        <v>55</v>
      </c>
      <c r="L9" s="8">
        <v>70</v>
      </c>
      <c r="M9" s="7">
        <f>IF(ISNUMBER(L9),F9-L9,"")</f>
        <v>14</v>
      </c>
      <c r="N9" s="10" t="s">
        <v>68</v>
      </c>
    </row>
    <row r="10" spans="1:14" ht="64" customHeight="1">
      <c r="A10" s="3">
        <v>6</v>
      </c>
      <c r="B10" s="8" t="s">
        <v>15</v>
      </c>
      <c r="C10" s="8" t="s">
        <v>50</v>
      </c>
      <c r="D10" s="8" t="s">
        <v>69</v>
      </c>
      <c r="E10" s="9">
        <v>30</v>
      </c>
      <c r="F10" s="7">
        <f>ROUNDUP(E10*'00_说明'!$B$5,0)</f>
        <v>45</v>
      </c>
      <c r="G10" s="7">
        <f>ROUNDDOWN(E10*'00_说明'!$B$6,0)</f>
        <v>15</v>
      </c>
      <c r="H10" s="3" t="s">
        <v>52</v>
      </c>
      <c r="I10" s="3" t="s">
        <v>53</v>
      </c>
      <c r="J10" s="3" t="s">
        <v>70</v>
      </c>
      <c r="K10" s="3" t="s">
        <v>55</v>
      </c>
      <c r="M10" s="7">
        <f>IF(ISNUMBER(L10),F10-L10,"")</f>
        <v/>
      </c>
      <c r="N10" s="10" t="s">
        <v>71</v>
      </c>
    </row>
    <row r="11" spans="1:14" ht="64" customHeight="1">
      <c r="A11" s="3">
        <v>7</v>
      </c>
      <c r="B11" s="8" t="s">
        <v>15</v>
      </c>
      <c r="C11" s="8" t="s">
        <v>50</v>
      </c>
      <c r="D11" s="8" t="s">
        <v>72</v>
      </c>
      <c r="E11" s="9">
        <v>72</v>
      </c>
      <c r="F11" s="7">
        <f>ROUNDUP(E11*'00_说明'!$B$5,0)</f>
        <v>108</v>
      </c>
      <c r="G11" s="7">
        <f>ROUNDDOWN(E11*'00_说明'!$B$6,0)</f>
        <v>36</v>
      </c>
      <c r="H11" s="3" t="s">
        <v>52</v>
      </c>
      <c r="I11" s="3" t="s">
        <v>53</v>
      </c>
      <c r="J11" s="3" t="s">
        <v>73</v>
      </c>
      <c r="K11" s="3" t="s">
        <v>55</v>
      </c>
      <c r="M11" s="7">
        <f>IF(ISNUMBER(L11),F11-L11,"")</f>
        <v/>
      </c>
      <c r="N11" s="10" t="s">
        <v>74</v>
      </c>
    </row>
    <row r="12" spans="1:14" ht="64" customHeight="1">
      <c r="A12" s="3">
        <v>8</v>
      </c>
      <c r="B12" s="8" t="s">
        <v>15</v>
      </c>
      <c r="C12" s="8" t="s">
        <v>50</v>
      </c>
      <c r="D12" s="8" t="s">
        <v>75</v>
      </c>
      <c r="E12" s="9">
        <v>30</v>
      </c>
      <c r="F12" s="7">
        <f>ROUNDUP(E12*'00_说明'!$B$5,0)</f>
        <v>45</v>
      </c>
      <c r="G12" s="7">
        <f>ROUNDDOWN(E12*'00_说明'!$B$6,0)</f>
        <v>15</v>
      </c>
      <c r="H12" s="3" t="s">
        <v>52</v>
      </c>
      <c r="I12" s="3" t="s">
        <v>53</v>
      </c>
      <c r="J12" s="3" t="s">
        <v>76</v>
      </c>
      <c r="K12" s="3" t="s">
        <v>55</v>
      </c>
      <c r="M12" s="7">
        <f>IF(ISNUMBER(L12),F12-L12,"")</f>
        <v/>
      </c>
      <c r="N12" s="10" t="s">
        <v>77</v>
      </c>
    </row>
    <row r="13" spans="1:14" ht="64" customHeight="1">
      <c r="A13" s="3">
        <v>9</v>
      </c>
      <c r="B13" s="8" t="s">
        <v>15</v>
      </c>
      <c r="C13" s="8" t="s">
        <v>50</v>
      </c>
      <c r="D13" s="8" t="s">
        <v>78</v>
      </c>
      <c r="E13" s="9">
        <v>64</v>
      </c>
      <c r="F13" s="7">
        <f>ROUNDUP(E13*'00_说明'!$B$5,0)</f>
        <v>96</v>
      </c>
      <c r="G13" s="7">
        <f>ROUNDDOWN(E13*'00_说明'!$B$6,0)</f>
        <v>32</v>
      </c>
      <c r="H13" s="3" t="s">
        <v>52</v>
      </c>
      <c r="I13" s="3" t="s">
        <v>53</v>
      </c>
      <c r="J13" s="3" t="s">
        <v>79</v>
      </c>
      <c r="K13" s="3" t="s">
        <v>55</v>
      </c>
      <c r="M13" s="7">
        <f>IF(ISNUMBER(L13),F13-L13,"")</f>
        <v/>
      </c>
      <c r="N13" s="10" t="s">
        <v>80</v>
      </c>
    </row>
    <row r="14" spans="1:14" ht="64" customHeight="1">
      <c r="A14" s="3">
        <v>10</v>
      </c>
      <c r="B14" s="8" t="s">
        <v>15</v>
      </c>
      <c r="C14" s="8" t="s">
        <v>81</v>
      </c>
      <c r="D14" s="8" t="s">
        <v>82</v>
      </c>
      <c r="E14" s="9">
        <v>140</v>
      </c>
      <c r="F14" s="7">
        <f>ROUNDUP(E14*'00_说明'!$B$5,0)</f>
        <v>210</v>
      </c>
      <c r="G14" s="7">
        <f>ROUNDDOWN(E14*'00_说明'!$B$6,0)</f>
        <v>70</v>
      </c>
      <c r="H14" s="3" t="s">
        <v>52</v>
      </c>
      <c r="I14" s="3" t="s">
        <v>53</v>
      </c>
      <c r="J14" s="3" t="s">
        <v>83</v>
      </c>
      <c r="K14" s="3" t="s">
        <v>55</v>
      </c>
      <c r="M14" s="7">
        <f>IF(ISNUMBER(L14),F14-L14,"")</f>
        <v/>
      </c>
      <c r="N14" s="10" t="s">
        <v>84</v>
      </c>
    </row>
    <row r="15" spans="1:14" ht="64" customHeight="1">
      <c r="A15" s="3">
        <v>11</v>
      </c>
      <c r="B15" s="8" t="s">
        <v>15</v>
      </c>
      <c r="C15" s="8" t="s">
        <v>81</v>
      </c>
      <c r="D15" s="8" t="s">
        <v>85</v>
      </c>
      <c r="E15" s="9">
        <v>160</v>
      </c>
      <c r="F15" s="7">
        <f>ROUNDUP(E15*'00_说明'!$B$5,0)</f>
        <v>240</v>
      </c>
      <c r="G15" s="7">
        <f>ROUNDDOWN(E15*'00_说明'!$B$6,0)</f>
        <v>80</v>
      </c>
      <c r="H15" s="3" t="s">
        <v>52</v>
      </c>
      <c r="I15" s="3" t="s">
        <v>53</v>
      </c>
      <c r="J15" s="3" t="s">
        <v>86</v>
      </c>
      <c r="K15" s="3" t="s">
        <v>55</v>
      </c>
      <c r="L15" s="8">
        <v>240</v>
      </c>
      <c r="M15" s="7">
        <f>IF(ISNUMBER(L15),F15-L15,"")</f>
        <v>0</v>
      </c>
      <c r="N15" s="10" t="s">
        <v>87</v>
      </c>
    </row>
    <row r="16" spans="1:14" ht="64" customHeight="1">
      <c r="A16" s="3">
        <v>12</v>
      </c>
      <c r="B16" s="8" t="s">
        <v>15</v>
      </c>
      <c r="C16" s="8" t="s">
        <v>81</v>
      </c>
      <c r="D16" s="8" t="s">
        <v>88</v>
      </c>
      <c r="E16" s="9">
        <v>168</v>
      </c>
      <c r="F16" s="7">
        <f>ROUNDUP(E16*'00_说明'!$B$5,0)</f>
        <v>252</v>
      </c>
      <c r="G16" s="7">
        <f>ROUNDDOWN(E16*'00_说明'!$B$6,0)</f>
        <v>84</v>
      </c>
      <c r="H16" s="3" t="s">
        <v>52</v>
      </c>
      <c r="I16" s="3" t="s">
        <v>53</v>
      </c>
      <c r="J16" s="3" t="s">
        <v>89</v>
      </c>
      <c r="K16" s="3" t="s">
        <v>55</v>
      </c>
      <c r="M16" s="7">
        <f>IF(ISNUMBER(L16),F16-L16,"")</f>
        <v/>
      </c>
      <c r="N16" s="10" t="s">
        <v>90</v>
      </c>
    </row>
    <row r="17" spans="1:14" ht="64" customHeight="1">
      <c r="A17" s="3">
        <v>13</v>
      </c>
      <c r="B17" s="8" t="s">
        <v>15</v>
      </c>
      <c r="C17" s="8" t="s">
        <v>81</v>
      </c>
      <c r="D17" s="8" t="s">
        <v>91</v>
      </c>
      <c r="E17" s="9">
        <v>112</v>
      </c>
      <c r="F17" s="7">
        <f>ROUNDUP(E17*'00_说明'!$B$5,0)</f>
        <v>168</v>
      </c>
      <c r="G17" s="7">
        <f>ROUNDDOWN(E17*'00_说明'!$B$6,0)</f>
        <v>56</v>
      </c>
      <c r="H17" s="3" t="s">
        <v>52</v>
      </c>
      <c r="I17" s="3" t="s">
        <v>53</v>
      </c>
      <c r="J17" s="3" t="s">
        <v>92</v>
      </c>
      <c r="K17" s="3" t="s">
        <v>55</v>
      </c>
      <c r="M17" s="7">
        <f>IF(ISNUMBER(L17),F17-L17,"")</f>
        <v/>
      </c>
      <c r="N17" s="10" t="s">
        <v>93</v>
      </c>
    </row>
    <row r="18" spans="1:14" ht="64" customHeight="1">
      <c r="A18" s="3">
        <v>14</v>
      </c>
      <c r="B18" s="8" t="s">
        <v>15</v>
      </c>
      <c r="C18" s="8" t="s">
        <v>81</v>
      </c>
      <c r="D18" s="8" t="s">
        <v>94</v>
      </c>
      <c r="E18" s="9">
        <v>128</v>
      </c>
      <c r="F18" s="7">
        <f>ROUNDUP(E18*'00_说明'!$B$5,0)</f>
        <v>192</v>
      </c>
      <c r="G18" s="7">
        <f>ROUNDDOWN(E18*'00_说明'!$B$6,0)</f>
        <v>64</v>
      </c>
      <c r="H18" s="3" t="s">
        <v>52</v>
      </c>
      <c r="I18" s="3" t="s">
        <v>53</v>
      </c>
      <c r="J18" s="3" t="s">
        <v>95</v>
      </c>
      <c r="K18" s="3" t="s">
        <v>55</v>
      </c>
      <c r="M18" s="7">
        <f>IF(ISNUMBER(L18),F18-L18,"")</f>
        <v/>
      </c>
      <c r="N18" s="10" t="s">
        <v>96</v>
      </c>
    </row>
    <row r="19" spans="1:14" ht="64" customHeight="1">
      <c r="A19" s="3">
        <v>15</v>
      </c>
      <c r="B19" s="8" t="s">
        <v>15</v>
      </c>
      <c r="C19" s="8" t="s">
        <v>81</v>
      </c>
      <c r="D19" s="8" t="s">
        <v>97</v>
      </c>
      <c r="E19" s="9">
        <v>128</v>
      </c>
      <c r="F19" s="7">
        <f>ROUNDUP(E19*'00_说明'!$B$5,0)</f>
        <v>192</v>
      </c>
      <c r="G19" s="7">
        <f>ROUNDDOWN(E19*'00_说明'!$B$6,0)</f>
        <v>64</v>
      </c>
      <c r="H19" s="3" t="s">
        <v>52</v>
      </c>
      <c r="I19" s="3" t="s">
        <v>53</v>
      </c>
      <c r="J19" s="3" t="s">
        <v>98</v>
      </c>
      <c r="K19" s="3" t="s">
        <v>55</v>
      </c>
      <c r="M19" s="7">
        <f>IF(ISNUMBER(L19),F19-L19,"")</f>
        <v/>
      </c>
      <c r="N19" s="10" t="s">
        <v>99</v>
      </c>
    </row>
    <row r="20" spans="1:14" ht="64" customHeight="1">
      <c r="A20" s="3">
        <v>16</v>
      </c>
      <c r="B20" s="8" t="s">
        <v>15</v>
      </c>
      <c r="C20" s="8" t="s">
        <v>81</v>
      </c>
      <c r="D20" s="8" t="s">
        <v>100</v>
      </c>
      <c r="E20" s="9">
        <v>188</v>
      </c>
      <c r="F20" s="7">
        <f>ROUNDUP(E20*'00_说明'!$B$5,0)</f>
        <v>282</v>
      </c>
      <c r="G20" s="7">
        <f>ROUNDDOWN(E20*'00_说明'!$B$6,0)</f>
        <v>94</v>
      </c>
      <c r="H20" s="3" t="s">
        <v>52</v>
      </c>
      <c r="I20" s="3" t="s">
        <v>53</v>
      </c>
      <c r="J20" s="3" t="s">
        <v>101</v>
      </c>
      <c r="K20" s="3" t="s">
        <v>55</v>
      </c>
      <c r="M20" s="7">
        <f>IF(ISNUMBER(L20),F20-L20,"")</f>
        <v/>
      </c>
      <c r="N20" s="10" t="s">
        <v>102</v>
      </c>
    </row>
    <row r="21" spans="1:14" ht="64" customHeight="1">
      <c r="A21" s="3">
        <v>17</v>
      </c>
      <c r="B21" s="8" t="s">
        <v>15</v>
      </c>
      <c r="C21" s="8" t="s">
        <v>81</v>
      </c>
      <c r="D21" s="8" t="s">
        <v>103</v>
      </c>
      <c r="E21" s="9">
        <v>184</v>
      </c>
      <c r="F21" s="7">
        <f>ROUNDUP(E21*'00_说明'!$B$5,0)</f>
        <v>276</v>
      </c>
      <c r="G21" s="7">
        <f>ROUNDDOWN(E21*'00_说明'!$B$6,0)</f>
        <v>92</v>
      </c>
      <c r="H21" s="3" t="s">
        <v>52</v>
      </c>
      <c r="I21" s="3" t="s">
        <v>53</v>
      </c>
      <c r="J21" s="3" t="s">
        <v>104</v>
      </c>
      <c r="K21" s="3" t="s">
        <v>55</v>
      </c>
      <c r="M21" s="7">
        <f>IF(ISNUMBER(L21),F21-L21,"")</f>
        <v/>
      </c>
      <c r="N21" s="10" t="s">
        <v>105</v>
      </c>
    </row>
    <row r="22" spans="1:14" ht="64" customHeight="1">
      <c r="A22" s="3">
        <v>18</v>
      </c>
      <c r="B22" s="8" t="s">
        <v>15</v>
      </c>
      <c r="C22" s="8" t="s">
        <v>81</v>
      </c>
      <c r="D22" s="8" t="s">
        <v>106</v>
      </c>
      <c r="E22" s="9">
        <v>184</v>
      </c>
      <c r="F22" s="7">
        <f>ROUNDUP(E22*'00_说明'!$B$5,0)</f>
        <v>276</v>
      </c>
      <c r="G22" s="7">
        <f>ROUNDDOWN(E22*'00_说明'!$B$6,0)</f>
        <v>92</v>
      </c>
      <c r="H22" s="3" t="s">
        <v>52</v>
      </c>
      <c r="I22" s="3" t="s">
        <v>53</v>
      </c>
      <c r="J22" s="3" t="s">
        <v>107</v>
      </c>
      <c r="K22" s="3" t="s">
        <v>55</v>
      </c>
      <c r="M22" s="7">
        <f>IF(ISNUMBER(L22),F22-L22,"")</f>
        <v/>
      </c>
      <c r="N22" s="10" t="s">
        <v>108</v>
      </c>
    </row>
    <row r="23" spans="1:14" ht="64" customHeight="1">
      <c r="A23" s="3">
        <v>19</v>
      </c>
      <c r="B23" s="8" t="s">
        <v>15</v>
      </c>
      <c r="C23" s="8" t="s">
        <v>81</v>
      </c>
      <c r="D23" s="8" t="s">
        <v>109</v>
      </c>
      <c r="E23" s="9">
        <v>152</v>
      </c>
      <c r="F23" s="7">
        <f>ROUNDUP(E23*'00_说明'!$B$5,0)</f>
        <v>228</v>
      </c>
      <c r="G23" s="7">
        <f>ROUNDDOWN(E23*'00_说明'!$B$6,0)</f>
        <v>76</v>
      </c>
      <c r="H23" s="3" t="s">
        <v>52</v>
      </c>
      <c r="I23" s="3" t="s">
        <v>53</v>
      </c>
      <c r="J23" s="3" t="s">
        <v>110</v>
      </c>
      <c r="K23" s="3" t="s">
        <v>55</v>
      </c>
      <c r="M23" s="7">
        <f>IF(ISNUMBER(L23),F23-L23,"")</f>
        <v/>
      </c>
      <c r="N23" s="10" t="s">
        <v>111</v>
      </c>
    </row>
    <row r="24" spans="1:14" ht="64" customHeight="1">
      <c r="A24" s="3">
        <v>20</v>
      </c>
      <c r="B24" s="8" t="s">
        <v>15</v>
      </c>
      <c r="C24" s="8" t="s">
        <v>81</v>
      </c>
      <c r="D24" s="8" t="s">
        <v>112</v>
      </c>
      <c r="E24" s="9">
        <v>164</v>
      </c>
      <c r="F24" s="7">
        <f>ROUNDUP(E24*'00_说明'!$B$5,0)</f>
        <v>246</v>
      </c>
      <c r="G24" s="7">
        <f>ROUNDDOWN(E24*'00_说明'!$B$6,0)</f>
        <v>82</v>
      </c>
      <c r="H24" s="3" t="s">
        <v>52</v>
      </c>
      <c r="I24" s="3" t="s">
        <v>53</v>
      </c>
      <c r="J24" s="3" t="s">
        <v>113</v>
      </c>
      <c r="K24" s="3" t="s">
        <v>55</v>
      </c>
      <c r="M24" s="7">
        <f>IF(ISNUMBER(L24),F24-L24,"")</f>
        <v/>
      </c>
      <c r="N24" s="10" t="s">
        <v>114</v>
      </c>
    </row>
    <row r="25" spans="1:14" ht="64" customHeight="1">
      <c r="A25" s="3">
        <v>21</v>
      </c>
      <c r="B25" s="8" t="s">
        <v>15</v>
      </c>
      <c r="C25" s="8" t="s">
        <v>81</v>
      </c>
      <c r="D25" s="8" t="s">
        <v>115</v>
      </c>
      <c r="E25" s="9">
        <v>176</v>
      </c>
      <c r="F25" s="7">
        <f>ROUNDUP(E25*'00_说明'!$B$5,0)</f>
        <v>264</v>
      </c>
      <c r="G25" s="7">
        <f>ROUNDDOWN(E25*'00_说明'!$B$6,0)</f>
        <v>88</v>
      </c>
      <c r="H25" s="3" t="s">
        <v>52</v>
      </c>
      <c r="I25" s="3" t="s">
        <v>53</v>
      </c>
      <c r="J25" s="3" t="s">
        <v>116</v>
      </c>
      <c r="K25" s="3" t="s">
        <v>55</v>
      </c>
      <c r="M25" s="7">
        <f>IF(ISNUMBER(L25),F25-L25,"")</f>
        <v/>
      </c>
      <c r="N25" s="10" t="s">
        <v>117</v>
      </c>
    </row>
    <row r="26" spans="1:14" ht="64" customHeight="1">
      <c r="A26" s="3">
        <v>22</v>
      </c>
      <c r="B26" s="8" t="s">
        <v>15</v>
      </c>
      <c r="C26" s="8" t="s">
        <v>81</v>
      </c>
      <c r="D26" s="8" t="s">
        <v>118</v>
      </c>
      <c r="E26" s="9">
        <v>104</v>
      </c>
      <c r="F26" s="7">
        <f>ROUNDUP(E26*'00_说明'!$B$5,0)</f>
        <v>156</v>
      </c>
      <c r="G26" s="7">
        <f>ROUNDDOWN(E26*'00_说明'!$B$6,0)</f>
        <v>52</v>
      </c>
      <c r="H26" s="3" t="s">
        <v>52</v>
      </c>
      <c r="I26" s="3" t="s">
        <v>53</v>
      </c>
      <c r="J26" s="3" t="s">
        <v>119</v>
      </c>
      <c r="K26" s="3" t="s">
        <v>55</v>
      </c>
      <c r="M26" s="7">
        <f>IF(ISNUMBER(L26),F26-L26,"")</f>
        <v/>
      </c>
      <c r="N26" s="10" t="s">
        <v>120</v>
      </c>
    </row>
    <row r="27" spans="1:14" ht="64" customHeight="1">
      <c r="A27" s="3">
        <v>23</v>
      </c>
      <c r="B27" s="8" t="s">
        <v>15</v>
      </c>
      <c r="C27" s="8" t="s">
        <v>81</v>
      </c>
      <c r="D27" s="8" t="s">
        <v>121</v>
      </c>
      <c r="E27" s="9">
        <v>128</v>
      </c>
      <c r="F27" s="7">
        <f>ROUNDUP(E27*'00_说明'!$B$5,0)</f>
        <v>192</v>
      </c>
      <c r="G27" s="7">
        <f>ROUNDDOWN(E27*'00_说明'!$B$6,0)</f>
        <v>64</v>
      </c>
      <c r="H27" s="3" t="s">
        <v>52</v>
      </c>
      <c r="I27" s="3" t="s">
        <v>53</v>
      </c>
      <c r="J27" s="3" t="s">
        <v>122</v>
      </c>
      <c r="K27" s="3" t="s">
        <v>55</v>
      </c>
      <c r="M27" s="7">
        <f>IF(ISNUMBER(L27),F27-L27,"")</f>
        <v/>
      </c>
      <c r="N27" s="10" t="s">
        <v>123</v>
      </c>
    </row>
    <row r="28" spans="1:14" ht="64" customHeight="1">
      <c r="A28" s="3">
        <v>24</v>
      </c>
      <c r="B28" s="8" t="s">
        <v>15</v>
      </c>
      <c r="C28" s="8" t="s">
        <v>81</v>
      </c>
      <c r="D28" s="8" t="s">
        <v>124</v>
      </c>
      <c r="E28" s="9">
        <v>196</v>
      </c>
      <c r="F28" s="7">
        <f>ROUNDUP(E28*'00_说明'!$B$5,0)</f>
        <v>294</v>
      </c>
      <c r="G28" s="7">
        <f>ROUNDDOWN(E28*'00_说明'!$B$6,0)</f>
        <v>98</v>
      </c>
      <c r="H28" s="3" t="s">
        <v>52</v>
      </c>
      <c r="I28" s="3" t="s">
        <v>53</v>
      </c>
      <c r="J28" s="3" t="s">
        <v>125</v>
      </c>
      <c r="K28" s="3" t="s">
        <v>55</v>
      </c>
      <c r="M28" s="7">
        <f>IF(ISNUMBER(L28),F28-L28,"")</f>
        <v/>
      </c>
      <c r="N28" s="10" t="s">
        <v>126</v>
      </c>
    </row>
    <row r="29" spans="1:14" ht="64" customHeight="1">
      <c r="A29" s="3">
        <v>25</v>
      </c>
      <c r="B29" s="8" t="s">
        <v>15</v>
      </c>
      <c r="C29" s="8" t="s">
        <v>81</v>
      </c>
      <c r="D29" s="8" t="s">
        <v>127</v>
      </c>
      <c r="E29" s="9">
        <v>216</v>
      </c>
      <c r="F29" s="7">
        <f>ROUNDUP(E29*'00_说明'!$B$5,0)</f>
        <v>324</v>
      </c>
      <c r="G29" s="7">
        <f>ROUNDDOWN(E29*'00_说明'!$B$6,0)</f>
        <v>108</v>
      </c>
      <c r="H29" s="3" t="s">
        <v>52</v>
      </c>
      <c r="I29" s="3" t="s">
        <v>53</v>
      </c>
      <c r="J29" s="3" t="s">
        <v>128</v>
      </c>
      <c r="K29" s="3" t="s">
        <v>55</v>
      </c>
      <c r="L29" s="8">
        <v>320</v>
      </c>
      <c r="M29" s="7">
        <f>IF(ISNUMBER(L29),F29-L29,"")</f>
        <v>4</v>
      </c>
      <c r="N29" s="10" t="s">
        <v>129</v>
      </c>
    </row>
    <row r="30" spans="1:14" ht="64" customHeight="1">
      <c r="A30" s="3">
        <v>26</v>
      </c>
      <c r="B30" s="8" t="s">
        <v>15</v>
      </c>
      <c r="C30" s="8" t="s">
        <v>81</v>
      </c>
      <c r="D30" s="8" t="s">
        <v>130</v>
      </c>
      <c r="E30" s="9">
        <v>160</v>
      </c>
      <c r="F30" s="7">
        <f>ROUNDUP(E30*'00_说明'!$B$5,0)</f>
        <v>240</v>
      </c>
      <c r="G30" s="7">
        <f>ROUNDDOWN(E30*'00_说明'!$B$6,0)</f>
        <v>80</v>
      </c>
      <c r="H30" s="3" t="s">
        <v>52</v>
      </c>
      <c r="I30" s="3" t="s">
        <v>53</v>
      </c>
      <c r="J30" s="3" t="s">
        <v>131</v>
      </c>
      <c r="K30" s="3" t="s">
        <v>55</v>
      </c>
      <c r="M30" s="7">
        <f>IF(ISNUMBER(L30),F30-L30,"")</f>
        <v/>
      </c>
      <c r="N30" s="10" t="s">
        <v>132</v>
      </c>
    </row>
    <row r="31" spans="1:14" ht="64" customHeight="1">
      <c r="A31" s="3">
        <v>27</v>
      </c>
      <c r="B31" s="8" t="s">
        <v>15</v>
      </c>
      <c r="C31" s="8" t="s">
        <v>81</v>
      </c>
      <c r="D31" s="8" t="s">
        <v>133</v>
      </c>
      <c r="E31" s="9">
        <v>164</v>
      </c>
      <c r="F31" s="7">
        <f>ROUNDUP(E31*'00_说明'!$B$5,0)</f>
        <v>246</v>
      </c>
      <c r="G31" s="7">
        <f>ROUNDDOWN(E31*'00_说明'!$B$6,0)</f>
        <v>82</v>
      </c>
      <c r="H31" s="3" t="s">
        <v>52</v>
      </c>
      <c r="I31" s="3" t="s">
        <v>53</v>
      </c>
      <c r="J31" s="3" t="s">
        <v>134</v>
      </c>
      <c r="K31" s="3" t="s">
        <v>55</v>
      </c>
      <c r="M31" s="7">
        <f>IF(ISNUMBER(L31),F31-L31,"")</f>
        <v/>
      </c>
      <c r="N31" s="10" t="s">
        <v>135</v>
      </c>
    </row>
    <row r="32" spans="1:14" ht="64" customHeight="1">
      <c r="A32" s="3">
        <v>28</v>
      </c>
      <c r="B32" s="8" t="s">
        <v>15</v>
      </c>
      <c r="C32" s="8" t="s">
        <v>81</v>
      </c>
      <c r="D32" s="8" t="s">
        <v>136</v>
      </c>
      <c r="E32" s="9">
        <v>112</v>
      </c>
      <c r="F32" s="7">
        <f>ROUNDUP(E32*'00_说明'!$B$5,0)</f>
        <v>168</v>
      </c>
      <c r="G32" s="7">
        <f>ROUNDDOWN(E32*'00_说明'!$B$6,0)</f>
        <v>56</v>
      </c>
      <c r="H32" s="3" t="s">
        <v>52</v>
      </c>
      <c r="I32" s="3" t="s">
        <v>53</v>
      </c>
      <c r="J32" s="3" t="s">
        <v>137</v>
      </c>
      <c r="K32" s="3" t="s">
        <v>55</v>
      </c>
      <c r="M32" s="7">
        <f>IF(ISNUMBER(L32),F32-L32,"")</f>
        <v/>
      </c>
      <c r="N32" s="10" t="s">
        <v>138</v>
      </c>
    </row>
    <row r="33" spans="1:14" ht="64" customHeight="1">
      <c r="A33" s="3">
        <v>29</v>
      </c>
      <c r="B33" s="8" t="s">
        <v>15</v>
      </c>
      <c r="C33" s="8" t="s">
        <v>81</v>
      </c>
      <c r="D33" s="8" t="s">
        <v>139</v>
      </c>
      <c r="E33" s="9">
        <v>136</v>
      </c>
      <c r="F33" s="7">
        <f>ROUNDUP(E33*'00_说明'!$B$5,0)</f>
        <v>204</v>
      </c>
      <c r="G33" s="7">
        <f>ROUNDDOWN(E33*'00_说明'!$B$6,0)</f>
        <v>68</v>
      </c>
      <c r="H33" s="3" t="s">
        <v>52</v>
      </c>
      <c r="I33" s="3" t="s">
        <v>53</v>
      </c>
      <c r="J33" s="3" t="s">
        <v>140</v>
      </c>
      <c r="K33" s="3" t="s">
        <v>55</v>
      </c>
      <c r="M33" s="7">
        <f>IF(ISNUMBER(L33),F33-L33,"")</f>
        <v/>
      </c>
      <c r="N33" s="10" t="s">
        <v>141</v>
      </c>
    </row>
    <row r="34" spans="1:14" ht="64" customHeight="1">
      <c r="A34" s="3">
        <v>30</v>
      </c>
      <c r="B34" s="8" t="s">
        <v>15</v>
      </c>
      <c r="C34" s="8" t="s">
        <v>81</v>
      </c>
      <c r="D34" s="8" t="s">
        <v>142</v>
      </c>
      <c r="E34" s="9">
        <v>176</v>
      </c>
      <c r="F34" s="7">
        <f>ROUNDUP(E34*'00_说明'!$B$5,0)</f>
        <v>264</v>
      </c>
      <c r="G34" s="7">
        <f>ROUNDDOWN(E34*'00_说明'!$B$6,0)</f>
        <v>88</v>
      </c>
      <c r="H34" s="3" t="s">
        <v>52</v>
      </c>
      <c r="I34" s="3" t="s">
        <v>53</v>
      </c>
      <c r="J34" s="3" t="s">
        <v>143</v>
      </c>
      <c r="K34" s="3" t="s">
        <v>55</v>
      </c>
      <c r="M34" s="7">
        <f>IF(ISNUMBER(L34),F34-L34,"")</f>
        <v/>
      </c>
      <c r="N34" s="10" t="s">
        <v>144</v>
      </c>
    </row>
    <row r="35" spans="1:14" ht="64" customHeight="1">
      <c r="A35" s="3">
        <v>31</v>
      </c>
      <c r="B35" s="8" t="s">
        <v>15</v>
      </c>
      <c r="C35" s="8" t="s">
        <v>81</v>
      </c>
      <c r="D35" s="8" t="s">
        <v>145</v>
      </c>
      <c r="E35" s="9">
        <v>184</v>
      </c>
      <c r="F35" s="7">
        <f>ROUNDUP(E35*'00_说明'!$B$5,0)</f>
        <v>276</v>
      </c>
      <c r="G35" s="7">
        <f>ROUNDDOWN(E35*'00_说明'!$B$6,0)</f>
        <v>92</v>
      </c>
      <c r="H35" s="3" t="s">
        <v>52</v>
      </c>
      <c r="I35" s="3" t="s">
        <v>53</v>
      </c>
      <c r="J35" s="3" t="s">
        <v>146</v>
      </c>
      <c r="K35" s="3" t="s">
        <v>55</v>
      </c>
      <c r="L35" s="8">
        <v>300</v>
      </c>
      <c r="M35" s="7">
        <f>IF(ISNUMBER(L35),F35-L35,"")</f>
        <v>-24</v>
      </c>
      <c r="N35" s="10" t="s">
        <v>147</v>
      </c>
    </row>
    <row r="36" spans="1:14" ht="64" customHeight="1">
      <c r="A36" s="3">
        <v>32</v>
      </c>
      <c r="B36" s="8" t="s">
        <v>15</v>
      </c>
      <c r="C36" s="8" t="s">
        <v>81</v>
      </c>
      <c r="D36" s="8" t="s">
        <v>148</v>
      </c>
      <c r="E36" s="9">
        <v>136</v>
      </c>
      <c r="F36" s="7">
        <f>ROUNDUP(E36*'00_说明'!$B$5,0)</f>
        <v>204</v>
      </c>
      <c r="G36" s="7">
        <f>ROUNDDOWN(E36*'00_说明'!$B$6,0)</f>
        <v>68</v>
      </c>
      <c r="H36" s="3" t="s">
        <v>52</v>
      </c>
      <c r="I36" s="3" t="s">
        <v>53</v>
      </c>
      <c r="J36" s="3" t="s">
        <v>149</v>
      </c>
      <c r="K36" s="3" t="s">
        <v>55</v>
      </c>
      <c r="M36" s="7">
        <f>IF(ISNUMBER(L36),F36-L36,"")</f>
        <v/>
      </c>
      <c r="N36" s="10" t="s">
        <v>150</v>
      </c>
    </row>
    <row r="37" spans="1:14" ht="64" customHeight="1">
      <c r="A37" s="3">
        <v>33</v>
      </c>
      <c r="B37" s="8" t="s">
        <v>15</v>
      </c>
      <c r="C37" s="8" t="s">
        <v>81</v>
      </c>
      <c r="D37" s="8" t="s">
        <v>151</v>
      </c>
      <c r="E37" s="9">
        <v>196</v>
      </c>
      <c r="F37" s="7">
        <f>ROUNDUP(E37*'00_说明'!$B$5,0)</f>
        <v>294</v>
      </c>
      <c r="G37" s="7">
        <f>ROUNDDOWN(E37*'00_说明'!$B$6,0)</f>
        <v>98</v>
      </c>
      <c r="H37" s="3" t="s">
        <v>52</v>
      </c>
      <c r="I37" s="3" t="s">
        <v>53</v>
      </c>
      <c r="J37" s="3" t="s">
        <v>152</v>
      </c>
      <c r="K37" s="3" t="s">
        <v>55</v>
      </c>
      <c r="M37" s="7">
        <f>IF(ISNUMBER(L37),F37-L37,"")</f>
        <v/>
      </c>
      <c r="N37" s="10" t="s">
        <v>153</v>
      </c>
    </row>
    <row r="38" spans="1:14" ht="64" customHeight="1">
      <c r="A38" s="3">
        <v>34</v>
      </c>
      <c r="B38" s="8" t="s">
        <v>15</v>
      </c>
      <c r="C38" s="8" t="s">
        <v>81</v>
      </c>
      <c r="D38" s="8" t="s">
        <v>154</v>
      </c>
      <c r="E38" s="9">
        <v>168</v>
      </c>
      <c r="F38" s="7">
        <f>ROUNDUP(E38*'00_说明'!$B$5,0)</f>
        <v>252</v>
      </c>
      <c r="G38" s="7">
        <f>ROUNDDOWN(E38*'00_说明'!$B$6,0)</f>
        <v>84</v>
      </c>
      <c r="H38" s="3" t="s">
        <v>52</v>
      </c>
      <c r="I38" s="3" t="s">
        <v>53</v>
      </c>
      <c r="J38" s="3" t="s">
        <v>155</v>
      </c>
      <c r="K38" s="3" t="s">
        <v>55</v>
      </c>
      <c r="L38" s="8">
        <v>280</v>
      </c>
      <c r="M38" s="7">
        <f>IF(ISNUMBER(L38),F38-L38,"")</f>
        <v>-28</v>
      </c>
      <c r="N38" s="10" t="s">
        <v>156</v>
      </c>
    </row>
    <row r="39" spans="1:14" ht="64" customHeight="1">
      <c r="A39" s="3">
        <v>35</v>
      </c>
      <c r="B39" s="8" t="s">
        <v>15</v>
      </c>
      <c r="C39" s="8" t="s">
        <v>81</v>
      </c>
      <c r="D39" s="8" t="s">
        <v>157</v>
      </c>
      <c r="E39" s="9">
        <v>176</v>
      </c>
      <c r="F39" s="7">
        <f>ROUNDUP(E39*'00_说明'!$B$5,0)</f>
        <v>264</v>
      </c>
      <c r="G39" s="7">
        <f>ROUNDDOWN(E39*'00_说明'!$B$6,0)</f>
        <v>88</v>
      </c>
      <c r="H39" s="3" t="s">
        <v>52</v>
      </c>
      <c r="I39" s="3" t="s">
        <v>53</v>
      </c>
      <c r="J39" s="3" t="s">
        <v>158</v>
      </c>
      <c r="K39" s="3" t="s">
        <v>55</v>
      </c>
      <c r="M39" s="7">
        <f>IF(ISNUMBER(L39),F39-L39,"")</f>
        <v/>
      </c>
      <c r="N39" s="10" t="s">
        <v>159</v>
      </c>
    </row>
    <row r="40" spans="1:14" ht="64" customHeight="1">
      <c r="A40" s="3">
        <v>36</v>
      </c>
      <c r="B40" s="8" t="s">
        <v>15</v>
      </c>
      <c r="C40" s="8" t="s">
        <v>81</v>
      </c>
      <c r="D40" s="8" t="s">
        <v>160</v>
      </c>
      <c r="E40" s="9">
        <v>208</v>
      </c>
      <c r="F40" s="7">
        <f>ROUNDUP(E40*'00_说明'!$B$5,0)</f>
        <v>312</v>
      </c>
      <c r="G40" s="7">
        <f>ROUNDDOWN(E40*'00_说明'!$B$6,0)</f>
        <v>104</v>
      </c>
      <c r="H40" s="3" t="s">
        <v>52</v>
      </c>
      <c r="I40" s="3" t="s">
        <v>53</v>
      </c>
      <c r="J40" s="3" t="s">
        <v>161</v>
      </c>
      <c r="K40" s="3" t="s">
        <v>55</v>
      </c>
      <c r="M40" s="7">
        <f>IF(ISNUMBER(L40),F40-L40,"")</f>
        <v/>
      </c>
      <c r="N40" s="10" t="s">
        <v>162</v>
      </c>
    </row>
    <row r="41" spans="1:14" ht="64" customHeight="1">
      <c r="A41" s="3">
        <v>37</v>
      </c>
      <c r="B41" s="8" t="s">
        <v>17</v>
      </c>
      <c r="C41" s="8" t="s">
        <v>50</v>
      </c>
      <c r="D41" s="8" t="s">
        <v>163</v>
      </c>
      <c r="E41" s="9">
        <v>48</v>
      </c>
      <c r="F41" s="7">
        <f>ROUNDUP(E41*'00_说明'!$B$5,0)</f>
        <v>72</v>
      </c>
      <c r="G41" s="7">
        <f>ROUNDDOWN(E41*'00_说明'!$B$6,0)</f>
        <v>24</v>
      </c>
      <c r="H41" s="3" t="s">
        <v>52</v>
      </c>
      <c r="I41" s="3" t="s">
        <v>53</v>
      </c>
      <c r="J41" s="3" t="s">
        <v>164</v>
      </c>
      <c r="K41" s="3" t="s">
        <v>55</v>
      </c>
      <c r="L41" s="8">
        <v>60</v>
      </c>
      <c r="M41" s="7">
        <f>IF(ISNUMBER(L41),F41-L41,"")</f>
        <v>12</v>
      </c>
      <c r="N41" s="10" t="s">
        <v>165</v>
      </c>
    </row>
    <row r="42" spans="1:14" ht="64" customHeight="1">
      <c r="A42" s="3">
        <v>38</v>
      </c>
      <c r="B42" s="8" t="s">
        <v>17</v>
      </c>
      <c r="C42" s="8" t="s">
        <v>50</v>
      </c>
      <c r="D42" s="8" t="s">
        <v>166</v>
      </c>
      <c r="E42" s="9">
        <v>16</v>
      </c>
      <c r="F42" s="7">
        <f>ROUNDUP(E42*'00_说明'!$B$5,0)</f>
        <v>24</v>
      </c>
      <c r="G42" s="7">
        <f>ROUNDDOWN(E42*'00_说明'!$B$6,0)</f>
        <v>8</v>
      </c>
      <c r="H42" s="3" t="s">
        <v>52</v>
      </c>
      <c r="I42" s="3" t="s">
        <v>53</v>
      </c>
      <c r="J42" s="3" t="s">
        <v>167</v>
      </c>
      <c r="K42" s="3" t="s">
        <v>55</v>
      </c>
      <c r="L42" s="8">
        <v>55</v>
      </c>
      <c r="M42" s="7">
        <f>IF(ISNUMBER(L42),F42-L42,"")</f>
        <v>-31</v>
      </c>
      <c r="N42" s="10" t="s">
        <v>168</v>
      </c>
    </row>
    <row r="43" spans="1:14" ht="64" customHeight="1">
      <c r="A43" s="3">
        <v>39</v>
      </c>
      <c r="B43" s="8" t="s">
        <v>17</v>
      </c>
      <c r="C43" s="8" t="s">
        <v>50</v>
      </c>
      <c r="D43" s="8" t="s">
        <v>169</v>
      </c>
      <c r="E43" s="9">
        <v>28</v>
      </c>
      <c r="F43" s="7">
        <f>ROUNDUP(E43*'00_说明'!$B$5,0)</f>
        <v>42</v>
      </c>
      <c r="G43" s="7">
        <f>ROUNDDOWN(E43*'00_说明'!$B$6,0)</f>
        <v>14</v>
      </c>
      <c r="H43" s="3" t="s">
        <v>52</v>
      </c>
      <c r="I43" s="3" t="s">
        <v>53</v>
      </c>
      <c r="J43" s="3" t="s">
        <v>170</v>
      </c>
      <c r="K43" s="3" t="s">
        <v>55</v>
      </c>
      <c r="L43" s="8">
        <v>65</v>
      </c>
      <c r="M43" s="7">
        <f>IF(ISNUMBER(L43),F43-L43,"")</f>
        <v>-23</v>
      </c>
      <c r="N43" s="10" t="s">
        <v>171</v>
      </c>
    </row>
    <row r="44" spans="1:14" ht="64" customHeight="1">
      <c r="A44" s="3">
        <v>40</v>
      </c>
      <c r="B44" s="8" t="s">
        <v>17</v>
      </c>
      <c r="C44" s="8" t="s">
        <v>50</v>
      </c>
      <c r="D44" s="8" t="s">
        <v>172</v>
      </c>
      <c r="E44" s="9">
        <v>64</v>
      </c>
      <c r="F44" s="7">
        <f>ROUNDUP(E44*'00_说明'!$B$5,0)</f>
        <v>96</v>
      </c>
      <c r="G44" s="7">
        <f>ROUNDDOWN(E44*'00_说明'!$B$6,0)</f>
        <v>32</v>
      </c>
      <c r="H44" s="3" t="s">
        <v>52</v>
      </c>
      <c r="I44" s="3" t="s">
        <v>53</v>
      </c>
      <c r="J44" s="3" t="s">
        <v>173</v>
      </c>
      <c r="K44" s="3" t="s">
        <v>55</v>
      </c>
      <c r="L44" s="8">
        <v>120</v>
      </c>
      <c r="M44" s="7">
        <f>IF(ISNUMBER(L44),F44-L44,"")</f>
        <v>-24</v>
      </c>
      <c r="N44" s="10" t="s">
        <v>174</v>
      </c>
    </row>
    <row r="45" spans="1:14" ht="64" customHeight="1">
      <c r="A45" s="3">
        <v>41</v>
      </c>
      <c r="B45" s="8" t="s">
        <v>17</v>
      </c>
      <c r="C45" s="8" t="s">
        <v>50</v>
      </c>
      <c r="D45" s="8" t="s">
        <v>175</v>
      </c>
      <c r="E45" s="9">
        <v>12</v>
      </c>
      <c r="F45" s="7">
        <f>ROUNDUP(E45*'00_说明'!$B$5,0)</f>
        <v>18</v>
      </c>
      <c r="G45" s="7">
        <f>ROUNDDOWN(E45*'00_说明'!$B$6,0)</f>
        <v>6</v>
      </c>
      <c r="H45" s="3" t="s">
        <v>52</v>
      </c>
      <c r="I45" s="3" t="s">
        <v>53</v>
      </c>
      <c r="J45" s="3" t="s">
        <v>176</v>
      </c>
      <c r="K45" s="3" t="s">
        <v>55</v>
      </c>
      <c r="M45" s="7">
        <f>IF(ISNUMBER(L45),F45-L45,"")</f>
        <v/>
      </c>
      <c r="N45" s="10" t="s">
        <v>177</v>
      </c>
    </row>
    <row r="46" spans="1:14" ht="64" customHeight="1">
      <c r="A46" s="3">
        <v>42</v>
      </c>
      <c r="B46" s="8" t="s">
        <v>17</v>
      </c>
      <c r="C46" s="8" t="s">
        <v>50</v>
      </c>
      <c r="D46" s="8" t="s">
        <v>178</v>
      </c>
      <c r="E46" s="9">
        <v>16</v>
      </c>
      <c r="F46" s="7">
        <f>ROUNDUP(E46*'00_说明'!$B$5,0)</f>
        <v>24</v>
      </c>
      <c r="G46" s="7">
        <f>ROUNDDOWN(E46*'00_说明'!$B$6,0)</f>
        <v>8</v>
      </c>
      <c r="H46" s="3" t="s">
        <v>52</v>
      </c>
      <c r="I46" s="3" t="s">
        <v>53</v>
      </c>
      <c r="J46" s="3" t="s">
        <v>179</v>
      </c>
      <c r="K46" s="3" t="s">
        <v>55</v>
      </c>
      <c r="M46" s="7">
        <f>IF(ISNUMBER(L46),F46-L46,"")</f>
        <v/>
      </c>
      <c r="N46" s="10" t="s">
        <v>180</v>
      </c>
    </row>
    <row r="47" spans="1:14" ht="64" customHeight="1">
      <c r="A47" s="3">
        <v>43</v>
      </c>
      <c r="B47" s="8" t="s">
        <v>17</v>
      </c>
      <c r="C47" s="8" t="s">
        <v>50</v>
      </c>
      <c r="D47" s="8" t="s">
        <v>181</v>
      </c>
      <c r="E47" s="9">
        <v>24</v>
      </c>
      <c r="F47" s="7">
        <f>ROUNDUP(E47*'00_说明'!$B$5,0)</f>
        <v>36</v>
      </c>
      <c r="G47" s="7">
        <f>ROUNDDOWN(E47*'00_说明'!$B$6,0)</f>
        <v>12</v>
      </c>
      <c r="H47" s="3" t="s">
        <v>52</v>
      </c>
      <c r="I47" s="3" t="s">
        <v>53</v>
      </c>
      <c r="J47" s="3" t="s">
        <v>182</v>
      </c>
      <c r="K47" s="3" t="s">
        <v>55</v>
      </c>
      <c r="L47" s="8">
        <v>75</v>
      </c>
      <c r="M47" s="7">
        <f>IF(ISNUMBER(L47),F47-L47,"")</f>
        <v>-39</v>
      </c>
      <c r="N47" s="10" t="s">
        <v>183</v>
      </c>
    </row>
    <row r="48" spans="1:14" ht="64" customHeight="1">
      <c r="A48" s="3">
        <v>44</v>
      </c>
      <c r="B48" s="8" t="s">
        <v>17</v>
      </c>
      <c r="C48" s="8" t="s">
        <v>50</v>
      </c>
      <c r="D48" s="8" t="s">
        <v>184</v>
      </c>
      <c r="E48" s="9">
        <v>30</v>
      </c>
      <c r="F48" s="7">
        <f>ROUNDUP(E48*'00_说明'!$B$5,0)</f>
        <v>45</v>
      </c>
      <c r="G48" s="7">
        <f>ROUNDDOWN(E48*'00_说明'!$B$6,0)</f>
        <v>15</v>
      </c>
      <c r="H48" s="3" t="s">
        <v>52</v>
      </c>
      <c r="I48" s="3" t="s">
        <v>53</v>
      </c>
      <c r="J48" s="3" t="s">
        <v>185</v>
      </c>
      <c r="K48" s="3" t="s">
        <v>55</v>
      </c>
      <c r="L48" s="8">
        <v>75</v>
      </c>
      <c r="M48" s="7">
        <f>IF(ISNUMBER(L48),F48-L48,"")</f>
        <v>-30</v>
      </c>
      <c r="N48" s="10" t="s">
        <v>186</v>
      </c>
    </row>
    <row r="49" spans="1:14" ht="64" customHeight="1">
      <c r="A49" s="3">
        <v>45</v>
      </c>
      <c r="B49" s="8" t="s">
        <v>17</v>
      </c>
      <c r="C49" s="8" t="s">
        <v>81</v>
      </c>
      <c r="D49" s="8" t="s">
        <v>187</v>
      </c>
      <c r="E49" s="9">
        <v>108</v>
      </c>
      <c r="F49" s="7">
        <f>ROUNDUP(E49*'00_说明'!$B$5,0)</f>
        <v>162</v>
      </c>
      <c r="G49" s="7">
        <f>ROUNDDOWN(E49*'00_说明'!$B$6,0)</f>
        <v>54</v>
      </c>
      <c r="H49" s="3" t="s">
        <v>52</v>
      </c>
      <c r="I49" s="3" t="s">
        <v>53</v>
      </c>
      <c r="J49" s="3" t="s">
        <v>188</v>
      </c>
      <c r="K49" s="3" t="s">
        <v>55</v>
      </c>
      <c r="M49" s="7">
        <f>IF(ISNUMBER(L49),F49-L49,"")</f>
        <v/>
      </c>
      <c r="N49" s="10" t="s">
        <v>189</v>
      </c>
    </row>
    <row r="50" spans="1:14" ht="64" customHeight="1">
      <c r="A50" s="3">
        <v>46</v>
      </c>
      <c r="B50" s="8" t="s">
        <v>17</v>
      </c>
      <c r="C50" s="8" t="s">
        <v>81</v>
      </c>
      <c r="D50" s="8" t="s">
        <v>190</v>
      </c>
      <c r="E50" s="9">
        <v>144</v>
      </c>
      <c r="F50" s="7">
        <f>ROUNDUP(E50*'00_说明'!$B$5,0)</f>
        <v>216</v>
      </c>
      <c r="G50" s="7">
        <f>ROUNDDOWN(E50*'00_说明'!$B$6,0)</f>
        <v>72</v>
      </c>
      <c r="H50" s="3" t="s">
        <v>52</v>
      </c>
      <c r="I50" s="3" t="s">
        <v>53</v>
      </c>
      <c r="J50" s="3" t="s">
        <v>191</v>
      </c>
      <c r="K50" s="3" t="s">
        <v>55</v>
      </c>
      <c r="M50" s="7">
        <f>IF(ISNUMBER(L50),F50-L50,"")</f>
        <v/>
      </c>
      <c r="N50" s="10" t="s">
        <v>192</v>
      </c>
    </row>
    <row r="51" spans="1:14" ht="64" customHeight="1">
      <c r="A51" s="3">
        <v>47</v>
      </c>
      <c r="B51" s="8" t="s">
        <v>17</v>
      </c>
      <c r="C51" s="8" t="s">
        <v>81</v>
      </c>
      <c r="D51" s="8" t="s">
        <v>193</v>
      </c>
      <c r="E51" s="9">
        <v>160</v>
      </c>
      <c r="F51" s="7">
        <f>ROUNDUP(E51*'00_说明'!$B$5,0)</f>
        <v>240</v>
      </c>
      <c r="G51" s="7">
        <f>ROUNDDOWN(E51*'00_说明'!$B$6,0)</f>
        <v>80</v>
      </c>
      <c r="H51" s="3" t="s">
        <v>52</v>
      </c>
      <c r="I51" s="3" t="s">
        <v>53</v>
      </c>
      <c r="J51" s="3" t="s">
        <v>194</v>
      </c>
      <c r="K51" s="3" t="s">
        <v>55</v>
      </c>
      <c r="M51" s="7">
        <f>IF(ISNUMBER(L51),F51-L51,"")</f>
        <v/>
      </c>
      <c r="N51" s="10" t="s">
        <v>195</v>
      </c>
    </row>
    <row r="52" spans="1:14" ht="64" customHeight="1">
      <c r="A52" s="3">
        <v>48</v>
      </c>
      <c r="B52" s="8" t="s">
        <v>17</v>
      </c>
      <c r="C52" s="8" t="s">
        <v>81</v>
      </c>
      <c r="D52" s="8" t="s">
        <v>196</v>
      </c>
      <c r="E52" s="9">
        <v>168</v>
      </c>
      <c r="F52" s="7">
        <f>ROUNDUP(E52*'00_说明'!$B$5,0)</f>
        <v>252</v>
      </c>
      <c r="G52" s="7">
        <f>ROUNDDOWN(E52*'00_说明'!$B$6,0)</f>
        <v>84</v>
      </c>
      <c r="H52" s="3" t="s">
        <v>52</v>
      </c>
      <c r="I52" s="3" t="s">
        <v>53</v>
      </c>
      <c r="J52" s="3" t="s">
        <v>197</v>
      </c>
      <c r="K52" s="3" t="s">
        <v>55</v>
      </c>
      <c r="M52" s="7">
        <f>IF(ISNUMBER(L52),F52-L52,"")</f>
        <v/>
      </c>
      <c r="N52" s="10" t="s">
        <v>198</v>
      </c>
    </row>
    <row r="53" spans="1:14" ht="64" customHeight="1">
      <c r="A53" s="3">
        <v>49</v>
      </c>
      <c r="B53" s="8" t="s">
        <v>17</v>
      </c>
      <c r="C53" s="8" t="s">
        <v>81</v>
      </c>
      <c r="D53" s="8" t="s">
        <v>199</v>
      </c>
      <c r="E53" s="9">
        <v>176</v>
      </c>
      <c r="F53" s="7">
        <f>ROUNDUP(E53*'00_说明'!$B$5,0)</f>
        <v>264</v>
      </c>
      <c r="G53" s="7">
        <f>ROUNDDOWN(E53*'00_说明'!$B$6,0)</f>
        <v>88</v>
      </c>
      <c r="H53" s="3" t="s">
        <v>52</v>
      </c>
      <c r="I53" s="3" t="s">
        <v>53</v>
      </c>
      <c r="J53" s="3" t="s">
        <v>200</v>
      </c>
      <c r="K53" s="3" t="s">
        <v>55</v>
      </c>
      <c r="L53" s="8">
        <v>360</v>
      </c>
      <c r="M53" s="7">
        <f>IF(ISNUMBER(L53),F53-L53,"")</f>
        <v>-96</v>
      </c>
      <c r="N53" s="10" t="s">
        <v>201</v>
      </c>
    </row>
    <row r="54" spans="1:14" ht="64" customHeight="1">
      <c r="A54" s="3">
        <v>50</v>
      </c>
      <c r="B54" s="8" t="s">
        <v>17</v>
      </c>
      <c r="C54" s="8" t="s">
        <v>81</v>
      </c>
      <c r="D54" s="8" t="s">
        <v>202</v>
      </c>
      <c r="E54" s="9">
        <v>64</v>
      </c>
      <c r="F54" s="7">
        <f>ROUNDUP(E54*'00_说明'!$B$5,0)</f>
        <v>96</v>
      </c>
      <c r="G54" s="7">
        <f>ROUNDDOWN(E54*'00_说明'!$B$6,0)</f>
        <v>32</v>
      </c>
      <c r="H54" s="3" t="s">
        <v>52</v>
      </c>
      <c r="I54" s="3" t="s">
        <v>53</v>
      </c>
      <c r="J54" s="3" t="s">
        <v>203</v>
      </c>
      <c r="K54" s="3" t="s">
        <v>55</v>
      </c>
      <c r="M54" s="7">
        <f>IF(ISNUMBER(L54),F54-L54,"")</f>
        <v/>
      </c>
      <c r="N54" s="10" t="s">
        <v>204</v>
      </c>
    </row>
    <row r="55" spans="1:14" ht="64" customHeight="1">
      <c r="A55" s="3">
        <v>51</v>
      </c>
      <c r="B55" s="8" t="s">
        <v>17</v>
      </c>
      <c r="C55" s="8" t="s">
        <v>81</v>
      </c>
      <c r="D55" s="8" t="s">
        <v>205</v>
      </c>
      <c r="E55" s="9">
        <v>80</v>
      </c>
      <c r="F55" s="7">
        <f>ROUNDUP(E55*'00_说明'!$B$5,0)</f>
        <v>120</v>
      </c>
      <c r="G55" s="7">
        <f>ROUNDDOWN(E55*'00_说明'!$B$6,0)</f>
        <v>40</v>
      </c>
      <c r="H55" s="3" t="s">
        <v>52</v>
      </c>
      <c r="I55" s="3" t="s">
        <v>53</v>
      </c>
      <c r="J55" s="3" t="s">
        <v>206</v>
      </c>
      <c r="K55" s="3" t="s">
        <v>55</v>
      </c>
      <c r="M55" s="7">
        <f>IF(ISNUMBER(L55),F55-L55,"")</f>
        <v/>
      </c>
      <c r="N55" s="10" t="s">
        <v>207</v>
      </c>
    </row>
    <row r="56" spans="1:14" ht="64" customHeight="1">
      <c r="A56" s="3">
        <v>52</v>
      </c>
      <c r="B56" s="8" t="s">
        <v>17</v>
      </c>
      <c r="C56" s="8" t="s">
        <v>81</v>
      </c>
      <c r="D56" s="8" t="s">
        <v>208</v>
      </c>
      <c r="E56" s="9">
        <v>88</v>
      </c>
      <c r="F56" s="7">
        <f>ROUNDUP(E56*'00_说明'!$B$5,0)</f>
        <v>132</v>
      </c>
      <c r="G56" s="7">
        <f>ROUNDDOWN(E56*'00_说明'!$B$6,0)</f>
        <v>44</v>
      </c>
      <c r="H56" s="3" t="s">
        <v>52</v>
      </c>
      <c r="I56" s="3" t="s">
        <v>53</v>
      </c>
      <c r="J56" s="3" t="s">
        <v>209</v>
      </c>
      <c r="K56" s="3" t="s">
        <v>55</v>
      </c>
      <c r="M56" s="7">
        <f>IF(ISNUMBER(L56),F56-L56,"")</f>
        <v/>
      </c>
      <c r="N56" s="10" t="s">
        <v>210</v>
      </c>
    </row>
    <row r="57" spans="1:14" ht="64" customHeight="1">
      <c r="A57" s="3">
        <v>53</v>
      </c>
      <c r="B57" s="8" t="s">
        <v>17</v>
      </c>
      <c r="C57" s="8" t="s">
        <v>81</v>
      </c>
      <c r="D57" s="8" t="s">
        <v>211</v>
      </c>
      <c r="E57" s="9">
        <v>80</v>
      </c>
      <c r="F57" s="7">
        <f>ROUNDUP(E57*'00_说明'!$B$5,0)</f>
        <v>120</v>
      </c>
      <c r="G57" s="7">
        <f>ROUNDDOWN(E57*'00_说明'!$B$6,0)</f>
        <v>40</v>
      </c>
      <c r="H57" s="3" t="s">
        <v>52</v>
      </c>
      <c r="I57" s="3" t="s">
        <v>53</v>
      </c>
      <c r="J57" s="3" t="s">
        <v>212</v>
      </c>
      <c r="K57" s="3" t="s">
        <v>55</v>
      </c>
      <c r="M57" s="7">
        <f>IF(ISNUMBER(L57),F57-L57,"")</f>
        <v/>
      </c>
      <c r="N57" s="10" t="s">
        <v>213</v>
      </c>
    </row>
    <row r="58" spans="1:14" ht="64" customHeight="1">
      <c r="A58" s="3">
        <v>54</v>
      </c>
      <c r="B58" s="8" t="s">
        <v>17</v>
      </c>
      <c r="C58" s="8" t="s">
        <v>81</v>
      </c>
      <c r="D58" s="8" t="s">
        <v>214</v>
      </c>
      <c r="E58" s="9">
        <v>64</v>
      </c>
      <c r="F58" s="7">
        <f>ROUNDUP(E58*'00_说明'!$B$5,0)</f>
        <v>96</v>
      </c>
      <c r="G58" s="7">
        <f>ROUNDDOWN(E58*'00_说明'!$B$6,0)</f>
        <v>32</v>
      </c>
      <c r="H58" s="3" t="s">
        <v>52</v>
      </c>
      <c r="I58" s="3" t="s">
        <v>53</v>
      </c>
      <c r="J58" s="3" t="s">
        <v>215</v>
      </c>
      <c r="K58" s="3" t="s">
        <v>55</v>
      </c>
      <c r="M58" s="7">
        <f>IF(ISNUMBER(L58),F58-L58,"")</f>
        <v/>
      </c>
      <c r="N58" s="10" t="s">
        <v>216</v>
      </c>
    </row>
    <row r="59" spans="1:14" ht="64" customHeight="1">
      <c r="A59" s="3">
        <v>55</v>
      </c>
      <c r="B59" s="8" t="s">
        <v>17</v>
      </c>
      <c r="C59" s="8" t="s">
        <v>81</v>
      </c>
      <c r="D59" s="8" t="s">
        <v>181</v>
      </c>
      <c r="E59" s="9">
        <v>88</v>
      </c>
      <c r="F59" s="7">
        <f>ROUNDUP(E59*'00_说明'!$B$5,0)</f>
        <v>132</v>
      </c>
      <c r="G59" s="7">
        <f>ROUNDDOWN(E59*'00_说明'!$B$6,0)</f>
        <v>44</v>
      </c>
      <c r="H59" s="3" t="s">
        <v>52</v>
      </c>
      <c r="I59" s="3" t="s">
        <v>53</v>
      </c>
      <c r="J59" s="3" t="s">
        <v>217</v>
      </c>
      <c r="K59" s="3" t="s">
        <v>55</v>
      </c>
      <c r="M59" s="7">
        <f>IF(ISNUMBER(L59),F59-L59,"")</f>
        <v/>
      </c>
      <c r="N59" s="10" t="s">
        <v>218</v>
      </c>
    </row>
    <row r="60" spans="1:14" ht="64" customHeight="1">
      <c r="A60" s="3">
        <v>56</v>
      </c>
      <c r="B60" s="8" t="s">
        <v>17</v>
      </c>
      <c r="C60" s="8" t="s">
        <v>81</v>
      </c>
      <c r="D60" s="8" t="s">
        <v>219</v>
      </c>
      <c r="E60" s="9">
        <v>80</v>
      </c>
      <c r="F60" s="7">
        <f>ROUNDUP(E60*'00_说明'!$B$5,0)</f>
        <v>120</v>
      </c>
      <c r="G60" s="7">
        <f>ROUNDDOWN(E60*'00_说明'!$B$6,0)</f>
        <v>40</v>
      </c>
      <c r="H60" s="3" t="s">
        <v>52</v>
      </c>
      <c r="I60" s="3" t="s">
        <v>53</v>
      </c>
      <c r="J60" s="3" t="s">
        <v>220</v>
      </c>
      <c r="K60" s="3" t="s">
        <v>55</v>
      </c>
      <c r="M60" s="7">
        <f>IF(ISNUMBER(L60),F60-L60,"")</f>
        <v/>
      </c>
      <c r="N60" s="10" t="s">
        <v>221</v>
      </c>
    </row>
    <row r="61" spans="1:14" ht="64" customHeight="1">
      <c r="A61" s="3">
        <v>57</v>
      </c>
      <c r="B61" s="8" t="s">
        <v>17</v>
      </c>
      <c r="C61" s="8" t="s">
        <v>81</v>
      </c>
      <c r="D61" s="8" t="s">
        <v>222</v>
      </c>
      <c r="E61" s="9">
        <v>96</v>
      </c>
      <c r="F61" s="7">
        <f>ROUNDUP(E61*'00_说明'!$B$5,0)</f>
        <v>144</v>
      </c>
      <c r="G61" s="7">
        <f>ROUNDDOWN(E61*'00_说明'!$B$6,0)</f>
        <v>48</v>
      </c>
      <c r="H61" s="3" t="s">
        <v>52</v>
      </c>
      <c r="I61" s="3" t="s">
        <v>53</v>
      </c>
      <c r="J61" s="3" t="s">
        <v>223</v>
      </c>
      <c r="K61" s="3" t="s">
        <v>55</v>
      </c>
      <c r="M61" s="7">
        <f>IF(ISNUMBER(L61),F61-L61,"")</f>
        <v/>
      </c>
      <c r="N61" s="10" t="s">
        <v>224</v>
      </c>
    </row>
    <row r="62" spans="1:14" ht="64" customHeight="1">
      <c r="A62" s="3">
        <v>58</v>
      </c>
      <c r="B62" s="8" t="s">
        <v>17</v>
      </c>
      <c r="C62" s="8" t="s">
        <v>81</v>
      </c>
      <c r="D62" s="8" t="s">
        <v>225</v>
      </c>
      <c r="E62" s="9">
        <v>72</v>
      </c>
      <c r="F62" s="7">
        <f>ROUNDUP(E62*'00_说明'!$B$5,0)</f>
        <v>108</v>
      </c>
      <c r="G62" s="7">
        <f>ROUNDDOWN(E62*'00_说明'!$B$6,0)</f>
        <v>36</v>
      </c>
      <c r="H62" s="3" t="s">
        <v>52</v>
      </c>
      <c r="I62" s="3" t="s">
        <v>53</v>
      </c>
      <c r="J62" s="3" t="s">
        <v>226</v>
      </c>
      <c r="K62" s="3" t="s">
        <v>55</v>
      </c>
      <c r="M62" s="7">
        <f>IF(ISNUMBER(L62),F62-L62,"")</f>
        <v/>
      </c>
      <c r="N62" s="10" t="s">
        <v>227</v>
      </c>
    </row>
    <row r="63" spans="1:14" ht="64" customHeight="1">
      <c r="A63" s="3">
        <v>59</v>
      </c>
      <c r="B63" s="8" t="s">
        <v>17</v>
      </c>
      <c r="C63" s="8" t="s">
        <v>81</v>
      </c>
      <c r="D63" s="8" t="s">
        <v>228</v>
      </c>
      <c r="E63" s="9">
        <v>104</v>
      </c>
      <c r="F63" s="7">
        <f>ROUNDUP(E63*'00_说明'!$B$5,0)</f>
        <v>156</v>
      </c>
      <c r="G63" s="7">
        <f>ROUNDDOWN(E63*'00_说明'!$B$6,0)</f>
        <v>52</v>
      </c>
      <c r="H63" s="3" t="s">
        <v>52</v>
      </c>
      <c r="I63" s="3" t="s">
        <v>53</v>
      </c>
      <c r="J63" s="3" t="s">
        <v>229</v>
      </c>
      <c r="K63" s="3" t="s">
        <v>55</v>
      </c>
      <c r="M63" s="7">
        <f>IF(ISNUMBER(L63),F63-L63,"")</f>
        <v/>
      </c>
      <c r="N63" s="10" t="s">
        <v>230</v>
      </c>
    </row>
    <row r="64" spans="1:14" ht="64" customHeight="1">
      <c r="A64" s="3">
        <v>60</v>
      </c>
      <c r="B64" s="8" t="s">
        <v>17</v>
      </c>
      <c r="C64" s="8" t="s">
        <v>81</v>
      </c>
      <c r="D64" s="8" t="s">
        <v>231</v>
      </c>
      <c r="E64" s="9">
        <v>88</v>
      </c>
      <c r="F64" s="7">
        <f>ROUNDUP(E64*'00_说明'!$B$5,0)</f>
        <v>132</v>
      </c>
      <c r="G64" s="7">
        <f>ROUNDDOWN(E64*'00_说明'!$B$6,0)</f>
        <v>44</v>
      </c>
      <c r="H64" s="3" t="s">
        <v>52</v>
      </c>
      <c r="I64" s="3" t="s">
        <v>53</v>
      </c>
      <c r="J64" s="3" t="s">
        <v>232</v>
      </c>
      <c r="K64" s="3" t="s">
        <v>55</v>
      </c>
      <c r="M64" s="7">
        <f>IF(ISNUMBER(L64),F64-L64,"")</f>
        <v/>
      </c>
      <c r="N64" s="10" t="s">
        <v>233</v>
      </c>
    </row>
    <row r="65" spans="1:14" ht="64" customHeight="1">
      <c r="A65" s="3">
        <v>61</v>
      </c>
      <c r="B65" s="8" t="s">
        <v>17</v>
      </c>
      <c r="C65" s="8" t="s">
        <v>81</v>
      </c>
      <c r="D65" s="8" t="s">
        <v>234</v>
      </c>
      <c r="E65" s="9">
        <v>104</v>
      </c>
      <c r="F65" s="7">
        <f>ROUNDUP(E65*'00_说明'!$B$5,0)</f>
        <v>156</v>
      </c>
      <c r="G65" s="7">
        <f>ROUNDDOWN(E65*'00_说明'!$B$6,0)</f>
        <v>52</v>
      </c>
      <c r="H65" s="3" t="s">
        <v>52</v>
      </c>
      <c r="I65" s="3" t="s">
        <v>53</v>
      </c>
      <c r="J65" s="3" t="s">
        <v>235</v>
      </c>
      <c r="K65" s="3" t="s">
        <v>55</v>
      </c>
      <c r="M65" s="7">
        <f>IF(ISNUMBER(L65),F65-L65,"")</f>
        <v/>
      </c>
      <c r="N65" s="10" t="s">
        <v>236</v>
      </c>
    </row>
    <row r="66" spans="1:14" ht="64" customHeight="1">
      <c r="A66" s="3">
        <v>62</v>
      </c>
      <c r="B66" s="8" t="s">
        <v>17</v>
      </c>
      <c r="C66" s="8" t="s">
        <v>81</v>
      </c>
      <c r="D66" s="8" t="s">
        <v>237</v>
      </c>
      <c r="E66" s="9">
        <v>72</v>
      </c>
      <c r="F66" s="7">
        <f>ROUNDUP(E66*'00_说明'!$B$5,0)</f>
        <v>108</v>
      </c>
      <c r="G66" s="7">
        <f>ROUNDDOWN(E66*'00_说明'!$B$6,0)</f>
        <v>36</v>
      </c>
      <c r="H66" s="3" t="s">
        <v>52</v>
      </c>
      <c r="I66" s="3" t="s">
        <v>53</v>
      </c>
      <c r="J66" s="3" t="s">
        <v>238</v>
      </c>
      <c r="K66" s="3" t="s">
        <v>55</v>
      </c>
      <c r="M66" s="7">
        <f>IF(ISNUMBER(L66),F66-L66,"")</f>
        <v/>
      </c>
      <c r="N66" s="10" t="s">
        <v>239</v>
      </c>
    </row>
    <row r="67" spans="1:14" ht="64" customHeight="1">
      <c r="A67" s="3">
        <v>63</v>
      </c>
      <c r="B67" s="8" t="s">
        <v>17</v>
      </c>
      <c r="C67" s="8" t="s">
        <v>81</v>
      </c>
      <c r="D67" s="8" t="s">
        <v>240</v>
      </c>
      <c r="E67" s="9">
        <v>96</v>
      </c>
      <c r="F67" s="7">
        <f>ROUNDUP(E67*'00_说明'!$B$5,0)</f>
        <v>144</v>
      </c>
      <c r="G67" s="7">
        <f>ROUNDDOWN(E67*'00_说明'!$B$6,0)</f>
        <v>48</v>
      </c>
      <c r="H67" s="3" t="s">
        <v>52</v>
      </c>
      <c r="I67" s="3" t="s">
        <v>53</v>
      </c>
      <c r="J67" s="3" t="s">
        <v>241</v>
      </c>
      <c r="K67" s="3" t="s">
        <v>55</v>
      </c>
      <c r="M67" s="7">
        <f>IF(ISNUMBER(L67),F67-L67,"")</f>
        <v/>
      </c>
      <c r="N67" s="10" t="s">
        <v>242</v>
      </c>
    </row>
    <row r="68" spans="1:14" ht="64" customHeight="1">
      <c r="A68" s="3">
        <v>64</v>
      </c>
      <c r="B68" s="8" t="s">
        <v>17</v>
      </c>
      <c r="C68" s="8" t="s">
        <v>81</v>
      </c>
      <c r="D68" s="8" t="s">
        <v>243</v>
      </c>
      <c r="E68" s="9">
        <v>104</v>
      </c>
      <c r="F68" s="7">
        <f>ROUNDUP(E68*'00_说明'!$B$5,0)</f>
        <v>156</v>
      </c>
      <c r="G68" s="7">
        <f>ROUNDDOWN(E68*'00_说明'!$B$6,0)</f>
        <v>52</v>
      </c>
      <c r="H68" s="3" t="s">
        <v>52</v>
      </c>
      <c r="I68" s="3" t="s">
        <v>53</v>
      </c>
      <c r="J68" s="3" t="s">
        <v>244</v>
      </c>
      <c r="K68" s="3" t="s">
        <v>55</v>
      </c>
      <c r="L68" s="8">
        <v>220</v>
      </c>
      <c r="M68" s="7">
        <f>IF(ISNUMBER(L68),F68-L68,"")</f>
        <v>-64</v>
      </c>
      <c r="N68" s="10" t="s">
        <v>245</v>
      </c>
    </row>
    <row r="69" spans="1:14" ht="64" customHeight="1">
      <c r="A69" s="3">
        <v>65</v>
      </c>
      <c r="B69" s="8" t="s">
        <v>17</v>
      </c>
      <c r="C69" s="8" t="s">
        <v>81</v>
      </c>
      <c r="D69" s="8" t="s">
        <v>246</v>
      </c>
      <c r="E69" s="9">
        <v>116</v>
      </c>
      <c r="F69" s="7">
        <f>ROUNDUP(E69*'00_说明'!$B$5,0)</f>
        <v>174</v>
      </c>
      <c r="G69" s="7">
        <f>ROUNDDOWN(E69*'00_说明'!$B$6,0)</f>
        <v>58</v>
      </c>
      <c r="H69" s="3" t="s">
        <v>52</v>
      </c>
      <c r="I69" s="3" t="s">
        <v>53</v>
      </c>
      <c r="J69" s="3" t="s">
        <v>247</v>
      </c>
      <c r="K69" s="3" t="s">
        <v>55</v>
      </c>
      <c r="M69" s="7">
        <f>IF(ISNUMBER(L69),F69-L69,"")</f>
        <v/>
      </c>
      <c r="N69" s="10" t="s">
        <v>248</v>
      </c>
    </row>
    <row r="70" spans="1:14" ht="64" customHeight="1">
      <c r="A70" s="3">
        <v>66</v>
      </c>
      <c r="B70" s="8" t="s">
        <v>17</v>
      </c>
      <c r="C70" s="8" t="s">
        <v>81</v>
      </c>
      <c r="D70" s="8" t="s">
        <v>249</v>
      </c>
      <c r="E70" s="9">
        <v>124</v>
      </c>
      <c r="F70" s="7">
        <f>ROUNDUP(E70*'00_说明'!$B$5,0)</f>
        <v>186</v>
      </c>
      <c r="G70" s="7">
        <f>ROUNDDOWN(E70*'00_说明'!$B$6,0)</f>
        <v>62</v>
      </c>
      <c r="H70" s="3" t="s">
        <v>52</v>
      </c>
      <c r="I70" s="3" t="s">
        <v>53</v>
      </c>
      <c r="J70" s="3" t="s">
        <v>250</v>
      </c>
      <c r="K70" s="3" t="s">
        <v>55</v>
      </c>
      <c r="M70" s="7">
        <f>IF(ISNUMBER(L70),F70-L70,"")</f>
        <v/>
      </c>
      <c r="N70" s="10" t="s">
        <v>251</v>
      </c>
    </row>
    <row r="71" spans="1:14" ht="64" customHeight="1">
      <c r="A71" s="3">
        <v>67</v>
      </c>
      <c r="B71" s="8" t="s">
        <v>17</v>
      </c>
      <c r="C71" s="8" t="s">
        <v>81</v>
      </c>
      <c r="D71" s="8" t="s">
        <v>252</v>
      </c>
      <c r="E71" s="9">
        <v>120</v>
      </c>
      <c r="F71" s="7">
        <f>ROUNDUP(E71*'00_说明'!$B$5,0)</f>
        <v>180</v>
      </c>
      <c r="G71" s="7">
        <f>ROUNDDOWN(E71*'00_说明'!$B$6,0)</f>
        <v>60</v>
      </c>
      <c r="H71" s="3" t="s">
        <v>52</v>
      </c>
      <c r="I71" s="3" t="s">
        <v>53</v>
      </c>
      <c r="J71" s="3" t="s">
        <v>253</v>
      </c>
      <c r="K71" s="3" t="s">
        <v>55</v>
      </c>
      <c r="M71" s="7">
        <f>IF(ISNUMBER(L71),F71-L71,"")</f>
        <v/>
      </c>
      <c r="N71" s="10" t="s">
        <v>254</v>
      </c>
    </row>
    <row r="72" spans="1:14" ht="64" customHeight="1">
      <c r="A72" s="3">
        <v>68</v>
      </c>
      <c r="B72" s="8" t="s">
        <v>17</v>
      </c>
      <c r="C72" s="8" t="s">
        <v>81</v>
      </c>
      <c r="D72" s="8" t="s">
        <v>255</v>
      </c>
      <c r="E72" s="9">
        <v>64</v>
      </c>
      <c r="F72" s="7">
        <f>ROUNDUP(E72*'00_说明'!$B$5,0)</f>
        <v>96</v>
      </c>
      <c r="G72" s="7">
        <f>ROUNDDOWN(E72*'00_说明'!$B$6,0)</f>
        <v>32</v>
      </c>
      <c r="H72" s="3" t="s">
        <v>52</v>
      </c>
      <c r="I72" s="3" t="s">
        <v>53</v>
      </c>
      <c r="J72" s="3" t="s">
        <v>256</v>
      </c>
      <c r="K72" s="3" t="s">
        <v>55</v>
      </c>
      <c r="M72" s="7">
        <f>IF(ISNUMBER(L72),F72-L72,"")</f>
        <v/>
      </c>
      <c r="N72" s="10" t="s">
        <v>257</v>
      </c>
    </row>
    <row r="73" spans="1:14" ht="64" customHeight="1">
      <c r="A73" s="3">
        <v>69</v>
      </c>
      <c r="B73" s="8" t="s">
        <v>17</v>
      </c>
      <c r="C73" s="8" t="s">
        <v>81</v>
      </c>
      <c r="D73" s="8" t="s">
        <v>258</v>
      </c>
      <c r="E73" s="9">
        <v>80</v>
      </c>
      <c r="F73" s="7">
        <f>ROUNDUP(E73*'00_说明'!$B$5,0)</f>
        <v>120</v>
      </c>
      <c r="G73" s="7">
        <f>ROUNDDOWN(E73*'00_说明'!$B$6,0)</f>
        <v>40</v>
      </c>
      <c r="H73" s="3" t="s">
        <v>52</v>
      </c>
      <c r="I73" s="3" t="s">
        <v>53</v>
      </c>
      <c r="J73" s="3" t="s">
        <v>259</v>
      </c>
      <c r="K73" s="3" t="s">
        <v>55</v>
      </c>
      <c r="M73" s="7">
        <f>IF(ISNUMBER(L73),F73-L73,"")</f>
        <v/>
      </c>
      <c r="N73" s="10" t="s">
        <v>260</v>
      </c>
    </row>
    <row r="74" spans="1:14" ht="64" customHeight="1">
      <c r="A74" s="3">
        <v>70</v>
      </c>
      <c r="B74" s="8" t="s">
        <v>17</v>
      </c>
      <c r="C74" s="8" t="s">
        <v>81</v>
      </c>
      <c r="D74" s="8" t="s">
        <v>261</v>
      </c>
      <c r="E74" s="9">
        <v>88</v>
      </c>
      <c r="F74" s="7">
        <f>ROUNDUP(E74*'00_说明'!$B$5,0)</f>
        <v>132</v>
      </c>
      <c r="G74" s="7">
        <f>ROUNDDOWN(E74*'00_说明'!$B$6,0)</f>
        <v>44</v>
      </c>
      <c r="H74" s="3" t="s">
        <v>52</v>
      </c>
      <c r="I74" s="3" t="s">
        <v>53</v>
      </c>
      <c r="J74" s="3" t="s">
        <v>262</v>
      </c>
      <c r="K74" s="3" t="s">
        <v>55</v>
      </c>
      <c r="M74" s="7">
        <f>IF(ISNUMBER(L74),F74-L74,"")</f>
        <v/>
      </c>
      <c r="N74" s="10" t="s">
        <v>263</v>
      </c>
    </row>
    <row r="75" spans="1:14" ht="64" customHeight="1">
      <c r="A75" s="3">
        <v>71</v>
      </c>
      <c r="B75" s="8" t="s">
        <v>17</v>
      </c>
      <c r="C75" s="8" t="s">
        <v>81</v>
      </c>
      <c r="D75" s="8" t="s">
        <v>264</v>
      </c>
      <c r="E75" s="9">
        <v>96</v>
      </c>
      <c r="F75" s="7">
        <f>ROUNDUP(E75*'00_说明'!$B$5,0)</f>
        <v>144</v>
      </c>
      <c r="G75" s="7">
        <f>ROUNDDOWN(E75*'00_说明'!$B$6,0)</f>
        <v>48</v>
      </c>
      <c r="H75" s="3" t="s">
        <v>52</v>
      </c>
      <c r="I75" s="3" t="s">
        <v>53</v>
      </c>
      <c r="J75" s="3" t="s">
        <v>265</v>
      </c>
      <c r="K75" s="3" t="s">
        <v>55</v>
      </c>
      <c r="M75" s="7">
        <f>IF(ISNUMBER(L75),F75-L75,"")</f>
        <v/>
      </c>
      <c r="N75" s="10" t="s">
        <v>266</v>
      </c>
    </row>
    <row r="76" spans="1:14" ht="64" customHeight="1">
      <c r="A76" s="3">
        <v>72</v>
      </c>
      <c r="B76" s="8" t="s">
        <v>17</v>
      </c>
      <c r="C76" s="8" t="s">
        <v>81</v>
      </c>
      <c r="D76" s="8" t="s">
        <v>267</v>
      </c>
      <c r="E76" s="9">
        <v>104</v>
      </c>
      <c r="F76" s="7">
        <f>ROUNDUP(E76*'00_说明'!$B$5,0)</f>
        <v>156</v>
      </c>
      <c r="G76" s="7">
        <f>ROUNDDOWN(E76*'00_说明'!$B$6,0)</f>
        <v>52</v>
      </c>
      <c r="H76" s="3" t="s">
        <v>52</v>
      </c>
      <c r="I76" s="3" t="s">
        <v>53</v>
      </c>
      <c r="J76" s="3" t="s">
        <v>268</v>
      </c>
      <c r="K76" s="3" t="s">
        <v>55</v>
      </c>
      <c r="M76" s="7">
        <f>IF(ISNUMBER(L76),F76-L76,"")</f>
        <v/>
      </c>
      <c r="N76" s="10" t="s">
        <v>269</v>
      </c>
    </row>
    <row r="77" spans="1:14" ht="64" customHeight="1">
      <c r="A77" s="3">
        <v>73</v>
      </c>
      <c r="B77" s="8" t="s">
        <v>19</v>
      </c>
      <c r="C77" s="8" t="s">
        <v>50</v>
      </c>
      <c r="D77" s="8" t="s">
        <v>270</v>
      </c>
      <c r="E77" s="9">
        <v>96</v>
      </c>
      <c r="F77" s="7">
        <f>ROUNDUP(E77*'00_说明'!$B$5,0)</f>
        <v>144</v>
      </c>
      <c r="G77" s="7">
        <f>ROUNDDOWN(E77*'00_说明'!$B$6,0)</f>
        <v>48</v>
      </c>
      <c r="H77" s="3" t="s">
        <v>52</v>
      </c>
      <c r="I77" s="3" t="s">
        <v>271</v>
      </c>
      <c r="J77" s="3" t="s">
        <v>272</v>
      </c>
      <c r="K77" s="3" t="s">
        <v>55</v>
      </c>
      <c r="L77" s="8">
        <v>160</v>
      </c>
      <c r="M77" s="7">
        <f>IF(ISNUMBER(L77),F77-L77,"")</f>
        <v>-16</v>
      </c>
      <c r="N77" s="10" t="s">
        <v>273</v>
      </c>
    </row>
    <row r="78" spans="1:14" ht="64" customHeight="1">
      <c r="A78" s="3">
        <v>74</v>
      </c>
      <c r="B78" s="8" t="s">
        <v>19</v>
      </c>
      <c r="C78" s="8" t="s">
        <v>50</v>
      </c>
      <c r="D78" s="8" t="s">
        <v>274</v>
      </c>
      <c r="E78" s="9">
        <v>80</v>
      </c>
      <c r="F78" s="7">
        <f>ROUNDUP(E78*'00_说明'!$B$5,0)</f>
        <v>120</v>
      </c>
      <c r="G78" s="7">
        <f>ROUNDDOWN(E78*'00_说明'!$B$6,0)</f>
        <v>40</v>
      </c>
      <c r="H78" s="3" t="s">
        <v>52</v>
      </c>
      <c r="I78" s="3" t="s">
        <v>271</v>
      </c>
      <c r="J78" s="3" t="s">
        <v>275</v>
      </c>
      <c r="K78" s="3" t="s">
        <v>55</v>
      </c>
      <c r="M78" s="7">
        <f>IF(ISNUMBER(L78),F78-L78,"")</f>
        <v/>
      </c>
      <c r="N78" s="10" t="s">
        <v>276</v>
      </c>
    </row>
    <row r="79" spans="1:14" ht="64" customHeight="1">
      <c r="A79" s="3">
        <v>75</v>
      </c>
      <c r="B79" s="8" t="s">
        <v>19</v>
      </c>
      <c r="C79" s="8" t="s">
        <v>50</v>
      </c>
      <c r="D79" s="8" t="s">
        <v>277</v>
      </c>
      <c r="E79" s="9">
        <v>88</v>
      </c>
      <c r="F79" s="7">
        <f>ROUNDUP(E79*'00_说明'!$B$5,0)</f>
        <v>132</v>
      </c>
      <c r="G79" s="7">
        <f>ROUNDDOWN(E79*'00_说明'!$B$6,0)</f>
        <v>44</v>
      </c>
      <c r="H79" s="3" t="s">
        <v>52</v>
      </c>
      <c r="I79" s="3" t="s">
        <v>271</v>
      </c>
      <c r="J79" s="3" t="s">
        <v>278</v>
      </c>
      <c r="K79" s="3" t="s">
        <v>55</v>
      </c>
      <c r="L79" s="8">
        <v>120</v>
      </c>
      <c r="M79" s="7">
        <f>IF(ISNUMBER(L79),F79-L79,"")</f>
        <v>12</v>
      </c>
      <c r="N79" s="10" t="s">
        <v>279</v>
      </c>
    </row>
    <row r="80" spans="1:14" ht="64" customHeight="1">
      <c r="A80" s="3">
        <v>76</v>
      </c>
      <c r="B80" s="8" t="s">
        <v>19</v>
      </c>
      <c r="C80" s="8" t="s">
        <v>50</v>
      </c>
      <c r="D80" s="8" t="s">
        <v>280</v>
      </c>
      <c r="E80" s="9">
        <v>96</v>
      </c>
      <c r="F80" s="7">
        <f>ROUNDUP(E80*'00_说明'!$B$5,0)</f>
        <v>144</v>
      </c>
      <c r="G80" s="7">
        <f>ROUNDDOWN(E80*'00_说明'!$B$6,0)</f>
        <v>48</v>
      </c>
      <c r="H80" s="3" t="s">
        <v>52</v>
      </c>
      <c r="I80" s="3" t="s">
        <v>271</v>
      </c>
      <c r="J80" s="3" t="s">
        <v>281</v>
      </c>
      <c r="K80" s="3" t="s">
        <v>55</v>
      </c>
      <c r="M80" s="7">
        <f>IF(ISNUMBER(L80),F80-L80,"")</f>
        <v/>
      </c>
      <c r="N80" s="10" t="s">
        <v>282</v>
      </c>
    </row>
    <row r="81" spans="1:14" ht="64" customHeight="1">
      <c r="A81" s="3">
        <v>77</v>
      </c>
      <c r="B81" s="8" t="s">
        <v>19</v>
      </c>
      <c r="C81" s="8" t="s">
        <v>81</v>
      </c>
      <c r="D81" s="8" t="s">
        <v>283</v>
      </c>
      <c r="E81" s="9">
        <v>188</v>
      </c>
      <c r="F81" s="7">
        <f>ROUNDUP(E81*'00_说明'!$B$5,0)</f>
        <v>282</v>
      </c>
      <c r="G81" s="7">
        <f>ROUNDDOWN(E81*'00_说明'!$B$6,0)</f>
        <v>94</v>
      </c>
      <c r="H81" s="3" t="s">
        <v>52</v>
      </c>
      <c r="I81" s="3" t="s">
        <v>271</v>
      </c>
      <c r="J81" s="3" t="s">
        <v>284</v>
      </c>
      <c r="K81" s="3" t="s">
        <v>55</v>
      </c>
      <c r="M81" s="7">
        <f>IF(ISNUMBER(L81),F81-L81,"")</f>
        <v/>
      </c>
      <c r="N81" s="10" t="s">
        <v>285</v>
      </c>
    </row>
    <row r="82" spans="1:14" ht="64" customHeight="1">
      <c r="A82" s="3">
        <v>78</v>
      </c>
      <c r="B82" s="8" t="s">
        <v>19</v>
      </c>
      <c r="C82" s="8" t="s">
        <v>81</v>
      </c>
      <c r="D82" s="8" t="s">
        <v>286</v>
      </c>
      <c r="E82" s="9">
        <v>180</v>
      </c>
      <c r="F82" s="7">
        <f>ROUNDUP(E82*'00_说明'!$B$5,0)</f>
        <v>270</v>
      </c>
      <c r="G82" s="7">
        <f>ROUNDDOWN(E82*'00_说明'!$B$6,0)</f>
        <v>90</v>
      </c>
      <c r="H82" s="3" t="s">
        <v>52</v>
      </c>
      <c r="I82" s="3" t="s">
        <v>271</v>
      </c>
      <c r="J82" s="3" t="s">
        <v>287</v>
      </c>
      <c r="K82" s="3" t="s">
        <v>55</v>
      </c>
      <c r="M82" s="7">
        <f>IF(ISNUMBER(L82),F82-L82,"")</f>
        <v/>
      </c>
      <c r="N82" s="10" t="s">
        <v>288</v>
      </c>
    </row>
    <row r="83" spans="1:14" ht="64" customHeight="1">
      <c r="A83" s="3">
        <v>79</v>
      </c>
      <c r="B83" s="8" t="s">
        <v>19</v>
      </c>
      <c r="C83" s="8" t="s">
        <v>81</v>
      </c>
      <c r="D83" s="8" t="s">
        <v>289</v>
      </c>
      <c r="E83" s="9">
        <v>200</v>
      </c>
      <c r="F83" s="7">
        <f>ROUNDUP(E83*'00_说明'!$B$5,0)</f>
        <v>300</v>
      </c>
      <c r="G83" s="7">
        <f>ROUNDDOWN(E83*'00_说明'!$B$6,0)</f>
        <v>100</v>
      </c>
      <c r="H83" s="3" t="s">
        <v>52</v>
      </c>
      <c r="I83" s="3" t="s">
        <v>271</v>
      </c>
      <c r="J83" s="3" t="s">
        <v>290</v>
      </c>
      <c r="K83" s="3" t="s">
        <v>55</v>
      </c>
      <c r="M83" s="7">
        <f>IF(ISNUMBER(L83),F83-L83,"")</f>
        <v/>
      </c>
      <c r="N83" s="10" t="s">
        <v>291</v>
      </c>
    </row>
    <row r="84" spans="1:14" ht="64" customHeight="1">
      <c r="A84" s="3">
        <v>80</v>
      </c>
      <c r="B84" s="8" t="s">
        <v>19</v>
      </c>
      <c r="C84" s="8" t="s">
        <v>81</v>
      </c>
      <c r="D84" s="8" t="s">
        <v>292</v>
      </c>
      <c r="E84" s="9">
        <v>196</v>
      </c>
      <c r="F84" s="7">
        <f>ROUNDUP(E84*'00_说明'!$B$5,0)</f>
        <v>294</v>
      </c>
      <c r="G84" s="7">
        <f>ROUNDDOWN(E84*'00_说明'!$B$6,0)</f>
        <v>98</v>
      </c>
      <c r="H84" s="3" t="s">
        <v>52</v>
      </c>
      <c r="I84" s="3" t="s">
        <v>271</v>
      </c>
      <c r="J84" s="3" t="s">
        <v>293</v>
      </c>
      <c r="K84" s="3" t="s">
        <v>55</v>
      </c>
      <c r="M84" s="7">
        <f>IF(ISNUMBER(L84),F84-L84,"")</f>
        <v/>
      </c>
      <c r="N84" s="10" t="s">
        <v>294</v>
      </c>
    </row>
    <row r="85" spans="1:14" ht="64" customHeight="1">
      <c r="A85" s="3">
        <v>81</v>
      </c>
      <c r="B85" s="8" t="s">
        <v>19</v>
      </c>
      <c r="C85" s="8" t="s">
        <v>81</v>
      </c>
      <c r="D85" s="8" t="s">
        <v>295</v>
      </c>
      <c r="E85" s="9">
        <v>220</v>
      </c>
      <c r="F85" s="7">
        <f>ROUNDUP(E85*'00_说明'!$B$5,0)</f>
        <v>330</v>
      </c>
      <c r="G85" s="7">
        <f>ROUNDDOWN(E85*'00_说明'!$B$6,0)</f>
        <v>110</v>
      </c>
      <c r="H85" s="3" t="s">
        <v>52</v>
      </c>
      <c r="I85" s="3" t="s">
        <v>271</v>
      </c>
      <c r="J85" s="3" t="s">
        <v>296</v>
      </c>
      <c r="K85" s="3" t="s">
        <v>55</v>
      </c>
      <c r="M85" s="7">
        <f>IF(ISNUMBER(L85),F85-L85,"")</f>
        <v/>
      </c>
      <c r="N85" s="10" t="s">
        <v>297</v>
      </c>
    </row>
    <row r="86" spans="1:14" ht="64" customHeight="1">
      <c r="A86" s="3">
        <v>82</v>
      </c>
      <c r="B86" s="8" t="s">
        <v>19</v>
      </c>
      <c r="C86" s="8" t="s">
        <v>81</v>
      </c>
      <c r="D86" s="8" t="s">
        <v>298</v>
      </c>
      <c r="E86" s="9">
        <v>176</v>
      </c>
      <c r="F86" s="7">
        <f>ROUNDUP(E86*'00_说明'!$B$5,0)</f>
        <v>264</v>
      </c>
      <c r="G86" s="7">
        <f>ROUNDDOWN(E86*'00_说明'!$B$6,0)</f>
        <v>88</v>
      </c>
      <c r="H86" s="3" t="s">
        <v>52</v>
      </c>
      <c r="I86" s="3" t="s">
        <v>271</v>
      </c>
      <c r="J86" s="3" t="s">
        <v>299</v>
      </c>
      <c r="K86" s="3" t="s">
        <v>55</v>
      </c>
      <c r="M86" s="7">
        <f>IF(ISNUMBER(L86),F86-L86,"")</f>
        <v/>
      </c>
      <c r="N86" s="10" t="s">
        <v>300</v>
      </c>
    </row>
    <row r="87" spans="1:14" ht="64" customHeight="1">
      <c r="A87" s="3">
        <v>83</v>
      </c>
      <c r="B87" s="8" t="s">
        <v>19</v>
      </c>
      <c r="C87" s="8" t="s">
        <v>81</v>
      </c>
      <c r="D87" s="8" t="s">
        <v>301</v>
      </c>
      <c r="E87" s="9">
        <v>228</v>
      </c>
      <c r="F87" s="7">
        <f>ROUNDUP(E87*'00_说明'!$B$5,0)</f>
        <v>342</v>
      </c>
      <c r="G87" s="7">
        <f>ROUNDDOWN(E87*'00_说明'!$B$6,0)</f>
        <v>114</v>
      </c>
      <c r="H87" s="3" t="s">
        <v>52</v>
      </c>
      <c r="I87" s="3" t="s">
        <v>271</v>
      </c>
      <c r="J87" s="3" t="s">
        <v>302</v>
      </c>
      <c r="K87" s="3" t="s">
        <v>55</v>
      </c>
      <c r="M87" s="7">
        <f>IF(ISNUMBER(L87),F87-L87,"")</f>
        <v/>
      </c>
      <c r="N87" s="10" t="s">
        <v>303</v>
      </c>
    </row>
    <row r="88" spans="1:14" ht="64" customHeight="1">
      <c r="A88" s="3">
        <v>84</v>
      </c>
      <c r="B88" s="8" t="s">
        <v>19</v>
      </c>
      <c r="C88" s="8" t="s">
        <v>81</v>
      </c>
      <c r="D88" s="8" t="s">
        <v>304</v>
      </c>
      <c r="E88" s="9">
        <v>176</v>
      </c>
      <c r="F88" s="7">
        <f>ROUNDUP(E88*'00_说明'!$B$5,0)</f>
        <v>264</v>
      </c>
      <c r="G88" s="7">
        <f>ROUNDDOWN(E88*'00_说明'!$B$6,0)</f>
        <v>88</v>
      </c>
      <c r="H88" s="3" t="s">
        <v>52</v>
      </c>
      <c r="I88" s="3" t="s">
        <v>271</v>
      </c>
      <c r="J88" s="3" t="s">
        <v>305</v>
      </c>
      <c r="K88" s="3" t="s">
        <v>55</v>
      </c>
      <c r="M88" s="7">
        <f>IF(ISNUMBER(L88),F88-L88,"")</f>
        <v/>
      </c>
      <c r="N88" s="10" t="s">
        <v>306</v>
      </c>
    </row>
    <row r="89" spans="1:14" ht="64" customHeight="1">
      <c r="A89" s="3">
        <v>85</v>
      </c>
      <c r="B89" s="8" t="s">
        <v>19</v>
      </c>
      <c r="C89" s="8" t="s">
        <v>81</v>
      </c>
      <c r="D89" s="8" t="s">
        <v>307</v>
      </c>
      <c r="E89" s="9">
        <v>168</v>
      </c>
      <c r="F89" s="7">
        <f>ROUNDUP(E89*'00_说明'!$B$5,0)</f>
        <v>252</v>
      </c>
      <c r="G89" s="7">
        <f>ROUNDDOWN(E89*'00_说明'!$B$6,0)</f>
        <v>84</v>
      </c>
      <c r="H89" s="3" t="s">
        <v>52</v>
      </c>
      <c r="I89" s="3" t="s">
        <v>271</v>
      </c>
      <c r="J89" s="3" t="s">
        <v>308</v>
      </c>
      <c r="K89" s="3" t="s">
        <v>55</v>
      </c>
      <c r="M89" s="7">
        <f>IF(ISNUMBER(L89),F89-L89,"")</f>
        <v/>
      </c>
      <c r="N89" s="10" t="s">
        <v>309</v>
      </c>
    </row>
    <row r="90" spans="1:14" ht="64" customHeight="1">
      <c r="A90" s="3">
        <v>86</v>
      </c>
      <c r="B90" s="8" t="s">
        <v>19</v>
      </c>
      <c r="C90" s="8" t="s">
        <v>81</v>
      </c>
      <c r="D90" s="8" t="s">
        <v>310</v>
      </c>
      <c r="E90" s="9">
        <v>188</v>
      </c>
      <c r="F90" s="7">
        <f>ROUNDUP(E90*'00_说明'!$B$5,0)</f>
        <v>282</v>
      </c>
      <c r="G90" s="7">
        <f>ROUNDDOWN(E90*'00_说明'!$B$6,0)</f>
        <v>94</v>
      </c>
      <c r="H90" s="3" t="s">
        <v>52</v>
      </c>
      <c r="I90" s="3" t="s">
        <v>271</v>
      </c>
      <c r="J90" s="3" t="s">
        <v>311</v>
      </c>
      <c r="K90" s="3" t="s">
        <v>55</v>
      </c>
      <c r="M90" s="7">
        <f>IF(ISNUMBER(L90),F90-L90,"")</f>
        <v/>
      </c>
      <c r="N90" s="10" t="s">
        <v>312</v>
      </c>
    </row>
    <row r="91" spans="1:14" ht="64" customHeight="1">
      <c r="A91" s="3">
        <v>87</v>
      </c>
      <c r="B91" s="8" t="s">
        <v>19</v>
      </c>
      <c r="C91" s="8" t="s">
        <v>81</v>
      </c>
      <c r="D91" s="8" t="s">
        <v>313</v>
      </c>
      <c r="E91" s="9">
        <v>192</v>
      </c>
      <c r="F91" s="7">
        <f>ROUNDUP(E91*'00_说明'!$B$5,0)</f>
        <v>288</v>
      </c>
      <c r="G91" s="7">
        <f>ROUNDDOWN(E91*'00_说明'!$B$6,0)</f>
        <v>96</v>
      </c>
      <c r="H91" s="3" t="s">
        <v>52</v>
      </c>
      <c r="I91" s="3" t="s">
        <v>271</v>
      </c>
      <c r="J91" s="3" t="s">
        <v>314</v>
      </c>
      <c r="K91" s="3" t="s">
        <v>55</v>
      </c>
      <c r="M91" s="7">
        <f>IF(ISNUMBER(L91),F91-L91,"")</f>
        <v/>
      </c>
      <c r="N91" s="10" t="s">
        <v>315</v>
      </c>
    </row>
    <row r="92" spans="1:14" ht="64" customHeight="1">
      <c r="A92" s="3">
        <v>88</v>
      </c>
      <c r="B92" s="8" t="s">
        <v>19</v>
      </c>
      <c r="C92" s="8" t="s">
        <v>81</v>
      </c>
      <c r="D92" s="8" t="s">
        <v>316</v>
      </c>
      <c r="E92" s="9">
        <v>80</v>
      </c>
      <c r="F92" s="7">
        <f>ROUNDUP(E92*'00_说明'!$B$5,0)</f>
        <v>120</v>
      </c>
      <c r="G92" s="7">
        <f>ROUNDDOWN(E92*'00_说明'!$B$6,0)</f>
        <v>40</v>
      </c>
      <c r="H92" s="3" t="s">
        <v>52</v>
      </c>
      <c r="I92" s="3" t="s">
        <v>271</v>
      </c>
      <c r="J92" s="3" t="s">
        <v>317</v>
      </c>
      <c r="K92" s="3" t="s">
        <v>55</v>
      </c>
      <c r="M92" s="7">
        <f>IF(ISNUMBER(L92),F92-L92,"")</f>
        <v/>
      </c>
      <c r="N92" s="10" t="s">
        <v>318</v>
      </c>
    </row>
    <row r="93" spans="1:14" ht="64" customHeight="1">
      <c r="A93" s="3">
        <v>89</v>
      </c>
      <c r="B93" s="8" t="s">
        <v>19</v>
      </c>
      <c r="C93" s="8" t="s">
        <v>81</v>
      </c>
      <c r="D93" s="8" t="s">
        <v>319</v>
      </c>
      <c r="E93" s="9">
        <v>148</v>
      </c>
      <c r="F93" s="7">
        <f>ROUNDUP(E93*'00_说明'!$B$5,0)</f>
        <v>222</v>
      </c>
      <c r="G93" s="7">
        <f>ROUNDDOWN(E93*'00_说明'!$B$6,0)</f>
        <v>74</v>
      </c>
      <c r="H93" s="3" t="s">
        <v>52</v>
      </c>
      <c r="I93" s="3" t="s">
        <v>271</v>
      </c>
      <c r="J93" s="3" t="s">
        <v>320</v>
      </c>
      <c r="K93" s="3" t="s">
        <v>55</v>
      </c>
      <c r="M93" s="7">
        <f>IF(ISNUMBER(L93),F93-L93,"")</f>
        <v/>
      </c>
      <c r="N93" s="10" t="s">
        <v>321</v>
      </c>
    </row>
    <row r="94" spans="1:14" ht="64" customHeight="1">
      <c r="A94" s="3">
        <v>90</v>
      </c>
      <c r="B94" s="8" t="s">
        <v>19</v>
      </c>
      <c r="C94" s="8" t="s">
        <v>81</v>
      </c>
      <c r="D94" s="8" t="s">
        <v>322</v>
      </c>
      <c r="E94" s="9">
        <v>216</v>
      </c>
      <c r="F94" s="7">
        <f>ROUNDUP(E94*'00_说明'!$B$5,0)</f>
        <v>324</v>
      </c>
      <c r="G94" s="7">
        <f>ROUNDDOWN(E94*'00_说明'!$B$6,0)</f>
        <v>108</v>
      </c>
      <c r="H94" s="3" t="s">
        <v>52</v>
      </c>
      <c r="I94" s="3" t="s">
        <v>271</v>
      </c>
      <c r="J94" s="3" t="s">
        <v>323</v>
      </c>
      <c r="K94" s="3" t="s">
        <v>55</v>
      </c>
      <c r="L94" s="8">
        <v>260</v>
      </c>
      <c r="M94" s="7">
        <f>IF(ISNUMBER(L94),F94-L94,"")</f>
        <v>64</v>
      </c>
      <c r="N94" s="10" t="s">
        <v>324</v>
      </c>
    </row>
    <row r="95" spans="1:14" ht="64" customHeight="1">
      <c r="A95" s="3">
        <v>91</v>
      </c>
      <c r="B95" s="8" t="s">
        <v>19</v>
      </c>
      <c r="C95" s="8" t="s">
        <v>81</v>
      </c>
      <c r="D95" s="8" t="s">
        <v>325</v>
      </c>
      <c r="E95" s="9">
        <v>180</v>
      </c>
      <c r="F95" s="7">
        <f>ROUNDUP(E95*'00_说明'!$B$5,0)</f>
        <v>270</v>
      </c>
      <c r="G95" s="7">
        <f>ROUNDDOWN(E95*'00_说明'!$B$6,0)</f>
        <v>90</v>
      </c>
      <c r="H95" s="3" t="s">
        <v>52</v>
      </c>
      <c r="I95" s="3" t="s">
        <v>271</v>
      </c>
      <c r="J95" s="3" t="s">
        <v>326</v>
      </c>
      <c r="K95" s="3" t="s">
        <v>55</v>
      </c>
      <c r="M95" s="7">
        <f>IF(ISNUMBER(L95),F95-L95,"")</f>
        <v/>
      </c>
      <c r="N95" s="10" t="s">
        <v>327</v>
      </c>
    </row>
    <row r="96" spans="1:14" ht="64" customHeight="1">
      <c r="A96" s="3">
        <v>92</v>
      </c>
      <c r="B96" s="8" t="s">
        <v>19</v>
      </c>
      <c r="C96" s="8" t="s">
        <v>81</v>
      </c>
      <c r="D96" s="8" t="s">
        <v>328</v>
      </c>
      <c r="E96" s="9">
        <v>200</v>
      </c>
      <c r="F96" s="7">
        <f>ROUNDUP(E96*'00_说明'!$B$5,0)</f>
        <v>300</v>
      </c>
      <c r="G96" s="7">
        <f>ROUNDDOWN(E96*'00_说明'!$B$6,0)</f>
        <v>100</v>
      </c>
      <c r="H96" s="3" t="s">
        <v>52</v>
      </c>
      <c r="I96" s="3" t="s">
        <v>271</v>
      </c>
      <c r="J96" s="3" t="s">
        <v>329</v>
      </c>
      <c r="K96" s="3" t="s">
        <v>55</v>
      </c>
      <c r="M96" s="7">
        <f>IF(ISNUMBER(L96),F96-L96,"")</f>
        <v/>
      </c>
      <c r="N96" s="10" t="s">
        <v>330</v>
      </c>
    </row>
    <row r="97" spans="1:14" ht="64" customHeight="1">
      <c r="A97" s="3">
        <v>93</v>
      </c>
      <c r="B97" s="8" t="s">
        <v>19</v>
      </c>
      <c r="C97" s="8" t="s">
        <v>81</v>
      </c>
      <c r="D97" s="8" t="s">
        <v>331</v>
      </c>
      <c r="E97" s="9">
        <v>184</v>
      </c>
      <c r="F97" s="7">
        <f>ROUNDUP(E97*'00_说明'!$B$5,0)</f>
        <v>276</v>
      </c>
      <c r="G97" s="7">
        <f>ROUNDDOWN(E97*'00_说明'!$B$6,0)</f>
        <v>92</v>
      </c>
      <c r="H97" s="3" t="s">
        <v>52</v>
      </c>
      <c r="I97" s="3" t="s">
        <v>271</v>
      </c>
      <c r="J97" s="3" t="s">
        <v>332</v>
      </c>
      <c r="K97" s="3" t="s">
        <v>55</v>
      </c>
      <c r="M97" s="7">
        <f>IF(ISNUMBER(L97),F97-L97,"")</f>
        <v/>
      </c>
      <c r="N97" s="10" t="s">
        <v>333</v>
      </c>
    </row>
    <row r="98" spans="1:14" ht="64" customHeight="1">
      <c r="A98" s="3">
        <v>94</v>
      </c>
      <c r="B98" s="8" t="s">
        <v>19</v>
      </c>
      <c r="C98" s="8" t="s">
        <v>81</v>
      </c>
      <c r="D98" s="8" t="s">
        <v>334</v>
      </c>
      <c r="E98" s="9">
        <v>184</v>
      </c>
      <c r="F98" s="7">
        <f>ROUNDUP(E98*'00_说明'!$B$5,0)</f>
        <v>276</v>
      </c>
      <c r="G98" s="7">
        <f>ROUNDDOWN(E98*'00_说明'!$B$6,0)</f>
        <v>92</v>
      </c>
      <c r="H98" s="3" t="s">
        <v>52</v>
      </c>
      <c r="I98" s="3" t="s">
        <v>271</v>
      </c>
      <c r="J98" s="3" t="s">
        <v>335</v>
      </c>
      <c r="K98" s="3" t="s">
        <v>55</v>
      </c>
      <c r="M98" s="7">
        <f>IF(ISNUMBER(L98),F98-L98,"")</f>
        <v/>
      </c>
      <c r="N98" s="10" t="s">
        <v>336</v>
      </c>
    </row>
    <row r="99" spans="1:14" ht="64" customHeight="1">
      <c r="A99" s="3">
        <v>95</v>
      </c>
      <c r="B99" s="8" t="s">
        <v>21</v>
      </c>
      <c r="C99" s="8" t="s">
        <v>50</v>
      </c>
      <c r="D99" s="8" t="s">
        <v>337</v>
      </c>
      <c r="E99" s="9">
        <v>8</v>
      </c>
      <c r="F99" s="7">
        <f>ROUNDUP(E99*'00_说明'!$B$5,0)</f>
        <v>12</v>
      </c>
      <c r="G99" s="7">
        <f>ROUNDDOWN(E99*'00_说明'!$B$6,0)</f>
        <v>4</v>
      </c>
      <c r="H99" s="3" t="s">
        <v>338</v>
      </c>
      <c r="I99" s="3" t="s">
        <v>339</v>
      </c>
      <c r="J99" s="3" t="s">
        <v>340</v>
      </c>
      <c r="K99" s="3" t="s">
        <v>341</v>
      </c>
      <c r="L99" s="8">
        <v>30</v>
      </c>
      <c r="M99" s="7">
        <f>IF(ISNUMBER(L99),F99-L99,"")</f>
        <v>-18</v>
      </c>
      <c r="N99" s="10" t="s">
        <v>342</v>
      </c>
    </row>
    <row r="100" spans="1:14" ht="64" customHeight="1">
      <c r="A100" s="3">
        <v>96</v>
      </c>
      <c r="B100" s="8" t="s">
        <v>21</v>
      </c>
      <c r="C100" s="8" t="s">
        <v>50</v>
      </c>
      <c r="D100" s="8" t="s">
        <v>343</v>
      </c>
      <c r="E100" s="9">
        <v>8</v>
      </c>
      <c r="F100" s="7">
        <f>ROUNDUP(E100*'00_说明'!$B$5,0)</f>
        <v>12</v>
      </c>
      <c r="G100" s="7">
        <f>ROUNDDOWN(E100*'00_说明'!$B$6,0)</f>
        <v>4</v>
      </c>
      <c r="H100" s="3" t="s">
        <v>338</v>
      </c>
      <c r="I100" s="3" t="s">
        <v>339</v>
      </c>
      <c r="J100" s="3" t="s">
        <v>344</v>
      </c>
      <c r="K100" s="3" t="s">
        <v>341</v>
      </c>
      <c r="M100" s="7">
        <f>IF(ISNUMBER(L100),F100-L100,"")</f>
        <v/>
      </c>
      <c r="N100" s="10" t="s">
        <v>345</v>
      </c>
    </row>
    <row r="101" spans="1:14" ht="64" customHeight="1">
      <c r="A101" s="3">
        <v>97</v>
      </c>
      <c r="B101" s="8" t="s">
        <v>21</v>
      </c>
      <c r="C101" s="8" t="s">
        <v>50</v>
      </c>
      <c r="D101" s="8" t="s">
        <v>346</v>
      </c>
      <c r="E101" s="9">
        <v>10</v>
      </c>
      <c r="F101" s="7">
        <f>ROUNDUP(E101*'00_说明'!$B$5,0)</f>
        <v>15</v>
      </c>
      <c r="G101" s="7">
        <f>ROUNDDOWN(E101*'00_说明'!$B$6,0)</f>
        <v>5</v>
      </c>
      <c r="H101" s="3" t="s">
        <v>338</v>
      </c>
      <c r="I101" s="3" t="s">
        <v>339</v>
      </c>
      <c r="J101" s="3" t="s">
        <v>347</v>
      </c>
      <c r="K101" s="3" t="s">
        <v>341</v>
      </c>
      <c r="M101" s="7">
        <f>IF(ISNUMBER(L101),F101-L101,"")</f>
        <v/>
      </c>
      <c r="N101" s="10" t="s">
        <v>348</v>
      </c>
    </row>
    <row r="102" spans="1:14" ht="64" customHeight="1">
      <c r="A102" s="3">
        <v>98</v>
      </c>
      <c r="B102" s="8" t="s">
        <v>21</v>
      </c>
      <c r="C102" s="8" t="s">
        <v>50</v>
      </c>
      <c r="D102" s="8" t="s">
        <v>349</v>
      </c>
      <c r="E102" s="9">
        <v>10</v>
      </c>
      <c r="F102" s="7">
        <f>ROUNDUP(E102*'00_说明'!$B$5,0)</f>
        <v>15</v>
      </c>
      <c r="G102" s="7">
        <f>ROUNDDOWN(E102*'00_说明'!$B$6,0)</f>
        <v>5</v>
      </c>
      <c r="H102" s="3" t="s">
        <v>338</v>
      </c>
      <c r="I102" s="3" t="s">
        <v>339</v>
      </c>
      <c r="J102" s="3" t="s">
        <v>350</v>
      </c>
      <c r="K102" s="3" t="s">
        <v>341</v>
      </c>
      <c r="L102" s="8">
        <v>40</v>
      </c>
      <c r="M102" s="7">
        <f>IF(ISNUMBER(L102),F102-L102,"")</f>
        <v>-25</v>
      </c>
      <c r="N102" s="10" t="s">
        <v>351</v>
      </c>
    </row>
    <row r="103" spans="1:14" ht="64" customHeight="1">
      <c r="A103" s="3">
        <v>99</v>
      </c>
      <c r="B103" s="8" t="s">
        <v>21</v>
      </c>
      <c r="C103" s="8" t="s">
        <v>50</v>
      </c>
      <c r="D103" s="8" t="s">
        <v>352</v>
      </c>
      <c r="E103" s="9">
        <v>8</v>
      </c>
      <c r="F103" s="7">
        <f>ROUNDUP(E103*'00_说明'!$B$5,0)</f>
        <v>12</v>
      </c>
      <c r="G103" s="7">
        <f>ROUNDDOWN(E103*'00_说明'!$B$6,0)</f>
        <v>4</v>
      </c>
      <c r="H103" s="3" t="s">
        <v>338</v>
      </c>
      <c r="I103" s="3" t="s">
        <v>339</v>
      </c>
      <c r="J103" s="3" t="s">
        <v>353</v>
      </c>
      <c r="K103" s="3" t="s">
        <v>341</v>
      </c>
      <c r="M103" s="7">
        <f>IF(ISNUMBER(L103),F103-L103,"")</f>
        <v/>
      </c>
      <c r="N103" s="10" t="s">
        <v>354</v>
      </c>
    </row>
    <row r="104" spans="1:14" ht="64" customHeight="1">
      <c r="A104" s="3">
        <v>100</v>
      </c>
      <c r="B104" s="8" t="s">
        <v>21</v>
      </c>
      <c r="C104" s="8" t="s">
        <v>50</v>
      </c>
      <c r="D104" s="8" t="s">
        <v>355</v>
      </c>
      <c r="E104" s="9">
        <v>12</v>
      </c>
      <c r="F104" s="7">
        <f>ROUNDUP(E104*'00_说明'!$B$5,0)</f>
        <v>18</v>
      </c>
      <c r="G104" s="7">
        <f>ROUNDDOWN(E104*'00_说明'!$B$6,0)</f>
        <v>6</v>
      </c>
      <c r="H104" s="3" t="s">
        <v>338</v>
      </c>
      <c r="I104" s="3" t="s">
        <v>339</v>
      </c>
      <c r="J104" s="3" t="s">
        <v>356</v>
      </c>
      <c r="K104" s="3" t="s">
        <v>341</v>
      </c>
      <c r="M104" s="7">
        <f>IF(ISNUMBER(L104),F104-L104,"")</f>
        <v/>
      </c>
      <c r="N104" s="10" t="s">
        <v>357</v>
      </c>
    </row>
    <row r="105" spans="1:14" ht="64" customHeight="1">
      <c r="A105" s="3">
        <v>101</v>
      </c>
      <c r="B105" s="8" t="s">
        <v>21</v>
      </c>
      <c r="C105" s="8" t="s">
        <v>81</v>
      </c>
      <c r="D105" s="8" t="s">
        <v>358</v>
      </c>
      <c r="E105" s="9">
        <v>20</v>
      </c>
      <c r="F105" s="7">
        <f>ROUNDUP(E105*'00_说明'!$B$5,0)</f>
        <v>30</v>
      </c>
      <c r="G105" s="7">
        <f>ROUNDDOWN(E105*'00_说明'!$B$6,0)</f>
        <v>10</v>
      </c>
      <c r="H105" s="3" t="s">
        <v>338</v>
      </c>
      <c r="I105" s="3" t="s">
        <v>339</v>
      </c>
      <c r="J105" s="3" t="s">
        <v>359</v>
      </c>
      <c r="K105" s="3" t="s">
        <v>341</v>
      </c>
      <c r="L105" s="8">
        <v>80</v>
      </c>
      <c r="M105" s="7">
        <f>IF(ISNUMBER(L105),F105-L105,"")</f>
        <v>-50</v>
      </c>
      <c r="N105" s="10" t="s">
        <v>360</v>
      </c>
    </row>
    <row r="106" spans="1:14" ht="64" customHeight="1">
      <c r="A106" s="3">
        <v>102</v>
      </c>
      <c r="B106" s="8" t="s">
        <v>21</v>
      </c>
      <c r="C106" s="8" t="s">
        <v>81</v>
      </c>
      <c r="D106" s="8" t="s">
        <v>361</v>
      </c>
      <c r="E106" s="9">
        <v>16</v>
      </c>
      <c r="F106" s="7">
        <f>ROUNDUP(E106*'00_说明'!$B$5,0)</f>
        <v>24</v>
      </c>
      <c r="G106" s="7">
        <f>ROUNDDOWN(E106*'00_说明'!$B$6,0)</f>
        <v>8</v>
      </c>
      <c r="H106" s="3" t="s">
        <v>338</v>
      </c>
      <c r="I106" s="3" t="s">
        <v>339</v>
      </c>
      <c r="J106" s="3" t="s">
        <v>362</v>
      </c>
      <c r="K106" s="3" t="s">
        <v>341</v>
      </c>
      <c r="M106" s="7">
        <f>IF(ISNUMBER(L106),F106-L106,"")</f>
        <v/>
      </c>
      <c r="N106" s="10" t="s">
        <v>363</v>
      </c>
    </row>
    <row r="107" spans="1:14" ht="64" customHeight="1">
      <c r="A107" s="3">
        <v>103</v>
      </c>
      <c r="B107" s="8" t="s">
        <v>21</v>
      </c>
      <c r="C107" s="8" t="s">
        <v>81</v>
      </c>
      <c r="D107" s="8" t="s">
        <v>364</v>
      </c>
      <c r="E107" s="9">
        <v>22</v>
      </c>
      <c r="F107" s="7">
        <f>ROUNDUP(E107*'00_说明'!$B$5,0)</f>
        <v>33</v>
      </c>
      <c r="G107" s="7">
        <f>ROUNDDOWN(E107*'00_说明'!$B$6,0)</f>
        <v>11</v>
      </c>
      <c r="H107" s="3" t="s">
        <v>338</v>
      </c>
      <c r="I107" s="3" t="s">
        <v>339</v>
      </c>
      <c r="J107" s="3" t="s">
        <v>365</v>
      </c>
      <c r="K107" s="3" t="s">
        <v>341</v>
      </c>
      <c r="M107" s="7">
        <f>IF(ISNUMBER(L107),F107-L107,"")</f>
        <v/>
      </c>
      <c r="N107" s="10" t="s">
        <v>366</v>
      </c>
    </row>
    <row r="108" spans="1:14" ht="64" customHeight="1">
      <c r="A108" s="3">
        <v>104</v>
      </c>
      <c r="B108" s="8" t="s">
        <v>21</v>
      </c>
      <c r="C108" s="8" t="s">
        <v>81</v>
      </c>
      <c r="D108" s="8" t="s">
        <v>367</v>
      </c>
      <c r="E108" s="9">
        <v>24</v>
      </c>
      <c r="F108" s="7">
        <f>ROUNDUP(E108*'00_说明'!$B$5,0)</f>
        <v>36</v>
      </c>
      <c r="G108" s="7">
        <f>ROUNDDOWN(E108*'00_说明'!$B$6,0)</f>
        <v>12</v>
      </c>
      <c r="H108" s="3" t="s">
        <v>338</v>
      </c>
      <c r="I108" s="3" t="s">
        <v>339</v>
      </c>
      <c r="J108" s="3" t="s">
        <v>368</v>
      </c>
      <c r="K108" s="3" t="s">
        <v>341</v>
      </c>
      <c r="M108" s="7">
        <f>IF(ISNUMBER(L108),F108-L108,"")</f>
        <v/>
      </c>
      <c r="N108" s="10" t="s">
        <v>369</v>
      </c>
    </row>
    <row r="109" spans="1:14" ht="64" customHeight="1">
      <c r="A109" s="3">
        <v>105</v>
      </c>
      <c r="B109" s="8" t="s">
        <v>21</v>
      </c>
      <c r="C109" s="8" t="s">
        <v>81</v>
      </c>
      <c r="D109" s="8" t="s">
        <v>370</v>
      </c>
      <c r="E109" s="9">
        <v>16</v>
      </c>
      <c r="F109" s="7">
        <f>ROUNDUP(E109*'00_说明'!$B$5,0)</f>
        <v>24</v>
      </c>
      <c r="G109" s="7">
        <f>ROUNDDOWN(E109*'00_说明'!$B$6,0)</f>
        <v>8</v>
      </c>
      <c r="H109" s="3" t="s">
        <v>338</v>
      </c>
      <c r="I109" s="3" t="s">
        <v>339</v>
      </c>
      <c r="J109" s="3" t="s">
        <v>371</v>
      </c>
      <c r="K109" s="3" t="s">
        <v>341</v>
      </c>
      <c r="M109" s="7">
        <f>IF(ISNUMBER(L109),F109-L109,"")</f>
        <v/>
      </c>
      <c r="N109" s="10" t="s">
        <v>372</v>
      </c>
    </row>
    <row r="110" spans="1:14" ht="64" customHeight="1">
      <c r="A110" s="3">
        <v>106</v>
      </c>
      <c r="B110" s="8" t="s">
        <v>21</v>
      </c>
      <c r="C110" s="8" t="s">
        <v>81</v>
      </c>
      <c r="D110" s="8" t="s">
        <v>373</v>
      </c>
      <c r="E110" s="9">
        <v>12</v>
      </c>
      <c r="F110" s="7">
        <f>ROUNDUP(E110*'00_说明'!$B$5,0)</f>
        <v>18</v>
      </c>
      <c r="G110" s="7">
        <f>ROUNDDOWN(E110*'00_说明'!$B$6,0)</f>
        <v>6</v>
      </c>
      <c r="H110" s="3" t="s">
        <v>338</v>
      </c>
      <c r="I110" s="3" t="s">
        <v>339</v>
      </c>
      <c r="J110" s="3" t="s">
        <v>374</v>
      </c>
      <c r="K110" s="3" t="s">
        <v>341</v>
      </c>
      <c r="M110" s="7">
        <f>IF(ISNUMBER(L110),F110-L110,"")</f>
        <v/>
      </c>
      <c r="N110" s="10" t="s">
        <v>375</v>
      </c>
    </row>
    <row r="111" spans="1:14" ht="64" customHeight="1">
      <c r="A111" s="3">
        <v>107</v>
      </c>
      <c r="B111" s="8" t="s">
        <v>21</v>
      </c>
      <c r="C111" s="8" t="s">
        <v>81</v>
      </c>
      <c r="D111" s="8" t="s">
        <v>376</v>
      </c>
      <c r="E111" s="9">
        <v>12</v>
      </c>
      <c r="F111" s="7">
        <f>ROUNDUP(E111*'00_说明'!$B$5,0)</f>
        <v>18</v>
      </c>
      <c r="G111" s="7">
        <f>ROUNDDOWN(E111*'00_说明'!$B$6,0)</f>
        <v>6</v>
      </c>
      <c r="H111" s="3" t="s">
        <v>338</v>
      </c>
      <c r="I111" s="3" t="s">
        <v>339</v>
      </c>
      <c r="J111" s="3" t="s">
        <v>377</v>
      </c>
      <c r="K111" s="3" t="s">
        <v>341</v>
      </c>
      <c r="M111" s="7">
        <f>IF(ISNUMBER(L111),F111-L111,"")</f>
        <v/>
      </c>
      <c r="N111" s="10" t="s">
        <v>378</v>
      </c>
    </row>
    <row r="112" spans="1:14" ht="64" customHeight="1">
      <c r="A112" s="3">
        <v>108</v>
      </c>
      <c r="B112" s="8" t="s">
        <v>21</v>
      </c>
      <c r="C112" s="8" t="s">
        <v>81</v>
      </c>
      <c r="D112" s="8" t="s">
        <v>379</v>
      </c>
      <c r="E112" s="9">
        <v>12</v>
      </c>
      <c r="F112" s="7">
        <f>ROUNDUP(E112*'00_说明'!$B$5,0)</f>
        <v>18</v>
      </c>
      <c r="G112" s="7">
        <f>ROUNDDOWN(E112*'00_说明'!$B$6,0)</f>
        <v>6</v>
      </c>
      <c r="H112" s="3" t="s">
        <v>338</v>
      </c>
      <c r="I112" s="3" t="s">
        <v>339</v>
      </c>
      <c r="J112" s="3" t="s">
        <v>380</v>
      </c>
      <c r="K112" s="3" t="s">
        <v>341</v>
      </c>
      <c r="M112" s="7">
        <f>IF(ISNUMBER(L112),F112-L112,"")</f>
        <v/>
      </c>
      <c r="N112" s="10" t="s">
        <v>381</v>
      </c>
    </row>
    <row r="113" spans="1:14" ht="64" customHeight="1">
      <c r="A113" s="3">
        <v>109</v>
      </c>
      <c r="B113" s="8" t="s">
        <v>21</v>
      </c>
      <c r="C113" s="8" t="s">
        <v>81</v>
      </c>
      <c r="D113" s="8" t="s">
        <v>382</v>
      </c>
      <c r="E113" s="9">
        <v>12</v>
      </c>
      <c r="F113" s="7">
        <f>ROUNDUP(E113*'00_说明'!$B$5,0)</f>
        <v>18</v>
      </c>
      <c r="G113" s="7">
        <f>ROUNDDOWN(E113*'00_说明'!$B$6,0)</f>
        <v>6</v>
      </c>
      <c r="H113" s="3" t="s">
        <v>338</v>
      </c>
      <c r="I113" s="3" t="s">
        <v>339</v>
      </c>
      <c r="J113" s="3" t="s">
        <v>383</v>
      </c>
      <c r="K113" s="3" t="s">
        <v>341</v>
      </c>
      <c r="M113" s="7">
        <f>IF(ISNUMBER(L113),F113-L113,"")</f>
        <v/>
      </c>
      <c r="N113" s="10" t="s">
        <v>384</v>
      </c>
    </row>
    <row r="114" spans="1:14" ht="64" customHeight="1">
      <c r="A114" s="3">
        <v>110</v>
      </c>
      <c r="B114" s="8" t="s">
        <v>21</v>
      </c>
      <c r="C114" s="8" t="s">
        <v>81</v>
      </c>
      <c r="D114" s="8" t="s">
        <v>385</v>
      </c>
      <c r="E114" s="9">
        <v>12</v>
      </c>
      <c r="F114" s="7">
        <f>ROUNDUP(E114*'00_说明'!$B$5,0)</f>
        <v>18</v>
      </c>
      <c r="G114" s="7">
        <f>ROUNDDOWN(E114*'00_说明'!$B$6,0)</f>
        <v>6</v>
      </c>
      <c r="H114" s="3" t="s">
        <v>338</v>
      </c>
      <c r="I114" s="3" t="s">
        <v>339</v>
      </c>
      <c r="J114" s="3" t="s">
        <v>386</v>
      </c>
      <c r="K114" s="3" t="s">
        <v>341</v>
      </c>
      <c r="M114" s="7">
        <f>IF(ISNUMBER(L114),F114-L114,"")</f>
        <v/>
      </c>
      <c r="N114" s="10" t="s">
        <v>387</v>
      </c>
    </row>
    <row r="115" spans="1:14" ht="64" customHeight="1">
      <c r="A115" s="3">
        <v>111</v>
      </c>
      <c r="B115" s="8" t="s">
        <v>23</v>
      </c>
      <c r="C115" s="8" t="s">
        <v>81</v>
      </c>
      <c r="D115" s="8" t="s">
        <v>388</v>
      </c>
      <c r="E115" s="9">
        <v>12</v>
      </c>
      <c r="F115" s="7">
        <f>ROUNDUP(E115*'00_说明'!$B$5,0)</f>
        <v>18</v>
      </c>
      <c r="G115" s="7">
        <f>ROUNDDOWN(E115*'00_说明'!$B$6,0)</f>
        <v>6</v>
      </c>
      <c r="H115" s="3" t="s">
        <v>52</v>
      </c>
      <c r="I115" s="3" t="s">
        <v>389</v>
      </c>
      <c r="J115" s="3" t="s">
        <v>390</v>
      </c>
      <c r="K115" s="3" t="s">
        <v>341</v>
      </c>
      <c r="L115" s="8">
        <v>25</v>
      </c>
      <c r="M115" s="7">
        <f>IF(ISNUMBER(L115),F115-L115,"")</f>
        <v>-7</v>
      </c>
      <c r="N115" s="10" t="s">
        <v>391</v>
      </c>
    </row>
    <row r="116" spans="1:14" ht="64" customHeight="1">
      <c r="A116" s="3">
        <v>112</v>
      </c>
      <c r="B116" s="8" t="s">
        <v>23</v>
      </c>
      <c r="C116" s="8" t="s">
        <v>81</v>
      </c>
      <c r="D116" s="8" t="s">
        <v>392</v>
      </c>
      <c r="E116" s="9">
        <v>16</v>
      </c>
      <c r="F116" s="7">
        <f>ROUNDUP(E116*'00_说明'!$B$5,0)</f>
        <v>24</v>
      </c>
      <c r="G116" s="7">
        <f>ROUNDDOWN(E116*'00_说明'!$B$6,0)</f>
        <v>8</v>
      </c>
      <c r="H116" s="3" t="s">
        <v>52</v>
      </c>
      <c r="I116" s="3" t="s">
        <v>389</v>
      </c>
      <c r="J116" s="3" t="s">
        <v>393</v>
      </c>
      <c r="K116" s="3" t="s">
        <v>341</v>
      </c>
      <c r="L116" s="8">
        <v>35</v>
      </c>
      <c r="M116" s="7">
        <f>IF(ISNUMBER(L116),F116-L116,"")</f>
        <v>-11</v>
      </c>
      <c r="N116" s="10" t="s">
        <v>394</v>
      </c>
    </row>
    <row r="117" spans="1:14" ht="64" customHeight="1">
      <c r="A117" s="3">
        <v>113</v>
      </c>
      <c r="B117" s="8" t="s">
        <v>23</v>
      </c>
      <c r="C117" s="8" t="s">
        <v>81</v>
      </c>
      <c r="D117" s="8" t="s">
        <v>395</v>
      </c>
      <c r="E117" s="9">
        <v>18</v>
      </c>
      <c r="F117" s="7">
        <f>ROUNDUP(E117*'00_说明'!$B$5,0)</f>
        <v>27</v>
      </c>
      <c r="G117" s="7">
        <f>ROUNDDOWN(E117*'00_说明'!$B$6,0)</f>
        <v>9</v>
      </c>
      <c r="H117" s="3" t="s">
        <v>52</v>
      </c>
      <c r="I117" s="3" t="s">
        <v>389</v>
      </c>
      <c r="J117" s="3" t="s">
        <v>396</v>
      </c>
      <c r="K117" s="3" t="s">
        <v>341</v>
      </c>
      <c r="M117" s="7">
        <f>IF(ISNUMBER(L117),F117-L117,"")</f>
        <v/>
      </c>
      <c r="N117" s="10" t="s">
        <v>397</v>
      </c>
    </row>
    <row r="118" spans="1:14" ht="64" customHeight="1">
      <c r="A118" s="3">
        <v>114</v>
      </c>
      <c r="B118" s="8" t="s">
        <v>23</v>
      </c>
      <c r="C118" s="8" t="s">
        <v>81</v>
      </c>
      <c r="D118" s="8" t="s">
        <v>398</v>
      </c>
      <c r="E118" s="9">
        <v>20</v>
      </c>
      <c r="F118" s="7">
        <f>ROUNDUP(E118*'00_说明'!$B$5,0)</f>
        <v>30</v>
      </c>
      <c r="G118" s="7">
        <f>ROUNDDOWN(E118*'00_说明'!$B$6,0)</f>
        <v>10</v>
      </c>
      <c r="H118" s="3" t="s">
        <v>52</v>
      </c>
      <c r="I118" s="3" t="s">
        <v>389</v>
      </c>
      <c r="J118" s="3" t="s">
        <v>399</v>
      </c>
      <c r="K118" s="3" t="s">
        <v>341</v>
      </c>
      <c r="M118" s="7">
        <f>IF(ISNUMBER(L118),F118-L118,"")</f>
        <v/>
      </c>
      <c r="N118" s="10" t="s">
        <v>400</v>
      </c>
    </row>
    <row r="119" spans="1:14" ht="64" customHeight="1">
      <c r="A119" s="3">
        <v>115</v>
      </c>
      <c r="B119" s="8" t="s">
        <v>23</v>
      </c>
      <c r="C119" s="8" t="s">
        <v>81</v>
      </c>
      <c r="D119" s="8" t="s">
        <v>401</v>
      </c>
      <c r="E119" s="9">
        <v>20</v>
      </c>
      <c r="F119" s="7">
        <f>ROUNDUP(E119*'00_说明'!$B$5,0)</f>
        <v>30</v>
      </c>
      <c r="G119" s="7">
        <f>ROUNDDOWN(E119*'00_说明'!$B$6,0)</f>
        <v>10</v>
      </c>
      <c r="H119" s="3" t="s">
        <v>52</v>
      </c>
      <c r="I119" s="3" t="s">
        <v>389</v>
      </c>
      <c r="J119" s="3" t="s">
        <v>402</v>
      </c>
      <c r="K119" s="3" t="s">
        <v>341</v>
      </c>
      <c r="M119" s="7">
        <f>IF(ISNUMBER(L119),F119-L119,"")</f>
        <v/>
      </c>
      <c r="N119" s="10" t="s">
        <v>403</v>
      </c>
    </row>
    <row r="120" spans="1:14" ht="64" customHeight="1">
      <c r="A120" s="3">
        <v>116</v>
      </c>
      <c r="B120" s="8" t="s">
        <v>25</v>
      </c>
      <c r="C120" s="8" t="s">
        <v>50</v>
      </c>
      <c r="D120" s="8" t="s">
        <v>404</v>
      </c>
      <c r="E120" s="9">
        <v>80</v>
      </c>
      <c r="F120" s="7">
        <f>ROUNDUP(E120*'00_说明'!$B$5,0)</f>
        <v>120</v>
      </c>
      <c r="G120" s="7">
        <f>ROUNDDOWN(E120*'00_说明'!$B$6,0)</f>
        <v>40</v>
      </c>
      <c r="H120" s="3" t="s">
        <v>52</v>
      </c>
      <c r="I120" s="3" t="s">
        <v>389</v>
      </c>
      <c r="J120" s="3" t="s">
        <v>405</v>
      </c>
      <c r="K120" s="3" t="s">
        <v>406</v>
      </c>
      <c r="M120" s="7">
        <f>IF(ISNUMBER(L120),F120-L120,"")</f>
        <v/>
      </c>
      <c r="N120" s="10" t="s">
        <v>407</v>
      </c>
    </row>
    <row r="121" spans="1:14" ht="64" customHeight="1">
      <c r="A121" s="3">
        <v>117</v>
      </c>
      <c r="B121" s="8" t="s">
        <v>25</v>
      </c>
      <c r="C121" s="8" t="s">
        <v>50</v>
      </c>
      <c r="D121" s="8" t="s">
        <v>408</v>
      </c>
      <c r="E121" s="9">
        <v>32</v>
      </c>
      <c r="F121" s="7">
        <f>ROUNDUP(E121*'00_说明'!$B$5,0)</f>
        <v>48</v>
      </c>
      <c r="G121" s="7">
        <f>ROUNDDOWN(E121*'00_说明'!$B$6,0)</f>
        <v>16</v>
      </c>
      <c r="H121" s="3" t="s">
        <v>52</v>
      </c>
      <c r="I121" s="3" t="s">
        <v>389</v>
      </c>
      <c r="J121" s="3" t="s">
        <v>409</v>
      </c>
      <c r="K121" s="3" t="s">
        <v>406</v>
      </c>
      <c r="M121" s="7">
        <f>IF(ISNUMBER(L121),F121-L121,"")</f>
        <v/>
      </c>
      <c r="N121" s="10" t="s">
        <v>410</v>
      </c>
    </row>
    <row r="122" spans="1:14" ht="64" customHeight="1">
      <c r="A122" s="3">
        <v>118</v>
      </c>
      <c r="B122" s="8" t="s">
        <v>25</v>
      </c>
      <c r="C122" s="8" t="s">
        <v>50</v>
      </c>
      <c r="D122" s="8" t="s">
        <v>411</v>
      </c>
      <c r="E122" s="9">
        <v>20</v>
      </c>
      <c r="F122" s="7">
        <f>ROUNDUP(E122*'00_说明'!$B$5,0)</f>
        <v>30</v>
      </c>
      <c r="G122" s="7">
        <f>ROUNDDOWN(E122*'00_说明'!$B$6,0)</f>
        <v>10</v>
      </c>
      <c r="H122" s="3" t="s">
        <v>52</v>
      </c>
      <c r="I122" s="3" t="s">
        <v>389</v>
      </c>
      <c r="J122" s="3" t="s">
        <v>412</v>
      </c>
      <c r="K122" s="3" t="s">
        <v>406</v>
      </c>
      <c r="M122" s="7">
        <f>IF(ISNUMBER(L122),F122-L122,"")</f>
        <v/>
      </c>
      <c r="N122" s="10" t="s">
        <v>413</v>
      </c>
    </row>
    <row r="123" spans="1:14" ht="64" customHeight="1">
      <c r="A123" s="3">
        <v>119</v>
      </c>
      <c r="B123" s="8" t="s">
        <v>25</v>
      </c>
      <c r="C123" s="8" t="s">
        <v>50</v>
      </c>
      <c r="D123" s="8" t="s">
        <v>414</v>
      </c>
      <c r="E123" s="9">
        <v>20</v>
      </c>
      <c r="F123" s="7">
        <f>ROUNDUP(E123*'00_说明'!$B$5,0)</f>
        <v>30</v>
      </c>
      <c r="G123" s="7">
        <f>ROUNDDOWN(E123*'00_说明'!$B$6,0)</f>
        <v>10</v>
      </c>
      <c r="H123" s="3" t="s">
        <v>52</v>
      </c>
      <c r="I123" s="3" t="s">
        <v>389</v>
      </c>
      <c r="J123" s="3" t="s">
        <v>415</v>
      </c>
      <c r="K123" s="3" t="s">
        <v>406</v>
      </c>
      <c r="M123" s="7">
        <f>IF(ISNUMBER(L123),F123-L123,"")</f>
        <v/>
      </c>
      <c r="N123" s="10" t="s">
        <v>416</v>
      </c>
    </row>
    <row r="124" spans="1:14" ht="64" customHeight="1">
      <c r="A124" s="3">
        <v>120</v>
      </c>
      <c r="B124" s="8" t="s">
        <v>25</v>
      </c>
      <c r="C124" s="8" t="s">
        <v>50</v>
      </c>
      <c r="D124" s="8" t="s">
        <v>417</v>
      </c>
      <c r="E124" s="9">
        <v>28</v>
      </c>
      <c r="F124" s="7">
        <f>ROUNDUP(E124*'00_说明'!$B$5,0)</f>
        <v>42</v>
      </c>
      <c r="G124" s="7">
        <f>ROUNDDOWN(E124*'00_说明'!$B$6,0)</f>
        <v>14</v>
      </c>
      <c r="H124" s="3" t="s">
        <v>52</v>
      </c>
      <c r="I124" s="3" t="s">
        <v>389</v>
      </c>
      <c r="J124" s="3" t="s">
        <v>418</v>
      </c>
      <c r="K124" s="3" t="s">
        <v>406</v>
      </c>
      <c r="M124" s="7">
        <f>IF(ISNUMBER(L124),F124-L124,"")</f>
        <v/>
      </c>
      <c r="N124" s="10" t="s">
        <v>419</v>
      </c>
    </row>
    <row r="125" spans="1:14" ht="64" customHeight="1">
      <c r="A125" s="3">
        <v>121</v>
      </c>
      <c r="B125" s="8" t="s">
        <v>25</v>
      </c>
      <c r="C125" s="8" t="s">
        <v>50</v>
      </c>
      <c r="D125" s="8" t="s">
        <v>420</v>
      </c>
      <c r="E125" s="9">
        <v>18</v>
      </c>
      <c r="F125" s="7">
        <f>ROUNDUP(E125*'00_说明'!$B$5,0)</f>
        <v>27</v>
      </c>
      <c r="G125" s="7">
        <f>ROUNDDOWN(E125*'00_说明'!$B$6,0)</f>
        <v>9</v>
      </c>
      <c r="H125" s="3" t="s">
        <v>52</v>
      </c>
      <c r="I125" s="3" t="s">
        <v>389</v>
      </c>
      <c r="J125" s="3" t="s">
        <v>421</v>
      </c>
      <c r="K125" s="3" t="s">
        <v>406</v>
      </c>
      <c r="M125" s="7">
        <f>IF(ISNUMBER(L125),F125-L125,"")</f>
        <v/>
      </c>
      <c r="N125" s="10" t="s">
        <v>422</v>
      </c>
    </row>
    <row r="126" spans="1:14" ht="64" customHeight="1">
      <c r="A126" s="3">
        <v>122</v>
      </c>
      <c r="B126" s="8" t="s">
        <v>25</v>
      </c>
      <c r="C126" s="8" t="s">
        <v>50</v>
      </c>
      <c r="D126" s="8" t="s">
        <v>423</v>
      </c>
      <c r="E126" s="9">
        <v>28</v>
      </c>
      <c r="F126" s="7">
        <f>ROUNDUP(E126*'00_说明'!$B$5,0)</f>
        <v>42</v>
      </c>
      <c r="G126" s="7">
        <f>ROUNDDOWN(E126*'00_说明'!$B$6,0)</f>
        <v>14</v>
      </c>
      <c r="H126" s="3" t="s">
        <v>52</v>
      </c>
      <c r="I126" s="3" t="s">
        <v>389</v>
      </c>
      <c r="J126" s="3" t="s">
        <v>424</v>
      </c>
      <c r="K126" s="3" t="s">
        <v>406</v>
      </c>
      <c r="M126" s="7">
        <f>IF(ISNUMBER(L126),F126-L126,"")</f>
        <v/>
      </c>
      <c r="N126" s="10" t="s">
        <v>425</v>
      </c>
    </row>
    <row r="127" spans="1:14" ht="64" customHeight="1">
      <c r="A127" s="3">
        <v>123</v>
      </c>
      <c r="B127" s="8" t="s">
        <v>25</v>
      </c>
      <c r="C127" s="8" t="s">
        <v>50</v>
      </c>
      <c r="D127" s="8" t="s">
        <v>426</v>
      </c>
      <c r="E127" s="9">
        <v>22</v>
      </c>
      <c r="F127" s="7">
        <f>ROUNDUP(E127*'00_说明'!$B$5,0)</f>
        <v>33</v>
      </c>
      <c r="G127" s="7">
        <f>ROUNDDOWN(E127*'00_说明'!$B$6,0)</f>
        <v>11</v>
      </c>
      <c r="H127" s="3" t="s">
        <v>52</v>
      </c>
      <c r="I127" s="3" t="s">
        <v>389</v>
      </c>
      <c r="J127" s="3" t="s">
        <v>427</v>
      </c>
      <c r="K127" s="3" t="s">
        <v>406</v>
      </c>
      <c r="M127" s="7">
        <f>IF(ISNUMBER(L127),F127-L127,"")</f>
        <v/>
      </c>
      <c r="N127" s="10" t="s">
        <v>428</v>
      </c>
    </row>
    <row r="128" spans="1:14" ht="64" customHeight="1">
      <c r="A128" s="3">
        <v>124</v>
      </c>
      <c r="B128" s="8" t="s">
        <v>25</v>
      </c>
      <c r="C128" s="8" t="s">
        <v>50</v>
      </c>
      <c r="D128" s="8" t="s">
        <v>429</v>
      </c>
      <c r="E128" s="9">
        <v>20</v>
      </c>
      <c r="F128" s="7">
        <f>ROUNDUP(E128*'00_说明'!$B$5,0)</f>
        <v>30</v>
      </c>
      <c r="G128" s="7">
        <f>ROUNDDOWN(E128*'00_说明'!$B$6,0)</f>
        <v>10</v>
      </c>
      <c r="H128" s="3" t="s">
        <v>52</v>
      </c>
      <c r="I128" s="3" t="s">
        <v>389</v>
      </c>
      <c r="J128" s="3" t="s">
        <v>430</v>
      </c>
      <c r="K128" s="3" t="s">
        <v>406</v>
      </c>
      <c r="M128" s="7">
        <f>IF(ISNUMBER(L128),F128-L128,"")</f>
        <v/>
      </c>
      <c r="N128" s="10" t="s">
        <v>431</v>
      </c>
    </row>
    <row r="129" spans="1:14" ht="64" customHeight="1">
      <c r="A129" s="3">
        <v>125</v>
      </c>
      <c r="B129" s="8" t="s">
        <v>25</v>
      </c>
      <c r="C129" s="8" t="s">
        <v>50</v>
      </c>
      <c r="D129" s="8" t="s">
        <v>432</v>
      </c>
      <c r="E129" s="9">
        <v>18</v>
      </c>
      <c r="F129" s="7">
        <f>ROUNDUP(E129*'00_说明'!$B$5,0)</f>
        <v>27</v>
      </c>
      <c r="G129" s="7">
        <f>ROUNDDOWN(E129*'00_说明'!$B$6,0)</f>
        <v>9</v>
      </c>
      <c r="H129" s="3" t="s">
        <v>52</v>
      </c>
      <c r="I129" s="3" t="s">
        <v>389</v>
      </c>
      <c r="J129" s="3" t="s">
        <v>433</v>
      </c>
      <c r="K129" s="3" t="s">
        <v>406</v>
      </c>
      <c r="M129" s="7">
        <f>IF(ISNUMBER(L129),F129-L129,"")</f>
        <v/>
      </c>
      <c r="N129" s="10" t="s">
        <v>434</v>
      </c>
    </row>
    <row r="130" spans="1:14" ht="64" customHeight="1">
      <c r="A130" s="3">
        <v>126</v>
      </c>
      <c r="B130" s="8" t="s">
        <v>25</v>
      </c>
      <c r="C130" s="8" t="s">
        <v>50</v>
      </c>
      <c r="D130" s="8" t="s">
        <v>435</v>
      </c>
      <c r="E130" s="9">
        <v>16</v>
      </c>
      <c r="F130" s="7">
        <f>ROUNDUP(E130*'00_说明'!$B$5,0)</f>
        <v>24</v>
      </c>
      <c r="G130" s="7">
        <f>ROUNDDOWN(E130*'00_说明'!$B$6,0)</f>
        <v>8</v>
      </c>
      <c r="H130" s="3" t="s">
        <v>52</v>
      </c>
      <c r="I130" s="3" t="s">
        <v>389</v>
      </c>
      <c r="J130" s="3" t="s">
        <v>436</v>
      </c>
      <c r="K130" s="3" t="s">
        <v>406</v>
      </c>
      <c r="M130" s="7">
        <f>IF(ISNUMBER(L130),F130-L130,"")</f>
        <v/>
      </c>
      <c r="N130" s="10" t="s">
        <v>437</v>
      </c>
    </row>
    <row r="131" spans="1:14" ht="64" customHeight="1">
      <c r="A131" s="3">
        <v>127</v>
      </c>
      <c r="B131" s="8" t="s">
        <v>25</v>
      </c>
      <c r="C131" s="8" t="s">
        <v>50</v>
      </c>
      <c r="D131" s="8" t="s">
        <v>438</v>
      </c>
      <c r="E131" s="9">
        <v>18</v>
      </c>
      <c r="F131" s="7">
        <f>ROUNDUP(E131*'00_说明'!$B$5,0)</f>
        <v>27</v>
      </c>
      <c r="G131" s="7">
        <f>ROUNDDOWN(E131*'00_说明'!$B$6,0)</f>
        <v>9</v>
      </c>
      <c r="H131" s="3" t="s">
        <v>52</v>
      </c>
      <c r="I131" s="3" t="s">
        <v>389</v>
      </c>
      <c r="J131" s="3" t="s">
        <v>439</v>
      </c>
      <c r="K131" s="3" t="s">
        <v>406</v>
      </c>
      <c r="M131" s="7">
        <f>IF(ISNUMBER(L131),F131-L131,"")</f>
        <v/>
      </c>
      <c r="N131" s="10" t="s">
        <v>440</v>
      </c>
    </row>
    <row r="132" spans="1:14" ht="64" customHeight="1">
      <c r="A132" s="3">
        <v>128</v>
      </c>
      <c r="B132" s="8" t="s">
        <v>25</v>
      </c>
      <c r="C132" s="8" t="s">
        <v>50</v>
      </c>
      <c r="D132" s="8" t="s">
        <v>441</v>
      </c>
      <c r="E132" s="9">
        <v>20</v>
      </c>
      <c r="F132" s="7">
        <f>ROUNDUP(E132*'00_说明'!$B$5,0)</f>
        <v>30</v>
      </c>
      <c r="G132" s="7">
        <f>ROUNDDOWN(E132*'00_说明'!$B$6,0)</f>
        <v>10</v>
      </c>
      <c r="H132" s="3" t="s">
        <v>52</v>
      </c>
      <c r="I132" s="3" t="s">
        <v>389</v>
      </c>
      <c r="J132" s="3" t="s">
        <v>442</v>
      </c>
      <c r="K132" s="3" t="s">
        <v>406</v>
      </c>
      <c r="M132" s="7">
        <f>IF(ISNUMBER(L132),F132-L132,"")</f>
        <v/>
      </c>
      <c r="N132" s="10" t="s">
        <v>443</v>
      </c>
    </row>
    <row r="133" spans="1:14" ht="64" customHeight="1">
      <c r="A133" s="3">
        <v>129</v>
      </c>
      <c r="B133" s="8" t="s">
        <v>25</v>
      </c>
      <c r="C133" s="8" t="s">
        <v>50</v>
      </c>
      <c r="D133" s="8" t="s">
        <v>444</v>
      </c>
      <c r="E133" s="9">
        <v>24</v>
      </c>
      <c r="F133" s="7">
        <f>ROUNDUP(E133*'00_说明'!$B$5,0)</f>
        <v>36</v>
      </c>
      <c r="G133" s="7">
        <f>ROUNDDOWN(E133*'00_说明'!$B$6,0)</f>
        <v>12</v>
      </c>
      <c r="H133" s="3" t="s">
        <v>52</v>
      </c>
      <c r="I133" s="3" t="s">
        <v>389</v>
      </c>
      <c r="J133" s="3" t="s">
        <v>445</v>
      </c>
      <c r="K133" s="3" t="s">
        <v>406</v>
      </c>
      <c r="M133" s="7">
        <f>IF(ISNUMBER(L133),F133-L133,"")</f>
        <v/>
      </c>
      <c r="N133" s="10" t="s">
        <v>446</v>
      </c>
    </row>
    <row r="134" spans="1:14" ht="64" customHeight="1">
      <c r="A134" s="3">
        <v>130</v>
      </c>
      <c r="B134" s="8" t="s">
        <v>27</v>
      </c>
      <c r="C134" s="8" t="s">
        <v>50</v>
      </c>
      <c r="D134" s="8" t="s">
        <v>447</v>
      </c>
      <c r="E134" s="9">
        <v>4</v>
      </c>
      <c r="F134" s="7">
        <f>ROUNDUP(E134*'00_说明'!$B$5,0)</f>
        <v>6</v>
      </c>
      <c r="G134" s="7">
        <f>ROUNDDOWN(E134*'00_说明'!$B$6,0)</f>
        <v>2</v>
      </c>
      <c r="H134" s="3" t="s">
        <v>448</v>
      </c>
      <c r="I134" s="3" t="s">
        <v>339</v>
      </c>
      <c r="J134" s="3" t="s">
        <v>449</v>
      </c>
      <c r="K134" s="3" t="s">
        <v>450</v>
      </c>
      <c r="M134" s="7">
        <f>IF(ISNUMBER(L134),F134-L134,"")</f>
        <v/>
      </c>
      <c r="N134" s="10" t="s">
        <v>451</v>
      </c>
    </row>
    <row r="135" spans="1:14" ht="64" customHeight="1">
      <c r="A135" s="3">
        <v>131</v>
      </c>
      <c r="B135" s="8" t="s">
        <v>27</v>
      </c>
      <c r="C135" s="8" t="s">
        <v>50</v>
      </c>
      <c r="D135" s="8" t="s">
        <v>452</v>
      </c>
      <c r="E135" s="9">
        <v>4</v>
      </c>
      <c r="F135" s="7">
        <f>ROUNDUP(E135*'00_说明'!$B$5,0)</f>
        <v>6</v>
      </c>
      <c r="G135" s="7">
        <f>ROUNDDOWN(E135*'00_说明'!$B$6,0)</f>
        <v>2</v>
      </c>
      <c r="H135" s="3" t="s">
        <v>448</v>
      </c>
      <c r="I135" s="3" t="s">
        <v>339</v>
      </c>
      <c r="J135" s="3" t="s">
        <v>453</v>
      </c>
      <c r="K135" s="3" t="s">
        <v>450</v>
      </c>
      <c r="M135" s="7">
        <f>IF(ISNUMBER(L135),F135-L135,"")</f>
        <v/>
      </c>
      <c r="N135" s="10" t="s">
        <v>454</v>
      </c>
    </row>
    <row r="136" spans="1:14" ht="64" customHeight="1">
      <c r="A136" s="3">
        <v>132</v>
      </c>
      <c r="B136" s="8" t="s">
        <v>27</v>
      </c>
      <c r="C136" s="8" t="s">
        <v>50</v>
      </c>
      <c r="D136" s="8" t="s">
        <v>455</v>
      </c>
      <c r="E136" s="9">
        <v>6</v>
      </c>
      <c r="F136" s="7">
        <f>ROUNDUP(E136*'00_说明'!$B$5,0)</f>
        <v>9</v>
      </c>
      <c r="G136" s="7">
        <f>ROUNDDOWN(E136*'00_说明'!$B$6,0)</f>
        <v>3</v>
      </c>
      <c r="H136" s="3" t="s">
        <v>448</v>
      </c>
      <c r="I136" s="3" t="s">
        <v>339</v>
      </c>
      <c r="J136" s="3" t="s">
        <v>456</v>
      </c>
      <c r="K136" s="3" t="s">
        <v>450</v>
      </c>
      <c r="M136" s="7">
        <f>IF(ISNUMBER(L136),F136-L136,"")</f>
        <v/>
      </c>
      <c r="N136" s="10" t="s">
        <v>457</v>
      </c>
    </row>
    <row r="137" spans="1:14" ht="64" customHeight="1">
      <c r="A137" s="3">
        <v>133</v>
      </c>
      <c r="B137" s="8" t="s">
        <v>27</v>
      </c>
      <c r="C137" s="8" t="s">
        <v>50</v>
      </c>
      <c r="D137" s="8" t="s">
        <v>458</v>
      </c>
      <c r="E137" s="9">
        <v>4</v>
      </c>
      <c r="F137" s="7">
        <f>ROUNDUP(E137*'00_说明'!$B$5,0)</f>
        <v>6</v>
      </c>
      <c r="G137" s="7">
        <f>ROUNDDOWN(E137*'00_说明'!$B$6,0)</f>
        <v>2</v>
      </c>
      <c r="H137" s="3" t="s">
        <v>448</v>
      </c>
      <c r="I137" s="3" t="s">
        <v>339</v>
      </c>
      <c r="J137" s="3" t="s">
        <v>459</v>
      </c>
      <c r="K137" s="3" t="s">
        <v>450</v>
      </c>
      <c r="M137" s="7">
        <f>IF(ISNUMBER(L137),F137-L137,"")</f>
        <v/>
      </c>
      <c r="N137" s="10" t="s">
        <v>460</v>
      </c>
    </row>
    <row r="138" spans="1:14" ht="64" customHeight="1">
      <c r="A138" s="3">
        <v>134</v>
      </c>
      <c r="B138" s="8" t="s">
        <v>29</v>
      </c>
      <c r="C138" s="8" t="s">
        <v>50</v>
      </c>
      <c r="D138" s="8" t="s">
        <v>461</v>
      </c>
      <c r="E138" s="9">
        <v>8</v>
      </c>
      <c r="F138" s="7">
        <f>ROUNDUP(E138*'00_说明'!$B$5,0)</f>
        <v>12</v>
      </c>
      <c r="G138" s="7">
        <f>ROUNDDOWN(E138*'00_说明'!$B$6,0)</f>
        <v>4</v>
      </c>
      <c r="H138" s="3" t="s">
        <v>462</v>
      </c>
      <c r="I138" s="3" t="s">
        <v>389</v>
      </c>
      <c r="J138" s="3" t="s">
        <v>463</v>
      </c>
      <c r="K138" s="3" t="s">
        <v>450</v>
      </c>
      <c r="M138" s="7">
        <f>IF(ISNUMBER(L138),F138-L138,"")</f>
        <v/>
      </c>
      <c r="N138" s="10" t="s">
        <v>464</v>
      </c>
    </row>
    <row r="139" spans="1:14" ht="64" customHeight="1">
      <c r="A139" s="3">
        <v>135</v>
      </c>
      <c r="B139" s="8" t="s">
        <v>29</v>
      </c>
      <c r="C139" s="8" t="s">
        <v>50</v>
      </c>
      <c r="D139" s="8" t="s">
        <v>465</v>
      </c>
      <c r="E139" s="9">
        <v>8</v>
      </c>
      <c r="F139" s="7">
        <f>ROUNDUP(E139*'00_说明'!$B$5,0)</f>
        <v>12</v>
      </c>
      <c r="G139" s="7">
        <f>ROUNDDOWN(E139*'00_说明'!$B$6,0)</f>
        <v>4</v>
      </c>
      <c r="H139" s="3" t="s">
        <v>462</v>
      </c>
      <c r="I139" s="3" t="s">
        <v>389</v>
      </c>
      <c r="J139" s="3" t="s">
        <v>466</v>
      </c>
      <c r="K139" s="3" t="s">
        <v>450</v>
      </c>
      <c r="M139" s="7">
        <f>IF(ISNUMBER(L139),F139-L139,"")</f>
        <v/>
      </c>
      <c r="N139" s="10" t="s">
        <v>467</v>
      </c>
    </row>
    <row r="140" spans="1:14" ht="64" customHeight="1">
      <c r="A140" s="3">
        <v>136</v>
      </c>
      <c r="B140" s="8" t="s">
        <v>31</v>
      </c>
      <c r="C140" s="8" t="s">
        <v>50</v>
      </c>
      <c r="D140" s="8" t="s">
        <v>468</v>
      </c>
      <c r="E140" s="9">
        <v>60</v>
      </c>
      <c r="F140" s="7">
        <f>ROUNDUP(E140*'00_说明'!$B$5,0)</f>
        <v>90</v>
      </c>
      <c r="G140" s="7">
        <f>ROUNDDOWN(E140*'00_说明'!$B$6,0)</f>
        <v>30</v>
      </c>
      <c r="H140" s="3" t="s">
        <v>52</v>
      </c>
      <c r="I140" s="3" t="s">
        <v>271</v>
      </c>
      <c r="J140" s="3" t="s">
        <v>469</v>
      </c>
      <c r="K140" s="3" t="s">
        <v>470</v>
      </c>
      <c r="M140" s="7">
        <f>IF(ISNUMBER(L140),F140-L140,"")</f>
        <v/>
      </c>
      <c r="N140" s="10" t="s">
        <v>471</v>
      </c>
    </row>
    <row r="141" spans="1:14" ht="64" customHeight="1">
      <c r="A141" s="3">
        <v>137</v>
      </c>
      <c r="B141" s="8" t="s">
        <v>31</v>
      </c>
      <c r="C141" s="8" t="s">
        <v>50</v>
      </c>
      <c r="D141" s="8" t="s">
        <v>472</v>
      </c>
      <c r="E141" s="9">
        <v>300</v>
      </c>
      <c r="F141" s="7">
        <f>ROUNDUP(E141*'00_说明'!$B$5,0)</f>
        <v>450</v>
      </c>
      <c r="G141" s="7">
        <f>ROUNDDOWN(E141*'00_说明'!$B$6,0)</f>
        <v>150</v>
      </c>
      <c r="H141" s="3" t="s">
        <v>52</v>
      </c>
      <c r="I141" s="3" t="s">
        <v>271</v>
      </c>
      <c r="J141" s="3" t="s">
        <v>473</v>
      </c>
      <c r="K141" s="3" t="s">
        <v>470</v>
      </c>
      <c r="M141" s="7">
        <f>IF(ISNUMBER(L141),F141-L141,"")</f>
        <v/>
      </c>
      <c r="N141" s="10" t="s">
        <v>474</v>
      </c>
    </row>
    <row r="142" spans="1:14" ht="64" customHeight="1">
      <c r="A142" s="3">
        <v>138</v>
      </c>
      <c r="B142" s="8" t="s">
        <v>31</v>
      </c>
      <c r="C142" s="8" t="s">
        <v>81</v>
      </c>
      <c r="D142" s="8" t="s">
        <v>475</v>
      </c>
      <c r="E142" s="9">
        <v>1200</v>
      </c>
      <c r="F142" s="7">
        <f>ROUNDUP(E142*'00_说明'!$B$5,0)</f>
        <v>1800</v>
      </c>
      <c r="G142" s="7">
        <f>ROUNDDOWN(E142*'00_说明'!$B$6,0)</f>
        <v>600</v>
      </c>
      <c r="H142" s="3" t="s">
        <v>52</v>
      </c>
      <c r="I142" s="3" t="s">
        <v>271</v>
      </c>
      <c r="J142" s="3" t="s">
        <v>476</v>
      </c>
      <c r="K142" s="5" t="s">
        <v>477</v>
      </c>
      <c r="M142" s="7">
        <f>IF(ISNUMBER(L142),F142-L142,"")</f>
        <v/>
      </c>
      <c r="N142" s="10" t="s">
        <v>478</v>
      </c>
    </row>
    <row r="143" spans="1:14" ht="64" customHeight="1">
      <c r="A143" s="3">
        <v>139</v>
      </c>
      <c r="B143" s="8" t="s">
        <v>31</v>
      </c>
      <c r="C143" s="8" t="s">
        <v>479</v>
      </c>
      <c r="D143" s="8" t="s">
        <v>480</v>
      </c>
      <c r="E143" s="9">
        <v>4800</v>
      </c>
      <c r="F143" s="7">
        <f>ROUNDUP(E143*'00_说明'!$B$5,0)</f>
        <v>7200</v>
      </c>
      <c r="G143" s="7">
        <f>ROUNDDOWN(E143*'00_说明'!$B$6,0)</f>
        <v>2400</v>
      </c>
      <c r="H143" s="3" t="s">
        <v>52</v>
      </c>
      <c r="I143" s="3" t="s">
        <v>271</v>
      </c>
      <c r="J143" s="3" t="s">
        <v>481</v>
      </c>
      <c r="K143" s="5" t="s">
        <v>477</v>
      </c>
      <c r="M143" s="7">
        <f>IF(ISNUMBER(L143),F143-L143,"")</f>
        <v/>
      </c>
      <c r="N143" s="10" t="s">
        <v>482</v>
      </c>
    </row>
    <row r="144" spans="1:14" ht="64" customHeight="1">
      <c r="A144" s="3">
        <v>140</v>
      </c>
      <c r="B144" s="8" t="s">
        <v>31</v>
      </c>
      <c r="C144" s="8" t="s">
        <v>483</v>
      </c>
      <c r="D144" s="8" t="s">
        <v>484</v>
      </c>
      <c r="E144" s="9">
        <v>19200</v>
      </c>
      <c r="F144" s="7">
        <f>ROUNDUP(E144*'00_说明'!$B$5,0)</f>
        <v>28800</v>
      </c>
      <c r="G144" s="7">
        <f>ROUNDDOWN(E144*'00_说明'!$B$6,0)</f>
        <v>9600</v>
      </c>
      <c r="H144" s="3" t="s">
        <v>52</v>
      </c>
      <c r="I144" s="3" t="s">
        <v>271</v>
      </c>
      <c r="J144" s="3" t="s">
        <v>485</v>
      </c>
      <c r="K144" s="5" t="s">
        <v>477</v>
      </c>
      <c r="M144" s="7">
        <f>IF(ISNUMBER(L144),F144-L144,"")</f>
        <v/>
      </c>
      <c r="N144" s="10" t="s">
        <v>486</v>
      </c>
    </row>
    <row r="145" spans="1:14" ht="64" customHeight="1">
      <c r="A145" s="3">
        <v>141</v>
      </c>
      <c r="B145" s="8" t="s">
        <v>31</v>
      </c>
      <c r="C145" s="8" t="s">
        <v>487</v>
      </c>
      <c r="D145" s="8" t="s">
        <v>488</v>
      </c>
      <c r="E145" s="9">
        <v>76800</v>
      </c>
      <c r="F145" s="7">
        <f>ROUNDUP(E145*'00_说明'!$B$5,0)</f>
        <v>115200</v>
      </c>
      <c r="G145" s="7">
        <f>ROUNDDOWN(E145*'00_说明'!$B$6,0)</f>
        <v>38400</v>
      </c>
      <c r="H145" s="3" t="s">
        <v>52</v>
      </c>
      <c r="I145" s="3" t="s">
        <v>271</v>
      </c>
      <c r="J145" s="3" t="s">
        <v>489</v>
      </c>
      <c r="K145" s="5" t="s">
        <v>477</v>
      </c>
      <c r="M145" s="7">
        <f>IF(ISNUMBER(L145),F145-L145,"")</f>
        <v/>
      </c>
      <c r="N145" s="10" t="s">
        <v>490</v>
      </c>
    </row>
    <row r="146" spans="1:14" ht="64" customHeight="1">
      <c r="A146" s="3">
        <v>142</v>
      </c>
      <c r="B146" s="8" t="s">
        <v>31</v>
      </c>
      <c r="C146" s="8" t="s">
        <v>491</v>
      </c>
      <c r="D146" s="8" t="s">
        <v>492</v>
      </c>
      <c r="E146" s="9">
        <v>307200</v>
      </c>
      <c r="F146" s="7">
        <f>ROUNDUP(E146*'00_说明'!$B$5,0)</f>
        <v>460800</v>
      </c>
      <c r="G146" s="7">
        <f>ROUNDDOWN(E146*'00_说明'!$B$6,0)</f>
        <v>153600</v>
      </c>
      <c r="H146" s="3" t="s">
        <v>52</v>
      </c>
      <c r="I146" s="3" t="s">
        <v>271</v>
      </c>
      <c r="J146" s="3" t="s">
        <v>493</v>
      </c>
      <c r="K146" s="5" t="s">
        <v>477</v>
      </c>
      <c r="M146" s="7">
        <f>IF(ISNUMBER(L146),F146-L146,"")</f>
        <v/>
      </c>
      <c r="N146" s="10" t="s">
        <v>494</v>
      </c>
    </row>
  </sheetData>
  <autoFilter ref="A4:N146"/>
  <mergeCells count="2">
    <mergeCell ref="A1:N2"/>
    <mergeCell ref="A3:N3"/>
  </mergeCells>
  <dataValidations count="1">
    <dataValidation type="whole" allowBlank="1" showInputMessage="1" showErrorMessage="1" error="请输入1至1000000的整数基准价。" sqref="E5:E146">
      <formula1>1</formula1>
      <formula2>1000000</formula2>
    </dataValidation>
  </dataValidations>
  <pageMargins left="0.3" right="0.3" top="0.4" bottom="0.4" header="0.3" footer="0.3"/>
  <pageSetup paperSize="9" fitToHeight="0" orientation="landscape"/>
  <headerFooter>
    <oddFooter>&amp;L首版建议 · 未写入游戏&amp;R第 &amp;P 页 / &amp;N 页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6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28" customHeight="1"/>
  <cols>
    <col min="1" max="1" width="6.7109375" customWidth="1"/>
    <col min="2" max="2" width="20.7109375" customWidth="1"/>
    <col min="3" max="3" width="8.7109375" customWidth="1"/>
    <col min="4" max="4" width="12.7109375" customWidth="1"/>
    <col min="5" max="5" width="10.7109375" customWidth="1"/>
    <col min="6" max="7" width="8.7109375" customWidth="1"/>
    <col min="8" max="8" width="95.7109375" customWidth="1"/>
    <col min="9" max="9" width="50.7109375" customWidth="1"/>
    <col min="10" max="10" width="8.7109375" customWidth="1"/>
    <col min="11" max="11" width="45.7109375" customWidth="1"/>
  </cols>
  <sheetData>
    <row r="1" spans="1:11" ht="28" customHeight="1">
      <c r="A1" s="1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8" customHeight="1">
      <c r="A3" s="2" t="s">
        <v>496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8" customHeight="1">
      <c r="A4" s="6" t="s">
        <v>37</v>
      </c>
      <c r="B4" s="6" t="s">
        <v>39</v>
      </c>
      <c r="C4" s="6" t="s">
        <v>38</v>
      </c>
      <c r="D4" s="6" t="s">
        <v>497</v>
      </c>
      <c r="E4" s="6" t="s">
        <v>498</v>
      </c>
      <c r="F4" s="6" t="s">
        <v>499</v>
      </c>
      <c r="G4" s="6" t="s">
        <v>500</v>
      </c>
      <c r="H4" s="6" t="s">
        <v>501</v>
      </c>
      <c r="I4" s="6" t="s">
        <v>502</v>
      </c>
      <c r="J4" s="6" t="s">
        <v>503</v>
      </c>
      <c r="K4" s="6" t="s">
        <v>504</v>
      </c>
    </row>
    <row r="5" spans="1:11" ht="58" customHeight="1">
      <c r="A5" s="8">
        <v>1</v>
      </c>
      <c r="B5" s="8" t="s">
        <v>51</v>
      </c>
      <c r="C5" s="8" t="s">
        <v>50</v>
      </c>
      <c r="D5" s="8" t="s">
        <v>505</v>
      </c>
      <c r="E5" s="8">
        <v>5.5</v>
      </c>
      <c r="F5" s="8">
        <v>3</v>
      </c>
      <c r="G5" s="8">
        <v>0</v>
      </c>
      <c r="H5" s="8" t="s">
        <v>506</v>
      </c>
      <c r="I5" s="8" t="s">
        <v>507</v>
      </c>
      <c r="J5" s="8">
        <v>3</v>
      </c>
      <c r="K5" s="8"/>
    </row>
    <row r="6" spans="1:11" ht="58" customHeight="1">
      <c r="A6" s="8">
        <v>2</v>
      </c>
      <c r="B6" s="8" t="s">
        <v>57</v>
      </c>
      <c r="C6" s="8" t="s">
        <v>50</v>
      </c>
      <c r="D6" s="8" t="s">
        <v>505</v>
      </c>
      <c r="E6" s="8">
        <v>7</v>
      </c>
      <c r="F6" s="8">
        <v>5</v>
      </c>
      <c r="G6" s="8">
        <v>0</v>
      </c>
      <c r="H6" s="8" t="s">
        <v>508</v>
      </c>
      <c r="I6" s="8" t="s">
        <v>507</v>
      </c>
      <c r="J6" s="8">
        <v>108</v>
      </c>
      <c r="K6" s="8"/>
    </row>
    <row r="7" spans="1:11" ht="58" customHeight="1">
      <c r="A7" s="8">
        <v>3</v>
      </c>
      <c r="B7" s="8" t="s">
        <v>60</v>
      </c>
      <c r="C7" s="8" t="s">
        <v>50</v>
      </c>
      <c r="D7" s="8" t="s">
        <v>505</v>
      </c>
      <c r="E7" s="8">
        <v>6</v>
      </c>
      <c r="F7" s="8">
        <v>4</v>
      </c>
      <c r="G7" s="8">
        <v>0</v>
      </c>
      <c r="H7" s="8" t="s">
        <v>509</v>
      </c>
      <c r="I7" s="8" t="s">
        <v>507</v>
      </c>
      <c r="J7" s="8">
        <v>213</v>
      </c>
      <c r="K7" s="8"/>
    </row>
    <row r="8" spans="1:11" ht="58" customHeight="1">
      <c r="A8" s="8">
        <v>4</v>
      </c>
      <c r="B8" s="8" t="s">
        <v>63</v>
      </c>
      <c r="C8" s="8" t="s">
        <v>50</v>
      </c>
      <c r="D8" s="8" t="s">
        <v>510</v>
      </c>
      <c r="E8" s="8">
        <v>4.5</v>
      </c>
      <c r="F8" s="8">
        <v>2</v>
      </c>
      <c r="G8" s="8">
        <v>0</v>
      </c>
      <c r="H8" s="8" t="s">
        <v>511</v>
      </c>
      <c r="I8" s="8" t="s">
        <v>507</v>
      </c>
      <c r="J8" s="8">
        <v>38</v>
      </c>
      <c r="K8" s="8"/>
    </row>
    <row r="9" spans="1:11" ht="58" customHeight="1">
      <c r="A9" s="8">
        <v>5</v>
      </c>
      <c r="B9" s="8" t="s">
        <v>66</v>
      </c>
      <c r="C9" s="8" t="s">
        <v>50</v>
      </c>
      <c r="D9" s="8" t="s">
        <v>512</v>
      </c>
      <c r="E9" s="8">
        <v>8.5</v>
      </c>
      <c r="F9" s="8">
        <v>6</v>
      </c>
      <c r="G9" s="8">
        <v>0</v>
      </c>
      <c r="H9" s="8" t="s">
        <v>513</v>
      </c>
      <c r="I9" s="8" t="s">
        <v>507</v>
      </c>
      <c r="J9" s="8">
        <v>73</v>
      </c>
      <c r="K9" s="8"/>
    </row>
    <row r="10" spans="1:11" ht="58" customHeight="1">
      <c r="A10" s="8">
        <v>6</v>
      </c>
      <c r="B10" s="8" t="s">
        <v>69</v>
      </c>
      <c r="C10" s="8" t="s">
        <v>50</v>
      </c>
      <c r="D10" s="8" t="s">
        <v>510</v>
      </c>
      <c r="E10" s="8">
        <v>3.5</v>
      </c>
      <c r="F10" s="8">
        <v>2</v>
      </c>
      <c r="G10" s="8">
        <v>0</v>
      </c>
      <c r="H10" s="8" t="s">
        <v>514</v>
      </c>
      <c r="I10" s="8" t="s">
        <v>507</v>
      </c>
      <c r="J10" s="8">
        <v>143</v>
      </c>
      <c r="K10" s="8"/>
    </row>
    <row r="11" spans="1:11" ht="58" customHeight="1">
      <c r="A11" s="8">
        <v>7</v>
      </c>
      <c r="B11" s="8" t="s">
        <v>72</v>
      </c>
      <c r="C11" s="8" t="s">
        <v>50</v>
      </c>
      <c r="D11" s="8" t="s">
        <v>515</v>
      </c>
      <c r="E11" s="8">
        <v>9</v>
      </c>
      <c r="F11" s="8">
        <v>7</v>
      </c>
      <c r="G11" s="8">
        <v>0</v>
      </c>
      <c r="H11" s="8" t="s">
        <v>516</v>
      </c>
      <c r="I11" s="8" t="s">
        <v>507</v>
      </c>
      <c r="J11" s="8">
        <v>178</v>
      </c>
      <c r="K11" s="8"/>
    </row>
    <row r="12" spans="1:11" ht="58" customHeight="1">
      <c r="A12" s="8">
        <v>8</v>
      </c>
      <c r="B12" s="8" t="s">
        <v>75</v>
      </c>
      <c r="C12" s="8" t="s">
        <v>50</v>
      </c>
      <c r="D12" s="8" t="s">
        <v>510</v>
      </c>
      <c r="E12" s="8">
        <v>6.5</v>
      </c>
      <c r="F12" s="8">
        <v>3</v>
      </c>
      <c r="G12" s="8">
        <v>0</v>
      </c>
      <c r="H12" s="8" t="s">
        <v>517</v>
      </c>
      <c r="I12" s="8" t="s">
        <v>507</v>
      </c>
      <c r="J12" s="8">
        <v>248</v>
      </c>
      <c r="K12" s="8"/>
    </row>
    <row r="13" spans="1:11" ht="58" customHeight="1">
      <c r="A13" s="8">
        <v>9</v>
      </c>
      <c r="B13" s="8" t="s">
        <v>78</v>
      </c>
      <c r="C13" s="8" t="s">
        <v>50</v>
      </c>
      <c r="D13" s="8" t="s">
        <v>515</v>
      </c>
      <c r="E13" s="8">
        <v>4</v>
      </c>
      <c r="F13" s="8">
        <v>3</v>
      </c>
      <c r="G13" s="8">
        <v>0</v>
      </c>
      <c r="H13" s="8" t="s">
        <v>518</v>
      </c>
      <c r="I13" s="8" t="s">
        <v>507</v>
      </c>
      <c r="J13" s="8">
        <v>283</v>
      </c>
      <c r="K13" s="8"/>
    </row>
    <row r="14" spans="1:11" ht="58" customHeight="1">
      <c r="A14" s="8">
        <v>10</v>
      </c>
      <c r="B14" s="8" t="s">
        <v>82</v>
      </c>
      <c r="C14" s="8" t="s">
        <v>81</v>
      </c>
      <c r="D14" s="8" t="s">
        <v>505</v>
      </c>
      <c r="E14" s="8">
        <v>5.5</v>
      </c>
      <c r="F14" s="8">
        <v>3</v>
      </c>
      <c r="G14" s="8">
        <v>0</v>
      </c>
      <c r="H14" s="8" t="s">
        <v>519</v>
      </c>
      <c r="I14" s="8" t="s">
        <v>507</v>
      </c>
      <c r="J14" s="8">
        <v>318</v>
      </c>
      <c r="K14" s="8"/>
    </row>
    <row r="15" spans="1:11" ht="58" customHeight="1">
      <c r="A15" s="8">
        <v>11</v>
      </c>
      <c r="B15" s="8" t="s">
        <v>85</v>
      </c>
      <c r="C15" s="8" t="s">
        <v>81</v>
      </c>
      <c r="D15" s="8" t="s">
        <v>505</v>
      </c>
      <c r="E15" s="8">
        <v>5.5</v>
      </c>
      <c r="F15" s="8">
        <v>4</v>
      </c>
      <c r="G15" s="8">
        <v>0</v>
      </c>
      <c r="H15" s="8" t="s">
        <v>520</v>
      </c>
      <c r="I15" s="8" t="s">
        <v>507</v>
      </c>
      <c r="J15" s="8">
        <v>353</v>
      </c>
      <c r="K15" s="8"/>
    </row>
    <row r="16" spans="1:11" ht="58" customHeight="1">
      <c r="A16" s="8">
        <v>12</v>
      </c>
      <c r="B16" s="8" t="s">
        <v>88</v>
      </c>
      <c r="C16" s="8" t="s">
        <v>81</v>
      </c>
      <c r="D16" s="8" t="s">
        <v>505</v>
      </c>
      <c r="E16" s="8">
        <v>6</v>
      </c>
      <c r="F16" s="8">
        <v>4</v>
      </c>
      <c r="G16" s="8">
        <v>0</v>
      </c>
      <c r="H16" s="8" t="s">
        <v>521</v>
      </c>
      <c r="I16" s="8" t="s">
        <v>507</v>
      </c>
      <c r="J16" s="8">
        <v>396</v>
      </c>
      <c r="K16" s="8"/>
    </row>
    <row r="17" spans="1:11" ht="58" customHeight="1">
      <c r="A17" s="8">
        <v>13</v>
      </c>
      <c r="B17" s="8" t="s">
        <v>91</v>
      </c>
      <c r="C17" s="8" t="s">
        <v>81</v>
      </c>
      <c r="D17" s="8" t="s">
        <v>510</v>
      </c>
      <c r="E17" s="8">
        <v>4.5</v>
      </c>
      <c r="F17" s="8">
        <v>2</v>
      </c>
      <c r="G17" s="8">
        <v>0</v>
      </c>
      <c r="H17" s="8" t="s">
        <v>522</v>
      </c>
      <c r="I17" s="8" t="s">
        <v>507</v>
      </c>
      <c r="J17" s="8">
        <v>439</v>
      </c>
      <c r="K17" s="8"/>
    </row>
    <row r="18" spans="1:11" ht="58" customHeight="1">
      <c r="A18" s="8">
        <v>14</v>
      </c>
      <c r="B18" s="8" t="s">
        <v>94</v>
      </c>
      <c r="C18" s="8" t="s">
        <v>81</v>
      </c>
      <c r="D18" s="8" t="s">
        <v>510</v>
      </c>
      <c r="E18" s="8">
        <v>5.5</v>
      </c>
      <c r="F18" s="8">
        <v>3</v>
      </c>
      <c r="G18" s="8">
        <v>0</v>
      </c>
      <c r="H18" s="8" t="s">
        <v>523</v>
      </c>
      <c r="I18" s="8" t="s">
        <v>507</v>
      </c>
      <c r="J18" s="8">
        <v>482</v>
      </c>
      <c r="K18" s="8"/>
    </row>
    <row r="19" spans="1:11" ht="58" customHeight="1">
      <c r="A19" s="8">
        <v>15</v>
      </c>
      <c r="B19" s="8" t="s">
        <v>97</v>
      </c>
      <c r="C19" s="8" t="s">
        <v>81</v>
      </c>
      <c r="D19" s="8" t="s">
        <v>510</v>
      </c>
      <c r="E19" s="8">
        <v>5.5</v>
      </c>
      <c r="F19" s="8">
        <v>3</v>
      </c>
      <c r="G19" s="8">
        <v>0</v>
      </c>
      <c r="H19" s="8" t="s">
        <v>524</v>
      </c>
      <c r="I19" s="8" t="s">
        <v>507</v>
      </c>
      <c r="J19" s="8">
        <v>525</v>
      </c>
      <c r="K19" s="8"/>
    </row>
    <row r="20" spans="1:11" ht="58" customHeight="1">
      <c r="A20" s="8">
        <v>16</v>
      </c>
      <c r="B20" s="8" t="s">
        <v>100</v>
      </c>
      <c r="C20" s="8" t="s">
        <v>81</v>
      </c>
      <c r="D20" s="8" t="s">
        <v>512</v>
      </c>
      <c r="E20" s="8">
        <v>8.5</v>
      </c>
      <c r="F20" s="8">
        <v>6</v>
      </c>
      <c r="G20" s="8">
        <v>0</v>
      </c>
      <c r="H20" s="8" t="s">
        <v>525</v>
      </c>
      <c r="I20" s="8" t="s">
        <v>507</v>
      </c>
      <c r="J20" s="8">
        <v>568</v>
      </c>
      <c r="K20" s="8"/>
    </row>
    <row r="21" spans="1:11" ht="58" customHeight="1">
      <c r="A21" s="8">
        <v>17</v>
      </c>
      <c r="B21" s="8" t="s">
        <v>103</v>
      </c>
      <c r="C21" s="8" t="s">
        <v>81</v>
      </c>
      <c r="D21" s="8" t="s">
        <v>512</v>
      </c>
      <c r="E21" s="8">
        <v>8.5</v>
      </c>
      <c r="F21" s="8">
        <v>6</v>
      </c>
      <c r="G21" s="8">
        <v>0</v>
      </c>
      <c r="H21" s="8" t="s">
        <v>526</v>
      </c>
      <c r="I21" s="8" t="s">
        <v>507</v>
      </c>
      <c r="J21" s="8">
        <v>611</v>
      </c>
      <c r="K21" s="8"/>
    </row>
    <row r="22" spans="1:11" ht="58" customHeight="1">
      <c r="A22" s="8">
        <v>18</v>
      </c>
      <c r="B22" s="8" t="s">
        <v>106</v>
      </c>
      <c r="C22" s="8" t="s">
        <v>81</v>
      </c>
      <c r="D22" s="8" t="s">
        <v>512</v>
      </c>
      <c r="E22" s="8">
        <v>8.5</v>
      </c>
      <c r="F22" s="8">
        <v>6</v>
      </c>
      <c r="G22" s="8">
        <v>0</v>
      </c>
      <c r="H22" s="8" t="s">
        <v>527</v>
      </c>
      <c r="I22" s="8" t="s">
        <v>507</v>
      </c>
      <c r="J22" s="8">
        <v>654</v>
      </c>
      <c r="K22" s="8"/>
    </row>
    <row r="23" spans="1:11" ht="58" customHeight="1">
      <c r="A23" s="8">
        <v>19</v>
      </c>
      <c r="B23" s="8" t="s">
        <v>109</v>
      </c>
      <c r="C23" s="8" t="s">
        <v>81</v>
      </c>
      <c r="D23" s="8" t="s">
        <v>505</v>
      </c>
      <c r="E23" s="8">
        <v>7</v>
      </c>
      <c r="F23" s="8">
        <v>5</v>
      </c>
      <c r="G23" s="8">
        <v>0</v>
      </c>
      <c r="H23" s="8" t="s">
        <v>528</v>
      </c>
      <c r="I23" s="8" t="s">
        <v>507</v>
      </c>
      <c r="J23" s="8">
        <v>697</v>
      </c>
      <c r="K23" s="8"/>
    </row>
    <row r="24" spans="1:11" ht="58" customHeight="1">
      <c r="A24" s="8">
        <v>20</v>
      </c>
      <c r="B24" s="8" t="s">
        <v>112</v>
      </c>
      <c r="C24" s="8" t="s">
        <v>81</v>
      </c>
      <c r="D24" s="8" t="s">
        <v>505</v>
      </c>
      <c r="E24" s="8">
        <v>7</v>
      </c>
      <c r="F24" s="8">
        <v>5</v>
      </c>
      <c r="G24" s="8">
        <v>0</v>
      </c>
      <c r="H24" s="8" t="s">
        <v>529</v>
      </c>
      <c r="I24" s="8" t="s">
        <v>507</v>
      </c>
      <c r="J24" s="8">
        <v>732</v>
      </c>
      <c r="K24" s="8"/>
    </row>
    <row r="25" spans="1:11" ht="58" customHeight="1">
      <c r="A25" s="8">
        <v>21</v>
      </c>
      <c r="B25" s="8" t="s">
        <v>115</v>
      </c>
      <c r="C25" s="8" t="s">
        <v>81</v>
      </c>
      <c r="D25" s="8" t="s">
        <v>505</v>
      </c>
      <c r="E25" s="8">
        <v>7</v>
      </c>
      <c r="F25" s="8">
        <v>6</v>
      </c>
      <c r="G25" s="8">
        <v>0</v>
      </c>
      <c r="H25" s="8" t="s">
        <v>530</v>
      </c>
      <c r="I25" s="8" t="s">
        <v>507</v>
      </c>
      <c r="J25" s="8">
        <v>775</v>
      </c>
      <c r="K25" s="8"/>
    </row>
    <row r="26" spans="1:11" ht="58" customHeight="1">
      <c r="A26" s="8">
        <v>22</v>
      </c>
      <c r="B26" s="8" t="s">
        <v>118</v>
      </c>
      <c r="C26" s="8" t="s">
        <v>81</v>
      </c>
      <c r="D26" s="8" t="s">
        <v>510</v>
      </c>
      <c r="E26" s="8">
        <v>3.5</v>
      </c>
      <c r="F26" s="8">
        <v>2</v>
      </c>
      <c r="G26" s="8">
        <v>0</v>
      </c>
      <c r="H26" s="8" t="s">
        <v>531</v>
      </c>
      <c r="I26" s="8" t="s">
        <v>507</v>
      </c>
      <c r="J26" s="8">
        <v>818</v>
      </c>
      <c r="K26" s="8"/>
    </row>
    <row r="27" spans="1:11" ht="58" customHeight="1">
      <c r="A27" s="8">
        <v>23</v>
      </c>
      <c r="B27" s="8" t="s">
        <v>121</v>
      </c>
      <c r="C27" s="8" t="s">
        <v>81</v>
      </c>
      <c r="D27" s="8" t="s">
        <v>510</v>
      </c>
      <c r="E27" s="8">
        <v>3</v>
      </c>
      <c r="F27" s="8">
        <v>2</v>
      </c>
      <c r="G27" s="8">
        <v>0</v>
      </c>
      <c r="H27" s="8" t="s">
        <v>532</v>
      </c>
      <c r="I27" s="8" t="s">
        <v>507</v>
      </c>
      <c r="J27" s="8">
        <v>861</v>
      </c>
      <c r="K27" s="8"/>
    </row>
    <row r="28" spans="1:11" ht="58" customHeight="1">
      <c r="A28" s="8">
        <v>24</v>
      </c>
      <c r="B28" s="8" t="s">
        <v>124</v>
      </c>
      <c r="C28" s="8" t="s">
        <v>81</v>
      </c>
      <c r="D28" s="8" t="s">
        <v>515</v>
      </c>
      <c r="E28" s="8">
        <v>8.5</v>
      </c>
      <c r="F28" s="8">
        <v>7</v>
      </c>
      <c r="G28" s="8">
        <v>0</v>
      </c>
      <c r="H28" s="8" t="s">
        <v>533</v>
      </c>
      <c r="I28" s="8" t="s">
        <v>507</v>
      </c>
      <c r="J28" s="8">
        <v>904</v>
      </c>
      <c r="K28" s="8"/>
    </row>
    <row r="29" spans="1:11" ht="58" customHeight="1">
      <c r="A29" s="8">
        <v>25</v>
      </c>
      <c r="B29" s="8" t="s">
        <v>127</v>
      </c>
      <c r="C29" s="8" t="s">
        <v>81</v>
      </c>
      <c r="D29" s="8" t="s">
        <v>515</v>
      </c>
      <c r="E29" s="8">
        <v>9.5</v>
      </c>
      <c r="F29" s="8">
        <v>8</v>
      </c>
      <c r="G29" s="8">
        <v>0</v>
      </c>
      <c r="H29" s="8" t="s">
        <v>534</v>
      </c>
      <c r="I29" s="8" t="s">
        <v>507</v>
      </c>
      <c r="J29" s="8">
        <v>947</v>
      </c>
      <c r="K29" s="8"/>
    </row>
    <row r="30" spans="1:11" ht="58" customHeight="1">
      <c r="A30" s="8">
        <v>26</v>
      </c>
      <c r="B30" s="8" t="s">
        <v>130</v>
      </c>
      <c r="C30" s="8" t="s">
        <v>81</v>
      </c>
      <c r="D30" s="8" t="s">
        <v>505</v>
      </c>
      <c r="E30" s="8">
        <v>6</v>
      </c>
      <c r="F30" s="8">
        <v>4</v>
      </c>
      <c r="G30" s="8">
        <v>0</v>
      </c>
      <c r="H30" s="8" t="s">
        <v>535</v>
      </c>
      <c r="I30" s="8" t="s">
        <v>507</v>
      </c>
      <c r="J30" s="8">
        <v>990</v>
      </c>
      <c r="K30" s="8"/>
    </row>
    <row r="31" spans="1:11" ht="58" customHeight="1">
      <c r="A31" s="8">
        <v>27</v>
      </c>
      <c r="B31" s="8" t="s">
        <v>133</v>
      </c>
      <c r="C31" s="8" t="s">
        <v>81</v>
      </c>
      <c r="D31" s="8" t="s">
        <v>505</v>
      </c>
      <c r="E31" s="8">
        <v>7</v>
      </c>
      <c r="F31" s="8">
        <v>5</v>
      </c>
      <c r="G31" s="8">
        <v>0</v>
      </c>
      <c r="H31" s="8" t="s">
        <v>536</v>
      </c>
      <c r="I31" s="8" t="s">
        <v>507</v>
      </c>
      <c r="J31" s="8">
        <v>1033</v>
      </c>
      <c r="K31" s="8"/>
    </row>
    <row r="32" spans="1:11" ht="58" customHeight="1">
      <c r="A32" s="8">
        <v>28</v>
      </c>
      <c r="B32" s="8" t="s">
        <v>136</v>
      </c>
      <c r="C32" s="8" t="s">
        <v>81</v>
      </c>
      <c r="D32" s="8" t="s">
        <v>510</v>
      </c>
      <c r="E32" s="8">
        <v>7</v>
      </c>
      <c r="F32" s="8">
        <v>3</v>
      </c>
      <c r="G32" s="8">
        <v>0</v>
      </c>
      <c r="H32" s="8" t="s">
        <v>537</v>
      </c>
      <c r="I32" s="8" t="s">
        <v>507</v>
      </c>
      <c r="J32" s="8">
        <v>1068</v>
      </c>
      <c r="K32" s="8"/>
    </row>
    <row r="33" spans="1:11" ht="58" customHeight="1">
      <c r="A33" s="8">
        <v>29</v>
      </c>
      <c r="B33" s="8" t="s">
        <v>139</v>
      </c>
      <c r="C33" s="8" t="s">
        <v>81</v>
      </c>
      <c r="D33" s="8" t="s">
        <v>510</v>
      </c>
      <c r="E33" s="8">
        <v>6</v>
      </c>
      <c r="F33" s="8">
        <v>3</v>
      </c>
      <c r="G33" s="8">
        <v>0</v>
      </c>
      <c r="H33" s="8" t="s">
        <v>538</v>
      </c>
      <c r="I33" s="8" t="s">
        <v>507</v>
      </c>
      <c r="J33" s="8">
        <v>1111</v>
      </c>
      <c r="K33" s="8"/>
    </row>
    <row r="34" spans="1:11" ht="58" customHeight="1">
      <c r="A34" s="8">
        <v>30</v>
      </c>
      <c r="B34" s="8" t="s">
        <v>142</v>
      </c>
      <c r="C34" s="8" t="s">
        <v>81</v>
      </c>
      <c r="D34" s="8" t="s">
        <v>515</v>
      </c>
      <c r="E34" s="8">
        <v>4</v>
      </c>
      <c r="F34" s="8">
        <v>3</v>
      </c>
      <c r="G34" s="8">
        <v>0</v>
      </c>
      <c r="H34" s="8" t="s">
        <v>539</v>
      </c>
      <c r="I34" s="8" t="s">
        <v>507</v>
      </c>
      <c r="J34" s="8">
        <v>1154</v>
      </c>
      <c r="K34" s="8"/>
    </row>
    <row r="35" spans="1:11" ht="58" customHeight="1">
      <c r="A35" s="8">
        <v>31</v>
      </c>
      <c r="B35" s="8" t="s">
        <v>145</v>
      </c>
      <c r="C35" s="8" t="s">
        <v>81</v>
      </c>
      <c r="D35" s="8" t="s">
        <v>515</v>
      </c>
      <c r="E35" s="8">
        <v>4.5</v>
      </c>
      <c r="F35" s="8">
        <v>4</v>
      </c>
      <c r="G35" s="8">
        <v>0</v>
      </c>
      <c r="H35" s="8" t="s">
        <v>540</v>
      </c>
      <c r="I35" s="8" t="s">
        <v>507</v>
      </c>
      <c r="J35" s="8">
        <v>1197</v>
      </c>
      <c r="K35" s="8"/>
    </row>
    <row r="36" spans="1:11" ht="58" customHeight="1">
      <c r="A36" s="8">
        <v>32</v>
      </c>
      <c r="B36" s="8" t="s">
        <v>148</v>
      </c>
      <c r="C36" s="8" t="s">
        <v>81</v>
      </c>
      <c r="D36" s="8" t="s">
        <v>510</v>
      </c>
      <c r="E36" s="8">
        <v>4.5</v>
      </c>
      <c r="F36" s="8">
        <v>2</v>
      </c>
      <c r="G36" s="8">
        <v>0</v>
      </c>
      <c r="H36" s="8" t="s">
        <v>541</v>
      </c>
      <c r="I36" s="8" t="s">
        <v>507</v>
      </c>
      <c r="J36" s="8">
        <v>1240</v>
      </c>
      <c r="K36" s="8"/>
    </row>
    <row r="37" spans="1:11" ht="58" customHeight="1">
      <c r="A37" s="8">
        <v>33</v>
      </c>
      <c r="B37" s="8" t="s">
        <v>151</v>
      </c>
      <c r="C37" s="8" t="s">
        <v>81</v>
      </c>
      <c r="D37" s="8" t="s">
        <v>505</v>
      </c>
      <c r="E37" s="8">
        <v>9</v>
      </c>
      <c r="F37" s="8">
        <v>7</v>
      </c>
      <c r="G37" s="8">
        <v>0</v>
      </c>
      <c r="H37" s="8" t="s">
        <v>542</v>
      </c>
      <c r="I37" s="8" t="s">
        <v>507</v>
      </c>
      <c r="J37" s="8">
        <v>1283</v>
      </c>
      <c r="K37" s="8"/>
    </row>
    <row r="38" spans="1:11" ht="58" customHeight="1">
      <c r="A38" s="8">
        <v>34</v>
      </c>
      <c r="B38" s="8" t="s">
        <v>154</v>
      </c>
      <c r="C38" s="8" t="s">
        <v>81</v>
      </c>
      <c r="D38" s="8" t="s">
        <v>510</v>
      </c>
      <c r="E38" s="8">
        <v>7</v>
      </c>
      <c r="F38" s="8">
        <v>3</v>
      </c>
      <c r="G38" s="8">
        <v>0</v>
      </c>
      <c r="H38" s="8" t="s">
        <v>543</v>
      </c>
      <c r="I38" s="8" t="s">
        <v>507</v>
      </c>
      <c r="J38" s="8">
        <v>1326</v>
      </c>
      <c r="K38" s="8"/>
    </row>
    <row r="39" spans="1:11" ht="58" customHeight="1">
      <c r="A39" s="8">
        <v>35</v>
      </c>
      <c r="B39" s="8" t="s">
        <v>157</v>
      </c>
      <c r="C39" s="8" t="s">
        <v>81</v>
      </c>
      <c r="D39" s="8" t="s">
        <v>515</v>
      </c>
      <c r="E39" s="8">
        <v>4.5</v>
      </c>
      <c r="F39" s="8">
        <v>3</v>
      </c>
      <c r="G39" s="8">
        <v>0</v>
      </c>
      <c r="H39" s="8" t="s">
        <v>544</v>
      </c>
      <c r="I39" s="8" t="s">
        <v>507</v>
      </c>
      <c r="J39" s="8">
        <v>1369</v>
      </c>
      <c r="K39" s="8"/>
    </row>
    <row r="40" spans="1:11" ht="58" customHeight="1">
      <c r="A40" s="8">
        <v>36</v>
      </c>
      <c r="B40" s="8" t="s">
        <v>160</v>
      </c>
      <c r="C40" s="8" t="s">
        <v>81</v>
      </c>
      <c r="D40" s="8" t="s">
        <v>515</v>
      </c>
      <c r="E40" s="8">
        <v>9</v>
      </c>
      <c r="F40" s="8">
        <v>8</v>
      </c>
      <c r="G40" s="8">
        <v>0</v>
      </c>
      <c r="H40" s="8" t="s">
        <v>545</v>
      </c>
      <c r="I40" s="8" t="s">
        <v>507</v>
      </c>
      <c r="J40" s="8">
        <v>1412</v>
      </c>
      <c r="K40" s="8"/>
    </row>
    <row r="41" spans="1:11" ht="82" customHeight="1">
      <c r="A41" s="8">
        <v>37</v>
      </c>
      <c r="B41" s="8" t="s">
        <v>163</v>
      </c>
      <c r="C41" s="8" t="s">
        <v>50</v>
      </c>
      <c r="D41" s="8" t="s">
        <v>505</v>
      </c>
      <c r="E41" s="8">
        <v>6</v>
      </c>
      <c r="F41" s="8">
        <v>0</v>
      </c>
      <c r="G41" s="8">
        <v>0</v>
      </c>
      <c r="H41" s="8" t="s">
        <v>546</v>
      </c>
      <c r="I41" s="8" t="s">
        <v>507</v>
      </c>
      <c r="J41" s="8">
        <v>1455</v>
      </c>
      <c r="K41" s="8"/>
    </row>
    <row r="42" spans="1:11" ht="58" customHeight="1">
      <c r="A42" s="8">
        <v>38</v>
      </c>
      <c r="B42" s="8" t="s">
        <v>166</v>
      </c>
      <c r="C42" s="8" t="s">
        <v>50</v>
      </c>
      <c r="D42" s="8" t="s">
        <v>510</v>
      </c>
      <c r="E42" s="8">
        <v>7.5</v>
      </c>
      <c r="F42" s="8">
        <v>0</v>
      </c>
      <c r="G42" s="8">
        <v>0</v>
      </c>
      <c r="H42" s="8" t="s">
        <v>547</v>
      </c>
      <c r="I42" s="8" t="s">
        <v>507</v>
      </c>
      <c r="J42" s="8">
        <v>1532</v>
      </c>
      <c r="K42" s="8"/>
    </row>
    <row r="43" spans="1:11" ht="58" customHeight="1">
      <c r="A43" s="8">
        <v>39</v>
      </c>
      <c r="B43" s="8" t="s">
        <v>169</v>
      </c>
      <c r="C43" s="8" t="s">
        <v>50</v>
      </c>
      <c r="D43" s="8" t="s">
        <v>510</v>
      </c>
      <c r="E43" s="8">
        <v>7.5</v>
      </c>
      <c r="F43" s="8">
        <v>0</v>
      </c>
      <c r="G43" s="8">
        <v>0</v>
      </c>
      <c r="H43" s="8" t="s">
        <v>548</v>
      </c>
      <c r="I43" s="8" t="s">
        <v>507</v>
      </c>
      <c r="J43" s="8">
        <v>1566</v>
      </c>
      <c r="K43" s="8"/>
    </row>
    <row r="44" spans="1:11" ht="66" customHeight="1">
      <c r="A44" s="8">
        <v>40</v>
      </c>
      <c r="B44" s="8" t="s">
        <v>172</v>
      </c>
      <c r="C44" s="8" t="s">
        <v>50</v>
      </c>
      <c r="D44" s="8" t="s">
        <v>505</v>
      </c>
      <c r="E44" s="8">
        <v>9</v>
      </c>
      <c r="F44" s="8">
        <v>0</v>
      </c>
      <c r="G44" s="8">
        <v>0</v>
      </c>
      <c r="H44" s="8" t="s">
        <v>549</v>
      </c>
      <c r="I44" s="8" t="s">
        <v>507</v>
      </c>
      <c r="J44" s="8">
        <v>1496</v>
      </c>
      <c r="K44" s="8"/>
    </row>
    <row r="45" spans="1:11" ht="58" customHeight="1">
      <c r="A45" s="8">
        <v>41</v>
      </c>
      <c r="B45" s="8" t="s">
        <v>175</v>
      </c>
      <c r="C45" s="8" t="s">
        <v>50</v>
      </c>
      <c r="D45" s="8" t="s">
        <v>510</v>
      </c>
      <c r="E45" s="8">
        <v>7.5</v>
      </c>
      <c r="F45" s="8">
        <v>0</v>
      </c>
      <c r="G45" s="8">
        <v>0</v>
      </c>
      <c r="H45" s="8" t="s">
        <v>550</v>
      </c>
      <c r="I45" s="8" t="s">
        <v>507</v>
      </c>
      <c r="J45" s="8">
        <v>1604</v>
      </c>
      <c r="K45" s="8"/>
    </row>
    <row r="46" spans="1:11" ht="58" customHeight="1">
      <c r="A46" s="8">
        <v>42</v>
      </c>
      <c r="B46" s="8" t="s">
        <v>178</v>
      </c>
      <c r="C46" s="8" t="s">
        <v>50</v>
      </c>
      <c r="D46" s="8" t="s">
        <v>510</v>
      </c>
      <c r="E46" s="8">
        <v>9</v>
      </c>
      <c r="F46" s="8">
        <v>0</v>
      </c>
      <c r="G46" s="8">
        <v>0</v>
      </c>
      <c r="H46" s="8" t="s">
        <v>551</v>
      </c>
      <c r="I46" s="8" t="s">
        <v>507</v>
      </c>
      <c r="J46" s="8">
        <v>1639</v>
      </c>
      <c r="K46" s="8"/>
    </row>
    <row r="47" spans="1:11" ht="58" customHeight="1">
      <c r="A47" s="8">
        <v>43</v>
      </c>
      <c r="B47" s="8" t="s">
        <v>181</v>
      </c>
      <c r="C47" s="8" t="s">
        <v>50</v>
      </c>
      <c r="D47" s="8" t="s">
        <v>510</v>
      </c>
      <c r="E47" s="8">
        <v>7.5</v>
      </c>
      <c r="F47" s="8">
        <v>0</v>
      </c>
      <c r="G47" s="8">
        <v>0</v>
      </c>
      <c r="H47" s="8" t="s">
        <v>552</v>
      </c>
      <c r="I47" s="8" t="s">
        <v>507</v>
      </c>
      <c r="J47" s="8">
        <v>1674</v>
      </c>
      <c r="K47" s="8"/>
    </row>
    <row r="48" spans="1:11" ht="58" customHeight="1">
      <c r="A48" s="8">
        <v>44</v>
      </c>
      <c r="B48" s="8" t="s">
        <v>184</v>
      </c>
      <c r="C48" s="8" t="s">
        <v>50</v>
      </c>
      <c r="D48" s="8" t="s">
        <v>510</v>
      </c>
      <c r="E48" s="8">
        <v>9</v>
      </c>
      <c r="F48" s="8">
        <v>0</v>
      </c>
      <c r="G48" s="8">
        <v>0</v>
      </c>
      <c r="H48" s="8" t="s">
        <v>553</v>
      </c>
      <c r="I48" s="8" t="s">
        <v>507</v>
      </c>
      <c r="J48" s="8">
        <v>1709</v>
      </c>
      <c r="K48" s="8"/>
    </row>
    <row r="49" spans="1:11" ht="58" customHeight="1">
      <c r="A49" s="8">
        <v>45</v>
      </c>
      <c r="B49" s="8" t="s">
        <v>187</v>
      </c>
      <c r="C49" s="8" t="s">
        <v>81</v>
      </c>
      <c r="D49" s="8" t="s">
        <v>505</v>
      </c>
      <c r="E49" s="8">
        <v>6</v>
      </c>
      <c r="F49" s="8">
        <v>0</v>
      </c>
      <c r="G49" s="8">
        <v>0</v>
      </c>
      <c r="H49" s="8" t="s">
        <v>554</v>
      </c>
      <c r="I49" s="8" t="s">
        <v>507</v>
      </c>
      <c r="J49" s="8">
        <v>1744</v>
      </c>
      <c r="K49" s="8"/>
    </row>
    <row r="50" spans="1:11" ht="66" customHeight="1">
      <c r="A50" s="8">
        <v>46</v>
      </c>
      <c r="B50" s="8" t="s">
        <v>190</v>
      </c>
      <c r="C50" s="8" t="s">
        <v>81</v>
      </c>
      <c r="D50" s="8" t="s">
        <v>505</v>
      </c>
      <c r="E50" s="8">
        <v>7</v>
      </c>
      <c r="F50" s="8">
        <v>0</v>
      </c>
      <c r="G50" s="8">
        <v>0</v>
      </c>
      <c r="H50" s="8" t="s">
        <v>555</v>
      </c>
      <c r="I50" s="8" t="s">
        <v>507</v>
      </c>
      <c r="J50" s="8">
        <v>1778</v>
      </c>
      <c r="K50" s="8"/>
    </row>
    <row r="51" spans="1:11" ht="58" customHeight="1">
      <c r="A51" s="8">
        <v>47</v>
      </c>
      <c r="B51" s="8" t="s">
        <v>193</v>
      </c>
      <c r="C51" s="8" t="s">
        <v>81</v>
      </c>
      <c r="D51" s="8" t="s">
        <v>505</v>
      </c>
      <c r="E51" s="8">
        <v>8.5</v>
      </c>
      <c r="F51" s="8">
        <v>0</v>
      </c>
      <c r="G51" s="8">
        <v>0</v>
      </c>
      <c r="H51" s="8" t="s">
        <v>556</v>
      </c>
      <c r="I51" s="8" t="s">
        <v>507</v>
      </c>
      <c r="J51" s="8">
        <v>1821</v>
      </c>
      <c r="K51" s="8"/>
    </row>
    <row r="52" spans="1:11" ht="66" customHeight="1">
      <c r="A52" s="8">
        <v>48</v>
      </c>
      <c r="B52" s="8" t="s">
        <v>196</v>
      </c>
      <c r="C52" s="8" t="s">
        <v>81</v>
      </c>
      <c r="D52" s="8" t="s">
        <v>505</v>
      </c>
      <c r="E52" s="8">
        <v>8.5</v>
      </c>
      <c r="F52" s="8">
        <v>0</v>
      </c>
      <c r="G52" s="8">
        <v>0</v>
      </c>
      <c r="H52" s="8" t="s">
        <v>557</v>
      </c>
      <c r="I52" s="8" t="s">
        <v>507</v>
      </c>
      <c r="J52" s="8">
        <v>1856</v>
      </c>
      <c r="K52" s="8"/>
    </row>
    <row r="53" spans="1:11" ht="66" customHeight="1">
      <c r="A53" s="8">
        <v>49</v>
      </c>
      <c r="B53" s="8" t="s">
        <v>199</v>
      </c>
      <c r="C53" s="8" t="s">
        <v>81</v>
      </c>
      <c r="D53" s="8" t="s">
        <v>505</v>
      </c>
      <c r="E53" s="8">
        <v>9</v>
      </c>
      <c r="F53" s="8">
        <v>0</v>
      </c>
      <c r="G53" s="8">
        <v>0</v>
      </c>
      <c r="H53" s="8" t="s">
        <v>558</v>
      </c>
      <c r="I53" s="8" t="s">
        <v>507</v>
      </c>
      <c r="J53" s="8">
        <v>1899</v>
      </c>
      <c r="K53" s="8"/>
    </row>
    <row r="54" spans="1:11" ht="66" customHeight="1">
      <c r="A54" s="8">
        <v>50</v>
      </c>
      <c r="B54" s="8" t="s">
        <v>202</v>
      </c>
      <c r="C54" s="8" t="s">
        <v>81</v>
      </c>
      <c r="D54" s="8" t="s">
        <v>510</v>
      </c>
      <c r="E54" s="8">
        <v>7</v>
      </c>
      <c r="F54" s="8">
        <v>0</v>
      </c>
      <c r="G54" s="8">
        <v>0</v>
      </c>
      <c r="H54" s="8" t="s">
        <v>559</v>
      </c>
      <c r="I54" s="8" t="s">
        <v>507</v>
      </c>
      <c r="J54" s="8">
        <v>1942</v>
      </c>
      <c r="K54" s="8"/>
    </row>
    <row r="55" spans="1:11" ht="66" customHeight="1">
      <c r="A55" s="8">
        <v>51</v>
      </c>
      <c r="B55" s="8" t="s">
        <v>205</v>
      </c>
      <c r="C55" s="8" t="s">
        <v>81</v>
      </c>
      <c r="D55" s="8" t="s">
        <v>510</v>
      </c>
      <c r="E55" s="8">
        <v>7.5</v>
      </c>
      <c r="F55" s="8">
        <v>0</v>
      </c>
      <c r="G55" s="8">
        <v>0</v>
      </c>
      <c r="H55" s="8" t="s">
        <v>560</v>
      </c>
      <c r="I55" s="8" t="s">
        <v>507</v>
      </c>
      <c r="J55" s="8">
        <v>1985</v>
      </c>
      <c r="K55" s="8"/>
    </row>
    <row r="56" spans="1:11" ht="66" customHeight="1">
      <c r="A56" s="8">
        <v>52</v>
      </c>
      <c r="B56" s="8" t="s">
        <v>208</v>
      </c>
      <c r="C56" s="8" t="s">
        <v>81</v>
      </c>
      <c r="D56" s="8" t="s">
        <v>510</v>
      </c>
      <c r="E56" s="8">
        <v>9</v>
      </c>
      <c r="F56" s="8">
        <v>0</v>
      </c>
      <c r="G56" s="8">
        <v>0</v>
      </c>
      <c r="H56" s="8" t="s">
        <v>561</v>
      </c>
      <c r="I56" s="8" t="s">
        <v>507</v>
      </c>
      <c r="J56" s="8">
        <v>2028</v>
      </c>
      <c r="K56" s="8"/>
    </row>
    <row r="57" spans="1:11" ht="66" customHeight="1">
      <c r="A57" s="8">
        <v>53</v>
      </c>
      <c r="B57" s="8" t="s">
        <v>211</v>
      </c>
      <c r="C57" s="8" t="s">
        <v>81</v>
      </c>
      <c r="D57" s="8" t="s">
        <v>510</v>
      </c>
      <c r="E57" s="8">
        <v>8.5</v>
      </c>
      <c r="F57" s="8">
        <v>0</v>
      </c>
      <c r="G57" s="8">
        <v>0</v>
      </c>
      <c r="H57" s="8" t="s">
        <v>562</v>
      </c>
      <c r="I57" s="8" t="s">
        <v>507</v>
      </c>
      <c r="J57" s="8">
        <v>2070</v>
      </c>
      <c r="K57" s="8"/>
    </row>
    <row r="58" spans="1:11" ht="66" customHeight="1">
      <c r="A58" s="8">
        <v>54</v>
      </c>
      <c r="B58" s="8" t="s">
        <v>214</v>
      </c>
      <c r="C58" s="8" t="s">
        <v>81</v>
      </c>
      <c r="D58" s="8" t="s">
        <v>510</v>
      </c>
      <c r="E58" s="8">
        <v>7</v>
      </c>
      <c r="F58" s="8">
        <v>0</v>
      </c>
      <c r="G58" s="8">
        <v>0</v>
      </c>
      <c r="H58" s="8" t="s">
        <v>563</v>
      </c>
      <c r="I58" s="8" t="s">
        <v>507</v>
      </c>
      <c r="J58" s="8">
        <v>2112</v>
      </c>
      <c r="K58" s="8"/>
    </row>
    <row r="59" spans="1:11" ht="66" customHeight="1">
      <c r="A59" s="8">
        <v>55</v>
      </c>
      <c r="B59" s="8" t="s">
        <v>181</v>
      </c>
      <c r="C59" s="8" t="s">
        <v>81</v>
      </c>
      <c r="D59" s="8" t="s">
        <v>510</v>
      </c>
      <c r="E59" s="8">
        <v>7.5</v>
      </c>
      <c r="F59" s="8">
        <v>0</v>
      </c>
      <c r="G59" s="8">
        <v>0</v>
      </c>
      <c r="H59" s="8" t="s">
        <v>564</v>
      </c>
      <c r="I59" s="8" t="s">
        <v>507</v>
      </c>
      <c r="J59" s="8">
        <v>2155</v>
      </c>
      <c r="K59" s="8"/>
    </row>
    <row r="60" spans="1:11" ht="66" customHeight="1">
      <c r="A60" s="8">
        <v>56</v>
      </c>
      <c r="B60" s="8" t="s">
        <v>219</v>
      </c>
      <c r="C60" s="8" t="s">
        <v>81</v>
      </c>
      <c r="D60" s="8" t="s">
        <v>510</v>
      </c>
      <c r="E60" s="8">
        <v>8.5</v>
      </c>
      <c r="F60" s="8">
        <v>0</v>
      </c>
      <c r="G60" s="8">
        <v>0</v>
      </c>
      <c r="H60" s="8" t="s">
        <v>565</v>
      </c>
      <c r="I60" s="8" t="s">
        <v>507</v>
      </c>
      <c r="J60" s="8">
        <v>2199</v>
      </c>
      <c r="K60" s="8"/>
    </row>
    <row r="61" spans="1:11" ht="66" customHeight="1">
      <c r="A61" s="8">
        <v>57</v>
      </c>
      <c r="B61" s="8" t="s">
        <v>222</v>
      </c>
      <c r="C61" s="8" t="s">
        <v>81</v>
      </c>
      <c r="D61" s="8" t="s">
        <v>510</v>
      </c>
      <c r="E61" s="8">
        <v>9</v>
      </c>
      <c r="F61" s="8">
        <v>0</v>
      </c>
      <c r="G61" s="8">
        <v>0</v>
      </c>
      <c r="H61" s="8" t="s">
        <v>566</v>
      </c>
      <c r="I61" s="8" t="s">
        <v>507</v>
      </c>
      <c r="J61" s="8">
        <v>2243</v>
      </c>
      <c r="K61" s="8"/>
    </row>
    <row r="62" spans="1:11" ht="66" customHeight="1">
      <c r="A62" s="8">
        <v>58</v>
      </c>
      <c r="B62" s="8" t="s">
        <v>225</v>
      </c>
      <c r="C62" s="8" t="s">
        <v>81</v>
      </c>
      <c r="D62" s="8" t="s">
        <v>510</v>
      </c>
      <c r="E62" s="8">
        <v>9</v>
      </c>
      <c r="F62" s="8">
        <v>0</v>
      </c>
      <c r="G62" s="8">
        <v>0</v>
      </c>
      <c r="H62" s="8" t="s">
        <v>567</v>
      </c>
      <c r="I62" s="8" t="s">
        <v>507</v>
      </c>
      <c r="J62" s="8">
        <v>2288</v>
      </c>
      <c r="K62" s="8"/>
    </row>
    <row r="63" spans="1:11" ht="66" customHeight="1">
      <c r="A63" s="8">
        <v>59</v>
      </c>
      <c r="B63" s="8" t="s">
        <v>228</v>
      </c>
      <c r="C63" s="8" t="s">
        <v>81</v>
      </c>
      <c r="D63" s="8" t="s">
        <v>510</v>
      </c>
      <c r="E63" s="8">
        <v>9</v>
      </c>
      <c r="F63" s="8">
        <v>0</v>
      </c>
      <c r="G63" s="8">
        <v>0</v>
      </c>
      <c r="H63" s="8" t="s">
        <v>568</v>
      </c>
      <c r="I63" s="8" t="s">
        <v>507</v>
      </c>
      <c r="J63" s="8">
        <v>2330</v>
      </c>
      <c r="K63" s="8"/>
    </row>
    <row r="64" spans="1:11" ht="66" customHeight="1">
      <c r="A64" s="8">
        <v>60</v>
      </c>
      <c r="B64" s="8" t="s">
        <v>231</v>
      </c>
      <c r="C64" s="8" t="s">
        <v>81</v>
      </c>
      <c r="D64" s="8" t="s">
        <v>510</v>
      </c>
      <c r="E64" s="8">
        <v>8.5</v>
      </c>
      <c r="F64" s="8">
        <v>0</v>
      </c>
      <c r="G64" s="8">
        <v>0</v>
      </c>
      <c r="H64" s="8" t="s">
        <v>569</v>
      </c>
      <c r="I64" s="8" t="s">
        <v>507</v>
      </c>
      <c r="J64" s="8">
        <v>2374</v>
      </c>
      <c r="K64" s="8"/>
    </row>
    <row r="65" spans="1:11" ht="66" customHeight="1">
      <c r="A65" s="8">
        <v>61</v>
      </c>
      <c r="B65" s="8" t="s">
        <v>234</v>
      </c>
      <c r="C65" s="8" t="s">
        <v>81</v>
      </c>
      <c r="D65" s="8" t="s">
        <v>510</v>
      </c>
      <c r="E65" s="8">
        <v>10.5</v>
      </c>
      <c r="F65" s="8">
        <v>0</v>
      </c>
      <c r="G65" s="8">
        <v>0</v>
      </c>
      <c r="H65" s="8" t="s">
        <v>570</v>
      </c>
      <c r="I65" s="8" t="s">
        <v>507</v>
      </c>
      <c r="J65" s="8">
        <v>2417</v>
      </c>
      <c r="K65" s="8"/>
    </row>
    <row r="66" spans="1:11" ht="58" customHeight="1">
      <c r="A66" s="8">
        <v>62</v>
      </c>
      <c r="B66" s="8" t="s">
        <v>237</v>
      </c>
      <c r="C66" s="8" t="s">
        <v>81</v>
      </c>
      <c r="D66" s="8" t="s">
        <v>510</v>
      </c>
      <c r="E66" s="8">
        <v>0</v>
      </c>
      <c r="F66" s="8">
        <v>0</v>
      </c>
      <c r="G66" s="8">
        <v>0</v>
      </c>
      <c r="H66" s="8" t="s">
        <v>571</v>
      </c>
      <c r="I66" s="8" t="s">
        <v>507</v>
      </c>
      <c r="J66" s="8">
        <v>2459</v>
      </c>
      <c r="K66" s="8"/>
    </row>
    <row r="67" spans="1:11" ht="66" customHeight="1">
      <c r="A67" s="8">
        <v>63</v>
      </c>
      <c r="B67" s="8" t="s">
        <v>240</v>
      </c>
      <c r="C67" s="8" t="s">
        <v>81</v>
      </c>
      <c r="D67" s="8" t="s">
        <v>510</v>
      </c>
      <c r="E67" s="8">
        <v>9</v>
      </c>
      <c r="F67" s="8">
        <v>0</v>
      </c>
      <c r="G67" s="8">
        <v>0</v>
      </c>
      <c r="H67" s="8" t="s">
        <v>572</v>
      </c>
      <c r="I67" s="8" t="s">
        <v>507</v>
      </c>
      <c r="J67" s="8">
        <v>2497</v>
      </c>
      <c r="K67" s="8"/>
    </row>
    <row r="68" spans="1:11" ht="58" customHeight="1">
      <c r="A68" s="8">
        <v>64</v>
      </c>
      <c r="B68" s="8" t="s">
        <v>243</v>
      </c>
      <c r="C68" s="8" t="s">
        <v>81</v>
      </c>
      <c r="D68" s="8" t="s">
        <v>510</v>
      </c>
      <c r="E68" s="8">
        <v>9</v>
      </c>
      <c r="F68" s="8">
        <v>0</v>
      </c>
      <c r="G68" s="8">
        <v>0</v>
      </c>
      <c r="H68" s="8" t="s">
        <v>573</v>
      </c>
      <c r="I68" s="8" t="s">
        <v>507</v>
      </c>
      <c r="J68" s="8">
        <v>2540</v>
      </c>
      <c r="K68" s="8"/>
    </row>
    <row r="69" spans="1:11" ht="66" customHeight="1">
      <c r="A69" s="8">
        <v>65</v>
      </c>
      <c r="B69" s="8" t="s">
        <v>246</v>
      </c>
      <c r="C69" s="8" t="s">
        <v>81</v>
      </c>
      <c r="D69" s="8" t="s">
        <v>505</v>
      </c>
      <c r="E69" s="8">
        <v>7.5</v>
      </c>
      <c r="F69" s="8">
        <v>0</v>
      </c>
      <c r="G69" s="8">
        <v>0</v>
      </c>
      <c r="H69" s="8" t="s">
        <v>574</v>
      </c>
      <c r="I69" s="8" t="s">
        <v>507</v>
      </c>
      <c r="J69" s="8">
        <v>2577</v>
      </c>
      <c r="K69" s="8"/>
    </row>
    <row r="70" spans="1:11" ht="66" customHeight="1">
      <c r="A70" s="8">
        <v>66</v>
      </c>
      <c r="B70" s="8" t="s">
        <v>249</v>
      </c>
      <c r="C70" s="8" t="s">
        <v>81</v>
      </c>
      <c r="D70" s="8" t="s">
        <v>505</v>
      </c>
      <c r="E70" s="8">
        <v>9</v>
      </c>
      <c r="F70" s="8">
        <v>0</v>
      </c>
      <c r="G70" s="8">
        <v>0</v>
      </c>
      <c r="H70" s="8" t="s">
        <v>575</v>
      </c>
      <c r="I70" s="8" t="s">
        <v>507</v>
      </c>
      <c r="J70" s="8">
        <v>2619</v>
      </c>
      <c r="K70" s="8"/>
    </row>
    <row r="71" spans="1:11" ht="66" customHeight="1">
      <c r="A71" s="8">
        <v>67</v>
      </c>
      <c r="B71" s="8" t="s">
        <v>252</v>
      </c>
      <c r="C71" s="8" t="s">
        <v>81</v>
      </c>
      <c r="D71" s="8" t="s">
        <v>505</v>
      </c>
      <c r="E71" s="8">
        <v>8.5</v>
      </c>
      <c r="F71" s="8">
        <v>0</v>
      </c>
      <c r="G71" s="8">
        <v>0</v>
      </c>
      <c r="H71" s="8" t="s">
        <v>576</v>
      </c>
      <c r="I71" s="8" t="s">
        <v>507</v>
      </c>
      <c r="J71" s="8">
        <v>2662</v>
      </c>
      <c r="K71" s="8"/>
    </row>
    <row r="72" spans="1:11" ht="58" customHeight="1">
      <c r="A72" s="8">
        <v>68</v>
      </c>
      <c r="B72" s="8" t="s">
        <v>255</v>
      </c>
      <c r="C72" s="8" t="s">
        <v>81</v>
      </c>
      <c r="D72" s="8" t="s">
        <v>510</v>
      </c>
      <c r="E72" s="8">
        <v>0</v>
      </c>
      <c r="F72" s="8">
        <v>0</v>
      </c>
      <c r="G72" s="8">
        <v>0</v>
      </c>
      <c r="H72" s="8" t="s">
        <v>577</v>
      </c>
      <c r="I72" s="8" t="s">
        <v>507</v>
      </c>
      <c r="J72" s="8">
        <v>2704</v>
      </c>
      <c r="K72" s="8"/>
    </row>
    <row r="73" spans="1:11" ht="66" customHeight="1">
      <c r="A73" s="8">
        <v>69</v>
      </c>
      <c r="B73" s="8" t="s">
        <v>258</v>
      </c>
      <c r="C73" s="8" t="s">
        <v>81</v>
      </c>
      <c r="D73" s="8" t="s">
        <v>510</v>
      </c>
      <c r="E73" s="8">
        <v>8</v>
      </c>
      <c r="F73" s="8">
        <v>0</v>
      </c>
      <c r="G73" s="8">
        <v>0</v>
      </c>
      <c r="H73" s="8" t="s">
        <v>578</v>
      </c>
      <c r="I73" s="8" t="s">
        <v>507</v>
      </c>
      <c r="J73" s="8">
        <v>2732</v>
      </c>
      <c r="K73" s="8"/>
    </row>
    <row r="74" spans="1:11" ht="66" customHeight="1">
      <c r="A74" s="8">
        <v>70</v>
      </c>
      <c r="B74" s="8" t="s">
        <v>261</v>
      </c>
      <c r="C74" s="8" t="s">
        <v>81</v>
      </c>
      <c r="D74" s="8" t="s">
        <v>510</v>
      </c>
      <c r="E74" s="8">
        <v>9</v>
      </c>
      <c r="F74" s="8">
        <v>0</v>
      </c>
      <c r="G74" s="8">
        <v>0</v>
      </c>
      <c r="H74" s="8" t="s">
        <v>579</v>
      </c>
      <c r="I74" s="8" t="s">
        <v>507</v>
      </c>
      <c r="J74" s="8">
        <v>2774</v>
      </c>
      <c r="K74" s="8"/>
    </row>
    <row r="75" spans="1:11" ht="66" customHeight="1">
      <c r="A75" s="8">
        <v>71</v>
      </c>
      <c r="B75" s="8" t="s">
        <v>264</v>
      </c>
      <c r="C75" s="8" t="s">
        <v>81</v>
      </c>
      <c r="D75" s="8" t="s">
        <v>510</v>
      </c>
      <c r="E75" s="8">
        <v>10</v>
      </c>
      <c r="F75" s="8">
        <v>0</v>
      </c>
      <c r="G75" s="8">
        <v>0</v>
      </c>
      <c r="H75" s="8" t="s">
        <v>580</v>
      </c>
      <c r="I75" s="8" t="s">
        <v>507</v>
      </c>
      <c r="J75" s="8">
        <v>2817</v>
      </c>
      <c r="K75" s="8"/>
    </row>
    <row r="76" spans="1:11" ht="58" customHeight="1">
      <c r="A76" s="8">
        <v>72</v>
      </c>
      <c r="B76" s="8" t="s">
        <v>267</v>
      </c>
      <c r="C76" s="8" t="s">
        <v>81</v>
      </c>
      <c r="D76" s="8" t="s">
        <v>510</v>
      </c>
      <c r="E76" s="8">
        <v>9</v>
      </c>
      <c r="F76" s="8">
        <v>0</v>
      </c>
      <c r="G76" s="8">
        <v>0</v>
      </c>
      <c r="H76" s="8" t="s">
        <v>581</v>
      </c>
      <c r="I76" s="8" t="s">
        <v>507</v>
      </c>
      <c r="J76" s="8">
        <v>2859</v>
      </c>
      <c r="K76" s="8"/>
    </row>
    <row r="77" spans="1:11" ht="58" customHeight="1">
      <c r="A77" s="8">
        <v>73</v>
      </c>
      <c r="B77" s="8" t="s">
        <v>270</v>
      </c>
      <c r="C77" s="8" t="s">
        <v>50</v>
      </c>
      <c r="D77" s="8" t="s">
        <v>510</v>
      </c>
      <c r="E77" s="8">
        <v>6</v>
      </c>
      <c r="F77" s="8">
        <v>0</v>
      </c>
      <c r="G77" s="8">
        <v>0</v>
      </c>
      <c r="H77" s="8" t="s">
        <v>582</v>
      </c>
      <c r="I77" s="8" t="s">
        <v>507</v>
      </c>
      <c r="J77" s="8">
        <v>2896</v>
      </c>
      <c r="K77" s="8"/>
    </row>
    <row r="78" spans="1:11" ht="58" customHeight="1">
      <c r="A78" s="8">
        <v>74</v>
      </c>
      <c r="B78" s="8" t="s">
        <v>274</v>
      </c>
      <c r="C78" s="8" t="s">
        <v>50</v>
      </c>
      <c r="D78" s="8" t="s">
        <v>510</v>
      </c>
      <c r="E78" s="8">
        <v>7.5</v>
      </c>
      <c r="F78" s="8">
        <v>0</v>
      </c>
      <c r="G78" s="8">
        <v>0</v>
      </c>
      <c r="H78" s="8" t="s">
        <v>583</v>
      </c>
      <c r="I78" s="8" t="s">
        <v>507</v>
      </c>
      <c r="J78" s="8">
        <v>2939</v>
      </c>
      <c r="K78" s="8"/>
    </row>
    <row r="79" spans="1:11" ht="58" customHeight="1">
      <c r="A79" s="8">
        <v>75</v>
      </c>
      <c r="B79" s="8" t="s">
        <v>277</v>
      </c>
      <c r="C79" s="8" t="s">
        <v>50</v>
      </c>
      <c r="D79" s="8" t="s">
        <v>510</v>
      </c>
      <c r="E79" s="8">
        <v>7.5</v>
      </c>
      <c r="F79" s="8">
        <v>0</v>
      </c>
      <c r="G79" s="8">
        <v>0</v>
      </c>
      <c r="H79" s="8" t="s">
        <v>584</v>
      </c>
      <c r="I79" s="8" t="s">
        <v>507</v>
      </c>
      <c r="J79" s="8">
        <v>2974</v>
      </c>
      <c r="K79" s="8"/>
    </row>
    <row r="80" spans="1:11" ht="58" customHeight="1">
      <c r="A80" s="8">
        <v>76</v>
      </c>
      <c r="B80" s="8" t="s">
        <v>280</v>
      </c>
      <c r="C80" s="8" t="s">
        <v>50</v>
      </c>
      <c r="D80" s="8" t="s">
        <v>510</v>
      </c>
      <c r="E80" s="8">
        <v>7.5</v>
      </c>
      <c r="F80" s="8">
        <v>0</v>
      </c>
      <c r="G80" s="8">
        <v>0</v>
      </c>
      <c r="H80" s="8" t="s">
        <v>585</v>
      </c>
      <c r="I80" s="8" t="s">
        <v>507</v>
      </c>
      <c r="J80" s="8">
        <v>3009</v>
      </c>
      <c r="K80" s="8"/>
    </row>
    <row r="81" spans="1:11" ht="66" customHeight="1">
      <c r="A81" s="8">
        <v>77</v>
      </c>
      <c r="B81" s="8" t="s">
        <v>283</v>
      </c>
      <c r="C81" s="8" t="s">
        <v>81</v>
      </c>
      <c r="D81" s="8" t="s">
        <v>510</v>
      </c>
      <c r="E81" s="8">
        <v>7.5</v>
      </c>
      <c r="F81" s="8">
        <v>0</v>
      </c>
      <c r="G81" s="8">
        <v>2</v>
      </c>
      <c r="H81" s="8" t="s">
        <v>586</v>
      </c>
      <c r="I81" s="8" t="s">
        <v>507</v>
      </c>
      <c r="J81" s="8">
        <v>3044</v>
      </c>
      <c r="K81" s="8"/>
    </row>
    <row r="82" spans="1:11" ht="58" customHeight="1">
      <c r="A82" s="8">
        <v>78</v>
      </c>
      <c r="B82" s="8" t="s">
        <v>286</v>
      </c>
      <c r="C82" s="8" t="s">
        <v>81</v>
      </c>
      <c r="D82" s="8" t="s">
        <v>510</v>
      </c>
      <c r="E82" s="8">
        <v>7.5</v>
      </c>
      <c r="F82" s="8">
        <v>0</v>
      </c>
      <c r="G82" s="8">
        <v>0</v>
      </c>
      <c r="H82" s="8" t="s">
        <v>587</v>
      </c>
      <c r="I82" s="8" t="s">
        <v>507</v>
      </c>
      <c r="J82" s="8">
        <v>3079</v>
      </c>
      <c r="K82" s="8"/>
    </row>
    <row r="83" spans="1:11" ht="58" customHeight="1">
      <c r="A83" s="8">
        <v>79</v>
      </c>
      <c r="B83" s="8" t="s">
        <v>289</v>
      </c>
      <c r="C83" s="8" t="s">
        <v>81</v>
      </c>
      <c r="D83" s="8" t="s">
        <v>510</v>
      </c>
      <c r="E83" s="8">
        <v>7.5</v>
      </c>
      <c r="F83" s="8">
        <v>0</v>
      </c>
      <c r="G83" s="8">
        <v>0</v>
      </c>
      <c r="H83" s="8" t="s">
        <v>588</v>
      </c>
      <c r="I83" s="8" t="s">
        <v>507</v>
      </c>
      <c r="J83" s="8">
        <v>3114</v>
      </c>
      <c r="K83" s="8"/>
    </row>
    <row r="84" spans="1:11" ht="58" customHeight="1">
      <c r="A84" s="8">
        <v>80</v>
      </c>
      <c r="B84" s="8" t="s">
        <v>292</v>
      </c>
      <c r="C84" s="8" t="s">
        <v>81</v>
      </c>
      <c r="D84" s="8" t="s">
        <v>510</v>
      </c>
      <c r="E84" s="8">
        <v>8.5</v>
      </c>
      <c r="F84" s="8">
        <v>0</v>
      </c>
      <c r="G84" s="8">
        <v>0</v>
      </c>
      <c r="H84" s="8" t="s">
        <v>589</v>
      </c>
      <c r="I84" s="8" t="s">
        <v>507</v>
      </c>
      <c r="J84" s="8">
        <v>3149</v>
      </c>
      <c r="K84" s="8"/>
    </row>
    <row r="85" spans="1:11" ht="66" customHeight="1">
      <c r="A85" s="8">
        <v>81</v>
      </c>
      <c r="B85" s="8" t="s">
        <v>295</v>
      </c>
      <c r="C85" s="8" t="s">
        <v>81</v>
      </c>
      <c r="D85" s="8" t="s">
        <v>510</v>
      </c>
      <c r="E85" s="8">
        <v>7</v>
      </c>
      <c r="F85" s="8">
        <v>0</v>
      </c>
      <c r="G85" s="8">
        <v>6</v>
      </c>
      <c r="H85" s="8" t="s">
        <v>590</v>
      </c>
      <c r="I85" s="8" t="s">
        <v>507</v>
      </c>
      <c r="J85" s="8">
        <v>3192</v>
      </c>
      <c r="K85" s="8"/>
    </row>
    <row r="86" spans="1:11" ht="58" customHeight="1">
      <c r="A86" s="8">
        <v>82</v>
      </c>
      <c r="B86" s="8" t="s">
        <v>298</v>
      </c>
      <c r="C86" s="8" t="s">
        <v>81</v>
      </c>
      <c r="D86" s="8" t="s">
        <v>510</v>
      </c>
      <c r="E86" s="8">
        <v>9</v>
      </c>
      <c r="F86" s="8">
        <v>0</v>
      </c>
      <c r="G86" s="8">
        <v>4</v>
      </c>
      <c r="H86" s="8" t="s">
        <v>591</v>
      </c>
      <c r="I86" s="8" t="s">
        <v>507</v>
      </c>
      <c r="J86" s="8">
        <v>3236</v>
      </c>
      <c r="K86" s="8"/>
    </row>
    <row r="87" spans="1:11" ht="66" customHeight="1">
      <c r="A87" s="8">
        <v>83</v>
      </c>
      <c r="B87" s="8" t="s">
        <v>301</v>
      </c>
      <c r="C87" s="8" t="s">
        <v>81</v>
      </c>
      <c r="D87" s="8" t="s">
        <v>510</v>
      </c>
      <c r="E87" s="8">
        <v>7.5</v>
      </c>
      <c r="F87" s="8">
        <v>0</v>
      </c>
      <c r="G87" s="8">
        <v>6</v>
      </c>
      <c r="H87" s="8" t="s">
        <v>592</v>
      </c>
      <c r="I87" s="8" t="s">
        <v>507</v>
      </c>
      <c r="J87" s="8">
        <v>3271</v>
      </c>
      <c r="K87" s="8"/>
    </row>
    <row r="88" spans="1:11" ht="58" customHeight="1">
      <c r="A88" s="8">
        <v>84</v>
      </c>
      <c r="B88" s="8" t="s">
        <v>304</v>
      </c>
      <c r="C88" s="8" t="s">
        <v>81</v>
      </c>
      <c r="D88" s="8" t="s">
        <v>510</v>
      </c>
      <c r="E88" s="8">
        <v>7.5</v>
      </c>
      <c r="F88" s="8">
        <v>0</v>
      </c>
      <c r="G88" s="8">
        <v>4</v>
      </c>
      <c r="H88" s="8" t="s">
        <v>593</v>
      </c>
      <c r="I88" s="8" t="s">
        <v>507</v>
      </c>
      <c r="J88" s="8">
        <v>3315</v>
      </c>
      <c r="K88" s="8"/>
    </row>
    <row r="89" spans="1:11" ht="58" customHeight="1">
      <c r="A89" s="8">
        <v>85</v>
      </c>
      <c r="B89" s="8" t="s">
        <v>307</v>
      </c>
      <c r="C89" s="8" t="s">
        <v>81</v>
      </c>
      <c r="D89" s="8" t="s">
        <v>510</v>
      </c>
      <c r="E89" s="8">
        <v>9</v>
      </c>
      <c r="F89" s="8">
        <v>0</v>
      </c>
      <c r="G89" s="8">
        <v>4</v>
      </c>
      <c r="H89" s="8" t="s">
        <v>594</v>
      </c>
      <c r="I89" s="8" t="s">
        <v>507</v>
      </c>
      <c r="J89" s="8">
        <v>3350</v>
      </c>
      <c r="K89" s="8"/>
    </row>
    <row r="90" spans="1:11" ht="58" customHeight="1">
      <c r="A90" s="8">
        <v>86</v>
      </c>
      <c r="B90" s="8" t="s">
        <v>310</v>
      </c>
      <c r="C90" s="8" t="s">
        <v>81</v>
      </c>
      <c r="D90" s="8" t="s">
        <v>505</v>
      </c>
      <c r="E90" s="8">
        <v>7.5</v>
      </c>
      <c r="F90" s="8">
        <v>0</v>
      </c>
      <c r="G90" s="8">
        <v>4</v>
      </c>
      <c r="H90" s="8" t="s">
        <v>595</v>
      </c>
      <c r="I90" s="8" t="s">
        <v>507</v>
      </c>
      <c r="J90" s="8">
        <v>3385</v>
      </c>
      <c r="K90" s="8"/>
    </row>
    <row r="91" spans="1:11" ht="58" customHeight="1">
      <c r="A91" s="8">
        <v>87</v>
      </c>
      <c r="B91" s="8" t="s">
        <v>313</v>
      </c>
      <c r="C91" s="8" t="s">
        <v>81</v>
      </c>
      <c r="D91" s="8" t="s">
        <v>510</v>
      </c>
      <c r="E91" s="8">
        <v>9</v>
      </c>
      <c r="F91" s="8">
        <v>0</v>
      </c>
      <c r="G91" s="8">
        <v>4</v>
      </c>
      <c r="H91" s="8" t="s">
        <v>596</v>
      </c>
      <c r="I91" s="8" t="s">
        <v>507</v>
      </c>
      <c r="J91" s="8">
        <v>3420</v>
      </c>
      <c r="K91" s="8"/>
    </row>
    <row r="92" spans="1:11" ht="58" customHeight="1">
      <c r="A92" s="8">
        <v>88</v>
      </c>
      <c r="B92" s="8" t="s">
        <v>316</v>
      </c>
      <c r="C92" s="8" t="s">
        <v>81</v>
      </c>
      <c r="D92" s="8" t="s">
        <v>510</v>
      </c>
      <c r="E92" s="8">
        <v>0</v>
      </c>
      <c r="F92" s="8">
        <v>0</v>
      </c>
      <c r="G92" s="8">
        <v>0</v>
      </c>
      <c r="H92" s="8" t="s">
        <v>597</v>
      </c>
      <c r="I92" s="8" t="s">
        <v>507</v>
      </c>
      <c r="J92" s="8">
        <v>3455</v>
      </c>
      <c r="K92" s="8"/>
    </row>
    <row r="93" spans="1:11" ht="58" customHeight="1">
      <c r="A93" s="8">
        <v>89</v>
      </c>
      <c r="B93" s="8" t="s">
        <v>319</v>
      </c>
      <c r="C93" s="8" t="s">
        <v>81</v>
      </c>
      <c r="D93" s="8" t="s">
        <v>510</v>
      </c>
      <c r="E93" s="8">
        <v>6</v>
      </c>
      <c r="F93" s="8">
        <v>0</v>
      </c>
      <c r="G93" s="8">
        <v>3</v>
      </c>
      <c r="H93" s="8" t="s">
        <v>598</v>
      </c>
      <c r="I93" s="8" t="s">
        <v>507</v>
      </c>
      <c r="J93" s="8">
        <v>3481</v>
      </c>
      <c r="K93" s="8"/>
    </row>
    <row r="94" spans="1:11" ht="58" customHeight="1">
      <c r="A94" s="8">
        <v>90</v>
      </c>
      <c r="B94" s="8" t="s">
        <v>322</v>
      </c>
      <c r="C94" s="8" t="s">
        <v>81</v>
      </c>
      <c r="D94" s="8" t="s">
        <v>510</v>
      </c>
      <c r="E94" s="8">
        <v>10.5</v>
      </c>
      <c r="F94" s="8">
        <v>0</v>
      </c>
      <c r="G94" s="8">
        <v>6</v>
      </c>
      <c r="H94" s="8" t="s">
        <v>599</v>
      </c>
      <c r="I94" s="8" t="s">
        <v>507</v>
      </c>
      <c r="J94" s="8">
        <v>3513</v>
      </c>
      <c r="K94" s="8"/>
    </row>
    <row r="95" spans="1:11" ht="58" customHeight="1">
      <c r="A95" s="8">
        <v>91</v>
      </c>
      <c r="B95" s="8" t="s">
        <v>325</v>
      </c>
      <c r="C95" s="8" t="s">
        <v>81</v>
      </c>
      <c r="D95" s="8" t="s">
        <v>510</v>
      </c>
      <c r="E95" s="8">
        <v>9</v>
      </c>
      <c r="F95" s="8">
        <v>0</v>
      </c>
      <c r="G95" s="8">
        <v>4</v>
      </c>
      <c r="H95" s="8" t="s">
        <v>600</v>
      </c>
      <c r="I95" s="8" t="s">
        <v>507</v>
      </c>
      <c r="J95" s="8">
        <v>3546</v>
      </c>
      <c r="K95" s="8"/>
    </row>
    <row r="96" spans="1:11" ht="58" customHeight="1">
      <c r="A96" s="8">
        <v>92</v>
      </c>
      <c r="B96" s="8" t="s">
        <v>328</v>
      </c>
      <c r="C96" s="8" t="s">
        <v>81</v>
      </c>
      <c r="D96" s="8" t="s">
        <v>505</v>
      </c>
      <c r="E96" s="8">
        <v>10.5</v>
      </c>
      <c r="F96" s="8">
        <v>0</v>
      </c>
      <c r="G96" s="8">
        <v>4</v>
      </c>
      <c r="H96" s="8" t="s">
        <v>601</v>
      </c>
      <c r="I96" s="8" t="s">
        <v>507</v>
      </c>
      <c r="J96" s="8">
        <v>3581</v>
      </c>
      <c r="K96" s="8"/>
    </row>
    <row r="97" spans="1:11" ht="58" customHeight="1">
      <c r="A97" s="8">
        <v>93</v>
      </c>
      <c r="B97" s="8" t="s">
        <v>331</v>
      </c>
      <c r="C97" s="8" t="s">
        <v>81</v>
      </c>
      <c r="D97" s="8" t="s">
        <v>510</v>
      </c>
      <c r="E97" s="8">
        <v>9</v>
      </c>
      <c r="F97" s="8">
        <v>0</v>
      </c>
      <c r="G97" s="8">
        <v>4</v>
      </c>
      <c r="H97" s="8" t="s">
        <v>602</v>
      </c>
      <c r="I97" s="8" t="s">
        <v>507</v>
      </c>
      <c r="J97" s="8">
        <v>3616</v>
      </c>
      <c r="K97" s="8"/>
    </row>
    <row r="98" spans="1:11" ht="58" customHeight="1">
      <c r="A98" s="8">
        <v>94</v>
      </c>
      <c r="B98" s="8" t="s">
        <v>334</v>
      </c>
      <c r="C98" s="8" t="s">
        <v>81</v>
      </c>
      <c r="D98" s="8" t="s">
        <v>510</v>
      </c>
      <c r="E98" s="8">
        <v>9</v>
      </c>
      <c r="F98" s="8">
        <v>0</v>
      </c>
      <c r="G98" s="8">
        <v>4</v>
      </c>
      <c r="H98" s="8" t="s">
        <v>603</v>
      </c>
      <c r="I98" s="8" t="s">
        <v>507</v>
      </c>
      <c r="J98" s="8">
        <v>3651</v>
      </c>
      <c r="K98" s="8"/>
    </row>
    <row r="99" spans="1:11" ht="58" customHeight="1">
      <c r="A99" s="8">
        <v>95</v>
      </c>
      <c r="B99" s="8" t="s">
        <v>337</v>
      </c>
      <c r="C99" s="8" t="s">
        <v>50</v>
      </c>
      <c r="D99" s="8" t="s">
        <v>510</v>
      </c>
      <c r="E99" s="8">
        <v>10</v>
      </c>
      <c r="F99" s="8">
        <v>0</v>
      </c>
      <c r="G99" s="8">
        <v>0</v>
      </c>
      <c r="H99" s="8" t="s">
        <v>604</v>
      </c>
      <c r="I99" s="8" t="s">
        <v>507</v>
      </c>
      <c r="J99" s="8">
        <v>3686</v>
      </c>
      <c r="K99" s="8"/>
    </row>
    <row r="100" spans="1:11" ht="58" customHeight="1">
      <c r="A100" s="8">
        <v>96</v>
      </c>
      <c r="B100" s="8" t="s">
        <v>343</v>
      </c>
      <c r="C100" s="8" t="s">
        <v>50</v>
      </c>
      <c r="D100" s="8" t="s">
        <v>510</v>
      </c>
      <c r="E100" s="8">
        <v>11.5</v>
      </c>
      <c r="F100" s="8">
        <v>0</v>
      </c>
      <c r="G100" s="8">
        <v>0</v>
      </c>
      <c r="H100" s="8" t="s">
        <v>605</v>
      </c>
      <c r="I100" s="8" t="s">
        <v>507</v>
      </c>
      <c r="J100" s="8">
        <v>3721</v>
      </c>
      <c r="K100" s="8"/>
    </row>
    <row r="101" spans="1:11" ht="58" customHeight="1">
      <c r="A101" s="8">
        <v>97</v>
      </c>
      <c r="B101" s="8" t="s">
        <v>346</v>
      </c>
      <c r="C101" s="8" t="s">
        <v>50</v>
      </c>
      <c r="D101" s="8" t="s">
        <v>510</v>
      </c>
      <c r="E101" s="8">
        <v>8.5</v>
      </c>
      <c r="F101" s="8">
        <v>0</v>
      </c>
      <c r="G101" s="8">
        <v>0</v>
      </c>
      <c r="H101" s="8" t="s">
        <v>606</v>
      </c>
      <c r="I101" s="8" t="s">
        <v>507</v>
      </c>
      <c r="J101" s="8">
        <v>3756</v>
      </c>
      <c r="K101" s="8"/>
    </row>
    <row r="102" spans="1:11" ht="58" customHeight="1">
      <c r="A102" s="8">
        <v>98</v>
      </c>
      <c r="B102" s="8" t="s">
        <v>349</v>
      </c>
      <c r="C102" s="8" t="s">
        <v>50</v>
      </c>
      <c r="D102" s="8" t="s">
        <v>510</v>
      </c>
      <c r="E102" s="8">
        <v>11.5</v>
      </c>
      <c r="F102" s="8">
        <v>0</v>
      </c>
      <c r="G102" s="8">
        <v>0</v>
      </c>
      <c r="H102" s="8" t="s">
        <v>607</v>
      </c>
      <c r="I102" s="8" t="s">
        <v>507</v>
      </c>
      <c r="J102" s="8">
        <v>3788</v>
      </c>
      <c r="K102" s="8"/>
    </row>
    <row r="103" spans="1:11" ht="58" customHeight="1">
      <c r="A103" s="8">
        <v>99</v>
      </c>
      <c r="B103" s="8" t="s">
        <v>352</v>
      </c>
      <c r="C103" s="8" t="s">
        <v>50</v>
      </c>
      <c r="D103" s="8" t="s">
        <v>510</v>
      </c>
      <c r="E103" s="8">
        <v>8.5</v>
      </c>
      <c r="F103" s="8">
        <v>0</v>
      </c>
      <c r="G103" s="8">
        <v>0</v>
      </c>
      <c r="H103" s="8" t="s">
        <v>608</v>
      </c>
      <c r="I103" s="8" t="s">
        <v>507</v>
      </c>
      <c r="J103" s="8">
        <v>3823</v>
      </c>
      <c r="K103" s="8"/>
    </row>
    <row r="104" spans="1:11" ht="66" customHeight="1">
      <c r="A104" s="8">
        <v>100</v>
      </c>
      <c r="B104" s="8" t="s">
        <v>355</v>
      </c>
      <c r="C104" s="8" t="s">
        <v>50</v>
      </c>
      <c r="D104" s="8" t="s">
        <v>510</v>
      </c>
      <c r="E104" s="8">
        <v>10.5</v>
      </c>
      <c r="F104" s="8">
        <v>0</v>
      </c>
      <c r="G104" s="8">
        <v>0</v>
      </c>
      <c r="H104" s="8" t="s">
        <v>609</v>
      </c>
      <c r="I104" s="8" t="s">
        <v>507</v>
      </c>
      <c r="J104" s="8">
        <v>3856</v>
      </c>
      <c r="K104" s="8"/>
    </row>
    <row r="105" spans="1:11" ht="58" customHeight="1">
      <c r="A105" s="8">
        <v>101</v>
      </c>
      <c r="B105" s="8" t="s">
        <v>358</v>
      </c>
      <c r="C105" s="8" t="s">
        <v>81</v>
      </c>
      <c r="D105" s="8" t="s">
        <v>510</v>
      </c>
      <c r="E105" s="8">
        <v>12</v>
      </c>
      <c r="F105" s="8">
        <v>0</v>
      </c>
      <c r="G105" s="8">
        <v>0</v>
      </c>
      <c r="H105" s="8" t="s">
        <v>610</v>
      </c>
      <c r="I105" s="8" t="s">
        <v>507</v>
      </c>
      <c r="J105" s="8">
        <v>3895</v>
      </c>
      <c r="K105" s="8"/>
    </row>
    <row r="106" spans="1:11" ht="58" customHeight="1">
      <c r="A106" s="8">
        <v>102</v>
      </c>
      <c r="B106" s="8" t="s">
        <v>361</v>
      </c>
      <c r="C106" s="8" t="s">
        <v>81</v>
      </c>
      <c r="D106" s="8" t="s">
        <v>510</v>
      </c>
      <c r="E106" s="8">
        <v>13</v>
      </c>
      <c r="F106" s="8">
        <v>0</v>
      </c>
      <c r="G106" s="8">
        <v>0</v>
      </c>
      <c r="H106" s="8" t="s">
        <v>611</v>
      </c>
      <c r="I106" s="8" t="s">
        <v>507</v>
      </c>
      <c r="J106" s="8">
        <v>3930</v>
      </c>
      <c r="K106" s="8"/>
    </row>
    <row r="107" spans="1:11" ht="58" customHeight="1">
      <c r="A107" s="8">
        <v>103</v>
      </c>
      <c r="B107" s="8" t="s">
        <v>364</v>
      </c>
      <c r="C107" s="8" t="s">
        <v>81</v>
      </c>
      <c r="D107" s="8" t="s">
        <v>510</v>
      </c>
      <c r="E107" s="8">
        <v>13</v>
      </c>
      <c r="F107" s="8">
        <v>0</v>
      </c>
      <c r="G107" s="8">
        <v>0</v>
      </c>
      <c r="H107" s="8" t="s">
        <v>612</v>
      </c>
      <c r="I107" s="8" t="s">
        <v>507</v>
      </c>
      <c r="J107" s="8">
        <v>3965</v>
      </c>
      <c r="K107" s="8"/>
    </row>
    <row r="108" spans="1:11" ht="66" customHeight="1">
      <c r="A108" s="8">
        <v>104</v>
      </c>
      <c r="B108" s="8" t="s">
        <v>367</v>
      </c>
      <c r="C108" s="8" t="s">
        <v>81</v>
      </c>
      <c r="D108" s="8" t="s">
        <v>510</v>
      </c>
      <c r="E108" s="8">
        <v>12</v>
      </c>
      <c r="F108" s="8">
        <v>0</v>
      </c>
      <c r="G108" s="8">
        <v>0</v>
      </c>
      <c r="H108" s="8" t="s">
        <v>613</v>
      </c>
      <c r="I108" s="8" t="s">
        <v>507</v>
      </c>
      <c r="J108" s="8">
        <v>4000</v>
      </c>
      <c r="K108" s="8"/>
    </row>
    <row r="109" spans="1:11" ht="58" customHeight="1">
      <c r="A109" s="8">
        <v>105</v>
      </c>
      <c r="B109" s="8" t="s">
        <v>370</v>
      </c>
      <c r="C109" s="8" t="s">
        <v>81</v>
      </c>
      <c r="D109" s="8" t="s">
        <v>510</v>
      </c>
      <c r="E109" s="8">
        <v>18</v>
      </c>
      <c r="F109" s="8">
        <v>0</v>
      </c>
      <c r="G109" s="8">
        <v>0</v>
      </c>
      <c r="H109" s="8" t="s">
        <v>614</v>
      </c>
      <c r="I109" s="8" t="s">
        <v>507</v>
      </c>
      <c r="J109" s="8">
        <v>4039</v>
      </c>
      <c r="K109" s="8"/>
    </row>
    <row r="110" spans="1:11" ht="58" customHeight="1">
      <c r="A110" s="8">
        <v>106</v>
      </c>
      <c r="B110" s="8" t="s">
        <v>373</v>
      </c>
      <c r="C110" s="8" t="s">
        <v>81</v>
      </c>
      <c r="D110" s="8" t="s">
        <v>510</v>
      </c>
      <c r="E110" s="8">
        <v>22.5</v>
      </c>
      <c r="F110" s="8">
        <v>0</v>
      </c>
      <c r="G110" s="8">
        <v>0</v>
      </c>
      <c r="H110" s="8" t="s">
        <v>615</v>
      </c>
      <c r="I110" s="8" t="s">
        <v>507</v>
      </c>
      <c r="J110" s="8">
        <v>4074</v>
      </c>
      <c r="K110" s="8"/>
    </row>
    <row r="111" spans="1:11" ht="58" customHeight="1">
      <c r="A111" s="8">
        <v>107</v>
      </c>
      <c r="B111" s="8" t="s">
        <v>376</v>
      </c>
      <c r="C111" s="8" t="s">
        <v>81</v>
      </c>
      <c r="D111" s="8" t="s">
        <v>510</v>
      </c>
      <c r="E111" s="8">
        <v>22.5</v>
      </c>
      <c r="F111" s="8">
        <v>0</v>
      </c>
      <c r="G111" s="8">
        <v>0</v>
      </c>
      <c r="H111" s="8" t="s">
        <v>616</v>
      </c>
      <c r="I111" s="8" t="s">
        <v>507</v>
      </c>
      <c r="J111" s="8">
        <v>4108</v>
      </c>
      <c r="K111" s="8"/>
    </row>
    <row r="112" spans="1:11" ht="58" customHeight="1">
      <c r="A112" s="8">
        <v>108</v>
      </c>
      <c r="B112" s="8" t="s">
        <v>379</v>
      </c>
      <c r="C112" s="8" t="s">
        <v>81</v>
      </c>
      <c r="D112" s="8" t="s">
        <v>510</v>
      </c>
      <c r="E112" s="8">
        <v>22.5</v>
      </c>
      <c r="F112" s="8">
        <v>0</v>
      </c>
      <c r="G112" s="8">
        <v>0</v>
      </c>
      <c r="H112" s="8" t="s">
        <v>617</v>
      </c>
      <c r="I112" s="8" t="s">
        <v>507</v>
      </c>
      <c r="J112" s="8">
        <v>4142</v>
      </c>
      <c r="K112" s="8"/>
    </row>
    <row r="113" spans="1:11" ht="58" customHeight="1">
      <c r="A113" s="8">
        <v>109</v>
      </c>
      <c r="B113" s="8" t="s">
        <v>382</v>
      </c>
      <c r="C113" s="8" t="s">
        <v>81</v>
      </c>
      <c r="D113" s="8" t="s">
        <v>510</v>
      </c>
      <c r="E113" s="8">
        <v>22.5</v>
      </c>
      <c r="F113" s="8">
        <v>0</v>
      </c>
      <c r="G113" s="8">
        <v>0</v>
      </c>
      <c r="H113" s="8" t="s">
        <v>618</v>
      </c>
      <c r="I113" s="8" t="s">
        <v>507</v>
      </c>
      <c r="J113" s="8">
        <v>4176</v>
      </c>
      <c r="K113" s="8"/>
    </row>
    <row r="114" spans="1:11" ht="58" customHeight="1">
      <c r="A114" s="8">
        <v>110</v>
      </c>
      <c r="B114" s="8" t="s">
        <v>385</v>
      </c>
      <c r="C114" s="8" t="s">
        <v>81</v>
      </c>
      <c r="D114" s="8" t="s">
        <v>510</v>
      </c>
      <c r="E114" s="8">
        <v>22.5</v>
      </c>
      <c r="F114" s="8">
        <v>0</v>
      </c>
      <c r="G114" s="8">
        <v>0</v>
      </c>
      <c r="H114" s="8" t="s">
        <v>619</v>
      </c>
      <c r="I114" s="8" t="s">
        <v>507</v>
      </c>
      <c r="J114" s="8">
        <v>4210</v>
      </c>
      <c r="K114" s="8"/>
    </row>
    <row r="115" spans="1:11" ht="58" customHeight="1">
      <c r="A115" s="8">
        <v>111</v>
      </c>
      <c r="B115" s="8" t="s">
        <v>388</v>
      </c>
      <c r="C115" s="8" t="s">
        <v>81</v>
      </c>
      <c r="D115" s="8" t="s">
        <v>510</v>
      </c>
      <c r="E115" s="8">
        <v>6</v>
      </c>
      <c r="F115" s="8">
        <v>0</v>
      </c>
      <c r="G115" s="8">
        <v>0</v>
      </c>
      <c r="H115" s="8" t="s">
        <v>620</v>
      </c>
      <c r="I115" s="8" t="s">
        <v>507</v>
      </c>
      <c r="J115" s="8">
        <v>4244</v>
      </c>
      <c r="K115" s="8"/>
    </row>
    <row r="116" spans="1:11" ht="58" customHeight="1">
      <c r="A116" s="8">
        <v>112</v>
      </c>
      <c r="B116" s="8" t="s">
        <v>392</v>
      </c>
      <c r="C116" s="8" t="s">
        <v>81</v>
      </c>
      <c r="D116" s="8" t="s">
        <v>510</v>
      </c>
      <c r="E116" s="8">
        <v>8.5</v>
      </c>
      <c r="F116" s="8">
        <v>0</v>
      </c>
      <c r="G116" s="8">
        <v>0</v>
      </c>
      <c r="H116" s="8" t="s">
        <v>621</v>
      </c>
      <c r="I116" s="8" t="s">
        <v>507</v>
      </c>
      <c r="J116" s="8">
        <v>4279</v>
      </c>
      <c r="K116" s="8"/>
    </row>
    <row r="117" spans="1:11" ht="58" customHeight="1">
      <c r="A117" s="8">
        <v>113</v>
      </c>
      <c r="B117" s="8" t="s">
        <v>395</v>
      </c>
      <c r="C117" s="8" t="s">
        <v>81</v>
      </c>
      <c r="D117" s="8" t="s">
        <v>510</v>
      </c>
      <c r="E117" s="8">
        <v>9.5</v>
      </c>
      <c r="F117" s="8">
        <v>0</v>
      </c>
      <c r="G117" s="8">
        <v>0</v>
      </c>
      <c r="H117" s="8" t="s">
        <v>622</v>
      </c>
      <c r="I117" s="8" t="s">
        <v>507</v>
      </c>
      <c r="J117" s="8">
        <v>4314</v>
      </c>
      <c r="K117" s="8"/>
    </row>
    <row r="118" spans="1:11" ht="66" customHeight="1">
      <c r="A118" s="8">
        <v>114</v>
      </c>
      <c r="B118" s="8" t="s">
        <v>398</v>
      </c>
      <c r="C118" s="8" t="s">
        <v>81</v>
      </c>
      <c r="D118" s="8" t="s">
        <v>510</v>
      </c>
      <c r="E118" s="8">
        <v>7.5</v>
      </c>
      <c r="F118" s="8">
        <v>0</v>
      </c>
      <c r="G118" s="8">
        <v>0</v>
      </c>
      <c r="H118" s="8" t="s">
        <v>623</v>
      </c>
      <c r="I118" s="8" t="s">
        <v>507</v>
      </c>
      <c r="J118" s="8">
        <v>4349</v>
      </c>
      <c r="K118" s="8"/>
    </row>
    <row r="119" spans="1:11" ht="58" customHeight="1">
      <c r="A119" s="8">
        <v>115</v>
      </c>
      <c r="B119" s="8" t="s">
        <v>401</v>
      </c>
      <c r="C119" s="8" t="s">
        <v>81</v>
      </c>
      <c r="D119" s="8" t="s">
        <v>510</v>
      </c>
      <c r="E119" s="8">
        <v>9</v>
      </c>
      <c r="F119" s="8">
        <v>0</v>
      </c>
      <c r="G119" s="8">
        <v>0</v>
      </c>
      <c r="H119" s="8" t="s">
        <v>624</v>
      </c>
      <c r="I119" s="8" t="s">
        <v>507</v>
      </c>
      <c r="J119" s="8">
        <v>4392</v>
      </c>
      <c r="K119" s="8"/>
    </row>
    <row r="120" spans="1:11" ht="58" customHeight="1">
      <c r="A120" s="8">
        <v>116</v>
      </c>
      <c r="B120" s="8" t="s">
        <v>404</v>
      </c>
      <c r="C120" s="8" t="s">
        <v>50</v>
      </c>
      <c r="D120" s="8" t="s">
        <v>510</v>
      </c>
      <c r="E120" s="8">
        <v>0</v>
      </c>
      <c r="F120" s="8">
        <v>0</v>
      </c>
      <c r="G120" s="8">
        <v>0</v>
      </c>
      <c r="H120" s="8" t="s">
        <v>625</v>
      </c>
      <c r="I120" s="8" t="s">
        <v>626</v>
      </c>
      <c r="J120" s="8">
        <v>95</v>
      </c>
      <c r="K120" s="8" t="s">
        <v>627</v>
      </c>
    </row>
    <row r="121" spans="1:11" ht="58" customHeight="1">
      <c r="A121" s="8">
        <v>117</v>
      </c>
      <c r="B121" s="8" t="s">
        <v>408</v>
      </c>
      <c r="C121" s="8" t="s">
        <v>50</v>
      </c>
      <c r="D121" s="8" t="s">
        <v>628</v>
      </c>
      <c r="E121" s="8">
        <v>0</v>
      </c>
      <c r="F121" s="8">
        <v>0</v>
      </c>
      <c r="G121" s="8">
        <v>0</v>
      </c>
      <c r="H121" s="8" t="s">
        <v>625</v>
      </c>
      <c r="I121" s="8" t="s">
        <v>626</v>
      </c>
      <c r="J121" s="8">
        <v>26</v>
      </c>
      <c r="K121" s="8" t="s">
        <v>629</v>
      </c>
    </row>
    <row r="122" spans="1:11" ht="58" customHeight="1">
      <c r="A122" s="8">
        <v>118</v>
      </c>
      <c r="B122" s="8" t="s">
        <v>411</v>
      </c>
      <c r="C122" s="8" t="s">
        <v>50</v>
      </c>
      <c r="D122" s="8" t="s">
        <v>510</v>
      </c>
      <c r="E122" s="8">
        <v>0</v>
      </c>
      <c r="F122" s="8">
        <v>0</v>
      </c>
      <c r="G122" s="8">
        <v>0</v>
      </c>
      <c r="H122" s="8" t="s">
        <v>625</v>
      </c>
      <c r="I122" s="8" t="s">
        <v>626</v>
      </c>
      <c r="J122" s="8">
        <v>49</v>
      </c>
      <c r="K122" s="8" t="s">
        <v>629</v>
      </c>
    </row>
    <row r="123" spans="1:11" ht="58" customHeight="1">
      <c r="A123" s="8">
        <v>119</v>
      </c>
      <c r="B123" s="8" t="s">
        <v>414</v>
      </c>
      <c r="C123" s="8" t="s">
        <v>50</v>
      </c>
      <c r="D123" s="8" t="s">
        <v>510</v>
      </c>
      <c r="E123" s="8">
        <v>0</v>
      </c>
      <c r="F123" s="8">
        <v>0</v>
      </c>
      <c r="G123" s="8">
        <v>0</v>
      </c>
      <c r="H123" s="8" t="s">
        <v>625</v>
      </c>
      <c r="I123" s="8" t="s">
        <v>626</v>
      </c>
      <c r="J123" s="8">
        <v>72</v>
      </c>
      <c r="K123" s="8" t="s">
        <v>629</v>
      </c>
    </row>
    <row r="124" spans="1:11" ht="58" customHeight="1">
      <c r="A124" s="8">
        <v>120</v>
      </c>
      <c r="B124" s="8" t="s">
        <v>417</v>
      </c>
      <c r="C124" s="8" t="s">
        <v>50</v>
      </c>
      <c r="D124" s="8" t="s">
        <v>505</v>
      </c>
      <c r="E124" s="8">
        <v>0</v>
      </c>
      <c r="F124" s="8">
        <v>0</v>
      </c>
      <c r="G124" s="8">
        <v>0</v>
      </c>
      <c r="H124" s="8" t="s">
        <v>625</v>
      </c>
      <c r="I124" s="8" t="s">
        <v>626</v>
      </c>
      <c r="J124" s="8">
        <v>3</v>
      </c>
      <c r="K124" s="8" t="s">
        <v>629</v>
      </c>
    </row>
    <row r="125" spans="1:11" ht="58" customHeight="1">
      <c r="A125" s="8">
        <v>121</v>
      </c>
      <c r="B125" s="8" t="s">
        <v>420</v>
      </c>
      <c r="C125" s="8" t="s">
        <v>50</v>
      </c>
      <c r="D125" s="8" t="s">
        <v>510</v>
      </c>
      <c r="E125" s="8">
        <v>0</v>
      </c>
      <c r="F125" s="8">
        <v>0</v>
      </c>
      <c r="G125" s="8">
        <v>0</v>
      </c>
      <c r="H125" s="8" t="s">
        <v>630</v>
      </c>
      <c r="I125" s="8" t="s">
        <v>626</v>
      </c>
      <c r="J125" s="8">
        <v>214</v>
      </c>
      <c r="K125" s="8" t="s">
        <v>631</v>
      </c>
    </row>
    <row r="126" spans="1:11" ht="58" customHeight="1">
      <c r="A126" s="8">
        <v>122</v>
      </c>
      <c r="B126" s="8" t="s">
        <v>423</v>
      </c>
      <c r="C126" s="8" t="s">
        <v>50</v>
      </c>
      <c r="D126" s="8" t="s">
        <v>628</v>
      </c>
      <c r="E126" s="8">
        <v>0</v>
      </c>
      <c r="F126" s="8">
        <v>0</v>
      </c>
      <c r="G126" s="8">
        <v>0</v>
      </c>
      <c r="H126" s="8" t="s">
        <v>630</v>
      </c>
      <c r="I126" s="8" t="s">
        <v>626</v>
      </c>
      <c r="J126" s="8">
        <v>190</v>
      </c>
      <c r="K126" s="8" t="s">
        <v>631</v>
      </c>
    </row>
    <row r="127" spans="1:11" ht="58" customHeight="1">
      <c r="A127" s="8">
        <v>123</v>
      </c>
      <c r="B127" s="8" t="s">
        <v>426</v>
      </c>
      <c r="C127" s="8" t="s">
        <v>50</v>
      </c>
      <c r="D127" s="8" t="s">
        <v>505</v>
      </c>
      <c r="E127" s="8">
        <v>0</v>
      </c>
      <c r="F127" s="8">
        <v>0</v>
      </c>
      <c r="G127" s="8">
        <v>0</v>
      </c>
      <c r="H127" s="8" t="s">
        <v>630</v>
      </c>
      <c r="I127" s="8" t="s">
        <v>626</v>
      </c>
      <c r="J127" s="8">
        <v>238</v>
      </c>
      <c r="K127" s="8" t="s">
        <v>631</v>
      </c>
    </row>
    <row r="128" spans="1:11" ht="58" customHeight="1">
      <c r="A128" s="8">
        <v>124</v>
      </c>
      <c r="B128" s="8" t="s">
        <v>429</v>
      </c>
      <c r="C128" s="8" t="s">
        <v>50</v>
      </c>
      <c r="D128" s="8" t="s">
        <v>505</v>
      </c>
      <c r="E128" s="8">
        <v>0</v>
      </c>
      <c r="F128" s="8">
        <v>0</v>
      </c>
      <c r="G128" s="8">
        <v>0</v>
      </c>
      <c r="H128" s="8" t="s">
        <v>632</v>
      </c>
      <c r="I128" s="8" t="s">
        <v>626</v>
      </c>
      <c r="J128" s="8">
        <v>118</v>
      </c>
      <c r="K128" s="8" t="s">
        <v>633</v>
      </c>
    </row>
    <row r="129" spans="1:11" ht="58" customHeight="1">
      <c r="A129" s="8">
        <v>125</v>
      </c>
      <c r="B129" s="8" t="s">
        <v>432</v>
      </c>
      <c r="C129" s="8" t="s">
        <v>50</v>
      </c>
      <c r="D129" s="8" t="s">
        <v>510</v>
      </c>
      <c r="E129" s="8">
        <v>0</v>
      </c>
      <c r="F129" s="8">
        <v>0</v>
      </c>
      <c r="G129" s="8">
        <v>0</v>
      </c>
      <c r="H129" s="8" t="s">
        <v>632</v>
      </c>
      <c r="I129" s="8" t="s">
        <v>626</v>
      </c>
      <c r="J129" s="8">
        <v>142</v>
      </c>
      <c r="K129" s="8" t="s">
        <v>633</v>
      </c>
    </row>
    <row r="130" spans="1:11" ht="58" customHeight="1">
      <c r="A130" s="8">
        <v>126</v>
      </c>
      <c r="B130" s="8" t="s">
        <v>435</v>
      </c>
      <c r="C130" s="8" t="s">
        <v>50</v>
      </c>
      <c r="D130" s="8" t="s">
        <v>510</v>
      </c>
      <c r="E130" s="8">
        <v>0</v>
      </c>
      <c r="F130" s="8">
        <v>0</v>
      </c>
      <c r="G130" s="8">
        <v>0</v>
      </c>
      <c r="H130" s="8" t="s">
        <v>632</v>
      </c>
      <c r="I130" s="8" t="s">
        <v>626</v>
      </c>
      <c r="J130" s="8">
        <v>166</v>
      </c>
      <c r="K130" s="8" t="s">
        <v>633</v>
      </c>
    </row>
    <row r="131" spans="1:11" ht="58" customHeight="1">
      <c r="A131" s="8">
        <v>127</v>
      </c>
      <c r="B131" s="8" t="s">
        <v>438</v>
      </c>
      <c r="C131" s="8" t="s">
        <v>50</v>
      </c>
      <c r="D131" s="8" t="s">
        <v>510</v>
      </c>
      <c r="E131" s="8">
        <v>0</v>
      </c>
      <c r="F131" s="8">
        <v>0</v>
      </c>
      <c r="G131" s="8">
        <v>0</v>
      </c>
      <c r="H131" s="8" t="s">
        <v>634</v>
      </c>
      <c r="I131" s="8" t="s">
        <v>626</v>
      </c>
      <c r="J131" s="8">
        <v>286</v>
      </c>
      <c r="K131" s="8" t="s">
        <v>635</v>
      </c>
    </row>
    <row r="132" spans="1:11" ht="58" customHeight="1">
      <c r="A132" s="8">
        <v>128</v>
      </c>
      <c r="B132" s="8" t="s">
        <v>441</v>
      </c>
      <c r="C132" s="8" t="s">
        <v>50</v>
      </c>
      <c r="D132" s="8" t="s">
        <v>505</v>
      </c>
      <c r="E132" s="8">
        <v>0</v>
      </c>
      <c r="F132" s="8">
        <v>0</v>
      </c>
      <c r="G132" s="8">
        <v>0</v>
      </c>
      <c r="H132" s="8" t="s">
        <v>634</v>
      </c>
      <c r="I132" s="8" t="s">
        <v>626</v>
      </c>
      <c r="J132" s="8">
        <v>310</v>
      </c>
      <c r="K132" s="8" t="s">
        <v>635</v>
      </c>
    </row>
    <row r="133" spans="1:11" ht="58" customHeight="1">
      <c r="A133" s="8">
        <v>129</v>
      </c>
      <c r="B133" s="8" t="s">
        <v>444</v>
      </c>
      <c r="C133" s="8" t="s">
        <v>50</v>
      </c>
      <c r="D133" s="8" t="s">
        <v>628</v>
      </c>
      <c r="E133" s="8">
        <v>0</v>
      </c>
      <c r="F133" s="8">
        <v>0</v>
      </c>
      <c r="G133" s="8">
        <v>0</v>
      </c>
      <c r="H133" s="8" t="s">
        <v>634</v>
      </c>
      <c r="I133" s="8" t="s">
        <v>626</v>
      </c>
      <c r="J133" s="8">
        <v>262</v>
      </c>
      <c r="K133" s="8" t="s">
        <v>635</v>
      </c>
    </row>
    <row r="134" spans="1:11" ht="58" customHeight="1">
      <c r="A134" s="8">
        <v>130</v>
      </c>
      <c r="B134" s="8" t="s">
        <v>447</v>
      </c>
      <c r="C134" s="8" t="s">
        <v>50</v>
      </c>
      <c r="D134" s="8" t="s">
        <v>510</v>
      </c>
      <c r="E134" s="8">
        <v>0</v>
      </c>
      <c r="F134" s="8">
        <v>0</v>
      </c>
      <c r="G134" s="8">
        <v>0</v>
      </c>
      <c r="H134" s="8" t="s">
        <v>636</v>
      </c>
      <c r="I134" s="8" t="s">
        <v>637</v>
      </c>
      <c r="J134" s="8">
        <v>49</v>
      </c>
      <c r="K134" s="8" t="s">
        <v>638</v>
      </c>
    </row>
    <row r="135" spans="1:11" ht="58" customHeight="1">
      <c r="A135" s="8">
        <v>131</v>
      </c>
      <c r="B135" s="8" t="s">
        <v>452</v>
      </c>
      <c r="C135" s="8" t="s">
        <v>50</v>
      </c>
      <c r="D135" s="8" t="s">
        <v>510</v>
      </c>
      <c r="E135" s="8">
        <v>0</v>
      </c>
      <c r="F135" s="8">
        <v>0</v>
      </c>
      <c r="G135" s="8">
        <v>0</v>
      </c>
      <c r="H135" s="8" t="s">
        <v>639</v>
      </c>
      <c r="I135" s="8" t="s">
        <v>637</v>
      </c>
      <c r="J135" s="8">
        <v>26</v>
      </c>
      <c r="K135" s="8" t="s">
        <v>640</v>
      </c>
    </row>
    <row r="136" spans="1:11" ht="58" customHeight="1">
      <c r="A136" s="8">
        <v>132</v>
      </c>
      <c r="B136" s="8" t="s">
        <v>455</v>
      </c>
      <c r="C136" s="8" t="s">
        <v>50</v>
      </c>
      <c r="D136" s="8" t="s">
        <v>510</v>
      </c>
      <c r="E136" s="8">
        <v>0</v>
      </c>
      <c r="F136" s="8">
        <v>0</v>
      </c>
      <c r="G136" s="8">
        <v>0</v>
      </c>
      <c r="H136" s="8" t="s">
        <v>641</v>
      </c>
      <c r="I136" s="8" t="s">
        <v>637</v>
      </c>
      <c r="J136" s="8">
        <v>72</v>
      </c>
      <c r="K136" s="8" t="s">
        <v>642</v>
      </c>
    </row>
    <row r="137" spans="1:11" ht="58" customHeight="1">
      <c r="A137" s="8">
        <v>133</v>
      </c>
      <c r="B137" s="8" t="s">
        <v>458</v>
      </c>
      <c r="C137" s="8" t="s">
        <v>50</v>
      </c>
      <c r="D137" s="8" t="s">
        <v>510</v>
      </c>
      <c r="E137" s="8">
        <v>0</v>
      </c>
      <c r="F137" s="8">
        <v>0</v>
      </c>
      <c r="G137" s="8">
        <v>0</v>
      </c>
      <c r="H137" s="8" t="s">
        <v>643</v>
      </c>
      <c r="I137" s="8" t="s">
        <v>637</v>
      </c>
      <c r="J137" s="8">
        <v>3</v>
      </c>
      <c r="K137" s="8" t="s">
        <v>644</v>
      </c>
    </row>
    <row r="138" spans="1:11" ht="58" customHeight="1">
      <c r="A138" s="8">
        <v>134</v>
      </c>
      <c r="B138" s="8" t="s">
        <v>461</v>
      </c>
      <c r="C138" s="8" t="s">
        <v>50</v>
      </c>
      <c r="D138" s="8" t="s">
        <v>510</v>
      </c>
      <c r="E138" s="8">
        <v>0</v>
      </c>
      <c r="F138" s="8">
        <v>0</v>
      </c>
      <c r="G138" s="8">
        <v>0</v>
      </c>
      <c r="H138" s="8" t="s">
        <v>645</v>
      </c>
      <c r="I138" s="8" t="s">
        <v>646</v>
      </c>
      <c r="J138" s="8">
        <v>26</v>
      </c>
      <c r="K138" s="8" t="s">
        <v>647</v>
      </c>
    </row>
    <row r="139" spans="1:11" ht="58" customHeight="1">
      <c r="A139" s="8">
        <v>135</v>
      </c>
      <c r="B139" s="8" t="s">
        <v>465</v>
      </c>
      <c r="C139" s="8" t="s">
        <v>50</v>
      </c>
      <c r="D139" s="8" t="s">
        <v>510</v>
      </c>
      <c r="E139" s="8">
        <v>0</v>
      </c>
      <c r="F139" s="8">
        <v>0</v>
      </c>
      <c r="G139" s="8">
        <v>0</v>
      </c>
      <c r="H139" s="8" t="s">
        <v>648</v>
      </c>
      <c r="I139" s="8" t="s">
        <v>646</v>
      </c>
      <c r="J139" s="8">
        <v>3</v>
      </c>
      <c r="K139" s="8" t="s">
        <v>649</v>
      </c>
    </row>
    <row r="140" spans="1:11" ht="66" customHeight="1">
      <c r="A140" s="8">
        <v>136</v>
      </c>
      <c r="B140" s="8" t="s">
        <v>468</v>
      </c>
      <c r="C140" s="8" t="s">
        <v>50</v>
      </c>
      <c r="D140" s="8" t="s">
        <v>650</v>
      </c>
      <c r="E140" s="8">
        <v>0</v>
      </c>
      <c r="F140" s="8">
        <v>0</v>
      </c>
      <c r="G140" s="8">
        <v>0</v>
      </c>
      <c r="H140" s="8" t="s">
        <v>651</v>
      </c>
      <c r="I140" s="8" t="s">
        <v>652</v>
      </c>
      <c r="J140" s="8">
        <v>3</v>
      </c>
      <c r="K140" s="8"/>
    </row>
    <row r="141" spans="1:11" ht="82" customHeight="1">
      <c r="A141" s="8">
        <v>137</v>
      </c>
      <c r="B141" s="8" t="s">
        <v>472</v>
      </c>
      <c r="C141" s="8" t="s">
        <v>50</v>
      </c>
      <c r="D141" s="8" t="s">
        <v>653</v>
      </c>
      <c r="E141" s="8">
        <v>0</v>
      </c>
      <c r="F141" s="8">
        <v>0</v>
      </c>
      <c r="G141" s="8">
        <v>0</v>
      </c>
      <c r="H141" s="8" t="s">
        <v>654</v>
      </c>
      <c r="I141" s="8" t="s">
        <v>652</v>
      </c>
      <c r="J141" s="8">
        <v>24</v>
      </c>
      <c r="K141" s="8"/>
    </row>
    <row r="142" spans="1:11" ht="98" customHeight="1">
      <c r="A142" s="8">
        <v>138</v>
      </c>
      <c r="B142" s="8" t="s">
        <v>475</v>
      </c>
      <c r="C142" s="8" t="s">
        <v>81</v>
      </c>
      <c r="D142" s="8" t="s">
        <v>655</v>
      </c>
      <c r="E142" s="8">
        <v>0</v>
      </c>
      <c r="F142" s="8">
        <v>0</v>
      </c>
      <c r="G142" s="8">
        <v>0</v>
      </c>
      <c r="H142" s="8" t="s">
        <v>656</v>
      </c>
      <c r="I142" s="8" t="s">
        <v>652</v>
      </c>
      <c r="J142" s="8">
        <v>46</v>
      </c>
      <c r="K142" s="8"/>
    </row>
    <row r="143" spans="1:11" ht="98" customHeight="1">
      <c r="A143" s="8">
        <v>139</v>
      </c>
      <c r="B143" s="8" t="s">
        <v>480</v>
      </c>
      <c r="C143" s="8" t="s">
        <v>479</v>
      </c>
      <c r="D143" s="8" t="s">
        <v>657</v>
      </c>
      <c r="E143" s="8">
        <v>0</v>
      </c>
      <c r="F143" s="8">
        <v>0</v>
      </c>
      <c r="G143" s="8">
        <v>0</v>
      </c>
      <c r="H143" s="8" t="s">
        <v>658</v>
      </c>
      <c r="I143" s="8" t="s">
        <v>652</v>
      </c>
      <c r="J143" s="8">
        <v>68</v>
      </c>
      <c r="K143" s="8"/>
    </row>
    <row r="144" spans="1:11" ht="98" customHeight="1">
      <c r="A144" s="8">
        <v>140</v>
      </c>
      <c r="B144" s="8" t="s">
        <v>484</v>
      </c>
      <c r="C144" s="8" t="s">
        <v>483</v>
      </c>
      <c r="D144" s="8" t="s">
        <v>659</v>
      </c>
      <c r="E144" s="8">
        <v>0</v>
      </c>
      <c r="F144" s="8">
        <v>0</v>
      </c>
      <c r="G144" s="8">
        <v>0</v>
      </c>
      <c r="H144" s="8" t="s">
        <v>660</v>
      </c>
      <c r="I144" s="8" t="s">
        <v>652</v>
      </c>
      <c r="J144" s="8">
        <v>90</v>
      </c>
      <c r="K144" s="8"/>
    </row>
    <row r="145" spans="1:11" ht="98" customHeight="1">
      <c r="A145" s="8">
        <v>141</v>
      </c>
      <c r="B145" s="8" t="s">
        <v>488</v>
      </c>
      <c r="C145" s="8" t="s">
        <v>487</v>
      </c>
      <c r="D145" s="8" t="s">
        <v>661</v>
      </c>
      <c r="E145" s="8">
        <v>0</v>
      </c>
      <c r="F145" s="8">
        <v>0</v>
      </c>
      <c r="G145" s="8">
        <v>0</v>
      </c>
      <c r="H145" s="8" t="s">
        <v>662</v>
      </c>
      <c r="I145" s="8" t="s">
        <v>652</v>
      </c>
      <c r="J145" s="8">
        <v>113</v>
      </c>
      <c r="K145" s="8"/>
    </row>
    <row r="146" spans="1:11" ht="98" customHeight="1">
      <c r="A146" s="8">
        <v>142</v>
      </c>
      <c r="B146" s="8" t="s">
        <v>492</v>
      </c>
      <c r="C146" s="8" t="s">
        <v>491</v>
      </c>
      <c r="D146" s="8" t="s">
        <v>663</v>
      </c>
      <c r="E146" s="8">
        <v>0</v>
      </c>
      <c r="F146" s="8">
        <v>0</v>
      </c>
      <c r="G146" s="8">
        <v>0</v>
      </c>
      <c r="H146" s="8" t="s">
        <v>664</v>
      </c>
      <c r="I146" s="8" t="s">
        <v>652</v>
      </c>
      <c r="J146" s="8">
        <v>136</v>
      </c>
      <c r="K146" s="8"/>
    </row>
  </sheetData>
  <autoFilter ref="A4:K146"/>
  <mergeCells count="2">
    <mergeCell ref="A1:K2"/>
    <mergeCell ref="A3:K3"/>
  </mergeCells>
  <pageMargins left="0.3" right="0.3" top="0.4" bottom="0.4" header="0.3" footer="0.3"/>
  <pageSetup paperSize="9" fitToHeight="0" orientation="landscape"/>
  <headerFooter>
    <oddFooter>&amp;L首版建议 · 未写入游戏&amp;R第 &amp;P 页 /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28" customHeight="1"/>
  <cols>
    <col min="1" max="1" width="20.7109375" customWidth="1"/>
    <col min="2" max="2" width="22.7109375" customWidth="1"/>
    <col min="3" max="4" width="14.7109375" customWidth="1"/>
    <col min="5" max="5" width="16.7109375" customWidth="1"/>
    <col min="6" max="6" width="18.7109375" customWidth="1"/>
    <col min="7" max="7" width="25.7109375" customWidth="1"/>
    <col min="8" max="8" width="42.7109375" customWidth="1"/>
  </cols>
  <sheetData>
    <row r="1" spans="1:8" ht="28" customHeight="1">
      <c r="A1" s="1" t="s">
        <v>665</v>
      </c>
      <c r="B1" s="1"/>
      <c r="C1" s="1"/>
      <c r="D1" s="1"/>
      <c r="E1" s="1"/>
      <c r="F1" s="1"/>
      <c r="G1" s="1"/>
      <c r="H1" s="1"/>
    </row>
    <row r="2" spans="1:8" ht="28" customHeight="1">
      <c r="A2" s="1"/>
      <c r="B2" s="1"/>
      <c r="C2" s="1"/>
      <c r="D2" s="1"/>
      <c r="E2" s="1"/>
      <c r="F2" s="1"/>
      <c r="G2" s="1"/>
      <c r="H2" s="1"/>
    </row>
    <row r="3" spans="1:8" ht="28" customHeight="1">
      <c r="A3" s="2" t="s">
        <v>666</v>
      </c>
      <c r="B3" s="2"/>
      <c r="C3" s="2"/>
      <c r="D3" s="2"/>
      <c r="E3" s="2"/>
      <c r="F3" s="2"/>
      <c r="G3" s="2"/>
      <c r="H3" s="2"/>
    </row>
    <row r="5" spans="1:8" ht="28" customHeight="1">
      <c r="A5" s="6" t="s">
        <v>667</v>
      </c>
      <c r="B5" s="6" t="s">
        <v>668</v>
      </c>
      <c r="C5" s="6" t="s">
        <v>669</v>
      </c>
      <c r="D5" s="6" t="s">
        <v>670</v>
      </c>
      <c r="E5" s="6" t="s">
        <v>671</v>
      </c>
      <c r="F5" s="6" t="s">
        <v>672</v>
      </c>
      <c r="G5" s="6" t="s">
        <v>673</v>
      </c>
      <c r="H5" s="6" t="s">
        <v>674</v>
      </c>
    </row>
    <row r="6" spans="1:8" ht="42" customHeight="1">
      <c r="A6" s="8" t="s">
        <v>675</v>
      </c>
      <c r="B6" s="8" t="s">
        <v>408</v>
      </c>
      <c r="C6" s="11">
        <v>0.25</v>
      </c>
      <c r="D6" s="7">
        <f>'01_全部价目'!G121</f>
        <v>16</v>
      </c>
      <c r="E6" s="12">
        <f>C6*D6</f>
        <v>4.0</v>
      </c>
      <c r="F6" s="11">
        <v>0.25</v>
      </c>
      <c r="G6" s="12">
        <f>F6*D6</f>
        <v>4.0</v>
      </c>
      <c r="H6" s="10" t="s">
        <v>676</v>
      </c>
    </row>
    <row r="7" spans="1:8" ht="42" customHeight="1">
      <c r="A7" s="8" t="s">
        <v>675</v>
      </c>
      <c r="B7" s="8" t="s">
        <v>417</v>
      </c>
      <c r="C7" s="11">
        <v>0.25</v>
      </c>
      <c r="D7" s="7">
        <f>'01_全部价目'!G124</f>
        <v>14</v>
      </c>
      <c r="E7" s="12">
        <f>C7*D7</f>
        <v>3.5</v>
      </c>
      <c r="F7" s="11">
        <v>0.25</v>
      </c>
      <c r="G7" s="12">
        <f>F7*D7</f>
        <v>3.5</v>
      </c>
      <c r="H7" s="10" t="s">
        <v>676</v>
      </c>
    </row>
    <row r="8" spans="1:8" ht="42" customHeight="1">
      <c r="A8" s="8" t="s">
        <v>675</v>
      </c>
      <c r="B8" s="8" t="s">
        <v>411</v>
      </c>
      <c r="C8" s="11">
        <v>0.25</v>
      </c>
      <c r="D8" s="7">
        <f>'01_全部价目'!G122</f>
        <v>10</v>
      </c>
      <c r="E8" s="12">
        <f>C8*D8</f>
        <v>2.5</v>
      </c>
      <c r="F8" s="11">
        <v>0.25</v>
      </c>
      <c r="G8" s="12">
        <f>F8*D8</f>
        <v>2.5</v>
      </c>
      <c r="H8" s="10" t="s">
        <v>676</v>
      </c>
    </row>
    <row r="9" spans="1:8" ht="42" customHeight="1">
      <c r="A9" s="8" t="s">
        <v>675</v>
      </c>
      <c r="B9" s="8" t="s">
        <v>414</v>
      </c>
      <c r="C9" s="11">
        <v>0.25</v>
      </c>
      <c r="D9" s="7">
        <f>'01_全部价目'!G123</f>
        <v>10</v>
      </c>
      <c r="E9" s="12">
        <f>C9*D9</f>
        <v>2.5</v>
      </c>
      <c r="F9" s="11">
        <v>0.25</v>
      </c>
      <c r="G9" s="12">
        <f>F9*D9</f>
        <v>2.5</v>
      </c>
      <c r="H9" s="10" t="s">
        <v>676</v>
      </c>
    </row>
    <row r="10" spans="1:8" ht="42" customHeight="1">
      <c r="A10" s="8" t="s">
        <v>675</v>
      </c>
      <c r="B10" s="8" t="s">
        <v>404</v>
      </c>
      <c r="C10" s="11">
        <v>0.1</v>
      </c>
      <c r="D10" s="7">
        <f>'01_全部价目'!G120</f>
        <v>40</v>
      </c>
      <c r="E10" s="12">
        <f>C10*D10</f>
        <v>4.0</v>
      </c>
      <c r="F10" s="11">
        <v>1</v>
      </c>
      <c r="G10" s="12">
        <f>F10*D10</f>
        <v>40</v>
      </c>
      <c r="H10" s="10" t="s">
        <v>677</v>
      </c>
    </row>
    <row r="11" spans="1:8" ht="28" customHeight="1">
      <c r="A11" s="6" t="s">
        <v>678</v>
      </c>
      <c r="E11" s="12">
        <f>SUM(E6:E10)</f>
        <v>16.5</v>
      </c>
      <c r="G11" s="12">
        <f>SUM(G6:G10)</f>
        <v>52.5</v>
      </c>
      <c r="H11" s="2" t="s">
        <v>679</v>
      </c>
    </row>
    <row r="13" spans="1:8" ht="42" customHeight="1">
      <c r="A13" s="8" t="s">
        <v>680</v>
      </c>
      <c r="B13" s="8" t="s">
        <v>429</v>
      </c>
      <c r="C13" s="11">
        <v>0.25</v>
      </c>
      <c r="D13" s="7">
        <f>'01_全部价目'!G128</f>
        <v>10</v>
      </c>
      <c r="E13" s="12">
        <f>C13*D13</f>
        <v>2.5</v>
      </c>
      <c r="F13" s="11">
        <v>0.25</v>
      </c>
      <c r="G13" s="12">
        <f>F13*D13</f>
        <v>2.5</v>
      </c>
      <c r="H13" s="10" t="s">
        <v>681</v>
      </c>
    </row>
    <row r="14" spans="1:8" ht="42" customHeight="1">
      <c r="A14" s="8" t="s">
        <v>680</v>
      </c>
      <c r="B14" s="8" t="s">
        <v>432</v>
      </c>
      <c r="C14" s="11">
        <v>0.25</v>
      </c>
      <c r="D14" s="7">
        <f>'01_全部价目'!G129</f>
        <v>9</v>
      </c>
      <c r="E14" s="12">
        <f>C14*D14</f>
        <v>2.25</v>
      </c>
      <c r="F14" s="11">
        <v>0.25</v>
      </c>
      <c r="G14" s="12">
        <f>F14*D14</f>
        <v>2.25</v>
      </c>
      <c r="H14" s="10" t="s">
        <v>681</v>
      </c>
    </row>
    <row r="15" spans="1:8" ht="42" customHeight="1">
      <c r="A15" s="8" t="s">
        <v>680</v>
      </c>
      <c r="B15" s="8" t="s">
        <v>435</v>
      </c>
      <c r="C15" s="11">
        <v>0.25</v>
      </c>
      <c r="D15" s="7">
        <f>'01_全部价目'!G130</f>
        <v>8</v>
      </c>
      <c r="E15" s="12">
        <f>C15*D15</f>
        <v>2.0</v>
      </c>
      <c r="F15" s="11">
        <v>0.25</v>
      </c>
      <c r="G15" s="12">
        <f>F15*D15</f>
        <v>2.0</v>
      </c>
      <c r="H15" s="10" t="s">
        <v>681</v>
      </c>
    </row>
    <row r="16" spans="1:8" ht="28" customHeight="1">
      <c r="A16" s="6" t="s">
        <v>682</v>
      </c>
      <c r="E16" s="12">
        <f>SUM(E13:E15)</f>
        <v>6.75</v>
      </c>
      <c r="G16" s="12">
        <f>SUM(G13:G15)</f>
        <v>6.75</v>
      </c>
      <c r="H16" s="2" t="s">
        <v>679</v>
      </c>
    </row>
    <row r="18" spans="1:8" ht="42" customHeight="1">
      <c r="A18" s="8" t="s">
        <v>683</v>
      </c>
      <c r="B18" s="8" t="s">
        <v>423</v>
      </c>
      <c r="C18" s="11">
        <v>0.25</v>
      </c>
      <c r="D18" s="7">
        <f>'01_全部价目'!G126</f>
        <v>14</v>
      </c>
      <c r="E18" s="12">
        <f>C18*D18</f>
        <v>3.5</v>
      </c>
      <c r="F18" s="11">
        <v>0.25</v>
      </c>
      <c r="G18" s="12">
        <f>F18*D18</f>
        <v>3.5</v>
      </c>
      <c r="H18" s="10" t="s">
        <v>684</v>
      </c>
    </row>
    <row r="19" spans="1:8" ht="42" customHeight="1">
      <c r="A19" s="8" t="s">
        <v>683</v>
      </c>
      <c r="B19" s="8" t="s">
        <v>420</v>
      </c>
      <c r="C19" s="11">
        <v>0.25</v>
      </c>
      <c r="D19" s="7">
        <f>'01_全部价目'!G125</f>
        <v>9</v>
      </c>
      <c r="E19" s="12">
        <f>C19*D19</f>
        <v>2.25</v>
      </c>
      <c r="F19" s="11">
        <v>0.25</v>
      </c>
      <c r="G19" s="12">
        <f>F19*D19</f>
        <v>2.25</v>
      </c>
      <c r="H19" s="10" t="s">
        <v>684</v>
      </c>
    </row>
    <row r="20" spans="1:8" ht="42" customHeight="1">
      <c r="A20" s="8" t="s">
        <v>683</v>
      </c>
      <c r="B20" s="8" t="s">
        <v>426</v>
      </c>
      <c r="C20" s="11">
        <v>0.25</v>
      </c>
      <c r="D20" s="7">
        <f>'01_全部价目'!G127</f>
        <v>11</v>
      </c>
      <c r="E20" s="12">
        <f>C20*D20</f>
        <v>2.75</v>
      </c>
      <c r="F20" s="11">
        <v>0.25</v>
      </c>
      <c r="G20" s="12">
        <f>F20*D20</f>
        <v>2.75</v>
      </c>
      <c r="H20" s="10" t="s">
        <v>684</v>
      </c>
    </row>
    <row r="21" spans="1:8" ht="28" customHeight="1">
      <c r="A21" s="6" t="s">
        <v>685</v>
      </c>
      <c r="E21" s="12">
        <f>SUM(E18:E20)</f>
        <v>8.5</v>
      </c>
      <c r="G21" s="12">
        <f>SUM(G18:G20)</f>
        <v>8.5</v>
      </c>
      <c r="H21" s="2" t="s">
        <v>679</v>
      </c>
    </row>
    <row r="23" spans="1:8" ht="42" customHeight="1">
      <c r="A23" s="8" t="s">
        <v>686</v>
      </c>
      <c r="B23" s="8" t="s">
        <v>444</v>
      </c>
      <c r="C23" s="11">
        <v>0.25</v>
      </c>
      <c r="D23" s="7">
        <f>'01_全部价目'!G133</f>
        <v>12</v>
      </c>
      <c r="E23" s="12">
        <f>C23*D23</f>
        <v>3.0</v>
      </c>
      <c r="F23" s="11">
        <v>0.25</v>
      </c>
      <c r="G23" s="12">
        <f>F23*D23</f>
        <v>3.0</v>
      </c>
      <c r="H23" s="10" t="s">
        <v>687</v>
      </c>
    </row>
    <row r="24" spans="1:8" ht="42" customHeight="1">
      <c r="A24" s="8" t="s">
        <v>686</v>
      </c>
      <c r="B24" s="8" t="s">
        <v>438</v>
      </c>
      <c r="C24" s="11">
        <v>0.25</v>
      </c>
      <c r="D24" s="7">
        <f>'01_全部价目'!G131</f>
        <v>9</v>
      </c>
      <c r="E24" s="12">
        <f>C24*D24</f>
        <v>2.25</v>
      </c>
      <c r="F24" s="11">
        <v>0.25</v>
      </c>
      <c r="G24" s="12">
        <f>F24*D24</f>
        <v>2.25</v>
      </c>
      <c r="H24" s="10" t="s">
        <v>687</v>
      </c>
    </row>
    <row r="25" spans="1:8" ht="42" customHeight="1">
      <c r="A25" s="8" t="s">
        <v>686</v>
      </c>
      <c r="B25" s="8" t="s">
        <v>441</v>
      </c>
      <c r="C25" s="11">
        <v>0.25</v>
      </c>
      <c r="D25" s="7">
        <f>'01_全部价目'!G132</f>
        <v>10</v>
      </c>
      <c r="E25" s="12">
        <f>C25*D25</f>
        <v>2.5</v>
      </c>
      <c r="F25" s="11">
        <v>0.25</v>
      </c>
      <c r="G25" s="12">
        <f>F25*D25</f>
        <v>2.5</v>
      </c>
      <c r="H25" s="10" t="s">
        <v>687</v>
      </c>
    </row>
    <row r="26" spans="1:8" ht="28" customHeight="1">
      <c r="A26" s="6" t="s">
        <v>688</v>
      </c>
      <c r="E26" s="12">
        <f>SUM(E23:E25)</f>
        <v>7.75</v>
      </c>
      <c r="G26" s="12">
        <f>SUM(G23:G25)</f>
        <v>7.75</v>
      </c>
      <c r="H26" s="2" t="s">
        <v>679</v>
      </c>
    </row>
    <row r="28" spans="1:8" ht="28" customHeight="1">
      <c r="A28" s="5" t="s">
        <v>689</v>
      </c>
      <c r="B28" s="5"/>
      <c r="C28" s="5"/>
      <c r="D28" s="5"/>
      <c r="E28" s="5"/>
      <c r="F28" s="5"/>
      <c r="G28" s="5"/>
      <c r="H28" s="5"/>
    </row>
    <row r="29" spans="1:8" ht="28" customHeight="1">
      <c r="A29" s="5"/>
      <c r="B29" s="5"/>
      <c r="C29" s="5"/>
      <c r="D29" s="5"/>
      <c r="E29" s="5"/>
      <c r="F29" s="5"/>
      <c r="G29" s="5"/>
      <c r="H29" s="5"/>
    </row>
    <row r="32" spans="1:8" ht="28" customHeight="1">
      <c r="A32" s="6" t="s">
        <v>690</v>
      </c>
      <c r="B32" s="6" t="s">
        <v>691</v>
      </c>
      <c r="C32" s="6" t="s">
        <v>692</v>
      </c>
      <c r="D32" s="6" t="s">
        <v>693</v>
      </c>
      <c r="E32" s="6" t="s">
        <v>694</v>
      </c>
      <c r="F32" s="6" t="s">
        <v>695</v>
      </c>
      <c r="G32" s="6" t="s">
        <v>694</v>
      </c>
      <c r="H32" s="6" t="s">
        <v>674</v>
      </c>
    </row>
    <row r="33" spans="1:8" ht="42" customHeight="1">
      <c r="A33" s="8" t="s">
        <v>447</v>
      </c>
      <c r="B33" s="3" t="s">
        <v>696</v>
      </c>
      <c r="C33" s="12">
        <v>1.5</v>
      </c>
      <c r="D33" s="7">
        <f>'01_全部价目'!G134</f>
        <v>2</v>
      </c>
      <c r="E33" s="12">
        <f>C33*D33</f>
        <v>3.0</v>
      </c>
      <c r="F33" s="12">
        <v>3.5</v>
      </c>
      <c r="G33" s="12">
        <f>F33*D33</f>
        <v>7.0</v>
      </c>
      <c r="H33" s="2" t="s">
        <v>697</v>
      </c>
    </row>
    <row r="34" spans="1:8" ht="42" customHeight="1">
      <c r="A34" s="8" t="s">
        <v>452</v>
      </c>
      <c r="B34" s="3" t="s">
        <v>696</v>
      </c>
      <c r="C34" s="12">
        <v>1.5</v>
      </c>
      <c r="D34" s="7">
        <f>'01_全部价目'!G135</f>
        <v>2</v>
      </c>
      <c r="E34" s="12">
        <f>C34*D34</f>
        <v>3.0</v>
      </c>
      <c r="F34" s="12">
        <v>3.5</v>
      </c>
      <c r="G34" s="12">
        <f>F34*D34</f>
        <v>7.0</v>
      </c>
      <c r="H34" s="2" t="s">
        <v>698</v>
      </c>
    </row>
    <row r="35" spans="1:8" ht="42" customHeight="1">
      <c r="A35" s="8" t="s">
        <v>455</v>
      </c>
      <c r="B35" s="3" t="s">
        <v>696</v>
      </c>
      <c r="C35" s="12">
        <v>1.5</v>
      </c>
      <c r="D35" s="7">
        <f>'01_全部价目'!G136</f>
        <v>3</v>
      </c>
      <c r="E35" s="12">
        <f>C35*D35</f>
        <v>4.5</v>
      </c>
      <c r="F35" s="12">
        <v>3.5</v>
      </c>
      <c r="G35" s="12">
        <f>F35*D35</f>
        <v>10.5</v>
      </c>
      <c r="H35" s="2" t="s">
        <v>697</v>
      </c>
    </row>
    <row r="36" spans="1:8" ht="42" customHeight="1">
      <c r="A36" s="8" t="s">
        <v>458</v>
      </c>
      <c r="B36" s="3" t="s">
        <v>696</v>
      </c>
      <c r="C36" s="12">
        <v>1.5</v>
      </c>
      <c r="D36" s="7">
        <f>'01_全部价目'!G137</f>
        <v>2</v>
      </c>
      <c r="E36" s="12">
        <f>C36*D36</f>
        <v>3.0</v>
      </c>
      <c r="F36" s="12">
        <v>3.5</v>
      </c>
      <c r="G36" s="12">
        <f>F36*D36</f>
        <v>7.0</v>
      </c>
      <c r="H36" s="2" t="s">
        <v>697</v>
      </c>
    </row>
    <row r="37" spans="1:8" ht="42" customHeight="1">
      <c r="A37" s="8" t="s">
        <v>461</v>
      </c>
      <c r="B37" s="3" t="s">
        <v>696</v>
      </c>
      <c r="C37" s="12">
        <v>1.5</v>
      </c>
      <c r="D37" s="7">
        <f>'01_全部价目'!G138</f>
        <v>4</v>
      </c>
      <c r="E37" s="12">
        <f>C37*D37</f>
        <v>6.0</v>
      </c>
      <c r="F37" s="12">
        <v>3.5</v>
      </c>
      <c r="G37" s="12">
        <f>F37*D37</f>
        <v>14.0</v>
      </c>
      <c r="H37" s="2" t="s">
        <v>697</v>
      </c>
    </row>
    <row r="38" spans="1:8" ht="42" customHeight="1">
      <c r="A38" s="8" t="s">
        <v>465</v>
      </c>
      <c r="B38" s="3" t="s">
        <v>696</v>
      </c>
      <c r="C38" s="12">
        <v>1.5</v>
      </c>
      <c r="D38" s="7">
        <f>'01_全部价目'!G139</f>
        <v>4</v>
      </c>
      <c r="E38" s="12">
        <f>C38*D38</f>
        <v>6.0</v>
      </c>
      <c r="F38" s="12">
        <v>3.5</v>
      </c>
      <c r="G38" s="12">
        <f>F38*D38</f>
        <v>14.0</v>
      </c>
      <c r="H38" s="2" t="s">
        <v>697</v>
      </c>
    </row>
  </sheetData>
  <mergeCells count="3">
    <mergeCell ref="A1:H2"/>
    <mergeCell ref="A3:H3"/>
    <mergeCell ref="A28:H29"/>
  </mergeCells>
  <pageMargins left="0.3" right="0.3" top="0.4" bottom="0.4" header="0.3" footer="0.3"/>
  <pageSetup paperSize="9" fitToHeight="0" orientation="landscape"/>
  <headerFooter>
    <oddFooter>&amp;L首版建议 · 未写入游戏&amp;R第 &amp;P 页 /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0"/>
  <sheetViews>
    <sheetView showGridLines="0" workbookViewId="0">
      <pane ySplit="4" topLeftCell="A5" activePane="bottomLeft" state="frozen"/>
      <selection pane="bottomLeft"/>
    </sheetView>
  </sheetViews>
  <sheetFormatPr defaultRowHeight="28" customHeight="1"/>
  <cols>
    <col min="1" max="1" width="18.7109375" customWidth="1"/>
    <col min="2" max="2" width="68.7109375" customWidth="1"/>
    <col min="3" max="3" width="82.7109375" customWidth="1"/>
    <col min="4" max="4" width="34.7109375" customWidth="1"/>
  </cols>
  <sheetData>
    <row r="1" spans="1:4" ht="28" customHeight="1">
      <c r="A1" s="1" t="s">
        <v>699</v>
      </c>
      <c r="B1" s="1"/>
      <c r="C1" s="1"/>
      <c r="D1" s="1"/>
    </row>
    <row r="2" spans="1:4" ht="28" customHeight="1">
      <c r="A2" s="1"/>
      <c r="B2" s="1"/>
      <c r="C2" s="1"/>
      <c r="D2" s="1"/>
    </row>
    <row r="4" spans="1:4" ht="28" customHeight="1">
      <c r="A4" s="6" t="s">
        <v>700</v>
      </c>
      <c r="B4" s="6" t="s">
        <v>701</v>
      </c>
      <c r="C4" s="6" t="s">
        <v>702</v>
      </c>
      <c r="D4" s="6" t="s">
        <v>703</v>
      </c>
    </row>
    <row r="5" spans="1:4" ht="66" customHeight="1">
      <c r="A5" s="3" t="s">
        <v>704</v>
      </c>
      <c r="B5" s="3" t="s">
        <v>705</v>
      </c>
      <c r="C5" s="3" t="s">
        <v>706</v>
      </c>
      <c r="D5" s="3" t="s">
        <v>707</v>
      </c>
    </row>
    <row r="6" spans="1:4" ht="66" customHeight="1">
      <c r="A6" s="3" t="s">
        <v>708</v>
      </c>
      <c r="B6" s="3" t="s">
        <v>709</v>
      </c>
      <c r="C6" s="3" t="s">
        <v>710</v>
      </c>
      <c r="D6" s="3" t="s">
        <v>711</v>
      </c>
    </row>
    <row r="7" spans="1:4" ht="66" customHeight="1">
      <c r="A7" s="3" t="s">
        <v>712</v>
      </c>
      <c r="B7" s="3" t="s">
        <v>713</v>
      </c>
      <c r="C7" s="3" t="s">
        <v>714</v>
      </c>
      <c r="D7" s="3" t="s">
        <v>715</v>
      </c>
    </row>
    <row r="8" spans="1:4" ht="66" customHeight="1">
      <c r="A8" s="3" t="s">
        <v>716</v>
      </c>
      <c r="B8" s="3" t="s">
        <v>717</v>
      </c>
      <c r="C8" s="3" t="s">
        <v>718</v>
      </c>
      <c r="D8" s="3" t="s">
        <v>719</v>
      </c>
    </row>
    <row r="9" spans="1:4" ht="66" customHeight="1">
      <c r="A9" s="3" t="s">
        <v>720</v>
      </c>
      <c r="B9" s="3" t="s">
        <v>705</v>
      </c>
      <c r="C9" s="3" t="s">
        <v>721</v>
      </c>
      <c r="D9" s="3" t="s">
        <v>722</v>
      </c>
    </row>
    <row r="10" spans="1:4" ht="66" customHeight="1">
      <c r="A10" s="3" t="s">
        <v>723</v>
      </c>
      <c r="B10" s="3" t="s">
        <v>724</v>
      </c>
      <c r="C10" s="3" t="s">
        <v>725</v>
      </c>
      <c r="D10" s="3" t="s">
        <v>726</v>
      </c>
    </row>
    <row r="11" spans="1:4" ht="66" customHeight="1">
      <c r="A11" s="3" t="s">
        <v>727</v>
      </c>
      <c r="B11" s="3" t="s">
        <v>728</v>
      </c>
      <c r="C11" s="3" t="s">
        <v>729</v>
      </c>
      <c r="D11" s="3" t="s">
        <v>730</v>
      </c>
    </row>
    <row r="12" spans="1:4" ht="66" customHeight="1">
      <c r="A12" s="3" t="s">
        <v>731</v>
      </c>
      <c r="B12" s="3" t="s">
        <v>732</v>
      </c>
      <c r="C12" s="3" t="s">
        <v>733</v>
      </c>
      <c r="D12" s="3" t="s">
        <v>734</v>
      </c>
    </row>
    <row r="13" spans="1:4" ht="66" customHeight="1">
      <c r="A13" s="3" t="s">
        <v>735</v>
      </c>
      <c r="B13" s="3" t="s">
        <v>736</v>
      </c>
      <c r="C13" s="3" t="s">
        <v>737</v>
      </c>
      <c r="D13" s="3" t="s">
        <v>738</v>
      </c>
    </row>
    <row r="14" spans="1:4" ht="66" customHeight="1">
      <c r="A14" s="3" t="s">
        <v>739</v>
      </c>
      <c r="B14" s="3" t="s">
        <v>740</v>
      </c>
      <c r="C14" s="3" t="s">
        <v>741</v>
      </c>
      <c r="D14" s="3" t="s">
        <v>742</v>
      </c>
    </row>
    <row r="15" spans="1:4" ht="66" customHeight="1">
      <c r="A15" s="3" t="s">
        <v>743</v>
      </c>
      <c r="B15" s="3" t="s">
        <v>744</v>
      </c>
      <c r="C15" s="3" t="s">
        <v>745</v>
      </c>
      <c r="D15" s="3" t="s">
        <v>746</v>
      </c>
    </row>
    <row r="16" spans="1:4" ht="66" customHeight="1">
      <c r="A16" s="3" t="s">
        <v>747</v>
      </c>
      <c r="B16" s="3" t="s">
        <v>507</v>
      </c>
      <c r="C16" s="3" t="s">
        <v>748</v>
      </c>
      <c r="D16" s="3" t="s">
        <v>749</v>
      </c>
    </row>
    <row r="17" spans="1:4" ht="66" customHeight="1">
      <c r="A17" s="3" t="s">
        <v>747</v>
      </c>
      <c r="B17" s="3" t="s">
        <v>626</v>
      </c>
      <c r="C17" s="3" t="s">
        <v>750</v>
      </c>
      <c r="D17" s="3" t="s">
        <v>749</v>
      </c>
    </row>
    <row r="18" spans="1:4" ht="66" customHeight="1">
      <c r="A18" s="3" t="s">
        <v>747</v>
      </c>
      <c r="B18" s="3" t="s">
        <v>637</v>
      </c>
      <c r="C18" s="3" t="s">
        <v>751</v>
      </c>
      <c r="D18" s="3" t="s">
        <v>749</v>
      </c>
    </row>
    <row r="19" spans="1:4" ht="66" customHeight="1">
      <c r="A19" s="3" t="s">
        <v>747</v>
      </c>
      <c r="B19" s="3" t="s">
        <v>646</v>
      </c>
      <c r="C19" s="3" t="s">
        <v>752</v>
      </c>
      <c r="D19" s="3" t="s">
        <v>749</v>
      </c>
    </row>
    <row r="20" spans="1:4" ht="66" customHeight="1">
      <c r="A20" s="3" t="s">
        <v>747</v>
      </c>
      <c r="B20" s="3" t="s">
        <v>652</v>
      </c>
      <c r="C20" s="3" t="s">
        <v>753</v>
      </c>
      <c r="D20" s="3" t="s">
        <v>749</v>
      </c>
    </row>
  </sheetData>
  <autoFilter ref="A4:D20"/>
  <mergeCells count="1">
    <mergeCell ref="A1:D2"/>
  </mergeCells>
  <pageMargins left="0.3" right="0.3" top="0.4" bottom="0.4" header="0.3" footer="0.3"/>
  <pageSetup paperSize="9" fitToHeight="0" orientation="landscape"/>
  <headerFooter>
    <oddFooter>&amp;L首版建议 · 未写入游戏&amp;R第 &amp;P 页 /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00_说明</vt:lpstr>
      <vt:lpstr>01_全部价目</vt:lpstr>
      <vt:lpstr>02_实际效果</vt:lpstr>
      <vt:lpstr>03_收益核对</vt:lpstr>
      <vt:lpstr>04_来源与边界</vt:lpstr>
      <vt:lpstr>'00_说明'!Print_Area</vt:lpstr>
      <vt:lpstr>'01_全部价目'!Print_Area</vt:lpstr>
      <vt:lpstr>'02_实际效果'!Print_Area</vt:lpstr>
      <vt:lpstr>'03_收益核对'!Print_Area</vt:lpstr>
      <vt:lpstr>'04_来源与边界'!Print_Area</vt:lpstr>
      <vt:lpstr>'01_全部价目'!Print_Titles</vt:lpstr>
      <vt:lpstr>'02_实际效果'!Print_Titles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现有物品基准价｜首版建议</dc:title>
  <dc:subject>142项待审价格建议，非正式游戏价目</dc:subject>
  <dc:creator>Path of Immortals</dc:creator>
  <dc:description>2026-10-12；基准价是建议，倍率与取整是已确认规则。</dc:description>
  <cp:lastModifiedBy>Path of Immortals</cp:lastModifiedBy>
  <dcterms:created xsi:type="dcterms:W3CDTF">2026-10-12T13:37:57Z</dcterms:created>
  <dcterms:modified xsi:type="dcterms:W3CDTF">2026-10-12T13:37:57Z</dcterms:modified>
</cp:coreProperties>
</file>