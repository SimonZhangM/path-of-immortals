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总索引" sheetId="2" state="visible" r:id="rId2"/>
    <sheet xmlns:r="http://schemas.openxmlformats.org/officeDocument/2006/relationships" name="02_武器" sheetId="3" state="visible" r:id="rId3"/>
    <sheet xmlns:r="http://schemas.openxmlformats.org/officeDocument/2006/relationships" name="03_防具" sheetId="4" state="visible" r:id="rId4"/>
    <sheet xmlns:r="http://schemas.openxmlformats.org/officeDocument/2006/relationships" name="04_法器" sheetId="5" state="visible" r:id="rId5"/>
    <sheet xmlns:r="http://schemas.openxmlformats.org/officeDocument/2006/relationships" name="05_丹药" sheetId="6" state="visible" r:id="rId6"/>
    <sheet xmlns:r="http://schemas.openxmlformats.org/officeDocument/2006/relationships" name="06_符箓" sheetId="7" state="visible" r:id="rId7"/>
    <sheet xmlns:r="http://schemas.openxmlformats.org/officeDocument/2006/relationships" name="07_暗器" sheetId="8" state="visible" r:id="rId8"/>
    <sheet xmlns:r="http://schemas.openxmlformats.org/officeDocument/2006/relationships" name="08_数量统计" sheetId="9" state="visible" r:id="rId9"/>
    <sheet xmlns:r="http://schemas.openxmlformats.org/officeDocument/2006/relationships" name="09_基础防具联动" sheetId="10" state="visible" r:id="rId10"/>
    <sheet xmlns:r="http://schemas.openxmlformats.org/officeDocument/2006/relationships" name="10_甲型与部位规则" sheetId="11" state="visible" r:id="rId11"/>
    <sheet xmlns:r="http://schemas.openxmlformats.org/officeDocument/2006/relationships" name="11_获取规划" sheetId="12" state="visible" r:id="rId12"/>
    <sheet xmlns:r="http://schemas.openxmlformats.org/officeDocument/2006/relationships" name="12_现有配置与迁移" sheetId="13" state="visible" r:id="rId13"/>
    <sheet xmlns:r="http://schemas.openxmlformats.org/officeDocument/2006/relationships" name="13_跨词典联系" sheetId="14" state="visible" r:id="rId14"/>
    <sheet xmlns:r="http://schemas.openxmlformats.org/officeDocument/2006/relationships" name="14_确认与后续事项" sheetId="15" state="visible" r:id="rId15"/>
    <sheet xmlns:r="http://schemas.openxmlformats.org/officeDocument/2006/relationships" name="15_核对场景" sheetId="16" state="visible" r:id="rId16"/>
    <sheet xmlns:r="http://schemas.openxmlformats.org/officeDocument/2006/relationships" name="16_来源与证据" sheetId="17" state="visible" r:id="rId17"/>
  </sheets>
  <definedNames>
    <definedName name="_xlnm.Print_Titles" localSheetId="0">'00_使用说明'!$1:$5</definedName>
    <definedName name="_xlnm.Print_Area" localSheetId="0">'00_使用说明'!$A$1:$E$14</definedName>
    <definedName name="_xlnm.Print_Titles" localSheetId="1">'01_总索引'!$1:$5</definedName>
    <definedName name="_xlnm.Print_Area" localSheetId="1">'01_总索引'!$A$1:$H$32</definedName>
    <definedName name="_xlnm.Print_Titles" localSheetId="2">'02_武器'!$1:$5</definedName>
    <definedName name="_xlnm.Print_Area" localSheetId="2">'02_武器'!$A$1:$V$14</definedName>
    <definedName name="_xlnm.Print_Titles" localSheetId="3">'03_防具'!$1:$5</definedName>
    <definedName name="_xlnm.Print_Area" localSheetId="3">'03_防具'!$A$1:$V$13</definedName>
    <definedName name="_xlnm.Print_Titles" localSheetId="4">'04_法器'!$1:$5</definedName>
    <definedName name="_xlnm.Print_Area" localSheetId="4">'04_法器'!$A$1:$U$9</definedName>
    <definedName name="_xlnm.Print_Titles" localSheetId="5">'05_丹药'!$1:$5</definedName>
    <definedName name="_xlnm.Print_Area" localSheetId="5">'05_丹药'!$A$1:$Z$11</definedName>
    <definedName name="_xlnm.Print_Titles" localSheetId="6">'06_符箓'!$1:$5</definedName>
    <definedName name="_xlnm.Print_Area" localSheetId="6">'06_符箓'!$A$1:$M$6</definedName>
    <definedName name="_xlnm.Print_Titles" localSheetId="7">'07_暗器'!$1:$5</definedName>
    <definedName name="_xlnm.Print_Area" localSheetId="7">'07_暗器'!$A$1:$M$6</definedName>
    <definedName name="_xlnm.Print_Titles" localSheetId="8">'08_数量统计'!$1:$5</definedName>
    <definedName name="_xlnm.Print_Area" localSheetId="8">'08_数量统计'!$A$1:$I$12</definedName>
    <definedName name="_xlnm.Print_Titles" localSheetId="9">'09_基础防具联动'!$1:$5</definedName>
    <definedName name="_xlnm.Print_Area" localSheetId="9">'09_基础防具联动'!$A$1:$Q$7</definedName>
    <definedName name="_xlnm.Print_Titles" localSheetId="10">'10_甲型与部位规则'!$1:$5</definedName>
    <definedName name="_xlnm.Print_Area" localSheetId="10">'10_甲型与部位规则'!$A$1:$E$10</definedName>
    <definedName name="_xlnm.Print_Titles" localSheetId="11">'11_获取规划'!$1:$5</definedName>
    <definedName name="_xlnm.Print_Area" localSheetId="11">'11_获取规划'!$A$1:$L$15</definedName>
    <definedName name="_xlnm.Print_Titles" localSheetId="12">'12_现有配置与迁移'!$1:$5</definedName>
    <definedName name="_xlnm.Print_Area" localSheetId="12">'12_现有配置与迁移'!$A$1:$O$15</definedName>
    <definedName name="_xlnm.Print_Titles" localSheetId="13">'13_跨词典联系'!$1:$5</definedName>
    <definedName name="_xlnm.Print_Area" localSheetId="13">'13_跨词典联系'!$A$1:$E$12</definedName>
    <definedName name="_xlnm.Print_Titles" localSheetId="14">'14_确认与后续事项'!$1:$5</definedName>
    <definedName name="_xlnm.Print_Area" localSheetId="14">'14_确认与后续事项'!$A$1:$E$13</definedName>
    <definedName name="_xlnm.Print_Titles" localSheetId="15">'15_核对场景'!$1:$5</definedName>
    <definedName name="_xlnm.Print_Area" localSheetId="15">'15_核对场景'!$A$1:$E$18</definedName>
    <definedName name="_xlnm.Print_Titles" localSheetId="16">'16_来源与证据'!$1:$5</definedName>
    <definedName name="_xlnm.Print_Area" localSheetId="16">'16_来源与证据'!$A$1:$E$9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64748B"/>
      <sz val="10"/>
    </font>
    <font>
      <name val="微软雅黑"/>
      <b val="1"/>
      <color rgb="00FFFFFF"/>
    </font>
    <font>
      <name val="微软雅黑"/>
      <color rgb="00273746"/>
      <sz val="10"/>
    </font>
    <font>
      <name val="微软雅黑"/>
      <color rgb="009A5C08"/>
      <sz val="10"/>
    </font>
    <font>
      <name val="微软雅黑"/>
      <color rgb="00147D64"/>
      <sz val="10"/>
      <u val="single"/>
    </font>
    <font>
      <name val="微软雅黑"/>
      <color rgb="00111111"/>
      <sz val="10"/>
    </font>
  </fonts>
  <fills count="6">
    <fill>
      <patternFill/>
    </fill>
    <fill>
      <patternFill patternType="gray125"/>
    </fill>
    <fill>
      <patternFill patternType="solid">
        <fgColor rgb="00173B4D"/>
      </patternFill>
    </fill>
    <fill>
      <patternFill patternType="solid">
        <fgColor rgb="00246B74"/>
      </patternFill>
    </fill>
    <fill>
      <patternFill patternType="solid">
        <fgColor rgb="00F0F6F7"/>
      </patternFill>
    </fill>
    <fill>
      <patternFill patternType="solid">
        <fgColor rgb="00FFF2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2" fontId="4" fillId="4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T08_1" displayName="T08_1" ref="A5:E14" headerRowCount="1">
  <autoFilter ref="A5:E14"/>
  <tableColumns count="5">
    <tableColumn id="1" name="记录ID"/>
    <tableColumn id="2" name="主题"/>
    <tableColumn id="3" name="内容"/>
    <tableColumn id="4" name="边界／状态"/>
    <tableColumn id="5" name="依据"/>
  </tableColumns>
  <tableStyleInfo name="TableStyleMedium2" showRowStripes="1"/>
</table>
</file>

<file path=xl/tables/table2.xml><?xml version="1.0" encoding="utf-8"?>
<table xmlns="http://schemas.openxmlformats.org/spreadsheetml/2006/main" id="2" name="T08_8" displayName="T08_8" ref="A5:H32" headerRowCount="1">
  <autoFilter ref="A5:H32"/>
  <tableColumns count="8">
    <tableColumn id="1" name="资产ID"/>
    <tableColumn id="2" name="名称_分类表引用"/>
    <tableColumn id="3" name="品级_分类表引用"/>
    <tableColumn id="4" name="类别"/>
    <tableColumn id="5" name="正文位置"/>
    <tableColumn id="6" name="设计阶段"/>
    <tableColumn id="7" name="实现核对"/>
    <tableColumn id="8" name="资料依据"/>
  </tableColumns>
  <tableStyleInfo name="TableStyleMedium2" showRowStripes="1"/>
</table>
</file>

<file path=xl/tables/table3.xml><?xml version="1.0" encoding="utf-8"?>
<table xmlns="http://schemas.openxmlformats.org/spreadsheetml/2006/main" id="3" name="T08Weapon" displayName="T08Weapon" ref="A5:V14" headerRowCount="1">
  <autoFilter ref="A5:V14"/>
  <tableColumns count="22">
    <tableColumn id="1" name="资产ID"/>
    <tableColumn id="2" name="名称"/>
    <tableColumn id="3" name="品级"/>
    <tableColumn id="4" name="元素"/>
    <tableColumn id="5" name="器型"/>
    <tableColumn id="6" name="Attack Type"/>
    <tableColumn id="7" name="宽_格"/>
    <tableColumn id="8" name="高_格"/>
    <tableColumn id="9" name="实际占格"/>
    <tableColumn id="10" name="设计伤害"/>
    <tableColumn id="11" name="设计CD_秒"/>
    <tableColumn id="12" name="设计体力费"/>
    <tableColumn id="13" name="伤害相对档"/>
    <tableColumn id="14" name="CD相对档"/>
    <tableColumn id="15" name="体力相对档"/>
    <tableColumn id="16" name="基础战斗性格"/>
    <tableColumn id="17" name="后续元素倾向_非本件"/>
    <tableColumn id="18" name="边界"/>
    <tableColumn id="19" name="机制引用"/>
    <tableColumn id="20" name="现有游戏ID"/>
    <tableColumn id="21" name="设计状态"/>
    <tableColumn id="22" name="来源"/>
  </tableColumns>
  <tableStyleInfo name="TableStyleMedium2" showRowStripes="1"/>
</table>
</file>

<file path=xl/tables/table4.xml><?xml version="1.0" encoding="utf-8"?>
<table xmlns="http://schemas.openxmlformats.org/spreadsheetml/2006/main" id="4" name="T08Armor" displayName="T08Armor" ref="A5:V13" headerRowCount="1">
  <autoFilter ref="A5:V13"/>
  <tableColumns count="22">
    <tableColumn id="1" name="资产ID"/>
    <tableColumn id="2" name="名称"/>
    <tableColumn id="3" name="品级"/>
    <tableColumn id="4" name="元素"/>
    <tableColumn id="5" name="部位"/>
    <tableColumn id="6" name="甲型"/>
    <tableColumn id="7" name="宽_格"/>
    <tableColumn id="8" name="高_格"/>
    <tableColumn id="9" name="实际占格"/>
    <tableColumn id="10" name="CD_秒"/>
    <tableColumn id="11" name="护甲上限贡献"/>
    <tableColumn id="12" name="单次回甲"/>
    <tableColumn id="13" name="名义回甲每秒"/>
    <tableColumn id="14" name="甲型权重倍率"/>
    <tableColumn id="15" name="甲型统计权重"/>
    <tableColumn id="16" name="上阵部位限制"/>
    <tableColumn id="17" name="基础联动"/>
    <tableColumn id="18" name="费用／数量"/>
    <tableColumn id="19" name="机制引用"/>
    <tableColumn id="20" name="现有游戏ID"/>
    <tableColumn id="21" name="设计状态"/>
    <tableColumn id="22" name="来源"/>
  </tableColumns>
  <tableStyleInfo name="TableStyleMedium2" showRowStripes="1"/>
</table>
</file>

<file path=xl/tables/table5.xml><?xml version="1.0" encoding="utf-8"?>
<table xmlns="http://schemas.openxmlformats.org/spreadsheetml/2006/main" id="5" name="T08Artifact" displayName="T08Artifact" ref="A5:U9" headerRowCount="1">
  <autoFilter ref="A5:U9"/>
  <tableColumns count="21">
    <tableColumn id="1" name="资产ID"/>
    <tableColumn id="2" name="名称"/>
    <tableColumn id="3" name="品级"/>
    <tableColumn id="4" name="元素"/>
    <tableColumn id="5" name="定位"/>
    <tableColumn id="6" name="攻击类型"/>
    <tableColumn id="7" name="宽_格"/>
    <tableColumn id="8" name="高_格"/>
    <tableColumn id="9" name="实际占格"/>
    <tableColumn id="10" name="CD_秒"/>
    <tableColumn id="11" name="气血恢复"/>
    <tableColumn id="12" name="体力恢复"/>
    <tableColumn id="13" name="灵力恢复"/>
    <tableColumn id="14" name="恢复上限分子"/>
    <tableColumn id="15" name="恢复上限分母"/>
    <tableColumn id="16" name="恢复上限状态"/>
    <tableColumn id="17" name="成本与效果边界"/>
    <tableColumn id="18" name="机制引用"/>
    <tableColumn id="19" name="现有游戏ID"/>
    <tableColumn id="20" name="设计状态"/>
    <tableColumn id="21" name="来源"/>
  </tableColumns>
  <tableStyleInfo name="TableStyleMedium2" showRowStripes="1"/>
</table>
</file>

<file path=xl/tables/table6.xml><?xml version="1.0" encoding="utf-8"?>
<table xmlns="http://schemas.openxmlformats.org/spreadsheetml/2006/main" id="6" name="T08Pill" displayName="T08Pill" ref="A5:Z11" headerRowCount="1">
  <autoFilter ref="A5:Z11"/>
  <tableColumns count="26">
    <tableColumn id="1" name="资产ID"/>
    <tableColumn id="2" name="名称"/>
    <tableColumn id="3" name="品级"/>
    <tableColumn id="4" name="元素"/>
    <tableColumn id="5" name="效果类型"/>
    <tableColumn id="6" name="宽_格"/>
    <tableColumn id="7" name="高_格"/>
    <tableColumn id="8" name="实际占格"/>
    <tableColumn id="9" name="CD_秒"/>
    <tableColumn id="10" name="每次气血恢复"/>
    <tableColumn id="11" name="每次体力恢复"/>
    <tableColumn id="12" name="每次灵力恢复"/>
    <tableColumn id="13" name="跳间隔_秒"/>
    <tableColumn id="14" name="次数"/>
    <tableColumn id="15" name="总气血恢复"/>
    <tableColumn id="16" name="总体力恢复"/>
    <tableColumn id="17" name="总灵力恢复"/>
    <tableColumn id="18" name="毒蚀免疫_秒"/>
    <tableColumn id="19" name="发动耗数量"/>
    <tableColumn id="20" name="单位"/>
    <tableColumn id="21" name="结算时点"/>
    <tableColumn id="22" name="效果边界"/>
    <tableColumn id="23" name="机制引用"/>
    <tableColumn id="24" name="现有游戏ID"/>
    <tableColumn id="25" name="设计状态"/>
    <tableColumn id="26" name="来源"/>
  </tableColumns>
  <tableStyleInfo name="TableStyleMedium2" showRowStripes="1"/>
</table>
</file>

<file path=xl/tables/table7.xml><?xml version="1.0" encoding="utf-8"?>
<table xmlns="http://schemas.openxmlformats.org/spreadsheetml/2006/main" id="7" name="T08Talisman" displayName="T08Talisman" ref="A5:M6" headerRowCount="1">
  <autoFilter ref="A5:M6"/>
  <tableColumns count="13">
    <tableColumn id="1" name="资产ID"/>
    <tableColumn id="2" name="名称"/>
    <tableColumn id="3" name="品级"/>
    <tableColumn id="4" name="元素"/>
    <tableColumn id="5" name="规格"/>
    <tableColumn id="6" name="宽_格"/>
    <tableColumn id="7" name="高_格"/>
    <tableColumn id="8" name="效果"/>
    <tableColumn id="9" name="CD_秒"/>
    <tableColumn id="10" name="数量消耗"/>
    <tableColumn id="11" name="机制引用"/>
    <tableColumn id="12" name="设计状态"/>
    <tableColumn id="13" name="来源"/>
  </tableColumns>
  <tableStyleInfo name="TableStyleMedium2" showRowStripes="1"/>
</table>
</file>

<file path=xl/tables/table8.xml><?xml version="1.0" encoding="utf-8"?>
<table xmlns="http://schemas.openxmlformats.org/spreadsheetml/2006/main" id="8" name="T08HiddenWeapon" displayName="T08HiddenWeapon" ref="A5:M6" headerRowCount="1">
  <autoFilter ref="A5:M6"/>
  <tableColumns count="13">
    <tableColumn id="1" name="资产ID"/>
    <tableColumn id="2" name="名称"/>
    <tableColumn id="3" name="品级"/>
    <tableColumn id="4" name="元素"/>
    <tableColumn id="5" name="规格"/>
    <tableColumn id="6" name="宽_格"/>
    <tableColumn id="7" name="高_格"/>
    <tableColumn id="8" name="效果"/>
    <tableColumn id="9" name="CD_秒"/>
    <tableColumn id="10" name="数量消耗"/>
    <tableColumn id="11" name="机制引用"/>
    <tableColumn id="12" name="设计状态"/>
    <tableColumn id="13" name="来源"/>
  </tableColumns>
  <tableStyleInfo name="TableStyleMedium2" showRowStripes="1"/>
</table>
</file>

<file path=xl/tables/table9.xml><?xml version="1.0" encoding="utf-8"?>
<table xmlns="http://schemas.openxmlformats.org/spreadsheetml/2006/main" id="9" name="T08_9" displayName="T08_9" ref="A5:I12" headerRowCount="1">
  <autoFilter ref="A5:I12"/>
  <tableColumns count="9">
    <tableColumn id="1" name="类别"/>
    <tableColumn id="2" name="下品"/>
    <tableColumn id="3" name="凡品"/>
    <tableColumn id="4" name="良品"/>
    <tableColumn id="5" name="上品"/>
    <tableColumn id="6" name="灵品"/>
    <tableColumn id="7" name="玄品"/>
    <tableColumn id="8" name="仙品"/>
    <tableColumn id="9" name="合计"/>
  </tableColumns>
  <tableStyleInfo name="TableStyleMedium2" showRowStripes="1"/>
</table>
</file>

<file path=xl/tables/table10.xml><?xml version="1.0" encoding="utf-8"?>
<table xmlns="http://schemas.openxmlformats.org/spreadsheetml/2006/main" id="10" name="T08_10" displayName="T08_10" ref="A5:Q7" headerRowCount="1">
  <autoFilter ref="A5:Q7"/>
  <tableColumns count="17">
    <tableColumn id="1" name="联动记录ID"/>
    <tableColumn id="2" name="名称"/>
    <tableColumn id="3" name="主体身甲"/>
    <tableColumn id="4" name="护臂"/>
    <tableColumn id="5" name="护腿"/>
    <tableColumn id="6" name="构型条件"/>
    <tableColumn id="7" name="关系身份"/>
    <tableColumn id="8" name="上限额外贡献"/>
    <tableColumn id="9" name="身甲发动额外回甲"/>
    <tableColumn id="10" name="组合总上限"/>
    <tableColumn id="11" name="身甲单次回甲"/>
    <tableColumn id="12" name="身甲CD_秒"/>
    <tableColumn id="13" name="总占格"/>
    <tableColumn id="14" name="运行节奏"/>
    <tableColumn id="15" name="生命周期边界"/>
    <tableColumn id="16" name="设计状态"/>
    <tableColumn id="17" name="来源"/>
  </tableColumns>
  <tableStyleInfo name="TableStyleMedium2" showRowStripes="1"/>
</table>
</file>

<file path=xl/tables/table11.xml><?xml version="1.0" encoding="utf-8"?>
<table xmlns="http://schemas.openxmlformats.org/spreadsheetml/2006/main" id="11" name="T08_11" displayName="T08_11" ref="A5:E10" headerRowCount="1">
  <autoFilter ref="A5:E10"/>
  <tableColumns count="5">
    <tableColumn id="1" name="规则ID"/>
    <tableColumn id="2" name="内容"/>
    <tableColumn id="3" name="本批处理"/>
    <tableColumn id="4" name="与旧词典的关系"/>
    <tableColumn id="5" name="状态"/>
  </tableColumns>
  <tableStyleInfo name="TableStyleMedium2" showRowStripes="1"/>
</table>
</file>

<file path=xl/tables/table12.xml><?xml version="1.0" encoding="utf-8"?>
<table xmlns="http://schemas.openxmlformats.org/spreadsheetml/2006/main" id="12" name="T08_12" displayName="T08_12" ref="A5:L15" headerRowCount="1">
  <autoFilter ref="A5:L15"/>
  <tableColumns count="12">
    <tableColumn id="1" name="规划记录ID"/>
    <tableColumn id="2" name="目标资产ID或类型"/>
    <tableColumn id="3" name="目标名称"/>
    <tableColumn id="4" name="渠道"/>
    <tableColumn id="5" name="具体来源意向"/>
    <tableColumn id="6" name="方法"/>
    <tableColumn id="7" name="交付模式"/>
    <tableColumn id="8" name="目标与成功对象"/>
    <tableColumn id="9" name="缺失配置"/>
    <tableColumn id="10" name="节奏／前提"/>
    <tableColumn id="11" name="状态"/>
    <tableColumn id="12" name="依据"/>
  </tableColumns>
  <tableStyleInfo name="TableStyleMedium2" showRowStripes="1"/>
</table>
</file>

<file path=xl/tables/table13.xml><?xml version="1.0" encoding="utf-8"?>
<table xmlns="http://schemas.openxmlformats.org/spreadsheetml/2006/main" id="13" name="T08_13" displayName="T08_13" ref="A5:O15" headerRowCount="1">
  <autoFilter ref="A5:O15"/>
  <tableColumns count="15">
    <tableColumn id="1" name="资产ID"/>
    <tableColumn id="2" name="名称"/>
    <tableColumn id="3" name="现有游戏ID"/>
    <tableColumn id="4" name="现配置品级"/>
    <tableColumn id="5" name="主表品级"/>
    <tableColumn id="6" name="现基础伤害"/>
    <tableColumn id="7" name="现CD_秒"/>
    <tableColumn id="8" name="现体力费"/>
    <tableColumn id="9" name="现甲型字段"/>
    <tableColumn id="10" name="现上限贡献"/>
    <tableColumn id="11" name="现回甲"/>
    <tableColumn id="12" name="现effects原值"/>
    <tableColumn id="13" name="差异与迁移范围"/>
    <tableColumn id="14" name="验证性质"/>
    <tableColumn id="15" name="证据"/>
  </tableColumns>
  <tableStyleInfo name="TableStyleMedium2" showRowStripes="1"/>
</table>
</file>

<file path=xl/tables/table14.xml><?xml version="1.0" encoding="utf-8"?>
<table xmlns="http://schemas.openxmlformats.org/spreadsheetml/2006/main" id="14" name="T08_14" displayName="T08_14" ref="A5:E12" headerRowCount="1">
  <autoFilter ref="A5:E12"/>
  <tableColumns count="5">
    <tableColumn id="1" name="词典"/>
    <tableColumn id="2" name="接口"/>
    <tableColumn id="3" name="本批关联"/>
    <tableColumn id="4" name="边界／实际动作"/>
    <tableColumn id="5" name="状态"/>
  </tableColumns>
  <tableStyleInfo name="TableStyleMedium2" showRowStripes="1"/>
</table>
</file>

<file path=xl/tables/table15.xml><?xml version="1.0" encoding="utf-8"?>
<table xmlns="http://schemas.openxmlformats.org/spreadsheetml/2006/main" id="15" name="T08_15" displayName="T08_15" ref="A5:E13" headerRowCount="1">
  <autoFilter ref="A5:E13"/>
  <tableColumns count="5">
    <tableColumn id="1" name="编号"/>
    <tableColumn id="2" name="主题"/>
    <tableColumn id="3" name="问题／工作"/>
    <tableColumn id="4" name="当前状态"/>
    <tableColumn id="5" name="影响范围"/>
  </tableColumns>
  <tableStyleInfo name="TableStyleMedium2" showRowStripes="1"/>
</table>
</file>

<file path=xl/tables/table16.xml><?xml version="1.0" encoding="utf-8"?>
<table xmlns="http://schemas.openxmlformats.org/spreadsheetml/2006/main" id="16" name="T08_16" displayName="T08_16" ref="A5:E18" headerRowCount="1">
  <autoFilter ref="A5:E18"/>
  <tableColumns count="5">
    <tableColumn id="1" name="案例ID"/>
    <tableColumn id="2" name="主题"/>
    <tableColumn id="3" name="输入"/>
    <tableColumn id="4" name="预期／边界"/>
    <tableColumn id="5" name="状态"/>
  </tableColumns>
  <tableStyleInfo name="TableStyleMedium2" showRowStripes="1"/>
</table>
</file>

<file path=xl/tables/table17.xml><?xml version="1.0" encoding="utf-8"?>
<table xmlns="http://schemas.openxmlformats.org/spreadsheetml/2006/main" id="17" name="T08_17" displayName="T08_17" ref="A5:E9" headerRowCount="1">
  <autoFilter ref="A5:E9"/>
  <tableColumns count="5">
    <tableColumn id="1" name="来源ID"/>
    <tableColumn id="2" name="来源位置"/>
    <tableColumn id="3" name="性质"/>
    <tableColumn id="4" name="有效范围"/>
    <tableColumn id="5" name="完整性说明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2_&#27494;&#22120;'!A6" TargetMode="External" Id="rId1"/><Relationship Type="http://schemas.openxmlformats.org/officeDocument/2006/relationships/hyperlink" Target="#'02_&#27494;&#22120;'!A7" TargetMode="External" Id="rId2"/><Relationship Type="http://schemas.openxmlformats.org/officeDocument/2006/relationships/hyperlink" Target="#'02_&#27494;&#22120;'!A8" TargetMode="External" Id="rId3"/><Relationship Type="http://schemas.openxmlformats.org/officeDocument/2006/relationships/hyperlink" Target="#'02_&#27494;&#22120;'!A9" TargetMode="External" Id="rId4"/><Relationship Type="http://schemas.openxmlformats.org/officeDocument/2006/relationships/hyperlink" Target="#'02_&#27494;&#22120;'!A10" TargetMode="External" Id="rId5"/><Relationship Type="http://schemas.openxmlformats.org/officeDocument/2006/relationships/hyperlink" Target="#'02_&#27494;&#22120;'!A11" TargetMode="External" Id="rId6"/><Relationship Type="http://schemas.openxmlformats.org/officeDocument/2006/relationships/hyperlink" Target="#'02_&#27494;&#22120;'!A12" TargetMode="External" Id="rId7"/><Relationship Type="http://schemas.openxmlformats.org/officeDocument/2006/relationships/hyperlink" Target="#'02_&#27494;&#22120;'!A13" TargetMode="External" Id="rId8"/><Relationship Type="http://schemas.openxmlformats.org/officeDocument/2006/relationships/hyperlink" Target="#'02_&#27494;&#22120;'!A14" TargetMode="External" Id="rId9"/><Relationship Type="http://schemas.openxmlformats.org/officeDocument/2006/relationships/hyperlink" Target="#'03_&#38450;&#20855;'!A6" TargetMode="External" Id="rId10"/><Relationship Type="http://schemas.openxmlformats.org/officeDocument/2006/relationships/hyperlink" Target="#'03_&#38450;&#20855;'!A7" TargetMode="External" Id="rId11"/><Relationship Type="http://schemas.openxmlformats.org/officeDocument/2006/relationships/hyperlink" Target="#'03_&#38450;&#20855;'!A8" TargetMode="External" Id="rId12"/><Relationship Type="http://schemas.openxmlformats.org/officeDocument/2006/relationships/hyperlink" Target="#'03_&#38450;&#20855;'!A9" TargetMode="External" Id="rId13"/><Relationship Type="http://schemas.openxmlformats.org/officeDocument/2006/relationships/hyperlink" Target="#'03_&#38450;&#20855;'!A10" TargetMode="External" Id="rId14"/><Relationship Type="http://schemas.openxmlformats.org/officeDocument/2006/relationships/hyperlink" Target="#'03_&#38450;&#20855;'!A11" TargetMode="External" Id="rId15"/><Relationship Type="http://schemas.openxmlformats.org/officeDocument/2006/relationships/hyperlink" Target="#'03_&#38450;&#20855;'!A12" TargetMode="External" Id="rId16"/><Relationship Type="http://schemas.openxmlformats.org/officeDocument/2006/relationships/hyperlink" Target="#'03_&#38450;&#20855;'!A13" TargetMode="External" Id="rId17"/><Relationship Type="http://schemas.openxmlformats.org/officeDocument/2006/relationships/hyperlink" Target="#'04_&#27861;&#22120;'!A6" TargetMode="External" Id="rId18"/><Relationship Type="http://schemas.openxmlformats.org/officeDocument/2006/relationships/hyperlink" Target="#'04_&#27861;&#22120;'!A7" TargetMode="External" Id="rId19"/><Relationship Type="http://schemas.openxmlformats.org/officeDocument/2006/relationships/hyperlink" Target="#'04_&#27861;&#22120;'!A8" TargetMode="External" Id="rId20"/><Relationship Type="http://schemas.openxmlformats.org/officeDocument/2006/relationships/hyperlink" Target="#'04_&#27861;&#22120;'!A9" TargetMode="External" Id="rId21"/><Relationship Type="http://schemas.openxmlformats.org/officeDocument/2006/relationships/hyperlink" Target="#'05_&#20025;&#33647;'!A6" TargetMode="External" Id="rId22"/><Relationship Type="http://schemas.openxmlformats.org/officeDocument/2006/relationships/hyperlink" Target="#'05_&#20025;&#33647;'!A7" TargetMode="External" Id="rId23"/><Relationship Type="http://schemas.openxmlformats.org/officeDocument/2006/relationships/hyperlink" Target="#'05_&#20025;&#33647;'!A8" TargetMode="External" Id="rId24"/><Relationship Type="http://schemas.openxmlformats.org/officeDocument/2006/relationships/hyperlink" Target="#'05_&#20025;&#33647;'!A9" TargetMode="External" Id="rId25"/><Relationship Type="http://schemas.openxmlformats.org/officeDocument/2006/relationships/hyperlink" Target="#'05_&#20025;&#33647;'!A10" TargetMode="External" Id="rId26"/><Relationship Type="http://schemas.openxmlformats.org/officeDocument/2006/relationships/hyperlink" Target="#'05_&#20025;&#33647;'!A11" TargetMode="External" Id="rId27"/><Relationship Type="http://schemas.openxmlformats.org/officeDocument/2006/relationships/table" Target="/xl/tables/table2.xml" Id="rId28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hyperlink" Target="t01-01-&#22120;&#20855;&#26426;&#21046;&#35789;&#20856;-260928.xlsx" TargetMode="External" Id="rId1"/><Relationship Type="http://schemas.openxmlformats.org/officeDocument/2006/relationships/hyperlink" Target="t01-02-&#29366;&#24577;&#19982;&#22120;&#20855;&#25511;&#21046;&#35789;&#20856;-260928.xlsx" TargetMode="External" Id="rId2"/><Relationship Type="http://schemas.openxmlformats.org/officeDocument/2006/relationships/hyperlink" Target="t01-03-&#21697;&#32423;&#26426;&#21046;&#26435;&#38480;&#30697;&#38453;-260928.xlsx" TargetMode="External" Id="rId3"/><Relationship Type="http://schemas.openxmlformats.org/officeDocument/2006/relationships/hyperlink" Target="t01-04-&#22120;&#20855;&#31867;&#21035;&#19982;&#35268;&#26684;&#35789;&#20856;-260928.xlsx" TargetMode="External" Id="rId4"/><Relationship Type="http://schemas.openxmlformats.org/officeDocument/2006/relationships/hyperlink" Target="t01-05-&#26448;&#26009;&#19982;&#38203;&#36896;&#35789;&#20856;-260928.xlsx" TargetMode="External" Id="rId5"/><Relationship Type="http://schemas.openxmlformats.org/officeDocument/2006/relationships/hyperlink" Target="t01-06-&#22871;&#35013;&#19982;&#32852;&#21160;&#22120;&#20855;&#35789;&#20856;-260928.xlsx" TargetMode="External" Id="rId6"/><Relationship Type="http://schemas.openxmlformats.org/officeDocument/2006/relationships/hyperlink" Target="t01-07-&#29289;&#21697;&#33719;&#21462;&#19982;&#25237;&#25918;&#35268;&#21017;&#35789;&#20856;-260928.xlsx" TargetMode="External" Id="rId7"/><Relationship Type="http://schemas.openxmlformats.org/officeDocument/2006/relationships/table" Target="/xl/tables/table14.xml" Id="rId8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4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4" customWidth="1" min="1" max="1"/>
    <ns0:col width="22" customWidth="1" min="2" max="2"/>
    <ns0:col width="70" customWidth="1" min="3" max="3"/>
    <ns0:col width="76" customWidth="1" min="4" max="4"/>
    <ns0:col width="36" customWidth="1" min="5" max="5"/>
  </ns0:cols>
  <ns0:sheetData>
    <ns0:row r="1" ht="32" customHeight="1">
      <ns0:c r="A1" s="1" t="inlineStr">
        <ns0:is>
          <ns0:t>t01-08｜使用说明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记录ID</ns0:t>
        </ns0:is>
      </ns0:c>
      <ns0:c r="B5" s="3" t="inlineStr">
        <ns0:is>
          <ns0:t>主题</ns0:t>
        </ns0:is>
      </ns0:c>
      <ns0:c r="C5" s="3" t="inlineStr">
        <ns0:is>
          <ns0:t>内容</ns0:t>
        </ns0:is>
      </ns0:c>
      <ns0:c r="D5" s="3" t="inlineStr">
        <ns0:is>
          <ns0:t>边界／状态</ns0:t>
        </ns0:is>
      </ns0:c>
      <ns0:c r="E5" s="3" t="inlineStr">
        <ns0:is>
          <ns0:t>依据</ns0:t>
        </ns0:is>
      </ns0:c>
    </ns0:row>
    <ns0:row r="6" ht="30" customHeight="1">
      <ns0:c r="A6" s="4" t="inlineStr">
        <ns0:is>
          <ns0:t>U01</ns0:t>
        </ns0:is>
      </ns0:c>
      <ns0:c r="B6" s="4" t="inlineStr">
        <ns0:is>
          <ns0:t>组织方式</ns0:t>
        </ns0:is>
      </ns0:c>
      <ns0:c r="C6" s="4" t="inlineStr">
        <ns0:is>
          <ns0:t>六类别各自维护跨品级正文；总索引和统计由分类表派生。</ns0:t>
        </ns0:is>
      </ns0:c>
      <ns0:c r="D6" s="4" t="inlineStr">
        <ns0:is>
          <ns0:t>不另建下品副本作为第二份正文；以后新增品级仍进原类别表。</ns0:t>
        </ns0:is>
      </ns0:c>
      <ns0:c r="E6" s="4" t="inlineStr">
        <ns0:is>
          <ns0:t>用户本次问题；编制安排</ns0:t>
        </ns0:is>
      </ns0:c>
    </ns0:row>
    <ns0:row r="7" ht="30" customHeight="1">
      <ns0:c r="A7" s="5" t="inlineStr">
        <ns0:is>
          <ns0:t>U02</ns0:t>
        </ns0:is>
      </ns0:c>
      <ns0:c r="B7" s="5" t="inlineStr">
        <ns0:is>
          <ns0:t>本批品级</ns0:t>
        </ns0:is>
      </ns0:c>
      <ns0:c r="C7" s="5" t="inlineStr">
        <ns0:is>
          <ns0:t>27件全部登记下品；无七系属性。</ns0:t>
        </ns0:is>
      </ns0:c>
      <ns0:c r="D7" s="5" t="inlineStr">
        <ns0:is>
          <ns0:t>用户最新更正“这一批道具全是下品”，覆盖此前误说的品级；与三段资料的下品表述一致。</ns0:t>
        </ns0:is>
      </ns0:c>
      <ns0:c r="E7" s="5" t="inlineStr">
        <ns0:is>
          <ns0:t>用户最新品级更正，2026-09-28；资料A/B/C</ns0:t>
        </ns0:is>
      </ns0:c>
    </ns0:row>
    <ns0:row r="8" ht="30" customHeight="1">
      <ns0:c r="A8" s="4" t="inlineStr">
        <ns0:is>
          <ns0:t>U03</ns0:t>
        </ns0:is>
      </ns0:c>
      <ns0:c r="B8" s="4" t="inlineStr">
        <ns0:is>
          <ns0:t>最终数量</ns0:t>
        </ns0:is>
      </ns0:c>
      <ns0:c r="C8" s="4" t="inlineStr">
        <ns0:is>
          <ns0:t>9武器＋8防具＋4法器＋6丹药＝27；符箓／暗器0。</ns0:t>
        </ns0:is>
      </ns0:c>
      <ns0:c r="D8" s="6" t="inlineStr">
        <ns0:is>
          <ns0:t>C追加铁护臂／腿，未删除旧铁盔／木圆盾；18件和25件为中间统计。</ns0:t>
        </ns0:is>
      </ns0:c>
      <ns0:c r="E8" s="4" t="inlineStr">
        <ns0:is>
          <ns0:t>资料A/B/C</ns0:t>
        </ns0:is>
      </ns0:c>
    </ns0:row>
    <ns0:row r="9" ht="30" customHeight="1">
      <ns0:c r="A9" s="5" t="inlineStr">
        <ns0:is>
          <ns0:t>U04</ns0:t>
        </ns0:is>
      </ns0:c>
      <ns0:c r="B9" s="5" t="inlineStr">
        <ns0:is>
          <ns0:t>数值性质</ns0:t>
        </ns0:is>
      </ns0:c>
      <ns0:c r="C9" s="5" t="inlineStr">
        <ns0:is>
          <ns0:t>已有10件配置单列参考；新数值按试玩候选记录；武器设计绝对值未填。</ns0:t>
        </ns0:is>
      </ns0:c>
      <ns0:c r="D9" s="5" t="inlineStr">
        <ns0:is>
          <ns0:t>原资料称已测试≠本轮跑过游戏；参考配置不自动成为下品最终平衡。</ns0:t>
        </ns0:is>
      </ns0:c>
      <ns0:c r="E9" s="5" t="inlineStr">
        <ns0:is>
          <ns0:t>资料B；当前配置只读</ns0:t>
        </ns0:is>
      </ns0:c>
    </ns0:row>
    <ns0:row r="10" ht="40" customHeight="1">
      <ns0:c r="A10" s="4" t="inlineStr">
        <ns0:is>
          <ns0:t>U05</ns0:t>
        </ns0:is>
      </ns0:c>
      <ns0:c r="B10" s="4" t="inlineStr">
        <ns0:is>
          <ns0:t>识别与引用</ns0:t>
        </ns0:is>
      </ns0:c>
      <ns0:c r="C10" s="4" t="inlineStr">
        <ns0:is>
          <ns0:t>t01.asset.*为资产主表记录ID，不是新游戏注册ID；已有游戏ID保留映射。</ns0:t>
        </ns0:is>
      </ns0:c>
      <ns0:c r="D10" s="4" t="inlineStr">
        <ns0:is>
          <ns0:t>一件正式资产尚需合法机制、数值、制作／获取链及实现条件；不可把此表直接视作可运行JSON。</ns0:t>
        </ns0:is>
      </ns0:c>
      <ns0:c r="E10" s="4" t="inlineStr">
        <ns0:is>
          <ns0:t>项目工程约束；01～07</ns0:t>
        </ns0:is>
      </ns0:c>
    </ns0:row>
    <ns0:row r="11" ht="40" customHeight="1">
      <ns0:c r="A11" s="5" t="inlineStr">
        <ns0:is>
          <ns0:t>U06</ns0:t>
        </ns0:is>
      </ns0:c>
      <ns0:c r="B11" s="5" t="inlineStr">
        <ns0:is>
          <ns0:t>公式与派生</ns0:t>
        </ns0:is>
      </ns0:c>
      <ns0:c r="C11" s="5" t="inlineStr">
        <ns0:is>
          <ns0:t>占格、名义回复率、组合上限和统计使用公式；公式缓存由独立输入计算后写入。</ns0:t>
        </ns0:is>
      </ns0:c>
      <ns0:c r="D11" s="5" t="inlineStr">
        <ns0:is>
          <ns0:t>无Excel引擎重新计算／真实渲染；名义比值不含资源、上限、控制、命中或战斗长度，不是平衡验证。</ns0:t>
        </ns0:is>
      </ns0:c>
      <ns0:c r="E11" s="5" t="inlineStr">
        <ns0:is>
          <ns0:t>编制验证口径</ns0:t>
        </ns0:is>
      </ns0:c>
    </ns0:row>
    <ns0:row r="12" ht="42" customHeight="1">
      <ns0:c r="A12" s="4" t="inlineStr">
        <ns0:is>
          <ns0:t>U07</ns0:t>
        </ns0:is>
      </ns0:c>
      <ns0:c r="B12" s="4" t="inlineStr">
        <ns0:is>
          <ns0:t>当前确认</ns0:t>
        </ns0:is>
      </ns0:c>
      <ns0:c r="C12" s="4" t="inlineStr">
        <ns0:is>
          <ns0:t>Q01～Q04均已确认并回填；当前没有待答题。两组下品邻接例外、甲型算法、多盾许可及三法器2/3上限已明确。</ns0:t>
        </ns0:is>
      </ns0:c>
      <ns0:c r="D12" s="6" t="inlineStr">
        <ns0:is>
          <ns0:t>03常规邻接门槛保持良品；武器绝对值、新增试玩数值及实际制作／投放／实现留后续。</ns0:t>
        </ns0:is>
      </ns0:c>
      <ns0:c r="E12" s="4" t="inlineStr">
        <ns0:is>
          <ns0:t>t01-08 Q01～Q04用户答复，2026-09-28</ns0:t>
        </ns0:is>
      </ns0:c>
    </ns0:row>
    <ns0:row r="13" ht="30" customHeight="1">
      <ns0:c r="A13" s="5" t="inlineStr">
        <ns0:is>
          <ns0:t>U08</ns0:t>
        </ns0:is>
      </ns0:c>
      <ns0:c r="B13" s="5" t="inlineStr">
        <ns0:is>
          <ns0:t>实现范围</ns0:t>
        </ns0:is>
      </ns0:c>
      <ns0:c r="C13" s="5" t="inlineStr">
        <ns0:is>
          <ns0:t>本次编制资产主表及文档衔接，游戏配置只读。</ns0:t>
        </ns0:is>
      </ns0:c>
      <ns0:c r="D13" s="6" t="inlineStr">
        <ns0:is>
          <ns0:t>现有10件与本批均为下品，无品级迁移；旧铁盔／木圆盾现配置未声明armor_type，其他差异见迁移表。</ns0:t>
        </ns0:is>
      </ns0:c>
      <ns0:c r="E13" s="5" t="inlineStr">
        <ns0:is>
          <ns0:t>data/maps/inventory_items.json</ns0:t>
        </ns0:is>
      </ns0:c>
    </ns0:row>
    <ns0:row r="14" ht="42" customHeight="1">
      <ns0:c r="A14" s="4" t="inlineStr">
        <ns0:is>
          <ns0:t>U09</ns0:t>
        </ns0:is>
      </ns0:c>
      <ns0:c r="B14" s="4" t="inlineStr">
        <ns0:is>
          <ns0:t>查阅</ns0:t>
        </ns0:is>
      </ns0:c>
      <ns0:c r="C14" s="4" t="inlineStr">
        <ns0:is>
          <ns0:t>01索引；02～07分类；08统计；09防具联动；10主甲型；11投放；12既有配置；13跨表关系；14确认与后续；15场景；16来源。</ns0:t>
        </ns0:is>
      </ns0:c>
      <ns0:c r="D14" s="4" t="inlineStr">
        <ns0:is>
          <ns0:t>所有无资产类别只有空模板行，不作为真实物品计数。</ns0:t>
        </ns0:is>
      </ns0:c>
      <ns0:c r="E14" s="4" t="inlineStr">
        <ns0:is>
          <ns0:t>本次编制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H32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4" customWidth="1" min="1" max="1"/>
    <ns0:col width="24" customWidth="1" min="2" max="2"/>
    <ns0:col width="19" customWidth="1" min="3" max="3"/>
    <ns0:col width="14" customWidth="1" min="4" max="4"/>
    <ns0:col width="30" customWidth="1" min="5" max="5"/>
    <ns0:col width="47" customWidth="1" min="6" max="6"/>
    <ns0:col width="44" customWidth="1" min="7" max="7"/>
    <ns0:col width="24" customWidth="1" min="8" max="8"/>
  </ns0:cols>
  <ns0:sheetData>
    <ns0:row r="1" ht="32" customHeight="1">
      <ns0:c r="A1" s="1" t="inlineStr">
        <ns0:is>
          <ns0:t>t01-08｜总索引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名称_分类表引用</ns0:t>
        </ns0:is>
      </ns0:c>
      <ns0:c r="C5" s="3" t="inlineStr">
        <ns0:is>
          <ns0:t>品级_分类表引用</ns0:t>
        </ns0:is>
      </ns0:c>
      <ns0:c r="D5" s="3" t="inlineStr">
        <ns0:is>
          <ns0:t>类别</ns0:t>
        </ns0:is>
      </ns0:c>
      <ns0:c r="E5" s="3" t="inlineStr">
        <ns0:is>
          <ns0:t>正文位置</ns0:t>
        </ns0:is>
      </ns0:c>
      <ns0:c r="F5" s="3" t="inlineStr">
        <ns0:is>
          <ns0:t>设计阶段</ns0:t>
        </ns0:is>
      </ns0:c>
      <ns0:c r="G5" s="3" t="inlineStr">
        <ns0:is>
          <ns0:t>实现核对</ns0:t>
        </ns0:is>
      </ns0:c>
      <ns0:c r="H5" s="3" t="inlineStr">
        <ns0:is>
          <ns0:t>资料依据</ns0:t>
        </ns0:is>
      </ns0:c>
    </ns0:row>
    <ns0:row r="6" ht="30" customHeight="1">
      <ns0:c r="A6" s="4" t="inlineStr">
        <ns0:is>
          <ns0:t>t01.asset.0001</ns0:t>
        </ns0:is>
      </ns0:c>
      <ns0:c r="B6" s="7" t="str">
        <ns0:f>'02_武器'!B6</ns0:f>
        <ns0:v>青石短剑</ns0:v>
      </ns0:c>
      <ns0:c r="C6" s="7" t="str">
        <ns0:f>'02_武器'!C6</ns0:f>
        <ns0:v>下品</ns0:v>
      </ns0:c>
      <ns0:c r="D6" s="4" t="inlineStr">
        <ns0:is>
          <ns0:t>武器</ns0:t>
        </ns0:is>
      </ns0:c>
      <ns0:c r="E6" s="8" t="inlineStr">
        <ns0:is>
          <ns0:t>02_武器!A6</ns0:t>
        </ns0:is>
      </ns0:c>
      <ns0:c r="F6" s="4" t="inlineStr">
        <ns0:is>
          <ns0:t>骨架登记；绝对数值待平衡</ns0:t>
        </ns0:is>
      </ns0:c>
      <ns0:c r="G6" s="4" t="inlineStr">
        <ns0:is>
          <ns0:t>已有同名配置／品级一致；其他差异见12表</ns0:t>
        </ns0:is>
      </ns0:c>
      <ns0:c r="H6" s="4" t="inlineStr">
        <ns0:is>
          <ns0:t>A；用户最新更正为下品</ns0:t>
        </ns0:is>
      </ns0:c>
    </ns0:row>
    <ns0:row r="7" ht="30" customHeight="1">
      <ns0:c r="A7" s="5" t="inlineStr">
        <ns0:is>
          <ns0:t>t01.asset.0002</ns0:t>
        </ns0:is>
      </ns0:c>
      <ns0:c r="B7" s="9" t="str">
        <ns0:f>'02_武器'!B7</ns0:f>
        <ns0:v>铁刀</ns0:v>
      </ns0:c>
      <ns0:c r="C7" s="9" t="str">
        <ns0:f>'02_武器'!C7</ns0:f>
        <ns0:v>下品</ns0:v>
      </ns0:c>
      <ns0:c r="D7" s="5" t="inlineStr">
        <ns0:is>
          <ns0:t>武器</ns0:t>
        </ns0:is>
      </ns0:c>
      <ns0:c r="E7" s="10" t="inlineStr">
        <ns0:is>
          <ns0:t>02_武器!A7</ns0:t>
        </ns0:is>
      </ns0:c>
      <ns0:c r="F7" s="5" t="inlineStr">
        <ns0:is>
          <ns0:t>骨架登记；绝对数值待平衡</ns0:t>
        </ns0:is>
      </ns0:c>
      <ns0:c r="G7" s="5" t="inlineStr">
        <ns0:is>
          <ns0:t>尚无正式游戏配置</ns0:t>
        </ns0:is>
      </ns0:c>
      <ns0:c r="H7" s="5" t="inlineStr">
        <ns0:is>
          <ns0:t>A；用户最新更正为下品</ns0:t>
        </ns0:is>
      </ns0:c>
    </ns0:row>
    <ns0:row r="8" ht="30" customHeight="1">
      <ns0:c r="A8" s="4" t="inlineStr">
        <ns0:is>
          <ns0:t>t01.asset.0003</ns0:t>
        </ns0:is>
      </ns0:c>
      <ns0:c r="B8" s="7" t="str">
        <ns0:f>'02_武器'!B8</ns0:f>
        <ns0:v>柴斧</ns0:v>
      </ns0:c>
      <ns0:c r="C8" s="7" t="str">
        <ns0:f>'02_武器'!C8</ns0:f>
        <ns0:v>下品</ns0:v>
      </ns0:c>
      <ns0:c r="D8" s="4" t="inlineStr">
        <ns0:is>
          <ns0:t>武器</ns0:t>
        </ns0:is>
      </ns0:c>
      <ns0:c r="E8" s="8" t="inlineStr">
        <ns0:is>
          <ns0:t>02_武器!A8</ns0:t>
        </ns0:is>
      </ns0:c>
      <ns0:c r="F8" s="4" t="inlineStr">
        <ns0:is>
          <ns0:t>骨架登记；绝对数值待平衡</ns0:t>
        </ns0:is>
      </ns0:c>
      <ns0:c r="G8" s="4" t="inlineStr">
        <ns0:is>
          <ns0:t>尚无正式游戏配置</ns0:t>
        </ns0:is>
      </ns0:c>
      <ns0:c r="H8" s="4" t="inlineStr">
        <ns0:is>
          <ns0:t>A；用户最新更正为下品</ns0:t>
        </ns0:is>
      </ns0:c>
    </ns0:row>
    <ns0:row r="9" ht="30" customHeight="1">
      <ns0:c r="A9" s="5" t="inlineStr">
        <ns0:is>
          <ns0:t>t01.asset.0004</ns0:t>
        </ns0:is>
      </ns0:c>
      <ns0:c r="B9" s="9" t="str">
        <ns0:f>'02_武器'!B9</ns0:f>
        <ns0:v>猎弓</ns0:v>
      </ns0:c>
      <ns0:c r="C9" s="9" t="str">
        <ns0:f>'02_武器'!C9</ns0:f>
        <ns0:v>下品</ns0:v>
      </ns0:c>
      <ns0:c r="D9" s="5" t="inlineStr">
        <ns0:is>
          <ns0:t>武器</ns0:t>
        </ns0:is>
      </ns0:c>
      <ns0:c r="E9" s="10" t="inlineStr">
        <ns0:is>
          <ns0:t>02_武器!A9</ns0:t>
        </ns0:is>
      </ns0:c>
      <ns0:c r="F9" s="5" t="inlineStr">
        <ns0:is>
          <ns0:t>骨架登记；绝对数值待平衡</ns0:t>
        </ns0:is>
      </ns0:c>
      <ns0:c r="G9" s="5" t="inlineStr">
        <ns0:is>
          <ns0:t>已有同名配置／品级一致；其他差异见12表</ns0:t>
        </ns0:is>
      </ns0:c>
      <ns0:c r="H9" s="5" t="inlineStr">
        <ns0:is>
          <ns0:t>A；用户最新更正为下品</ns0:t>
        </ns0:is>
      </ns0:c>
    </ns0:row>
    <ns0:row r="10" ht="30" customHeight="1">
      <ns0:c r="A10" s="4" t="inlineStr">
        <ns0:is>
          <ns0:t>t01.asset.0005</ns0:t>
        </ns0:is>
      </ns0:c>
      <ns0:c r="B10" s="7" t="str">
        <ns0:f>'02_武器'!B10</ns0:f>
        <ns0:v>匕首</ns0:v>
      </ns0:c>
      <ns0:c r="C10" s="7" t="str">
        <ns0:f>'02_武器'!C10</ns0:f>
        <ns0:v>下品</ns0:v>
      </ns0:c>
      <ns0:c r="D10" s="4" t="inlineStr">
        <ns0:is>
          <ns0:t>武器</ns0:t>
        </ns0:is>
      </ns0:c>
      <ns0:c r="E10" s="8" t="inlineStr">
        <ns0:is>
          <ns0:t>02_武器!A10</ns0:t>
        </ns0:is>
      </ns0:c>
      <ns0:c r="F10" s="4" t="inlineStr">
        <ns0:is>
          <ns0:t>骨架登记；绝对数值待平衡</ns0:t>
        </ns0:is>
      </ns0:c>
      <ns0:c r="G10" s="4" t="inlineStr">
        <ns0:is>
          <ns0:t>尚无正式游戏配置</ns0:t>
        </ns0:is>
      </ns0:c>
      <ns0:c r="H10" s="4" t="inlineStr">
        <ns0:is>
          <ns0:t>A；用户最新更正为下品</ns0:t>
        </ns0:is>
      </ns0:c>
    </ns0:row>
    <ns0:row r="11" ht="30" customHeight="1">
      <ns0:c r="A11" s="5" t="inlineStr">
        <ns0:is>
          <ns0:t>t01.asset.0006</ns0:t>
        </ns0:is>
      </ns0:c>
      <ns0:c r="B11" s="9" t="str">
        <ns0:f>'02_武器'!B11</ns0:f>
        <ns0:v>长枪</ns0:v>
      </ns0:c>
      <ns0:c r="C11" s="9" t="str">
        <ns0:f>'02_武器'!C11</ns0:f>
        <ns0:v>下品</ns0:v>
      </ns0:c>
      <ns0:c r="D11" s="5" t="inlineStr">
        <ns0:is>
          <ns0:t>武器</ns0:t>
        </ns0:is>
      </ns0:c>
      <ns0:c r="E11" s="10" t="inlineStr">
        <ns0:is>
          <ns0:t>02_武器!A11</ns0:t>
        </ns0:is>
      </ns0:c>
      <ns0:c r="F11" s="5" t="inlineStr">
        <ns0:is>
          <ns0:t>骨架登记；绝对数值待平衡</ns0:t>
        </ns0:is>
      </ns0:c>
      <ns0:c r="G11" s="5" t="inlineStr">
        <ns0:is>
          <ns0:t>尚无正式游戏配置</ns0:t>
        </ns0:is>
      </ns0:c>
      <ns0:c r="H11" s="5" t="inlineStr">
        <ns0:is>
          <ns0:t>A；用户最新更正为下品</ns0:t>
        </ns0:is>
      </ns0:c>
    </ns0:row>
    <ns0:row r="12" ht="30" customHeight="1">
      <ns0:c r="A12" s="4" t="inlineStr">
        <ns0:is>
          <ns0:t>t01.asset.0007</ns0:t>
        </ns0:is>
      </ns0:c>
      <ns0:c r="B12" s="7" t="str">
        <ns0:f>'02_武器'!B12</ns0:f>
        <ns0:v>短柄铁锤</ns0:v>
      </ns0:c>
      <ns0:c r="C12" s="7" t="str">
        <ns0:f>'02_武器'!C12</ns0:f>
        <ns0:v>下品</ns0:v>
      </ns0:c>
      <ns0:c r="D12" s="4" t="inlineStr">
        <ns0:is>
          <ns0:t>武器</ns0:t>
        </ns0:is>
      </ns0:c>
      <ns0:c r="E12" s="8" t="inlineStr">
        <ns0:is>
          <ns0:t>02_武器!A12</ns0:t>
        </ns0:is>
      </ns0:c>
      <ns0:c r="F12" s="4" t="inlineStr">
        <ns0:is>
          <ns0:t>骨架登记；绝对数值待平衡</ns0:t>
        </ns0:is>
      </ns0:c>
      <ns0:c r="G12" s="4" t="inlineStr">
        <ns0:is>
          <ns0:t>已有同名配置／品级一致；其他差异见12表</ns0:t>
        </ns0:is>
      </ns0:c>
      <ns0:c r="H12" s="4" t="inlineStr">
        <ns0:is>
          <ns0:t>A；用户最新更正为下品</ns0:t>
        </ns0:is>
      </ns0:c>
    </ns0:row>
    <ns0:row r="13" ht="30" customHeight="1">
      <ns0:c r="A13" s="5" t="inlineStr">
        <ns0:is>
          <ns0:t>t01.asset.0008</ns0:t>
        </ns0:is>
      </ns0:c>
      <ns0:c r="B13" s="9" t="str">
        <ns0:f>'02_武器'!B13</ns0:f>
        <ns0:v>石印</ns0:v>
      </ns0:c>
      <ns0:c r="C13" s="9" t="str">
        <ns0:f>'02_武器'!C13</ns0:f>
        <ns0:v>下品</ns0:v>
      </ns0:c>
      <ns0:c r="D13" s="5" t="inlineStr">
        <ns0:is>
          <ns0:t>武器</ns0:t>
        </ns0:is>
      </ns0:c>
      <ns0:c r="E13" s="10" t="inlineStr">
        <ns0:is>
          <ns0:t>02_武器!A13</ns0:t>
        </ns0:is>
      </ns0:c>
      <ns0:c r="F13" s="5" t="inlineStr">
        <ns0:is>
          <ns0:t>骨架登记；绝对数值待平衡</ns0:t>
        </ns0:is>
      </ns0:c>
      <ns0:c r="G13" s="5" t="inlineStr">
        <ns0:is>
          <ns0:t>尚无正式游戏配置</ns0:t>
        </ns0:is>
      </ns0:c>
      <ns0:c r="H13" s="5" t="inlineStr">
        <ns0:is>
          <ns0:t>A；用户最新更正为下品</ns0:t>
        </ns0:is>
      </ns0:c>
    </ns0:row>
    <ns0:row r="14" ht="30" customHeight="1">
      <ns0:c r="A14" s="4" t="inlineStr">
        <ns0:is>
          <ns0:t>t01.asset.0009</ns0:t>
        </ns0:is>
      </ns0:c>
      <ns0:c r="B14" s="7" t="str">
        <ns0:f>'02_武器'!B14</ns0:f>
        <ns0:v>皮鞭</ns0:v>
      </ns0:c>
      <ns0:c r="C14" s="7" t="str">
        <ns0:f>'02_武器'!C14</ns0:f>
        <ns0:v>下品</ns0:v>
      </ns0:c>
      <ns0:c r="D14" s="4" t="inlineStr">
        <ns0:is>
          <ns0:t>武器</ns0:t>
        </ns0:is>
      </ns0:c>
      <ns0:c r="E14" s="8" t="inlineStr">
        <ns0:is>
          <ns0:t>02_武器!A14</ns0:t>
        </ns0:is>
      </ns0:c>
      <ns0:c r="F14" s="4" t="inlineStr">
        <ns0:is>
          <ns0:t>骨架登记；绝对数值待平衡</ns0:t>
        </ns0:is>
      </ns0:c>
      <ns0:c r="G14" s="4" t="inlineStr">
        <ns0:is>
          <ns0:t>尚无正式游戏配置</ns0:t>
        </ns0:is>
      </ns0:c>
      <ns0:c r="H14" s="4" t="inlineStr">
        <ns0:is>
          <ns0:t>A；用户最新更正为下品</ns0:t>
        </ns0:is>
      </ns0:c>
    </ns0:row>
    <ns0:row r="15" ht="30" customHeight="1">
      <ns0:c r="A15" s="5" t="inlineStr">
        <ns0:is>
          <ns0:t>t01.asset.0010</ns0:t>
        </ns0:is>
      </ns0:c>
      <ns0:c r="B15" s="9" t="str">
        <ns0:f>'03_防具'!B6</ns0:f>
        <ns0:v>粗布甲</ns0:v>
      </ns0:c>
      <ns0:c r="C15" s="9" t="str">
        <ns0:f>'03_防具'!C6</ns0:f>
        <ns0:v>下品</ns0:v>
      </ns0:c>
      <ns0:c r="D15" s="5" t="inlineStr">
        <ns0:is>
          <ns0:t>防具</ns0:t>
        </ns0:is>
      </ns0:c>
      <ns0:c r="E15" s="10" t="inlineStr">
        <ns0:is>
          <ns0:t>03_防具!A6</ns0:t>
        </ns0:is>
      </ns0:c>
      <ns0:c r="F15" s="5" t="inlineStr">
        <ns0:is>
          <ns0:t>保留资料已有值</ns0:t>
        </ns0:is>
      </ns0:c>
      <ns0:c r="G15" s="5" t="inlineStr">
        <ns0:is>
          <ns0:t>已有同名配置／品级一致；其他差异见12表</ns0:t>
        </ns0:is>
      </ns0:c>
      <ns0:c r="H15" s="5" t="inlineStr">
        <ns0:is>
          <ns0:t>B2；C覆盖</ns0:t>
        </ns0:is>
      </ns0:c>
    </ns0:row>
    <ns0:row r="16" ht="30" customHeight="1">
      <ns0:c r="A16" s="4" t="inlineStr">
        <ns0:is>
          <ns0:t>t01.asset.0011</ns0:t>
        </ns0:is>
      </ns0:c>
      <ns0:c r="B16" s="7" t="str">
        <ns0:f>'03_防具'!B7</ns0:f>
        <ns0:v>铁甲</ns0:v>
      </ns0:c>
      <ns0:c r="C16" s="7" t="str">
        <ns0:f>'03_防具'!C7</ns0:f>
        <ns0:v>下品</ns0:v>
      </ns0:c>
      <ns0:c r="D16" s="4" t="inlineStr">
        <ns0:is>
          <ns0:t>防具</ns0:t>
        </ns0:is>
      </ns0:c>
      <ns0:c r="E16" s="8" t="inlineStr">
        <ns0:is>
          <ns0:t>03_防具!A7</ns0:t>
        </ns0:is>
      </ns0:c>
      <ns0:c r="F16" s="4" t="inlineStr">
        <ns0:is>
          <ns0:t>新增试玩候选；本体6秒</ns0:t>
        </ns0:is>
      </ns0:c>
      <ns0:c r="G16" s="4" t="inlineStr">
        <ns0:is>
          <ns0:t>尚无正式游戏配置</ns0:t>
        </ns0:is>
      </ns0:c>
      <ns0:c r="H16" s="4" t="inlineStr">
        <ns0:is>
          <ns0:t>B2；C覆盖</ns0:t>
        </ns0:is>
      </ns0:c>
    </ns0:row>
    <ns0:row r="17" ht="30" customHeight="1">
      <ns0:c r="A17" s="5" t="inlineStr">
        <ns0:is>
          <ns0:t>t01.asset.0012</ns0:t>
        </ns0:is>
      </ns0:c>
      <ns0:c r="B17" s="9" t="str">
        <ns0:f>'03_防具'!B8</ns0:f>
        <ns0:v>旧铁盔</ns0:v>
      </ns0:c>
      <ns0:c r="C17" s="9" t="str">
        <ns0:f>'03_防具'!C8</ns0:f>
        <ns0:v>下品</ns0:v>
      </ns0:c>
      <ns0:c r="D17" s="5" t="inlineStr">
        <ns0:is>
          <ns0:t>防具</ns0:t>
        </ns0:is>
      </ns0:c>
      <ns0:c r="E17" s="10" t="inlineStr">
        <ns0:is>
          <ns0:t>03_防具!A8</ns0:t>
        </ns0:is>
      </ns0:c>
      <ns0:c r="F17" s="5" t="inlineStr">
        <ns0:is>
          <ns0:t>保留资料已有值；补甲型</ns0:t>
        </ns0:is>
      </ns0:c>
      <ns0:c r="G17" s="5" t="inlineStr">
        <ns0:is>
          <ns0:t>已有同名配置／品级一致；其他差异见12表</ns0:t>
        </ns0:is>
      </ns0:c>
      <ns0:c r="H17" s="5" t="inlineStr">
        <ns0:is>
          <ns0:t>B2；C覆盖</ns0:t>
        </ns0:is>
      </ns0:c>
    </ns0:row>
    <ns0:row r="18" ht="30" customHeight="1">
      <ns0:c r="A18" s="4" t="inlineStr">
        <ns0:is>
          <ns0:t>t01.asset.0013</ns0:t>
        </ns0:is>
      </ns0:c>
      <ns0:c r="B18" s="7" t="str">
        <ns0:f>'03_防具'!B9</ns0:f>
        <ns0:v>木圆盾</ns0:v>
      </ns0:c>
      <ns0:c r="C18" s="7" t="str">
        <ns0:f>'03_防具'!C9</ns0:f>
        <ns0:v>下品</ns0:v>
      </ns0:c>
      <ns0:c r="D18" s="4" t="inlineStr">
        <ns0:is>
          <ns0:t>防具</ns0:t>
        </ns0:is>
      </ns0:c>
      <ns0:c r="E18" s="8" t="inlineStr">
        <ns0:is>
          <ns0:t>03_防具!A9</ns0:t>
        </ns0:is>
      </ns0:c>
      <ns0:c r="F18" s="4" t="inlineStr">
        <ns0:is>
          <ns0:t>保留资料已有值；补甲型</ns0:t>
        </ns0:is>
      </ns0:c>
      <ns0:c r="G18" s="4" t="inlineStr">
        <ns0:is>
          <ns0:t>已有同名配置／品级一致；其他差异见12表</ns0:t>
        </ns0:is>
      </ns0:c>
      <ns0:c r="H18" s="4" t="inlineStr">
        <ns0:is>
          <ns0:t>B2；C覆盖</ns0:t>
        </ns0:is>
      </ns0:c>
    </ns0:row>
    <ns0:row r="19" ht="30" customHeight="1">
      <ns0:c r="A19" s="5" t="inlineStr">
        <ns0:is>
          <ns0:t>t01.asset.0014</ns0:t>
        </ns0:is>
      </ns0:c>
      <ns0:c r="B19" s="9" t="str">
        <ns0:f>'03_防具'!B10</ns0:f>
        <ns0:v>布护臂</ns0:v>
      </ns0:c>
      <ns0:c r="C19" s="9" t="str">
        <ns0:f>'03_防具'!C10</ns0:f>
        <ns0:v>下品</ns0:v>
      </ns0:c>
      <ns0:c r="D19" s="5" t="inlineStr">
        <ns0:is>
          <ns0:t>防具</ns0:t>
        </ns0:is>
      </ns0:c>
      <ns0:c r="E19" s="10" t="inlineStr">
        <ns0:is>
          <ns0:t>03_防具!A10</ns0:t>
        </ns0:is>
      </ns0:c>
      <ns0:c r="F19" s="5" t="inlineStr">
        <ns0:is>
          <ns0:t>新增试玩候选</ns0:t>
        </ns0:is>
      </ns0:c>
      <ns0:c r="G19" s="5" t="inlineStr">
        <ns0:is>
          <ns0:t>尚无正式游戏配置</ns0:t>
        </ns0:is>
      </ns0:c>
      <ns0:c r="H19" s="5" t="inlineStr">
        <ns0:is>
          <ns0:t>B2；C覆盖</ns0:t>
        </ns0:is>
      </ns0:c>
    </ns0:row>
    <ns0:row r="20" ht="30" customHeight="1">
      <ns0:c r="A20" s="4" t="inlineStr">
        <ns0:is>
          <ns0:t>t01.asset.0015</ns0:t>
        </ns0:is>
      </ns0:c>
      <ns0:c r="B20" s="7" t="str">
        <ns0:f>'03_防具'!B11</ns0:f>
        <ns0:v>布护腿</ns0:v>
      </ns0:c>
      <ns0:c r="C20" s="7" t="str">
        <ns0:f>'03_防具'!C11</ns0:f>
        <ns0:v>下品</ns0:v>
      </ns0:c>
      <ns0:c r="D20" s="4" t="inlineStr">
        <ns0:is>
          <ns0:t>防具</ns0:t>
        </ns0:is>
      </ns0:c>
      <ns0:c r="E20" s="8" t="inlineStr">
        <ns0:is>
          <ns0:t>03_防具!A11</ns0:t>
        </ns0:is>
      </ns0:c>
      <ns0:c r="F20" s="4" t="inlineStr">
        <ns0:is>
          <ns0:t>新增试玩候选</ns0:t>
        </ns0:is>
      </ns0:c>
      <ns0:c r="G20" s="4" t="inlineStr">
        <ns0:is>
          <ns0:t>尚无正式游戏配置</ns0:t>
        </ns0:is>
      </ns0:c>
      <ns0:c r="H20" s="4" t="inlineStr">
        <ns0:is>
          <ns0:t>B2；C覆盖</ns0:t>
        </ns0:is>
      </ns0:c>
    </ns0:row>
    <ns0:row r="21" ht="30" customHeight="1">
      <ns0:c r="A21" s="5" t="inlineStr">
        <ns0:is>
          <ns0:t>t01.asset.0016</ns0:t>
        </ns0:is>
      </ns0:c>
      <ns0:c r="B21" s="9" t="str">
        <ns0:f>'03_防具'!B12</ns0:f>
        <ns0:v>铁护臂</ns0:v>
      </ns0:c>
      <ns0:c r="C21" s="9" t="str">
        <ns0:f>'03_防具'!C12</ns0:f>
        <ns0:v>下品</ns0:v>
      </ns0:c>
      <ns0:c r="D21" s="5" t="inlineStr">
        <ns0:is>
          <ns0:t>防具</ns0:t>
        </ns0:is>
      </ns0:c>
      <ns0:c r="E21" s="10" t="inlineStr">
        <ns0:is>
          <ns0:t>03_防具!A12</ns0:t>
        </ns0:is>
      </ns0:c>
      <ns0:c r="F21" s="5" t="inlineStr">
        <ns0:is>
          <ns0:t>C新增试玩候选</ns0:t>
        </ns0:is>
      </ns0:c>
      <ns0:c r="G21" s="5" t="inlineStr">
        <ns0:is>
          <ns0:t>尚无正式游戏配置</ns0:t>
        </ns0:is>
      </ns0:c>
      <ns0:c r="H21" s="5" t="inlineStr">
        <ns0:is>
          <ns0:t>C</ns0:t>
        </ns0:is>
      </ns0:c>
    </ns0:row>
    <ns0:row r="22" ht="30" customHeight="1">
      <ns0:c r="A22" s="4" t="inlineStr">
        <ns0:is>
          <ns0:t>t01.asset.0017</ns0:t>
        </ns0:is>
      </ns0:c>
      <ns0:c r="B22" s="7" t="str">
        <ns0:f>'03_防具'!B13</ns0:f>
        <ns0:v>铁护腿</ns0:v>
      </ns0:c>
      <ns0:c r="C22" s="7" t="str">
        <ns0:f>'03_防具'!C13</ns0:f>
        <ns0:v>下品</ns0:v>
      </ns0:c>
      <ns0:c r="D22" s="4" t="inlineStr">
        <ns0:is>
          <ns0:t>防具</ns0:t>
        </ns0:is>
      </ns0:c>
      <ns0:c r="E22" s="8" t="inlineStr">
        <ns0:is>
          <ns0:t>03_防具!A13</ns0:t>
        </ns0:is>
      </ns0:c>
      <ns0:c r="F22" s="4" t="inlineStr">
        <ns0:is>
          <ns0:t>C新增试玩候选</ns0:t>
        </ns0:is>
      </ns0:c>
      <ns0:c r="G22" s="4" t="inlineStr">
        <ns0:is>
          <ns0:t>尚无正式游戏配置</ns0:t>
        </ns0:is>
      </ns0:c>
      <ns0:c r="H22" s="4" t="inlineStr">
        <ns0:is>
          <ns0:t>C</ns0:t>
        </ns0:is>
      </ns0:c>
    </ns0:row>
    <ns0:row r="23" ht="30" customHeight="1">
      <ns0:c r="A23" s="5" t="inlineStr">
        <ns0:is>
          <ns0:t>t01.asset.0018</ns0:t>
        </ns0:is>
      </ns0:c>
      <ns0:c r="B23" s="9" t="str">
        <ns0:f>'04_法器'!B6</ns0:f>
        <ns0:v>温玉佩</ns0:v>
      </ns0:c>
      <ns0:c r="C23" s="9" t="str">
        <ns0:f>'04_法器'!C6</ns0:f>
        <ns0:v>下品</ns0:v>
      </ns0:c>
      <ns0:c r="D23" s="5" t="inlineStr">
        <ns0:is>
          <ns0:t>法器</ns0:t>
        </ns0:is>
      </ns0:c>
      <ns0:c r="E23" s="10" t="inlineStr">
        <ns0:is>
          <ns0:t>04_法器!A6</ns0:t>
        </ns0:is>
      </ns0:c>
      <ns0:c r="F23" s="5" t="inlineStr">
        <ns0:is>
          <ns0:t>保留已有值</ns0:t>
        </ns0:is>
      </ns0:c>
      <ns0:c r="G23" s="5" t="inlineStr">
        <ns0:is>
          <ns0:t>已有同名配置／品级一致；其他差异见12表</ns0:t>
        </ns0:is>
      </ns0:c>
      <ns0:c r="H23" s="5" t="inlineStr">
        <ns0:is>
          <ns0:t>B3</ns0:t>
        </ns0:is>
      </ns0:c>
    </ns0:row>
    <ns0:row r="24" ht="30" customHeight="1">
      <ns0:c r="A24" s="4" t="inlineStr">
        <ns0:is>
          <ns0:t>t01.asset.0019</ns0:t>
        </ns0:is>
      </ns0:c>
      <ns0:c r="B24" s="7" t="str">
        <ns0:f>'04_法器'!B7</ns0:f>
        <ns0:v>回春玉</ns0:v>
      </ns0:c>
      <ns0:c r="C24" s="7" t="str">
        <ns0:f>'04_法器'!C7</ns0:f>
        <ns0:v>下品</ns0:v>
      </ns0:c>
      <ns0:c r="D24" s="4" t="inlineStr">
        <ns0:is>
          <ns0:t>法器</ns0:t>
        </ns0:is>
      </ns0:c>
      <ns0:c r="E24" s="8" t="inlineStr">
        <ns0:is>
          <ns0:t>04_法器!A7</ns0:t>
        </ns0:is>
      </ns0:c>
      <ns0:c r="F24" s="4" t="inlineStr">
        <ns0:is>
          <ns0:t>新增试玩候选</ns0:t>
        </ns0:is>
      </ns0:c>
      <ns0:c r="G24" s="4" t="inlineStr">
        <ns0:is>
          <ns0:t>尚无正式游戏配置</ns0:t>
        </ns0:is>
      </ns0:c>
      <ns0:c r="H24" s="4" t="inlineStr">
        <ns0:is>
          <ns0:t>B3</ns0:t>
        </ns0:is>
      </ns0:c>
    </ns0:row>
    <ns0:row r="25" ht="30" customHeight="1">
      <ns0:c r="A25" s="5" t="inlineStr">
        <ns0:is>
          <ns0:t>t01.asset.0020</ns0:t>
        </ns0:is>
      </ns0:c>
      <ns0:c r="B25" s="9" t="str">
        <ns0:f>'04_法器'!B8</ns0:f>
        <ns0:v>养息珠</ns0:v>
      </ns0:c>
      <ns0:c r="C25" s="9" t="str">
        <ns0:f>'04_法器'!C8</ns0:f>
        <ns0:v>下品</ns0:v>
      </ns0:c>
      <ns0:c r="D25" s="5" t="inlineStr">
        <ns0:is>
          <ns0:t>法器</ns0:t>
        </ns0:is>
      </ns0:c>
      <ns0:c r="E25" s="10" t="inlineStr">
        <ns0:is>
          <ns0:t>04_法器!A8</ns0:t>
        </ns0:is>
      </ns0:c>
      <ns0:c r="F25" s="5" t="inlineStr">
        <ns0:is>
          <ns0:t>新增试玩候选</ns0:t>
        </ns0:is>
      </ns0:c>
      <ns0:c r="G25" s="5" t="inlineStr">
        <ns0:is>
          <ns0:t>尚无正式游戏配置</ns0:t>
        </ns0:is>
      </ns0:c>
      <ns0:c r="H25" s="5" t="inlineStr">
        <ns0:is>
          <ns0:t>B3</ns0:t>
        </ns0:is>
      </ns0:c>
    </ns0:row>
    <ns0:row r="26" ht="30" customHeight="1">
      <ns0:c r="A26" s="4" t="inlineStr">
        <ns0:is>
          <ns0:t>t01.asset.0021</ns0:t>
        </ns0:is>
      </ns0:c>
      <ns0:c r="B26" s="7" t="str">
        <ns0:f>'04_法器'!B9</ns0:f>
        <ns0:v>聚灵珠</ns0:v>
      </ns0:c>
      <ns0:c r="C26" s="7" t="str">
        <ns0:f>'04_法器'!C9</ns0:f>
        <ns0:v>下品</ns0:v>
      </ns0:c>
      <ns0:c r="D26" s="4" t="inlineStr">
        <ns0:is>
          <ns0:t>法器</ns0:t>
        </ns0:is>
      </ns0:c>
      <ns0:c r="E26" s="8" t="inlineStr">
        <ns0:is>
          <ns0:t>04_法器!A9</ns0:t>
        </ns0:is>
      </ns0:c>
      <ns0:c r="F26" s="4" t="inlineStr">
        <ns0:is>
          <ns0:t>新增试玩候选</ns0:t>
        </ns0:is>
      </ns0:c>
      <ns0:c r="G26" s="4" t="inlineStr">
        <ns0:is>
          <ns0:t>尚无正式游戏配置</ns0:t>
        </ns0:is>
      </ns0:c>
      <ns0:c r="H26" s="4" t="inlineStr">
        <ns0:is>
          <ns0:t>B3</ns0:t>
        </ns0:is>
      </ns0:c>
    </ns0:row>
    <ns0:row r="27" ht="30" customHeight="1">
      <ns0:c r="A27" s="5" t="inlineStr">
        <ns0:is>
          <ns0:t>t01.asset.0022</ns0:t>
        </ns0:is>
      </ns0:c>
      <ns0:c r="B27" s="9" t="str">
        <ns0:f>'05_丹药'!B6</ns0:f>
        <ns0:v>止血丹</ns0:v>
      </ns0:c>
      <ns0:c r="C27" s="9" t="str">
        <ns0:f>'05_丹药'!C6</ns0:f>
        <ns0:v>下品</ns0:v>
      </ns0:c>
      <ns0:c r="D27" s="5" t="inlineStr">
        <ns0:is>
          <ns0:t>丹药</ns0:t>
        </ns0:is>
      </ns0:c>
      <ns0:c r="E27" s="10" t="inlineStr">
        <ns0:is>
          <ns0:t>05_丹药!A6</ns0:t>
        </ns0:is>
      </ns0:c>
      <ns0:c r="F27" s="5" t="inlineStr">
        <ns0:is>
          <ns0:t>保留资料已有值</ns0:t>
        </ns0:is>
      </ns0:c>
      <ns0:c r="G27" s="5" t="inlineStr">
        <ns0:is>
          <ns0:t>已有同名配置／品级一致；其他差异见12表</ns0:t>
        </ns0:is>
      </ns0:c>
      <ns0:c r="H27" s="5" t="inlineStr">
        <ns0:is>
          <ns0:t>B4</ns0:t>
        </ns0:is>
      </ns0:c>
    </ns0:row>
    <ns0:row r="28" ht="30" customHeight="1">
      <ns0:c r="A28" s="4" t="inlineStr">
        <ns0:is>
          <ns0:t>t01.asset.0023</ns0:t>
        </ns0:is>
      </ns0:c>
      <ns0:c r="B28" s="7" t="str">
        <ns0:f>'05_丹药'!B7</ns0:f>
        <ns0:v>强筋丸</ns0:v>
      </ns0:c>
      <ns0:c r="C28" s="7" t="str">
        <ns0:f>'05_丹药'!C7</ns0:f>
        <ns0:v>下品</ns0:v>
      </ns0:c>
      <ns0:c r="D28" s="4" t="inlineStr">
        <ns0:is>
          <ns0:t>丹药</ns0:t>
        </ns0:is>
      </ns0:c>
      <ns0:c r="E28" s="8" t="inlineStr">
        <ns0:is>
          <ns0:t>05_丹药!A7</ns0:t>
        </ns0:is>
      </ns0:c>
      <ns0:c r="F28" s="4" t="inlineStr">
        <ns0:is>
          <ns0:t>保留资料已有值</ns0:t>
        </ns0:is>
      </ns0:c>
      <ns0:c r="G28" s="4" t="inlineStr">
        <ns0:is>
          <ns0:t>已有同名配置／品级一致；其他差异见12表</ns0:t>
        </ns0:is>
      </ns0:c>
      <ns0:c r="H28" s="4" t="inlineStr">
        <ns0:is>
          <ns0:t>B4</ns0:t>
        </ns0:is>
      </ns0:c>
    </ns0:row>
    <ns0:row r="29" ht="30" customHeight="1">
      <ns0:c r="A29" s="5" t="inlineStr">
        <ns0:is>
          <ns0:t>t01.asset.0024</ns0:t>
        </ns0:is>
      </ns0:c>
      <ns0:c r="B29" s="9" t="str">
        <ns0:f>'05_丹药'!B8</ns0:f>
        <ns0:v>消毒散</ns0:v>
      </ns0:c>
      <ns0:c r="C29" s="9" t="str">
        <ns0:f>'05_丹药'!C8</ns0:f>
        <ns0:v>下品</ns0:v>
      </ns0:c>
      <ns0:c r="D29" s="5" t="inlineStr">
        <ns0:is>
          <ns0:t>丹药</ns0:t>
        </ns0:is>
      </ns0:c>
      <ns0:c r="E29" s="10" t="inlineStr">
        <ns0:is>
          <ns0:t>05_丹药!A8</ns0:t>
        </ns0:is>
      </ns0:c>
      <ns0:c r="F29" s="5" t="inlineStr">
        <ns0:is>
          <ns0:t>保留资料已有值</ns0:t>
        </ns0:is>
      </ns0:c>
      <ns0:c r="G29" s="5" t="inlineStr">
        <ns0:is>
          <ns0:t>已有同名配置／品级一致；其他差异见12表</ns0:t>
        </ns0:is>
      </ns0:c>
      <ns0:c r="H29" s="5" t="inlineStr">
        <ns0:is>
          <ns0:t>B4</ns0:t>
        </ns0:is>
      </ns0:c>
    </ns0:row>
    <ns0:row r="30" ht="30" customHeight="1">
      <ns0:c r="A30" s="4" t="inlineStr">
        <ns0:is>
          <ns0:t>t01.asset.0025</ns0:t>
        </ns0:is>
      </ns0:c>
      <ns0:c r="B30" s="7" t="str">
        <ns0:f>'05_丹药'!B9</ns0:f>
        <ns0:v>回灵丹</ns0:v>
      </ns0:c>
      <ns0:c r="C30" s="7" t="str">
        <ns0:f>'05_丹药'!C9</ns0:f>
        <ns0:v>下品</ns0:v>
      </ns0:c>
      <ns0:c r="D30" s="4" t="inlineStr">
        <ns0:is>
          <ns0:t>丹药</ns0:t>
        </ns0:is>
      </ns0:c>
      <ns0:c r="E30" s="8" t="inlineStr">
        <ns0:is>
          <ns0:t>05_丹药!A9</ns0:t>
        </ns0:is>
      </ns0:c>
      <ns0:c r="F30" s="4" t="inlineStr">
        <ns0:is>
          <ns0:t>新增试玩候选</ns0:t>
        </ns0:is>
      </ns0:c>
      <ns0:c r="G30" s="4" t="inlineStr">
        <ns0:is>
          <ns0:t>尚无正式游戏配置</ns0:t>
        </ns0:is>
      </ns0:c>
      <ns0:c r="H30" s="4" t="inlineStr">
        <ns0:is>
          <ns0:t>B4</ns0:t>
        </ns0:is>
      </ns0:c>
    </ns0:row>
    <ns0:row r="31" ht="30" customHeight="1">
      <ns0:c r="A31" s="5" t="inlineStr">
        <ns0:is>
          <ns0:t>t01.asset.0026</ns0:t>
        </ns0:is>
      </ns0:c>
      <ns0:c r="B31" s="9" t="str">
        <ns0:f>'05_丹药'!B10</ns0:f>
        <ns0:v>金疮散</ns0:v>
      </ns0:c>
      <ns0:c r="C31" s="9" t="str">
        <ns0:f>'05_丹药'!C10</ns0:f>
        <ns0:v>下品</ns0:v>
      </ns0:c>
      <ns0:c r="D31" s="5" t="inlineStr">
        <ns0:is>
          <ns0:t>丹药</ns0:t>
        </ns0:is>
      </ns0:c>
      <ns0:c r="E31" s="10" t="inlineStr">
        <ns0:is>
          <ns0:t>05_丹药!A10</ns0:t>
        </ns0:is>
      </ns0:c>
      <ns0:c r="F31" s="5" t="inlineStr">
        <ns0:is>
          <ns0:t>新增试玩候选</ns0:t>
        </ns0:is>
      </ns0:c>
      <ns0:c r="G31" s="5" t="inlineStr">
        <ns0:is>
          <ns0:t>尚无正式游戏配置</ns0:t>
        </ns0:is>
      </ns0:c>
      <ns0:c r="H31" s="5" t="inlineStr">
        <ns0:is>
          <ns0:t>B4</ns0:t>
        </ns0:is>
      </ns0:c>
    </ns0:row>
    <ns0:row r="32" ht="30" customHeight="1">
      <ns0:c r="A32" s="4" t="inlineStr">
        <ns0:is>
          <ns0:t>t01.asset.0027</ns0:t>
        </ns0:is>
      </ns0:c>
      <ns0:c r="B32" s="7" t="str">
        <ns0:f>'05_丹药'!B11</ns0:f>
        <ns0:v>回元散</ns0:v>
      </ns0:c>
      <ns0:c r="C32" s="7" t="str">
        <ns0:f>'05_丹药'!C11</ns0:f>
        <ns0:v>下品</ns0:v>
      </ns0:c>
      <ns0:c r="D32" s="4" t="inlineStr">
        <ns0:is>
          <ns0:t>丹药</ns0:t>
        </ns0:is>
      </ns0:c>
      <ns0:c r="E32" s="8" t="inlineStr">
        <ns0:is>
          <ns0:t>05_丹药!A11</ns0:t>
        </ns0:is>
      </ns0:c>
      <ns0:c r="F32" s="4" t="inlineStr">
        <ns0:is>
          <ns0:t>新增试玩候选</ns0:t>
        </ns0:is>
      </ns0:c>
      <ns0:c r="G32" s="4" t="inlineStr">
        <ns0:is>
          <ns0:t>尚无正式游戏配置</ns0:t>
        </ns0:is>
      </ns0:c>
      <ns0:c r="H32" s="4" t="inlineStr">
        <ns0:is>
          <ns0:t>B4</ns0:t>
        </ns0:is>
      </ns0:c>
    </ns0:row>
  </ns0:sheetData>
  <ns0:mergeCells count="2">
    <ns0:mergeCell ref="A2:H2"/>
    <ns0:mergeCell ref="A1:H1"/>
  </ns0:mergeCells>
  <ns0:hyperlinks>
    <ns0:hyperlink ref="E6" ns1:id="rId1"/>
    <ns0:hyperlink ref="E7" ns1:id="rId2"/>
    <ns0:hyperlink ref="E8" ns1:id="rId3"/>
    <ns0:hyperlink ref="E9" ns1:id="rId4"/>
    <ns0:hyperlink ref="E10" ns1:id="rId5"/>
    <ns0:hyperlink ref="E11" ns1:id="rId6"/>
    <ns0:hyperlink ref="E12" ns1:id="rId7"/>
    <ns0:hyperlink ref="E13" ns1:id="rId8"/>
    <ns0:hyperlink ref="E14" ns1:id="rId9"/>
    <ns0:hyperlink ref="E15" ns1:id="rId10"/>
    <ns0:hyperlink ref="E16" ns1:id="rId11"/>
    <ns0:hyperlink ref="E17" ns1:id="rId12"/>
    <ns0:hyperlink ref="E18" ns1:id="rId13"/>
    <ns0:hyperlink ref="E19" ns1:id="rId14"/>
    <ns0:hyperlink ref="E20" ns1:id="rId15"/>
    <ns0:hyperlink ref="E21" ns1:id="rId16"/>
    <ns0:hyperlink ref="E22" ns1:id="rId17"/>
    <ns0:hyperlink ref="E23" ns1:id="rId18"/>
    <ns0:hyperlink ref="E24" ns1:id="rId19"/>
    <ns0:hyperlink ref="E25" ns1:id="rId20"/>
    <ns0:hyperlink ref="E26" ns1:id="rId21"/>
    <ns0:hyperlink ref="E27" ns1:id="rId22"/>
    <ns0:hyperlink ref="E28" ns1:id="rId23"/>
    <ns0:hyperlink ref="E29" ns1:id="rId24"/>
    <ns0:hyperlink ref="E30" ns1:id="rId25"/>
    <ns0:hyperlink ref="E31" ns1:id="rId26"/>
    <ns0:hyperlink ref="E32" ns1:id="rId27"/>
  </ns0:hyperlinks>
  <ns0:pageMargins left="0.75" right="0.75" top="1" bottom="1" header="0.5" footer="0.5"/>
  <ns0:pageSetup orientation="landscape" paperSize="8" fitToHeight="0" fitToWidth="1"/>
  <ns0:tableParts count="1">
    <ns0:tablePart ns1:id="rId28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V14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13" customWidth="1" min="5" max="5"/>
    <ns0:col width="16" customWidth="1" min="6" max="6"/>
    <ns0:col width="9" customWidth="1" min="7" max="7"/>
    <ns0:col width="9" customWidth="1" min="8" max="8"/>
    <ns0:col width="12" customWidth="1" min="9" max="9"/>
    <ns0:col width="13" customWidth="1" min="10" max="10"/>
    <ns0:col width="14" customWidth="1" min="11" max="11"/>
    <ns0:col width="15" customWidth="1" min="12" max="12"/>
    <ns0:col width="13" customWidth="1" min="13" max="13"/>
    <ns0:col width="13" customWidth="1" min="14" max="14"/>
    <ns0:col width="14" customWidth="1" min="15" max="15"/>
    <ns0:col width="39" customWidth="1" min="16" max="16"/>
    <ns0:col width="31" customWidth="1" min="17" max="17"/>
    <ns0:col width="58" customWidth="1" min="18" max="18"/>
    <ns0:col width="36" customWidth="1" min="19" max="19"/>
    <ns0:col width="46" customWidth="1" min="20" max="20"/>
    <ns0:col width="32" customWidth="1" min="21" max="21"/>
    <ns0:col width="14" customWidth="1" min="22" max="22"/>
  </ns0:cols>
  <ns0:sheetData>
    <ns0:row r="1" ht="32" customHeight="1">
      <ns0:c r="A1" s="1" t="inlineStr">
        <ns0:is>
          <ns0:t>t01-08｜武器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器型</ns0:t>
        </ns0:is>
      </ns0:c>
      <ns0:c r="F5" s="3" t="inlineStr">
        <ns0:is>
          <ns0:t>Attack Type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设计伤害</ns0:t>
        </ns0:is>
      </ns0:c>
      <ns0:c r="K5" s="3" t="inlineStr">
        <ns0:is>
          <ns0:t>设计CD_秒</ns0:t>
        </ns0:is>
      </ns0:c>
      <ns0:c r="L5" s="3" t="inlineStr">
        <ns0:is>
          <ns0:t>设计体力费</ns0:t>
        </ns0:is>
      </ns0:c>
      <ns0:c r="M5" s="3" t="inlineStr">
        <ns0:is>
          <ns0:t>伤害相对档</ns0:t>
        </ns0:is>
      </ns0:c>
      <ns0:c r="N5" s="3" t="inlineStr">
        <ns0:is>
          <ns0:t>CD相对档</ns0:t>
        </ns0:is>
      </ns0:c>
      <ns0:c r="O5" s="3" t="inlineStr">
        <ns0:is>
          <ns0:t>体力相对档</ns0:t>
        </ns0:is>
      </ns0:c>
      <ns0:c r="P5" s="3" t="inlineStr">
        <ns0:is>
          <ns0:t>基础战斗性格</ns0:t>
        </ns0:is>
      </ns0:c>
      <ns0:c r="Q5" s="3" t="inlineStr">
        <ns0:is>
          <ns0:t>后续元素倾向_非本件</ns0:t>
        </ns0:is>
      </ns0:c>
      <ns0:c r="R5" s="3" t="inlineStr">
        <ns0:is>
          <ns0:t>边界</ns0:t>
        </ns0:is>
      </ns0:c>
      <ns0:c r="S5" s="3" t="inlineStr">
        <ns0:is>
          <ns0:t>机制引用</ns0:t>
        </ns0:is>
      </ns0:c>
      <ns0:c r="T5" s="3" t="inlineStr">
        <ns0:is>
          <ns0:t>现有游戏ID</ns0:t>
        </ns0:is>
      </ns0:c>
      <ns0:c r="U5" s="3" t="inlineStr">
        <ns0:is>
          <ns0:t>设计状态</ns0:t>
        </ns0:is>
      </ns0:c>
      <ns0:c r="V5" s="3" t="inlineStr">
        <ns0:is>
          <ns0:t>来源</ns0:t>
        </ns0:is>
      </ns0:c>
    </ns0:row>
    <ns0:row r="6" ht="30" customHeight="1">
      <ns0:c r="A6" s="4" t="inlineStr">
        <ns0:is>
          <ns0:t>t01.asset.0001</ns0:t>
        </ns0:is>
      </ns0:c>
      <ns0:c r="B6" s="4" t="inlineStr">
        <ns0:is>
          <ns0:t>青石短剑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剑</ns0:t>
        </ns0:is>
      </ns0:c>
      <ns0:c r="F6" s="4" t="inlineStr">
        <ns0:is>
          <ns0:t>斩击</ns0:t>
        </ns0:is>
      </ns0:c>
      <ns0:c r="G6" s="4" t="n">
        <ns0:v>1</ns0:v>
      </ns0:c>
      <ns0:c r="H6" s="4" t="n">
        <ns0:v>2</ns0:v>
      </ns0:c>
      <ns0:c r="I6" s="7">
        <ns0:f>G6*H6</ns0:f>
        <ns0:v>2</ns0:v>
      </ns0:c>
      <ns0:c r="J6" s="4" t="n"/>
      <ns0:c r="K6" s="4" t="n"/>
      <ns0:c r="L6" s="4" t="n"/>
      <ns0:c r="M6" s="4" t="inlineStr">
        <ns0:is>
          <ns0:t>中</ns0:t>
        </ns0:is>
      </ns0:c>
      <ns0:c r="N6" s="4" t="inlineStr">
        <ns0:is>
          <ns0:t>中</ns0:t>
        </ns0:is>
      </ns0:c>
      <ns0:c r="O6" s="4" t="inlineStr">
        <ns0:is>
          <ns0:t>中</ns0:t>
        </ns0:is>
      </ns0:c>
      <ns0:c r="P6" s="4" t="inlineStr">
        <ns0:is>
          <ns0:t>均衡斩击基准</ns0:t>
        </ns0:is>
      </ns0:c>
      <ns0:c r="Q6" s="4" t="inlineStr">
        <ns0:is>
          <ns0:t>火、水</ns0:t>
        </ns0:is>
      </ns0:c>
      <ns0:c r="R6" s="4" t="inlineStr">
        <ns0:is>
          <ns0:t>不带状态／控制／邻接；无射程，猎弓不耗箭；石印为武器。</ns0:t>
        </ns0:is>
      </ns0:c>
      <ns0:c r="S6" s="4" t="inlineStr">
        <ns0:is>
          <ns0:t>01 M01/M06/M08；03权限；04九器型</ns0:t>
        </ns0:is>
      </ns0:c>
      <ns0:c r="T6" s="4" t="inlineStr">
        <ns0:is>
          <ns0:t>base.map_item.qingshi_short_sword</ns0:t>
        </ns0:is>
      </ns0:c>
      <ns0:c r="U6" s="6" t="inlineStr">
        <ns0:is>
          <ns0:t>待绝对数值；非生产配置</ns0:t>
        </ns0:is>
      </ns0:c>
      <ns0:c r="V6" s="4" t="inlineStr">
        <ns0:is>
          <ns0:t>A；U</ns0:t>
        </ns0:is>
      </ns0:c>
    </ns0:row>
    <ns0:row r="7" ht="30" customHeight="1">
      <ns0:c r="A7" s="5" t="inlineStr">
        <ns0:is>
          <ns0:t>t01.asset.0002</ns0:t>
        </ns0:is>
      </ns0:c>
      <ns0:c r="B7" s="5" t="inlineStr">
        <ns0:is>
          <ns0:t>铁刀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佩刀</ns0:t>
        </ns0:is>
      </ns0:c>
      <ns0:c r="F7" s="5" t="inlineStr">
        <ns0:is>
          <ns0:t>斩击</ns0:t>
        </ns0:is>
      </ns0:c>
      <ns0:c r="G7" s="5" t="n">
        <ns0:v>1</ns0:v>
      </ns0:c>
      <ns0:c r="H7" s="5" t="n">
        <ns0:v>1</ns0:v>
      </ns0:c>
      <ns0:c r="I7" s="9">
        <ns0:f>G7*H7</ns0:f>
        <ns0:v>1</ns0:v>
      </ns0:c>
      <ns0:c r="J7" s="5" t="n"/>
      <ns0:c r="K7" s="5" t="n"/>
      <ns0:c r="L7" s="5" t="n"/>
      <ns0:c r="M7" s="5" t="inlineStr">
        <ns0:is>
          <ns0:t>中低</ns0:t>
        </ns0:is>
      </ns0:c>
      <ns0:c r="N7" s="5" t="inlineStr">
        <ns0:is>
          <ns0:t>中短</ns0:t>
        </ns0:is>
      </ns0:c>
      <ns0:c r="O7" s="5" t="inlineStr">
        <ns0:is>
          <ns0:t>中低</ns0:t>
        </ns0:is>
      </ns0:c>
      <ns0:c r="P7" s="5" t="inlineStr">
        <ns0:is>
          <ns0:t>紧凑、以空间换单击收益</ns0:t>
        </ns0:is>
      </ns0:c>
      <ns0:c r="Q7" s="5" t="inlineStr">
        <ns0:is>
          <ns0:t>金、火</ns0:t>
        </ns0:is>
      </ns0:c>
      <ns0:c r="R7" s="5" t="inlineStr">
        <ns0:is>
          <ns0:t>不带状态／控制／邻接；无射程，猎弓不耗箭；石印为武器。</ns0:t>
        </ns0:is>
      </ns0:c>
      <ns0:c r="S7" s="5" t="inlineStr">
        <ns0:is>
          <ns0:t>01 M01/M06/M08；03权限；04九器型</ns0:t>
        </ns0:is>
      </ns0:c>
      <ns0:c r="T7" s="5" t="inlineStr">
        <ns0:is>
          <ns0:t>未配置</ns0:t>
        </ns0:is>
      </ns0:c>
      <ns0:c r="U7" s="6" t="inlineStr">
        <ns0:is>
          <ns0:t>待绝对数值；非生产配置</ns0:t>
        </ns0:is>
      </ns0:c>
      <ns0:c r="V7" s="5" t="inlineStr">
        <ns0:is>
          <ns0:t>A；U</ns0:t>
        </ns0:is>
      </ns0:c>
    </ns0:row>
    <ns0:row r="8" ht="30" customHeight="1">
      <ns0:c r="A8" s="4" t="inlineStr">
        <ns0:is>
          <ns0:t>t01.asset.0003</ns0:t>
        </ns0:is>
      </ns0:c>
      <ns0:c r="B8" s="4" t="inlineStr">
        <ns0:is>
          <ns0:t>柴斧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斧</ns0:t>
        </ns0:is>
      </ns0:c>
      <ns0:c r="F8" s="4" t="inlineStr">
        <ns0:is>
          <ns0:t>斩击</ns0:t>
        </ns0:is>
      </ns0:c>
      <ns0:c r="G8" s="4" t="n">
        <ns0:v>2</ns0:v>
      </ns0:c>
      <ns0:c r="H8" s="4" t="n">
        <ns0:v>1</ns0:v>
      </ns0:c>
      <ns0:c r="I8" s="7">
        <ns0:f>G8*H8</ns0:f>
        <ns0:v>2</ns0:v>
      </ns0:c>
      <ns0:c r="J8" s="4" t="n"/>
      <ns0:c r="K8" s="4" t="n"/>
      <ns0:c r="L8" s="4" t="n"/>
      <ns0:c r="M8" s="4" t="inlineStr">
        <ns0:is>
          <ns0:t>高</ns0:t>
        </ns0:is>
      </ns0:c>
      <ns0:c r="N8" s="4" t="inlineStr">
        <ns0:is>
          <ns0:t>中长</ns0:t>
        </ns0:is>
      </ns0:c>
      <ns0:c r="O8" s="4" t="inlineStr">
        <ns0:is>
          <ns0:t>高</ns0:t>
        </ns0:is>
      </ns0:c>
      <ns0:c r="P8" s="4" t="inlineStr">
        <ns0:is>
          <ns0:t>重斩、强调单次爆发</ns0:t>
        </ns0:is>
      </ns0:c>
      <ns0:c r="Q8" s="4" t="inlineStr">
        <ns0:is>
          <ns0:t>金、土</ns0:t>
        </ns0:is>
      </ns0:c>
      <ns0:c r="R8" s="4" t="inlineStr">
        <ns0:is>
          <ns0:t>不带状态／控制／邻接；无射程，猎弓不耗箭；石印为武器。</ns0:t>
        </ns0:is>
      </ns0:c>
      <ns0:c r="S8" s="4" t="inlineStr">
        <ns0:is>
          <ns0:t>01 M01/M06/M08；03权限；04九器型</ns0:t>
        </ns0:is>
      </ns0:c>
      <ns0:c r="T8" s="4" t="inlineStr">
        <ns0:is>
          <ns0:t>未配置</ns0:t>
        </ns0:is>
      </ns0:c>
      <ns0:c r="U8" s="6" t="inlineStr">
        <ns0:is>
          <ns0:t>待绝对数值；非生产配置</ns0:t>
        </ns0:is>
      </ns0:c>
      <ns0:c r="V8" s="4" t="inlineStr">
        <ns0:is>
          <ns0:t>A；U</ns0:t>
        </ns0:is>
      </ns0:c>
    </ns0:row>
    <ns0:row r="9" ht="30" customHeight="1">
      <ns0:c r="A9" s="5" t="inlineStr">
        <ns0:is>
          <ns0:t>t01.asset.0004</ns0:t>
        </ns0:is>
      </ns0:c>
      <ns0:c r="B9" s="5" t="inlineStr">
        <ns0:is>
          <ns0:t>猎弓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弓</ns0:t>
        </ns0:is>
      </ns0:c>
      <ns0:c r="F9" s="5" t="inlineStr">
        <ns0:is>
          <ns0:t>穿刺</ns0:t>
        </ns0:is>
      </ns0:c>
      <ns0:c r="G9" s="5" t="n">
        <ns0:v>1</ns0:v>
      </ns0:c>
      <ns0:c r="H9" s="5" t="n">
        <ns0:v>2</ns0:v>
      </ns0:c>
      <ns0:c r="I9" s="9">
        <ns0:f>G9*H9</ns0:f>
        <ns0:v>2</ns0:v>
      </ns0:c>
      <ns0:c r="J9" s="5" t="n"/>
      <ns0:c r="K9" s="5" t="n"/>
      <ns0:c r="L9" s="5" t="n"/>
      <ns0:c r="M9" s="5" t="inlineStr">
        <ns0:is>
          <ns0:t>中</ns0:t>
        </ns0:is>
      </ns0:c>
      <ns0:c r="N9" s="5" t="inlineStr">
        <ns0:is>
          <ns0:t>中长</ns0:t>
        </ns0:is>
      </ns0:c>
      <ns0:c r="O9" s="5" t="inlineStr">
        <ns0:is>
          <ns0:t>中低</ns0:t>
        </ns0:is>
      </ns0:c>
      <ns0:c r="P9" s="5" t="inlineStr">
        <ns0:is>
          <ns0:t>稳节奏穿刺；耗力较轻为本批方向</ns0:t>
        </ns0:is>
      </ns0:c>
      <ns0:c r="Q9" s="5" t="inlineStr">
        <ns0:is>
          <ns0:t>木、水；兼容面广</ns0:t>
        </ns0:is>
      </ns0:c>
      <ns0:c r="R9" s="5" t="inlineStr">
        <ns0:is>
          <ns0:t>不带状态／控制／邻接；无射程，猎弓不耗箭；石印为武器。</ns0:t>
        </ns0:is>
      </ns0:c>
      <ns0:c r="S9" s="5" t="inlineStr">
        <ns0:is>
          <ns0:t>01 M01/M06/M08；03权限；04九器型</ns0:t>
        </ns0:is>
      </ns0:c>
      <ns0:c r="T9" s="5" t="inlineStr">
        <ns0:is>
          <ns0:t>base.map_item.hunting_bow</ns0:t>
        </ns0:is>
      </ns0:c>
      <ns0:c r="U9" s="6" t="inlineStr">
        <ns0:is>
          <ns0:t>待绝对数值；非生产配置</ns0:t>
        </ns0:is>
      </ns0:c>
      <ns0:c r="V9" s="5" t="inlineStr">
        <ns0:is>
          <ns0:t>A；U</ns0:t>
        </ns0:is>
      </ns0:c>
    </ns0:row>
    <ns0:row r="10" ht="30" customHeight="1">
      <ns0:c r="A10" s="4" t="inlineStr">
        <ns0:is>
          <ns0:t>t01.asset.0005</ns0:t>
        </ns0:is>
      </ns0:c>
      <ns0:c r="B10" s="4" t="inlineStr">
        <ns0:is>
          <ns0:t>匕首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短刃</ns0:t>
        </ns0:is>
      </ns0:c>
      <ns0:c r="F10" s="4" t="inlineStr">
        <ns0:is>
          <ns0:t>穿刺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/>
      <ns0:c r="K10" s="4" t="n"/>
      <ns0:c r="L10" s="4" t="n"/>
      <ns0:c r="M10" s="4" t="inlineStr">
        <ns0:is>
          <ns0:t>低</ns0:t>
        </ns0:is>
      </ns0:c>
      <ns0:c r="N10" s="4" t="inlineStr">
        <ns0:is>
          <ns0:t>短</ns0:t>
        </ns0:is>
      </ns0:c>
      <ns0:c r="O10" s="4" t="inlineStr">
        <ns0:is>
          <ns0:t>低</ns0:t>
        </ns0:is>
      </ns0:c>
      <ns0:c r="P10" s="4" t="inlineStr">
        <ns0:is>
          <ns0:t>小占格、快循环</ns0:t>
        </ns0:is>
      </ns0:c>
      <ns0:c r="Q10" s="4" t="inlineStr">
        <ns0:is>
          <ns0:t>金、风</ns0:t>
        </ns0:is>
      </ns0:c>
      <ns0:c r="R10" s="4" t="inlineStr">
        <ns0:is>
          <ns0:t>不带状态／控制／邻接；无射程，猎弓不耗箭；石印为武器。</ns0:t>
        </ns0:is>
      </ns0:c>
      <ns0:c r="S10" s="4" t="inlineStr">
        <ns0:is>
          <ns0:t>01 M01/M06/M08；03权限；04九器型</ns0:t>
        </ns0:is>
      </ns0:c>
      <ns0:c r="T10" s="4" t="inlineStr">
        <ns0:is>
          <ns0:t>未配置</ns0:t>
        </ns0:is>
      </ns0:c>
      <ns0:c r="U10" s="6" t="inlineStr">
        <ns0:is>
          <ns0:t>待绝对数值；非生产配置</ns0:t>
        </ns0:is>
      </ns0:c>
      <ns0:c r="V10" s="4" t="inlineStr">
        <ns0:is>
          <ns0:t>A；U</ns0:t>
        </ns0:is>
      </ns0:c>
    </ns0:row>
    <ns0:row r="11" ht="30" customHeight="1">
      <ns0:c r="A11" s="5" t="inlineStr">
        <ns0:is>
          <ns0:t>t01.asset.0006</ns0:t>
        </ns0:is>
      </ns0:c>
      <ns0:c r="B11" s="5" t="inlineStr">
        <ns0:is>
          <ns0:t>长枪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枪</ns0:t>
        </ns0:is>
      </ns0:c>
      <ns0:c r="F11" s="5" t="inlineStr">
        <ns0:is>
          <ns0:t>穿刺</ns0:t>
        </ns0:is>
      </ns0:c>
      <ns0:c r="G11" s="5" t="n">
        <ns0:v>3</ns0:v>
      </ns0:c>
      <ns0:c r="H11" s="5" t="n">
        <ns0:v>1</ns0:v>
      </ns0:c>
      <ns0:c r="I11" s="9">
        <ns0:f>G11*H11</ns0:f>
        <ns0:v>3</ns0:v>
      </ns0:c>
      <ns0:c r="J11" s="5" t="n"/>
      <ns0:c r="K11" s="5" t="n"/>
      <ns0:c r="L11" s="5" t="n"/>
      <ns0:c r="M11" s="5" t="inlineStr">
        <ns0:is>
          <ns0:t>高</ns0:t>
        </ns0:is>
      </ns0:c>
      <ns0:c r="N11" s="5" t="inlineStr">
        <ns0:is>
          <ns0:t>长</ns0:t>
        </ns0:is>
      </ns0:c>
      <ns0:c r="O11" s="5" t="inlineStr">
        <ns0:is>
          <ns0:t>中高</ns0:t>
        </ns0:is>
      </ns0:c>
      <ns0:c r="P11" s="5" t="inlineStr">
        <ns0:is>
          <ns0:t>大占格换高单击</ns0:t>
        </ns0:is>
      </ns0:c>
      <ns0:c r="Q11" s="5" t="inlineStr">
        <ns0:is>
          <ns0:t>雷、金、木</ns0:t>
        </ns0:is>
      </ns0:c>
      <ns0:c r="R11" s="5" t="inlineStr">
        <ns0:is>
          <ns0:t>不带状态／控制／邻接；无射程，猎弓不耗箭；石印为武器。</ns0:t>
        </ns0:is>
      </ns0:c>
      <ns0:c r="S11" s="5" t="inlineStr">
        <ns0:is>
          <ns0:t>01 M01/M06/M08；03权限；04九器型</ns0:t>
        </ns0:is>
      </ns0:c>
      <ns0:c r="T11" s="5" t="inlineStr">
        <ns0:is>
          <ns0:t>未配置</ns0:t>
        </ns0:is>
      </ns0:c>
      <ns0:c r="U11" s="6" t="inlineStr">
        <ns0:is>
          <ns0:t>待绝对数值；非生产配置</ns0:t>
        </ns0:is>
      </ns0:c>
      <ns0:c r="V11" s="5" t="inlineStr">
        <ns0:is>
          <ns0:t>A；U</ns0:t>
        </ns0:is>
      </ns0:c>
    </ns0:row>
    <ns0:row r="12" ht="30" customHeight="1">
      <ns0:c r="A12" s="4" t="inlineStr">
        <ns0:is>
          <ns0:t>t01.asset.0007</ns0:t>
        </ns0:is>
      </ns0:c>
      <ns0:c r="B12" s="4" t="inlineStr">
        <ns0:is>
          <ns0:t>短柄铁锤</ns0:t>
        </ns0:is>
      </ns0:c>
      <ns0:c r="C12" s="4" t="inlineStr">
        <ns0:is>
          <ns0:t>下品</ns0:t>
        </ns0:is>
      </ns0:c>
      <ns0:c r="D12" s="4" t="inlineStr">
        <ns0:is>
          <ns0:t>NONE</ns0:t>
        </ns0:is>
      </ns0:c>
      <ns0:c r="E12" s="4" t="inlineStr">
        <ns0:is>
          <ns0:t>锤</ns0:t>
        </ns0:is>
      </ns0:c>
      <ns0:c r="F12" s="4" t="inlineStr">
        <ns0:is>
          <ns0:t>钝击</ns0:t>
        </ns0:is>
      </ns0:c>
      <ns0:c r="G12" s="4" t="n">
        <ns0:v>1</ns0:v>
      </ns0:c>
      <ns0:c r="H12" s="4" t="n">
        <ns0:v>2</ns0:v>
      </ns0:c>
      <ns0:c r="I12" s="7">
        <ns0:f>G12*H12</ns0:f>
        <ns0:v>2</ns0:v>
      </ns0:c>
      <ns0:c r="J12" s="4" t="n"/>
      <ns0:c r="K12" s="4" t="n"/>
      <ns0:c r="L12" s="4" t="n"/>
      <ns0:c r="M12" s="4" t="inlineStr">
        <ns0:is>
          <ns0:t>中高</ns0:t>
        </ns0:is>
      </ns0:c>
      <ns0:c r="N12" s="4" t="inlineStr">
        <ns0:is>
          <ns0:t>中长</ns0:t>
        </ns0:is>
      </ns0:c>
      <ns0:c r="O12" s="4" t="inlineStr">
        <ns0:is>
          <ns0:t>中高</ns0:t>
        </ns0:is>
      </ns0:c>
      <ns0:c r="P12" s="4" t="inlineStr">
        <ns0:is>
          <ns0:t>偏沉重的钝击基准</ns0:t>
        </ns0:is>
      </ns0:c>
      <ns0:c r="Q12" s="4" t="inlineStr">
        <ns0:is>
          <ns0:t>土、火</ns0:t>
        </ns0:is>
      </ns0:c>
      <ns0:c r="R12" s="4" t="inlineStr">
        <ns0:is>
          <ns0:t>不带状态／控制／邻接；无射程，猎弓不耗箭；石印为武器。</ns0:t>
        </ns0:is>
      </ns0:c>
      <ns0:c r="S12" s="4" t="inlineStr">
        <ns0:is>
          <ns0:t>01 M01/M06/M08；03权限；04九器型</ns0:t>
        </ns0:is>
      </ns0:c>
      <ns0:c r="T12" s="4" t="inlineStr">
        <ns0:is>
          <ns0:t>base.map_item.short_iron_hammer</ns0:t>
        </ns0:is>
      </ns0:c>
      <ns0:c r="U12" s="6" t="inlineStr">
        <ns0:is>
          <ns0:t>待绝对数值；非生产配置</ns0:t>
        </ns0:is>
      </ns0:c>
      <ns0:c r="V12" s="4" t="inlineStr">
        <ns0:is>
          <ns0:t>A；U</ns0:t>
        </ns0:is>
      </ns0:c>
    </ns0:row>
    <ns0:row r="13" ht="30" customHeight="1">
      <ns0:c r="A13" s="5" t="inlineStr">
        <ns0:is>
          <ns0:t>t01.asset.0008</ns0:t>
        </ns0:is>
      </ns0:c>
      <ns0:c r="B13" s="5" t="inlineStr">
        <ns0:is>
          <ns0:t>石印</ns0:t>
        </ns0:is>
      </ns0:c>
      <ns0:c r="C13" s="5" t="inlineStr">
        <ns0:is>
          <ns0:t>下品</ns0:t>
        </ns0:is>
      </ns0:c>
      <ns0:c r="D13" s="5" t="inlineStr">
        <ns0:is>
          <ns0:t>NONE</ns0:t>
        </ns0:is>
      </ns0:c>
      <ns0:c r="E13" s="5" t="inlineStr">
        <ns0:is>
          <ns0:t>印</ns0:t>
        </ns0:is>
      </ns0:c>
      <ns0:c r="F13" s="5" t="inlineStr">
        <ns0:is>
          <ns0:t>钝击</ns0:t>
        </ns0:is>
      </ns0:c>
      <ns0:c r="G13" s="5" t="n">
        <ns0:v>1</ns0:v>
      </ns0:c>
      <ns0:c r="H13" s="5" t="n">
        <ns0:v>1</ns0:v>
      </ns0:c>
      <ns0:c r="I13" s="9">
        <ns0:f>G13*H13</ns0:f>
        <ns0:v>1</ns0:v>
      </ns0:c>
      <ns0:c r="J13" s="5" t="n"/>
      <ns0:c r="K13" s="5" t="n"/>
      <ns0:c r="L13" s="5" t="n"/>
      <ns0:c r="M13" s="5" t="inlineStr">
        <ns0:is>
          <ns0:t>中低</ns0:t>
        </ns0:is>
      </ns0:c>
      <ns0:c r="N13" s="5" t="inlineStr">
        <ns0:is>
          <ns0:t>中</ns0:t>
        </ns0:is>
      </ns0:c>
      <ns0:c r="O13" s="5" t="inlineStr">
        <ns0:is>
          <ns0:t>中</ns0:t>
        </ns0:is>
      </ns0:c>
      <ns0:c r="P13" s="5" t="inlineStr">
        <ns0:is>
          <ns0:t>紧凑钝击，不追求快攻</ns0:t>
        </ns0:is>
      </ns0:c>
      <ns0:c r="Q13" s="5" t="inlineStr">
        <ns0:is>
          <ns0:t>土、雷</ns0:t>
        </ns0:is>
      </ns0:c>
      <ns0:c r="R13" s="5" t="inlineStr">
        <ns0:is>
          <ns0:t>不带状态／控制／邻接；无射程，猎弓不耗箭；石印为武器。</ns0:t>
        </ns0:is>
      </ns0:c>
      <ns0:c r="S13" s="5" t="inlineStr">
        <ns0:is>
          <ns0:t>01 M01/M06/M08；03权限；04九器型</ns0:t>
        </ns0:is>
      </ns0:c>
      <ns0:c r="T13" s="5" t="inlineStr">
        <ns0:is>
          <ns0:t>未配置</ns0:t>
        </ns0:is>
      </ns0:c>
      <ns0:c r="U13" s="6" t="inlineStr">
        <ns0:is>
          <ns0:t>待绝对数值；非生产配置</ns0:t>
        </ns0:is>
      </ns0:c>
      <ns0:c r="V13" s="5" t="inlineStr">
        <ns0:is>
          <ns0:t>A；U</ns0:t>
        </ns0:is>
      </ns0:c>
    </ns0:row>
    <ns0:row r="14" ht="30" customHeight="1">
      <ns0:c r="A14" s="4" t="inlineStr">
        <ns0:is>
          <ns0:t>t01.asset.0009</ns0:t>
        </ns0:is>
      </ns0:c>
      <ns0:c r="B14" s="4" t="inlineStr">
        <ns0:is>
          <ns0:t>皮鞭</ns0:t>
        </ns0:is>
      </ns0:c>
      <ns0:c r="C14" s="4" t="inlineStr">
        <ns0:is>
          <ns0:t>下品</ns0:t>
        </ns0:is>
      </ns0:c>
      <ns0:c r="D14" s="4" t="inlineStr">
        <ns0:is>
          <ns0:t>NONE</ns0:t>
        </ns0:is>
      </ns0:c>
      <ns0:c r="E14" s="4" t="inlineStr">
        <ns0:is>
          <ns0:t>鞭</ns0:t>
        </ns0:is>
      </ns0:c>
      <ns0:c r="F14" s="4" t="inlineStr">
        <ns0:is>
          <ns0:t>钝击</ns0:t>
        </ns0:is>
      </ns0:c>
      <ns0:c r="G14" s="4" t="n">
        <ns0:v>3</ns0:v>
      </ns0:c>
      <ns0:c r="H14" s="4" t="n">
        <ns0:v>1</ns0:v>
      </ns0:c>
      <ns0:c r="I14" s="7">
        <ns0:f>G14*H14</ns0:f>
        <ns0:v>3</ns0:v>
      </ns0:c>
      <ns0:c r="J14" s="4" t="n"/>
      <ns0:c r="K14" s="4" t="n"/>
      <ns0:c r="L14" s="4" t="n"/>
      <ns0:c r="M14" s="4" t="inlineStr">
        <ns0:is>
          <ns0:t>低</ns0:t>
        </ns0:is>
      </ns0:c>
      <ns0:c r="N14" s="4" t="inlineStr">
        <ns0:is>
          <ns0:t>短</ns0:t>
        </ns0:is>
      </ns0:c>
      <ns0:c r="O14" s="4" t="inlineStr">
        <ns0:is>
          <ns0:t>中低</ns0:t>
        </ns0:is>
      </ns0:c>
      <ns0:c r="P14" s="4" t="inlineStr">
        <ns0:is>
          <ns0:t>大占格换高轮转频率</ns0:t>
        </ns0:is>
      </ns0:c>
      <ns0:c r="Q14" s="4" t="inlineStr">
        <ns0:is>
          <ns0:t>雷、木</ns0:t>
        </ns0:is>
      </ns0:c>
      <ns0:c r="R14" s="4" t="inlineStr">
        <ns0:is>
          <ns0:t>不带状态／控制／邻接；无射程，猎弓不耗箭；石印为武器。</ns0:t>
        </ns0:is>
      </ns0:c>
      <ns0:c r="S14" s="4" t="inlineStr">
        <ns0:is>
          <ns0:t>01 M01/M06/M08；03权限；04九器型</ns0:t>
        </ns0:is>
      </ns0:c>
      <ns0:c r="T14" s="4" t="inlineStr">
        <ns0:is>
          <ns0:t>未配置</ns0:t>
        </ns0:is>
      </ns0:c>
      <ns0:c r="U14" s="6" t="inlineStr">
        <ns0:is>
          <ns0:t>待绝对数值；非生产配置</ns0:t>
        </ns0:is>
      </ns0:c>
      <ns0:c r="V14" s="4" t="inlineStr">
        <ns0:is>
          <ns0:t>A；U</ns0:t>
        </ns0:is>
      </ns0:c>
    </ns0:row>
  </ns0:sheetData>
  <ns0:mergeCells count="2">
    <ns0:mergeCell ref="A2:V2"/>
    <ns0:mergeCell ref="A1:V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V13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16" customWidth="1" min="5" max="5"/>
    <ns0:col width="13" customWidth="1" min="6" max="6"/>
    <ns0:col width="9" customWidth="1" min="7" max="7"/>
    <ns0:col width="9" customWidth="1" min="8" max="8"/>
    <ns0:col width="12" customWidth="1" min="9" max="9"/>
    <ns0:col width="12" customWidth="1" min="10" max="10"/>
    <ns0:col width="17" customWidth="1" min="11" max="11"/>
    <ns0:col width="14" customWidth="1" min="12" max="12"/>
    <ns0:col width="18" customWidth="1" min="13" max="13"/>
    <ns0:col width="17" customWidth="1" min="14" max="14"/>
    <ns0:col width="18" customWidth="1" min="15" max="15"/>
    <ns0:col width="36" customWidth="1" min="16" max="16"/>
    <ns0:col width="18" customWidth="1" min="17" max="17"/>
    <ns0:col width="44" customWidth="1" min="18" max="18"/>
    <ns0:col width="40" customWidth="1" min="19" max="19"/>
    <ns0:col width="46" customWidth="1" min="20" max="20"/>
    <ns0:col width="45" customWidth="1" min="21" max="21"/>
    <ns0:col width="18" customWidth="1" min="22" max="22"/>
  </ns0:cols>
  <ns0:sheetData>
    <ns0:row r="1" ht="32" customHeight="1">
      <ns0:c r="A1" s="1" t="inlineStr">
        <ns0:is>
          <ns0:t>t01-08｜防具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部位</ns0:t>
        </ns0:is>
      </ns0:c>
      <ns0:c r="F5" s="3" t="inlineStr">
        <ns0:is>
          <ns0:t>甲型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CD_秒</ns0:t>
        </ns0:is>
      </ns0:c>
      <ns0:c r="K5" s="3" t="inlineStr">
        <ns0:is>
          <ns0:t>护甲上限贡献</ns0:t>
        </ns0:is>
      </ns0:c>
      <ns0:c r="L5" s="3" t="inlineStr">
        <ns0:is>
          <ns0:t>单次回甲</ns0:t>
        </ns0:is>
      </ns0:c>
      <ns0:c r="M5" s="3" t="inlineStr">
        <ns0:is>
          <ns0:t>名义回甲每秒</ns0:t>
        </ns0:is>
      </ns0:c>
      <ns0:c r="N5" s="3" t="inlineStr">
        <ns0:is>
          <ns0:t>甲型权重倍率</ns0:t>
        </ns0:is>
      </ns0:c>
      <ns0:c r="O5" s="3" t="inlineStr">
        <ns0:is>
          <ns0:t>甲型统计权重</ns0:t>
        </ns0:is>
      </ns0:c>
      <ns0:c r="P5" s="3" t="inlineStr">
        <ns0:is>
          <ns0:t>上阵部位限制</ns0:t>
        </ns0:is>
      </ns0:c>
      <ns0:c r="Q5" s="3" t="inlineStr">
        <ns0:is>
          <ns0:t>基础联动</ns0:t>
        </ns0:is>
      </ns0:c>
      <ns0:c r="R5" s="3" t="inlineStr">
        <ns0:is>
          <ns0:t>费用／数量</ns0:t>
        </ns0:is>
      </ns0:c>
      <ns0:c r="S5" s="3" t="inlineStr">
        <ns0:is>
          <ns0:t>机制引用</ns0:t>
        </ns0:is>
      </ns0:c>
      <ns0:c r="T5" s="3" t="inlineStr">
        <ns0:is>
          <ns0:t>现有游戏ID</ns0:t>
        </ns0:is>
      </ns0:c>
      <ns0:c r="U5" s="3" t="inlineStr">
        <ns0:is>
          <ns0:t>设计状态</ns0:t>
        </ns0:is>
      </ns0:c>
      <ns0:c r="V5" s="3" t="inlineStr">
        <ns0:is>
          <ns0:t>来源</ns0:t>
        </ns0:is>
      </ns0:c>
    </ns0:row>
    <ns0:row r="6" ht="42" customHeight="1">
      <ns0:c r="A6" s="4" t="inlineStr">
        <ns0:is>
          <ns0:t>t01.asset.0010</ns0:t>
        </ns0:is>
      </ns0:c>
      <ns0:c r="B6" s="4" t="inlineStr">
        <ns0:is>
          <ns0:t>粗布甲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身甲</ns0:t>
        </ns0:is>
      </ns0:c>
      <ns0:c r="F6" s="4" t="inlineStr">
        <ns0:is>
          <ns0:t>轻甲</ns0:t>
        </ns0:is>
      </ns0:c>
      <ns0:c r="G6" s="4" t="n">
        <ns0:v>1</ns0:v>
      </ns0:c>
      <ns0:c r="H6" s="4" t="n">
        <ns0:v>2</ns0:v>
      </ns0:c>
      <ns0:c r="I6" s="7">
        <ns0:f>G6*H6</ns0:f>
        <ns0:v>2</ns0:v>
      </ns0:c>
      <ns0:c r="J6" s="4" t="n">
        <ns0:v>4</ns0:v>
      </ns0:c>
      <ns0:c r="K6" s="4" t="n">
        <ns0:v>7</ns0:v>
      </ns0:c>
      <ns0:c r="L6" s="4" t="n">
        <ns0:v>3</ns0:v>
      </ns0:c>
      <ns0:c r="M6" s="7">
        <ns0:f>L6/J6</ns0:f>
        <ns0:v>0.75</ns0:v>
      </ns0:c>
      <ns0:c r="N6" s="4" t="n">
        <ns0:v>2</ns0:v>
      </ns0:c>
      <ns0:c r="O6" s="7">
        <ns0:f>I6*N6</ns0:f>
        <ns0:v>4</ns0:v>
      </ns0:c>
      <ns0:c r="P6" s="4" t="inlineStr">
        <ns0:is>
          <ns0:t>同一部位最多1件；护臂／护腿分别计限（Q03）</ns0:t>
        </ns0:is>
      </ns0:c>
      <ns0:c r="Q6" s="4" t="inlineStr">
        <ns0:is>
          <ns0:t>布甲联动</ns0:t>
        </ns0:is>
      </ns0:c>
      <ns0:c r="R6" s="4" t="inlineStr">
        <ns0:is>
          <ns0:t>零体力沿用防具基线；数量不消耗</ns0:t>
        </ns0:is>
      </ns0:c>
      <ns0:c r="S6" s="4" t="inlineStr">
        <ns0:is>
          <ns0:t>01 C01/I11；04防具；06 Link</ns0:t>
        </ns0:is>
      </ns0:c>
      <ns0:c r="T6" s="4" t="inlineStr">
        <ns0:is>
          <ns0:t>base.map_item.coarse_cloth_armor</ns0:t>
        </ns0:is>
      </ns0:c>
      <ns0:c r="U6" s="6" t="inlineStr">
        <ns0:is>
          <ns0:t>保留资料已有值；甲型加权Q02已确认</ns0:t>
        </ns0:is>
      </ns0:c>
      <ns0:c r="V6" s="4" t="inlineStr">
        <ns0:is>
          <ns0:t>B2/C；U</ns0:t>
        </ns0:is>
      </ns0:c>
    </ns0:row>
    <ns0:row r="7" ht="42" customHeight="1">
      <ns0:c r="A7" s="5" t="inlineStr">
        <ns0:is>
          <ns0:t>t01.asset.0011</ns0:t>
        </ns0:is>
      </ns0:c>
      <ns0:c r="B7" s="5" t="inlineStr">
        <ns0:is>
          <ns0:t>铁甲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身甲</ns0:t>
        </ns0:is>
      </ns0:c>
      <ns0:c r="F7" s="5" t="inlineStr">
        <ns0:is>
          <ns0:t>重甲</ns0:t>
        </ns0:is>
      </ns0:c>
      <ns0:c r="G7" s="5" t="n">
        <ns0:v>1</ns0:v>
      </ns0:c>
      <ns0:c r="H7" s="5" t="n">
        <ns0:v>2</ns0:v>
      </ns0:c>
      <ns0:c r="I7" s="9">
        <ns0:f>G7*H7</ns0:f>
        <ns0:v>2</ns0:v>
      </ns0:c>
      <ns0:c r="J7" s="5" t="n">
        <ns0:v>6</ns0:v>
      </ns0:c>
      <ns0:c r="K7" s="5" t="n">
        <ns0:v>10</ns0:v>
      </ns0:c>
      <ns0:c r="L7" s="5" t="n">
        <ns0:v>4</ns0:v>
      </ns0:c>
      <ns0:c r="M7" s="9">
        <ns0:f>L7/J7</ns0:f>
        <ns0:v>0.6666666666666666</ns0:v>
      </ns0:c>
      <ns0:c r="N7" s="5" t="n">
        <ns0:v>2</ns0:v>
      </ns0:c>
      <ns0:c r="O7" s="9">
        <ns0:f>I7*N7</ns0:f>
        <ns0:v>4</ns0:v>
      </ns0:c>
      <ns0:c r="P7" s="5" t="inlineStr">
        <ns0:is>
          <ns0:t>同一部位最多1件；护臂／护腿分别计限（Q03）</ns0:t>
        </ns0:is>
      </ns0:c>
      <ns0:c r="Q7" s="5" t="inlineStr">
        <ns0:is>
          <ns0:t>铁甲联动</ns0:t>
        </ns0:is>
      </ns0:c>
      <ns0:c r="R7" s="5" t="inlineStr">
        <ns0:is>
          <ns0:t>零体力沿用防具基线；数量不消耗</ns0:t>
        </ns0:is>
      </ns0:c>
      <ns0:c r="S7" s="5" t="inlineStr">
        <ns0:is>
          <ns0:t>01 C01/I11；04防具；06 Link</ns0:t>
        </ns0:is>
      </ns0:c>
      <ns0:c r="T7" s="5" t="inlineStr">
        <ns0:is>
          <ns0:t>未配置</ns0:t>
        </ns0:is>
      </ns0:c>
      <ns0:c r="U7" s="6" t="inlineStr">
        <ns0:is>
          <ns0:t>新增试玩候选；本体6秒；甲型加权Q02已确认</ns0:t>
        </ns0:is>
      </ns0:c>
      <ns0:c r="V7" s="5" t="inlineStr">
        <ns0:is>
          <ns0:t>B2/C；U</ns0:t>
        </ns0:is>
      </ns0:c>
    </ns0:row>
    <ns0:row r="8" ht="42" customHeight="1">
      <ns0:c r="A8" s="4" t="inlineStr">
        <ns0:is>
          <ns0:t>t01.asset.0012</ns0:t>
        </ns0:is>
      </ns0:c>
      <ns0:c r="B8" s="4" t="inlineStr">
        <ns0:is>
          <ns0:t>旧铁盔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头具</ns0:t>
        </ns0:is>
      </ns0:c>
      <ns0:c r="F8" s="4" t="inlineStr">
        <ns0:is>
          <ns0:t>重甲</ns0:t>
        </ns0:is>
      </ns0:c>
      <ns0:c r="G8" s="4" t="n">
        <ns0:v>1</ns0:v>
      </ns0:c>
      <ns0:c r="H8" s="4" t="n">
        <ns0:v>1</ns0:v>
      </ns0:c>
      <ns0:c r="I8" s="7">
        <ns0:f>G8*H8</ns0:f>
        <ns0:v>1</ns0:v>
      </ns0:c>
      <ns0:c r="J8" s="4" t="n">
        <ns0:v>5</ns0:v>
      </ns0:c>
      <ns0:c r="K8" s="4" t="n">
        <ns0:v>2</ns0:v>
      </ns0:c>
      <ns0:c r="L8" s="4" t="n">
        <ns0:v>1</ns0:v>
      </ns0:c>
      <ns0:c r="M8" s="7">
        <ns0:f>L8/J8</ns0:f>
        <ns0:v>0.2</ns0:v>
      </ns0:c>
      <ns0:c r="N8" s="4" t="n">
        <ns0:v>1</ns0:v>
      </ns0:c>
      <ns0:c r="O8" s="7">
        <ns0:f>I8*N8</ns0:f>
        <ns0:v>1</ns0:v>
      </ns0:c>
      <ns0:c r="P8" s="4" t="inlineStr">
        <ns0:is>
          <ns0:t>同一部位最多1件；护臂／护腿分别计限（Q03）</ns0:t>
        </ns0:is>
      </ns0:c>
      <ns0:c r="Q8" s="4" t="inlineStr">
        <ns0:is>
          <ns0:t>无</ns0:t>
        </ns0:is>
      </ns0:c>
      <ns0:c r="R8" s="4" t="inlineStr">
        <ns0:is>
          <ns0:t>零体力沿用防具基线；数量不消耗</ns0:t>
        </ns0:is>
      </ns0:c>
      <ns0:c r="S8" s="4" t="inlineStr">
        <ns0:is>
          <ns0:t>01 C01/I11；04防具；06 Link</ns0:t>
        </ns0:is>
      </ns0:c>
      <ns0:c r="T8" s="4" t="inlineStr">
        <ns0:is>
          <ns0:t>base.map_item.old_iron_helmet</ns0:t>
        </ns0:is>
      </ns0:c>
      <ns0:c r="U8" s="6" t="inlineStr">
        <ns0:is>
          <ns0:t>保留资料已有值；补甲型；甲型加权Q02已确认</ns0:t>
        </ns0:is>
      </ns0:c>
      <ns0:c r="V8" s="4" t="inlineStr">
        <ns0:is>
          <ns0:t>B2/C；U</ns0:t>
        </ns0:is>
      </ns0:c>
    </ns0:row>
    <ns0:row r="9" ht="42" customHeight="1">
      <ns0:c r="A9" s="5" t="inlineStr">
        <ns0:is>
          <ns0:t>t01.asset.0013</ns0:t>
        </ns0:is>
      </ns0:c>
      <ns0:c r="B9" s="5" t="inlineStr">
        <ns0:is>
          <ns0:t>木圆盾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盾</ns0:t>
        </ns0:is>
      </ns0:c>
      <ns0:c r="F9" s="5" t="inlineStr">
        <ns0:is>
          <ns0:t>轻甲</ns0:t>
        </ns0:is>
      </ns0:c>
      <ns0:c r="G9" s="5" t="n">
        <ns0:v>1</ns0:v>
      </ns0:c>
      <ns0:c r="H9" s="5" t="n">
        <ns0:v>2</ns0:v>
      </ns0:c>
      <ns0:c r="I9" s="9">
        <ns0:f>G9*H9</ns0:f>
        <ns0:v>2</ns0:v>
      </ns0:c>
      <ns0:c r="J9" s="5" t="n">
        <ns0:v>5</ns0:v>
      </ns0:c>
      <ns0:c r="K9" s="5" t="n">
        <ns0:v>2</ns0:v>
      </ns0:c>
      <ns0:c r="L9" s="5" t="n">
        <ns0:v>3</ns0:v>
      </ns0:c>
      <ns0:c r="M9" s="9">
        <ns0:f>L9/J9</ns0:f>
        <ns0:v>0.6</ns0:v>
      </ns0:c>
      <ns0:c r="N9" s="5" t="n">
        <ns0:v>1</ns0:v>
      </ns0:c>
      <ns0:c r="O9" s="9">
        <ns0:f>I9*N9</ns0:f>
        <ns0:v>2</ns0:v>
      </ns0:c>
      <ns0:c r="P9" s="5" t="inlineStr">
        <ns0:is>
          <ns0:t>可多件上阵，仅受阵盘空间限制（Q03）</ns0:t>
        </ns0:is>
      </ns0:c>
      <ns0:c r="Q9" s="5" t="inlineStr">
        <ns0:is>
          <ns0:t>无</ns0:t>
        </ns0:is>
      </ns0:c>
      <ns0:c r="R9" s="5" t="inlineStr">
        <ns0:is>
          <ns0:t>零体力沿用防具基线；数量不消耗</ns0:t>
        </ns0:is>
      </ns0:c>
      <ns0:c r="S9" s="5" t="inlineStr">
        <ns0:is>
          <ns0:t>01 C01/I11；04防具；06 Link</ns0:t>
        </ns0:is>
      </ns0:c>
      <ns0:c r="T9" s="5" t="inlineStr">
        <ns0:is>
          <ns0:t>base.map_item.round_wood_shield</ns0:t>
        </ns0:is>
      </ns0:c>
      <ns0:c r="U9" s="6" t="inlineStr">
        <ns0:is>
          <ns0:t>保留资料已有值；补甲型；甲型加权Q02已确认</ns0:t>
        </ns0:is>
      </ns0:c>
      <ns0:c r="V9" s="5" t="inlineStr">
        <ns0:is>
          <ns0:t>B2/C；U</ns0:t>
        </ns0:is>
      </ns0:c>
    </ns0:row>
    <ns0:row r="10" ht="42" customHeight="1">
      <ns0:c r="A10" s="4" t="inlineStr">
        <ns0:is>
          <ns0:t>t01.asset.0014</ns0:t>
        </ns0:is>
      </ns0:c>
      <ns0:c r="B10" s="4" t="inlineStr">
        <ns0:is>
          <ns0:t>布护臂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护具·臂</ns0:t>
        </ns0:is>
      </ns0:c>
      <ns0:c r="F10" s="4" t="inlineStr">
        <ns0:is>
          <ns0:t>轻甲</ns0:t>
        </ns0:is>
      </ns0:c>
      <ns0:c r="G10" s="4" t="n">
        <ns0:v>1</ns0:v>
      </ns0:c>
      <ns0:c r="H10" s="4" t="n">
        <ns0:v>1</ns0:v>
      </ns0:c>
      <ns0:c r="I10" s="7">
        <ns0:f>G10*H10</ns0:f>
        <ns0:v>1</ns0:v>
      </ns0:c>
      <ns0:c r="J10" s="4" t="n">
        <ns0:v>5</ns0:v>
      </ns0:c>
      <ns0:c r="K10" s="4" t="n">
        <ns0:v>1</ns0:v>
      </ns0:c>
      <ns0:c r="L10" s="4" t="n">
        <ns0:v>1</ns0:v>
      </ns0:c>
      <ns0:c r="M10" s="7">
        <ns0:f>L10/J10</ns0:f>
        <ns0:v>0.2</ns0:v>
      </ns0:c>
      <ns0:c r="N10" s="4" t="n">
        <ns0:v>1</ns0:v>
      </ns0:c>
      <ns0:c r="O10" s="7">
        <ns0:f>I10*N10</ns0:f>
        <ns0:v>1</ns0:v>
      </ns0:c>
      <ns0:c r="P10" s="4" t="inlineStr">
        <ns0:is>
          <ns0:t>同一部位最多1件；护臂／护腿分别计限（Q03）</ns0:t>
        </ns0:is>
      </ns0:c>
      <ns0:c r="Q10" s="4" t="inlineStr">
        <ns0:is>
          <ns0:t>布甲联动</ns0:t>
        </ns0:is>
      </ns0:c>
      <ns0:c r="R10" s="4" t="inlineStr">
        <ns0:is>
          <ns0:t>零体力沿用防具基线；数量不消耗</ns0:t>
        </ns0:is>
      </ns0:c>
      <ns0:c r="S10" s="4" t="inlineStr">
        <ns0:is>
          <ns0:t>01 C01/I11；04防具；06 Link</ns0:t>
        </ns0:is>
      </ns0:c>
      <ns0:c r="T10" s="4" t="inlineStr">
        <ns0:is>
          <ns0:t>未配置</ns0:t>
        </ns0:is>
      </ns0:c>
      <ns0:c r="U10" s="6" t="inlineStr">
        <ns0:is>
          <ns0:t>新增试玩候选；甲型加权Q02已确认</ns0:t>
        </ns0:is>
      </ns0:c>
      <ns0:c r="V10" s="4" t="inlineStr">
        <ns0:is>
          <ns0:t>B2/C；U</ns0:t>
        </ns0:is>
      </ns0:c>
    </ns0:row>
    <ns0:row r="11" ht="42" customHeight="1">
      <ns0:c r="A11" s="5" t="inlineStr">
        <ns0:is>
          <ns0:t>t01.asset.0015</ns0:t>
        </ns0:is>
      </ns0:c>
      <ns0:c r="B11" s="5" t="inlineStr">
        <ns0:is>
          <ns0:t>布护腿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护具·腿</ns0:t>
        </ns0:is>
      </ns0:c>
      <ns0:c r="F11" s="5" t="inlineStr">
        <ns0:is>
          <ns0:t>轻甲</ns0:t>
        </ns0:is>
      </ns0:c>
      <ns0:c r="G11" s="5" t="n">
        <ns0:v>1</ns0:v>
      </ns0:c>
      <ns0:c r="H11" s="5" t="n">
        <ns0:v>1</ns0:v>
      </ns0:c>
      <ns0:c r="I11" s="9">
        <ns0:f>G11*H11</ns0:f>
        <ns0:v>1</ns0:v>
      </ns0:c>
      <ns0:c r="J11" s="5" t="n">
        <ns0:v>6</ns0:v>
      </ns0:c>
      <ns0:c r="K11" s="5" t="n">
        <ns0:v>2</ns0:v>
      </ns0:c>
      <ns0:c r="L11" s="5" t="n">
        <ns0:v>1</ns0:v>
      </ns0:c>
      <ns0:c r="M11" s="9">
        <ns0:f>L11/J11</ns0:f>
        <ns0:v>0.16666666666666666</ns0:v>
      </ns0:c>
      <ns0:c r="N11" s="5" t="n">
        <ns0:v>1</ns0:v>
      </ns0:c>
      <ns0:c r="O11" s="9">
        <ns0:f>I11*N11</ns0:f>
        <ns0:v>1</ns0:v>
      </ns0:c>
      <ns0:c r="P11" s="5" t="inlineStr">
        <ns0:is>
          <ns0:t>同一部位最多1件；护臂／护腿分别计限（Q03）</ns0:t>
        </ns0:is>
      </ns0:c>
      <ns0:c r="Q11" s="5" t="inlineStr">
        <ns0:is>
          <ns0:t>布甲联动</ns0:t>
        </ns0:is>
      </ns0:c>
      <ns0:c r="R11" s="5" t="inlineStr">
        <ns0:is>
          <ns0:t>零体力沿用防具基线；数量不消耗</ns0:t>
        </ns0:is>
      </ns0:c>
      <ns0:c r="S11" s="5" t="inlineStr">
        <ns0:is>
          <ns0:t>01 C01/I11；04防具；06 Link</ns0:t>
        </ns0:is>
      </ns0:c>
      <ns0:c r="T11" s="5" t="inlineStr">
        <ns0:is>
          <ns0:t>未配置</ns0:t>
        </ns0:is>
      </ns0:c>
      <ns0:c r="U11" s="6" t="inlineStr">
        <ns0:is>
          <ns0:t>新增试玩候选；甲型加权Q02已确认</ns0:t>
        </ns0:is>
      </ns0:c>
      <ns0:c r="V11" s="5" t="inlineStr">
        <ns0:is>
          <ns0:t>B2/C；U</ns0:t>
        </ns0:is>
      </ns0:c>
    </ns0:row>
    <ns0:row r="12" ht="42" customHeight="1">
      <ns0:c r="A12" s="4" t="inlineStr">
        <ns0:is>
          <ns0:t>t01.asset.0016</ns0:t>
        </ns0:is>
      </ns0:c>
      <ns0:c r="B12" s="4" t="inlineStr">
        <ns0:is>
          <ns0:t>铁护臂</ns0:t>
        </ns0:is>
      </ns0:c>
      <ns0:c r="C12" s="4" t="inlineStr">
        <ns0:is>
          <ns0:t>下品</ns0:t>
        </ns0:is>
      </ns0:c>
      <ns0:c r="D12" s="4" t="inlineStr">
        <ns0:is>
          <ns0:t>NONE</ns0:t>
        </ns0:is>
      </ns0:c>
      <ns0:c r="E12" s="4" t="inlineStr">
        <ns0:is>
          <ns0:t>护具·臂</ns0:t>
        </ns0:is>
      </ns0:c>
      <ns0:c r="F12" s="4" t="inlineStr">
        <ns0:is>
          <ns0:t>重甲</ns0:t>
        </ns0:is>
      </ns0:c>
      <ns0:c r="G12" s="4" t="n">
        <ns0:v>1</ns0:v>
      </ns0:c>
      <ns0:c r="H12" s="4" t="n">
        <ns0:v>1</ns0:v>
      </ns0:c>
      <ns0:c r="I12" s="7">
        <ns0:f>G12*H12</ns0:f>
        <ns0:v>1</ns0:v>
      </ns0:c>
      <ns0:c r="J12" s="4" t="n">
        <ns0:v>5</ns0:v>
      </ns0:c>
      <ns0:c r="K12" s="4" t="n">
        <ns0:v>2</ns0:v>
      </ns0:c>
      <ns0:c r="L12" s="4" t="n">
        <ns0:v>2</ns0:v>
      </ns0:c>
      <ns0:c r="M12" s="7">
        <ns0:f>L12/J12</ns0:f>
        <ns0:v>0.4</ns0:v>
      </ns0:c>
      <ns0:c r="N12" s="4" t="n">
        <ns0:v>1</ns0:v>
      </ns0:c>
      <ns0:c r="O12" s="7">
        <ns0:f>I12*N12</ns0:f>
        <ns0:v>1</ns0:v>
      </ns0:c>
      <ns0:c r="P12" s="4" t="inlineStr">
        <ns0:is>
          <ns0:t>同一部位最多1件；护臂／护腿分别计限（Q03）</ns0:t>
        </ns0:is>
      </ns0:c>
      <ns0:c r="Q12" s="4" t="inlineStr">
        <ns0:is>
          <ns0:t>铁甲联动</ns0:t>
        </ns0:is>
      </ns0:c>
      <ns0:c r="R12" s="4" t="inlineStr">
        <ns0:is>
          <ns0:t>零体力沿用防具基线；数量不消耗</ns0:t>
        </ns0:is>
      </ns0:c>
      <ns0:c r="S12" s="4" t="inlineStr">
        <ns0:is>
          <ns0:t>01 C01/I11；04防具；06 Link</ns0:t>
        </ns0:is>
      </ns0:c>
      <ns0:c r="T12" s="4" t="inlineStr">
        <ns0:is>
          <ns0:t>未配置</ns0:t>
        </ns0:is>
      </ns0:c>
      <ns0:c r="U12" s="6" t="inlineStr">
        <ns0:is>
          <ns0:t>C新增试玩候选；甲型加权Q02已确认</ns0:t>
        </ns0:is>
      </ns0:c>
      <ns0:c r="V12" s="4" t="inlineStr">
        <ns0:is>
          <ns0:t>C</ns0:t>
        </ns0:is>
      </ns0:c>
    </ns0:row>
    <ns0:row r="13" ht="42" customHeight="1">
      <ns0:c r="A13" s="5" t="inlineStr">
        <ns0:is>
          <ns0:t>t01.asset.0017</ns0:t>
        </ns0:is>
      </ns0:c>
      <ns0:c r="B13" s="5" t="inlineStr">
        <ns0:is>
          <ns0:t>铁护腿</ns0:t>
        </ns0:is>
      </ns0:c>
      <ns0:c r="C13" s="5" t="inlineStr">
        <ns0:is>
          <ns0:t>下品</ns0:t>
        </ns0:is>
      </ns0:c>
      <ns0:c r="D13" s="5" t="inlineStr">
        <ns0:is>
          <ns0:t>NONE</ns0:t>
        </ns0:is>
      </ns0:c>
      <ns0:c r="E13" s="5" t="inlineStr">
        <ns0:is>
          <ns0:t>护具·腿</ns0:t>
        </ns0:is>
      </ns0:c>
      <ns0:c r="F13" s="5" t="inlineStr">
        <ns0:is>
          <ns0:t>重甲</ns0:t>
        </ns0:is>
      </ns0:c>
      <ns0:c r="G13" s="5" t="n">
        <ns0:v>1</ns0:v>
      </ns0:c>
      <ns0:c r="H13" s="5" t="n">
        <ns0:v>1</ns0:v>
      </ns0:c>
      <ns0:c r="I13" s="9">
        <ns0:f>G13*H13</ns0:f>
        <ns0:v>1</ns0:v>
      </ns0:c>
      <ns0:c r="J13" s="5" t="n">
        <ns0:v>6</ns0:v>
      </ns0:c>
      <ns0:c r="K13" s="5" t="n">
        <ns0:v>3</ns0:v>
      </ns0:c>
      <ns0:c r="L13" s="5" t="n">
        <ns0:v>3</ns0:v>
      </ns0:c>
      <ns0:c r="M13" s="9">
        <ns0:f>L13/J13</ns0:f>
        <ns0:v>0.5</ns0:v>
      </ns0:c>
      <ns0:c r="N13" s="5" t="n">
        <ns0:v>1</ns0:v>
      </ns0:c>
      <ns0:c r="O13" s="9">
        <ns0:f>I13*N13</ns0:f>
        <ns0:v>1</ns0:v>
      </ns0:c>
      <ns0:c r="P13" s="5" t="inlineStr">
        <ns0:is>
          <ns0:t>同一部位最多1件；护臂／护腿分别计限（Q03）</ns0:t>
        </ns0:is>
      </ns0:c>
      <ns0:c r="Q13" s="5" t="inlineStr">
        <ns0:is>
          <ns0:t>铁甲联动</ns0:t>
        </ns0:is>
      </ns0:c>
      <ns0:c r="R13" s="5" t="inlineStr">
        <ns0:is>
          <ns0:t>零体力沿用防具基线；数量不消耗</ns0:t>
        </ns0:is>
      </ns0:c>
      <ns0:c r="S13" s="5" t="inlineStr">
        <ns0:is>
          <ns0:t>01 C01/I11；04防具；06 Link</ns0:t>
        </ns0:is>
      </ns0:c>
      <ns0:c r="T13" s="5" t="inlineStr">
        <ns0:is>
          <ns0:t>未配置</ns0:t>
        </ns0:is>
      </ns0:c>
      <ns0:c r="U13" s="6" t="inlineStr">
        <ns0:is>
          <ns0:t>C新增试玩候选；甲型加权Q02已确认</ns0:t>
        </ns0:is>
      </ns0:c>
      <ns0:c r="V13" s="5" t="inlineStr">
        <ns0:is>
          <ns0:t>C</ns0:t>
        </ns0:is>
      </ns0:c>
    </ns0:row>
  </ns0:sheetData>
  <ns0:mergeCells count="2">
    <ns0:mergeCell ref="A2:V2"/>
    <ns0:mergeCell ref="A1:V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U9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1" customWidth="1" min="3" max="3"/>
    <ns0:col width="12" customWidth="1" min="4" max="4"/>
    <ns0:col width="23" customWidth="1" min="5" max="5"/>
    <ns0:col width="17" customWidth="1" min="6" max="6"/>
    <ns0:col width="9" customWidth="1" min="7" max="7"/>
    <ns0:col width="9" customWidth="1" min="8" max="8"/>
    <ns0:col width="12" customWidth="1" min="9" max="9"/>
    <ns0:col width="12" customWidth="1" min="10" max="10"/>
    <ns0:col width="14" customWidth="1" min="11" max="11"/>
    <ns0:col width="14" customWidth="1" min="12" max="12"/>
    <ns0:col width="14" customWidth="1" min="13" max="13"/>
    <ns0:col width="21" customWidth="1" min="14" max="14"/>
    <ns0:col width="21" customWidth="1" min="15" max="15"/>
    <ns0:col width="38" customWidth="1" min="16" max="16"/>
    <ns0:col width="66" customWidth="1" min="17" max="17"/>
    <ns0:col width="36" customWidth="1" min="18" max="18"/>
    <ns0:col width="46" customWidth="1" min="19" max="19"/>
    <ns0:col width="49" customWidth="1" min="20" max="20"/>
    <ns0:col width="16" customWidth="1" min="21" max="21"/>
  </ns0:cols>
  <ns0:sheetData>
    <ns0:row r="1" ht="32" customHeight="1">
      <ns0:c r="A1" s="1" t="inlineStr">
        <ns0:is>
          <ns0:t>t01-08｜法器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定位</ns0:t>
        </ns0:is>
      </ns0:c>
      <ns0:c r="F5" s="3" t="inlineStr">
        <ns0:is>
          <ns0:t>攻击类型</ns0:t>
        </ns0:is>
      </ns0:c>
      <ns0:c r="G5" s="3" t="inlineStr">
        <ns0:is>
          <ns0:t>宽_格</ns0:t>
        </ns0:is>
      </ns0:c>
      <ns0:c r="H5" s="3" t="inlineStr">
        <ns0:is>
          <ns0:t>高_格</ns0:t>
        </ns0:is>
      </ns0:c>
      <ns0:c r="I5" s="3" t="inlineStr">
        <ns0:is>
          <ns0:t>实际占格</ns0:t>
        </ns0:is>
      </ns0:c>
      <ns0:c r="J5" s="3" t="inlineStr">
        <ns0:is>
          <ns0:t>CD_秒</ns0:t>
        </ns0:is>
      </ns0:c>
      <ns0:c r="K5" s="3" t="inlineStr">
        <ns0:is>
          <ns0:t>气血恢复</ns0:t>
        </ns0:is>
      </ns0:c>
      <ns0:c r="L5" s="3" t="inlineStr">
        <ns0:is>
          <ns0:t>体力恢复</ns0:t>
        </ns0:is>
      </ns0:c>
      <ns0:c r="M5" s="3" t="inlineStr">
        <ns0:is>
          <ns0:t>灵力恢复</ns0:t>
        </ns0:is>
      </ns0:c>
      <ns0:c r="N5" s="3" t="inlineStr">
        <ns0:is>
          <ns0:t>恢复上限分子</ns0:t>
        </ns0:is>
      </ns0:c>
      <ns0:c r="O5" s="3" t="inlineStr">
        <ns0:is>
          <ns0:t>恢复上限分母</ns0:t>
        </ns0:is>
      </ns0:c>
      <ns0:c r="P5" s="3" t="inlineStr">
        <ns0:is>
          <ns0:t>恢复上限状态</ns0:t>
        </ns0:is>
      </ns0:c>
      <ns0:c r="Q5" s="3" t="inlineStr">
        <ns0:is>
          <ns0:t>成本与效果边界</ns0:t>
        </ns0:is>
      </ns0:c>
      <ns0:c r="R5" s="3" t="inlineStr">
        <ns0:is>
          <ns0:t>机制引用</ns0:t>
        </ns0:is>
      </ns0:c>
      <ns0:c r="S5" s="3" t="inlineStr">
        <ns0:is>
          <ns0:t>现有游戏ID</ns0:t>
        </ns0:is>
      </ns0:c>
      <ns0:c r="T5" s="3" t="inlineStr">
        <ns0:is>
          <ns0:t>设计状态</ns0:t>
        </ns0:is>
      </ns0:c>
      <ns0:c r="U5" s="3" t="inlineStr">
        <ns0:is>
          <ns0:t>来源</ns0:t>
        </ns0:is>
      </ns0:c>
    </ns0:row>
    <ns0:row r="6" ht="30" customHeight="1">
      <ns0:c r="A6" s="4" t="inlineStr">
        <ns0:is>
          <ns0:t>t01.asset.0018</ns0:t>
        </ns0:is>
      </ns0:c>
      <ns0:c r="B6" s="4" t="inlineStr">
        <ns0:is>
          <ns0:t>温玉佩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基础资源恢复</ns0:t>
        </ns0:is>
      </ns0:c>
      <ns0:c r="F6" s="4" t="inlineStr">
        <ns0:is>
          <ns0:t>无攻击</ns0:t>
        </ns0:is>
      </ns0:c>
      <ns0:c r="G6" s="4" t="n">
        <ns0:v>1</ns0:v>
      </ns0:c>
      <ns0:c r="H6" s="4" t="n">
        <ns0:v>1</ns0:v>
      </ns0:c>
      <ns0:c r="I6" s="7">
        <ns0:f>G6*H6</ns0:f>
        <ns0:v>1</ns0:v>
      </ns0:c>
      <ns0:c r="J6" s="4" t="n">
        <ns0:v>4</ns0:v>
      </ns0:c>
      <ns0:c r="K6" s="4" t="n">
        <ns0:v>4</ns0:v>
      </ns0:c>
      <ns0:c r="L6" s="4" t="n">
        <ns0:v>6</ns0:v>
      </ns0:c>
      <ns0:c r="M6" s="4" t="n">
        <ns0:v>0</ns0:v>
      </ns0:c>
      <ns0:c r="N6" s="4" t="n">
        <ns0:v>2</ns0:v>
      </ns0:c>
      <ns0:c r="O6" s="4" t="n">
        <ns0:v>3</ns0:v>
      </ns0:c>
      <ns0:c r="P6" s="4" t="inlineStr">
        <ns0:is>
          <ns0:t>已有配置上限2/3；保留</ns0:t>
        </ns0:is>
      </ns0:c>
      <ns0:c r="Q6" s="4" t="inlineStr">
        <ns0:is>
          <ns0:t>道具消耗0、灵力费0；资料称免费恢复，不附Buff／净化。</ns0:t>
        </ns0:is>
      </ns0:c>
      <ns0:c r="R6" s="4" t="inlineStr">
        <ns0:is>
          <ns0:t>01资源恢复／上限；04法器</ns0:t>
        </ns0:is>
      </ns0:c>
      <ns0:c r="S6" s="4" t="inlineStr">
        <ns0:is>
          <ns0:t>base.map_item.warm_jade</ns0:t>
        </ns0:is>
      </ns0:c>
      <ns0:c r="T6" s="4" t="inlineStr">
        <ns0:is>
          <ns0:t>保留已有值；具体恢复条件按主表边界</ns0:t>
        </ns0:is>
      </ns0:c>
      <ns0:c r="U6" s="4" t="inlineStr">
        <ns0:is>
          <ns0:t>B3；U</ns0:t>
        </ns0:is>
      </ns0:c>
    </ns0:row>
    <ns0:row r="7" ht="57" customHeight="1">
      <ns0:c r="A7" s="5" t="inlineStr">
        <ns0:is>
          <ns0:t>t01.asset.0019</ns0:t>
        </ns0:is>
      </ns0:c>
      <ns0:c r="B7" s="5" t="inlineStr">
        <ns0:is>
          <ns0:t>回春玉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基础资源恢复</ns0:t>
        </ns0:is>
      </ns0:c>
      <ns0:c r="F7" s="5" t="inlineStr">
        <ns0:is>
          <ns0:t>无攻击</ns0:t>
        </ns0:is>
      </ns0:c>
      <ns0:c r="G7" s="5" t="n">
        <ns0:v>1</ns0:v>
      </ns0:c>
      <ns0:c r="H7" s="5" t="n">
        <ns0:v>1</ns0:v>
      </ns0:c>
      <ns0:c r="I7" s="9">
        <ns0:f>G7*H7</ns0:f>
        <ns0:v>1</ns0:v>
      </ns0:c>
      <ns0:c r="J7" s="5" t="n">
        <ns0:v>5</ns0:v>
      </ns0:c>
      <ns0:c r="K7" s="5" t="n">
        <ns0:v>6</ns0:v>
      </ns0:c>
      <ns0:c r="L7" s="5" t="n">
        <ns0:v>0</ns0:v>
      </ns0:c>
      <ns0:c r="M7" s="5" t="n">
        <ns0:v>0</ns0:v>
      </ns0:c>
      <ns0:c r="N7" s="5" t="n">
        <ns0:v>2</ns0:v>
      </ns0:c>
      <ns0:c r="O7" s="5" t="n">
        <ns0:v>3</ns0:v>
      </ns0:c>
      <ns0:c r="P7" s="6" t="inlineStr">
        <ns0:is>
          <ns0:t>Q04已确认：最多恢复至对应最大值2/3；已超上限不扣减、不继续恢复</ns0:t>
        </ns0:is>
      </ns0:c>
      <ns0:c r="Q7" s="5" t="inlineStr">
        <ns0:is>
          <ns0:t>道具消耗0、灵力费0；资料称免费恢复，不附Buff／净化。</ns0:t>
        </ns0:is>
      </ns0:c>
      <ns0:c r="R7" s="5" t="inlineStr">
        <ns0:is>
          <ns0:t>01资源恢复／上限；04法器</ns0:t>
        </ns0:is>
      </ns0:c>
      <ns0:c r="S7" s="5" t="inlineStr">
        <ns0:is>
          <ns0:t>未配置</ns0:t>
        </ns0:is>
      </ns0:c>
      <ns0:c r="T7" s="6" t="inlineStr">
        <ns0:is>
          <ns0:t>新增试玩候选；具体恢复条件按主表边界</ns0:t>
        </ns0:is>
      </ns0:c>
      <ns0:c r="U7" s="5" t="inlineStr">
        <ns0:is>
          <ns0:t>B3；U；Q04用户答复2026-09-28</ns0:t>
        </ns0:is>
      </ns0:c>
    </ns0:row>
    <ns0:row r="8" ht="57" customHeight="1">
      <ns0:c r="A8" s="4" t="inlineStr">
        <ns0:is>
          <ns0:t>t01.asset.0020</ns0:t>
        </ns0:is>
      </ns0:c>
      <ns0:c r="B8" s="4" t="inlineStr">
        <ns0:is>
          <ns0:t>养息珠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基础资源恢复</ns0:t>
        </ns0:is>
      </ns0:c>
      <ns0:c r="F8" s="4" t="inlineStr">
        <ns0:is>
          <ns0:t>无攻击</ns0:t>
        </ns0:is>
      </ns0:c>
      <ns0:c r="G8" s="4" t="n">
        <ns0:v>1</ns0:v>
      </ns0:c>
      <ns0:c r="H8" s="4" t="n">
        <ns0:v>1</ns0:v>
      </ns0:c>
      <ns0:c r="I8" s="7">
        <ns0:f>G8*H8</ns0:f>
        <ns0:v>1</ns0:v>
      </ns0:c>
      <ns0:c r="J8" s="4" t="n">
        <ns0:v>5</ns0:v>
      </ns0:c>
      <ns0:c r="K8" s="4" t="n">
        <ns0:v>0</ns0:v>
      </ns0:c>
      <ns0:c r="L8" s="4" t="n">
        <ns0:v>9</ns0:v>
      </ns0:c>
      <ns0:c r="M8" s="4" t="n">
        <ns0:v>0</ns0:v>
      </ns0:c>
      <ns0:c r="N8" s="4" t="n">
        <ns0:v>2</ns0:v>
      </ns0:c>
      <ns0:c r="O8" s="4" t="n">
        <ns0:v>3</ns0:v>
      </ns0:c>
      <ns0:c r="P8" s="6" t="inlineStr">
        <ns0:is>
          <ns0:t>Q04已确认：最多恢复至对应最大值2/3；已超上限不扣减、不继续恢复</ns0:t>
        </ns0:is>
      </ns0:c>
      <ns0:c r="Q8" s="4" t="inlineStr">
        <ns0:is>
          <ns0:t>道具消耗0、灵力费0；资料称免费恢复，不附Buff／净化。</ns0:t>
        </ns0:is>
      </ns0:c>
      <ns0:c r="R8" s="4" t="inlineStr">
        <ns0:is>
          <ns0:t>01资源恢复／上限；04法器</ns0:t>
        </ns0:is>
      </ns0:c>
      <ns0:c r="S8" s="4" t="inlineStr">
        <ns0:is>
          <ns0:t>未配置</ns0:t>
        </ns0:is>
      </ns0:c>
      <ns0:c r="T8" s="6" t="inlineStr">
        <ns0:is>
          <ns0:t>新增试玩候选；具体恢复条件按主表边界</ns0:t>
        </ns0:is>
      </ns0:c>
      <ns0:c r="U8" s="4" t="inlineStr">
        <ns0:is>
          <ns0:t>B3；U；Q04用户答复2026-09-28</ns0:t>
        </ns0:is>
      </ns0:c>
    </ns0:row>
    <ns0:row r="9" ht="57" customHeight="1">
      <ns0:c r="A9" s="5" t="inlineStr">
        <ns0:is>
          <ns0:t>t01.asset.0021</ns0:t>
        </ns0:is>
      </ns0:c>
      <ns0:c r="B9" s="5" t="inlineStr">
        <ns0:is>
          <ns0:t>聚灵珠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基础资源恢复</ns0:t>
        </ns0:is>
      </ns0:c>
      <ns0:c r="F9" s="5" t="inlineStr">
        <ns0:is>
          <ns0:t>无攻击</ns0:t>
        </ns0:is>
      </ns0:c>
      <ns0:c r="G9" s="5" t="n">
        <ns0:v>1</ns0:v>
      </ns0:c>
      <ns0:c r="H9" s="5" t="n">
        <ns0:v>1</ns0:v>
      </ns0:c>
      <ns0:c r="I9" s="9">
        <ns0:f>G9*H9</ns0:f>
        <ns0:v>1</ns0:v>
      </ns0:c>
      <ns0:c r="J9" s="5" t="n">
        <ns0:v>5</ns0:v>
      </ns0:c>
      <ns0:c r="K9" s="5" t="n">
        <ns0:v>0</ns0:v>
      </ns0:c>
      <ns0:c r="L9" s="5" t="n">
        <ns0:v>0</ns0:v>
      </ns0:c>
      <ns0:c r="M9" s="5" t="n">
        <ns0:v>6</ns0:v>
      </ns0:c>
      <ns0:c r="N9" s="5" t="n">
        <ns0:v>2</ns0:v>
      </ns0:c>
      <ns0:c r="O9" s="5" t="n">
        <ns0:v>3</ns0:v>
      </ns0:c>
      <ns0:c r="P9" s="6" t="inlineStr">
        <ns0:is>
          <ns0:t>Q04已确认：最多恢复至对应最大值2/3；已超上限不扣减、不继续恢复</ns0:t>
        </ns0:is>
      </ns0:c>
      <ns0:c r="Q9" s="5" t="inlineStr">
        <ns0:is>
          <ns0:t>道具消耗0、灵力费0；资料称免费恢复，不附Buff／净化。</ns0:t>
        </ns0:is>
      </ns0:c>
      <ns0:c r="R9" s="5" t="inlineStr">
        <ns0:is>
          <ns0:t>01资源恢复／上限；04法器</ns0:t>
        </ns0:is>
      </ns0:c>
      <ns0:c r="S9" s="5" t="inlineStr">
        <ns0:is>
          <ns0:t>未配置</ns0:t>
        </ns0:is>
      </ns0:c>
      <ns0:c r="T9" s="6" t="inlineStr">
        <ns0:is>
          <ns0:t>新增试玩候选；具体恢复条件按主表边界</ns0:t>
        </ns0:is>
      </ns0:c>
      <ns0:c r="U9" s="5" t="inlineStr">
        <ns0:is>
          <ns0:t>B3；U；Q04用户答复2026-09-28</ns0:t>
        </ns0:is>
      </ns0:c>
    </ns0:row>
  </ns0:sheetData>
  <ns0:mergeCells count="2">
    <ns0:mergeCell ref="A1:U1"/>
    <ns0:mergeCell ref="A2:U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Z11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3" customWidth="1" min="1" max="1"/>
    <ns0:col width="18" customWidth="1" min="2" max="2"/>
    <ns0:col width="11" customWidth="1" min="3" max="3"/>
    <ns0:col width="12" customWidth="1" min="4" max="4"/>
    <ns0:col width="25" customWidth="1" min="5" max="5"/>
    <ns0:col width="9" customWidth="1" min="6" max="6"/>
    <ns0:col width="9" customWidth="1" min="7" max="7"/>
    <ns0:col width="12" customWidth="1" min="8" max="8"/>
    <ns0:col width="12" customWidth="1" min="9" max="9"/>
    <ns0:col width="18" customWidth="1" min="10" max="10"/>
    <ns0:col width="18" customWidth="1" min="11" max="11"/>
    <ns0:col width="18" customWidth="1" min="12" max="12"/>
    <ns0:col width="16" customWidth="1" min="13" max="13"/>
    <ns0:col width="10" customWidth="1" min="14" max="14"/>
    <ns0:col width="17" customWidth="1" min="15" max="15"/>
    <ns0:col width="17" customWidth="1" min="16" max="16"/>
    <ns0:col width="17" customWidth="1" min="17" max="17"/>
    <ns0:col width="18" customWidth="1" min="18" max="18"/>
    <ns0:col width="16" customWidth="1" min="19" max="19"/>
    <ns0:col width="10" customWidth="1" min="20" max="20"/>
    <ns0:col width="44" customWidth="1" min="21" max="21"/>
    <ns0:col width="63" customWidth="1" min="22" max="22"/>
    <ns0:col width="43" customWidth="1" min="23" max="23"/>
    <ns0:col width="46" customWidth="1" min="24" max="24"/>
    <ns0:col width="30" customWidth="1" min="25" max="25"/>
    <ns0:col width="16" customWidth="1" min="26" max="26"/>
  </ns0:cols>
  <ns0:sheetData>
    <ns0:row r="1" ht="32" customHeight="1">
      <ns0:c r="A1" s="1" t="inlineStr">
        <ns0:is>
          <ns0:t>t01-08｜丹药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效果类型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实际占格</ns0:t>
        </ns0:is>
      </ns0:c>
      <ns0:c r="I5" s="3" t="inlineStr">
        <ns0:is>
          <ns0:t>CD_秒</ns0:t>
        </ns0:is>
      </ns0:c>
      <ns0:c r="J5" s="3" t="inlineStr">
        <ns0:is>
          <ns0:t>每次气血恢复</ns0:t>
        </ns0:is>
      </ns0:c>
      <ns0:c r="K5" s="3" t="inlineStr">
        <ns0:is>
          <ns0:t>每次体力恢复</ns0:t>
        </ns0:is>
      </ns0:c>
      <ns0:c r="L5" s="3" t="inlineStr">
        <ns0:is>
          <ns0:t>每次灵力恢复</ns0:t>
        </ns0:is>
      </ns0:c>
      <ns0:c r="M5" s="3" t="inlineStr">
        <ns0:is>
          <ns0:t>跳间隔_秒</ns0:t>
        </ns0:is>
      </ns0:c>
      <ns0:c r="N5" s="3" t="inlineStr">
        <ns0:is>
          <ns0:t>次数</ns0:t>
        </ns0:is>
      </ns0:c>
      <ns0:c r="O5" s="3" t="inlineStr">
        <ns0:is>
          <ns0:t>总气血恢复</ns0:t>
        </ns0:is>
      </ns0:c>
      <ns0:c r="P5" s="3" t="inlineStr">
        <ns0:is>
          <ns0:t>总体力恢复</ns0:t>
        </ns0:is>
      </ns0:c>
      <ns0:c r="Q5" s="3" t="inlineStr">
        <ns0:is>
          <ns0:t>总灵力恢复</ns0:t>
        </ns0:is>
      </ns0:c>
      <ns0:c r="R5" s="3" t="inlineStr">
        <ns0:is>
          <ns0:t>毒蚀免疫_秒</ns0:t>
        </ns0:is>
      </ns0:c>
      <ns0:c r="S5" s="3" t="inlineStr">
        <ns0:is>
          <ns0:t>发动耗数量</ns0:t>
        </ns0:is>
      </ns0:c>
      <ns0:c r="T5" s="3" t="inlineStr">
        <ns0:is>
          <ns0:t>单位</ns0:t>
        </ns0:is>
      </ns0:c>
      <ns0:c r="U5" s="3" t="inlineStr">
        <ns0:is>
          <ns0:t>结算时点</ns0:t>
        </ns0:is>
      </ns0:c>
      <ns0:c r="V5" s="3" t="inlineStr">
        <ns0:is>
          <ns0:t>效果边界</ns0:t>
        </ns0:is>
      </ns0:c>
      <ns0:c r="W5" s="3" t="inlineStr">
        <ns0:is>
          <ns0:t>机制引用</ns0:t>
        </ns0:is>
      </ns0:c>
      <ns0:c r="X5" s="3" t="inlineStr">
        <ns0:is>
          <ns0:t>现有游戏ID</ns0:t>
        </ns0:is>
      </ns0:c>
      <ns0:c r="Y5" s="3" t="inlineStr">
        <ns0:is>
          <ns0:t>设计状态</ns0:t>
        </ns0:is>
      </ns0:c>
      <ns0:c r="Z5" s="3" t="inlineStr">
        <ns0:is>
          <ns0:t>来源</ns0:t>
        </ns0:is>
      </ns0:c>
    </ns0:row>
    <ns0:row r="6" ht="30" customHeight="1">
      <ns0:c r="A6" s="4" t="inlineStr">
        <ns0:is>
          <ns0:t>t01.asset.0022</ns0:t>
        </ns0:is>
      </ns0:c>
      <ns0:c r="B6" s="4" t="inlineStr">
        <ns0:is>
          <ns0:t>止血丹</ns0:t>
        </ns0:is>
      </ns0:c>
      <ns0:c r="C6" s="4" t="inlineStr">
        <ns0:is>
          <ns0:t>下品</ns0:t>
        </ns0:is>
      </ns0:c>
      <ns0:c r="D6" s="4" t="inlineStr">
        <ns0:is>
          <ns0:t>NONE</ns0:t>
        </ns0:is>
      </ns0:c>
      <ns0:c r="E6" s="4" t="inlineStr">
        <ns0:is>
          <ns0:t>分次</ns0:t>
        </ns0:is>
      </ns0:c>
      <ns0:c r="F6" s="4" t="n">
        <ns0:v>1</ns0:v>
      </ns0:c>
      <ns0:c r="G6" s="4" t="n">
        <ns0:v>1</ns0:v>
      </ns0:c>
      <ns0:c r="H6" s="7">
        <ns0:f>F6*G6</ns0:f>
        <ns0:v>1</ns0:v>
      </ns0:c>
      <ns0:c r="I6" s="11" t="n">
        <ns0:v>6.5</ns0:v>
      </ns0:c>
      <ns0:c r="J6" s="4" t="n">
        <ns0:v>2</ns0:v>
      </ns0:c>
      <ns0:c r="K6" s="4" t="n">
        <ns0:v>0</ns0:v>
      </ns0:c>
      <ns0:c r="L6" s="4" t="n">
        <ns0:v>0</ns0:v>
      </ns0:c>
      <ns0:c r="M6" s="4" t="n">
        <ns0:v>2</ns0:v>
      </ns0:c>
      <ns0:c r="N6" s="4" t="n">
        <ns0:v>3</ns0:v>
      </ns0:c>
      <ns0:c r="O6" s="7">
        <ns0:f>IF(N6="",0,J6*N6)</ns0:f>
        <ns0:v>6</ns0:v>
      </ns0:c>
      <ns0:c r="P6" s="7">
        <ns0:f>IF(N6="",0,K6*N6)</ns0:f>
        <ns0:v>0</ns0:v>
      </ns0:c>
      <ns0:c r="Q6" s="7">
        <ns0:f>IF(N6="",0,L6*N6)</ns0:f>
        <ns0:v>0</ns0:v>
      </ns0:c>
      <ns0:c r="R6" s="4" t="n">
        <ns0:v>0</ns0:v>
      </ns0:c>
      <ns0:c r="S6" s="4" t="n">
        <ns0:v>1</ns0:v>
      </ns0:c>
      <ns0:c r="T6" s="4" t="inlineStr">
        <ns0:is>
          <ns0:t>瓶</ns0:t>
        </ns0:is>
      </ns0:c>
      <ns0:c r="U6" s="4" t="inlineStr">
        <ns0:is>
          <ns0:t>第2/4/6秒结算；不是发动即首跳</ns0:t>
        </ns0:is>
      </ns0:c>
      <ns0:c r="V6" s="4" t="inlineStr">
        <ns0:is>
          <ns0:t>仅消毒散清除毒蚀并免疫毒蚀；不扩为全负面净化。</ns0:t>
        </ns0:is>
      </ns0:c>
      <ns0:c r="W6" s="4" t="inlineStr">
        <ns0:is>
          <ns0:t>01时序／恢复／免疫；02 OP；03专门用途</ns0:t>
        </ns0:is>
      </ns0:c>
      <ns0:c r="X6" s="4" t="inlineStr">
        <ns0:is>
          <ns0:t>base.map_item.hemostatic_pill</ns0:t>
        </ns0:is>
      </ns0:c>
      <ns0:c r="Y6" s="4" t="inlineStr">
        <ns0:is>
          <ns0:t>保留资料已有值</ns0:t>
        </ns0:is>
      </ns0:c>
      <ns0:c r="Z6" s="4" t="inlineStr">
        <ns0:is>
          <ns0:t>B4；U</ns0:t>
        </ns0:is>
      </ns0:c>
    </ns0:row>
    <ns0:row r="7" ht="30" customHeight="1">
      <ns0:c r="A7" s="5" t="inlineStr">
        <ns0:is>
          <ns0:t>t01.asset.0023</ns0:t>
        </ns0:is>
      </ns0:c>
      <ns0:c r="B7" s="5" t="inlineStr">
        <ns0:is>
          <ns0:t>强筋丸</ns0:t>
        </ns0:is>
      </ns0:c>
      <ns0:c r="C7" s="5" t="inlineStr">
        <ns0:is>
          <ns0:t>下品</ns0:t>
        </ns0:is>
      </ns0:c>
      <ns0:c r="D7" s="5" t="inlineStr">
        <ns0:is>
          <ns0:t>NONE</ns0:t>
        </ns0:is>
      </ns0:c>
      <ns0:c r="E7" s="5" t="inlineStr">
        <ns0:is>
          <ns0:t>分次</ns0:t>
        </ns0:is>
      </ns0:c>
      <ns0:c r="F7" s="5" t="n">
        <ns0:v>1</ns0:v>
      </ns0:c>
      <ns0:c r="G7" s="5" t="n">
        <ns0:v>1</ns0:v>
      </ns0:c>
      <ns0:c r="H7" s="9">
        <ns0:f>F7*G7</ns0:f>
        <ns0:v>1</ns0:v>
      </ns0:c>
      <ns0:c r="I7" s="12" t="n">
        <ns0:v>7.5</ns0:v>
      </ns0:c>
      <ns0:c r="J7" s="5" t="n">
        <ns0:v>0</ns0:v>
      </ns0:c>
      <ns0:c r="K7" s="5" t="n">
        <ns0:v>4</ns0:v>
      </ns0:c>
      <ns0:c r="L7" s="5" t="n">
        <ns0:v>0</ns0:v>
      </ns0:c>
      <ns0:c r="M7" s="5" t="n">
        <ns0:v>2</ns0:v>
      </ns0:c>
      <ns0:c r="N7" s="5" t="n">
        <ns0:v>3</ns0:v>
      </ns0:c>
      <ns0:c r="O7" s="9">
        <ns0:f>IF(N7="",0,J7*N7)</ns0:f>
        <ns0:v>0</ns0:v>
      </ns0:c>
      <ns0:c r="P7" s="9">
        <ns0:f>IF(N7="",0,K7*N7)</ns0:f>
        <ns0:v>12</ns0:v>
      </ns0:c>
      <ns0:c r="Q7" s="9">
        <ns0:f>IF(N7="",0,L7*N7)</ns0:f>
        <ns0:v>0</ns0:v>
      </ns0:c>
      <ns0:c r="R7" s="5" t="n">
        <ns0:v>0</ns0:v>
      </ns0:c>
      <ns0:c r="S7" s="5" t="n">
        <ns0:v>1</ns0:v>
      </ns0:c>
      <ns0:c r="T7" s="5" t="inlineStr">
        <ns0:is>
          <ns0:t>瓶</ns0:t>
        </ns0:is>
      </ns0:c>
      <ns0:c r="U7" s="5" t="inlineStr">
        <ns0:is>
          <ns0:t>第2/4/6秒结算；不是发动即首跳</ns0:t>
        </ns0:is>
      </ns0:c>
      <ns0:c r="V7" s="5" t="inlineStr">
        <ns0:is>
          <ns0:t>仅消毒散清除毒蚀并免疫毒蚀；不扩为全负面净化。</ns0:t>
        </ns0:is>
      </ns0:c>
      <ns0:c r="W7" s="5" t="inlineStr">
        <ns0:is>
          <ns0:t>01时序／恢复／免疫；02 OP；03专门用途</ns0:t>
        </ns0:is>
      </ns0:c>
      <ns0:c r="X7" s="5" t="inlineStr">
        <ns0:is>
          <ns0:t>base.map_item.sinew_pill</ns0:t>
        </ns0:is>
      </ns0:c>
      <ns0:c r="Y7" s="5" t="inlineStr">
        <ns0:is>
          <ns0:t>保留资料已有值</ns0:t>
        </ns0:is>
      </ns0:c>
      <ns0:c r="Z7" s="5" t="inlineStr">
        <ns0:is>
          <ns0:t>B4；U</ns0:t>
        </ns0:is>
      </ns0:c>
    </ns0:row>
    <ns0:row r="8" ht="30" customHeight="1">
      <ns0:c r="A8" s="4" t="inlineStr">
        <ns0:is>
          <ns0:t>t01.asset.0024</ns0:t>
        </ns0:is>
      </ns0:c>
      <ns0:c r="B8" s="4" t="inlineStr">
        <ns0:is>
          <ns0:t>消毒散</ns0:t>
        </ns0:is>
      </ns0:c>
      <ns0:c r="C8" s="4" t="inlineStr">
        <ns0:is>
          <ns0:t>下品</ns0:t>
        </ns0:is>
      </ns0:c>
      <ns0:c r="D8" s="4" t="inlineStr">
        <ns0:is>
          <ns0:t>NONE</ns0:t>
        </ns0:is>
      </ns0:c>
      <ns0:c r="E8" s="4" t="inlineStr">
        <ns0:is>
          <ns0:t>清毒＋毒蚀免疫</ns0:t>
        </ns0:is>
      </ns0:c>
      <ns0:c r="F8" s="4" t="n">
        <ns0:v>1</ns0:v>
      </ns0:c>
      <ns0:c r="G8" s="4" t="n">
        <ns0:v>1</ns0:v>
      </ns0:c>
      <ns0:c r="H8" s="7">
        <ns0:f>F8*G8</ns0:f>
        <ns0:v>1</ns0:v>
      </ns0:c>
      <ns0:c r="I8" s="11" t="n">
        <ns0:v>5.5</ns0:v>
      </ns0:c>
      <ns0:c r="J8" s="4" t="n">
        <ns0:v>0</ns0:v>
      </ns0:c>
      <ns0:c r="K8" s="4" t="n">
        <ns0:v>0</ns0:v>
      </ns0:c>
      <ns0:c r="L8" s="4" t="n">
        <ns0:v>0</ns0:v>
      </ns0:c>
      <ns0:c r="M8" s="4" t="n"/>
      <ns0:c r="N8" s="4" t="n"/>
      <ns0:c r="O8" s="7">
        <ns0:f>IF(N8="",0,J8*N8)</ns0:f>
        <ns0:v>0</ns0:v>
      </ns0:c>
      <ns0:c r="P8" s="7">
        <ns0:f>IF(N8="",0,K8*N8)</ns0:f>
        <ns0:v>0</ns0:v>
      </ns0:c>
      <ns0:c r="Q8" s="7">
        <ns0:f>IF(N8="",0,L8*N8)</ns0:f>
        <ns0:v>0</ns0:v>
      </ns0:c>
      <ns0:c r="R8" s="4" t="n">
        <ns0:v>15</ns0:v>
      </ns0:c>
      <ns0:c r="S8" s="4" t="n">
        <ns0:v>1</ns0:v>
      </ns0:c>
      <ns0:c r="T8" s="4" t="inlineStr">
        <ns0:is>
          <ns0:t>瓶</ns0:t>
        </ns0:is>
      </ns0:c>
      <ns0:c r="U8" s="4" t="inlineStr">
        <ns0:is>
          <ns0:t>发动立即生效</ns0:t>
        </ns0:is>
      </ns0:c>
      <ns0:c r="V8" s="4" t="inlineStr">
        <ns0:is>
          <ns0:t>仅消毒散清除毒蚀并免疫毒蚀；不扩为全负面净化。</ns0:t>
        </ns0:is>
      </ns0:c>
      <ns0:c r="W8" s="4" t="inlineStr">
        <ns0:is>
          <ns0:t>01时序／恢复／免疫；02 OP；03专门用途</ns0:t>
        </ns0:is>
      </ns0:c>
      <ns0:c r="X8" s="4" t="inlineStr">
        <ns0:is>
          <ns0:t>base.map_item.detox_powder</ns0:t>
        </ns0:is>
      </ns0:c>
      <ns0:c r="Y8" s="4" t="inlineStr">
        <ns0:is>
          <ns0:t>保留资料已有值</ns0:t>
        </ns0:is>
      </ns0:c>
      <ns0:c r="Z8" s="4" t="inlineStr">
        <ns0:is>
          <ns0:t>B4；U</ns0:t>
        </ns0:is>
      </ns0:c>
    </ns0:row>
    <ns0:row r="9" ht="30" customHeight="1">
      <ns0:c r="A9" s="5" t="inlineStr">
        <ns0:is>
          <ns0:t>t01.asset.0025</ns0:t>
        </ns0:is>
      </ns0:c>
      <ns0:c r="B9" s="5" t="inlineStr">
        <ns0:is>
          <ns0:t>回灵丹</ns0:t>
        </ns0:is>
      </ns0:c>
      <ns0:c r="C9" s="5" t="inlineStr">
        <ns0:is>
          <ns0:t>下品</ns0:t>
        </ns0:is>
      </ns0:c>
      <ns0:c r="D9" s="5" t="inlineStr">
        <ns0:is>
          <ns0:t>NONE</ns0:t>
        </ns0:is>
      </ns0:c>
      <ns0:c r="E9" s="5" t="inlineStr">
        <ns0:is>
          <ns0:t>分次</ns0:t>
        </ns0:is>
      </ns0:c>
      <ns0:c r="F9" s="5" t="n">
        <ns0:v>1</ns0:v>
      </ns0:c>
      <ns0:c r="G9" s="5" t="n">
        <ns0:v>1</ns0:v>
      </ns0:c>
      <ns0:c r="H9" s="9">
        <ns0:f>F9*G9</ns0:f>
        <ns0:v>1</ns0:v>
      </ns0:c>
      <ns0:c r="I9" s="12" t="n">
        <ns0:v>7.5</ns0:v>
      </ns0:c>
      <ns0:c r="J9" s="5" t="n">
        <ns0:v>0</ns0:v>
      </ns0:c>
      <ns0:c r="K9" s="5" t="n">
        <ns0:v>0</ns0:v>
      </ns0:c>
      <ns0:c r="L9" s="5" t="n">
        <ns0:v>3</ns0:v>
      </ns0:c>
      <ns0:c r="M9" s="5" t="n">
        <ns0:v>2</ns0:v>
      </ns0:c>
      <ns0:c r="N9" s="5" t="n">
        <ns0:v>3</ns0:v>
      </ns0:c>
      <ns0:c r="O9" s="9">
        <ns0:f>IF(N9="",0,J9*N9)</ns0:f>
        <ns0:v>0</ns0:v>
      </ns0:c>
      <ns0:c r="P9" s="9">
        <ns0:f>IF(N9="",0,K9*N9)</ns0:f>
        <ns0:v>0</ns0:v>
      </ns0:c>
      <ns0:c r="Q9" s="9">
        <ns0:f>IF(N9="",0,L9*N9)</ns0:f>
        <ns0:v>9</ns0:v>
      </ns0:c>
      <ns0:c r="R9" s="5" t="n">
        <ns0:v>0</ns0:v>
      </ns0:c>
      <ns0:c r="S9" s="5" t="n">
        <ns0:v>1</ns0:v>
      </ns0:c>
      <ns0:c r="T9" s="5" t="inlineStr">
        <ns0:is>
          <ns0:t>瓶</ns0:t>
        </ns0:is>
      </ns0:c>
      <ns0:c r="U9" s="5" t="inlineStr">
        <ns0:is>
          <ns0:t>第2/4/6秒结算；不是发动即首跳</ns0:t>
        </ns0:is>
      </ns0:c>
      <ns0:c r="V9" s="5" t="inlineStr">
        <ns0:is>
          <ns0:t>仅消毒散清除毒蚀并免疫毒蚀；不扩为全负面净化。</ns0:t>
        </ns0:is>
      </ns0:c>
      <ns0:c r="W9" s="5" t="inlineStr">
        <ns0:is>
          <ns0:t>01时序／恢复／免疫；02 OP；03专门用途</ns0:t>
        </ns0:is>
      </ns0:c>
      <ns0:c r="X9" s="5" t="inlineStr">
        <ns0:is>
          <ns0:t>未配置</ns0:t>
        </ns0:is>
      </ns0:c>
      <ns0:c r="Y9" s="6" t="inlineStr">
        <ns0:is>
          <ns0:t>新增试玩候选</ns0:t>
        </ns0:is>
      </ns0:c>
      <ns0:c r="Z9" s="5" t="inlineStr">
        <ns0:is>
          <ns0:t>B4；U</ns0:t>
        </ns0:is>
      </ns0:c>
    </ns0:row>
    <ns0:row r="10" ht="30" customHeight="1">
      <ns0:c r="A10" s="4" t="inlineStr">
        <ns0:is>
          <ns0:t>t01.asset.0026</ns0:t>
        </ns0:is>
      </ns0:c>
      <ns0:c r="B10" s="4" t="inlineStr">
        <ns0:is>
          <ns0:t>金疮散</ns0:t>
        </ns0:is>
      </ns0:c>
      <ns0:c r="C10" s="4" t="inlineStr">
        <ns0:is>
          <ns0:t>下品</ns0:t>
        </ns0:is>
      </ns0:c>
      <ns0:c r="D10" s="4" t="inlineStr">
        <ns0:is>
          <ns0:t>NONE</ns0:t>
        </ns0:is>
      </ns0:c>
      <ns0:c r="E10" s="4" t="inlineStr">
        <ns0:is>
          <ns0:t>即时</ns0:t>
        </ns0:is>
      </ns0:c>
      <ns0:c r="F10" s="4" t="n">
        <ns0:v>1</ns0:v>
      </ns0:c>
      <ns0:c r="G10" s="4" t="n">
        <ns0:v>1</ns0:v>
      </ns0:c>
      <ns0:c r="H10" s="7">
        <ns0:f>F10*G10</ns0:f>
        <ns0:v>1</ns0:v>
      </ns0:c>
      <ns0:c r="I10" s="11" t="n">
        <ns0:v>5.5</ns0:v>
      </ns0:c>
      <ns0:c r="J10" s="4" t="n">
        <ns0:v>4</ns0:v>
      </ns0:c>
      <ns0:c r="K10" s="4" t="n">
        <ns0:v>0</ns0:v>
      </ns0:c>
      <ns0:c r="L10" s="4" t="n">
        <ns0:v>0</ns0:v>
      </ns0:c>
      <ns0:c r="M10" s="4" t="n">
        <ns0:v>0</ns0:v>
      </ns0:c>
      <ns0:c r="N10" s="4" t="n">
        <ns0:v>1</ns0:v>
      </ns0:c>
      <ns0:c r="O10" s="7">
        <ns0:f>IF(N10="",0,J10*N10)</ns0:f>
        <ns0:v>4</ns0:v>
      </ns0:c>
      <ns0:c r="P10" s="7">
        <ns0:f>IF(N10="",0,K10*N10)</ns0:f>
        <ns0:v>0</ns0:v>
      </ns0:c>
      <ns0:c r="Q10" s="7">
        <ns0:f>IF(N10="",0,L10*N10)</ns0:f>
        <ns0:v>0</ns0:v>
      </ns0:c>
      <ns0:c r="R10" s="4" t="n">
        <ns0:v>0</ns0:v>
      </ns0:c>
      <ns0:c r="S10" s="4" t="n">
        <ns0:v>1</ns0:v>
      </ns0:c>
      <ns0:c r="T10" s="4" t="inlineStr">
        <ns0:is>
          <ns0:t>份</ns0:t>
        </ns0:is>
      </ns0:c>
      <ns0:c r="U10" s="4" t="inlineStr">
        <ns0:is>
          <ns0:t>发动立即生效</ns0:t>
        </ns0:is>
      </ns0:c>
      <ns0:c r="V10" s="4" t="inlineStr">
        <ns0:is>
          <ns0:t>仅消毒散清除毒蚀并免疫毒蚀；不扩为全负面净化。</ns0:t>
        </ns0:is>
      </ns0:c>
      <ns0:c r="W10" s="4" t="inlineStr">
        <ns0:is>
          <ns0:t>01时序／恢复／免疫；02 OP；03专门用途</ns0:t>
        </ns0:is>
      </ns0:c>
      <ns0:c r="X10" s="4" t="inlineStr">
        <ns0:is>
          <ns0:t>未配置</ns0:t>
        </ns0:is>
      </ns0:c>
      <ns0:c r="Y10" s="6" t="inlineStr">
        <ns0:is>
          <ns0:t>新增试玩候选</ns0:t>
        </ns0:is>
      </ns0:c>
      <ns0:c r="Z10" s="4" t="inlineStr">
        <ns0:is>
          <ns0:t>B4；U</ns0:t>
        </ns0:is>
      </ns0:c>
    </ns0:row>
    <ns0:row r="11" ht="30" customHeight="1">
      <ns0:c r="A11" s="5" t="inlineStr">
        <ns0:is>
          <ns0:t>t01.asset.0027</ns0:t>
        </ns0:is>
      </ns0:c>
      <ns0:c r="B11" s="5" t="inlineStr">
        <ns0:is>
          <ns0:t>回元散</ns0:t>
        </ns0:is>
      </ns0:c>
      <ns0:c r="C11" s="5" t="inlineStr">
        <ns0:is>
          <ns0:t>下品</ns0:t>
        </ns0:is>
      </ns0:c>
      <ns0:c r="D11" s="5" t="inlineStr">
        <ns0:is>
          <ns0:t>NONE</ns0:t>
        </ns0:is>
      </ns0:c>
      <ns0:c r="E11" s="5" t="inlineStr">
        <ns0:is>
          <ns0:t>即时</ns0:t>
        </ns0:is>
      </ns0:c>
      <ns0:c r="F11" s="5" t="n">
        <ns0:v>1</ns0:v>
      </ns0:c>
      <ns0:c r="G11" s="5" t="n">
        <ns0:v>1</ns0:v>
      </ns0:c>
      <ns0:c r="H11" s="9">
        <ns0:f>F11*G11</ns0:f>
        <ns0:v>1</ns0:v>
      </ns0:c>
      <ns0:c r="I11" s="5" t="n">
        <ns0:v>7</ns0:v>
      </ns0:c>
      <ns0:c r="J11" s="5" t="n">
        <ns0:v>3</ns0:v>
      </ns0:c>
      <ns0:c r="K11" s="5" t="n">
        <ns0:v>6</ns0:v>
      </ns0:c>
      <ns0:c r="L11" s="5" t="n">
        <ns0:v>0</ns0:v>
      </ns0:c>
      <ns0:c r="M11" s="5" t="n">
        <ns0:v>0</ns0:v>
      </ns0:c>
      <ns0:c r="N11" s="5" t="n">
        <ns0:v>1</ns0:v>
      </ns0:c>
      <ns0:c r="O11" s="9">
        <ns0:f>IF(N11="",0,J11*N11)</ns0:f>
        <ns0:v>3</ns0:v>
      </ns0:c>
      <ns0:c r="P11" s="9">
        <ns0:f>IF(N11="",0,K11*N11)</ns0:f>
        <ns0:v>6</ns0:v>
      </ns0:c>
      <ns0:c r="Q11" s="9">
        <ns0:f>IF(N11="",0,L11*N11)</ns0:f>
        <ns0:v>0</ns0:v>
      </ns0:c>
      <ns0:c r="R11" s="5" t="n">
        <ns0:v>0</ns0:v>
      </ns0:c>
      <ns0:c r="S11" s="5" t="n">
        <ns0:v>1</ns0:v>
      </ns0:c>
      <ns0:c r="T11" s="5" t="inlineStr">
        <ns0:is>
          <ns0:t>份</ns0:t>
        </ns0:is>
      </ns0:c>
      <ns0:c r="U11" s="5" t="inlineStr">
        <ns0:is>
          <ns0:t>发动立即生效</ns0:t>
        </ns0:is>
      </ns0:c>
      <ns0:c r="V11" s="5" t="inlineStr">
        <ns0:is>
          <ns0:t>仅消毒散清除毒蚀并免疫毒蚀；不扩为全负面净化。</ns0:t>
        </ns0:is>
      </ns0:c>
      <ns0:c r="W11" s="5" t="inlineStr">
        <ns0:is>
          <ns0:t>01时序／恢复／免疫；02 OP；03专门用途</ns0:t>
        </ns0:is>
      </ns0:c>
      <ns0:c r="X11" s="5" t="inlineStr">
        <ns0:is>
          <ns0:t>未配置</ns0:t>
        </ns0:is>
      </ns0:c>
      <ns0:c r="Y11" s="6" t="inlineStr">
        <ns0:is>
          <ns0:t>新增试玩候选</ns0:t>
        </ns0:is>
      </ns0:c>
      <ns0:c r="Z11" s="5" t="inlineStr">
        <ns0:is>
          <ns0:t>B4；U</ns0:t>
        </ns0:is>
      </ns0:c>
    </ns0:row>
  </ns0:sheetData>
  <ns0:mergeCells count="2">
    <ns0:mergeCell ref="A1:Z1"/>
    <ns0:mergeCell ref="A2:Z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M6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2" customWidth="1" min="3" max="3"/>
    <ns0:col width="12" customWidth="1" min="4" max="4"/>
    <ns0:col width="24" customWidth="1" min="5" max="5"/>
    <ns0:col width="10" customWidth="1" min="6" max="6"/>
    <ns0:col width="10" customWidth="1" min="7" max="7"/>
    <ns0:col width="50" customWidth="1" min="8" max="8"/>
    <ns0:col width="14" customWidth="1" min="9" max="9"/>
    <ns0:col width="18" customWidth="1" min="10" max="10"/>
    <ns0:col width="35" customWidth="1" min="11" max="11"/>
    <ns0:col width="30" customWidth="1" min="12" max="12"/>
    <ns0:col width="22" customWidth="1" min="13" max="13"/>
  </ns0:cols>
  <ns0:sheetData>
    <ns0:row r="1" ht="32" customHeight="1">
      <ns0:c r="A1" s="1" t="inlineStr">
        <ns0:is>
          <ns0:t>t01-08｜符箓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规格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效果</ns0:t>
        </ns0:is>
      </ns0:c>
      <ns0:c r="I5" s="3" t="inlineStr">
        <ns0:is>
          <ns0:t>CD_秒</ns0:t>
        </ns0:is>
      </ns0:c>
      <ns0:c r="J5" s="3" t="inlineStr">
        <ns0:is>
          <ns0:t>数量消耗</ns0:t>
        </ns0:is>
      </ns0:c>
      <ns0:c r="K5" s="3" t="inlineStr">
        <ns0:is>
          <ns0:t>机制引用</ns0:t>
        </ns0:is>
      </ns0:c>
      <ns0:c r="L5" s="3" t="inlineStr">
        <ns0:is>
          <ns0:t>设计状态</ns0:t>
        </ns0:is>
      </ns0:c>
      <ns0:c r="M5" s="3" t="inlineStr">
        <ns0:is>
          <ns0:t>来源</ns0:t>
        </ns0:is>
      </ns0:c>
    </ns0:row>
    <ns0:row r="6" ht="30" customHeight="1">
      <ns0:c r="A6" s="4" t="n"/>
      <ns0:c r="B6" s="4" t="n"/>
      <ns0:c r="C6" s="4" t="n"/>
      <ns0:c r="D6" s="4" t="n"/>
      <ns0:c r="E6" s="4" t="n"/>
      <ns0:c r="F6" s="4" t="n"/>
      <ns0:c r="G6" s="4" t="n"/>
      <ns0:c r="H6" s="4" t="n"/>
      <ns0:c r="I6" s="4" t="n"/>
      <ns0:c r="J6" s="4" t="n"/>
      <ns0:c r="K6" s="4" t="n"/>
      <ns0:c r="L6" s="4" t="n"/>
      <ns0:c r="M6" s="4" t="n"/>
    </ns0:row>
  </ns0:sheetData>
  <ns0:mergeCells count="2">
    <ns0:mergeCell ref="A2:M2"/>
    <ns0:mergeCell ref="A1:M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M6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12" customWidth="1" min="3" max="3"/>
    <ns0:col width="12" customWidth="1" min="4" max="4"/>
    <ns0:col width="24" customWidth="1" min="5" max="5"/>
    <ns0:col width="10" customWidth="1" min="6" max="6"/>
    <ns0:col width="10" customWidth="1" min="7" max="7"/>
    <ns0:col width="50" customWidth="1" min="8" max="8"/>
    <ns0:col width="14" customWidth="1" min="9" max="9"/>
    <ns0:col width="18" customWidth="1" min="10" max="10"/>
    <ns0:col width="35" customWidth="1" min="11" max="11"/>
    <ns0:col width="30" customWidth="1" min="12" max="12"/>
    <ns0:col width="22" customWidth="1" min="13" max="13"/>
  </ns0:cols>
  <ns0:sheetData>
    <ns0:row r="1" ht="32" customHeight="1">
      <ns0:c r="A1" s="1" t="inlineStr">
        <ns0:is>
          <ns0:t>t01-08｜暗器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品级</ns0:t>
        </ns0:is>
      </ns0:c>
      <ns0:c r="D5" s="3" t="inlineStr">
        <ns0:is>
          <ns0:t>元素</ns0:t>
        </ns0:is>
      </ns0:c>
      <ns0:c r="E5" s="3" t="inlineStr">
        <ns0:is>
          <ns0:t>规格</ns0:t>
        </ns0:is>
      </ns0:c>
      <ns0:c r="F5" s="3" t="inlineStr">
        <ns0:is>
          <ns0:t>宽_格</ns0:t>
        </ns0:is>
      </ns0:c>
      <ns0:c r="G5" s="3" t="inlineStr">
        <ns0:is>
          <ns0:t>高_格</ns0:t>
        </ns0:is>
      </ns0:c>
      <ns0:c r="H5" s="3" t="inlineStr">
        <ns0:is>
          <ns0:t>效果</ns0:t>
        </ns0:is>
      </ns0:c>
      <ns0:c r="I5" s="3" t="inlineStr">
        <ns0:is>
          <ns0:t>CD_秒</ns0:t>
        </ns0:is>
      </ns0:c>
      <ns0:c r="J5" s="3" t="inlineStr">
        <ns0:is>
          <ns0:t>数量消耗</ns0:t>
        </ns0:is>
      </ns0:c>
      <ns0:c r="K5" s="3" t="inlineStr">
        <ns0:is>
          <ns0:t>机制引用</ns0:t>
        </ns0:is>
      </ns0:c>
      <ns0:c r="L5" s="3" t="inlineStr">
        <ns0:is>
          <ns0:t>设计状态</ns0:t>
        </ns0:is>
      </ns0:c>
      <ns0:c r="M5" s="3" t="inlineStr">
        <ns0:is>
          <ns0:t>来源</ns0:t>
        </ns0:is>
      </ns0:c>
    </ns0:row>
    <ns0:row r="6" ht="30" customHeight="1">
      <ns0:c r="A6" s="4" t="n"/>
      <ns0:c r="B6" s="4" t="n"/>
      <ns0:c r="C6" s="4" t="n"/>
      <ns0:c r="D6" s="4" t="n"/>
      <ns0:c r="E6" s="4" t="n"/>
      <ns0:c r="F6" s="4" t="n"/>
      <ns0:c r="G6" s="4" t="n"/>
      <ns0:c r="H6" s="4" t="n"/>
      <ns0:c r="I6" s="4" t="n"/>
      <ns0:c r="J6" s="4" t="n"/>
      <ns0:c r="K6" s="4" t="n"/>
      <ns0:c r="L6" s="4" t="n"/>
      <ns0:c r="M6" s="4" t="n"/>
    </ns0:row>
  </ns0:sheetData>
  <ns0:mergeCells count="2">
    <ns0:mergeCell ref="A2:M2"/>
    <ns0:mergeCell ref="A1:M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I12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8" customWidth="1" min="1" max="1"/>
    <ns0:col width="13" customWidth="1" min="2" max="2"/>
    <ns0:col width="13" customWidth="1" min="3" max="3"/>
    <ns0:col width="13" customWidth="1" min="4" max="4"/>
    <ns0:col width="13" customWidth="1" min="5" max="5"/>
    <ns0:col width="13" customWidth="1" min="6" max="6"/>
    <ns0:col width="13" customWidth="1" min="7" max="7"/>
    <ns0:col width="13" customWidth="1" min="8" max="8"/>
    <ns0:col width="13" customWidth="1" min="9" max="9"/>
  </ns0:cols>
  <ns0:sheetData>
    <ns0:row r="1" ht="32" customHeight="1">
      <ns0:c r="A1" s="1" t="inlineStr">
        <ns0:is>
          <ns0:t>t01-08｜数量统计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类别</ns0:t>
        </ns0:is>
      </ns0:c>
      <ns0:c r="B5" s="3" t="inlineStr">
        <ns0:is>
          <ns0:t>下品</ns0:t>
        </ns0:is>
      </ns0:c>
      <ns0:c r="C5" s="3" t="inlineStr">
        <ns0:is>
          <ns0:t>凡品</ns0:t>
        </ns0:is>
      </ns0:c>
      <ns0:c r="D5" s="3" t="inlineStr">
        <ns0:is>
          <ns0:t>良品</ns0:t>
        </ns0:is>
      </ns0:c>
      <ns0:c r="E5" s="3" t="inlineStr">
        <ns0:is>
          <ns0:t>上品</ns0:t>
        </ns0:is>
      </ns0:c>
      <ns0:c r="F5" s="3" t="inlineStr">
        <ns0:is>
          <ns0:t>灵品</ns0:t>
        </ns0:is>
      </ns0:c>
      <ns0:c r="G5" s="3" t="inlineStr">
        <ns0:is>
          <ns0:t>玄品</ns0:t>
        </ns0:is>
      </ns0:c>
      <ns0:c r="H5" s="3" t="inlineStr">
        <ns0:is>
          <ns0:t>仙品</ns0:t>
        </ns0:is>
      </ns0:c>
      <ns0:c r="I5" s="3" t="inlineStr">
        <ns0:is>
          <ns0:t>合计</ns0:t>
        </ns0:is>
      </ns0:c>
    </ns0:row>
    <ns0:row r="6" ht="30" customHeight="1">
      <ns0:c r="A6" s="4" t="inlineStr">
        <ns0:is>
          <ns0:t>武器</ns0:t>
        </ns0:is>
      </ns0:c>
      <ns0:c r="B6" s="7">
        <ns0:f>COUNTIF(T08Weapon[品级],B$5)</ns0:f>
        <ns0:v>9</ns0:v>
      </ns0:c>
      <ns0:c r="C6" s="7">
        <ns0:f>COUNTIF(T08Weapon[品级],C$5)</ns0:f>
        <ns0:v>0</ns0:v>
      </ns0:c>
      <ns0:c r="D6" s="7">
        <ns0:f>COUNTIF(T08Weapon[品级],D$5)</ns0:f>
        <ns0:v>0</ns0:v>
      </ns0:c>
      <ns0:c r="E6" s="7">
        <ns0:f>COUNTIF(T08Weapon[品级],E$5)</ns0:f>
        <ns0:v>0</ns0:v>
      </ns0:c>
      <ns0:c r="F6" s="7">
        <ns0:f>COUNTIF(T08Weapon[品级],F$5)</ns0:f>
        <ns0:v>0</ns0:v>
      </ns0:c>
      <ns0:c r="G6" s="7">
        <ns0:f>COUNTIF(T08Weapon[品级],G$5)</ns0:f>
        <ns0:v>0</ns0:v>
      </ns0:c>
      <ns0:c r="H6" s="7">
        <ns0:f>COUNTIF(T08Weapon[品级],H$5)</ns0:f>
        <ns0:v>0</ns0:v>
      </ns0:c>
      <ns0:c r="I6" s="7">
        <ns0:f>SUM(B6:H6)</ns0:f>
        <ns0:v>9</ns0:v>
      </ns0:c>
    </ns0:row>
    <ns0:row r="7" ht="30" customHeight="1">
      <ns0:c r="A7" s="5" t="inlineStr">
        <ns0:is>
          <ns0:t>防具</ns0:t>
        </ns0:is>
      </ns0:c>
      <ns0:c r="B7" s="9">
        <ns0:f>COUNTIF(T08Armor[品级],B$5)</ns0:f>
        <ns0:v>8</ns0:v>
      </ns0:c>
      <ns0:c r="C7" s="9">
        <ns0:f>COUNTIF(T08Armor[品级],C$5)</ns0:f>
        <ns0:v>0</ns0:v>
      </ns0:c>
      <ns0:c r="D7" s="9">
        <ns0:f>COUNTIF(T08Armor[品级],D$5)</ns0:f>
        <ns0:v>0</ns0:v>
      </ns0:c>
      <ns0:c r="E7" s="9">
        <ns0:f>COUNTIF(T08Armor[品级],E$5)</ns0:f>
        <ns0:v>0</ns0:v>
      </ns0:c>
      <ns0:c r="F7" s="9">
        <ns0:f>COUNTIF(T08Armor[品级],F$5)</ns0:f>
        <ns0:v>0</ns0:v>
      </ns0:c>
      <ns0:c r="G7" s="9">
        <ns0:f>COUNTIF(T08Armor[品级],G$5)</ns0:f>
        <ns0:v>0</ns0:v>
      </ns0:c>
      <ns0:c r="H7" s="9">
        <ns0:f>COUNTIF(T08Armor[品级],H$5)</ns0:f>
        <ns0:v>0</ns0:v>
      </ns0:c>
      <ns0:c r="I7" s="9">
        <ns0:f>SUM(B7:H7)</ns0:f>
        <ns0:v>8</ns0:v>
      </ns0:c>
    </ns0:row>
    <ns0:row r="8" ht="30" customHeight="1">
      <ns0:c r="A8" s="4" t="inlineStr">
        <ns0:is>
          <ns0:t>法器</ns0:t>
        </ns0:is>
      </ns0:c>
      <ns0:c r="B8" s="7">
        <ns0:f>COUNTIF(T08Artifact[品级],B$5)</ns0:f>
        <ns0:v>4</ns0:v>
      </ns0:c>
      <ns0:c r="C8" s="7">
        <ns0:f>COUNTIF(T08Artifact[品级],C$5)</ns0:f>
        <ns0:v>0</ns0:v>
      </ns0:c>
      <ns0:c r="D8" s="7">
        <ns0:f>COUNTIF(T08Artifact[品级],D$5)</ns0:f>
        <ns0:v>0</ns0:v>
      </ns0:c>
      <ns0:c r="E8" s="7">
        <ns0:f>COUNTIF(T08Artifact[品级],E$5)</ns0:f>
        <ns0:v>0</ns0:v>
      </ns0:c>
      <ns0:c r="F8" s="7">
        <ns0:f>COUNTIF(T08Artifact[品级],F$5)</ns0:f>
        <ns0:v>0</ns0:v>
      </ns0:c>
      <ns0:c r="G8" s="7">
        <ns0:f>COUNTIF(T08Artifact[品级],G$5)</ns0:f>
        <ns0:v>0</ns0:v>
      </ns0:c>
      <ns0:c r="H8" s="7">
        <ns0:f>COUNTIF(T08Artifact[品级],H$5)</ns0:f>
        <ns0:v>0</ns0:v>
      </ns0:c>
      <ns0:c r="I8" s="7">
        <ns0:f>SUM(B8:H8)</ns0:f>
        <ns0:v>4</ns0:v>
      </ns0:c>
    </ns0:row>
    <ns0:row r="9" ht="30" customHeight="1">
      <ns0:c r="A9" s="5" t="inlineStr">
        <ns0:is>
          <ns0:t>丹药</ns0:t>
        </ns0:is>
      </ns0:c>
      <ns0:c r="B9" s="9">
        <ns0:f>COUNTIF(T08Pill[品级],B$5)</ns0:f>
        <ns0:v>6</ns0:v>
      </ns0:c>
      <ns0:c r="C9" s="9">
        <ns0:f>COUNTIF(T08Pill[品级],C$5)</ns0:f>
        <ns0:v>0</ns0:v>
      </ns0:c>
      <ns0:c r="D9" s="9">
        <ns0:f>COUNTIF(T08Pill[品级],D$5)</ns0:f>
        <ns0:v>0</ns0:v>
      </ns0:c>
      <ns0:c r="E9" s="9">
        <ns0:f>COUNTIF(T08Pill[品级],E$5)</ns0:f>
        <ns0:v>0</ns0:v>
      </ns0:c>
      <ns0:c r="F9" s="9">
        <ns0:f>COUNTIF(T08Pill[品级],F$5)</ns0:f>
        <ns0:v>0</ns0:v>
      </ns0:c>
      <ns0:c r="G9" s="9">
        <ns0:f>COUNTIF(T08Pill[品级],G$5)</ns0:f>
        <ns0:v>0</ns0:v>
      </ns0:c>
      <ns0:c r="H9" s="9">
        <ns0:f>COUNTIF(T08Pill[品级],H$5)</ns0:f>
        <ns0:v>0</ns0:v>
      </ns0:c>
      <ns0:c r="I9" s="9">
        <ns0:f>SUM(B9:H9)</ns0:f>
        <ns0:v>6</ns0:v>
      </ns0:c>
    </ns0:row>
    <ns0:row r="10" ht="30" customHeight="1">
      <ns0:c r="A10" s="4" t="inlineStr">
        <ns0:is>
          <ns0:t>符箓</ns0:t>
        </ns0:is>
      </ns0:c>
      <ns0:c r="B10" s="7">
        <ns0:f>COUNTIF(T08Talisman[品级],B$5)</ns0:f>
        <ns0:v>0</ns0:v>
      </ns0:c>
      <ns0:c r="C10" s="7">
        <ns0:f>COUNTIF(T08Talisman[品级],C$5)</ns0:f>
        <ns0:v>0</ns0:v>
      </ns0:c>
      <ns0:c r="D10" s="7">
        <ns0:f>COUNTIF(T08Talisman[品级],D$5)</ns0:f>
        <ns0:v>0</ns0:v>
      </ns0:c>
      <ns0:c r="E10" s="7">
        <ns0:f>COUNTIF(T08Talisman[品级],E$5)</ns0:f>
        <ns0:v>0</ns0:v>
      </ns0:c>
      <ns0:c r="F10" s="7">
        <ns0:f>COUNTIF(T08Talisman[品级],F$5)</ns0:f>
        <ns0:v>0</ns0:v>
      </ns0:c>
      <ns0:c r="G10" s="7">
        <ns0:f>COUNTIF(T08Talisman[品级],G$5)</ns0:f>
        <ns0:v>0</ns0:v>
      </ns0:c>
      <ns0:c r="H10" s="7">
        <ns0:f>COUNTIF(T08Talisman[品级],H$5)</ns0:f>
        <ns0:v>0</ns0:v>
      </ns0:c>
      <ns0:c r="I10" s="7">
        <ns0:f>SUM(B10:H10)</ns0:f>
        <ns0:v>0</ns0:v>
      </ns0:c>
    </ns0:row>
    <ns0:row r="11" ht="30" customHeight="1">
      <ns0:c r="A11" s="5" t="inlineStr">
        <ns0:is>
          <ns0:t>暗器</ns0:t>
        </ns0:is>
      </ns0:c>
      <ns0:c r="B11" s="9">
        <ns0:f>COUNTIF(T08HiddenWeapon[品级],B$5)</ns0:f>
        <ns0:v>0</ns0:v>
      </ns0:c>
      <ns0:c r="C11" s="9">
        <ns0:f>COUNTIF(T08HiddenWeapon[品级],C$5)</ns0:f>
        <ns0:v>0</ns0:v>
      </ns0:c>
      <ns0:c r="D11" s="9">
        <ns0:f>COUNTIF(T08HiddenWeapon[品级],D$5)</ns0:f>
        <ns0:v>0</ns0:v>
      </ns0:c>
      <ns0:c r="E11" s="9">
        <ns0:f>COUNTIF(T08HiddenWeapon[品级],E$5)</ns0:f>
        <ns0:v>0</ns0:v>
      </ns0:c>
      <ns0:c r="F11" s="9">
        <ns0:f>COUNTIF(T08HiddenWeapon[品级],F$5)</ns0:f>
        <ns0:v>0</ns0:v>
      </ns0:c>
      <ns0:c r="G11" s="9">
        <ns0:f>COUNTIF(T08HiddenWeapon[品级],G$5)</ns0:f>
        <ns0:v>0</ns0:v>
      </ns0:c>
      <ns0:c r="H11" s="9">
        <ns0:f>COUNTIF(T08HiddenWeapon[品级],H$5)</ns0:f>
        <ns0:v>0</ns0:v>
      </ns0:c>
      <ns0:c r="I11" s="9">
        <ns0:f>SUM(B11:H11)</ns0:f>
        <ns0:v>0</ns0:v>
      </ns0:c>
    </ns0:row>
    <ns0:row r="12" ht="30" customHeight="1">
      <ns0:c r="A12" s="4" t="inlineStr">
        <ns0:is>
          <ns0:t>合计</ns0:t>
        </ns0:is>
      </ns0:c>
      <ns0:c r="B12" s="7">
        <ns0:f>SUM(B6:B11)</ns0:f>
        <ns0:v>27</ns0:v>
      </ns0:c>
      <ns0:c r="C12" s="7">
        <ns0:f>SUM(C6:C11)</ns0:f>
        <ns0:v>0</ns0:v>
      </ns0:c>
      <ns0:c r="D12" s="7">
        <ns0:f>SUM(D6:D11)</ns0:f>
        <ns0:v>0</ns0:v>
      </ns0:c>
      <ns0:c r="E12" s="7">
        <ns0:f>SUM(E6:E11)</ns0:f>
        <ns0:v>0</ns0:v>
      </ns0:c>
      <ns0:c r="F12" s="7">
        <ns0:f>SUM(F6:F11)</ns0:f>
        <ns0:v>0</ns0:v>
      </ns0:c>
      <ns0:c r="G12" s="7">
        <ns0:f>SUM(G6:G11)</ns0:f>
        <ns0:v>0</ns0:v>
      </ns0:c>
      <ns0:c r="H12" s="7">
        <ns0:f>SUM(H6:H11)</ns0:f>
        <ns0:v>0</ns0:v>
      </ns0:c>
      <ns0:c r="I12" s="7">
        <ns0:f>SUM(I6:I11)</ns0:f>
        <ns0:v>27</ns0:v>
      </ns0:c>
    </ns0:row>
  </ns0:sheetData>
  <ns0:mergeCells count="2">
    <ns0:mergeCell ref="A1:I1"/>
    <ns0:mergeCell ref="A2:I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Q7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8" customWidth="1" min="1" max="1"/>
    <ns0:col width="22" customWidth="1" min="2" max="2"/>
    <ns0:col width="17" customWidth="1" min="3" max="3"/>
    <ns0:col width="17" customWidth="1" min="4" max="4"/>
    <ns0:col width="17" customWidth="1" min="5" max="5"/>
    <ns0:col width="62" customWidth="1" min="6" max="6"/>
    <ns0:col width="36" customWidth="1" min="7" max="7"/>
    <ns0:col width="19" customWidth="1" min="8" max="8"/>
    <ns0:col width="23" customWidth="1" min="9" max="9"/>
    <ns0:col width="20" customWidth="1" min="10" max="10"/>
    <ns0:col width="20" customWidth="1" min="11" max="11"/>
    <ns0:col width="17" customWidth="1" min="12" max="12"/>
    <ns0:col width="15" customWidth="1" min="13" max="13"/>
    <ns0:col width="35" customWidth="1" min="14" max="14"/>
    <ns0:col width="64" customWidth="1" min="15" max="15"/>
    <ns0:col width="49" customWidth="1" min="16" max="16"/>
    <ns0:col width="20" customWidth="1" min="17" max="17"/>
  </ns0:cols>
  <ns0:sheetData>
    <ns0:row r="1" ht="32" customHeight="1">
      <ns0:c r="A1" s="1" t="inlineStr">
        <ns0:is>
          <ns0:t>t01-08｜基础防具联动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联动记录ID</ns0:t>
        </ns0:is>
      </ns0:c>
      <ns0:c r="B5" s="3" t="inlineStr">
        <ns0:is>
          <ns0:t>名称</ns0:t>
        </ns0:is>
      </ns0:c>
      <ns0:c r="C5" s="3" t="inlineStr">
        <ns0:is>
          <ns0:t>主体身甲</ns0:t>
        </ns0:is>
      </ns0:c>
      <ns0:c r="D5" s="3" t="inlineStr">
        <ns0:is>
          <ns0:t>护臂</ns0:t>
        </ns0:is>
      </ns0:c>
      <ns0:c r="E5" s="3" t="inlineStr">
        <ns0:is>
          <ns0:t>护腿</ns0:t>
        </ns0:is>
      </ns0:c>
      <ns0:c r="F5" s="3" t="inlineStr">
        <ns0:is>
          <ns0:t>构型条件</ns0:t>
        </ns0:is>
      </ns0:c>
      <ns0:c r="G5" s="3" t="inlineStr">
        <ns0:is>
          <ns0:t>关系身份</ns0:t>
        </ns0:is>
      </ns0:c>
      <ns0:c r="H5" s="3" t="inlineStr">
        <ns0:is>
          <ns0:t>上限额外贡献</ns0:t>
        </ns0:is>
      </ns0:c>
      <ns0:c r="I5" s="3" t="inlineStr">
        <ns0:is>
          <ns0:t>身甲发动额外回甲</ns0:t>
        </ns0:is>
      </ns0:c>
      <ns0:c r="J5" s="3" t="inlineStr">
        <ns0:is>
          <ns0:t>组合总上限</ns0:t>
        </ns0:is>
      </ns0:c>
      <ns0:c r="K5" s="3" t="inlineStr">
        <ns0:is>
          <ns0:t>身甲单次回甲</ns0:t>
        </ns0:is>
      </ns0:c>
      <ns0:c r="L5" s="3" t="inlineStr">
        <ns0:is>
          <ns0:t>身甲CD_秒</ns0:t>
        </ns0:is>
      </ns0:c>
      <ns0:c r="M5" s="3" t="inlineStr">
        <ns0:is>
          <ns0:t>总占格</ns0:t>
        </ns0:is>
      </ns0:c>
      <ns0:c r="N5" s="3" t="inlineStr">
        <ns0:is>
          <ns0:t>运行节奏</ns0:t>
        </ns0:is>
      </ns0:c>
      <ns0:c r="O5" s="3" t="inlineStr">
        <ns0:is>
          <ns0:t>生命周期边界</ns0:t>
        </ns0:is>
      </ns0:c>
      <ns0:c r="P5" s="3" t="inlineStr">
        <ns0:is>
          <ns0:t>设计状态</ns0:t>
        </ns0:is>
      </ns0:c>
      <ns0:c r="Q5" s="3" t="inlineStr">
        <ns0:is>
          <ns0:t>来源</ns0:t>
        </ns0:is>
      </ns0:c>
    </ns0:row>
    <ns0:row r="6" ht="42" customHeight="1">
      <ns0:c r="A6" s="4" t="inlineStr">
        <ns0:is>
          <ns0:t>t01.link.cloth_basic</ns0:t>
        </ns0:is>
      </ns0:c>
      <ns0:c r="B6" s="4" t="inlineStr">
        <ns0:is>
          <ns0:t>布甲联动</ns0:t>
        </ns0:is>
      </ns0:c>
      <ns0:c r="C6" s="4" t="inlineStr">
        <ns0:is>
          <ns0:t>粗布甲</ns0:t>
        </ns0:is>
      </ns0:c>
      <ns0:c r="D6" s="4" t="inlineStr">
        <ns0:is>
          <ns0:t>布护臂</ns0:t>
        </ns0:is>
      </ns0:c>
      <ns0:c r="E6" s="4" t="inlineStr">
        <ns0:is>
          <ns0:t>布护腿</ns0:t>
        </ns0:is>
      </ns0:c>
      <ns0:c r="F6" s="4" t="inlineStr">
        <ns0:is>
          <ns0:t>两护具各自正交邻接同一身甲；不要求两护具彼此相邻。</ns0:t>
        </ns0:is>
      </ns0:c>
      <ns0:c r="G6" s="4" t="inlineStr">
        <ns0:is>
          <ns0:t>无Set_ID；资料称基础防具联动</ns0:t>
        </ns0:is>
      </ns0:c>
      <ns0:c r="H6" s="4" t="n">
        <ns0:v>2</ns0:v>
      </ns0:c>
      <ns0:c r="I6" s="4" t="n">
        <ns0:v>1</ns0:v>
      </ns0:c>
      <ns0:c r="J6" s="7">
        <ns0:f>SUM('03_防具'!K6,'03_防具'!K10,'03_防具'!K11)+H6</ns0:f>
        <ns0:v>12</ns0:v>
      </ns0:c>
      <ns0:c r="K6" s="7">
        <ns0:f>'03_防具'!L6+I6</ns0:f>
        <ns0:v>4</ns0:v>
      </ns0:c>
      <ns0:c r="L6" s="7">
        <ns0:f>'03_防具'!J6</ns0:f>
        <ns0:v>4</ns0:v>
      </ns0:c>
      <ns0:c r="M6" s="7">
        <ns0:f>SUM('03_防具'!I6,'03_防具'!I10,'03_防具'!I11)</ns0:f>
        <ns0:v>4</ns0:v>
      </ns0:c>
      <ns0:c r="N6" s="4" t="inlineStr">
        <ns0:is>
          <ns0:t>无额外CD；附加回甲随身甲发动</ns0:t>
        </ns0:is>
      </ns0:c>
      <ns0:c r="O6" s="4" t="inlineStr">
        <ns0:is>
          <ns0:t>拆联动只撤本贡献，不补满护甲；控制影响按06／02资格判断</ns0:t>
        </ns0:is>
      </ns0:c>
      <ns0:c r="P6" s="6" t="inlineStr">
        <ns0:is>
          <ns0:t>Q01：本组下品邻接限定许可已确认；收益仍为试玩候选</ns0:t>
        </ns0:is>
      </ns0:c>
      <ns0:c r="Q6" s="4" t="inlineStr">
        <ns0:is>
          <ns0:t>B2；C；Q01用户答复2026-09-28</ns0:t>
        </ns0:is>
      </ns0:c>
    </ns0:row>
    <ns0:row r="7" ht="42" customHeight="1">
      <ns0:c r="A7" s="5" t="inlineStr">
        <ns0:is>
          <ns0:t>t01.link.iron_basic</ns0:t>
        </ns0:is>
      </ns0:c>
      <ns0:c r="B7" s="5" t="inlineStr">
        <ns0:is>
          <ns0:t>铁甲联动</ns0:t>
        </ns0:is>
      </ns0:c>
      <ns0:c r="C7" s="5" t="inlineStr">
        <ns0:is>
          <ns0:t>铁甲</ns0:t>
        </ns0:is>
      </ns0:c>
      <ns0:c r="D7" s="5" t="inlineStr">
        <ns0:is>
          <ns0:t>铁护臂</ns0:t>
        </ns0:is>
      </ns0:c>
      <ns0:c r="E7" s="5" t="inlineStr">
        <ns0:is>
          <ns0:t>铁护腿</ns0:t>
        </ns0:is>
      </ns0:c>
      <ns0:c r="F7" s="5" t="inlineStr">
        <ns0:is>
          <ns0:t>两护具各自正交邻接同一身甲；不要求两护具彼此相邻。</ns0:t>
        </ns0:is>
      </ns0:c>
      <ns0:c r="G7" s="5" t="inlineStr">
        <ns0:is>
          <ns0:t>无Set_ID；资料称基础防具联动</ns0:t>
        </ns0:is>
      </ns0:c>
      <ns0:c r="H7" s="5" t="n">
        <ns0:v>3</ns0:v>
      </ns0:c>
      <ns0:c r="I7" s="5" t="n">
        <ns0:v>2</ns0:v>
      </ns0:c>
      <ns0:c r="J7" s="9">
        <ns0:f>SUM('03_防具'!K7,'03_防具'!K12,'03_防具'!K13)+H7</ns0:f>
        <ns0:v>18</ns0:v>
      </ns0:c>
      <ns0:c r="K7" s="9">
        <ns0:f>'03_防具'!L7+I7</ns0:f>
        <ns0:v>6</ns0:v>
      </ns0:c>
      <ns0:c r="L7" s="9">
        <ns0:f>'03_防具'!J7</ns0:f>
        <ns0:v>6</ns0:v>
      </ns0:c>
      <ns0:c r="M7" s="9">
        <ns0:f>SUM('03_防具'!I7,'03_防具'!I12,'03_防具'!I13)</ns0:f>
        <ns0:v>4</ns0:v>
      </ns0:c>
      <ns0:c r="N7" s="5" t="inlineStr">
        <ns0:is>
          <ns0:t>无额外CD；附加回甲随身甲发动</ns0:t>
        </ns0:is>
      </ns0:c>
      <ns0:c r="O7" s="5" t="inlineStr">
        <ns0:is>
          <ns0:t>拆联动只撤本贡献，不补满护甲；控制影响按06／02资格判断</ns0:t>
        </ns0:is>
      </ns0:c>
      <ns0:c r="P7" s="6" t="inlineStr">
        <ns0:is>
          <ns0:t>Q01：本组下品邻接限定许可已确认；收益仍为试玩候选</ns0:t>
        </ns0:is>
      </ns0:c>
      <ns0:c r="Q7" s="5" t="inlineStr">
        <ns0:is>
          <ns0:t>B2；C；Q01用户答复2026-09-28</ns0:t>
        </ns0:is>
      </ns0:c>
    </ns0:row>
  </ns0:sheetData>
  <ns0:mergeCells count="2">
    <ns0:mergeCell ref="A2:Q2"/>
    <ns0:mergeCell ref="A1:Q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0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76" customWidth="1" min="2" max="2"/>
    <ns0:col width="77" customWidth="1" min="3" max="3"/>
    <ns0:col width="74" customWidth="1" min="4" max="4"/>
    <ns0:col width="31" customWidth="1" min="5" max="5"/>
  </ns0:cols>
  <ns0:sheetData>
    <ns0:row r="1" ht="32" customHeight="1">
      <ns0:c r="A1" s="1" t="inlineStr">
        <ns0:is>
          <ns0:t>t01-08｜甲型规则与部位范围（逐项标记效力）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规则ID</ns0:t>
        </ns0:is>
      </ns0:c>
      <ns0:c r="B5" s="3" t="inlineStr">
        <ns0:is>
          <ns0:t>内容</ns0:t>
        </ns0:is>
      </ns0:c>
      <ns0:c r="C5" s="3" t="inlineStr">
        <ns0:is>
          <ns0:t>本批处理</ns0:t>
        </ns0:is>
      </ns0:c>
      <ns0:c r="D5" s="3" t="inlineStr">
        <ns0:is>
          <ns0:t>与旧词典的关系</ns0:t>
        </ns0:is>
      </ns0:c>
      <ns0:c r="E5" s="3" t="inlineStr">
        <ns0:is>
          <ns0:t>状态</ns0:t>
        </ns0:is>
      </ns0:c>
    </ns0:row>
    <ns0:row r="6" ht="30" customHeight="1">
      <ns0:c r="A6" s="4" t="inlineStr">
        <ns0:is>
          <ns0:t>ARM01</ns0:t>
        </ns0:is>
      </ns0:c>
      <ns0:c r="B6" s="4" t="inlineStr">
        <ns0:is>
          <ns0:t>身甲每实际格×2，其余防具每实际格×1，同甲型加总。</ns0:t>
        </ns0:is>
      </ns0:c>
      <ns0:c r="C6" s="4" t="inlineStr">
        <ns0:is>
          <ns0:t>分类表N/O列现按已确认规则计算甲型权重；适用双方。</ns0:t>
        </ns0:is>
      </ns0:c>
      <ns0:c r="D6" s="4" t="inlineStr">
        <ns0:is>
          <ns0:t>Q02已覆盖04原等权统计，回填字段、正文、案例与汇总。</ns0:t>
        </ns0:is>
      </ns0:c>
      <ns0:c r="E6" s="6" t="inlineStr">
        <ns0:is>
          <ns0:t>Q02已确认；04已回填</ns0:t>
        </ns0:is>
      </ns0:c>
    </ns0:row>
    <ns0:row r="7" ht="30" customHeight="1">
      <ns0:c r="A7" s="5" t="inlineStr">
        <ns0:is>
          <ns0:t>ARM02</ns0:t>
        </ns0:is>
      </ns0:c>
      <ns0:c r="B7" s="5" t="inlineStr">
        <ns0:is>
          <ns0:t>最高并列含身甲甲型时优先身甲。</ns0:t>
        </ns0:is>
      </ns0:c>
      <ns0:c r="C7" s="5" t="inlineStr">
        <ns0:is>
          <ns0:t>铁甲重甲4与盾＋布护臂＋布护腿轻甲4并列，优先身甲，取重甲。</ns0:t>
        </ns0:is>
      </ns0:c>
      <ns0:c r="D7" s="5" t="inlineStr">
        <ns0:is>
          <ns0:t>双方均适用；不把甲型权重或身甲优先套给防御元素。</ns0:t>
        </ns0:is>
      </ns0:c>
      <ns0:c r="E7" s="6" t="inlineStr">
        <ns0:is>
          <ns0:t>Q02已确认；04已回填</ns0:t>
        </ns0:is>
      </ns0:c>
    </ns0:row>
    <ns0:row r="8" ht="42" customHeight="1">
      <ns0:c r="A8" s="4" t="inlineStr">
        <ns0:is>
          <ns0:t>ARM03</ns0:t>
        </ns0:is>
      </ns0:c>
      <ns0:c r="B8" s="4" t="inlineStr">
        <ns0:is>
          <ns0:t>无身甲或最高并列不含身甲时：玩家选最高候选；敌方按阵盘从上到下、每行从左到右扫描。</ns0:t>
        </ns0:is>
      </ns0:c>
      <ns0:c r="C8" s="4" t="inlineStr">
        <ns0:is>
          <ns0:t>敌方首遇最高候选胜出，跳过非候选；不随机。</ns0:t>
        </ns0:is>
      </ns0:c>
      <ns0:c r="D8" s="4" t="inlineStr">
        <ns0:is>
          <ns0:t>先判断身甲优先，再使用玩家／敌方的后备规则；04已回填。</ns0:t>
        </ns0:is>
      </ns0:c>
      <ns0:c r="E8" s="6" t="inlineStr">
        <ns0:is>
          <ns0:t>Q02已确认；04已回填</ns0:t>
        </ns0:is>
      </ns0:c>
    </ns0:row>
    <ns0:row r="9" ht="42" customHeight="1">
      <ns0:c r="A9" s="5" t="inlineStr">
        <ns0:is>
          <ns0:t>ARM04</ns0:t>
        </ns0:is>
      </ns0:c>
      <ns0:c r="B9" s="5" t="inlineStr">
        <ns0:is>
          <ns0:t>身甲、头具、护臂、护腿各最多1件；护臂与护腿分别计限。盾允许多件，仅受阵盘空间限制。所有防具仍摆在阵盘，不新增固定装备槽。</ns0:t>
        </ns0:is>
      </ns0:c>
      <ns0:c r="C9" s="5" t="inlineStr">
        <ns0:is>
          <ns0:t>Q03已确认多盾；身甲／头具／护臂／护腿按各自部位限1，其他护具具体部位随资产明配。</ns0:t>
        </ns0:is>
      </ns0:c>
      <ns0:c r="D9" s="5" t="inlineStr">
        <ns0:is>
          <ns0:t>四大防具形态≠部位唯一性：护臂和护腿可各1件。</ns0:t>
        </ns0:is>
      </ns0:c>
      <ns0:c r="E9" s="6" t="inlineStr">
        <ns0:is>
          <ns0:t>Q03已确认；04已回填</ns0:t>
        </ns0:is>
      </ns0:c>
    </ns0:row>
    <ns0:row r="10" ht="30" customHeight="1">
      <ns0:c r="A10" s="4" t="inlineStr">
        <ns0:is>
          <ns0:t>ARM05</ns0:t>
        </ns0:is>
      </ns0:c>
      <ns0:c r="B10" s="4" t="inlineStr">
        <ns0:is>
          <ns0:t>防御元素仍沿04按实际格聚合。</ns0:t>
        </ns0:is>
      </ns0:c>
      <ns0:c r="C10" s="4" t="inlineStr">
        <ns0:is>
          <ns0:t>本批NONE，不投元素票；不从甲型×2推定元素×2。</ns0:t>
        </ns0:is>
      </ns0:c>
      <ns0:c r="D10" s="4" t="inlineStr">
        <ns0:is>
          <ns0:t>Q02明确只调整主甲型；元素聚合保持原规则。</ns0:t>
        </ns0:is>
      </ns0:c>
      <ns0:c r="E10" s="4" t="inlineStr">
        <ns0:is>
          <ns0:t>既有规则引用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L15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9" customWidth="1" min="1" max="1"/>
    <ns0:col width="25" customWidth="1" min="2" max="2"/>
    <ns0:col width="23" customWidth="1" min="3" max="3"/>
    <ns0:col width="22" customWidth="1" min="4" max="4"/>
    <ns0:col width="31" customWidth="1" min="5" max="5"/>
    <ns0:col width="20" customWidth="1" min="6" max="6"/>
    <ns0:col width="23" customWidth="1" min="7" max="7"/>
    <ns0:col width="40" customWidth="1" min="8" max="8"/>
    <ns0:col width="53" customWidth="1" min="9" max="9"/>
    <ns0:col width="62" customWidth="1" min="10" max="10"/>
    <ns0:col width="39" customWidth="1" min="11" max="11"/>
    <ns0:col width="28" customWidth="1" min="12" max="12"/>
  </ns0:cols>
  <ns0:sheetData>
    <ns0:row r="1" ht="32" customHeight="1">
      <ns0:c r="A1" s="1" t="inlineStr">
        <ns0:is>
          <ns0:t>t01-08｜获取规划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规划记录ID</ns0:t>
        </ns0:is>
      </ns0:c>
      <ns0:c r="B5" s="3" t="inlineStr">
        <ns0:is>
          <ns0:t>目标资产ID或类型</ns0:t>
        </ns0:is>
      </ns0:c>
      <ns0:c r="C5" s="3" t="inlineStr">
        <ns0:is>
          <ns0:t>目标名称</ns0:t>
        </ns0:is>
      </ns0:c>
      <ns0:c r="D5" s="3" t="inlineStr">
        <ns0:is>
          <ns0:t>渠道</ns0:t>
        </ns0:is>
      </ns0:c>
      <ns0:c r="E5" s="3" t="inlineStr">
        <ns0:is>
          <ns0:t>具体来源意向</ns0:t>
        </ns0:is>
      </ns0:c>
      <ns0:c r="F5" s="3" t="inlineStr">
        <ns0:is>
          <ns0:t>方法</ns0:t>
        </ns0:is>
      </ns0:c>
      <ns0:c r="G5" s="3" t="inlineStr">
        <ns0:is>
          <ns0:t>交付模式</ns0:t>
        </ns0:is>
      </ns0:c>
      <ns0:c r="H5" s="3" t="inlineStr">
        <ns0:is>
          <ns0:t>目标与成功对象</ns0:t>
        </ns0:is>
      </ns0:c>
      <ns0:c r="I5" s="3" t="inlineStr">
        <ns0:is>
          <ns0:t>缺失配置</ns0:t>
        </ns0:is>
      </ns0:c>
      <ns0:c r="J5" s="3" t="inlineStr">
        <ns0:is>
          <ns0:t>节奏／前提</ns0:t>
        </ns0:is>
      </ns0:c>
      <ns0:c r="K5" s="3" t="inlineStr">
        <ns0:is>
          <ns0:t>状态</ns0:t>
        </ns0:is>
      </ns0:c>
      <ns0:c r="L5" s="3" t="inlineStr">
        <ns0:is>
          <ns0:t>依据</ns0:t>
        </ns0:is>
      </ns0:c>
    </ns0:row>
    <ns0:row r="6" ht="30" customHeight="1">
      <ns0:c r="A6" s="4" t="inlineStr">
        <ns0:is>
          <ns0:t>t01.acquisition.plan.001</ns0:t>
        </ns0:is>
      </ns0:c>
      <ns0:c r="B6" s="4" t="inlineStr">
        <ns0:is>
          <ns0:t>t01.asset.0001</ns0:t>
        </ns0:is>
      </ns0:c>
      <ns0:c r="C6" s="4" t="inlineStr">
        <ns0:is>
          <ns0:t>青石短剑</ns0:t>
        </ns0:is>
      </ns0:c>
      <ns0:c r="D6" s="4" t="inlineStr">
        <ns0:is>
          <ns0:t>SHOP</ns0:t>
        </ns0:is>
      </ns0:c>
      <ns0:c r="E6" s="4" t="inlineStr">
        <ns0:is>
          <ns0:t>青石镇铁匠铺</ns0:t>
        </ns0:is>
      </ns0:c>
      <ns0:c r="F6" s="4" t="inlineStr">
        <ns0:is>
          <ns0:t>PURCHASE</ns0:t>
        </ns0:is>
      </ns0:c>
      <ns0:c r="G6" s="4" t="inlineStr">
        <ns0:is>
          <ns0:t>DIRECT</ns0:t>
        </ns0:is>
      </ns0:c>
      <ns0:c r="H6" s="4" t="inlineStr">
        <ns0:is>
          <ns0:t>固定实物／规格待绝对值</ns0:t>
        </ns0:is>
      </ns0:c>
      <ns0:c r="I6" s="4" t="inlineStr">
        <ns0:is>
          <ns0:t>数量／价格／库存／资格待配</ns0:t>
        </ns0:is>
      </ns0:c>
      <ns0:c r="J6" s="4" t="inlineStr">
        <ns0:is>
          <ns0:t>凡人阶段内逐步接触九器型为建议；不等于都已可买。</ns0:t>
        </ns0:is>
      </ns0:c>
      <ns0:c r="K6" s="4" t="inlineStr">
        <ns0:is>
          <ns0:t>投放建议，非可执行记录</ns0:t>
        </ns0:is>
      </ns0:c>
      <ns0:c r="L6" s="4" t="inlineStr">
        <ns0:is>
          <ns0:t>A；07 D11／R05／Q05</ns0:t>
        </ns0:is>
      </ns0:c>
    </ns0:row>
    <ns0:row r="7" ht="30" customHeight="1">
      <ns0:c r="A7" s="5" t="inlineStr">
        <ns0:is>
          <ns0:t>t01.acquisition.plan.002</ns0:t>
        </ns0:is>
      </ns0:c>
      <ns0:c r="B7" s="5" t="inlineStr">
        <ns0:is>
          <ns0:t>t01.asset.0002</ns0:t>
        </ns0:is>
      </ns0:c>
      <ns0:c r="C7" s="5" t="inlineStr">
        <ns0:is>
          <ns0:t>铁刀</ns0:t>
        </ns0:is>
      </ns0:c>
      <ns0:c r="D7" s="5" t="inlineStr">
        <ns0:is>
          <ns0:t>SHOP</ns0:t>
        </ns0:is>
      </ns0:c>
      <ns0:c r="E7" s="5" t="inlineStr">
        <ns0:is>
          <ns0:t>青石镇铁匠铺</ns0:t>
        </ns0:is>
      </ns0:c>
      <ns0:c r="F7" s="5" t="inlineStr">
        <ns0:is>
          <ns0:t>PURCHASE</ns0:t>
        </ns0:is>
      </ns0:c>
      <ns0:c r="G7" s="5" t="inlineStr">
        <ns0:is>
          <ns0:t>DIRECT</ns0:t>
        </ns0:is>
      </ns0:c>
      <ns0:c r="H7" s="5" t="inlineStr">
        <ns0:is>
          <ns0:t>固定实物／规格待绝对值</ns0:t>
        </ns0:is>
      </ns0:c>
      <ns0:c r="I7" s="5" t="inlineStr">
        <ns0:is>
          <ns0:t>数量／价格／库存／资格待配</ns0:t>
        </ns0:is>
      </ns0:c>
      <ns0:c r="J7" s="5" t="inlineStr">
        <ns0:is>
          <ns0:t>凡人阶段内逐步接触九器型为建议；不等于都已可买。</ns0:t>
        </ns0:is>
      </ns0:c>
      <ns0:c r="K7" s="5" t="inlineStr">
        <ns0:is>
          <ns0:t>投放建议，非可执行记录</ns0:t>
        </ns0:is>
      </ns0:c>
      <ns0:c r="L7" s="5" t="inlineStr">
        <ns0:is>
          <ns0:t>A；07 D11／R05／Q05</ns0:t>
        </ns0:is>
      </ns0:c>
    </ns0:row>
    <ns0:row r="8" ht="30" customHeight="1">
      <ns0:c r="A8" s="4" t="inlineStr">
        <ns0:is>
          <ns0:t>t01.acquisition.plan.003</ns0:t>
        </ns0:is>
      </ns0:c>
      <ns0:c r="B8" s="4" t="inlineStr">
        <ns0:is>
          <ns0:t>t01.asset.0003</ns0:t>
        </ns0:is>
      </ns0:c>
      <ns0:c r="C8" s="4" t="inlineStr">
        <ns0:is>
          <ns0:t>柴斧</ns0:t>
        </ns0:is>
      </ns0:c>
      <ns0:c r="D8" s="4" t="inlineStr">
        <ns0:is>
          <ns0:t>SHOP</ns0:t>
        </ns0:is>
      </ns0:c>
      <ns0:c r="E8" s="4" t="inlineStr">
        <ns0:is>
          <ns0:t>青石镇铁匠铺</ns0:t>
        </ns0:is>
      </ns0:c>
      <ns0:c r="F8" s="4" t="inlineStr">
        <ns0:is>
          <ns0:t>PURCHASE</ns0:t>
        </ns0:is>
      </ns0:c>
      <ns0:c r="G8" s="4" t="inlineStr">
        <ns0:is>
          <ns0:t>DIRECT</ns0:t>
        </ns0:is>
      </ns0:c>
      <ns0:c r="H8" s="4" t="inlineStr">
        <ns0:is>
          <ns0:t>固定实物／规格待绝对值</ns0:t>
        </ns0:is>
      </ns0:c>
      <ns0:c r="I8" s="4" t="inlineStr">
        <ns0:is>
          <ns0:t>数量／价格／库存／资格待配</ns0:t>
        </ns0:is>
      </ns0:c>
      <ns0:c r="J8" s="4" t="inlineStr">
        <ns0:is>
          <ns0:t>凡人阶段内逐步接触九器型为建议；不等于都已可买。</ns0:t>
        </ns0:is>
      </ns0:c>
      <ns0:c r="K8" s="4" t="inlineStr">
        <ns0:is>
          <ns0:t>投放建议，非可执行记录</ns0:t>
        </ns0:is>
      </ns0:c>
      <ns0:c r="L8" s="4" t="inlineStr">
        <ns0:is>
          <ns0:t>A；07 D11／R05／Q05</ns0:t>
        </ns0:is>
      </ns0:c>
    </ns0:row>
    <ns0:row r="9" ht="30" customHeight="1">
      <ns0:c r="A9" s="5" t="inlineStr">
        <ns0:is>
          <ns0:t>t01.acquisition.plan.004</ns0:t>
        </ns0:is>
      </ns0:c>
      <ns0:c r="B9" s="5" t="inlineStr">
        <ns0:is>
          <ns0:t>t01.asset.0004</ns0:t>
        </ns0:is>
      </ns0:c>
      <ns0:c r="C9" s="5" t="inlineStr">
        <ns0:is>
          <ns0:t>猎弓</ns0:t>
        </ns0:is>
      </ns0:c>
      <ns0:c r="D9" s="5" t="inlineStr">
        <ns0:is>
          <ns0:t>SHOP</ns0:t>
        </ns0:is>
      </ns0:c>
      <ns0:c r="E9" s="5" t="inlineStr">
        <ns0:is>
          <ns0:t>青石镇商铺</ns0:t>
        </ns0:is>
      </ns0:c>
      <ns0:c r="F9" s="5" t="inlineStr">
        <ns0:is>
          <ns0:t>PURCHASE</ns0:t>
        </ns0:is>
      </ns0:c>
      <ns0:c r="G9" s="5" t="inlineStr">
        <ns0:is>
          <ns0:t>DIRECT</ns0:t>
        </ns0:is>
      </ns0:c>
      <ns0:c r="H9" s="5" t="inlineStr">
        <ns0:is>
          <ns0:t>固定实物／规格待绝对值</ns0:t>
        </ns0:is>
      </ns0:c>
      <ns0:c r="I9" s="5" t="inlineStr">
        <ns0:is>
          <ns0:t>数量／价格／库存／资格待配</ns0:t>
        </ns0:is>
      </ns0:c>
      <ns0:c r="J9" s="5" t="inlineStr">
        <ns0:is>
          <ns0:t>凡人阶段内逐步接触九器型为建议；不等于都已可买。</ns0:t>
        </ns0:is>
      </ns0:c>
      <ns0:c r="K9" s="5" t="inlineStr">
        <ns0:is>
          <ns0:t>投放建议，非可执行记录</ns0:t>
        </ns0:is>
      </ns0:c>
      <ns0:c r="L9" s="5" t="inlineStr">
        <ns0:is>
          <ns0:t>A；07 D11／R05／Q05</ns0:t>
        </ns0:is>
      </ns0:c>
    </ns0:row>
    <ns0:row r="10" ht="30" customHeight="1">
      <ns0:c r="A10" s="4" t="inlineStr">
        <ns0:is>
          <ns0:t>t01.acquisition.plan.005</ns0:t>
        </ns0:is>
      </ns0:c>
      <ns0:c r="B10" s="4" t="inlineStr">
        <ns0:is>
          <ns0:t>t01.asset.0005</ns0:t>
        </ns0:is>
      </ns0:c>
      <ns0:c r="C10" s="4" t="inlineStr">
        <ns0:is>
          <ns0:t>匕首</ns0:t>
        </ns0:is>
      </ns0:c>
      <ns0:c r="D10" s="4" t="inlineStr">
        <ns0:is>
          <ns0:t>SHOP</ns0:t>
        </ns0:is>
      </ns0:c>
      <ns0:c r="E10" s="4" t="inlineStr">
        <ns0:is>
          <ns0:t>青石镇商铺</ns0:t>
        </ns0:is>
      </ns0:c>
      <ns0:c r="F10" s="4" t="inlineStr">
        <ns0:is>
          <ns0:t>PURCHASE</ns0:t>
        </ns0:is>
      </ns0:c>
      <ns0:c r="G10" s="4" t="inlineStr">
        <ns0:is>
          <ns0:t>DIRECT</ns0:t>
        </ns0:is>
      </ns0:c>
      <ns0:c r="H10" s="4" t="inlineStr">
        <ns0:is>
          <ns0:t>固定实物／规格待绝对值</ns0:t>
        </ns0:is>
      </ns0:c>
      <ns0:c r="I10" s="4" t="inlineStr">
        <ns0:is>
          <ns0:t>数量／价格／库存／资格待配</ns0:t>
        </ns0:is>
      </ns0:c>
      <ns0:c r="J10" s="4" t="inlineStr">
        <ns0:is>
          <ns0:t>凡人阶段内逐步接触九器型为建议；不等于都已可买。</ns0:t>
        </ns0:is>
      </ns0:c>
      <ns0:c r="K10" s="4" t="inlineStr">
        <ns0:is>
          <ns0:t>投放建议，非可执行记录</ns0:t>
        </ns0:is>
      </ns0:c>
      <ns0:c r="L10" s="4" t="inlineStr">
        <ns0:is>
          <ns0:t>A；07 D11／R05／Q05</ns0:t>
        </ns0:is>
      </ns0:c>
    </ns0:row>
    <ns0:row r="11" ht="30" customHeight="1">
      <ns0:c r="A11" s="5" t="inlineStr">
        <ns0:is>
          <ns0:t>t01.acquisition.plan.006</ns0:t>
        </ns0:is>
      </ns0:c>
      <ns0:c r="B11" s="5" t="inlineStr">
        <ns0:is>
          <ns0:t>t01.asset.0006</ns0:t>
        </ns0:is>
      </ns0:c>
      <ns0:c r="C11" s="5" t="inlineStr">
        <ns0:is>
          <ns0:t>长枪</ns0:t>
        </ns0:is>
      </ns0:c>
      <ns0:c r="D11" s="5" t="inlineStr">
        <ns0:is>
          <ns0:t>SHOP</ns0:t>
        </ns0:is>
      </ns0:c>
      <ns0:c r="E11" s="5" t="inlineStr">
        <ns0:is>
          <ns0:t>青石镇铁匠铺</ns0:t>
        </ns0:is>
      </ns0:c>
      <ns0:c r="F11" s="5" t="inlineStr">
        <ns0:is>
          <ns0:t>PURCHASE</ns0:t>
        </ns0:is>
      </ns0:c>
      <ns0:c r="G11" s="5" t="inlineStr">
        <ns0:is>
          <ns0:t>DIRECT</ns0:t>
        </ns0:is>
      </ns0:c>
      <ns0:c r="H11" s="5" t="inlineStr">
        <ns0:is>
          <ns0:t>固定实物／规格待绝对值</ns0:t>
        </ns0:is>
      </ns0:c>
      <ns0:c r="I11" s="5" t="inlineStr">
        <ns0:is>
          <ns0:t>数量／价格／库存／资格待配</ns0:t>
        </ns0:is>
      </ns0:c>
      <ns0:c r="J11" s="5" t="inlineStr">
        <ns0:is>
          <ns0:t>凡人阶段内逐步接触九器型为建议；不等于都已可买。</ns0:t>
        </ns0:is>
      </ns0:c>
      <ns0:c r="K11" s="5" t="inlineStr">
        <ns0:is>
          <ns0:t>投放建议，非可执行记录</ns0:t>
        </ns0:is>
      </ns0:c>
      <ns0:c r="L11" s="5" t="inlineStr">
        <ns0:is>
          <ns0:t>A；07 D11／R05／Q05</ns0:t>
        </ns0:is>
      </ns0:c>
    </ns0:row>
    <ns0:row r="12" ht="30" customHeight="1">
      <ns0:c r="A12" s="4" t="inlineStr">
        <ns0:is>
          <ns0:t>t01.acquisition.plan.007</ns0:t>
        </ns0:is>
      </ns0:c>
      <ns0:c r="B12" s="4" t="inlineStr">
        <ns0:is>
          <ns0:t>t01.asset.0007</ns0:t>
        </ns0:is>
      </ns0:c>
      <ns0:c r="C12" s="4" t="inlineStr">
        <ns0:is>
          <ns0:t>短柄铁锤</ns0:t>
        </ns0:is>
      </ns0:c>
      <ns0:c r="D12" s="4" t="inlineStr">
        <ns0:is>
          <ns0:t>SHOP</ns0:t>
        </ns0:is>
      </ns0:c>
      <ns0:c r="E12" s="4" t="inlineStr">
        <ns0:is>
          <ns0:t>青石镇铁匠铺</ns0:t>
        </ns0:is>
      </ns0:c>
      <ns0:c r="F12" s="4" t="inlineStr">
        <ns0:is>
          <ns0:t>PURCHASE</ns0:t>
        </ns0:is>
      </ns0:c>
      <ns0:c r="G12" s="4" t="inlineStr">
        <ns0:is>
          <ns0:t>DIRECT</ns0:t>
        </ns0:is>
      </ns0:c>
      <ns0:c r="H12" s="4" t="inlineStr">
        <ns0:is>
          <ns0:t>固定实物／规格待绝对值</ns0:t>
        </ns0:is>
      </ns0:c>
      <ns0:c r="I12" s="4" t="inlineStr">
        <ns0:is>
          <ns0:t>数量／价格／库存／资格待配</ns0:t>
        </ns0:is>
      </ns0:c>
      <ns0:c r="J12" s="4" t="inlineStr">
        <ns0:is>
          <ns0:t>凡人阶段内逐步接触九器型为建议；不等于都已可买。</ns0:t>
        </ns0:is>
      </ns0:c>
      <ns0:c r="K12" s="4" t="inlineStr">
        <ns0:is>
          <ns0:t>投放建议，非可执行记录</ns0:t>
        </ns0:is>
      </ns0:c>
      <ns0:c r="L12" s="4" t="inlineStr">
        <ns0:is>
          <ns0:t>A；07 D11／R05／Q05</ns0:t>
        </ns0:is>
      </ns0:c>
    </ns0:row>
    <ns0:row r="13" ht="30" customHeight="1">
      <ns0:c r="A13" s="5" t="inlineStr">
        <ns0:is>
          <ns0:t>t01.acquisition.plan.008</ns0:t>
        </ns0:is>
      </ns0:c>
      <ns0:c r="B13" s="5" t="inlineStr">
        <ns0:is>
          <ns0:t>t01.asset.0008</ns0:t>
        </ns0:is>
      </ns0:c>
      <ns0:c r="C13" s="5" t="inlineStr">
        <ns0:is>
          <ns0:t>石印</ns0:t>
        </ns0:is>
      </ns0:c>
      <ns0:c r="D13" s="5" t="inlineStr">
        <ns0:is>
          <ns0:t>SHOP</ns0:t>
        </ns0:is>
      </ns0:c>
      <ns0:c r="E13" s="5" t="inlineStr">
        <ns0:is>
          <ns0:t>青石镇商铺</ns0:t>
        </ns0:is>
      </ns0:c>
      <ns0:c r="F13" s="5" t="inlineStr">
        <ns0:is>
          <ns0:t>PURCHASE</ns0:t>
        </ns0:is>
      </ns0:c>
      <ns0:c r="G13" s="5" t="inlineStr">
        <ns0:is>
          <ns0:t>DIRECT</ns0:t>
        </ns0:is>
      </ns0:c>
      <ns0:c r="H13" s="5" t="inlineStr">
        <ns0:is>
          <ns0:t>固定实物／规格待绝对值</ns0:t>
        </ns0:is>
      </ns0:c>
      <ns0:c r="I13" s="5" t="inlineStr">
        <ns0:is>
          <ns0:t>数量／价格／库存／资格待配</ns0:t>
        </ns0:is>
      </ns0:c>
      <ns0:c r="J13" s="5" t="inlineStr">
        <ns0:is>
          <ns0:t>凡人阶段内逐步接触九器型为建议；不等于都已可买。</ns0:t>
        </ns0:is>
      </ns0:c>
      <ns0:c r="K13" s="5" t="inlineStr">
        <ns0:is>
          <ns0:t>投放建议，非可执行记录</ns0:t>
        </ns0:is>
      </ns0:c>
      <ns0:c r="L13" s="5" t="inlineStr">
        <ns0:is>
          <ns0:t>A；07 D11／R05／Q05</ns0:t>
        </ns0:is>
      </ns0:c>
    </ns0:row>
    <ns0:row r="14" ht="30" customHeight="1">
      <ns0:c r="A14" s="4" t="inlineStr">
        <ns0:is>
          <ns0:t>t01.acquisition.plan.009</ns0:t>
        </ns0:is>
      </ns0:c>
      <ns0:c r="B14" s="4" t="inlineStr">
        <ns0:is>
          <ns0:t>t01.asset.0009</ns0:t>
        </ns0:is>
      </ns0:c>
      <ns0:c r="C14" s="4" t="inlineStr">
        <ns0:is>
          <ns0:t>皮鞭</ns0:t>
        </ns0:is>
      </ns0:c>
      <ns0:c r="D14" s="4" t="inlineStr">
        <ns0:is>
          <ns0:t>SHOP</ns0:t>
        </ns0:is>
      </ns0:c>
      <ns0:c r="E14" s="4" t="inlineStr">
        <ns0:is>
          <ns0:t>青石镇商铺</ns0:t>
        </ns0:is>
      </ns0:c>
      <ns0:c r="F14" s="4" t="inlineStr">
        <ns0:is>
          <ns0:t>PURCHASE</ns0:t>
        </ns0:is>
      </ns0:c>
      <ns0:c r="G14" s="4" t="inlineStr">
        <ns0:is>
          <ns0:t>DIRECT</ns0:t>
        </ns0:is>
      </ns0:c>
      <ns0:c r="H14" s="4" t="inlineStr">
        <ns0:is>
          <ns0:t>固定实物／规格待绝对值</ns0:t>
        </ns0:is>
      </ns0:c>
      <ns0:c r="I14" s="4" t="inlineStr">
        <ns0:is>
          <ns0:t>数量／价格／库存／资格待配</ns0:t>
        </ns0:is>
      </ns0:c>
      <ns0:c r="J14" s="4" t="inlineStr">
        <ns0:is>
          <ns0:t>凡人阶段内逐步接触九器型为建议；不等于都已可买。</ns0:t>
        </ns0:is>
      </ns0:c>
      <ns0:c r="K14" s="4" t="inlineStr">
        <ns0:is>
          <ns0:t>投放建议，非可执行记录</ns0:t>
        </ns0:is>
      </ns0:c>
      <ns0:c r="L14" s="4" t="inlineStr">
        <ns0:is>
          <ns0:t>A；07 D11／R05／Q05</ns0:t>
        </ns0:is>
      </ns0:c>
    </ns0:row>
    <ns0:row r="15" ht="30" customHeight="1">
      <ns0:c r="A15" s="5" t="inlineStr">
        <ns0:is>
          <ns0:t>t01.acquisition.plan.010</ns0:t>
        </ns0:is>
      </ns0:c>
      <ns0:c r="B15" s="5" t="inlineStr">
        <ns0:is>
          <ns0:t>来源入口</ns0:t>
        </ns0:is>
      </ns0:c>
      <ns0:c r="C15" s="5" t="inlineStr">
        <ns0:is>
          <ns0:t>青石镇商铺</ns0:t>
        </ns0:is>
      </ns0:c>
      <ns0:c r="D15" s="5" t="inlineStr">
        <ns0:is>
          <ns0:t>任务／剧情待配</ns0:t>
        </ns0:is>
      </ns0:c>
      <ns0:c r="E15" s="5" t="inlineStr">
        <ns0:is>
          <ns0:t>救下商人条件待定义</ns0:t>
        </ns0:is>
      </ns0:c>
      <ns0:c r="F15" s="5" t="inlineStr">
        <ns0:is>
          <ns0:t>来源开放</ns0:t>
        </ns0:is>
      </ns0:c>
      <ns0:c r="G15" s="5" t="inlineStr">
        <ns0:is>
          <ns0:t>SOURCE_UNLOCK</ns0:t>
        </ns0:is>
      </ns0:c>
      <ns0:c r="H15" s="5" t="inlineStr">
        <ns0:is>
          <ns0:t>商铺入口及开放状态</ns0:t>
        </ns0:is>
      </ns0:c>
      <ns0:c r="I15" s="5" t="inlineStr">
        <ns0:is>
          <ns0:t>不适用实物数量；具体任务／入口ID待配</ns0:t>
        </ns0:is>
      </ns0:c>
      <ns0:c r="J15" s="5" t="inlineStr">
        <ns0:is>
          <ns0:t>仅建议，不从正文自行创建剧情。</ns0:t>
        </ns0:is>
      </ns0:c>
      <ns0:c r="K15" s="5" t="inlineStr">
        <ns0:is>
          <ns0:t>投放建议，非可执行记录</ns0:t>
        </ns0:is>
      </ns0:c>
      <ns0:c r="L15" s="5" t="inlineStr">
        <ns0:is>
          <ns0:t>A；07 D13</ns0:t>
        </ns0:is>
      </ns0:c>
    </ns0:row>
  </ns0:sheetData>
  <ns0:mergeCells count="2">
    <ns0:mergeCell ref="A2:L2"/>
    <ns0:mergeCell ref="A1:L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O15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3" customWidth="1" min="1" max="1"/>
    <ns0:col width="20" customWidth="1" min="2" max="2"/>
    <ns0:col width="49" customWidth="1" min="3" max="3"/>
    <ns0:col width="16" customWidth="1" min="4" max="4"/>
    <ns0:col width="16" customWidth="1" min="5" max="5"/>
    <ns0:col width="17" customWidth="1" min="6" max="6"/>
    <ns0:col width="15" customWidth="1" min="7" max="7"/>
    <ns0:col width="15" customWidth="1" min="8" max="8"/>
    <ns0:col width="20" customWidth="1" min="9" max="9"/>
    <ns0:col width="17" customWidth="1" min="10" max="10"/>
    <ns0:col width="15" customWidth="1" min="11" max="11"/>
    <ns0:col width="94" customWidth="1" min="12" max="12"/>
    <ns0:col width="83" customWidth="1" min="13" max="13"/>
    <ns0:col width="41" customWidth="1" min="14" max="14"/>
    <ns0:col width="43" customWidth="1" min="15" max="15"/>
  </ns0:cols>
  <ns0:sheetData>
    <ns0:row r="1" ht="32" customHeight="1">
      <ns0:c r="A1" s="1" t="inlineStr">
        <ns0:is>
          <ns0:t>t01-08｜现有配置与迁移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资产ID</ns0:t>
        </ns0:is>
      </ns0:c>
      <ns0:c r="B5" s="3" t="inlineStr">
        <ns0:is>
          <ns0:t>名称</ns0:t>
        </ns0:is>
      </ns0:c>
      <ns0:c r="C5" s="3" t="inlineStr">
        <ns0:is>
          <ns0:t>现有游戏ID</ns0:t>
        </ns0:is>
      </ns0:c>
      <ns0:c r="D5" s="3" t="inlineStr">
        <ns0:is>
          <ns0:t>现配置品级</ns0:t>
        </ns0:is>
      </ns0:c>
      <ns0:c r="E5" s="3" t="inlineStr">
        <ns0:is>
          <ns0:t>主表品级</ns0:t>
        </ns0:is>
      </ns0:c>
      <ns0:c r="F5" s="3" t="inlineStr">
        <ns0:is>
          <ns0:t>现基础伤害</ns0:t>
        </ns0:is>
      </ns0:c>
      <ns0:c r="G5" s="3" t="inlineStr">
        <ns0:is>
          <ns0:t>现CD_秒</ns0:t>
        </ns0:is>
      </ns0:c>
      <ns0:c r="H5" s="3" t="inlineStr">
        <ns0:is>
          <ns0:t>现体力费</ns0:t>
        </ns0:is>
      </ns0:c>
      <ns0:c r="I5" s="3" t="inlineStr">
        <ns0:is>
          <ns0:t>现甲型字段</ns0:t>
        </ns0:is>
      </ns0:c>
      <ns0:c r="J5" s="3" t="inlineStr">
        <ns0:is>
          <ns0:t>现上限贡献</ns0:t>
        </ns0:is>
      </ns0:c>
      <ns0:c r="K5" s="3" t="inlineStr">
        <ns0:is>
          <ns0:t>现回甲</ns0:t>
        </ns0:is>
      </ns0:c>
      <ns0:c r="L5" s="3" t="inlineStr">
        <ns0:is>
          <ns0:t>现effects原值</ns0:t>
        </ns0:is>
      </ns0:c>
      <ns0:c r="M5" s="3" t="inlineStr">
        <ns0:is>
          <ns0:t>差异与迁移范围</ns0:t>
        </ns0:is>
      </ns0:c>
      <ns0:c r="N5" s="3" t="inlineStr">
        <ns0:is>
          <ns0:t>验证性质</ns0:t>
        </ns0:is>
      </ns0:c>
      <ns0:c r="O5" s="3" t="inlineStr">
        <ns0:is>
          <ns0:t>证据</ns0:t>
        </ns0:is>
      </ns0:c>
    </ns0:row>
    <ns0:row r="6" ht="40" customHeight="1">
      <ns0:c r="A6" s="4" t="inlineStr">
        <ns0:is>
          <ns0:t>t01.asset.0001</ns0:t>
        </ns0:is>
      </ns0:c>
      <ns0:c r="B6" s="4" t="inlineStr">
        <ns0:is>
          <ns0:t>青石短剑</ns0:t>
        </ns0:is>
      </ns0:c>
      <ns0:c r="C6" s="4" t="inlineStr">
        <ns0:is>
          <ns0:t>base.map_item.qingshi_short_sword</ns0:t>
        </ns0:is>
      </ns0:c>
      <ns0:c r="D6" s="4" t="inlineStr">
        <ns0:is>
          <ns0:t>下品</ns0:t>
        </ns0:is>
      </ns0:c>
      <ns0:c r="E6" s="4" t="inlineStr">
        <ns0:is>
          <ns0:t>下品</ns0:t>
        </ns0:is>
      </ns0:c>
      <ns0:c r="F6" s="4" t="n">
        <ns0:v>7</ns0:v>
      </ns0:c>
      <ns0:c r="G6" s="11" t="n">
        <ns0:v>3.5</ns0:v>
      </ns0:c>
      <ns0:c r="H6" s="4" t="n">
        <ns0:v>3</ns0:v>
      </ns0:c>
      <ns0:c r="I6" s="4" t="inlineStr">
        <ns0:is>
          <ns0:t>未声明</ns0:t>
        </ns0:is>
      </ns0:c>
      <ns0:c r="J6" s="4" t="n"/>
      <ns0:c r="K6" s="4" t="n"/>
      <ns0:c r="L6" s="4" t="inlineStr">
        <ns0:is>
          <ns0:t>[]</ns0:t>
        </ns0:is>
      </ns0:c>
      <ns0:c r="M6" s="4" t="inlineStr">
        <ns0:is>
          <ns0:t>主表与现配置均为下品，无品级迁移需求。已有绝对数值仅参考；本批仍以相对档位为设计输入。</ns0:t>
        </ns0:is>
      </ns0:c>
      <ns0:c r="N6" s="4" t="inlineStr">
        <ns0:is>
          <ns0:t>本轮只读配置；未运行游戏</ns0:t>
        </ns0:is>
      </ns0:c>
      <ns0:c r="O6" s="4" t="inlineStr">
        <ns0:is>
          <ns0:t>data/maps/inventory_items.json</ns0:t>
        </ns0:is>
      </ns0:c>
    </ns0:row>
    <ns0:row r="7" ht="40" customHeight="1">
      <ns0:c r="A7" s="5" t="inlineStr">
        <ns0:is>
          <ns0:t>t01.asset.0004</ns0:t>
        </ns0:is>
      </ns0:c>
      <ns0:c r="B7" s="5" t="inlineStr">
        <ns0:is>
          <ns0:t>猎弓</ns0:t>
        </ns0:is>
      </ns0:c>
      <ns0:c r="C7" s="5" t="inlineStr">
        <ns0:is>
          <ns0:t>base.map_item.hunting_bow</ns0:t>
        </ns0:is>
      </ns0:c>
      <ns0:c r="D7" s="5" t="inlineStr">
        <ns0:is>
          <ns0:t>下品</ns0:t>
        </ns0:is>
      </ns0:c>
      <ns0:c r="E7" s="5" t="inlineStr">
        <ns0:is>
          <ns0:t>下品</ns0:t>
        </ns0:is>
      </ns0:c>
      <ns0:c r="F7" s="5" t="n">
        <ns0:v>9</ns0:v>
      </ns0:c>
      <ns0:c r="G7" s="12" t="n">
        <ns0:v>4.5</ns0:v>
      </ns0:c>
      <ns0:c r="H7" s="5" t="n">
        <ns0:v>5</ns0:v>
      </ns0:c>
      <ns0:c r="I7" s="5" t="inlineStr">
        <ns0:is>
          <ns0:t>未声明</ns0:t>
        </ns0:is>
      </ns0:c>
      <ns0:c r="J7" s="5" t="n"/>
      <ns0:c r="K7" s="5" t="n"/>
      <ns0:c r="L7" s="5" t="inlineStr">
        <ns0:is>
          <ns0:t>[]</ns0:t>
        </ns0:is>
      </ns0:c>
      <ns0:c r="M7" s="5" t="inlineStr">
        <ns0:is>
          <ns0:t>主表与现配置均为下品，无品级迁移需求。已有绝对数值仅参考；本批仍以相对档位为设计输入。</ns0:t>
        </ns0:is>
      </ns0:c>
      <ns0:c r="N7" s="5" t="inlineStr">
        <ns0:is>
          <ns0:t>本轮只读配置；未运行游戏</ns0:t>
        </ns0:is>
      </ns0:c>
      <ns0:c r="O7" s="5" t="inlineStr">
        <ns0:is>
          <ns0:t>data/maps/inventory_items.json</ns0:t>
        </ns0:is>
      </ns0:c>
    </ns0:row>
    <ns0:row r="8" ht="40" customHeight="1">
      <ns0:c r="A8" s="4" t="inlineStr">
        <ns0:is>
          <ns0:t>t01.asset.0007</ns0:t>
        </ns0:is>
      </ns0:c>
      <ns0:c r="B8" s="4" t="inlineStr">
        <ns0:is>
          <ns0:t>短柄铁锤</ns0:t>
        </ns0:is>
      </ns0:c>
      <ns0:c r="C8" s="4" t="inlineStr">
        <ns0:is>
          <ns0:t>base.map_item.short_iron_hammer</ns0:t>
        </ns0:is>
      </ns0:c>
      <ns0:c r="D8" s="4" t="inlineStr">
        <ns0:is>
          <ns0:t>下品</ns0:t>
        </ns0:is>
      </ns0:c>
      <ns0:c r="E8" s="4" t="inlineStr">
        <ns0:is>
          <ns0:t>下品</ns0:t>
        </ns0:is>
      </ns0:c>
      <ns0:c r="F8" s="4" t="n">
        <ns0:v>8</ns0:v>
      </ns0:c>
      <ns0:c r="G8" s="11" t="n">
        <ns0:v>4</ns0:v>
      </ns0:c>
      <ns0:c r="H8" s="4" t="n">
        <ns0:v>4</ns0:v>
      </ns0:c>
      <ns0:c r="I8" s="4" t="inlineStr">
        <ns0:is>
          <ns0:t>未声明</ns0:t>
        </ns0:is>
      </ns0:c>
      <ns0:c r="J8" s="4" t="n"/>
      <ns0:c r="K8" s="4" t="n"/>
      <ns0:c r="L8" s="4" t="inlineStr">
        <ns0:is>
          <ns0:t>[]</ns0:t>
        </ns0:is>
      </ns0:c>
      <ns0:c r="M8" s="4" t="inlineStr">
        <ns0:is>
          <ns0:t>主表与现配置均为下品，无品级迁移需求。已有绝对数值仅参考；本批仍以相对档位为设计输入。</ns0:t>
        </ns0:is>
      </ns0:c>
      <ns0:c r="N8" s="4" t="inlineStr">
        <ns0:is>
          <ns0:t>本轮只读配置；未运行游戏</ns0:t>
        </ns0:is>
      </ns0:c>
      <ns0:c r="O8" s="4" t="inlineStr">
        <ns0:is>
          <ns0:t>data/maps/inventory_items.json</ns0:t>
        </ns0:is>
      </ns0:c>
    </ns0:row>
    <ns0:row r="9" ht="30" customHeight="1">
      <ns0:c r="A9" s="5" t="inlineStr">
        <ns0:is>
          <ns0:t>t01.asset.0010</ns0:t>
        </ns0:is>
      </ns0:c>
      <ns0:c r="B9" s="5" t="inlineStr">
        <ns0:is>
          <ns0:t>粗布甲</ns0:t>
        </ns0:is>
      </ns0:c>
      <ns0:c r="C9" s="5" t="inlineStr">
        <ns0:is>
          <ns0:t>base.map_item.coarse_cloth_armor</ns0:t>
        </ns0:is>
      </ns0:c>
      <ns0:c r="D9" s="5" t="inlineStr">
        <ns0:is>
          <ns0:t>下品</ns0:t>
        </ns0:is>
      </ns0:c>
      <ns0:c r="E9" s="5" t="inlineStr">
        <ns0:is>
          <ns0:t>下品</ns0:t>
        </ns0:is>
      </ns0:c>
      <ns0:c r="F9" s="5" t="n"/>
      <ns0:c r="G9" s="12" t="n">
        <ns0:v>4</ns0:v>
      </ns0:c>
      <ns0:c r="H9" s="5" t="n"/>
      <ns0:c r="I9" s="5" t="inlineStr">
        <ns0:is>
          <ns0:t>轻甲</ns0:t>
        </ns0:is>
      </ns0:c>
      <ns0:c r="J9" s="5" t="n">
        <ns0:v>7</ns0:v>
      </ns0:c>
      <ns0:c r="K9" s="5" t="n">
        <ns0:v>3</ns0:v>
      </ns0:c>
      <ns0:c r="L9" s="5" t="inlineStr">
        <ns0:is>
          <ns0:t>[]</ns0:t>
        </ns0:is>
      </ns0:c>
      <ns0:c r="M9" s="5" t="inlineStr">
        <ns0:is>
          <ns0:t>主表与现配置均为下品，无品级迁移需求。</ns0:t>
        </ns0:is>
      </ns0:c>
      <ns0:c r="N9" s="5" t="inlineStr">
        <ns0:is>
          <ns0:t>本轮只读配置；未运行游戏</ns0:t>
        </ns0:is>
      </ns0:c>
      <ns0:c r="O9" s="5" t="inlineStr">
        <ns0:is>
          <ns0:t>data/maps/inventory_items.json</ns0:t>
        </ns0:is>
      </ns0:c>
    </ns0:row>
    <ns0:row r="10" ht="30" customHeight="1">
      <ns0:c r="A10" s="4" t="inlineStr">
        <ns0:is>
          <ns0:t>t01.asset.0012</ns0:t>
        </ns0:is>
      </ns0:c>
      <ns0:c r="B10" s="4" t="inlineStr">
        <ns0:is>
          <ns0:t>旧铁盔</ns0:t>
        </ns0:is>
      </ns0:c>
      <ns0:c r="C10" s="4" t="inlineStr">
        <ns0:is>
          <ns0:t>base.map_item.old_iron_helmet</ns0:t>
        </ns0:is>
      </ns0:c>
      <ns0:c r="D10" s="4" t="inlineStr">
        <ns0:is>
          <ns0:t>下品</ns0:t>
        </ns0:is>
      </ns0:c>
      <ns0:c r="E10" s="4" t="inlineStr">
        <ns0:is>
          <ns0:t>下品</ns0:t>
        </ns0:is>
      </ns0:c>
      <ns0:c r="F10" s="4" t="n"/>
      <ns0:c r="G10" s="11" t="n">
        <ns0:v>5</ns0:v>
      </ns0:c>
      <ns0:c r="H10" s="4" t="n"/>
      <ns0:c r="I10" s="4" t="inlineStr">
        <ns0:is>
          <ns0:t>未声明</ns0:t>
        </ns0:is>
      </ns0:c>
      <ns0:c r="J10" s="4" t="n">
        <ns0:v>2</ns0:v>
      </ns0:c>
      <ns0:c r="K10" s="4" t="n">
        <ns0:v>1</ns0:v>
      </ns0:c>
      <ns0:c r="L10" s="4" t="inlineStr">
        <ns0:is>
          <ns0:t>[]</ns0:t>
        </ns0:is>
      </ns0:c>
      <ns0:c r="M10" s="4" t="inlineStr">
        <ns0:is>
          <ns0:t>主表与现配置均为下品，无品级迁移需求。现配置未声明armor_type；本批明确重甲。</ns0:t>
        </ns0:is>
      </ns0:c>
      <ns0:c r="N10" s="4" t="inlineStr">
        <ns0:is>
          <ns0:t>本轮只读配置；未运行游戏</ns0:t>
        </ns0:is>
      </ns0:c>
      <ns0:c r="O10" s="4" t="inlineStr">
        <ns0:is>
          <ns0:t>data/maps/inventory_items.json</ns0:t>
        </ns0:is>
      </ns0:c>
    </ns0:row>
    <ns0:row r="11" ht="30" customHeight="1">
      <ns0:c r="A11" s="5" t="inlineStr">
        <ns0:is>
          <ns0:t>t01.asset.0013</ns0:t>
        </ns0:is>
      </ns0:c>
      <ns0:c r="B11" s="5" t="inlineStr">
        <ns0:is>
          <ns0:t>木圆盾</ns0:t>
        </ns0:is>
      </ns0:c>
      <ns0:c r="C11" s="5" t="inlineStr">
        <ns0:is>
          <ns0:t>base.map_item.round_wood_shield</ns0:t>
        </ns0:is>
      </ns0:c>
      <ns0:c r="D11" s="5" t="inlineStr">
        <ns0:is>
          <ns0:t>下品</ns0:t>
        </ns0:is>
      </ns0:c>
      <ns0:c r="E11" s="5" t="inlineStr">
        <ns0:is>
          <ns0:t>下品</ns0:t>
        </ns0:is>
      </ns0:c>
      <ns0:c r="F11" s="5" t="n"/>
      <ns0:c r="G11" s="12" t="n">
        <ns0:v>5</ns0:v>
      </ns0:c>
      <ns0:c r="H11" s="5" t="n"/>
      <ns0:c r="I11" s="5" t="inlineStr">
        <ns0:is>
          <ns0:t>未声明</ns0:t>
        </ns0:is>
      </ns0:c>
      <ns0:c r="J11" s="5" t="n">
        <ns0:v>2</ns0:v>
      </ns0:c>
      <ns0:c r="K11" s="5" t="n">
        <ns0:v>3</ns0:v>
      </ns0:c>
      <ns0:c r="L11" s="5" t="inlineStr">
        <ns0:is>
          <ns0:t>[]</ns0:t>
        </ns0:is>
      </ns0:c>
      <ns0:c r="M11" s="5" t="inlineStr">
        <ns0:is>
          <ns0:t>主表与现配置均为下品，无品级迁移需求。现配置未声明armor_type；本批明确轻甲。</ns0:t>
        </ns0:is>
      </ns0:c>
      <ns0:c r="N11" s="5" t="inlineStr">
        <ns0:is>
          <ns0:t>本轮只读配置；未运行游戏</ns0:t>
        </ns0:is>
      </ns0:c>
      <ns0:c r="O11" s="5" t="inlineStr">
        <ns0:is>
          <ns0:t>data/maps/inventory_items.json</ns0:t>
        </ns0:is>
      </ns0:c>
    </ns0:row>
    <ns0:row r="12" ht="55" customHeight="1">
      <ns0:c r="A12" s="4" t="inlineStr">
        <ns0:is>
          <ns0:t>t01.asset.0018</ns0:t>
        </ns0:is>
      </ns0:c>
      <ns0:c r="B12" s="4" t="inlineStr">
        <ns0:is>
          <ns0:t>温玉佩</ns0:t>
        </ns0:is>
      </ns0:c>
      <ns0:c r="C12" s="4" t="inlineStr">
        <ns0:is>
          <ns0:t>base.map_item.warm_jade</ns0:t>
        </ns0:is>
      </ns0:c>
      <ns0:c r="D12" s="4" t="inlineStr">
        <ns0:is>
          <ns0:t>下品</ns0:t>
        </ns0:is>
      </ns0:c>
      <ns0:c r="E12" s="4" t="inlineStr">
        <ns0:is>
          <ns0:t>下品</ns0:t>
        </ns0:is>
      </ns0:c>
      <ns0:c r="F12" s="4" t="n"/>
      <ns0:c r="G12" s="11" t="n">
        <ns0:v>4</ns0:v>
      </ns0:c>
      <ns0:c r="H12" s="4" t="n"/>
      <ns0:c r="I12" s="4" t="inlineStr">
        <ns0:is>
          <ns0:t>未声明</ns0:t>
        </ns0:is>
      </ns0:c>
      <ns0:c r="J12" s="4" t="n"/>
      <ns0:c r="K12" s="4" t="n"/>
      <ns0:c r="L12" s="4" t="inlineStr">
        <ns0:is>
          <ns0:t>[{"cap_numerator": 2, "resource": "hp", "cap_denominator": 3, "effect": "restore_capped", "value": 4, "trigger": "on_activate"}, {"cap_numerator": 2, "resource": "stamina", "cap_denominator": 3, "effect": "restore_capped", "value": 6, "trigger": "on_activate"}]</ns0:t>
        </ns0:is>
      </ns0:c>
      <ns0:c r="M12" s="4" t="inlineStr">
        <ns0:is>
          <ns0:t>主表与现配置均为下品，无品级迁移需求。</ns0:t>
        </ns0:is>
      </ns0:c>
      <ns0:c r="N12" s="4" t="inlineStr">
        <ns0:is>
          <ns0:t>本轮只读配置；未运行游戏</ns0:t>
        </ns0:is>
      </ns0:c>
      <ns0:c r="O12" s="4" t="inlineStr">
        <ns0:is>
          <ns0:t>data/maps/inventory_items.json</ns0:t>
        </ns0:is>
      </ns0:c>
    </ns0:row>
    <ns0:row r="13" ht="40" customHeight="1">
      <ns0:c r="A13" s="5" t="inlineStr">
        <ns0:is>
          <ns0:t>t01.asset.0022</ns0:t>
        </ns0:is>
      </ns0:c>
      <ns0:c r="B13" s="5" t="inlineStr">
        <ns0:is>
          <ns0:t>止血丹</ns0:t>
        </ns0:is>
      </ns0:c>
      <ns0:c r="C13" s="5" t="inlineStr">
        <ns0:is>
          <ns0:t>base.map_item.hemostatic_pill</ns0:t>
        </ns0:is>
      </ns0:c>
      <ns0:c r="D13" s="5" t="inlineStr">
        <ns0:is>
          <ns0:t>下品</ns0:t>
        </ns0:is>
      </ns0:c>
      <ns0:c r="E13" s="5" t="inlineStr">
        <ns0:is>
          <ns0:t>下品</ns0:t>
        </ns0:is>
      </ns0:c>
      <ns0:c r="F13" s="5" t="n"/>
      <ns0:c r="G13" s="12" t="n">
        <ns0:v>6.5</ns0:v>
      </ns0:c>
      <ns0:c r="H13" s="5" t="n"/>
      <ns0:c r="I13" s="5" t="inlineStr">
        <ns0:is>
          <ns0:t>未声明</ns0:t>
        </ns0:is>
      </ns0:c>
      <ns0:c r="J13" s="5" t="n"/>
      <ns0:c r="K13" s="5" t="n"/>
      <ns0:c r="L13" s="5" t="inlineStr">
        <ns0:is>
          <ns0:t>[{"resource": "hp", "interval": 2.0, "effect": "restore_ticks", "value": 2, "ticks": 3, "trigger": "on_activate"}]</ns0:t>
        </ns0:is>
      </ns0:c>
      <ns0:c r="M13" s="5" t="inlineStr">
        <ns0:is>
          <ns0:t>主表与现配置均为下品，无品级迁移需求。</ns0:t>
        </ns0:is>
      </ns0:c>
      <ns0:c r="N13" s="5" t="inlineStr">
        <ns0:is>
          <ns0:t>本轮只读配置；未运行游戏</ns0:t>
        </ns0:is>
      </ns0:c>
      <ns0:c r="O13" s="5" t="inlineStr">
        <ns0:is>
          <ns0:t>data/maps/inventory_items.json</ns0:t>
        </ns0:is>
      </ns0:c>
    </ns0:row>
    <ns0:row r="14" ht="40" customHeight="1">
      <ns0:c r="A14" s="4" t="inlineStr">
        <ns0:is>
          <ns0:t>t01.asset.0023</ns0:t>
        </ns0:is>
      </ns0:c>
      <ns0:c r="B14" s="4" t="inlineStr">
        <ns0:is>
          <ns0:t>强筋丸</ns0:t>
        </ns0:is>
      </ns0:c>
      <ns0:c r="C14" s="4" t="inlineStr">
        <ns0:is>
          <ns0:t>base.map_item.sinew_pill</ns0:t>
        </ns0:is>
      </ns0:c>
      <ns0:c r="D14" s="4" t="inlineStr">
        <ns0:is>
          <ns0:t>下品</ns0:t>
        </ns0:is>
      </ns0:c>
      <ns0:c r="E14" s="4" t="inlineStr">
        <ns0:is>
          <ns0:t>下品</ns0:t>
        </ns0:is>
      </ns0:c>
      <ns0:c r="F14" s="4" t="n"/>
      <ns0:c r="G14" s="11" t="n">
        <ns0:v>7.5</ns0:v>
      </ns0:c>
      <ns0:c r="H14" s="4" t="n"/>
      <ns0:c r="I14" s="4" t="inlineStr">
        <ns0:is>
          <ns0:t>未声明</ns0:t>
        </ns0:is>
      </ns0:c>
      <ns0:c r="J14" s="4" t="n"/>
      <ns0:c r="K14" s="4" t="n"/>
      <ns0:c r="L14" s="4" t="inlineStr">
        <ns0:is>
          <ns0:t>[{"resource": "stamina", "interval": 2.0, "effect": "restore_ticks", "value": 4, "ticks": 3, "trigger": "on_activate"}]</ns0:t>
        </ns0:is>
      </ns0:c>
      <ns0:c r="M14" s="4" t="inlineStr">
        <ns0:is>
          <ns0:t>主表与现配置均为下品，无品级迁移需求。</ns0:t>
        </ns0:is>
      </ns0:c>
      <ns0:c r="N14" s="4" t="inlineStr">
        <ns0:is>
          <ns0:t>本轮只读配置；未运行游戏</ns0:t>
        </ns0:is>
      </ns0:c>
      <ns0:c r="O14" s="4" t="inlineStr">
        <ns0:is>
          <ns0:t>data/maps/inventory_items.json</ns0:t>
        </ns0:is>
      </ns0:c>
    </ns0:row>
    <ns0:row r="15" ht="30" customHeight="1">
      <ns0:c r="A15" s="5" t="inlineStr">
        <ns0:is>
          <ns0:t>t01.asset.0024</ns0:t>
        </ns0:is>
      </ns0:c>
      <ns0:c r="B15" s="5" t="inlineStr">
        <ns0:is>
          <ns0:t>消毒散</ns0:t>
        </ns0:is>
      </ns0:c>
      <ns0:c r="C15" s="5" t="inlineStr">
        <ns0:is>
          <ns0:t>base.map_item.detox_powder</ns0:t>
        </ns0:is>
      </ns0:c>
      <ns0:c r="D15" s="5" t="inlineStr">
        <ns0:is>
          <ns0:t>下品</ns0:t>
        </ns0:is>
      </ns0:c>
      <ns0:c r="E15" s="5" t="inlineStr">
        <ns0:is>
          <ns0:t>下品</ns0:t>
        </ns0:is>
      </ns0:c>
      <ns0:c r="F15" s="5" t="n"/>
      <ns0:c r="G15" s="12" t="n">
        <ns0:v>5.5</ns0:v>
      </ns0:c>
      <ns0:c r="H15" s="5" t="n"/>
      <ns0:c r="I15" s="5" t="inlineStr">
        <ns0:is>
          <ns0:t>未声明</ns0:t>
        </ns0:is>
      </ns0:c>
      <ns0:c r="J15" s="5" t="n"/>
      <ns0:c r="K15" s="5" t="n"/>
      <ns0:c r="L15" s="5" t="inlineStr">
        <ns0:is>
          <ns0:t>[{"effect": "cleanse_toxin", "duration": 15, "trigger": "on_activate"}]</ns0:t>
        </ns0:is>
      </ns0:c>
      <ns0:c r="M15" s="5" t="inlineStr">
        <ns0:is>
          <ns0:t>主表与现配置均为下品，无品级迁移需求。</ns0:t>
        </ns0:is>
      </ns0:c>
      <ns0:c r="N15" s="5" t="inlineStr">
        <ns0:is>
          <ns0:t>本轮只读配置；未运行游戏</ns0:t>
        </ns0:is>
      </ns0:c>
      <ns0:c r="O15" s="5" t="inlineStr">
        <ns0:is>
          <ns0:t>data/maps/inventory_items.json</ns0:t>
        </ns0:is>
      </ns0:c>
    </ns0:row>
  </ns0:sheetData>
  <ns0:mergeCells count="2">
    <ns0:mergeCell ref="A1:O1"/>
    <ns0:mergeCell ref="A2:O2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2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4" customWidth="1" min="1" max="1"/>
    <ns0:col width="35" customWidth="1" min="2" max="2"/>
    <ns0:col width="83" customWidth="1" min="3" max="3"/>
    <ns0:col width="88" customWidth="1" min="4" max="4"/>
    <ns0:col width="32" customWidth="1" min="5" max="5"/>
  </ns0:cols>
  <ns0:sheetData>
    <ns0:row r="1" ht="32" customHeight="1">
      <ns0:c r="A1" s="1" t="inlineStr">
        <ns0:is>
          <ns0:t>t01-08｜跨词典联系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词典</ns0:t>
        </ns0:is>
      </ns0:c>
      <ns0:c r="B5" s="3" t="inlineStr">
        <ns0:is>
          <ns0:t>接口</ns0:t>
        </ns0:is>
      </ns0:c>
      <ns0:c r="C5" s="3" t="inlineStr">
        <ns0:is>
          <ns0:t>本批关联</ns0:t>
        </ns0:is>
      </ns0:c>
      <ns0:c r="D5" s="3" t="inlineStr">
        <ns0:is>
          <ns0:t>边界／实际动作</ns0:t>
        </ns0:is>
      </ns0:c>
      <ns0:c r="E5" s="3" t="inlineStr">
        <ns0:is>
          <ns0:t>状态</ns0:t>
        </ns0:is>
      </ns0:c>
    </ns0:row>
    <ns0:row r="6" ht="30" customHeight="1">
      <ns0:c r="A6" s="8" t="inlineStr">
        <ns0:is>
          <ns0:t>01</ns0:t>
        </ns0:is>
      </ns0:c>
      <ns0:c r="B6" s="4" t="inlineStr">
        <ns0:is>
          <ns0:t>发动／支付／恢复／上限</ns0:t>
        </ns0:is>
      </ns0:c>
      <ns0:c r="C6" s="4" t="inlineStr">
        <ns0:is>
          <ns0:t>武器基础攻击、资源恢复、防具回甲与上限分开；持续药效按时钟。</ns0:t>
        </ns0:is>
      </ns0:c>
      <ns0:c r="D6" s="4" t="inlineStr">
        <ns0:is>
          <ns0:t>引用已有词义，不给每件物品建新运行系统。</ns0:t>
        </ns0:is>
      </ns0:c>
      <ns0:c r="E6" s="4" t="inlineStr">
        <ns0:is>
          <ns0:t>参考</ns0:t>
        </ns0:is>
      </ns0:c>
    </ns0:row>
    <ns0:row r="7" ht="30" customHeight="1">
      <ns0:c r="A7" s="10" t="inlineStr">
        <ns0:is>
          <ns0:t>02</ns0:t>
        </ns0:is>
      </ns0:c>
      <ns0:c r="B7" s="5" t="inlineStr">
        <ns0:is>
          <ns0:t>毒蚀清除与免疫／控制</ns0:t>
        </ns0:is>
      </ns0:c>
      <ns0:c r="C7" s="5" t="inlineStr">
        <ns0:is>
          <ns0:t>消毒散专门清毒＋15秒毒蚀免疫；药效和免疫为独立整份实例；Link按控制资格运行。</ns0:t>
        </ns0:is>
      </ns0:c>
      <ns0:c r="D7" s="5" t="inlineStr">
        <ns0:is>
          <ns0:t>不扩全负面净化、不自动免控；具体重复药效策略按资产/既有规则。</ns0:t>
        </ns0:is>
      </ns0:c>
      <ns0:c r="E7" s="5" t="inlineStr">
        <ns0:is>
          <ns0:t>参考</ns0:t>
        </ns0:is>
      </ns0:c>
    </ns0:row>
    <ns0:row r="8" ht="42" customHeight="1">
      <ns0:c r="A8" s="8" t="inlineStr">
        <ns0:is>
          <ns0:t>03</ns0:t>
        </ns0:is>
      </ns0:c>
      <ns0:c r="B8" s="4" t="inlineStr">
        <ns0:is>
          <ns0:t>下品权限</ns0:t>
        </ns0:is>
      </ns0:c>
      <ns0:c r="C8" s="4" t="inlineStr">
        <ns0:is>
          <ns0:t>仅批准粗布甲＋布护臂＋布护腿、铁甲＋铁护臂＋铁护腿两组下品基础防具联动；两个护具分别正交邻接对应身甲。其他下品仍按03原权限；无Set_ID，不新增独立CD。</ns0:t>
        </ns0:is>
      </ns0:c>
      <ns0:c r="D8" s="4" t="inlineStr">
        <ns0:is>
          <ns0:t>已回填03 C030的例外及引用视图，常规品级许可符号不变。</ns0:t>
        </ns0:is>
      </ns0:c>
      <ns0:c r="E8" s="6" t="inlineStr">
        <ns0:is>
          <ns0:t>Q01已确认；03已同步</ns0:t>
        </ns0:is>
      </ns0:c>
    </ns0:row>
    <ns0:row r="9" ht="30" customHeight="1">
      <ns0:c r="A9" s="10" t="inlineStr">
        <ns0:is>
          <ns0:t>04</ns0:t>
        </ns0:is>
      </ns0:c>
      <ns0:c r="B9" s="5" t="inlineStr">
        <ns0:is>
          <ns0:t>器型、甲型、部位</ns0:t>
        </ns0:is>
      </ns0:c>
      <ns0:c r="C9" s="5" t="inlineStr">
        <ns0:is>
          <ns0:t>九器型与固定占格；Q02已定身甲每格2、其他1及最高并列身甲优先。</ns0:t>
        </ns0:is>
      </ns0:c>
      <ns0:c r="D9" s="5" t="inlineStr">
        <ns0:is>
          <ns0:t>04已回填；防御元素按实际格。身甲／头具／臂／腿各限1，盾可多件。</ns0:t>
        </ns0:is>
      </ns0:c>
      <ns0:c r="E9" s="6" t="inlineStr">
        <ns0:is>
          <ns0:t>Q02／Q03已同步</ns0:t>
        </ns0:is>
      </ns0:c>
    </ns0:row>
    <ns0:row r="10" ht="30" customHeight="1">
      <ns0:c r="A10" s="8" t="inlineStr">
        <ns0:is>
          <ns0:t>05</ns0:t>
        </ns0:is>
      </ns0:c>
      <ns0:c r="B10" s="4" t="inlineStr">
        <ns0:is>
          <ns0:t>制作方／配方</ns0:t>
        </ns0:is>
      </ns0:c>
      <ns0:c r="C10" s="4" t="inlineStr">
        <ns0:is>
          <ns0:t>保留合法制作与升品接口；当前未提供这27件的方、材料、配方。</ns0:t>
        </ns0:is>
      </ns0:c>
      <ns0:c r="D10" s="4" t="inlineStr">
        <ns0:is>
          <ns0:t>不因下品可制作就虚构实际器方；不恢复蓝图学习或归胚。</ns0:t>
        </ns0:is>
      </ns0:c>
      <ns0:c r="E10" s="6" t="inlineStr">
        <ns0:is>
          <ns0:t>待具体生产资产</ns0:t>
        </ns0:is>
      </ns0:c>
    </ns0:row>
    <ns0:row r="11" ht="42" customHeight="1">
      <ns0:c r="A11" s="10" t="inlineStr">
        <ns0:is>
          <ns0:t>06</ns0:t>
        </ns0:is>
      </ns0:c>
      <ns0:c r="B11" s="5" t="inlineStr">
        <ns0:is>
          <ns0:t>基础联动</ns0:t>
        </ns0:is>
      </ns0:c>
      <ns0:c r="C11" s="5" t="inlineStr">
        <ns0:is>
          <ns0:t>两组固定主体与两护具正交邻接；无Set_ID；不额外增加独立CD。</ns0:t>
        </ns0:is>
      </ns0:c>
      <ns0:c r="D11" s="5" t="inlineStr">
        <ns0:is>
          <ns0:t>仍查Link资格、控制、只撤本贡献及不靠重组成套补甲。</ns0:t>
        </ns0:is>
      </ns0:c>
      <ns0:c r="E11" s="6" t="inlineStr">
        <ns0:is>
          <ns0:t>Q01限定许可已确认；资产运行待补齐</ns0:t>
        </ns0:is>
      </ns0:c>
    </ns0:row>
    <ns0:row r="12" ht="30" customHeight="1">
      <ns0:c r="A12" s="8" t="inlineStr">
        <ns0:is>
          <ns0:t>07</ns0:t>
        </ns0:is>
      </ns0:c>
      <ns0:c r="B12" s="4" t="inlineStr">
        <ns0:is>
          <ns0:t>获取与交付</ns0:t>
        </ns0:is>
      </ns0:c>
      <ns0:c r="C12" s="4" t="inlineStr">
        <ns0:is>
          <ns0:t>9件武器购入方向＋商铺开放意向。</ns0:t>
        </ns0:is>
      </ns0:c>
      <ns0:c r="D12" s="4" t="inlineStr">
        <ns0:is>
          <ns0:t>全部为规划；其余18件来源未提供，不自行补投放或掉率。</ns0:t>
        </ns0:is>
      </ns0:c>
      <ns0:c r="E12" s="6" t="inlineStr">
        <ns0:is>
          <ns0:t>待实际获取链</ns0:t>
        </ns0:is>
      </ns0:c>
    </ns0:row>
  </ns0:sheetData>
  <ns0:mergeCells count="2">
    <ns0:mergeCell ref="A2:E2"/>
    <ns0:mergeCell ref="A1:E1"/>
  </ns0:mergeCells>
  <ns0:hyperlinks>
    <ns0:hyperlink ref="A6" ns1:id="rId1"/>
    <ns0:hyperlink ref="A7" ns1:id="rId2"/>
    <ns0:hyperlink ref="A8" ns1:id="rId3"/>
    <ns0:hyperlink ref="A9" ns1:id="rId4"/>
    <ns0:hyperlink ref="A10" ns1:id="rId5"/>
    <ns0:hyperlink ref="A11" ns1:id="rId6"/>
    <ns0:hyperlink ref="A12" ns1:id="rId7"/>
  </ns0:hyperlinks>
  <ns0:pageMargins left="0.75" right="0.75" top="1" bottom="1" header="0.5" footer="0.5"/>
  <ns0:pageSetup orientation="landscape" paperSize="8" fitToHeight="0" fitToWidth="1"/>
  <ns0:tableParts count="1">
    <ns0:tablePart ns1:id="rId8"/>
  </ns0:tableParts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3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4" customWidth="1" min="1" max="1"/>
    <ns0:col width="25" customWidth="1" min="2" max="2"/>
    <ns0:col width="87" customWidth="1" min="3" max="3"/>
    <ns0:col width="82" customWidth="1" min="4" max="4"/>
    <ns0:col width="35" customWidth="1" min="5" max="5"/>
  </ns0:cols>
  <ns0:sheetData>
    <ns0:row r="1" ht="32" customHeight="1">
      <ns0:c r="A1" s="1" t="inlineStr">
        <ns0:is>
          <ns0:t>t01-08｜确认与后续事项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编号</ns0:t>
        </ns0:is>
      </ns0:c>
      <ns0:c r="B5" s="3" t="inlineStr">
        <ns0:is>
          <ns0:t>主题</ns0:t>
        </ns0:is>
      </ns0:c>
      <ns0:c r="C5" s="3" t="inlineStr">
        <ns0:is>
          <ns0:t>问题／工作</ns0:t>
        </ns0:is>
      </ns0:c>
      <ns0:c r="D5" s="3" t="inlineStr">
        <ns0:is>
          <ns0:t>当前状态</ns0:t>
        </ns0:is>
      </ns0:c>
      <ns0:c r="E5" s="3" t="inlineStr">
        <ns0:is>
          <ns0:t>影响范围</ns0:t>
        </ns0:is>
      </ns0:c>
    </ns0:row>
    <ns0:row r="6" ht="42" customHeight="1">
      <ns0:c r="A6" s="4" t="inlineStr">
        <ns0:is>
          <ns0:t>Q01</ns0:t>
        </ns0:is>
      </ns0:c>
      <ns0:c r="B6" s="4" t="inlineStr">
        <ns0:is>
          <ns0:t>下品邻接权限</ns0:t>
        </ns0:is>
      </ns0:c>
      <ns0:c r="C6" s="4" t="inlineStr">
        <ns0:is>
          <ns0:t>03从良品常规开放正交邻接，本批两组下品联动是否限定例外？</ns0:t>
        </ns0:is>
      </ns0:c>
      <ns0:c r="D6" s="6" t="inlineStr">
        <ns0:is>
          <ns0:t>已确认限定两组联动；用户最新将本批品级更正为下品，例外随这两组改为下品；其他物品仍按03原权限。</ns0:t>
        </ns0:is>
      </ns0:c>
      <ns0:c r="E6" s="4" t="inlineStr">
        <ns0:is>
          <ns0:t>03 C030及两联动许可已同步；数值仍为候选</ns0:t>
        </ns0:is>
      </ns0:c>
    </ns0:row>
    <ns0:row r="7" ht="42" customHeight="1">
      <ns0:c r="A7" s="5" t="inlineStr">
        <ns0:is>
          <ns0:t>Q02</ns0:t>
        </ns0:is>
      </ns0:c>
      <ns0:c r="B7" s="5" t="inlineStr">
        <ns0:is>
          <ns0:t>甲型全局覆盖</ns0:t>
        </ns0:is>
      </ns0:c>
      <ns0:c r="C7" s="5" t="inlineStr">
        <ns0:is>
          <ns0:t>身甲×2／其他×1、并列优先身甲是否全局替换04？</ns0:t>
        </ns0:is>
      </ns0:c>
      <ns0:c r="D7" s="6" t="inlineStr">
        <ns0:is>
          <ns0:t>已确认：采用整套规则，更新04（建议）</ns0:t>
        </ns0:is>
      </ns0:c>
      <ns0:c r="E7" s="5" t="inlineStr">
        <ns0:is>
          <ns0:t>双方主甲型规则已回填04；不改防御元素</ns0:t>
        </ns0:is>
      </ns0:c>
    </ns0:row>
    <ns0:row r="8" ht="30" customHeight="1">
      <ns0:c r="A8" s="4" t="inlineStr">
        <ns0:is>
          <ns0:t>Q03</ns0:t>
        </ns0:is>
      </ns0:c>
      <ns0:c r="B8" s="4" t="inlineStr">
        <ns0:is>
          <ns0:t>部位限制范围</ns0:t>
        </ns0:is>
      </ns0:c>
      <ns0:c r="C8" s="4" t="inlineStr">
        <ns0:is>
          <ns0:t>盾是否也最多1件；同部位限制与现有阵盘规格需统一。</ns0:t>
        </ns0:is>
      </ns0:c>
      <ns0:c r="D8" s="6" t="inlineStr">
        <ns0:is>
          <ns0:t>已确认：允许多件盾，只受阵盘空间限制</ns0:t>
        </ns0:is>
      </ns0:c>
      <ns0:c r="E8" s="4" t="inlineStr">
        <ns0:is>
          <ns0:t>已回填04及08部位限制</ns0:t>
        </ns0:is>
      </ns0:c>
    </ns0:row>
    <ns0:row r="9" ht="42" customHeight="1">
      <ns0:c r="A9" s="5" t="inlineStr">
        <ns0:is>
          <ns0:t>Q04</ns0:t>
        </ns0:is>
      </ns0:c>
      <ns0:c r="B9" s="5" t="inlineStr">
        <ns0:is>
          <ns0:t>新法器恢复上限</ns0:t>
        </ns0:is>
      </ns0:c>
      <ns0:c r="C9" s="5" t="inlineStr">
        <ns0:is>
          <ns0:t>回春玉、养息珠、聚灵珠是否采用最多至最大值2/3？</ns0:t>
        </ns0:is>
      </ns0:c>
      <ns0:c r="D9" s="5" t="inlineStr">
        <ns0:is>
          <ns0:t>已确认：三件都采用2/3上限（建议）</ns0:t>
        </ns0:is>
      </ns0:c>
      <ns0:c r="E9" s="5" t="inlineStr">
        <ns0:is>
          <ns0:t>已回填回春玉、养息珠、聚灵珠；温玉佩既有规则不变</ns0:t>
        </ns0:is>
      </ns0:c>
    </ns0:row>
    <ns0:row r="10" ht="30" customHeight="1">
      <ns0:c r="A10" s="4" t="inlineStr">
        <ns0:is>
          <ns0:t>A01</ns0:t>
        </ns0:is>
      </ns0:c>
      <ns0:c r="B10" s="4" t="inlineStr">
        <ns0:is>
          <ns0:t>绝对武器数值</ns0:t>
        </ns0:is>
      </ns0:c>
      <ns0:c r="C10" s="4" t="inlineStr">
        <ns0:is>
          <ns0:t>九件之间相对伤害／CD／体力档位，待横向平衡。</ns0:t>
        </ns0:is>
      </ns0:c>
      <ns0:c r="D10" s="6" t="inlineStr">
        <ns0:is>
          <ns0:t>原稿明确后定；保留三已有武器参考值，未擅自代填。</ns0:t>
        </ns0:is>
      </ns0:c>
      <ns0:c r="E10" s="4" t="inlineStr">
        <ns0:is>
          <ns0:t>未来数值设计</ns0:t>
        </ns0:is>
      </ns0:c>
    </ns0:row>
    <ns0:row r="11" ht="30" customHeight="1">
      <ns0:c r="A11" s="5" t="inlineStr">
        <ns0:is>
          <ns0:t>A02</ns0:t>
        </ns0:is>
      </ns0:c>
      <ns0:c r="B11" s="5" t="inlineStr">
        <ns0:is>
          <ns0:t>候选参数与平衡</ns0:t>
        </ns0:is>
      </ns0:c>
      <ns0:c r="C11" s="5" t="inlineStr">
        <ns0:is>
          <ns0:t>新增防具、法器、丹药及两联动收益保留试玩候选。</ns0:t>
        </ns0:is>
      </ns0:c>
      <ns0:c r="D11" s="6" t="inlineStr">
        <ns0:is>
          <ns0:t>未运行战斗；不把新增候选改写为已测试。</ns0:t>
        </ns0:is>
      </ns0:c>
      <ns0:c r="E11" s="5" t="inlineStr">
        <ns0:is>
          <ns0:t>未来确认与验证</ns0:t>
        </ns0:is>
      </ns0:c>
    </ns0:row>
    <ns0:row r="12" ht="30" customHeight="1">
      <ns0:c r="A12" s="4" t="inlineStr">
        <ns0:is>
          <ns0:t>A03</ns0:t>
        </ns0:is>
      </ns0:c>
      <ns0:c r="B12" s="4" t="inlineStr">
        <ns0:is>
          <ns0:t>生产获取与表现</ns0:t>
        </ns0:is>
      </ns0:c>
      <ns0:c r="C12" s="4" t="inlineStr">
        <ns0:is>
          <ns0:t>配方、正式来源、价格库存、图标和运行配置未齐。</ns0:t>
        </ns0:is>
      </ns0:c>
      <ns0:c r="D12" s="6" t="inlineStr">
        <ns0:is>
          <ns0:t>未创建游戏资产；后续按实际选定范围补齐。</ns0:t>
        </ns0:is>
      </ns0:c>
      <ns0:c r="E12" s="4" t="inlineStr">
        <ns0:is>
          <ns0:t>未来资产落地</ns0:t>
        </ns0:is>
      </ns0:c>
    </ns0:row>
    <ns0:row r="13" ht="30" customHeight="1">
      <ns0:c r="A13" s="5" t="inlineStr">
        <ns0:is>
          <ns0:t>A04</ns0:t>
        </ns0:is>
      </ns0:c>
      <ns0:c r="B13" s="5" t="inlineStr">
        <ns0:is>
          <ns0:t>Link具体运行</ns0:t>
        </ns0:is>
      </ns0:c>
      <ns0:c r="C13" s="5" t="inlineStr">
        <ns0:is>
          <ns0:t>固定匹配结构已有，控制时静态上限／发动修正需与02/06实例策略衔接。</ns0:t>
        </ns0:is>
      </ns0:c>
      <ns0:c r="D13" s="5" t="inlineStr">
        <ns0:is>
          <ns0:t>不一律控制就断链、不用重新组合免费恢复护甲。</ns0:t>
        </ns0:is>
      </ns0:c>
      <ns0:c r="E13" s="5" t="inlineStr">
        <ns0:is>
          <ns0:t>未来实际运行模板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6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8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4" customWidth="1" min="1" max="1"/>
    <ns0:col width="23" customWidth="1" min="2" max="2"/>
    <ns0:col width="78" customWidth="1" min="3" max="3"/>
    <ns0:col width="94" customWidth="1" min="4" max="4"/>
    <ns0:col width="36" customWidth="1" min="5" max="5"/>
  </ns0:cols>
  <ns0:sheetData>
    <ns0:row r="1" ht="32" customHeight="1">
      <ns0:c r="A1" s="1" t="inlineStr">
        <ns0:is>
          <ns0:t>t01-08｜核对场景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案例ID</ns0:t>
        </ns0:is>
      </ns0:c>
      <ns0:c r="B5" s="3" t="inlineStr">
        <ns0:is>
          <ns0:t>主题</ns0:t>
        </ns0:is>
      </ns0:c>
      <ns0:c r="C5" s="3" t="inlineStr">
        <ns0:is>
          <ns0:t>输入</ns0:t>
        </ns0:is>
      </ns0:c>
      <ns0:c r="D5" s="3" t="inlineStr">
        <ns0:is>
          <ns0:t>预期／边界</ns0:t>
        </ns0:is>
      </ns0:c>
      <ns0:c r="E5" s="3" t="inlineStr">
        <ns0:is>
          <ns0:t>状态</ns0:t>
        </ns0:is>
      </ns0:c>
    </ns0:row>
    <ns0:row r="6" ht="30" customHeight="1">
      <ns0:c r="A6" s="4" t="inlineStr">
        <ns0:is>
          <ns0:t>T01</ns0:t>
        </ns0:is>
      </ns0:c>
      <ns0:c r="B6" s="4" t="inlineStr">
        <ns0:is>
          <ns0:t>总量</ns0:t>
        </ns0:is>
      </ns0:c>
      <ns0:c r="C6" s="4" t="inlineStr">
        <ns0:is>
          <ns0:t>最后一段新增两件铁护具，旧头盔和盾保留</ns0:t>
        </ns0:is>
      </ns0:c>
      <ns0:c r="D6" s="4" t="inlineStr">
        <ns0:is>
          <ns0:t>9＋8＋4＋6＝27；符箓暗器空模板不计数</ns0:t>
        </ns0:is>
      </ns0:c>
      <ns0:c r="E6" s="4" t="inlineStr">
        <ns0:is>
          <ns0:t>文本核对</ns0:t>
        </ns0:is>
      </ns0:c>
    </ns0:row>
    <ns0:row r="7" ht="30" customHeight="1">
      <ns0:c r="A7" s="5" t="inlineStr">
        <ns0:is>
          <ns0:t>T02</ns0:t>
        </ns0:is>
      </ns0:c>
      <ns0:c r="B7" s="5" t="inlineStr">
        <ns0:is>
          <ns0:t>品级覆盖</ns0:t>
        </ns0:is>
      </ns0:c>
      <ns0:c r="C7" s="5" t="inlineStr">
        <ns0:is>
          <ns0:t>用户更正：“这一批道具全是下品”；覆盖此前误说。</ns0:t>
        </ns0:is>
      </ns0:c>
      <ns0:c r="D7" s="5" t="inlineStr">
        <ns0:is>
          <ns0:t>27件品级均下品；统计下品27、凡品0；现有10件配置同为下品。</ns0:t>
        </ns0:is>
      </ns0:c>
      <ns0:c r="E7" s="5" t="inlineStr">
        <ns0:is>
          <ns0:t>文本／结构核对</ns0:t>
        </ns0:is>
      </ns0:c>
    </ns0:row>
    <ns0:row r="8" ht="30" customHeight="1">
      <ns0:c r="A8" s="4" t="inlineStr">
        <ns0:is>
          <ns0:t>T03</ns0:t>
        </ns0:is>
      </ns0:c>
      <ns0:c r="B8" s="4" t="inlineStr">
        <ns0:is>
          <ns0:t>武器数值</ns0:t>
        </ns0:is>
      </ns0:c>
      <ns0:c r="C8" s="4" t="inlineStr">
        <ns0:is>
          <ns0:t>猎弓已有9伤／4.5秒／5体力，但新稿体力中低</ns0:t>
        </ns0:is>
      </ns0:c>
      <ns0:c r="D8" s="4" t="inlineStr">
        <ns0:is>
          <ns0:t>保留旧配置证据，不把新相对档位等同旧排序已满足</ns0:t>
        </ns0:is>
      </ns0:c>
      <ns0:c r="E8" s="6" t="inlineStr">
        <ns0:is>
          <ns0:t>待平衡</ns0:t>
        </ns0:is>
      </ns0:c>
    </ns0:row>
    <ns0:row r="9" ht="30" customHeight="1">
      <ns0:c r="A9" s="5" t="inlineStr">
        <ns0:is>
          <ns0:t>T04</ns0:t>
        </ns0:is>
      </ns0:c>
      <ns0:c r="B9" s="5" t="inlineStr">
        <ns0:is>
          <ns0:t>占格方向</ns0:t>
        </ns0:is>
      </ns0:c>
      <ns0:c r="C9" s="5" t="inlineStr">
        <ns0:is>
          <ns0:t>剑1×2、斧2×1；枪鞭3×1</ns0:t>
        </ns0:is>
      </ns0:c>
      <ns0:c r="D9" s="5" t="inlineStr">
        <ns0:is>
          <ns0:t>维持固定方向不可旋转；无射程加成</ns0:t>
        </ns0:is>
      </ns0:c>
      <ns0:c r="E9" s="5" t="inlineStr">
        <ns0:is>
          <ns0:t>文本核对</ns0:t>
        </ns0:is>
      </ns0:c>
    </ns0:row>
    <ns0:row r="10" ht="30" customHeight="1">
      <ns0:c r="A10" s="4" t="inlineStr">
        <ns0:is>
          <ns0:t>T05</ns0:t>
        </ns0:is>
      </ns0:c>
      <ns0:c r="B10" s="4" t="inlineStr">
        <ns0:is>
          <ns0:t>布甲联动</ns0:t>
        </ns0:is>
      </ns0:c>
      <ns0:c r="C10" s="4" t="inlineStr">
        <ns0:is>
          <ns0:t>两护具分别贴粗布甲，互不相邻</ns0:t>
        </ns0:is>
      </ns0:c>
      <ns0:c r="D10" s="4" t="inlineStr">
        <ns0:is>
          <ns0:t>上限12、身甲回甲4／4秒；总4格；Q01已批准本组下品邻接例外。</ns0:t>
        </ns0:is>
      </ns0:c>
      <ns0:c r="E10" s="6" t="inlineStr">
        <ns0:is>
          <ns0:t>候选计算；未运行</ns0:t>
        </ns0:is>
      </ns0:c>
    </ns0:row>
    <ns0:row r="11" ht="30" customHeight="1">
      <ns0:c r="A11" s="5" t="inlineStr">
        <ns0:is>
          <ns0:t>T06</ns0:t>
        </ns0:is>
      </ns0:c>
      <ns0:c r="B11" s="5" t="inlineStr">
        <ns0:is>
          <ns0:t>铁甲联动</ns0:t>
        </ns0:is>
      </ns0:c>
      <ns0:c r="C11" s="5" t="inlineStr">
        <ns0:is>
          <ns0:t>铁甲＋铁护臂＋铁护腿合法构型</ns0:t>
        </ns0:is>
      </ns0:c>
      <ns0:c r="D11" s="5" t="inlineStr">
        <ns0:is>
          <ns0:t>上限18、身甲回甲6／6秒；护臂5秒／腿6秒，非身甲4秒</ns0:t>
        </ns0:is>
      </ns0:c>
      <ns0:c r="E11" s="6" t="inlineStr">
        <ns0:is>
          <ns0:t>候选计算；未运行</ns0:t>
        </ns0:is>
      </ns0:c>
    </ns0:row>
    <ns0:row r="12" ht="30" customHeight="1">
      <ns0:c r="A12" s="4" t="inlineStr">
        <ns0:is>
          <ns0:t>T07</ns0:t>
        </ns0:is>
      </ns0:c>
      <ns0:c r="B12" s="4" t="inlineStr">
        <ns0:is>
          <ns0:t>甲型并列</ns0:t>
        </ns0:is>
      </ns0:c>
      <ns0:c r="C12" s="4" t="inlineStr">
        <ns0:is>
          <ns0:t>铁甲重4，盾＋布臂＋布腿轻4</ns0:t>
        </ns0:is>
      </ns0:c>
      <ns0:c r="D12" s="4" t="inlineStr">
        <ns0:is>
          <ns0:t>权重重4、轻4并列，优先身甲重甲；Q02已定，04已覆盖。</ns0:t>
        </ns0:is>
      </ns0:c>
      <ns0:c r="E12" s="6" t="inlineStr">
        <ns0:is>
          <ns0:t>已确认规则；文本核对，未运行</ns0:t>
        </ns0:is>
      </ns0:c>
    </ns0:row>
    <ns0:row r="13" ht="30" customHeight="1">
      <ns0:c r="A13" s="5" t="inlineStr">
        <ns0:is>
          <ns0:t>T08</ns0:t>
        </ns0:is>
      </ns0:c>
      <ns0:c r="B13" s="5" t="inlineStr">
        <ns0:is>
          <ns0:t>元素权重</ns0:t>
        </ns0:is>
      </ns0:c>
      <ns0:c r="C13" s="5" t="inlineStr">
        <ns0:is>
          <ns0:t>未来有属性身甲参与元素统计</ns0:t>
        </ns0:is>
      </ns0:c>
      <ns0:c r="D13" s="5" t="inlineStr">
        <ns0:is>
          <ns0:t>不能由甲型×2自动推出元素×2；本批NONE不投票</ns0:t>
        </ns0:is>
      </ns0:c>
      <ns0:c r="E13" s="5" t="inlineStr">
        <ns0:is>
          <ns0:t>既有边界</ns0:t>
        </ns0:is>
      </ns0:c>
    </ns0:row>
    <ns0:row r="14" ht="30" customHeight="1">
      <ns0:c r="A14" s="4" t="inlineStr">
        <ns0:is>
          <ns0:t>T09</ns0:t>
        </ns0:is>
      </ns0:c>
      <ns0:c r="B14" s="4" t="inlineStr">
        <ns0:is>
          <ns0:t>解组</ns0:t>
        </ns0:is>
      </ns0:c>
      <ns0:c r="C14" s="4" t="inlineStr">
        <ns0:is>
          <ns0:t>布／铁三件构型失效后再成立</ns0:t>
        </ns0:is>
      </ns0:c>
      <ns0:c r="D14" s="4" t="inlineStr">
        <ns0:is>
          <ns0:t>只撤／恢复对应上限贡献，不凭空补满护甲；控制须查资格</ns0:t>
        </ns0:is>
      </ns0:c>
      <ns0:c r="E14" s="6" t="inlineStr">
        <ns0:is>
          <ns0:t>文本需求；未运行</ns0:t>
        </ns0:is>
      </ns0:c>
    </ns0:row>
    <ns0:row r="15" ht="30" customHeight="1">
      <ns0:c r="A15" s="5" t="inlineStr">
        <ns0:is>
          <ns0:t>T10</ns0:t>
        </ns0:is>
      </ns0:c>
      <ns0:c r="B15" s="5" t="inlineStr">
        <ns0:is>
          <ns0:t>资源法器</ns0:t>
        </ns0:is>
      </ns0:c>
      <ns0:c r="C15" s="5" t="inlineStr">
        <ns0:is>
          <ns0:t>新三件免费回复法器接近资源上限</ns0:t>
        </ns0:is>
      </ns0:c>
      <ns0:c r="D15" s="5" t="inlineStr">
        <ns0:is>
          <ns0:t>Q04已确认2/3上限：对应最大值60时最多恢复至40；已高于40不扣减，也不继续恢复。</ns0:t>
        </ns0:is>
      </ns0:c>
      <ns0:c r="E15" s="6" t="inlineStr">
        <ns0:is>
          <ns0:t>已确认规则；文本核对，未运行</ns0:t>
        </ns0:is>
      </ns0:c>
    </ns0:row>
    <ns0:row r="16" ht="30" customHeight="1">
      <ns0:c r="A16" s="4" t="inlineStr">
        <ns0:is>
          <ns0:t>T11</ns0:t>
        </ns0:is>
      </ns0:c>
      <ns0:c r="B16" s="4" t="inlineStr">
        <ns0:is>
          <ns0:t>分次丹药</ns0:t>
        </ns0:is>
      </ns0:c>
      <ns0:c r="C16" s="4" t="inlineStr">
        <ns0:is>
          <ns0:t>止血／强筋／回灵在发动后2、4、6秒跳</ns0:t>
        </ns0:is>
      </ns0:c>
      <ns0:c r="D16" s="4" t="inlineStr">
        <ns0:is>
          <ns0:t>各总6气血／12体力／9灵力；不能发动即先跳一次</ns0:t>
        </ns0:is>
      </ns0:c>
      <ns0:c r="E16" s="6" t="inlineStr">
        <ns0:is>
          <ns0:t>候选／既有对照；未运行</ns0:t>
        </ns0:is>
      </ns0:c>
    </ns0:row>
    <ns0:row r="17" ht="30" customHeight="1">
      <ns0:c r="A17" s="5" t="inlineStr">
        <ns0:is>
          <ns0:t>T12</ns0:t>
        </ns0:is>
      </ns0:c>
      <ns0:c r="B17" s="5" t="inlineStr">
        <ns0:is>
          <ns0:t>毒蚀专用</ns0:t>
        </ns0:is>
      </ns0:c>
      <ns0:c r="C17" s="5" t="inlineStr">
        <ns0:is>
          <ns0:t>消毒散清毒并免疫15秒</ns0:t>
        </ns0:is>
      </ns0:c>
      <ns0:c r="D17" s="5" t="inlineStr">
        <ns0:is>
          <ns0:t>只针对毒蚀，不扩大净化范围或所有下品的免疫权限</ns0:t>
        </ns0:is>
      </ns0:c>
      <ns0:c r="E17" s="5" t="inlineStr">
        <ns0:is>
          <ns0:t>文本核对</ns0:t>
        </ns0:is>
      </ns0:c>
    </ns0:row>
    <ns0:row r="18" ht="30" customHeight="1">
      <ns0:c r="A18" s="4" t="inlineStr">
        <ns0:is>
          <ns0:t>T13</ns0:t>
        </ns0:is>
      </ns0:c>
      <ns0:c r="B18" s="4" t="inlineStr">
        <ns0:is>
          <ns0:t>非实物开放</ns0:t>
        </ns0:is>
      </ns0:c>
      <ns0:c r="C18" s="4" t="inlineStr">
        <ns0:is>
          <ns0:t>救商人后开放商铺的规划被采纳时</ns0:t>
        </ns0:is>
      </ns0:c>
      <ns0:c r="D18" s="4" t="inlineStr">
        <ns0:is>
          <ns0:t>按07 SOURCE_UNLOCK成功应用入口，不能为填字段虚构物品×1</ns0:t>
        </ns0:is>
      </ns0:c>
      <ns0:c r="E18" s="4" t="inlineStr">
        <ns0:is>
          <ns0:t>后续投放需求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7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9"/>
  <ns0:sheetViews>
    <ns0:sheetView showGridLines="0" zoomScale="80" workbookViewId="0">
      <ns0:pane xSplit="3" ySplit="5" topLeftCell="D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93" customWidth="1" min="2" max="2"/>
    <ns0:col width="42" customWidth="1" min="3" max="3"/>
    <ns0:col width="90" customWidth="1" min="4" max="4"/>
    <ns0:col width="80" customWidth="1" min="5" max="5"/>
  </ns0:cols>
  <ns0:sheetData>
    <ns0:row r="1" ht="32" customHeight="1">
      <ns0:c r="A1" s="1" t="inlineStr">
        <ns0:is>
          <ns0:t>t01-08｜来源与证据</ns0:t>
        </ns0:is>
      </ns0:c>
    </ns0:row>
    <ns0:row r="2" ht="28" customHeight="1">
      <ns0:c r="A2" s="2" t="inlineStr">
        <ns0:is>
          <ns0:t>2026-09-28 · 27件下品 · Q01～Q04规则已确认 · 候选数值与既有配置分列 · 非游戏生产配置</ns0:t>
        </ns0:is>
      </ns0:c>
    </ns0:row>
    <ns0:row r="3"/>
    <ns0:row r="4"/>
    <ns0:row r="5" ht="32" customHeight="1">
      <ns0:c r="A5" s="3" t="inlineStr">
        <ns0:is>
          <ns0:t>来源ID</ns0:t>
        </ns0:is>
      </ns0:c>
      <ns0:c r="B5" s="3" t="inlineStr">
        <ns0:is>
          <ns0:t>来源位置</ns0:t>
        </ns0:is>
      </ns0:c>
      <ns0:c r="C5" s="3" t="inlineStr">
        <ns0:is>
          <ns0:t>性质</ns0:t>
        </ns0:is>
      </ns0:c>
      <ns0:c r="D5" s="3" t="inlineStr">
        <ns0:is>
          <ns0:t>有效范围</ns0:t>
        </ns0:is>
      </ns0:c>
      <ns0:c r="E5" s="3" t="inlineStr">
        <ns0:is>
          <ns0:t>完整性说明</ns0:t>
        </ns0:is>
      </ns0:c>
    </ns0:row>
    <ns0:row r="6" ht="30" customHeight="1">
      <ns0:c r="A6" s="4" t="inlineStr">
        <ns0:is>
          <ns0:t>U/A/B/C</ns0:t>
        </ns0:is>
      </ns0:c>
      <ns0:c r="B6" s="4" t="inlineStr">
        <ns0:is>
          <ns0:t>docs\sources\t01-08_三段资料结构化摘录_2026-09-28.md</ns0:t>
        </ns0:is>
      </ns0:c>
      <ns0:c r="C6" s="4" t="inlineStr">
        <ns0:is>
          <ns0:t>用户本轮消息的结构化摘录</ns0:t>
        </ns0:is>
      </ns0:c>
      <ns0:c r="D6" s="4" t="inlineStr">
        <ns0:is>
          <ns0:t>用户最新更正全为下品；C修正优先；候选与建议保留原性质</ns0:t>
        </ns0:is>
      </ns0:c>
      <ns0:c r="E6" s="4" t="inlineStr">
        <ns0:is>
          <ns0:t>不是附件原字节／完整逐字转录</ns0:t>
        </ns0:is>
      </ns0:c>
    </ns0:row>
    <ns0:row r="7" ht="30" customHeight="1">
      <ns0:c r="A7" s="5" t="inlineStr">
        <ns0:is>
          <ns0:t>GAME10</ns0:t>
        </ns0:is>
      </ns0:c>
      <ns0:c r="B7" s="5" t="inlineStr">
        <ns0:is>
          <ns0:t>data/maps/inventory_items.json</ns0:t>
        </ns0:is>
      </ns0:c>
      <ns0:c r="C7" s="5" t="inlineStr">
        <ns0:is>
          <ns0:t>现行配置只读快照</ns0:t>
        </ns0:is>
      </ns0:c>
      <ns0:c r="D7" s="5" t="inlineStr">
        <ns0:is>
          <ns0:t>10件同名基准数据；不等于新下品设计已实现</ns0:t>
        </ns0:is>
      </ns0:c>
      <ns0:c r="E7" s="5" t="inlineStr">
        <ns0:is>
          <ns0:t>684c149bf81c83f6034ffbd6a1f12e52a41de4c0ba1b722e8d6899921f84a528</ns0:t>
        </ns0:is>
      </ns0:c>
    </ns0:row>
    <ns0:row r="8" ht="105" customHeight="1">
      <ns0:c r="A8" s="4" t="inlineStr">
        <ns0:is>
          <ns0:t>Q01</ns0:t>
        </ns0:is>
      </ns0:c>
      <ns0:c r="B8" s="4" t="inlineStr">
        <ns0:is>
          <ns0:t>本轮选择题</ns0:t>
        </ns0:is>
      </ns0:c>
      <ns0:c r="C8" s="4" t="inlineStr">
        <ns0:is>
          <ns0:t>用户已答，2026-09-28</ns0:t>
        </ns0:is>
      </ns0:c>
      <ns0:c r="D8" s="4" t="inlineStr">
        <ns0:is>
          <ns0:t>历史Q01原答复：“仅允许这两组凡品防具联动，其他凡品仍按03原权限（建议）”；随后用户更正本批全部下品，现行例外限两组下品。</ns0:t>
        </ns0:is>
      </ns0:c>
      <ns0:c r="E8" s="4" t="inlineStr">
        <ns0:is>
          <ns0:t>原答复留作历史；现行品级按最新更正，两组限定许可不推广其他下品或凡品，候选数值未定案。</ns0:t>
        </ns0:is>
      </ns0:c>
    </ns0:row>
    <ns0:row r="9" ht="30" customHeight="1">
      <ns0:c r="A9" s="5" t="inlineStr">
        <ns0:is>
          <ns0:t>DICT01-07</ns0:t>
        </ns0:is>
      </ns0:c>
      <ns0:c r="B9" s="5" t="inlineStr">
        <ns0:is>
          <ns0:t>output/spreadsheet/t01-01～07正式词典</ns0:t>
        </ns0:is>
      </ns0:c>
      <ns0:c r="C9" s="5" t="inlineStr">
        <ns0:is>
          <ns0:t>既有规则参考</ns0:t>
        </ns0:is>
      </ns0:c>
      <ns0:c r="D9" s="5" t="inlineStr">
        <ns0:is>
          <ns0:t>引用具体接口；新全局规则须明确覆盖范围</ns0:t>
        </ns0:is>
      </ns0:c>
      <ns0:c r="E9" s="5" t="inlineStr">
        <ns0:is>
          <ns0:t>本轮未批准前不改旧词典</ns0:t>
        </ns0:is>
      </ns0:c>
    </ns0:row>
  </ns0:sheetData>
  <ns0:mergeCells count="2">
    <ns0:mergeCell ref="A2:E2"/>
    <ns0:mergeCell ref="A1:E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2026-09-28T09:15:40Z</dcterms:created>
  <dcterms:modified xmlns:dcterms="http://purl.org/dc/terms/" xmlns:xsi="http://www.w3.org/2001/XMLSchema-instance" xsi:type="dcterms:W3CDTF">2026-09-28T09:15:40Z</dcterms:modified>
</cp:coreProperties>
</file>