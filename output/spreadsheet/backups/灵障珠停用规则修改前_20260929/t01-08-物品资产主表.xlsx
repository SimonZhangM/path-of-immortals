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总索引" sheetId="2" state="visible" r:id="rId2"/>
    <sheet xmlns:r="http://schemas.openxmlformats.org/officeDocument/2006/relationships" name="02_武器" sheetId="3" state="visible" r:id="rId3"/>
    <sheet xmlns:r="http://schemas.openxmlformats.org/officeDocument/2006/relationships" name="03_防具" sheetId="4" state="visible" r:id="rId4"/>
    <sheet xmlns:r="http://schemas.openxmlformats.org/officeDocument/2006/relationships" name="04_法器" sheetId="5" state="visible" r:id="rId5"/>
    <sheet xmlns:r="http://schemas.openxmlformats.org/officeDocument/2006/relationships" name="05_丹药" sheetId="6" state="visible" r:id="rId6"/>
    <sheet xmlns:r="http://schemas.openxmlformats.org/officeDocument/2006/relationships" name="06_符箓" sheetId="7" state="visible" r:id="rId7"/>
    <sheet xmlns:r="http://schemas.openxmlformats.org/officeDocument/2006/relationships" name="07_暗器" sheetId="8" state="visible" r:id="rId8"/>
    <sheet xmlns:r="http://schemas.openxmlformats.org/officeDocument/2006/relationships" name="08_数量统计" sheetId="9" state="visible" r:id="rId9"/>
    <sheet xmlns:r="http://schemas.openxmlformats.org/officeDocument/2006/relationships" name="09_基础防具联动" sheetId="10" state="visible" r:id="rId10"/>
    <sheet xmlns:r="http://schemas.openxmlformats.org/officeDocument/2006/relationships" name="10_甲型与部位规则" sheetId="11" state="visible" r:id="rId11"/>
    <sheet xmlns:r="http://schemas.openxmlformats.org/officeDocument/2006/relationships" name="11_获取规划" sheetId="12" state="visible" r:id="rId12"/>
    <sheet xmlns:r="http://schemas.openxmlformats.org/officeDocument/2006/relationships" name="12_现有配置与迁移" sheetId="13" state="visible" r:id="rId13"/>
    <sheet xmlns:r="http://schemas.openxmlformats.org/officeDocument/2006/relationships" name="13_跨词典联系" sheetId="14" state="visible" r:id="rId14"/>
    <sheet xmlns:r="http://schemas.openxmlformats.org/officeDocument/2006/relationships" name="14_确认与后续事项" sheetId="15" state="visible" r:id="rId15"/>
    <sheet xmlns:r="http://schemas.openxmlformats.org/officeDocument/2006/relationships" name="15_核对场景" sheetId="16" state="visible" r:id="rId16"/>
    <sheet xmlns:r="http://schemas.openxmlformats.org/officeDocument/2006/relationships" name="16_来源与证据" sheetId="17" state="visible" r:id="rId17"/>
    <sheet xmlns:r="http://schemas.openxmlformats.org/officeDocument/2006/relationships" name="17_效果与触发" sheetId="18" state="visible" r:id="rId18"/>
    <sheet xmlns:r="http://schemas.openxmlformats.org/officeDocument/2006/relationships" name="18_状态来源统计" sheetId="19" state="visible" r:id="rId19"/>
    <sheet xmlns:r="http://schemas.openxmlformats.org/officeDocument/2006/relationships" name="19_凡品规则与模板" sheetId="20" state="visible" r:id="rId20"/>
    <sheet xmlns:r="http://schemas.openxmlformats.org/officeDocument/2006/relationships" name="20_平衡核对" sheetId="21" state="visible" r:id="rId21"/>
    <sheet xmlns:r="http://schemas.openxmlformats.org/officeDocument/2006/relationships" name="21_修订与停列" sheetId="22" state="visible" r:id="rId22"/>
    <sheet xmlns:r="http://schemas.openxmlformats.org/officeDocument/2006/relationships" name="22_元素与状态核对" sheetId="23" state="visible" r:id="rId23"/>
  </sheets>
  <definedNames>
    <definedName name="_xlnm.Print_Titles" localSheetId="0">'00_使用说明'!$1:$5</definedName>
    <definedName name="_xlnm.Print_Area" localSheetId="0">'00_使用说明'!$A$1:$E$14</definedName>
    <definedName name="_xlnm.Print_Titles" localSheetId="1">'01_总索引'!$1:$5</definedName>
    <definedName name="_xlnm.Print_Area" localSheetId="1">'01_总索引'!$A$1:$H$120</definedName>
    <definedName name="_xlnm.Print_Titles" localSheetId="2">'02_武器'!$1:$5</definedName>
    <definedName name="_xlnm.Print_Area" localSheetId="2">'02_武器'!$A$1:$AD$41</definedName>
    <definedName name="_xlnm.Print_Titles" localSheetId="3">'03_防具'!$1:$5</definedName>
    <definedName name="_xlnm.Print_Area" localSheetId="3">'03_防具'!$A$1:$AC$41</definedName>
    <definedName name="_xlnm.Print_Titles" localSheetId="4">'04_法器'!$1:$5</definedName>
    <definedName name="_xlnm.Print_Area" localSheetId="4">'04_法器'!$A$1:$AG$27</definedName>
    <definedName name="_xlnm.Print_Titles" localSheetId="5">'05_丹药'!$1:$5</definedName>
    <definedName name="_xlnm.Print_Area" localSheetId="5">'05_丹药'!$A$1:$AI$21</definedName>
    <definedName name="_xlnm.Print_Titles" localSheetId="6">'06_符箓'!$1:$5</definedName>
    <definedName name="_xlnm.Print_Area" localSheetId="6">'06_符箓'!$A$1:$M$6</definedName>
    <definedName name="_xlnm.Print_Titles" localSheetId="7">'07_暗器'!$1:$5</definedName>
    <definedName name="_xlnm.Print_Area" localSheetId="7">'07_暗器'!$A$1:$V$10</definedName>
    <definedName name="_xlnm.Print_Titles" localSheetId="8">'08_数量统计'!$1:$5</definedName>
    <definedName name="_xlnm.Print_Area" localSheetId="8">'08_数量统计'!$A$1:$I$12</definedName>
    <definedName name="_xlnm.Print_Titles" localSheetId="9">'09_基础防具联动'!$1:$5</definedName>
    <definedName name="_xlnm.Print_Area" localSheetId="9">'09_基础防具联动'!$A$1:$Q$10</definedName>
    <definedName name="_xlnm.Print_Titles" localSheetId="10">'10_甲型与部位规则'!$1:$5</definedName>
    <definedName name="_xlnm.Print_Area" localSheetId="10">'10_甲型与部位规则'!$A$1:$E$10</definedName>
    <definedName name="_xlnm.Print_Titles" localSheetId="11">'11_获取规划'!$1:$5</definedName>
    <definedName name="_xlnm.Print_Area" localSheetId="11">'11_获取规划'!$A$1:$L$15</definedName>
    <definedName name="_xlnm.Print_Titles" localSheetId="12">'12_现有配置与迁移'!$1:$5</definedName>
    <definedName name="_xlnm.Print_Area" localSheetId="12">'12_现有配置与迁移'!$A$1:$O$15</definedName>
    <definedName name="_xlnm.Print_Titles" localSheetId="13">'13_跨词典联系'!$1:$5</definedName>
    <definedName name="_xlnm.Print_Area" localSheetId="13">'13_跨词典联系'!$A$1:$E$12</definedName>
    <definedName name="_xlnm.Print_Titles" localSheetId="14">'14_确认与后续事项'!$1:$5</definedName>
    <definedName name="_xlnm.Print_Area" localSheetId="14">'14_确认与后续事项'!$A$1:$E$20</definedName>
    <definedName name="_xlnm.Print_Titles" localSheetId="15">'15_核对场景'!$1:$5</definedName>
    <definedName name="_xlnm.Print_Area" localSheetId="15">'15_核对场景'!$A$1:$E$18</definedName>
    <definedName name="_xlnm.Print_Titles" localSheetId="16">'16_来源与证据'!$1:$5</definedName>
    <definedName name="_xlnm.Print_Area" localSheetId="16">'16_来源与证据'!$A$1:$E$12</definedName>
    <definedName name="_xlnm.Print_Titles" localSheetId="17">'17_效果与触发'!$1:$5</definedName>
    <definedName name="_xlnm.Print_Area" localSheetId="17">'17_效果与触发'!$A$1:$O$171</definedName>
    <definedName name="_xlnm.Print_Titles" localSheetId="18">'18_状态来源统计'!$1:$5</definedName>
    <definedName name="_xlnm.Print_Area" localSheetId="18">'18_状态来源统计'!$A$1:$F$26</definedName>
    <definedName name="_xlnm.Print_Titles" localSheetId="19">'19_凡品规则与模板'!$1:$5</definedName>
    <definedName name="_xlnm.Print_Area" localSheetId="19">'19_凡品规则与模板'!$A$1:$E$19</definedName>
    <definedName name="_xlnm.Print_Titles" localSheetId="20">'20_平衡核对'!$1:$5</definedName>
    <definedName name="_xlnm.Print_Area" localSheetId="20">'20_平衡核对'!$A$1:$J$11</definedName>
    <definedName name="_xlnm.Print_Titles" localSheetId="21">'21_修订与停列'!$1:$5</definedName>
    <definedName name="_xlnm.Print_Area" localSheetId="21">'21_修订与停列'!$A$1:$F$37</definedName>
    <definedName name="_xlnm.Print_Titles" localSheetId="22">'22_元素与状态核对'!$1:$5</definedName>
    <definedName name="_xlnm.Print_Area" localSheetId="22">'22_元素与状态核对'!$A$1:$M$12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7"/>
    </font>
    <font>
      <name val="微软雅黑"/>
      <color rgb="0064748B"/>
      <sz val="10"/>
    </font>
    <font>
      <name val="微软雅黑"/>
      <b val="1"/>
      <color rgb="00FFFFFF"/>
    </font>
    <font>
      <name val="微软雅黑"/>
      <color rgb="00273746"/>
      <sz val="10"/>
    </font>
    <font>
      <name val="微软雅黑"/>
      <color rgb="009A5C08"/>
      <sz val="10"/>
    </font>
    <font>
      <name val="微软雅黑"/>
      <color rgb="00147D64"/>
      <sz val="10"/>
      <u val="single"/>
    </font>
    <font>
      <name val="微软雅黑"/>
      <color rgb="00111111"/>
      <sz val="10"/>
    </font>
  </fonts>
  <fills count="7">
    <fill>
      <patternFill/>
    </fill>
    <fill>
      <patternFill patternType="gray125"/>
    </fill>
    <fill>
      <patternFill patternType="solid">
        <fgColor rgb="00173B4D"/>
      </patternFill>
    </fill>
    <fill>
      <patternFill patternType="solid">
        <fgColor rgb="00246B74"/>
      </patternFill>
    </fill>
    <fill>
      <patternFill patternType="solid">
        <fgColor rgb="00F0F6F7"/>
      </patternFill>
    </fill>
    <fill>
      <patternFill patternType="solid">
        <fgColor rgb="00FFF2D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2" fontId="4" fillId="4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ables/table1.xml><?xml version="1.0" encoding="utf-8"?>
<table xmlns="http://schemas.openxmlformats.org/spreadsheetml/2006/main" id="1" name="T08_1" displayName="T08_1" ref="A5:E14" headerRowCount="1">
  <autoFilter ref="A5:E14"/>
  <tableColumns count="5">
    <tableColumn id="1" name="记录ID"/>
    <tableColumn id="2" name="主题"/>
    <tableColumn id="3" name="内容"/>
    <tableColumn id="4" name="边界／状态"/>
    <tableColumn id="5" name="依据"/>
  </tableColumns>
  <tableStyleInfo name="TableStyleMedium2" showRowStripes="1"/>
</table>
</file>

<file path=xl/tables/table2.xml><?xml version="1.0" encoding="utf-8"?>
<table xmlns="http://schemas.openxmlformats.org/spreadsheetml/2006/main" id="2" name="T08_8" displayName="T08_8" ref="A5:H120" headerRowCount="1">
  <autoFilter ref="A5:H120"/>
  <tableColumns count="8">
    <tableColumn id="1" name="资产ID"/>
    <tableColumn id="2" name="名称_分类表引用"/>
    <tableColumn id="3" name="品级_分类表引用"/>
    <tableColumn id="4" name="类别"/>
    <tableColumn id="5" name="正文位置"/>
    <tableColumn id="6" name="设计阶段"/>
    <tableColumn id="7" name="实现核对"/>
    <tableColumn id="8" name="资料依据"/>
  </tableColumns>
  <tableStyleInfo name="TableStyleMedium2" showRowStripes="1"/>
</table>
</file>

<file path=xl/tables/table3.xml><?xml version="1.0" encoding="utf-8"?>
<table xmlns="http://schemas.openxmlformats.org/spreadsheetml/2006/main" id="3" name="T08Weapon" displayName="T08Weapon" ref="A5:AD41" headerRowCount="1">
  <autoFilter ref="A5:AD41"/>
  <tableColumns count="30">
    <tableColumn id="1" name="资产ID"/>
    <tableColumn id="2" name="名称"/>
    <tableColumn id="3" name="品级"/>
    <tableColumn id="4" name="元素"/>
    <tableColumn id="5" name="器型"/>
    <tableColumn id="6" name="Attack Type"/>
    <tableColumn id="7" name="宽_格"/>
    <tableColumn id="8" name="高_格"/>
    <tableColumn id="9" name="实际占格"/>
    <tableColumn id="10" name="设计伤害"/>
    <tableColumn id="11" name="设计CD_秒"/>
    <tableColumn id="12" name="设计体力费"/>
    <tableColumn id="13" name="伤害相对档"/>
    <tableColumn id="14" name="CD相对档"/>
    <tableColumn id="15" name="体力相对档"/>
    <tableColumn id="16" name="基础战斗性格"/>
    <tableColumn id="17" name="后续元素倾向_非本件"/>
    <tableColumn id="18" name="边界"/>
    <tableColumn id="19" name="机制引用"/>
    <tableColumn id="20" name="现有游戏ID"/>
    <tableColumn id="21" name="设计状态"/>
    <tableColumn id="22" name="来源"/>
    <tableColumn id="23" name="来源编号"/>
    <tableColumn id="24" name="状态"/>
    <tableColumn id="25" name="施加层数"/>
    <tableColumn id="26" name="状态时机与目标"/>
    <tableColumn id="27" name="灵力费"/>
    <tableColumn id="28" name="数量消耗"/>
    <tableColumn id="29" name="效果引用"/>
    <tableColumn id="30" name="本批元素规则"/>
  </tableColumns>
  <tableStyleInfo name="TableStyleMedium2" showRowStripes="1"/>
</table>
</file>

<file path=xl/tables/table4.xml><?xml version="1.0" encoding="utf-8"?>
<table xmlns="http://schemas.openxmlformats.org/spreadsheetml/2006/main" id="4" name="T08Armor" displayName="T08Armor" ref="A5:AC41" headerRowCount="1">
  <autoFilter ref="A5:AC41"/>
  <tableColumns count="29">
    <tableColumn id="1" name="资产ID"/>
    <tableColumn id="2" name="名称"/>
    <tableColumn id="3" name="品级"/>
    <tableColumn id="4" name="元素"/>
    <tableColumn id="5" name="部位"/>
    <tableColumn id="6" name="甲型"/>
    <tableColumn id="7" name="宽_格"/>
    <tableColumn id="8" name="高_格"/>
    <tableColumn id="9" name="实际占格"/>
    <tableColumn id="10" name="CD_秒"/>
    <tableColumn id="11" name="护甲上限贡献"/>
    <tableColumn id="12" name="单次回甲"/>
    <tableColumn id="13" name="名义回甲每秒"/>
    <tableColumn id="14" name="甲型权重倍率"/>
    <tableColumn id="15" name="甲型统计权重"/>
    <tableColumn id="16" name="上阵部位限制"/>
    <tableColumn id="17" name="基础联动"/>
    <tableColumn id="18" name="费用／数量"/>
    <tableColumn id="19" name="机制引用"/>
    <tableColumn id="20" name="现有游戏ID"/>
    <tableColumn id="21" name="设计状态"/>
    <tableColumn id="22" name="来源"/>
    <tableColumn id="23" name="来源编号"/>
    <tableColumn id="24" name="状态"/>
    <tableColumn id="25" name="层数"/>
    <tableColumn id="26" name="状态触发"/>
    <tableColumn id="27" name="受击状态独立CD_秒"/>
    <tableColumn id="28" name="防御元素权重"/>
    <tableColumn id="29" name="效果引用"/>
  </tableColumns>
  <tableStyleInfo name="TableStyleMedium2" showRowStripes="1"/>
</table>
</file>

<file path=xl/tables/table5.xml><?xml version="1.0" encoding="utf-8"?>
<table xmlns="http://schemas.openxmlformats.org/spreadsheetml/2006/main" id="5" name="T08Artifact" displayName="T08Artifact" ref="A5:AG27" headerRowCount="1">
  <autoFilter ref="A5:AG27"/>
  <tableColumns count="33">
    <tableColumn id="1" name="资产ID"/>
    <tableColumn id="2" name="名称"/>
    <tableColumn id="3" name="品级"/>
    <tableColumn id="4" name="元素"/>
    <tableColumn id="5" name="定位"/>
    <tableColumn id="6" name="攻击类型"/>
    <tableColumn id="7" name="宽_格"/>
    <tableColumn id="8" name="高_格"/>
    <tableColumn id="9" name="实际占格"/>
    <tableColumn id="10" name="CD_秒"/>
    <tableColumn id="11" name="气血恢复"/>
    <tableColumn id="12" name="体力恢复"/>
    <tableColumn id="13" name="灵力恢复"/>
    <tableColumn id="14" name="恢复上限分子"/>
    <tableColumn id="15" name="恢复上限分母"/>
    <tableColumn id="16" name="恢复上限状态"/>
    <tableColumn id="17" name="成本与效果边界"/>
    <tableColumn id="18" name="机制引用"/>
    <tableColumn id="19" name="现有游戏ID"/>
    <tableColumn id="20" name="设计状态"/>
    <tableColumn id="21" name="来源"/>
    <tableColumn id="22" name="来源编号"/>
    <tableColumn id="23" name="本体伤害"/>
    <tableColumn id="24" name="灵力费"/>
    <tableColumn id="25" name="体力费"/>
    <tableColumn id="26" name="护甲上限贡献"/>
    <tableColumn id="27" name="单次回甲"/>
    <tableColumn id="28" name="普通灵障生成"/>
    <tableColumn id="29" name="状态"/>
    <tableColumn id="30" name="层数"/>
    <tableColumn id="31" name="施加时机与目标"/>
    <tableColumn id="32" name="完整效果"/>
    <tableColumn id="33" name="效果引用"/>
  </tableColumns>
  <tableStyleInfo name="TableStyleMedium2" showRowStripes="1"/>
</table>
</file>

<file path=xl/tables/table6.xml><?xml version="1.0" encoding="utf-8"?>
<table xmlns="http://schemas.openxmlformats.org/spreadsheetml/2006/main" id="6" name="T08Pill" displayName="T08Pill" ref="A5:AI21" headerRowCount="1">
  <autoFilter ref="A5:AI21"/>
  <tableColumns count="35">
    <tableColumn id="1" name="资产ID"/>
    <tableColumn id="2" name="名称"/>
    <tableColumn id="3" name="品级"/>
    <tableColumn id="4" name="元素"/>
    <tableColumn id="5" name="效果类型"/>
    <tableColumn id="6" name="宽_格"/>
    <tableColumn id="7" name="高_格"/>
    <tableColumn id="8" name="实际占格"/>
    <tableColumn id="9" name="CD_秒"/>
    <tableColumn id="10" name="每次气血恢复"/>
    <tableColumn id="11" name="每次体力恢复"/>
    <tableColumn id="12" name="每次灵力恢复"/>
    <tableColumn id="13" name="跳间隔_秒"/>
    <tableColumn id="14" name="次数"/>
    <tableColumn id="15" name="总气血恢复"/>
    <tableColumn id="16" name="总体力恢复"/>
    <tableColumn id="17" name="总灵力恢复"/>
    <tableColumn id="18" name="毒蚀免疫_秒"/>
    <tableColumn id="19" name="发动耗数量"/>
    <tableColumn id="20" name="单位"/>
    <tableColumn id="21" name="结算时点"/>
    <tableColumn id="22" name="效果边界"/>
    <tableColumn id="23" name="机制引用"/>
    <tableColumn id="24" name="现有游戏ID"/>
    <tableColumn id="25" name="设计状态"/>
    <tableColumn id="26" name="来源"/>
    <tableColumn id="27" name="来源编号"/>
    <tableColumn id="28" name="状态"/>
    <tableColumn id="29" name="层数"/>
    <tableColumn id="30" name="减伤元素"/>
    <tableColumn id="31" name="减伤比例"/>
    <tableColumn id="32" name="持续_秒"/>
    <tableColumn id="33" name="首瓶与CD规则"/>
    <tableColumn id="34" name="自动使用条件"/>
    <tableColumn id="35" name="效果引用"/>
  </tableColumns>
  <tableStyleInfo name="TableStyleMedium2" showRowStripes="1"/>
</table>
</file>

<file path=xl/tables/table7.xml><?xml version="1.0" encoding="utf-8"?>
<table xmlns="http://schemas.openxmlformats.org/spreadsheetml/2006/main" id="7" name="T08Talisman" displayName="T08Talisman" ref="A5:M6" headerRowCount="1">
  <autoFilter ref="A5:M6"/>
  <tableColumns count="13">
    <tableColumn id="1" name="资产ID"/>
    <tableColumn id="2" name="名称"/>
    <tableColumn id="3" name="品级"/>
    <tableColumn id="4" name="元素"/>
    <tableColumn id="5" name="规格"/>
    <tableColumn id="6" name="宽_格"/>
    <tableColumn id="7" name="高_格"/>
    <tableColumn id="8" name="效果"/>
    <tableColumn id="9" name="CD_秒"/>
    <tableColumn id="10" name="数量消耗"/>
    <tableColumn id="11" name="机制引用"/>
    <tableColumn id="12" name="设计状态"/>
    <tableColumn id="13" name="来源"/>
  </tableColumns>
  <tableStyleInfo name="TableStyleMedium2" showRowStripes="1"/>
</table>
</file>

<file path=xl/tables/table8.xml><?xml version="1.0" encoding="utf-8"?>
<table xmlns="http://schemas.openxmlformats.org/spreadsheetml/2006/main" id="8" name="T08HiddenWeapon" displayName="T08HiddenWeapon" ref="A5:V10" headerRowCount="1">
  <autoFilter ref="A5:V10"/>
  <tableColumns count="22">
    <tableColumn id="1" name="资产ID"/>
    <tableColumn id="2" name="名称"/>
    <tableColumn id="3" name="品级"/>
    <tableColumn id="4" name="元素"/>
    <tableColumn id="5" name="规格"/>
    <tableColumn id="6" name="宽_格"/>
    <tableColumn id="7" name="高_格"/>
    <tableColumn id="8" name="效果"/>
    <tableColumn id="9" name="CD_秒"/>
    <tableColumn id="10" name="数量消耗"/>
    <tableColumn id="11" name="机制引用"/>
    <tableColumn id="12" name="设计状态"/>
    <tableColumn id="13" name="来源"/>
    <tableColumn id="14" name="来源编号"/>
    <tableColumn id="15" name="攻击类型"/>
    <tableColumn id="16" name="基础伤害"/>
    <tableColumn id="17" name="体力费"/>
    <tableColumn id="18" name="灵力费"/>
    <tableColumn id="19" name="状态"/>
    <tableColumn id="20" name="层数"/>
    <tableColumn id="21" name="状态门槛"/>
    <tableColumn id="22" name="效果引用"/>
  </tableColumns>
  <tableStyleInfo name="TableStyleMedium2" showRowStripes="1"/>
</table>
</file>

<file path=xl/tables/table9.xml><?xml version="1.0" encoding="utf-8"?>
<table xmlns="http://schemas.openxmlformats.org/spreadsheetml/2006/main" id="9" name="T08_9" displayName="T08_9" ref="A5:I12" headerRowCount="1">
  <autoFilter ref="A5:I12"/>
  <tableColumns count="9">
    <tableColumn id="1" name="类别"/>
    <tableColumn id="2" name="下品"/>
    <tableColumn id="3" name="凡品"/>
    <tableColumn id="4" name="良品"/>
    <tableColumn id="5" name="上品"/>
    <tableColumn id="6" name="灵品"/>
    <tableColumn id="7" name="玄品"/>
    <tableColumn id="8" name="仙品"/>
    <tableColumn id="9" name="合计"/>
  </tableColumns>
  <tableStyleInfo name="TableStyleMedium2" showRowStripes="1"/>
</table>
</file>

<file path=xl/tables/table10.xml><?xml version="1.0" encoding="utf-8"?>
<table xmlns="http://schemas.openxmlformats.org/spreadsheetml/2006/main" id="10" name="T08_10" displayName="T08_10" ref="A5:Q10" headerRowCount="1">
  <autoFilter ref="A5:Q10"/>
  <tableColumns count="17">
    <tableColumn id="1" name="联动记录ID"/>
    <tableColumn id="2" name="名称"/>
    <tableColumn id="3" name="主体身甲"/>
    <tableColumn id="4" name="护臂"/>
    <tableColumn id="5" name="护腿"/>
    <tableColumn id="6" name="构型条件"/>
    <tableColumn id="7" name="关系身份"/>
    <tableColumn id="8" name="上限额外贡献"/>
    <tableColumn id="9" name="身甲发动额外回甲"/>
    <tableColumn id="10" name="组合总上限"/>
    <tableColumn id="11" name="身甲单次回甲"/>
    <tableColumn id="12" name="身甲CD_秒"/>
    <tableColumn id="13" name="总占格"/>
    <tableColumn id="14" name="运行节奏"/>
    <tableColumn id="15" name="生命周期边界"/>
    <tableColumn id="16" name="设计状态"/>
    <tableColumn id="17" name="来源"/>
  </tableColumns>
  <tableStyleInfo name="TableStyleMedium2" showRowStripes="1"/>
</table>
</file>

<file path=xl/tables/table11.xml><?xml version="1.0" encoding="utf-8"?>
<table xmlns="http://schemas.openxmlformats.org/spreadsheetml/2006/main" id="11" name="T08_11" displayName="T08_11" ref="A5:E10" headerRowCount="1">
  <autoFilter ref="A5:E10"/>
  <tableColumns count="5">
    <tableColumn id="1" name="规则ID"/>
    <tableColumn id="2" name="内容"/>
    <tableColumn id="3" name="本批处理"/>
    <tableColumn id="4" name="与旧词典的关系"/>
    <tableColumn id="5" name="状态"/>
  </tableColumns>
  <tableStyleInfo name="TableStyleMedium2" showRowStripes="1"/>
</table>
</file>

<file path=xl/tables/table12.xml><?xml version="1.0" encoding="utf-8"?>
<table xmlns="http://schemas.openxmlformats.org/spreadsheetml/2006/main" id="12" name="T08_12" displayName="T08_12" ref="A5:L15" headerRowCount="1">
  <autoFilter ref="A5:L15"/>
  <tableColumns count="12">
    <tableColumn id="1" name="规划记录ID"/>
    <tableColumn id="2" name="目标资产ID或类型"/>
    <tableColumn id="3" name="目标名称"/>
    <tableColumn id="4" name="渠道"/>
    <tableColumn id="5" name="具体来源意向"/>
    <tableColumn id="6" name="方法"/>
    <tableColumn id="7" name="交付模式"/>
    <tableColumn id="8" name="目标与成功对象"/>
    <tableColumn id="9" name="缺失配置"/>
    <tableColumn id="10" name="节奏／前提"/>
    <tableColumn id="11" name="状态"/>
    <tableColumn id="12" name="依据"/>
  </tableColumns>
  <tableStyleInfo name="TableStyleMedium2" showRowStripes="1"/>
</table>
</file>

<file path=xl/tables/table13.xml><?xml version="1.0" encoding="utf-8"?>
<table xmlns="http://schemas.openxmlformats.org/spreadsheetml/2006/main" id="13" name="T08_13" displayName="T08_13" ref="A5:O15" headerRowCount="1">
  <autoFilter ref="A5:O15"/>
  <tableColumns count="15">
    <tableColumn id="1" name="资产ID"/>
    <tableColumn id="2" name="名称"/>
    <tableColumn id="3" name="现有游戏ID"/>
    <tableColumn id="4" name="现配置品级"/>
    <tableColumn id="5" name="主表品级"/>
    <tableColumn id="6" name="现基础伤害"/>
    <tableColumn id="7" name="现CD_秒"/>
    <tableColumn id="8" name="现体力费"/>
    <tableColumn id="9" name="现甲型字段"/>
    <tableColumn id="10" name="现上限贡献"/>
    <tableColumn id="11" name="现回甲"/>
    <tableColumn id="12" name="现effects原值"/>
    <tableColumn id="13" name="差异与迁移范围"/>
    <tableColumn id="14" name="验证性质"/>
    <tableColumn id="15" name="证据"/>
  </tableColumns>
  <tableStyleInfo name="TableStyleMedium2" showRowStripes="1"/>
</table>
</file>

<file path=xl/tables/table14.xml><?xml version="1.0" encoding="utf-8"?>
<table xmlns="http://schemas.openxmlformats.org/spreadsheetml/2006/main" id="14" name="T08_14" displayName="T08_14" ref="A5:E12" headerRowCount="1">
  <autoFilter ref="A5:E12"/>
  <tableColumns count="5">
    <tableColumn id="1" name="词典"/>
    <tableColumn id="2" name="接口"/>
    <tableColumn id="3" name="本批关联"/>
    <tableColumn id="4" name="边界／实际动作"/>
    <tableColumn id="5" name="状态"/>
  </tableColumns>
  <tableStyleInfo name="TableStyleMedium2" showRowStripes="1"/>
</table>
</file>

<file path=xl/tables/table15.xml><?xml version="1.0" encoding="utf-8"?>
<table xmlns="http://schemas.openxmlformats.org/spreadsheetml/2006/main" id="15" name="T08_15" displayName="T08_15" ref="A5:E20" headerRowCount="1">
  <autoFilter ref="A5:E20"/>
  <tableColumns count="5">
    <tableColumn id="1" name="编号"/>
    <tableColumn id="2" name="主题"/>
    <tableColumn id="3" name="问题／工作"/>
    <tableColumn id="4" name="当前状态"/>
    <tableColumn id="5" name="影响范围"/>
  </tableColumns>
  <tableStyleInfo name="TableStyleMedium2" showRowStripes="1"/>
</table>
</file>

<file path=xl/tables/table16.xml><?xml version="1.0" encoding="utf-8"?>
<table xmlns="http://schemas.openxmlformats.org/spreadsheetml/2006/main" id="16" name="T08_16" displayName="T08_16" ref="A5:E18" headerRowCount="1">
  <autoFilter ref="A5:E18"/>
  <tableColumns count="5">
    <tableColumn id="1" name="案例ID"/>
    <tableColumn id="2" name="主题"/>
    <tableColumn id="3" name="输入"/>
    <tableColumn id="4" name="预期／边界"/>
    <tableColumn id="5" name="状态"/>
  </tableColumns>
  <tableStyleInfo name="TableStyleMedium2" showRowStripes="1"/>
</table>
</file>

<file path=xl/tables/table17.xml><?xml version="1.0" encoding="utf-8"?>
<table xmlns="http://schemas.openxmlformats.org/spreadsheetml/2006/main" id="17" name="T08_17" displayName="T08_17" ref="A5:E12" headerRowCount="1">
  <autoFilter ref="A5:E12"/>
  <tableColumns count="5">
    <tableColumn id="1" name="来源ID"/>
    <tableColumn id="2" name="来源位置"/>
    <tableColumn id="3" name="性质"/>
    <tableColumn id="4" name="有效范围"/>
    <tableColumn id="5" name="完整性说明"/>
  </tableColumns>
  <tableStyleInfo name="TableStyleMedium2" showRowStripes="1"/>
</table>
</file>

<file path=xl/tables/table18.xml><?xml version="1.0" encoding="utf-8"?>
<table xmlns="http://schemas.openxmlformats.org/spreadsheetml/2006/main" id="18" name="T08Added18" displayName="T08Added18" ref="A5:O171" headerRowCount="1">
  <tableColumns count="15">
    <tableColumn id="1" name="效果记录ID"/>
    <tableColumn id="2" name="资产ID"/>
    <tableColumn id="3" name="来源编号"/>
    <tableColumn id="4" name="名称"/>
    <tableColumn id="5" name="行为"/>
    <tableColumn id="6" name="数值"/>
    <tableColumn id="7" name="状态"/>
    <tableColumn id="8" name="触发时机"/>
    <tableColumn id="9" name="目标"/>
    <tableColumn id="10" name="来源身份"/>
    <tableColumn id="11" name="攻击类型"/>
    <tableColumn id="12" name="元素"/>
    <tableColumn id="13" name="规则引用"/>
    <tableColumn id="14" name="边界"/>
    <tableColumn id="15" name="效力"/>
  </tableColumns>
  <tableStyleInfo name="TableStyleMedium2" showRowStripes="1"/>
</table>
</file>

<file path=xl/tables/table19.xml><?xml version="1.0" encoding="utf-8"?>
<table xmlns="http://schemas.openxmlformats.org/spreadsheetml/2006/main" id="19" name="T08Added19" displayName="T08Added19" ref="A5:F26" headerRowCount="1">
  <tableColumns count="6">
    <tableColumn id="1" name="系别"/>
    <tableColumn id="2" name="状态"/>
    <tableColumn id="3" name="独立来源数"/>
    <tableColumn id="4" name="具体来源"/>
    <tableColumn id="5" name="计数口径"/>
    <tableColumn id="6" name="要求"/>
  </tableColumns>
  <tableStyleInfo name="TableStyleMedium2" showRowStripes="1"/>
</table>
</file>

<file path=xl/tables/table20.xml><?xml version="1.0" encoding="utf-8"?>
<table xmlns="http://schemas.openxmlformats.org/spreadsheetml/2006/main" id="20" name="T08Added20" displayName="T08Added20" ref="A5:E19" headerRowCount="1">
  <tableColumns count="5">
    <tableColumn id="1" name="规则ID"/>
    <tableColumn id="2" name="主题"/>
    <tableColumn id="3" name="现行内容"/>
    <tableColumn id="4" name="边界"/>
    <tableColumn id="5" name="状态／依据"/>
  </tableColumns>
  <tableStyleInfo name="TableStyleMedium2" showRowStripes="1"/>
</table>
</file>

<file path=xl/tables/table21.xml><?xml version="1.0" encoding="utf-8"?>
<table xmlns="http://schemas.openxmlformats.org/spreadsheetml/2006/main" id="21" name="T08Added21" displayName="T08Added21" ref="A5:J11" headerRowCount="1">
  <tableColumns count="10">
    <tableColumn id="1" name="组合"/>
    <tableColumn id="2" name="组合占格"/>
    <tableColumn id="3" name="名义直伤每秒"/>
    <tableColumn id="4" name="体力倍率"/>
    <tableColumn id="5" name="修正后体力每秒"/>
    <tableColumn id="6" name="行气珠理想供给每秒"/>
    <tableColumn id="7" name="局限"/>
    <tableColumn id="8" name="组合护甲上限"/>
    <tableColumn id="9" name="名义回甲每秒"/>
    <tableColumn id="10" name="首次药效时点"/>
  </tableColumns>
  <tableStyleInfo name="TableStyleMedium2" showRowStripes="1"/>
</table>
</file>

<file path=xl/tables/table22.xml><?xml version="1.0" encoding="utf-8"?>
<table xmlns="http://schemas.openxmlformats.org/spreadsheetml/2006/main" id="22" name="T08Added22" displayName="T08Added22" ref="A5:F37" headerRowCount="1">
  <tableColumns count="6">
    <tableColumn id="1" name="编号"/>
    <tableColumn id="2" name="修改项"/>
    <tableColumn id="3" name="旧值"/>
    <tableColumn id="4" name="现值"/>
    <tableColumn id="5" name="依据"/>
    <tableColumn id="6" name="处理"/>
  </tableColumns>
  <tableStyleInfo name="TableStyleMedium2" showRowStripes="1"/>
</table>
</file>

<file path=xl/tables/table23.xml><?xml version="1.0" encoding="utf-8"?>
<table xmlns="http://schemas.openxmlformats.org/spreadsheetml/2006/main" id="23" name="T08Added23" displayName="T08Added23" ref="A5:M12" headerRowCount="1">
  <tableColumns count="13">
    <tableColumn id="1" name="类别"/>
    <tableColumn id="2" name="NONE"/>
    <tableColumn id="3" name="金"/>
    <tableColumn id="4" name="木"/>
    <tableColumn id="5" name="水"/>
    <tableColumn id="6" name="火"/>
    <tableColumn id="7" name="土"/>
    <tableColumn id="8" name="风"/>
    <tableColumn id="9" name="雷"/>
    <tableColumn id="10" name="合计"/>
    <tableColumn id="11" name="无核心状态"/>
    <tableColumn id="12" name="无核心状态但有元素"/>
    <tableColumn id="13" name="口径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02_&#27494;&#22120;'!A6" TargetMode="External" Id="rId1"/><Relationship Type="http://schemas.openxmlformats.org/officeDocument/2006/relationships/hyperlink" Target="#'02_&#27494;&#22120;'!A7" TargetMode="External" Id="rId2"/><Relationship Type="http://schemas.openxmlformats.org/officeDocument/2006/relationships/hyperlink" Target="#'02_&#27494;&#22120;'!A8" TargetMode="External" Id="rId3"/><Relationship Type="http://schemas.openxmlformats.org/officeDocument/2006/relationships/hyperlink" Target="#'02_&#27494;&#22120;'!A9" TargetMode="External" Id="rId4"/><Relationship Type="http://schemas.openxmlformats.org/officeDocument/2006/relationships/hyperlink" Target="#'02_&#27494;&#22120;'!A10" TargetMode="External" Id="rId5"/><Relationship Type="http://schemas.openxmlformats.org/officeDocument/2006/relationships/hyperlink" Target="#'02_&#27494;&#22120;'!A11" TargetMode="External" Id="rId6"/><Relationship Type="http://schemas.openxmlformats.org/officeDocument/2006/relationships/hyperlink" Target="#'02_&#27494;&#22120;'!A12" TargetMode="External" Id="rId7"/><Relationship Type="http://schemas.openxmlformats.org/officeDocument/2006/relationships/hyperlink" Target="#'02_&#27494;&#22120;'!A13" TargetMode="External" Id="rId8"/><Relationship Type="http://schemas.openxmlformats.org/officeDocument/2006/relationships/hyperlink" Target="#'02_&#27494;&#22120;'!A14" TargetMode="External" Id="rId9"/><Relationship Type="http://schemas.openxmlformats.org/officeDocument/2006/relationships/hyperlink" Target="#'03_&#38450;&#20855;'!A6" TargetMode="External" Id="rId10"/><Relationship Type="http://schemas.openxmlformats.org/officeDocument/2006/relationships/hyperlink" Target="#'03_&#38450;&#20855;'!A7" TargetMode="External" Id="rId11"/><Relationship Type="http://schemas.openxmlformats.org/officeDocument/2006/relationships/hyperlink" Target="#'03_&#38450;&#20855;'!A8" TargetMode="External" Id="rId12"/><Relationship Type="http://schemas.openxmlformats.org/officeDocument/2006/relationships/hyperlink" Target="#'03_&#38450;&#20855;'!A9" TargetMode="External" Id="rId13"/><Relationship Type="http://schemas.openxmlformats.org/officeDocument/2006/relationships/hyperlink" Target="#'03_&#38450;&#20855;'!A10" TargetMode="External" Id="rId14"/><Relationship Type="http://schemas.openxmlformats.org/officeDocument/2006/relationships/hyperlink" Target="#'03_&#38450;&#20855;'!A11" TargetMode="External" Id="rId15"/><Relationship Type="http://schemas.openxmlformats.org/officeDocument/2006/relationships/hyperlink" Target="#'03_&#38450;&#20855;'!A12" TargetMode="External" Id="rId16"/><Relationship Type="http://schemas.openxmlformats.org/officeDocument/2006/relationships/hyperlink" Target="#'03_&#38450;&#20855;'!A13" TargetMode="External" Id="rId17"/><Relationship Type="http://schemas.openxmlformats.org/officeDocument/2006/relationships/hyperlink" Target="#'04_&#27861;&#22120;'!A6" TargetMode="External" Id="rId18"/><Relationship Type="http://schemas.openxmlformats.org/officeDocument/2006/relationships/hyperlink" Target="#'04_&#27861;&#22120;'!A7" TargetMode="External" Id="rId19"/><Relationship Type="http://schemas.openxmlformats.org/officeDocument/2006/relationships/hyperlink" Target="#'04_&#27861;&#22120;'!A8" TargetMode="External" Id="rId20"/><Relationship Type="http://schemas.openxmlformats.org/officeDocument/2006/relationships/hyperlink" Target="#'04_&#27861;&#22120;'!A9" TargetMode="External" Id="rId21"/><Relationship Type="http://schemas.openxmlformats.org/officeDocument/2006/relationships/hyperlink" Target="#'05_&#20025;&#33647;'!A6" TargetMode="External" Id="rId22"/><Relationship Type="http://schemas.openxmlformats.org/officeDocument/2006/relationships/hyperlink" Target="#'05_&#20025;&#33647;'!A7" TargetMode="External" Id="rId23"/><Relationship Type="http://schemas.openxmlformats.org/officeDocument/2006/relationships/hyperlink" Target="#'05_&#20025;&#33647;'!A8" TargetMode="External" Id="rId24"/><Relationship Type="http://schemas.openxmlformats.org/officeDocument/2006/relationships/hyperlink" Target="#'05_&#20025;&#33647;'!A9" TargetMode="External" Id="rId25"/><Relationship Type="http://schemas.openxmlformats.org/officeDocument/2006/relationships/hyperlink" Target="#'05_&#20025;&#33647;'!A10" TargetMode="External" Id="rId26"/><Relationship Type="http://schemas.openxmlformats.org/officeDocument/2006/relationships/hyperlink" Target="#'05_&#20025;&#33647;'!A11" TargetMode="External" Id="rId27"/><Relationship Type="http://schemas.openxmlformats.org/officeDocument/2006/relationships/hyperlink" Target="#'02_&#27494;&#22120;'!A15" TargetMode="External" Id="rId28"/><Relationship Type="http://schemas.openxmlformats.org/officeDocument/2006/relationships/hyperlink" Target="#'02_&#27494;&#22120;'!A16" TargetMode="External" Id="rId29"/><Relationship Type="http://schemas.openxmlformats.org/officeDocument/2006/relationships/hyperlink" Target="#'02_&#27494;&#22120;'!A17" TargetMode="External" Id="rId30"/><Relationship Type="http://schemas.openxmlformats.org/officeDocument/2006/relationships/hyperlink" Target="#'02_&#27494;&#22120;'!A18" TargetMode="External" Id="rId31"/><Relationship Type="http://schemas.openxmlformats.org/officeDocument/2006/relationships/hyperlink" Target="#'02_&#27494;&#22120;'!A19" TargetMode="External" Id="rId32"/><Relationship Type="http://schemas.openxmlformats.org/officeDocument/2006/relationships/hyperlink" Target="#'02_&#27494;&#22120;'!A20" TargetMode="External" Id="rId33"/><Relationship Type="http://schemas.openxmlformats.org/officeDocument/2006/relationships/hyperlink" Target="#'02_&#27494;&#22120;'!A21" TargetMode="External" Id="rId34"/><Relationship Type="http://schemas.openxmlformats.org/officeDocument/2006/relationships/hyperlink" Target="#'02_&#27494;&#22120;'!A22" TargetMode="External" Id="rId35"/><Relationship Type="http://schemas.openxmlformats.org/officeDocument/2006/relationships/hyperlink" Target="#'02_&#27494;&#22120;'!A23" TargetMode="External" Id="rId36"/><Relationship Type="http://schemas.openxmlformats.org/officeDocument/2006/relationships/hyperlink" Target="#'02_&#27494;&#22120;'!A24" TargetMode="External" Id="rId37"/><Relationship Type="http://schemas.openxmlformats.org/officeDocument/2006/relationships/hyperlink" Target="#'02_&#27494;&#22120;'!A25" TargetMode="External" Id="rId38"/><Relationship Type="http://schemas.openxmlformats.org/officeDocument/2006/relationships/hyperlink" Target="#'02_&#27494;&#22120;'!A26" TargetMode="External" Id="rId39"/><Relationship Type="http://schemas.openxmlformats.org/officeDocument/2006/relationships/hyperlink" Target="#'02_&#27494;&#22120;'!A27" TargetMode="External" Id="rId40"/><Relationship Type="http://schemas.openxmlformats.org/officeDocument/2006/relationships/hyperlink" Target="#'02_&#27494;&#22120;'!A28" TargetMode="External" Id="rId41"/><Relationship Type="http://schemas.openxmlformats.org/officeDocument/2006/relationships/hyperlink" Target="#'02_&#27494;&#22120;'!A29" TargetMode="External" Id="rId42"/><Relationship Type="http://schemas.openxmlformats.org/officeDocument/2006/relationships/hyperlink" Target="#'02_&#27494;&#22120;'!A30" TargetMode="External" Id="rId43"/><Relationship Type="http://schemas.openxmlformats.org/officeDocument/2006/relationships/hyperlink" Target="#'02_&#27494;&#22120;'!A31" TargetMode="External" Id="rId44"/><Relationship Type="http://schemas.openxmlformats.org/officeDocument/2006/relationships/hyperlink" Target="#'02_&#27494;&#22120;'!A32" TargetMode="External" Id="rId45"/><Relationship Type="http://schemas.openxmlformats.org/officeDocument/2006/relationships/hyperlink" Target="#'02_&#27494;&#22120;'!A33" TargetMode="External" Id="rId46"/><Relationship Type="http://schemas.openxmlformats.org/officeDocument/2006/relationships/hyperlink" Target="#'02_&#27494;&#22120;'!A34" TargetMode="External" Id="rId47"/><Relationship Type="http://schemas.openxmlformats.org/officeDocument/2006/relationships/hyperlink" Target="#'02_&#27494;&#22120;'!A35" TargetMode="External" Id="rId48"/><Relationship Type="http://schemas.openxmlformats.org/officeDocument/2006/relationships/hyperlink" Target="#'02_&#27494;&#22120;'!A36" TargetMode="External" Id="rId49"/><Relationship Type="http://schemas.openxmlformats.org/officeDocument/2006/relationships/hyperlink" Target="#'02_&#27494;&#22120;'!A37" TargetMode="External" Id="rId50"/><Relationship Type="http://schemas.openxmlformats.org/officeDocument/2006/relationships/hyperlink" Target="#'02_&#27494;&#22120;'!A38" TargetMode="External" Id="rId51"/><Relationship Type="http://schemas.openxmlformats.org/officeDocument/2006/relationships/hyperlink" Target="#'02_&#27494;&#22120;'!A39" TargetMode="External" Id="rId52"/><Relationship Type="http://schemas.openxmlformats.org/officeDocument/2006/relationships/hyperlink" Target="#'02_&#27494;&#22120;'!A40" TargetMode="External" Id="rId53"/><Relationship Type="http://schemas.openxmlformats.org/officeDocument/2006/relationships/hyperlink" Target="#'02_&#27494;&#22120;'!A41" TargetMode="External" Id="rId54"/><Relationship Type="http://schemas.openxmlformats.org/officeDocument/2006/relationships/hyperlink" Target="#'03_&#38450;&#20855;'!A14" TargetMode="External" Id="rId55"/><Relationship Type="http://schemas.openxmlformats.org/officeDocument/2006/relationships/hyperlink" Target="#'03_&#38450;&#20855;'!A15" TargetMode="External" Id="rId56"/><Relationship Type="http://schemas.openxmlformats.org/officeDocument/2006/relationships/hyperlink" Target="#'03_&#38450;&#20855;'!A16" TargetMode="External" Id="rId57"/><Relationship Type="http://schemas.openxmlformats.org/officeDocument/2006/relationships/hyperlink" Target="#'03_&#38450;&#20855;'!A17" TargetMode="External" Id="rId58"/><Relationship Type="http://schemas.openxmlformats.org/officeDocument/2006/relationships/hyperlink" Target="#'03_&#38450;&#20855;'!A18" TargetMode="External" Id="rId59"/><Relationship Type="http://schemas.openxmlformats.org/officeDocument/2006/relationships/hyperlink" Target="#'03_&#38450;&#20855;'!A19" TargetMode="External" Id="rId60"/><Relationship Type="http://schemas.openxmlformats.org/officeDocument/2006/relationships/hyperlink" Target="#'03_&#38450;&#20855;'!A20" TargetMode="External" Id="rId61"/><Relationship Type="http://schemas.openxmlformats.org/officeDocument/2006/relationships/hyperlink" Target="#'03_&#38450;&#20855;'!A21" TargetMode="External" Id="rId62"/><Relationship Type="http://schemas.openxmlformats.org/officeDocument/2006/relationships/hyperlink" Target="#'03_&#38450;&#20855;'!A22" TargetMode="External" Id="rId63"/><Relationship Type="http://schemas.openxmlformats.org/officeDocument/2006/relationships/hyperlink" Target="#'03_&#38450;&#20855;'!A23" TargetMode="External" Id="rId64"/><Relationship Type="http://schemas.openxmlformats.org/officeDocument/2006/relationships/hyperlink" Target="#'03_&#38450;&#20855;'!A24" TargetMode="External" Id="rId65"/><Relationship Type="http://schemas.openxmlformats.org/officeDocument/2006/relationships/hyperlink" Target="#'03_&#38450;&#20855;'!A25" TargetMode="External" Id="rId66"/><Relationship Type="http://schemas.openxmlformats.org/officeDocument/2006/relationships/hyperlink" Target="#'03_&#38450;&#20855;'!A26" TargetMode="External" Id="rId67"/><Relationship Type="http://schemas.openxmlformats.org/officeDocument/2006/relationships/hyperlink" Target="#'03_&#38450;&#20855;'!A27" TargetMode="External" Id="rId68"/><Relationship Type="http://schemas.openxmlformats.org/officeDocument/2006/relationships/hyperlink" Target="#'03_&#38450;&#20855;'!A28" TargetMode="External" Id="rId69"/><Relationship Type="http://schemas.openxmlformats.org/officeDocument/2006/relationships/hyperlink" Target="#'03_&#38450;&#20855;'!A29" TargetMode="External" Id="rId70"/><Relationship Type="http://schemas.openxmlformats.org/officeDocument/2006/relationships/hyperlink" Target="#'03_&#38450;&#20855;'!A30" TargetMode="External" Id="rId71"/><Relationship Type="http://schemas.openxmlformats.org/officeDocument/2006/relationships/hyperlink" Target="#'03_&#38450;&#20855;'!A31" TargetMode="External" Id="rId72"/><Relationship Type="http://schemas.openxmlformats.org/officeDocument/2006/relationships/hyperlink" Target="#'03_&#38450;&#20855;'!A32" TargetMode="External" Id="rId73"/><Relationship Type="http://schemas.openxmlformats.org/officeDocument/2006/relationships/hyperlink" Target="#'03_&#38450;&#20855;'!A33" TargetMode="External" Id="rId74"/><Relationship Type="http://schemas.openxmlformats.org/officeDocument/2006/relationships/hyperlink" Target="#'03_&#38450;&#20855;'!A34" TargetMode="External" Id="rId75"/><Relationship Type="http://schemas.openxmlformats.org/officeDocument/2006/relationships/hyperlink" Target="#'03_&#38450;&#20855;'!A35" TargetMode="External" Id="rId76"/><Relationship Type="http://schemas.openxmlformats.org/officeDocument/2006/relationships/hyperlink" Target="#'03_&#38450;&#20855;'!A36" TargetMode="External" Id="rId77"/><Relationship Type="http://schemas.openxmlformats.org/officeDocument/2006/relationships/hyperlink" Target="#'03_&#38450;&#20855;'!A37" TargetMode="External" Id="rId78"/><Relationship Type="http://schemas.openxmlformats.org/officeDocument/2006/relationships/hyperlink" Target="#'03_&#38450;&#20855;'!A38" TargetMode="External" Id="rId79"/><Relationship Type="http://schemas.openxmlformats.org/officeDocument/2006/relationships/hyperlink" Target="#'03_&#38450;&#20855;'!A39" TargetMode="External" Id="rId80"/><Relationship Type="http://schemas.openxmlformats.org/officeDocument/2006/relationships/hyperlink" Target="#'03_&#38450;&#20855;'!A40" TargetMode="External" Id="rId81"/><Relationship Type="http://schemas.openxmlformats.org/officeDocument/2006/relationships/hyperlink" Target="#'03_&#38450;&#20855;'!A41" TargetMode="External" Id="rId82"/><Relationship Type="http://schemas.openxmlformats.org/officeDocument/2006/relationships/hyperlink" Target="#'04_&#27861;&#22120;'!A10" TargetMode="External" Id="rId83"/><Relationship Type="http://schemas.openxmlformats.org/officeDocument/2006/relationships/hyperlink" Target="#'04_&#27861;&#22120;'!A11" TargetMode="External" Id="rId84"/><Relationship Type="http://schemas.openxmlformats.org/officeDocument/2006/relationships/hyperlink" Target="#'04_&#27861;&#22120;'!A12" TargetMode="External" Id="rId85"/><Relationship Type="http://schemas.openxmlformats.org/officeDocument/2006/relationships/hyperlink" Target="#'04_&#27861;&#22120;'!A13" TargetMode="External" Id="rId86"/><Relationship Type="http://schemas.openxmlformats.org/officeDocument/2006/relationships/hyperlink" Target="#'04_&#27861;&#22120;'!A14" TargetMode="External" Id="rId87"/><Relationship Type="http://schemas.openxmlformats.org/officeDocument/2006/relationships/hyperlink" Target="#'04_&#27861;&#22120;'!A15" TargetMode="External" Id="rId88"/><Relationship Type="http://schemas.openxmlformats.org/officeDocument/2006/relationships/hyperlink" Target="#'04_&#27861;&#22120;'!A16" TargetMode="External" Id="rId89"/><Relationship Type="http://schemas.openxmlformats.org/officeDocument/2006/relationships/hyperlink" Target="#'04_&#27861;&#22120;'!A17" TargetMode="External" Id="rId90"/><Relationship Type="http://schemas.openxmlformats.org/officeDocument/2006/relationships/hyperlink" Target="#'04_&#27861;&#22120;'!A18" TargetMode="External" Id="rId91"/><Relationship Type="http://schemas.openxmlformats.org/officeDocument/2006/relationships/hyperlink" Target="#'04_&#27861;&#22120;'!A19" TargetMode="External" Id="rId92"/><Relationship Type="http://schemas.openxmlformats.org/officeDocument/2006/relationships/hyperlink" Target="#'04_&#27861;&#22120;'!A20" TargetMode="External" Id="rId93"/><Relationship Type="http://schemas.openxmlformats.org/officeDocument/2006/relationships/hyperlink" Target="#'04_&#27861;&#22120;'!A21" TargetMode="External" Id="rId94"/><Relationship Type="http://schemas.openxmlformats.org/officeDocument/2006/relationships/hyperlink" Target="#'04_&#27861;&#22120;'!A22" TargetMode="External" Id="rId95"/><Relationship Type="http://schemas.openxmlformats.org/officeDocument/2006/relationships/hyperlink" Target="#'04_&#27861;&#22120;'!A23" TargetMode="External" Id="rId96"/><Relationship Type="http://schemas.openxmlformats.org/officeDocument/2006/relationships/hyperlink" Target="#'04_&#27861;&#22120;'!A24" TargetMode="External" Id="rId97"/><Relationship Type="http://schemas.openxmlformats.org/officeDocument/2006/relationships/hyperlink" Target="#'04_&#27861;&#22120;'!A25" TargetMode="External" Id="rId98"/><Relationship Type="http://schemas.openxmlformats.org/officeDocument/2006/relationships/hyperlink" Target="#'04_&#27861;&#22120;'!A26" TargetMode="External" Id="rId99"/><Relationship Type="http://schemas.openxmlformats.org/officeDocument/2006/relationships/hyperlink" Target="#'04_&#27861;&#22120;'!A27" TargetMode="External" Id="rId100"/><Relationship Type="http://schemas.openxmlformats.org/officeDocument/2006/relationships/hyperlink" Target="#'05_&#20025;&#33647;'!A12" TargetMode="External" Id="rId101"/><Relationship Type="http://schemas.openxmlformats.org/officeDocument/2006/relationships/hyperlink" Target="#'05_&#20025;&#33647;'!A13" TargetMode="External" Id="rId102"/><Relationship Type="http://schemas.openxmlformats.org/officeDocument/2006/relationships/hyperlink" Target="#'05_&#20025;&#33647;'!A14" TargetMode="External" Id="rId103"/><Relationship Type="http://schemas.openxmlformats.org/officeDocument/2006/relationships/hyperlink" Target="#'05_&#20025;&#33647;'!A15" TargetMode="External" Id="rId104"/><Relationship Type="http://schemas.openxmlformats.org/officeDocument/2006/relationships/hyperlink" Target="#'05_&#20025;&#33647;'!A16" TargetMode="External" Id="rId105"/><Relationship Type="http://schemas.openxmlformats.org/officeDocument/2006/relationships/hyperlink" Target="#'05_&#20025;&#33647;'!A17" TargetMode="External" Id="rId106"/><Relationship Type="http://schemas.openxmlformats.org/officeDocument/2006/relationships/hyperlink" Target="#'05_&#20025;&#33647;'!A18" TargetMode="External" Id="rId107"/><Relationship Type="http://schemas.openxmlformats.org/officeDocument/2006/relationships/hyperlink" Target="#'05_&#20025;&#33647;'!A19" TargetMode="External" Id="rId108"/><Relationship Type="http://schemas.openxmlformats.org/officeDocument/2006/relationships/hyperlink" Target="#'05_&#20025;&#33647;'!A20" TargetMode="External" Id="rId109"/><Relationship Type="http://schemas.openxmlformats.org/officeDocument/2006/relationships/hyperlink" Target="#'05_&#20025;&#33647;'!A21" TargetMode="External" Id="rId110"/><Relationship Type="http://schemas.openxmlformats.org/officeDocument/2006/relationships/hyperlink" Target="#'07_&#26263;&#22120;'!A6" TargetMode="External" Id="rId111"/><Relationship Type="http://schemas.openxmlformats.org/officeDocument/2006/relationships/hyperlink" Target="#'07_&#26263;&#22120;'!A7" TargetMode="External" Id="rId112"/><Relationship Type="http://schemas.openxmlformats.org/officeDocument/2006/relationships/hyperlink" Target="#'07_&#26263;&#22120;'!A8" TargetMode="External" Id="rId113"/><Relationship Type="http://schemas.openxmlformats.org/officeDocument/2006/relationships/hyperlink" Target="#'07_&#26263;&#22120;'!A9" TargetMode="External" Id="rId114"/><Relationship Type="http://schemas.openxmlformats.org/officeDocument/2006/relationships/hyperlink" Target="#'07_&#26263;&#22120;'!A10" TargetMode="External" Id="rId115"/><Relationship Type="http://schemas.openxmlformats.org/officeDocument/2006/relationships/table" Target="/xl/tables/table2.xml" Id="rId116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hyperlink" Target="t01-01-&#22120;&#20855;&#26426;&#21046;&#35789;&#20856;-260928.xlsx" TargetMode="External" Id="rId1"/><Relationship Type="http://schemas.openxmlformats.org/officeDocument/2006/relationships/hyperlink" Target="t01-02-&#29366;&#24577;&#19982;&#22120;&#20855;&#25511;&#21046;&#35789;&#20856;-260928.xlsx" TargetMode="External" Id="rId2"/><Relationship Type="http://schemas.openxmlformats.org/officeDocument/2006/relationships/hyperlink" Target="t01-03-&#21697;&#32423;&#26426;&#21046;&#26435;&#38480;&#30697;&#38453;-260928.xlsx" TargetMode="External" Id="rId3"/><Relationship Type="http://schemas.openxmlformats.org/officeDocument/2006/relationships/hyperlink" Target="t01-04-&#22120;&#20855;&#31867;&#21035;&#19982;&#35268;&#26684;&#35789;&#20856;-260928.xlsx" TargetMode="External" Id="rId4"/><Relationship Type="http://schemas.openxmlformats.org/officeDocument/2006/relationships/hyperlink" Target="t01-05-&#26448;&#26009;&#19982;&#38203;&#36896;&#35789;&#20856;-260928.xlsx" TargetMode="External" Id="rId5"/><Relationship Type="http://schemas.openxmlformats.org/officeDocument/2006/relationships/hyperlink" Target="t01-06-&#22871;&#35013;&#19982;&#32852;&#21160;&#22120;&#20855;&#35789;&#20856;-260928.xlsx" TargetMode="External" Id="rId6"/><Relationship Type="http://schemas.openxmlformats.org/officeDocument/2006/relationships/hyperlink" Target="t01-07-&#29289;&#21697;&#33719;&#21462;&#19982;&#25237;&#25918;&#35268;&#21017;&#35789;&#20856;-260928.xlsx" TargetMode="External" Id="rId7"/><Relationship Type="http://schemas.openxmlformats.org/officeDocument/2006/relationships/table" Target="/xl/tables/table14.xml" Id="rId8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4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4" customWidth="1" min="1" max="1"/>
    <ns0:col width="22" customWidth="1" min="2" max="2"/>
    <ns0:col width="70" customWidth="1" min="3" max="3"/>
    <ns0:col width="76" customWidth="1" min="4" max="4"/>
    <ns0:col width="36" customWidth="1" min="5" max="5"/>
  </ns0:cols>
  <ns0:sheetData>
    <ns0:row r="1" ht="32" customHeight="1">
      <ns0:c r="A1" s="1" t="inlineStr">
        <ns0:is>
          <ns0:t>t01-08｜使用说明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记录ID</ns0:t>
        </ns0:is>
      </ns0:c>
      <ns0:c r="B5" s="3" t="inlineStr">
        <ns0:is>
          <ns0:t>主题</ns0:t>
        </ns0:is>
      </ns0:c>
      <ns0:c r="C5" s="3" t="inlineStr">
        <ns0:is>
          <ns0:t>内容</ns0:t>
        </ns0:is>
      </ns0:c>
      <ns0:c r="D5" s="3" t="inlineStr">
        <ns0:is>
          <ns0:t>边界／状态</ns0:t>
        </ns0:is>
      </ns0:c>
      <ns0:c r="E5" s="3" t="inlineStr">
        <ns0:is>
          <ns0:t>依据</ns0:t>
        </ns0:is>
      </ns0:c>
    </ns0:row>
    <ns0:row r="6" ht="30" customHeight="1">
      <ns0:c r="A6" s="4" t="inlineStr">
        <ns0:is>
          <ns0:t>U01</ns0:t>
        </ns0:is>
      </ns0:c>
      <ns0:c r="B6" s="4" t="inlineStr">
        <ns0:is>
          <ns0:t>组织方式</ns0:t>
        </ns0:is>
      </ns0:c>
      <ns0:c r="C6" s="4" t="inlineStr">
        <ns0:is>
          <ns0:t>六类别各自维护跨品级正文；总索引和统计由分类表派生。</ns0:t>
        </ns0:is>
      </ns0:c>
      <ns0:c r="D6" s="4" t="inlineStr">
        <ns0:is>
          <ns0:t>不另建下品副本作为第二份正文；以后新增品级仍进原类别表。</ns0:t>
        </ns0:is>
      </ns0:c>
      <ns0:c r="E6" s="4" t="inlineStr">
        <ns0:is>
          <ns0:t>用户本次问题；编制安排</ns0:t>
        </ns0:is>
      </ns0:c>
    </ns0:row>
    <ns0:row r="7" ht="40" customHeight="1">
      <ns0:c r="A7" s="5" t="inlineStr">
        <ns0:is>
          <ns0:t>U02</ns0:t>
        </ns0:is>
      </ns0:c>
      <ns0:c r="B7" s="5" t="inlineStr">
        <ns0:is>
          <ns0:t>本批品级</ns0:t>
        </ns0:is>
      </ns0:c>
      <ns0:c r="C7" s="5" t="inlineStr">
        <ns0:is>
          <ns0:t>既有27件下品＋新增88件凡品＝115件；六类别正文跨品级维护。</ns0:t>
        </ns0:is>
      </ns0:c>
      <ns0:c r="D7" s="5" t="inlineStr">
        <ns0:is>
          <ns0:t>下品批次更正不适用于本次新增凡品；本次候选数值与旧基准分开。</ns0:t>
        </ns0:is>
      </ns0:c>
      <ns0:c r="E7" s="5" t="inlineStr">
        <ns0:is>
          <ns0:t>用户最新品级更正，2026-09-28；资料A/B/C</ns0:t>
        </ns0:is>
      </ns0:c>
    </ns0:row>
    <ns0:row r="8" ht="30" customHeight="1">
      <ns0:c r="A8" s="4" t="inlineStr">
        <ns0:is>
          <ns0:t>U03</ns0:t>
        </ns0:is>
      </ns0:c>
      <ns0:c r="B8" s="4" t="inlineStr">
        <ns0:is>
          <ns0:t>最终数量</ns0:t>
        </ns0:is>
      </ns0:c>
      <ns0:c r="C8" s="4" t="inlineStr">
        <ns0:is>
          <ns0:t>累计36武器＋36防具＋22法器＋16丹药＋0符箓＋5暗器＝115。</ns0:t>
        </ns0:is>
      </ns0:c>
      <ns0:c r="D8" s="6" t="inlineStr">
        <ns0:is>
          <ns0:t>本批27武器＋28防具＋18法器＋10丹药＋5暗器＝88；退出编号不复用。</ns0:t>
        </ns0:is>
      </ns0:c>
      <ns0:c r="E8" s="4" t="inlineStr">
        <ns0:is>
          <ns0:t>资料A/B/C</ns0:t>
        </ns0:is>
      </ns0:c>
    </ns0:row>
    <ns0:row r="9" ht="40" customHeight="1">
      <ns0:c r="A9" s="5" t="inlineStr">
        <ns0:is>
          <ns0:t>U04</ns0:t>
        </ns0:is>
      </ns0:c>
      <ns0:c r="B9" s="5" t="inlineStr">
        <ns0:is>
          <ns0:t>数值性质</ns0:t>
        </ns0:is>
      </ns0:c>
      <ns0:c r="C9" s="5" t="inlineStr">
        <ns0:is>
          <ns0:t>原下品武器绝对值仍未定；本批凡品88件已有候选数值。已有10件游戏配置单列参考。</ns0:t>
        </ns0:is>
      </ns0:c>
      <ns0:c r="D9" s="5" t="inlineStr">
        <ns0:is>
          <ns0:t>原资料称已测试≠本轮跑过游戏；参考配置不自动成为下品最终平衡。</ns0:t>
        </ns0:is>
      </ns0:c>
      <ns0:c r="E9" s="5" t="inlineStr">
        <ns0:is>
          <ns0:t>资料B；当前配置只读</ns0:t>
        </ns0:is>
      </ns0:c>
    </ns0:row>
    <ns0:row r="10" ht="40" customHeight="1">
      <ns0:c r="A10" s="4" t="inlineStr">
        <ns0:is>
          <ns0:t>U05</ns0:t>
        </ns0:is>
      </ns0:c>
      <ns0:c r="B10" s="4" t="inlineStr">
        <ns0:is>
          <ns0:t>识别与引用</ns0:t>
        </ns0:is>
      </ns0:c>
      <ns0:c r="C10" s="4" t="inlineStr">
        <ns0:is>
          <ns0:t>t01.asset.*为资产主表记录ID，不是新游戏注册ID；已有游戏ID保留映射。</ns0:t>
        </ns0:is>
      </ns0:c>
      <ns0:c r="D10" s="4" t="inlineStr">
        <ns0:is>
          <ns0:t>一件正式资产尚需合法机制、数值、制作／获取链及实现条件；不可把此表直接视作可运行JSON。</ns0:t>
        </ns0:is>
      </ns0:c>
      <ns0:c r="E10" s="4" t="inlineStr">
        <ns0:is>
          <ns0:t>项目工程约束；01～07</ns0:t>
        </ns0:is>
      </ns0:c>
    </ns0:row>
    <ns0:row r="11" ht="40" customHeight="1">
      <ns0:c r="A11" s="5" t="inlineStr">
        <ns0:is>
          <ns0:t>U06</ns0:t>
        </ns0:is>
      </ns0:c>
      <ns0:c r="B11" s="5" t="inlineStr">
        <ns0:is>
          <ns0:t>公式与派生</ns0:t>
        </ns0:is>
      </ns0:c>
      <ns0:c r="C11" s="5" t="inlineStr">
        <ns0:is>
          <ns0:t>占格、名义回复率、组合上限和统计使用公式；公式缓存由独立输入计算后写入。</ns0:t>
        </ns0:is>
      </ns0:c>
      <ns0:c r="D11" s="5" t="inlineStr">
        <ns0:is>
          <ns0:t>无Excel引擎重新计算／真实渲染；名义比值不含资源、上限、控制、命中或战斗长度，不是平衡验证。</ns0:t>
        </ns0:is>
      </ns0:c>
      <ns0:c r="E11" s="5" t="inlineStr">
        <ns0:is>
          <ns0:t>编制验证口径</ns0:t>
        </ns0:is>
      </ns0:c>
    </ns0:row>
    <ns0:row r="12" ht="42" customHeight="1">
      <ns0:c r="A12" s="4" t="inlineStr">
        <ns0:is>
          <ns0:t>U07</ns0:t>
        </ns0:is>
      </ns0:c>
      <ns0:c r="B12" s="4" t="inlineStr">
        <ns0:is>
          <ns0:t>当前确认</ns0:t>
        </ns0:is>
      </ns0:c>
      <ns0:c r="C12" s="4" t="inlineStr">
        <ns0:is>
          <ns0:t>下品Q01～Q04及本次FP01～FP06均已确认；当前没有待答题。普通灵障模板见19表。</ns0:t>
        </ns0:is>
      </ns0:c>
      <ns0:c r="D12" s="6" t="inlineStr">
        <ns0:is>
          <ns0:t>常规邻接仍从良品；限定下品两组、凡品三组基础联动。数值未试跑，升品承接延后。</ns0:t>
        </ns0:is>
      </ns0:c>
      <ns0:c r="E12" s="4" t="inlineStr">
        <ns0:is>
          <ns0:t>两批逐项答复；本轮凡品合并，2026-09-28</ns0:t>
        </ns0:is>
      </ns0:c>
    </ns0:row>
    <ns0:row r="13" ht="30" customHeight="1">
      <ns0:c r="A13" s="5" t="inlineStr">
        <ns0:is>
          <ns0:t>U08</ns0:t>
        </ns0:is>
      </ns0:c>
      <ns0:c r="B13" s="5" t="inlineStr">
        <ns0:is>
          <ns0:t>实现范围</ns0:t>
        </ns0:is>
      </ns0:c>
      <ns0:c r="C13" s="5" t="inlineStr">
        <ns0:is>
          <ns0:t>本次编制资产主表及文档衔接，游戏配置只读。</ns0:t>
        </ns0:is>
      </ns0:c>
      <ns0:c r="D13" s="6" t="inlineStr">
        <ns0:is>
          <ns0:t>已有10件游戏配置仍为下品；本批新增凡品尚未注册游戏。旧配置差异见12表。</ns0:t>
        </ns0:is>
      </ns0:c>
      <ns0:c r="E13" s="5" t="inlineStr">
        <ns0:is>
          <ns0:t>data/maps/inventory_items.json</ns0:t>
        </ns0:is>
      </ns0:c>
    </ns0:row>
    <ns0:row r="14" ht="55" customHeight="1">
      <ns0:c r="A14" s="4" t="inlineStr">
        <ns0:is>
          <ns0:t>U09</ns0:t>
        </ns0:is>
      </ns0:c>
      <ns0:c r="B14" s="4" t="inlineStr">
        <ns0:is>
          <ns0:t>查阅</ns0:t>
        </ns0:is>
      </ns0:c>
      <ns0:c r="C14" s="4" t="inlineStr">
        <ns0:is>
          <ns0:t>01总索引；02～07分类；08数量；09联动；10甲型元素；11获取；12旧配置；13跨词典；14确认；15案例；16来源；17效果；18状态覆盖；19凡品规则；20试算；21修订停列。22元素／状态分开统计。</ns0:t>
        </ns0:is>
      </ns0:c>
      <ns0:c r="D14" s="4" t="inlineStr">
        <ns0:is>
          <ns0:t>所有无资产类别只有空模板行，不作为真实物品计数。</ns0:t>
        </ns0:is>
      </ns0:c>
      <ns0:c r="E14" s="4" t="inlineStr">
        <ns0:is>
          <ns0:t>本次编制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H12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4" customWidth="1" min="1" max="1"/>
    <ns0:col width="24" customWidth="1" min="2" max="2"/>
    <ns0:col width="19" customWidth="1" min="3" max="3"/>
    <ns0:col width="14" customWidth="1" min="4" max="4"/>
    <ns0:col width="30" customWidth="1" min="5" max="5"/>
    <ns0:col width="47" customWidth="1" min="6" max="6"/>
    <ns0:col width="44" customWidth="1" min="7" max="7"/>
    <ns0:col width="24" customWidth="1" min="8" max="8"/>
  </ns0:cols>
  <ns0:sheetData>
    <ns0:row r="1" ht="32" customHeight="1">
      <ns0:c r="A1" s="1" t="inlineStr">
        <ns0:is>
          <ns0:t>t01-08｜总索引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名称_分类表引用</ns0:t>
        </ns0:is>
      </ns0:c>
      <ns0:c r="C5" s="3" t="inlineStr">
        <ns0:is>
          <ns0:t>品级_分类表引用</ns0:t>
        </ns0:is>
      </ns0:c>
      <ns0:c r="D5" s="3" t="inlineStr">
        <ns0:is>
          <ns0:t>类别</ns0:t>
        </ns0:is>
      </ns0:c>
      <ns0:c r="E5" s="3" t="inlineStr">
        <ns0:is>
          <ns0:t>正文位置</ns0:t>
        </ns0:is>
      </ns0:c>
      <ns0:c r="F5" s="3" t="inlineStr">
        <ns0:is>
          <ns0:t>设计阶段</ns0:t>
        </ns0:is>
      </ns0:c>
      <ns0:c r="G5" s="3" t="inlineStr">
        <ns0:is>
          <ns0:t>实现核对</ns0:t>
        </ns0:is>
      </ns0:c>
      <ns0:c r="H5" s="3" t="inlineStr">
        <ns0:is>
          <ns0:t>资料依据</ns0:t>
        </ns0:is>
      </ns0:c>
    </ns0:row>
    <ns0:row r="6" ht="30" customHeight="1">
      <ns0:c r="A6" s="4" t="inlineStr">
        <ns0:is>
          <ns0:t>t01.asset.0001</ns0:t>
        </ns0:is>
      </ns0:c>
      <ns0:c r="B6" s="7" t="str">
        <ns0:f>'02_武器'!B6</ns0:f>
        <ns0:v>青石短剑</ns0:v>
      </ns0:c>
      <ns0:c r="C6" s="7" t="str">
        <ns0:f>'02_武器'!C6</ns0:f>
        <ns0:v>下品</ns0:v>
      </ns0:c>
      <ns0:c r="D6" s="4" t="inlineStr">
        <ns0:is>
          <ns0:t>武器</ns0:t>
        </ns0:is>
      </ns0:c>
      <ns0:c r="E6" s="8" t="inlineStr">
        <ns0:is>
          <ns0:t>02_武器!A6</ns0:t>
        </ns0:is>
      </ns0:c>
      <ns0:c r="F6" s="4" t="inlineStr">
        <ns0:is>
          <ns0:t>骨架登记；绝对数值待平衡</ns0:t>
        </ns0:is>
      </ns0:c>
      <ns0:c r="G6" s="4" t="inlineStr">
        <ns0:is>
          <ns0:t>已有同名配置／品级一致；其他差异见12表</ns0:t>
        </ns0:is>
      </ns0:c>
      <ns0:c r="H6" s="4" t="inlineStr">
        <ns0:is>
          <ns0:t>A；用户最新更正为下品</ns0:t>
        </ns0:is>
      </ns0:c>
    </ns0:row>
    <ns0:row r="7" ht="30" customHeight="1">
      <ns0:c r="A7" s="5" t="inlineStr">
        <ns0:is>
          <ns0:t>t01.asset.0002</ns0:t>
        </ns0:is>
      </ns0:c>
      <ns0:c r="B7" s="9" t="str">
        <ns0:f>'02_武器'!B7</ns0:f>
        <ns0:v>铁刀</ns0:v>
      </ns0:c>
      <ns0:c r="C7" s="9" t="str">
        <ns0:f>'02_武器'!C7</ns0:f>
        <ns0:v>下品</ns0:v>
      </ns0:c>
      <ns0:c r="D7" s="5" t="inlineStr">
        <ns0:is>
          <ns0:t>武器</ns0:t>
        </ns0:is>
      </ns0:c>
      <ns0:c r="E7" s="10" t="inlineStr">
        <ns0:is>
          <ns0:t>02_武器!A7</ns0:t>
        </ns0:is>
      </ns0:c>
      <ns0:c r="F7" s="5" t="inlineStr">
        <ns0:is>
          <ns0:t>骨架登记；绝对数值待平衡</ns0:t>
        </ns0:is>
      </ns0:c>
      <ns0:c r="G7" s="5" t="inlineStr">
        <ns0:is>
          <ns0:t>尚无正式游戏配置</ns0:t>
        </ns0:is>
      </ns0:c>
      <ns0:c r="H7" s="5" t="inlineStr">
        <ns0:is>
          <ns0:t>A；用户最新更正为下品</ns0:t>
        </ns0:is>
      </ns0:c>
    </ns0:row>
    <ns0:row r="8" ht="30" customHeight="1">
      <ns0:c r="A8" s="4" t="inlineStr">
        <ns0:is>
          <ns0:t>t01.asset.0003</ns0:t>
        </ns0:is>
      </ns0:c>
      <ns0:c r="B8" s="7" t="str">
        <ns0:f>'02_武器'!B8</ns0:f>
        <ns0:v>柴斧</ns0:v>
      </ns0:c>
      <ns0:c r="C8" s="7" t="str">
        <ns0:f>'02_武器'!C8</ns0:f>
        <ns0:v>下品</ns0:v>
      </ns0:c>
      <ns0:c r="D8" s="4" t="inlineStr">
        <ns0:is>
          <ns0:t>武器</ns0:t>
        </ns0:is>
      </ns0:c>
      <ns0:c r="E8" s="8" t="inlineStr">
        <ns0:is>
          <ns0:t>02_武器!A8</ns0:t>
        </ns0:is>
      </ns0:c>
      <ns0:c r="F8" s="4" t="inlineStr">
        <ns0:is>
          <ns0:t>骨架登记；绝对数值待平衡</ns0:t>
        </ns0:is>
      </ns0:c>
      <ns0:c r="G8" s="4" t="inlineStr">
        <ns0:is>
          <ns0:t>尚无正式游戏配置</ns0:t>
        </ns0:is>
      </ns0:c>
      <ns0:c r="H8" s="4" t="inlineStr">
        <ns0:is>
          <ns0:t>A；用户最新更正为下品</ns0:t>
        </ns0:is>
      </ns0:c>
    </ns0:row>
    <ns0:row r="9" ht="30" customHeight="1">
      <ns0:c r="A9" s="5" t="inlineStr">
        <ns0:is>
          <ns0:t>t01.asset.0004</ns0:t>
        </ns0:is>
      </ns0:c>
      <ns0:c r="B9" s="9" t="str">
        <ns0:f>'02_武器'!B9</ns0:f>
        <ns0:v>猎弓</ns0:v>
      </ns0:c>
      <ns0:c r="C9" s="9" t="str">
        <ns0:f>'02_武器'!C9</ns0:f>
        <ns0:v>下品</ns0:v>
      </ns0:c>
      <ns0:c r="D9" s="5" t="inlineStr">
        <ns0:is>
          <ns0:t>武器</ns0:t>
        </ns0:is>
      </ns0:c>
      <ns0:c r="E9" s="10" t="inlineStr">
        <ns0:is>
          <ns0:t>02_武器!A9</ns0:t>
        </ns0:is>
      </ns0:c>
      <ns0:c r="F9" s="5" t="inlineStr">
        <ns0:is>
          <ns0:t>骨架登记；绝对数值待平衡</ns0:t>
        </ns0:is>
      </ns0:c>
      <ns0:c r="G9" s="5" t="inlineStr">
        <ns0:is>
          <ns0:t>已有同名配置／品级一致；其他差异见12表</ns0:t>
        </ns0:is>
      </ns0:c>
      <ns0:c r="H9" s="5" t="inlineStr">
        <ns0:is>
          <ns0:t>A；用户最新更正为下品</ns0:t>
        </ns0:is>
      </ns0:c>
    </ns0:row>
    <ns0:row r="10" ht="30" customHeight="1">
      <ns0:c r="A10" s="4" t="inlineStr">
        <ns0:is>
          <ns0:t>t01.asset.0005</ns0:t>
        </ns0:is>
      </ns0:c>
      <ns0:c r="B10" s="7" t="str">
        <ns0:f>'02_武器'!B10</ns0:f>
        <ns0:v>匕首</ns0:v>
      </ns0:c>
      <ns0:c r="C10" s="7" t="str">
        <ns0:f>'02_武器'!C10</ns0:f>
        <ns0:v>下品</ns0:v>
      </ns0:c>
      <ns0:c r="D10" s="4" t="inlineStr">
        <ns0:is>
          <ns0:t>武器</ns0:t>
        </ns0:is>
      </ns0:c>
      <ns0:c r="E10" s="8" t="inlineStr">
        <ns0:is>
          <ns0:t>02_武器!A10</ns0:t>
        </ns0:is>
      </ns0:c>
      <ns0:c r="F10" s="4" t="inlineStr">
        <ns0:is>
          <ns0:t>骨架登记；绝对数值待平衡</ns0:t>
        </ns0:is>
      </ns0:c>
      <ns0:c r="G10" s="4" t="inlineStr">
        <ns0:is>
          <ns0:t>尚无正式游戏配置</ns0:t>
        </ns0:is>
      </ns0:c>
      <ns0:c r="H10" s="4" t="inlineStr">
        <ns0:is>
          <ns0:t>A；用户最新更正为下品</ns0:t>
        </ns0:is>
      </ns0:c>
    </ns0:row>
    <ns0:row r="11" ht="30" customHeight="1">
      <ns0:c r="A11" s="5" t="inlineStr">
        <ns0:is>
          <ns0:t>t01.asset.0006</ns0:t>
        </ns0:is>
      </ns0:c>
      <ns0:c r="B11" s="9" t="str">
        <ns0:f>'02_武器'!B11</ns0:f>
        <ns0:v>长枪</ns0:v>
      </ns0:c>
      <ns0:c r="C11" s="9" t="str">
        <ns0:f>'02_武器'!C11</ns0:f>
        <ns0:v>下品</ns0:v>
      </ns0:c>
      <ns0:c r="D11" s="5" t="inlineStr">
        <ns0:is>
          <ns0:t>武器</ns0:t>
        </ns0:is>
      </ns0:c>
      <ns0:c r="E11" s="10" t="inlineStr">
        <ns0:is>
          <ns0:t>02_武器!A11</ns0:t>
        </ns0:is>
      </ns0:c>
      <ns0:c r="F11" s="5" t="inlineStr">
        <ns0:is>
          <ns0:t>骨架登记；绝对数值待平衡</ns0:t>
        </ns0:is>
      </ns0:c>
      <ns0:c r="G11" s="5" t="inlineStr">
        <ns0:is>
          <ns0:t>尚无正式游戏配置</ns0:t>
        </ns0:is>
      </ns0:c>
      <ns0:c r="H11" s="5" t="inlineStr">
        <ns0:is>
          <ns0:t>A；用户最新更正为下品</ns0:t>
        </ns0:is>
      </ns0:c>
    </ns0:row>
    <ns0:row r="12" ht="30" customHeight="1">
      <ns0:c r="A12" s="4" t="inlineStr">
        <ns0:is>
          <ns0:t>t01.asset.0007</ns0:t>
        </ns0:is>
      </ns0:c>
      <ns0:c r="B12" s="7" t="str">
        <ns0:f>'02_武器'!B12</ns0:f>
        <ns0:v>短柄铁锤</ns0:v>
      </ns0:c>
      <ns0:c r="C12" s="7" t="str">
        <ns0:f>'02_武器'!C12</ns0:f>
        <ns0:v>下品</ns0:v>
      </ns0:c>
      <ns0:c r="D12" s="4" t="inlineStr">
        <ns0:is>
          <ns0:t>武器</ns0:t>
        </ns0:is>
      </ns0:c>
      <ns0:c r="E12" s="8" t="inlineStr">
        <ns0:is>
          <ns0:t>02_武器!A12</ns0:t>
        </ns0:is>
      </ns0:c>
      <ns0:c r="F12" s="4" t="inlineStr">
        <ns0:is>
          <ns0:t>骨架登记；绝对数值待平衡</ns0:t>
        </ns0:is>
      </ns0:c>
      <ns0:c r="G12" s="4" t="inlineStr">
        <ns0:is>
          <ns0:t>已有同名配置／品级一致；其他差异见12表</ns0:t>
        </ns0:is>
      </ns0:c>
      <ns0:c r="H12" s="4" t="inlineStr">
        <ns0:is>
          <ns0:t>A；用户最新更正为下品</ns0:t>
        </ns0:is>
      </ns0:c>
    </ns0:row>
    <ns0:row r="13" ht="30" customHeight="1">
      <ns0:c r="A13" s="5" t="inlineStr">
        <ns0:is>
          <ns0:t>t01.asset.0008</ns0:t>
        </ns0:is>
      </ns0:c>
      <ns0:c r="B13" s="9" t="str">
        <ns0:f>'02_武器'!B13</ns0:f>
        <ns0:v>石印</ns0:v>
      </ns0:c>
      <ns0:c r="C13" s="9" t="str">
        <ns0:f>'02_武器'!C13</ns0:f>
        <ns0:v>下品</ns0:v>
      </ns0:c>
      <ns0:c r="D13" s="5" t="inlineStr">
        <ns0:is>
          <ns0:t>武器</ns0:t>
        </ns0:is>
      </ns0:c>
      <ns0:c r="E13" s="10" t="inlineStr">
        <ns0:is>
          <ns0:t>02_武器!A13</ns0:t>
        </ns0:is>
      </ns0:c>
      <ns0:c r="F13" s="5" t="inlineStr">
        <ns0:is>
          <ns0:t>骨架登记；绝对数值待平衡</ns0:t>
        </ns0:is>
      </ns0:c>
      <ns0:c r="G13" s="5" t="inlineStr">
        <ns0:is>
          <ns0:t>尚无正式游戏配置</ns0:t>
        </ns0:is>
      </ns0:c>
      <ns0:c r="H13" s="5" t="inlineStr">
        <ns0:is>
          <ns0:t>A；用户最新更正为下品</ns0:t>
        </ns0:is>
      </ns0:c>
    </ns0:row>
    <ns0:row r="14" ht="30" customHeight="1">
      <ns0:c r="A14" s="4" t="inlineStr">
        <ns0:is>
          <ns0:t>t01.asset.0009</ns0:t>
        </ns0:is>
      </ns0:c>
      <ns0:c r="B14" s="7" t="str">
        <ns0:f>'02_武器'!B14</ns0:f>
        <ns0:v>皮鞭</ns0:v>
      </ns0:c>
      <ns0:c r="C14" s="7" t="str">
        <ns0:f>'02_武器'!C14</ns0:f>
        <ns0:v>下品</ns0:v>
      </ns0:c>
      <ns0:c r="D14" s="4" t="inlineStr">
        <ns0:is>
          <ns0:t>武器</ns0:t>
        </ns0:is>
      </ns0:c>
      <ns0:c r="E14" s="8" t="inlineStr">
        <ns0:is>
          <ns0:t>02_武器!A14</ns0:t>
        </ns0:is>
      </ns0:c>
      <ns0:c r="F14" s="4" t="inlineStr">
        <ns0:is>
          <ns0:t>骨架登记；绝对数值待平衡</ns0:t>
        </ns0:is>
      </ns0:c>
      <ns0:c r="G14" s="4" t="inlineStr">
        <ns0:is>
          <ns0:t>尚无正式游戏配置</ns0:t>
        </ns0:is>
      </ns0:c>
      <ns0:c r="H14" s="4" t="inlineStr">
        <ns0:is>
          <ns0:t>A；用户最新更正为下品</ns0:t>
        </ns0:is>
      </ns0:c>
    </ns0:row>
    <ns0:row r="15" ht="30" customHeight="1">
      <ns0:c r="A15" s="5" t="inlineStr">
        <ns0:is>
          <ns0:t>t01.asset.0010</ns0:t>
        </ns0:is>
      </ns0:c>
      <ns0:c r="B15" s="9" t="str">
        <ns0:f>'03_防具'!B6</ns0:f>
        <ns0:v>粗布甲</ns0:v>
      </ns0:c>
      <ns0:c r="C15" s="9" t="str">
        <ns0:f>'03_防具'!C6</ns0:f>
        <ns0:v>下品</ns0:v>
      </ns0:c>
      <ns0:c r="D15" s="5" t="inlineStr">
        <ns0:is>
          <ns0:t>防具</ns0:t>
        </ns0:is>
      </ns0:c>
      <ns0:c r="E15" s="10" t="inlineStr">
        <ns0:is>
          <ns0:t>03_防具!A6</ns0:t>
        </ns0:is>
      </ns0:c>
      <ns0:c r="F15" s="5" t="inlineStr">
        <ns0:is>
          <ns0:t>保留资料已有值</ns0:t>
        </ns0:is>
      </ns0:c>
      <ns0:c r="G15" s="5" t="inlineStr">
        <ns0:is>
          <ns0:t>已有同名配置／品级一致；其他差异见12表</ns0:t>
        </ns0:is>
      </ns0:c>
      <ns0:c r="H15" s="5" t="inlineStr">
        <ns0:is>
          <ns0:t>B2；C覆盖</ns0:t>
        </ns0:is>
      </ns0:c>
    </ns0:row>
    <ns0:row r="16" ht="30" customHeight="1">
      <ns0:c r="A16" s="4" t="inlineStr">
        <ns0:is>
          <ns0:t>t01.asset.0011</ns0:t>
        </ns0:is>
      </ns0:c>
      <ns0:c r="B16" s="7" t="str">
        <ns0:f>'03_防具'!B7</ns0:f>
        <ns0:v>铁甲</ns0:v>
      </ns0:c>
      <ns0:c r="C16" s="7" t="str">
        <ns0:f>'03_防具'!C7</ns0:f>
        <ns0:v>下品</ns0:v>
      </ns0:c>
      <ns0:c r="D16" s="4" t="inlineStr">
        <ns0:is>
          <ns0:t>防具</ns0:t>
        </ns0:is>
      </ns0:c>
      <ns0:c r="E16" s="8" t="inlineStr">
        <ns0:is>
          <ns0:t>03_防具!A7</ns0:t>
        </ns0:is>
      </ns0:c>
      <ns0:c r="F16" s="4" t="inlineStr">
        <ns0:is>
          <ns0:t>新增试玩候选；本体6秒</ns0:t>
        </ns0:is>
      </ns0:c>
      <ns0:c r="G16" s="4" t="inlineStr">
        <ns0:is>
          <ns0:t>尚无正式游戏配置</ns0:t>
        </ns0:is>
      </ns0:c>
      <ns0:c r="H16" s="4" t="inlineStr">
        <ns0:is>
          <ns0:t>B2；C覆盖</ns0:t>
        </ns0:is>
      </ns0:c>
    </ns0:row>
    <ns0:row r="17" ht="30" customHeight="1">
      <ns0:c r="A17" s="5" t="inlineStr">
        <ns0:is>
          <ns0:t>t01.asset.0012</ns0:t>
        </ns0:is>
      </ns0:c>
      <ns0:c r="B17" s="9" t="str">
        <ns0:f>'03_防具'!B8</ns0:f>
        <ns0:v>旧铁盔</ns0:v>
      </ns0:c>
      <ns0:c r="C17" s="9" t="str">
        <ns0:f>'03_防具'!C8</ns0:f>
        <ns0:v>下品</ns0:v>
      </ns0:c>
      <ns0:c r="D17" s="5" t="inlineStr">
        <ns0:is>
          <ns0:t>防具</ns0:t>
        </ns0:is>
      </ns0:c>
      <ns0:c r="E17" s="10" t="inlineStr">
        <ns0:is>
          <ns0:t>03_防具!A8</ns0:t>
        </ns0:is>
      </ns0:c>
      <ns0:c r="F17" s="5" t="inlineStr">
        <ns0:is>
          <ns0:t>保留资料已有值；补甲型</ns0:t>
        </ns0:is>
      </ns0:c>
      <ns0:c r="G17" s="5" t="inlineStr">
        <ns0:is>
          <ns0:t>已有同名配置／品级一致；其他差异见12表</ns0:t>
        </ns0:is>
      </ns0:c>
      <ns0:c r="H17" s="5" t="inlineStr">
        <ns0:is>
          <ns0:t>B2；C覆盖</ns0:t>
        </ns0:is>
      </ns0:c>
    </ns0:row>
    <ns0:row r="18" ht="30" customHeight="1">
      <ns0:c r="A18" s="4" t="inlineStr">
        <ns0:is>
          <ns0:t>t01.asset.0013</ns0:t>
        </ns0:is>
      </ns0:c>
      <ns0:c r="B18" s="7" t="str">
        <ns0:f>'03_防具'!B9</ns0:f>
        <ns0:v>木圆盾</ns0:v>
      </ns0:c>
      <ns0:c r="C18" s="7" t="str">
        <ns0:f>'03_防具'!C9</ns0:f>
        <ns0:v>下品</ns0:v>
      </ns0:c>
      <ns0:c r="D18" s="4" t="inlineStr">
        <ns0:is>
          <ns0:t>防具</ns0:t>
        </ns0:is>
      </ns0:c>
      <ns0:c r="E18" s="8" t="inlineStr">
        <ns0:is>
          <ns0:t>03_防具!A9</ns0:t>
        </ns0:is>
      </ns0:c>
      <ns0:c r="F18" s="4" t="inlineStr">
        <ns0:is>
          <ns0:t>保留资料已有值；补甲型</ns0:t>
        </ns0:is>
      </ns0:c>
      <ns0:c r="G18" s="4" t="inlineStr">
        <ns0:is>
          <ns0:t>已有同名配置／品级一致；其他差异见12表</ns0:t>
        </ns0:is>
      </ns0:c>
      <ns0:c r="H18" s="4" t="inlineStr">
        <ns0:is>
          <ns0:t>B2；C覆盖</ns0:t>
        </ns0:is>
      </ns0:c>
    </ns0:row>
    <ns0:row r="19" ht="30" customHeight="1">
      <ns0:c r="A19" s="5" t="inlineStr">
        <ns0:is>
          <ns0:t>t01.asset.0014</ns0:t>
        </ns0:is>
      </ns0:c>
      <ns0:c r="B19" s="9" t="str">
        <ns0:f>'03_防具'!B10</ns0:f>
        <ns0:v>布护臂</ns0:v>
      </ns0:c>
      <ns0:c r="C19" s="9" t="str">
        <ns0:f>'03_防具'!C10</ns0:f>
        <ns0:v>下品</ns0:v>
      </ns0:c>
      <ns0:c r="D19" s="5" t="inlineStr">
        <ns0:is>
          <ns0:t>防具</ns0:t>
        </ns0:is>
      </ns0:c>
      <ns0:c r="E19" s="10" t="inlineStr">
        <ns0:is>
          <ns0:t>03_防具!A10</ns0:t>
        </ns0:is>
      </ns0:c>
      <ns0:c r="F19" s="5" t="inlineStr">
        <ns0:is>
          <ns0:t>新增试玩候选</ns0:t>
        </ns0:is>
      </ns0:c>
      <ns0:c r="G19" s="5" t="inlineStr">
        <ns0:is>
          <ns0:t>尚无正式游戏配置</ns0:t>
        </ns0:is>
      </ns0:c>
      <ns0:c r="H19" s="5" t="inlineStr">
        <ns0:is>
          <ns0:t>B2；C覆盖</ns0:t>
        </ns0:is>
      </ns0:c>
    </ns0:row>
    <ns0:row r="20" ht="30" customHeight="1">
      <ns0:c r="A20" s="4" t="inlineStr">
        <ns0:is>
          <ns0:t>t01.asset.0015</ns0:t>
        </ns0:is>
      </ns0:c>
      <ns0:c r="B20" s="7" t="str">
        <ns0:f>'03_防具'!B11</ns0:f>
        <ns0:v>布护腿</ns0:v>
      </ns0:c>
      <ns0:c r="C20" s="7" t="str">
        <ns0:f>'03_防具'!C11</ns0:f>
        <ns0:v>下品</ns0:v>
      </ns0:c>
      <ns0:c r="D20" s="4" t="inlineStr">
        <ns0:is>
          <ns0:t>防具</ns0:t>
        </ns0:is>
      </ns0:c>
      <ns0:c r="E20" s="8" t="inlineStr">
        <ns0:is>
          <ns0:t>03_防具!A11</ns0:t>
        </ns0:is>
      </ns0:c>
      <ns0:c r="F20" s="4" t="inlineStr">
        <ns0:is>
          <ns0:t>新增试玩候选</ns0:t>
        </ns0:is>
      </ns0:c>
      <ns0:c r="G20" s="4" t="inlineStr">
        <ns0:is>
          <ns0:t>尚无正式游戏配置</ns0:t>
        </ns0:is>
      </ns0:c>
      <ns0:c r="H20" s="4" t="inlineStr">
        <ns0:is>
          <ns0:t>B2；C覆盖</ns0:t>
        </ns0:is>
      </ns0:c>
    </ns0:row>
    <ns0:row r="21" ht="30" customHeight="1">
      <ns0:c r="A21" s="5" t="inlineStr">
        <ns0:is>
          <ns0:t>t01.asset.0016</ns0:t>
        </ns0:is>
      </ns0:c>
      <ns0:c r="B21" s="9" t="str">
        <ns0:f>'03_防具'!B12</ns0:f>
        <ns0:v>铁护臂</ns0:v>
      </ns0:c>
      <ns0:c r="C21" s="9" t="str">
        <ns0:f>'03_防具'!C12</ns0:f>
        <ns0:v>下品</ns0:v>
      </ns0:c>
      <ns0:c r="D21" s="5" t="inlineStr">
        <ns0:is>
          <ns0:t>防具</ns0:t>
        </ns0:is>
      </ns0:c>
      <ns0:c r="E21" s="10" t="inlineStr">
        <ns0:is>
          <ns0:t>03_防具!A12</ns0:t>
        </ns0:is>
      </ns0:c>
      <ns0:c r="F21" s="5" t="inlineStr">
        <ns0:is>
          <ns0:t>C新增试玩候选</ns0:t>
        </ns0:is>
      </ns0:c>
      <ns0:c r="G21" s="5" t="inlineStr">
        <ns0:is>
          <ns0:t>尚无正式游戏配置</ns0:t>
        </ns0:is>
      </ns0:c>
      <ns0:c r="H21" s="5" t="inlineStr">
        <ns0:is>
          <ns0:t>C</ns0:t>
        </ns0:is>
      </ns0:c>
    </ns0:row>
    <ns0:row r="22" ht="30" customHeight="1">
      <ns0:c r="A22" s="4" t="inlineStr">
        <ns0:is>
          <ns0:t>t01.asset.0017</ns0:t>
        </ns0:is>
      </ns0:c>
      <ns0:c r="B22" s="7" t="str">
        <ns0:f>'03_防具'!B13</ns0:f>
        <ns0:v>铁护腿</ns0:v>
      </ns0:c>
      <ns0:c r="C22" s="7" t="str">
        <ns0:f>'03_防具'!C13</ns0:f>
        <ns0:v>下品</ns0:v>
      </ns0:c>
      <ns0:c r="D22" s="4" t="inlineStr">
        <ns0:is>
          <ns0:t>防具</ns0:t>
        </ns0:is>
      </ns0:c>
      <ns0:c r="E22" s="8" t="inlineStr">
        <ns0:is>
          <ns0:t>03_防具!A13</ns0:t>
        </ns0:is>
      </ns0:c>
      <ns0:c r="F22" s="4" t="inlineStr">
        <ns0:is>
          <ns0:t>C新增试玩候选</ns0:t>
        </ns0:is>
      </ns0:c>
      <ns0:c r="G22" s="4" t="inlineStr">
        <ns0:is>
          <ns0:t>尚无正式游戏配置</ns0:t>
        </ns0:is>
      </ns0:c>
      <ns0:c r="H22" s="4" t="inlineStr">
        <ns0:is>
          <ns0:t>C</ns0:t>
        </ns0:is>
      </ns0:c>
    </ns0:row>
    <ns0:row r="23" ht="30" customHeight="1">
      <ns0:c r="A23" s="5" t="inlineStr">
        <ns0:is>
          <ns0:t>t01.asset.0018</ns0:t>
        </ns0:is>
      </ns0:c>
      <ns0:c r="B23" s="9" t="str">
        <ns0:f>'04_法器'!B6</ns0:f>
        <ns0:v>温玉佩</ns0:v>
      </ns0:c>
      <ns0:c r="C23" s="9" t="str">
        <ns0:f>'04_法器'!C6</ns0:f>
        <ns0:v>下品</ns0:v>
      </ns0:c>
      <ns0:c r="D23" s="5" t="inlineStr">
        <ns0:is>
          <ns0:t>法器</ns0:t>
        </ns0:is>
      </ns0:c>
      <ns0:c r="E23" s="10" t="inlineStr">
        <ns0:is>
          <ns0:t>04_法器!A6</ns0:t>
        </ns0:is>
      </ns0:c>
      <ns0:c r="F23" s="5" t="inlineStr">
        <ns0:is>
          <ns0:t>保留已有值</ns0:t>
        </ns0:is>
      </ns0:c>
      <ns0:c r="G23" s="5" t="inlineStr">
        <ns0:is>
          <ns0:t>已有同名配置／品级一致；其他差异见12表</ns0:t>
        </ns0:is>
      </ns0:c>
      <ns0:c r="H23" s="5" t="inlineStr">
        <ns0:is>
          <ns0:t>B3</ns0:t>
        </ns0:is>
      </ns0:c>
    </ns0:row>
    <ns0:row r="24" ht="30" customHeight="1">
      <ns0:c r="A24" s="4" t="inlineStr">
        <ns0:is>
          <ns0:t>t01.asset.0019</ns0:t>
        </ns0:is>
      </ns0:c>
      <ns0:c r="B24" s="7" t="str">
        <ns0:f>'04_法器'!B7</ns0:f>
        <ns0:v>回春玉</ns0:v>
      </ns0:c>
      <ns0:c r="C24" s="7" t="str">
        <ns0:f>'04_法器'!C7</ns0:f>
        <ns0:v>下品</ns0:v>
      </ns0:c>
      <ns0:c r="D24" s="4" t="inlineStr">
        <ns0:is>
          <ns0:t>法器</ns0:t>
        </ns0:is>
      </ns0:c>
      <ns0:c r="E24" s="8" t="inlineStr">
        <ns0:is>
          <ns0:t>04_法器!A7</ns0:t>
        </ns0:is>
      </ns0:c>
      <ns0:c r="F24" s="4" t="inlineStr">
        <ns0:is>
          <ns0:t>新增试玩候选</ns0:t>
        </ns0:is>
      </ns0:c>
      <ns0:c r="G24" s="4" t="inlineStr">
        <ns0:is>
          <ns0:t>尚无正式游戏配置</ns0:t>
        </ns0:is>
      </ns0:c>
      <ns0:c r="H24" s="4" t="inlineStr">
        <ns0:is>
          <ns0:t>B3</ns0:t>
        </ns0:is>
      </ns0:c>
    </ns0:row>
    <ns0:row r="25" ht="30" customHeight="1">
      <ns0:c r="A25" s="5" t="inlineStr">
        <ns0:is>
          <ns0:t>t01.asset.0020</ns0:t>
        </ns0:is>
      </ns0:c>
      <ns0:c r="B25" s="9" t="str">
        <ns0:f>'04_法器'!B8</ns0:f>
        <ns0:v>养息珠</ns0:v>
      </ns0:c>
      <ns0:c r="C25" s="9" t="str">
        <ns0:f>'04_法器'!C8</ns0:f>
        <ns0:v>下品</ns0:v>
      </ns0:c>
      <ns0:c r="D25" s="5" t="inlineStr">
        <ns0:is>
          <ns0:t>法器</ns0:t>
        </ns0:is>
      </ns0:c>
      <ns0:c r="E25" s="10" t="inlineStr">
        <ns0:is>
          <ns0:t>04_法器!A8</ns0:t>
        </ns0:is>
      </ns0:c>
      <ns0:c r="F25" s="5" t="inlineStr">
        <ns0:is>
          <ns0:t>新增试玩候选</ns0:t>
        </ns0:is>
      </ns0:c>
      <ns0:c r="G25" s="5" t="inlineStr">
        <ns0:is>
          <ns0:t>尚无正式游戏配置</ns0:t>
        </ns0:is>
      </ns0:c>
      <ns0:c r="H25" s="5" t="inlineStr">
        <ns0:is>
          <ns0:t>B3</ns0:t>
        </ns0:is>
      </ns0:c>
    </ns0:row>
    <ns0:row r="26" ht="30" customHeight="1">
      <ns0:c r="A26" s="4" t="inlineStr">
        <ns0:is>
          <ns0:t>t01.asset.0021</ns0:t>
        </ns0:is>
      </ns0:c>
      <ns0:c r="B26" s="7" t="str">
        <ns0:f>'04_法器'!B9</ns0:f>
        <ns0:v>聚灵珠</ns0:v>
      </ns0:c>
      <ns0:c r="C26" s="7" t="str">
        <ns0:f>'04_法器'!C9</ns0:f>
        <ns0:v>下品</ns0:v>
      </ns0:c>
      <ns0:c r="D26" s="4" t="inlineStr">
        <ns0:is>
          <ns0:t>法器</ns0:t>
        </ns0:is>
      </ns0:c>
      <ns0:c r="E26" s="8" t="inlineStr">
        <ns0:is>
          <ns0:t>04_法器!A9</ns0:t>
        </ns0:is>
      </ns0:c>
      <ns0:c r="F26" s="4" t="inlineStr">
        <ns0:is>
          <ns0:t>新增试玩候选</ns0:t>
        </ns0:is>
      </ns0:c>
      <ns0:c r="G26" s="4" t="inlineStr">
        <ns0:is>
          <ns0:t>尚无正式游戏配置</ns0:t>
        </ns0:is>
      </ns0:c>
      <ns0:c r="H26" s="4" t="inlineStr">
        <ns0:is>
          <ns0:t>B3</ns0:t>
        </ns0:is>
      </ns0:c>
    </ns0:row>
    <ns0:row r="27" ht="30" customHeight="1">
      <ns0:c r="A27" s="5" t="inlineStr">
        <ns0:is>
          <ns0:t>t01.asset.0022</ns0:t>
        </ns0:is>
      </ns0:c>
      <ns0:c r="B27" s="9" t="str">
        <ns0:f>'05_丹药'!B6</ns0:f>
        <ns0:v>止血丹</ns0:v>
      </ns0:c>
      <ns0:c r="C27" s="9" t="str">
        <ns0:f>'05_丹药'!C6</ns0:f>
        <ns0:v>下品</ns0:v>
      </ns0:c>
      <ns0:c r="D27" s="5" t="inlineStr">
        <ns0:is>
          <ns0:t>丹药</ns0:t>
        </ns0:is>
      </ns0:c>
      <ns0:c r="E27" s="10" t="inlineStr">
        <ns0:is>
          <ns0:t>05_丹药!A6</ns0:t>
        </ns0:is>
      </ns0:c>
      <ns0:c r="F27" s="5" t="inlineStr">
        <ns0:is>
          <ns0:t>保留资料已有值</ns0:t>
        </ns0:is>
      </ns0:c>
      <ns0:c r="G27" s="5" t="inlineStr">
        <ns0:is>
          <ns0:t>已有同名配置／品级一致；其他差异见12表</ns0:t>
        </ns0:is>
      </ns0:c>
      <ns0:c r="H27" s="5" t="inlineStr">
        <ns0:is>
          <ns0:t>B4</ns0:t>
        </ns0:is>
      </ns0:c>
    </ns0:row>
    <ns0:row r="28" ht="30" customHeight="1">
      <ns0:c r="A28" s="4" t="inlineStr">
        <ns0:is>
          <ns0:t>t01.asset.0023</ns0:t>
        </ns0:is>
      </ns0:c>
      <ns0:c r="B28" s="7" t="str">
        <ns0:f>'05_丹药'!B7</ns0:f>
        <ns0:v>强筋丸</ns0:v>
      </ns0:c>
      <ns0:c r="C28" s="7" t="str">
        <ns0:f>'05_丹药'!C7</ns0:f>
        <ns0:v>下品</ns0:v>
      </ns0:c>
      <ns0:c r="D28" s="4" t="inlineStr">
        <ns0:is>
          <ns0:t>丹药</ns0:t>
        </ns0:is>
      </ns0:c>
      <ns0:c r="E28" s="8" t="inlineStr">
        <ns0:is>
          <ns0:t>05_丹药!A7</ns0:t>
        </ns0:is>
      </ns0:c>
      <ns0:c r="F28" s="4" t="inlineStr">
        <ns0:is>
          <ns0:t>保留资料已有值</ns0:t>
        </ns0:is>
      </ns0:c>
      <ns0:c r="G28" s="4" t="inlineStr">
        <ns0:is>
          <ns0:t>已有同名配置／品级一致；其他差异见12表</ns0:t>
        </ns0:is>
      </ns0:c>
      <ns0:c r="H28" s="4" t="inlineStr">
        <ns0:is>
          <ns0:t>B4</ns0:t>
        </ns0:is>
      </ns0:c>
    </ns0:row>
    <ns0:row r="29" ht="30" customHeight="1">
      <ns0:c r="A29" s="5" t="inlineStr">
        <ns0:is>
          <ns0:t>t01.asset.0024</ns0:t>
        </ns0:is>
      </ns0:c>
      <ns0:c r="B29" s="9" t="str">
        <ns0:f>'05_丹药'!B8</ns0:f>
        <ns0:v>消毒散</ns0:v>
      </ns0:c>
      <ns0:c r="C29" s="9" t="str">
        <ns0:f>'05_丹药'!C8</ns0:f>
        <ns0:v>下品</ns0:v>
      </ns0:c>
      <ns0:c r="D29" s="5" t="inlineStr">
        <ns0:is>
          <ns0:t>丹药</ns0:t>
        </ns0:is>
      </ns0:c>
      <ns0:c r="E29" s="10" t="inlineStr">
        <ns0:is>
          <ns0:t>05_丹药!A8</ns0:t>
        </ns0:is>
      </ns0:c>
      <ns0:c r="F29" s="5" t="inlineStr">
        <ns0:is>
          <ns0:t>保留资料已有值</ns0:t>
        </ns0:is>
      </ns0:c>
      <ns0:c r="G29" s="5" t="inlineStr">
        <ns0:is>
          <ns0:t>已有同名配置／品级一致；其他差异见12表</ns0:t>
        </ns0:is>
      </ns0:c>
      <ns0:c r="H29" s="5" t="inlineStr">
        <ns0:is>
          <ns0:t>B4</ns0:t>
        </ns0:is>
      </ns0:c>
    </ns0:row>
    <ns0:row r="30" ht="30" customHeight="1">
      <ns0:c r="A30" s="4" t="inlineStr">
        <ns0:is>
          <ns0:t>t01.asset.0025</ns0:t>
        </ns0:is>
      </ns0:c>
      <ns0:c r="B30" s="7" t="str">
        <ns0:f>'05_丹药'!B9</ns0:f>
        <ns0:v>回灵丹</ns0:v>
      </ns0:c>
      <ns0:c r="C30" s="7" t="str">
        <ns0:f>'05_丹药'!C9</ns0:f>
        <ns0:v>下品</ns0:v>
      </ns0:c>
      <ns0:c r="D30" s="4" t="inlineStr">
        <ns0:is>
          <ns0:t>丹药</ns0:t>
        </ns0:is>
      </ns0:c>
      <ns0:c r="E30" s="8" t="inlineStr">
        <ns0:is>
          <ns0:t>05_丹药!A9</ns0:t>
        </ns0:is>
      </ns0:c>
      <ns0:c r="F30" s="4" t="inlineStr">
        <ns0:is>
          <ns0:t>新增试玩候选</ns0:t>
        </ns0:is>
      </ns0:c>
      <ns0:c r="G30" s="4" t="inlineStr">
        <ns0:is>
          <ns0:t>尚无正式游戏配置</ns0:t>
        </ns0:is>
      </ns0:c>
      <ns0:c r="H30" s="4" t="inlineStr">
        <ns0:is>
          <ns0:t>B4</ns0:t>
        </ns0:is>
      </ns0:c>
    </ns0:row>
    <ns0:row r="31" ht="30" customHeight="1">
      <ns0:c r="A31" s="5" t="inlineStr">
        <ns0:is>
          <ns0:t>t01.asset.0026</ns0:t>
        </ns0:is>
      </ns0:c>
      <ns0:c r="B31" s="9" t="str">
        <ns0:f>'05_丹药'!B10</ns0:f>
        <ns0:v>金疮散</ns0:v>
      </ns0:c>
      <ns0:c r="C31" s="9" t="str">
        <ns0:f>'05_丹药'!C10</ns0:f>
        <ns0:v>下品</ns0:v>
      </ns0:c>
      <ns0:c r="D31" s="5" t="inlineStr">
        <ns0:is>
          <ns0:t>丹药</ns0:t>
        </ns0:is>
      </ns0:c>
      <ns0:c r="E31" s="10" t="inlineStr">
        <ns0:is>
          <ns0:t>05_丹药!A10</ns0:t>
        </ns0:is>
      </ns0:c>
      <ns0:c r="F31" s="5" t="inlineStr">
        <ns0:is>
          <ns0:t>新增试玩候选</ns0:t>
        </ns0:is>
      </ns0:c>
      <ns0:c r="G31" s="5" t="inlineStr">
        <ns0:is>
          <ns0:t>尚无正式游戏配置</ns0:t>
        </ns0:is>
      </ns0:c>
      <ns0:c r="H31" s="5" t="inlineStr">
        <ns0:is>
          <ns0:t>B4</ns0:t>
        </ns0:is>
      </ns0:c>
    </ns0:row>
    <ns0:row r="32" ht="30" customHeight="1">
      <ns0:c r="A32" s="4" t="inlineStr">
        <ns0:is>
          <ns0:t>t01.asset.0027</ns0:t>
        </ns0:is>
      </ns0:c>
      <ns0:c r="B32" s="7" t="str">
        <ns0:f>'05_丹药'!B11</ns0:f>
        <ns0:v>回元散</ns0:v>
      </ns0:c>
      <ns0:c r="C32" s="7" t="str">
        <ns0:f>'05_丹药'!C11</ns0:f>
        <ns0:v>下品</ns0:v>
      </ns0:c>
      <ns0:c r="D32" s="4" t="inlineStr">
        <ns0:is>
          <ns0:t>丹药</ns0:t>
        </ns0:is>
      </ns0:c>
      <ns0:c r="E32" s="8" t="inlineStr">
        <ns0:is>
          <ns0:t>05_丹药!A11</ns0:t>
        </ns0:is>
      </ns0:c>
      <ns0:c r="F32" s="4" t="inlineStr">
        <ns0:is>
          <ns0:t>新增试玩候选</ns0:t>
        </ns0:is>
      </ns0:c>
      <ns0:c r="G32" s="4" t="inlineStr">
        <ns0:is>
          <ns0:t>尚无正式游戏配置</ns0:t>
        </ns0:is>
      </ns0:c>
      <ns0:c r="H32" s="4" t="inlineStr">
        <ns0:is>
          <ns0:t>B4</ns0:t>
        </ns0:is>
      </ns0:c>
    </ns0:row>
    <ns0:row r="33" ht="60" customHeight="1">
      <ns0:c r="A33" s="4" t="inlineStr">
        <ns0:is>
          <ns0:t>t01.asset.0028</ns0:t>
        </ns0:is>
      </ns0:c>
      <ns0:c r="B33" s="7" t="str">
        <ns0:f>'02_武器'!B15</ns0:f>
        <ns0:v>铁剑</ns0:v>
      </ns0:c>
      <ns0:c r="C33" s="7" t="str">
        <ns0:f>'02_武器'!C15</ns0:f>
        <ns0:v>凡品</ns0:v>
      </ns0:c>
      <ns0:c r="D33" s="4" t="inlineStr">
        <ns0:is>
          <ns0:t>武器</ns0:t>
        </ns0:is>
      </ns0:c>
      <ns0:c r="E33" s="8" t="inlineStr">
        <ns0:is>
          <ns0:t>02_武器!A15</ns0:t>
        </ns0:is>
      </ns0:c>
      <ns0:c r="F33" s="4" t="inlineStr">
        <ns0:is>
          <ns0:t>候选数值，未试跑</ns0:t>
        </ns0:is>
      </ns0:c>
      <ns0:c r="G33" s="4" t="inlineStr">
        <ns0:is>
          <ns0:t>未实现；无游戏注册ID</ns0:t>
        </ns0:is>
      </ns0:c>
      <ns0:c r="H33" s="4" t="inlineStr">
        <ns0:is>
          <ns0:t>第1批基础；第2批微调；第3批复查；用户直接更正优先；W01</ns0:t>
        </ns0:is>
      </ns0:c>
    </ns0:row>
    <ns0:row r="34" ht="60" customHeight="1">
      <ns0:c r="A34" s="4" t="inlineStr">
        <ns0:is>
          <ns0:t>t01.asset.0029</ns0:t>
        </ns0:is>
      </ns0:c>
      <ns0:c r="B34" s="7" t="str">
        <ns0:f>'02_武器'!B16</ns0:f>
        <ns0:v>赤纹剑</ns0:v>
      </ns0:c>
      <ns0:c r="C34" s="7" t="str">
        <ns0:f>'02_武器'!C16</ns0:f>
        <ns0:v>凡品</ns0:v>
      </ns0:c>
      <ns0:c r="D34" s="4" t="inlineStr">
        <ns0:is>
          <ns0:t>武器</ns0:t>
        </ns0:is>
      </ns0:c>
      <ns0:c r="E34" s="8" t="inlineStr">
        <ns0:is>
          <ns0:t>02_武器!A16</ns0:t>
        </ns0:is>
      </ns0:c>
      <ns0:c r="F34" s="4" t="inlineStr">
        <ns0:is>
          <ns0:t>候选数值，未试跑</ns0:t>
        </ns0:is>
      </ns0:c>
      <ns0:c r="G34" s="4" t="inlineStr">
        <ns0:is>
          <ns0:t>未实现；无游戏注册ID</ns0:t>
        </ns0:is>
      </ns0:c>
      <ns0:c r="H34" s="4" t="inlineStr">
        <ns0:is>
          <ns0:t>第1批基础；第2批微调；第3批复查；用户直接更正优先；W02</ns0:t>
        </ns0:is>
      </ns0:c>
    </ns0:row>
    <ns0:row r="35" ht="60" customHeight="1">
      <ns0:c r="A35" s="4" t="inlineStr">
        <ns0:is>
          <ns0:t>t01.asset.0030</ns0:t>
        </ns0:is>
      </ns0:c>
      <ns0:c r="B35" s="7" t="str">
        <ns0:f>'02_武器'!B17</ns0:f>
        <ns0:v>寒水剑</ns0:v>
      </ns0:c>
      <ns0:c r="C35" s="7" t="str">
        <ns0:f>'02_武器'!C17</ns0:f>
        <ns0:v>凡品</ns0:v>
      </ns0:c>
      <ns0:c r="D35" s="4" t="inlineStr">
        <ns0:is>
          <ns0:t>武器</ns0:t>
        </ns0:is>
      </ns0:c>
      <ns0:c r="E35" s="8" t="inlineStr">
        <ns0:is>
          <ns0:t>02_武器!A17</ns0:t>
        </ns0:is>
      </ns0:c>
      <ns0:c r="F35" s="4" t="inlineStr">
        <ns0:is>
          <ns0:t>候选数值，未试跑</ns0:t>
        </ns0:is>
      </ns0:c>
      <ns0:c r="G35" s="4" t="inlineStr">
        <ns0:is>
          <ns0:t>未实现；无游戏注册ID</ns0:t>
        </ns0:is>
      </ns0:c>
      <ns0:c r="H35" s="4" t="inlineStr">
        <ns0:is>
          <ns0:t>第1批基础；第2批微调；第3批复查；用户直接更正优先；W03</ns0:t>
        </ns0:is>
      </ns0:c>
    </ns0:row>
    <ns0:row r="36" ht="60" customHeight="1">
      <ns0:c r="A36" s="4" t="inlineStr">
        <ns0:is>
          <ns0:t>t01.asset.0031</ns0:t>
        </ns0:is>
      </ns0:c>
      <ns0:c r="B36" s="7" t="str">
        <ns0:f>'02_武器'!B18</ns0:f>
        <ns0:v>钢刀</ns0:v>
      </ns0:c>
      <ns0:c r="C36" s="7" t="str">
        <ns0:f>'02_武器'!C18</ns0:f>
        <ns0:v>凡品</ns0:v>
      </ns0:c>
      <ns0:c r="D36" s="4" t="inlineStr">
        <ns0:is>
          <ns0:t>武器</ns0:t>
        </ns0:is>
      </ns0:c>
      <ns0:c r="E36" s="8" t="inlineStr">
        <ns0:is>
          <ns0:t>02_武器!A18</ns0:t>
        </ns0:is>
      </ns0:c>
      <ns0:c r="F36" s="4" t="inlineStr">
        <ns0:is>
          <ns0:t>候选数值，未试跑</ns0:t>
        </ns0:is>
      </ns0:c>
      <ns0:c r="G36" s="4" t="inlineStr">
        <ns0:is>
          <ns0:t>未实现；无游戏注册ID</ns0:t>
        </ns0:is>
      </ns0:c>
      <ns0:c r="H36" s="4" t="inlineStr">
        <ns0:is>
          <ns0:t>第1批基础；第2批微调；第3批复查；用户直接更正优先；W05</ns0:t>
        </ns0:is>
      </ns0:c>
    </ns0:row>
    <ns0:row r="37" ht="60" customHeight="1">
      <ns0:c r="A37" s="4" t="inlineStr">
        <ns0:is>
          <ns0:t>t01.asset.0032</ns0:t>
        </ns0:is>
      </ns0:c>
      <ns0:c r="B37" s="7" t="str">
        <ns0:f>'02_武器'!B19</ns0:f>
        <ns0:v>金纹刀</ns0:v>
      </ns0:c>
      <ns0:c r="C37" s="7" t="str">
        <ns0:f>'02_武器'!C19</ns0:f>
        <ns0:v>凡品</ns0:v>
      </ns0:c>
      <ns0:c r="D37" s="4" t="inlineStr">
        <ns0:is>
          <ns0:t>武器</ns0:t>
        </ns0:is>
      </ns0:c>
      <ns0:c r="E37" s="8" t="inlineStr">
        <ns0:is>
          <ns0:t>02_武器!A19</ns0:t>
        </ns0:is>
      </ns0:c>
      <ns0:c r="F37" s="4" t="inlineStr">
        <ns0:is>
          <ns0:t>候选数值，未试跑</ns0:t>
        </ns0:is>
      </ns0:c>
      <ns0:c r="G37" s="4" t="inlineStr">
        <ns0:is>
          <ns0:t>未实现；无游戏注册ID</ns0:t>
        </ns0:is>
      </ns0:c>
      <ns0:c r="H37" s="4" t="inlineStr">
        <ns0:is>
          <ns0:t>第1批基础；第2批微调；第3批复查；用户直接更正优先；W06</ns0:t>
        </ns0:is>
      </ns0:c>
    </ns0:row>
    <ns0:row r="38" ht="60" customHeight="1">
      <ns0:c r="A38" s="4" t="inlineStr">
        <ns0:is>
          <ns0:t>t01.asset.0033</ns0:t>
        </ns0:is>
      </ns0:c>
      <ns0:c r="B38" s="7" t="str">
        <ns0:f>'02_武器'!B20</ns0:f>
        <ns0:v>赤焰刀</ns0:v>
      </ns0:c>
      <ns0:c r="C38" s="7" t="str">
        <ns0:f>'02_武器'!C20</ns0:f>
        <ns0:v>凡品</ns0:v>
      </ns0:c>
      <ns0:c r="D38" s="4" t="inlineStr">
        <ns0:is>
          <ns0:t>武器</ns0:t>
        </ns0:is>
      </ns0:c>
      <ns0:c r="E38" s="8" t="inlineStr">
        <ns0:is>
          <ns0:t>02_武器!A20</ns0:t>
        </ns0:is>
      </ns0:c>
      <ns0:c r="F38" s="4" t="inlineStr">
        <ns0:is>
          <ns0:t>候选数值，未试跑</ns0:t>
        </ns0:is>
      </ns0:c>
      <ns0:c r="G38" s="4" t="inlineStr">
        <ns0:is>
          <ns0:t>未实现；无游戏注册ID</ns0:t>
        </ns0:is>
      </ns0:c>
      <ns0:c r="H38" s="4" t="inlineStr">
        <ns0:is>
          <ns0:t>第1批基础；第2批微调；第3批复查；用户直接更正优先；W07</ns0:t>
        </ns0:is>
      </ns0:c>
    </ns0:row>
    <ns0:row r="39" ht="60" customHeight="1">
      <ns0:c r="A39" s="4" t="inlineStr">
        <ns0:is>
          <ns0:t>t01.asset.0034</ns0:t>
        </ns0:is>
      </ns0:c>
      <ns0:c r="B39" s="7" t="str">
        <ns0:f>'02_武器'!B21</ns0:f>
        <ns0:v>开山斧</ns0:v>
      </ns0:c>
      <ns0:c r="C39" s="7" t="str">
        <ns0:f>'02_武器'!C21</ns0:f>
        <ns0:v>凡品</ns0:v>
      </ns0:c>
      <ns0:c r="D39" s="4" t="inlineStr">
        <ns0:is>
          <ns0:t>武器</ns0:t>
        </ns0:is>
      </ns0:c>
      <ns0:c r="E39" s="8" t="inlineStr">
        <ns0:is>
          <ns0:t>02_武器!A21</ns0:t>
        </ns0:is>
      </ns0:c>
      <ns0:c r="F39" s="4" t="inlineStr">
        <ns0:is>
          <ns0:t>候选数值，未试跑</ns0:t>
        </ns0:is>
      </ns0:c>
      <ns0:c r="G39" s="4" t="inlineStr">
        <ns0:is>
          <ns0:t>未实现；无游戏注册ID</ns0:t>
        </ns0:is>
      </ns0:c>
      <ns0:c r="H39" s="4" t="inlineStr">
        <ns0:is>
          <ns0:t>第1批基础；第2批微调；第3批复查；用户直接更正优先；W08</ns0:t>
        </ns0:is>
      </ns0:c>
    </ns0:row>
    <ns0:row r="40" ht="60" customHeight="1">
      <ns0:c r="A40" s="4" t="inlineStr">
        <ns0:is>
          <ns0:t>t01.asset.0035</ns0:t>
        </ns0:is>
      </ns0:c>
      <ns0:c r="B40" s="7" t="str">
        <ns0:f>'02_武器'!B22</ns0:f>
        <ns0:v>金刚斧</ns0:v>
      </ns0:c>
      <ns0:c r="C40" s="7" t="str">
        <ns0:f>'02_武器'!C22</ns0:f>
        <ns0:v>凡品</ns0:v>
      </ns0:c>
      <ns0:c r="D40" s="4" t="inlineStr">
        <ns0:is>
          <ns0:t>武器</ns0:t>
        </ns0:is>
      </ns0:c>
      <ns0:c r="E40" s="8" t="inlineStr">
        <ns0:is>
          <ns0:t>02_武器!A22</ns0:t>
        </ns0:is>
      </ns0:c>
      <ns0:c r="F40" s="4" t="inlineStr">
        <ns0:is>
          <ns0:t>候选数值，未试跑</ns0:t>
        </ns0:is>
      </ns0:c>
      <ns0:c r="G40" s="4" t="inlineStr">
        <ns0:is>
          <ns0:t>未实现；无游戏注册ID</ns0:t>
        </ns0:is>
      </ns0:c>
      <ns0:c r="H40" s="4" t="inlineStr">
        <ns0:is>
          <ns0:t>第1批基础；第2批微调；第3批复查；用户直接更正优先；W09</ns0:t>
        </ns0:is>
      </ns0:c>
    </ns0:row>
    <ns0:row r="41" ht="60" customHeight="1">
      <ns0:c r="A41" s="4" t="inlineStr">
        <ns0:is>
          <ns0:t>t01.asset.0036</ns0:t>
        </ns0:is>
      </ns0:c>
      <ns0:c r="B41" s="7" t="str">
        <ns0:f>'02_武器'!B23</ns0:f>
        <ns0:v>厚土斧</ns0:v>
      </ns0:c>
      <ns0:c r="C41" s="7" t="str">
        <ns0:f>'02_武器'!C23</ns0:f>
        <ns0:v>凡品</ns0:v>
      </ns0:c>
      <ns0:c r="D41" s="4" t="inlineStr">
        <ns0:is>
          <ns0:t>武器</ns0:t>
        </ns0:is>
      </ns0:c>
      <ns0:c r="E41" s="8" t="inlineStr">
        <ns0:is>
          <ns0:t>02_武器!A23</ns0:t>
        </ns0:is>
      </ns0:c>
      <ns0:c r="F41" s="4" t="inlineStr">
        <ns0:is>
          <ns0:t>候选数值，未试跑</ns0:t>
        </ns0:is>
      </ns0:c>
      <ns0:c r="G41" s="4" t="inlineStr">
        <ns0:is>
          <ns0:t>未实现；无游戏注册ID</ns0:t>
        </ns0:is>
      </ns0:c>
      <ns0:c r="H41" s="4" t="inlineStr">
        <ns0:is>
          <ns0:t>第1批基础；第2批微调；第3批复查；用户直接更正优先；W10</ns0:t>
        </ns0:is>
      </ns0:c>
    </ns0:row>
    <ns0:row r="42" ht="60" customHeight="1">
      <ns0:c r="A42" s="4" t="inlineStr">
        <ns0:is>
          <ns0:t>t01.asset.0037</ns0:t>
        </ns0:is>
      </ns0:c>
      <ns0:c r="B42" s="7" t="str">
        <ns0:f>'02_武器'!B24</ns0:f>
        <ns0:v>桑木弓</ns0:v>
      </ns0:c>
      <ns0:c r="C42" s="7" t="str">
        <ns0:f>'02_武器'!C24</ns0:f>
        <ns0:v>凡品</ns0:v>
      </ns0:c>
      <ns0:c r="D42" s="4" t="inlineStr">
        <ns0:is>
          <ns0:t>武器</ns0:t>
        </ns0:is>
      </ns0:c>
      <ns0:c r="E42" s="8" t="inlineStr">
        <ns0:is>
          <ns0:t>02_武器!A24</ns0:t>
        </ns0:is>
      </ns0:c>
      <ns0:c r="F42" s="4" t="inlineStr">
        <ns0:is>
          <ns0:t>候选数值，未试跑</ns0:t>
        </ns0:is>
      </ns0:c>
      <ns0:c r="G42" s="4" t="inlineStr">
        <ns0:is>
          <ns0:t>未实现；无游戏注册ID</ns0:t>
        </ns0:is>
      </ns0:c>
      <ns0:c r="H42" s="4" t="inlineStr">
        <ns0:is>
          <ns0:t>第1批基础；第2批微调；第3批复查；用户直接更正优先；W11</ns0:t>
        </ns0:is>
      </ns0:c>
    </ns0:row>
    <ns0:row r="43" ht="60" customHeight="1">
      <ns0:c r="A43" s="4" t="inlineStr">
        <ns0:is>
          <ns0:t>t01.asset.0038</ns0:t>
        </ns0:is>
      </ns0:c>
      <ns0:c r="B43" s="7" t="str">
        <ns0:f>'02_武器'!B25</ns0:f>
        <ns0:v>水纹弓</ns0:v>
      </ns0:c>
      <ns0:c r="C43" s="7" t="str">
        <ns0:f>'02_武器'!C25</ns0:f>
        <ns0:v>凡品</ns0:v>
      </ns0:c>
      <ns0:c r="D43" s="4" t="inlineStr">
        <ns0:is>
          <ns0:t>武器</ns0:t>
        </ns0:is>
      </ns0:c>
      <ns0:c r="E43" s="8" t="inlineStr">
        <ns0:is>
          <ns0:t>02_武器!A25</ns0:t>
        </ns0:is>
      </ns0:c>
      <ns0:c r="F43" s="4" t="inlineStr">
        <ns0:is>
          <ns0:t>候选数值，未试跑</ns0:t>
        </ns0:is>
      </ns0:c>
      <ns0:c r="G43" s="4" t="inlineStr">
        <ns0:is>
          <ns0:t>未实现；无游戏注册ID</ns0:t>
        </ns0:is>
      </ns0:c>
      <ns0:c r="H43" s="4" t="inlineStr">
        <ns0:is>
          <ns0:t>第1批基础；第2批微调；第3批复查；用户直接更正优先；W12</ns0:t>
        </ns0:is>
      </ns0:c>
    </ns0:row>
    <ns0:row r="44" ht="60" customHeight="1">
      <ns0:c r="A44" s="4" t="inlineStr">
        <ns0:is>
          <ns0:t>t01.asset.0039</ns0:t>
        </ns0:is>
      </ns0:c>
      <ns0:c r="B44" s="7" t="str">
        <ns0:f>'02_武器'!B26</ns0:f>
        <ns0:v>雷纹弓</ns0:v>
      </ns0:c>
      <ns0:c r="C44" s="7" t="str">
        <ns0:f>'02_武器'!C26</ns0:f>
        <ns0:v>凡品</ns0:v>
      </ns0:c>
      <ns0:c r="D44" s="4" t="inlineStr">
        <ns0:is>
          <ns0:t>武器</ns0:t>
        </ns0:is>
      </ns0:c>
      <ns0:c r="E44" s="8" t="inlineStr">
        <ns0:is>
          <ns0:t>02_武器!A26</ns0:t>
        </ns0:is>
      </ns0:c>
      <ns0:c r="F44" s="4" t="inlineStr">
        <ns0:is>
          <ns0:t>候选数值，未试跑</ns0:t>
        </ns0:is>
      </ns0:c>
      <ns0:c r="G44" s="4" t="inlineStr">
        <ns0:is>
          <ns0:t>未实现；无游戏注册ID</ns0:t>
        </ns0:is>
      </ns0:c>
      <ns0:c r="H44" s="4" t="inlineStr">
        <ns0:is>
          <ns0:t>第1批基础；第2批微调；第3批复查；用户直接更正优先；W14</ns0:t>
        </ns0:is>
      </ns0:c>
    </ns0:row>
    <ns0:row r="45" ht="60" customHeight="1">
      <ns0:c r="A45" s="4" t="inlineStr">
        <ns0:is>
          <ns0:t>t01.asset.0040</ns0:t>
        </ns0:is>
      </ns0:c>
      <ns0:c r="B45" s="7" t="str">
        <ns0:f>'02_武器'!B27</ns0:f>
        <ns0:v>精铁匕</ns0:v>
      </ns0:c>
      <ns0:c r="C45" s="7" t="str">
        <ns0:f>'02_武器'!C27</ns0:f>
        <ns0:v>凡品</ns0:v>
      </ns0:c>
      <ns0:c r="D45" s="4" t="inlineStr">
        <ns0:is>
          <ns0:t>武器</ns0:t>
        </ns0:is>
      </ns0:c>
      <ns0:c r="E45" s="8" t="inlineStr">
        <ns0:is>
          <ns0:t>02_武器!A27</ns0:t>
        </ns0:is>
      </ns0:c>
      <ns0:c r="F45" s="4" t="inlineStr">
        <ns0:is>
          <ns0:t>候选数值，未试跑</ns0:t>
        </ns0:is>
      </ns0:c>
      <ns0:c r="G45" s="4" t="inlineStr">
        <ns0:is>
          <ns0:t>未实现；无游戏注册ID</ns0:t>
        </ns0:is>
      </ns0:c>
      <ns0:c r="H45" s="4" t="inlineStr">
        <ns0:is>
          <ns0:t>第1批基础；第2批微调；第3批复查；用户直接更正优先；W15</ns0:t>
        </ns0:is>
      </ns0:c>
    </ns0:row>
    <ns0:row r="46" ht="60" customHeight="1">
      <ns0:c r="A46" s="4" t="inlineStr">
        <ns0:is>
          <ns0:t>t01.asset.0041</ns0:t>
        </ns0:is>
      </ns0:c>
      <ns0:c r="B46" s="7" t="str">
        <ns0:f>'02_武器'!B28</ns0:f>
        <ns0:v>风刃匕</ns0:v>
      </ns0:c>
      <ns0:c r="C46" s="7" t="str">
        <ns0:f>'02_武器'!C28</ns0:f>
        <ns0:v>凡品</ns0:v>
      </ns0:c>
      <ns0:c r="D46" s="4" t="inlineStr">
        <ns0:is>
          <ns0:t>武器</ns0:t>
        </ns0:is>
      </ns0:c>
      <ns0:c r="E46" s="8" t="inlineStr">
        <ns0:is>
          <ns0:t>02_武器!A28</ns0:t>
        </ns0:is>
      </ns0:c>
      <ns0:c r="F46" s="4" t="inlineStr">
        <ns0:is>
          <ns0:t>候选数值，未试跑</ns0:t>
        </ns0:is>
      </ns0:c>
      <ns0:c r="G46" s="4" t="inlineStr">
        <ns0:is>
          <ns0:t>未实现；无游戏注册ID</ns0:t>
        </ns0:is>
      </ns0:c>
      <ns0:c r="H46" s="4" t="inlineStr">
        <ns0:is>
          <ns0:t>第1批基础；第2批微调；第3批复查；用户直接更正优先；W16</ns0:t>
        </ns0:is>
      </ns0:c>
    </ns0:row>
    <ns0:row r="47" ht="60" customHeight="1">
      <ns0:c r="A47" s="4" t="inlineStr">
        <ns0:is>
          <ns0:t>t01.asset.0042</ns0:t>
        </ns0:is>
      </ns0:c>
      <ns0:c r="B47" s="7" t="str">
        <ns0:f>'02_武器'!B29</ns0:f>
        <ns0:v>青木枪</ns0:v>
      </ns0:c>
      <ns0:c r="C47" s="7" t="str">
        <ns0:f>'02_武器'!C29</ns0:f>
        <ns0:v>凡品</ns0:v>
      </ns0:c>
      <ns0:c r="D47" s="4" t="inlineStr">
        <ns0:is>
          <ns0:t>武器</ns0:t>
        </ns0:is>
      </ns0:c>
      <ns0:c r="E47" s="8" t="inlineStr">
        <ns0:is>
          <ns0:t>02_武器!A29</ns0:t>
        </ns0:is>
      </ns0:c>
      <ns0:c r="F47" s="4" t="inlineStr">
        <ns0:is>
          <ns0:t>候选数值，未试跑</ns0:t>
        </ns0:is>
      </ns0:c>
      <ns0:c r="G47" s="4" t="inlineStr">
        <ns0:is>
          <ns0:t>未实现；无游戏注册ID</ns0:t>
        </ns0:is>
      </ns0:c>
      <ns0:c r="H47" s="4" t="inlineStr">
        <ns0:is>
          <ns0:t>第1批基础；第2批微调；第3批复查；用户直接更正优先；W17</ns0:t>
        </ns0:is>
      </ns0:c>
    </ns0:row>
    <ns0:row r="48" ht="60" customHeight="1">
      <ns0:c r="A48" s="4" t="inlineStr">
        <ns0:is>
          <ns0:t>t01.asset.0043</ns0:t>
        </ns0:is>
      </ns0:c>
      <ns0:c r="B48" s="7" t="str">
        <ns0:f>'02_武器'!B30</ns0:f>
        <ns0:v>雷纹枪</ns0:v>
      </ns0:c>
      <ns0:c r="C48" s="7" t="str">
        <ns0:f>'02_武器'!C30</ns0:f>
        <ns0:v>凡品</ns0:v>
      </ns0:c>
      <ns0:c r="D48" s="4" t="inlineStr">
        <ns0:is>
          <ns0:t>武器</ns0:t>
        </ns0:is>
      </ns0:c>
      <ns0:c r="E48" s="8" t="inlineStr">
        <ns0:is>
          <ns0:t>02_武器!A30</ns0:t>
        </ns0:is>
      </ns0:c>
      <ns0:c r="F48" s="4" t="inlineStr">
        <ns0:is>
          <ns0:t>候选数值，未试跑</ns0:t>
        </ns0:is>
      </ns0:c>
      <ns0:c r="G48" s="4" t="inlineStr">
        <ns0:is>
          <ns0:t>未实现；无游戏注册ID</ns0:t>
        </ns0:is>
      </ns0:c>
      <ns0:c r="H48" s="4" t="inlineStr">
        <ns0:is>
          <ns0:t>第1批基础；第2批微调；第3批复查；用户直接更正优先；W19</ns0:t>
        </ns0:is>
      </ns0:c>
    </ns0:row>
    <ns0:row r="49" ht="60" customHeight="1">
      <ns0:c r="A49" s="4" t="inlineStr">
        <ns0:is>
          <ns0:t>t01.asset.0044</ns0:t>
        </ns0:is>
      </ns0:c>
      <ns0:c r="B49" s="7" t="str">
        <ns0:f>'02_武器'!B31</ns0:f>
        <ns0:v>炎纹锤</ns0:v>
      </ns0:c>
      <ns0:c r="C49" s="7" t="str">
        <ns0:f>'02_武器'!C31</ns0:f>
        <ns0:v>凡品</ns0:v>
      </ns0:c>
      <ns0:c r="D49" s="4" t="inlineStr">
        <ns0:is>
          <ns0:t>武器</ns0:t>
        </ns0:is>
      </ns0:c>
      <ns0:c r="E49" s="8" t="inlineStr">
        <ns0:is>
          <ns0:t>02_武器!A31</ns0:t>
        </ns0:is>
      </ns0:c>
      <ns0:c r="F49" s="4" t="inlineStr">
        <ns0:is>
          <ns0:t>候选数值，未试跑</ns0:t>
        </ns0:is>
      </ns0:c>
      <ns0:c r="G49" s="4" t="inlineStr">
        <ns0:is>
          <ns0:t>未实现；无游戏注册ID</ns0:t>
        </ns0:is>
      </ns0:c>
      <ns0:c r="H49" s="4" t="inlineStr">
        <ns0:is>
          <ns0:t>第1批基础；第2批微调；第3批复查；用户直接更正优先；W20</ns0:t>
        </ns0:is>
      </ns0:c>
    </ns0:row>
    <ns0:row r="50" ht="60" customHeight="1">
      <ns0:c r="A50" s="4" t="inlineStr">
        <ns0:is>
          <ns0:t>t01.asset.0045</ns0:t>
        </ns0:is>
      </ns0:c>
      <ns0:c r="B50" s="7" t="str">
        <ns0:f>'02_武器'!B32</ns0:f>
        <ns0:v>石骨锤</ns0:v>
      </ns0:c>
      <ns0:c r="C50" s="7" t="str">
        <ns0:f>'02_武器'!C32</ns0:f>
        <ns0:v>凡品</ns0:v>
      </ns0:c>
      <ns0:c r="D50" s="4" t="inlineStr">
        <ns0:is>
          <ns0:t>武器</ns0:t>
        </ns0:is>
      </ns0:c>
      <ns0:c r="E50" s="8" t="inlineStr">
        <ns0:is>
          <ns0:t>02_武器!A32</ns0:t>
        </ns0:is>
      </ns0:c>
      <ns0:c r="F50" s="4" t="inlineStr">
        <ns0:is>
          <ns0:t>候选数值，未试跑</ns0:t>
        </ns0:is>
      </ns0:c>
      <ns0:c r="G50" s="4" t="inlineStr">
        <ns0:is>
          <ns0:t>未实现；无游戏注册ID</ns0:t>
        </ns0:is>
      </ns0:c>
      <ns0:c r="H50" s="4" t="inlineStr">
        <ns0:is>
          <ns0:t>第1批基础；第2批微调；第3批复查；用户直接更正优先；W21</ns0:t>
        </ns0:is>
      </ns0:c>
    </ns0:row>
    <ns0:row r="51" ht="60" customHeight="1">
      <ns0:c r="A51" s="4" t="inlineStr">
        <ns0:is>
          <ns0:t>t01.asset.0046</ns0:t>
        </ns0:is>
      </ns0:c>
      <ns0:c r="B51" s="7" t="str">
        <ns0:f>'02_武器'!B33</ns0:f>
        <ns0:v>镇土印</ns0:v>
      </ns0:c>
      <ns0:c r="C51" s="7" t="str">
        <ns0:f>'02_武器'!C33</ns0:f>
        <ns0:v>凡品</ns0:v>
      </ns0:c>
      <ns0:c r="D51" s="4" t="inlineStr">
        <ns0:is>
          <ns0:t>武器</ns0:t>
        </ns0:is>
      </ns0:c>
      <ns0:c r="E51" s="8" t="inlineStr">
        <ns0:is>
          <ns0:t>02_武器!A33</ns0:t>
        </ns0:is>
      </ns0:c>
      <ns0:c r="F51" s="4" t="inlineStr">
        <ns0:is>
          <ns0:t>候选数值，未试跑</ns0:t>
        </ns0:is>
      </ns0:c>
      <ns0:c r="G51" s="4" t="inlineStr">
        <ns0:is>
          <ns0:t>未实现；无游戏注册ID</ns0:t>
        </ns0:is>
      </ns0:c>
      <ns0:c r="H51" s="4" t="inlineStr">
        <ns0:is>
          <ns0:t>第1批基础；第2批微调；第3批复查；用户直接更正优先；W22</ns0:t>
        </ns0:is>
      </ns0:c>
    </ns0:row>
    <ns0:row r="52" ht="60" customHeight="1">
      <ns0:c r="A52" s="4" t="inlineStr">
        <ns0:is>
          <ns0:t>t01.asset.0047</ns0:t>
        </ns0:is>
      </ns0:c>
      <ns0:c r="B52" s="7" t="str">
        <ns0:f>'02_武器'!B34</ns0:f>
        <ns0:v>雷纹印</ns0:v>
      </ns0:c>
      <ns0:c r="C52" s="7" t="str">
        <ns0:f>'02_武器'!C34</ns0:f>
        <ns0:v>凡品</ns0:v>
      </ns0:c>
      <ns0:c r="D52" s="4" t="inlineStr">
        <ns0:is>
          <ns0:t>武器</ns0:t>
        </ns0:is>
      </ns0:c>
      <ns0:c r="E52" s="8" t="inlineStr">
        <ns0:is>
          <ns0:t>02_武器!A34</ns0:t>
        </ns0:is>
      </ns0:c>
      <ns0:c r="F52" s="4" t="inlineStr">
        <ns0:is>
          <ns0:t>候选数值，未试跑</ns0:t>
        </ns0:is>
      </ns0:c>
      <ns0:c r="G52" s="4" t="inlineStr">
        <ns0:is>
          <ns0:t>未实现；无游戏注册ID</ns0:t>
        </ns0:is>
      </ns0:c>
      <ns0:c r="H52" s="4" t="inlineStr">
        <ns0:is>
          <ns0:t>第1批基础；第2批微调；第3批复查；用户直接更正优先；W23</ns0:t>
        </ns0:is>
      </ns0:c>
    </ns0:row>
    <ns0:row r="53" ht="60" customHeight="1">
      <ns0:c r="A53" s="4" t="inlineStr">
        <ns0:is>
          <ns0:t>t01.asset.0048</ns0:t>
        </ns0:is>
      </ns0:c>
      <ns0:c r="B53" s="7" t="str">
        <ns0:f>'02_武器'!B35</ns0:f>
        <ns0:v>藤鞭</ns0:v>
      </ns0:c>
      <ns0:c r="C53" s="7" t="str">
        <ns0:f>'02_武器'!C35</ns0:f>
        <ns0:v>凡品</ns0:v>
      </ns0:c>
      <ns0:c r="D53" s="4" t="inlineStr">
        <ns0:is>
          <ns0:t>武器</ns0:t>
        </ns0:is>
      </ns0:c>
      <ns0:c r="E53" s="8" t="inlineStr">
        <ns0:is>
          <ns0:t>02_武器!A35</ns0:t>
        </ns0:is>
      </ns0:c>
      <ns0:c r="F53" s="4" t="inlineStr">
        <ns0:is>
          <ns0:t>候选数值，未试跑</ns0:t>
        </ns0:is>
      </ns0:c>
      <ns0:c r="G53" s="4" t="inlineStr">
        <ns0:is>
          <ns0:t>未实现；无游戏注册ID</ns0:t>
        </ns0:is>
      </ns0:c>
      <ns0:c r="H53" s="4" t="inlineStr">
        <ns0:is>
          <ns0:t>第1批基础；第2批微调；第3批复查；用户直接更正优先；W24</ns0:t>
        </ns0:is>
      </ns0:c>
    </ns0:row>
    <ns0:row r="54" ht="60" customHeight="1">
      <ns0:c r="A54" s="4" t="inlineStr">
        <ns0:is>
          <ns0:t>t01.asset.0049</ns0:t>
        </ns0:is>
      </ns0:c>
      <ns0:c r="B54" s="7" t="str">
        <ns0:f>'02_武器'!B36</ns0:f>
        <ns0:v>雷鞭</ns0:v>
      </ns0:c>
      <ns0:c r="C54" s="7" t="str">
        <ns0:f>'02_武器'!C36</ns0:f>
        <ns0:v>凡品</ns0:v>
      </ns0:c>
      <ns0:c r="D54" s="4" t="inlineStr">
        <ns0:is>
          <ns0:t>武器</ns0:t>
        </ns0:is>
      </ns0:c>
      <ns0:c r="E54" s="8" t="inlineStr">
        <ns0:is>
          <ns0:t>02_武器!A36</ns0:t>
        </ns0:is>
      </ns0:c>
      <ns0:c r="F54" s="4" t="inlineStr">
        <ns0:is>
          <ns0:t>候选数值，未试跑</ns0:t>
        </ns0:is>
      </ns0:c>
      <ns0:c r="G54" s="4" t="inlineStr">
        <ns0:is>
          <ns0:t>未实现；无游戏注册ID</ns0:t>
        </ns0:is>
      </ns0:c>
      <ns0:c r="H54" s="4" t="inlineStr">
        <ns0:is>
          <ns0:t>第1批基础；第2批微调；第3批复查；用户直接更正优先；W25</ns0:t>
        </ns0:is>
      </ns0:c>
    </ns0:row>
    <ns0:row r="55" ht="60" customHeight="1">
      <ns0:c r="A55" s="4" t="inlineStr">
        <ns0:is>
          <ns0:t>t01.asset.0050</ns0:t>
        </ns0:is>
      </ns0:c>
      <ns0:c r="B55" s="7" t="str">
        <ns0:f>'02_武器'!B37</ns0:f>
        <ns0:v>刺血匕</ns0:v>
      </ns0:c>
      <ns0:c r="C55" s="7" t="str">
        <ns0:f>'02_武器'!C37</ns0:f>
        <ns0:v>凡品</ns0:v>
      </ns0:c>
      <ns0:c r="D55" s="4" t="inlineStr">
        <ns0:is>
          <ns0:t>武器</ns0:t>
        </ns0:is>
      </ns0:c>
      <ns0:c r="E55" s="8" t="inlineStr">
        <ns0:is>
          <ns0:t>02_武器!A37</ns0:t>
        </ns0:is>
      </ns0:c>
      <ns0:c r="F55" s="4" t="inlineStr">
        <ns0:is>
          <ns0:t>候选数值，未试跑</ns0:t>
        </ns0:is>
      </ns0:c>
      <ns0:c r="G55" s="4" t="inlineStr">
        <ns0:is>
          <ns0:t>未实现；无游戏注册ID</ns0:t>
        </ns0:is>
      </ns0:c>
      <ns0:c r="H55" s="4" t="inlineStr">
        <ns0:is>
          <ns0:t>第1批基础；第2批微调；第3批复查；用户直接更正优先；W28</ns0:t>
        </ns0:is>
      </ns0:c>
    </ns0:row>
    <ns0:row r="56" ht="60" customHeight="1">
      <ns0:c r="A56" s="4" t="inlineStr">
        <ns0:is>
          <ns0:t>t01.asset.0051</ns0:t>
        </ns0:is>
      </ns0:c>
      <ns0:c r="B56" s="7" t="str">
        <ns0:f>'02_武器'!B38</ns0:f>
        <ns0:v>震骨锤</ns0:v>
      </ns0:c>
      <ns0:c r="C56" s="7" t="str">
        <ns0:f>'02_武器'!C38</ns0:f>
        <ns0:v>凡品</ns0:v>
      </ns0:c>
      <ns0:c r="D56" s="4" t="inlineStr">
        <ns0:is>
          <ns0:t>武器</ns0:t>
        </ns0:is>
      </ns0:c>
      <ns0:c r="E56" s="8" t="inlineStr">
        <ns0:is>
          <ns0:t>02_武器!A38</ns0:t>
        </ns0:is>
      </ns0:c>
      <ns0:c r="F56" s="4" t="inlineStr">
        <ns0:is>
          <ns0:t>候选数值，未试跑</ns0:t>
        </ns0:is>
      </ns0:c>
      <ns0:c r="G56" s="4" t="inlineStr">
        <ns0:is>
          <ns0:t>未实现；无游戏注册ID</ns0:t>
        </ns0:is>
      </ns0:c>
      <ns0:c r="H56" s="4" t="inlineStr">
        <ns0:is>
          <ns0:t>第1批基础；第2批微调；第3批复查；用户直接更正优先；W30</ns0:t>
        </ns0:is>
      </ns0:c>
    </ns0:row>
    <ns0:row r="57" ht="60" customHeight="1">
      <ns0:c r="A57" s="4" t="inlineStr">
        <ns0:is>
          <ns0:t>t01.asset.0052</ns0:t>
        </ns0:is>
      </ns0:c>
      <ns0:c r="B57" s="7" t="str">
        <ns0:f>'02_武器'!B39</ns0:f>
        <ns0:v>清风印</ns0:v>
      </ns0:c>
      <ns0:c r="C57" s="7" t="str">
        <ns0:f>'02_武器'!C39</ns0:f>
        <ns0:v>凡品</ns0:v>
      </ns0:c>
      <ns0:c r="D57" s="4" t="inlineStr">
        <ns0:is>
          <ns0:t>武器</ns0:t>
        </ns0:is>
      </ns0:c>
      <ns0:c r="E57" s="8" t="inlineStr">
        <ns0:is>
          <ns0:t>02_武器!A39</ns0:t>
        </ns0:is>
      </ns0:c>
      <ns0:c r="F57" s="4" t="inlineStr">
        <ns0:is>
          <ns0:t>候选数值，未试跑</ns0:t>
        </ns0:is>
      </ns0:c>
      <ns0:c r="G57" s="4" t="inlineStr">
        <ns0:is>
          <ns0:t>未实现；无游戏注册ID</ns0:t>
        </ns0:is>
      </ns0:c>
      <ns0:c r="H57" s="4" t="inlineStr">
        <ns0:is>
          <ns0:t>第1批基础；第2批微调；第3批复查；用户直接更正优先；W31</ns0:t>
        </ns0:is>
      </ns0:c>
    </ns0:row>
    <ns0:row r="58" ht="60" customHeight="1">
      <ns0:c r="A58" s="4" t="inlineStr">
        <ns0:is>
          <ns0:t>t01.asset.0053</ns0:t>
        </ns0:is>
      </ns0:c>
      <ns0:c r="B58" s="7" t="str">
        <ns0:f>'02_武器'!B40</ns0:f>
        <ns0:v>荆鞭</ns0:v>
      </ns0:c>
      <ns0:c r="C58" s="7" t="str">
        <ns0:f>'02_武器'!C40</ns0:f>
        <ns0:v>凡品</ns0:v>
      </ns0:c>
      <ns0:c r="D58" s="4" t="inlineStr">
        <ns0:is>
          <ns0:t>武器</ns0:t>
        </ns0:is>
      </ns0:c>
      <ns0:c r="E58" s="8" t="inlineStr">
        <ns0:is>
          <ns0:t>02_武器!A40</ns0:t>
        </ns0:is>
      </ns0:c>
      <ns0:c r="F58" s="4" t="inlineStr">
        <ns0:is>
          <ns0:t>候选数值，未试跑</ns0:t>
        </ns0:is>
      </ns0:c>
      <ns0:c r="G58" s="4" t="inlineStr">
        <ns0:is>
          <ns0:t>未实现；无游戏注册ID</ns0:t>
        </ns0:is>
      </ns0:c>
      <ns0:c r="H58" s="4" t="inlineStr">
        <ns0:is>
          <ns0:t>第1批基础；第2批微调；第3批复查；用户直接更正优先；W32</ns0:t>
        </ns0:is>
      </ns0:c>
    </ns0:row>
    <ns0:row r="59" ht="60" customHeight="1">
      <ns0:c r="A59" s="4" t="inlineStr">
        <ns0:is>
          <ns0:t>t01.asset.0054</ns0:t>
        </ns0:is>
      </ns0:c>
      <ns0:c r="B59" s="7" t="str">
        <ns0:f>'02_武器'!B41</ns0:f>
        <ns0:v>赤焰枪</ns0:v>
      </ns0:c>
      <ns0:c r="C59" s="7" t="str">
        <ns0:f>'02_武器'!C41</ns0:f>
        <ns0:v>凡品</ns0:v>
      </ns0:c>
      <ns0:c r="D59" s="4" t="inlineStr">
        <ns0:is>
          <ns0:t>武器</ns0:t>
        </ns0:is>
      </ns0:c>
      <ns0:c r="E59" s="8" t="inlineStr">
        <ns0:is>
          <ns0:t>02_武器!A41</ns0:t>
        </ns0:is>
      </ns0:c>
      <ns0:c r="F59" s="4" t="inlineStr">
        <ns0:is>
          <ns0:t>候选数值，未试跑</ns0:t>
        </ns0:is>
      </ns0:c>
      <ns0:c r="G59" s="4" t="inlineStr">
        <ns0:is>
          <ns0:t>未实现；无游戏注册ID</ns0:t>
        </ns0:is>
      </ns0:c>
      <ns0:c r="H59" s="4" t="inlineStr">
        <ns0:is>
          <ns0:t>第1批基础；第2批微调；第3批复查；用户直接更正优先；W33</ns0:t>
        </ns0:is>
      </ns0:c>
    </ns0:row>
    <ns0:row r="60" ht="60" customHeight="1">
      <ns0:c r="A60" s="4" t="inlineStr">
        <ns0:is>
          <ns0:t>t01.asset.0055</ns0:t>
        </ns0:is>
      </ns0:c>
      <ns0:c r="B60" s="7" t="str">
        <ns0:f>'03_防具'!B14</ns0:f>
        <ns0:v>细布衣</ns0:v>
      </ns0:c>
      <ns0:c r="C60" s="7" t="str">
        <ns0:f>'03_防具'!C14</ns0:f>
        <ns0:v>凡品</ns0:v>
      </ns0:c>
      <ns0:c r="D60" s="4" t="inlineStr">
        <ns0:is>
          <ns0:t>防具</ns0:t>
        </ns0:is>
      </ns0:c>
      <ns0:c r="E60" s="8" t="inlineStr">
        <ns0:is>
          <ns0:t>03_防具!A14</ns0:t>
        </ns0:is>
      </ns0:c>
      <ns0:c r="F60" s="4" t="inlineStr">
        <ns0:is>
          <ns0:t>候选数值，未试跑</ns0:t>
        </ns0:is>
      </ns0:c>
      <ns0:c r="G60" s="4" t="inlineStr">
        <ns0:is>
          <ns0:t>未实现；无游戏注册ID</ns0:t>
        </ns0:is>
      </ns0:c>
      <ns0:c r="H60" s="4" t="inlineStr">
        <ns0:is>
          <ns0:t>第1批基础；第2批微调；第3批复查；用户直接更正优先；A01</ns0:t>
        </ns0:is>
      </ns0:c>
    </ns0:row>
    <ns0:row r="61" ht="60" customHeight="1">
      <ns0:c r="A61" s="4" t="inlineStr">
        <ns0:is>
          <ns0:t>t01.asset.0056</ns0:t>
        </ns0:is>
      </ns0:c>
      <ns0:c r="B61" s="7" t="str">
        <ns0:f>'03_防具'!B15</ns0:f>
        <ns0:v>水纹衣</ns0:v>
      </ns0:c>
      <ns0:c r="C61" s="7" t="str">
        <ns0:f>'03_防具'!C15</ns0:f>
        <ns0:v>凡品</ns0:v>
      </ns0:c>
      <ns0:c r="D61" s="4" t="inlineStr">
        <ns0:is>
          <ns0:t>防具</ns0:t>
        </ns0:is>
      </ns0:c>
      <ns0:c r="E61" s="8" t="inlineStr">
        <ns0:is>
          <ns0:t>03_防具!A15</ns0:t>
        </ns0:is>
      </ns0:c>
      <ns0:c r="F61" s="4" t="inlineStr">
        <ns0:is>
          <ns0:t>候选数值，未试跑</ns0:t>
        </ns0:is>
      </ns0:c>
      <ns0:c r="G61" s="4" t="inlineStr">
        <ns0:is>
          <ns0:t>未实现；无游戏注册ID</ns0:t>
        </ns0:is>
      </ns0:c>
      <ns0:c r="H61" s="4" t="inlineStr">
        <ns0:is>
          <ns0:t>第1批基础；第2批微调；第3批复查；用户直接更正优先；A02</ns0:t>
        </ns0:is>
      </ns0:c>
    </ns0:row>
    <ns0:row r="62" ht="60" customHeight="1">
      <ns0:c r="A62" s="4" t="inlineStr">
        <ns0:is>
          <ns0:t>t01.asset.0057</ns0:t>
        </ns0:is>
      </ns0:c>
      <ns0:c r="B62" s="7" t="str">
        <ns0:f>'03_防具'!B16</ns0:f>
        <ns0:v>札甲</ns0:v>
      </ns0:c>
      <ns0:c r="C62" s="7" t="str">
        <ns0:f>'03_防具'!C16</ns0:f>
        <ns0:v>凡品</ns0:v>
      </ns0:c>
      <ns0:c r="D62" s="4" t="inlineStr">
        <ns0:is>
          <ns0:t>防具</ns0:t>
        </ns0:is>
      </ns0:c>
      <ns0:c r="E62" s="8" t="inlineStr">
        <ns0:is>
          <ns0:t>03_防具!A16</ns0:t>
        </ns0:is>
      </ns0:c>
      <ns0:c r="F62" s="4" t="inlineStr">
        <ns0:is>
          <ns0:t>候选数值，未试跑</ns0:t>
        </ns0:is>
      </ns0:c>
      <ns0:c r="G62" s="4" t="inlineStr">
        <ns0:is>
          <ns0:t>未实现；无游戏注册ID</ns0:t>
        </ns0:is>
      </ns0:c>
      <ns0:c r="H62" s="4" t="inlineStr">
        <ns0:is>
          <ns0:t>第1批基础；第2批微调；第3批复查；用户直接更正优先；A03</ns0:t>
        </ns0:is>
      </ns0:c>
    </ns0:row>
    <ns0:row r="63" ht="60" customHeight="1">
      <ns0:c r="A63" s="4" t="inlineStr">
        <ns0:is>
          <ns0:t>t01.asset.0058</ns0:t>
        </ns0:is>
      </ns0:c>
      <ns0:c r="B63" s="7" t="str">
        <ns0:f>'03_防具'!B17</ns0:f>
        <ns0:v>赤铜甲</ns0:v>
      </ns0:c>
      <ns0:c r="C63" s="7" t="str">
        <ns0:f>'03_防具'!C17</ns0:f>
        <ns0:v>凡品</ns0:v>
      </ns0:c>
      <ns0:c r="D63" s="4" t="inlineStr">
        <ns0:is>
          <ns0:t>防具</ns0:t>
        </ns0:is>
      </ns0:c>
      <ns0:c r="E63" s="8" t="inlineStr">
        <ns0:is>
          <ns0:t>03_防具!A17</ns0:t>
        </ns0:is>
      </ns0:c>
      <ns0:c r="F63" s="4" t="inlineStr">
        <ns0:is>
          <ns0:t>候选数值，未试跑</ns0:t>
        </ns0:is>
      </ns0:c>
      <ns0:c r="G63" s="4" t="inlineStr">
        <ns0:is>
          <ns0:t>未实现；无游戏注册ID</ns0:t>
        </ns0:is>
      </ns0:c>
      <ns0:c r="H63" s="4" t="inlineStr">
        <ns0:is>
          <ns0:t>第1批基础；第2批微调；第3批复查；用户直接更正优先；A04</ns0:t>
        </ns0:is>
      </ns0:c>
    </ns0:row>
    <ns0:row r="64" ht="60" customHeight="1">
      <ns0:c r="A64" s="4" t="inlineStr">
        <ns0:is>
          <ns0:t>t01.asset.0059</ns0:t>
        </ns0:is>
      </ns0:c>
      <ns0:c r="B64" s="7" t="str">
        <ns0:f>'03_防具'!B18</ns0:f>
        <ns0:v>雷纹法袍</ns0:v>
      </ns0:c>
      <ns0:c r="C64" s="7" t="str">
        <ns0:f>'03_防具'!C18</ns0:f>
        <ns0:v>凡品</ns0:v>
      </ns0:c>
      <ns0:c r="D64" s="4" t="inlineStr">
        <ns0:is>
          <ns0:t>防具</ns0:t>
        </ns0:is>
      </ns0:c>
      <ns0:c r="E64" s="8" t="inlineStr">
        <ns0:is>
          <ns0:t>03_防具!A18</ns0:t>
        </ns0:is>
      </ns0:c>
      <ns0:c r="F64" s="4" t="inlineStr">
        <ns0:is>
          <ns0:t>候选数值，未试跑</ns0:t>
        </ns0:is>
      </ns0:c>
      <ns0:c r="G64" s="4" t="inlineStr">
        <ns0:is>
          <ns0:t>未实现；无游戏注册ID</ns0:t>
        </ns0:is>
      </ns0:c>
      <ns0:c r="H64" s="4" t="inlineStr">
        <ns0:is>
          <ns0:t>第1批基础；第2批微调；第3批复查；用户直接更正优先；A06</ns0:t>
        </ns0:is>
      </ns0:c>
    </ns0:row>
    <ns0:row r="65" ht="60" customHeight="1">
      <ns0:c r="A65" s="4" t="inlineStr">
        <ns0:is>
          <ns0:t>t01.asset.0060</ns0:t>
        </ns0:is>
      </ns0:c>
      <ns0:c r="B65" s="7" t="str">
        <ns0:f>'03_防具'!B19</ns0:f>
        <ns0:v>皮帽</ns0:v>
      </ns0:c>
      <ns0:c r="C65" s="7" t="str">
        <ns0:f>'03_防具'!C19</ns0:f>
        <ns0:v>凡品</ns0:v>
      </ns0:c>
      <ns0:c r="D65" s="4" t="inlineStr">
        <ns0:is>
          <ns0:t>防具</ns0:t>
        </ns0:is>
      </ns0:c>
      <ns0:c r="E65" s="8" t="inlineStr">
        <ns0:is>
          <ns0:t>03_防具!A19</ns0:t>
        </ns0:is>
      </ns0:c>
      <ns0:c r="F65" s="4" t="inlineStr">
        <ns0:is>
          <ns0:t>候选数值，未试跑</ns0:t>
        </ns0:is>
      </ns0:c>
      <ns0:c r="G65" s="4" t="inlineStr">
        <ns0:is>
          <ns0:t>未实现；无游戏注册ID</ns0:t>
        </ns0:is>
      </ns0:c>
      <ns0:c r="H65" s="4" t="inlineStr">
        <ns0:is>
          <ns0:t>第1批基础；第2批微调；第3批复查；用户直接更正优先；A07</ns0:t>
        </ns0:is>
      </ns0:c>
    </ns0:row>
    <ns0:row r="66" ht="60" customHeight="1">
      <ns0:c r="A66" s="4" t="inlineStr">
        <ns0:is>
          <ns0:t>t01.asset.0061</ns0:t>
        </ns0:is>
      </ns0:c>
      <ns0:c r="B66" s="7" t="str">
        <ns0:f>'03_防具'!B20</ns0:f>
        <ns0:v>铁盔</ns0:v>
      </ns0:c>
      <ns0:c r="C66" s="7" t="str">
        <ns0:f>'03_防具'!C20</ns0:f>
        <ns0:v>凡品</ns0:v>
      </ns0:c>
      <ns0:c r="D66" s="4" t="inlineStr">
        <ns0:is>
          <ns0:t>防具</ns0:t>
        </ns0:is>
      </ns0:c>
      <ns0:c r="E66" s="8" t="inlineStr">
        <ns0:is>
          <ns0:t>03_防具!A20</ns0:t>
        </ns0:is>
      </ns0:c>
      <ns0:c r="F66" s="4" t="inlineStr">
        <ns0:is>
          <ns0:t>候选数值，未试跑</ns0:t>
        </ns0:is>
      </ns0:c>
      <ns0:c r="G66" s="4" t="inlineStr">
        <ns0:is>
          <ns0:t>未实现；无游戏注册ID</ns0:t>
        </ns0:is>
      </ns0:c>
      <ns0:c r="H66" s="4" t="inlineStr">
        <ns0:is>
          <ns0:t>第1批基础；第2批微调；第3批复查；用户直接更正优先；A08</ns0:t>
        </ns0:is>
      </ns0:c>
    </ns0:row>
    <ns0:row r="67" ht="60" customHeight="1">
      <ns0:c r="A67" s="4" t="inlineStr">
        <ns0:is>
          <ns0:t>t01.asset.0062</ns0:t>
        </ns0:is>
      </ns0:c>
      <ns0:c r="B67" s="7" t="str">
        <ns0:f>'03_防具'!B21</ns0:f>
        <ns0:v>木纹冠</ns0:v>
      </ns0:c>
      <ns0:c r="C67" s="7" t="str">
        <ns0:f>'03_防具'!C21</ns0:f>
        <ns0:v>凡品</ns0:v>
      </ns0:c>
      <ns0:c r="D67" s="4" t="inlineStr">
        <ns0:is>
          <ns0:t>防具</ns0:t>
        </ns0:is>
      </ns0:c>
      <ns0:c r="E67" s="8" t="inlineStr">
        <ns0:is>
          <ns0:t>03_防具!A21</ns0:t>
        </ns0:is>
      </ns0:c>
      <ns0:c r="F67" s="4" t="inlineStr">
        <ns0:is>
          <ns0:t>候选数值，未试跑</ns0:t>
        </ns0:is>
      </ns0:c>
      <ns0:c r="G67" s="4" t="inlineStr">
        <ns0:is>
          <ns0:t>未实现；无游戏注册ID</ns0:t>
        </ns0:is>
      </ns0:c>
      <ns0:c r="H67" s="4" t="inlineStr">
        <ns0:is>
          <ns0:t>第1批基础；第2批微调；第3批复查；用户直接更正优先；A09</ns0:t>
        </ns0:is>
      </ns0:c>
    </ns0:row>
    <ns0:row r="68" ht="60" customHeight="1">
      <ns0:c r="A68" s="4" t="inlineStr">
        <ns0:is>
          <ns0:t>t01.asset.0063</ns0:t>
        </ns0:is>
      </ns0:c>
      <ns0:c r="B68" s="7" t="str">
        <ns0:f>'03_防具'!B22</ns0:f>
        <ns0:v>风纹冠</ns0:v>
      </ns0:c>
      <ns0:c r="C68" s="7" t="str">
        <ns0:f>'03_防具'!C22</ns0:f>
        <ns0:v>凡品</ns0:v>
      </ns0:c>
      <ns0:c r="D68" s="4" t="inlineStr">
        <ns0:is>
          <ns0:t>防具</ns0:t>
        </ns0:is>
      </ns0:c>
      <ns0:c r="E68" s="8" t="inlineStr">
        <ns0:is>
          <ns0:t>03_防具!A22</ns0:t>
        </ns0:is>
      </ns0:c>
      <ns0:c r="F68" s="4" t="inlineStr">
        <ns0:is>
          <ns0:t>候选数值，未试跑</ns0:t>
        </ns0:is>
      </ns0:c>
      <ns0:c r="G68" s="4" t="inlineStr">
        <ns0:is>
          <ns0:t>未实现；无游戏注册ID</ns0:t>
        </ns0:is>
      </ns0:c>
      <ns0:c r="H68" s="4" t="inlineStr">
        <ns0:is>
          <ns0:t>第1批基础；第2批微调；第3批复查；用户直接更正优先；A10</ns0:t>
        </ns0:is>
      </ns0:c>
    </ns0:row>
    <ns0:row r="69" ht="60" customHeight="1">
      <ns0:c r="A69" s="4" t="inlineStr">
        <ns0:is>
          <ns0:t>t01.asset.0064</ns0:t>
        </ns0:is>
      </ns0:c>
      <ns0:c r="B69" s="7" t="str">
        <ns0:f>'03_防具'!B23</ns0:f>
        <ns0:v>皮护臂</ns0:v>
      </ns0:c>
      <ns0:c r="C69" s="7" t="str">
        <ns0:f>'03_防具'!C23</ns0:f>
        <ns0:v>凡品</ns0:v>
      </ns0:c>
      <ns0:c r="D69" s="4" t="inlineStr">
        <ns0:is>
          <ns0:t>防具</ns0:t>
        </ns0:is>
      </ns0:c>
      <ns0:c r="E69" s="8" t="inlineStr">
        <ns0:is>
          <ns0:t>03_防具!A23</ns0:t>
        </ns0:is>
      </ns0:c>
      <ns0:c r="F69" s="4" t="inlineStr">
        <ns0:is>
          <ns0:t>候选数值，未试跑</ns0:t>
        </ns0:is>
      </ns0:c>
      <ns0:c r="G69" s="4" t="inlineStr">
        <ns0:is>
          <ns0:t>未实现；无游戏注册ID</ns0:t>
        </ns0:is>
      </ns0:c>
      <ns0:c r="H69" s="4" t="inlineStr">
        <ns0:is>
          <ns0:t>第1批基础；第2批微调；第3批复查；用户直接更正优先；A11</ns0:t>
        </ns0:is>
      </ns0:c>
    </ns0:row>
    <ns0:row r="70" ht="60" customHeight="1">
      <ns0:c r="A70" s="4" t="inlineStr">
        <ns0:is>
          <ns0:t>t01.asset.0065</ns0:t>
        </ns0:is>
      </ns0:c>
      <ns0:c r="B70" s="7" t="str">
        <ns0:f>'03_防具'!B24</ns0:f>
        <ns0:v>铁护腕</ns0:v>
      </ns0:c>
      <ns0:c r="C70" s="7" t="str">
        <ns0:f>'03_防具'!C24</ns0:f>
        <ns0:v>凡品</ns0:v>
      </ns0:c>
      <ns0:c r="D70" s="4" t="inlineStr">
        <ns0:is>
          <ns0:t>防具</ns0:t>
        </ns0:is>
      </ns0:c>
      <ns0:c r="E70" s="8" t="inlineStr">
        <ns0:is>
          <ns0:t>03_防具!A24</ns0:t>
        </ns0:is>
      </ns0:c>
      <ns0:c r="F70" s="4" t="inlineStr">
        <ns0:is>
          <ns0:t>候选数值，未试跑</ns0:t>
        </ns0:is>
      </ns0:c>
      <ns0:c r="G70" s="4" t="inlineStr">
        <ns0:is>
          <ns0:t>未实现；无游戏注册ID</ns0:t>
        </ns0:is>
      </ns0:c>
      <ns0:c r="H70" s="4" t="inlineStr">
        <ns0:is>
          <ns0:t>第1批基础；第2批微调；第3批复查；用户直接更正优先；A12</ns0:t>
        </ns0:is>
      </ns0:c>
    </ns0:row>
    <ns0:row r="71" ht="60" customHeight="1">
      <ns0:c r="A71" s="4" t="inlineStr">
        <ns0:is>
          <ns0:t>t01.asset.0066</ns0:t>
        </ns0:is>
      </ns0:c>
      <ns0:c r="B71" s="7" t="str">
        <ns0:f>'03_防具'!B25</ns0:f>
        <ns0:v>水纹护臂</ns0:v>
      </ns0:c>
      <ns0:c r="C71" s="7" t="str">
        <ns0:f>'03_防具'!C25</ns0:f>
        <ns0:v>凡品</ns0:v>
      </ns0:c>
      <ns0:c r="D71" s="4" t="inlineStr">
        <ns0:is>
          <ns0:t>防具</ns0:t>
        </ns0:is>
      </ns0:c>
      <ns0:c r="E71" s="8" t="inlineStr">
        <ns0:is>
          <ns0:t>03_防具!A25</ns0:t>
        </ns0:is>
      </ns0:c>
      <ns0:c r="F71" s="4" t="inlineStr">
        <ns0:is>
          <ns0:t>候选数值，未试跑</ns0:t>
        </ns0:is>
      </ns0:c>
      <ns0:c r="G71" s="4" t="inlineStr">
        <ns0:is>
          <ns0:t>未实现；无游戏注册ID</ns0:t>
        </ns0:is>
      </ns0:c>
      <ns0:c r="H71" s="4" t="inlineStr">
        <ns0:is>
          <ns0:t>第1批基础；第2批微调；第3批复查；用户直接更正优先；A13</ns0:t>
        </ns0:is>
      </ns0:c>
    </ns0:row>
    <ns0:row r="72" ht="60" customHeight="1">
      <ns0:c r="A72" s="4" t="inlineStr">
        <ns0:is>
          <ns0:t>t01.asset.0067</ns0:t>
        </ns0:is>
      </ns0:c>
      <ns0:c r="B72" s="7" t="str">
        <ns0:f>'03_防具'!B26</ns0:f>
        <ns0:v>雷纹护腕</ns0:v>
      </ns0:c>
      <ns0:c r="C72" s="7" t="str">
        <ns0:f>'03_防具'!C26</ns0:f>
        <ns0:v>凡品</ns0:v>
      </ns0:c>
      <ns0:c r="D72" s="4" t="inlineStr">
        <ns0:is>
          <ns0:t>防具</ns0:t>
        </ns0:is>
      </ns0:c>
      <ns0:c r="E72" s="8" t="inlineStr">
        <ns0:is>
          <ns0:t>03_防具!A26</ns0:t>
        </ns0:is>
      </ns0:c>
      <ns0:c r="F72" s="4" t="inlineStr">
        <ns0:is>
          <ns0:t>候选数值，未试跑</ns0:t>
        </ns0:is>
      </ns0:c>
      <ns0:c r="G72" s="4" t="inlineStr">
        <ns0:is>
          <ns0:t>未实现；无游戏注册ID</ns0:t>
        </ns0:is>
      </ns0:c>
      <ns0:c r="H72" s="4" t="inlineStr">
        <ns0:is>
          <ns0:t>第1批基础；第2批微调；第3批复查；用户直接更正优先；A14</ns0:t>
        </ns0:is>
      </ns0:c>
    </ns0:row>
    <ns0:row r="73" ht="60" customHeight="1">
      <ns0:c r="A73" s="4" t="inlineStr">
        <ns0:is>
          <ns0:t>t01.asset.0068</ns0:t>
        </ns0:is>
      </ns0:c>
      <ns0:c r="B73" s="7" t="str">
        <ns0:f>'03_防具'!B27</ns0:f>
        <ns0:v>皮护腿</ns0:v>
      </ns0:c>
      <ns0:c r="C73" s="7" t="str">
        <ns0:f>'03_防具'!C27</ns0:f>
        <ns0:v>凡品</ns0:v>
      </ns0:c>
      <ns0:c r="D73" s="4" t="inlineStr">
        <ns0:is>
          <ns0:t>防具</ns0:t>
        </ns0:is>
      </ns0:c>
      <ns0:c r="E73" s="8" t="inlineStr">
        <ns0:is>
          <ns0:t>03_防具!A27</ns0:t>
        </ns0:is>
      </ns0:c>
      <ns0:c r="F73" s="4" t="inlineStr">
        <ns0:is>
          <ns0:t>候选数值，未试跑</ns0:t>
        </ns0:is>
      </ns0:c>
      <ns0:c r="G73" s="4" t="inlineStr">
        <ns0:is>
          <ns0:t>未实现；无游戏注册ID</ns0:t>
        </ns0:is>
      </ns0:c>
      <ns0:c r="H73" s="4" t="inlineStr">
        <ns0:is>
          <ns0:t>第1批基础；第2批微调；第3批复查；用户直接更正优先；A15</ns0:t>
        </ns0:is>
      </ns0:c>
    </ns0:row>
    <ns0:row r="74" ht="60" customHeight="1">
      <ns0:c r="A74" s="4" t="inlineStr">
        <ns0:is>
          <ns0:t>t01.asset.0069</ns0:t>
        </ns0:is>
      </ns0:c>
      <ns0:c r="B74" s="7" t="str">
        <ns0:f>'03_防具'!B28</ns0:f>
        <ns0:v>铁胫甲</ns0:v>
      </ns0:c>
      <ns0:c r="C74" s="7" t="str">
        <ns0:f>'03_防具'!C28</ns0:f>
        <ns0:v>凡品</ns0:v>
      </ns0:c>
      <ns0:c r="D74" s="4" t="inlineStr">
        <ns0:is>
          <ns0:t>防具</ns0:t>
        </ns0:is>
      </ns0:c>
      <ns0:c r="E74" s="8" t="inlineStr">
        <ns0:is>
          <ns0:t>03_防具!A28</ns0:t>
        </ns0:is>
      </ns0:c>
      <ns0:c r="F74" s="4" t="inlineStr">
        <ns0:is>
          <ns0:t>候选数值，未试跑</ns0:t>
        </ns0:is>
      </ns0:c>
      <ns0:c r="G74" s="4" t="inlineStr">
        <ns0:is>
          <ns0:t>未实现；无游戏注册ID</ns0:t>
        </ns0:is>
      </ns0:c>
      <ns0:c r="H74" s="4" t="inlineStr">
        <ns0:is>
          <ns0:t>第1批基础；第2批微调；第3批复查；用户直接更正优先；A16</ns0:t>
        </ns0:is>
      </ns0:c>
    </ns0:row>
    <ns0:row r="75" ht="60" customHeight="1">
      <ns0:c r="A75" s="4" t="inlineStr">
        <ns0:is>
          <ns0:t>t01.asset.0070</ns0:t>
        </ns0:is>
      </ns0:c>
      <ns0:c r="B75" s="7" t="str">
        <ns0:f>'03_防具'!B29</ns0:f>
        <ns0:v>水纹护腿</ns0:v>
      </ns0:c>
      <ns0:c r="C75" s="7" t="str">
        <ns0:f>'03_防具'!C29</ns0:f>
        <ns0:v>凡品</ns0:v>
      </ns0:c>
      <ns0:c r="D75" s="4" t="inlineStr">
        <ns0:is>
          <ns0:t>防具</ns0:t>
        </ns0:is>
      </ns0:c>
      <ns0:c r="E75" s="8" t="inlineStr">
        <ns0:is>
          <ns0:t>03_防具!A29</ns0:t>
        </ns0:is>
      </ns0:c>
      <ns0:c r="F75" s="4" t="inlineStr">
        <ns0:is>
          <ns0:t>候选数值，未试跑</ns0:t>
        </ns0:is>
      </ns0:c>
      <ns0:c r="G75" s="4" t="inlineStr">
        <ns0:is>
          <ns0:t>未实现；无游戏注册ID</ns0:t>
        </ns0:is>
      </ns0:c>
      <ns0:c r="H75" s="4" t="inlineStr">
        <ns0:is>
          <ns0:t>第1批基础；第2批微调；第3批复查；用户直接更正优先；A17</ns0:t>
        </ns0:is>
      </ns0:c>
    </ns0:row>
    <ns0:row r="76" ht="60" customHeight="1">
      <ns0:c r="A76" s="4" t="inlineStr">
        <ns0:is>
          <ns0:t>t01.asset.0071</ns0:t>
        </ns0:is>
      </ns0:c>
      <ns0:c r="B76" s="7" t="str">
        <ns0:f>'03_防具'!B30</ns0:f>
        <ns0:v>藤甲护腿</ns0:v>
      </ns0:c>
      <ns0:c r="C76" s="7" t="str">
        <ns0:f>'03_防具'!C30</ns0:f>
        <ns0:v>凡品</ns0:v>
      </ns0:c>
      <ns0:c r="D76" s="4" t="inlineStr">
        <ns0:is>
          <ns0:t>防具</ns0:t>
        </ns0:is>
      </ns0:c>
      <ns0:c r="E76" s="8" t="inlineStr">
        <ns0:is>
          <ns0:t>03_防具!A30</ns0:t>
        </ns0:is>
      </ns0:c>
      <ns0:c r="F76" s="4" t="inlineStr">
        <ns0:is>
          <ns0:t>候选数值，未试跑</ns0:t>
        </ns0:is>
      </ns0:c>
      <ns0:c r="G76" s="4" t="inlineStr">
        <ns0:is>
          <ns0:t>未实现；无游戏注册ID</ns0:t>
        </ns0:is>
      </ns0:c>
      <ns0:c r="H76" s="4" t="inlineStr">
        <ns0:is>
          <ns0:t>第1批基础；第2批微调；第3批复查；用户直接更正优先；A18</ns0:t>
        </ns0:is>
      </ns0:c>
    </ns0:row>
    <ns0:row r="77" ht="60" customHeight="1">
      <ns0:c r="A77" s="4" t="inlineStr">
        <ns0:is>
          <ns0:t>t01.asset.0072</ns0:t>
        </ns0:is>
      </ns0:c>
      <ns0:c r="B77" s="7" t="str">
        <ns0:f>'03_防具'!B31</ns0:f>
        <ns0:v>皮护肩</ns0:v>
      </ns0:c>
      <ns0:c r="C77" s="7" t="str">
        <ns0:f>'03_防具'!C31</ns0:f>
        <ns0:v>凡品</ns0:v>
      </ns0:c>
      <ns0:c r="D77" s="4" t="inlineStr">
        <ns0:is>
          <ns0:t>防具</ns0:t>
        </ns0:is>
      </ns0:c>
      <ns0:c r="E77" s="8" t="inlineStr">
        <ns0:is>
          <ns0:t>03_防具!A31</ns0:t>
        </ns0:is>
      </ns0:c>
      <ns0:c r="F77" s="4" t="inlineStr">
        <ns0:is>
          <ns0:t>候选数值，未试跑</ns0:t>
        </ns0:is>
      </ns0:c>
      <ns0:c r="G77" s="4" t="inlineStr">
        <ns0:is>
          <ns0:t>未实现；无游戏注册ID</ns0:t>
        </ns0:is>
      </ns0:c>
      <ns0:c r="H77" s="4" t="inlineStr">
        <ns0:is>
          <ns0:t>第1批基础；第2批微调；第3批复查；用户直接更正优先；A19</ns0:t>
        </ns0:is>
      </ns0:c>
    </ns0:row>
    <ns0:row r="78" ht="60" customHeight="1">
      <ns0:c r="A78" s="4" t="inlineStr">
        <ns0:is>
          <ns0:t>t01.asset.0073</ns0:t>
        </ns0:is>
      </ns0:c>
      <ns0:c r="B78" s="7" t="str">
        <ns0:f>'03_防具'!B32</ns0:f>
        <ns0:v>金纹护肩</ns0:v>
      </ns0:c>
      <ns0:c r="C78" s="7" t="str">
        <ns0:f>'03_防具'!C32</ns0:f>
        <ns0:v>凡品</ns0:v>
      </ns0:c>
      <ns0:c r="D78" s="4" t="inlineStr">
        <ns0:is>
          <ns0:t>防具</ns0:t>
        </ns0:is>
      </ns0:c>
      <ns0:c r="E78" s="8" t="inlineStr">
        <ns0:is>
          <ns0:t>03_防具!A32</ns0:t>
        </ns0:is>
      </ns0:c>
      <ns0:c r="F78" s="4" t="inlineStr">
        <ns0:is>
          <ns0:t>候选数值，未试跑</ns0:t>
        </ns0:is>
      </ns0:c>
      <ns0:c r="G78" s="4" t="inlineStr">
        <ns0:is>
          <ns0:t>未实现；无游戏注册ID</ns0:t>
        </ns0:is>
      </ns0:c>
      <ns0:c r="H78" s="4" t="inlineStr">
        <ns0:is>
          <ns0:t>第1批基础；第2批微调；第3批复查；用户直接更正优先；A20</ns0:t>
        </ns0:is>
      </ns0:c>
    </ns0:row>
    <ns0:row r="79" ht="60" customHeight="1">
      <ns0:c r="A79" s="4" t="inlineStr">
        <ns0:is>
          <ns0:t>t01.asset.0074</ns0:t>
        </ns0:is>
      </ns0:c>
      <ns0:c r="B79" s="7" t="str">
        <ns0:f>'03_防具'!B33</ns0:f>
        <ns0:v>灵丝腰带</ns0:v>
      </ns0:c>
      <ns0:c r="C79" s="7" t="str">
        <ns0:f>'03_防具'!C33</ns0:f>
        <ns0:v>凡品</ns0:v>
      </ns0:c>
      <ns0:c r="D79" s="4" t="inlineStr">
        <ns0:is>
          <ns0:t>防具</ns0:t>
        </ns0:is>
      </ns0:c>
      <ns0:c r="E79" s="8" t="inlineStr">
        <ns0:is>
          <ns0:t>03_防具!A33</ns0:t>
        </ns0:is>
      </ns0:c>
      <ns0:c r="F79" s="4" t="inlineStr">
        <ns0:is>
          <ns0:t>候选数值，未试跑</ns0:t>
        </ns0:is>
      </ns0:c>
      <ns0:c r="G79" s="4" t="inlineStr">
        <ns0:is>
          <ns0:t>未实现；无游戏注册ID</ns0:t>
        </ns0:is>
      </ns0:c>
      <ns0:c r="H79" s="4" t="inlineStr">
        <ns0:is>
          <ns0:t>第1批基础；第2批微调；第3批复查；用户直接更正优先；A21</ns0:t>
        </ns0:is>
      </ns0:c>
    </ns0:row>
    <ns0:row r="80" ht="60" customHeight="1">
      <ns0:c r="A80" s="4" t="inlineStr">
        <ns0:is>
          <ns0:t>t01.asset.0075</ns0:t>
        </ns0:is>
      </ns0:c>
      <ns0:c r="B80" s="7" t="str">
        <ns0:f>'03_防具'!B34</ns0:f>
        <ns0:v>包铁木盾</ns0:v>
      </ns0:c>
      <ns0:c r="C80" s="7" t="str">
        <ns0:f>'03_防具'!C34</ns0:f>
        <ns0:v>凡品</ns0:v>
      </ns0:c>
      <ns0:c r="D80" s="4" t="inlineStr">
        <ns0:is>
          <ns0:t>防具</ns0:t>
        </ns0:is>
      </ns0:c>
      <ns0:c r="E80" s="8" t="inlineStr">
        <ns0:is>
          <ns0:t>03_防具!A34</ns0:t>
        </ns0:is>
      </ns0:c>
      <ns0:c r="F80" s="4" t="inlineStr">
        <ns0:is>
          <ns0:t>候选数值，未试跑</ns0:t>
        </ns0:is>
      </ns0:c>
      <ns0:c r="G80" s="4" t="inlineStr">
        <ns0:is>
          <ns0:t>未实现；无游戏注册ID</ns0:t>
        </ns0:is>
      </ns0:c>
      <ns0:c r="H80" s="4" t="inlineStr">
        <ns0:is>
          <ns0:t>第1批基础；第2批微调；第3批复查；用户直接更正优先；A22</ns0:t>
        </ns0:is>
      </ns0:c>
    </ns0:row>
    <ns0:row r="81" ht="60" customHeight="1">
      <ns0:c r="A81" s="4" t="inlineStr">
        <ns0:is>
          <ns0:t>t01.asset.0076</ns0:t>
        </ns0:is>
      </ns0:c>
      <ns0:c r="B81" s="7" t="str">
        <ns0:f>'03_防具'!B35</ns0:f>
        <ns0:v>铁盾</ns0:v>
      </ns0:c>
      <ns0:c r="C81" s="7" t="str">
        <ns0:f>'03_防具'!C35</ns0:f>
        <ns0:v>凡品</ns0:v>
      </ns0:c>
      <ns0:c r="D81" s="4" t="inlineStr">
        <ns0:is>
          <ns0:t>防具</ns0:t>
        </ns0:is>
      </ns0:c>
      <ns0:c r="E81" s="8" t="inlineStr">
        <ns0:is>
          <ns0:t>03_防具!A35</ns0:t>
        </ns0:is>
      </ns0:c>
      <ns0:c r="F81" s="4" t="inlineStr">
        <ns0:is>
          <ns0:t>候选数值，未试跑</ns0:t>
        </ns0:is>
      </ns0:c>
      <ns0:c r="G81" s="4" t="inlineStr">
        <ns0:is>
          <ns0:t>未实现；无游戏注册ID</ns0:t>
        </ns0:is>
      </ns0:c>
      <ns0:c r="H81" s="4" t="inlineStr">
        <ns0:is>
          <ns0:t>第1批基础；第2批微调；第3批复查；用户直接更正优先；A23</ns0:t>
        </ns0:is>
      </ns0:c>
    </ns0:row>
    <ns0:row r="82" ht="60" customHeight="1">
      <ns0:c r="A82" s="4" t="inlineStr">
        <ns0:is>
          <ns0:t>t01.asset.0077</ns0:t>
        </ns0:is>
      </ns0:c>
      <ns0:c r="B82" s="7" t="str">
        <ns0:f>'03_防具'!B36</ns0:f>
        <ns0:v>水纹盾</ns0:v>
      </ns0:c>
      <ns0:c r="C82" s="7" t="str">
        <ns0:f>'03_防具'!C36</ns0:f>
        <ns0:v>凡品</ns0:v>
      </ns0:c>
      <ns0:c r="D82" s="4" t="inlineStr">
        <ns0:is>
          <ns0:t>防具</ns0:t>
        </ns0:is>
      </ns0:c>
      <ns0:c r="E82" s="8" t="inlineStr">
        <ns0:is>
          <ns0:t>03_防具!A36</ns0:t>
        </ns0:is>
      </ns0:c>
      <ns0:c r="F82" s="4" t="inlineStr">
        <ns0:is>
          <ns0:t>候选数值，未试跑</ns0:t>
        </ns0:is>
      </ns0:c>
      <ns0:c r="G82" s="4" t="inlineStr">
        <ns0:is>
          <ns0:t>未实现；无游戏注册ID</ns0:t>
        </ns0:is>
      </ns0:c>
      <ns0:c r="H82" s="4" t="inlineStr">
        <ns0:is>
          <ns0:t>第1批基础；第2批微调；第3批复查；用户直接更正优先；A24</ns0:t>
        </ns0:is>
      </ns0:c>
    </ns0:row>
    <ns0:row r="83" ht="60" customHeight="1">
      <ns0:c r="A83" s="4" t="inlineStr">
        <ns0:is>
          <ns0:t>t01.asset.0078</ns0:t>
        </ns0:is>
      </ns0:c>
      <ns0:c r="B83" s="7" t="str">
        <ns0:f>'03_防具'!B37</ns0:f>
        <ns0:v>束甲带</ns0:v>
      </ns0:c>
      <ns0:c r="C83" s="7" t="str">
        <ns0:f>'03_防具'!C37</ns0:f>
        <ns0:v>凡品</ns0:v>
      </ns0:c>
      <ns0:c r="D83" s="4" t="inlineStr">
        <ns0:is>
          <ns0:t>防具</ns0:t>
        </ns0:is>
      </ns0:c>
      <ns0:c r="E83" s="8" t="inlineStr">
        <ns0:is>
          <ns0:t>03_防具!A37</ns0:t>
        </ns0:is>
      </ns0:c>
      <ns0:c r="F83" s="4" t="inlineStr">
        <ns0:is>
          <ns0:t>候选数值，未试跑</ns0:t>
        </ns0:is>
      </ns0:c>
      <ns0:c r="G83" s="4" t="inlineStr">
        <ns0:is>
          <ns0:t>未实现；无游戏注册ID</ns0:t>
        </ns0:is>
      </ns0:c>
      <ns0:c r="H83" s="4" t="inlineStr">
        <ns0:is>
          <ns0:t>第1批基础；第2批微调；第3批复查；用户直接更正优先；A26</ns0:t>
        </ns0:is>
      </ns0:c>
    </ns0:row>
    <ns0:row r="84" ht="60" customHeight="1">
      <ns0:c r="A84" s="4" t="inlineStr">
        <ns0:is>
          <ns0:t>t01.asset.0079</ns0:t>
        </ns0:is>
      </ns0:c>
      <ns0:c r="B84" s="7" t="str">
        <ns0:f>'03_防具'!B38</ns0:f>
        <ns0:v>燎火护臂</ns0:v>
      </ns0:c>
      <ns0:c r="C84" s="7" t="str">
        <ns0:f>'03_防具'!C38</ns0:f>
        <ns0:v>凡品</ns0:v>
      </ns0:c>
      <ns0:c r="D84" s="4" t="inlineStr">
        <ns0:is>
          <ns0:t>防具</ns0:t>
        </ns0:is>
      </ns0:c>
      <ns0:c r="E84" s="8" t="inlineStr">
        <ns0:is>
          <ns0:t>03_防具!A38</ns0:t>
        </ns0:is>
      </ns0:c>
      <ns0:c r="F84" s="4" t="inlineStr">
        <ns0:is>
          <ns0:t>候选数值，未试跑</ns0:t>
        </ns0:is>
      </ns0:c>
      <ns0:c r="G84" s="4" t="inlineStr">
        <ns0:is>
          <ns0:t>未实现；无游戏注册ID</ns0:t>
        </ns0:is>
      </ns0:c>
      <ns0:c r="H84" s="4" t="inlineStr">
        <ns0:is>
          <ns0:t>第1批基础；第2批微调；第3批复查；用户直接更正优先；A28</ns0:t>
        </ns0:is>
      </ns0:c>
    </ns0:row>
    <ns0:row r="85" ht="60" customHeight="1">
      <ns0:c r="A85" s="4" t="inlineStr">
        <ns0:is>
          <ns0:t>t01.asset.0080</ns0:t>
        </ns0:is>
      </ns0:c>
      <ns0:c r="B85" s="7" t="str">
        <ns0:f>'03_防具'!B39</ns0:f>
        <ns0:v>雷纹护腿</ns0:v>
      </ns0:c>
      <ns0:c r="C85" s="7" t="str">
        <ns0:f>'03_防具'!C39</ns0:f>
        <ns0:v>凡品</ns0:v>
      </ns0:c>
      <ns0:c r="D85" s="4" t="inlineStr">
        <ns0:is>
          <ns0:t>防具</ns0:t>
        </ns0:is>
      </ns0:c>
      <ns0:c r="E85" s="8" t="inlineStr">
        <ns0:is>
          <ns0:t>03_防具!A39</ns0:t>
        </ns0:is>
      </ns0:c>
      <ns0:c r="F85" s="4" t="inlineStr">
        <ns0:is>
          <ns0:t>候选数值，未试跑</ns0:t>
        </ns0:is>
      </ns0:c>
      <ns0:c r="G85" s="4" t="inlineStr">
        <ns0:is>
          <ns0:t>未实现；无游戏注册ID</ns0:t>
        </ns0:is>
      </ns0:c>
      <ns0:c r="H85" s="4" t="inlineStr">
        <ns0:is>
          <ns0:t>第1批基础；第2批微调；第3批复查；用户直接更正优先；A29</ns0:t>
        </ns0:is>
      </ns0:c>
    </ns0:row>
    <ns0:row r="86" ht="60" customHeight="1">
      <ns0:c r="A86" s="4" t="inlineStr">
        <ns0:is>
          <ns0:t>t01.asset.0081</ns0:t>
        </ns0:is>
      </ns0:c>
      <ns0:c r="B86" s="7" t="str">
        <ns0:f>'03_防具'!B40</ns0:f>
        <ns0:v>炎纹护肩</ns0:v>
      </ns0:c>
      <ns0:c r="C86" s="7" t="str">
        <ns0:f>'03_防具'!C40</ns0:f>
        <ns0:v>凡品</ns0:v>
      </ns0:c>
      <ns0:c r="D86" s="4" t="inlineStr">
        <ns0:is>
          <ns0:t>防具</ns0:t>
        </ns0:is>
      </ns0:c>
      <ns0:c r="E86" s="8" t="inlineStr">
        <ns0:is>
          <ns0:t>03_防具!A40</ns0:t>
        </ns0:is>
      </ns0:c>
      <ns0:c r="F86" s="4" t="inlineStr">
        <ns0:is>
          <ns0:t>候选数值，未试跑</ns0:t>
        </ns0:is>
      </ns0:c>
      <ns0:c r="G86" s="4" t="inlineStr">
        <ns0:is>
          <ns0:t>未实现；无游戏注册ID</ns0:t>
        </ns0:is>
      </ns0:c>
      <ns0:c r="H86" s="4" t="inlineStr">
        <ns0:is>
          <ns0:t>第1批基础；第2批微调；第3批复查；用户直接更正优先；A30</ns0:t>
        </ns0:is>
      </ns0:c>
    </ns0:row>
    <ns0:row r="87" ht="60" customHeight="1">
      <ns0:c r="A87" s="4" t="inlineStr">
        <ns0:is>
          <ns0:t>t01.asset.0082</ns0:t>
        </ns0:is>
      </ns0:c>
      <ns0:c r="B87" s="7" t="str">
        <ns0:f>'03_防具'!B41</ns0:f>
        <ns0:v>润脉腰带</ns0:v>
      </ns0:c>
      <ns0:c r="C87" s="7" t="str">
        <ns0:f>'03_防具'!C41</ns0:f>
        <ns0:v>凡品</ns0:v>
      </ns0:c>
      <ns0:c r="D87" s="4" t="inlineStr">
        <ns0:is>
          <ns0:t>防具</ns0:t>
        </ns0:is>
      </ns0:c>
      <ns0:c r="E87" s="8" t="inlineStr">
        <ns0:is>
          <ns0:t>03_防具!A41</ns0:t>
        </ns0:is>
      </ns0:c>
      <ns0:c r="F87" s="4" t="inlineStr">
        <ns0:is>
          <ns0:t>候选数值，未试跑</ns0:t>
        </ns0:is>
      </ns0:c>
      <ns0:c r="G87" s="4" t="inlineStr">
        <ns0:is>
          <ns0:t>未实现；无游戏注册ID</ns0:t>
        </ns0:is>
      </ns0:c>
      <ns0:c r="H87" s="4" t="inlineStr">
        <ns0:is>
          <ns0:t>第1批基础；第2批微调；第3批复查；用户直接更正优先；A31</ns0:t>
        </ns0:is>
      </ns0:c>
    </ns0:row>
    <ns0:row r="88" ht="60" customHeight="1">
      <ns0:c r="A88" s="4" t="inlineStr">
        <ns0:is>
          <ns0:t>t01.asset.0083</ns0:t>
        </ns0:is>
      </ns0:c>
      <ns0:c r="B88" s="7" t="str">
        <ns0:f>'04_法器'!B10</ns0:f>
        <ns0:v>回春佩</ns0:v>
      </ns0:c>
      <ns0:c r="C88" s="7" t="str">
        <ns0:f>'04_法器'!C10</ns0:f>
        <ns0:v>凡品</ns0:v>
      </ns0:c>
      <ns0:c r="D88" s="4" t="inlineStr">
        <ns0:is>
          <ns0:t>法器</ns0:t>
        </ns0:is>
      </ns0:c>
      <ns0:c r="E88" s="8" t="inlineStr">
        <ns0:is>
          <ns0:t>04_法器!A10</ns0:t>
        </ns0:is>
      </ns0:c>
      <ns0:c r="F88" s="4" t="inlineStr">
        <ns0:is>
          <ns0:t>候选数值，未试跑</ns0:t>
        </ns0:is>
      </ns0:c>
      <ns0:c r="G88" s="4" t="inlineStr">
        <ns0:is>
          <ns0:t>未实现；无游戏注册ID</ns0:t>
        </ns0:is>
      </ns0:c>
      <ns0:c r="H88" s="4" t="inlineStr">
        <ns0:is>
          <ns0:t>第1批基础；第2批微调；第3批复查；用户直接更正优先；F01</ns0:t>
        </ns0:is>
      </ns0:c>
    </ns0:row>
    <ns0:row r="89" ht="60" customHeight="1">
      <ns0:c r="A89" s="4" t="inlineStr">
        <ns0:is>
          <ns0:t>t01.asset.0084</ns0:t>
        </ns0:is>
      </ns0:c>
      <ns0:c r="B89" s="7" t="str">
        <ns0:f>'04_法器'!B11</ns0:f>
        <ns0:v>行气珠</ns0:v>
      </ns0:c>
      <ns0:c r="C89" s="7" t="str">
        <ns0:f>'04_法器'!C11</ns0:f>
        <ns0:v>凡品</ns0:v>
      </ns0:c>
      <ns0:c r="D89" s="4" t="inlineStr">
        <ns0:is>
          <ns0:t>法器</ns0:t>
        </ns0:is>
      </ns0:c>
      <ns0:c r="E89" s="8" t="inlineStr">
        <ns0:is>
          <ns0:t>04_法器!A11</ns0:t>
        </ns0:is>
      </ns0:c>
      <ns0:c r="F89" s="4" t="inlineStr">
        <ns0:is>
          <ns0:t>候选数值，未试跑</ns0:t>
        </ns0:is>
      </ns0:c>
      <ns0:c r="G89" s="4" t="inlineStr">
        <ns0:is>
          <ns0:t>未实现；无游戏注册ID</ns0:t>
        </ns0:is>
      </ns0:c>
      <ns0:c r="H89" s="4" t="inlineStr">
        <ns0:is>
          <ns0:t>第1批基础；第2批微调；第3批复查；用户直接更正优先；F02</ns0:t>
        </ns0:is>
      </ns0:c>
    </ns0:row>
    <ns0:row r="90" ht="60" customHeight="1">
      <ns0:c r="A90" s="4" t="inlineStr">
        <ns0:is>
          <ns0:t>t01.asset.0085</ns0:t>
        </ns0:is>
      </ns0:c>
      <ns0:c r="B90" s="7" t="str">
        <ns0:f>'04_法器'!B12</ns0:f>
        <ns0:v>聚元环</ns0:v>
      </ns0:c>
      <ns0:c r="C90" s="7" t="str">
        <ns0:f>'04_法器'!C12</ns0:f>
        <ns0:v>凡品</ns0:v>
      </ns0:c>
      <ns0:c r="D90" s="4" t="inlineStr">
        <ns0:is>
          <ns0:t>法器</ns0:t>
        </ns0:is>
      </ns0:c>
      <ns0:c r="E90" s="8" t="inlineStr">
        <ns0:is>
          <ns0:t>04_法器!A12</ns0:t>
        </ns0:is>
      </ns0:c>
      <ns0:c r="F90" s="4" t="inlineStr">
        <ns0:is>
          <ns0:t>候选数值，未试跑</ns0:t>
        </ns0:is>
      </ns0:c>
      <ns0:c r="G90" s="4" t="inlineStr">
        <ns0:is>
          <ns0:t>未实现；无游戏注册ID</ns0:t>
        </ns0:is>
      </ns0:c>
      <ns0:c r="H90" s="4" t="inlineStr">
        <ns0:is>
          <ns0:t>第1批基础；第2批微调；第3批复查；用户直接更正优先；F03</ns0:t>
        </ns0:is>
      </ns0:c>
    </ns0:row>
    <ns0:row r="91" ht="60" customHeight="1">
      <ns0:c r="A91" s="4" t="inlineStr">
        <ns0:is>
          <ns0:t>t01.asset.0086</ns0:t>
        </ns0:is>
      </ns0:c>
      <ns0:c r="B91" s="7" t="str">
        <ns0:f>'04_法器'!B13</ns0:f>
        <ns0:v>调息玉</ns0:v>
      </ns0:c>
      <ns0:c r="C91" s="7" t="str">
        <ns0:f>'04_法器'!C13</ns0:f>
        <ns0:v>凡品</ns0:v>
      </ns0:c>
      <ns0:c r="D91" s="4" t="inlineStr">
        <ns0:is>
          <ns0:t>法器</ns0:t>
        </ns0:is>
      </ns0:c>
      <ns0:c r="E91" s="8" t="inlineStr">
        <ns0:is>
          <ns0:t>04_法器!A13</ns0:t>
        </ns0:is>
      </ns0:c>
      <ns0:c r="F91" s="4" t="inlineStr">
        <ns0:is>
          <ns0:t>候选数值，未试跑</ns0:t>
        </ns0:is>
      </ns0:c>
      <ns0:c r="G91" s="4" t="inlineStr">
        <ns0:is>
          <ns0:t>未实现；无游戏注册ID</ns0:t>
        </ns0:is>
      </ns0:c>
      <ns0:c r="H91" s="4" t="inlineStr">
        <ns0:is>
          <ns0:t>第1批基础；第2批微调；第3批复查；用户直接更正优先；F04</ns0:t>
        </ns0:is>
      </ns0:c>
    </ns0:row>
    <ns0:row r="92" ht="60" customHeight="1">
      <ns0:c r="A92" s="4" t="inlineStr">
        <ns0:is>
          <ns0:t>t01.asset.0087</ns0:t>
        </ns0:is>
      </ns0:c>
      <ns0:c r="B92" s="7" t="str">
        <ns0:f>'04_法器'!B14</ns0:f>
        <ns0:v>金光镜</ns0:v>
      </ns0:c>
      <ns0:c r="C92" s="7" t="str">
        <ns0:f>'04_法器'!C14</ns0:f>
        <ns0:v>凡品</ns0:v>
      </ns0:c>
      <ns0:c r="D92" s="4" t="inlineStr">
        <ns0:is>
          <ns0:t>法器</ns0:t>
        </ns0:is>
      </ns0:c>
      <ns0:c r="E92" s="8" t="inlineStr">
        <ns0:is>
          <ns0:t>04_法器!A14</ns0:t>
        </ns0:is>
      </ns0:c>
      <ns0:c r="F92" s="4" t="inlineStr">
        <ns0:is>
          <ns0:t>候选数值，未试跑</ns0:t>
        </ns0:is>
      </ns0:c>
      <ns0:c r="G92" s="4" t="inlineStr">
        <ns0:is>
          <ns0:t>未实现；无游戏注册ID</ns0:t>
        </ns0:is>
      </ns0:c>
      <ns0:c r="H92" s="4" t="inlineStr">
        <ns0:is>
          <ns0:t>第1批基础；第2批微调；第3批复查；用户直接更正优先；F05</ns0:t>
        </ns0:is>
      </ns0:c>
    </ns0:row>
    <ns0:row r="93" ht="60" customHeight="1">
      <ns0:c r="A93" s="4" t="inlineStr">
        <ns0:is>
          <ns0:t>t01.asset.0088</ns0:t>
        </ns0:is>
      </ns0:c>
      <ns0:c r="B93" s="7" t="str">
        <ns0:f>'04_法器'!B15</ns0:f>
        <ns0:v>青木铃</ns0:v>
      </ns0:c>
      <ns0:c r="C93" s="7" t="str">
        <ns0:f>'04_法器'!C15</ns0:f>
        <ns0:v>凡品</ns0:v>
      </ns0:c>
      <ns0:c r="D93" s="4" t="inlineStr">
        <ns0:is>
          <ns0:t>法器</ns0:t>
        </ns0:is>
      </ns0:c>
      <ns0:c r="E93" s="8" t="inlineStr">
        <ns0:is>
          <ns0:t>04_法器!A15</ns0:t>
        </ns0:is>
      </ns0:c>
      <ns0:c r="F93" s="4" t="inlineStr">
        <ns0:is>
          <ns0:t>候选数值，未试跑</ns0:t>
        </ns0:is>
      </ns0:c>
      <ns0:c r="G93" s="4" t="inlineStr">
        <ns0:is>
          <ns0:t>未实现；无游戏注册ID</ns0:t>
        </ns0:is>
      </ns0:c>
      <ns0:c r="H93" s="4" t="inlineStr">
        <ns0:is>
          <ns0:t>第1批基础；第2批微调；第3批复查；用户直接更正优先；F06</ns0:t>
        </ns0:is>
      </ns0:c>
    </ns0:row>
    <ns0:row r="94" ht="60" customHeight="1">
      <ns0:c r="A94" s="4" t="inlineStr">
        <ns0:is>
          <ns0:t>t01.asset.0089</ns0:t>
        </ns0:is>
      </ns0:c>
      <ns0:c r="B94" s="7" t="str">
        <ns0:f>'04_法器'!B16</ns0:f>
        <ns0:v>寒水珠</ns0:v>
      </ns0:c>
      <ns0:c r="C94" s="7" t="str">
        <ns0:f>'04_法器'!C16</ns0:f>
        <ns0:v>凡品</ns0:v>
      </ns0:c>
      <ns0:c r="D94" s="4" t="inlineStr">
        <ns0:is>
          <ns0:t>法器</ns0:t>
        </ns0:is>
      </ns0:c>
      <ns0:c r="E94" s="8" t="inlineStr">
        <ns0:is>
          <ns0:t>04_法器!A16</ns0:t>
        </ns0:is>
      </ns0:c>
      <ns0:c r="F94" s="4" t="inlineStr">
        <ns0:is>
          <ns0:t>候选数值，未试跑</ns0:t>
        </ns0:is>
      </ns0:c>
      <ns0:c r="G94" s="4" t="inlineStr">
        <ns0:is>
          <ns0:t>未实现；无游戏注册ID</ns0:t>
        </ns0:is>
      </ns0:c>
      <ns0:c r="H94" s="4" t="inlineStr">
        <ns0:is>
          <ns0:t>第1批基础；第2批微调；第3批复查；用户直接更正优先；F07</ns0:t>
        </ns0:is>
      </ns0:c>
    </ns0:row>
    <ns0:row r="95" ht="60" customHeight="1">
      <ns0:c r="A95" s="4" t="inlineStr">
        <ns0:is>
          <ns0:t>t01.asset.0090</ns0:t>
        </ns0:is>
      </ns0:c>
      <ns0:c r="B95" s="7" t="str">
        <ns0:f>'04_法器'!B17</ns0:f>
        <ns0:v>火灵珠</ns0:v>
      </ns0:c>
      <ns0:c r="C95" s="7" t="str">
        <ns0:f>'04_法器'!C17</ns0:f>
        <ns0:v>凡品</ns0:v>
      </ns0:c>
      <ns0:c r="D95" s="4" t="inlineStr">
        <ns0:is>
          <ns0:t>法器</ns0:t>
        </ns0:is>
      </ns0:c>
      <ns0:c r="E95" s="8" t="inlineStr">
        <ns0:is>
          <ns0:t>04_法器!A17</ns0:t>
        </ns0:is>
      </ns0:c>
      <ns0:c r="F95" s="4" t="inlineStr">
        <ns0:is>
          <ns0:t>候选数值，未试跑</ns0:t>
        </ns0:is>
      </ns0:c>
      <ns0:c r="G95" s="4" t="inlineStr">
        <ns0:is>
          <ns0:t>未实现；无游戏注册ID</ns0:t>
        </ns0:is>
      </ns0:c>
      <ns0:c r="H95" s="4" t="inlineStr">
        <ns0:is>
          <ns0:t>第1批基础；第2批微调；第3批复查；用户直接更正优先；F08</ns0:t>
        </ns0:is>
      </ns0:c>
    </ns0:row>
    <ns0:row r="96" ht="60" customHeight="1">
      <ns0:c r="A96" s="4" t="inlineStr">
        <ns0:is>
          <ns0:t>t01.asset.0091</ns0:t>
        </ns0:is>
      </ns0:c>
      <ns0:c r="B96" s="7" t="str">
        <ns0:f>'04_法器'!B18</ns0:f>
        <ns0:v>坤土珠</ns0:v>
      </ns0:c>
      <ns0:c r="C96" s="7" t="str">
        <ns0:f>'04_法器'!C18</ns0:f>
        <ns0:v>凡品</ns0:v>
      </ns0:c>
      <ns0:c r="D96" s="4" t="inlineStr">
        <ns0:is>
          <ns0:t>法器</ns0:t>
        </ns0:is>
      </ns0:c>
      <ns0:c r="E96" s="8" t="inlineStr">
        <ns0:is>
          <ns0:t>04_法器!A18</ns0:t>
        </ns0:is>
      </ns0:c>
      <ns0:c r="F96" s="4" t="inlineStr">
        <ns0:is>
          <ns0:t>候选数值，未试跑</ns0:t>
        </ns0:is>
      </ns0:c>
      <ns0:c r="G96" s="4" t="inlineStr">
        <ns0:is>
          <ns0:t>未实现；无游戏注册ID</ns0:t>
        </ns0:is>
      </ns0:c>
      <ns0:c r="H96" s="4" t="inlineStr">
        <ns0:is>
          <ns0:t>第1批基础；第2批微调；第3批复查；用户直接更正优先；F09</ns0:t>
        </ns0:is>
      </ns0:c>
    </ns0:row>
    <ns0:row r="97" ht="60" customHeight="1">
      <ns0:c r="A97" s="4" t="inlineStr">
        <ns0:is>
          <ns0:t>t01.asset.0092</ns0:t>
        </ns0:is>
      </ns0:c>
      <ns0:c r="B97" s="7" t="str">
        <ns0:f>'04_法器'!B19</ns0:f>
        <ns0:v>逐风旗</ns0:v>
      </ns0:c>
      <ns0:c r="C97" s="7" t="str">
        <ns0:f>'04_法器'!C19</ns0:f>
        <ns0:v>凡品</ns0:v>
      </ns0:c>
      <ns0:c r="D97" s="4" t="inlineStr">
        <ns0:is>
          <ns0:t>法器</ns0:t>
        </ns0:is>
      </ns0:c>
      <ns0:c r="E97" s="8" t="inlineStr">
        <ns0:is>
          <ns0:t>04_法器!A19</ns0:t>
        </ns0:is>
      </ns0:c>
      <ns0:c r="F97" s="4" t="inlineStr">
        <ns0:is>
          <ns0:t>候选数值，未试跑</ns0:t>
        </ns0:is>
      </ns0:c>
      <ns0:c r="G97" s="4" t="inlineStr">
        <ns0:is>
          <ns0:t>未实现；无游戏注册ID</ns0:t>
        </ns0:is>
      </ns0:c>
      <ns0:c r="H97" s="4" t="inlineStr">
        <ns0:is>
          <ns0:t>第1批基础；第2批微调；第3批复查；用户直接更正优先；F10</ns0:t>
        </ns0:is>
      </ns0:c>
    </ns0:row>
    <ns0:row r="98" ht="60" customHeight="1">
      <ns0:c r="A98" s="4" t="inlineStr">
        <ns0:is>
          <ns0:t>t01.asset.0093</ns0:t>
        </ns0:is>
      </ns0:c>
      <ns0:c r="B98" s="7" t="str">
        <ns0:f>'04_法器'!B20</ns0:f>
        <ns0:v>引雷珠</ns0:v>
      </ns0:c>
      <ns0:c r="C98" s="7" t="str">
        <ns0:f>'04_法器'!C20</ns0:f>
        <ns0:v>凡品</ns0:v>
      </ns0:c>
      <ns0:c r="D98" s="4" t="inlineStr">
        <ns0:is>
          <ns0:t>法器</ns0:t>
        </ns0:is>
      </ns0:c>
      <ns0:c r="E98" s="8" t="inlineStr">
        <ns0:is>
          <ns0:t>04_法器!A20</ns0:t>
        </ns0:is>
      </ns0:c>
      <ns0:c r="F98" s="4" t="inlineStr">
        <ns0:is>
          <ns0:t>候选数值，未试跑</ns0:t>
        </ns0:is>
      </ns0:c>
      <ns0:c r="G98" s="4" t="inlineStr">
        <ns0:is>
          <ns0:t>未实现；无游戏注册ID</ns0:t>
        </ns0:is>
      </ns0:c>
      <ns0:c r="H98" s="4" t="inlineStr">
        <ns0:is>
          <ns0:t>第1批基础；第2批微调；第3批复查；用户直接更正优先；F11</ns0:t>
        </ns0:is>
      </ns0:c>
    </ns0:row>
    <ns0:row r="99" ht="60" customHeight="1">
      <ns0:c r="A99" s="4" t="inlineStr">
        <ns0:is>
          <ns0:t>t01.asset.0094</ns0:t>
        </ns0:is>
      </ns0:c>
      <ns0:c r="B99" s="7" t="str">
        <ns0:f>'04_法器'!B21</ns0:f>
        <ns0:v>护心镜</ns0:v>
      </ns0:c>
      <ns0:c r="C99" s="7" t="str">
        <ns0:f>'04_法器'!C21</ns0:f>
        <ns0:v>凡品</ns0:v>
      </ns0:c>
      <ns0:c r="D99" s="4" t="inlineStr">
        <ns0:is>
          <ns0:t>法器</ns0:t>
        </ns0:is>
      </ns0:c>
      <ns0:c r="E99" s="8" t="inlineStr">
        <ns0:is>
          <ns0:t>04_法器!A21</ns0:t>
        </ns0:is>
      </ns0:c>
      <ns0:c r="F99" s="4" t="inlineStr">
        <ns0:is>
          <ns0:t>候选数值，未试跑</ns0:t>
        </ns0:is>
      </ns0:c>
      <ns0:c r="G99" s="4" t="inlineStr">
        <ns0:is>
          <ns0:t>未实现；无游戏注册ID</ns0:t>
        </ns0:is>
      </ns0:c>
      <ns0:c r="H99" s="4" t="inlineStr">
        <ns0:is>
          <ns0:t>第1批基础；第2批微调；第3批复查；用户直接更正优先；F12</ns0:t>
        </ns0:is>
      </ns0:c>
    </ns0:row>
    <ns0:row r="100" ht="60" customHeight="1">
      <ns0:c r="A100" s="4" t="inlineStr">
        <ns0:is>
          <ns0:t>t01.asset.0095</ns0:t>
        </ns0:is>
      </ns0:c>
      <ns0:c r="B100" s="7" t="str">
        <ns0:f>'04_法器'!B22</ns0:f>
        <ns0:v>复甲环</ns0:v>
      </ns0:c>
      <ns0:c r="C100" s="7" t="str">
        <ns0:f>'04_法器'!C22</ns0:f>
        <ns0:v>凡品</ns0:v>
      </ns0:c>
      <ns0:c r="D100" s="4" t="inlineStr">
        <ns0:is>
          <ns0:t>法器</ns0:t>
        </ns0:is>
      </ns0:c>
      <ns0:c r="E100" s="8" t="inlineStr">
        <ns0:is>
          <ns0:t>04_法器!A22</ns0:t>
        </ns0:is>
      </ns0:c>
      <ns0:c r="F100" s="4" t="inlineStr">
        <ns0:is>
          <ns0:t>候选数值，未试跑</ns0:t>
        </ns0:is>
      </ns0:c>
      <ns0:c r="G100" s="4" t="inlineStr">
        <ns0:is>
          <ns0:t>未实现；无游戏注册ID</ns0:t>
        </ns0:is>
      </ns0:c>
      <ns0:c r="H100" s="4" t="inlineStr">
        <ns0:is>
          <ns0:t>第1批基础；第2批微调；第3批复查；用户直接更正优先；F13</ns0:t>
        </ns0:is>
      </ns0:c>
    </ns0:row>
    <ns0:row r="101" ht="60" customHeight="1">
      <ns0:c r="A101" s="4" t="inlineStr">
        <ns0:is>
          <ns0:t>t01.asset.0096</ns0:t>
        </ns0:is>
      </ns0:c>
      <ns0:c r="B101" s="7" t="str">
        <ns0:f>'04_法器'!B23</ns0:f>
        <ns0:v>灵障珠</ns0:v>
      </ns0:c>
      <ns0:c r="C101" s="7" t="str">
        <ns0:f>'04_法器'!C23</ns0:f>
        <ns0:v>凡品</ns0:v>
      </ns0:c>
      <ns0:c r="D101" s="4" t="inlineStr">
        <ns0:is>
          <ns0:t>法器</ns0:t>
        </ns0:is>
      </ns0:c>
      <ns0:c r="E101" s="8" t="inlineStr">
        <ns0:is>
          <ns0:t>04_法器!A23</ns0:t>
        </ns0:is>
      </ns0:c>
      <ns0:c r="F101" s="4" t="inlineStr">
        <ns0:is>
          <ns0:t>候选数值，未试跑</ns0:t>
        </ns0:is>
      </ns0:c>
      <ns0:c r="G101" s="4" t="inlineStr">
        <ns0:is>
          <ns0:t>未实现；无游戏注册ID</ns0:t>
        </ns0:is>
      </ns0:c>
      <ns0:c r="H101" s="4" t="inlineStr">
        <ns0:is>
          <ns0:t>第1批基础；第2批微调；第3批复查；用户直接更正优先；F14</ns0:t>
        </ns0:is>
      </ns0:c>
    </ns0:row>
    <ns0:row r="102" ht="60" customHeight="1">
      <ns0:c r="A102" s="4" t="inlineStr">
        <ns0:is>
          <ns0:t>t01.asset.0097</ns0:t>
        </ns0:is>
      </ns0:c>
      <ns0:c r="B102" s="7" t="str">
        <ns0:f>'04_法器'!B24</ns0:f>
        <ns0:v>枯脉瓶</ns0:v>
      </ns0:c>
      <ns0:c r="C102" s="7" t="str">
        <ns0:f>'04_法器'!C24</ns0:f>
        <ns0:v>凡品</ns0:v>
      </ns0:c>
      <ns0:c r="D102" s="4" t="inlineStr">
        <ns0:is>
          <ns0:t>法器</ns0:t>
        </ns0:is>
      </ns0:c>
      <ns0:c r="E102" s="8" t="inlineStr">
        <ns0:is>
          <ns0:t>04_法器!A24</ns0:t>
        </ns0:is>
      </ns0:c>
      <ns0:c r="F102" s="4" t="inlineStr">
        <ns0:is>
          <ns0:t>候选数值，未试跑</ns0:t>
        </ns0:is>
      </ns0:c>
      <ns0:c r="G102" s="4" t="inlineStr">
        <ns0:is>
          <ns0:t>未实现；无游戏注册ID</ns0:t>
        </ns0:is>
      </ns0:c>
      <ns0:c r="H102" s="4" t="inlineStr">
        <ns0:is>
          <ns0:t>第1批基础；第2批微调；第3批复查；用户直接更正优先；F15</ns0:t>
        </ns0:is>
      </ns0:c>
    </ns0:row>
    <ns0:row r="103" ht="60" customHeight="1">
      <ns0:c r="A103" s="4" t="inlineStr">
        <ns0:is>
          <ns0:t>t01.asset.0098</ns0:t>
        </ns0:is>
      </ns0:c>
      <ns0:c r="B103" s="7" t="str">
        <ns0:f>'04_法器'!B25</ns0:f>
        <ns0:v>清风拂</ns0:v>
      </ns0:c>
      <ns0:c r="C103" s="7" t="str">
        <ns0:f>'04_法器'!C25</ns0:f>
        <ns0:v>凡品</ns0:v>
      </ns0:c>
      <ns0:c r="D103" s="4" t="inlineStr">
        <ns0:is>
          <ns0:t>法器</ns0:t>
        </ns0:is>
      </ns0:c>
      <ns0:c r="E103" s="8" t="inlineStr">
        <ns0:is>
          <ns0:t>04_法器!A25</ns0:t>
        </ns0:is>
      </ns0:c>
      <ns0:c r="F103" s="4" t="inlineStr">
        <ns0:is>
          <ns0:t>候选数值，未试跑</ns0:t>
        </ns0:is>
      </ns0:c>
      <ns0:c r="G103" s="4" t="inlineStr">
        <ns0:is>
          <ns0:t>未实现；无游戏注册ID</ns0:t>
        </ns0:is>
      </ns0:c>
      <ns0:c r="H103" s="4" t="inlineStr">
        <ns0:is>
          <ns0:t>第1批基础；第2批微调；第3批复查；用户直接更正优先；F16</ns0:t>
        </ns0:is>
      </ns0:c>
    </ns0:row>
    <ns0:row r="104" ht="60" customHeight="1">
      <ns0:c r="A104" s="4" t="inlineStr">
        <ns0:is>
          <ns0:t>t01.asset.0099</ns0:t>
        </ns0:is>
      </ns0:c>
      <ns0:c r="B104" s="7" t="str">
        <ns0:f>'04_法器'!B26</ns0:f>
        <ns0:v>锁雷环</ns0:v>
      </ns0:c>
      <ns0:c r="C104" s="7" t="str">
        <ns0:f>'04_法器'!C26</ns0:f>
        <ns0:v>凡品</ns0:v>
      </ns0:c>
      <ns0:c r="D104" s="4" t="inlineStr">
        <ns0:is>
          <ns0:t>法器</ns0:t>
        </ns0:is>
      </ns0:c>
      <ns0:c r="E104" s="8" t="inlineStr">
        <ns0:is>
          <ns0:t>04_法器!A26</ns0:t>
        </ns0:is>
      </ns0:c>
      <ns0:c r="F104" s="4" t="inlineStr">
        <ns0:is>
          <ns0:t>候选数值，未试跑</ns0:t>
        </ns0:is>
      </ns0:c>
      <ns0:c r="G104" s="4" t="inlineStr">
        <ns0:is>
          <ns0:t>未实现；无游戏注册ID</ns0:t>
        </ns0:is>
      </ns0:c>
      <ns0:c r="H104" s="4" t="inlineStr">
        <ns0:is>
          <ns0:t>第1批基础；第2批微调；第3批复查；用户直接更正优先；F17</ns0:t>
        </ns0:is>
      </ns0:c>
    </ns0:row>
    <ns0:row r="105" ht="60" customHeight="1">
      <ns0:c r="A105" s="4" t="inlineStr">
        <ns0:is>
          <ns0:t>t01.asset.0100</ns0:t>
        </ns0:is>
      </ns0:c>
      <ns0:c r="B105" s="7" t="str">
        <ns0:f>'04_法器'!B27</ns0:f>
        <ns0:v>蕴雷铃</ns0:v>
      </ns0:c>
      <ns0:c r="C105" s="7" t="str">
        <ns0:f>'04_法器'!C27</ns0:f>
        <ns0:v>凡品</ns0:v>
      </ns0:c>
      <ns0:c r="D105" s="4" t="inlineStr">
        <ns0:is>
          <ns0:t>法器</ns0:t>
        </ns0:is>
      </ns0:c>
      <ns0:c r="E105" s="8" t="inlineStr">
        <ns0:is>
          <ns0:t>04_法器!A27</ns0:t>
        </ns0:is>
      </ns0:c>
      <ns0:c r="F105" s="4" t="inlineStr">
        <ns0:is>
          <ns0:t>候选数值，未试跑</ns0:t>
        </ns0:is>
      </ns0:c>
      <ns0:c r="G105" s="4" t="inlineStr">
        <ns0:is>
          <ns0:t>未实现；无游戏注册ID</ns0:t>
        </ns0:is>
      </ns0:c>
      <ns0:c r="H105" s="4" t="inlineStr">
        <ns0:is>
          <ns0:t>第1批基础；第2批微调；第3批复查；用户直接更正优先；F18</ns0:t>
        </ns0:is>
      </ns0:c>
    </ns0:row>
    <ns0:row r="106" ht="60" customHeight="1">
      <ns0:c r="A106" s="4" t="inlineStr">
        <ns0:is>
          <ns0:t>t01.asset.0101</ns0:t>
        </ns0:is>
      </ns0:c>
      <ns0:c r="B106" s="7" t="str">
        <ns0:f>'05_丹药'!B12</ns0:f>
        <ns0:v>回春丹</ns0:v>
      </ns0:c>
      <ns0:c r="C106" s="7" t="str">
        <ns0:f>'05_丹药'!C12</ns0:f>
        <ns0:v>凡品</ns0:v>
      </ns0:c>
      <ns0:c r="D106" s="4" t="inlineStr">
        <ns0:is>
          <ns0:t>丹药</ns0:t>
        </ns0:is>
      </ns0:c>
      <ns0:c r="E106" s="8" t="inlineStr">
        <ns0:is>
          <ns0:t>05_丹药!A12</ns0:t>
        </ns0:is>
      </ns0:c>
      <ns0:c r="F106" s="4" t="inlineStr">
        <ns0:is>
          <ns0:t>候选数值，未试跑</ns0:t>
        </ns0:is>
      </ns0:c>
      <ns0:c r="G106" s="4" t="inlineStr">
        <ns0:is>
          <ns0:t>未实现；无游戏注册ID</ns0:t>
        </ns0:is>
      </ns0:c>
      <ns0:c r="H106" s="4" t="inlineStr">
        <ns0:is>
          <ns0:t>本次Q01用户补充丹药完整表；用户首瓶机制修正；P01</ns0:t>
        </ns0:is>
      </ns0:c>
    </ns0:row>
    <ns0:row r="107" ht="60" customHeight="1">
      <ns0:c r="A107" s="4" t="inlineStr">
        <ns0:is>
          <ns0:t>t01.asset.0102</ns0:t>
        </ns0:is>
      </ns0:c>
      <ns0:c r="B107" s="7" t="str">
        <ns0:f>'05_丹药'!B13</ns0:f>
        <ns0:v>益气丹</ns0:v>
      </ns0:c>
      <ns0:c r="C107" s="7" t="str">
        <ns0:f>'05_丹药'!C13</ns0:f>
        <ns0:v>凡品</ns0:v>
      </ns0:c>
      <ns0:c r="D107" s="4" t="inlineStr">
        <ns0:is>
          <ns0:t>丹药</ns0:t>
        </ns0:is>
      </ns0:c>
      <ns0:c r="E107" s="8" t="inlineStr">
        <ns0:is>
          <ns0:t>05_丹药!A13</ns0:t>
        </ns0:is>
      </ns0:c>
      <ns0:c r="F107" s="4" t="inlineStr">
        <ns0:is>
          <ns0:t>候选数值，未试跑</ns0:t>
        </ns0:is>
      </ns0:c>
      <ns0:c r="G107" s="4" t="inlineStr">
        <ns0:is>
          <ns0:t>未实现；无游戏注册ID</ns0:t>
        </ns0:is>
      </ns0:c>
      <ns0:c r="H107" s="4" t="inlineStr">
        <ns0:is>
          <ns0:t>本次Q01用户补充丹药完整表；用户首瓶机制修正；P02</ns0:t>
        </ns0:is>
      </ns0:c>
    </ns0:row>
    <ns0:row r="108" ht="60" customHeight="1">
      <ns0:c r="A108" s="4" t="inlineStr">
        <ns0:is>
          <ns0:t>t01.asset.0103</ns0:t>
        </ns0:is>
      </ns0:c>
      <ns0:c r="B108" s="7" t="str">
        <ns0:f>'05_丹药'!B14</ns0:f>
        <ns0:v>聚灵丹</ns0:v>
      </ns0:c>
      <ns0:c r="C108" s="7" t="str">
        <ns0:f>'05_丹药'!C14</ns0:f>
        <ns0:v>凡品</ns0:v>
      </ns0:c>
      <ns0:c r="D108" s="4" t="inlineStr">
        <ns0:is>
          <ns0:t>丹药</ns0:t>
        </ns0:is>
      </ns0:c>
      <ns0:c r="E108" s="8" t="inlineStr">
        <ns0:is>
          <ns0:t>05_丹药!A14</ns0:t>
        </ns0:is>
      </ns0:c>
      <ns0:c r="F108" s="4" t="inlineStr">
        <ns0:is>
          <ns0:t>候选数值，未试跑</ns0:t>
        </ns0:is>
      </ns0:c>
      <ns0:c r="G108" s="4" t="inlineStr">
        <ns0:is>
          <ns0:t>未实现；无游戏注册ID</ns0:t>
        </ns0:is>
      </ns0:c>
      <ns0:c r="H108" s="4" t="inlineStr">
        <ns0:is>
          <ns0:t>本次Q01用户补充丹药完整表；用户首瓶机制修正；P03</ns0:t>
        </ns0:is>
      </ns0:c>
    </ns0:row>
    <ns0:row r="109" ht="60" customHeight="1">
      <ns0:c r="A109" s="4" t="inlineStr">
        <ns0:is>
          <ns0:t>t01.asset.0104</ns0:t>
        </ns0:is>
      </ns0:c>
      <ns0:c r="B109" s="7" t="str">
        <ns0:f>'05_丹药'!B15</ns0:f>
        <ns0:v>培元丹</ns0:v>
      </ns0:c>
      <ns0:c r="C109" s="7" t="str">
        <ns0:f>'05_丹药'!C15</ns0:f>
        <ns0:v>凡品</ns0:v>
      </ns0:c>
      <ns0:c r="D109" s="4" t="inlineStr">
        <ns0:is>
          <ns0:t>丹药</ns0:t>
        </ns0:is>
      </ns0:c>
      <ns0:c r="E109" s="8" t="inlineStr">
        <ns0:is>
          <ns0:t>05_丹药!A15</ns0:t>
        </ns0:is>
      </ns0:c>
      <ns0:c r="F109" s="4" t="inlineStr">
        <ns0:is>
          <ns0:t>候选数值，未试跑</ns0:t>
        </ns0:is>
      </ns0:c>
      <ns0:c r="G109" s="4" t="inlineStr">
        <ns0:is>
          <ns0:t>未实现；无游戏注册ID</ns0:t>
        </ns0:is>
      </ns0:c>
      <ns0:c r="H109" s="4" t="inlineStr">
        <ns0:is>
          <ns0:t>本次Q01用户补充丹药完整表；用户首瓶机制修正；P04</ns0:t>
        </ns0:is>
      </ns0:c>
    </ns0:row>
    <ns0:row r="110" ht="60" customHeight="1">
      <ns0:c r="A110" s="4" t="inlineStr">
        <ns0:is>
          <ns0:t>t01.asset.0105</ns0:t>
        </ns0:is>
      </ns0:c>
      <ns0:c r="B110" s="7" t="str">
        <ns0:f>'05_丹药'!B16</ns0:f>
        <ns0:v>铁骨丸</ns0:v>
      </ns0:c>
      <ns0:c r="C110" s="7" t="str">
        <ns0:f>'05_丹药'!C16</ns0:f>
        <ns0:v>凡品</ns0:v>
      </ns0:c>
      <ns0:c r="D110" s="4" t="inlineStr">
        <ns0:is>
          <ns0:t>丹药</ns0:t>
        </ns0:is>
      </ns0:c>
      <ns0:c r="E110" s="8" t="inlineStr">
        <ns0:is>
          <ns0:t>05_丹药!A16</ns0:t>
        </ns0:is>
      </ns0:c>
      <ns0:c r="F110" s="4" t="inlineStr">
        <ns0:is>
          <ns0:t>候选数值，未试跑</ns0:t>
        </ns0:is>
      </ns0:c>
      <ns0:c r="G110" s="4" t="inlineStr">
        <ns0:is>
          <ns0:t>未实现；无游戏注册ID</ns0:t>
        </ns0:is>
      </ns0:c>
      <ns0:c r="H110" s="4" t="inlineStr">
        <ns0:is>
          <ns0:t>本次Q01用户补充丹药完整表；用户首瓶机制修正；P05</ns0:t>
        </ns0:is>
      </ns0:c>
    </ns0:row>
    <ns0:row r="111" ht="60" customHeight="1">
      <ns0:c r="A111" s="4" t="inlineStr">
        <ns0:is>
          <ns0:t>t01.asset.0106</ns0:t>
        </ns0:is>
      </ns0:c>
      <ns0:c r="B111" s="7" t="str">
        <ns0:f>'05_丹药'!B17</ns0:f>
        <ns0:v>避火丹</ns0:v>
      </ns0:c>
      <ns0:c r="C111" s="7" t="str">
        <ns0:f>'05_丹药'!C17</ns0:f>
        <ns0:v>凡品</ns0:v>
      </ns0:c>
      <ns0:c r="D111" s="4" t="inlineStr">
        <ns0:is>
          <ns0:t>丹药</ns0:t>
        </ns0:is>
      </ns0:c>
      <ns0:c r="E111" s="8" t="inlineStr">
        <ns0:is>
          <ns0:t>05_丹药!A17</ns0:t>
        </ns0:is>
      </ns0:c>
      <ns0:c r="F111" s="4" t="inlineStr">
        <ns0:is>
          <ns0:t>候选数值，未试跑</ns0:t>
        </ns0:is>
      </ns0:c>
      <ns0:c r="G111" s="4" t="inlineStr">
        <ns0:is>
          <ns0:t>未实现；无游戏注册ID</ns0:t>
        </ns0:is>
      </ns0:c>
      <ns0:c r="H111" s="4" t="inlineStr">
        <ns0:is>
          <ns0:t>本次Q01用户补充丹药完整表；用户首瓶机制修正；P06</ns0:t>
        </ns0:is>
      </ns0:c>
    </ns0:row>
    <ns0:row r="112" ht="60" customHeight="1">
      <ns0:c r="A112" s="4" t="inlineStr">
        <ns0:is>
          <ns0:t>t01.asset.0107</ns0:t>
        </ns0:is>
      </ns0:c>
      <ns0:c r="B112" s="7" t="str">
        <ns0:f>'05_丹药'!B18</ns0:f>
        <ns0:v>辟寒丹</ns0:v>
      </ns0:c>
      <ns0:c r="C112" s="7" t="str">
        <ns0:f>'05_丹药'!C18</ns0:f>
        <ns0:v>凡品</ns0:v>
      </ns0:c>
      <ns0:c r="D112" s="4" t="inlineStr">
        <ns0:is>
          <ns0:t>丹药</ns0:t>
        </ns0:is>
      </ns0:c>
      <ns0:c r="E112" s="8" t="inlineStr">
        <ns0:is>
          <ns0:t>05_丹药!A18</ns0:t>
        </ns0:is>
      </ns0:c>
      <ns0:c r="F112" s="4" t="inlineStr">
        <ns0:is>
          <ns0:t>候选数值，未试跑</ns0:t>
        </ns0:is>
      </ns0:c>
      <ns0:c r="G112" s="4" t="inlineStr">
        <ns0:is>
          <ns0:t>未实现；无游戏注册ID</ns0:t>
        </ns0:is>
      </ns0:c>
      <ns0:c r="H112" s="4" t="inlineStr">
        <ns0:is>
          <ns0:t>本次Q01用户补充丹药完整表；用户首瓶机制修正；P07</ns0:t>
        </ns0:is>
      </ns0:c>
    </ns0:row>
    <ns0:row r="113" ht="60" customHeight="1">
      <ns0:c r="A113" s="4" t="inlineStr">
        <ns0:is>
          <ns0:t>t01.asset.0108</ns0:t>
        </ns0:is>
      </ns0:c>
      <ns0:c r="B113" s="7" t="str">
        <ns0:f>'05_丹药'!B19</ns0:f>
        <ns0:v>辟金丹</ns0:v>
      </ns0:c>
      <ns0:c r="C113" s="7" t="str">
        <ns0:f>'05_丹药'!C19</ns0:f>
        <ns0:v>凡品</ns0:v>
      </ns0:c>
      <ns0:c r="D113" s="4" t="inlineStr">
        <ns0:is>
          <ns0:t>丹药</ns0:t>
        </ns0:is>
      </ns0:c>
      <ns0:c r="E113" s="8" t="inlineStr">
        <ns0:is>
          <ns0:t>05_丹药!A19</ns0:t>
        </ns0:is>
      </ns0:c>
      <ns0:c r="F113" s="4" t="inlineStr">
        <ns0:is>
          <ns0:t>候选数值，未试跑</ns0:t>
        </ns0:is>
      </ns0:c>
      <ns0:c r="G113" s="4" t="inlineStr">
        <ns0:is>
          <ns0:t>未实现；无游戏注册ID</ns0:t>
        </ns0:is>
      </ns0:c>
      <ns0:c r="H113" s="4" t="inlineStr">
        <ns0:is>
          <ns0:t>本次Q01用户补充丹药完整表；用户首瓶机制修正；P08</ns0:t>
        </ns0:is>
      </ns0:c>
    </ns0:row>
    <ns0:row r="114" ht="60" customHeight="1">
      <ns0:c r="A114" s="4" t="inlineStr">
        <ns0:is>
          <ns0:t>t01.asset.0109</ns0:t>
        </ns0:is>
      </ns0:c>
      <ns0:c r="B114" s="7" t="str">
        <ns0:f>'05_丹药'!B20</ns0:f>
        <ns0:v>御木丹</ns0:v>
      </ns0:c>
      <ns0:c r="C114" s="7" t="str">
        <ns0:f>'05_丹药'!C20</ns0:f>
        <ns0:v>凡品</ns0:v>
      </ns0:c>
      <ns0:c r="D114" s="4" t="inlineStr">
        <ns0:is>
          <ns0:t>丹药</ns0:t>
        </ns0:is>
      </ns0:c>
      <ns0:c r="E114" s="8" t="inlineStr">
        <ns0:is>
          <ns0:t>05_丹药!A20</ns0:t>
        </ns0:is>
      </ns0:c>
      <ns0:c r="F114" s="4" t="inlineStr">
        <ns0:is>
          <ns0:t>候选数值，未试跑</ns0:t>
        </ns0:is>
      </ns0:c>
      <ns0:c r="G114" s="4" t="inlineStr">
        <ns0:is>
          <ns0:t>未实现；无游戏注册ID</ns0:t>
        </ns0:is>
      </ns0:c>
      <ns0:c r="H114" s="4" t="inlineStr">
        <ns0:is>
          <ns0:t>本次Q01用户补充丹药完整表；用户首瓶机制修正；P09</ns0:t>
        </ns0:is>
      </ns0:c>
    </ns0:row>
    <ns0:row r="115" ht="60" customHeight="1">
      <ns0:c r="A115" s="4" t="inlineStr">
        <ns0:is>
          <ns0:t>t01.asset.0110</ns0:t>
        </ns0:is>
      </ns0:c>
      <ns0:c r="B115" s="7" t="str">
        <ns0:f>'05_丹药'!B21</ns0:f>
        <ns0:v>镇土丹</ns0:v>
      </ns0:c>
      <ns0:c r="C115" s="7" t="str">
        <ns0:f>'05_丹药'!C21</ns0:f>
        <ns0:v>凡品</ns0:v>
      </ns0:c>
      <ns0:c r="D115" s="4" t="inlineStr">
        <ns0:is>
          <ns0:t>丹药</ns0:t>
        </ns0:is>
      </ns0:c>
      <ns0:c r="E115" s="8" t="inlineStr">
        <ns0:is>
          <ns0:t>05_丹药!A21</ns0:t>
        </ns0:is>
      </ns0:c>
      <ns0:c r="F115" s="4" t="inlineStr">
        <ns0:is>
          <ns0:t>候选数值，未试跑</ns0:t>
        </ns0:is>
      </ns0:c>
      <ns0:c r="G115" s="4" t="inlineStr">
        <ns0:is>
          <ns0:t>未实现；无游戏注册ID</ns0:t>
        </ns0:is>
      </ns0:c>
      <ns0:c r="H115" s="4" t="inlineStr">
        <ns0:is>
          <ns0:t>本次Q01用户补充丹药完整表；用户首瓶机制修正；P10</ns0:t>
        </ns0:is>
      </ns0:c>
    </ns0:row>
    <ns0:row r="116" ht="60" customHeight="1">
      <ns0:c r="A116" s="4" t="inlineStr">
        <ns0:is>
          <ns0:t>t01.asset.0111</ns0:t>
        </ns0:is>
      </ns0:c>
      <ns0:c r="B116" s="7" t="str">
        <ns0:f>'07_暗器'!B6</ns0:f>
        <ns0:v>飞针</ns0:v>
      </ns0:c>
      <ns0:c r="C116" s="7" t="str">
        <ns0:f>'07_暗器'!C6</ns0:f>
        <ns0:v>凡品</ns0:v>
      </ns0:c>
      <ns0:c r="D116" s="4" t="inlineStr">
        <ns0:is>
          <ns0:t>暗器</ns0:t>
        </ns0:is>
      </ns0:c>
      <ns0:c r="E116" s="8" t="inlineStr">
        <ns0:is>
          <ns0:t>07_暗器!A6</ns0:t>
        </ns0:is>
      </ns0:c>
      <ns0:c r="F116" s="4" t="inlineStr">
        <ns0:is>
          <ns0:t>候选数值，未试跑</ns0:t>
        </ns0:is>
      </ns0:c>
      <ns0:c r="G116" s="4" t="inlineStr">
        <ns0:is>
          <ns0:t>未实现；无游戏注册ID</ns0:t>
        </ns0:is>
      </ns0:c>
      <ns0:c r="H116" s="4" t="inlineStr">
        <ns0:is>
          <ns0:t>第1批基础；第2批微调；第3批复查；用户直接更正优先；H01</ns0:t>
        </ns0:is>
      </ns0:c>
    </ns0:row>
    <ns0:row r="117" ht="60" customHeight="1">
      <ns0:c r="A117" s="4" t="inlineStr">
        <ns0:is>
          <ns0:t>t01.asset.0112</ns0:t>
        </ns0:is>
      </ns0:c>
      <ns0:c r="B117" s="7" t="str">
        <ns0:f>'07_暗器'!B7</ns0:f>
        <ns0:v>柳叶镖</ns0:v>
      </ns0:c>
      <ns0:c r="C117" s="7" t="str">
        <ns0:f>'07_暗器'!C7</ns0:f>
        <ns0:v>凡品</ns0:v>
      </ns0:c>
      <ns0:c r="D117" s="4" t="inlineStr">
        <ns0:is>
          <ns0:t>暗器</ns0:t>
        </ns0:is>
      </ns0:c>
      <ns0:c r="E117" s="8" t="inlineStr">
        <ns0:is>
          <ns0:t>07_暗器!A7</ns0:t>
        </ns0:is>
      </ns0:c>
      <ns0:c r="F117" s="4" t="inlineStr">
        <ns0:is>
          <ns0:t>候选数值，未试跑</ns0:t>
        </ns0:is>
      </ns0:c>
      <ns0:c r="G117" s="4" t="inlineStr">
        <ns0:is>
          <ns0:t>未实现；无游戏注册ID</ns0:t>
        </ns0:is>
      </ns0:c>
      <ns0:c r="H117" s="4" t="inlineStr">
        <ns0:is>
          <ns0:t>第1批基础；第2批微调；第3批复查；用户直接更正优先；H02</ns0:t>
        </ns0:is>
      </ns0:c>
    </ns0:row>
    <ns0:row r="118" ht="60" customHeight="1">
      <ns0:c r="A118" s="4" t="inlineStr">
        <ns0:is>
          <ns0:t>t01.asset.0113</ns0:t>
        </ns0:is>
      </ns0:c>
      <ns0:c r="B118" s="7" t="str">
        <ns0:f>'07_暗器'!B8</ns0:f>
        <ns0:v>铁丸</ns0:v>
      </ns0:c>
      <ns0:c r="C118" s="7" t="str">
        <ns0:f>'07_暗器'!C8</ns0:f>
        <ns0:v>凡品</ns0:v>
      </ns0:c>
      <ns0:c r="D118" s="4" t="inlineStr">
        <ns0:is>
          <ns0:t>暗器</ns0:t>
        </ns0:is>
      </ns0:c>
      <ns0:c r="E118" s="8" t="inlineStr">
        <ns0:is>
          <ns0:t>07_暗器!A8</ns0:t>
        </ns0:is>
      </ns0:c>
      <ns0:c r="F118" s="4" t="inlineStr">
        <ns0:is>
          <ns0:t>候选数值，未试跑</ns0:t>
        </ns0:is>
      </ns0:c>
      <ns0:c r="G118" s="4" t="inlineStr">
        <ns0:is>
          <ns0:t>未实现；无游戏注册ID</ns0:t>
        </ns0:is>
      </ns0:c>
      <ns0:c r="H118" s="4" t="inlineStr">
        <ns0:is>
          <ns0:t>第1批基础；第2批微调；第3批复查；用户直接更正优先；H03</ns0:t>
        </ns0:is>
      </ns0:c>
    </ns0:row>
    <ns0:row r="119" ht="60" customHeight="1">
      <ns0:c r="A119" s="4" t="inlineStr">
        <ns0:is>
          <ns0:t>t01.asset.0114</ns0:t>
        </ns0:is>
      </ns0:c>
      <ns0:c r="B119" s="7" t="str">
        <ns0:f>'07_暗器'!B9</ns0:f>
        <ns0:v>毒针</ns0:v>
      </ns0:c>
      <ns0:c r="C119" s="7" t="str">
        <ns0:f>'07_暗器'!C9</ns0:f>
        <ns0:v>凡品</ns0:v>
      </ns0:c>
      <ns0:c r="D119" s="4" t="inlineStr">
        <ns0:is>
          <ns0:t>暗器</ns0:t>
        </ns0:is>
      </ns0:c>
      <ns0:c r="E119" s="8" t="inlineStr">
        <ns0:is>
          <ns0:t>07_暗器!A9</ns0:t>
        </ns0:is>
      </ns0:c>
      <ns0:c r="F119" s="4" t="inlineStr">
        <ns0:is>
          <ns0:t>候选数值，未试跑</ns0:t>
        </ns0:is>
      </ns0:c>
      <ns0:c r="G119" s="4" t="inlineStr">
        <ns0:is>
          <ns0:t>未实现；无游戏注册ID</ns0:t>
        </ns0:is>
      </ns0:c>
      <ns0:c r="H119" s="4" t="inlineStr">
        <ns0:is>
          <ns0:t>第1批基础；第2批微调；第3批复查；用户直接更正优先；H04</ns0:t>
        </ns0:is>
      </ns0:c>
    </ns0:row>
    <ns0:row r="120" ht="60" customHeight="1">
      <ns0:c r="A120" s="4" t="inlineStr">
        <ns0:is>
          <ns0:t>t01.asset.0115</ns0:t>
        </ns0:is>
      </ns0:c>
      <ns0:c r="B120" s="7" t="str">
        <ns0:f>'07_暗器'!B10</ns0:f>
        <ns0:v>火砂</ns0:v>
      </ns0:c>
      <ns0:c r="C120" s="7" t="str">
        <ns0:f>'07_暗器'!C10</ns0:f>
        <ns0:v>凡品</ns0:v>
      </ns0:c>
      <ns0:c r="D120" s="4" t="inlineStr">
        <ns0:is>
          <ns0:t>暗器</ns0:t>
        </ns0:is>
      </ns0:c>
      <ns0:c r="E120" s="8" t="inlineStr">
        <ns0:is>
          <ns0:t>07_暗器!A10</ns0:t>
        </ns0:is>
      </ns0:c>
      <ns0:c r="F120" s="4" t="inlineStr">
        <ns0:is>
          <ns0:t>候选数值，未试跑</ns0:t>
        </ns0:is>
      </ns0:c>
      <ns0:c r="G120" s="4" t="inlineStr">
        <ns0:is>
          <ns0:t>未实现；无游戏注册ID</ns0:t>
        </ns0:is>
      </ns0:c>
      <ns0:c r="H120" s="4" t="inlineStr">
        <ns0:is>
          <ns0:t>第1批基础；第2批微调；第3批复查；用户直接更正优先；H05</ns0:t>
        </ns0:is>
      </ns0:c>
    </ns0:row>
  </ns0:sheetData>
  <ns0:mergeCells count="2">
    <ns0:mergeCell ref="A2:H2"/>
    <ns0:mergeCell ref="A1:H1"/>
  </ns0:mergeCells>
  <ns0:hyperlinks>
    <ns0:hyperlink ref="E6" ns1:id="rId1"/>
    <ns0:hyperlink ref="E7" ns1:id="rId2"/>
    <ns0:hyperlink ref="E8" ns1:id="rId3"/>
    <ns0:hyperlink ref="E9" ns1:id="rId4"/>
    <ns0:hyperlink ref="E10" ns1:id="rId5"/>
    <ns0:hyperlink ref="E11" ns1:id="rId6"/>
    <ns0:hyperlink ref="E12" ns1:id="rId7"/>
    <ns0:hyperlink ref="E13" ns1:id="rId8"/>
    <ns0:hyperlink ref="E14" ns1:id="rId9"/>
    <ns0:hyperlink ref="E15" ns1:id="rId10"/>
    <ns0:hyperlink ref="E16" ns1:id="rId11"/>
    <ns0:hyperlink ref="E17" ns1:id="rId12"/>
    <ns0:hyperlink ref="E18" ns1:id="rId13"/>
    <ns0:hyperlink ref="E19" ns1:id="rId14"/>
    <ns0:hyperlink ref="E20" ns1:id="rId15"/>
    <ns0:hyperlink ref="E21" ns1:id="rId16"/>
    <ns0:hyperlink ref="E22" ns1:id="rId17"/>
    <ns0:hyperlink ref="E23" ns1:id="rId18"/>
    <ns0:hyperlink ref="E24" ns1:id="rId19"/>
    <ns0:hyperlink ref="E25" ns1:id="rId20"/>
    <ns0:hyperlink ref="E26" ns1:id="rId21"/>
    <ns0:hyperlink ref="E27" ns1:id="rId22"/>
    <ns0:hyperlink ref="E28" ns1:id="rId23"/>
    <ns0:hyperlink ref="E29" ns1:id="rId24"/>
    <ns0:hyperlink ref="E30" ns1:id="rId25"/>
    <ns0:hyperlink ref="E31" ns1:id="rId26"/>
    <ns0:hyperlink ref="E32" ns1:id="rId27"/>
    <ns0:hyperlink ref="E33" ns1:id="rId28"/>
    <ns0:hyperlink ref="E34" ns1:id="rId29"/>
    <ns0:hyperlink ref="E35" ns1:id="rId30"/>
    <ns0:hyperlink ref="E36" ns1:id="rId31"/>
    <ns0:hyperlink ref="E37" ns1:id="rId32"/>
    <ns0:hyperlink ref="E38" ns1:id="rId33"/>
    <ns0:hyperlink ref="E39" ns1:id="rId34"/>
    <ns0:hyperlink ref="E40" ns1:id="rId35"/>
    <ns0:hyperlink ref="E41" ns1:id="rId36"/>
    <ns0:hyperlink ref="E42" ns1:id="rId37"/>
    <ns0:hyperlink ref="E43" ns1:id="rId38"/>
    <ns0:hyperlink ref="E44" ns1:id="rId39"/>
    <ns0:hyperlink ref="E45" ns1:id="rId40"/>
    <ns0:hyperlink ref="E46" ns1:id="rId41"/>
    <ns0:hyperlink ref="E47" ns1:id="rId42"/>
    <ns0:hyperlink ref="E48" ns1:id="rId43"/>
    <ns0:hyperlink ref="E49" ns1:id="rId44"/>
    <ns0:hyperlink ref="E50" ns1:id="rId45"/>
    <ns0:hyperlink ref="E51" ns1:id="rId46"/>
    <ns0:hyperlink ref="E52" ns1:id="rId47"/>
    <ns0:hyperlink ref="E53" ns1:id="rId48"/>
    <ns0:hyperlink ref="E54" ns1:id="rId49"/>
    <ns0:hyperlink ref="E55" ns1:id="rId50"/>
    <ns0:hyperlink ref="E56" ns1:id="rId51"/>
    <ns0:hyperlink ref="E57" ns1:id="rId52"/>
    <ns0:hyperlink ref="E58" ns1:id="rId53"/>
    <ns0:hyperlink ref="E59" ns1:id="rId54"/>
    <ns0:hyperlink ref="E60" ns1:id="rId55"/>
    <ns0:hyperlink ref="E61" ns1:id="rId56"/>
    <ns0:hyperlink ref="E62" ns1:id="rId57"/>
    <ns0:hyperlink ref="E63" ns1:id="rId58"/>
    <ns0:hyperlink ref="E64" ns1:id="rId59"/>
    <ns0:hyperlink ref="E65" ns1:id="rId60"/>
    <ns0:hyperlink ref="E66" ns1:id="rId61"/>
    <ns0:hyperlink ref="E67" ns1:id="rId62"/>
    <ns0:hyperlink ref="E68" ns1:id="rId63"/>
    <ns0:hyperlink ref="E69" ns1:id="rId64"/>
    <ns0:hyperlink ref="E70" ns1:id="rId65"/>
    <ns0:hyperlink ref="E71" ns1:id="rId66"/>
    <ns0:hyperlink ref="E72" ns1:id="rId67"/>
    <ns0:hyperlink ref="E73" ns1:id="rId68"/>
    <ns0:hyperlink ref="E74" ns1:id="rId69"/>
    <ns0:hyperlink ref="E75" ns1:id="rId70"/>
    <ns0:hyperlink ref="E76" ns1:id="rId71"/>
    <ns0:hyperlink ref="E77" ns1:id="rId72"/>
    <ns0:hyperlink ref="E78" ns1:id="rId73"/>
    <ns0:hyperlink ref="E79" ns1:id="rId74"/>
    <ns0:hyperlink ref="E80" ns1:id="rId75"/>
    <ns0:hyperlink ref="E81" ns1:id="rId76"/>
    <ns0:hyperlink ref="E82" ns1:id="rId77"/>
    <ns0:hyperlink ref="E83" ns1:id="rId78"/>
    <ns0:hyperlink ref="E84" ns1:id="rId79"/>
    <ns0:hyperlink ref="E85" ns1:id="rId80"/>
    <ns0:hyperlink ref="E86" ns1:id="rId81"/>
    <ns0:hyperlink ref="E87" ns1:id="rId82"/>
    <ns0:hyperlink ref="E88" ns1:id="rId83"/>
    <ns0:hyperlink ref="E89" ns1:id="rId84"/>
    <ns0:hyperlink ref="E90" ns1:id="rId85"/>
    <ns0:hyperlink ref="E91" ns1:id="rId86"/>
    <ns0:hyperlink ref="E92" ns1:id="rId87"/>
    <ns0:hyperlink ref="E93" ns1:id="rId88"/>
    <ns0:hyperlink ref="E94" ns1:id="rId89"/>
    <ns0:hyperlink ref="E95" ns1:id="rId90"/>
    <ns0:hyperlink ref="E96" ns1:id="rId91"/>
    <ns0:hyperlink ref="E97" ns1:id="rId92"/>
    <ns0:hyperlink ref="E98" ns1:id="rId93"/>
    <ns0:hyperlink ref="E99" ns1:id="rId94"/>
    <ns0:hyperlink ref="E100" ns1:id="rId95"/>
    <ns0:hyperlink ref="E101" ns1:id="rId96"/>
    <ns0:hyperlink ref="E102" ns1:id="rId97"/>
    <ns0:hyperlink ref="E103" ns1:id="rId98"/>
    <ns0:hyperlink ref="E104" ns1:id="rId99"/>
    <ns0:hyperlink ref="E105" ns1:id="rId100"/>
    <ns0:hyperlink ref="E106" ns1:id="rId101"/>
    <ns0:hyperlink ref="E107" ns1:id="rId102"/>
    <ns0:hyperlink ref="E108" ns1:id="rId103"/>
    <ns0:hyperlink ref="E109" ns1:id="rId104"/>
    <ns0:hyperlink ref="E110" ns1:id="rId105"/>
    <ns0:hyperlink ref="E111" ns1:id="rId106"/>
    <ns0:hyperlink ref="E112" ns1:id="rId107"/>
    <ns0:hyperlink ref="E113" ns1:id="rId108"/>
    <ns0:hyperlink ref="E114" ns1:id="rId109"/>
    <ns0:hyperlink ref="E115" ns1:id="rId110"/>
    <ns0:hyperlink ref="E116" ns1:id="rId111"/>
    <ns0:hyperlink ref="E117" ns1:id="rId112"/>
    <ns0:hyperlink ref="E118" ns1:id="rId113"/>
    <ns0:hyperlink ref="E119" ns1:id="rId114"/>
    <ns0:hyperlink ref="E120" ns1:id="rId115"/>
  </ns0:hyperlinks>
  <ns0:pageMargins left="0.75" right="0.75" top="1" bottom="1" header="0.5" footer="0.5"/>
  <ns0:pageSetup orientation="landscape" paperSize="8" fitToHeight="0" fitToWidth="1"/>
  <ns0:tableParts count="1">
    <ns0:tablePart ns1:id="rId116"/>
  </ns0:tableParts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AD41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1" customWidth="1" min="3" max="3"/>
    <ns0:col width="12" customWidth="1" min="4" max="4"/>
    <ns0:col width="13" customWidth="1" min="5" max="5"/>
    <ns0:col width="16" customWidth="1" min="6" max="6"/>
    <ns0:col width="9" customWidth="1" min="7" max="7"/>
    <ns0:col width="9" customWidth="1" min="8" max="8"/>
    <ns0:col width="12" customWidth="1" min="9" max="9"/>
    <ns0:col width="13" customWidth="1" min="10" max="10"/>
    <ns0:col width="14" customWidth="1" min="11" max="11"/>
    <ns0:col width="15" customWidth="1" min="12" max="12"/>
    <ns0:col width="13" customWidth="1" min="13" max="13"/>
    <ns0:col width="13" customWidth="1" min="14" max="14"/>
    <ns0:col width="14" customWidth="1" min="15" max="15"/>
    <ns0:col width="39" customWidth="1" min="16" max="16"/>
    <ns0:col width="31" customWidth="1" min="17" max="17"/>
    <ns0:col width="58" customWidth="1" min="18" max="18"/>
    <ns0:col width="36" customWidth="1" min="19" max="19"/>
    <ns0:col width="46" customWidth="1" min="20" max="20"/>
    <ns0:col width="32" customWidth="1" min="21" max="21"/>
    <ns0:col width="14" customWidth="1" min="22" max="22"/>
    <ns0:col width="12" customWidth="1" min="23" max="23"/>
    <ns0:col width="13" customWidth="1" min="24" max="24"/>
    <ns0:col width="12" customWidth="1" min="25" max="25"/>
    <ns0:col width="42" customWidth="1" min="26" max="26"/>
    <ns0:col width="10" customWidth="1" min="27" max="27"/>
    <ns0:col width="12" customWidth="1" min="28" max="28"/>
    <ns0:col width="42" customWidth="1" min="29" max="29"/>
    <ns0:col width="43" customWidth="1" min="30" max="30"/>
  </ns0:cols>
  <ns0:sheetData>
    <ns0:row r="1" ht="32" customHeight="1">
      <ns0:c r="A1" s="1" t="inlineStr">
        <ns0:is>
          <ns0:t>t01-08｜武器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器型</ns0:t>
        </ns0:is>
      </ns0:c>
      <ns0:c r="F5" s="3" t="inlineStr">
        <ns0:is>
          <ns0:t>Attack Type</ns0:t>
        </ns0:is>
      </ns0:c>
      <ns0:c r="G5" s="3" t="inlineStr">
        <ns0:is>
          <ns0:t>宽_格</ns0:t>
        </ns0:is>
      </ns0:c>
      <ns0:c r="H5" s="3" t="inlineStr">
        <ns0:is>
          <ns0:t>高_格</ns0:t>
        </ns0:is>
      </ns0:c>
      <ns0:c r="I5" s="3" t="inlineStr">
        <ns0:is>
          <ns0:t>实际占格</ns0:t>
        </ns0:is>
      </ns0:c>
      <ns0:c r="J5" s="3" t="inlineStr">
        <ns0:is>
          <ns0:t>设计伤害</ns0:t>
        </ns0:is>
      </ns0:c>
      <ns0:c r="K5" s="3" t="inlineStr">
        <ns0:is>
          <ns0:t>设计CD_秒</ns0:t>
        </ns0:is>
      </ns0:c>
      <ns0:c r="L5" s="3" t="inlineStr">
        <ns0:is>
          <ns0:t>设计体力费</ns0:t>
        </ns0:is>
      </ns0:c>
      <ns0:c r="M5" s="3" t="inlineStr">
        <ns0:is>
          <ns0:t>伤害相对档</ns0:t>
        </ns0:is>
      </ns0:c>
      <ns0:c r="N5" s="3" t="inlineStr">
        <ns0:is>
          <ns0:t>CD相对档</ns0:t>
        </ns0:is>
      </ns0:c>
      <ns0:c r="O5" s="3" t="inlineStr">
        <ns0:is>
          <ns0:t>体力相对档</ns0:t>
        </ns0:is>
      </ns0:c>
      <ns0:c r="P5" s="3" t="inlineStr">
        <ns0:is>
          <ns0:t>基础战斗性格</ns0:t>
        </ns0:is>
      </ns0:c>
      <ns0:c r="Q5" s="3" t="inlineStr">
        <ns0:is>
          <ns0:t>后续元素倾向_非本件</ns0:t>
        </ns0:is>
      </ns0:c>
      <ns0:c r="R5" s="3" t="inlineStr">
        <ns0:is>
          <ns0:t>边界</ns0:t>
        </ns0:is>
      </ns0:c>
      <ns0:c r="S5" s="3" t="inlineStr">
        <ns0:is>
          <ns0:t>机制引用</ns0:t>
        </ns0:is>
      </ns0:c>
      <ns0:c r="T5" s="3" t="inlineStr">
        <ns0:is>
          <ns0:t>现有游戏ID</ns0:t>
        </ns0:is>
      </ns0:c>
      <ns0:c r="U5" s="3" t="inlineStr">
        <ns0:is>
          <ns0:t>设计状态</ns0:t>
        </ns0:is>
      </ns0:c>
      <ns0:c r="V5" s="3" t="inlineStr">
        <ns0:is>
          <ns0:t>来源</ns0:t>
        </ns0:is>
      </ns0:c>
      <ns0:c r="W5" s="13" t="inlineStr">
        <ns0:is>
          <ns0:t>来源编号</ns0:t>
        </ns0:is>
      </ns0:c>
      <ns0:c r="X5" s="13" t="inlineStr">
        <ns0:is>
          <ns0:t>状态</ns0:t>
        </ns0:is>
      </ns0:c>
      <ns0:c r="Y5" s="13" t="inlineStr">
        <ns0:is>
          <ns0:t>施加层数</ns0:t>
        </ns0:is>
      </ns0:c>
      <ns0:c r="Z5" s="13" t="inlineStr">
        <ns0:is>
          <ns0:t>状态时机与目标</ns0:t>
        </ns0:is>
      </ns0:c>
      <ns0:c r="AA5" s="13" t="inlineStr">
        <ns0:is>
          <ns0:t>灵力费</ns0:t>
        </ns0:is>
      </ns0:c>
      <ns0:c r="AB5" s="13" t="inlineStr">
        <ns0:is>
          <ns0:t>数量消耗</ns0:t>
        </ns0:is>
      </ns0:c>
      <ns0:c r="AC5" s="13" t="inlineStr">
        <ns0:is>
          <ns0:t>效果引用</ns0:t>
        </ns0:is>
      </ns0:c>
      <ns0:c r="AD5" s="13" t="inlineStr">
        <ns0:is>
          <ns0:t>本批元素规则</ns0:t>
        </ns0:is>
      </ns0:c>
    </ns0:row>
    <ns0:row r="6" ht="30" customHeight="1">
      <ns0:c r="A6" s="4" t="inlineStr">
        <ns0:is>
          <ns0:t>t01.asset.0001</ns0:t>
        </ns0:is>
      </ns0:c>
      <ns0:c r="B6" s="4" t="inlineStr">
        <ns0:is>
          <ns0:t>青石短剑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剑</ns0:t>
        </ns0:is>
      </ns0:c>
      <ns0:c r="F6" s="4" t="inlineStr">
        <ns0:is>
          <ns0:t>斩击</ns0:t>
        </ns0:is>
      </ns0:c>
      <ns0:c r="G6" s="4" t="n">
        <ns0:v>1</ns0:v>
      </ns0:c>
      <ns0:c r="H6" s="4" t="n">
        <ns0:v>2</ns0:v>
      </ns0:c>
      <ns0:c r="I6" s="7">
        <ns0:f>G6*H6</ns0:f>
        <ns0:v>2</ns0:v>
      </ns0:c>
      <ns0:c r="J6" s="4" t="n"/>
      <ns0:c r="K6" s="4" t="n"/>
      <ns0:c r="L6" s="4" t="n"/>
      <ns0:c r="M6" s="4" t="inlineStr">
        <ns0:is>
          <ns0:t>中</ns0:t>
        </ns0:is>
      </ns0:c>
      <ns0:c r="N6" s="4" t="inlineStr">
        <ns0:is>
          <ns0:t>中</ns0:t>
        </ns0:is>
      </ns0:c>
      <ns0:c r="O6" s="4" t="inlineStr">
        <ns0:is>
          <ns0:t>中</ns0:t>
        </ns0:is>
      </ns0:c>
      <ns0:c r="P6" s="4" t="inlineStr">
        <ns0:is>
          <ns0:t>均衡斩击基准</ns0:t>
        </ns0:is>
      </ns0:c>
      <ns0:c r="Q6" s="4" t="inlineStr">
        <ns0:is>
          <ns0:t>火、水</ns0:t>
        </ns0:is>
      </ns0:c>
      <ns0:c r="R6" s="4" t="inlineStr">
        <ns0:is>
          <ns0:t>不带状态／控制／邻接；无射程，猎弓不耗箭；石印为武器。</ns0:t>
        </ns0:is>
      </ns0:c>
      <ns0:c r="S6" s="4" t="inlineStr">
        <ns0:is>
          <ns0:t>01 M01/M06/M08；03权限；04九器型</ns0:t>
        </ns0:is>
      </ns0:c>
      <ns0:c r="T6" s="4" t="inlineStr">
        <ns0:is>
          <ns0:t>base.map_item.qingshi_short_sword</ns0:t>
        </ns0:is>
      </ns0:c>
      <ns0:c r="U6" s="6" t="inlineStr">
        <ns0:is>
          <ns0:t>待绝对数值；非生产配置</ns0:t>
        </ns0:is>
      </ns0:c>
      <ns0:c r="V6" s="4" t="inlineStr">
        <ns0:is>
          <ns0:t>A；U</ns0:t>
        </ns0:is>
      </ns0:c>
    </ns0:row>
    <ns0:row r="7" ht="30" customHeight="1">
      <ns0:c r="A7" s="5" t="inlineStr">
        <ns0:is>
          <ns0:t>t01.asset.0002</ns0:t>
        </ns0:is>
      </ns0:c>
      <ns0:c r="B7" s="5" t="inlineStr">
        <ns0:is>
          <ns0:t>铁刀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佩刀</ns0:t>
        </ns0:is>
      </ns0:c>
      <ns0:c r="F7" s="5" t="inlineStr">
        <ns0:is>
          <ns0:t>斩击</ns0:t>
        </ns0:is>
      </ns0:c>
      <ns0:c r="G7" s="5" t="n">
        <ns0:v>1</ns0:v>
      </ns0:c>
      <ns0:c r="H7" s="5" t="n">
        <ns0:v>1</ns0:v>
      </ns0:c>
      <ns0:c r="I7" s="9">
        <ns0:f>G7*H7</ns0:f>
        <ns0:v>1</ns0:v>
      </ns0:c>
      <ns0:c r="J7" s="5" t="n"/>
      <ns0:c r="K7" s="5" t="n"/>
      <ns0:c r="L7" s="5" t="n"/>
      <ns0:c r="M7" s="5" t="inlineStr">
        <ns0:is>
          <ns0:t>中低</ns0:t>
        </ns0:is>
      </ns0:c>
      <ns0:c r="N7" s="5" t="inlineStr">
        <ns0:is>
          <ns0:t>中短</ns0:t>
        </ns0:is>
      </ns0:c>
      <ns0:c r="O7" s="5" t="inlineStr">
        <ns0:is>
          <ns0:t>中低</ns0:t>
        </ns0:is>
      </ns0:c>
      <ns0:c r="P7" s="5" t="inlineStr">
        <ns0:is>
          <ns0:t>紧凑、以空间换单击收益</ns0:t>
        </ns0:is>
      </ns0:c>
      <ns0:c r="Q7" s="5" t="inlineStr">
        <ns0:is>
          <ns0:t>金、火</ns0:t>
        </ns0:is>
      </ns0:c>
      <ns0:c r="R7" s="5" t="inlineStr">
        <ns0:is>
          <ns0:t>不带状态／控制／邻接；无射程，猎弓不耗箭；石印为武器。</ns0:t>
        </ns0:is>
      </ns0:c>
      <ns0:c r="S7" s="5" t="inlineStr">
        <ns0:is>
          <ns0:t>01 M01/M06/M08；03权限；04九器型</ns0:t>
        </ns0:is>
      </ns0:c>
      <ns0:c r="T7" s="5" t="inlineStr">
        <ns0:is>
          <ns0:t>未配置</ns0:t>
        </ns0:is>
      </ns0:c>
      <ns0:c r="U7" s="6" t="inlineStr">
        <ns0:is>
          <ns0:t>待绝对数值；非生产配置</ns0:t>
        </ns0:is>
      </ns0:c>
      <ns0:c r="V7" s="5" t="inlineStr">
        <ns0:is>
          <ns0:t>A；U</ns0:t>
        </ns0:is>
      </ns0:c>
    </ns0:row>
    <ns0:row r="8" ht="30" customHeight="1">
      <ns0:c r="A8" s="4" t="inlineStr">
        <ns0:is>
          <ns0:t>t01.asset.0003</ns0:t>
        </ns0:is>
      </ns0:c>
      <ns0:c r="B8" s="4" t="inlineStr">
        <ns0:is>
          <ns0:t>柴斧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斧</ns0:t>
        </ns0:is>
      </ns0:c>
      <ns0:c r="F8" s="4" t="inlineStr">
        <ns0:is>
          <ns0:t>斩击</ns0:t>
        </ns0:is>
      </ns0:c>
      <ns0:c r="G8" s="4" t="n">
        <ns0:v>2</ns0:v>
      </ns0:c>
      <ns0:c r="H8" s="4" t="n">
        <ns0:v>1</ns0:v>
      </ns0:c>
      <ns0:c r="I8" s="7">
        <ns0:f>G8*H8</ns0:f>
        <ns0:v>2</ns0:v>
      </ns0:c>
      <ns0:c r="J8" s="4" t="n"/>
      <ns0:c r="K8" s="4" t="n"/>
      <ns0:c r="L8" s="4" t="n"/>
      <ns0:c r="M8" s="4" t="inlineStr">
        <ns0:is>
          <ns0:t>高</ns0:t>
        </ns0:is>
      </ns0:c>
      <ns0:c r="N8" s="4" t="inlineStr">
        <ns0:is>
          <ns0:t>中长</ns0:t>
        </ns0:is>
      </ns0:c>
      <ns0:c r="O8" s="4" t="inlineStr">
        <ns0:is>
          <ns0:t>高</ns0:t>
        </ns0:is>
      </ns0:c>
      <ns0:c r="P8" s="4" t="inlineStr">
        <ns0:is>
          <ns0:t>重斩、强调单次爆发</ns0:t>
        </ns0:is>
      </ns0:c>
      <ns0:c r="Q8" s="4" t="inlineStr">
        <ns0:is>
          <ns0:t>金、土</ns0:t>
        </ns0:is>
      </ns0:c>
      <ns0:c r="R8" s="4" t="inlineStr">
        <ns0:is>
          <ns0:t>不带状态／控制／邻接；无射程，猎弓不耗箭；石印为武器。</ns0:t>
        </ns0:is>
      </ns0:c>
      <ns0:c r="S8" s="4" t="inlineStr">
        <ns0:is>
          <ns0:t>01 M01/M06/M08；03权限；04九器型</ns0:t>
        </ns0:is>
      </ns0:c>
      <ns0:c r="T8" s="4" t="inlineStr">
        <ns0:is>
          <ns0:t>未配置</ns0:t>
        </ns0:is>
      </ns0:c>
      <ns0:c r="U8" s="6" t="inlineStr">
        <ns0:is>
          <ns0:t>待绝对数值；非生产配置</ns0:t>
        </ns0:is>
      </ns0:c>
      <ns0:c r="V8" s="4" t="inlineStr">
        <ns0:is>
          <ns0:t>A；U</ns0:t>
        </ns0:is>
      </ns0:c>
    </ns0:row>
    <ns0:row r="9" ht="30" customHeight="1">
      <ns0:c r="A9" s="5" t="inlineStr">
        <ns0:is>
          <ns0:t>t01.asset.0004</ns0:t>
        </ns0:is>
      </ns0:c>
      <ns0:c r="B9" s="5" t="inlineStr">
        <ns0:is>
          <ns0:t>猎弓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弓</ns0:t>
        </ns0:is>
      </ns0:c>
      <ns0:c r="F9" s="5" t="inlineStr">
        <ns0:is>
          <ns0:t>穿刺</ns0:t>
        </ns0:is>
      </ns0:c>
      <ns0:c r="G9" s="5" t="n">
        <ns0:v>1</ns0:v>
      </ns0:c>
      <ns0:c r="H9" s="5" t="n">
        <ns0:v>2</ns0:v>
      </ns0:c>
      <ns0:c r="I9" s="9">
        <ns0:f>G9*H9</ns0:f>
        <ns0:v>2</ns0:v>
      </ns0:c>
      <ns0:c r="J9" s="5" t="n"/>
      <ns0:c r="K9" s="5" t="n"/>
      <ns0:c r="L9" s="5" t="n"/>
      <ns0:c r="M9" s="5" t="inlineStr">
        <ns0:is>
          <ns0:t>中</ns0:t>
        </ns0:is>
      </ns0:c>
      <ns0:c r="N9" s="5" t="inlineStr">
        <ns0:is>
          <ns0:t>中长</ns0:t>
        </ns0:is>
      </ns0:c>
      <ns0:c r="O9" s="5" t="inlineStr">
        <ns0:is>
          <ns0:t>中低</ns0:t>
        </ns0:is>
      </ns0:c>
      <ns0:c r="P9" s="5" t="inlineStr">
        <ns0:is>
          <ns0:t>稳节奏穿刺；耗力较轻为本批方向</ns0:t>
        </ns0:is>
      </ns0:c>
      <ns0:c r="Q9" s="5" t="inlineStr">
        <ns0:is>
          <ns0:t>木、水；兼容面广</ns0:t>
        </ns0:is>
      </ns0:c>
      <ns0:c r="R9" s="5" t="inlineStr">
        <ns0:is>
          <ns0:t>不带状态／控制／邻接；无射程，猎弓不耗箭；石印为武器。</ns0:t>
        </ns0:is>
      </ns0:c>
      <ns0:c r="S9" s="5" t="inlineStr">
        <ns0:is>
          <ns0:t>01 M01/M06/M08；03权限；04九器型</ns0:t>
        </ns0:is>
      </ns0:c>
      <ns0:c r="T9" s="5" t="inlineStr">
        <ns0:is>
          <ns0:t>base.map_item.hunting_bow</ns0:t>
        </ns0:is>
      </ns0:c>
      <ns0:c r="U9" s="6" t="inlineStr">
        <ns0:is>
          <ns0:t>待绝对数值；非生产配置</ns0:t>
        </ns0:is>
      </ns0:c>
      <ns0:c r="V9" s="5" t="inlineStr">
        <ns0:is>
          <ns0:t>A；U</ns0:t>
        </ns0:is>
      </ns0:c>
    </ns0:row>
    <ns0:row r="10" ht="30" customHeight="1">
      <ns0:c r="A10" s="4" t="inlineStr">
        <ns0:is>
          <ns0:t>t01.asset.0005</ns0:t>
        </ns0:is>
      </ns0:c>
      <ns0:c r="B10" s="4" t="inlineStr">
        <ns0:is>
          <ns0:t>匕首</ns0:t>
        </ns0:is>
      </ns0:c>
      <ns0:c r="C10" s="4" t="inlineStr">
        <ns0:is>
          <ns0:t>下品</ns0:t>
        </ns0:is>
      </ns0:c>
      <ns0:c r="D10" s="4" t="inlineStr">
        <ns0:is>
          <ns0:t>NONE</ns0:t>
        </ns0:is>
      </ns0:c>
      <ns0:c r="E10" s="4" t="inlineStr">
        <ns0:is>
          <ns0:t>短刃</ns0:t>
        </ns0:is>
      </ns0:c>
      <ns0:c r="F10" s="4" t="inlineStr">
        <ns0:is>
          <ns0:t>穿刺</ns0:t>
        </ns0:is>
      </ns0:c>
      <ns0:c r="G10" s="4" t="n">
        <ns0:v>1</ns0:v>
      </ns0:c>
      <ns0:c r="H10" s="4" t="n">
        <ns0:v>1</ns0:v>
      </ns0:c>
      <ns0:c r="I10" s="7">
        <ns0:f>G10*H10</ns0:f>
        <ns0:v>1</ns0:v>
      </ns0:c>
      <ns0:c r="J10" s="4" t="n"/>
      <ns0:c r="K10" s="4" t="n"/>
      <ns0:c r="L10" s="4" t="n"/>
      <ns0:c r="M10" s="4" t="inlineStr">
        <ns0:is>
          <ns0:t>低</ns0:t>
        </ns0:is>
      </ns0:c>
      <ns0:c r="N10" s="4" t="inlineStr">
        <ns0:is>
          <ns0:t>短</ns0:t>
        </ns0:is>
      </ns0:c>
      <ns0:c r="O10" s="4" t="inlineStr">
        <ns0:is>
          <ns0:t>低</ns0:t>
        </ns0:is>
      </ns0:c>
      <ns0:c r="P10" s="4" t="inlineStr">
        <ns0:is>
          <ns0:t>小占格、快循环</ns0:t>
        </ns0:is>
      </ns0:c>
      <ns0:c r="Q10" s="4" t="inlineStr">
        <ns0:is>
          <ns0:t>金、风</ns0:t>
        </ns0:is>
      </ns0:c>
      <ns0:c r="R10" s="4" t="inlineStr">
        <ns0:is>
          <ns0:t>不带状态／控制／邻接；无射程，猎弓不耗箭；石印为武器。</ns0:t>
        </ns0:is>
      </ns0:c>
      <ns0:c r="S10" s="4" t="inlineStr">
        <ns0:is>
          <ns0:t>01 M01/M06/M08；03权限；04九器型</ns0:t>
        </ns0:is>
      </ns0:c>
      <ns0:c r="T10" s="4" t="inlineStr">
        <ns0:is>
          <ns0:t>未配置</ns0:t>
        </ns0:is>
      </ns0:c>
      <ns0:c r="U10" s="6" t="inlineStr">
        <ns0:is>
          <ns0:t>待绝对数值；非生产配置</ns0:t>
        </ns0:is>
      </ns0:c>
      <ns0:c r="V10" s="4" t="inlineStr">
        <ns0:is>
          <ns0:t>A；U</ns0:t>
        </ns0:is>
      </ns0:c>
    </ns0:row>
    <ns0:row r="11" ht="30" customHeight="1">
      <ns0:c r="A11" s="5" t="inlineStr">
        <ns0:is>
          <ns0:t>t01.asset.0006</ns0:t>
        </ns0:is>
      </ns0:c>
      <ns0:c r="B11" s="5" t="inlineStr">
        <ns0:is>
          <ns0:t>长枪</ns0:t>
        </ns0:is>
      </ns0:c>
      <ns0:c r="C11" s="5" t="inlineStr">
        <ns0:is>
          <ns0:t>下品</ns0:t>
        </ns0:is>
      </ns0:c>
      <ns0:c r="D11" s="5" t="inlineStr">
        <ns0:is>
          <ns0:t>NONE</ns0:t>
        </ns0:is>
      </ns0:c>
      <ns0:c r="E11" s="5" t="inlineStr">
        <ns0:is>
          <ns0:t>枪</ns0:t>
        </ns0:is>
      </ns0:c>
      <ns0:c r="F11" s="5" t="inlineStr">
        <ns0:is>
          <ns0:t>穿刺</ns0:t>
        </ns0:is>
      </ns0:c>
      <ns0:c r="G11" s="5" t="n">
        <ns0:v>3</ns0:v>
      </ns0:c>
      <ns0:c r="H11" s="5" t="n">
        <ns0:v>1</ns0:v>
      </ns0:c>
      <ns0:c r="I11" s="9">
        <ns0:f>G11*H11</ns0:f>
        <ns0:v>3</ns0:v>
      </ns0:c>
      <ns0:c r="J11" s="5" t="n"/>
      <ns0:c r="K11" s="5" t="n"/>
      <ns0:c r="L11" s="5" t="n"/>
      <ns0:c r="M11" s="5" t="inlineStr">
        <ns0:is>
          <ns0:t>高</ns0:t>
        </ns0:is>
      </ns0:c>
      <ns0:c r="N11" s="5" t="inlineStr">
        <ns0:is>
          <ns0:t>长</ns0:t>
        </ns0:is>
      </ns0:c>
      <ns0:c r="O11" s="5" t="inlineStr">
        <ns0:is>
          <ns0:t>中高</ns0:t>
        </ns0:is>
      </ns0:c>
      <ns0:c r="P11" s="5" t="inlineStr">
        <ns0:is>
          <ns0:t>大占格换高单击</ns0:t>
        </ns0:is>
      </ns0:c>
      <ns0:c r="Q11" s="5" t="inlineStr">
        <ns0:is>
          <ns0:t>雷、金、木</ns0:t>
        </ns0:is>
      </ns0:c>
      <ns0:c r="R11" s="5" t="inlineStr">
        <ns0:is>
          <ns0:t>不带状态／控制／邻接；无射程，猎弓不耗箭；石印为武器。</ns0:t>
        </ns0:is>
      </ns0:c>
      <ns0:c r="S11" s="5" t="inlineStr">
        <ns0:is>
          <ns0:t>01 M01/M06/M08；03权限；04九器型</ns0:t>
        </ns0:is>
      </ns0:c>
      <ns0:c r="T11" s="5" t="inlineStr">
        <ns0:is>
          <ns0:t>未配置</ns0:t>
        </ns0:is>
      </ns0:c>
      <ns0:c r="U11" s="6" t="inlineStr">
        <ns0:is>
          <ns0:t>待绝对数值；非生产配置</ns0:t>
        </ns0:is>
      </ns0:c>
      <ns0:c r="V11" s="5" t="inlineStr">
        <ns0:is>
          <ns0:t>A；U</ns0:t>
        </ns0:is>
      </ns0:c>
    </ns0:row>
    <ns0:row r="12" ht="30" customHeight="1">
      <ns0:c r="A12" s="4" t="inlineStr">
        <ns0:is>
          <ns0:t>t01.asset.0007</ns0:t>
        </ns0:is>
      </ns0:c>
      <ns0:c r="B12" s="4" t="inlineStr">
        <ns0:is>
          <ns0:t>短柄铁锤</ns0:t>
        </ns0:is>
      </ns0:c>
      <ns0:c r="C12" s="4" t="inlineStr">
        <ns0:is>
          <ns0:t>下品</ns0:t>
        </ns0:is>
      </ns0:c>
      <ns0:c r="D12" s="4" t="inlineStr">
        <ns0:is>
          <ns0:t>NONE</ns0:t>
        </ns0:is>
      </ns0:c>
      <ns0:c r="E12" s="4" t="inlineStr">
        <ns0:is>
          <ns0:t>锤</ns0:t>
        </ns0:is>
      </ns0:c>
      <ns0:c r="F12" s="4" t="inlineStr">
        <ns0:is>
          <ns0:t>钝击</ns0:t>
        </ns0:is>
      </ns0:c>
      <ns0:c r="G12" s="4" t="n">
        <ns0:v>1</ns0:v>
      </ns0:c>
      <ns0:c r="H12" s="4" t="n">
        <ns0:v>2</ns0:v>
      </ns0:c>
      <ns0:c r="I12" s="7">
        <ns0:f>G12*H12</ns0:f>
        <ns0:v>2</ns0:v>
      </ns0:c>
      <ns0:c r="J12" s="4" t="n"/>
      <ns0:c r="K12" s="4" t="n"/>
      <ns0:c r="L12" s="4" t="n"/>
      <ns0:c r="M12" s="4" t="inlineStr">
        <ns0:is>
          <ns0:t>中高</ns0:t>
        </ns0:is>
      </ns0:c>
      <ns0:c r="N12" s="4" t="inlineStr">
        <ns0:is>
          <ns0:t>中长</ns0:t>
        </ns0:is>
      </ns0:c>
      <ns0:c r="O12" s="4" t="inlineStr">
        <ns0:is>
          <ns0:t>中高</ns0:t>
        </ns0:is>
      </ns0:c>
      <ns0:c r="P12" s="4" t="inlineStr">
        <ns0:is>
          <ns0:t>偏沉重的钝击基准</ns0:t>
        </ns0:is>
      </ns0:c>
      <ns0:c r="Q12" s="4" t="inlineStr">
        <ns0:is>
          <ns0:t>土、火</ns0:t>
        </ns0:is>
      </ns0:c>
      <ns0:c r="R12" s="4" t="inlineStr">
        <ns0:is>
          <ns0:t>不带状态／控制／邻接；无射程，猎弓不耗箭；石印为武器。</ns0:t>
        </ns0:is>
      </ns0:c>
      <ns0:c r="S12" s="4" t="inlineStr">
        <ns0:is>
          <ns0:t>01 M01/M06/M08；03权限；04九器型</ns0:t>
        </ns0:is>
      </ns0:c>
      <ns0:c r="T12" s="4" t="inlineStr">
        <ns0:is>
          <ns0:t>base.map_item.short_iron_hammer</ns0:t>
        </ns0:is>
      </ns0:c>
      <ns0:c r="U12" s="6" t="inlineStr">
        <ns0:is>
          <ns0:t>待绝对数值；非生产配置</ns0:t>
        </ns0:is>
      </ns0:c>
      <ns0:c r="V12" s="4" t="inlineStr">
        <ns0:is>
          <ns0:t>A；U</ns0:t>
        </ns0:is>
      </ns0:c>
    </ns0:row>
    <ns0:row r="13" ht="30" customHeight="1">
      <ns0:c r="A13" s="5" t="inlineStr">
        <ns0:is>
          <ns0:t>t01.asset.0008</ns0:t>
        </ns0:is>
      </ns0:c>
      <ns0:c r="B13" s="5" t="inlineStr">
        <ns0:is>
          <ns0:t>石印</ns0:t>
        </ns0:is>
      </ns0:c>
      <ns0:c r="C13" s="5" t="inlineStr">
        <ns0:is>
          <ns0:t>下品</ns0:t>
        </ns0:is>
      </ns0:c>
      <ns0:c r="D13" s="5" t="inlineStr">
        <ns0:is>
          <ns0:t>NONE</ns0:t>
        </ns0:is>
      </ns0:c>
      <ns0:c r="E13" s="5" t="inlineStr">
        <ns0:is>
          <ns0:t>印</ns0:t>
        </ns0:is>
      </ns0:c>
      <ns0:c r="F13" s="5" t="inlineStr">
        <ns0:is>
          <ns0:t>钝击</ns0:t>
        </ns0:is>
      </ns0:c>
      <ns0:c r="G13" s="5" t="n">
        <ns0:v>1</ns0:v>
      </ns0:c>
      <ns0:c r="H13" s="5" t="n">
        <ns0:v>1</ns0:v>
      </ns0:c>
      <ns0:c r="I13" s="9">
        <ns0:f>G13*H13</ns0:f>
        <ns0:v>1</ns0:v>
      </ns0:c>
      <ns0:c r="J13" s="5" t="n"/>
      <ns0:c r="K13" s="5" t="n"/>
      <ns0:c r="L13" s="5" t="n"/>
      <ns0:c r="M13" s="5" t="inlineStr">
        <ns0:is>
          <ns0:t>中低</ns0:t>
        </ns0:is>
      </ns0:c>
      <ns0:c r="N13" s="5" t="inlineStr">
        <ns0:is>
          <ns0:t>中</ns0:t>
        </ns0:is>
      </ns0:c>
      <ns0:c r="O13" s="5" t="inlineStr">
        <ns0:is>
          <ns0:t>中</ns0:t>
        </ns0:is>
      </ns0:c>
      <ns0:c r="P13" s="5" t="inlineStr">
        <ns0:is>
          <ns0:t>紧凑钝击，不追求快攻</ns0:t>
        </ns0:is>
      </ns0:c>
      <ns0:c r="Q13" s="5" t="inlineStr">
        <ns0:is>
          <ns0:t>土、雷</ns0:t>
        </ns0:is>
      </ns0:c>
      <ns0:c r="R13" s="5" t="inlineStr">
        <ns0:is>
          <ns0:t>不带状态／控制／邻接；无射程，猎弓不耗箭；石印为武器。</ns0:t>
        </ns0:is>
      </ns0:c>
      <ns0:c r="S13" s="5" t="inlineStr">
        <ns0:is>
          <ns0:t>01 M01/M06/M08；03权限；04九器型</ns0:t>
        </ns0:is>
      </ns0:c>
      <ns0:c r="T13" s="5" t="inlineStr">
        <ns0:is>
          <ns0:t>未配置</ns0:t>
        </ns0:is>
      </ns0:c>
      <ns0:c r="U13" s="6" t="inlineStr">
        <ns0:is>
          <ns0:t>待绝对数值；非生产配置</ns0:t>
        </ns0:is>
      </ns0:c>
      <ns0:c r="V13" s="5" t="inlineStr">
        <ns0:is>
          <ns0:t>A；U</ns0:t>
        </ns0:is>
      </ns0:c>
    </ns0:row>
    <ns0:row r="14" ht="30" customHeight="1">
      <ns0:c r="A14" s="4" t="inlineStr">
        <ns0:is>
          <ns0:t>t01.asset.0009</ns0:t>
        </ns0:is>
      </ns0:c>
      <ns0:c r="B14" s="4" t="inlineStr">
        <ns0:is>
          <ns0:t>皮鞭</ns0:t>
        </ns0:is>
      </ns0:c>
      <ns0:c r="C14" s="4" t="inlineStr">
        <ns0:is>
          <ns0:t>下品</ns0:t>
        </ns0:is>
      </ns0:c>
      <ns0:c r="D14" s="4" t="inlineStr">
        <ns0:is>
          <ns0:t>NONE</ns0:t>
        </ns0:is>
      </ns0:c>
      <ns0:c r="E14" s="4" t="inlineStr">
        <ns0:is>
          <ns0:t>鞭</ns0:t>
        </ns0:is>
      </ns0:c>
      <ns0:c r="F14" s="4" t="inlineStr">
        <ns0:is>
          <ns0:t>钝击</ns0:t>
        </ns0:is>
      </ns0:c>
      <ns0:c r="G14" s="4" t="n">
        <ns0:v>3</ns0:v>
      </ns0:c>
      <ns0:c r="H14" s="4" t="n">
        <ns0:v>1</ns0:v>
      </ns0:c>
      <ns0:c r="I14" s="7">
        <ns0:f>G14*H14</ns0:f>
        <ns0:v>3</ns0:v>
      </ns0:c>
      <ns0:c r="J14" s="4" t="n"/>
      <ns0:c r="K14" s="4" t="n"/>
      <ns0:c r="L14" s="4" t="n"/>
      <ns0:c r="M14" s="4" t="inlineStr">
        <ns0:is>
          <ns0:t>低</ns0:t>
        </ns0:is>
      </ns0:c>
      <ns0:c r="N14" s="4" t="inlineStr">
        <ns0:is>
          <ns0:t>短</ns0:t>
        </ns0:is>
      </ns0:c>
      <ns0:c r="O14" s="4" t="inlineStr">
        <ns0:is>
          <ns0:t>中低</ns0:t>
        </ns0:is>
      </ns0:c>
      <ns0:c r="P14" s="4" t="inlineStr">
        <ns0:is>
          <ns0:t>大占格换高轮转频率</ns0:t>
        </ns0:is>
      </ns0:c>
      <ns0:c r="Q14" s="4" t="inlineStr">
        <ns0:is>
          <ns0:t>雷、木</ns0:t>
        </ns0:is>
      </ns0:c>
      <ns0:c r="R14" s="4" t="inlineStr">
        <ns0:is>
          <ns0:t>不带状态／控制／邻接；无射程，猎弓不耗箭；石印为武器。</ns0:t>
        </ns0:is>
      </ns0:c>
      <ns0:c r="S14" s="4" t="inlineStr">
        <ns0:is>
          <ns0:t>01 M01/M06/M08；03权限；04九器型</ns0:t>
        </ns0:is>
      </ns0:c>
      <ns0:c r="T14" s="4" t="inlineStr">
        <ns0:is>
          <ns0:t>未配置</ns0:t>
        </ns0:is>
      </ns0:c>
      <ns0:c r="U14" s="6" t="inlineStr">
        <ns0:is>
          <ns0:t>待绝对数值；非生产配置</ns0:t>
        </ns0:is>
      </ns0:c>
      <ns0:c r="V14" s="4" t="inlineStr">
        <ns0:is>
          <ns0:t>A；U</ns0:t>
        </ns0:is>
      </ns0:c>
    </ns0:row>
    <ns0:row r="15" ht="85" customHeight="1">
      <ns0:c r="A15" s="4" t="inlineStr">
        <ns0:is>
          <ns0:t>t01.asset.0028</ns0:t>
        </ns0:is>
      </ns0:c>
      <ns0:c r="B15" s="4" t="inlineStr">
        <ns0:is>
          <ns0:t>铁剑</ns0:t>
        </ns0:is>
      </ns0:c>
      <ns0:c r="C15" s="4" t="inlineStr">
        <ns0:is>
          <ns0:t>凡品</ns0:t>
        </ns0:is>
      </ns0:c>
      <ns0:c r="D15" s="4" t="inlineStr">
        <ns0:is>
          <ns0:t>NONE</ns0:t>
        </ns0:is>
      </ns0:c>
      <ns0:c r="E15" s="4" t="inlineStr">
        <ns0:is>
          <ns0:t>剑</ns0:t>
        </ns0:is>
      </ns0:c>
      <ns0:c r="F15" s="4" t="inlineStr">
        <ns0:is>
          <ns0:t>斩击</ns0:t>
        </ns0:is>
      </ns0:c>
      <ns0:c r="G15" s="4" t="n">
        <ns0:v>1</ns0:v>
      </ns0:c>
      <ns0:c r="H15" s="4" t="n">
        <ns0:v>2</ns0:v>
      </ns0:c>
      <ns0:c r="I15" s="7">
        <ns0:f>G15*H15</ns0:f>
        <ns0:v>2</ns0:v>
      </ns0:c>
      <ns0:c r="J15" s="4" t="n">
        <ns0:v>18</ns0:v>
      </ns0:c>
      <ns0:c r="K15" s="4" t="n">
        <ns0:v>5.5</ns0:v>
      </ns0:c>
      <ns0:c r="L15" s="4" t="n">
        <ns0:v>3</ns0:v>
      </ns0:c>
      <ns0:c r="M15" s="4" t="n"/>
      <ns0:c r="N15" s="4" t="n"/>
      <ns0:c r="O15" s="4" t="n"/>
      <ns0:c r="P15" s="4" t="inlineStr">
        <ns0:is>
          <ns0:t>基础数值与元素</ns0:t>
        </ns0:is>
      </ns0:c>
      <ns0:c r="Q15" s="4" t="n"/>
      <ns0:c r="R15" s="4" t="inlineStr">
        <ns0:is>
          <ns0:t>不耗本体；体力为单把基础，多武器加算另查19／20表；无射程、弓不耗普通箭</ns0:t>
        </ns0:is>
      </ns0:c>
      <ns0:c r="S15" s="4" t="inlineStr">
        <ns0:is>
          <ns0:t>01 M01/M06/M08；03 C010；04武器</ns0:t>
        </ns0:is>
      </ns0:c>
      <ns0:c r="T15" s="4" t="n"/>
      <ns0:c r="U15" s="6" t="inlineStr">
        <ns0:is>
          <ns0:t>候选数值，未试跑</ns0:t>
        </ns0:is>
      </ns0:c>
      <ns0:c r="V15" s="4" t="inlineStr">
        <ns0:is>
          <ns0:t>第1批基础；第2批微调；第3批复查；用户直接更正优先</ns0:t>
        </ns0:is>
      </ns0:c>
      <ns0:c r="W15" s="14" t="inlineStr">
        <ns0:is>
          <ns0:t>W01</ns0:t>
        </ns0:is>
      </ns0:c>
      <ns0:c r="X15" s="14" t="n"/>
      <ns0:c r="Y15" s="14" t="n"/>
      <ns0:c r="Z15" s="14" t="inlineStr">
        <ns0:is>
          <ns0:t>无；敌方</ns0:t>
        </ns0:is>
      </ns0:c>
      <ns0:c r="AA15" s="14" t="n">
        <ns0:v>0</ns0:v>
      </ns0:c>
      <ns0:c r="AB15" s="14" t="n">
        <ns0:v>0</ns0:v>
      </ns0:c>
      <ns0:c r="AC15" s="14" t="inlineStr">
        <ns0:is>
          <ns0:t>t01.asset.0028.effect.01</ns0:t>
        </ns0:is>
      </ns0:c>
      <ns0:c r="AD15" s="14" t="inlineStr">
        <ns0:is>
          <ns0:t>固定元素与单状态匹配；不是运行时由状态改变元素</ns0:t>
        </ns0:is>
      </ns0:c>
    </ns0:row>
    <ns0:row r="16" ht="85" customHeight="1">
      <ns0:c r="A16" s="4" t="inlineStr">
        <ns0:is>
          <ns0:t>t01.asset.0029</ns0:t>
        </ns0:is>
      </ns0:c>
      <ns0:c r="B16" s="4" t="inlineStr">
        <ns0:is>
          <ns0:t>赤纹剑</ns0:t>
        </ns0:is>
      </ns0:c>
      <ns0:c r="C16" s="4" t="inlineStr">
        <ns0:is>
          <ns0:t>凡品</ns0:t>
        </ns0:is>
      </ns0:c>
      <ns0:c r="D16" s="4" t="inlineStr">
        <ns0:is>
          <ns0:t>火</ns0:t>
        </ns0:is>
      </ns0:c>
      <ns0:c r="E16" s="4" t="inlineStr">
        <ns0:is>
          <ns0:t>剑</ns0:t>
        </ns0:is>
      </ns0:c>
      <ns0:c r="F16" s="4" t="inlineStr">
        <ns0:is>
          <ns0:t>斩击</ns0:t>
        </ns0:is>
      </ns0:c>
      <ns0:c r="G16" s="4" t="n">
        <ns0:v>1</ns0:v>
      </ns0:c>
      <ns0:c r="H16" s="4" t="n">
        <ns0:v>2</ns0:v>
      </ns0:c>
      <ns0:c r="I16" s="7">
        <ns0:f>G16*H16</ns0:f>
        <ns0:v>2</ns0:v>
      </ns0:c>
      <ns0:c r="J16" s="4" t="n">
        <ns0:v>16</ns0:v>
      </ns0:c>
      <ns0:c r="K16" s="4" t="n">
        <ns0:v>5.5</ns0:v>
      </ns0:c>
      <ns0:c r="L16" s="4" t="n">
        <ns0:v>4</ns0:v>
      </ns0:c>
      <ns0:c r="M16" s="4" t="n"/>
      <ns0:c r="N16" s="4" t="n"/>
      <ns0:c r="O16" s="4" t="n"/>
      <ns0:c r="P16" s="4" t="inlineStr">
        <ns0:is>
          <ns0:t>基础＋单状态</ns0:t>
        </ns0:is>
      </ns0:c>
      <ns0:c r="Q16" s="4" t="n"/>
      <ns0:c r="R16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16" s="4" t="inlineStr">
        <ns0:is>
          <ns0:t>01 M01/M06/M08；03 C010；04武器</ns0:t>
        </ns0:is>
      </ns0:c>
      <ns0:c r="T16" s="4" t="n"/>
      <ns0:c r="U16" s="6" t="inlineStr">
        <ns0:is>
          <ns0:t>候选数值，未试跑</ns0:t>
        </ns0:is>
      </ns0:c>
      <ns0:c r="V16" s="4" t="inlineStr">
        <ns0:is>
          <ns0:t>第1批基础；第2批微调；第3批复查；用户直接更正优先</ns0:t>
        </ns0:is>
      </ns0:c>
      <ns0:c r="W16" s="14" t="inlineStr">
        <ns0:is>
          <ns0:t>W02</ns0:t>
        </ns0:is>
      </ns0:c>
      <ns0:c r="X16" s="14" t="inlineStr">
        <ns0:is>
          <ns0:t>灼烧</ns0:t>
        </ns0:is>
      </ns0:c>
      <ns0:c r="Y16" s="14" t="n">
        <ns0:v>1</ns0:v>
      </ns0:c>
      <ns0:c r="Z16" s="14" t="inlineStr">
        <ns0:is>
          <ns0:t>命中；敌方</ns0:t>
        </ns0:is>
      </ns0:c>
      <ns0:c r="AA16" s="14" t="n">
        <ns0:v>0</ns0:v>
      </ns0:c>
      <ns0:c r="AB16" s="14" t="n">
        <ns0:v>0</ns0:v>
      </ns0:c>
      <ns0:c r="AC16" s="14" t="inlineStr">
        <ns0:is>
          <ns0:t>t01.asset.0029.effect.01；t01.asset.0029.effect.02</ns0:t>
        </ns0:is>
      </ns0:c>
      <ns0:c r="AD16" s="14" t="inlineStr">
        <ns0:is>
          <ns0:t>固定元素与单状态匹配；不是运行时由状态改变元素</ns0:t>
        </ns0:is>
      </ns0:c>
    </ns0:row>
    <ns0:row r="17" ht="85" customHeight="1">
      <ns0:c r="A17" s="4" t="inlineStr">
        <ns0:is>
          <ns0:t>t01.asset.0030</ns0:t>
        </ns0:is>
      </ns0:c>
      <ns0:c r="B17" s="4" t="inlineStr">
        <ns0:is>
          <ns0:t>寒水剑</ns0:t>
        </ns0:is>
      </ns0:c>
      <ns0:c r="C17" s="4" t="inlineStr">
        <ns0:is>
          <ns0:t>凡品</ns0:t>
        </ns0:is>
      </ns0:c>
      <ns0:c r="D17" s="4" t="inlineStr">
        <ns0:is>
          <ns0:t>水</ns0:t>
        </ns0:is>
      </ns0:c>
      <ns0:c r="E17" s="4" t="inlineStr">
        <ns0:is>
          <ns0:t>剑</ns0:t>
        </ns0:is>
      </ns0:c>
      <ns0:c r="F17" s="4" t="inlineStr">
        <ns0:is>
          <ns0:t>斩击</ns0:t>
        </ns0:is>
      </ns0:c>
      <ns0:c r="G17" s="4" t="n">
        <ns0:v>1</ns0:v>
      </ns0:c>
      <ns0:c r="H17" s="4" t="n">
        <ns0:v>2</ns0:v>
      </ns0:c>
      <ns0:c r="I17" s="7">
        <ns0:f>G17*H17</ns0:f>
        <ns0:v>2</ns0:v>
      </ns0:c>
      <ns0:c r="J17" s="4" t="n">
        <ns0:v>17</ns0:v>
      </ns0:c>
      <ns0:c r="K17" s="4" t="n">
        <ns0:v>6</ns0:v>
      </ns0:c>
      <ns0:c r="L17" s="4" t="n">
        <ns0:v>4</ns0:v>
      </ns0:c>
      <ns0:c r="M17" s="4" t="n"/>
      <ns0:c r="N17" s="4" t="n"/>
      <ns0:c r="O17" s="4" t="n"/>
      <ns0:c r="P17" s="4" t="inlineStr">
        <ns0:is>
          <ns0:t>基础＋单状态</ns0:t>
        </ns0:is>
      </ns0:c>
      <ns0:c r="Q17" s="4" t="n"/>
      <ns0:c r="R17" s="4" t="inlineStr">
        <ns0:is>
          <ns0:t>不耗本体；体力为单把基础，多武器加算另查19／20表；无射程、弓不耗普通箭；寒霜正常新层先施加、后由本次合格主动水攻触发；初霜专属额外层例外留后次。</ns0:t>
        </ns0:is>
      </ns0:c>
      <ns0:c r="S17" s="4" t="inlineStr">
        <ns0:is>
          <ns0:t>01 M01/M06/M08；03 C010；04武器</ns0:t>
        </ns0:is>
      </ns0:c>
      <ns0:c r="T17" s="4" t="n"/>
      <ns0:c r="U17" s="6" t="inlineStr">
        <ns0:is>
          <ns0:t>候选数值，未试跑</ns0:t>
        </ns0:is>
      </ns0:c>
      <ns0:c r="V17" s="4" t="inlineStr">
        <ns0:is>
          <ns0:t>第1批基础；第2批微调；第3批复查；用户直接更正优先</ns0:t>
        </ns0:is>
      </ns0:c>
      <ns0:c r="W17" s="14" t="inlineStr">
        <ns0:is>
          <ns0:t>W03</ns0:t>
        </ns0:is>
      </ns0:c>
      <ns0:c r="X17" s="14" t="inlineStr">
        <ns0:is>
          <ns0:t>寒霜</ns0:t>
        </ns0:is>
      </ns0:c>
      <ns0:c r="Y17" s="14" t="n">
        <ns0:v>1</ns0:v>
      </ns0:c>
      <ns0:c r="Z17" s="14" t="inlineStr">
        <ns0:is>
          <ns0:t>命中；敌方</ns0:t>
        </ns0:is>
      </ns0:c>
      <ns0:c r="AA17" s="14" t="n">
        <ns0:v>0</ns0:v>
      </ns0:c>
      <ns0:c r="AB17" s="14" t="n">
        <ns0:v>0</ns0:v>
      </ns0:c>
      <ns0:c r="AC17" s="14" t="inlineStr">
        <ns0:is>
          <ns0:t>t01.asset.0030.effect.01；t01.asset.0030.effect.02</ns0:t>
        </ns0:is>
      </ns0:c>
      <ns0:c r="AD17" s="14" t="inlineStr">
        <ns0:is>
          <ns0:t>固定元素与单状态匹配；不是运行时由状态改变元素</ns0:t>
        </ns0:is>
      </ns0:c>
    </ns0:row>
    <ns0:row r="18" ht="85" customHeight="1">
      <ns0:c r="A18" s="4" t="inlineStr">
        <ns0:is>
          <ns0:t>t01.asset.0031</ns0:t>
        </ns0:is>
      </ns0:c>
      <ns0:c r="B18" s="4" t="inlineStr">
        <ns0:is>
          <ns0:t>钢刀</ns0:t>
        </ns0:is>
      </ns0:c>
      <ns0:c r="C18" s="4" t="inlineStr">
        <ns0:is>
          <ns0:t>凡品</ns0:t>
        </ns0:is>
      </ns0:c>
      <ns0:c r="D18" s="4" t="inlineStr">
        <ns0:is>
          <ns0:t>金</ns0:t>
        </ns0:is>
      </ns0:c>
      <ns0:c r="E18" s="4" t="inlineStr">
        <ns0:is>
          <ns0:t>佩刀</ns0:t>
        </ns0:is>
      </ns0:c>
      <ns0:c r="F18" s="4" t="inlineStr">
        <ns0:is>
          <ns0:t>斩击</ns0:t>
        </ns0:is>
      </ns0:c>
      <ns0:c r="G18" s="4" t="n">
        <ns0:v>1</ns0:v>
      </ns0:c>
      <ns0:c r="H18" s="4" t="n">
        <ns0:v>1</ns0:v>
      </ns0:c>
      <ns0:c r="I18" s="7">
        <ns0:f>G18*H18</ns0:f>
        <ns0:v>1</ns0:v>
      </ns0:c>
      <ns0:c r="J18" s="4" t="n">
        <ns0:v>10</ns0:v>
      </ns0:c>
      <ns0:c r="K18" s="4" t="n">
        <ns0:v>4.5</ns0:v>
      </ns0:c>
      <ns0:c r="L18" s="4" t="n">
        <ns0:v>2</ns0:v>
      </ns0:c>
      <ns0:c r="M18" s="4" t="n"/>
      <ns0:c r="N18" s="4" t="n"/>
      <ns0:c r="O18" s="4" t="n"/>
      <ns0:c r="P18" s="4" t="inlineStr">
        <ns0:is>
          <ns0:t>基础＋单状态</ns0:t>
        </ns0:is>
      </ns0:c>
      <ns0:c r="Q18" s="4" t="n"/>
      <ns0:c r="R18" s="4" t="inlineStr">
        <ns0:is>
          <ns0:t>不耗本体；体力为单把基础，多武器加算另查19／20表；无射程、弓不耗普通箭；本件流血须本次攻击实际伤及气血；只命中或只扣盾甲不足。</ns0:t>
        </ns0:is>
      </ns0:c>
      <ns0:c r="S18" s="4" t="inlineStr">
        <ns0:is>
          <ns0:t>01 M01/M06/M08；03 C010；04武器</ns0:t>
        </ns0:is>
      </ns0:c>
      <ns0:c r="T18" s="4" t="n"/>
      <ns0:c r="U18" s="6" t="inlineStr">
        <ns0:is>
          <ns0:t>候选数值，未试跑</ns0:t>
        </ns0:is>
      </ns0:c>
      <ns0:c r="V18" s="4" t="inlineStr">
        <ns0:is>
          <ns0:t>第1批基础；第2批微调；第3批复查；用户直接更正优先</ns0:t>
        </ns0:is>
      </ns0:c>
      <ns0:c r="W18" s="14" t="inlineStr">
        <ns0:is>
          <ns0:t>W05</ns0:t>
        </ns0:is>
      </ns0:c>
      <ns0:c r="X18" s="14" t="inlineStr">
        <ns0:is>
          <ns0:t>流血</ns0:t>
        </ns0:is>
      </ns0:c>
      <ns0:c r="Y18" s="14" t="n">
        <ns0:v>1</ns0:v>
      </ns0:c>
      <ns0:c r="Z18" s="14" t="inlineStr">
        <ns0:is>
          <ns0:t>实际伤到气血；敌方</ns0:t>
        </ns0:is>
      </ns0:c>
      <ns0:c r="AA18" s="14" t="n">
        <ns0:v>0</ns0:v>
      </ns0:c>
      <ns0:c r="AB18" s="14" t="n">
        <ns0:v>0</ns0:v>
      </ns0:c>
      <ns0:c r="AC18" s="14" t="inlineStr">
        <ns0:is>
          <ns0:t>t01.asset.0031.effect.01；t01.asset.0031.effect.02</ns0:t>
        </ns0:is>
      </ns0:c>
      <ns0:c r="AD18" s="14" t="inlineStr">
        <ns0:is>
          <ns0:t>固定元素与单状态匹配；不是运行时由状态改变元素</ns0:t>
        </ns0:is>
      </ns0:c>
    </ns0:row>
    <ns0:row r="19" ht="85" customHeight="1">
      <ns0:c r="A19" s="4" t="inlineStr">
        <ns0:is>
          <ns0:t>t01.asset.0032</ns0:t>
        </ns0:is>
      </ns0:c>
      <ns0:c r="B19" s="4" t="inlineStr">
        <ns0:is>
          <ns0:t>金纹刀</ns0:t>
        </ns0:is>
      </ns0:c>
      <ns0:c r="C19" s="4" t="inlineStr">
        <ns0:is>
          <ns0:t>凡品</ns0:t>
        </ns0:is>
      </ns0:c>
      <ns0:c r="D19" s="4" t="inlineStr">
        <ns0:is>
          <ns0:t>金</ns0:t>
        </ns0:is>
      </ns0:c>
      <ns0:c r="E19" s="4" t="inlineStr">
        <ns0:is>
          <ns0:t>佩刀</ns0:t>
        </ns0:is>
      </ns0:c>
      <ns0:c r="F19" s="4" t="inlineStr">
        <ns0:is>
          <ns0:t>斩击</ns0:t>
        </ns0:is>
      </ns0:c>
      <ns0:c r="G19" s="4" t="n">
        <ns0:v>1</ns0:v>
      </ns0:c>
      <ns0:c r="H19" s="4" t="n">
        <ns0:v>1</ns0:v>
      </ns0:c>
      <ns0:c r="I19" s="7">
        <ns0:f>G19*H19</ns0:f>
        <ns0:v>1</ns0:v>
      </ns0:c>
      <ns0:c r="J19" s="4" t="n">
        <ns0:v>12</ns0:v>
      </ns0:c>
      <ns0:c r="K19" s="4" t="n">
        <ns0:v>5.5</ns0:v>
      </ns0:c>
      <ns0:c r="L19" s="4" t="n">
        <ns0:v>3</ns0:v>
      </ns0:c>
      <ns0:c r="M19" s="4" t="n"/>
      <ns0:c r="N19" s="4" t="n"/>
      <ns0:c r="O19" s="4" t="n"/>
      <ns0:c r="P19" s="4" t="inlineStr">
        <ns0:is>
          <ns0:t>基础＋单状态</ns0:t>
        </ns0:is>
      </ns0:c>
      <ns0:c r="Q19" s="4" t="n"/>
      <ns0:c r="R19" s="4" t="inlineStr">
        <ns0:is>
          <ns0:t>不耗本体；体力为单把基础，多武器加算另查19／20表；无射程、弓不耗普通箭；锋痕由合格武器攻击兑现；金光镜仍是法器来源，不因金元素或SPELL攻击类型取得武器资格。</ns0:t>
        </ns0:is>
      </ns0:c>
      <ns0:c r="S19" s="4" t="inlineStr">
        <ns0:is>
          <ns0:t>01 M01/M06/M08；03 C010；04武器</ns0:t>
        </ns0:is>
      </ns0:c>
      <ns0:c r="T19" s="4" t="n"/>
      <ns0:c r="U19" s="6" t="inlineStr">
        <ns0:is>
          <ns0:t>候选数值，未试跑</ns0:t>
        </ns0:is>
      </ns0:c>
      <ns0:c r="V19" s="4" t="inlineStr">
        <ns0:is>
          <ns0:t>第1批基础；第2批微调；第3批复查；用户直接更正优先</ns0:t>
        </ns0:is>
      </ns0:c>
      <ns0:c r="W19" s="14" t="inlineStr">
        <ns0:is>
          <ns0:t>W06</ns0:t>
        </ns0:is>
      </ns0:c>
      <ns0:c r="X19" s="14" t="inlineStr">
        <ns0:is>
          <ns0:t>锋痕</ns0:t>
        </ns0:is>
      </ns0:c>
      <ns0:c r="Y19" s="14" t="n">
        <ns0:v>1</ns0:v>
      </ns0:c>
      <ns0:c r="Z19" s="14" t="inlineStr">
        <ns0:is>
          <ns0:t>命中；敌方</ns0:t>
        </ns0:is>
      </ns0:c>
      <ns0:c r="AA19" s="14" t="n">
        <ns0:v>0</ns0:v>
      </ns0:c>
      <ns0:c r="AB19" s="14" t="n">
        <ns0:v>0</ns0:v>
      </ns0:c>
      <ns0:c r="AC19" s="14" t="inlineStr">
        <ns0:is>
          <ns0:t>t01.asset.0032.effect.01；t01.asset.0032.effect.02</ns0:t>
        </ns0:is>
      </ns0:c>
      <ns0:c r="AD19" s="14" t="inlineStr">
        <ns0:is>
          <ns0:t>固定元素与单状态匹配；不是运行时由状态改变元素</ns0:t>
        </ns0:is>
      </ns0:c>
    </ns0:row>
    <ns0:row r="20" ht="85" customHeight="1">
      <ns0:c r="A20" s="4" t="inlineStr">
        <ns0:is>
          <ns0:t>t01.asset.0033</ns0:t>
        </ns0:is>
      </ns0:c>
      <ns0:c r="B20" s="4" t="inlineStr">
        <ns0:is>
          <ns0:t>赤焰刀</ns0:t>
        </ns0:is>
      </ns0:c>
      <ns0:c r="C20" s="4" t="inlineStr">
        <ns0:is>
          <ns0:t>凡品</ns0:t>
        </ns0:is>
      </ns0:c>
      <ns0:c r="D20" s="4" t="inlineStr">
        <ns0:is>
          <ns0:t>火</ns0:t>
        </ns0:is>
      </ns0:c>
      <ns0:c r="E20" s="4" t="inlineStr">
        <ns0:is>
          <ns0:t>佩刀</ns0:t>
        </ns0:is>
      </ns0:c>
      <ns0:c r="F20" s="4" t="inlineStr">
        <ns0:is>
          <ns0:t>斩击</ns0:t>
        </ns0:is>
      </ns0:c>
      <ns0:c r="G20" s="4" t="n">
        <ns0:v>1</ns0:v>
      </ns0:c>
      <ns0:c r="H20" s="4" t="n">
        <ns0:v>1</ns0:v>
      </ns0:c>
      <ns0:c r="I20" s="7">
        <ns0:f>G20*H20</ns0:f>
        <ns0:v>1</ns0:v>
      </ns0:c>
      <ns0:c r="J20" s="4" t="n">
        <ns0:v>11</ns0:v>
      </ns0:c>
      <ns0:c r="K20" s="4" t="n">
        <ns0:v>5.5</ns0:v>
      </ns0:c>
      <ns0:c r="L20" s="4" t="n">
        <ns0:v>3</ns0:v>
      </ns0:c>
      <ns0:c r="M20" s="4" t="n"/>
      <ns0:c r="N20" s="4" t="n"/>
      <ns0:c r="O20" s="4" t="n"/>
      <ns0:c r="P20" s="4" t="inlineStr">
        <ns0:is>
          <ns0:t>基础＋单状态</ns0:t>
        </ns0:is>
      </ns0:c>
      <ns0:c r="Q20" s="4" t="n"/>
      <ns0:c r="R20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0" s="4" t="inlineStr">
        <ns0:is>
          <ns0:t>01 M01/M06/M08；03 C010；04武器</ns0:t>
        </ns0:is>
      </ns0:c>
      <ns0:c r="T20" s="4" t="n"/>
      <ns0:c r="U20" s="6" t="inlineStr">
        <ns0:is>
          <ns0:t>候选数值，未试跑</ns0:t>
        </ns0:is>
      </ns0:c>
      <ns0:c r="V20" s="4" t="inlineStr">
        <ns0:is>
          <ns0:t>第1批基础；第2批微调；第3批复查；用户直接更正优先</ns0:t>
        </ns0:is>
      </ns0:c>
      <ns0:c r="W20" s="14" t="inlineStr">
        <ns0:is>
          <ns0:t>W07</ns0:t>
        </ns0:is>
      </ns0:c>
      <ns0:c r="X20" s="14" t="inlineStr">
        <ns0:is>
          <ns0:t>破甲</ns0:t>
        </ns0:is>
      </ns0:c>
      <ns0:c r="Y20" s="14" t="n">
        <ns0:v>1</ns0:v>
      </ns0:c>
      <ns0:c r="Z20" s="14" t="inlineStr">
        <ns0:is>
          <ns0:t>命中；敌方</ns0:t>
        </ns0:is>
      </ns0:c>
      <ns0:c r="AA20" s="14" t="n">
        <ns0:v>0</ns0:v>
      </ns0:c>
      <ns0:c r="AB20" s="14" t="n">
        <ns0:v>0</ns0:v>
      </ns0:c>
      <ns0:c r="AC20" s="14" t="inlineStr">
        <ns0:is>
          <ns0:t>t01.asset.0033.effect.01；t01.asset.0033.effect.02</ns0:t>
        </ns0:is>
      </ns0:c>
      <ns0:c r="AD20" s="14" t="inlineStr">
        <ns0:is>
          <ns0:t>固定元素与单状态匹配；不是运行时由状态改变元素</ns0:t>
        </ns0:is>
      </ns0:c>
    </ns0:row>
    <ns0:row r="21" ht="85" customHeight="1">
      <ns0:c r="A21" s="4" t="inlineStr">
        <ns0:is>
          <ns0:t>t01.asset.0034</ns0:t>
        </ns0:is>
      </ns0:c>
      <ns0:c r="B21" s="4" t="inlineStr">
        <ns0:is>
          <ns0:t>开山斧</ns0:t>
        </ns0:is>
      </ns0:c>
      <ns0:c r="C21" s="4" t="inlineStr">
        <ns0:is>
          <ns0:t>凡品</ns0:t>
        </ns0:is>
      </ns0:c>
      <ns0:c r="D21" s="4" t="inlineStr">
        <ns0:is>
          <ns0:t>土</ns0:t>
        </ns0:is>
      </ns0:c>
      <ns0:c r="E21" s="4" t="inlineStr">
        <ns0:is>
          <ns0:t>斧</ns0:t>
        </ns0:is>
      </ns0:c>
      <ns0:c r="F21" s="4" t="inlineStr">
        <ns0:is>
          <ns0:t>斩击</ns0:t>
        </ns0:is>
      </ns0:c>
      <ns0:c r="G21" s="4" t="n">
        <ns0:v>2</ns0:v>
      </ns0:c>
      <ns0:c r="H21" s="4" t="n">
        <ns0:v>1</ns0:v>
      </ns0:c>
      <ns0:c r="I21" s="7">
        <ns0:f>G21*H21</ns0:f>
        <ns0:v>2</ns0:v>
      </ns0:c>
      <ns0:c r="J21" s="4" t="n">
        <ns0:v>30</ns0:v>
      </ns0:c>
      <ns0:c r="K21" s="4" t="n">
        <ns0:v>8.5</ns0:v>
      </ns0:c>
      <ns0:c r="L21" s="4" t="n">
        <ns0:v>6</ns0:v>
      </ns0:c>
      <ns0:c r="M21" s="4" t="n"/>
      <ns0:c r="N21" s="4" t="n"/>
      <ns0:c r="O21" s="4" t="n"/>
      <ns0:c r="P21" s="4" t="inlineStr">
        <ns0:is>
          <ns0:t>基础＋单状态</ns0:t>
        </ns0:is>
      </ns0:c>
      <ns0:c r="Q21" s="4" t="n"/>
      <ns0:c r="R21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1" s="4" t="inlineStr">
        <ns0:is>
          <ns0:t>01 M01/M06/M08；03 C010；04武器</ns0:t>
        </ns0:is>
      </ns0:c>
      <ns0:c r="T21" s="4" t="n"/>
      <ns0:c r="U21" s="6" t="inlineStr">
        <ns0:is>
          <ns0:t>候选数值，未试跑</ns0:t>
        </ns0:is>
      </ns0:c>
      <ns0:c r="V21" s="4" t="inlineStr">
        <ns0:is>
          <ns0:t>第1批基础；第2批微调；第3批复查；用户直接更正优先</ns0:t>
        </ns0:is>
      </ns0:c>
      <ns0:c r="W21" s="14" t="inlineStr">
        <ns0:is>
          <ns0:t>W08</ns0:t>
        </ns0:is>
      </ns0:c>
      <ns0:c r="X21" s="14" t="inlineStr">
        <ns0:is>
          <ns0:t>疲惫</ns0:t>
        </ns0:is>
      </ns0:c>
      <ns0:c r="Y21" s="14" t="n">
        <ns0:v>2</ns0:v>
      </ns0:c>
      <ns0:c r="Z21" s="14" t="inlineStr">
        <ns0:is>
          <ns0:t>命中；敌方</ns0:t>
        </ns0:is>
      </ns0:c>
      <ns0:c r="AA21" s="14" t="n">
        <ns0:v>0</ns0:v>
      </ns0:c>
      <ns0:c r="AB21" s="14" t="n">
        <ns0:v>0</ns0:v>
      </ns0:c>
      <ns0:c r="AC21" s="14" t="inlineStr">
        <ns0:is>
          <ns0:t>t01.asset.0034.effect.01；t01.asset.0034.effect.02</ns0:t>
        </ns0:is>
      </ns0:c>
      <ns0:c r="AD21" s="14" t="inlineStr">
        <ns0:is>
          <ns0:t>固定元素与单状态匹配；不是运行时由状态改变元素</ns0:t>
        </ns0:is>
      </ns0:c>
    </ns0:row>
    <ns0:row r="22" ht="85" customHeight="1">
      <ns0:c r="A22" s="4" t="inlineStr">
        <ns0:is>
          <ns0:t>t01.asset.0035</ns0:t>
        </ns0:is>
      </ns0:c>
      <ns0:c r="B22" s="4" t="inlineStr">
        <ns0:is>
          <ns0:t>金刚斧</ns0:t>
        </ns0:is>
      </ns0:c>
      <ns0:c r="C22" s="4" t="inlineStr">
        <ns0:is>
          <ns0:t>凡品</ns0:t>
        </ns0:is>
      </ns0:c>
      <ns0:c r="D22" s="4" t="inlineStr">
        <ns0:is>
          <ns0:t>金</ns0:t>
        </ns0:is>
      </ns0:c>
      <ns0:c r="E22" s="4" t="inlineStr">
        <ns0:is>
          <ns0:t>斧</ns0:t>
        </ns0:is>
      </ns0:c>
      <ns0:c r="F22" s="4" t="inlineStr">
        <ns0:is>
          <ns0:t>斩击</ns0:t>
        </ns0:is>
      </ns0:c>
      <ns0:c r="G22" s="4" t="n">
        <ns0:v>2</ns0:v>
      </ns0:c>
      <ns0:c r="H22" s="4" t="n">
        <ns0:v>1</ns0:v>
      </ns0:c>
      <ns0:c r="I22" s="7">
        <ns0:f>G22*H22</ns0:f>
        <ns0:v>2</ns0:v>
      </ns0:c>
      <ns0:c r="J22" s="4" t="n">
        <ns0:v>28</ns0:v>
      </ns0:c>
      <ns0:c r="K22" s="4" t="n">
        <ns0:v>8.5</ns0:v>
      </ns0:c>
      <ns0:c r="L22" s="4" t="n">
        <ns0:v>6</ns0:v>
      </ns0:c>
      <ns0:c r="M22" s="4" t="n"/>
      <ns0:c r="N22" s="4" t="n"/>
      <ns0:c r="O22" s="4" t="n"/>
      <ns0:c r="P22" s="4" t="inlineStr">
        <ns0:is>
          <ns0:t>基础＋单状态</ns0:t>
        </ns0:is>
      </ns0:c>
      <ns0:c r="Q22" s="4" t="n"/>
      <ns0:c r="R22" s="4" t="inlineStr">
        <ns0:is>
          <ns0:t>不耗本体；体力为单把基础，多武器加算另查19／20表；无射程、弓不耗普通箭；锋痕由合格武器攻击兑现；金光镜仍是法器来源，不因金元素或SPELL攻击类型取得武器资格。</ns0:t>
        </ns0:is>
      </ns0:c>
      <ns0:c r="S22" s="4" t="inlineStr">
        <ns0:is>
          <ns0:t>01 M01/M06/M08；03 C010；04武器</ns0:t>
        </ns0:is>
      </ns0:c>
      <ns0:c r="T22" s="4" t="n"/>
      <ns0:c r="U22" s="6" t="inlineStr">
        <ns0:is>
          <ns0:t>候选数值，未试跑</ns0:t>
        </ns0:is>
      </ns0:c>
      <ns0:c r="V22" s="4" t="inlineStr">
        <ns0:is>
          <ns0:t>第1批基础；第2批微调；第3批复查；用户直接更正优先</ns0:t>
        </ns0:is>
      </ns0:c>
      <ns0:c r="W22" s="14" t="inlineStr">
        <ns0:is>
          <ns0:t>W09</ns0:t>
        </ns0:is>
      </ns0:c>
      <ns0:c r="X22" s="14" t="inlineStr">
        <ns0:is>
          <ns0:t>锋痕</ns0:t>
        </ns0:is>
      </ns0:c>
      <ns0:c r="Y22" s="14" t="n">
        <ns0:v>2</ns0:v>
      </ns0:c>
      <ns0:c r="Z22" s="14" t="inlineStr">
        <ns0:is>
          <ns0:t>命中；敌方</ns0:t>
        </ns0:is>
      </ns0:c>
      <ns0:c r="AA22" s="14" t="n">
        <ns0:v>0</ns0:v>
      </ns0:c>
      <ns0:c r="AB22" s="14" t="n">
        <ns0:v>0</ns0:v>
      </ns0:c>
      <ns0:c r="AC22" s="14" t="inlineStr">
        <ns0:is>
          <ns0:t>t01.asset.0035.effect.01；t01.asset.0035.effect.02</ns0:t>
        </ns0:is>
      </ns0:c>
      <ns0:c r="AD22" s="14" t="inlineStr">
        <ns0:is>
          <ns0:t>固定元素与单状态匹配；不是运行时由状态改变元素</ns0:t>
        </ns0:is>
      </ns0:c>
    </ns0:row>
    <ns0:row r="23" ht="85" customHeight="1">
      <ns0:c r="A23" s="4" t="inlineStr">
        <ns0:is>
          <ns0:t>t01.asset.0036</ns0:t>
        </ns0:is>
      </ns0:c>
      <ns0:c r="B23" s="4" t="inlineStr">
        <ns0:is>
          <ns0:t>厚土斧</ns0:t>
        </ns0:is>
      </ns0:c>
      <ns0:c r="C23" s="4" t="inlineStr">
        <ns0:is>
          <ns0:t>凡品</ns0:t>
        </ns0:is>
      </ns0:c>
      <ns0:c r="D23" s="4" t="inlineStr">
        <ns0:is>
          <ns0:t>土</ns0:t>
        </ns0:is>
      </ns0:c>
      <ns0:c r="E23" s="4" t="inlineStr">
        <ns0:is>
          <ns0:t>斧</ns0:t>
        </ns0:is>
      </ns0:c>
      <ns0:c r="F23" s="4" t="inlineStr">
        <ns0:is>
          <ns0:t>斩击</ns0:t>
        </ns0:is>
      </ns0:c>
      <ns0:c r="G23" s="4" t="n">
        <ns0:v>2</ns0:v>
      </ns0:c>
      <ns0:c r="H23" s="4" t="n">
        <ns0:v>1</ns0:v>
      </ns0:c>
      <ns0:c r="I23" s="7">
        <ns0:f>G23*H23</ns0:f>
        <ns0:v>2</ns0:v>
      </ns0:c>
      <ns0:c r="J23" s="4" t="n">
        <ns0:v>28</ns0:v>
      </ns0:c>
      <ns0:c r="K23" s="4" t="n">
        <ns0:v>8.5</ns0:v>
      </ns0:c>
      <ns0:c r="L23" s="4" t="n">
        <ns0:v>6</ns0:v>
      </ns0:c>
      <ns0:c r="M23" s="4" t="n"/>
      <ns0:c r="N23" s="4" t="n"/>
      <ns0:c r="O23" s="4" t="n"/>
      <ns0:c r="P23" s="4" t="inlineStr">
        <ns0:is>
          <ns0:t>基础＋单状态</ns0:t>
        </ns0:is>
      </ns0:c>
      <ns0:c r="Q23" s="4" t="n"/>
      <ns0:c r="R23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3" s="4" t="inlineStr">
        <ns0:is>
          <ns0:t>01 M01/M06/M08；03 C010；04武器</ns0:t>
        </ns0:is>
      </ns0:c>
      <ns0:c r="T23" s="4" t="n"/>
      <ns0:c r="U23" s="6" t="inlineStr">
        <ns0:is>
          <ns0:t>候选数值，未试跑</ns0:t>
        </ns0:is>
      </ns0:c>
      <ns0:c r="V23" s="4" t="inlineStr">
        <ns0:is>
          <ns0:t>第1批基础；第2批微调；第3批复查；用户直接更正优先</ns0:t>
        </ns0:is>
      </ns0:c>
      <ns0:c r="W23" s="14" t="inlineStr">
        <ns0:is>
          <ns0:t>W10</ns0:t>
        </ns0:is>
      </ns0:c>
      <ns0:c r="X23" s="14" t="inlineStr">
        <ns0:is>
          <ns0:t>重伤</ns0:t>
        </ns0:is>
      </ns0:c>
      <ns0:c r="Y23" s="14" t="n">
        <ns0:v>2</ns0:v>
      </ns0:c>
      <ns0:c r="Z23" s="14" t="inlineStr">
        <ns0:is>
          <ns0:t>命中；敌方</ns0:t>
        </ns0:is>
      </ns0:c>
      <ns0:c r="AA23" s="14" t="n">
        <ns0:v>0</ns0:v>
      </ns0:c>
      <ns0:c r="AB23" s="14" t="n">
        <ns0:v>0</ns0:v>
      </ns0:c>
      <ns0:c r="AC23" s="14" t="inlineStr">
        <ns0:is>
          <ns0:t>t01.asset.0036.effect.01；t01.asset.0036.effect.02</ns0:t>
        </ns0:is>
      </ns0:c>
      <ns0:c r="AD23" s="14" t="inlineStr">
        <ns0:is>
          <ns0:t>固定元素与单状态匹配；不是运行时由状态改变元素</ns0:t>
        </ns0:is>
      </ns0:c>
    </ns0:row>
    <ns0:row r="24" ht="85" customHeight="1">
      <ns0:c r="A24" s="4" t="inlineStr">
        <ns0:is>
          <ns0:t>t01.asset.0037</ns0:t>
        </ns0:is>
      </ns0:c>
      <ns0:c r="B24" s="4" t="inlineStr">
        <ns0:is>
          <ns0:t>桑木弓</ns0:t>
        </ns0:is>
      </ns0:c>
      <ns0:c r="C24" s="4" t="inlineStr">
        <ns0:is>
          <ns0:t>凡品</ns0:t>
        </ns0:is>
      </ns0:c>
      <ns0:c r="D24" s="4" t="inlineStr">
        <ns0:is>
          <ns0:t>木</ns0:t>
        </ns0:is>
      </ns0:c>
      <ns0:c r="E24" s="4" t="inlineStr">
        <ns0:is>
          <ns0:t>弓</ns0:t>
        </ns0:is>
      </ns0:c>
      <ns0:c r="F24" s="4" t="inlineStr">
        <ns0:is>
          <ns0:t>穿刺</ns0:t>
        </ns0:is>
      </ns0:c>
      <ns0:c r="G24" s="4" t="n">
        <ns0:v>1</ns0:v>
      </ns0:c>
      <ns0:c r="H24" s="4" t="n">
        <ns0:v>2</ns0:v>
      </ns0:c>
      <ns0:c r="I24" s="7">
        <ns0:f>G24*H24</ns0:f>
        <ns0:v>2</ns0:v>
      </ns0:c>
      <ns0:c r="J24" s="4" t="n">
        <ns0:v>24</ns0:v>
      </ns0:c>
      <ns0:c r="K24" s="4" t="n">
        <ns0:v>7</ns0:v>
      </ns0:c>
      <ns0:c r="L24" s="4" t="n">
        <ns0:v>5</ns0:v>
      </ns0:c>
      <ns0:c r="M24" s="4" t="n"/>
      <ns0:c r="N24" s="4" t="n"/>
      <ns0:c r="O24" s="4" t="n"/>
      <ns0:c r="P24" s="4" t="inlineStr">
        <ns0:is>
          <ns0:t>基础数值与元素</ns0:t>
        </ns0:is>
      </ns0:c>
      <ns0:c r="Q24" s="4" t="n"/>
      <ns0:c r="R24" s="4" t="inlineStr">
        <ns0:is>
          <ns0:t>不耗本体；体力为单把基础，多武器加算另查19／20表；无射程、弓不耗普通箭</ns0:t>
        </ns0:is>
      </ns0:c>
      <ns0:c r="S24" s="4" t="inlineStr">
        <ns0:is>
          <ns0:t>01 M01/M06/M08；03 C010；04武器</ns0:t>
        </ns0:is>
      </ns0:c>
      <ns0:c r="T24" s="4" t="n"/>
      <ns0:c r="U24" s="6" t="inlineStr">
        <ns0:is>
          <ns0:t>候选数值，未试跑</ns0:t>
        </ns0:is>
      </ns0:c>
      <ns0:c r="V24" s="4" t="inlineStr">
        <ns0:is>
          <ns0:t>第1批基础；第2批微调；第3批复查；用户直接更正优先</ns0:t>
        </ns0:is>
      </ns0:c>
      <ns0:c r="W24" s="14" t="inlineStr">
        <ns0:is>
          <ns0:t>W11</ns0:t>
        </ns0:is>
      </ns0:c>
      <ns0:c r="X24" s="14" t="n"/>
      <ns0:c r="Y24" s="14" t="n"/>
      <ns0:c r="Z24" s="14" t="inlineStr">
        <ns0:is>
          <ns0:t>无；敌方</ns0:t>
        </ns0:is>
      </ns0:c>
      <ns0:c r="AA24" s="14" t="n">
        <ns0:v>0</ns0:v>
      </ns0:c>
      <ns0:c r="AB24" s="14" t="n">
        <ns0:v>0</ns0:v>
      </ns0:c>
      <ns0:c r="AC24" s="14" t="inlineStr">
        <ns0:is>
          <ns0:t>t01.asset.0037.effect.01</ns0:t>
        </ns0:is>
      </ns0:c>
      <ns0:c r="AD24" s="14" t="inlineStr">
        <ns0:is>
          <ns0:t>固定元素与单状态匹配；不是运行时由状态改变元素</ns0:t>
        </ns0:is>
      </ns0:c>
    </ns0:row>
    <ns0:row r="25" ht="85" customHeight="1">
      <ns0:c r="A25" s="4" t="inlineStr">
        <ns0:is>
          <ns0:t>t01.asset.0038</ns0:t>
        </ns0:is>
      </ns0:c>
      <ns0:c r="B25" s="4" t="inlineStr">
        <ns0:is>
          <ns0:t>水纹弓</ns0:t>
        </ns0:is>
      </ns0:c>
      <ns0:c r="C25" s="4" t="inlineStr">
        <ns0:is>
          <ns0:t>凡品</ns0:t>
        </ns0:is>
      </ns0:c>
      <ns0:c r="D25" s="4" t="inlineStr">
        <ns0:is>
          <ns0:t>水</ns0:t>
        </ns0:is>
      </ns0:c>
      <ns0:c r="E25" s="4" t="inlineStr">
        <ns0:is>
          <ns0:t>弓</ns0:t>
        </ns0:is>
      </ns0:c>
      <ns0:c r="F25" s="4" t="inlineStr">
        <ns0:is>
          <ns0:t>穿刺</ns0:t>
        </ns0:is>
      </ns0:c>
      <ns0:c r="G25" s="4" t="n">
        <ns0:v>1</ns0:v>
      </ns0:c>
      <ns0:c r="H25" s="4" t="n">
        <ns0:v>2</ns0:v>
      </ns0:c>
      <ns0:c r="I25" s="7">
        <ns0:f>G25*H25</ns0:f>
        <ns0:v>2</ns0:v>
      </ns0:c>
      <ns0:c r="J25" s="4" t="n">
        <ns0:v>20</ns0:v>
      </ns0:c>
      <ns0:c r="K25" s="4" t="n">
        <ns0:v>7</ns0:v>
      </ns0:c>
      <ns0:c r="L25" s="4" t="n">
        <ns0:v>5</ns0:v>
      </ns0:c>
      <ns0:c r="M25" s="4" t="n"/>
      <ns0:c r="N25" s="4" t="n"/>
      <ns0:c r="O25" s="4" t="n"/>
      <ns0:c r="P25" s="4" t="inlineStr">
        <ns0:is>
          <ns0:t>基础＋单状态</ns0:t>
        </ns0:is>
      </ns0:c>
      <ns0:c r="Q25" s="4" t="n"/>
      <ns0:c r="R25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5" s="4" t="inlineStr">
        <ns0:is>
          <ns0:t>01 M01/M06/M08；03 C010；04武器</ns0:t>
        </ns0:is>
      </ns0:c>
      <ns0:c r="T25" s="4" t="n"/>
      <ns0:c r="U25" s="6" t="inlineStr">
        <ns0:is>
          <ns0:t>候选数值，未试跑</ns0:t>
        </ns0:is>
      </ns0:c>
      <ns0:c r="V25" s="4" t="inlineStr">
        <ns0:is>
          <ns0:t>第1批基础；第2批微调；第3批复查；用户直接更正优先</ns0:t>
        </ns0:is>
      </ns0:c>
      <ns0:c r="W25" s="14" t="inlineStr">
        <ns0:is>
          <ns0:t>W12</ns0:t>
        </ns0:is>
      </ns0:c>
      <ns0:c r="X25" s="14" t="inlineStr">
        <ns0:is>
          <ns0:t>枯脉</ns0:t>
        </ns0:is>
      </ns0:c>
      <ns0:c r="Y25" s="14" t="n">
        <ns0:v>1</ns0:v>
      </ns0:c>
      <ns0:c r="Z25" s="14" t="inlineStr">
        <ns0:is>
          <ns0:t>命中；敌方</ns0:t>
        </ns0:is>
      </ns0:c>
      <ns0:c r="AA25" s="14" t="n">
        <ns0:v>0</ns0:v>
      </ns0:c>
      <ns0:c r="AB25" s="14" t="n">
        <ns0:v>0</ns0:v>
      </ns0:c>
      <ns0:c r="AC25" s="14" t="inlineStr">
        <ns0:is>
          <ns0:t>t01.asset.0038.effect.01；t01.asset.0038.effect.02</ns0:t>
        </ns0:is>
      </ns0:c>
      <ns0:c r="AD25" s="14" t="inlineStr">
        <ns0:is>
          <ns0:t>固定元素与单状态匹配；不是运行时由状态改变元素</ns0:t>
        </ns0:is>
      </ns0:c>
    </ns0:row>
    <ns0:row r="26" ht="85" customHeight="1">
      <ns0:c r="A26" s="4" t="inlineStr">
        <ns0:is>
          <ns0:t>t01.asset.0039</ns0:t>
        </ns0:is>
      </ns0:c>
      <ns0:c r="B26" s="4" t="inlineStr">
        <ns0:is>
          <ns0:t>雷纹弓</ns0:t>
        </ns0:is>
      </ns0:c>
      <ns0:c r="C26" s="4" t="inlineStr">
        <ns0:is>
          <ns0:t>凡品</ns0:t>
        </ns0:is>
      </ns0:c>
      <ns0:c r="D26" s="4" t="inlineStr">
        <ns0:is>
          <ns0:t>雷</ns0:t>
        </ns0:is>
      </ns0:c>
      <ns0:c r="E26" s="4" t="inlineStr">
        <ns0:is>
          <ns0:t>弓</ns0:t>
        </ns0:is>
      </ns0:c>
      <ns0:c r="F26" s="4" t="inlineStr">
        <ns0:is>
          <ns0:t>穿刺</ns0:t>
        </ns0:is>
      </ns0:c>
      <ns0:c r="G26" s="4" t="n">
        <ns0:v>1</ns0:v>
      </ns0:c>
      <ns0:c r="H26" s="4" t="n">
        <ns0:v>2</ns0:v>
      </ns0:c>
      <ns0:c r="I26" s="7">
        <ns0:f>G26*H26</ns0:f>
        <ns0:v>2</ns0:v>
      </ns0:c>
      <ns0:c r="J26" s="4" t="n">
        <ns0:v>22</ns0:v>
      </ns0:c>
      <ns0:c r="K26" s="4" t="n">
        <ns0:v>7</ns0:v>
      </ns0:c>
      <ns0:c r="L26" s="4" t="n">
        <ns0:v>6</ns0:v>
      </ns0:c>
      <ns0:c r="M26" s="4" t="n"/>
      <ns0:c r="N26" s="4" t="n"/>
      <ns0:c r="O26" s="4" t="n"/>
      <ns0:c r="P26" s="4" t="inlineStr">
        <ns0:is>
          <ns0:t>基础＋单状态</ns0:t>
        </ns0:is>
      </ns0:c>
      <ns0:c r="Q26" s="4" t="n"/>
      <ns0:c r="R26" s="4" t="inlineStr">
        <ns0:is>
          <ns0:t>不耗本体；体力为单把基础，多武器加算另查19／20表；无射程、弓不耗普通箭；连环供后续合格雷攻击利用；锁雷环无本体攻击，不直接制造雷击或闪电。</ns0:t>
        </ns0:is>
      </ns0:c>
      <ns0:c r="S26" s="4" t="inlineStr">
        <ns0:is>
          <ns0:t>01 M01/M06/M08；03 C010；04武器</ns0:t>
        </ns0:is>
      </ns0:c>
      <ns0:c r="T26" s="4" t="n"/>
      <ns0:c r="U26" s="6" t="inlineStr">
        <ns0:is>
          <ns0:t>候选数值，未试跑</ns0:t>
        </ns0:is>
      </ns0:c>
      <ns0:c r="V26" s="4" t="inlineStr">
        <ns0:is>
          <ns0:t>第1批基础；第2批微调；第3批复查；用户直接更正优先</ns0:t>
        </ns0:is>
      </ns0:c>
      <ns0:c r="W26" s="14" t="inlineStr">
        <ns0:is>
          <ns0:t>W14</ns0:t>
        </ns0:is>
      </ns0:c>
      <ns0:c r="X26" s="14" t="inlineStr">
        <ns0:is>
          <ns0:t>连环</ns0:t>
        </ns0:is>
      </ns0:c>
      <ns0:c r="Y26" s="14" t="n">
        <ns0:v>1</ns0:v>
      </ns0:c>
      <ns0:c r="Z26" s="14" t="inlineStr">
        <ns0:is>
          <ns0:t>命中；敌方</ns0:t>
        </ns0:is>
      </ns0:c>
      <ns0:c r="AA26" s="14" t="n">
        <ns0:v>0</ns0:v>
      </ns0:c>
      <ns0:c r="AB26" s="14" t="n">
        <ns0:v>0</ns0:v>
      </ns0:c>
      <ns0:c r="AC26" s="14" t="inlineStr">
        <ns0:is>
          <ns0:t>t01.asset.0039.effect.01；t01.asset.0039.effect.02</ns0:t>
        </ns0:is>
      </ns0:c>
      <ns0:c r="AD26" s="14" t="inlineStr">
        <ns0:is>
          <ns0:t>固定元素与单状态匹配；不是运行时由状态改变元素</ns0:t>
        </ns0:is>
      </ns0:c>
    </ns0:row>
    <ns0:row r="27" ht="85" customHeight="1">
      <ns0:c r="A27" s="4" t="inlineStr">
        <ns0:is>
          <ns0:t>t01.asset.0040</ns0:t>
        </ns0:is>
      </ns0:c>
      <ns0:c r="B27" s="4" t="inlineStr">
        <ns0:is>
          <ns0:t>精铁匕</ns0:t>
        </ns0:is>
      </ns0:c>
      <ns0:c r="C27" s="4" t="inlineStr">
        <ns0:is>
          <ns0:t>凡品</ns0:t>
        </ns0:is>
      </ns0:c>
      <ns0:c r="D27" s="4" t="inlineStr">
        <ns0:is>
          <ns0:t>金</ns0:t>
        </ns0:is>
      </ns0:c>
      <ns0:c r="E27" s="4" t="inlineStr">
        <ns0:is>
          <ns0:t>短刃</ns0:t>
        </ns0:is>
      </ns0:c>
      <ns0:c r="F27" s="4" t="inlineStr">
        <ns0:is>
          <ns0:t>穿刺</ns0:t>
        </ns0:is>
      </ns0:c>
      <ns0:c r="G27" s="4" t="n">
        <ns0:v>1</ns0:v>
      </ns0:c>
      <ns0:c r="H27" s="4" t="n">
        <ns0:v>1</ns0:v>
      </ns0:c>
      <ns0:c r="I27" s="7">
        <ns0:f>G27*H27</ns0:f>
        <ns0:v>1</ns0:v>
      </ns0:c>
      <ns0:c r="J27" s="4" t="n">
        <ns0:v>8</ns0:v>
      </ns0:c>
      <ns0:c r="K27" s="4" t="n">
        <ns0:v>3.5</ns0:v>
      </ns0:c>
      <ns0:c r="L27" s="4" t="n">
        <ns0:v>2</ns0:v>
      </ns0:c>
      <ns0:c r="M27" s="4" t="n"/>
      <ns0:c r="N27" s="4" t="n"/>
      <ns0:c r="O27" s="4" t="n"/>
      <ns0:c r="P27" s="4" t="inlineStr">
        <ns0:is>
          <ns0:t>基础＋单状态</ns0:t>
        </ns0:is>
      </ns0:c>
      <ns0:c r="Q27" s="4" t="n"/>
      <ns0:c r="R27" s="4" t="inlineStr">
        <ns0:is>
          <ns0:t>不耗本体；体力为单把基础，多武器加算另查19／20表；无射程、弓不耗普通箭；本件流血须本次攻击实际伤及气血；只命中或只扣盾甲不足。</ns0:t>
        </ns0:is>
      </ns0:c>
      <ns0:c r="S27" s="4" t="inlineStr">
        <ns0:is>
          <ns0:t>01 M01/M06/M08；03 C010；04武器</ns0:t>
        </ns0:is>
      </ns0:c>
      <ns0:c r="T27" s="4" t="n"/>
      <ns0:c r="U27" s="6" t="inlineStr">
        <ns0:is>
          <ns0:t>候选数值，未试跑</ns0:t>
        </ns0:is>
      </ns0:c>
      <ns0:c r="V27" s="4" t="inlineStr">
        <ns0:is>
          <ns0:t>第1批基础；第2批微调；第3批复查；用户直接更正优先</ns0:t>
        </ns0:is>
      </ns0:c>
      <ns0:c r="W27" s="14" t="inlineStr">
        <ns0:is>
          <ns0:t>W15</ns0:t>
        </ns0:is>
      </ns0:c>
      <ns0:c r="X27" s="14" t="inlineStr">
        <ns0:is>
          <ns0:t>流血</ns0:t>
        </ns0:is>
      </ns0:c>
      <ns0:c r="Y27" s="14" t="n">
        <ns0:v>1</ns0:v>
      </ns0:c>
      <ns0:c r="Z27" s="14" t="inlineStr">
        <ns0:is>
          <ns0:t>实际伤到气血；敌方</ns0:t>
        </ns0:is>
      </ns0:c>
      <ns0:c r="AA27" s="14" t="n">
        <ns0:v>0</ns0:v>
      </ns0:c>
      <ns0:c r="AB27" s="14" t="n">
        <ns0:v>0</ns0:v>
      </ns0:c>
      <ns0:c r="AC27" s="14" t="inlineStr">
        <ns0:is>
          <ns0:t>t01.asset.0040.effect.01；t01.asset.0040.effect.02</ns0:t>
        </ns0:is>
      </ns0:c>
      <ns0:c r="AD27" s="14" t="inlineStr">
        <ns0:is>
          <ns0:t>固定元素与单状态匹配；不是运行时由状态改变元素</ns0:t>
        </ns0:is>
      </ns0:c>
    </ns0:row>
    <ns0:row r="28" ht="85" customHeight="1">
      <ns0:c r="A28" s="4" t="inlineStr">
        <ns0:is>
          <ns0:t>t01.asset.0041</ns0:t>
        </ns0:is>
      </ns0:c>
      <ns0:c r="B28" s="4" t="inlineStr">
        <ns0:is>
          <ns0:t>风刃匕</ns0:t>
        </ns0:is>
      </ns0:c>
      <ns0:c r="C28" s="4" t="inlineStr">
        <ns0:is>
          <ns0:t>凡品</ns0:t>
        </ns0:is>
      </ns0:c>
      <ns0:c r="D28" s="4" t="inlineStr">
        <ns0:is>
          <ns0:t>风</ns0:t>
        </ns0:is>
      </ns0:c>
      <ns0:c r="E28" s="4" t="inlineStr">
        <ns0:is>
          <ns0:t>短刃</ns0:t>
        </ns0:is>
      </ns0:c>
      <ns0:c r="F28" s="4" t="inlineStr">
        <ns0:is>
          <ns0:t>穿刺</ns0:t>
        </ns0:is>
      </ns0:c>
      <ns0:c r="G28" s="4" t="n">
        <ns0:v>1</ns0:v>
      </ns0:c>
      <ns0:c r="H28" s="4" t="n">
        <ns0:v>1</ns0:v>
      </ns0:c>
      <ns0:c r="I28" s="7">
        <ns0:f>G28*H28</ns0:f>
        <ns0:v>1</ns0:v>
      </ns0:c>
      <ns0:c r="J28" s="4" t="n">
        <ns0:v>7</ns0:v>
      </ns0:c>
      <ns0:c r="K28" s="4" t="n">
        <ns0:v>3</ns0:v>
      </ns0:c>
      <ns0:c r="L28" s="4" t="n">
        <ns0:v>2</ns0:v>
      </ns0:c>
      <ns0:c r="M28" s="4" t="n"/>
      <ns0:c r="N28" s="4" t="n"/>
      <ns0:c r="O28" s="4" t="n"/>
      <ns0:c r="P28" s="4" t="inlineStr">
        <ns0:is>
          <ns0:t>基础＋单状态</ns0:t>
        </ns0:is>
      </ns0:c>
      <ns0:c r="Q28" s="4" t="n"/>
      <ns0:c r="R28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8" s="4" t="inlineStr">
        <ns0:is>
          <ns0:t>01 M01/M06/M08；03 C010；04武器</ns0:t>
        </ns0:is>
      </ns0:c>
      <ns0:c r="T28" s="4" t="n"/>
      <ns0:c r="U28" s="6" t="inlineStr">
        <ns0:is>
          <ns0:t>候选数值，未试跑</ns0:t>
        </ns0:is>
      </ns0:c>
      <ns0:c r="V28" s="4" t="inlineStr">
        <ns0:is>
          <ns0:t>第1批基础；第2批微调；第3批复查；用户直接更正优先</ns0:t>
        </ns0:is>
      </ns0:c>
      <ns0:c r="W28" s="14" t="inlineStr">
        <ns0:is>
          <ns0:t>W16</ns0:t>
        </ns0:is>
      </ns0:c>
      <ns0:c r="X28" s="14" t="inlineStr">
        <ns0:is>
          <ns0:t>失衡</ns0:t>
        </ns0:is>
      </ns0:c>
      <ns0:c r="Y28" s="14" t="n">
        <ns0:v>1</ns0:v>
      </ns0:c>
      <ns0:c r="Z28" s="14" t="inlineStr">
        <ns0:is>
          <ns0:t>命中；敌方</ns0:t>
        </ns0:is>
      </ns0:c>
      <ns0:c r="AA28" s="14" t="n">
        <ns0:v>0</ns0:v>
      </ns0:c>
      <ns0:c r="AB28" s="14" t="n">
        <ns0:v>0</ns0:v>
      </ns0:c>
      <ns0:c r="AC28" s="14" t="inlineStr">
        <ns0:is>
          <ns0:t>t01.asset.0041.effect.01；t01.asset.0041.effect.02</ns0:t>
        </ns0:is>
      </ns0:c>
      <ns0:c r="AD28" s="14" t="inlineStr">
        <ns0:is>
          <ns0:t>固定元素与单状态匹配；不是运行时由状态改变元素</ns0:t>
        </ns0:is>
      </ns0:c>
    </ns0:row>
    <ns0:row r="29" ht="85" customHeight="1">
      <ns0:c r="A29" s="4" t="inlineStr">
        <ns0:is>
          <ns0:t>t01.asset.0042</ns0:t>
        </ns0:is>
      </ns0:c>
      <ns0:c r="B29" s="4" t="inlineStr">
        <ns0:is>
          <ns0:t>青木枪</ns0:t>
        </ns0:is>
      </ns0:c>
      <ns0:c r="C29" s="4" t="inlineStr">
        <ns0:is>
          <ns0:t>凡品</ns0:t>
        </ns0:is>
      </ns0:c>
      <ns0:c r="D29" s="4" t="inlineStr">
        <ns0:is>
          <ns0:t>木</ns0:t>
        </ns0:is>
      </ns0:c>
      <ns0:c r="E29" s="4" t="inlineStr">
        <ns0:is>
          <ns0:t>枪</ns0:t>
        </ns0:is>
      </ns0:c>
      <ns0:c r="F29" s="4" t="inlineStr">
        <ns0:is>
          <ns0:t>穿刺</ns0:t>
        </ns0:is>
      </ns0:c>
      <ns0:c r="G29" s="4" t="n">
        <ns0:v>3</ns0:v>
      </ns0:c>
      <ns0:c r="H29" s="4" t="n">
        <ns0:v>1</ns0:v>
      </ns0:c>
      <ns0:c r="I29" s="7">
        <ns0:f>G29*H29</ns0:f>
        <ns0:v>3</ns0:v>
      </ns0:c>
      <ns0:c r="J29" s="4" t="n">
        <ns0:v>34</ns0:v>
      </ns0:c>
      <ns0:c r="K29" s="4" t="n">
        <ns0:v>8.5</ns0:v>
      </ns0:c>
      <ns0:c r="L29" s="4" t="n">
        <ns0:v>7</ns0:v>
      </ns0:c>
      <ns0:c r="M29" s="4" t="n"/>
      <ns0:c r="N29" s="4" t="n"/>
      <ns0:c r="O29" s="4" t="n"/>
      <ns0:c r="P29" s="4" t="inlineStr">
        <ns0:is>
          <ns0:t>基础＋单状态</ns0:t>
        </ns0:is>
      </ns0:c>
      <ns0:c r="Q29" s="4" t="n"/>
      <ns0:c r="R29" s="4" t="inlineStr">
        <ns0:is>
          <ns0:t>不耗本体；体力为单把基础，多武器加算另查19／20表；无射程、弓不耗普通箭；缠绕由后续合格火、雷伤害利用；木攻击本身不因此获得火雷增幅。</ns0:t>
        </ns0:is>
      </ns0:c>
      <ns0:c r="S29" s="4" t="inlineStr">
        <ns0:is>
          <ns0:t>01 M01/M06/M08；03 C010；04武器</ns0:t>
        </ns0:is>
      </ns0:c>
      <ns0:c r="T29" s="4" t="n"/>
      <ns0:c r="U29" s="6" t="inlineStr">
        <ns0:is>
          <ns0:t>候选数值，未试跑</ns0:t>
        </ns0:is>
      </ns0:c>
      <ns0:c r="V29" s="4" t="inlineStr">
        <ns0:is>
          <ns0:t>第1批基础；第2批微调；第3批复查；用户直接更正优先</ns0:t>
        </ns0:is>
      </ns0:c>
      <ns0:c r="W29" s="14" t="inlineStr">
        <ns0:is>
          <ns0:t>W17</ns0:t>
        </ns0:is>
      </ns0:c>
      <ns0:c r="X29" s="14" t="inlineStr">
        <ns0:is>
          <ns0:t>缠绕</ns0:t>
        </ns0:is>
      </ns0:c>
      <ns0:c r="Y29" s="14" t="n">
        <ns0:v>2</ns0:v>
      </ns0:c>
      <ns0:c r="Z29" s="14" t="inlineStr">
        <ns0:is>
          <ns0:t>命中；敌方</ns0:t>
        </ns0:is>
      </ns0:c>
      <ns0:c r="AA29" s="14" t="n">
        <ns0:v>0</ns0:v>
      </ns0:c>
      <ns0:c r="AB29" s="14" t="n">
        <ns0:v>0</ns0:v>
      </ns0:c>
      <ns0:c r="AC29" s="14" t="inlineStr">
        <ns0:is>
          <ns0:t>t01.asset.0042.effect.01；t01.asset.0042.effect.02</ns0:t>
        </ns0:is>
      </ns0:c>
      <ns0:c r="AD29" s="14" t="inlineStr">
        <ns0:is>
          <ns0:t>固定元素与单状态匹配；不是运行时由状态改变元素</ns0:t>
        </ns0:is>
      </ns0:c>
    </ns0:row>
    <ns0:row r="30" ht="85" customHeight="1">
      <ns0:c r="A30" s="4" t="inlineStr">
        <ns0:is>
          <ns0:t>t01.asset.0043</ns0:t>
        </ns0:is>
      </ns0:c>
      <ns0:c r="B30" s="4" t="inlineStr">
        <ns0:is>
          <ns0:t>雷纹枪</ns0:t>
        </ns0:is>
      </ns0:c>
      <ns0:c r="C30" s="4" t="inlineStr">
        <ns0:is>
          <ns0:t>凡品</ns0:t>
        </ns0:is>
      </ns0:c>
      <ns0:c r="D30" s="4" t="inlineStr">
        <ns0:is>
          <ns0:t>雷</ns0:t>
        </ns0:is>
      </ns0:c>
      <ns0:c r="E30" s="4" t="inlineStr">
        <ns0:is>
          <ns0:t>枪</ns0:t>
        </ns0:is>
      </ns0:c>
      <ns0:c r="F30" s="4" t="inlineStr">
        <ns0:is>
          <ns0:t>穿刺</ns0:t>
        </ns0:is>
      </ns0:c>
      <ns0:c r="G30" s="4" t="n">
        <ns0:v>3</ns0:v>
      </ns0:c>
      <ns0:c r="H30" s="4" t="n">
        <ns0:v>1</ns0:v>
      </ns0:c>
      <ns0:c r="I30" s="7">
        <ns0:f>G30*H30</ns0:f>
        <ns0:v>3</ns0:v>
      </ns0:c>
      <ns0:c r="J30" s="4" t="n">
        <ns0:v>38</ns0:v>
      </ns0:c>
      <ns0:c r="K30" s="4" t="n">
        <ns0:v>9.5</ns0:v>
      </ns0:c>
      <ns0:c r="L30" s="4" t="n">
        <ns0:v>8</ns0:v>
      </ns0:c>
      <ns0:c r="M30" s="4" t="n"/>
      <ns0:c r="N30" s="4" t="n"/>
      <ns0:c r="O30" s="4" t="n"/>
      <ns0:c r="P30" s="4" t="inlineStr">
        <ns0:is>
          <ns0:t>基础＋单状态</ns0:t>
        </ns0:is>
      </ns0:c>
      <ns0:c r="Q30" s="4" t="n"/>
      <ns0:c r="R30" s="4" t="inlineStr">
        <ns0:is>
          <ns0:t>不耗本体；体力为单把基础，多武器加算另查19／20表；无射程、弓不耗普通箭；雷印新层在本击伤后加入，供后续合格雷攻；无本体雷攻击的施层器具不直接引雷。</ns0:t>
        </ns0:is>
      </ns0:c>
      <ns0:c r="S30" s="4" t="inlineStr">
        <ns0:is>
          <ns0:t>01 M01/M06/M08；03 C010；04武器</ns0:t>
        </ns0:is>
      </ns0:c>
      <ns0:c r="T30" s="4" t="n"/>
      <ns0:c r="U30" s="6" t="inlineStr">
        <ns0:is>
          <ns0:t>候选数值，未试跑</ns0:t>
        </ns0:is>
      </ns0:c>
      <ns0:c r="V30" s="4" t="inlineStr">
        <ns0:is>
          <ns0:t>第1批基础；第2批微调；第3批复查；用户直接更正优先</ns0:t>
        </ns0:is>
      </ns0:c>
      <ns0:c r="W30" s="14" t="inlineStr">
        <ns0:is>
          <ns0:t>W19</ns0:t>
        </ns0:is>
      </ns0:c>
      <ns0:c r="X30" s="14" t="inlineStr">
        <ns0:is>
          <ns0:t>雷印</ns0:t>
        </ns0:is>
      </ns0:c>
      <ns0:c r="Y30" s="14" t="n">
        <ns0:v>2</ns0:v>
      </ns0:c>
      <ns0:c r="Z30" s="14" t="inlineStr">
        <ns0:is>
          <ns0:t>命中；敌方</ns0:t>
        </ns0:is>
      </ns0:c>
      <ns0:c r="AA30" s="14" t="n">
        <ns0:v>0</ns0:v>
      </ns0:c>
      <ns0:c r="AB30" s="14" t="n">
        <ns0:v>0</ns0:v>
      </ns0:c>
      <ns0:c r="AC30" s="14" t="inlineStr">
        <ns0:is>
          <ns0:t>t01.asset.0043.effect.01；t01.asset.0043.effect.02</ns0:t>
        </ns0:is>
      </ns0:c>
      <ns0:c r="AD30" s="14" t="inlineStr">
        <ns0:is>
          <ns0:t>固定元素与单状态匹配；不是运行时由状态改变元素</ns0:t>
        </ns0:is>
      </ns0:c>
    </ns0:row>
    <ns0:row r="31" ht="85" customHeight="1">
      <ns0:c r="A31" s="4" t="inlineStr">
        <ns0:is>
          <ns0:t>t01.asset.0044</ns0:t>
        </ns0:is>
      </ns0:c>
      <ns0:c r="B31" s="4" t="inlineStr">
        <ns0:is>
          <ns0:t>炎纹锤</ns0:t>
        </ns0:is>
      </ns0:c>
      <ns0:c r="C31" s="4" t="inlineStr">
        <ns0:is>
          <ns0:t>凡品</ns0:t>
        </ns0:is>
      </ns0:c>
      <ns0:c r="D31" s="4" t="inlineStr">
        <ns0:is>
          <ns0:t>火</ns0:t>
        </ns0:is>
      </ns0:c>
      <ns0:c r="E31" s="4" t="inlineStr">
        <ns0:is>
          <ns0:t>锤</ns0:t>
        </ns0:is>
      </ns0:c>
      <ns0:c r="F31" s="4" t="inlineStr">
        <ns0:is>
          <ns0:t>钝击</ns0:t>
        </ns0:is>
      </ns0:c>
      <ns0:c r="G31" s="4" t="n">
        <ns0:v>1</ns0:v>
      </ns0:c>
      <ns0:c r="H31" s="4" t="n">
        <ns0:v>2</ns0:v>
      </ns0:c>
      <ns0:c r="I31" s="7">
        <ns0:f>G31*H31</ns0:f>
        <ns0:v>2</ns0:v>
      </ns0:c>
      <ns0:c r="J31" s="4" t="n">
        <ns0:v>20</ns0:v>
      </ns0:c>
      <ns0:c r="K31" s="4" t="n">
        <ns0:v>6</ns0:v>
      </ns0:c>
      <ns0:c r="L31" s="4" t="n">
        <ns0:v>4</ns0:v>
      </ns0:c>
      <ns0:c r="M31" s="4" t="n"/>
      <ns0:c r="N31" s="4" t="n"/>
      <ns0:c r="O31" s="4" t="n"/>
      <ns0:c r="P31" s="4" t="inlineStr">
        <ns0:is>
          <ns0:t>基础＋单状态</ns0:t>
        </ns0:is>
      </ns0:c>
      <ns0:c r="Q31" s="4" t="n"/>
      <ns0:c r="R31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1" s="4" t="inlineStr">
        <ns0:is>
          <ns0:t>01 M01/M06/M08；03 C010；04武器</ns0:t>
        </ns0:is>
      </ns0:c>
      <ns0:c r="T31" s="4" t="n"/>
      <ns0:c r="U31" s="6" t="inlineStr">
        <ns0:is>
          <ns0:t>候选数值，未试跑</ns0:t>
        </ns0:is>
      </ns0:c>
      <ns0:c r="V31" s="4" t="inlineStr">
        <ns0:is>
          <ns0:t>第1批基础；第2批微调；第3批复查；用户直接更正优先</ns0:t>
        </ns0:is>
      </ns0:c>
      <ns0:c r="W31" s="14" t="inlineStr">
        <ns0:is>
          <ns0:t>W20</ns0:t>
        </ns0:is>
      </ns0:c>
      <ns0:c r="X31" s="14" t="inlineStr">
        <ns0:is>
          <ns0:t>破甲</ns0:t>
        </ns0:is>
      </ns0:c>
      <ns0:c r="Y31" s="14" t="n">
        <ns0:v>1</ns0:v>
      </ns0:c>
      <ns0:c r="Z31" s="14" t="inlineStr">
        <ns0:is>
          <ns0:t>命中；敌方</ns0:t>
        </ns0:is>
      </ns0:c>
      <ns0:c r="AA31" s="14" t="n">
        <ns0:v>0</ns0:v>
      </ns0:c>
      <ns0:c r="AB31" s="14" t="n">
        <ns0:v>0</ns0:v>
      </ns0:c>
      <ns0:c r="AC31" s="14" t="inlineStr">
        <ns0:is>
          <ns0:t>t01.asset.0044.effect.01；t01.asset.0044.effect.02</ns0:t>
        </ns0:is>
      </ns0:c>
      <ns0:c r="AD31" s="14" t="inlineStr">
        <ns0:is>
          <ns0:t>固定元素与单状态匹配；不是运行时由状态改变元素</ns0:t>
        </ns0:is>
      </ns0:c>
    </ns0:row>
    <ns0:row r="32" ht="85" customHeight="1">
      <ns0:c r="A32" s="4" t="inlineStr">
        <ns0:is>
          <ns0:t>t01.asset.0045</ns0:t>
        </ns0:is>
      </ns0:c>
      <ns0:c r="B32" s="4" t="inlineStr">
        <ns0:is>
          <ns0:t>石骨锤</ns0:t>
        </ns0:is>
      </ns0:c>
      <ns0:c r="C32" s="4" t="inlineStr">
        <ns0:is>
          <ns0:t>凡品</ns0:t>
        </ns0:is>
      </ns0:c>
      <ns0:c r="D32" s="4" t="inlineStr">
        <ns0:is>
          <ns0:t>土</ns0:t>
        </ns0:is>
      </ns0:c>
      <ns0:c r="E32" s="4" t="inlineStr">
        <ns0:is>
          <ns0:t>锤</ns0:t>
        </ns0:is>
      </ns0:c>
      <ns0:c r="F32" s="4" t="inlineStr">
        <ns0:is>
          <ns0:t>钝击</ns0:t>
        </ns0:is>
      </ns0:c>
      <ns0:c r="G32" s="4" t="n">
        <ns0:v>1</ns0:v>
      </ns0:c>
      <ns0:c r="H32" s="4" t="n">
        <ns0:v>2</ns0:v>
      </ns0:c>
      <ns0:c r="I32" s="7">
        <ns0:f>G32*H32</ns0:f>
        <ns0:v>2</ns0:v>
      </ns0:c>
      <ns0:c r="J32" s="4" t="n">
        <ns0:v>26</ns0:v>
      </ns0:c>
      <ns0:c r="K32" s="4" t="n">
        <ns0:v>7</ns0:v>
      </ns0:c>
      <ns0:c r="L32" s="4" t="n">
        <ns0:v>5</ns0:v>
      </ns0:c>
      <ns0:c r="M32" s="4" t="n"/>
      <ns0:c r="N32" s="4" t="n"/>
      <ns0:c r="O32" s="4" t="n"/>
      <ns0:c r="P32" s="4" t="inlineStr">
        <ns0:is>
          <ns0:t>基础数值与元素</ns0:t>
        </ns0:is>
      </ns0:c>
      <ns0:c r="Q32" s="4" t="n"/>
      <ns0:c r="R32" s="4" t="inlineStr">
        <ns0:is>
          <ns0:t>不耗本体；体力为单把基础，多武器加算另查19／20表；无射程、弓不耗普通箭</ns0:t>
        </ns0:is>
      </ns0:c>
      <ns0:c r="S32" s="4" t="inlineStr">
        <ns0:is>
          <ns0:t>01 M01/M06/M08；03 C010；04武器</ns0:t>
        </ns0:is>
      </ns0:c>
      <ns0:c r="T32" s="4" t="n"/>
      <ns0:c r="U32" s="6" t="inlineStr">
        <ns0:is>
          <ns0:t>候选数值，未试跑</ns0:t>
        </ns0:is>
      </ns0:c>
      <ns0:c r="V32" s="4" t="inlineStr">
        <ns0:is>
          <ns0:t>第1批基础；第2批微调；第3批复查；用户直接更正优先</ns0:t>
        </ns0:is>
      </ns0:c>
      <ns0:c r="W32" s="14" t="inlineStr">
        <ns0:is>
          <ns0:t>W21</ns0:t>
        </ns0:is>
      </ns0:c>
      <ns0:c r="X32" s="14" t="n"/>
      <ns0:c r="Y32" s="14" t="n"/>
      <ns0:c r="Z32" s="14" t="inlineStr">
        <ns0:is>
          <ns0:t>无；敌方</ns0:t>
        </ns0:is>
      </ns0:c>
      <ns0:c r="AA32" s="14" t="n">
        <ns0:v>0</ns0:v>
      </ns0:c>
      <ns0:c r="AB32" s="14" t="n">
        <ns0:v>0</ns0:v>
      </ns0:c>
      <ns0:c r="AC32" s="14" t="inlineStr">
        <ns0:is>
          <ns0:t>t01.asset.0045.effect.01</ns0:t>
        </ns0:is>
      </ns0:c>
      <ns0:c r="AD32" s="14" t="inlineStr">
        <ns0:is>
          <ns0:t>固定元素与单状态匹配；不是运行时由状态改变元素</ns0:t>
        </ns0:is>
      </ns0:c>
    </ns0:row>
    <ns0:row r="33" ht="85" customHeight="1">
      <ns0:c r="A33" s="4" t="inlineStr">
        <ns0:is>
          <ns0:t>t01.asset.0046</ns0:t>
        </ns0:is>
      </ns0:c>
      <ns0:c r="B33" s="4" t="inlineStr">
        <ns0:is>
          <ns0:t>镇土印</ns0:t>
        </ns0:is>
      </ns0:c>
      <ns0:c r="C33" s="4" t="inlineStr">
        <ns0:is>
          <ns0:t>凡品</ns0:t>
        </ns0:is>
      </ns0:c>
      <ns0:c r="D33" s="4" t="inlineStr">
        <ns0:is>
          <ns0:t>土</ns0:t>
        </ns0:is>
      </ns0:c>
      <ns0:c r="E33" s="4" t="inlineStr">
        <ns0:is>
          <ns0:t>印</ns0:t>
        </ns0:is>
      </ns0:c>
      <ns0:c r="F33" s="4" t="inlineStr">
        <ns0:is>
          <ns0:t>钝击</ns0:t>
        </ns0:is>
      </ns0:c>
      <ns0:c r="G33" s="4" t="n">
        <ns0:v>1</ns0:v>
      </ns0:c>
      <ns0:c r="H33" s="4" t="n">
        <ns0:v>1</ns0:v>
      </ns0:c>
      <ns0:c r="I33" s="7">
        <ns0:f>G33*H33</ns0:f>
        <ns0:v>1</ns0:v>
      </ns0:c>
      <ns0:c r="J33" s="4" t="n">
        <ns0:v>16</ns0:v>
      </ns0:c>
      <ns0:c r="K33" s="4" t="n">
        <ns0:v>7</ns0:v>
      </ns0:c>
      <ns0:c r="L33" s="4" t="n">
        <ns0:v>3</ns0:v>
      </ns0:c>
      <ns0:c r="M33" s="4" t="n"/>
      <ns0:c r="N33" s="4" t="n"/>
      <ns0:c r="O33" s="4" t="n"/>
      <ns0:c r="P33" s="4" t="inlineStr">
        <ns0:is>
          <ns0:t>基础＋单状态</ns0:t>
        </ns0:is>
      </ns0:c>
      <ns0:c r="Q33" s="4" t="n"/>
      <ns0:c r="R33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3" s="4" t="inlineStr">
        <ns0:is>
          <ns0:t>01 M01/M06/M08；03 C010；04武器</ns0:t>
        </ns0:is>
      </ns0:c>
      <ns0:c r="T33" s="4" t="n"/>
      <ns0:c r="U33" s="6" t="inlineStr">
        <ns0:is>
          <ns0:t>候选数值，未试跑</ns0:t>
        </ns0:is>
      </ns0:c>
      <ns0:c r="V33" s="4" t="inlineStr">
        <ns0:is>
          <ns0:t>第1批基础；第2批微调；第3批复查；用户直接更正优先</ns0:t>
        </ns0:is>
      </ns0:c>
      <ns0:c r="W33" s="14" t="inlineStr">
        <ns0:is>
          <ns0:t>W22</ns0:t>
        </ns0:is>
      </ns0:c>
      <ns0:c r="X33" s="14" t="inlineStr">
        <ns0:is>
          <ns0:t>疲惫</ns0:t>
        </ns0:is>
      </ns0:c>
      <ns0:c r="Y33" s="14" t="n">
        <ns0:v>1</ns0:v>
      </ns0:c>
      <ns0:c r="Z33" s="14" t="inlineStr">
        <ns0:is>
          <ns0:t>命中；敌方</ns0:t>
        </ns0:is>
      </ns0:c>
      <ns0:c r="AA33" s="14" t="n">
        <ns0:v>0</ns0:v>
      </ns0:c>
      <ns0:c r="AB33" s="14" t="n">
        <ns0:v>0</ns0:v>
      </ns0:c>
      <ns0:c r="AC33" s="14" t="inlineStr">
        <ns0:is>
          <ns0:t>t01.asset.0046.effect.01；t01.asset.0046.effect.02</ns0:t>
        </ns0:is>
      </ns0:c>
      <ns0:c r="AD33" s="14" t="inlineStr">
        <ns0:is>
          <ns0:t>固定元素与单状态匹配；不是运行时由状态改变元素</ns0:t>
        </ns0:is>
      </ns0:c>
    </ns0:row>
    <ns0:row r="34" ht="85" customHeight="1">
      <ns0:c r="A34" s="4" t="inlineStr">
        <ns0:is>
          <ns0:t>t01.asset.0047</ns0:t>
        </ns0:is>
      </ns0:c>
      <ns0:c r="B34" s="4" t="inlineStr">
        <ns0:is>
          <ns0:t>雷纹印</ns0:t>
        </ns0:is>
      </ns0:c>
      <ns0:c r="C34" s="4" t="inlineStr">
        <ns0:is>
          <ns0:t>凡品</ns0:t>
        </ns0:is>
      </ns0:c>
      <ns0:c r="D34" s="4" t="inlineStr">
        <ns0:is>
          <ns0:t>雷</ns0:t>
        </ns0:is>
      </ns0:c>
      <ns0:c r="E34" s="4" t="inlineStr">
        <ns0:is>
          <ns0:t>印</ns0:t>
        </ns0:is>
      </ns0:c>
      <ns0:c r="F34" s="4" t="inlineStr">
        <ns0:is>
          <ns0:t>钝击</ns0:t>
        </ns0:is>
      </ns0:c>
      <ns0:c r="G34" s="4" t="n">
        <ns0:v>1</ns0:v>
      </ns0:c>
      <ns0:c r="H34" s="4" t="n">
        <ns0:v>1</ns0:v>
      </ns0:c>
      <ns0:c r="I34" s="7">
        <ns0:f>G34*H34</ns0:f>
        <ns0:v>1</ns0:v>
      </ns0:c>
      <ns0:c r="J34" s="4" t="n">
        <ns0:v>14</ns0:v>
      </ns0:c>
      <ns0:c r="K34" s="4" t="n">
        <ns0:v>6</ns0:v>
      </ns0:c>
      <ns0:c r="L34" s="4" t="n">
        <ns0:v>3</ns0:v>
      </ns0:c>
      <ns0:c r="M34" s="4" t="n"/>
      <ns0:c r="N34" s="4" t="n"/>
      <ns0:c r="O34" s="4" t="n"/>
      <ns0:c r="P34" s="4" t="inlineStr">
        <ns0:is>
          <ns0:t>基础＋单状态</ns0:t>
        </ns0:is>
      </ns0:c>
      <ns0:c r="Q34" s="4" t="n"/>
      <ns0:c r="R34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4" s="4" t="inlineStr">
        <ns0:is>
          <ns0:t>01 M01/M06/M08；03 C010；04武器</ns0:t>
        </ns0:is>
      </ns0:c>
      <ns0:c r="T34" s="4" t="n"/>
      <ns0:c r="U34" s="6" t="inlineStr">
        <ns0:is>
          <ns0:t>候选数值，未试跑</ns0:t>
        </ns0:is>
      </ns0:c>
      <ns0:c r="V34" s="4" t="inlineStr">
        <ns0:is>
          <ns0:t>第1批基础；第2批微调；第3批复查；用户直接更正优先</ns0:t>
        </ns0:is>
      </ns0:c>
      <ns0:c r="W34" s="14" t="inlineStr">
        <ns0:is>
          <ns0:t>W23</ns0:t>
        </ns0:is>
      </ns0:c>
      <ns0:c r="X34" s="14" t="inlineStr">
        <ns0:is>
          <ns0:t>雷蕴</ns0:t>
        </ns0:is>
      </ns0:c>
      <ns0:c r="Y34" s="14" t="n">
        <ns0:v>1</ns0:v>
      </ns0:c>
      <ns0:c r="Z34" s="14" t="inlineStr">
        <ns0:is>
          <ns0:t>命中；自身</ns0:t>
        </ns0:is>
      </ns0:c>
      <ns0:c r="AA34" s="14" t="n">
        <ns0:v>0</ns0:v>
      </ns0:c>
      <ns0:c r="AB34" s="14" t="n">
        <ns0:v>0</ns0:v>
      </ns0:c>
      <ns0:c r="AC34" s="14" t="inlineStr">
        <ns0:is>
          <ns0:t>t01.asset.0047.effect.01；t01.asset.0047.effect.02</ns0:t>
        </ns0:is>
      </ns0:c>
      <ns0:c r="AD34" s="14" t="inlineStr">
        <ns0:is>
          <ns0:t>固定元素与单状态匹配；不是运行时由状态改变元素</ns0:t>
        </ns0:is>
      </ns0:c>
    </ns0:row>
    <ns0:row r="35" ht="85" customHeight="1">
      <ns0:c r="A35" s="4" t="inlineStr">
        <ns0:is>
          <ns0:t>t01.asset.0048</ns0:t>
        </ns0:is>
      </ns0:c>
      <ns0:c r="B35" s="4" t="inlineStr">
        <ns0:is>
          <ns0:t>藤鞭</ns0:t>
        </ns0:is>
      </ns0:c>
      <ns0:c r="C35" s="4" t="inlineStr">
        <ns0:is>
          <ns0:t>凡品</ns0:t>
        </ns0:is>
      </ns0:c>
      <ns0:c r="D35" s="4" t="inlineStr">
        <ns0:is>
          <ns0:t>木</ns0:t>
        </ns0:is>
      </ns0:c>
      <ns0:c r="E35" s="4" t="inlineStr">
        <ns0:is>
          <ns0:t>鞭</ns0:t>
        </ns0:is>
      </ns0:c>
      <ns0:c r="F35" s="4" t="inlineStr">
        <ns0:is>
          <ns0:t>钝击</ns0:t>
        </ns0:is>
      </ns0:c>
      <ns0:c r="G35" s="4" t="n">
        <ns0:v>3</ns0:v>
      </ns0:c>
      <ns0:c r="H35" s="4" t="n">
        <ns0:v>1</ns0:v>
      </ns0:c>
      <ns0:c r="I35" s="7">
        <ns0:f>G35*H35</ns0:f>
        <ns0:v>3</ns0:v>
      </ns0:c>
      <ns0:c r="J35" s="4" t="n">
        <ns0:v>14</ns0:v>
      </ns0:c>
      <ns0:c r="K35" s="4" t="n">
        <ns0:v>4</ns0:v>
      </ns0:c>
      <ns0:c r="L35" s="4" t="n">
        <ns0:v>3</ns0:v>
      </ns0:c>
      <ns0:c r="M35" s="4" t="n"/>
      <ns0:c r="N35" s="4" t="n"/>
      <ns0:c r="O35" s="4" t="n"/>
      <ns0:c r="P35" s="4" t="inlineStr">
        <ns0:is>
          <ns0:t>基础＋单状态</ns0:t>
        </ns0:is>
      </ns0:c>
      <ns0:c r="Q35" s="4" t="n"/>
      <ns0:c r="R35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5" s="4" t="inlineStr">
        <ns0:is>
          <ns0:t>01 M01/M06/M08；03 C010；04武器</ns0:t>
        </ns0:is>
      </ns0:c>
      <ns0:c r="T35" s="4" t="n"/>
      <ns0:c r="U35" s="6" t="inlineStr">
        <ns0:is>
          <ns0:t>候选数值，未试跑</ns0:t>
        </ns0:is>
      </ns0:c>
      <ns0:c r="V35" s="4" t="inlineStr">
        <ns0:is>
          <ns0:t>第1批基础；第2批微调；第3批复查；用户直接更正优先</ns0:t>
        </ns0:is>
      </ns0:c>
      <ns0:c r="W35" s="14" t="inlineStr">
        <ns0:is>
          <ns0:t>W24</ns0:t>
        </ns0:is>
      </ns0:c>
      <ns0:c r="X35" s="14" t="inlineStr">
        <ns0:is>
          <ns0:t>毒蚀</ns0:t>
        </ns0:is>
      </ns0:c>
      <ns0:c r="Y35" s="14" t="n">
        <ns0:v>1</ns0:v>
      </ns0:c>
      <ns0:c r="Z35" s="14" t="inlineStr">
        <ns0:is>
          <ns0:t>命中；敌方</ns0:t>
        </ns0:is>
      </ns0:c>
      <ns0:c r="AA35" s="14" t="n">
        <ns0:v>0</ns0:v>
      </ns0:c>
      <ns0:c r="AB35" s="14" t="n">
        <ns0:v>0</ns0:v>
      </ns0:c>
      <ns0:c r="AC35" s="14" t="inlineStr">
        <ns0:is>
          <ns0:t>t01.asset.0048.effect.01；t01.asset.0048.effect.02</ns0:t>
        </ns0:is>
      </ns0:c>
      <ns0:c r="AD35" s="14" t="inlineStr">
        <ns0:is>
          <ns0:t>固定元素与单状态匹配；不是运行时由状态改变元素</ns0:t>
        </ns0:is>
      </ns0:c>
    </ns0:row>
    <ns0:row r="36" ht="85" customHeight="1">
      <ns0:c r="A36" s="4" t="inlineStr">
        <ns0:is>
          <ns0:t>t01.asset.0049</ns0:t>
        </ns0:is>
      </ns0:c>
      <ns0:c r="B36" s="4" t="inlineStr">
        <ns0:is>
          <ns0:t>雷鞭</ns0:t>
        </ns0:is>
      </ns0:c>
      <ns0:c r="C36" s="4" t="inlineStr">
        <ns0:is>
          <ns0:t>凡品</ns0:t>
        </ns0:is>
      </ns0:c>
      <ns0:c r="D36" s="4" t="inlineStr">
        <ns0:is>
          <ns0:t>雷</ns0:t>
        </ns0:is>
      </ns0:c>
      <ns0:c r="E36" s="4" t="inlineStr">
        <ns0:is>
          <ns0:t>鞭</ns0:t>
        </ns0:is>
      </ns0:c>
      <ns0:c r="F36" s="4" t="inlineStr">
        <ns0:is>
          <ns0:t>钝击</ns0:t>
        </ns0:is>
      </ns0:c>
      <ns0:c r="G36" s="4" t="n">
        <ns0:v>3</ns0:v>
      </ns0:c>
      <ns0:c r="H36" s="4" t="n">
        <ns0:v>1</ns0:v>
      </ns0:c>
      <ns0:c r="I36" s="7">
        <ns0:f>G36*H36</ns0:f>
        <ns0:v>3</ns0:v>
      </ns0:c>
      <ns0:c r="J36" s="4" t="n">
        <ns0:v>15</ns0:v>
      </ns0:c>
      <ns0:c r="K36" s="4" t="n">
        <ns0:v>4.5</ns0:v>
      </ns0:c>
      <ns0:c r="L36" s="4" t="n">
        <ns0:v>4</ns0:v>
      </ns0:c>
      <ns0:c r="M36" s="4" t="n"/>
      <ns0:c r="N36" s="4" t="n"/>
      <ns0:c r="O36" s="4" t="n"/>
      <ns0:c r="P36" s="4" t="inlineStr">
        <ns0:is>
          <ns0:t>基础＋单状态</ns0:t>
        </ns0:is>
      </ns0:c>
      <ns0:c r="Q36" s="4" t="n"/>
      <ns0:c r="R36" s="4" t="inlineStr">
        <ns0:is>
          <ns0:t>不耗本体；体力为单把基础，多武器加算另查19／20表；无射程、弓不耗普通箭；雷印新层在本击伤后加入，供后续合格雷攻；无本体雷攻击的施层器具不直接引雷。</ns0:t>
        </ns0:is>
      </ns0:c>
      <ns0:c r="S36" s="4" t="inlineStr">
        <ns0:is>
          <ns0:t>01 M01/M06/M08；03 C010；04武器</ns0:t>
        </ns0:is>
      </ns0:c>
      <ns0:c r="T36" s="4" t="n"/>
      <ns0:c r="U36" s="6" t="inlineStr">
        <ns0:is>
          <ns0:t>候选数值，未试跑</ns0:t>
        </ns0:is>
      </ns0:c>
      <ns0:c r="V36" s="4" t="inlineStr">
        <ns0:is>
          <ns0:t>第1批基础；第2批微调；第3批复查；用户直接更正优先</ns0:t>
        </ns0:is>
      </ns0:c>
      <ns0:c r="W36" s="14" t="inlineStr">
        <ns0:is>
          <ns0:t>W25</ns0:t>
        </ns0:is>
      </ns0:c>
      <ns0:c r="X36" s="14" t="inlineStr">
        <ns0:is>
          <ns0:t>雷印</ns0:t>
        </ns0:is>
      </ns0:c>
      <ns0:c r="Y36" s="14" t="n">
        <ns0:v>1</ns0:v>
      </ns0:c>
      <ns0:c r="Z36" s="14" t="inlineStr">
        <ns0:is>
          <ns0:t>命中；敌方</ns0:t>
        </ns0:is>
      </ns0:c>
      <ns0:c r="AA36" s="14" t="n">
        <ns0:v>0</ns0:v>
      </ns0:c>
      <ns0:c r="AB36" s="14" t="n">
        <ns0:v>0</ns0:v>
      </ns0:c>
      <ns0:c r="AC36" s="14" t="inlineStr">
        <ns0:is>
          <ns0:t>t01.asset.0049.effect.01；t01.asset.0049.effect.02</ns0:t>
        </ns0:is>
      </ns0:c>
      <ns0:c r="AD36" s="14" t="inlineStr">
        <ns0:is>
          <ns0:t>固定元素与单状态匹配；不是运行时由状态改变元素</ns0:t>
        </ns0:is>
      </ns0:c>
    </ns0:row>
    <ns0:row r="37" ht="85" customHeight="1">
      <ns0:c r="A37" s="4" t="inlineStr">
        <ns0:is>
          <ns0:t>t01.asset.0050</ns0:t>
        </ns0:is>
      </ns0:c>
      <ns0:c r="B37" s="4" t="inlineStr">
        <ns0:is>
          <ns0:t>刺血匕</ns0:t>
        </ns0:is>
      </ns0:c>
      <ns0:c r="C37" s="4" t="inlineStr">
        <ns0:is>
          <ns0:t>凡品</ns0:t>
        </ns0:is>
      </ns0:c>
      <ns0:c r="D37" s="4" t="inlineStr">
        <ns0:is>
          <ns0:t>金</ns0:t>
        </ns0:is>
      </ns0:c>
      <ns0:c r="E37" s="4" t="inlineStr">
        <ns0:is>
          <ns0:t>短刃</ns0:t>
        </ns0:is>
      </ns0:c>
      <ns0:c r="F37" s="4" t="inlineStr">
        <ns0:is>
          <ns0:t>穿刺</ns0:t>
        </ns0:is>
      </ns0:c>
      <ns0:c r="G37" s="4" t="n">
        <ns0:v>1</ns0:v>
      </ns0:c>
      <ns0:c r="H37" s="4" t="n">
        <ns0:v>1</ns0:v>
      </ns0:c>
      <ns0:c r="I37" s="7">
        <ns0:f>G37*H37</ns0:f>
        <ns0:v>1</ns0:v>
      </ns0:c>
      <ns0:c r="J37" s="4" t="n">
        <ns0:v>8</ns0:v>
      </ns0:c>
      <ns0:c r="K37" s="4" t="n">
        <ns0:v>4.5</ns0:v>
      </ns0:c>
      <ns0:c r="L37" s="4" t="n">
        <ns0:v>2</ns0:v>
      </ns0:c>
      <ns0:c r="M37" s="4" t="n"/>
      <ns0:c r="N37" s="4" t="n"/>
      <ns0:c r="O37" s="4" t="n"/>
      <ns0:c r="P37" s="4" t="inlineStr">
        <ns0:is>
          <ns0:t>基础＋单状态</ns0:t>
        </ns0:is>
      </ns0:c>
      <ns0:c r="Q37" s="4" t="n"/>
      <ns0:c r="R37" s="4" t="inlineStr">
        <ns0:is>
          <ns0:t>不耗本体；体力为单把基础，多武器加算另查19／20表；无射程、弓不耗普通箭；本件流血须本次攻击实际伤及气血；只命中或只扣盾甲不足。</ns0:t>
        </ns0:is>
      </ns0:c>
      <ns0:c r="S37" s="4" t="inlineStr">
        <ns0:is>
          <ns0:t>01 M01/M06/M08；03 C010；04武器</ns0:t>
        </ns0:is>
      </ns0:c>
      <ns0:c r="T37" s="4" t="n"/>
      <ns0:c r="U37" s="6" t="inlineStr">
        <ns0:is>
          <ns0:t>候选数值，未试跑</ns0:t>
        </ns0:is>
      </ns0:c>
      <ns0:c r="V37" s="4" t="inlineStr">
        <ns0:is>
          <ns0:t>第1批基础；第2批微调；第3批复查；用户直接更正优先</ns0:t>
        </ns0:is>
      </ns0:c>
      <ns0:c r="W37" s="14" t="inlineStr">
        <ns0:is>
          <ns0:t>W28</ns0:t>
        </ns0:is>
      </ns0:c>
      <ns0:c r="X37" s="14" t="inlineStr">
        <ns0:is>
          <ns0:t>流血</ns0:t>
        </ns0:is>
      </ns0:c>
      <ns0:c r="Y37" s="14" t="n">
        <ns0:v>2</ns0:v>
      </ns0:c>
      <ns0:c r="Z37" s="14" t="inlineStr">
        <ns0:is>
          <ns0:t>实际伤到气血；敌方</ns0:t>
        </ns0:is>
      </ns0:c>
      <ns0:c r="AA37" s="14" t="n">
        <ns0:v>0</ns0:v>
      </ns0:c>
      <ns0:c r="AB37" s="14" t="n">
        <ns0:v>0</ns0:v>
      </ns0:c>
      <ns0:c r="AC37" s="14" t="inlineStr">
        <ns0:is>
          <ns0:t>t01.asset.0050.effect.01；t01.asset.0050.effect.02</ns0:t>
        </ns0:is>
      </ns0:c>
      <ns0:c r="AD37" s="14" t="inlineStr">
        <ns0:is>
          <ns0:t>固定元素与单状态匹配；不是运行时由状态改变元素</ns0:t>
        </ns0:is>
      </ns0:c>
    </ns0:row>
    <ns0:row r="38" ht="85" customHeight="1">
      <ns0:c r="A38" s="4" t="inlineStr">
        <ns0:is>
          <ns0:t>t01.asset.0051</ns0:t>
        </ns0:is>
      </ns0:c>
      <ns0:c r="B38" s="4" t="inlineStr">
        <ns0:is>
          <ns0:t>震骨锤</ns0:t>
        </ns0:is>
      </ns0:c>
      <ns0:c r="C38" s="4" t="inlineStr">
        <ns0:is>
          <ns0:t>凡品</ns0:t>
        </ns0:is>
      </ns0:c>
      <ns0:c r="D38" s="4" t="inlineStr">
        <ns0:is>
          <ns0:t>土</ns0:t>
        </ns0:is>
      </ns0:c>
      <ns0:c r="E38" s="4" t="inlineStr">
        <ns0:is>
          <ns0:t>锤</ns0:t>
        </ns0:is>
      </ns0:c>
      <ns0:c r="F38" s="4" t="inlineStr">
        <ns0:is>
          <ns0:t>钝击</ns0:t>
        </ns0:is>
      </ns0:c>
      <ns0:c r="G38" s="4" t="n">
        <ns0:v>1</ns0:v>
      </ns0:c>
      <ns0:c r="H38" s="4" t="n">
        <ns0:v>2</ns0:v>
      </ns0:c>
      <ns0:c r="I38" s="7">
        <ns0:f>G38*H38</ns0:f>
        <ns0:v>2</ns0:v>
      </ns0:c>
      <ns0:c r="J38" s="4" t="n">
        <ns0:v>32</ns0:v>
      </ns0:c>
      <ns0:c r="K38" s="4" t="n">
        <ns0:v>9</ns0:v>
      </ns0:c>
      <ns0:c r="L38" s="4" t="n">
        <ns0:v>7</ns0:v>
      </ns0:c>
      <ns0:c r="M38" s="4" t="n"/>
      <ns0:c r="N38" s="4" t="n"/>
      <ns0:c r="O38" s="4" t="n"/>
      <ns0:c r="P38" s="4" t="inlineStr">
        <ns0:is>
          <ns0:t>基础＋单状态</ns0:t>
        </ns0:is>
      </ns0:c>
      <ns0:c r="Q38" s="4" t="n"/>
      <ns0:c r="R38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8" s="4" t="inlineStr">
        <ns0:is>
          <ns0:t>01 M01/M06/M08；03 C010；04武器</ns0:t>
        </ns0:is>
      </ns0:c>
      <ns0:c r="T38" s="4" t="n"/>
      <ns0:c r="U38" s="6" t="inlineStr">
        <ns0:is>
          <ns0:t>候选数值，未试跑</ns0:t>
        </ns0:is>
      </ns0:c>
      <ns0:c r="V38" s="4" t="inlineStr">
        <ns0:is>
          <ns0:t>第1批基础；第2批微调；第3批复查；用户直接更正优先</ns0:t>
        </ns0:is>
      </ns0:c>
      <ns0:c r="W38" s="14" t="inlineStr">
        <ns0:is>
          <ns0:t>W30</ns0:t>
        </ns0:is>
      </ns0:c>
      <ns0:c r="X38" s="14" t="inlineStr">
        <ns0:is>
          <ns0:t>重伤</ns0:t>
        </ns0:is>
      </ns0:c>
      <ns0:c r="Y38" s="14" t="n">
        <ns0:v>2</ns0:v>
      </ns0:c>
      <ns0:c r="Z38" s="14" t="inlineStr">
        <ns0:is>
          <ns0:t>命中；敌方</ns0:t>
        </ns0:is>
      </ns0:c>
      <ns0:c r="AA38" s="14" t="n">
        <ns0:v>0</ns0:v>
      </ns0:c>
      <ns0:c r="AB38" s="14" t="n">
        <ns0:v>0</ns0:v>
      </ns0:c>
      <ns0:c r="AC38" s="14" t="inlineStr">
        <ns0:is>
          <ns0:t>t01.asset.0051.effect.01；t01.asset.0051.effect.02</ns0:t>
        </ns0:is>
      </ns0:c>
      <ns0:c r="AD38" s="14" t="inlineStr">
        <ns0:is>
          <ns0:t>固定元素与单状态匹配；不是运行时由状态改变元素</ns0:t>
        </ns0:is>
      </ns0:c>
    </ns0:row>
    <ns0:row r="39" ht="85" customHeight="1">
      <ns0:c r="A39" s="4" t="inlineStr">
        <ns0:is>
          <ns0:t>t01.asset.0052</ns0:t>
        </ns0:is>
      </ns0:c>
      <ns0:c r="B39" s="4" t="inlineStr">
        <ns0:is>
          <ns0:t>清风印</ns0:t>
        </ns0:is>
      </ns0:c>
      <ns0:c r="C39" s="4" t="inlineStr">
        <ns0:is>
          <ns0:t>凡品</ns0:t>
        </ns0:is>
      </ns0:c>
      <ns0:c r="D39" s="4" t="inlineStr">
        <ns0:is>
          <ns0:t>风</ns0:t>
        </ns0:is>
      </ns0:c>
      <ns0:c r="E39" s="4" t="inlineStr">
        <ns0:is>
          <ns0:t>印</ns0:t>
        </ns0:is>
      </ns0:c>
      <ns0:c r="F39" s="4" t="inlineStr">
        <ns0:is>
          <ns0:t>钝击</ns0:t>
        </ns0:is>
      </ns0:c>
      <ns0:c r="G39" s="4" t="n">
        <ns0:v>1</ns0:v>
      </ns0:c>
      <ns0:c r="H39" s="4" t="n">
        <ns0:v>1</ns0:v>
      </ns0:c>
      <ns0:c r="I39" s="7">
        <ns0:f>G39*H39</ns0:f>
        <ns0:v>1</ns0:v>
      </ns0:c>
      <ns0:c r="J39" s="4" t="n">
        <ns0:v>13</ns0:v>
      </ns0:c>
      <ns0:c r="K39" s="4" t="n">
        <ns0:v>7</ns0:v>
      </ns0:c>
      <ns0:c r="L39" s="4" t="n">
        <ns0:v>3</ns0:v>
      </ns0:c>
      <ns0:c r="M39" s="4" t="n"/>
      <ns0:c r="N39" s="4" t="n"/>
      <ns0:c r="O39" s="4" t="n"/>
      <ns0:c r="P39" s="4" t="inlineStr">
        <ns0:is>
          <ns0:t>基础＋单状态</ns0:t>
        </ns0:is>
      </ns0:c>
      <ns0:c r="Q39" s="4" t="n"/>
      <ns0:c r="R39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9" s="4" t="inlineStr">
        <ns0:is>
          <ns0:t>01 M01/M06/M08；03 C010；04武器</ns0:t>
        </ns0:is>
      </ns0:c>
      <ns0:c r="T39" s="4" t="n"/>
      <ns0:c r="U39" s="6" t="inlineStr">
        <ns0:is>
          <ns0:t>候选数值，未试跑</ns0:t>
        </ns0:is>
      </ns0:c>
      <ns0:c r="V39" s="4" t="inlineStr">
        <ns0:is>
          <ns0:t>第1批基础；第2批微调；第3批复查；用户直接更正优先</ns0:t>
        </ns0:is>
      </ns0:c>
      <ns0:c r="W39" s="14" t="inlineStr">
        <ns0:is>
          <ns0:t>W31</ns0:t>
        </ns0:is>
      </ns0:c>
      <ns0:c r="X39" s="14" t="inlineStr">
        <ns0:is>
          <ns0:t>驱散</ns0:t>
        </ns0:is>
      </ns0:c>
      <ns0:c r="Y39" s="14" t="n">
        <ns0:v>1</ns0:v>
      </ns0:c>
      <ns0:c r="Z39" s="14" t="inlineStr">
        <ns0:is>
          <ns0:t>命中；敌方</ns0:t>
        </ns0:is>
      </ns0:c>
      <ns0:c r="AA39" s="14" t="n">
        <ns0:v>0</ns0:v>
      </ns0:c>
      <ns0:c r="AB39" s="14" t="n">
        <ns0:v>0</ns0:v>
      </ns0:c>
      <ns0:c r="AC39" s="14" t="inlineStr">
        <ns0:is>
          <ns0:t>t01.asset.0052.effect.01；t01.asset.0052.effect.02</ns0:t>
        </ns0:is>
      </ns0:c>
      <ns0:c r="AD39" s="14" t="inlineStr">
        <ns0:is>
          <ns0:t>固定元素与单状态匹配；不是运行时由状态改变元素</ns0:t>
        </ns0:is>
      </ns0:c>
    </ns0:row>
    <ns0:row r="40" ht="85" customHeight="1">
      <ns0:c r="A40" s="4" t="inlineStr">
        <ns0:is>
          <ns0:t>t01.asset.0053</ns0:t>
        </ns0:is>
      </ns0:c>
      <ns0:c r="B40" s="4" t="inlineStr">
        <ns0:is>
          <ns0:t>荆鞭</ns0:t>
        </ns0:is>
      </ns0:c>
      <ns0:c r="C40" s="4" t="inlineStr">
        <ns0:is>
          <ns0:t>凡品</ns0:t>
        </ns0:is>
      </ns0:c>
      <ns0:c r="D40" s="4" t="inlineStr">
        <ns0:is>
          <ns0:t>木</ns0:t>
        </ns0:is>
      </ns0:c>
      <ns0:c r="E40" s="4" t="inlineStr">
        <ns0:is>
          <ns0:t>鞭</ns0:t>
        </ns0:is>
      </ns0:c>
      <ns0:c r="F40" s="4" t="inlineStr">
        <ns0:is>
          <ns0:t>钝击</ns0:t>
        </ns0:is>
      </ns0:c>
      <ns0:c r="G40" s="4" t="n">
        <ns0:v>3</ns0:v>
      </ns0:c>
      <ns0:c r="H40" s="4" t="n">
        <ns0:v>1</ns0:v>
      </ns0:c>
      <ns0:c r="I40" s="7">
        <ns0:f>G40*H40</ns0:f>
        <ns0:v>3</ns0:v>
      </ns0:c>
      <ns0:c r="J40" s="4" t="n">
        <ns0:v>16</ns0:v>
      </ns0:c>
      <ns0:c r="K40" s="4" t="n">
        <ns0:v>4.5</ns0:v>
      </ns0:c>
      <ns0:c r="L40" s="4" t="n">
        <ns0:v>3</ns0:v>
      </ns0:c>
      <ns0:c r="M40" s="4" t="n"/>
      <ns0:c r="N40" s="4" t="n"/>
      <ns0:c r="O40" s="4" t="n"/>
      <ns0:c r="P40" s="4" t="inlineStr">
        <ns0:is>
          <ns0:t>基础＋单状态</ns0:t>
        </ns0:is>
      </ns0:c>
      <ns0:c r="Q40" s="4" t="n"/>
      <ns0:c r="R40" s="4" t="inlineStr">
        <ns0:is>
          <ns0:t>不耗本体；体力为单把基础，多武器加算另查19／20表；无射程、弓不耗普通箭；缠绕由后续合格火、雷伤害利用；木攻击本身不因此获得火雷增幅。</ns0:t>
        </ns0:is>
      </ns0:c>
      <ns0:c r="S40" s="4" t="inlineStr">
        <ns0:is>
          <ns0:t>01 M01/M06/M08；03 C010；04武器</ns0:t>
        </ns0:is>
      </ns0:c>
      <ns0:c r="T40" s="4" t="n"/>
      <ns0:c r="U40" s="6" t="inlineStr">
        <ns0:is>
          <ns0:t>候选数值，未试跑</ns0:t>
        </ns0:is>
      </ns0:c>
      <ns0:c r="V40" s="4" t="inlineStr">
        <ns0:is>
          <ns0:t>第1批基础；第2批微调；第3批复查；用户直接更正优先</ns0:t>
        </ns0:is>
      </ns0:c>
      <ns0:c r="W40" s="14" t="inlineStr">
        <ns0:is>
          <ns0:t>W32</ns0:t>
        </ns0:is>
      </ns0:c>
      <ns0:c r="X40" s="14" t="inlineStr">
        <ns0:is>
          <ns0:t>缠绕</ns0:t>
        </ns0:is>
      </ns0:c>
      <ns0:c r="Y40" s="14" t="n">
        <ns0:v>1</ns0:v>
      </ns0:c>
      <ns0:c r="Z40" s="14" t="inlineStr">
        <ns0:is>
          <ns0:t>命中；敌方</ns0:t>
        </ns0:is>
      </ns0:c>
      <ns0:c r="AA40" s="14" t="n">
        <ns0:v>0</ns0:v>
      </ns0:c>
      <ns0:c r="AB40" s="14" t="n">
        <ns0:v>0</ns0:v>
      </ns0:c>
      <ns0:c r="AC40" s="14" t="inlineStr">
        <ns0:is>
          <ns0:t>t01.asset.0053.effect.01；t01.asset.0053.effect.02</ns0:t>
        </ns0:is>
      </ns0:c>
      <ns0:c r="AD40" s="14" t="inlineStr">
        <ns0:is>
          <ns0:t>固定元素与单状态匹配；不是运行时由状态改变元素</ns0:t>
        </ns0:is>
      </ns0:c>
    </ns0:row>
    <ns0:row r="41" ht="85" customHeight="1">
      <ns0:c r="A41" s="4" t="inlineStr">
        <ns0:is>
          <ns0:t>t01.asset.0054</ns0:t>
        </ns0:is>
      </ns0:c>
      <ns0:c r="B41" s="4" t="inlineStr">
        <ns0:is>
          <ns0:t>赤焰枪</ns0:t>
        </ns0:is>
      </ns0:c>
      <ns0:c r="C41" s="4" t="inlineStr">
        <ns0:is>
          <ns0:t>凡品</ns0:t>
        </ns0:is>
      </ns0:c>
      <ns0:c r="D41" s="4" t="inlineStr">
        <ns0:is>
          <ns0:t>火</ns0:t>
        </ns0:is>
      </ns0:c>
      <ns0:c r="E41" s="4" t="inlineStr">
        <ns0:is>
          <ns0:t>枪</ns0:t>
        </ns0:is>
      </ns0:c>
      <ns0:c r="F41" s="4" t="inlineStr">
        <ns0:is>
          <ns0:t>穿刺</ns0:t>
        </ns0:is>
      </ns0:c>
      <ns0:c r="G41" s="4" t="n">
        <ns0:v>3</ns0:v>
      </ns0:c>
      <ns0:c r="H41" s="4" t="n">
        <ns0:v>1</ns0:v>
      </ns0:c>
      <ns0:c r="I41" s="7">
        <ns0:f>G41*H41</ns0:f>
        <ns0:v>3</ns0:v>
      </ns0:c>
      <ns0:c r="J41" s="4" t="n">
        <ns0:v>36</ns0:v>
      </ns0:c>
      <ns0:c r="K41" s="4" t="n">
        <ns0:v>9</ns0:v>
      </ns0:c>
      <ns0:c r="L41" s="4" t="n">
        <ns0:v>8</ns0:v>
      </ns0:c>
      <ns0:c r="M41" s="4" t="n"/>
      <ns0:c r="N41" s="4" t="n"/>
      <ns0:c r="O41" s="4" t="n"/>
      <ns0:c r="P41" s="4" t="inlineStr">
        <ns0:is>
          <ns0:t>基础＋单状态</ns0:t>
        </ns0:is>
      </ns0:c>
      <ns0:c r="Q41" s="4" t="n"/>
      <ns0:c r="R41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41" s="4" t="inlineStr">
        <ns0:is>
          <ns0:t>01 M01/M06/M08；03 C010；04武器</ns0:t>
        </ns0:is>
      </ns0:c>
      <ns0:c r="T41" s="4" t="n"/>
      <ns0:c r="U41" s="6" t="inlineStr">
        <ns0:is>
          <ns0:t>候选数值，未试跑</ns0:t>
        </ns0:is>
      </ns0:c>
      <ns0:c r="V41" s="4" t="inlineStr">
        <ns0:is>
          <ns0:t>第1批基础；第2批微调；第3批复查；用户直接更正优先</ns0:t>
        </ns0:is>
      </ns0:c>
      <ns0:c r="W41" s="14" t="inlineStr">
        <ns0:is>
          <ns0:t>W33</ns0:t>
        </ns0:is>
      </ns0:c>
      <ns0:c r="X41" s="14" t="inlineStr">
        <ns0:is>
          <ns0:t>灼烧</ns0:t>
        </ns0:is>
      </ns0:c>
      <ns0:c r="Y41" s="14" t="n">
        <ns0:v>2</ns0:v>
      </ns0:c>
      <ns0:c r="Z41" s="14" t="inlineStr">
        <ns0:is>
          <ns0:t>命中；敌方</ns0:t>
        </ns0:is>
      </ns0:c>
      <ns0:c r="AA41" s="14" t="n">
        <ns0:v>0</ns0:v>
      </ns0:c>
      <ns0:c r="AB41" s="14" t="n">
        <ns0:v>0</ns0:v>
      </ns0:c>
      <ns0:c r="AC41" s="14" t="inlineStr">
        <ns0:is>
          <ns0:t>t01.asset.0054.effect.01；t01.asset.0054.effect.02</ns0:t>
        </ns0:is>
      </ns0:c>
      <ns0:c r="AD41" s="14" t="inlineStr">
        <ns0:is>
          <ns0:t>固定元素与单状态匹配；不是运行时由状态改变元素</ns0:t>
        </ns0:is>
      </ns0:c>
    </ns0:row>
  </ns0:sheetData>
  <ns0:mergeCells count="2">
    <ns0:mergeCell ref="A2:AD2"/>
    <ns0:mergeCell ref="A1:AD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AC41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1" customWidth="1" min="3" max="3"/>
    <ns0:col width="12" customWidth="1" min="4" max="4"/>
    <ns0:col width="16" customWidth="1" min="5" max="5"/>
    <ns0:col width="13" customWidth="1" min="6" max="6"/>
    <ns0:col width="9" customWidth="1" min="7" max="7"/>
    <ns0:col width="9" customWidth="1" min="8" max="8"/>
    <ns0:col width="12" customWidth="1" min="9" max="9"/>
    <ns0:col width="12" customWidth="1" min="10" max="10"/>
    <ns0:col width="17" customWidth="1" min="11" max="11"/>
    <ns0:col width="14" customWidth="1" min="12" max="12"/>
    <ns0:col width="18" customWidth="1" min="13" max="13"/>
    <ns0:col width="17" customWidth="1" min="14" max="14"/>
    <ns0:col width="18" customWidth="1" min="15" max="15"/>
    <ns0:col width="36" customWidth="1" min="16" max="16"/>
    <ns0:col width="18" customWidth="1" min="17" max="17"/>
    <ns0:col width="44" customWidth="1" min="18" max="18"/>
    <ns0:col width="40" customWidth="1" min="19" max="19"/>
    <ns0:col width="46" customWidth="1" min="20" max="20"/>
    <ns0:col width="45" customWidth="1" min="21" max="21"/>
    <ns0:col width="18" customWidth="1" min="22" max="22"/>
    <ns0:col width="12" customWidth="1" min="23" max="23"/>
    <ns0:col width="13" customWidth="1" min="24" max="24"/>
    <ns0:col width="10" customWidth="1" min="25" max="25"/>
    <ns0:col width="20" customWidth="1" min="26" max="26"/>
    <ns0:col width="19" customWidth="1" min="27" max="27"/>
    <ns0:col width="17" customWidth="1" min="28" max="28"/>
    <ns0:col width="43" customWidth="1" min="29" max="29"/>
  </ns0:cols>
  <ns0:sheetData>
    <ns0:row r="1" ht="32" customHeight="1">
      <ns0:c r="A1" s="1" t="inlineStr">
        <ns0:is>
          <ns0:t>t01-08｜防具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部位</ns0:t>
        </ns0:is>
      </ns0:c>
      <ns0:c r="F5" s="3" t="inlineStr">
        <ns0:is>
          <ns0:t>甲型</ns0:t>
        </ns0:is>
      </ns0:c>
      <ns0:c r="G5" s="3" t="inlineStr">
        <ns0:is>
          <ns0:t>宽_格</ns0:t>
        </ns0:is>
      </ns0:c>
      <ns0:c r="H5" s="3" t="inlineStr">
        <ns0:is>
          <ns0:t>高_格</ns0:t>
        </ns0:is>
      </ns0:c>
      <ns0:c r="I5" s="3" t="inlineStr">
        <ns0:is>
          <ns0:t>实际占格</ns0:t>
        </ns0:is>
      </ns0:c>
      <ns0:c r="J5" s="3" t="inlineStr">
        <ns0:is>
          <ns0:t>CD_秒</ns0:t>
        </ns0:is>
      </ns0:c>
      <ns0:c r="K5" s="3" t="inlineStr">
        <ns0:is>
          <ns0:t>护甲上限贡献</ns0:t>
        </ns0:is>
      </ns0:c>
      <ns0:c r="L5" s="3" t="inlineStr">
        <ns0:is>
          <ns0:t>单次回甲</ns0:t>
        </ns0:is>
      </ns0:c>
      <ns0:c r="M5" s="3" t="inlineStr">
        <ns0:is>
          <ns0:t>名义回甲每秒</ns0:t>
        </ns0:is>
      </ns0:c>
      <ns0:c r="N5" s="3" t="inlineStr">
        <ns0:is>
          <ns0:t>甲型权重倍率</ns0:t>
        </ns0:is>
      </ns0:c>
      <ns0:c r="O5" s="3" t="inlineStr">
        <ns0:is>
          <ns0:t>甲型统计权重</ns0:t>
        </ns0:is>
      </ns0:c>
      <ns0:c r="P5" s="3" t="inlineStr">
        <ns0:is>
          <ns0:t>上阵部位限制</ns0:t>
        </ns0:is>
      </ns0:c>
      <ns0:c r="Q5" s="3" t="inlineStr">
        <ns0:is>
          <ns0:t>基础联动</ns0:t>
        </ns0:is>
      </ns0:c>
      <ns0:c r="R5" s="3" t="inlineStr">
        <ns0:is>
          <ns0:t>费用／数量</ns0:t>
        </ns0:is>
      </ns0:c>
      <ns0:c r="S5" s="3" t="inlineStr">
        <ns0:is>
          <ns0:t>机制引用</ns0:t>
        </ns0:is>
      </ns0:c>
      <ns0:c r="T5" s="3" t="inlineStr">
        <ns0:is>
          <ns0:t>现有游戏ID</ns0:t>
        </ns0:is>
      </ns0:c>
      <ns0:c r="U5" s="3" t="inlineStr">
        <ns0:is>
          <ns0:t>设计状态</ns0:t>
        </ns0:is>
      </ns0:c>
      <ns0:c r="V5" s="3" t="inlineStr">
        <ns0:is>
          <ns0:t>来源</ns0:t>
        </ns0:is>
      </ns0:c>
      <ns0:c r="W5" s="13" t="inlineStr">
        <ns0:is>
          <ns0:t>来源编号</ns0:t>
        </ns0:is>
      </ns0:c>
      <ns0:c r="X5" s="13" t="inlineStr">
        <ns0:is>
          <ns0:t>状态</ns0:t>
        </ns0:is>
      </ns0:c>
      <ns0:c r="Y5" s="13" t="inlineStr">
        <ns0:is>
          <ns0:t>层数</ns0:t>
        </ns0:is>
      </ns0:c>
      <ns0:c r="Z5" s="13" t="inlineStr">
        <ns0:is>
          <ns0:t>状态触发</ns0:t>
        </ns0:is>
      </ns0:c>
      <ns0:c r="AA5" s="13" t="inlineStr">
        <ns0:is>
          <ns0:t>受击状态独立CD_秒</ns0:t>
        </ns0:is>
      </ns0:c>
      <ns0:c r="AB5" s="13" t="inlineStr">
        <ns0:is>
          <ns0:t>防御元素权重</ns0:t>
        </ns0:is>
      </ns0:c>
      <ns0:c r="AC5" s="13" t="inlineStr">
        <ns0:is>
          <ns0:t>效果引用</ns0:t>
        </ns0:is>
      </ns0:c>
    </ns0:row>
    <ns0:row r="6" ht="42" customHeight="1">
      <ns0:c r="A6" s="4" t="inlineStr">
        <ns0:is>
          <ns0:t>t01.asset.0010</ns0:t>
        </ns0:is>
      </ns0:c>
      <ns0:c r="B6" s="4" t="inlineStr">
        <ns0:is>
          <ns0:t>粗布甲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身甲</ns0:t>
        </ns0:is>
      </ns0:c>
      <ns0:c r="F6" s="4" t="inlineStr">
        <ns0:is>
          <ns0:t>轻甲</ns0:t>
        </ns0:is>
      </ns0:c>
      <ns0:c r="G6" s="4" t="n">
        <ns0:v>1</ns0:v>
      </ns0:c>
      <ns0:c r="H6" s="4" t="n">
        <ns0:v>2</ns0:v>
      </ns0:c>
      <ns0:c r="I6" s="7">
        <ns0:f>G6*H6</ns0:f>
        <ns0:v>2</ns0:v>
      </ns0:c>
      <ns0:c r="J6" s="4" t="n">
        <ns0:v>4</ns0:v>
      </ns0:c>
      <ns0:c r="K6" s="4" t="n">
        <ns0:v>7</ns0:v>
      </ns0:c>
      <ns0:c r="L6" s="4" t="n">
        <ns0:v>3</ns0:v>
      </ns0:c>
      <ns0:c r="M6" s="7">
        <ns0:f>L6/J6</ns0:f>
        <ns0:v>0.75</ns0:v>
      </ns0:c>
      <ns0:c r="N6" s="4" t="n">
        <ns0:v>2</ns0:v>
      </ns0:c>
      <ns0:c r="O6" s="7">
        <ns0:f>I6*N6</ns0:f>
        <ns0:v>4</ns0:v>
      </ns0:c>
      <ns0:c r="P6" s="4" t="inlineStr">
        <ns0:is>
          <ns0:t>同一部位最多1件；护臂／护腿分别计限（Q03）</ns0:t>
        </ns0:is>
      </ns0:c>
      <ns0:c r="Q6" s="4" t="inlineStr">
        <ns0:is>
          <ns0:t>布甲联动</ns0:t>
        </ns0:is>
      </ns0:c>
      <ns0:c r="R6" s="4" t="inlineStr">
        <ns0:is>
          <ns0:t>零体力沿用防具基线；数量不消耗</ns0:t>
        </ns0:is>
      </ns0:c>
      <ns0:c r="S6" s="4" t="inlineStr">
        <ns0:is>
          <ns0:t>01 C01/I11；04防具；06 Link</ns0:t>
        </ns0:is>
      </ns0:c>
      <ns0:c r="T6" s="4" t="inlineStr">
        <ns0:is>
          <ns0:t>base.map_item.coarse_cloth_armor</ns0:t>
        </ns0:is>
      </ns0:c>
      <ns0:c r="U6" s="6" t="inlineStr">
        <ns0:is>
          <ns0:t>保留资料已有值；甲型加权Q02已确认</ns0:t>
        </ns0:is>
      </ns0:c>
      <ns0:c r="V6" s="4" t="inlineStr">
        <ns0:is>
          <ns0:t>B2/C；U</ns0:t>
        </ns0:is>
      </ns0:c>
      <ns0:c r="AB6">
        <ns0:f>O6</ns0:f>
        <ns0:v>4</ns0:v>
      </ns0:c>
    </ns0:row>
    <ns0:row r="7" ht="42" customHeight="1">
      <ns0:c r="A7" s="5" t="inlineStr">
        <ns0:is>
          <ns0:t>t01.asset.0011</ns0:t>
        </ns0:is>
      </ns0:c>
      <ns0:c r="B7" s="5" t="inlineStr">
        <ns0:is>
          <ns0:t>铁甲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身甲</ns0:t>
        </ns0:is>
      </ns0:c>
      <ns0:c r="F7" s="5" t="inlineStr">
        <ns0:is>
          <ns0:t>重甲</ns0:t>
        </ns0:is>
      </ns0:c>
      <ns0:c r="G7" s="5" t="n">
        <ns0:v>1</ns0:v>
      </ns0:c>
      <ns0:c r="H7" s="5" t="n">
        <ns0:v>2</ns0:v>
      </ns0:c>
      <ns0:c r="I7" s="9">
        <ns0:f>G7*H7</ns0:f>
        <ns0:v>2</ns0:v>
      </ns0:c>
      <ns0:c r="J7" s="5" t="n">
        <ns0:v>6</ns0:v>
      </ns0:c>
      <ns0:c r="K7" s="5" t="n">
        <ns0:v>10</ns0:v>
      </ns0:c>
      <ns0:c r="L7" s="5" t="n">
        <ns0:v>4</ns0:v>
      </ns0:c>
      <ns0:c r="M7" s="9">
        <ns0:f>L7/J7</ns0:f>
        <ns0:v>0.6666666666666666</ns0:v>
      </ns0:c>
      <ns0:c r="N7" s="5" t="n">
        <ns0:v>2</ns0:v>
      </ns0:c>
      <ns0:c r="O7" s="9">
        <ns0:f>I7*N7</ns0:f>
        <ns0:v>4</ns0:v>
      </ns0:c>
      <ns0:c r="P7" s="5" t="inlineStr">
        <ns0:is>
          <ns0:t>同一部位最多1件；护臂／护腿分别计限（Q03）</ns0:t>
        </ns0:is>
      </ns0:c>
      <ns0:c r="Q7" s="5" t="inlineStr">
        <ns0:is>
          <ns0:t>铁甲联动</ns0:t>
        </ns0:is>
      </ns0:c>
      <ns0:c r="R7" s="5" t="inlineStr">
        <ns0:is>
          <ns0:t>零体力沿用防具基线；数量不消耗</ns0:t>
        </ns0:is>
      </ns0:c>
      <ns0:c r="S7" s="5" t="inlineStr">
        <ns0:is>
          <ns0:t>01 C01/I11；04防具；06 Link</ns0:t>
        </ns0:is>
      </ns0:c>
      <ns0:c r="T7" s="5" t="inlineStr">
        <ns0:is>
          <ns0:t>未配置</ns0:t>
        </ns0:is>
      </ns0:c>
      <ns0:c r="U7" s="6" t="inlineStr">
        <ns0:is>
          <ns0:t>新增试玩候选；本体6秒；甲型加权Q02已确认</ns0:t>
        </ns0:is>
      </ns0:c>
      <ns0:c r="V7" s="5" t="inlineStr">
        <ns0:is>
          <ns0:t>B2/C；U</ns0:t>
        </ns0:is>
      </ns0:c>
      <ns0:c r="AB7">
        <ns0:f>O7</ns0:f>
        <ns0:v>4</ns0:v>
      </ns0:c>
    </ns0:row>
    <ns0:row r="8" ht="42" customHeight="1">
      <ns0:c r="A8" s="4" t="inlineStr">
        <ns0:is>
          <ns0:t>t01.asset.0012</ns0:t>
        </ns0:is>
      </ns0:c>
      <ns0:c r="B8" s="4" t="inlineStr">
        <ns0:is>
          <ns0:t>旧铁盔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头具</ns0:t>
        </ns0:is>
      </ns0:c>
      <ns0:c r="F8" s="4" t="inlineStr">
        <ns0:is>
          <ns0:t>重甲</ns0:t>
        </ns0:is>
      </ns0:c>
      <ns0:c r="G8" s="4" t="n">
        <ns0:v>1</ns0:v>
      </ns0:c>
      <ns0:c r="H8" s="4" t="n">
        <ns0:v>1</ns0:v>
      </ns0:c>
      <ns0:c r="I8" s="7">
        <ns0:f>G8*H8</ns0:f>
        <ns0:v>1</ns0:v>
      </ns0:c>
      <ns0:c r="J8" s="4" t="n">
        <ns0:v>5</ns0:v>
      </ns0:c>
      <ns0:c r="K8" s="4" t="n">
        <ns0:v>2</ns0:v>
      </ns0:c>
      <ns0:c r="L8" s="4" t="n">
        <ns0:v>1</ns0:v>
      </ns0:c>
      <ns0:c r="M8" s="7">
        <ns0:f>L8/J8</ns0:f>
        <ns0:v>0.2</ns0:v>
      </ns0:c>
      <ns0:c r="N8" s="4" t="n">
        <ns0:v>1</ns0:v>
      </ns0:c>
      <ns0:c r="O8" s="7">
        <ns0:f>I8*N8</ns0:f>
        <ns0:v>1</ns0:v>
      </ns0:c>
      <ns0:c r="P8" s="4" t="inlineStr">
        <ns0:is>
          <ns0:t>同一部位最多1件；护臂／护腿分别计限（Q03）</ns0:t>
        </ns0:is>
      </ns0:c>
      <ns0:c r="Q8" s="4" t="inlineStr">
        <ns0:is>
          <ns0:t>无</ns0:t>
        </ns0:is>
      </ns0:c>
      <ns0:c r="R8" s="4" t="inlineStr">
        <ns0:is>
          <ns0:t>零体力沿用防具基线；数量不消耗</ns0:t>
        </ns0:is>
      </ns0:c>
      <ns0:c r="S8" s="4" t="inlineStr">
        <ns0:is>
          <ns0:t>01 C01/I11；04防具；06 Link</ns0:t>
        </ns0:is>
      </ns0:c>
      <ns0:c r="T8" s="4" t="inlineStr">
        <ns0:is>
          <ns0:t>base.map_item.old_iron_helmet</ns0:t>
        </ns0:is>
      </ns0:c>
      <ns0:c r="U8" s="6" t="inlineStr">
        <ns0:is>
          <ns0:t>保留资料已有值；补甲型；甲型加权Q02已确认</ns0:t>
        </ns0:is>
      </ns0:c>
      <ns0:c r="V8" s="4" t="inlineStr">
        <ns0:is>
          <ns0:t>B2/C；U</ns0:t>
        </ns0:is>
      </ns0:c>
      <ns0:c r="AB8">
        <ns0:f>O8</ns0:f>
        <ns0:v>1</ns0:v>
      </ns0:c>
    </ns0:row>
    <ns0:row r="9" ht="42" customHeight="1">
      <ns0:c r="A9" s="5" t="inlineStr">
        <ns0:is>
          <ns0:t>t01.asset.0013</ns0:t>
        </ns0:is>
      </ns0:c>
      <ns0:c r="B9" s="5" t="inlineStr">
        <ns0:is>
          <ns0:t>木圆盾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盾</ns0:t>
        </ns0:is>
      </ns0:c>
      <ns0:c r="F9" s="5" t="inlineStr">
        <ns0:is>
          <ns0:t>轻甲</ns0:t>
        </ns0:is>
      </ns0:c>
      <ns0:c r="G9" s="5" t="n">
        <ns0:v>1</ns0:v>
      </ns0:c>
      <ns0:c r="H9" s="5" t="n">
        <ns0:v>2</ns0:v>
      </ns0:c>
      <ns0:c r="I9" s="9">
        <ns0:f>G9*H9</ns0:f>
        <ns0:v>2</ns0:v>
      </ns0:c>
      <ns0:c r="J9" s="5" t="n">
        <ns0:v>5</ns0:v>
      </ns0:c>
      <ns0:c r="K9" s="5" t="n">
        <ns0:v>2</ns0:v>
      </ns0:c>
      <ns0:c r="L9" s="5" t="n">
        <ns0:v>3</ns0:v>
      </ns0:c>
      <ns0:c r="M9" s="9">
        <ns0:f>L9/J9</ns0:f>
        <ns0:v>0.6</ns0:v>
      </ns0:c>
      <ns0:c r="N9" s="5" t="n">
        <ns0:v>1</ns0:v>
      </ns0:c>
      <ns0:c r="O9" s="9">
        <ns0:f>I9*N9</ns0:f>
        <ns0:v>2</ns0:v>
      </ns0:c>
      <ns0:c r="P9" s="5" t="inlineStr">
        <ns0:is>
          <ns0:t>可多件上阵，仅受阵盘空间限制（Q03）</ns0:t>
        </ns0:is>
      </ns0:c>
      <ns0:c r="Q9" s="5" t="inlineStr">
        <ns0:is>
          <ns0:t>无</ns0:t>
        </ns0:is>
      </ns0:c>
      <ns0:c r="R9" s="5" t="inlineStr">
        <ns0:is>
          <ns0:t>零体力沿用防具基线；数量不消耗</ns0:t>
        </ns0:is>
      </ns0:c>
      <ns0:c r="S9" s="5" t="inlineStr">
        <ns0:is>
          <ns0:t>01 C01/I11；04防具；06 Link</ns0:t>
        </ns0:is>
      </ns0:c>
      <ns0:c r="T9" s="5" t="inlineStr">
        <ns0:is>
          <ns0:t>base.map_item.round_wood_shield</ns0:t>
        </ns0:is>
      </ns0:c>
      <ns0:c r="U9" s="6" t="inlineStr">
        <ns0:is>
          <ns0:t>保留资料已有值；补甲型；甲型加权Q02已确认</ns0:t>
        </ns0:is>
      </ns0:c>
      <ns0:c r="V9" s="5" t="inlineStr">
        <ns0:is>
          <ns0:t>B2/C；U</ns0:t>
        </ns0:is>
      </ns0:c>
      <ns0:c r="AB9">
        <ns0:f>O9</ns0:f>
        <ns0:v>2</ns0:v>
      </ns0:c>
    </ns0:row>
    <ns0:row r="10" ht="42" customHeight="1">
      <ns0:c r="A10" s="4" t="inlineStr">
        <ns0:is>
          <ns0:t>t01.asset.0014</ns0:t>
        </ns0:is>
      </ns0:c>
      <ns0:c r="B10" s="4" t="inlineStr">
        <ns0:is>
          <ns0:t>布护臂</ns0:t>
        </ns0:is>
      </ns0:c>
      <ns0:c r="C10" s="4" t="inlineStr">
        <ns0:is>
          <ns0:t>下品</ns0:t>
        </ns0:is>
      </ns0:c>
      <ns0:c r="D10" s="4" t="inlineStr">
        <ns0:is>
          <ns0:t>NONE</ns0:t>
        </ns0:is>
      </ns0:c>
      <ns0:c r="E10" s="4" t="inlineStr">
        <ns0:is>
          <ns0:t>护具·臂</ns0:t>
        </ns0:is>
      </ns0:c>
      <ns0:c r="F10" s="4" t="inlineStr">
        <ns0:is>
          <ns0:t>轻甲</ns0:t>
        </ns0:is>
      </ns0:c>
      <ns0:c r="G10" s="4" t="n">
        <ns0:v>1</ns0:v>
      </ns0:c>
      <ns0:c r="H10" s="4" t="n">
        <ns0:v>1</ns0:v>
      </ns0:c>
      <ns0:c r="I10" s="7">
        <ns0:f>G10*H10</ns0:f>
        <ns0:v>1</ns0:v>
      </ns0:c>
      <ns0:c r="J10" s="4" t="n">
        <ns0:v>5</ns0:v>
      </ns0:c>
      <ns0:c r="K10" s="4" t="n">
        <ns0:v>1</ns0:v>
      </ns0:c>
      <ns0:c r="L10" s="4" t="n">
        <ns0:v>1</ns0:v>
      </ns0:c>
      <ns0:c r="M10" s="7">
        <ns0:f>L10/J10</ns0:f>
        <ns0:v>0.2</ns0:v>
      </ns0:c>
      <ns0:c r="N10" s="4" t="n">
        <ns0:v>1</ns0:v>
      </ns0:c>
      <ns0:c r="O10" s="7">
        <ns0:f>I10*N10</ns0:f>
        <ns0:v>1</ns0:v>
      </ns0:c>
      <ns0:c r="P10" s="4" t="inlineStr">
        <ns0:is>
          <ns0:t>同一部位最多1件；护臂／护腿分别计限（Q03）</ns0:t>
        </ns0:is>
      </ns0:c>
      <ns0:c r="Q10" s="4" t="inlineStr">
        <ns0:is>
          <ns0:t>布甲联动</ns0:t>
        </ns0:is>
      </ns0:c>
      <ns0:c r="R10" s="4" t="inlineStr">
        <ns0:is>
          <ns0:t>零体力沿用防具基线；数量不消耗</ns0:t>
        </ns0:is>
      </ns0:c>
      <ns0:c r="S10" s="4" t="inlineStr">
        <ns0:is>
          <ns0:t>01 C01/I11；04防具；06 Link</ns0:t>
        </ns0:is>
      </ns0:c>
      <ns0:c r="T10" s="4" t="inlineStr">
        <ns0:is>
          <ns0:t>未配置</ns0:t>
        </ns0:is>
      </ns0:c>
      <ns0:c r="U10" s="6" t="inlineStr">
        <ns0:is>
          <ns0:t>新增试玩候选；甲型加权Q02已确认</ns0:t>
        </ns0:is>
      </ns0:c>
      <ns0:c r="V10" s="4" t="inlineStr">
        <ns0:is>
          <ns0:t>B2/C；U</ns0:t>
        </ns0:is>
      </ns0:c>
      <ns0:c r="AB10">
        <ns0:f>O10</ns0:f>
        <ns0:v>1</ns0:v>
      </ns0:c>
    </ns0:row>
    <ns0:row r="11" ht="42" customHeight="1">
      <ns0:c r="A11" s="5" t="inlineStr">
        <ns0:is>
          <ns0:t>t01.asset.0015</ns0:t>
        </ns0:is>
      </ns0:c>
      <ns0:c r="B11" s="5" t="inlineStr">
        <ns0:is>
          <ns0:t>布护腿</ns0:t>
        </ns0:is>
      </ns0:c>
      <ns0:c r="C11" s="5" t="inlineStr">
        <ns0:is>
          <ns0:t>下品</ns0:t>
        </ns0:is>
      </ns0:c>
      <ns0:c r="D11" s="5" t="inlineStr">
        <ns0:is>
          <ns0:t>NONE</ns0:t>
        </ns0:is>
      </ns0:c>
      <ns0:c r="E11" s="5" t="inlineStr">
        <ns0:is>
          <ns0:t>护具·腿</ns0:t>
        </ns0:is>
      </ns0:c>
      <ns0:c r="F11" s="5" t="inlineStr">
        <ns0:is>
          <ns0:t>轻甲</ns0:t>
        </ns0:is>
      </ns0:c>
      <ns0:c r="G11" s="5" t="n">
        <ns0:v>1</ns0:v>
      </ns0:c>
      <ns0:c r="H11" s="5" t="n">
        <ns0:v>1</ns0:v>
      </ns0:c>
      <ns0:c r="I11" s="9">
        <ns0:f>G11*H11</ns0:f>
        <ns0:v>1</ns0:v>
      </ns0:c>
      <ns0:c r="J11" s="5" t="n">
        <ns0:v>6</ns0:v>
      </ns0:c>
      <ns0:c r="K11" s="5" t="n">
        <ns0:v>2</ns0:v>
      </ns0:c>
      <ns0:c r="L11" s="5" t="n">
        <ns0:v>1</ns0:v>
      </ns0:c>
      <ns0:c r="M11" s="9">
        <ns0:f>L11/J11</ns0:f>
        <ns0:v>0.16666666666666666</ns0:v>
      </ns0:c>
      <ns0:c r="N11" s="5" t="n">
        <ns0:v>1</ns0:v>
      </ns0:c>
      <ns0:c r="O11" s="9">
        <ns0:f>I11*N11</ns0:f>
        <ns0:v>1</ns0:v>
      </ns0:c>
      <ns0:c r="P11" s="5" t="inlineStr">
        <ns0:is>
          <ns0:t>同一部位最多1件；护臂／护腿分别计限（Q03）</ns0:t>
        </ns0:is>
      </ns0:c>
      <ns0:c r="Q11" s="5" t="inlineStr">
        <ns0:is>
          <ns0:t>布甲联动</ns0:t>
        </ns0:is>
      </ns0:c>
      <ns0:c r="R11" s="5" t="inlineStr">
        <ns0:is>
          <ns0:t>零体力沿用防具基线；数量不消耗</ns0:t>
        </ns0:is>
      </ns0:c>
      <ns0:c r="S11" s="5" t="inlineStr">
        <ns0:is>
          <ns0:t>01 C01/I11；04防具；06 Link</ns0:t>
        </ns0:is>
      </ns0:c>
      <ns0:c r="T11" s="5" t="inlineStr">
        <ns0:is>
          <ns0:t>未配置</ns0:t>
        </ns0:is>
      </ns0:c>
      <ns0:c r="U11" s="6" t="inlineStr">
        <ns0:is>
          <ns0:t>新增试玩候选；甲型加权Q02已确认</ns0:t>
        </ns0:is>
      </ns0:c>
      <ns0:c r="V11" s="5" t="inlineStr">
        <ns0:is>
          <ns0:t>B2/C；U</ns0:t>
        </ns0:is>
      </ns0:c>
      <ns0:c r="AB11">
        <ns0:f>O11</ns0:f>
        <ns0:v>1</ns0:v>
      </ns0:c>
    </ns0:row>
    <ns0:row r="12" ht="42" customHeight="1">
      <ns0:c r="A12" s="4" t="inlineStr">
        <ns0:is>
          <ns0:t>t01.asset.0016</ns0:t>
        </ns0:is>
      </ns0:c>
      <ns0:c r="B12" s="4" t="inlineStr">
        <ns0:is>
          <ns0:t>铁护臂</ns0:t>
        </ns0:is>
      </ns0:c>
      <ns0:c r="C12" s="4" t="inlineStr">
        <ns0:is>
          <ns0:t>下品</ns0:t>
        </ns0:is>
      </ns0:c>
      <ns0:c r="D12" s="4" t="inlineStr">
        <ns0:is>
          <ns0:t>NONE</ns0:t>
        </ns0:is>
      </ns0:c>
      <ns0:c r="E12" s="4" t="inlineStr">
        <ns0:is>
          <ns0:t>护具·臂</ns0:t>
        </ns0:is>
      </ns0:c>
      <ns0:c r="F12" s="4" t="inlineStr">
        <ns0:is>
          <ns0:t>重甲</ns0:t>
        </ns0:is>
      </ns0:c>
      <ns0:c r="G12" s="4" t="n">
        <ns0:v>1</ns0:v>
      </ns0:c>
      <ns0:c r="H12" s="4" t="n">
        <ns0:v>1</ns0:v>
      </ns0:c>
      <ns0:c r="I12" s="7">
        <ns0:f>G12*H12</ns0:f>
        <ns0:v>1</ns0:v>
      </ns0:c>
      <ns0:c r="J12" s="4" t="n">
        <ns0:v>5</ns0:v>
      </ns0:c>
      <ns0:c r="K12" s="4" t="n">
        <ns0:v>2</ns0:v>
      </ns0:c>
      <ns0:c r="L12" s="4" t="n">
        <ns0:v>2</ns0:v>
      </ns0:c>
      <ns0:c r="M12" s="7">
        <ns0:f>L12/J12</ns0:f>
        <ns0:v>0.4</ns0:v>
      </ns0:c>
      <ns0:c r="N12" s="4" t="n">
        <ns0:v>1</ns0:v>
      </ns0:c>
      <ns0:c r="O12" s="7">
        <ns0:f>I12*N12</ns0:f>
        <ns0:v>1</ns0:v>
      </ns0:c>
      <ns0:c r="P12" s="4" t="inlineStr">
        <ns0:is>
          <ns0:t>同一部位最多1件；护臂／护腿分别计限（Q03）</ns0:t>
        </ns0:is>
      </ns0:c>
      <ns0:c r="Q12" s="4" t="inlineStr">
        <ns0:is>
          <ns0:t>铁甲联动</ns0:t>
        </ns0:is>
      </ns0:c>
      <ns0:c r="R12" s="4" t="inlineStr">
        <ns0:is>
          <ns0:t>零体力沿用防具基线；数量不消耗</ns0:t>
        </ns0:is>
      </ns0:c>
      <ns0:c r="S12" s="4" t="inlineStr">
        <ns0:is>
          <ns0:t>01 C01/I11；04防具；06 Link</ns0:t>
        </ns0:is>
      </ns0:c>
      <ns0:c r="T12" s="4" t="inlineStr">
        <ns0:is>
          <ns0:t>未配置</ns0:t>
        </ns0:is>
      </ns0:c>
      <ns0:c r="U12" s="6" t="inlineStr">
        <ns0:is>
          <ns0:t>C新增试玩候选；甲型加权Q02已确认</ns0:t>
        </ns0:is>
      </ns0:c>
      <ns0:c r="V12" s="4" t="inlineStr">
        <ns0:is>
          <ns0:t>C</ns0:t>
        </ns0:is>
      </ns0:c>
      <ns0:c r="AB12">
        <ns0:f>O12</ns0:f>
        <ns0:v>1</ns0:v>
      </ns0:c>
    </ns0:row>
    <ns0:row r="13" ht="42" customHeight="1">
      <ns0:c r="A13" s="5" t="inlineStr">
        <ns0:is>
          <ns0:t>t01.asset.0017</ns0:t>
        </ns0:is>
      </ns0:c>
      <ns0:c r="B13" s="5" t="inlineStr">
        <ns0:is>
          <ns0:t>铁护腿</ns0:t>
        </ns0:is>
      </ns0:c>
      <ns0:c r="C13" s="5" t="inlineStr">
        <ns0:is>
          <ns0:t>下品</ns0:t>
        </ns0:is>
      </ns0:c>
      <ns0:c r="D13" s="5" t="inlineStr">
        <ns0:is>
          <ns0:t>NONE</ns0:t>
        </ns0:is>
      </ns0:c>
      <ns0:c r="E13" s="5" t="inlineStr">
        <ns0:is>
          <ns0:t>护具·腿</ns0:t>
        </ns0:is>
      </ns0:c>
      <ns0:c r="F13" s="5" t="inlineStr">
        <ns0:is>
          <ns0:t>重甲</ns0:t>
        </ns0:is>
      </ns0:c>
      <ns0:c r="G13" s="5" t="n">
        <ns0:v>1</ns0:v>
      </ns0:c>
      <ns0:c r="H13" s="5" t="n">
        <ns0:v>1</ns0:v>
      </ns0:c>
      <ns0:c r="I13" s="9">
        <ns0:f>G13*H13</ns0:f>
        <ns0:v>1</ns0:v>
      </ns0:c>
      <ns0:c r="J13" s="5" t="n">
        <ns0:v>6</ns0:v>
      </ns0:c>
      <ns0:c r="K13" s="5" t="n">
        <ns0:v>3</ns0:v>
      </ns0:c>
      <ns0:c r="L13" s="5" t="n">
        <ns0:v>3</ns0:v>
      </ns0:c>
      <ns0:c r="M13" s="9">
        <ns0:f>L13/J13</ns0:f>
        <ns0:v>0.5</ns0:v>
      </ns0:c>
      <ns0:c r="N13" s="5" t="n">
        <ns0:v>1</ns0:v>
      </ns0:c>
      <ns0:c r="O13" s="9">
        <ns0:f>I13*N13</ns0:f>
        <ns0:v>1</ns0:v>
      </ns0:c>
      <ns0:c r="P13" s="5" t="inlineStr">
        <ns0:is>
          <ns0:t>同一部位最多1件；护臂／护腿分别计限（Q03）</ns0:t>
        </ns0:is>
      </ns0:c>
      <ns0:c r="Q13" s="5" t="inlineStr">
        <ns0:is>
          <ns0:t>铁甲联动</ns0:t>
        </ns0:is>
      </ns0:c>
      <ns0:c r="R13" s="5" t="inlineStr">
        <ns0:is>
          <ns0:t>零体力沿用防具基线；数量不消耗</ns0:t>
        </ns0:is>
      </ns0:c>
      <ns0:c r="S13" s="5" t="inlineStr">
        <ns0:is>
          <ns0:t>01 C01/I11；04防具；06 Link</ns0:t>
        </ns0:is>
      </ns0:c>
      <ns0:c r="T13" s="5" t="inlineStr">
        <ns0:is>
          <ns0:t>未配置</ns0:t>
        </ns0:is>
      </ns0:c>
      <ns0:c r="U13" s="6" t="inlineStr">
        <ns0:is>
          <ns0:t>C新增试玩候选；甲型加权Q02已确认</ns0:t>
        </ns0:is>
      </ns0:c>
      <ns0:c r="V13" s="5" t="inlineStr">
        <ns0:is>
          <ns0:t>C</ns0:t>
        </ns0:is>
      </ns0:c>
      <ns0:c r="AB13">
        <ns0:f>O13</ns0:f>
        <ns0:v>1</ns0:v>
      </ns0:c>
    </ns0:row>
    <ns0:row r="14" ht="70" customHeight="1">
      <ns0:c r="A14" s="4" t="inlineStr">
        <ns0:is>
          <ns0:t>t01.asset.0055</ns0:t>
        </ns0:is>
      </ns0:c>
      <ns0:c r="B14" s="4" t="inlineStr">
        <ns0:is>
          <ns0:t>细布衣</ns0:t>
        </ns0:is>
      </ns0:c>
      <ns0:c r="C14" s="4" t="inlineStr">
        <ns0:is>
          <ns0:t>凡品</ns0:t>
        </ns0:is>
      </ns0:c>
      <ns0:c r="D14" s="4" t="inlineStr">
        <ns0:is>
          <ns0:t>NONE</ns0:t>
        </ns0:is>
      </ns0:c>
      <ns0:c r="E14" s="4" t="inlineStr">
        <ns0:is>
          <ns0:t>身甲</ns0:t>
        </ns0:is>
      </ns0:c>
      <ns0:c r="F14" s="4" t="inlineStr">
        <ns0:is>
          <ns0:t>轻甲</ns0:t>
        </ns0:is>
      </ns0:c>
      <ns0:c r="G14" s="4" t="n">
        <ns0:v>1</ns0:v>
      </ns0:c>
      <ns0:c r="H14" s="4" t="n">
        <ns0:v>2</ns0:v>
      </ns0:c>
      <ns0:c r="I14" s="7">
        <ns0:f>G14*H14</ns0:f>
        <ns0:v>2</ns0:v>
      </ns0:c>
      <ns0:c r="J14" s="4" t="n">
        <ns0:v>6</ns0:v>
      </ns0:c>
      <ns0:c r="K14" s="4" t="n">
        <ns0:v>13</ns0:v>
      </ns0:c>
      <ns0:c r="L14" s="4" t="n">
        <ns0:v>7</ns0:v>
      </ns0:c>
      <ns0:c r="M14" s="7">
        <ns0:f>IF(OR(J14="",J14=0),0,L14/J14)</ns0:f>
        <ns0:v>1.1666666666666667</ns0:v>
      </ns0:c>
      <ns0:c r="N14" s="4" t="n">
        <ns0:v>2</ns0:v>
      </ns0:c>
      <ns0:c r="O14" s="7">
        <ns0:f>I14*N14</ns0:f>
        <ns0:v>4</ns0:v>
      </ns0:c>
      <ns0:c r="P14" s="4" t="inlineStr">
        <ns0:is>
          <ns0:t>盾可多件；其他同一部位最多1件</ns0:t>
        </ns0:is>
      </ns0:c>
      <ns0:c r="Q14" s="4" t="inlineStr">
        <ns0:is>
          <ns0:t>无</ns0:t>
        </ns0:is>
      </ns0:c>
      <ns0:c r="R14" s="4" t="inlineStr">
        <ns0:is>
          <ns0:t>体力0／灵力0／数量0</ns0:t>
        </ns0:is>
      </ns0:c>
      <ns0:c r="S14" s="4" t="inlineStr">
        <ns0:is>
          <ns0:t>01 C01/I11；02状态；04；06 Link</ns0:t>
        </ns0:is>
      </ns0:c>
      <ns0:c r="T14" s="4" t="n"/>
      <ns0:c r="U14" s="6" t="inlineStr">
        <ns0:is>
          <ns0:t>候选数值，未试跑</ns0:t>
        </ns0:is>
      </ns0:c>
      <ns0:c r="V14" s="4" t="inlineStr">
        <ns0:is>
          <ns0:t>第1批基础；第2批微调；第3批复查；用户直接更正优先</ns0:t>
        </ns0:is>
      </ns0:c>
      <ns0:c r="W14" s="14" t="inlineStr">
        <ns0:is>
          <ns0:t>A01</ns0:t>
        </ns0:is>
      </ns0:c>
      <ns0:c r="X14" s="14" t="n"/>
      <ns0:c r="Y14" s="14" t="n"/>
      <ns0:c r="Z14" s="14" t="inlineStr">
        <ns0:is>
          <ns0:t>无</ns0:t>
        </ns0:is>
      </ns0:c>
      <ns0:c r="AA14" s="14" t="n"/>
      <ns0:c r="AB14" s="14">
        <ns0:f>O14</ns0:f>
        <ns0:v>4</ns0:v>
      </ns0:c>
      <ns0:c r="AC14" s="14" t="inlineStr">
        <ns0:is>
          <ns0:t>t01.asset.0055.effect.01；t01.asset.0055.effect.02</ns0:t>
        </ns0:is>
      </ns0:c>
    </ns0:row>
    <ns0:row r="15" ht="70" customHeight="1">
      <ns0:c r="A15" s="4" t="inlineStr">
        <ns0:is>
          <ns0:t>t01.asset.0056</ns0:t>
        </ns0:is>
      </ns0:c>
      <ns0:c r="B15" s="4" t="inlineStr">
        <ns0:is>
          <ns0:t>水纹衣</ns0:t>
        </ns0:is>
      </ns0:c>
      <ns0:c r="C15" s="4" t="inlineStr">
        <ns0:is>
          <ns0:t>凡品</ns0:t>
        </ns0:is>
      </ns0:c>
      <ns0:c r="D15" s="4" t="inlineStr">
        <ns0:is>
          <ns0:t>水</ns0:t>
        </ns0:is>
      </ns0:c>
      <ns0:c r="E15" s="4" t="inlineStr">
        <ns0:is>
          <ns0:t>身甲</ns0:t>
        </ns0:is>
      </ns0:c>
      <ns0:c r="F15" s="4" t="inlineStr">
        <ns0:is>
          <ns0:t>轻甲</ns0:t>
        </ns0:is>
      </ns0:c>
      <ns0:c r="G15" s="4" t="n">
        <ns0:v>1</ns0:v>
      </ns0:c>
      <ns0:c r="H15" s="4" t="n">
        <ns0:v>2</ns0:v>
      </ns0:c>
      <ns0:c r="I15" s="7">
        <ns0:f>G15*H15</ns0:f>
        <ns0:v>2</ns0:v>
      </ns0:c>
      <ns0:c r="J15" s="4" t="n">
        <ns0:v>7</ns0:v>
      </ns0:c>
      <ns0:c r="K15" s="4" t="n">
        <ns0:v>12</ns0:v>
      </ns0:c>
      <ns0:c r="L15" s="4" t="n">
        <ns0:v>6</ns0:v>
      </ns0:c>
      <ns0:c r="M15" s="7">
        <ns0:f>IF(OR(J15="",J15=0),0,L15/J15)</ns0:f>
        <ns0:v>0.8571428571428571</ns0:v>
      </ns0:c>
      <ns0:c r="N15" s="4" t="n">
        <ns0:v>2</ns0:v>
      </ns0:c>
      <ns0:c r="O15" s="7">
        <ns0:f>I15*N15</ns0:f>
        <ns0:v>4</ns0:v>
      </ns0:c>
      <ns0:c r="P15" s="4" t="inlineStr">
        <ns0:is>
          <ns0:t>盾可多件；其他同一部位最多1件</ns0:t>
        </ns0:is>
      </ns0:c>
      <ns0:c r="Q15" s="4" t="inlineStr">
        <ns0:is>
          <ns0:t>水纹三件</ns0:t>
        </ns0:is>
      </ns0:c>
      <ns0:c r="R15" s="4" t="inlineStr">
        <ns0:is>
          <ns0:t>体力0／灵力0／数量0</ns0:t>
        </ns0:is>
      </ns0:c>
      <ns0:c r="S15" s="4" t="inlineStr">
        <ns0:is>
          <ns0:t>01 C01/I11；02状态；04；06 Link</ns0:t>
        </ns0:is>
      </ns0:c>
      <ns0:c r="T15" s="4" t="n"/>
      <ns0:c r="U15" s="6" t="inlineStr">
        <ns0:is>
          <ns0:t>候选数值，未试跑</ns0:t>
        </ns0:is>
      </ns0:c>
      <ns0:c r="V15" s="4" t="inlineStr">
        <ns0:is>
          <ns0:t>第1批基础；第2批微调；第3批复查；用户直接更正优先</ns0:t>
        </ns0:is>
      </ns0:c>
      <ns0:c r="W15" s="14" t="inlineStr">
        <ns0:is>
          <ns0:t>A02</ns0:t>
        </ns0:is>
      </ns0:c>
      <ns0:c r="X15" s="14" t="inlineStr">
        <ns0:is>
          <ns0:t>润脉</ns0:t>
        </ns0:is>
      </ns0:c>
      <ns0:c r="Y15" s="14" t="n">
        <ns0:v>1</ns0:v>
      </ns0:c>
      <ns0:c r="Z15" s="14" t="inlineStr">
        <ns0:is>
          <ns0:t>轮转</ns0:t>
        </ns0:is>
      </ns0:c>
      <ns0:c r="AA15" s="14" t="n"/>
      <ns0:c r="AB15" s="14">
        <ns0:f>O15</ns0:f>
        <ns0:v>4</ns0:v>
      </ns0:c>
      <ns0:c r="AC15" s="14" t="inlineStr">
        <ns0:is>
          <ns0:t>t01.asset.0056.effect.01；t01.asset.0056.effect.02；t01.asset.0056.effect.03</ns0:t>
        </ns0:is>
      </ns0:c>
    </ns0:row>
    <ns0:row r="16" ht="70" customHeight="1">
      <ns0:c r="A16" s="4" t="inlineStr">
        <ns0:is>
          <ns0:t>t01.asset.0057</ns0:t>
        </ns0:is>
      </ns0:c>
      <ns0:c r="B16" s="4" t="inlineStr">
        <ns0:is>
          <ns0:t>札甲</ns0:t>
        </ns0:is>
      </ns0:c>
      <ns0:c r="C16" s="4" t="inlineStr">
        <ns0:is>
          <ns0:t>凡品</ns0:t>
        </ns0:is>
      </ns0:c>
      <ns0:c r="D16" s="4" t="inlineStr">
        <ns0:is>
          <ns0:t>NONE</ns0:t>
        </ns0:is>
      </ns0:c>
      <ns0:c r="E16" s="4" t="inlineStr">
        <ns0:is>
          <ns0:t>身甲</ns0:t>
        </ns0:is>
      </ns0:c>
      <ns0:c r="F16" s="4" t="inlineStr">
        <ns0:is>
          <ns0:t>重甲</ns0:t>
        </ns0:is>
      </ns0:c>
      <ns0:c r="G16" s="4" t="n">
        <ns0:v>1</ns0:v>
      </ns0:c>
      <ns0:c r="H16" s="4" t="n">
        <ns0:v>2</ns0:v>
      </ns0:c>
      <ns0:c r="I16" s="7">
        <ns0:f>G16*H16</ns0:f>
        <ns0:v>2</ns0:v>
      </ns0:c>
      <ns0:c r="J16" s="4" t="n">
        <ns0:v>8.5</ns0:v>
      </ns0:c>
      <ns0:c r="K16" s="4" t="n">
        <ns0:v>18</ns0:v>
      </ns0:c>
      <ns0:c r="L16" s="4" t="n">
        <ns0:v>8</ns0:v>
      </ns0:c>
      <ns0:c r="M16" s="7">
        <ns0:f>IF(OR(J16="",J16=0),0,L16/J16)</ns0:f>
        <ns0:v>0.9411764705882353</ns0:v>
      </ns0:c>
      <ns0:c r="N16" s="4" t="n">
        <ns0:v>2</ns0:v>
      </ns0:c>
      <ns0:c r="O16" s="7">
        <ns0:f>I16*N16</ns0:f>
        <ns0:v>4</ns0:v>
      </ns0:c>
      <ns0:c r="P16" s="4" t="inlineStr">
        <ns0:is>
          <ns0:t>盾可多件；其他同一部位最多1件</ns0:t>
        </ns0:is>
      </ns0:c>
      <ns0:c r="Q16" s="4" t="inlineStr">
        <ns0:is>
          <ns0:t>铁甲三件_凡品</ns0:t>
        </ns0:is>
      </ns0:c>
      <ns0:c r="R16" s="4" t="inlineStr">
        <ns0:is>
          <ns0:t>体力0／灵力0／数量0</ns0:t>
        </ns0:is>
      </ns0:c>
      <ns0:c r="S16" s="4" t="inlineStr">
        <ns0:is>
          <ns0:t>01 C01/I11；02状态；04；06 Link</ns0:t>
        </ns0:is>
      </ns0:c>
      <ns0:c r="T16" s="4" t="n"/>
      <ns0:c r="U16" s="6" t="inlineStr">
        <ns0:is>
          <ns0:t>候选数值，未试跑</ns0:t>
        </ns0:is>
      </ns0:c>
      <ns0:c r="V16" s="4" t="inlineStr">
        <ns0:is>
          <ns0:t>第1批基础；第2批微调；第3批复查；用户直接更正优先</ns0:t>
        </ns0:is>
      </ns0:c>
      <ns0:c r="W16" s="14" t="inlineStr">
        <ns0:is>
          <ns0:t>A03</ns0:t>
        </ns0:is>
      </ns0:c>
      <ns0:c r="X16" s="14" t="n"/>
      <ns0:c r="Y16" s="14" t="n"/>
      <ns0:c r="Z16" s="14" t="inlineStr">
        <ns0:is>
          <ns0:t>无</ns0:t>
        </ns0:is>
      </ns0:c>
      <ns0:c r="AA16" s="14" t="n"/>
      <ns0:c r="AB16" s="14">
        <ns0:f>O16</ns0:f>
        <ns0:v>4</ns0:v>
      </ns0:c>
      <ns0:c r="AC16" s="14" t="inlineStr">
        <ns0:is>
          <ns0:t>t01.asset.0057.effect.01；t01.asset.0057.effect.02</ns0:t>
        </ns0:is>
      </ns0:c>
    </ns0:row>
    <ns0:row r="17" ht="70" customHeight="1">
      <ns0:c r="A17" s="4" t="inlineStr">
        <ns0:is>
          <ns0:t>t01.asset.0058</ns0:t>
        </ns0:is>
      </ns0:c>
      <ns0:c r="B17" s="4" t="inlineStr">
        <ns0:is>
          <ns0:t>赤铜甲</ns0:t>
        </ns0:is>
      </ns0:c>
      <ns0:c r="C17" s="4" t="inlineStr">
        <ns0:is>
          <ns0:t>凡品</ns0:t>
        </ns0:is>
      </ns0:c>
      <ns0:c r="D17" s="4" t="inlineStr">
        <ns0:is>
          <ns0:t>火</ns0:t>
        </ns0:is>
      </ns0:c>
      <ns0:c r="E17" s="4" t="inlineStr">
        <ns0:is>
          <ns0:t>身甲</ns0:t>
        </ns0:is>
      </ns0:c>
      <ns0:c r="F17" s="4" t="inlineStr">
        <ns0:is>
          <ns0:t>重甲</ns0:t>
        </ns0:is>
      </ns0:c>
      <ns0:c r="G17" s="4" t="n">
        <ns0:v>1</ns0:v>
      </ns0:c>
      <ns0:c r="H17" s="4" t="n">
        <ns0:v>2</ns0:v>
      </ns0:c>
      <ns0:c r="I17" s="7">
        <ns0:f>G17*H17</ns0:f>
        <ns0:v>2</ns0:v>
      </ns0:c>
      <ns0:c r="J17" s="4" t="n">
        <ns0:v>8.5</ns0:v>
      </ns0:c>
      <ns0:c r="K17" s="4" t="n">
        <ns0:v>16</ns0:v>
      </ns0:c>
      <ns0:c r="L17" s="4" t="n">
        <ns0:v>6</ns0:v>
      </ns0:c>
      <ns0:c r="M17" s="7">
        <ns0:f>IF(OR(J17="",J17=0),0,L17/J17)</ns0:f>
        <ns0:v>0.7058823529411765</ns0:v>
      </ns0:c>
      <ns0:c r="N17" s="4" t="n">
        <ns0:v>2</ns0:v>
      </ns0:c>
      <ns0:c r="O17" s="7">
        <ns0:f>I17*N17</ns0:f>
        <ns0:v>4</ns0:v>
      </ns0:c>
      <ns0:c r="P17" s="4" t="inlineStr">
        <ns0:is>
          <ns0:t>盾可多件；其他同一部位最多1件</ns0:t>
        </ns0:is>
      </ns0:c>
      <ns0:c r="Q17" s="4" t="inlineStr">
        <ns0:is>
          <ns0:t>无</ns0:t>
        </ns0:is>
      </ns0:c>
      <ns0:c r="R17" s="4" t="inlineStr">
        <ns0:is>
          <ns0:t>体力0／灵力0／数量0</ns0:t>
        </ns0:is>
      </ns0:c>
      <ns0:c r="S17" s="4" t="inlineStr">
        <ns0:is>
          <ns0:t>01 C01/I11；02状态；04；06 Link</ns0:t>
        </ns0:is>
      </ns0:c>
      <ns0:c r="T17" s="4" t="n"/>
      <ns0:c r="U17" s="6" t="inlineStr">
        <ns0:is>
          <ns0:t>候选数值，未试跑</ns0:t>
        </ns0:is>
      </ns0:c>
      <ns0:c r="V17" s="4" t="inlineStr">
        <ns0:is>
          <ns0:t>第1批基础；第2批微调；第3批复查；用户直接更正优先</ns0:t>
        </ns0:is>
      </ns0:c>
      <ns0:c r="W17" s="14" t="inlineStr">
        <ns0:is>
          <ns0:t>A04</ns0:t>
        </ns0:is>
      </ns0:c>
      <ns0:c r="X17" s="14" t="inlineStr">
        <ns0:is>
          <ns0:t>附炎</ns0:t>
        </ns0:is>
      </ns0:c>
      <ns0:c r="Y17" s="14" t="n">
        <ns0:v>2</ns0:v>
      </ns0:c>
      <ns0:c r="Z17" s="14" t="inlineStr">
        <ns0:is>
          <ns0:t>受击</ns0:t>
        </ns0:is>
      </ns0:c>
      <ns0:c r="AA17" s="14" t="n">
        <ns0:v>9</ns0:v>
      </ns0:c>
      <ns0:c r="AB17" s="14">
        <ns0:f>O17</ns0:f>
        <ns0:v>4</ns0:v>
      </ns0:c>
      <ns0:c r="AC17" s="14" t="inlineStr">
        <ns0:is>
          <ns0:t>t01.asset.0058.effect.01；t01.asset.0058.effect.02；t01.asset.0058.effect.03</ns0:t>
        </ns0:is>
      </ns0:c>
    </ns0:row>
    <ns0:row r="18" ht="70" customHeight="1">
      <ns0:c r="A18" s="4" t="inlineStr">
        <ns0:is>
          <ns0:t>t01.asset.0059</ns0:t>
        </ns0:is>
      </ns0:c>
      <ns0:c r="B18" s="4" t="inlineStr">
        <ns0:is>
          <ns0:t>雷纹法袍</ns0:t>
        </ns0:is>
      </ns0:c>
      <ns0:c r="C18" s="4" t="inlineStr">
        <ns0:is>
          <ns0:t>凡品</ns0:t>
        </ns0:is>
      </ns0:c>
      <ns0:c r="D18" s="4" t="inlineStr">
        <ns0:is>
          <ns0:t>雷</ns0:t>
        </ns0:is>
      </ns0:c>
      <ns0:c r="E18" s="4" t="inlineStr">
        <ns0:is>
          <ns0:t>身甲</ns0:t>
        </ns0:is>
      </ns0:c>
      <ns0:c r="F18" s="4" t="inlineStr">
        <ns0:is>
          <ns0:t>灵甲</ns0:t>
        </ns0:is>
      </ns0:c>
      <ns0:c r="G18" s="4" t="n">
        <ns0:v>1</ns0:v>
      </ns0:c>
      <ns0:c r="H18" s="4" t="n">
        <ns0:v>2</ns0:v>
      </ns0:c>
      <ns0:c r="I18" s="7">
        <ns0:f>G18*H18</ns0:f>
        <ns0:v>2</ns0:v>
      </ns0:c>
      <ns0:c r="J18" s="4" t="n">
        <ns0:v>9</ns0:v>
      </ns0:c>
      <ns0:c r="K18" s="4" t="n">
        <ns0:v>14</ns0:v>
      </ns0:c>
      <ns0:c r="L18" s="4" t="n">
        <ns0:v>6</ns0:v>
      </ns0:c>
      <ns0:c r="M18" s="7">
        <ns0:f>IF(OR(J18="",J18=0),0,L18/J18)</ns0:f>
        <ns0:v>0.6666666666666666</ns0:v>
      </ns0:c>
      <ns0:c r="N18" s="4" t="n">
        <ns0:v>2</ns0:v>
      </ns0:c>
      <ns0:c r="O18" s="7">
        <ns0:f>I18*N18</ns0:f>
        <ns0:v>4</ns0:v>
      </ns0:c>
      <ns0:c r="P18" s="4" t="inlineStr">
        <ns0:is>
          <ns0:t>盾可多件；其他同一部位最多1件</ns0:t>
        </ns0:is>
      </ns0:c>
      <ns0:c r="Q18" s="4" t="inlineStr">
        <ns0:is>
          <ns0:t>雷纹三件</ns0:t>
        </ns0:is>
      </ns0:c>
      <ns0:c r="R18" s="4" t="inlineStr">
        <ns0:is>
          <ns0:t>体力0／灵力0／数量0</ns0:t>
        </ns0:is>
      </ns0:c>
      <ns0:c r="S18" s="4" t="inlineStr">
        <ns0:is>
          <ns0:t>01 C01/I11；02状态；04；06 Link</ns0:t>
        </ns0:is>
      </ns0:c>
      <ns0:c r="T18" s="4" t="n"/>
      <ns0:c r="U18" s="6" t="inlineStr">
        <ns0:is>
          <ns0:t>候选数值，未试跑</ns0:t>
        </ns0:is>
      </ns0:c>
      <ns0:c r="V18" s="4" t="inlineStr">
        <ns0:is>
          <ns0:t>第1批基础；第2批微调；第3批复查；用户直接更正优先</ns0:t>
        </ns0:is>
      </ns0:c>
      <ns0:c r="W18" s="14" t="inlineStr">
        <ns0:is>
          <ns0:t>A06</ns0:t>
        </ns0:is>
      </ns0:c>
      <ns0:c r="X18" s="14" t="inlineStr">
        <ns0:is>
          <ns0:t>雷蕴</ns0:t>
        </ns0:is>
      </ns0:c>
      <ns0:c r="Y18" s="14" t="n">
        <ns0:v>2</ns0:v>
      </ns0:c>
      <ns0:c r="Z18" s="14" t="inlineStr">
        <ns0:is>
          <ns0:t>轮转</ns0:t>
        </ns0:is>
      </ns0:c>
      <ns0:c r="AA18" s="14" t="n"/>
      <ns0:c r="AB18" s="14">
        <ns0:f>O18</ns0:f>
        <ns0:v>4</ns0:v>
      </ns0:c>
      <ns0:c r="AC18" s="14" t="inlineStr">
        <ns0:is>
          <ns0:t>t01.asset.0059.effect.01；t01.asset.0059.effect.02；t01.asset.0059.effect.03</ns0:t>
        </ns0:is>
      </ns0:c>
    </ns0:row>
    <ns0:row r="19" ht="70" customHeight="1">
      <ns0:c r="A19" s="4" t="inlineStr">
        <ns0:is>
          <ns0:t>t01.asset.0060</ns0:t>
        </ns0:is>
      </ns0:c>
      <ns0:c r="B19" s="4" t="inlineStr">
        <ns0:is>
          <ns0:t>皮帽</ns0:t>
        </ns0:is>
      </ns0:c>
      <ns0:c r="C19" s="4" t="inlineStr">
        <ns0:is>
          <ns0:t>凡品</ns0:t>
        </ns0:is>
      </ns0:c>
      <ns0:c r="D19" s="4" t="inlineStr">
        <ns0:is>
          <ns0:t>风</ns0:t>
        </ns0:is>
      </ns0:c>
      <ns0:c r="E19" s="4" t="inlineStr">
        <ns0:is>
          <ns0:t>头具</ns0:t>
        </ns0:is>
      </ns0:c>
      <ns0:c r="F19" s="4" t="inlineStr">
        <ns0:is>
          <ns0:t>轻甲</ns0:t>
        </ns0:is>
      </ns0:c>
      <ns0:c r="G19" s="4" t="n">
        <ns0:v>1</ns0:v>
      </ns0:c>
      <ns0:c r="H19" s="4" t="n">
        <ns0:v>1</ns0:v>
      </ns0:c>
      <ns0:c r="I19" s="7">
        <ns0:f>G19*H19</ns0:f>
        <ns0:v>1</ns0:v>
      </ns0:c>
      <ns0:c r="J19" s="4" t="n">
        <ns0:v>7</ns0:v>
      </ns0:c>
      <ns0:c r="K19" s="4" t="n">
        <ns0:v>4</ns0:v>
      </ns0:c>
      <ns0:c r="L19" s="4" t="n">
        <ns0:v>2</ns0:v>
      </ns0:c>
      <ns0:c r="M19" s="7">
        <ns0:f>IF(OR(J19="",J19=0),0,L19/J19)</ns0:f>
        <ns0:v>0.2857142857142857</ns0:v>
      </ns0:c>
      <ns0:c r="N19" s="4" t="n">
        <ns0:v>1</ns0:v>
      </ns0:c>
      <ns0:c r="O19" s="7">
        <ns0:f>I19*N19</ns0:f>
        <ns0:v>1</ns0:v>
      </ns0:c>
      <ns0:c r="P19" s="4" t="inlineStr">
        <ns0:is>
          <ns0:t>盾可多件；其他同一部位最多1件</ns0:t>
        </ns0:is>
      </ns0:c>
      <ns0:c r="Q19" s="4" t="inlineStr">
        <ns0:is>
          <ns0:t>无</ns0:t>
        </ns0:is>
      </ns0:c>
      <ns0:c r="R19" s="4" t="inlineStr">
        <ns0:is>
          <ns0:t>体力0／灵力0／数量0</ns0:t>
        </ns0:is>
      </ns0:c>
      <ns0:c r="S19" s="4" t="inlineStr">
        <ns0:is>
          <ns0:t>01 C01/I11；02状态；04；06 Link</ns0:t>
        </ns0:is>
      </ns0:c>
      <ns0:c r="T19" s="4" t="n"/>
      <ns0:c r="U19" s="6" t="inlineStr">
        <ns0:is>
          <ns0:t>候选数值，未试跑</ns0:t>
        </ns0:is>
      </ns0:c>
      <ns0:c r="V19" s="4" t="inlineStr">
        <ns0:is>
          <ns0:t>第1批基础；第2批微调；第3批复查；用户直接更正优先</ns0:t>
        </ns0:is>
      </ns0:c>
      <ns0:c r="W19" s="14" t="inlineStr">
        <ns0:is>
          <ns0:t>A07</ns0:t>
        </ns0:is>
      </ns0:c>
      <ns0:c r="X19" s="14" t="inlineStr">
        <ns0:is>
          <ns0:t>轻灵</ns0:t>
        </ns0:is>
      </ns0:c>
      <ns0:c r="Y19" s="14" t="n">
        <ns0:v>1</ns0:v>
      </ns0:c>
      <ns0:c r="Z19" s="14" t="inlineStr">
        <ns0:is>
          <ns0:t>受击</ns0:t>
        </ns0:is>
      </ns0:c>
      <ns0:c r="AA19" s="14" t="n">
        <ns0:v>9</ns0:v>
      </ns0:c>
      <ns0:c r="AB19" s="14">
        <ns0:f>O19</ns0:f>
        <ns0:v>1</ns0:v>
      </ns0:c>
      <ns0:c r="AC19" s="14" t="inlineStr">
        <ns0:is>
          <ns0:t>t01.asset.0060.effect.01；t01.asset.0060.effect.02；t01.asset.0060.effect.03</ns0:t>
        </ns0:is>
      </ns0:c>
    </ns0:row>
    <ns0:row r="20" ht="70" customHeight="1">
      <ns0:c r="A20" s="4" t="inlineStr">
        <ns0:is>
          <ns0:t>t01.asset.0061</ns0:t>
        </ns0:is>
      </ns0:c>
      <ns0:c r="B20" s="4" t="inlineStr">
        <ns0:is>
          <ns0:t>铁盔</ns0:t>
        </ns0:is>
      </ns0:c>
      <ns0:c r="C20" s="4" t="inlineStr">
        <ns0:is>
          <ns0:t>凡品</ns0:t>
        </ns0:is>
      </ns0:c>
      <ns0:c r="D20" s="4" t="inlineStr">
        <ns0:is>
          <ns0:t>土</ns0:t>
        </ns0:is>
      </ns0:c>
      <ns0:c r="E20" s="4" t="inlineStr">
        <ns0:is>
          <ns0:t>头具</ns0:t>
        </ns0:is>
      </ns0:c>
      <ns0:c r="F20" s="4" t="inlineStr">
        <ns0:is>
          <ns0:t>重甲</ns0:t>
        </ns0:is>
      </ns0:c>
      <ns0:c r="G20" s="4" t="n">
        <ns0:v>1</ns0:v>
      </ns0:c>
      <ns0:c r="H20" s="4" t="n">
        <ns0:v>1</ns0:v>
      </ns0:c>
      <ns0:c r="I20" s="7">
        <ns0:f>G20*H20</ns0:f>
        <ns0:v>1</ns0:v>
      </ns0:c>
      <ns0:c r="J20" s="4" t="n">
        <ns0:v>7.5</ns0:v>
      </ns0:c>
      <ns0:c r="K20" s="4" t="n">
        <ns0:v>4</ns0:v>
      </ns0:c>
      <ns0:c r="L20" s="4" t="n">
        <ns0:v>3</ns0:v>
      </ns0:c>
      <ns0:c r="M20" s="7">
        <ns0:f>IF(OR(J20="",J20=0),0,L20/J20)</ns0:f>
        <ns0:v>0.4</ns0:v>
      </ns0:c>
      <ns0:c r="N20" s="4" t="n">
        <ns0:v>1</ns0:v>
      </ns0:c>
      <ns0:c r="O20" s="7">
        <ns0:f>I20*N20</ns0:f>
        <ns0:v>1</ns0:v>
      </ns0:c>
      <ns0:c r="P20" s="4" t="inlineStr">
        <ns0:is>
          <ns0:t>盾可多件；其他同一部位最多1件</ns0:t>
        </ns0:is>
      </ns0:c>
      <ns0:c r="Q20" s="4" t="inlineStr">
        <ns0:is>
          <ns0:t>无</ns0:t>
        </ns0:is>
      </ns0:c>
      <ns0:c r="R20" s="4" t="inlineStr">
        <ns0:is>
          <ns0:t>体力0／灵力0／数量0</ns0:t>
        </ns0:is>
      </ns0:c>
      <ns0:c r="S20" s="4" t="inlineStr">
        <ns0:is>
          <ns0:t>01 C01/I11；02状态；04；06 Link</ns0:t>
        </ns0:is>
      </ns0:c>
      <ns0:c r="T20" s="4" t="n"/>
      <ns0:c r="U20" s="6" t="inlineStr">
        <ns0:is>
          <ns0:t>候选数值，未试跑</ns0:t>
        </ns0:is>
      </ns0:c>
      <ns0:c r="V20" s="4" t="inlineStr">
        <ns0:is>
          <ns0:t>第1批基础；第2批微调；第3批复查；用户直接更正优先</ns0:t>
        </ns0:is>
      </ns0:c>
      <ns0:c r="W20" s="14" t="inlineStr">
        <ns0:is>
          <ns0:t>A08</ns0:t>
        </ns0:is>
      </ns0:c>
      <ns0:c r="X20" s="14" t="inlineStr">
        <ns0:is>
          <ns0:t>坚韧</ns0:t>
        </ns0:is>
      </ns0:c>
      <ns0:c r="Y20" s="14" t="n">
        <ns0:v>1</ns0:v>
      </ns0:c>
      <ns0:c r="Z20" s="14" t="inlineStr">
        <ns0:is>
          <ns0:t>受击</ns0:t>
        </ns0:is>
      </ns0:c>
      <ns0:c r="AA20" s="14" t="n">
        <ns0:v>9</ns0:v>
      </ns0:c>
      <ns0:c r="AB20" s="14">
        <ns0:f>O20</ns0:f>
        <ns0:v>1</ns0:v>
      </ns0:c>
      <ns0:c r="AC20" s="14" t="inlineStr">
        <ns0:is>
          <ns0:t>t01.asset.0061.effect.01；t01.asset.0061.effect.02；t01.asset.0061.effect.03</ns0:t>
        </ns0:is>
      </ns0:c>
    </ns0:row>
    <ns0:row r="21" ht="70" customHeight="1">
      <ns0:c r="A21" s="4" t="inlineStr">
        <ns0:is>
          <ns0:t>t01.asset.0062</ns0:t>
        </ns0:is>
      </ns0:c>
      <ns0:c r="B21" s="4" t="inlineStr">
        <ns0:is>
          <ns0:t>木纹冠</ns0:t>
        </ns0:is>
      </ns0:c>
      <ns0:c r="C21" s="4" t="inlineStr">
        <ns0:is>
          <ns0:t>凡品</ns0:t>
        </ns0:is>
      </ns0:c>
      <ns0:c r="D21" s="4" t="inlineStr">
        <ns0:is>
          <ns0:t>木</ns0:t>
        </ns0:is>
      </ns0:c>
      <ns0:c r="E21" s="4" t="inlineStr">
        <ns0:is>
          <ns0:t>头具</ns0:t>
        </ns0:is>
      </ns0:c>
      <ns0:c r="F21" s="4" t="inlineStr">
        <ns0:is>
          <ns0:t>灵甲</ns0:t>
        </ns0:is>
      </ns0:c>
      <ns0:c r="G21" s="4" t="n">
        <ns0:v>1</ns0:v>
      </ns0:c>
      <ns0:c r="H21" s="4" t="n">
        <ns0:v>1</ns0:v>
      </ns0:c>
      <ns0:c r="I21" s="7">
        <ns0:f>G21*H21</ns0:f>
        <ns0:v>1</ns0:v>
      </ns0:c>
      <ns0:c r="J21" s="4" t="n">
        <ns0:v>9</ns0:v>
      </ns0:c>
      <ns0:c r="K21" s="4" t="n">
        <ns0:v>4</ns0:v>
      </ns0:c>
      <ns0:c r="L21" s="4" t="n">
        <ns0:v>2</ns0:v>
      </ns0:c>
      <ns0:c r="M21" s="7">
        <ns0:f>IF(OR(J21="",J21=0),0,L21/J21)</ns0:f>
        <ns0:v>0.2222222222222222</ns0:v>
      </ns0:c>
      <ns0:c r="N21" s="4" t="n">
        <ns0:v>1</ns0:v>
      </ns0:c>
      <ns0:c r="O21" s="7">
        <ns0:f>I21*N21</ns0:f>
        <ns0:v>1</ns0:v>
      </ns0:c>
      <ns0:c r="P21" s="4" t="inlineStr">
        <ns0:is>
          <ns0:t>盾可多件；其他同一部位最多1件</ns0:t>
        </ns0:is>
      </ns0:c>
      <ns0:c r="Q21" s="4" t="inlineStr">
        <ns0:is>
          <ns0:t>无</ns0:t>
        </ns0:is>
      </ns0:c>
      <ns0:c r="R21" s="4" t="inlineStr">
        <ns0:is>
          <ns0:t>体力0／灵力0／数量0</ns0:t>
        </ns0:is>
      </ns0:c>
      <ns0:c r="S21" s="4" t="inlineStr">
        <ns0:is>
          <ns0:t>01 C01/I11；02状态；04；06 Link</ns0:t>
        </ns0:is>
      </ns0:c>
      <ns0:c r="T21" s="4" t="n"/>
      <ns0:c r="U21" s="6" t="inlineStr">
        <ns0:is>
          <ns0:t>候选数值，未试跑</ns0:t>
        </ns0:is>
      </ns0:c>
      <ns0:c r="V21" s="4" t="inlineStr">
        <ns0:is>
          <ns0:t>第1批基础；第2批微调；第3批复查；用户直接更正优先</ns0:t>
        </ns0:is>
      </ns0:c>
      <ns0:c r="W21" s="14" t="inlineStr">
        <ns0:is>
          <ns0:t>A09</ns0:t>
        </ns0:is>
      </ns0:c>
      <ns0:c r="X21" s="14" t="inlineStr">
        <ns0:is>
          <ns0:t>生机</ns0:t>
        </ns0:is>
      </ns0:c>
      <ns0:c r="Y21" s="14" t="n">
        <ns0:v>1</ns0:v>
      </ns0:c>
      <ns0:c r="Z21" s="14" t="inlineStr">
        <ns0:is>
          <ns0:t>轮转</ns0:t>
        </ns0:is>
      </ns0:c>
      <ns0:c r="AA21" s="14" t="n"/>
      <ns0:c r="AB21" s="14">
        <ns0:f>O21</ns0:f>
        <ns0:v>1</ns0:v>
      </ns0:c>
      <ns0:c r="AC21" s="14" t="inlineStr">
        <ns0:is>
          <ns0:t>t01.asset.0062.effect.01；t01.asset.0062.effect.02；t01.asset.0062.effect.03</ns0:t>
        </ns0:is>
      </ns0:c>
    </ns0:row>
    <ns0:row r="22" ht="70" customHeight="1">
      <ns0:c r="A22" s="4" t="inlineStr">
        <ns0:is>
          <ns0:t>t01.asset.0063</ns0:t>
        </ns0:is>
      </ns0:c>
      <ns0:c r="B22" s="4" t="inlineStr">
        <ns0:is>
          <ns0:t>风纹冠</ns0:t>
        </ns0:is>
      </ns0:c>
      <ns0:c r="C22" s="4" t="inlineStr">
        <ns0:is>
          <ns0:t>凡品</ns0:t>
        </ns0:is>
      </ns0:c>
      <ns0:c r="D22" s="4" t="inlineStr">
        <ns0:is>
          <ns0:t>风</ns0:t>
        </ns0:is>
      </ns0:c>
      <ns0:c r="E22" s="4" t="inlineStr">
        <ns0:is>
          <ns0:t>头具</ns0:t>
        </ns0:is>
      </ns0:c>
      <ns0:c r="F22" s="4" t="inlineStr">
        <ns0:is>
          <ns0:t>灵甲</ns0:t>
        </ns0:is>
      </ns0:c>
      <ns0:c r="G22" s="4" t="n">
        <ns0:v>1</ns0:v>
      </ns0:c>
      <ns0:c r="H22" s="4" t="n">
        <ns0:v>1</ns0:v>
      </ns0:c>
      <ns0:c r="I22" s="7">
        <ns0:f>G22*H22</ns0:f>
        <ns0:v>1</ns0:v>
      </ns0:c>
      <ns0:c r="J22" s="4" t="n">
        <ns0:v>8.5</ns0:v>
      </ns0:c>
      <ns0:c r="K22" s="4" t="n">
        <ns0:v>3</ns0:v>
      </ns0:c>
      <ns0:c r="L22" s="4" t="n">
        <ns0:v>2</ns0:v>
      </ns0:c>
      <ns0:c r="M22" s="7">
        <ns0:f>IF(OR(J22="",J22=0),0,L22/J22)</ns0:f>
        <ns0:v>0.23529411764705882</ns0:v>
      </ns0:c>
      <ns0:c r="N22" s="4" t="n">
        <ns0:v>1</ns0:v>
      </ns0:c>
      <ns0:c r="O22" s="7">
        <ns0:f>I22*N22</ns0:f>
        <ns0:v>1</ns0:v>
      </ns0:c>
      <ns0:c r="P22" s="4" t="inlineStr">
        <ns0:is>
          <ns0:t>盾可多件；其他同一部位最多1件</ns0:t>
        </ns0:is>
      </ns0:c>
      <ns0:c r="Q22" s="4" t="inlineStr">
        <ns0:is>
          <ns0:t>无</ns0:t>
        </ns0:is>
      </ns0:c>
      <ns0:c r="R22" s="4" t="inlineStr">
        <ns0:is>
          <ns0:t>体力0／灵力0／数量0</ns0:t>
        </ns0:is>
      </ns0:c>
      <ns0:c r="S22" s="4" t="inlineStr">
        <ns0:is>
          <ns0:t>01 C01/I11；02状态；04；06 Link</ns0:t>
        </ns0:is>
      </ns0:c>
      <ns0:c r="T22" s="4" t="n"/>
      <ns0:c r="U22" s="6" t="inlineStr">
        <ns0:is>
          <ns0:t>候选数值，未试跑</ns0:t>
        </ns0:is>
      </ns0:c>
      <ns0:c r="V22" s="4" t="inlineStr">
        <ns0:is>
          <ns0:t>第1批基础；第2批微调；第3批复查；用户直接更正优先</ns0:t>
        </ns0:is>
      </ns0:c>
      <ns0:c r="W22" s="14" t="inlineStr">
        <ns0:is>
          <ns0:t>A10</ns0:t>
        </ns0:is>
      </ns0:c>
      <ns0:c r="X22" s="14" t="inlineStr">
        <ns0:is>
          <ns0:t>轻灵</ns0:t>
        </ns0:is>
      </ns0:c>
      <ns0:c r="Y22" s="14" t="n">
        <ns0:v>1</ns0:v>
      </ns0:c>
      <ns0:c r="Z22" s="14" t="inlineStr">
        <ns0:is>
          <ns0:t>轮转</ns0:t>
        </ns0:is>
      </ns0:c>
      <ns0:c r="AA22" s="14" t="n"/>
      <ns0:c r="AB22" s="14">
        <ns0:f>O22</ns0:f>
        <ns0:v>1</ns0:v>
      </ns0:c>
      <ns0:c r="AC22" s="14" t="inlineStr">
        <ns0:is>
          <ns0:t>t01.asset.0063.effect.01；t01.asset.0063.effect.02；t01.asset.0063.effect.03</ns0:t>
        </ns0:is>
      </ns0:c>
    </ns0:row>
    <ns0:row r="23" ht="70" customHeight="1">
      <ns0:c r="A23" s="4" t="inlineStr">
        <ns0:is>
          <ns0:t>t01.asset.0064</ns0:t>
        </ns0:is>
      </ns0:c>
      <ns0:c r="B23" s="4" t="inlineStr">
        <ns0:is>
          <ns0:t>皮护臂</ns0:t>
        </ns0:is>
      </ns0:c>
      <ns0:c r="C23" s="4" t="inlineStr">
        <ns0:is>
          <ns0:t>凡品</ns0:t>
        </ns0:is>
      </ns0:c>
      <ns0:c r="D23" s="4" t="inlineStr">
        <ns0:is>
          <ns0:t>金</ns0:t>
        </ns0:is>
      </ns0:c>
      <ns0:c r="E23" s="4" t="inlineStr">
        <ns0:is>
          <ns0:t>护具·臂</ns0:t>
        </ns0:is>
      </ns0:c>
      <ns0:c r="F23" s="4" t="inlineStr">
        <ns0:is>
          <ns0:t>轻甲</ns0:t>
        </ns0:is>
      </ns0:c>
      <ns0:c r="G23" s="4" t="n">
        <ns0:v>1</ns0:v>
      </ns0:c>
      <ns0:c r="H23" s="4" t="n">
        <ns0:v>1</ns0:v>
      </ns0:c>
      <ns0:c r="I23" s="7">
        <ns0:f>G23*H23</ns0:f>
        <ns0:v>1</ns0:v>
      </ns0:c>
      <ns0:c r="J23" s="4" t="n">
        <ns0:v>7</ns0:v>
      </ns0:c>
      <ns0:c r="K23" s="4" t="n">
        <ns0:v>3</ns0:v>
      </ns0:c>
      <ns0:c r="L23" s="4" t="n">
        <ns0:v>2</ns0:v>
      </ns0:c>
      <ns0:c r="M23" s="7">
        <ns0:f>IF(OR(J23="",J23=0),0,L23/J23)</ns0:f>
        <ns0:v>0.2857142857142857</ns0:v>
      </ns0:c>
      <ns0:c r="N23" s="4" t="n">
        <ns0:v>1</ns0:v>
      </ns0:c>
      <ns0:c r="O23" s="7">
        <ns0:f>I23*N23</ns0:f>
        <ns0:v>1</ns0:v>
      </ns0:c>
      <ns0:c r="P23" s="4" t="inlineStr">
        <ns0:is>
          <ns0:t>盾可多件；其他同一部位最多1件</ns0:t>
        </ns0:is>
      </ns0:c>
      <ns0:c r="Q23" s="4" t="inlineStr">
        <ns0:is>
          <ns0:t>无</ns0:t>
        </ns0:is>
      </ns0:c>
      <ns0:c r="R23" s="4" t="inlineStr">
        <ns0:is>
          <ns0:t>体力0／灵力0／数量0</ns0:t>
        </ns0:is>
      </ns0:c>
      <ns0:c r="S23" s="4" t="inlineStr">
        <ns0:is>
          <ns0:t>01 C01/I11；02状态；04；06 Link</ns0:t>
        </ns0:is>
      </ns0:c>
      <ns0:c r="T23" s="4" t="n"/>
      <ns0:c r="U23" s="6" t="inlineStr">
        <ns0:is>
          <ns0:t>候选数值，未试跑</ns0:t>
        </ns0:is>
      </ns0:c>
      <ns0:c r="V23" s="4" t="inlineStr">
        <ns0:is>
          <ns0:t>第1批基础；第2批微调；第3批复查；用户直接更正优先</ns0:t>
        </ns0:is>
      </ns0:c>
      <ns0:c r="W23" s="14" t="inlineStr">
        <ns0:is>
          <ns0:t>A11</ns0:t>
        </ns0:is>
      </ns0:c>
      <ns0:c r="X23" s="14" t="inlineStr">
        <ns0:is>
          <ns0:t>反锋</ns0:t>
        </ns0:is>
      </ns0:c>
      <ns0:c r="Y23" s="14" t="n">
        <ns0:v>1</ns0:v>
      </ns0:c>
      <ns0:c r="Z23" s="14" t="inlineStr">
        <ns0:is>
          <ns0:t>受击</ns0:t>
        </ns0:is>
      </ns0:c>
      <ns0:c r="AA23" s="14" t="n">
        <ns0:v>9</ns0:v>
      </ns0:c>
      <ns0:c r="AB23" s="14">
        <ns0:f>O23</ns0:f>
        <ns0:v>1</ns0:v>
      </ns0:c>
      <ns0:c r="AC23" s="14" t="inlineStr">
        <ns0:is>
          <ns0:t>t01.asset.0064.effect.01；t01.asset.0064.effect.02；t01.asset.0064.effect.03</ns0:t>
        </ns0:is>
      </ns0:c>
    </ns0:row>
    <ns0:row r="24" ht="70" customHeight="1">
      <ns0:c r="A24" s="4" t="inlineStr">
        <ns0:is>
          <ns0:t>t01.asset.0065</ns0:t>
        </ns0:is>
      </ns0:c>
      <ns0:c r="B24" s="4" t="inlineStr">
        <ns0:is>
          <ns0:t>铁护腕</ns0:t>
        </ns0:is>
      </ns0:c>
      <ns0:c r="C24" s="4" t="inlineStr">
        <ns0:is>
          <ns0:t>凡品</ns0:t>
        </ns0:is>
      </ns0:c>
      <ns0:c r="D24" s="4" t="inlineStr">
        <ns0:is>
          <ns0:t>金</ns0:t>
        </ns0:is>
      </ns0:c>
      <ns0:c r="E24" s="4" t="inlineStr">
        <ns0:is>
          <ns0:t>护具·臂</ns0:t>
        </ns0:is>
      </ns0:c>
      <ns0:c r="F24" s="4" t="inlineStr">
        <ns0:is>
          <ns0:t>重甲</ns0:t>
        </ns0:is>
      </ns0:c>
      <ns0:c r="G24" s="4" t="n">
        <ns0:v>1</ns0:v>
      </ns0:c>
      <ns0:c r="H24" s="4" t="n">
        <ns0:v>1</ns0:v>
      </ns0:c>
      <ns0:c r="I24" s="7">
        <ns0:f>G24*H24</ns0:f>
        <ns0:v>1</ns0:v>
      </ns0:c>
      <ns0:c r="J24" s="4" t="n">
        <ns0:v>7.5</ns0:v>
      </ns0:c>
      <ns0:c r="K24" s="4" t="n">
        <ns0:v>3</ns0:v>
      </ns0:c>
      <ns0:c r="L24" s="4" t="n">
        <ns0:v>4</ns0:v>
      </ns0:c>
      <ns0:c r="M24" s="7">
        <ns0:f>IF(OR(J24="",J24=0),0,L24/J24)</ns0:f>
        <ns0:v>0.5333333333333333</ns0:v>
      </ns0:c>
      <ns0:c r="N24" s="4" t="n">
        <ns0:v>1</ns0:v>
      </ns0:c>
      <ns0:c r="O24" s="7">
        <ns0:f>I24*N24</ns0:f>
        <ns0:v>1</ns0:v>
      </ns0:c>
      <ns0:c r="P24" s="4" t="inlineStr">
        <ns0:is>
          <ns0:t>盾可多件；其他同一部位最多1件</ns0:t>
        </ns0:is>
      </ns0:c>
      <ns0:c r="Q24" s="4" t="inlineStr">
        <ns0:is>
          <ns0:t>铁甲三件_凡品</ns0:t>
        </ns0:is>
      </ns0:c>
      <ns0:c r="R24" s="4" t="inlineStr">
        <ns0:is>
          <ns0:t>体力0／灵力0／数量0</ns0:t>
        </ns0:is>
      </ns0:c>
      <ns0:c r="S24" s="4" t="inlineStr">
        <ns0:is>
          <ns0:t>01 C01/I11；02状态；04；06 Link</ns0:t>
        </ns0:is>
      </ns0:c>
      <ns0:c r="T24" s="4" t="n"/>
      <ns0:c r="U24" s="6" t="inlineStr">
        <ns0:is>
          <ns0:t>候选数值，未试跑</ns0:t>
        </ns0:is>
      </ns0:c>
      <ns0:c r="V24" s="4" t="inlineStr">
        <ns0:is>
          <ns0:t>第1批基础；第2批微调；第3批复查；用户直接更正优先</ns0:t>
        </ns0:is>
      </ns0:c>
      <ns0:c r="W24" s="14" t="inlineStr">
        <ns0:is>
          <ns0:t>A12</ns0:t>
        </ns0:is>
      </ns0:c>
      <ns0:c r="X24" s="14" t="inlineStr">
        <ns0:is>
          <ns0:t>反锋</ns0:t>
        </ns0:is>
      </ns0:c>
      <ns0:c r="Y24" s="14" t="n">
        <ns0:v>1</ns0:v>
      </ns0:c>
      <ns0:c r="Z24" s="14" t="inlineStr">
        <ns0:is>
          <ns0:t>轮转</ns0:t>
        </ns0:is>
      </ns0:c>
      <ns0:c r="AA24" s="14" t="n"/>
      <ns0:c r="AB24" s="14">
        <ns0:f>O24</ns0:f>
        <ns0:v>1</ns0:v>
      </ns0:c>
      <ns0:c r="AC24" s="14" t="inlineStr">
        <ns0:is>
          <ns0:t>t01.asset.0065.effect.01；t01.asset.0065.effect.02；t01.asset.0065.effect.03</ns0:t>
        </ns0:is>
      </ns0:c>
    </ns0:row>
    <ns0:row r="25" ht="70" customHeight="1">
      <ns0:c r="A25" s="4" t="inlineStr">
        <ns0:is>
          <ns0:t>t01.asset.0066</ns0:t>
        </ns0:is>
      </ns0:c>
      <ns0:c r="B25" s="4" t="inlineStr">
        <ns0:is>
          <ns0:t>水纹护臂</ns0:t>
        </ns0:is>
      </ns0:c>
      <ns0:c r="C25" s="4" t="inlineStr">
        <ns0:is>
          <ns0:t>凡品</ns0:t>
        </ns0:is>
      </ns0:c>
      <ns0:c r="D25" s="4" t="inlineStr">
        <ns0:is>
          <ns0:t>水</ns0:t>
        </ns0:is>
      </ns0:c>
      <ns0:c r="E25" s="4" t="inlineStr">
        <ns0:is>
          <ns0:t>护具·臂</ns0:t>
        </ns0:is>
      </ns0:c>
      <ns0:c r="F25" s="4" t="inlineStr">
        <ns0:is>
          <ns0:t>轻甲</ns0:t>
        </ns0:is>
      </ns0:c>
      <ns0:c r="G25" s="4" t="n">
        <ns0:v>1</ns0:v>
      </ns0:c>
      <ns0:c r="H25" s="4" t="n">
        <ns0:v>1</ns0:v>
      </ns0:c>
      <ns0:c r="I25" s="7">
        <ns0:f>G25*H25</ns0:f>
        <ns0:v>1</ns0:v>
      </ns0:c>
      <ns0:c r="J25" s="4" t="n">
        <ns0:v>8.5</ns0:v>
      </ns0:c>
      <ns0:c r="K25" s="4" t="n">
        <ns0:v>3</ns0:v>
      </ns0:c>
      <ns0:c r="L25" s="4" t="n">
        <ns0:v>2</ns0:v>
      </ns0:c>
      <ns0:c r="M25" s="7">
        <ns0:f>IF(OR(J25="",J25=0),0,L25/J25)</ns0:f>
        <ns0:v>0.23529411764705882</ns0:v>
      </ns0:c>
      <ns0:c r="N25" s="4" t="n">
        <ns0:v>1</ns0:v>
      </ns0:c>
      <ns0:c r="O25" s="7">
        <ns0:f>I25*N25</ns0:f>
        <ns0:v>1</ns0:v>
      </ns0:c>
      <ns0:c r="P25" s="4" t="inlineStr">
        <ns0:is>
          <ns0:t>盾可多件；其他同一部位最多1件</ns0:t>
        </ns0:is>
      </ns0:c>
      <ns0:c r="Q25" s="4" t="inlineStr">
        <ns0:is>
          <ns0:t>水纹三件</ns0:t>
        </ns0:is>
      </ns0:c>
      <ns0:c r="R25" s="4" t="inlineStr">
        <ns0:is>
          <ns0:t>体力0／灵力0／数量0</ns0:t>
        </ns0:is>
      </ns0:c>
      <ns0:c r="S25" s="4" t="inlineStr">
        <ns0:is>
          <ns0:t>01 C01/I11；02状态；04；06 Link</ns0:t>
        </ns0:is>
      </ns0:c>
      <ns0:c r="T25" s="4" t="n"/>
      <ns0:c r="U25" s="6" t="inlineStr">
        <ns0:is>
          <ns0:t>候选数值，未试跑</ns0:t>
        </ns0:is>
      </ns0:c>
      <ns0:c r="V25" s="4" t="inlineStr">
        <ns0:is>
          <ns0:t>第1批基础；第2批微调；第3批复查；用户直接更正优先</ns0:t>
        </ns0:is>
      </ns0:c>
      <ns0:c r="W25" s="14" t="inlineStr">
        <ns0:is>
          <ns0:t>A13</ns0:t>
        </ns0:is>
      </ns0:c>
      <ns0:c r="X25" s="14" t="inlineStr">
        <ns0:is>
          <ns0:t>润脉</ns0:t>
        </ns0:is>
      </ns0:c>
      <ns0:c r="Y25" s="14" t="n">
        <ns0:v>1</ns0:v>
      </ns0:c>
      <ns0:c r="Z25" s="14" t="inlineStr">
        <ns0:is>
          <ns0:t>受击</ns0:t>
        </ns0:is>
      </ns0:c>
      <ns0:c r="AA25" s="14" t="n">
        <ns0:v>9</ns0:v>
      </ns0:c>
      <ns0:c r="AB25" s="14">
        <ns0:f>O25</ns0:f>
        <ns0:v>1</ns0:v>
      </ns0:c>
      <ns0:c r="AC25" s="14" t="inlineStr">
        <ns0:is>
          <ns0:t>t01.asset.0066.effect.01；t01.asset.0066.effect.02；t01.asset.0066.effect.03</ns0:t>
        </ns0:is>
      </ns0:c>
    </ns0:row>
    <ns0:row r="26" ht="70" customHeight="1">
      <ns0:c r="A26" s="4" t="inlineStr">
        <ns0:is>
          <ns0:t>t01.asset.0067</ns0:t>
        </ns0:is>
      </ns0:c>
      <ns0:c r="B26" s="4" t="inlineStr">
        <ns0:is>
          <ns0:t>雷纹护腕</ns0:t>
        </ns0:is>
      </ns0:c>
      <ns0:c r="C26" s="4" t="inlineStr">
        <ns0:is>
          <ns0:t>凡品</ns0:t>
        </ns0:is>
      </ns0:c>
      <ns0:c r="D26" s="4" t="inlineStr">
        <ns0:is>
          <ns0:t>雷</ns0:t>
        </ns0:is>
      </ns0:c>
      <ns0:c r="E26" s="4" t="inlineStr">
        <ns0:is>
          <ns0:t>护具·臂</ns0:t>
        </ns0:is>
      </ns0:c>
      <ns0:c r="F26" s="4" t="inlineStr">
        <ns0:is>
          <ns0:t>重甲</ns0:t>
        </ns0:is>
      </ns0:c>
      <ns0:c r="G26" s="4" t="n">
        <ns0:v>1</ns0:v>
      </ns0:c>
      <ns0:c r="H26" s="4" t="n">
        <ns0:v>1</ns0:v>
      </ns0:c>
      <ns0:c r="I26" s="7">
        <ns0:f>G26*H26</ns0:f>
        <ns0:v>1</ns0:v>
      </ns0:c>
      <ns0:c r="J26" s="4" t="n">
        <ns0:v>9</ns0:v>
      </ns0:c>
      <ns0:c r="K26" s="4" t="n">
        <ns0:v>4</ns0:v>
      </ns0:c>
      <ns0:c r="L26" s="4" t="n">
        <ns0:v>3</ns0:v>
      </ns0:c>
      <ns0:c r="M26" s="7">
        <ns0:f>IF(OR(J26="",J26=0),0,L26/J26)</ns0:f>
        <ns0:v>0.3333333333333333</ns0:v>
      </ns0:c>
      <ns0:c r="N26" s="4" t="n">
        <ns0:v>1</ns0:v>
      </ns0:c>
      <ns0:c r="O26" s="7">
        <ns0:f>I26*N26</ns0:f>
        <ns0:v>1</ns0:v>
      </ns0:c>
      <ns0:c r="P26" s="4" t="inlineStr">
        <ns0:is>
          <ns0:t>盾可多件；其他同一部位最多1件</ns0:t>
        </ns0:is>
      </ns0:c>
      <ns0:c r="Q26" s="4" t="inlineStr">
        <ns0:is>
          <ns0:t>雷纹三件</ns0:t>
        </ns0:is>
      </ns0:c>
      <ns0:c r="R26" s="4" t="inlineStr">
        <ns0:is>
          <ns0:t>体力0／灵力0／数量0</ns0:t>
        </ns0:is>
      </ns0:c>
      <ns0:c r="S26" s="4" t="inlineStr">
        <ns0:is>
          <ns0:t>01 C01/I11；02状态；04；06 Link</ns0:t>
        </ns0:is>
      </ns0:c>
      <ns0:c r="T26" s="4" t="n"/>
      <ns0:c r="U26" s="6" t="inlineStr">
        <ns0:is>
          <ns0:t>候选数值，未试跑</ns0:t>
        </ns0:is>
      </ns0:c>
      <ns0:c r="V26" s="4" t="inlineStr">
        <ns0:is>
          <ns0:t>第1批基础；第2批微调；第3批复查；用户直接更正优先</ns0:t>
        </ns0:is>
      </ns0:c>
      <ns0:c r="W26" s="14" t="inlineStr">
        <ns0:is>
          <ns0:t>A14</ns0:t>
        </ns0:is>
      </ns0:c>
      <ns0:c r="X26" s="14" t="inlineStr">
        <ns0:is>
          <ns0:t>雷蕴</ns0:t>
        </ns0:is>
      </ns0:c>
      <ns0:c r="Y26" s="14" t="n">
        <ns0:v>2</ns0:v>
      </ns0:c>
      <ns0:c r="Z26" s="14" t="inlineStr">
        <ns0:is>
          <ns0:t>受击</ns0:t>
        </ns0:is>
      </ns0:c>
      <ns0:c r="AA26" s="14" t="n">
        <ns0:v>9</ns0:v>
      </ns0:c>
      <ns0:c r="AB26" s="14">
        <ns0:f>O26</ns0:f>
        <ns0:v>1</ns0:v>
      </ns0:c>
      <ns0:c r="AC26" s="14" t="inlineStr">
        <ns0:is>
          <ns0:t>t01.asset.0067.effect.01；t01.asset.0067.effect.02；t01.asset.0067.effect.03</ns0:t>
        </ns0:is>
      </ns0:c>
    </ns0:row>
    <ns0:row r="27" ht="70" customHeight="1">
      <ns0:c r="A27" s="4" t="inlineStr">
        <ns0:is>
          <ns0:t>t01.asset.0068</ns0:t>
        </ns0:is>
      </ns0:c>
      <ns0:c r="B27" s="4" t="inlineStr">
        <ns0:is>
          <ns0:t>皮护腿</ns0:t>
        </ns0:is>
      </ns0:c>
      <ns0:c r="C27" s="4" t="inlineStr">
        <ns0:is>
          <ns0:t>凡品</ns0:t>
        </ns0:is>
      </ns0:c>
      <ns0:c r="D27" s="4" t="inlineStr">
        <ns0:is>
          <ns0:t>风</ns0:t>
        </ns0:is>
      </ns0:c>
      <ns0:c r="E27" s="4" t="inlineStr">
        <ns0:is>
          <ns0:t>护具·腿</ns0:t>
        </ns0:is>
      </ns0:c>
      <ns0:c r="F27" s="4" t="inlineStr">
        <ns0:is>
          <ns0:t>轻甲</ns0:t>
        </ns0:is>
      </ns0:c>
      <ns0:c r="G27" s="4" t="n">
        <ns0:v>1</ns0:v>
      </ns0:c>
      <ns0:c r="H27" s="4" t="n">
        <ns0:v>1</ns0:v>
      </ns0:c>
      <ns0:c r="I27" s="7">
        <ns0:f>G27*H27</ns0:f>
        <ns0:v>1</ns0:v>
      </ns0:c>
      <ns0:c r="J27" s="4" t="n">
        <ns0:v>9</ns0:v>
      </ns0:c>
      <ns0:c r="K27" s="4" t="n">
        <ns0:v>4</ns0:v>
      </ns0:c>
      <ns0:c r="L27" s="4" t="n">
        <ns0:v>2</ns0:v>
      </ns0:c>
      <ns0:c r="M27" s="7">
        <ns0:f>IF(OR(J27="",J27=0),0,L27/J27)</ns0:f>
        <ns0:v>0.2222222222222222</ns0:v>
      </ns0:c>
      <ns0:c r="N27" s="4" t="n">
        <ns0:v>1</ns0:v>
      </ns0:c>
      <ns0:c r="O27" s="7">
        <ns0:f>I27*N27</ns0:f>
        <ns0:v>1</ns0:v>
      </ns0:c>
      <ns0:c r="P27" s="4" t="inlineStr">
        <ns0:is>
          <ns0:t>盾可多件；其他同一部位最多1件</ns0:t>
        </ns0:is>
      </ns0:c>
      <ns0:c r="Q27" s="4" t="inlineStr">
        <ns0:is>
          <ns0:t>无</ns0:t>
        </ns0:is>
      </ns0:c>
      <ns0:c r="R27" s="4" t="inlineStr">
        <ns0:is>
          <ns0:t>体力0／灵力0／数量0</ns0:t>
        </ns0:is>
      </ns0:c>
      <ns0:c r="S27" s="4" t="inlineStr">
        <ns0:is>
          <ns0:t>01 C01/I11；02状态；04；06 Link</ns0:t>
        </ns0:is>
      </ns0:c>
      <ns0:c r="T27" s="4" t="n"/>
      <ns0:c r="U27" s="6" t="inlineStr">
        <ns0:is>
          <ns0:t>候选数值，未试跑</ns0:t>
        </ns0:is>
      </ns0:c>
      <ns0:c r="V27" s="4" t="inlineStr">
        <ns0:is>
          <ns0:t>第1批基础；第2批微调；第3批复查；用户直接更正优先</ns0:t>
        </ns0:is>
      </ns0:c>
      <ns0:c r="W27" s="14" t="inlineStr">
        <ns0:is>
          <ns0:t>A15</ns0:t>
        </ns0:is>
      </ns0:c>
      <ns0:c r="X27" s="14" t="inlineStr">
        <ns0:is>
          <ns0:t>轻灵</ns0:t>
        </ns0:is>
      </ns0:c>
      <ns0:c r="Y27" s="14" t="n">
        <ns0:v>1</ns0:v>
      </ns0:c>
      <ns0:c r="Z27" s="14" t="inlineStr">
        <ns0:is>
          <ns0:t>轮转</ns0:t>
        </ns0:is>
      </ns0:c>
      <ns0:c r="AA27" s="14" t="n"/>
      <ns0:c r="AB27" s="14">
        <ns0:f>O27</ns0:f>
        <ns0:v>1</ns0:v>
      </ns0:c>
      <ns0:c r="AC27" s="14" t="inlineStr">
        <ns0:is>
          <ns0:t>t01.asset.0068.effect.01；t01.asset.0068.effect.02；t01.asset.0068.effect.03</ns0:t>
        </ns0:is>
      </ns0:c>
    </ns0:row>
    <ns0:row r="28" ht="70" customHeight="1">
      <ns0:c r="A28" s="4" t="inlineStr">
        <ns0:is>
          <ns0:t>t01.asset.0069</ns0:t>
        </ns0:is>
      </ns0:c>
      <ns0:c r="B28" s="4" t="inlineStr">
        <ns0:is>
          <ns0:t>铁胫甲</ns0:t>
        </ns0:is>
      </ns0:c>
      <ns0:c r="C28" s="4" t="inlineStr">
        <ns0:is>
          <ns0:t>凡品</ns0:t>
        </ns0:is>
      </ns0:c>
      <ns0:c r="D28" s="4" t="inlineStr">
        <ns0:is>
          <ns0:t>土</ns0:t>
        </ns0:is>
      </ns0:c>
      <ns0:c r="E28" s="4" t="inlineStr">
        <ns0:is>
          <ns0:t>护具·腿</ns0:t>
        </ns0:is>
      </ns0:c>
      <ns0:c r="F28" s="4" t="inlineStr">
        <ns0:is>
          <ns0:t>重甲</ns0:t>
        </ns0:is>
      </ns0:c>
      <ns0:c r="G28" s="4" t="n">
        <ns0:v>1</ns0:v>
      </ns0:c>
      <ns0:c r="H28" s="4" t="n">
        <ns0:v>1</ns0:v>
      </ns0:c>
      <ns0:c r="I28" s="7">
        <ns0:f>G28*H28</ns0:f>
        <ns0:v>1</ns0:v>
      </ns0:c>
      <ns0:c r="J28" s="4" t="n">
        <ns0:v>9</ns0:v>
      </ns0:c>
      <ns0:c r="K28" s="4" t="n">
        <ns0:v>4</ns0:v>
      </ns0:c>
      <ns0:c r="L28" s="4" t="n">
        <ns0:v>5</ns0:v>
      </ns0:c>
      <ns0:c r="M28" s="7">
        <ns0:f>IF(OR(J28="",J28=0),0,L28/J28)</ns0:f>
        <ns0:v>0.5555555555555556</ns0:v>
      </ns0:c>
      <ns0:c r="N28" s="4" t="n">
        <ns0:v>1</ns0:v>
      </ns0:c>
      <ns0:c r="O28" s="7">
        <ns0:f>I28*N28</ns0:f>
        <ns0:v>1</ns0:v>
      </ns0:c>
      <ns0:c r="P28" s="4" t="inlineStr">
        <ns0:is>
          <ns0:t>盾可多件；其他同一部位最多1件</ns0:t>
        </ns0:is>
      </ns0:c>
      <ns0:c r="Q28" s="4" t="inlineStr">
        <ns0:is>
          <ns0:t>铁甲三件_凡品</ns0:t>
        </ns0:is>
      </ns0:c>
      <ns0:c r="R28" s="4" t="inlineStr">
        <ns0:is>
          <ns0:t>体力0／灵力0／数量0</ns0:t>
        </ns0:is>
      </ns0:c>
      <ns0:c r="S28" s="4" t="inlineStr">
        <ns0:is>
          <ns0:t>01 C01/I11；02状态；04；06 Link</ns0:t>
        </ns0:is>
      </ns0:c>
      <ns0:c r="T28" s="4" t="n"/>
      <ns0:c r="U28" s="6" t="inlineStr">
        <ns0:is>
          <ns0:t>候选数值，未试跑</ns0:t>
        </ns0:is>
      </ns0:c>
      <ns0:c r="V28" s="4" t="inlineStr">
        <ns0:is>
          <ns0:t>第1批基础；第2批微调；第3批复查；用户直接更正优先</ns0:t>
        </ns0:is>
      </ns0:c>
      <ns0:c r="W28" s="14" t="inlineStr">
        <ns0:is>
          <ns0:t>A16</ns0:t>
        </ns0:is>
      </ns0:c>
      <ns0:c r="X28" s="14" t="inlineStr">
        <ns0:is>
          <ns0:t>坚韧</ns0:t>
        </ns0:is>
      </ns0:c>
      <ns0:c r="Y28" s="14" t="n">
        <ns0:v>2</ns0:v>
      </ns0:c>
      <ns0:c r="Z28" s="14" t="inlineStr">
        <ns0:is>
          <ns0:t>受击</ns0:t>
        </ns0:is>
      </ns0:c>
      <ns0:c r="AA28" s="14" t="n">
        <ns0:v>9</ns0:v>
      </ns0:c>
      <ns0:c r="AB28" s="14">
        <ns0:f>O28</ns0:f>
        <ns0:v>1</ns0:v>
      </ns0:c>
      <ns0:c r="AC28" s="14" t="inlineStr">
        <ns0:is>
          <ns0:t>t01.asset.0069.effect.01；t01.asset.0069.effect.02；t01.asset.0069.effect.03</ns0:t>
        </ns0:is>
      </ns0:c>
    </ns0:row>
    <ns0:row r="29" ht="70" customHeight="1">
      <ns0:c r="A29" s="4" t="inlineStr">
        <ns0:is>
          <ns0:t>t01.asset.0070</ns0:t>
        </ns0:is>
      </ns0:c>
      <ns0:c r="B29" s="4" t="inlineStr">
        <ns0:is>
          <ns0:t>水纹护腿</ns0:t>
        </ns0:is>
      </ns0:c>
      <ns0:c r="C29" s="4" t="inlineStr">
        <ns0:is>
          <ns0:t>凡品</ns0:t>
        </ns0:is>
      </ns0:c>
      <ns0:c r="D29" s="4" t="inlineStr">
        <ns0:is>
          <ns0:t>水</ns0:t>
        </ns0:is>
      </ns0:c>
      <ns0:c r="E29" s="4" t="inlineStr">
        <ns0:is>
          <ns0:t>护具·腿</ns0:t>
        </ns0:is>
      </ns0:c>
      <ns0:c r="F29" s="4" t="inlineStr">
        <ns0:is>
          <ns0:t>轻甲</ns0:t>
        </ns0:is>
      </ns0:c>
      <ns0:c r="G29" s="4" t="n">
        <ns0:v>1</ns0:v>
      </ns0:c>
      <ns0:c r="H29" s="4" t="n">
        <ns0:v>1</ns0:v>
      </ns0:c>
      <ns0:c r="I29" s="7">
        <ns0:f>G29*H29</ns0:f>
        <ns0:v>1</ns0:v>
      </ns0:c>
      <ns0:c r="J29" s="4" t="n">
        <ns0:v>8.5</ns0:v>
      </ns0:c>
      <ns0:c r="K29" s="4" t="n">
        <ns0:v>4</ns0:v>
      </ns0:c>
      <ns0:c r="L29" s="4" t="n">
        <ns0:v>3</ns0:v>
      </ns0:c>
      <ns0:c r="M29" s="7">
        <ns0:f>IF(OR(J29="",J29=0),0,L29/J29)</ns0:f>
        <ns0:v>0.35294117647058826</ns0:v>
      </ns0:c>
      <ns0:c r="N29" s="4" t="n">
        <ns0:v>1</ns0:v>
      </ns0:c>
      <ns0:c r="O29" s="7">
        <ns0:f>I29*N29</ns0:f>
        <ns0:v>1</ns0:v>
      </ns0:c>
      <ns0:c r="P29" s="4" t="inlineStr">
        <ns0:is>
          <ns0:t>盾可多件；其他同一部位最多1件</ns0:t>
        </ns0:is>
      </ns0:c>
      <ns0:c r="Q29" s="4" t="inlineStr">
        <ns0:is>
          <ns0:t>水纹三件</ns0:t>
        </ns0:is>
      </ns0:c>
      <ns0:c r="R29" s="4" t="inlineStr">
        <ns0:is>
          <ns0:t>体力0／灵力0／数量0</ns0:t>
        </ns0:is>
      </ns0:c>
      <ns0:c r="S29" s="4" t="inlineStr">
        <ns0:is>
          <ns0:t>01 C01/I11；02状态；04；06 Link</ns0:t>
        </ns0:is>
      </ns0:c>
      <ns0:c r="T29" s="4" t="n"/>
      <ns0:c r="U29" s="6" t="inlineStr">
        <ns0:is>
          <ns0:t>候选数值，未试跑</ns0:t>
        </ns0:is>
      </ns0:c>
      <ns0:c r="V29" s="4" t="inlineStr">
        <ns0:is>
          <ns0:t>第1批基础；第2批微调；第3批复查；用户直接更正优先</ns0:t>
        </ns0:is>
      </ns0:c>
      <ns0:c r="W29" s="14" t="inlineStr">
        <ns0:is>
          <ns0:t>A17</ns0:t>
        </ns0:is>
      </ns0:c>
      <ns0:c r="X29" s="14" t="inlineStr">
        <ns0:is>
          <ns0:t>润脉</ns0:t>
        </ns0:is>
      </ns0:c>
      <ns0:c r="Y29" s="14" t="n">
        <ns0:v>1</ns0:v>
      </ns0:c>
      <ns0:c r="Z29" s="14" t="inlineStr">
        <ns0:is>
          <ns0:t>轮转</ns0:t>
        </ns0:is>
      </ns0:c>
      <ns0:c r="AA29" s="14" t="n"/>
      <ns0:c r="AB29" s="14">
        <ns0:f>O29</ns0:f>
        <ns0:v>1</ns0:v>
      </ns0:c>
      <ns0:c r="AC29" s="14" t="inlineStr">
        <ns0:is>
          <ns0:t>t01.asset.0070.effect.01；t01.asset.0070.effect.02；t01.asset.0070.effect.03</ns0:t>
        </ns0:is>
      </ns0:c>
    </ns0:row>
    <ns0:row r="30" ht="70" customHeight="1">
      <ns0:c r="A30" s="4" t="inlineStr">
        <ns0:is>
          <ns0:t>t01.asset.0071</ns0:t>
        </ns0:is>
      </ns0:c>
      <ns0:c r="B30" s="4" t="inlineStr">
        <ns0:is>
          <ns0:t>藤甲护腿</ns0:t>
        </ns0:is>
      </ns0:c>
      <ns0:c r="C30" s="4" t="inlineStr">
        <ns0:is>
          <ns0:t>凡品</ns0:t>
        </ns0:is>
      </ns0:c>
      <ns0:c r="D30" s="4" t="inlineStr">
        <ns0:is>
          <ns0:t>木</ns0:t>
        </ns0:is>
      </ns0:c>
      <ns0:c r="E30" s="4" t="inlineStr">
        <ns0:is>
          <ns0:t>护具·腿</ns0:t>
        </ns0:is>
      </ns0:c>
      <ns0:c r="F30" s="4" t="inlineStr">
        <ns0:is>
          <ns0:t>重甲</ns0:t>
        </ns0:is>
      </ns0:c>
      <ns0:c r="G30" s="4" t="n">
        <ns0:v>1</ns0:v>
      </ns0:c>
      <ns0:c r="H30" s="4" t="n">
        <ns0:v>1</ns0:v>
      </ns0:c>
      <ns0:c r="I30" s="7">
        <ns0:f>G30*H30</ns0:f>
        <ns0:v>1</ns0:v>
      </ns0:c>
      <ns0:c r="J30" s="4" t="n">
        <ns0:v>10.5</ns0:v>
      </ns0:c>
      <ns0:c r="K30" s="4" t="n">
        <ns0:v>5</ns0:v>
      </ns0:c>
      <ns0:c r="L30" s="4" t="n">
        <ns0:v>4</ns0:v>
      </ns0:c>
      <ns0:c r="M30" s="7">
        <ns0:f>IF(OR(J30="",J30=0),0,L30/J30)</ns0:f>
        <ns0:v>0.38095238095238093</ns0:v>
      </ns0:c>
      <ns0:c r="N30" s="4" t="n">
        <ns0:v>1</ns0:v>
      </ns0:c>
      <ns0:c r="O30" s="7">
        <ns0:f>I30*N30</ns0:f>
        <ns0:v>1</ns0:v>
      </ns0:c>
      <ns0:c r="P30" s="4" t="inlineStr">
        <ns0:is>
          <ns0:t>盾可多件；其他同一部位最多1件</ns0:t>
        </ns0:is>
      </ns0:c>
      <ns0:c r="Q30" s="4" t="inlineStr">
        <ns0:is>
          <ns0:t>无</ns0:t>
        </ns0:is>
      </ns0:c>
      <ns0:c r="R30" s="4" t="inlineStr">
        <ns0:is>
          <ns0:t>体力0／灵力0／数量0</ns0:t>
        </ns0:is>
      </ns0:c>
      <ns0:c r="S30" s="4" t="inlineStr">
        <ns0:is>
          <ns0:t>01 C01/I11；02状态；04；06 Link</ns0:t>
        </ns0:is>
      </ns0:c>
      <ns0:c r="T30" s="4" t="n"/>
      <ns0:c r="U30" s="6" t="inlineStr">
        <ns0:is>
          <ns0:t>候选数值，未试跑</ns0:t>
        </ns0:is>
      </ns0:c>
      <ns0:c r="V30" s="4" t="inlineStr">
        <ns0:is>
          <ns0:t>第1批基础；第2批微调；第3批复查；用户直接更正优先</ns0:t>
        </ns0:is>
      </ns0:c>
      <ns0:c r="W30" s="14" t="inlineStr">
        <ns0:is>
          <ns0:t>A18</ns0:t>
        </ns0:is>
      </ns0:c>
      <ns0:c r="X30" s="14" t="inlineStr">
        <ns0:is>
          <ns0:t>生机</ns0:t>
        </ns0:is>
      </ns0:c>
      <ns0:c r="Y30" s="14" t="n">
        <ns0:v>2</ns0:v>
      </ns0:c>
      <ns0:c r="Z30" s="14" t="inlineStr">
        <ns0:is>
          <ns0:t>轮转</ns0:t>
        </ns0:is>
      </ns0:c>
      <ns0:c r="AA30" s="14" t="n"/>
      <ns0:c r="AB30" s="14">
        <ns0:f>O30</ns0:f>
        <ns0:v>1</ns0:v>
      </ns0:c>
      <ns0:c r="AC30" s="14" t="inlineStr">
        <ns0:is>
          <ns0:t>t01.asset.0071.effect.01；t01.asset.0071.effect.02；t01.asset.0071.effect.03</ns0:t>
        </ns0:is>
      </ns0:c>
    </ns0:row>
    <ns0:row r="31" ht="70" customHeight="1">
      <ns0:c r="A31" s="4" t="inlineStr">
        <ns0:is>
          <ns0:t>t01.asset.0072</ns0:t>
        </ns0:is>
      </ns0:c>
      <ns0:c r="B31" s="4" t="inlineStr">
        <ns0:is>
          <ns0:t>皮护肩</ns0:t>
        </ns0:is>
      </ns0:c>
      <ns0:c r="C31" s="4" t="inlineStr">
        <ns0:is>
          <ns0:t>凡品</ns0:t>
        </ns0:is>
      </ns0:c>
      <ns0:c r="D31" s="4" t="inlineStr">
        <ns0:is>
          <ns0:t>土</ns0:t>
        </ns0:is>
      </ns0:c>
      <ns0:c r="E31" s="4" t="inlineStr">
        <ns0:is>
          <ns0:t>护具·肩</ns0:t>
        </ns0:is>
      </ns0:c>
      <ns0:c r="F31" s="4" t="inlineStr">
        <ns0:is>
          <ns0:t>轻甲</ns0:t>
        </ns0:is>
      </ns0:c>
      <ns0:c r="G31" s="4" t="n">
        <ns0:v>1</ns0:v>
      </ns0:c>
      <ns0:c r="H31" s="4" t="n">
        <ns0:v>1</ns0:v>
      </ns0:c>
      <ns0:c r="I31" s="7">
        <ns0:f>G31*H31</ns0:f>
        <ns0:v>1</ns0:v>
      </ns0:c>
      <ns0:c r="J31" s="4" t="n"/>
      <ns0:c r="K31" s="4" t="n">
        <ns0:v>8</ns0:v>
      </ns0:c>
      <ns0:c r="L31" s="4" t="n">
        <ns0:v>0</ns0:v>
      </ns0:c>
      <ns0:c r="M31" s="7">
        <ns0:f>IF(OR(J31="",J31=0),0,L31/J31)</ns0:f>
        <ns0:v>0</ns0:v>
      </ns0:c>
      <ns0:c r="N31" s="4" t="n">
        <ns0:v>1</ns0:v>
      </ns0:c>
      <ns0:c r="O31" s="7">
        <ns0:f>I31*N31</ns0:f>
        <ns0:v>1</ns0:v>
      </ns0:c>
      <ns0:c r="P31" s="4" t="inlineStr">
        <ns0:is>
          <ns0:t>盾可多件；其他同一部位最多1件</ns0:t>
        </ns0:is>
      </ns0:c>
      <ns0:c r="Q31" s="4" t="inlineStr">
        <ns0:is>
          <ns0:t>无</ns0:t>
        </ns0:is>
      </ns0:c>
      <ns0:c r="R31" s="4" t="inlineStr">
        <ns0:is>
          <ns0:t>体力0／灵力0／数量0</ns0:t>
        </ns0:is>
      </ns0:c>
      <ns0:c r="S31" s="4" t="inlineStr">
        <ns0:is>
          <ns0:t>01 C01/I11；02状态；04；06 Link</ns0:t>
        </ns0:is>
      </ns0:c>
      <ns0:c r="T31" s="4" t="n"/>
      <ns0:c r="U31" s="6" t="inlineStr">
        <ns0:is>
          <ns0:t>候选数值，未试跑</ns0:t>
        </ns0:is>
      </ns0:c>
      <ns0:c r="V31" s="4" t="inlineStr">
        <ns0:is>
          <ns0:t>第1批基础；第2批微调；第3批复查；用户直接更正优先</ns0:t>
        </ns0:is>
      </ns0:c>
      <ns0:c r="W31" s="14" t="inlineStr">
        <ns0:is>
          <ns0:t>A19</ns0:t>
        </ns0:is>
      </ns0:c>
      <ns0:c r="X31" s="14" t="inlineStr">
        <ns0:is>
          <ns0:t>坚韧</ns0:t>
        </ns0:is>
      </ns0:c>
      <ns0:c r="Y31" s="14" t="n">
        <ns0:v>1</ns0:v>
      </ns0:c>
      <ns0:c r="Z31" s="14" t="inlineStr">
        <ns0:is>
          <ns0:t>受击</ns0:t>
        </ns0:is>
      </ns0:c>
      <ns0:c r="AA31" s="14" t="n">
        <ns0:v>9</ns0:v>
      </ns0:c>
      <ns0:c r="AB31" s="14">
        <ns0:f>O31</ns0:f>
        <ns0:v>1</ns0:v>
      </ns0:c>
      <ns0:c r="AC31" s="14" t="inlineStr">
        <ns0:is>
          <ns0:t>t01.asset.0072.effect.01；t01.asset.0072.effect.02</ns0:t>
        </ns0:is>
      </ns0:c>
    </ns0:row>
    <ns0:row r="32" ht="70" customHeight="1">
      <ns0:c r="A32" s="4" t="inlineStr">
        <ns0:is>
          <ns0:t>t01.asset.0073</ns0:t>
        </ns0:is>
      </ns0:c>
      <ns0:c r="B32" s="4" t="inlineStr">
        <ns0:is>
          <ns0:t>金纹护肩</ns0:t>
        </ns0:is>
      </ns0:c>
      <ns0:c r="C32" s="4" t="inlineStr">
        <ns0:is>
          <ns0:t>凡品</ns0:t>
        </ns0:is>
      </ns0:c>
      <ns0:c r="D32" s="4" t="inlineStr">
        <ns0:is>
          <ns0:t>金</ns0:t>
        </ns0:is>
      </ns0:c>
      <ns0:c r="E32" s="4" t="inlineStr">
        <ns0:is>
          <ns0:t>护具·肩</ns0:t>
        </ns0:is>
      </ns0:c>
      <ns0:c r="F32" s="4" t="inlineStr">
        <ns0:is>
          <ns0:t>重甲</ns0:t>
        </ns0:is>
      </ns0:c>
      <ns0:c r="G32" s="4" t="n">
        <ns0:v>1</ns0:v>
      </ns0:c>
      <ns0:c r="H32" s="4" t="n">
        <ns0:v>1</ns0:v>
      </ns0:c>
      <ns0:c r="I32" s="7">
        <ns0:f>G32*H32</ns0:f>
        <ns0:v>1</ns0:v>
      </ns0:c>
      <ns0:c r="J32" s="4" t="n">
        <ns0:v>9</ns0:v>
      </ns0:c>
      <ns0:c r="K32" s="4" t="n">
        <ns0:v>6</ns0:v>
      </ns0:c>
      <ns0:c r="L32" s="4" t="n">
        <ns0:v>3</ns0:v>
      </ns0:c>
      <ns0:c r="M32" s="7">
        <ns0:f>IF(OR(J32="",J32=0),0,L32/J32)</ns0:f>
        <ns0:v>0.3333333333333333</ns0:v>
      </ns0:c>
      <ns0:c r="N32" s="4" t="n">
        <ns0:v>1</ns0:v>
      </ns0:c>
      <ns0:c r="O32" s="7">
        <ns0:f>I32*N32</ns0:f>
        <ns0:v>1</ns0:v>
      </ns0:c>
      <ns0:c r="P32" s="4" t="inlineStr">
        <ns0:is>
          <ns0:t>盾可多件；其他同一部位最多1件</ns0:t>
        </ns0:is>
      </ns0:c>
      <ns0:c r="Q32" s="4" t="inlineStr">
        <ns0:is>
          <ns0:t>无</ns0:t>
        </ns0:is>
      </ns0:c>
      <ns0:c r="R32" s="4" t="inlineStr">
        <ns0:is>
          <ns0:t>体力0／灵力0／数量0</ns0:t>
        </ns0:is>
      </ns0:c>
      <ns0:c r="S32" s="4" t="inlineStr">
        <ns0:is>
          <ns0:t>01 C01/I11；02状态；04；06 Link</ns0:t>
        </ns0:is>
      </ns0:c>
      <ns0:c r="T32" s="4" t="n"/>
      <ns0:c r="U32" s="6" t="inlineStr">
        <ns0:is>
          <ns0:t>候选数值，未试跑</ns0:t>
        </ns0:is>
      </ns0:c>
      <ns0:c r="V32" s="4" t="inlineStr">
        <ns0:is>
          <ns0:t>第1批基础；第2批微调；第3批复查；用户直接更正优先</ns0:t>
        </ns0:is>
      </ns0:c>
      <ns0:c r="W32" s="14" t="inlineStr">
        <ns0:is>
          <ns0:t>A20</ns0:t>
        </ns0:is>
      </ns0:c>
      <ns0:c r="X32" s="14" t="inlineStr">
        <ns0:is>
          <ns0:t>反锋</ns0:t>
        </ns0:is>
      </ns0:c>
      <ns0:c r="Y32" s="14" t="n">
        <ns0:v>2</ns0:v>
      </ns0:c>
      <ns0:c r="Z32" s="14" t="inlineStr">
        <ns0:is>
          <ns0:t>受击</ns0:t>
        </ns0:is>
      </ns0:c>
      <ns0:c r="AA32" s="14" t="n">
        <ns0:v>9</ns0:v>
      </ns0:c>
      <ns0:c r="AB32" s="14">
        <ns0:f>O32</ns0:f>
        <ns0:v>1</ns0:v>
      </ns0:c>
      <ns0:c r="AC32" s="14" t="inlineStr">
        <ns0:is>
          <ns0:t>t01.asset.0073.effect.01；t01.asset.0073.effect.02；t01.asset.0073.effect.03</ns0:t>
        </ns0:is>
      </ns0:c>
    </ns0:row>
    <ns0:row r="33" ht="70" customHeight="1">
      <ns0:c r="A33" s="4" t="inlineStr">
        <ns0:is>
          <ns0:t>t01.asset.0074</ns0:t>
        </ns0:is>
      </ns0:c>
      <ns0:c r="B33" s="4" t="inlineStr">
        <ns0:is>
          <ns0:t>灵丝腰带</ns0:t>
        </ns0:is>
      </ns0:c>
      <ns0:c r="C33" s="4" t="inlineStr">
        <ns0:is>
          <ns0:t>凡品</ns0:t>
        </ns0:is>
      </ns0:c>
      <ns0:c r="D33" s="4" t="inlineStr">
        <ns0:is>
          <ns0:t>风</ns0:t>
        </ns0:is>
      </ns0:c>
      <ns0:c r="E33" s="4" t="inlineStr">
        <ns0:is>
          <ns0:t>护具·腰</ns0:t>
        </ns0:is>
      </ns0:c>
      <ns0:c r="F33" s="4" t="inlineStr">
        <ns0:is>
          <ns0:t>灵甲</ns0:t>
        </ns0:is>
      </ns0:c>
      <ns0:c r="G33" s="4" t="n">
        <ns0:v>1</ns0:v>
      </ns0:c>
      <ns0:c r="H33" s="4" t="n">
        <ns0:v>1</ns0:v>
      </ns0:c>
      <ns0:c r="I33" s="7">
        <ns0:f>G33*H33</ns0:f>
        <ns0:v>1</ns0:v>
      </ns0:c>
      <ns0:c r="J33" s="4" t="n">
        <ns0:v>9</ns0:v>
      </ns0:c>
      <ns0:c r="K33" s="4" t="n">
        <ns0:v>3</ns0:v>
      </ns0:c>
      <ns0:c r="L33" s="4" t="n">
        <ns0:v>0</ns0:v>
      </ns0:c>
      <ns0:c r="M33" s="7">
        <ns0:f>IF(OR(J33="",J33=0),0,L33/J33)</ns0:f>
        <ns0:v>0.0</ns0:v>
      </ns0:c>
      <ns0:c r="N33" s="4" t="n">
        <ns0:v>1</ns0:v>
      </ns0:c>
      <ns0:c r="O33" s="7">
        <ns0:f>I33*N33</ns0:f>
        <ns0:v>1</ns0:v>
      </ns0:c>
      <ns0:c r="P33" s="4" t="inlineStr">
        <ns0:is>
          <ns0:t>盾可多件；其他同一部位最多1件</ns0:t>
        </ns0:is>
      </ns0:c>
      <ns0:c r="Q33" s="4" t="inlineStr">
        <ns0:is>
          <ns0:t>无</ns0:t>
        </ns0:is>
      </ns0:c>
      <ns0:c r="R33" s="4" t="inlineStr">
        <ns0:is>
          <ns0:t>体力0／灵力0／数量0</ns0:t>
        </ns0:is>
      </ns0:c>
      <ns0:c r="S33" s="4" t="inlineStr">
        <ns0:is>
          <ns0:t>01 C01/I11；02状态；04；06 Link</ns0:t>
        </ns0:is>
      </ns0:c>
      <ns0:c r="T33" s="4" t="n"/>
      <ns0:c r="U33" s="6" t="inlineStr">
        <ns0:is>
          <ns0:t>候选数值，未试跑</ns0:t>
        </ns0:is>
      </ns0:c>
      <ns0:c r="V33" s="4" t="inlineStr">
        <ns0:is>
          <ns0:t>第1批基础；第2批微调；第3批复查；用户直接更正优先</ns0:t>
        </ns0:is>
      </ns0:c>
      <ns0:c r="W33" s="14" t="inlineStr">
        <ns0:is>
          <ns0:t>A21</ns0:t>
        </ns0:is>
      </ns0:c>
      <ns0:c r="X33" s="14" t="inlineStr">
        <ns0:is>
          <ns0:t>轻灵</ns0:t>
        </ns0:is>
      </ns0:c>
      <ns0:c r="Y33" s="14" t="n">
        <ns0:v>2</ns0:v>
      </ns0:c>
      <ns0:c r="Z33" s="14" t="inlineStr">
        <ns0:is>
          <ns0:t>轮转</ns0:t>
        </ns0:is>
      </ns0:c>
      <ns0:c r="AA33" s="14" t="n"/>
      <ns0:c r="AB33" s="14">
        <ns0:f>O33</ns0:f>
        <ns0:v>1</ns0:v>
      </ns0:c>
      <ns0:c r="AC33" s="14" t="inlineStr">
        <ns0:is>
          <ns0:t>t01.asset.0074.effect.01；t01.asset.0074.effect.02</ns0:t>
        </ns0:is>
      </ns0:c>
    </ns0:row>
    <ns0:row r="34" ht="70" customHeight="1">
      <ns0:c r="A34" s="4" t="inlineStr">
        <ns0:is>
          <ns0:t>t01.asset.0075</ns0:t>
        </ns0:is>
      </ns0:c>
      <ns0:c r="B34" s="4" t="inlineStr">
        <ns0:is>
          <ns0:t>包铁木盾</ns0:t>
        </ns0:is>
      </ns0:c>
      <ns0:c r="C34" s="4" t="inlineStr">
        <ns0:is>
          <ns0:t>凡品</ns0:t>
        </ns0:is>
      </ns0:c>
      <ns0:c r="D34" s="4" t="inlineStr">
        <ns0:is>
          <ns0:t>木</ns0:t>
        </ns0:is>
      </ns0:c>
      <ns0:c r="E34" s="4" t="inlineStr">
        <ns0:is>
          <ns0:t>盾</ns0:t>
        </ns0:is>
      </ns0:c>
      <ns0:c r="F34" s="4" t="inlineStr">
        <ns0:is>
          <ns0:t>轻甲</ns0:t>
        </ns0:is>
      </ns0:c>
      <ns0:c r="G34" s="4" t="n">
        <ns0:v>1</ns0:v>
      </ns0:c>
      <ns0:c r="H34" s="4" t="n">
        <ns0:v>2</ns0:v>
      </ns0:c>
      <ns0:c r="I34" s="7">
        <ns0:f>G34*H34</ns0:f>
        <ns0:v>2</ns0:v>
      </ns0:c>
      <ns0:c r="J34" s="4" t="n">
        <ns0:v>7.5</ns0:v>
      </ns0:c>
      <ns0:c r="K34" s="4" t="n">
        <ns0:v>5</ns0:v>
      </ns0:c>
      <ns0:c r="L34" s="4" t="n">
        <ns0:v>6</ns0:v>
      </ns0:c>
      <ns0:c r="M34" s="7">
        <ns0:f>IF(OR(J34="",J34=0),0,L34/J34)</ns0:f>
        <ns0:v>0.8</ns0:v>
      </ns0:c>
      <ns0:c r="N34" s="4" t="n">
        <ns0:v>1</ns0:v>
      </ns0:c>
      <ns0:c r="O34" s="7">
        <ns0:f>I34*N34</ns0:f>
        <ns0:v>2</ns0:v>
      </ns0:c>
      <ns0:c r="P34" s="4" t="inlineStr">
        <ns0:is>
          <ns0:t>盾可多件；其他同一部位最多1件</ns0:t>
        </ns0:is>
      </ns0:c>
      <ns0:c r="Q34" s="4" t="inlineStr">
        <ns0:is>
          <ns0:t>无</ns0:t>
        </ns0:is>
      </ns0:c>
      <ns0:c r="R34" s="4" t="inlineStr">
        <ns0:is>
          <ns0:t>体力0／灵力0／数量0</ns0:t>
        </ns0:is>
      </ns0:c>
      <ns0:c r="S34" s="4" t="inlineStr">
        <ns0:is>
          <ns0:t>01 C01/I11；02状态；04；06 Link</ns0:t>
        </ns0:is>
      </ns0:c>
      <ns0:c r="T34" s="4" t="n"/>
      <ns0:c r="U34" s="6" t="inlineStr">
        <ns0:is>
          <ns0:t>候选数值，未试跑</ns0:t>
        </ns0:is>
      </ns0:c>
      <ns0:c r="V34" s="4" t="inlineStr">
        <ns0:is>
          <ns0:t>第1批基础；第2批微调；第3批复查；用户直接更正优先</ns0:t>
        </ns0:is>
      </ns0:c>
      <ns0:c r="W34" s="14" t="inlineStr">
        <ns0:is>
          <ns0:t>A22</ns0:t>
        </ns0:is>
      </ns0:c>
      <ns0:c r="X34" s="14" t="inlineStr">
        <ns0:is>
          <ns0:t>生机</ns0:t>
        </ns0:is>
      </ns0:c>
      <ns0:c r="Y34" s="14" t="n">
        <ns0:v>1</ns0:v>
      </ns0:c>
      <ns0:c r="Z34" s="14" t="inlineStr">
        <ns0:is>
          <ns0:t>轮转</ns0:t>
        </ns0:is>
      </ns0:c>
      <ns0:c r="AA34" s="14" t="n"/>
      <ns0:c r="AB34" s="14">
        <ns0:f>O34</ns0:f>
        <ns0:v>2</ns0:v>
      </ns0:c>
      <ns0:c r="AC34" s="14" t="inlineStr">
        <ns0:is>
          <ns0:t>t01.asset.0075.effect.01；t01.asset.0075.effect.02；t01.asset.0075.effect.03</ns0:t>
        </ns0:is>
      </ns0:c>
    </ns0:row>
    <ns0:row r="35" ht="70" customHeight="1">
      <ns0:c r="A35" s="4" t="inlineStr">
        <ns0:is>
          <ns0:t>t01.asset.0076</ns0:t>
        </ns0:is>
      </ns0:c>
      <ns0:c r="B35" s="4" t="inlineStr">
        <ns0:is>
          <ns0:t>铁盾</ns0:t>
        </ns0:is>
      </ns0:c>
      <ns0:c r="C35" s="4" t="inlineStr">
        <ns0:is>
          <ns0:t>凡品</ns0:t>
        </ns0:is>
      </ns0:c>
      <ns0:c r="D35" s="4" t="inlineStr">
        <ns0:is>
          <ns0:t>金</ns0:t>
        </ns0:is>
      </ns0:c>
      <ns0:c r="E35" s="4" t="inlineStr">
        <ns0:is>
          <ns0:t>盾</ns0:t>
        </ns0:is>
      </ns0:c>
      <ns0:c r="F35" s="4" t="inlineStr">
        <ns0:is>
          <ns0:t>重甲</ns0:t>
        </ns0:is>
      </ns0:c>
      <ns0:c r="G35" s="4" t="n">
        <ns0:v>1</ns0:v>
      </ns0:c>
      <ns0:c r="H35" s="4" t="n">
        <ns0:v>2</ns0:v>
      </ns0:c>
      <ns0:c r="I35" s="7">
        <ns0:f>G35*H35</ns0:f>
        <ns0:v>2</ns0:v>
      </ns0:c>
      <ns0:c r="J35" s="4" t="n">
        <ns0:v>9</ns0:v>
      </ns0:c>
      <ns0:c r="K35" s="4" t="n">
        <ns0:v>8</ns0:v>
      </ns0:c>
      <ns0:c r="L35" s="4" t="n">
        <ns0:v>5</ns0:v>
      </ns0:c>
      <ns0:c r="M35" s="7">
        <ns0:f>IF(OR(J35="",J35=0),0,L35/J35)</ns0:f>
        <ns0:v>0.5555555555555556</ns0:v>
      </ns0:c>
      <ns0:c r="N35" s="4" t="n">
        <ns0:v>1</ns0:v>
      </ns0:c>
      <ns0:c r="O35" s="7">
        <ns0:f>I35*N35</ns0:f>
        <ns0:v>2</ns0:v>
      </ns0:c>
      <ns0:c r="P35" s="4" t="inlineStr">
        <ns0:is>
          <ns0:t>盾可多件；其他同一部位最多1件</ns0:t>
        </ns0:is>
      </ns0:c>
      <ns0:c r="Q35" s="4" t="inlineStr">
        <ns0:is>
          <ns0:t>无</ns0:t>
        </ns0:is>
      </ns0:c>
      <ns0:c r="R35" s="4" t="inlineStr">
        <ns0:is>
          <ns0:t>体力0／灵力0／数量0</ns0:t>
        </ns0:is>
      </ns0:c>
      <ns0:c r="S35" s="4" t="inlineStr">
        <ns0:is>
          <ns0:t>01 C01/I11；02状态；04；06 Link</ns0:t>
        </ns0:is>
      </ns0:c>
      <ns0:c r="T35" s="4" t="n"/>
      <ns0:c r="U35" s="6" t="inlineStr">
        <ns0:is>
          <ns0:t>候选数值，未试跑</ns0:t>
        </ns0:is>
      </ns0:c>
      <ns0:c r="V35" s="4" t="inlineStr">
        <ns0:is>
          <ns0:t>第1批基础；第2批微调；第3批复查；用户直接更正优先</ns0:t>
        </ns0:is>
      </ns0:c>
      <ns0:c r="W35" s="14" t="inlineStr">
        <ns0:is>
          <ns0:t>A23</ns0:t>
        </ns0:is>
      </ns0:c>
      <ns0:c r="X35" s="14" t="inlineStr">
        <ns0:is>
          <ns0:t>反锋</ns0:t>
        </ns0:is>
      </ns0:c>
      <ns0:c r="Y35" s="14" t="n">
        <ns0:v>2</ns0:v>
      </ns0:c>
      <ns0:c r="Z35" s="14" t="inlineStr">
        <ns0:is>
          <ns0:t>受击</ns0:t>
        </ns0:is>
      </ns0:c>
      <ns0:c r="AA35" s="14" t="n">
        <ns0:v>9</ns0:v>
      </ns0:c>
      <ns0:c r="AB35" s="14">
        <ns0:f>O35</ns0:f>
        <ns0:v>2</ns0:v>
      </ns0:c>
      <ns0:c r="AC35" s="14" t="inlineStr">
        <ns0:is>
          <ns0:t>t01.asset.0076.effect.01；t01.asset.0076.effect.02；t01.asset.0076.effect.03</ns0:t>
        </ns0:is>
      </ns0:c>
    </ns0:row>
    <ns0:row r="36" ht="70" customHeight="1">
      <ns0:c r="A36" s="4" t="inlineStr">
        <ns0:is>
          <ns0:t>t01.asset.0077</ns0:t>
        </ns0:is>
      </ns0:c>
      <ns0:c r="B36" s="4" t="inlineStr">
        <ns0:is>
          <ns0:t>水纹盾</ns0:t>
        </ns0:is>
      </ns0:c>
      <ns0:c r="C36" s="4" t="inlineStr">
        <ns0:is>
          <ns0:t>凡品</ns0:t>
        </ns0:is>
      </ns0:c>
      <ns0:c r="D36" s="4" t="inlineStr">
        <ns0:is>
          <ns0:t>水</ns0:t>
        </ns0:is>
      </ns0:c>
      <ns0:c r="E36" s="4" t="inlineStr">
        <ns0:is>
          <ns0:t>盾</ns0:t>
        </ns0:is>
      </ns0:c>
      <ns0:c r="F36" s="4" t="inlineStr">
        <ns0:is>
          <ns0:t>轻甲</ns0:t>
        </ns0:is>
      </ns0:c>
      <ns0:c r="G36" s="4" t="n">
        <ns0:v>1</ns0:v>
      </ns0:c>
      <ns0:c r="H36" s="4" t="n">
        <ns0:v>2</ns0:v>
      </ns0:c>
      <ns0:c r="I36" s="7">
        <ns0:f>G36*H36</ns0:f>
        <ns0:v>2</ns0:v>
      </ns0:c>
      <ns0:c r="J36" s="4" t="n">
        <ns0:v>8.5</ns0:v>
      </ns0:c>
      <ns0:c r="K36" s="4" t="n">
        <ns0:v>6</ns0:v>
      </ns0:c>
      <ns0:c r="L36" s="4" t="n">
        <ns0:v>5</ns0:v>
      </ns0:c>
      <ns0:c r="M36" s="7">
        <ns0:f>IF(OR(J36="",J36=0),0,L36/J36)</ns0:f>
        <ns0:v>0.5882352941176471</ns0:v>
      </ns0:c>
      <ns0:c r="N36" s="4" t="n">
        <ns0:v>1</ns0:v>
      </ns0:c>
      <ns0:c r="O36" s="7">
        <ns0:f>I36*N36</ns0:f>
        <ns0:v>2</ns0:v>
      </ns0:c>
      <ns0:c r="P36" s="4" t="inlineStr">
        <ns0:is>
          <ns0:t>盾可多件；其他同一部位最多1件</ns0:t>
        </ns0:is>
      </ns0:c>
      <ns0:c r="Q36" s="4" t="inlineStr">
        <ns0:is>
          <ns0:t>无</ns0:t>
        </ns0:is>
      </ns0:c>
      <ns0:c r="R36" s="4" t="inlineStr">
        <ns0:is>
          <ns0:t>体力0／灵力0／数量0</ns0:t>
        </ns0:is>
      </ns0:c>
      <ns0:c r="S36" s="4" t="inlineStr">
        <ns0:is>
          <ns0:t>01 C01/I11；02状态；04；06 Link</ns0:t>
        </ns0:is>
      </ns0:c>
      <ns0:c r="T36" s="4" t="n"/>
      <ns0:c r="U36" s="6" t="inlineStr">
        <ns0:is>
          <ns0:t>候选数值，未试跑</ns0:t>
        </ns0:is>
      </ns0:c>
      <ns0:c r="V36" s="4" t="inlineStr">
        <ns0:is>
          <ns0:t>第1批基础；第2批微调；第3批复查；用户直接更正优先</ns0:t>
        </ns0:is>
      </ns0:c>
      <ns0:c r="W36" s="14" t="inlineStr">
        <ns0:is>
          <ns0:t>A24</ns0:t>
        </ns0:is>
      </ns0:c>
      <ns0:c r="X36" s="14" t="inlineStr">
        <ns0:is>
          <ns0:t>润脉</ns0:t>
        </ns0:is>
      </ns0:c>
      <ns0:c r="Y36" s="14" t="n">
        <ns0:v>1</ns0:v>
      </ns0:c>
      <ns0:c r="Z36" s="14" t="inlineStr">
        <ns0:is>
          <ns0:t>轮转</ns0:t>
        </ns0:is>
      </ns0:c>
      <ns0:c r="AA36" s="14" t="n"/>
      <ns0:c r="AB36" s="14">
        <ns0:f>O36</ns0:f>
        <ns0:v>2</ns0:v>
      </ns0:c>
      <ns0:c r="AC36" s="14" t="inlineStr">
        <ns0:is>
          <ns0:t>t01.asset.0077.effect.01；t01.asset.0077.effect.02；t01.asset.0077.effect.03</ns0:t>
        </ns0:is>
      </ns0:c>
    </ns0:row>
    <ns0:row r="37" ht="70" customHeight="1">
      <ns0:c r="A37" s="4" t="inlineStr">
        <ns0:is>
          <ns0:t>t01.asset.0078</ns0:t>
        </ns0:is>
      </ns0:c>
      <ns0:c r="B37" s="4" t="inlineStr">
        <ns0:is>
          <ns0:t>束甲带</ns0:t>
        </ns0:is>
      </ns0:c>
      <ns0:c r="C37" s="4" t="inlineStr">
        <ns0:is>
          <ns0:t>凡品</ns0:t>
        </ns0:is>
      </ns0:c>
      <ns0:c r="D37" s="4" t="inlineStr">
        <ns0:is>
          <ns0:t>NONE</ns0:t>
        </ns0:is>
      </ns0:c>
      <ns0:c r="E37" s="4" t="inlineStr">
        <ns0:is>
          <ns0:t>护具·腰</ns0:t>
        </ns0:is>
      </ns0:c>
      <ns0:c r="F37" s="4" t="inlineStr">
        <ns0:is>
          <ns0:t>重甲</ns0:t>
        </ns0:is>
      </ns0:c>
      <ns0:c r="G37" s="4" t="n">
        <ns0:v>1</ns0:v>
      </ns0:c>
      <ns0:c r="H37" s="4" t="n">
        <ns0:v>1</ns0:v>
      </ns0:c>
      <ns0:c r="I37" s="7">
        <ns0:f>G37*H37</ns0:f>
        <ns0:v>1</ns0:v>
      </ns0:c>
      <ns0:c r="J37" s="4" t="n"/>
      <ns0:c r="K37" s="4" t="n">
        <ns0:v>12</ns0:v>
      </ns0:c>
      <ns0:c r="L37" s="4" t="n">
        <ns0:v>0</ns0:v>
      </ns0:c>
      <ns0:c r="M37" s="7">
        <ns0:f>IF(OR(J37="",J37=0),0,L37/J37)</ns0:f>
        <ns0:v>0</ns0:v>
      </ns0:c>
      <ns0:c r="N37" s="4" t="n">
        <ns0:v>1</ns0:v>
      </ns0:c>
      <ns0:c r="O37" s="7">
        <ns0:f>I37*N37</ns0:f>
        <ns0:v>1</ns0:v>
      </ns0:c>
      <ns0:c r="P37" s="4" t="inlineStr">
        <ns0:is>
          <ns0:t>盾可多件；其他同一部位最多1件</ns0:t>
        </ns0:is>
      </ns0:c>
      <ns0:c r="Q37" s="4" t="inlineStr">
        <ns0:is>
          <ns0:t>无</ns0:t>
        </ns0:is>
      </ns0:c>
      <ns0:c r="R37" s="4" t="inlineStr">
        <ns0:is>
          <ns0:t>体力0／灵力0／数量0</ns0:t>
        </ns0:is>
      </ns0:c>
      <ns0:c r="S37" s="4" t="inlineStr">
        <ns0:is>
          <ns0:t>01 C01/I11；02状态；04；06 Link</ns0:t>
        </ns0:is>
      </ns0:c>
      <ns0:c r="T37" s="4" t="n"/>
      <ns0:c r="U37" s="6" t="inlineStr">
        <ns0:is>
          <ns0:t>候选数值，未试跑</ns0:t>
        </ns0:is>
      </ns0:c>
      <ns0:c r="V37" s="4" t="inlineStr">
        <ns0:is>
          <ns0:t>第1批基础；第2批微调；第3批复查；用户直接更正优先</ns0:t>
        </ns0:is>
      </ns0:c>
      <ns0:c r="W37" s="14" t="inlineStr">
        <ns0:is>
          <ns0:t>A26</ns0:t>
        </ns0:is>
      </ns0:c>
      <ns0:c r="X37" s="14" t="n"/>
      <ns0:c r="Y37" s="14" t="n"/>
      <ns0:c r="Z37" s="14" t="inlineStr">
        <ns0:is>
          <ns0:t>无</ns0:t>
        </ns0:is>
      </ns0:c>
      <ns0:c r="AA37" s="14" t="n"/>
      <ns0:c r="AB37" s="14">
        <ns0:f>O37</ns0:f>
        <ns0:v>1</ns0:v>
      </ns0:c>
      <ns0:c r="AC37" s="14" t="inlineStr">
        <ns0:is>
          <ns0:t>t01.asset.0078.effect.01</ns0:t>
        </ns0:is>
      </ns0:c>
    </ns0:row>
    <ns0:row r="38" ht="70" customHeight="1">
      <ns0:c r="A38" s="4" t="inlineStr">
        <ns0:is>
          <ns0:t>t01.asset.0079</ns0:t>
        </ns0:is>
      </ns0:c>
      <ns0:c r="B38" s="4" t="inlineStr">
        <ns0:is>
          <ns0:t>燎火护臂</ns0:t>
        </ns0:is>
      </ns0:c>
      <ns0:c r="C38" s="4" t="inlineStr">
        <ns0:is>
          <ns0:t>凡品</ns0:t>
        </ns0:is>
      </ns0:c>
      <ns0:c r="D38" s="4" t="inlineStr">
        <ns0:is>
          <ns0:t>火</ns0:t>
        </ns0:is>
      </ns0:c>
      <ns0:c r="E38" s="4" t="inlineStr">
        <ns0:is>
          <ns0:t>护具·臂</ns0:t>
        </ns0:is>
      </ns0:c>
      <ns0:c r="F38" s="4" t="inlineStr">
        <ns0:is>
          <ns0:t>轻甲</ns0:t>
        </ns0:is>
      </ns0:c>
      <ns0:c r="G38" s="4" t="n">
        <ns0:v>1</ns0:v>
      </ns0:c>
      <ns0:c r="H38" s="4" t="n">
        <ns0:v>1</ns0:v>
      </ns0:c>
      <ns0:c r="I38" s="7">
        <ns0:f>G38*H38</ns0:f>
        <ns0:v>1</ns0:v>
      </ns0:c>
      <ns0:c r="J38" s="4" t="n">
        <ns0:v>8</ns0:v>
      </ns0:c>
      <ns0:c r="K38" s="4" t="n">
        <ns0:v>4</ns0:v>
      </ns0:c>
      <ns0:c r="L38" s="4" t="n">
        <ns0:v>2</ns0:v>
      </ns0:c>
      <ns0:c r="M38" s="7">
        <ns0:f>IF(OR(J38="",J38=0),0,L38/J38)</ns0:f>
        <ns0:v>0.25</ns0:v>
      </ns0:c>
      <ns0:c r="N38" s="4" t="n">
        <ns0:v>1</ns0:v>
      </ns0:c>
      <ns0:c r="O38" s="7">
        <ns0:f>I38*N38</ns0:f>
        <ns0:v>1</ns0:v>
      </ns0:c>
      <ns0:c r="P38" s="4" t="inlineStr">
        <ns0:is>
          <ns0:t>盾可多件；其他同一部位最多1件</ns0:t>
        </ns0:is>
      </ns0:c>
      <ns0:c r="Q38" s="4" t="inlineStr">
        <ns0:is>
          <ns0:t>无</ns0:t>
        </ns0:is>
      </ns0:c>
      <ns0:c r="R38" s="4" t="inlineStr">
        <ns0:is>
          <ns0:t>体力0／灵力0／数量0</ns0:t>
        </ns0:is>
      </ns0:c>
      <ns0:c r="S38" s="4" t="inlineStr">
        <ns0:is>
          <ns0:t>01 C01/I11；02状态；04；06 Link</ns0:t>
        </ns0:is>
      </ns0:c>
      <ns0:c r="T38" s="4" t="n"/>
      <ns0:c r="U38" s="6" t="inlineStr">
        <ns0:is>
          <ns0:t>候选数值，未试跑</ns0:t>
        </ns0:is>
      </ns0:c>
      <ns0:c r="V38" s="4" t="inlineStr">
        <ns0:is>
          <ns0:t>第1批基础；第2批微调；第3批复查；用户直接更正优先</ns0:t>
        </ns0:is>
      </ns0:c>
      <ns0:c r="W38" s="14" t="inlineStr">
        <ns0:is>
          <ns0:t>A28</ns0:t>
        </ns0:is>
      </ns0:c>
      <ns0:c r="X38" s="14" t="inlineStr">
        <ns0:is>
          <ns0:t>附炎</ns0:t>
        </ns0:is>
      </ns0:c>
      <ns0:c r="Y38" s="14" t="n">
        <ns0:v>1</ns0:v>
      </ns0:c>
      <ns0:c r="Z38" s="14" t="inlineStr">
        <ns0:is>
          <ns0:t>轮转</ns0:t>
        </ns0:is>
      </ns0:c>
      <ns0:c r="AA38" s="14" t="n"/>
      <ns0:c r="AB38" s="14">
        <ns0:f>O38</ns0:f>
        <ns0:v>1</ns0:v>
      </ns0:c>
      <ns0:c r="AC38" s="14" t="inlineStr">
        <ns0:is>
          <ns0:t>t01.asset.0079.effect.01；t01.asset.0079.effect.02；t01.asset.0079.effect.03</ns0:t>
        </ns0:is>
      </ns0:c>
    </ns0:row>
    <ns0:row r="39" ht="70" customHeight="1">
      <ns0:c r="A39" s="4" t="inlineStr">
        <ns0:is>
          <ns0:t>t01.asset.0080</ns0:t>
        </ns0:is>
      </ns0:c>
      <ns0:c r="B39" s="4" t="inlineStr">
        <ns0:is>
          <ns0:t>雷纹护腿</ns0:t>
        </ns0:is>
      </ns0:c>
      <ns0:c r="C39" s="4" t="inlineStr">
        <ns0:is>
          <ns0:t>凡品</ns0:t>
        </ns0:is>
      </ns0:c>
      <ns0:c r="D39" s="4" t="inlineStr">
        <ns0:is>
          <ns0:t>雷</ns0:t>
        </ns0:is>
      </ns0:c>
      <ns0:c r="E39" s="4" t="inlineStr">
        <ns0:is>
          <ns0:t>护具·腿</ns0:t>
        </ns0:is>
      </ns0:c>
      <ns0:c r="F39" s="4" t="inlineStr">
        <ns0:is>
          <ns0:t>灵甲</ns0:t>
        </ns0:is>
      </ns0:c>
      <ns0:c r="G39" s="4" t="n">
        <ns0:v>1</ns0:v>
      </ns0:c>
      <ns0:c r="H39" s="4" t="n">
        <ns0:v>1</ns0:v>
      </ns0:c>
      <ns0:c r="I39" s="7">
        <ns0:f>G39*H39</ns0:f>
        <ns0:v>1</ns0:v>
      </ns0:c>
      <ns0:c r="J39" s="4" t="n">
        <ns0:v>9</ns0:v>
      </ns0:c>
      <ns0:c r="K39" s="4" t="n">
        <ns0:v>4</ns0:v>
      </ns0:c>
      <ns0:c r="L39" s="4" t="n">
        <ns0:v>2</ns0:v>
      </ns0:c>
      <ns0:c r="M39" s="7">
        <ns0:f>IF(OR(J39="",J39=0),0,L39/J39)</ns0:f>
        <ns0:v>0.2222222222222222</ns0:v>
      </ns0:c>
      <ns0:c r="N39" s="4" t="n">
        <ns0:v>1</ns0:v>
      </ns0:c>
      <ns0:c r="O39" s="7">
        <ns0:f>I39*N39</ns0:f>
        <ns0:v>1</ns0:v>
      </ns0:c>
      <ns0:c r="P39" s="4" t="inlineStr">
        <ns0:is>
          <ns0:t>盾可多件；其他同一部位最多1件</ns0:t>
        </ns0:is>
      </ns0:c>
      <ns0:c r="Q39" s="4" t="inlineStr">
        <ns0:is>
          <ns0:t>雷纹三件</ns0:t>
        </ns0:is>
      </ns0:c>
      <ns0:c r="R39" s="4" t="inlineStr">
        <ns0:is>
          <ns0:t>体力0／灵力0／数量0</ns0:t>
        </ns0:is>
      </ns0:c>
      <ns0:c r="S39" s="4" t="inlineStr">
        <ns0:is>
          <ns0:t>01 C01/I11；02状态；04；06 Link</ns0:t>
        </ns0:is>
      </ns0:c>
      <ns0:c r="T39" s="4" t="n"/>
      <ns0:c r="U39" s="6" t="inlineStr">
        <ns0:is>
          <ns0:t>候选数值，未试跑</ns0:t>
        </ns0:is>
      </ns0:c>
      <ns0:c r="V39" s="4" t="inlineStr">
        <ns0:is>
          <ns0:t>第1批基础；第2批微调；第3批复查；用户直接更正优先</ns0:t>
        </ns0:is>
      </ns0:c>
      <ns0:c r="W39" s="14" t="inlineStr">
        <ns0:is>
          <ns0:t>A29</ns0:t>
        </ns0:is>
      </ns0:c>
      <ns0:c r="X39" s="14" t="inlineStr">
        <ns0:is>
          <ns0:t>雷蕴</ns0:t>
        </ns0:is>
      </ns0:c>
      <ns0:c r="Y39" s="14" t="n">
        <ns0:v>1</ns0:v>
      </ns0:c>
      <ns0:c r="Z39" s="14" t="inlineStr">
        <ns0:is>
          <ns0:t>轮转</ns0:t>
        </ns0:is>
      </ns0:c>
      <ns0:c r="AA39" s="14" t="n"/>
      <ns0:c r="AB39" s="14">
        <ns0:f>O39</ns0:f>
        <ns0:v>1</ns0:v>
      </ns0:c>
      <ns0:c r="AC39" s="14" t="inlineStr">
        <ns0:is>
          <ns0:t>t01.asset.0080.effect.01；t01.asset.0080.effect.02；t01.asset.0080.effect.03</ns0:t>
        </ns0:is>
      </ns0:c>
    </ns0:row>
    <ns0:row r="40" ht="70" customHeight="1">
      <ns0:c r="A40" s="4" t="inlineStr">
        <ns0:is>
          <ns0:t>t01.asset.0081</ns0:t>
        </ns0:is>
      </ns0:c>
      <ns0:c r="B40" s="4" t="inlineStr">
        <ns0:is>
          <ns0:t>炎纹护肩</ns0:t>
        </ns0:is>
      </ns0:c>
      <ns0:c r="C40" s="4" t="inlineStr">
        <ns0:is>
          <ns0:t>凡品</ns0:t>
        </ns0:is>
      </ns0:c>
      <ns0:c r="D40" s="4" t="inlineStr">
        <ns0:is>
          <ns0:t>火</ns0:t>
        </ns0:is>
      </ns0:c>
      <ns0:c r="E40" s="4" t="inlineStr">
        <ns0:is>
          <ns0:t>护具·肩</ns0:t>
        </ns0:is>
      </ns0:c>
      <ns0:c r="F40" s="4" t="inlineStr">
        <ns0:is>
          <ns0:t>重甲</ns0:t>
        </ns0:is>
      </ns0:c>
      <ns0:c r="G40" s="4" t="n">
        <ns0:v>1</ns0:v>
      </ns0:c>
      <ns0:c r="H40" s="4" t="n">
        <ns0:v>1</ns0:v>
      </ns0:c>
      <ns0:c r="I40" s="7">
        <ns0:f>G40*H40</ns0:f>
        <ns0:v>1</ns0:v>
      </ns0:c>
      <ns0:c r="J40" s="4" t="n">
        <ns0:v>10</ns0:v>
      </ns0:c>
      <ns0:c r="K40" s="4" t="n">
        <ns0:v>6</ns0:v>
      </ns0:c>
      <ns0:c r="L40" s="4" t="n">
        <ns0:v>2</ns0:v>
      </ns0:c>
      <ns0:c r="M40" s="7">
        <ns0:f>IF(OR(J40="",J40=0),0,L40/J40)</ns0:f>
        <ns0:v>0.2</ns0:v>
      </ns0:c>
      <ns0:c r="N40" s="4" t="n">
        <ns0:v>1</ns0:v>
      </ns0:c>
      <ns0:c r="O40" s="7">
        <ns0:f>I40*N40</ns0:f>
        <ns0:v>1</ns0:v>
      </ns0:c>
      <ns0:c r="P40" s="4" t="inlineStr">
        <ns0:is>
          <ns0:t>盾可多件；其他同一部位最多1件</ns0:t>
        </ns0:is>
      </ns0:c>
      <ns0:c r="Q40" s="4" t="inlineStr">
        <ns0:is>
          <ns0:t>无</ns0:t>
        </ns0:is>
      </ns0:c>
      <ns0:c r="R40" s="4" t="inlineStr">
        <ns0:is>
          <ns0:t>体力0／灵力0／数量0</ns0:t>
        </ns0:is>
      </ns0:c>
      <ns0:c r="S40" s="4" t="inlineStr">
        <ns0:is>
          <ns0:t>01 C01/I11；02状态；04；06 Link</ns0:t>
        </ns0:is>
      </ns0:c>
      <ns0:c r="T40" s="4" t="n"/>
      <ns0:c r="U40" s="6" t="inlineStr">
        <ns0:is>
          <ns0:t>候选数值，未试跑</ns0:t>
        </ns0:is>
      </ns0:c>
      <ns0:c r="V40" s="4" t="inlineStr">
        <ns0:is>
          <ns0:t>第1批基础；第2批微调；第3批复查；用户直接更正优先</ns0:t>
        </ns0:is>
      </ns0:c>
      <ns0:c r="W40" s="14" t="inlineStr">
        <ns0:is>
          <ns0:t>A30</ns0:t>
        </ns0:is>
      </ns0:c>
      <ns0:c r="X40" s="14" t="inlineStr">
        <ns0:is>
          <ns0:t>附炎</ns0:t>
        </ns0:is>
      </ns0:c>
      <ns0:c r="Y40" s="14" t="n">
        <ns0:v>2</ns0:v>
      </ns0:c>
      <ns0:c r="Z40" s="14" t="inlineStr">
        <ns0:is>
          <ns0:t>轮转</ns0:t>
        </ns0:is>
      </ns0:c>
      <ns0:c r="AA40" s="14" t="n"/>
      <ns0:c r="AB40" s="14">
        <ns0:f>O40</ns0:f>
        <ns0:v>1</ns0:v>
      </ns0:c>
      <ns0:c r="AC40" s="14" t="inlineStr">
        <ns0:is>
          <ns0:t>t01.asset.0081.effect.01；t01.asset.0081.effect.02；t01.asset.0081.effect.03</ns0:t>
        </ns0:is>
      </ns0:c>
    </ns0:row>
    <ns0:row r="41" ht="70" customHeight="1">
      <ns0:c r="A41" s="4" t="inlineStr">
        <ns0:is>
          <ns0:t>t01.asset.0082</ns0:t>
        </ns0:is>
      </ns0:c>
      <ns0:c r="B41" s="4" t="inlineStr">
        <ns0:is>
          <ns0:t>润脉腰带</ns0:t>
        </ns0:is>
      </ns0:c>
      <ns0:c r="C41" s="4" t="inlineStr">
        <ns0:is>
          <ns0:t>凡品</ns0:t>
        </ns0:is>
      </ns0:c>
      <ns0:c r="D41" s="4" t="inlineStr">
        <ns0:is>
          <ns0:t>水</ns0:t>
        </ns0:is>
      </ns0:c>
      <ns0:c r="E41" s="4" t="inlineStr">
        <ns0:is>
          <ns0:t>护具·腰</ns0:t>
        </ns0:is>
      </ns0:c>
      <ns0:c r="F41" s="4" t="inlineStr">
        <ns0:is>
          <ns0:t>灵甲</ns0:t>
        </ns0:is>
      </ns0:c>
      <ns0:c r="G41" s="4" t="n">
        <ns0:v>1</ns0:v>
      </ns0:c>
      <ns0:c r="H41" s="4" t="n">
        <ns0:v>1</ns0:v>
      </ns0:c>
      <ns0:c r="I41" s="7">
        <ns0:f>G41*H41</ns0:f>
        <ns0:v>1</ns0:v>
      </ns0:c>
      <ns0:c r="J41" s="4" t="n">
        <ns0:v>9</ns0:v>
      </ns0:c>
      <ns0:c r="K41" s="4" t="n">
        <ns0:v>4</ns0:v>
      </ns0:c>
      <ns0:c r="L41" s="4" t="n">
        <ns0:v>0</ns0:v>
      </ns0:c>
      <ns0:c r="M41" s="7">
        <ns0:f>IF(OR(J41="",J41=0),0,L41/J41)</ns0:f>
        <ns0:v>0.0</ns0:v>
      </ns0:c>
      <ns0:c r="N41" s="4" t="n">
        <ns0:v>1</ns0:v>
      </ns0:c>
      <ns0:c r="O41" s="7">
        <ns0:f>I41*N41</ns0:f>
        <ns0:v>1</ns0:v>
      </ns0:c>
      <ns0:c r="P41" s="4" t="inlineStr">
        <ns0:is>
          <ns0:t>盾可多件；其他同一部位最多1件</ns0:t>
        </ns0:is>
      </ns0:c>
      <ns0:c r="Q41" s="4" t="inlineStr">
        <ns0:is>
          <ns0:t>无</ns0:t>
        </ns0:is>
      </ns0:c>
      <ns0:c r="R41" s="4" t="inlineStr">
        <ns0:is>
          <ns0:t>体力0／灵力0／数量0</ns0:t>
        </ns0:is>
      </ns0:c>
      <ns0:c r="S41" s="4" t="inlineStr">
        <ns0:is>
          <ns0:t>01 C01/I11；02状态；04；06 Link</ns0:t>
        </ns0:is>
      </ns0:c>
      <ns0:c r="T41" s="4" t="n"/>
      <ns0:c r="U41" s="6" t="inlineStr">
        <ns0:is>
          <ns0:t>候选数值，未试跑</ns0:t>
        </ns0:is>
      </ns0:c>
      <ns0:c r="V41" s="4" t="inlineStr">
        <ns0:is>
          <ns0:t>第1批基础；第2批微调；第3批复查；用户直接更正优先</ns0:t>
        </ns0:is>
      </ns0:c>
      <ns0:c r="W41" s="14" t="inlineStr">
        <ns0:is>
          <ns0:t>A31</ns0:t>
        </ns0:is>
      </ns0:c>
      <ns0:c r="X41" s="14" t="inlineStr">
        <ns0:is>
          <ns0:t>润脉</ns0:t>
        </ns0:is>
      </ns0:c>
      <ns0:c r="Y41" s="14" t="n">
        <ns0:v>2</ns0:v>
      </ns0:c>
      <ns0:c r="Z41" s="14" t="inlineStr">
        <ns0:is>
          <ns0:t>轮转</ns0:t>
        </ns0:is>
      </ns0:c>
      <ns0:c r="AA41" s="14" t="n"/>
      <ns0:c r="AB41" s="14">
        <ns0:f>O41</ns0:f>
        <ns0:v>1</ns0:v>
      </ns0:c>
      <ns0:c r="AC41" s="14" t="inlineStr">
        <ns0:is>
          <ns0:t>t01.asset.0082.effect.01；t01.asset.0082.effect.02</ns0:t>
        </ns0:is>
      </ns0:c>
    </ns0:row>
  </ns0:sheetData>
  <ns0:mergeCells count="2">
    <ns0:mergeCell ref="A2:AC2"/>
    <ns0:mergeCell ref="A1:AC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AG27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1" customWidth="1" min="3" max="3"/>
    <ns0:col width="12" customWidth="1" min="4" max="4"/>
    <ns0:col width="23" customWidth="1" min="5" max="5"/>
    <ns0:col width="17" customWidth="1" min="6" max="6"/>
    <ns0:col width="9" customWidth="1" min="7" max="7"/>
    <ns0:col width="9" customWidth="1" min="8" max="8"/>
    <ns0:col width="12" customWidth="1" min="9" max="9"/>
    <ns0:col width="12" customWidth="1" min="10" max="10"/>
    <ns0:col width="14" customWidth="1" min="11" max="11"/>
    <ns0:col width="14" customWidth="1" min="12" max="12"/>
    <ns0:col width="14" customWidth="1" min="13" max="13"/>
    <ns0:col width="21" customWidth="1" min="14" max="14"/>
    <ns0:col width="21" customWidth="1" min="15" max="15"/>
    <ns0:col width="38" customWidth="1" min="16" max="16"/>
    <ns0:col width="66" customWidth="1" min="17" max="17"/>
    <ns0:col width="36" customWidth="1" min="18" max="18"/>
    <ns0:col width="46" customWidth="1" min="19" max="19"/>
    <ns0:col width="49" customWidth="1" min="20" max="20"/>
    <ns0:col width="16" customWidth="1" min="21" max="21"/>
    <ns0:col width="12" customWidth="1" min="22" max="22"/>
    <ns0:col width="12" customWidth="1" min="23" max="23"/>
    <ns0:col width="10" customWidth="1" min="24" max="24"/>
    <ns0:col width="10" customWidth="1" min="25" max="25"/>
    <ns0:col width="16" customWidth="1" min="26" max="26"/>
    <ns0:col width="12" customWidth="1" min="27" max="27"/>
    <ns0:col width="16" customWidth="1" min="28" max="28"/>
    <ns0:col width="12" customWidth="1" min="29" max="29"/>
    <ns0:col width="10" customWidth="1" min="30" max="30"/>
    <ns0:col width="32" customWidth="1" min="31" max="31"/>
    <ns0:col width="55" customWidth="1" min="32" max="32"/>
    <ns0:col width="43" customWidth="1" min="33" max="33"/>
  </ns0:cols>
  <ns0:sheetData>
    <ns0:row r="1" ht="32" customHeight="1">
      <ns0:c r="A1" s="1" t="inlineStr">
        <ns0:is>
          <ns0:t>t01-08｜法器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定位</ns0:t>
        </ns0:is>
      </ns0:c>
      <ns0:c r="F5" s="3" t="inlineStr">
        <ns0:is>
          <ns0:t>攻击类型</ns0:t>
        </ns0:is>
      </ns0:c>
      <ns0:c r="G5" s="3" t="inlineStr">
        <ns0:is>
          <ns0:t>宽_格</ns0:t>
        </ns0:is>
      </ns0:c>
      <ns0:c r="H5" s="3" t="inlineStr">
        <ns0:is>
          <ns0:t>高_格</ns0:t>
        </ns0:is>
      </ns0:c>
      <ns0:c r="I5" s="3" t="inlineStr">
        <ns0:is>
          <ns0:t>实际占格</ns0:t>
        </ns0:is>
      </ns0:c>
      <ns0:c r="J5" s="3" t="inlineStr">
        <ns0:is>
          <ns0:t>CD_秒</ns0:t>
        </ns0:is>
      </ns0:c>
      <ns0:c r="K5" s="3" t="inlineStr">
        <ns0:is>
          <ns0:t>气血恢复</ns0:t>
        </ns0:is>
      </ns0:c>
      <ns0:c r="L5" s="3" t="inlineStr">
        <ns0:is>
          <ns0:t>体力恢复</ns0:t>
        </ns0:is>
      </ns0:c>
      <ns0:c r="M5" s="3" t="inlineStr">
        <ns0:is>
          <ns0:t>灵力恢复</ns0:t>
        </ns0:is>
      </ns0:c>
      <ns0:c r="N5" s="3" t="inlineStr">
        <ns0:is>
          <ns0:t>恢复上限分子</ns0:t>
        </ns0:is>
      </ns0:c>
      <ns0:c r="O5" s="3" t="inlineStr">
        <ns0:is>
          <ns0:t>恢复上限分母</ns0:t>
        </ns0:is>
      </ns0:c>
      <ns0:c r="P5" s="3" t="inlineStr">
        <ns0:is>
          <ns0:t>恢复上限状态</ns0:t>
        </ns0:is>
      </ns0:c>
      <ns0:c r="Q5" s="3" t="inlineStr">
        <ns0:is>
          <ns0:t>成本与效果边界</ns0:t>
        </ns0:is>
      </ns0:c>
      <ns0:c r="R5" s="3" t="inlineStr">
        <ns0:is>
          <ns0:t>机制引用</ns0:t>
        </ns0:is>
      </ns0:c>
      <ns0:c r="S5" s="3" t="inlineStr">
        <ns0:is>
          <ns0:t>现有游戏ID</ns0:t>
        </ns0:is>
      </ns0:c>
      <ns0:c r="T5" s="3" t="inlineStr">
        <ns0:is>
          <ns0:t>设计状态</ns0:t>
        </ns0:is>
      </ns0:c>
      <ns0:c r="U5" s="3" t="inlineStr">
        <ns0:is>
          <ns0:t>来源</ns0:t>
        </ns0:is>
      </ns0:c>
      <ns0:c r="V5" s="13" t="inlineStr">
        <ns0:is>
          <ns0:t>来源编号</ns0:t>
        </ns0:is>
      </ns0:c>
      <ns0:c r="W5" s="13" t="inlineStr">
        <ns0:is>
          <ns0:t>本体伤害</ns0:t>
        </ns0:is>
      </ns0:c>
      <ns0:c r="X5" s="13" t="inlineStr">
        <ns0:is>
          <ns0:t>灵力费</ns0:t>
        </ns0:is>
      </ns0:c>
      <ns0:c r="Y5" s="13" t="inlineStr">
        <ns0:is>
          <ns0:t>体力费</ns0:t>
        </ns0:is>
      </ns0:c>
      <ns0:c r="Z5" s="13" t="inlineStr">
        <ns0:is>
          <ns0:t>护甲上限贡献</ns0:t>
        </ns0:is>
      </ns0:c>
      <ns0:c r="AA5" s="13" t="inlineStr">
        <ns0:is>
          <ns0:t>单次回甲</ns0:t>
        </ns0:is>
      </ns0:c>
      <ns0:c r="AB5" s="13" t="inlineStr">
        <ns0:is>
          <ns0:t>普通灵障生成</ns0:t>
        </ns0:is>
      </ns0:c>
      <ns0:c r="AC5" s="13" t="inlineStr">
        <ns0:is>
          <ns0:t>状态</ns0:t>
        </ns0:is>
      </ns0:c>
      <ns0:c r="AD5" s="13" t="inlineStr">
        <ns0:is>
          <ns0:t>层数</ns0:t>
        </ns0:is>
      </ns0:c>
      <ns0:c r="AE5" s="13" t="inlineStr">
        <ns0:is>
          <ns0:t>施加时机与目标</ns0:t>
        </ns0:is>
      </ns0:c>
      <ns0:c r="AF5" s="13" t="inlineStr">
        <ns0:is>
          <ns0:t>完整效果</ns0:t>
        </ns0:is>
      </ns0:c>
      <ns0:c r="AG5" s="13" t="inlineStr">
        <ns0:is>
          <ns0:t>效果引用</ns0:t>
        </ns0:is>
      </ns0:c>
    </ns0:row>
    <ns0:row r="6" ht="30" customHeight="1">
      <ns0:c r="A6" s="4" t="inlineStr">
        <ns0:is>
          <ns0:t>t01.asset.0018</ns0:t>
        </ns0:is>
      </ns0:c>
      <ns0:c r="B6" s="4" t="inlineStr">
        <ns0:is>
          <ns0:t>温玉佩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基础资源恢复</ns0:t>
        </ns0:is>
      </ns0:c>
      <ns0:c r="F6" s="4" t="inlineStr">
        <ns0:is>
          <ns0:t>无攻击</ns0:t>
        </ns0:is>
      </ns0:c>
      <ns0:c r="G6" s="4" t="n">
        <ns0:v>1</ns0:v>
      </ns0:c>
      <ns0:c r="H6" s="4" t="n">
        <ns0:v>1</ns0:v>
      </ns0:c>
      <ns0:c r="I6" s="7">
        <ns0:f>G6*H6</ns0:f>
        <ns0:v>1</ns0:v>
      </ns0:c>
      <ns0:c r="J6" s="4" t="n">
        <ns0:v>4</ns0:v>
      </ns0:c>
      <ns0:c r="K6" s="4" t="n">
        <ns0:v>4</ns0:v>
      </ns0:c>
      <ns0:c r="L6" s="4" t="n">
        <ns0:v>6</ns0:v>
      </ns0:c>
      <ns0:c r="M6" s="4" t="n">
        <ns0:v>0</ns0:v>
      </ns0:c>
      <ns0:c r="N6" s="4" t="n">
        <ns0:v>2</ns0:v>
      </ns0:c>
      <ns0:c r="O6" s="4" t="n">
        <ns0:v>3</ns0:v>
      </ns0:c>
      <ns0:c r="P6" s="4" t="inlineStr">
        <ns0:is>
          <ns0:t>已有配置上限2/3；保留</ns0:t>
        </ns0:is>
      </ns0:c>
      <ns0:c r="Q6" s="4" t="inlineStr">
        <ns0:is>
          <ns0:t>道具消耗0、灵力费0；资料称免费恢复，不附Buff／净化。</ns0:t>
        </ns0:is>
      </ns0:c>
      <ns0:c r="R6" s="4" t="inlineStr">
        <ns0:is>
          <ns0:t>01资源恢复／上限；04法器</ns0:t>
        </ns0:is>
      </ns0:c>
      <ns0:c r="S6" s="4" t="inlineStr">
        <ns0:is>
          <ns0:t>base.map_item.warm_jade</ns0:t>
        </ns0:is>
      </ns0:c>
      <ns0:c r="T6" s="4" t="inlineStr">
        <ns0:is>
          <ns0:t>保留已有值；具体恢复条件按主表边界</ns0:t>
        </ns0:is>
      </ns0:c>
      <ns0:c r="U6" s="4" t="inlineStr">
        <ns0:is>
          <ns0:t>B3；U</ns0:t>
        </ns0:is>
      </ns0:c>
    </ns0:row>
    <ns0:row r="7" ht="57" customHeight="1">
      <ns0:c r="A7" s="5" t="inlineStr">
        <ns0:is>
          <ns0:t>t01.asset.0019</ns0:t>
        </ns0:is>
      </ns0:c>
      <ns0:c r="B7" s="5" t="inlineStr">
        <ns0:is>
          <ns0:t>回春玉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基础资源恢复</ns0:t>
        </ns0:is>
      </ns0:c>
      <ns0:c r="F7" s="5" t="inlineStr">
        <ns0:is>
          <ns0:t>无攻击</ns0:t>
        </ns0:is>
      </ns0:c>
      <ns0:c r="G7" s="5" t="n">
        <ns0:v>1</ns0:v>
      </ns0:c>
      <ns0:c r="H7" s="5" t="n">
        <ns0:v>1</ns0:v>
      </ns0:c>
      <ns0:c r="I7" s="9">
        <ns0:f>G7*H7</ns0:f>
        <ns0:v>1</ns0:v>
      </ns0:c>
      <ns0:c r="J7" s="5" t="n">
        <ns0:v>5</ns0:v>
      </ns0:c>
      <ns0:c r="K7" s="5" t="n">
        <ns0:v>6</ns0:v>
      </ns0:c>
      <ns0:c r="L7" s="5" t="n">
        <ns0:v>0</ns0:v>
      </ns0:c>
      <ns0:c r="M7" s="5" t="n">
        <ns0:v>0</ns0:v>
      </ns0:c>
      <ns0:c r="N7" s="5" t="n">
        <ns0:v>2</ns0:v>
      </ns0:c>
      <ns0:c r="O7" s="5" t="n">
        <ns0:v>3</ns0:v>
      </ns0:c>
      <ns0:c r="P7" s="6" t="inlineStr">
        <ns0:is>
          <ns0:t>Q04已确认：最多恢复至对应最大值2/3；已超上限不扣减、不继续恢复</ns0:t>
        </ns0:is>
      </ns0:c>
      <ns0:c r="Q7" s="5" t="inlineStr">
        <ns0:is>
          <ns0:t>道具消耗0、灵力费0；资料称免费恢复，不附Buff／净化。</ns0:t>
        </ns0:is>
      </ns0:c>
      <ns0:c r="R7" s="5" t="inlineStr">
        <ns0:is>
          <ns0:t>01资源恢复／上限；04法器</ns0:t>
        </ns0:is>
      </ns0:c>
      <ns0:c r="S7" s="5" t="inlineStr">
        <ns0:is>
          <ns0:t>未配置</ns0:t>
        </ns0:is>
      </ns0:c>
      <ns0:c r="T7" s="6" t="inlineStr">
        <ns0:is>
          <ns0:t>新增试玩候选；具体恢复条件按主表边界</ns0:t>
        </ns0:is>
      </ns0:c>
      <ns0:c r="U7" s="5" t="inlineStr">
        <ns0:is>
          <ns0:t>B3；U；Q04用户答复2026-09-28</ns0:t>
        </ns0:is>
      </ns0:c>
    </ns0:row>
    <ns0:row r="8" ht="57" customHeight="1">
      <ns0:c r="A8" s="4" t="inlineStr">
        <ns0:is>
          <ns0:t>t01.asset.0020</ns0:t>
        </ns0:is>
      </ns0:c>
      <ns0:c r="B8" s="4" t="inlineStr">
        <ns0:is>
          <ns0:t>养息珠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基础资源恢复</ns0:t>
        </ns0:is>
      </ns0:c>
      <ns0:c r="F8" s="4" t="inlineStr">
        <ns0:is>
          <ns0:t>无攻击</ns0:t>
        </ns0:is>
      </ns0:c>
      <ns0:c r="G8" s="4" t="n">
        <ns0:v>1</ns0:v>
      </ns0:c>
      <ns0:c r="H8" s="4" t="n">
        <ns0:v>1</ns0:v>
      </ns0:c>
      <ns0:c r="I8" s="7">
        <ns0:f>G8*H8</ns0:f>
        <ns0:v>1</ns0:v>
      </ns0:c>
      <ns0:c r="J8" s="4" t="n">
        <ns0:v>5</ns0:v>
      </ns0:c>
      <ns0:c r="K8" s="4" t="n">
        <ns0:v>0</ns0:v>
      </ns0:c>
      <ns0:c r="L8" s="4" t="n">
        <ns0:v>9</ns0:v>
      </ns0:c>
      <ns0:c r="M8" s="4" t="n">
        <ns0:v>0</ns0:v>
      </ns0:c>
      <ns0:c r="N8" s="4" t="n">
        <ns0:v>2</ns0:v>
      </ns0:c>
      <ns0:c r="O8" s="4" t="n">
        <ns0:v>3</ns0:v>
      </ns0:c>
      <ns0:c r="P8" s="6" t="inlineStr">
        <ns0:is>
          <ns0:t>Q04已确认：最多恢复至对应最大值2/3；已超上限不扣减、不继续恢复</ns0:t>
        </ns0:is>
      </ns0:c>
      <ns0:c r="Q8" s="4" t="inlineStr">
        <ns0:is>
          <ns0:t>道具消耗0、灵力费0；资料称免费恢复，不附Buff／净化。</ns0:t>
        </ns0:is>
      </ns0:c>
      <ns0:c r="R8" s="4" t="inlineStr">
        <ns0:is>
          <ns0:t>01资源恢复／上限；04法器</ns0:t>
        </ns0:is>
      </ns0:c>
      <ns0:c r="S8" s="4" t="inlineStr">
        <ns0:is>
          <ns0:t>未配置</ns0:t>
        </ns0:is>
      </ns0:c>
      <ns0:c r="T8" s="6" t="inlineStr">
        <ns0:is>
          <ns0:t>新增试玩候选；具体恢复条件按主表边界</ns0:t>
        </ns0:is>
      </ns0:c>
      <ns0:c r="U8" s="4" t="inlineStr">
        <ns0:is>
          <ns0:t>B3；U；Q04用户答复2026-09-28</ns0:t>
        </ns0:is>
      </ns0:c>
    </ns0:row>
    <ns0:row r="9" ht="57" customHeight="1">
      <ns0:c r="A9" s="5" t="inlineStr">
        <ns0:is>
          <ns0:t>t01.asset.0021</ns0:t>
        </ns0:is>
      </ns0:c>
      <ns0:c r="B9" s="5" t="inlineStr">
        <ns0:is>
          <ns0:t>聚灵珠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基础资源恢复</ns0:t>
        </ns0:is>
      </ns0:c>
      <ns0:c r="F9" s="5" t="inlineStr">
        <ns0:is>
          <ns0:t>无攻击</ns0:t>
        </ns0:is>
      </ns0:c>
      <ns0:c r="G9" s="5" t="n">
        <ns0:v>1</ns0:v>
      </ns0:c>
      <ns0:c r="H9" s="5" t="n">
        <ns0:v>1</ns0:v>
      </ns0:c>
      <ns0:c r="I9" s="9">
        <ns0:f>G9*H9</ns0:f>
        <ns0:v>1</ns0:v>
      </ns0:c>
      <ns0:c r="J9" s="5" t="n">
        <ns0:v>5</ns0:v>
      </ns0:c>
      <ns0:c r="K9" s="5" t="n">
        <ns0:v>0</ns0:v>
      </ns0:c>
      <ns0:c r="L9" s="5" t="n">
        <ns0:v>0</ns0:v>
      </ns0:c>
      <ns0:c r="M9" s="5" t="n">
        <ns0:v>6</ns0:v>
      </ns0:c>
      <ns0:c r="N9" s="5" t="n">
        <ns0:v>2</ns0:v>
      </ns0:c>
      <ns0:c r="O9" s="5" t="n">
        <ns0:v>3</ns0:v>
      </ns0:c>
      <ns0:c r="P9" s="6" t="inlineStr">
        <ns0:is>
          <ns0:t>Q04已确认：最多恢复至对应最大值2/3；已超上限不扣减、不继续恢复</ns0:t>
        </ns0:is>
      </ns0:c>
      <ns0:c r="Q9" s="5" t="inlineStr">
        <ns0:is>
          <ns0:t>道具消耗0、灵力费0；资料称免费恢复，不附Buff／净化。</ns0:t>
        </ns0:is>
      </ns0:c>
      <ns0:c r="R9" s="5" t="inlineStr">
        <ns0:is>
          <ns0:t>01资源恢复／上限；04法器</ns0:t>
        </ns0:is>
      </ns0:c>
      <ns0:c r="S9" s="5" t="inlineStr">
        <ns0:is>
          <ns0:t>未配置</ns0:t>
        </ns0:is>
      </ns0:c>
      <ns0:c r="T9" s="6" t="inlineStr">
        <ns0:is>
          <ns0:t>新增试玩候选；具体恢复条件按主表边界</ns0:t>
        </ns0:is>
      </ns0:c>
      <ns0:c r="U9" s="5" t="inlineStr">
        <ns0:is>
          <ns0:t>B3；U；Q04用户答复2026-09-28</ns0:t>
        </ns0:is>
      </ns0:c>
    </ns0:row>
    <ns0:row r="10" ht="70" customHeight="1">
      <ns0:c r="A10" s="4" t="inlineStr">
        <ns0:is>
          <ns0:t>t01.asset.0083</ns0:t>
        </ns0:is>
      </ns0:c>
      <ns0:c r="B10" s="4" t="inlineStr">
        <ns0:is>
          <ns0:t>回春佩</ns0:t>
        </ns0:is>
      </ns0:c>
      <ns0:c r="C10" s="4" t="inlineStr">
        <ns0:is>
          <ns0:t>凡品</ns0:t>
        </ns0:is>
      </ns0:c>
      <ns0:c r="D10" s="4" t="inlineStr">
        <ns0:is>
          <ns0:t>NONE</ns0:t>
        </ns0:is>
      </ns0:c>
      <ns0:c r="E10" s="4" t="inlineStr">
        <ns0:is>
          <ns0:t>资源恢复</ns0:t>
        </ns0:is>
      </ns0:c>
      <ns0:c r="F10" s="4" t="inlineStr">
        <ns0:is>
          <ns0:t>无攻击</ns0:t>
        </ns0:is>
      </ns0:c>
      <ns0:c r="G10" s="4" t="n">
        <ns0:v>1</ns0:v>
      </ns0:c>
      <ns0:c r="H10" s="4" t="n">
        <ns0:v>1</ns0:v>
      </ns0:c>
      <ns0:c r="I10" s="7">
        <ns0:f>G10*H10</ns0:f>
        <ns0:v>1</ns0:v>
      </ns0:c>
      <ns0:c r="J10" s="4" t="n">
        <ns0:v>7.5</ns0:v>
      </ns0:c>
      <ns0:c r="K10" s="4" t="n">
        <ns0:v>13</ns0:v>
      </ns0:c>
      <ns0:c r="L10" s="4" t="n">
        <ns0:v>0</ns0:v>
      </ns0:c>
      <ns0:c r="M10" s="4" t="n">
        <ns0:v>0</ns0:v>
      </ns0:c>
      <ns0:c r="N10" s="4" t="n">
        <ns0:v>1</ns0:v>
      </ns0:c>
      <ns0:c r="O10" s="4" t="n">
        <ns0:v>1</ns0:v>
      </ns0:c>
      <ns0:c r="P10" s="4" t="inlineStr">
        <ns0:is>
          <ns0:t>正常上限</ns0:t>
        </ns0:is>
      </ns0:c>
      <ns0:c r="Q10" s="4" t="inlineStr">
        <ns0:is>
          <ns0:t>灵力2／体力0／数量0；元素分类不自动创造攻击</ns0:t>
        </ns0:is>
      </ns0:c>
      <ns0:c r="R10" s="4" t="inlineStr">
        <ns0:is>
          <ns0:t>01效果；02状态；04法器</ns0:t>
        </ns0:is>
      </ns0:c>
      <ns0:c r="S10" s="4" t="n"/>
      <ns0:c r="T10" s="4" t="inlineStr">
        <ns0:is>
          <ns0:t>候选数值，未试跑</ns0:t>
        </ns0:is>
      </ns0:c>
      <ns0:c r="U10" s="4" t="inlineStr">
        <ns0:is>
          <ns0:t>第1批基础；第2批微调；第3批复查；用户直接更正优先</ns0:t>
        </ns0:is>
      </ns0:c>
      <ns0:c r="V10" s="14" t="inlineStr">
        <ns0:is>
          <ns0:t>F01</ns0:t>
        </ns0:is>
      </ns0:c>
      <ns0:c r="W10" s="14" t="n"/>
      <ns0:c r="X10" s="14" t="n">
        <ns0:v>2</ns0:v>
      </ns0:c>
      <ns0:c r="Y10" s="14" t="n">
        <ns0:v>0</ns0:v>
      </ns0:c>
      <ns0:c r="Z10" s="14" t="n">
        <ns0:v>0</ns0:v>
      </ns0:c>
      <ns0:c r="AA10" s="14" t="n">
        <ns0:v>0</ns0:v>
      </ns0:c>
      <ns0:c r="AB10" s="14" t="n">
        <ns0:v>0</ns0:v>
      </ns0:c>
      <ns0:c r="AC10" s="14" t="n"/>
      <ns0:c r="AD10" s="14" t="n"/>
      <ns0:c r="AE10" s="14" t="inlineStr">
        <ns0:is>
          <ns0:t>轮转；自身</ns0:t>
        </ns0:is>
      </ns0:c>
      <ns0:c r="AF10" s="14" t="inlineStr">
        <ns0:is>
          <ns0:t>气血＋13，可至正常上限</ns0:t>
        </ns0:is>
      </ns0:c>
      <ns0:c r="AG10" s="14" t="inlineStr">
        <ns0:is>
          <ns0:t>t01.asset.0083.effect.01</ns0:t>
        </ns0:is>
      </ns0:c>
    </ns0:row>
    <ns0:row r="11" ht="70" customHeight="1">
      <ns0:c r="A11" s="4" t="inlineStr">
        <ns0:is>
          <ns0:t>t01.asset.0084</ns0:t>
        </ns0:is>
      </ns0:c>
      <ns0:c r="B11" s="4" t="inlineStr">
        <ns0:is>
          <ns0:t>行气珠</ns0:t>
        </ns0:is>
      </ns0:c>
      <ns0:c r="C11" s="4" t="inlineStr">
        <ns0:is>
          <ns0:t>凡品</ns0:t>
        </ns0:is>
      </ns0:c>
      <ns0:c r="D11" s="4" t="inlineStr">
        <ns0:is>
          <ns0:t>NONE</ns0:t>
        </ns0:is>
      </ns0:c>
      <ns0:c r="E11" s="4" t="inlineStr">
        <ns0:is>
          <ns0:t>资源恢复</ns0:t>
        </ns0:is>
      </ns0:c>
      <ns0:c r="F11" s="4" t="inlineStr">
        <ns0:is>
          <ns0:t>无攻击</ns0:t>
        </ns0:is>
      </ns0:c>
      <ns0:c r="G11" s="4" t="n">
        <ns0:v>1</ns0:v>
      </ns0:c>
      <ns0:c r="H11" s="4" t="n">
        <ns0:v>1</ns0:v>
      </ns0:c>
      <ns0:c r="I11" s="7">
        <ns0:f>G11*H11</ns0:f>
        <ns0:v>1</ns0:v>
      </ns0:c>
      <ns0:c r="J11" s="4" t="n">
        <ns0:v>7.5</ns0:v>
      </ns0:c>
      <ns0:c r="K11" s="4" t="n">
        <ns0:v>0</ns0:v>
      </ns0:c>
      <ns0:c r="L11" s="4" t="n">
        <ns0:v>18</ns0:v>
      </ns0:c>
      <ns0:c r="M11" s="4" t="n">
        <ns0:v>0</ns0:v>
      </ns0:c>
      <ns0:c r="N11" s="4" t="n">
        <ns0:v>2</ns0:v>
      </ns0:c>
      <ns0:c r="O11" s="4" t="n">
        <ns0:v>3</ns0:v>
      </ns0:c>
      <ns0:c r="P11" s="4" t="inlineStr">
        <ns0:is>
          <ns0:t>2/3向下取整</ns0:t>
        </ns0:is>
      </ns0:c>
      <ns0:c r="Q11" s="4" t="inlineStr">
        <ns0:is>
          <ns0:t>灵力0／体力0／数量0；元素分类不自动创造攻击</ns0:t>
        </ns0:is>
      </ns0:c>
      <ns0:c r="R11" s="4" t="inlineStr">
        <ns0:is>
          <ns0:t>01效果；02状态；04法器</ns0:t>
        </ns0:is>
      </ns0:c>
      <ns0:c r="S11" s="4" t="n"/>
      <ns0:c r="T11" s="4" t="inlineStr">
        <ns0:is>
          <ns0:t>候选数值，未试跑</ns0:t>
        </ns0:is>
      </ns0:c>
      <ns0:c r="U11" s="4" t="inlineStr">
        <ns0:is>
          <ns0:t>第1批基础；第2批微调；第3批复查；用户直接更正优先</ns0:t>
        </ns0:is>
      </ns0:c>
      <ns0:c r="V11" s="14" t="inlineStr">
        <ns0:is>
          <ns0:t>F02</ns0:t>
        </ns0:is>
      </ns0:c>
      <ns0:c r="W11" s="14" t="n"/>
      <ns0:c r="X11" s="14" t="n">
        <ns0:v>0</ns0:v>
      </ns0:c>
      <ns0:c r="Y11" s="14" t="n">
        <ns0:v>0</ns0:v>
      </ns0:c>
      <ns0:c r="Z11" s="14" t="n">
        <ns0:v>0</ns0:v>
      </ns0:c>
      <ns0:c r="AA11" s="14" t="n">
        <ns0:v>0</ns0:v>
      </ns0:c>
      <ns0:c r="AB11" s="14" t="n">
        <ns0:v>0</ns0:v>
      </ns0:c>
      <ns0:c r="AC11" s="14" t="n"/>
      <ns0:c r="AD11" s="14" t="n"/>
      <ns0:c r="AE11" s="14" t="inlineStr">
        <ns0:is>
          <ns0:t>轮转；自身</ns0:t>
        </ns0:is>
      </ns0:c>
      <ns0:c r="AF11" s="14" t="inlineStr">
        <ns0:is>
          <ns0:t>体力＋18，最多至上限2/3</ns0:t>
        </ns0:is>
      </ns0:c>
      <ns0:c r="AG11" s="14" t="inlineStr">
        <ns0:is>
          <ns0:t>t01.asset.0084.effect.01</ns0:t>
        </ns0:is>
      </ns0:c>
    </ns0:row>
    <ns0:row r="12" ht="70" customHeight="1">
      <ns0:c r="A12" s="4" t="inlineStr">
        <ns0:is>
          <ns0:t>t01.asset.0085</ns0:t>
        </ns0:is>
      </ns0:c>
      <ns0:c r="B12" s="4" t="inlineStr">
        <ns0:is>
          <ns0:t>聚元环</ns0:t>
        </ns0:is>
      </ns0:c>
      <ns0:c r="C12" s="4" t="inlineStr">
        <ns0:is>
          <ns0:t>凡品</ns0:t>
        </ns0:is>
      </ns0:c>
      <ns0:c r="D12" s="4" t="inlineStr">
        <ns0:is>
          <ns0:t>NONE</ns0:t>
        </ns0:is>
      </ns0:c>
      <ns0:c r="E12" s="4" t="inlineStr">
        <ns0:is>
          <ns0:t>资源恢复</ns0:t>
        </ns0:is>
      </ns0:c>
      <ns0:c r="F12" s="4" t="inlineStr">
        <ns0:is>
          <ns0:t>无攻击</ns0:t>
        </ns0:is>
      </ns0:c>
      <ns0:c r="G12" s="4" t="n">
        <ns0:v>1</ns0:v>
      </ns0:c>
      <ns0:c r="H12" s="4" t="n">
        <ns0:v>1</ns0:v>
      </ns0:c>
      <ns0:c r="I12" s="7">
        <ns0:f>G12*H12</ns0:f>
        <ns0:v>1</ns0:v>
      </ns0:c>
      <ns0:c r="J12" s="4" t="n">
        <ns0:v>7.5</ns0:v>
      </ns0:c>
      <ns0:c r="K12" s="4" t="n">
        <ns0:v>0</ns0:v>
      </ns0:c>
      <ns0:c r="L12" s="4" t="n">
        <ns0:v>0</ns0:v>
      </ns0:c>
      <ns0:c r="M12" s="4" t="n">
        <ns0:v>13</ns0:v>
      </ns0:c>
      <ns0:c r="N12" s="4" t="n">
        <ns0:v>2</ns0:v>
      </ns0:c>
      <ns0:c r="O12" s="4" t="n">
        <ns0:v>3</ns0:v>
      </ns0:c>
      <ns0:c r="P12" s="4" t="inlineStr">
        <ns0:is>
          <ns0:t>2/3向下取整</ns0:t>
        </ns0:is>
      </ns0:c>
      <ns0:c r="Q12" s="4" t="inlineStr">
        <ns0:is>
          <ns0:t>灵力0／体力0／数量0；元素分类不自动创造攻击</ns0:t>
        </ns0:is>
      </ns0:c>
      <ns0:c r="R12" s="4" t="inlineStr">
        <ns0:is>
          <ns0:t>01效果；02状态；04法器</ns0:t>
        </ns0:is>
      </ns0:c>
      <ns0:c r="S12" s="4" t="n"/>
      <ns0:c r="T12" s="4" t="inlineStr">
        <ns0:is>
          <ns0:t>候选数值，未试跑</ns0:t>
        </ns0:is>
      </ns0:c>
      <ns0:c r="U12" s="4" t="inlineStr">
        <ns0:is>
          <ns0:t>第1批基础；第2批微调；第3批复查；用户直接更正优先</ns0:t>
        </ns0:is>
      </ns0:c>
      <ns0:c r="V12" s="14" t="inlineStr">
        <ns0:is>
          <ns0:t>F03</ns0:t>
        </ns0:is>
      </ns0:c>
      <ns0:c r="W12" s="14" t="n"/>
      <ns0:c r="X12" s="14" t="n">
        <ns0:v>0</ns0:v>
      </ns0:c>
      <ns0:c r="Y12" s="14" t="n">
        <ns0:v>0</ns0:v>
      </ns0:c>
      <ns0:c r="Z12" s="14" t="n">
        <ns0:v>0</ns0:v>
      </ns0:c>
      <ns0:c r="AA12" s="14" t="n">
        <ns0:v>0</ns0:v>
      </ns0:c>
      <ns0:c r="AB12" s="14" t="n">
        <ns0:v>0</ns0:v>
      </ns0:c>
      <ns0:c r="AC12" s="14" t="n"/>
      <ns0:c r="AD12" s="14" t="n"/>
      <ns0:c r="AE12" s="14" t="inlineStr">
        <ns0:is>
          <ns0:t>轮转；自身</ns0:t>
        </ns0:is>
      </ns0:c>
      <ns0:c r="AF12" s="14" t="inlineStr">
        <ns0:is>
          <ns0:t>灵力＋13，最多至上限2/3</ns0:t>
        </ns0:is>
      </ns0:c>
      <ns0:c r="AG12" s="14" t="inlineStr">
        <ns0:is>
          <ns0:t>t01.asset.0085.effect.01</ns0:t>
        </ns0:is>
      </ns0:c>
    </ns0:row>
    <ns0:row r="13" ht="70" customHeight="1">
      <ns0:c r="A13" s="4" t="inlineStr">
        <ns0:is>
          <ns0:t>t01.asset.0086</ns0:t>
        </ns0:is>
      </ns0:c>
      <ns0:c r="B13" s="4" t="inlineStr">
        <ns0:is>
          <ns0:t>调息玉</ns0:t>
        </ns0:is>
      </ns0:c>
      <ns0:c r="C13" s="4" t="inlineStr">
        <ns0:is>
          <ns0:t>凡品</ns0:t>
        </ns0:is>
      </ns0:c>
      <ns0:c r="D13" s="4" t="inlineStr">
        <ns0:is>
          <ns0:t>NONE</ns0:t>
        </ns0:is>
      </ns0:c>
      <ns0:c r="E13" s="4" t="inlineStr">
        <ns0:is>
          <ns0:t>资源恢复</ns0:t>
        </ns0:is>
      </ns0:c>
      <ns0:c r="F13" s="4" t="inlineStr">
        <ns0:is>
          <ns0:t>无攻击</ns0:t>
        </ns0:is>
      </ns0:c>
      <ns0:c r="G13" s="4" t="n">
        <ns0:v>1</ns0:v>
      </ns0:c>
      <ns0:c r="H13" s="4" t="n">
        <ns0:v>1</ns0:v>
      </ns0:c>
      <ns0:c r="I13" s="7">
        <ns0:f>G13*H13</ns0:f>
        <ns0:v>1</ns0:v>
      </ns0:c>
      <ns0:c r="J13" s="4" t="n">
        <ns0:v>8.5</ns0:v>
      </ns0:c>
      <ns0:c r="K13" s="4" t="n">
        <ns0:v>7</ns0:v>
      </ns0:c>
      <ns0:c r="L13" s="4" t="n">
        <ns0:v>0</ns0:v>
      </ns0:c>
      <ns0:c r="M13" s="4" t="n">
        <ns0:v>10</ns0:v>
      </ns0:c>
      <ns0:c r="N13" s="4" t="n">
        <ns0:v>2</ns0:v>
      </ns0:c>
      <ns0:c r="O13" s="4" t="n">
        <ns0:v>3</ns0:v>
      </ns0:c>
      <ns0:c r="P13" s="4" t="inlineStr">
        <ns0:is>
          <ns0:t>2/3向下取整</ns0:t>
        </ns0:is>
      </ns0:c>
      <ns0:c r="Q13" s="4" t="inlineStr">
        <ns0:is>
          <ns0:t>灵力0／体力0／数量0；元素分类不自动创造攻击</ns0:t>
        </ns0:is>
      </ns0:c>
      <ns0:c r="R13" s="4" t="inlineStr">
        <ns0:is>
          <ns0:t>01效果；02状态；04法器</ns0:t>
        </ns0:is>
      </ns0:c>
      <ns0:c r="S13" s="4" t="n"/>
      <ns0:c r="T13" s="4" t="inlineStr">
        <ns0:is>
          <ns0:t>候选数值，未试跑</ns0:t>
        </ns0:is>
      </ns0:c>
      <ns0:c r="U13" s="4" t="inlineStr">
        <ns0:is>
          <ns0:t>第1批基础；第2批微调；第3批复查；用户直接更正优先</ns0:t>
        </ns0:is>
      </ns0:c>
      <ns0:c r="V13" s="14" t="inlineStr">
        <ns0:is>
          <ns0:t>F04</ns0:t>
        </ns0:is>
      </ns0:c>
      <ns0:c r="W13" s="14" t="n"/>
      <ns0:c r="X13" s="14" t="n">
        <ns0:v>0</ns0:v>
      </ns0:c>
      <ns0:c r="Y13" s="14" t="n">
        <ns0:v>0</ns0:v>
      </ns0:c>
      <ns0:c r="Z13" s="14" t="n">
        <ns0:v>0</ns0:v>
      </ns0:c>
      <ns0:c r="AA13" s="14" t="n">
        <ns0:v>0</ns0:v>
      </ns0:c>
      <ns0:c r="AB13" s="14" t="n">
        <ns0:v>0</ns0:v>
      </ns0:c>
      <ns0:c r="AC13" s="14" t="n"/>
      <ns0:c r="AD13" s="14" t="n"/>
      <ns0:c r="AE13" s="14" t="inlineStr">
        <ns0:is>
          <ns0:t>轮转；自身</ns0:t>
        </ns0:is>
      </ns0:c>
      <ns0:c r="AF13" s="14" t="inlineStr">
        <ns0:is>
          <ns0:t>气血＋7、灵力＋10，各至上限2/3</ns0:t>
        </ns0:is>
      </ns0:c>
      <ns0:c r="AG13" s="14" t="inlineStr">
        <ns0:is>
          <ns0:t>t01.asset.0086.effect.01；t01.asset.0086.effect.02</ns0:t>
        </ns0:is>
      </ns0:c>
    </ns0:row>
    <ns0:row r="14" ht="70" customHeight="1">
      <ns0:c r="A14" s="4" t="inlineStr">
        <ns0:is>
          <ns0:t>t01.asset.0087</ns0:t>
        </ns0:is>
      </ns0:c>
      <ns0:c r="B14" s="4" t="inlineStr">
        <ns0:is>
          <ns0:t>金光镜</ns0:t>
        </ns0:is>
      </ns0:c>
      <ns0:c r="C14" s="4" t="inlineStr">
        <ns0:is>
          <ns0:t>凡品</ns0:t>
        </ns0:is>
      </ns0:c>
      <ns0:c r="D14" s="4" t="inlineStr">
        <ns0:is>
          <ns0:t>金</ns0:t>
        </ns0:is>
      </ns0:c>
      <ns0:c r="E14" s="4" t="inlineStr">
        <ns0:is>
          <ns0:t>攻击／状态／防护</ns0:t>
        </ns0:is>
      </ns0:c>
      <ns0:c r="F14" s="4" t="inlineStr">
        <ns0:is>
          <ns0:t>法术型</ns0:t>
        </ns0:is>
      </ns0:c>
      <ns0:c r="G14" s="4" t="n">
        <ns0:v>1</ns0:v>
      </ns0:c>
      <ns0:c r="H14" s="4" t="n">
        <ns0:v>1</ns0:v>
      </ns0:c>
      <ns0:c r="I14" s="7">
        <ns0:f>G14*H14</ns0:f>
        <ns0:v>1</ns0:v>
      </ns0:c>
      <ns0:c r="J14" s="4" t="n">
        <ns0:v>7</ns0:v>
      </ns0:c>
      <ns0:c r="K14" s="4" t="n">
        <ns0:v>0</ns0:v>
      </ns0:c>
      <ns0:c r="L14" s="4" t="n">
        <ns0:v>0</ns0:v>
      </ns0:c>
      <ns0:c r="M14" s="4" t="n">
        <ns0:v>0</ns0:v>
      </ns0:c>
      <ns0:c r="N14" s="4" t="n"/>
      <ns0:c r="O14" s="4" t="n"/>
      <ns0:c r="P14" s="4" t="inlineStr">
        <ns0:is>
          <ns0:t>不适用</ns0:t>
        </ns0:is>
      </ns0:c>
      <ns0:c r="Q14" s="4" t="inlineStr">
        <ns0:is>
          <ns0:t>灵力6／体力0／数量0；元素分类不自动创造攻击</ns0:t>
        </ns0:is>
      </ns0:c>
      <ns0:c r="R14" s="4" t="inlineStr">
        <ns0:is>
          <ns0:t>01效果；02状态；04法器</ns0:t>
        </ns0:is>
      </ns0:c>
      <ns0:c r="S14" s="4" t="n"/>
      <ns0:c r="T14" s="4" t="inlineStr">
        <ns0:is>
          <ns0:t>候选数值，未试跑</ns0:t>
        </ns0:is>
      </ns0:c>
      <ns0:c r="U14" s="4" t="inlineStr">
        <ns0:is>
          <ns0:t>第1批基础；第2批微调；第3批复查；用户直接更正优先</ns0:t>
        </ns0:is>
      </ns0:c>
      <ns0:c r="V14" s="14" t="inlineStr">
        <ns0:is>
          <ns0:t>F05</ns0:t>
        </ns0:is>
      </ns0:c>
      <ns0:c r="W14" s="14" t="n">
        <ns0:v>22</ns0:v>
      </ns0:c>
      <ns0:c r="X14" s="14" t="n">
        <ns0:v>6</ns0:v>
      </ns0:c>
      <ns0:c r="Y14" s="14" t="n">
        <ns0:v>0</ns0:v>
      </ns0:c>
      <ns0:c r="Z14" s="14" t="n">
        <ns0:v>0</ns0:v>
      </ns0:c>
      <ns0:c r="AA14" s="14" t="n">
        <ns0:v>0</ns0:v>
      </ns0:c>
      <ns0:c r="AB14" s="14" t="n">
        <ns0:v>0</ns0:v>
      </ns0:c>
      <ns0:c r="AC14" s="14" t="inlineStr">
        <ns0:is>
          <ns0:t>锋痕</ns0:t>
        </ns0:is>
      </ns0:c>
      <ns0:c r="AD14" s="14" t="n">
        <ns0:v>1</ns0:v>
      </ns0:c>
      <ns0:c r="AE14" s="14" t="inlineStr">
        <ns0:is>
          <ns0:t>命中；敌方</ns0:t>
        </ns0:is>
      </ns0:c>
      <ns0:c r="AF14" s="14" t="inlineStr">
        <ns0:is>
          <ns0:t>金属性法术攻击22，命中锋痕＋1；锋痕由合格武器攻击兑现；金光镜仍是法器来源，不因金元素或SPELL攻击类型取得武器资格。</ns0:t>
        </ns0:is>
      </ns0:c>
      <ns0:c r="AG14" s="14" t="inlineStr">
        <ns0:is>
          <ns0:t>t01.asset.0087.effect.01；t01.asset.0087.effect.02</ns0:t>
        </ns0:is>
      </ns0:c>
    </ns0:row>
    <ns0:row r="15" ht="70" customHeight="1">
      <ns0:c r="A15" s="4" t="inlineStr">
        <ns0:is>
          <ns0:t>t01.asset.0088</ns0:t>
        </ns0:is>
      </ns0:c>
      <ns0:c r="B15" s="4" t="inlineStr">
        <ns0:is>
          <ns0:t>青木铃</ns0:t>
        </ns0:is>
      </ns0:c>
      <ns0:c r="C15" s="4" t="inlineStr">
        <ns0:is>
          <ns0:t>凡品</ns0:t>
        </ns0:is>
      </ns0:c>
      <ns0:c r="D15" s="4" t="inlineStr">
        <ns0:is>
          <ns0:t>木</ns0:t>
        </ns0:is>
      </ns0:c>
      <ns0:c r="E15" s="4" t="inlineStr">
        <ns0:is>
          <ns0:t>攻击／状态／防护</ns0:t>
        </ns0:is>
      </ns0:c>
      <ns0:c r="F15" s="4" t="inlineStr">
        <ns0:is>
          <ns0:t>无攻击</ns0:t>
        </ns0:is>
      </ns0:c>
      <ns0:c r="G15" s="4" t="n">
        <ns0:v>1</ns0:v>
      </ns0:c>
      <ns0:c r="H15" s="4" t="n">
        <ns0:v>1</ns0:v>
      </ns0:c>
      <ns0:c r="I15" s="7">
        <ns0:f>G15*H15</ns0:f>
        <ns0:v>1</ns0:v>
      </ns0:c>
      <ns0:c r="J15" s="4" t="n">
        <ns0:v>9</ns0:v>
      </ns0:c>
      <ns0:c r="K15" s="4" t="n">
        <ns0:v>0</ns0:v>
      </ns0:c>
      <ns0:c r="L15" s="4" t="n">
        <ns0:v>0</ns0:v>
      </ns0:c>
      <ns0:c r="M15" s="4" t="n">
        <ns0:v>0</ns0:v>
      </ns0:c>
      <ns0:c r="N15" s="4" t="n"/>
      <ns0:c r="O15" s="4" t="n"/>
      <ns0:c r="P15" s="4" t="inlineStr">
        <ns0:is>
          <ns0:t>不适用</ns0:t>
        </ns0:is>
      </ns0:c>
      <ns0:c r="Q15" s="4" t="inlineStr">
        <ns0:is>
          <ns0:t>灵力4／体力0／数量0；元素分类不自动创造攻击</ns0:t>
        </ns0:is>
      </ns0:c>
      <ns0:c r="R15" s="4" t="inlineStr">
        <ns0:is>
          <ns0:t>01效果；02状态；04法器</ns0:t>
        </ns0:is>
      </ns0:c>
      <ns0:c r="S15" s="4" t="n"/>
      <ns0:c r="T15" s="4" t="inlineStr">
        <ns0:is>
          <ns0:t>候选数值，未试跑</ns0:t>
        </ns0:is>
      </ns0:c>
      <ns0:c r="U15" s="4" t="inlineStr">
        <ns0:is>
          <ns0:t>第1批基础；第2批微调；第3批复查；用户直接更正优先</ns0:t>
        </ns0:is>
      </ns0:c>
      <ns0:c r="V15" s="14" t="inlineStr">
        <ns0:is>
          <ns0:t>F06</ns0:t>
        </ns0:is>
      </ns0:c>
      <ns0:c r="W15" s="14" t="n"/>
      <ns0:c r="X15" s="14" t="n">
        <ns0:v>4</ns0:v>
      </ns0:c>
      <ns0:c r="Y15" s="14" t="n">
        <ns0:v>0</ns0:v>
      </ns0:c>
      <ns0:c r="Z15" s="14" t="n">
        <ns0:v>0</ns0:v>
      </ns0:c>
      <ns0:c r="AA15" s="14" t="n">
        <ns0:v>0</ns0:v>
      </ns0:c>
      <ns0:c r="AB15" s="14" t="n">
        <ns0:v>0</ns0:v>
      </ns0:c>
      <ns0:c r="AC15" s="14" t="inlineStr">
        <ns0:is>
          <ns0:t>生机</ns0:t>
        </ns0:is>
      </ns0:c>
      <ns0:c r="AD15" s="14" t="n">
        <ns0:v>3</ns0:v>
      </ns0:c>
      <ns0:c r="AE15" s="14" t="inlineStr">
        <ns0:is>
          <ns0:t>轮转；自身</ns0:t>
        </ns0:is>
      </ns0:c>
      <ns0:c r="AF15" s="14" t="inlineStr">
        <ns0:is>
          <ns0:t>自身生机＋3；具体效果与施加时序依02和核心01，不由七系标签自动增加额外伤害。</ns0:t>
        </ns0:is>
      </ns0:c>
      <ns0:c r="AG15" s="14" t="inlineStr">
        <ns0:is>
          <ns0:t>t01.asset.0088.effect.01</ns0:t>
        </ns0:is>
      </ns0:c>
    </ns0:row>
    <ns0:row r="16" ht="70" customHeight="1">
      <ns0:c r="A16" s="4" t="inlineStr">
        <ns0:is>
          <ns0:t>t01.asset.0089</ns0:t>
        </ns0:is>
      </ns0:c>
      <ns0:c r="B16" s="4" t="inlineStr">
        <ns0:is>
          <ns0:t>寒水珠</ns0:t>
        </ns0:is>
      </ns0:c>
      <ns0:c r="C16" s="4" t="inlineStr">
        <ns0:is>
          <ns0:t>凡品</ns0:t>
        </ns0:is>
      </ns0:c>
      <ns0:c r="D16" s="4" t="inlineStr">
        <ns0:is>
          <ns0:t>水</ns0:t>
        </ns0:is>
      </ns0:c>
      <ns0:c r="E16" s="4" t="inlineStr">
        <ns0:is>
          <ns0:t>攻击／状态／防护</ns0:t>
        </ns0:is>
      </ns0:c>
      <ns0:c r="F16" s="4" t="inlineStr">
        <ns0:is>
          <ns0:t>法术型</ns0:t>
        </ns0:is>
      </ns0:c>
      <ns0:c r="G16" s="4" t="n">
        <ns0:v>1</ns0:v>
      </ns0:c>
      <ns0:c r="H16" s="4" t="n">
        <ns0:v>1</ns0:v>
      </ns0:c>
      <ns0:c r="I16" s="7">
        <ns0:f>G16*H16</ns0:f>
        <ns0:v>1</ns0:v>
      </ns0:c>
      <ns0:c r="J16" s="4" t="n">
        <ns0:v>7.5</ns0:v>
      </ns0:c>
      <ns0:c r="K16" s="4" t="n">
        <ns0:v>0</ns0:v>
      </ns0:c>
      <ns0:c r="L16" s="4" t="n">
        <ns0:v>0</ns0:v>
      </ns0:c>
      <ns0:c r="M16" s="4" t="n">
        <ns0:v>0</ns0:v>
      </ns0:c>
      <ns0:c r="N16" s="4" t="n"/>
      <ns0:c r="O16" s="4" t="n"/>
      <ns0:c r="P16" s="4" t="inlineStr">
        <ns0:is>
          <ns0:t>不适用</ns0:t>
        </ns0:is>
      </ns0:c>
      <ns0:c r="Q16" s="4" t="inlineStr">
        <ns0:is>
          <ns0:t>灵力6／体力0／数量0；元素分类不自动创造攻击</ns0:t>
        </ns0:is>
      </ns0:c>
      <ns0:c r="R16" s="4" t="inlineStr">
        <ns0:is>
          <ns0:t>01效果；02状态；04法器</ns0:t>
        </ns0:is>
      </ns0:c>
      <ns0:c r="S16" s="4" t="n"/>
      <ns0:c r="T16" s="4" t="inlineStr">
        <ns0:is>
          <ns0:t>候选数值，未试跑</ns0:t>
        </ns0:is>
      </ns0:c>
      <ns0:c r="U16" s="4" t="inlineStr">
        <ns0:is>
          <ns0:t>第1批基础；第2批微调；第3批复查；用户直接更正优先</ns0:t>
        </ns0:is>
      </ns0:c>
      <ns0:c r="V16" s="14" t="inlineStr">
        <ns0:is>
          <ns0:t>F07</ns0:t>
        </ns0:is>
      </ns0:c>
      <ns0:c r="W16" s="14" t="n">
        <ns0:v>23</ns0:v>
      </ns0:c>
      <ns0:c r="X16" s="14" t="n">
        <ns0:v>6</ns0:v>
      </ns0:c>
      <ns0:c r="Y16" s="14" t="n">
        <ns0:v>0</ns0:v>
      </ns0:c>
      <ns0:c r="Z16" s="14" t="n">
        <ns0:v>0</ns0:v>
      </ns0:c>
      <ns0:c r="AA16" s="14" t="n">
        <ns0:v>0</ns0:v>
      </ns0:c>
      <ns0:c r="AB16" s="14" t="n">
        <ns0:v>0</ns0:v>
      </ns0:c>
      <ns0:c r="AC16" s="14" t="inlineStr">
        <ns0:is>
          <ns0:t>寒霜</ns0:t>
        </ns0:is>
      </ns0:c>
      <ns0:c r="AD16" s="14" t="n">
        <ns0:v>1</ns0:v>
      </ns0:c>
      <ns0:c r="AE16" s="14" t="inlineStr">
        <ns0:is>
          <ns0:t>命中；敌方</ns0:t>
        </ns0:is>
      </ns0:c>
      <ns0:c r="AF16" s="14" t="inlineStr">
        <ns0:is>
          <ns0:t>水属性法术攻击23，命中寒霜＋1；寒霜正常新层先施加、后由本次合格主动水攻触发；初霜专属额外层例外留后次。</ns0:t>
        </ns0:is>
      </ns0:c>
      <ns0:c r="AG16" s="14" t="inlineStr">
        <ns0:is>
          <ns0:t>t01.asset.0089.effect.01；t01.asset.0089.effect.02</ns0:t>
        </ns0:is>
      </ns0:c>
    </ns0:row>
    <ns0:row r="17" ht="70" customHeight="1">
      <ns0:c r="A17" s="4" t="inlineStr">
        <ns0:is>
          <ns0:t>t01.asset.0090</ns0:t>
        </ns0:is>
      </ns0:c>
      <ns0:c r="B17" s="4" t="inlineStr">
        <ns0:is>
          <ns0:t>火灵珠</ns0:t>
        </ns0:is>
      </ns0:c>
      <ns0:c r="C17" s="4" t="inlineStr">
        <ns0:is>
          <ns0:t>凡品</ns0:t>
        </ns0:is>
      </ns0:c>
      <ns0:c r="D17" s="4" t="inlineStr">
        <ns0:is>
          <ns0:t>火</ns0:t>
        </ns0:is>
      </ns0:c>
      <ns0:c r="E17" s="4" t="inlineStr">
        <ns0:is>
          <ns0:t>攻击／状态／防护</ns0:t>
        </ns0:is>
      </ns0:c>
      <ns0:c r="F17" s="4" t="inlineStr">
        <ns0:is>
          <ns0:t>无攻击</ns0:t>
        </ns0:is>
      </ns0:c>
      <ns0:c r="G17" s="4" t="n">
        <ns0:v>1</ns0:v>
      </ns0:c>
      <ns0:c r="H17" s="4" t="n">
        <ns0:v>1</ns0:v>
      </ns0:c>
      <ns0:c r="I17" s="7">
        <ns0:f>G17*H17</ns0:f>
        <ns0:v>1</ns0:v>
      </ns0:c>
      <ns0:c r="J17" s="4" t="n">
        <ns0:v>7.5</ns0:v>
      </ns0:c>
      <ns0:c r="K17" s="4" t="n">
        <ns0:v>0</ns0:v>
      </ns0:c>
      <ns0:c r="L17" s="4" t="n">
        <ns0:v>0</ns0:v>
      </ns0:c>
      <ns0:c r="M17" s="4" t="n">
        <ns0:v>0</ns0:v>
      </ns0:c>
      <ns0:c r="N17" s="4" t="n"/>
      <ns0:c r="O17" s="4" t="n"/>
      <ns0:c r="P17" s="4" t="inlineStr">
        <ns0:is>
          <ns0:t>不适用</ns0:t>
        </ns0:is>
      </ns0:c>
      <ns0:c r="Q17" s="4" t="inlineStr">
        <ns0:is>
          <ns0:t>灵力4／体力0／数量0；元素分类不自动创造攻击</ns0:t>
        </ns0:is>
      </ns0:c>
      <ns0:c r="R17" s="4" t="inlineStr">
        <ns0:is>
          <ns0:t>01效果；02状态；04法器</ns0:t>
        </ns0:is>
      </ns0:c>
      <ns0:c r="S17" s="4" t="n"/>
      <ns0:c r="T17" s="4" t="inlineStr">
        <ns0:is>
          <ns0:t>候选数值，未试跑</ns0:t>
        </ns0:is>
      </ns0:c>
      <ns0:c r="U17" s="4" t="inlineStr">
        <ns0:is>
          <ns0:t>第1批基础；第2批微调；第3批复查；用户直接更正优先</ns0:t>
        </ns0:is>
      </ns0:c>
      <ns0:c r="V17" s="14" t="inlineStr">
        <ns0:is>
          <ns0:t>F08</ns0:t>
        </ns0:is>
      </ns0:c>
      <ns0:c r="W17" s="14" t="n"/>
      <ns0:c r="X17" s="14" t="n">
        <ns0:v>4</ns0:v>
      </ns0:c>
      <ns0:c r="Y17" s="14" t="n">
        <ns0:v>0</ns0:v>
      </ns0:c>
      <ns0:c r="Z17" s="14" t="n">
        <ns0:v>0</ns0:v>
      </ns0:c>
      <ns0:c r="AA17" s="14" t="n">
        <ns0:v>0</ns0:v>
      </ns0:c>
      <ns0:c r="AB17" s="14" t="n">
        <ns0:v>0</ns0:v>
      </ns0:c>
      <ns0:c r="AC17" s="14" t="inlineStr">
        <ns0:is>
          <ns0:t>附炎</ns0:t>
        </ns0:is>
      </ns0:c>
      <ns0:c r="AD17" s="14" t="n">
        <ns0:v>3</ns0:v>
      </ns0:c>
      <ns0:c r="AE17" s="14" t="inlineStr">
        <ns0:is>
          <ns0:t>轮转；自身</ns0:t>
        </ns0:is>
      </ns0:c>
      <ns0:c r="AF17" s="14" t="inlineStr">
        <ns0:is>
          <ns0:t>自身附炎＋3；具体效果与施加时序依02和核心01，不由七系标签自动增加额外伤害。</ns0:t>
        </ns0:is>
      </ns0:c>
      <ns0:c r="AG17" s="14" t="inlineStr">
        <ns0:is>
          <ns0:t>t01.asset.0090.effect.01</ns0:t>
        </ns0:is>
      </ns0:c>
    </ns0:row>
    <ns0:row r="18" ht="70" customHeight="1">
      <ns0:c r="A18" s="4" t="inlineStr">
        <ns0:is>
          <ns0:t>t01.asset.0091</ns0:t>
        </ns0:is>
      </ns0:c>
      <ns0:c r="B18" s="4" t="inlineStr">
        <ns0:is>
          <ns0:t>坤土珠</ns0:t>
        </ns0:is>
      </ns0:c>
      <ns0:c r="C18" s="4" t="inlineStr">
        <ns0:is>
          <ns0:t>凡品</ns0:t>
        </ns0:is>
      </ns0:c>
      <ns0:c r="D18" s="4" t="inlineStr">
        <ns0:is>
          <ns0:t>土</ns0:t>
        </ns0:is>
      </ns0:c>
      <ns0:c r="E18" s="4" t="inlineStr">
        <ns0:is>
          <ns0:t>攻击／状态／防护</ns0:t>
        </ns0:is>
      </ns0:c>
      <ns0:c r="F18" s="4" t="inlineStr">
        <ns0:is>
          <ns0:t>无攻击</ns0:t>
        </ns0:is>
      </ns0:c>
      <ns0:c r="G18" s="4" t="n">
        <ns0:v>1</ns0:v>
      </ns0:c>
      <ns0:c r="H18" s="4" t="n">
        <ns0:v>1</ns0:v>
      </ns0:c>
      <ns0:c r="I18" s="7">
        <ns0:f>G18*H18</ns0:f>
        <ns0:v>1</ns0:v>
      </ns0:c>
      <ns0:c r="J18" s="4" t="n">
        <ns0:v>9</ns0:v>
      </ns0:c>
      <ns0:c r="K18" s="4" t="n">
        <ns0:v>0</ns0:v>
      </ns0:c>
      <ns0:c r="L18" s="4" t="n">
        <ns0:v>0</ns0:v>
      </ns0:c>
      <ns0:c r="M18" s="4" t="n">
        <ns0:v>0</ns0:v>
      </ns0:c>
      <ns0:c r="N18" s="4" t="n"/>
      <ns0:c r="O18" s="4" t="n"/>
      <ns0:c r="P18" s="4" t="inlineStr">
        <ns0:is>
          <ns0:t>不适用</ns0:t>
        </ns0:is>
      </ns0:c>
      <ns0:c r="Q18" s="4" t="inlineStr">
        <ns0:is>
          <ns0:t>灵力4／体力0／数量0；元素分类不自动创造攻击</ns0:t>
        </ns0:is>
      </ns0:c>
      <ns0:c r="R18" s="4" t="inlineStr">
        <ns0:is>
          <ns0:t>01效果；02状态；04法器</ns0:t>
        </ns0:is>
      </ns0:c>
      <ns0:c r="S18" s="4" t="n"/>
      <ns0:c r="T18" s="4" t="inlineStr">
        <ns0:is>
          <ns0:t>候选数值，未试跑</ns0:t>
        </ns0:is>
      </ns0:c>
      <ns0:c r="U18" s="4" t="inlineStr">
        <ns0:is>
          <ns0:t>第1批基础；第2批微调；第3批复查；用户直接更正优先</ns0:t>
        </ns0:is>
      </ns0:c>
      <ns0:c r="V18" s="14" t="inlineStr">
        <ns0:is>
          <ns0:t>F09</ns0:t>
        </ns0:is>
      </ns0:c>
      <ns0:c r="W18" s="14" t="n"/>
      <ns0:c r="X18" s="14" t="n">
        <ns0:v>4</ns0:v>
      </ns0:c>
      <ns0:c r="Y18" s="14" t="n">
        <ns0:v>0</ns0:v>
      </ns0:c>
      <ns0:c r="Z18" s="14" t="n">
        <ns0:v>0</ns0:v>
      </ns0:c>
      <ns0:c r="AA18" s="14" t="n">
        <ns0:v>0</ns0:v>
      </ns0:c>
      <ns0:c r="AB18" s="14" t="n">
        <ns0:v>0</ns0:v>
      </ns0:c>
      <ns0:c r="AC18" s="14" t="inlineStr">
        <ns0:is>
          <ns0:t>坚韧</ns0:t>
        </ns0:is>
      </ns0:c>
      <ns0:c r="AD18" s="14" t="n">
        <ns0:v>3</ns0:v>
      </ns0:c>
      <ns0:c r="AE18" s="14" t="inlineStr">
        <ns0:is>
          <ns0:t>轮转；自身</ns0:t>
        </ns0:is>
      </ns0:c>
      <ns0:c r="AF18" s="14" t="inlineStr">
        <ns0:is>
          <ns0:t>自身坚韧＋3；具体效果与施加时序依02和核心01，不由七系标签自动增加额外伤害。</ns0:t>
        </ns0:is>
      </ns0:c>
      <ns0:c r="AG18" s="14" t="inlineStr">
        <ns0:is>
          <ns0:t>t01.asset.0091.effect.01</ns0:t>
        </ns0:is>
      </ns0:c>
    </ns0:row>
    <ns0:row r="19" ht="70" customHeight="1">
      <ns0:c r="A19" s="4" t="inlineStr">
        <ns0:is>
          <ns0:t>t01.asset.0092</ns0:t>
        </ns0:is>
      </ns0:c>
      <ns0:c r="B19" s="4" t="inlineStr">
        <ns0:is>
          <ns0:t>逐风旗</ns0:t>
        </ns0:is>
      </ns0:c>
      <ns0:c r="C19" s="4" t="inlineStr">
        <ns0:is>
          <ns0:t>凡品</ns0:t>
        </ns0:is>
      </ns0:c>
      <ns0:c r="D19" s="4" t="inlineStr">
        <ns0:is>
          <ns0:t>风</ns0:t>
        </ns0:is>
      </ns0:c>
      <ns0:c r="E19" s="4" t="inlineStr">
        <ns0:is>
          <ns0:t>攻击／状态／防护</ns0:t>
        </ns0:is>
      </ns0:c>
      <ns0:c r="F19" s="4" t="inlineStr">
        <ns0:is>
          <ns0:t>无攻击</ns0:t>
        </ns0:is>
      </ns0:c>
      <ns0:c r="G19" s="4" t="n">
        <ns0:v>1</ns0:v>
      </ns0:c>
      <ns0:c r="H19" s="4" t="n">
        <ns0:v>2</ns0:v>
      </ns0:c>
      <ns0:c r="I19" s="7">
        <ns0:f>G19*H19</ns0:f>
        <ns0:v>2</ns0:v>
      </ns0:c>
      <ns0:c r="J19" s="4" t="n">
        <ns0:v>7.5</ns0:v>
      </ns0:c>
      <ns0:c r="K19" s="4" t="n">
        <ns0:v>0</ns0:v>
      </ns0:c>
      <ns0:c r="L19" s="4" t="n">
        <ns0:v>0</ns0:v>
      </ns0:c>
      <ns0:c r="M19" s="4" t="n">
        <ns0:v>0</ns0:v>
      </ns0:c>
      <ns0:c r="N19" s="4" t="n"/>
      <ns0:c r="O19" s="4" t="n"/>
      <ns0:c r="P19" s="4" t="inlineStr">
        <ns0:is>
          <ns0:t>不适用</ns0:t>
        </ns0:is>
      </ns0:c>
      <ns0:c r="Q19" s="4" t="inlineStr">
        <ns0:is>
          <ns0:t>灵力4／体力0／数量0；元素分类不自动创造攻击</ns0:t>
        </ns0:is>
      </ns0:c>
      <ns0:c r="R19" s="4" t="inlineStr">
        <ns0:is>
          <ns0:t>01效果；02状态；04法器</ns0:t>
        </ns0:is>
      </ns0:c>
      <ns0:c r="S19" s="4" t="n"/>
      <ns0:c r="T19" s="4" t="inlineStr">
        <ns0:is>
          <ns0:t>候选数值，未试跑</ns0:t>
        </ns0:is>
      </ns0:c>
      <ns0:c r="U19" s="4" t="inlineStr">
        <ns0:is>
          <ns0:t>第1批基础；第2批微调；第3批复查；用户直接更正优先</ns0:t>
        </ns0:is>
      </ns0:c>
      <ns0:c r="V19" s="14" t="inlineStr">
        <ns0:is>
          <ns0:t>F10</ns0:t>
        </ns0:is>
      </ns0:c>
      <ns0:c r="W19" s="14" t="n"/>
      <ns0:c r="X19" s="14" t="n">
        <ns0:v>4</ns0:v>
      </ns0:c>
      <ns0:c r="Y19" s="14" t="n">
        <ns0:v>0</ns0:v>
      </ns0:c>
      <ns0:c r="Z19" s="14" t="n">
        <ns0:v>0</ns0:v>
      </ns0:c>
      <ns0:c r="AA19" s="14" t="n">
        <ns0:v>0</ns0:v>
      </ns0:c>
      <ns0:c r="AB19" s="14" t="n">
        <ns0:v>0</ns0:v>
      </ns0:c>
      <ns0:c r="AC19" s="14" t="inlineStr">
        <ns0:is>
          <ns0:t>失衡</ns0:t>
        </ns0:is>
      </ns0:c>
      <ns0:c r="AD19" s="14" t="n">
        <ns0:v>4</ns0:v>
      </ns0:c>
      <ns0:c r="AE19" s="14" t="inlineStr">
        <ns0:is>
          <ns0:t>轮转；敌方</ns0:t>
        </ns0:is>
      </ns0:c>
      <ns0:c r="AF19" s="14" t="inlineStr">
        <ns0:is>
          <ns0:t>直接向敌方施加失衡＋4；具体效果与施加时序依02和核心01，不由七系标签自动增加额外伤害。</ns0:t>
        </ns0:is>
      </ns0:c>
      <ns0:c r="AG19" s="14" t="inlineStr">
        <ns0:is>
          <ns0:t>t01.asset.0092.effect.01</ns0:t>
        </ns0:is>
      </ns0:c>
    </ns0:row>
    <ns0:row r="20" ht="70" customHeight="1">
      <ns0:c r="A20" s="4" t="inlineStr">
        <ns0:is>
          <ns0:t>t01.asset.0093</ns0:t>
        </ns0:is>
      </ns0:c>
      <ns0:c r="B20" s="4" t="inlineStr">
        <ns0:is>
          <ns0:t>引雷珠</ns0:t>
        </ns0:is>
      </ns0:c>
      <ns0:c r="C20" s="4" t="inlineStr">
        <ns0:is>
          <ns0:t>凡品</ns0:t>
        </ns0:is>
      </ns0:c>
      <ns0:c r="D20" s="4" t="inlineStr">
        <ns0:is>
          <ns0:t>雷</ns0:t>
        </ns0:is>
      </ns0:c>
      <ns0:c r="E20" s="4" t="inlineStr">
        <ns0:is>
          <ns0:t>攻击／状态／防护</ns0:t>
        </ns0:is>
      </ns0:c>
      <ns0:c r="F20" s="4" t="inlineStr">
        <ns0:is>
          <ns0:t>无攻击</ns0:t>
        </ns0:is>
      </ns0:c>
      <ns0:c r="G20" s="4" t="n">
        <ns0:v>1</ns0:v>
      </ns0:c>
      <ns0:c r="H20" s="4" t="n">
        <ns0:v>1</ns0:v>
      </ns0:c>
      <ns0:c r="I20" s="7">
        <ns0:f>G20*H20</ns0:f>
        <ns0:v>1</ns0:v>
      </ns0:c>
      <ns0:c r="J20" s="4" t="n">
        <ns0:v>9</ns0:v>
      </ns0:c>
      <ns0:c r="K20" s="4" t="n">
        <ns0:v>0</ns0:v>
      </ns0:c>
      <ns0:c r="L20" s="4" t="n">
        <ns0:v>0</ns0:v>
      </ns0:c>
      <ns0:c r="M20" s="4" t="n">
        <ns0:v>0</ns0:v>
      </ns0:c>
      <ns0:c r="N20" s="4" t="n"/>
      <ns0:c r="O20" s="4" t="n"/>
      <ns0:c r="P20" s="4" t="inlineStr">
        <ns0:is>
          <ns0:t>不适用</ns0:t>
        </ns0:is>
      </ns0:c>
      <ns0:c r="Q20" s="4" t="inlineStr">
        <ns0:is>
          <ns0:t>灵力4／体力0／数量0；元素分类不自动创造攻击</ns0:t>
        </ns0:is>
      </ns0:c>
      <ns0:c r="R20" s="4" t="inlineStr">
        <ns0:is>
          <ns0:t>01效果；02状态；04法器</ns0:t>
        </ns0:is>
      </ns0:c>
      <ns0:c r="S20" s="4" t="n"/>
      <ns0:c r="T20" s="4" t="inlineStr">
        <ns0:is>
          <ns0:t>候选数值，未试跑</ns0:t>
        </ns0:is>
      </ns0:c>
      <ns0:c r="U20" s="4" t="inlineStr">
        <ns0:is>
          <ns0:t>第1批基础；第2批微调；第3批复查；用户直接更正优先</ns0:t>
        </ns0:is>
      </ns0:c>
      <ns0:c r="V20" s="14" t="inlineStr">
        <ns0:is>
          <ns0:t>F11</ns0:t>
        </ns0:is>
      </ns0:c>
      <ns0:c r="W20" s="14" t="n"/>
      <ns0:c r="X20" s="14" t="n">
        <ns0:v>4</ns0:v>
      </ns0:c>
      <ns0:c r="Y20" s="14" t="n">
        <ns0:v>0</ns0:v>
      </ns0:c>
      <ns0:c r="Z20" s="14" t="n">
        <ns0:v>0</ns0:v>
      </ns0:c>
      <ns0:c r="AA20" s="14" t="n">
        <ns0:v>0</ns0:v>
      </ns0:c>
      <ns0:c r="AB20" s="14" t="n">
        <ns0:v>0</ns0:v>
      </ns0:c>
      <ns0:c r="AC20" s="14" t="inlineStr">
        <ns0:is>
          <ns0:t>雷印</ns0:t>
        </ns0:is>
      </ns0:c>
      <ns0:c r="AD20" s="14" t="n">
        <ns0:v>4</ns0:v>
      </ns0:c>
      <ns0:c r="AE20" s="14" t="inlineStr">
        <ns0:is>
          <ns0:t>轮转；敌方</ns0:t>
        </ns0:is>
      </ns0:c>
      <ns0:c r="AF20" s="14" t="inlineStr">
        <ns0:is>
          <ns0:t>直接向敌方施加雷印＋4；雷印新层在本击伤后加入，供后续合格雷攻；无本体雷攻击的施层器具不直接引雷。</ns0:t>
        </ns0:is>
      </ns0:c>
      <ns0:c r="AG20" s="14" t="inlineStr">
        <ns0:is>
          <ns0:t>t01.asset.0093.effect.01</ns0:t>
        </ns0:is>
      </ns0:c>
    </ns0:row>
    <ns0:row r="21" ht="70" customHeight="1">
      <ns0:c r="A21" s="4" t="inlineStr">
        <ns0:is>
          <ns0:t>t01.asset.0094</ns0:t>
        </ns0:is>
      </ns0:c>
      <ns0:c r="B21" s="4" t="inlineStr">
        <ns0:is>
          <ns0:t>护心镜</ns0:t>
        </ns0:is>
      </ns0:c>
      <ns0:c r="C21" s="4" t="inlineStr">
        <ns0:is>
          <ns0:t>凡品</ns0:t>
        </ns0:is>
      </ns0:c>
      <ns0:c r="D21" s="4" t="inlineStr">
        <ns0:is>
          <ns0:t>NONE</ns0:t>
        </ns0:is>
      </ns0:c>
      <ns0:c r="E21" s="4" t="inlineStr">
        <ns0:is>
          <ns0:t>攻击／状态／防护</ns0:t>
        </ns0:is>
      </ns0:c>
      <ns0:c r="F21" s="4" t="inlineStr">
        <ns0:is>
          <ns0:t>无攻击</ns0:t>
        </ns0:is>
      </ns0:c>
      <ns0:c r="G21" s="4" t="n">
        <ns0:v>1</ns0:v>
      </ns0:c>
      <ns0:c r="H21" s="4" t="n">
        <ns0:v>1</ns0:v>
      </ns0:c>
      <ns0:c r="I21" s="7">
        <ns0:f>G21*H21</ns0:f>
        <ns0:v>1</ns0:v>
      </ns0:c>
      <ns0:c r="J21" s="4" t="n"/>
      <ns0:c r="K21" s="4" t="n">
        <ns0:v>0</ns0:v>
      </ns0:c>
      <ns0:c r="L21" s="4" t="n">
        <ns0:v>0</ns0:v>
      </ns0:c>
      <ns0:c r="M21" s="4" t="n">
        <ns0:v>0</ns0:v>
      </ns0:c>
      <ns0:c r="N21" s="4" t="n"/>
      <ns0:c r="O21" s="4" t="n"/>
      <ns0:c r="P21" s="4" t="inlineStr">
        <ns0:is>
          <ns0:t>不适用</ns0:t>
        </ns0:is>
      </ns0:c>
      <ns0:c r="Q21" s="4" t="inlineStr">
        <ns0:is>
          <ns0:t>灵力0／体力0／数量0；元素分类不自动创造攻击</ns0:t>
        </ns0:is>
      </ns0:c>
      <ns0:c r="R21" s="4" t="inlineStr">
        <ns0:is>
          <ns0:t>01效果；02状态；04法器</ns0:t>
        </ns0:is>
      </ns0:c>
      <ns0:c r="S21" s="4" t="n"/>
      <ns0:c r="T21" s="4" t="inlineStr">
        <ns0:is>
          <ns0:t>候选数值，未试跑</ns0:t>
        </ns0:is>
      </ns0:c>
      <ns0:c r="U21" s="4" t="inlineStr">
        <ns0:is>
          <ns0:t>第1批基础；第2批微调；第3批复查；用户直接更正优先</ns0:t>
        </ns0:is>
      </ns0:c>
      <ns0:c r="V21" s="14" t="inlineStr">
        <ns0:is>
          <ns0:t>F12</ns0:t>
        </ns0:is>
      </ns0:c>
      <ns0:c r="W21" s="14" t="n"/>
      <ns0:c r="X21" s="14" t="n">
        <ns0:v>0</ns0:v>
      </ns0:c>
      <ns0:c r="Y21" s="14" t="n">
        <ns0:v>0</ns0:v>
      </ns0:c>
      <ns0:c r="Z21" s="14" t="n">
        <ns0:v>10</ns0:v>
      </ns0:c>
      <ns0:c r="AA21" s="14" t="n">
        <ns0:v>0</ns0:v>
      </ns0:c>
      <ns0:c r="AB21" s="14" t="n">
        <ns0:v>0</ns0:v>
      </ns0:c>
      <ns0:c r="AC21" s="14" t="n"/>
      <ns0:c r="AD21" s="14" t="n"/>
      <ns0:c r="AE21" s="14" t="inlineStr">
        <ns0:is>
          <ns0:t>静态；自身</ns0:t>
        </ns0:is>
      </ns0:c>
      <ns0:c r="AF21" s="14" t="inlineStr">
        <ns0:is>
          <ns0:t>护甲上限＋10，无甲型权重</ns0:t>
        </ns0:is>
      </ns0:c>
      <ns0:c r="AG21" s="14" t="inlineStr">
        <ns0:is>
          <ns0:t>t01.asset.0094.effect.01</ns0:t>
        </ns0:is>
      </ns0:c>
    </ns0:row>
    <ns0:row r="22" ht="70" customHeight="1">
      <ns0:c r="A22" s="4" t="inlineStr">
        <ns0:is>
          <ns0:t>t01.asset.0095</ns0:t>
        </ns0:is>
      </ns0:c>
      <ns0:c r="B22" s="4" t="inlineStr">
        <ns0:is>
          <ns0:t>复甲环</ns0:t>
        </ns0:is>
      </ns0:c>
      <ns0:c r="C22" s="4" t="inlineStr">
        <ns0:is>
          <ns0:t>凡品</ns0:t>
        </ns0:is>
      </ns0:c>
      <ns0:c r="D22" s="4" t="inlineStr">
        <ns0:is>
          <ns0:t>NONE</ns0:t>
        </ns0:is>
      </ns0:c>
      <ns0:c r="E22" s="4" t="inlineStr">
        <ns0:is>
          <ns0:t>攻击／状态／防护</ns0:t>
        </ns0:is>
      </ns0:c>
      <ns0:c r="F22" s="4" t="inlineStr">
        <ns0:is>
          <ns0:t>无攻击</ns0:t>
        </ns0:is>
      </ns0:c>
      <ns0:c r="G22" s="4" t="n">
        <ns0:v>1</ns0:v>
      </ns0:c>
      <ns0:c r="H22" s="4" t="n">
        <ns0:v>1</ns0:v>
      </ns0:c>
      <ns0:c r="I22" s="7">
        <ns0:f>G22*H22</ns0:f>
        <ns0:v>1</ns0:v>
      </ns0:c>
      <ns0:c r="J22" s="4" t="n">
        <ns0:v>6</ns0:v>
      </ns0:c>
      <ns0:c r="K22" s="4" t="n">
        <ns0:v>0</ns0:v>
      </ns0:c>
      <ns0:c r="L22" s="4" t="n">
        <ns0:v>0</ns0:v>
      </ns0:c>
      <ns0:c r="M22" s="4" t="n">
        <ns0:v>0</ns0:v>
      </ns0:c>
      <ns0:c r="N22" s="4" t="n"/>
      <ns0:c r="O22" s="4" t="n"/>
      <ns0:c r="P22" s="4" t="inlineStr">
        <ns0:is>
          <ns0:t>不适用</ns0:t>
        </ns0:is>
      </ns0:c>
      <ns0:c r="Q22" s="4" t="inlineStr">
        <ns0:is>
          <ns0:t>灵力3／体力0／数量0；元素分类不自动创造攻击</ns0:t>
        </ns0:is>
      </ns0:c>
      <ns0:c r="R22" s="4" t="inlineStr">
        <ns0:is>
          <ns0:t>01效果；02状态；04法器</ns0:t>
        </ns0:is>
      </ns0:c>
      <ns0:c r="S22" s="4" t="n"/>
      <ns0:c r="T22" s="4" t="inlineStr">
        <ns0:is>
          <ns0:t>候选数值，未试跑</ns0:t>
        </ns0:is>
      </ns0:c>
      <ns0:c r="U22" s="4" t="inlineStr">
        <ns0:is>
          <ns0:t>第1批基础；第2批微调；第3批复查；用户直接更正优先</ns0:t>
        </ns0:is>
      </ns0:c>
      <ns0:c r="V22" s="14" t="inlineStr">
        <ns0:is>
          <ns0:t>F13</ns0:t>
        </ns0:is>
      </ns0:c>
      <ns0:c r="W22" s="14" t="n"/>
      <ns0:c r="X22" s="14" t="n">
        <ns0:v>3</ns0:v>
      </ns0:c>
      <ns0:c r="Y22" s="14" t="n">
        <ns0:v>0</ns0:v>
      </ns0:c>
      <ns0:c r="Z22" s="14" t="n">
        <ns0:v>0</ns0:v>
      </ns0:c>
      <ns0:c r="AA22" s="14" t="n">
        <ns0:v>7</ns0:v>
      </ns0:c>
      <ns0:c r="AB22" s="14" t="n">
        <ns0:v>0</ns0:v>
      </ns0:c>
      <ns0:c r="AC22" s="14" t="n"/>
      <ns0:c r="AD22" s="14" t="n"/>
      <ns0:c r="AE22" s="14" t="inlineStr">
        <ns0:is>
          <ns0:t>轮转；自身</ns0:t>
        </ns0:is>
      </ns0:c>
      <ns0:c r="AF22" s="14" t="inlineStr">
        <ns0:is>
          <ns0:t>当前护甲＋7，不增加上限</ns0:t>
        </ns0:is>
      </ns0:c>
      <ns0:c r="AG22" s="14" t="inlineStr">
        <ns0:is>
          <ns0:t>t01.asset.0095.effect.01</ns0:t>
        </ns0:is>
      </ns0:c>
    </ns0:row>
    <ns0:row r="23" ht="85" customHeight="1">
      <ns0:c r="A23" s="4" t="inlineStr">
        <ns0:is>
          <ns0:t>t01.asset.0096</ns0:t>
        </ns0:is>
      </ns0:c>
      <ns0:c r="B23" s="4" t="inlineStr">
        <ns0:is>
          <ns0:t>灵障珠</ns0:t>
        </ns0:is>
      </ns0:c>
      <ns0:c r="C23" s="4" t="inlineStr">
        <ns0:is>
          <ns0:t>凡品</ns0:t>
        </ns0:is>
      </ns0:c>
      <ns0:c r="D23" s="4" t="inlineStr">
        <ns0:is>
          <ns0:t>NONE</ns0:t>
        </ns0:is>
      </ns0:c>
      <ns0:c r="E23" s="4" t="inlineStr">
        <ns0:is>
          <ns0:t>攻击／状态／防护</ns0:t>
        </ns0:is>
      </ns0:c>
      <ns0:c r="F23" s="4" t="inlineStr">
        <ns0:is>
          <ns0:t>无攻击</ns0:t>
        </ns0:is>
      </ns0:c>
      <ns0:c r="G23" s="4" t="n">
        <ns0:v>1</ns0:v>
      </ns0:c>
      <ns0:c r="H23" s="4" t="n">
        <ns0:v>1</ns0:v>
      </ns0:c>
      <ns0:c r="I23" s="7">
        <ns0:f>G23*H23</ns0:f>
        <ns0:v>1</ns0:v>
      </ns0:c>
      <ns0:c r="J23" s="4" t="n">
        <ns0:v>10.5</ns0:v>
      </ns0:c>
      <ns0:c r="K23" s="4" t="n">
        <ns0:v>0</ns0:v>
      </ns0:c>
      <ns0:c r="L23" s="4" t="n">
        <ns0:v>0</ns0:v>
      </ns0:c>
      <ns0:c r="M23" s="4" t="n">
        <ns0:v>0</ns0:v>
      </ns0:c>
      <ns0:c r="N23" s="4" t="n"/>
      <ns0:c r="O23" s="4" t="n"/>
      <ns0:c r="P23" s="4" t="inlineStr">
        <ns0:is>
          <ns0:t>不适用</ns0:t>
        </ns0:is>
      </ns0:c>
      <ns0:c r="Q23" s="4" t="inlineStr">
        <ns0:is>
          <ns0:t>灵力6／体力0／数量0；满灵障仍发动扣费并重开CD，普通控制和资源资格仍检查。</ns0:t>
        </ns0:is>
      </ns0:c>
      <ns0:c r="R23" s="4" t="inlineStr">
        <ns0:is>
          <ns0:t>01效果；02状态；04法器</ns0:t>
        </ns0:is>
      </ns0:c>
      <ns0:c r="S23" s="4" t="n"/>
      <ns0:c r="T23" s="4" t="inlineStr">
        <ns0:is>
          <ns0:t>候选数值，未试跑</ns0:t>
        </ns0:is>
      </ns0:c>
      <ns0:c r="U23" s="4" t="inlineStr">
        <ns0:is>
          <ns0:t>第1批基础；第2批微调；第3批复查；用户直接更正优先</ns0:t>
        </ns0:is>
      </ns0:c>
      <ns0:c r="V23" s="14" t="inlineStr">
        <ns0:is>
          <ns0:t>F14</ns0:t>
        </ns0:is>
      </ns0:c>
      <ns0:c r="W23" s="14" t="n"/>
      <ns0:c r="X23" s="14" t="n">
        <ns0:v>6</ns0:v>
      </ns0:c>
      <ns0:c r="Y23" s="14" t="n">
        <ns0:v>0</ns0:v>
      </ns0:c>
      <ns0:c r="Z23" s="14" t="n">
        <ns0:v>0</ns0:v>
      </ns0:c>
      <ns0:c r="AA23" s="14" t="n">
        <ns0:v>0</ns0:v>
      </ns0:c>
      <ns0:c r="AB23" s="14" t="n">
        <ns0:v>15</ns0:v>
      </ns0:c>
      <ns0:c r="AC23" s="14" t="n"/>
      <ns0:c r="AD23" s="14" t="n"/>
      <ns0:c r="AE23" s="14" t="inlineStr">
        <ns0:is>
          <ns0:t>轮转；自身</ns0:t>
        </ns0:is>
      </ns0:c>
      <ns0:c r="AF23" s="14" t="inlineStr">
        <ns0:is>
          <ns0:t>普通灵障＋15（受当前上限限制）；F14灵障珠满上限仍正常发动，消耗6灵力并重开10.5秒CD，实际增加0；未满时实际增加min(15,容量缺口)，费用仍6。仍检查控制、资源等正常发动资格；费用不足不能发动。此空转支付是F14的已定策略，不自动推广其他资产。</ns0:t>
        </ns0:is>
      </ns0:c>
      <ns0:c r="AG23" s="14" t="inlineStr">
        <ns0:is>
          <ns0:t>t01.asset.0096.effect.01</ns0:t>
        </ns0:is>
      </ns0:c>
    </ns0:row>
    <ns0:row r="24" ht="70" customHeight="1">
      <ns0:c r="A24" s="4" t="inlineStr">
        <ns0:is>
          <ns0:t>t01.asset.0097</ns0:t>
        </ns0:is>
      </ns0:c>
      <ns0:c r="B24" s="4" t="inlineStr">
        <ns0:is>
          <ns0:t>枯脉瓶</ns0:t>
        </ns0:is>
      </ns0:c>
      <ns0:c r="C24" s="4" t="inlineStr">
        <ns0:is>
          <ns0:t>凡品</ns0:t>
        </ns0:is>
      </ns0:c>
      <ns0:c r="D24" s="4" t="inlineStr">
        <ns0:is>
          <ns0:t>水</ns0:t>
        </ns0:is>
      </ns0:c>
      <ns0:c r="E24" s="4" t="inlineStr">
        <ns0:is>
          <ns0:t>攻击／状态／防护</ns0:t>
        </ns0:is>
      </ns0:c>
      <ns0:c r="F24" s="4" t="inlineStr">
        <ns0:is>
          <ns0:t>无攻击</ns0:t>
        </ns0:is>
      </ns0:c>
      <ns0:c r="G24" s="4" t="n">
        <ns0:v>1</ns0:v>
      </ns0:c>
      <ns0:c r="H24" s="4" t="n">
        <ns0:v>1</ns0:v>
      </ns0:c>
      <ns0:c r="I24" s="7">
        <ns0:f>G24*H24</ns0:f>
        <ns0:v>1</ns0:v>
      </ns0:c>
      <ns0:c r="J24" s="4" t="n">
        <ns0:v>9</ns0:v>
      </ns0:c>
      <ns0:c r="K24" s="4" t="n">
        <ns0:v>0</ns0:v>
      </ns0:c>
      <ns0:c r="L24" s="4" t="n">
        <ns0:v>0</ns0:v>
      </ns0:c>
      <ns0:c r="M24" s="4" t="n">
        <ns0:v>0</ns0:v>
      </ns0:c>
      <ns0:c r="N24" s="4" t="n"/>
      <ns0:c r="O24" s="4" t="n"/>
      <ns0:c r="P24" s="4" t="inlineStr">
        <ns0:is>
          <ns0:t>不适用</ns0:t>
        </ns0:is>
      </ns0:c>
      <ns0:c r="Q24" s="4" t="inlineStr">
        <ns0:is>
          <ns0:t>灵力4／体力0／数量0；元素分类不自动创造攻击</ns0:t>
        </ns0:is>
      </ns0:c>
      <ns0:c r="R24" s="4" t="inlineStr">
        <ns0:is>
          <ns0:t>01效果；02状态；04法器</ns0:t>
        </ns0:is>
      </ns0:c>
      <ns0:c r="S24" s="4" t="n"/>
      <ns0:c r="T24" s="4" t="inlineStr">
        <ns0:is>
          <ns0:t>候选数值，未试跑</ns0:t>
        </ns0:is>
      </ns0:c>
      <ns0:c r="U24" s="4" t="inlineStr">
        <ns0:is>
          <ns0:t>第1批基础；第2批微调；第3批复查；用户直接更正优先</ns0:t>
        </ns0:is>
      </ns0:c>
      <ns0:c r="V24" s="14" t="inlineStr">
        <ns0:is>
          <ns0:t>F15</ns0:t>
        </ns0:is>
      </ns0:c>
      <ns0:c r="W24" s="14" t="n"/>
      <ns0:c r="X24" s="14" t="n">
        <ns0:v>4</ns0:v>
      </ns0:c>
      <ns0:c r="Y24" s="14" t="n">
        <ns0:v>0</ns0:v>
      </ns0:c>
      <ns0:c r="Z24" s="14" t="n">
        <ns0:v>0</ns0:v>
      </ns0:c>
      <ns0:c r="AA24" s="14" t="n">
        <ns0:v>0</ns0:v>
      </ns0:c>
      <ns0:c r="AB24" s="14" t="n">
        <ns0:v>0</ns0:v>
      </ns0:c>
      <ns0:c r="AC24" s="14" t="inlineStr">
        <ns0:is>
          <ns0:t>枯脉</ns0:t>
        </ns0:is>
      </ns0:c>
      <ns0:c r="AD24" s="14" t="n">
        <ns0:v>3</ns0:v>
      </ns0:c>
      <ns0:c r="AE24" s="14" t="inlineStr">
        <ns0:is>
          <ns0:t>轮转；敌方</ns0:t>
        </ns0:is>
      </ns0:c>
      <ns0:c r="AF24" s="14" t="inlineStr">
        <ns0:is>
          <ns0:t>直接向敌方施加枯脉＋3；具体效果与施加时序依02和核心01，不由七系标签自动增加额外伤害。</ns0:t>
        </ns0:is>
      </ns0:c>
      <ns0:c r="AG24" s="14" t="inlineStr">
        <ns0:is>
          <ns0:t>t01.asset.0097.effect.01</ns0:t>
        </ns0:is>
      </ns0:c>
    </ns0:row>
    <ns0:row r="25" ht="70" customHeight="1">
      <ns0:c r="A25" s="4" t="inlineStr">
        <ns0:is>
          <ns0:t>t01.asset.0098</ns0:t>
        </ns0:is>
      </ns0:c>
      <ns0:c r="B25" s="4" t="inlineStr">
        <ns0:is>
          <ns0:t>清风拂</ns0:t>
        </ns0:is>
      </ns0:c>
      <ns0:c r="C25" s="4" t="inlineStr">
        <ns0:is>
          <ns0:t>凡品</ns0:t>
        </ns0:is>
      </ns0:c>
      <ns0:c r="D25" s="4" t="inlineStr">
        <ns0:is>
          <ns0:t>风</ns0:t>
        </ns0:is>
      </ns0:c>
      <ns0:c r="E25" s="4" t="inlineStr">
        <ns0:is>
          <ns0:t>攻击／状态／防护</ns0:t>
        </ns0:is>
      </ns0:c>
      <ns0:c r="F25" s="4" t="inlineStr">
        <ns0:is>
          <ns0:t>无攻击</ns0:t>
        </ns0:is>
      </ns0:c>
      <ns0:c r="G25" s="4" t="n">
        <ns0:v>1</ns0:v>
      </ns0:c>
      <ns0:c r="H25" s="4" t="n">
        <ns0:v>2</ns0:v>
      </ns0:c>
      <ns0:c r="I25" s="7">
        <ns0:f>G25*H25</ns0:f>
        <ns0:v>2</ns0:v>
      </ns0:c>
      <ns0:c r="J25" s="4" t="n">
        <ns0:v>10.5</ns0:v>
      </ns0:c>
      <ns0:c r="K25" s="4" t="n">
        <ns0:v>0</ns0:v>
      </ns0:c>
      <ns0:c r="L25" s="4" t="n">
        <ns0:v>0</ns0:v>
      </ns0:c>
      <ns0:c r="M25" s="4" t="n">
        <ns0:v>0</ns0:v>
      </ns0:c>
      <ns0:c r="N25" s="4" t="n"/>
      <ns0:c r="O25" s="4" t="n"/>
      <ns0:c r="P25" s="4" t="inlineStr">
        <ns0:is>
          <ns0:t>不适用</ns0:t>
        </ns0:is>
      </ns0:c>
      <ns0:c r="Q25" s="4" t="inlineStr">
        <ns0:is>
          <ns0:t>灵力4／体力0／数量0；元素分类不自动创造攻击</ns0:t>
        </ns0:is>
      </ns0:c>
      <ns0:c r="R25" s="4" t="inlineStr">
        <ns0:is>
          <ns0:t>01效果；02状态；04法器</ns0:t>
        </ns0:is>
      </ns0:c>
      <ns0:c r="S25" s="4" t="n"/>
      <ns0:c r="T25" s="4" t="inlineStr">
        <ns0:is>
          <ns0:t>候选数值，未试跑</ns0:t>
        </ns0:is>
      </ns0:c>
      <ns0:c r="U25" s="4" t="inlineStr">
        <ns0:is>
          <ns0:t>第1批基础；第2批微调；第3批复查；用户直接更正优先</ns0:t>
        </ns0:is>
      </ns0:c>
      <ns0:c r="V25" s="14" t="inlineStr">
        <ns0:is>
          <ns0:t>F16</ns0:t>
        </ns0:is>
      </ns0:c>
      <ns0:c r="W25" s="14" t="n"/>
      <ns0:c r="X25" s="14" t="n">
        <ns0:v>4</ns0:v>
      </ns0:c>
      <ns0:c r="Y25" s="14" t="n">
        <ns0:v>0</ns0:v>
      </ns0:c>
      <ns0:c r="Z25" s="14" t="n">
        <ns0:v>0</ns0:v>
      </ns0:c>
      <ns0:c r="AA25" s="14" t="n">
        <ns0:v>0</ns0:v>
      </ns0:c>
      <ns0:c r="AB25" s="14" t="n">
        <ns0:v>0</ns0:v>
      </ns0:c>
      <ns0:c r="AC25" s="14" t="inlineStr">
        <ns0:is>
          <ns0:t>驱散</ns0:t>
        </ns0:is>
      </ns0:c>
      <ns0:c r="AD25" s="14" t="n">
        <ns0:v>2</ns0:v>
      </ns0:c>
      <ns0:c r="AE25" s="14" t="inlineStr">
        <ns0:is>
          <ns0:t>轮转；敌方</ns0:t>
        </ns0:is>
      </ns0:c>
      <ns0:c r="AF25" s="14" t="inlineStr">
        <ns0:is>
          <ns0:t>直接向敌方施加驱散＋2；具体效果与施加时序依02和核心01，不由七系标签自动增加额外伤害。</ns0:t>
        </ns0:is>
      </ns0:c>
      <ns0:c r="AG25" s="14" t="inlineStr">
        <ns0:is>
          <ns0:t>t01.asset.0098.effect.01</ns0:t>
        </ns0:is>
      </ns0:c>
    </ns0:row>
    <ns0:row r="26" ht="70" customHeight="1">
      <ns0:c r="A26" s="4" t="inlineStr">
        <ns0:is>
          <ns0:t>t01.asset.0099</ns0:t>
        </ns0:is>
      </ns0:c>
      <ns0:c r="B26" s="4" t="inlineStr">
        <ns0:is>
          <ns0:t>锁雷环</ns0:t>
        </ns0:is>
      </ns0:c>
      <ns0:c r="C26" s="4" t="inlineStr">
        <ns0:is>
          <ns0:t>凡品</ns0:t>
        </ns0:is>
      </ns0:c>
      <ns0:c r="D26" s="4" t="inlineStr">
        <ns0:is>
          <ns0:t>雷</ns0:t>
        </ns0:is>
      </ns0:c>
      <ns0:c r="E26" s="4" t="inlineStr">
        <ns0:is>
          <ns0:t>攻击／状态／防护</ns0:t>
        </ns0:is>
      </ns0:c>
      <ns0:c r="F26" s="4" t="inlineStr">
        <ns0:is>
          <ns0:t>无攻击</ns0:t>
        </ns0:is>
      </ns0:c>
      <ns0:c r="G26" s="4" t="n">
        <ns0:v>1</ns0:v>
      </ns0:c>
      <ns0:c r="H26" s="4" t="n">
        <ns0:v>1</ns0:v>
      </ns0:c>
      <ns0:c r="I26" s="7">
        <ns0:f>G26*H26</ns0:f>
        <ns0:v>1</ns0:v>
      </ns0:c>
      <ns0:c r="J26" s="4" t="n">
        <ns0:v>9</ns0:v>
      </ns0:c>
      <ns0:c r="K26" s="4" t="n">
        <ns0:v>0</ns0:v>
      </ns0:c>
      <ns0:c r="L26" s="4" t="n">
        <ns0:v>0</ns0:v>
      </ns0:c>
      <ns0:c r="M26" s="4" t="n">
        <ns0:v>0</ns0:v>
      </ns0:c>
      <ns0:c r="N26" s="4" t="n"/>
      <ns0:c r="O26" s="4" t="n"/>
      <ns0:c r="P26" s="4" t="inlineStr">
        <ns0:is>
          <ns0:t>不适用</ns0:t>
        </ns0:is>
      </ns0:c>
      <ns0:c r="Q26" s="4" t="inlineStr">
        <ns0:is>
          <ns0:t>灵力4／体力0／数量0；元素分类不自动创造攻击</ns0:t>
        </ns0:is>
      </ns0:c>
      <ns0:c r="R26" s="4" t="inlineStr">
        <ns0:is>
          <ns0:t>01效果；02状态；04法器</ns0:t>
        </ns0:is>
      </ns0:c>
      <ns0:c r="S26" s="4" t="n"/>
      <ns0:c r="T26" s="4" t="inlineStr">
        <ns0:is>
          <ns0:t>候选数值，未试跑</ns0:t>
        </ns0:is>
      </ns0:c>
      <ns0:c r="U26" s="4" t="inlineStr">
        <ns0:is>
          <ns0:t>第1批基础；第2批微调；第3批复查；用户直接更正优先</ns0:t>
        </ns0:is>
      </ns0:c>
      <ns0:c r="V26" s="14" t="inlineStr">
        <ns0:is>
          <ns0:t>F17</ns0:t>
        </ns0:is>
      </ns0:c>
      <ns0:c r="W26" s="14" t="n"/>
      <ns0:c r="X26" s="14" t="n">
        <ns0:v>4</ns0:v>
      </ns0:c>
      <ns0:c r="Y26" s="14" t="n">
        <ns0:v>0</ns0:v>
      </ns0:c>
      <ns0:c r="Z26" s="14" t="n">
        <ns0:v>0</ns0:v>
      </ns0:c>
      <ns0:c r="AA26" s="14" t="n">
        <ns0:v>0</ns0:v>
      </ns0:c>
      <ns0:c r="AB26" s="14" t="n">
        <ns0:v>0</ns0:v>
      </ns0:c>
      <ns0:c r="AC26" s="14" t="inlineStr">
        <ns0:is>
          <ns0:t>连环</ns0:t>
        </ns0:is>
      </ns0:c>
      <ns0:c r="AD26" s="14" t="n">
        <ns0:v>2</ns0:v>
      </ns0:c>
      <ns0:c r="AE26" s="14" t="inlineStr">
        <ns0:is>
          <ns0:t>轮转；敌方</ns0:t>
        </ns0:is>
      </ns0:c>
      <ns0:c r="AF26" s="14" t="inlineStr">
        <ns0:is>
          <ns0:t>直接向敌方施加连环＋2；连环供后续合格雷攻击利用；锁雷环无本体攻击，不直接制造雷击或闪电。</ns0:t>
        </ns0:is>
      </ns0:c>
      <ns0:c r="AG26" s="14" t="inlineStr">
        <ns0:is>
          <ns0:t>t01.asset.0099.effect.01</ns0:t>
        </ns0:is>
      </ns0:c>
    </ns0:row>
    <ns0:row r="27" ht="70" customHeight="1">
      <ns0:c r="A27" s="4" t="inlineStr">
        <ns0:is>
          <ns0:t>t01.asset.0100</ns0:t>
        </ns0:is>
      </ns0:c>
      <ns0:c r="B27" s="4" t="inlineStr">
        <ns0:is>
          <ns0:t>蕴雷铃</ns0:t>
        </ns0:is>
      </ns0:c>
      <ns0:c r="C27" s="4" t="inlineStr">
        <ns0:is>
          <ns0:t>凡品</ns0:t>
        </ns0:is>
      </ns0:c>
      <ns0:c r="D27" s="4" t="inlineStr">
        <ns0:is>
          <ns0:t>雷</ns0:t>
        </ns0:is>
      </ns0:c>
      <ns0:c r="E27" s="4" t="inlineStr">
        <ns0:is>
          <ns0:t>攻击／状态／防护</ns0:t>
        </ns0:is>
      </ns0:c>
      <ns0:c r="F27" s="4" t="inlineStr">
        <ns0:is>
          <ns0:t>无攻击</ns0:t>
        </ns0:is>
      </ns0:c>
      <ns0:c r="G27" s="4" t="n">
        <ns0:v>1</ns0:v>
      </ns0:c>
      <ns0:c r="H27" s="4" t="n">
        <ns0:v>1</ns0:v>
      </ns0:c>
      <ns0:c r="I27" s="7">
        <ns0:f>G27*H27</ns0:f>
        <ns0:v>1</ns0:v>
      </ns0:c>
      <ns0:c r="J27" s="4" t="n">
        <ns0:v>9</ns0:v>
      </ns0:c>
      <ns0:c r="K27" s="4" t="n">
        <ns0:v>0</ns0:v>
      </ns0:c>
      <ns0:c r="L27" s="4" t="n">
        <ns0:v>0</ns0:v>
      </ns0:c>
      <ns0:c r="M27" s="4" t="n">
        <ns0:v>0</ns0:v>
      </ns0:c>
      <ns0:c r="N27" s="4" t="n"/>
      <ns0:c r="O27" s="4" t="n"/>
      <ns0:c r="P27" s="4" t="inlineStr">
        <ns0:is>
          <ns0:t>不适用</ns0:t>
        </ns0:is>
      </ns0:c>
      <ns0:c r="Q27" s="4" t="inlineStr">
        <ns0:is>
          <ns0:t>灵力4／体力0／数量0；元素分类不自动创造攻击</ns0:t>
        </ns0:is>
      </ns0:c>
      <ns0:c r="R27" s="4" t="inlineStr">
        <ns0:is>
          <ns0:t>01效果；02状态；04法器</ns0:t>
        </ns0:is>
      </ns0:c>
      <ns0:c r="S27" s="4" t="n"/>
      <ns0:c r="T27" s="4" t="inlineStr">
        <ns0:is>
          <ns0:t>候选数值，未试跑</ns0:t>
        </ns0:is>
      </ns0:c>
      <ns0:c r="U27" s="4" t="inlineStr">
        <ns0:is>
          <ns0:t>第1批基础；第2批微调；第3批复查；用户直接更正优先</ns0:t>
        </ns0:is>
      </ns0:c>
      <ns0:c r="V27" s="14" t="inlineStr">
        <ns0:is>
          <ns0:t>F18</ns0:t>
        </ns0:is>
      </ns0:c>
      <ns0:c r="W27" s="14" t="n"/>
      <ns0:c r="X27" s="14" t="n">
        <ns0:v>4</ns0:v>
      </ns0:c>
      <ns0:c r="Y27" s="14" t="n">
        <ns0:v>0</ns0:v>
      </ns0:c>
      <ns0:c r="Z27" s="14" t="n">
        <ns0:v>0</ns0:v>
      </ns0:c>
      <ns0:c r="AA27" s="14" t="n">
        <ns0:v>0</ns0:v>
      </ns0:c>
      <ns0:c r="AB27" s="14" t="n">
        <ns0:v>0</ns0:v>
      </ns0:c>
      <ns0:c r="AC27" s="14" t="inlineStr">
        <ns0:is>
          <ns0:t>雷蕴</ns0:t>
        </ns0:is>
      </ns0:c>
      <ns0:c r="AD27" s="14" t="n">
        <ns0:v>3</ns0:v>
      </ns0:c>
      <ns0:c r="AE27" s="14" t="inlineStr">
        <ns0:is>
          <ns0:t>轮转；自身</ns0:t>
        </ns0:is>
      </ns0:c>
      <ns0:c r="AF27" s="14" t="inlineStr">
        <ns0:is>
          <ns0:t>自身雷蕴＋3；具体效果与施加时序依02和核心01，不由七系标签自动增加额外伤害。</ns0:t>
        </ns0:is>
      </ns0:c>
      <ns0:c r="AG27" s="14" t="inlineStr">
        <ns0:is>
          <ns0:t>t01.asset.0100.effect.01</ns0:t>
        </ns0:is>
      </ns0:c>
    </ns0:row>
  </ns0:sheetData>
  <ns0:mergeCells count="2">
    <ns0:mergeCell ref="A2:AG2"/>
    <ns0:mergeCell ref="A1:AG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AI21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18" customWidth="1" min="2" max="2"/>
    <ns0:col width="11" customWidth="1" min="3" max="3"/>
    <ns0:col width="12" customWidth="1" min="4" max="4"/>
    <ns0:col width="25" customWidth="1" min="5" max="5"/>
    <ns0:col width="9" customWidth="1" min="6" max="6"/>
    <ns0:col width="9" customWidth="1" min="7" max="7"/>
    <ns0:col width="12" customWidth="1" min="8" max="8"/>
    <ns0:col width="12" customWidth="1" min="9" max="9"/>
    <ns0:col width="18" customWidth="1" min="10" max="10"/>
    <ns0:col width="18" customWidth="1" min="11" max="11"/>
    <ns0:col width="18" customWidth="1" min="12" max="12"/>
    <ns0:col width="16" customWidth="1" min="13" max="13"/>
    <ns0:col width="10" customWidth="1" min="14" max="14"/>
    <ns0:col width="17" customWidth="1" min="15" max="15"/>
    <ns0:col width="17" customWidth="1" min="16" max="16"/>
    <ns0:col width="17" customWidth="1" min="17" max="17"/>
    <ns0:col width="18" customWidth="1" min="18" max="18"/>
    <ns0:col width="16" customWidth="1" min="19" max="19"/>
    <ns0:col width="10" customWidth="1" min="20" max="20"/>
    <ns0:col width="44" customWidth="1" min="21" max="21"/>
    <ns0:col width="63" customWidth="1" min="22" max="22"/>
    <ns0:col width="43" customWidth="1" min="23" max="23"/>
    <ns0:col width="46" customWidth="1" min="24" max="24"/>
    <ns0:col width="30" customWidth="1" min="25" max="25"/>
    <ns0:col width="16" customWidth="1" min="26" max="26"/>
    <ns0:col width="12" customWidth="1" min="27" max="27"/>
    <ns0:col width="12" customWidth="1" min="28" max="28"/>
    <ns0:col width="10" customWidth="1" min="29" max="29"/>
    <ns0:col width="12" customWidth="1" min="30" max="30"/>
    <ns0:col width="12" customWidth="1" min="31" max="31"/>
    <ns0:col width="12" customWidth="1" min="32" max="32"/>
    <ns0:col width="52" customWidth="1" min="33" max="33"/>
    <ns0:col width="56" customWidth="1" min="34" max="34"/>
    <ns0:col width="43" customWidth="1" min="35" max="35"/>
  </ns0:cols>
  <ns0:sheetData>
    <ns0:row r="1" ht="32" customHeight="1">
      <ns0:c r="A1" s="1" t="inlineStr">
        <ns0:is>
          <ns0:t>t01-08｜丹药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效果类型</ns0:t>
        </ns0:is>
      </ns0:c>
      <ns0:c r="F5" s="3" t="inlineStr">
        <ns0:is>
          <ns0:t>宽_格</ns0:t>
        </ns0:is>
      </ns0:c>
      <ns0:c r="G5" s="3" t="inlineStr">
        <ns0:is>
          <ns0:t>高_格</ns0:t>
        </ns0:is>
      </ns0:c>
      <ns0:c r="H5" s="3" t="inlineStr">
        <ns0:is>
          <ns0:t>实际占格</ns0:t>
        </ns0:is>
      </ns0:c>
      <ns0:c r="I5" s="3" t="inlineStr">
        <ns0:is>
          <ns0:t>CD_秒</ns0:t>
        </ns0:is>
      </ns0:c>
      <ns0:c r="J5" s="3" t="inlineStr">
        <ns0:is>
          <ns0:t>每次气血恢复</ns0:t>
        </ns0:is>
      </ns0:c>
      <ns0:c r="K5" s="3" t="inlineStr">
        <ns0:is>
          <ns0:t>每次体力恢复</ns0:t>
        </ns0:is>
      </ns0:c>
      <ns0:c r="L5" s="3" t="inlineStr">
        <ns0:is>
          <ns0:t>每次灵力恢复</ns0:t>
        </ns0:is>
      </ns0:c>
      <ns0:c r="M5" s="3" t="inlineStr">
        <ns0:is>
          <ns0:t>跳间隔_秒</ns0:t>
        </ns0:is>
      </ns0:c>
      <ns0:c r="N5" s="3" t="inlineStr">
        <ns0:is>
          <ns0:t>次数</ns0:t>
        </ns0:is>
      </ns0:c>
      <ns0:c r="O5" s="3" t="inlineStr">
        <ns0:is>
          <ns0:t>总气血恢复</ns0:t>
        </ns0:is>
      </ns0:c>
      <ns0:c r="P5" s="3" t="inlineStr">
        <ns0:is>
          <ns0:t>总体力恢复</ns0:t>
        </ns0:is>
      </ns0:c>
      <ns0:c r="Q5" s="3" t="inlineStr">
        <ns0:is>
          <ns0:t>总灵力恢复</ns0:t>
        </ns0:is>
      </ns0:c>
      <ns0:c r="R5" s="3" t="inlineStr">
        <ns0:is>
          <ns0:t>毒蚀免疫_秒</ns0:t>
        </ns0:is>
      </ns0:c>
      <ns0:c r="S5" s="3" t="inlineStr">
        <ns0:is>
          <ns0:t>发动耗数量</ns0:t>
        </ns0:is>
      </ns0:c>
      <ns0:c r="T5" s="3" t="inlineStr">
        <ns0:is>
          <ns0:t>单位</ns0:t>
        </ns0:is>
      </ns0:c>
      <ns0:c r="U5" s="3" t="inlineStr">
        <ns0:is>
          <ns0:t>结算时点</ns0:t>
        </ns0:is>
      </ns0:c>
      <ns0:c r="V5" s="3" t="inlineStr">
        <ns0:is>
          <ns0:t>效果边界</ns0:t>
        </ns0:is>
      </ns0:c>
      <ns0:c r="W5" s="3" t="inlineStr">
        <ns0:is>
          <ns0:t>机制引用</ns0:t>
        </ns0:is>
      </ns0:c>
      <ns0:c r="X5" s="3" t="inlineStr">
        <ns0:is>
          <ns0:t>现有游戏ID</ns0:t>
        </ns0:is>
      </ns0:c>
      <ns0:c r="Y5" s="3" t="inlineStr">
        <ns0:is>
          <ns0:t>设计状态</ns0:t>
        </ns0:is>
      </ns0:c>
      <ns0:c r="Z5" s="3" t="inlineStr">
        <ns0:is>
          <ns0:t>来源</ns0:t>
        </ns0:is>
      </ns0:c>
      <ns0:c r="AA5" s="13" t="inlineStr">
        <ns0:is>
          <ns0:t>来源编号</ns0:t>
        </ns0:is>
      </ns0:c>
      <ns0:c r="AB5" s="13" t="inlineStr">
        <ns0:is>
          <ns0:t>状态</ns0:t>
        </ns0:is>
      </ns0:c>
      <ns0:c r="AC5" s="13" t="inlineStr">
        <ns0:is>
          <ns0:t>层数</ns0:t>
        </ns0:is>
      </ns0:c>
      <ns0:c r="AD5" s="13" t="inlineStr">
        <ns0:is>
          <ns0:t>减伤元素</ns0:t>
        </ns0:is>
      </ns0:c>
      <ns0:c r="AE5" s="13" t="inlineStr">
        <ns0:is>
          <ns0:t>减伤比例</ns0:t>
        </ns0:is>
      </ns0:c>
      <ns0:c r="AF5" s="13" t="inlineStr">
        <ns0:is>
          <ns0:t>持续_秒</ns0:t>
        </ns0:is>
      </ns0:c>
      <ns0:c r="AG5" s="13" t="inlineStr">
        <ns0:is>
          <ns0:t>首瓶与CD规则</ns0:t>
        </ns0:is>
      </ns0:c>
      <ns0:c r="AH5" s="13" t="inlineStr">
        <ns0:is>
          <ns0:t>自动使用条件</ns0:t>
        </ns0:is>
      </ns0:c>
      <ns0:c r="AI5" s="13" t="inlineStr">
        <ns0:is>
          <ns0:t>效果引用</ns0:t>
        </ns0:is>
      </ns0:c>
    </ns0:row>
    <ns0:row r="6" ht="30" customHeight="1">
      <ns0:c r="A6" s="4" t="inlineStr">
        <ns0:is>
          <ns0:t>t01.asset.0022</ns0:t>
        </ns0:is>
      </ns0:c>
      <ns0:c r="B6" s="4" t="inlineStr">
        <ns0:is>
          <ns0:t>止血丹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分次</ns0:t>
        </ns0:is>
      </ns0:c>
      <ns0:c r="F6" s="4" t="n">
        <ns0:v>1</ns0:v>
      </ns0:c>
      <ns0:c r="G6" s="4" t="n">
        <ns0:v>1</ns0:v>
      </ns0:c>
      <ns0:c r="H6" s="7">
        <ns0:f>F6*G6</ns0:f>
        <ns0:v>1</ns0:v>
      </ns0:c>
      <ns0:c r="I6" s="11" t="n">
        <ns0:v>6.5</ns0:v>
      </ns0:c>
      <ns0:c r="J6" s="4" t="n">
        <ns0:v>2</ns0:v>
      </ns0:c>
      <ns0:c r="K6" s="4" t="n">
        <ns0:v>0</ns0:v>
      </ns0:c>
      <ns0:c r="L6" s="4" t="n">
        <ns0:v>0</ns0:v>
      </ns0:c>
      <ns0:c r="M6" s="4" t="n">
        <ns0:v>2</ns0:v>
      </ns0:c>
      <ns0:c r="N6" s="4" t="n">
        <ns0:v>3</ns0:v>
      </ns0:c>
      <ns0:c r="O6" s="7">
        <ns0:f>IF(N6="",0,J6*N6)</ns0:f>
        <ns0:v>6</ns0:v>
      </ns0:c>
      <ns0:c r="P6" s="7">
        <ns0:f>IF(N6="",0,K6*N6)</ns0:f>
        <ns0:v>0</ns0:v>
      </ns0:c>
      <ns0:c r="Q6" s="7">
        <ns0:f>IF(N6="",0,L6*N6)</ns0:f>
        <ns0:v>0</ns0:v>
      </ns0:c>
      <ns0:c r="R6" s="4" t="n">
        <ns0:v>0</ns0:v>
      </ns0:c>
      <ns0:c r="S6" s="4" t="n">
        <ns0:v>1</ns0:v>
      </ns0:c>
      <ns0:c r="T6" s="4" t="inlineStr">
        <ns0:is>
          <ns0:t>瓶</ns0:t>
        </ns0:is>
      </ns0:c>
      <ns0:c r="U6" s="4" t="inlineStr">
        <ns0:is>
          <ns0:t>第2/4/6秒结算；不是发动即首跳</ns0:t>
        </ns0:is>
      </ns0:c>
      <ns0:c r="V6" s="4" t="inlineStr">
        <ns0:is>
          <ns0:t>仅消毒散清除毒蚀并免疫毒蚀；不扩为全负面净化。</ns0:t>
        </ns0:is>
      </ns0:c>
      <ns0:c r="W6" s="4" t="inlineStr">
        <ns0:is>
          <ns0:t>01时序／恢复／免疫；02 OP；03专门用途</ns0:t>
        </ns0:is>
      </ns0:c>
      <ns0:c r="X6" s="4" t="inlineStr">
        <ns0:is>
          <ns0:t>base.map_item.hemostatic_pill</ns0:t>
        </ns0:is>
      </ns0:c>
      <ns0:c r="Y6" s="4" t="inlineStr">
        <ns0:is>
          <ns0:t>保留资料已有值</ns0:t>
        </ns0:is>
      </ns0:c>
      <ns0:c r="Z6" s="4" t="inlineStr">
        <ns0:is>
          <ns0:t>B4；U</ns0:t>
        </ns0:is>
      </ns0:c>
      <ns0:c r="AG6" t="inlineStr">
        <ns0:is>
          <ns0:t>首瓶开战可用；未用不进入CD；实际使用后重开完整CD</ns0:t>
        </ns0:is>
      </ns0:c>
    </ns0:row>
    <ns0:row r="7" ht="30" customHeight="1">
      <ns0:c r="A7" s="5" t="inlineStr">
        <ns0:is>
          <ns0:t>t01.asset.0023</ns0:t>
        </ns0:is>
      </ns0:c>
      <ns0:c r="B7" s="5" t="inlineStr">
        <ns0:is>
          <ns0:t>强筋丸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分次</ns0:t>
        </ns0:is>
      </ns0:c>
      <ns0:c r="F7" s="5" t="n">
        <ns0:v>1</ns0:v>
      </ns0:c>
      <ns0:c r="G7" s="5" t="n">
        <ns0:v>1</ns0:v>
      </ns0:c>
      <ns0:c r="H7" s="9">
        <ns0:f>F7*G7</ns0:f>
        <ns0:v>1</ns0:v>
      </ns0:c>
      <ns0:c r="I7" s="12" t="n">
        <ns0:v>7.5</ns0:v>
      </ns0:c>
      <ns0:c r="J7" s="5" t="n">
        <ns0:v>0</ns0:v>
      </ns0:c>
      <ns0:c r="K7" s="5" t="n">
        <ns0:v>4</ns0:v>
      </ns0:c>
      <ns0:c r="L7" s="5" t="n">
        <ns0:v>0</ns0:v>
      </ns0:c>
      <ns0:c r="M7" s="5" t="n">
        <ns0:v>2</ns0:v>
      </ns0:c>
      <ns0:c r="N7" s="5" t="n">
        <ns0:v>3</ns0:v>
      </ns0:c>
      <ns0:c r="O7" s="9">
        <ns0:f>IF(N7="",0,J7*N7)</ns0:f>
        <ns0:v>0</ns0:v>
      </ns0:c>
      <ns0:c r="P7" s="9">
        <ns0:f>IF(N7="",0,K7*N7)</ns0:f>
        <ns0:v>12</ns0:v>
      </ns0:c>
      <ns0:c r="Q7" s="9">
        <ns0:f>IF(N7="",0,L7*N7)</ns0:f>
        <ns0:v>0</ns0:v>
      </ns0:c>
      <ns0:c r="R7" s="5" t="n">
        <ns0:v>0</ns0:v>
      </ns0:c>
      <ns0:c r="S7" s="5" t="n">
        <ns0:v>1</ns0:v>
      </ns0:c>
      <ns0:c r="T7" s="5" t="inlineStr">
        <ns0:is>
          <ns0:t>瓶</ns0:t>
        </ns0:is>
      </ns0:c>
      <ns0:c r="U7" s="5" t="inlineStr">
        <ns0:is>
          <ns0:t>第2/4/6秒结算；不是发动即首跳</ns0:t>
        </ns0:is>
      </ns0:c>
      <ns0:c r="V7" s="5" t="inlineStr">
        <ns0:is>
          <ns0:t>仅消毒散清除毒蚀并免疫毒蚀；不扩为全负面净化。</ns0:t>
        </ns0:is>
      </ns0:c>
      <ns0:c r="W7" s="5" t="inlineStr">
        <ns0:is>
          <ns0:t>01时序／恢复／免疫；02 OP；03专门用途</ns0:t>
        </ns0:is>
      </ns0:c>
      <ns0:c r="X7" s="5" t="inlineStr">
        <ns0:is>
          <ns0:t>base.map_item.sinew_pill</ns0:t>
        </ns0:is>
      </ns0:c>
      <ns0:c r="Y7" s="5" t="inlineStr">
        <ns0:is>
          <ns0:t>保留资料已有值</ns0:t>
        </ns0:is>
      </ns0:c>
      <ns0:c r="Z7" s="5" t="inlineStr">
        <ns0:is>
          <ns0:t>B4；U</ns0:t>
        </ns0:is>
      </ns0:c>
      <ns0:c r="AG7" t="inlineStr">
        <ns0:is>
          <ns0:t>首瓶开战可用；未用不进入CD；实际使用后重开完整CD</ns0:t>
        </ns0:is>
      </ns0:c>
    </ns0:row>
    <ns0:row r="8" ht="30" customHeight="1">
      <ns0:c r="A8" s="4" t="inlineStr">
        <ns0:is>
          <ns0:t>t01.asset.0024</ns0:t>
        </ns0:is>
      </ns0:c>
      <ns0:c r="B8" s="4" t="inlineStr">
        <ns0:is>
          <ns0:t>消毒散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清毒＋毒蚀免疫</ns0:t>
        </ns0:is>
      </ns0:c>
      <ns0:c r="F8" s="4" t="n">
        <ns0:v>1</ns0:v>
      </ns0:c>
      <ns0:c r="G8" s="4" t="n">
        <ns0:v>1</ns0:v>
      </ns0:c>
      <ns0:c r="H8" s="7">
        <ns0:f>F8*G8</ns0:f>
        <ns0:v>1</ns0:v>
      </ns0:c>
      <ns0:c r="I8" s="11" t="n">
        <ns0:v>5.5</ns0:v>
      </ns0:c>
      <ns0:c r="J8" s="4" t="n">
        <ns0:v>0</ns0:v>
      </ns0:c>
      <ns0:c r="K8" s="4" t="n">
        <ns0:v>0</ns0:v>
      </ns0:c>
      <ns0:c r="L8" s="4" t="n">
        <ns0:v>0</ns0:v>
      </ns0:c>
      <ns0:c r="M8" s="4" t="n"/>
      <ns0:c r="N8" s="4" t="n"/>
      <ns0:c r="O8" s="7">
        <ns0:f>IF(N8="",0,J8*N8)</ns0:f>
        <ns0:v>0</ns0:v>
      </ns0:c>
      <ns0:c r="P8" s="7">
        <ns0:f>IF(N8="",0,K8*N8)</ns0:f>
        <ns0:v>0</ns0:v>
      </ns0:c>
      <ns0:c r="Q8" s="7">
        <ns0:f>IF(N8="",0,L8*N8)</ns0:f>
        <ns0:v>0</ns0:v>
      </ns0:c>
      <ns0:c r="R8" s="4" t="n">
        <ns0:v>15</ns0:v>
      </ns0:c>
      <ns0:c r="S8" s="4" t="n">
        <ns0:v>1</ns0:v>
      </ns0:c>
      <ns0:c r="T8" s="4" t="inlineStr">
        <ns0:is>
          <ns0:t>瓶</ns0:t>
        </ns0:is>
      </ns0:c>
      <ns0:c r="U8" s="4" t="inlineStr">
        <ns0:is>
          <ns0:t>发动立即生效</ns0:t>
        </ns0:is>
      </ns0:c>
      <ns0:c r="V8" s="4" t="inlineStr">
        <ns0:is>
          <ns0:t>仅消毒散清除毒蚀并免疫毒蚀；不扩为全负面净化。</ns0:t>
        </ns0:is>
      </ns0:c>
      <ns0:c r="W8" s="4" t="inlineStr">
        <ns0:is>
          <ns0:t>01时序／恢复／免疫；02 OP；03专门用途</ns0:t>
        </ns0:is>
      </ns0:c>
      <ns0:c r="X8" s="4" t="inlineStr">
        <ns0:is>
          <ns0:t>base.map_item.detox_powder</ns0:t>
        </ns0:is>
      </ns0:c>
      <ns0:c r="Y8" s="4" t="inlineStr">
        <ns0:is>
          <ns0:t>保留资料已有值</ns0:t>
        </ns0:is>
      </ns0:c>
      <ns0:c r="Z8" s="4" t="inlineStr">
        <ns0:is>
          <ns0:t>B4；U</ns0:t>
        </ns0:is>
      </ns0:c>
      <ns0:c r="AG8" t="inlineStr">
        <ns0:is>
          <ns0:t>首瓶开战可用；未用不进入CD；实际使用后重开完整CD</ns0:t>
        </ns0:is>
      </ns0:c>
    </ns0:row>
    <ns0:row r="9" ht="30" customHeight="1">
      <ns0:c r="A9" s="5" t="inlineStr">
        <ns0:is>
          <ns0:t>t01.asset.0025</ns0:t>
        </ns0:is>
      </ns0:c>
      <ns0:c r="B9" s="5" t="inlineStr">
        <ns0:is>
          <ns0:t>回灵丹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分次</ns0:t>
        </ns0:is>
      </ns0:c>
      <ns0:c r="F9" s="5" t="n">
        <ns0:v>1</ns0:v>
      </ns0:c>
      <ns0:c r="G9" s="5" t="n">
        <ns0:v>1</ns0:v>
      </ns0:c>
      <ns0:c r="H9" s="9">
        <ns0:f>F9*G9</ns0:f>
        <ns0:v>1</ns0:v>
      </ns0:c>
      <ns0:c r="I9" s="12" t="n">
        <ns0:v>7.5</ns0:v>
      </ns0:c>
      <ns0:c r="J9" s="5" t="n">
        <ns0:v>0</ns0:v>
      </ns0:c>
      <ns0:c r="K9" s="5" t="n">
        <ns0:v>0</ns0:v>
      </ns0:c>
      <ns0:c r="L9" s="5" t="n">
        <ns0:v>3</ns0:v>
      </ns0:c>
      <ns0:c r="M9" s="5" t="n">
        <ns0:v>2</ns0:v>
      </ns0:c>
      <ns0:c r="N9" s="5" t="n">
        <ns0:v>3</ns0:v>
      </ns0:c>
      <ns0:c r="O9" s="9">
        <ns0:f>IF(N9="",0,J9*N9)</ns0:f>
        <ns0:v>0</ns0:v>
      </ns0:c>
      <ns0:c r="P9" s="9">
        <ns0:f>IF(N9="",0,K9*N9)</ns0:f>
        <ns0:v>0</ns0:v>
      </ns0:c>
      <ns0:c r="Q9" s="9">
        <ns0:f>IF(N9="",0,L9*N9)</ns0:f>
        <ns0:v>9</ns0:v>
      </ns0:c>
      <ns0:c r="R9" s="5" t="n">
        <ns0:v>0</ns0:v>
      </ns0:c>
      <ns0:c r="S9" s="5" t="n">
        <ns0:v>1</ns0:v>
      </ns0:c>
      <ns0:c r="T9" s="5" t="inlineStr">
        <ns0:is>
          <ns0:t>瓶</ns0:t>
        </ns0:is>
      </ns0:c>
      <ns0:c r="U9" s="5" t="inlineStr">
        <ns0:is>
          <ns0:t>第2/4/6秒结算；不是发动即首跳</ns0:t>
        </ns0:is>
      </ns0:c>
      <ns0:c r="V9" s="5" t="inlineStr">
        <ns0:is>
          <ns0:t>仅消毒散清除毒蚀并免疫毒蚀；不扩为全负面净化。</ns0:t>
        </ns0:is>
      </ns0:c>
      <ns0:c r="W9" s="5" t="inlineStr">
        <ns0:is>
          <ns0:t>01时序／恢复／免疫；02 OP；03专门用途</ns0:t>
        </ns0:is>
      </ns0:c>
      <ns0:c r="X9" s="5" t="inlineStr">
        <ns0:is>
          <ns0:t>未配置</ns0:t>
        </ns0:is>
      </ns0:c>
      <ns0:c r="Y9" s="6" t="inlineStr">
        <ns0:is>
          <ns0:t>新增试玩候选</ns0:t>
        </ns0:is>
      </ns0:c>
      <ns0:c r="Z9" s="5" t="inlineStr">
        <ns0:is>
          <ns0:t>B4；U</ns0:t>
        </ns0:is>
      </ns0:c>
      <ns0:c r="AG9" t="inlineStr">
        <ns0:is>
          <ns0:t>首瓶开战可用；未用不进入CD；实际使用后重开完整CD</ns0:t>
        </ns0:is>
      </ns0:c>
    </ns0:row>
    <ns0:row r="10" ht="30" customHeight="1">
      <ns0:c r="A10" s="4" t="inlineStr">
        <ns0:is>
          <ns0:t>t01.asset.0026</ns0:t>
        </ns0:is>
      </ns0:c>
      <ns0:c r="B10" s="4" t="inlineStr">
        <ns0:is>
          <ns0:t>金疮散</ns0:t>
        </ns0:is>
      </ns0:c>
      <ns0:c r="C10" s="4" t="inlineStr">
        <ns0:is>
          <ns0:t>下品</ns0:t>
        </ns0:is>
      </ns0:c>
      <ns0:c r="D10" s="4" t="inlineStr">
        <ns0:is>
          <ns0:t>NONE</ns0:t>
        </ns0:is>
      </ns0:c>
      <ns0:c r="E10" s="4" t="inlineStr">
        <ns0:is>
          <ns0:t>即时</ns0:t>
        </ns0:is>
      </ns0:c>
      <ns0:c r="F10" s="4" t="n">
        <ns0:v>1</ns0:v>
      </ns0:c>
      <ns0:c r="G10" s="4" t="n">
        <ns0:v>1</ns0:v>
      </ns0:c>
      <ns0:c r="H10" s="7">
        <ns0:f>F10*G10</ns0:f>
        <ns0:v>1</ns0:v>
      </ns0:c>
      <ns0:c r="I10" s="11" t="n">
        <ns0:v>5.5</ns0:v>
      </ns0:c>
      <ns0:c r="J10" s="4" t="n">
        <ns0:v>4</ns0:v>
      </ns0:c>
      <ns0:c r="K10" s="4" t="n">
        <ns0:v>0</ns0:v>
      </ns0:c>
      <ns0:c r="L10" s="4" t="n">
        <ns0:v>0</ns0:v>
      </ns0:c>
      <ns0:c r="M10" s="4" t="n">
        <ns0:v>0</ns0:v>
      </ns0:c>
      <ns0:c r="N10" s="4" t="n">
        <ns0:v>1</ns0:v>
      </ns0:c>
      <ns0:c r="O10" s="7">
        <ns0:f>IF(N10="",0,J10*N10)</ns0:f>
        <ns0:v>4</ns0:v>
      </ns0:c>
      <ns0:c r="P10" s="7">
        <ns0:f>IF(N10="",0,K10*N10)</ns0:f>
        <ns0:v>0</ns0:v>
      </ns0:c>
      <ns0:c r="Q10" s="7">
        <ns0:f>IF(N10="",0,L10*N10)</ns0:f>
        <ns0:v>0</ns0:v>
      </ns0:c>
      <ns0:c r="R10" s="4" t="n">
        <ns0:v>0</ns0:v>
      </ns0:c>
      <ns0:c r="S10" s="4" t="n">
        <ns0:v>1</ns0:v>
      </ns0:c>
      <ns0:c r="T10" s="4" t="inlineStr">
        <ns0:is>
          <ns0:t>份</ns0:t>
        </ns0:is>
      </ns0:c>
      <ns0:c r="U10" s="4" t="inlineStr">
        <ns0:is>
          <ns0:t>发动立即生效</ns0:t>
        </ns0:is>
      </ns0:c>
      <ns0:c r="V10" s="4" t="inlineStr">
        <ns0:is>
          <ns0:t>仅消毒散清除毒蚀并免疫毒蚀；不扩为全负面净化。</ns0:t>
        </ns0:is>
      </ns0:c>
      <ns0:c r="W10" s="4" t="inlineStr">
        <ns0:is>
          <ns0:t>01时序／恢复／免疫；02 OP；03专门用途</ns0:t>
        </ns0:is>
      </ns0:c>
      <ns0:c r="X10" s="4" t="inlineStr">
        <ns0:is>
          <ns0:t>未配置</ns0:t>
        </ns0:is>
      </ns0:c>
      <ns0:c r="Y10" s="6" t="inlineStr">
        <ns0:is>
          <ns0:t>新增试玩候选</ns0:t>
        </ns0:is>
      </ns0:c>
      <ns0:c r="Z10" s="4" t="inlineStr">
        <ns0:is>
          <ns0:t>B4；U</ns0:t>
        </ns0:is>
      </ns0:c>
      <ns0:c r="AG10" t="inlineStr">
        <ns0:is>
          <ns0:t>首瓶开战可用；未用不进入CD；实际使用后重开完整CD</ns0:t>
        </ns0:is>
      </ns0:c>
    </ns0:row>
    <ns0:row r="11" ht="30" customHeight="1">
      <ns0:c r="A11" s="5" t="inlineStr">
        <ns0:is>
          <ns0:t>t01.asset.0027</ns0:t>
        </ns0:is>
      </ns0:c>
      <ns0:c r="B11" s="5" t="inlineStr">
        <ns0:is>
          <ns0:t>回元散</ns0:t>
        </ns0:is>
      </ns0:c>
      <ns0:c r="C11" s="5" t="inlineStr">
        <ns0:is>
          <ns0:t>下品</ns0:t>
        </ns0:is>
      </ns0:c>
      <ns0:c r="D11" s="5" t="inlineStr">
        <ns0:is>
          <ns0:t>NONE</ns0:t>
        </ns0:is>
      </ns0:c>
      <ns0:c r="E11" s="5" t="inlineStr">
        <ns0:is>
          <ns0:t>即时</ns0:t>
        </ns0:is>
      </ns0:c>
      <ns0:c r="F11" s="5" t="n">
        <ns0:v>1</ns0:v>
      </ns0:c>
      <ns0:c r="G11" s="5" t="n">
        <ns0:v>1</ns0:v>
      </ns0:c>
      <ns0:c r="H11" s="9">
        <ns0:f>F11*G11</ns0:f>
        <ns0:v>1</ns0:v>
      </ns0:c>
      <ns0:c r="I11" s="5" t="n">
        <ns0:v>7</ns0:v>
      </ns0:c>
      <ns0:c r="J11" s="5" t="n">
        <ns0:v>3</ns0:v>
      </ns0:c>
      <ns0:c r="K11" s="5" t="n">
        <ns0:v>6</ns0:v>
      </ns0:c>
      <ns0:c r="L11" s="5" t="n">
        <ns0:v>0</ns0:v>
      </ns0:c>
      <ns0:c r="M11" s="5" t="n">
        <ns0:v>0</ns0:v>
      </ns0:c>
      <ns0:c r="N11" s="5" t="n">
        <ns0:v>1</ns0:v>
      </ns0:c>
      <ns0:c r="O11" s="9">
        <ns0:f>IF(N11="",0,J11*N11)</ns0:f>
        <ns0:v>3</ns0:v>
      </ns0:c>
      <ns0:c r="P11" s="9">
        <ns0:f>IF(N11="",0,K11*N11)</ns0:f>
        <ns0:v>6</ns0:v>
      </ns0:c>
      <ns0:c r="Q11" s="9">
        <ns0:f>IF(N11="",0,L11*N11)</ns0:f>
        <ns0:v>0</ns0:v>
      </ns0:c>
      <ns0:c r="R11" s="5" t="n">
        <ns0:v>0</ns0:v>
      </ns0:c>
      <ns0:c r="S11" s="5" t="n">
        <ns0:v>1</ns0:v>
      </ns0:c>
      <ns0:c r="T11" s="5" t="inlineStr">
        <ns0:is>
          <ns0:t>份</ns0:t>
        </ns0:is>
      </ns0:c>
      <ns0:c r="U11" s="5" t="inlineStr">
        <ns0:is>
          <ns0:t>发动立即生效</ns0:t>
        </ns0:is>
      </ns0:c>
      <ns0:c r="V11" s="5" t="inlineStr">
        <ns0:is>
          <ns0:t>仅消毒散清除毒蚀并免疫毒蚀；不扩为全负面净化。</ns0:t>
        </ns0:is>
      </ns0:c>
      <ns0:c r="W11" s="5" t="inlineStr">
        <ns0:is>
          <ns0:t>01时序／恢复／免疫；02 OP；03专门用途</ns0:t>
        </ns0:is>
      </ns0:c>
      <ns0:c r="X11" s="5" t="inlineStr">
        <ns0:is>
          <ns0:t>未配置</ns0:t>
        </ns0:is>
      </ns0:c>
      <ns0:c r="Y11" s="6" t="inlineStr">
        <ns0:is>
          <ns0:t>新增试玩候选</ns0:t>
        </ns0:is>
      </ns0:c>
      <ns0:c r="Z11" s="5" t="inlineStr">
        <ns0:is>
          <ns0:t>B4；U</ns0:t>
        </ns0:is>
      </ns0:c>
      <ns0:c r="AG11" t="inlineStr">
        <ns0:is>
          <ns0:t>首瓶开战可用；未用不进入CD；实际使用后重开完整CD</ns0:t>
        </ns0:is>
      </ns0:c>
    </ns0:row>
    <ns0:row r="12" ht="70" customHeight="1">
      <ns0:c r="A12" s="4" t="inlineStr">
        <ns0:is>
          <ns0:t>t01.asset.0101</ns0:t>
        </ns0:is>
      </ns0:c>
      <ns0:c r="B12" s="4" t="inlineStr">
        <ns0:is>
          <ns0:t>回春丹</ns0:t>
        </ns0:is>
      </ns0:c>
      <ns0:c r="C12" s="4" t="inlineStr">
        <ns0:is>
          <ns0:t>凡品</ns0:t>
        </ns0:is>
      </ns0:c>
      <ns0:c r="D12" s="4" t="inlineStr">
        <ns0:is>
          <ns0:t>NONE</ns0:t>
        </ns0:is>
      </ns0:c>
      <ns0:c r="E12" s="4" t="inlineStr">
        <ns0:is>
          <ns0:t>分次</ns0:t>
        </ns0:is>
      </ns0:c>
      <ns0:c r="F12" s="4" t="n">
        <ns0:v>1</ns0:v>
      </ns0:c>
      <ns0:c r="G12" s="4" t="n">
        <ns0:v>1</ns0:v>
      </ns0:c>
      <ns0:c r="H12" s="7">
        <ns0:f>F12*G12</ns0:f>
        <ns0:v>1</ns0:v>
      </ns0:c>
      <ns0:c r="I12" s="11" t="n">
        <ns0:v>12</ns0:v>
      </ns0:c>
      <ns0:c r="J12" s="4" t="n">
        <ns0:v>7</ns0:v>
      </ns0:c>
      <ns0:c r="K12" s="4" t="n">
        <ns0:v>0</ns0:v>
      </ns0:c>
      <ns0:c r="L12" s="4" t="n">
        <ns0:v>0</ns0:v>
      </ns0:c>
      <ns0:c r="M12" s="4" t="n">
        <ns0:v>2</ns0:v>
      </ns0:c>
      <ns0:c r="N12" s="4" t="n">
        <ns0:v>3</ns0:v>
      </ns0:c>
      <ns0:c r="O12" s="7">
        <ns0:f>J12*N12</ns0:f>
        <ns0:v>21</ns0:v>
      </ns0:c>
      <ns0:c r="P12" s="7">
        <ns0:f>K12*N12</ns0:f>
        <ns0:v>0</ns0:v>
      </ns0:c>
      <ns0:c r="Q12" s="7">
        <ns0:f>L12*N12</ns0:f>
        <ns0:v>0</ns0:v>
      </ns0:c>
      <ns0:c r="R12" s="4" t="n">
        <ns0:v>0</ns0:v>
      </ns0:c>
      <ns0:c r="S12" s="4" t="n">
        <ns0:v>1</ns0:v>
      </ns0:c>
      <ns0:c r="T12" s="4" t="inlineStr">
        <ns0:is>
          <ns0:t>份</ns0:t>
        </ns0:is>
      </ns0:c>
      <ns0:c r="U12" s="4" t="inlineStr">
        <ns0:is>
          <ns0:t>第2/4/6战斗秒</ns0:t>
        </ns0:is>
      </ns0:c>
      <ns0:c r="V12" s="4" t="inlineStr">
        <ns0:is>
          <ns0:t>发动后第2、4、6战斗秒各恢复气血7，总21</ns0:t>
        </ns0:is>
      </ns0:c>
      <ns0:c r="W12" s="4" t="inlineStr">
        <ns0:is>
          <ns0:t>01时序／恢复；02状态／S3；04丹药</ns0:t>
        </ns0:is>
      </ns0:c>
      <ns0:c r="X12" s="4" t="n"/>
      <ns0:c r="Y12" s="4" t="inlineStr">
        <ns0:is>
          <ns0:t>候选数值，未试跑</ns0:t>
        </ns0:is>
      </ns0:c>
      <ns0:c r="Z12" s="4" t="inlineStr">
        <ns0:is>
          <ns0:t>本次Q01用户补充丹药完整表；用户首瓶机制修正</ns0:t>
        </ns0:is>
      </ns0:c>
      <ns0:c r="AA12" s="14" t="inlineStr">
        <ns0:is>
          <ns0:t>P01</ns0:t>
        </ns0:is>
      </ns0:c>
      <ns0:c r="AB12" s="14" t="n"/>
      <ns0:c r="AC12" s="14" t="n"/>
      <ns0:c r="AD12" s="14" t="n"/>
      <ns0:c r="AE12" s="14" t="n"/>
      <ns0:c r="AF12" s="14" t="n"/>
      <ns0:c r="AG12" s="14" t="inlineStr">
        <ns0:is>
          <ns0:t>首瓶开战可用；未用不进入CD；实际使用后重开完整CD</ns0:t>
        </ns0:is>
      </ns0:c>
      <ns0:c r="AH12" s="14" t="inlineStr">
        <ns0:is>
          <ns0:t>对应资源未缺不自动消耗；同款持续恢复未结束不再自动服用</ns0:t>
        </ns0:is>
      </ns0:c>
      <ns0:c r="AI12" s="14" t="inlineStr">
        <ns0:is>
          <ns0:t>t01.asset.0101.effect.01</ns0:t>
        </ns0:is>
      </ns0:c>
    </ns0:row>
    <ns0:row r="13" ht="70" customHeight="1">
      <ns0:c r="A13" s="4" t="inlineStr">
        <ns0:is>
          <ns0:t>t01.asset.0102</ns0:t>
        </ns0:is>
      </ns0:c>
      <ns0:c r="B13" s="4" t="inlineStr">
        <ns0:is>
          <ns0:t>益气丹</ns0:t>
        </ns0:is>
      </ns0:c>
      <ns0:c r="C13" s="4" t="inlineStr">
        <ns0:is>
          <ns0:t>凡品</ns0:t>
        </ns0:is>
      </ns0:c>
      <ns0:c r="D13" s="4" t="inlineStr">
        <ns0:is>
          <ns0:t>NONE</ns0:t>
        </ns0:is>
      </ns0:c>
      <ns0:c r="E13" s="4" t="inlineStr">
        <ns0:is>
          <ns0:t>分次</ns0:t>
        </ns0:is>
      </ns0:c>
      <ns0:c r="F13" s="4" t="n">
        <ns0:v>1</ns0:v>
      </ns0:c>
      <ns0:c r="G13" s="4" t="n">
        <ns0:v>1</ns0:v>
      </ns0:c>
      <ns0:c r="H13" s="7">
        <ns0:f>F13*G13</ns0:f>
        <ns0:v>1</ns0:v>
      </ns0:c>
      <ns0:c r="I13" s="11" t="n">
        <ns0:v>13</ns0:v>
      </ns0:c>
      <ns0:c r="J13" s="4" t="n">
        <ns0:v>0</ns0:v>
      </ns0:c>
      <ns0:c r="K13" s="4" t="n">
        <ns0:v>10</ns0:v>
      </ns0:c>
      <ns0:c r="L13" s="4" t="n">
        <ns0:v>0</ns0:v>
      </ns0:c>
      <ns0:c r="M13" s="4" t="n">
        <ns0:v>2</ns0:v>
      </ns0:c>
      <ns0:c r="N13" s="4" t="n">
        <ns0:v>3</ns0:v>
      </ns0:c>
      <ns0:c r="O13" s="7">
        <ns0:f>J13*N13</ns0:f>
        <ns0:v>0</ns0:v>
      </ns0:c>
      <ns0:c r="P13" s="7">
        <ns0:f>K13*N13</ns0:f>
        <ns0:v>30</ns0:v>
      </ns0:c>
      <ns0:c r="Q13" s="7">
        <ns0:f>L13*N13</ns0:f>
        <ns0:v>0</ns0:v>
      </ns0:c>
      <ns0:c r="R13" s="4" t="n">
        <ns0:v>0</ns0:v>
      </ns0:c>
      <ns0:c r="S13" s="4" t="n">
        <ns0:v>1</ns0:v>
      </ns0:c>
      <ns0:c r="T13" s="4" t="inlineStr">
        <ns0:is>
          <ns0:t>份</ns0:t>
        </ns0:is>
      </ns0:c>
      <ns0:c r="U13" s="4" t="inlineStr">
        <ns0:is>
          <ns0:t>第2/4/6战斗秒</ns0:t>
        </ns0:is>
      </ns0:c>
      <ns0:c r="V13" s="4" t="inlineStr">
        <ns0:is>
          <ns0:t>发动后第2、4、6战斗秒各恢复体力10，总30</ns0:t>
        </ns0:is>
      </ns0:c>
      <ns0:c r="W13" s="4" t="inlineStr">
        <ns0:is>
          <ns0:t>01时序／恢复；02状态／S3；04丹药</ns0:t>
        </ns0:is>
      </ns0:c>
      <ns0:c r="X13" s="4" t="n"/>
      <ns0:c r="Y13" s="4" t="inlineStr">
        <ns0:is>
          <ns0:t>候选数值，未试跑</ns0:t>
        </ns0:is>
      </ns0:c>
      <ns0:c r="Z13" s="4" t="inlineStr">
        <ns0:is>
          <ns0:t>本次Q01用户补充丹药完整表；用户首瓶机制修正</ns0:t>
        </ns0:is>
      </ns0:c>
      <ns0:c r="AA13" s="14" t="inlineStr">
        <ns0:is>
          <ns0:t>P02</ns0:t>
        </ns0:is>
      </ns0:c>
      <ns0:c r="AB13" s="14" t="n"/>
      <ns0:c r="AC13" s="14" t="n"/>
      <ns0:c r="AD13" s="14" t="n"/>
      <ns0:c r="AE13" s="14" t="n"/>
      <ns0:c r="AF13" s="14" t="n"/>
      <ns0:c r="AG13" s="14" t="inlineStr">
        <ns0:is>
          <ns0:t>首瓶开战可用；未用不进入CD；实际使用后重开完整CD</ns0:t>
        </ns0:is>
      </ns0:c>
      <ns0:c r="AH13" s="14" t="inlineStr">
        <ns0:is>
          <ns0:t>对应资源未缺不自动消耗；同款持续恢复未结束不再自动服用</ns0:t>
        </ns0:is>
      </ns0:c>
      <ns0:c r="AI13" s="14" t="inlineStr">
        <ns0:is>
          <ns0:t>t01.asset.0102.effect.01</ns0:t>
        </ns0:is>
      </ns0:c>
    </ns0:row>
    <ns0:row r="14" ht="70" customHeight="1">
      <ns0:c r="A14" s="4" t="inlineStr">
        <ns0:is>
          <ns0:t>t01.asset.0103</ns0:t>
        </ns0:is>
      </ns0:c>
      <ns0:c r="B14" s="4" t="inlineStr">
        <ns0:is>
          <ns0:t>聚灵丹</ns0:t>
        </ns0:is>
      </ns0:c>
      <ns0:c r="C14" s="4" t="inlineStr">
        <ns0:is>
          <ns0:t>凡品</ns0:t>
        </ns0:is>
      </ns0:c>
      <ns0:c r="D14" s="4" t="inlineStr">
        <ns0:is>
          <ns0:t>NONE</ns0:t>
        </ns0:is>
      </ns0:c>
      <ns0:c r="E14" s="4" t="inlineStr">
        <ns0:is>
          <ns0:t>分次</ns0:t>
        </ns0:is>
      </ns0:c>
      <ns0:c r="F14" s="4" t="n">
        <ns0:v>1</ns0:v>
      </ns0:c>
      <ns0:c r="G14" s="4" t="n">
        <ns0:v>1</ns0:v>
      </ns0:c>
      <ns0:c r="H14" s="7">
        <ns0:f>F14*G14</ns0:f>
        <ns0:v>1</ns0:v>
      </ns0:c>
      <ns0:c r="I14" s="11" t="n">
        <ns0:v>13</ns0:v>
      </ns0:c>
      <ns0:c r="J14" s="4" t="n">
        <ns0:v>0</ns0:v>
      </ns0:c>
      <ns0:c r="K14" s="4" t="n">
        <ns0:v>0</ns0:v>
      </ns0:c>
      <ns0:c r="L14" s="4" t="n">
        <ns0:v>9</ns0:v>
      </ns0:c>
      <ns0:c r="M14" s="4" t="n">
        <ns0:v>2</ns0:v>
      </ns0:c>
      <ns0:c r="N14" s="4" t="n">
        <ns0:v>3</ns0:v>
      </ns0:c>
      <ns0:c r="O14" s="7">
        <ns0:f>J14*N14</ns0:f>
        <ns0:v>0</ns0:v>
      </ns0:c>
      <ns0:c r="P14" s="7">
        <ns0:f>K14*N14</ns0:f>
        <ns0:v>0</ns0:v>
      </ns0:c>
      <ns0:c r="Q14" s="7">
        <ns0:f>L14*N14</ns0:f>
        <ns0:v>27</ns0:v>
      </ns0:c>
      <ns0:c r="R14" s="4" t="n">
        <ns0:v>0</ns0:v>
      </ns0:c>
      <ns0:c r="S14" s="4" t="n">
        <ns0:v>1</ns0:v>
      </ns0:c>
      <ns0:c r="T14" s="4" t="inlineStr">
        <ns0:is>
          <ns0:t>份</ns0:t>
        </ns0:is>
      </ns0:c>
      <ns0:c r="U14" s="4" t="inlineStr">
        <ns0:is>
          <ns0:t>第2/4/6战斗秒</ns0:t>
        </ns0:is>
      </ns0:c>
      <ns0:c r="V14" s="4" t="inlineStr">
        <ns0:is>
          <ns0:t>发动后第2、4、6战斗秒各恢复灵力9，总27</ns0:t>
        </ns0:is>
      </ns0:c>
      <ns0:c r="W14" s="4" t="inlineStr">
        <ns0:is>
          <ns0:t>01时序／恢复；02状态／S3；04丹药</ns0:t>
        </ns0:is>
      </ns0:c>
      <ns0:c r="X14" s="4" t="n"/>
      <ns0:c r="Y14" s="4" t="inlineStr">
        <ns0:is>
          <ns0:t>候选数值，未试跑</ns0:t>
        </ns0:is>
      </ns0:c>
      <ns0:c r="Z14" s="4" t="inlineStr">
        <ns0:is>
          <ns0:t>本次Q01用户补充丹药完整表；用户首瓶机制修正</ns0:t>
        </ns0:is>
      </ns0:c>
      <ns0:c r="AA14" s="14" t="inlineStr">
        <ns0:is>
          <ns0:t>P03</ns0:t>
        </ns0:is>
      </ns0:c>
      <ns0:c r="AB14" s="14" t="n"/>
      <ns0:c r="AC14" s="14" t="n"/>
      <ns0:c r="AD14" s="14" t="n"/>
      <ns0:c r="AE14" s="14" t="n"/>
      <ns0:c r="AF14" s="14" t="n"/>
      <ns0:c r="AG14" s="14" t="inlineStr">
        <ns0:is>
          <ns0:t>首瓶开战可用；未用不进入CD；实际使用后重开完整CD</ns0:t>
        </ns0:is>
      </ns0:c>
      <ns0:c r="AH14" s="14" t="inlineStr">
        <ns0:is>
          <ns0:t>对应资源未缺不自动消耗；同款持续恢复未结束不再自动服用</ns0:t>
        </ns0:is>
      </ns0:c>
      <ns0:c r="AI14" s="14" t="inlineStr">
        <ns0:is>
          <ns0:t>t01.asset.0103.effect.01</ns0:t>
        </ns0:is>
      </ns0:c>
    </ns0:row>
    <ns0:row r="15" ht="70" customHeight="1">
      <ns0:c r="A15" s="4" t="inlineStr">
        <ns0:is>
          <ns0:t>t01.asset.0104</ns0:t>
        </ns0:is>
      </ns0:c>
      <ns0:c r="B15" s="4" t="inlineStr">
        <ns0:is>
          <ns0:t>培元丹</ns0:t>
        </ns0:is>
      </ns0:c>
      <ns0:c r="C15" s="4" t="inlineStr">
        <ns0:is>
          <ns0:t>凡品</ns0:t>
        </ns0:is>
      </ns0:c>
      <ns0:c r="D15" s="4" t="inlineStr">
        <ns0:is>
          <ns0:t>NONE</ns0:t>
        </ns0:is>
      </ns0:c>
      <ns0:c r="E15" s="4" t="inlineStr">
        <ns0:is>
          <ns0:t>即时恢复</ns0:t>
        </ns0:is>
      </ns0:c>
      <ns0:c r="F15" s="4" t="n">
        <ns0:v>1</ns0:v>
      </ns0:c>
      <ns0:c r="G15" s="4" t="n">
        <ns0:v>1</ns0:v>
      </ns0:c>
      <ns0:c r="H15" s="7">
        <ns0:f>F15*G15</ns0:f>
        <ns0:v>1</ns0:v>
      </ns0:c>
      <ns0:c r="I15" s="11" t="n">
        <ns0:v>12</ns0:v>
      </ns0:c>
      <ns0:c r="J15" s="4" t="n">
        <ns0:v>12</ns0:v>
      </ns0:c>
      <ns0:c r="K15" s="4" t="n">
        <ns0:v>18</ns0:v>
      </ns0:c>
      <ns0:c r="L15" s="4" t="n">
        <ns0:v>0</ns0:v>
      </ns0:c>
      <ns0:c r="M15" s="4" t="n"/>
      <ns0:c r="N15" s="4" t="n">
        <ns0:v>1</ns0:v>
      </ns0:c>
      <ns0:c r="O15" s="7">
        <ns0:f>J15*N15</ns0:f>
        <ns0:v>12</ns0:v>
      </ns0:c>
      <ns0:c r="P15" s="7">
        <ns0:f>K15*N15</ns0:f>
        <ns0:v>18</ns0:v>
      </ns0:c>
      <ns0:c r="Q15" s="7">
        <ns0:f>L15*N15</ns0:f>
        <ns0:v>0</ns0:v>
      </ns0:c>
      <ns0:c r="R15" s="4" t="n">
        <ns0:v>0</ns0:v>
      </ns0:c>
      <ns0:c r="S15" s="4" t="n">
        <ns0:v>1</ns0:v>
      </ns0:c>
      <ns0:c r="T15" s="4" t="inlineStr">
        <ns0:is>
          <ns0:t>份</ns0:t>
        </ns0:is>
      </ns0:c>
      <ns0:c r="U15" s="4" t="inlineStr">
        <ns0:is>
          <ns0:t>使用当刻</ns0:t>
        </ns0:is>
      </ns0:c>
      <ns0:c r="V15" s="4" t="inlineStr">
        <ns0:is>
          <ns0:t>立即恢复气血12、体力18</ns0:t>
        </ns0:is>
      </ns0:c>
      <ns0:c r="W15" s="4" t="inlineStr">
        <ns0:is>
          <ns0:t>01时序／恢复；02状态／S3；04丹药</ns0:t>
        </ns0:is>
      </ns0:c>
      <ns0:c r="X15" s="4" t="n"/>
      <ns0:c r="Y15" s="4" t="inlineStr">
        <ns0:is>
          <ns0:t>候选数值，未试跑</ns0:t>
        </ns0:is>
      </ns0:c>
      <ns0:c r="Z15" s="4" t="inlineStr">
        <ns0:is>
          <ns0:t>本次Q01用户补充丹药完整表；用户首瓶机制修正</ns0:t>
        </ns0:is>
      </ns0:c>
      <ns0:c r="AA15" s="14" t="inlineStr">
        <ns0:is>
          <ns0:t>P04</ns0:t>
        </ns0:is>
      </ns0:c>
      <ns0:c r="AB15" s="14" t="n"/>
      <ns0:c r="AC15" s="14" t="n"/>
      <ns0:c r="AD15" s="14" t="n"/>
      <ns0:c r="AE15" s="14" t="n"/>
      <ns0:c r="AF15" s="14" t="n"/>
      <ns0:c r="AG15" s="14" t="inlineStr">
        <ns0:is>
          <ns0:t>首瓶开战可用；未用不进入CD；实际使用后重开完整CD</ns0:t>
        </ns0:is>
      </ns0:c>
      <ns0:c r="AH15" s="14" t="inlineStr">
        <ns0:is>
          <ns0:t>对应资源未缺不自动消耗；同款持续恢复未结束不再自动服用</ns0:t>
        </ns0:is>
      </ns0:c>
      <ns0:c r="AI15" s="14" t="inlineStr">
        <ns0:is>
          <ns0:t>t01.asset.0104.effect.01；t01.asset.0104.effect.02</ns0:t>
        </ns0:is>
      </ns0:c>
    </ns0:row>
    <ns0:row r="16" ht="70" customHeight="1">
      <ns0:c r="A16" s="4" t="inlineStr">
        <ns0:is>
          <ns0:t>t01.asset.0105</ns0:t>
        </ns0:is>
      </ns0:c>
      <ns0:c r="B16" s="4" t="inlineStr">
        <ns0:is>
          <ns0:t>铁骨丸</ns0:t>
        </ns0:is>
      </ns0:c>
      <ns0:c r="C16" s="4" t="inlineStr">
        <ns0:is>
          <ns0:t>凡品</ns0:t>
        </ns0:is>
      </ns0:c>
      <ns0:c r="D16" s="4" t="inlineStr">
        <ns0:is>
          <ns0:t>NONE</ns0:t>
        </ns0:is>
      </ns0:c>
      <ns0:c r="E16" s="4" t="inlineStr">
        <ns0:is>
          <ns0:t>状态</ns0:t>
        </ns0:is>
      </ns0:c>
      <ns0:c r="F16" s="4" t="n">
        <ns0:v>1</ns0:v>
      </ns0:c>
      <ns0:c r="G16" s="4" t="n">
        <ns0:v>1</ns0:v>
      </ns0:c>
      <ns0:c r="H16" s="7">
        <ns0:f>F16*G16</ns0:f>
        <ns0:v>1</ns0:v>
      </ns0:c>
      <ns0:c r="I16" s="11" t="n">
        <ns0:v>18</ns0:v>
      </ns0:c>
      <ns0:c r="J16" s="4" t="n">
        <ns0:v>0</ns0:v>
      </ns0:c>
      <ns0:c r="K16" s="4" t="n">
        <ns0:v>0</ns0:v>
      </ns0:c>
      <ns0:c r="L16" s="4" t="n">
        <ns0:v>0</ns0:v>
      </ns0:c>
      <ns0:c r="M16" s="4" t="n"/>
      <ns0:c r="N16" s="4" t="n">
        <ns0:v>1</ns0:v>
      </ns0:c>
      <ns0:c r="O16" s="7">
        <ns0:f>J16*N16</ns0:f>
        <ns0:v>0</ns0:v>
      </ns0:c>
      <ns0:c r="P16" s="7">
        <ns0:f>K16*N16</ns0:f>
        <ns0:v>0</ns0:v>
      </ns0:c>
      <ns0:c r="Q16" s="7">
        <ns0:f>L16*N16</ns0:f>
        <ns0:v>0</ns0:v>
      </ns0:c>
      <ns0:c r="R16" s="4" t="n">
        <ns0:v>0</ns0:v>
      </ns0:c>
      <ns0:c r="S16" s="4" t="n">
        <ns0:v>1</ns0:v>
      </ns0:c>
      <ns0:c r="T16" s="4" t="inlineStr">
        <ns0:is>
          <ns0:t>份</ns0:t>
        </ns0:is>
      </ns0:c>
      <ns0:c r="U16" s="4" t="inlineStr">
        <ns0:is>
          <ns0:t>使用当刻</ns0:t>
        </ns0:is>
      </ns0:c>
      <ns0:c r="V16" s="4" t="inlineStr">
        <ns0:is>
          <ns0:t>立即给予自身坚韧＋4层</ns0:t>
        </ns0:is>
      </ns0:c>
      <ns0:c r="W16" s="4" t="inlineStr">
        <ns0:is>
          <ns0:t>01时序／恢复；02状态／S3；04丹药</ns0:t>
        </ns0:is>
      </ns0:c>
      <ns0:c r="X16" s="4" t="n"/>
      <ns0:c r="Y16" s="4" t="inlineStr">
        <ns0:is>
          <ns0:t>候选数值，未试跑</ns0:t>
        </ns0:is>
      </ns0:c>
      <ns0:c r="Z16" s="4" t="inlineStr">
        <ns0:is>
          <ns0:t>本次Q01用户补充丹药完整表；用户首瓶机制修正</ns0:t>
        </ns0:is>
      </ns0:c>
      <ns0:c r="AA16" s="14" t="inlineStr">
        <ns0:is>
          <ns0:t>P05</ns0:t>
        </ns0:is>
      </ns0:c>
      <ns0:c r="AB16" s="14" t="inlineStr">
        <ns0:is>
          <ns0:t>坚韧</ns0:t>
        </ns0:is>
      </ns0:c>
      <ns0:c r="AC16" s="14" t="n">
        <ns0:v>4</ns0:v>
      </ns0:c>
      <ns0:c r="AD16" s="14" t="n"/>
      <ns0:c r="AE16" s="14" t="n"/>
      <ns0:c r="AF16" s="14" t="n"/>
      <ns0:c r="AG16" s="14" t="inlineStr">
        <ns0:is>
          <ns0:t>首瓶开战可用；未用不进入CD；实际使用后重开完整CD</ns0:t>
        </ns0:is>
      </ns0:c>
      <ns0:c r="AH16" s="14" t="inlineStr">
        <ns0:is>
          <ns0:t>坚韧仍有新增容量时使用</ns0:t>
        </ns0:is>
      </ns0:c>
      <ns0:c r="AI16" s="14" t="inlineStr">
        <ns0:is>
          <ns0:t>t01.asset.0105.effect.01</ns0:t>
        </ns0:is>
      </ns0:c>
    </ns0:row>
    <ns0:row r="17" ht="70" customHeight="1">
      <ns0:c r="A17" s="4" t="inlineStr">
        <ns0:is>
          <ns0:t>t01.asset.0106</ns0:t>
        </ns0:is>
      </ns0:c>
      <ns0:c r="B17" s="4" t="inlineStr">
        <ns0:is>
          <ns0:t>避火丹</ns0:t>
        </ns0:is>
      </ns0:c>
      <ns0:c r="C17" s="4" t="inlineStr">
        <ns0:is>
          <ns0:t>凡品</ns0:t>
        </ns0:is>
      </ns0:c>
      <ns0:c r="D17" s="4" t="inlineStr">
        <ns0:is>
          <ns0:t>NONE</ns0:t>
        </ns0:is>
      </ns0:c>
      <ns0:c r="E17" s="4" t="inlineStr">
        <ns0:is>
          <ns0:t>元素减伤</ns0:t>
        </ns0:is>
      </ns0:c>
      <ns0:c r="F17" s="4" t="n">
        <ns0:v>1</ns0:v>
      </ns0:c>
      <ns0:c r="G17" s="4" t="n">
        <ns0:v>1</ns0:v>
      </ns0:c>
      <ns0:c r="H17" s="7">
        <ns0:f>F17*G17</ns0:f>
        <ns0:v>1</ns0:v>
      </ns0:c>
      <ns0:c r="I17" s="11" t="n">
        <ns0:v>22.5</ns0:v>
      </ns0:c>
      <ns0:c r="J17" s="4" t="n">
        <ns0:v>0</ns0:v>
      </ns0:c>
      <ns0:c r="K17" s="4" t="n">
        <ns0:v>0</ns0:v>
      </ns0:c>
      <ns0:c r="L17" s="4" t="n">
        <ns0:v>0</ns0:v>
      </ns0:c>
      <ns0:c r="M17" s="4" t="n"/>
      <ns0:c r="N17" s="4" t="n">
        <ns0:v>1</ns0:v>
      </ns0:c>
      <ns0:c r="O17" s="7">
        <ns0:f>J17*N17</ns0:f>
        <ns0:v>0</ns0:v>
      </ns0:c>
      <ns0:c r="P17" s="7">
        <ns0:f>K17*N17</ns0:f>
        <ns0:v>0</ns0:v>
      </ns0:c>
      <ns0:c r="Q17" s="7">
        <ns0:f>L17*N17</ns0:f>
        <ns0:v>0</ns0:v>
      </ns0:c>
      <ns0:c r="R17" s="4" t="n">
        <ns0:v>0</ns0:v>
      </ns0:c>
      <ns0:c r="S17" s="4" t="n">
        <ns0:v>1</ns0:v>
      </ns0:c>
      <ns0:c r="T17" s="4" t="inlineStr">
        <ns0:is>
          <ns0:t>份</ns0:t>
        </ns0:is>
      </ns0:c>
      <ns0:c r="U17" s="4" t="inlineStr">
        <ns0:is>
          <ns0:t>使用当刻</ns0:t>
        </ns0:is>
      </ns0:c>
      <ns0:c r="V17" s="4" t="inlineStr">
        <ns0:is>
          <ns0:t>持续12秒，合格直接攻击的火伤分量－10%；同基础百分比加算</ns0:t>
        </ns0:is>
      </ns0:c>
      <ns0:c r="W17" s="4" t="inlineStr">
        <ns0:is>
          <ns0:t>01时序／恢复；02状态／S3；04丹药</ns0:t>
        </ns0:is>
      </ns0:c>
      <ns0:c r="X17" s="4" t="n"/>
      <ns0:c r="Y17" s="4" t="inlineStr">
        <ns0:is>
          <ns0:t>候选数值，未试跑</ns0:t>
        </ns0:is>
      </ns0:c>
      <ns0:c r="Z17" s="4" t="inlineStr">
        <ns0:is>
          <ns0:t>本次Q01用户补充丹药完整表；用户首瓶机制修正</ns0:t>
        </ns0:is>
      </ns0:c>
      <ns0:c r="AA17" s="14" t="inlineStr">
        <ns0:is>
          <ns0:t>P06</ns0:t>
        </ns0:is>
      </ns0:c>
      <ns0:c r="AB17" s="14" t="n"/>
      <ns0:c r="AC17" s="14" t="n"/>
      <ns0:c r="AD17" s="14" t="inlineStr">
        <ns0:is>
          <ns0:t>火</ns0:t>
        </ns0:is>
      </ns0:c>
      <ns0:c r="AE17" s="14" t="n">
        <ns0:v>0.1</ns0:v>
      </ns0:c>
      <ns0:c r="AF17" s="14" t="n">
        <ns0:v>12</ns0:v>
      </ns0:c>
      <ns0:c r="AG17" s="14" t="inlineStr">
        <ns0:is>
          <ns0:t>首瓶开战可用；未用不进入CD；实际使用后重开完整CD</ns0:t>
        </ns0:is>
      </ns0:c>
      <ns0:c r="AH17" s="14" t="inlineStr">
        <ns0:is>
          <ns0:t>同款幅度不叠加；不同款可并存；不免疫状态／控制，不减持续跳伤</ns0:t>
        </ns0:is>
      </ns0:c>
      <ns0:c r="AI17" s="14" t="inlineStr">
        <ns0:is>
          <ns0:t>t01.asset.0106.effect.01</ns0:t>
        </ns0:is>
      </ns0:c>
    </ns0:row>
    <ns0:row r="18" ht="70" customHeight="1">
      <ns0:c r="A18" s="4" t="inlineStr">
        <ns0:is>
          <ns0:t>t01.asset.0107</ns0:t>
        </ns0:is>
      </ns0:c>
      <ns0:c r="B18" s="4" t="inlineStr">
        <ns0:is>
          <ns0:t>辟寒丹</ns0:t>
        </ns0:is>
      </ns0:c>
      <ns0:c r="C18" s="4" t="inlineStr">
        <ns0:is>
          <ns0:t>凡品</ns0:t>
        </ns0:is>
      </ns0:c>
      <ns0:c r="D18" s="4" t="inlineStr">
        <ns0:is>
          <ns0:t>NONE</ns0:t>
        </ns0:is>
      </ns0:c>
      <ns0:c r="E18" s="4" t="inlineStr">
        <ns0:is>
          <ns0:t>元素减伤</ns0:t>
        </ns0:is>
      </ns0:c>
      <ns0:c r="F18" s="4" t="n">
        <ns0:v>1</ns0:v>
      </ns0:c>
      <ns0:c r="G18" s="4" t="n">
        <ns0:v>1</ns0:v>
      </ns0:c>
      <ns0:c r="H18" s="7">
        <ns0:f>F18*G18</ns0:f>
        <ns0:v>1</ns0:v>
      </ns0:c>
      <ns0:c r="I18" s="11" t="n">
        <ns0:v>22.5</ns0:v>
      </ns0:c>
      <ns0:c r="J18" s="4" t="n">
        <ns0:v>0</ns0:v>
      </ns0:c>
      <ns0:c r="K18" s="4" t="n">
        <ns0:v>0</ns0:v>
      </ns0:c>
      <ns0:c r="L18" s="4" t="n">
        <ns0:v>0</ns0:v>
      </ns0:c>
      <ns0:c r="M18" s="4" t="n"/>
      <ns0:c r="N18" s="4" t="n">
        <ns0:v>1</ns0:v>
      </ns0:c>
      <ns0:c r="O18" s="7">
        <ns0:f>J18*N18</ns0:f>
        <ns0:v>0</ns0:v>
      </ns0:c>
      <ns0:c r="P18" s="7">
        <ns0:f>K18*N18</ns0:f>
        <ns0:v>0</ns0:v>
      </ns0:c>
      <ns0:c r="Q18" s="7">
        <ns0:f>L18*N18</ns0:f>
        <ns0:v>0</ns0:v>
      </ns0:c>
      <ns0:c r="R18" s="4" t="n">
        <ns0:v>0</ns0:v>
      </ns0:c>
      <ns0:c r="S18" s="4" t="n">
        <ns0:v>1</ns0:v>
      </ns0:c>
      <ns0:c r="T18" s="4" t="inlineStr">
        <ns0:is>
          <ns0:t>份</ns0:t>
        </ns0:is>
      </ns0:c>
      <ns0:c r="U18" s="4" t="inlineStr">
        <ns0:is>
          <ns0:t>使用当刻</ns0:t>
        </ns0:is>
      </ns0:c>
      <ns0:c r="V18" s="4" t="inlineStr">
        <ns0:is>
          <ns0:t>持续12秒，合格直接攻击的水伤分量－10%；同基础百分比加算</ns0:t>
        </ns0:is>
      </ns0:c>
      <ns0:c r="W18" s="4" t="inlineStr">
        <ns0:is>
          <ns0:t>01时序／恢复；02状态／S3；04丹药</ns0:t>
        </ns0:is>
      </ns0:c>
      <ns0:c r="X18" s="4" t="n"/>
      <ns0:c r="Y18" s="4" t="inlineStr">
        <ns0:is>
          <ns0:t>候选数值，未试跑</ns0:t>
        </ns0:is>
      </ns0:c>
      <ns0:c r="Z18" s="4" t="inlineStr">
        <ns0:is>
          <ns0:t>本次Q01用户补充丹药完整表；用户首瓶机制修正</ns0:t>
        </ns0:is>
      </ns0:c>
      <ns0:c r="AA18" s="14" t="inlineStr">
        <ns0:is>
          <ns0:t>P07</ns0:t>
        </ns0:is>
      </ns0:c>
      <ns0:c r="AB18" s="14" t="n"/>
      <ns0:c r="AC18" s="14" t="n"/>
      <ns0:c r="AD18" s="14" t="inlineStr">
        <ns0:is>
          <ns0:t>水</ns0:t>
        </ns0:is>
      </ns0:c>
      <ns0:c r="AE18" s="14" t="n">
        <ns0:v>0.1</ns0:v>
      </ns0:c>
      <ns0:c r="AF18" s="14" t="n">
        <ns0:v>12</ns0:v>
      </ns0:c>
      <ns0:c r="AG18" s="14" t="inlineStr">
        <ns0:is>
          <ns0:t>首瓶开战可用；未用不进入CD；实际使用后重开完整CD</ns0:t>
        </ns0:is>
      </ns0:c>
      <ns0:c r="AH18" s="14" t="inlineStr">
        <ns0:is>
          <ns0:t>同款幅度不叠加；不同款可并存；不免疫状态／控制，不减持续跳伤</ns0:t>
        </ns0:is>
      </ns0:c>
      <ns0:c r="AI18" s="14" t="inlineStr">
        <ns0:is>
          <ns0:t>t01.asset.0107.effect.01</ns0:t>
        </ns0:is>
      </ns0:c>
    </ns0:row>
    <ns0:row r="19" ht="70" customHeight="1">
      <ns0:c r="A19" s="4" t="inlineStr">
        <ns0:is>
          <ns0:t>t01.asset.0108</ns0:t>
        </ns0:is>
      </ns0:c>
      <ns0:c r="B19" s="4" t="inlineStr">
        <ns0:is>
          <ns0:t>辟金丹</ns0:t>
        </ns0:is>
      </ns0:c>
      <ns0:c r="C19" s="4" t="inlineStr">
        <ns0:is>
          <ns0:t>凡品</ns0:t>
        </ns0:is>
      </ns0:c>
      <ns0:c r="D19" s="4" t="inlineStr">
        <ns0:is>
          <ns0:t>NONE</ns0:t>
        </ns0:is>
      </ns0:c>
      <ns0:c r="E19" s="4" t="inlineStr">
        <ns0:is>
          <ns0:t>元素减伤</ns0:t>
        </ns0:is>
      </ns0:c>
      <ns0:c r="F19" s="4" t="n">
        <ns0:v>1</ns0:v>
      </ns0:c>
      <ns0:c r="G19" s="4" t="n">
        <ns0:v>1</ns0:v>
      </ns0:c>
      <ns0:c r="H19" s="7">
        <ns0:f>F19*G19</ns0:f>
        <ns0:v>1</ns0:v>
      </ns0:c>
      <ns0:c r="I19" s="11" t="n">
        <ns0:v>22.5</ns0:v>
      </ns0:c>
      <ns0:c r="J19" s="4" t="n">
        <ns0:v>0</ns0:v>
      </ns0:c>
      <ns0:c r="K19" s="4" t="n">
        <ns0:v>0</ns0:v>
      </ns0:c>
      <ns0:c r="L19" s="4" t="n">
        <ns0:v>0</ns0:v>
      </ns0:c>
      <ns0:c r="M19" s="4" t="n"/>
      <ns0:c r="N19" s="4" t="n">
        <ns0:v>1</ns0:v>
      </ns0:c>
      <ns0:c r="O19" s="7">
        <ns0:f>J19*N19</ns0:f>
        <ns0:v>0</ns0:v>
      </ns0:c>
      <ns0:c r="P19" s="7">
        <ns0:f>K19*N19</ns0:f>
        <ns0:v>0</ns0:v>
      </ns0:c>
      <ns0:c r="Q19" s="7">
        <ns0:f>L19*N19</ns0:f>
        <ns0:v>0</ns0:v>
      </ns0:c>
      <ns0:c r="R19" s="4" t="n">
        <ns0:v>0</ns0:v>
      </ns0:c>
      <ns0:c r="S19" s="4" t="n">
        <ns0:v>1</ns0:v>
      </ns0:c>
      <ns0:c r="T19" s="4" t="inlineStr">
        <ns0:is>
          <ns0:t>份</ns0:t>
        </ns0:is>
      </ns0:c>
      <ns0:c r="U19" s="4" t="inlineStr">
        <ns0:is>
          <ns0:t>使用当刻</ns0:t>
        </ns0:is>
      </ns0:c>
      <ns0:c r="V19" s="4" t="inlineStr">
        <ns0:is>
          <ns0:t>持续12秒，合格直接攻击的金伤分量－10%；同基础百分比加算</ns0:t>
        </ns0:is>
      </ns0:c>
      <ns0:c r="W19" s="4" t="inlineStr">
        <ns0:is>
          <ns0:t>01时序／恢复；02状态／S3；04丹药</ns0:t>
        </ns0:is>
      </ns0:c>
      <ns0:c r="X19" s="4" t="n"/>
      <ns0:c r="Y19" s="4" t="inlineStr">
        <ns0:is>
          <ns0:t>候选数值，未试跑</ns0:t>
        </ns0:is>
      </ns0:c>
      <ns0:c r="Z19" s="4" t="inlineStr">
        <ns0:is>
          <ns0:t>本次Q01用户补充丹药完整表；用户首瓶机制修正</ns0:t>
        </ns0:is>
      </ns0:c>
      <ns0:c r="AA19" s="14" t="inlineStr">
        <ns0:is>
          <ns0:t>P08</ns0:t>
        </ns0:is>
      </ns0:c>
      <ns0:c r="AB19" s="14" t="n"/>
      <ns0:c r="AC19" s="14" t="n"/>
      <ns0:c r="AD19" s="14" t="inlineStr">
        <ns0:is>
          <ns0:t>金</ns0:t>
        </ns0:is>
      </ns0:c>
      <ns0:c r="AE19" s="14" t="n">
        <ns0:v>0.1</ns0:v>
      </ns0:c>
      <ns0:c r="AF19" s="14" t="n">
        <ns0:v>12</ns0:v>
      </ns0:c>
      <ns0:c r="AG19" s="14" t="inlineStr">
        <ns0:is>
          <ns0:t>首瓶开战可用；未用不进入CD；实际使用后重开完整CD</ns0:t>
        </ns0:is>
      </ns0:c>
      <ns0:c r="AH19" s="14" t="inlineStr">
        <ns0:is>
          <ns0:t>同款幅度不叠加；不同款可并存；不免疫状态／控制，不减持续跳伤</ns0:t>
        </ns0:is>
      </ns0:c>
      <ns0:c r="AI19" s="14" t="inlineStr">
        <ns0:is>
          <ns0:t>t01.asset.0108.effect.01</ns0:t>
        </ns0:is>
      </ns0:c>
    </ns0:row>
    <ns0:row r="20" ht="70" customHeight="1">
      <ns0:c r="A20" s="4" t="inlineStr">
        <ns0:is>
          <ns0:t>t01.asset.0109</ns0:t>
        </ns0:is>
      </ns0:c>
      <ns0:c r="B20" s="4" t="inlineStr">
        <ns0:is>
          <ns0:t>御木丹</ns0:t>
        </ns0:is>
      </ns0:c>
      <ns0:c r="C20" s="4" t="inlineStr">
        <ns0:is>
          <ns0:t>凡品</ns0:t>
        </ns0:is>
      </ns0:c>
      <ns0:c r="D20" s="4" t="inlineStr">
        <ns0:is>
          <ns0:t>NONE</ns0:t>
        </ns0:is>
      </ns0:c>
      <ns0:c r="E20" s="4" t="inlineStr">
        <ns0:is>
          <ns0:t>元素减伤</ns0:t>
        </ns0:is>
      </ns0:c>
      <ns0:c r="F20" s="4" t="n">
        <ns0:v>1</ns0:v>
      </ns0:c>
      <ns0:c r="G20" s="4" t="n">
        <ns0:v>1</ns0:v>
      </ns0:c>
      <ns0:c r="H20" s="7">
        <ns0:f>F20*G20</ns0:f>
        <ns0:v>1</ns0:v>
      </ns0:c>
      <ns0:c r="I20" s="11" t="n">
        <ns0:v>22.5</ns0:v>
      </ns0:c>
      <ns0:c r="J20" s="4" t="n">
        <ns0:v>0</ns0:v>
      </ns0:c>
      <ns0:c r="K20" s="4" t="n">
        <ns0:v>0</ns0:v>
      </ns0:c>
      <ns0:c r="L20" s="4" t="n">
        <ns0:v>0</ns0:v>
      </ns0:c>
      <ns0:c r="M20" s="4" t="n"/>
      <ns0:c r="N20" s="4" t="n">
        <ns0:v>1</ns0:v>
      </ns0:c>
      <ns0:c r="O20" s="7">
        <ns0:f>J20*N20</ns0:f>
        <ns0:v>0</ns0:v>
      </ns0:c>
      <ns0:c r="P20" s="7">
        <ns0:f>K20*N20</ns0:f>
        <ns0:v>0</ns0:v>
      </ns0:c>
      <ns0:c r="Q20" s="7">
        <ns0:f>L20*N20</ns0:f>
        <ns0:v>0</ns0:v>
      </ns0:c>
      <ns0:c r="R20" s="4" t="n">
        <ns0:v>0</ns0:v>
      </ns0:c>
      <ns0:c r="S20" s="4" t="n">
        <ns0:v>1</ns0:v>
      </ns0:c>
      <ns0:c r="T20" s="4" t="inlineStr">
        <ns0:is>
          <ns0:t>份</ns0:t>
        </ns0:is>
      </ns0:c>
      <ns0:c r="U20" s="4" t="inlineStr">
        <ns0:is>
          <ns0:t>使用当刻</ns0:t>
        </ns0:is>
      </ns0:c>
      <ns0:c r="V20" s="4" t="inlineStr">
        <ns0:is>
          <ns0:t>持续12秒，合格直接攻击的木伤分量－10%；同基础百分比加算</ns0:t>
        </ns0:is>
      </ns0:c>
      <ns0:c r="W20" s="4" t="inlineStr">
        <ns0:is>
          <ns0:t>01时序／恢复；02状态／S3；04丹药</ns0:t>
        </ns0:is>
      </ns0:c>
      <ns0:c r="X20" s="4" t="n"/>
      <ns0:c r="Y20" s="4" t="inlineStr">
        <ns0:is>
          <ns0:t>候选数值，未试跑</ns0:t>
        </ns0:is>
      </ns0:c>
      <ns0:c r="Z20" s="4" t="inlineStr">
        <ns0:is>
          <ns0:t>本次Q01用户补充丹药完整表；用户首瓶机制修正</ns0:t>
        </ns0:is>
      </ns0:c>
      <ns0:c r="AA20" s="14" t="inlineStr">
        <ns0:is>
          <ns0:t>P09</ns0:t>
        </ns0:is>
      </ns0:c>
      <ns0:c r="AB20" s="14" t="n"/>
      <ns0:c r="AC20" s="14" t="n"/>
      <ns0:c r="AD20" s="14" t="inlineStr">
        <ns0:is>
          <ns0:t>木</ns0:t>
        </ns0:is>
      </ns0:c>
      <ns0:c r="AE20" s="14" t="n">
        <ns0:v>0.1</ns0:v>
      </ns0:c>
      <ns0:c r="AF20" s="14" t="n">
        <ns0:v>12</ns0:v>
      </ns0:c>
      <ns0:c r="AG20" s="14" t="inlineStr">
        <ns0:is>
          <ns0:t>首瓶开战可用；未用不进入CD；实际使用后重开完整CD</ns0:t>
        </ns0:is>
      </ns0:c>
      <ns0:c r="AH20" s="14" t="inlineStr">
        <ns0:is>
          <ns0:t>同款幅度不叠加；不同款可并存；不免疫状态／控制，不减持续跳伤</ns0:t>
        </ns0:is>
      </ns0:c>
      <ns0:c r="AI20" s="14" t="inlineStr">
        <ns0:is>
          <ns0:t>t01.asset.0109.effect.01</ns0:t>
        </ns0:is>
      </ns0:c>
    </ns0:row>
    <ns0:row r="21" ht="70" customHeight="1">
      <ns0:c r="A21" s="4" t="inlineStr">
        <ns0:is>
          <ns0:t>t01.asset.0110</ns0:t>
        </ns0:is>
      </ns0:c>
      <ns0:c r="B21" s="4" t="inlineStr">
        <ns0:is>
          <ns0:t>镇土丹</ns0:t>
        </ns0:is>
      </ns0:c>
      <ns0:c r="C21" s="4" t="inlineStr">
        <ns0:is>
          <ns0:t>凡品</ns0:t>
        </ns0:is>
      </ns0:c>
      <ns0:c r="D21" s="4" t="inlineStr">
        <ns0:is>
          <ns0:t>NONE</ns0:t>
        </ns0:is>
      </ns0:c>
      <ns0:c r="E21" s="4" t="inlineStr">
        <ns0:is>
          <ns0:t>元素减伤</ns0:t>
        </ns0:is>
      </ns0:c>
      <ns0:c r="F21" s="4" t="n">
        <ns0:v>1</ns0:v>
      </ns0:c>
      <ns0:c r="G21" s="4" t="n">
        <ns0:v>1</ns0:v>
      </ns0:c>
      <ns0:c r="H21" s="7">
        <ns0:f>F21*G21</ns0:f>
        <ns0:v>1</ns0:v>
      </ns0:c>
      <ns0:c r="I21" s="11" t="n">
        <ns0:v>22.5</ns0:v>
      </ns0:c>
      <ns0:c r="J21" s="4" t="n">
        <ns0:v>0</ns0:v>
      </ns0:c>
      <ns0:c r="K21" s="4" t="n">
        <ns0:v>0</ns0:v>
      </ns0:c>
      <ns0:c r="L21" s="4" t="n">
        <ns0:v>0</ns0:v>
      </ns0:c>
      <ns0:c r="M21" s="4" t="n"/>
      <ns0:c r="N21" s="4" t="n">
        <ns0:v>1</ns0:v>
      </ns0:c>
      <ns0:c r="O21" s="7">
        <ns0:f>J21*N21</ns0:f>
        <ns0:v>0</ns0:v>
      </ns0:c>
      <ns0:c r="P21" s="7">
        <ns0:f>K21*N21</ns0:f>
        <ns0:v>0</ns0:v>
      </ns0:c>
      <ns0:c r="Q21" s="7">
        <ns0:f>L21*N21</ns0:f>
        <ns0:v>0</ns0:v>
      </ns0:c>
      <ns0:c r="R21" s="4" t="n">
        <ns0:v>0</ns0:v>
      </ns0:c>
      <ns0:c r="S21" s="4" t="n">
        <ns0:v>1</ns0:v>
      </ns0:c>
      <ns0:c r="T21" s="4" t="inlineStr">
        <ns0:is>
          <ns0:t>份</ns0:t>
        </ns0:is>
      </ns0:c>
      <ns0:c r="U21" s="4" t="inlineStr">
        <ns0:is>
          <ns0:t>使用当刻</ns0:t>
        </ns0:is>
      </ns0:c>
      <ns0:c r="V21" s="4" t="inlineStr">
        <ns0:is>
          <ns0:t>持续12秒，合格直接攻击的土伤分量－10%；同基础百分比加算</ns0:t>
        </ns0:is>
      </ns0:c>
      <ns0:c r="W21" s="4" t="inlineStr">
        <ns0:is>
          <ns0:t>01时序／恢复；02状态／S3；04丹药</ns0:t>
        </ns0:is>
      </ns0:c>
      <ns0:c r="X21" s="4" t="n"/>
      <ns0:c r="Y21" s="4" t="inlineStr">
        <ns0:is>
          <ns0:t>候选数值，未试跑</ns0:t>
        </ns0:is>
      </ns0:c>
      <ns0:c r="Z21" s="4" t="inlineStr">
        <ns0:is>
          <ns0:t>本次Q01用户补充丹药完整表；用户首瓶机制修正</ns0:t>
        </ns0:is>
      </ns0:c>
      <ns0:c r="AA21" s="14" t="inlineStr">
        <ns0:is>
          <ns0:t>P10</ns0:t>
        </ns0:is>
      </ns0:c>
      <ns0:c r="AB21" s="14" t="n"/>
      <ns0:c r="AC21" s="14" t="n"/>
      <ns0:c r="AD21" s="14" t="inlineStr">
        <ns0:is>
          <ns0:t>土</ns0:t>
        </ns0:is>
      </ns0:c>
      <ns0:c r="AE21" s="14" t="n">
        <ns0:v>0.1</ns0:v>
      </ns0:c>
      <ns0:c r="AF21" s="14" t="n">
        <ns0:v>12</ns0:v>
      </ns0:c>
      <ns0:c r="AG21" s="14" t="inlineStr">
        <ns0:is>
          <ns0:t>首瓶开战可用；未用不进入CD；实际使用后重开完整CD</ns0:t>
        </ns0:is>
      </ns0:c>
      <ns0:c r="AH21" s="14" t="inlineStr">
        <ns0:is>
          <ns0:t>同款幅度不叠加；不同款可并存；不免疫状态／控制，不减持续跳伤</ns0:t>
        </ns0:is>
      </ns0:c>
      <ns0:c r="AI21" s="14" t="inlineStr">
        <ns0:is>
          <ns0:t>t01.asset.0110.effect.01</ns0:t>
        </ns0:is>
      </ns0:c>
    </ns0:row>
  </ns0:sheetData>
  <ns0:mergeCells count="2">
    <ns0:mergeCell ref="A2:AI2"/>
    <ns0:mergeCell ref="A1:AI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7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M6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2" customWidth="1" min="3" max="3"/>
    <ns0:col width="12" customWidth="1" min="4" max="4"/>
    <ns0:col width="24" customWidth="1" min="5" max="5"/>
    <ns0:col width="10" customWidth="1" min="6" max="6"/>
    <ns0:col width="10" customWidth="1" min="7" max="7"/>
    <ns0:col width="50" customWidth="1" min="8" max="8"/>
    <ns0:col width="14" customWidth="1" min="9" max="9"/>
    <ns0:col width="18" customWidth="1" min="10" max="10"/>
    <ns0:col width="35" customWidth="1" min="11" max="11"/>
    <ns0:col width="30" customWidth="1" min="12" max="12"/>
    <ns0:col width="22" customWidth="1" min="13" max="13"/>
  </ns0:cols>
  <ns0:sheetData>
    <ns0:row r="1" ht="32" customHeight="1">
      <ns0:c r="A1" s="1" t="inlineStr">
        <ns0:is>
          <ns0:t>t01-08｜符箓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规格</ns0:t>
        </ns0:is>
      </ns0:c>
      <ns0:c r="F5" s="3" t="inlineStr">
        <ns0:is>
          <ns0:t>宽_格</ns0:t>
        </ns0:is>
      </ns0:c>
      <ns0:c r="G5" s="3" t="inlineStr">
        <ns0:is>
          <ns0:t>高_格</ns0:t>
        </ns0:is>
      </ns0:c>
      <ns0:c r="H5" s="3" t="inlineStr">
        <ns0:is>
          <ns0:t>效果</ns0:t>
        </ns0:is>
      </ns0:c>
      <ns0:c r="I5" s="3" t="inlineStr">
        <ns0:is>
          <ns0:t>CD_秒</ns0:t>
        </ns0:is>
      </ns0:c>
      <ns0:c r="J5" s="3" t="inlineStr">
        <ns0:is>
          <ns0:t>数量消耗</ns0:t>
        </ns0:is>
      </ns0:c>
      <ns0:c r="K5" s="3" t="inlineStr">
        <ns0:is>
          <ns0:t>机制引用</ns0:t>
        </ns0:is>
      </ns0:c>
      <ns0:c r="L5" s="3" t="inlineStr">
        <ns0:is>
          <ns0:t>设计状态</ns0:t>
        </ns0:is>
      </ns0:c>
      <ns0:c r="M5" s="3" t="inlineStr">
        <ns0:is>
          <ns0:t>来源</ns0:t>
        </ns0:is>
      </ns0:c>
    </ns0:row>
    <ns0:row r="6" ht="30" customHeight="1">
      <ns0:c r="A6" s="4" t="n"/>
      <ns0:c r="B6" s="4" t="n"/>
      <ns0:c r="C6" s="4" t="n"/>
      <ns0:c r="D6" s="4" t="n"/>
      <ns0:c r="E6" s="4" t="n"/>
      <ns0:c r="F6" s="4" t="n"/>
      <ns0:c r="G6" s="4" t="n"/>
      <ns0:c r="H6" s="4" t="n"/>
      <ns0:c r="I6" s="4" t="n"/>
      <ns0:c r="J6" s="4" t="n"/>
      <ns0:c r="K6" s="4" t="n"/>
      <ns0:c r="L6" s="4" t="n"/>
      <ns0:c r="M6" s="4" t="n"/>
    </ns0:row>
  </ns0:sheetData>
  <ns0:mergeCells count="2">
    <ns0:mergeCell ref="A2:M2"/>
    <ns0:mergeCell ref="A1:M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8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V1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2" customWidth="1" min="3" max="3"/>
    <ns0:col width="12" customWidth="1" min="4" max="4"/>
    <ns0:col width="24" customWidth="1" min="5" max="5"/>
    <ns0:col width="10" customWidth="1" min="6" max="6"/>
    <ns0:col width="10" customWidth="1" min="7" max="7"/>
    <ns0:col width="50" customWidth="1" min="8" max="8"/>
    <ns0:col width="14" customWidth="1" min="9" max="9"/>
    <ns0:col width="18" customWidth="1" min="10" max="10"/>
    <ns0:col width="35" customWidth="1" min="11" max="11"/>
    <ns0:col width="30" customWidth="1" min="12" max="12"/>
    <ns0:col width="22" customWidth="1" min="13" max="13"/>
    <ns0:col width="12" customWidth="1" min="14" max="14"/>
    <ns0:col width="14" customWidth="1" min="15" max="15"/>
    <ns0:col width="12" customWidth="1" min="16" max="16"/>
    <ns0:col width="10" customWidth="1" min="17" max="17"/>
    <ns0:col width="10" customWidth="1" min="18" max="18"/>
    <ns0:col width="12" customWidth="1" min="19" max="19"/>
    <ns0:col width="10" customWidth="1" min="20" max="20"/>
    <ns0:col width="26" customWidth="1" min="21" max="21"/>
    <ns0:col width="43" customWidth="1" min="22" max="22"/>
  </ns0:cols>
  <ns0:sheetData>
    <ns0:row r="1" ht="32" customHeight="1">
      <ns0:c r="A1" s="1" t="inlineStr">
        <ns0:is>
          <ns0:t>t01-08｜暗器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规格</ns0:t>
        </ns0:is>
      </ns0:c>
      <ns0:c r="F5" s="3" t="inlineStr">
        <ns0:is>
          <ns0:t>宽_格</ns0:t>
        </ns0:is>
      </ns0:c>
      <ns0:c r="G5" s="3" t="inlineStr">
        <ns0:is>
          <ns0:t>高_格</ns0:t>
        </ns0:is>
      </ns0:c>
      <ns0:c r="H5" s="3" t="inlineStr">
        <ns0:is>
          <ns0:t>效果</ns0:t>
        </ns0:is>
      </ns0:c>
      <ns0:c r="I5" s="3" t="inlineStr">
        <ns0:is>
          <ns0:t>CD_秒</ns0:t>
        </ns0:is>
      </ns0:c>
      <ns0:c r="J5" s="3" t="inlineStr">
        <ns0:is>
          <ns0:t>数量消耗</ns0:t>
        </ns0:is>
      </ns0:c>
      <ns0:c r="K5" s="3" t="inlineStr">
        <ns0:is>
          <ns0:t>机制引用</ns0:t>
        </ns0:is>
      </ns0:c>
      <ns0:c r="L5" s="3" t="inlineStr">
        <ns0:is>
          <ns0:t>设计状态</ns0:t>
        </ns0:is>
      </ns0:c>
      <ns0:c r="M5" s="3" t="inlineStr">
        <ns0:is>
          <ns0:t>来源</ns0:t>
        </ns0:is>
      </ns0:c>
      <ns0:c r="N5" s="13" t="inlineStr">
        <ns0:is>
          <ns0:t>来源编号</ns0:t>
        </ns0:is>
      </ns0:c>
      <ns0:c r="O5" s="13" t="inlineStr">
        <ns0:is>
          <ns0:t>攻击类型</ns0:t>
        </ns0:is>
      </ns0:c>
      <ns0:c r="P5" s="13" t="inlineStr">
        <ns0:is>
          <ns0:t>基础伤害</ns0:t>
        </ns0:is>
      </ns0:c>
      <ns0:c r="Q5" s="13" t="inlineStr">
        <ns0:is>
          <ns0:t>体力费</ns0:t>
        </ns0:is>
      </ns0:c>
      <ns0:c r="R5" s="13" t="inlineStr">
        <ns0:is>
          <ns0:t>灵力费</ns0:t>
        </ns0:is>
      </ns0:c>
      <ns0:c r="S5" s="13" t="inlineStr">
        <ns0:is>
          <ns0:t>状态</ns0:t>
        </ns0:is>
      </ns0:c>
      <ns0:c r="T5" s="13" t="inlineStr">
        <ns0:is>
          <ns0:t>层数</ns0:t>
        </ns0:is>
      </ns0:c>
      <ns0:c r="U5" s="13" t="inlineStr">
        <ns0:is>
          <ns0:t>状态门槛</ns0:t>
        </ns0:is>
      </ns0:c>
      <ns0:c r="V5" s="13" t="inlineStr">
        <ns0:is>
          <ns0:t>效果引用</ns0:t>
        </ns0:is>
      </ns0:c>
    </ns0:row>
    <ns0:row r="6" ht="60" customHeight="1">
      <ns0:c r="A6" s="4" t="inlineStr">
        <ns0:is>
          <ns0:t>t01.asset.0111</ns0:t>
        </ns0:is>
      </ns0:c>
      <ns0:c r="B6" s="4" t="inlineStr">
        <ns0:is>
          <ns0:t>飞针</ns0:t>
        </ns0:is>
      </ns0:c>
      <ns0:c r="C6" s="4" t="inlineStr">
        <ns0:is>
          <ns0:t>凡品</ns0:t>
        </ns0:is>
      </ns0:c>
      <ns0:c r="D6" s="4" t="inlineStr">
        <ns0:is>
          <ns0:t>NONE</ns0:t>
        </ns0:is>
      </ns0:c>
      <ns0:c r="E6" s="4" t="inlineStr">
        <ns0:is>
          <ns0:t>1×1，数量消耗；非武器来源</ns0:t>
        </ns0:is>
      </ns0:c>
      <ns0:c r="F6" s="4" t="n">
        <ns0:v>1</ns0:v>
      </ns0:c>
      <ns0:c r="G6" s="4" t="n">
        <ns0:v>1</ns0:v>
      </ns0:c>
      <ns0:c r="H6" s="4" t="inlineStr">
        <ns0:is>
          <ns0:t>无</ns0:t>
        </ns0:is>
      </ns0:c>
      <ns0:c r="I6" s="4" t="n">
        <ns0:v>6</ns0:v>
      </ns0:c>
      <ns0:c r="J6" s="4" t="n">
        <ns0:v>1</ns0:v>
      </ns0:c>
      <ns0:c r="K6" s="4" t="inlineStr">
        <ns0:is>
          <ns0:t>01伤害；02状态；04暗器</ns0:t>
        </ns0:is>
      </ns0:c>
      <ns0:c r="L6" s="4" t="inlineStr">
        <ns0:is>
          <ns0:t>候选数值，未试跑</ns0:t>
        </ns0:is>
      </ns0:c>
      <ns0:c r="M6" s="4" t="inlineStr">
        <ns0:is>
          <ns0:t>第1批基础；第2批微调；第3批复查；用户直接更正优先</ns0:t>
        </ns0:is>
      </ns0:c>
      <ns0:c r="N6" s="14" t="inlineStr">
        <ns0:is>
          <ns0:t>H01</ns0:t>
        </ns0:is>
      </ns0:c>
      <ns0:c r="O6" s="14" t="inlineStr">
        <ns0:is>
          <ns0:t>穿刺</ns0:t>
        </ns0:is>
      </ns0:c>
      <ns0:c r="P6" s="14" t="n">
        <ns0:v>18</ns0:v>
      </ns0:c>
      <ns0:c r="Q6" s="14" t="n">
        <ns0:v>0</ns0:v>
      </ns0:c>
      <ns0:c r="R6" s="14" t="n">
        <ns0:v>0</ns0:v>
      </ns0:c>
      <ns0:c r="S6" s="14" t="n"/>
      <ns0:c r="T6" s="14" t="n"/>
      <ns0:c r="U6" s="14" t="inlineStr">
        <ns0:is>
          <ns0:t>无</ns0:t>
        </ns0:is>
      </ns0:c>
      <ns0:c r="V6" s="14" t="inlineStr">
        <ns0:is>
          <ns0:t>t01.asset.0111.effect.01</ns0:t>
        </ns0:is>
      </ns0:c>
    </ns0:row>
    <ns0:row r="7" ht="60" customHeight="1">
      <ns0:c r="A7" s="4" t="inlineStr">
        <ns0:is>
          <ns0:t>t01.asset.0112</ns0:t>
        </ns0:is>
      </ns0:c>
      <ns0:c r="B7" s="4" t="inlineStr">
        <ns0:is>
          <ns0:t>柳叶镖</ns0:t>
        </ns0:is>
      </ns0:c>
      <ns0:c r="C7" s="4" t="inlineStr">
        <ns0:is>
          <ns0:t>凡品</ns0:t>
        </ns0:is>
      </ns0:c>
      <ns0:c r="D7" s="4" t="inlineStr">
        <ns0:is>
          <ns0:t>NONE</ns0:t>
        </ns0:is>
      </ns0:c>
      <ns0:c r="E7" s="4" t="inlineStr">
        <ns0:is>
          <ns0:t>1×1，数量消耗；非武器来源</ns0:t>
        </ns0:is>
      </ns0:c>
      <ns0:c r="F7" s="4" t="n">
        <ns0:v>1</ns0:v>
      </ns0:c>
      <ns0:c r="G7" s="4" t="n">
        <ns0:v>1</ns0:v>
      </ns0:c>
      <ns0:c r="H7" s="4" t="inlineStr">
        <ns0:is>
          <ns0:t>无</ns0:t>
        </ns0:is>
      </ns0:c>
      <ns0:c r="I7" s="4" t="n">
        <ns0:v>8.5</ns0:v>
      </ns0:c>
      <ns0:c r="J7" s="4" t="n">
        <ns0:v>1</ns0:v>
      </ns0:c>
      <ns0:c r="K7" s="4" t="inlineStr">
        <ns0:is>
          <ns0:t>01伤害；02状态；04暗器</ns0:t>
        </ns0:is>
      </ns0:c>
      <ns0:c r="L7" s="4" t="inlineStr">
        <ns0:is>
          <ns0:t>候选数值，未试跑</ns0:t>
        </ns0:is>
      </ns0:c>
      <ns0:c r="M7" s="4" t="inlineStr">
        <ns0:is>
          <ns0:t>第1批基础；第2批微调；第3批复查；用户直接更正优先</ns0:t>
        </ns0:is>
      </ns0:c>
      <ns0:c r="N7" s="14" t="inlineStr">
        <ns0:is>
          <ns0:t>H02</ns0:t>
        </ns0:is>
      </ns0:c>
      <ns0:c r="O7" s="14" t="inlineStr">
        <ns0:is>
          <ns0:t>斩击</ns0:t>
        </ns0:is>
      </ns0:c>
      <ns0:c r="P7" s="14" t="n">
        <ns0:v>26</ns0:v>
      </ns0:c>
      <ns0:c r="Q7" s="14" t="n">
        <ns0:v>0</ns0:v>
      </ns0:c>
      <ns0:c r="R7" s="14" t="n">
        <ns0:v>0</ns0:v>
      </ns0:c>
      <ns0:c r="S7" s="14" t="n"/>
      <ns0:c r="T7" s="14" t="n"/>
      <ns0:c r="U7" s="14" t="inlineStr">
        <ns0:is>
          <ns0:t>无</ns0:t>
        </ns0:is>
      </ns0:c>
      <ns0:c r="V7" s="14" t="inlineStr">
        <ns0:is>
          <ns0:t>t01.asset.0112.effect.01</ns0:t>
        </ns0:is>
      </ns0:c>
    </ns0:row>
    <ns0:row r="8" ht="60" customHeight="1">
      <ns0:c r="A8" s="4" t="inlineStr">
        <ns0:is>
          <ns0:t>t01.asset.0113</ns0:t>
        </ns0:is>
      </ns0:c>
      <ns0:c r="B8" s="4" t="inlineStr">
        <ns0:is>
          <ns0:t>铁丸</ns0:t>
        </ns0:is>
      </ns0:c>
      <ns0:c r="C8" s="4" t="inlineStr">
        <ns0:is>
          <ns0:t>凡品</ns0:t>
        </ns0:is>
      </ns0:c>
      <ns0:c r="D8" s="4" t="inlineStr">
        <ns0:is>
          <ns0:t>NONE</ns0:t>
        </ns0:is>
      </ns0:c>
      <ns0:c r="E8" s="4" t="inlineStr">
        <ns0:is>
          <ns0:t>1×1，数量消耗；非武器来源</ns0:t>
        </ns0:is>
      </ns0:c>
      <ns0:c r="F8" s="4" t="n">
        <ns0:v>1</ns0:v>
      </ns0:c>
      <ns0:c r="G8" s="4" t="n">
        <ns0:v>1</ns0:v>
      </ns0:c>
      <ns0:c r="H8" s="4" t="inlineStr">
        <ns0:is>
          <ns0:t>无</ns0:t>
        </ns0:is>
      </ns0:c>
      <ns0:c r="I8" s="4" t="n">
        <ns0:v>9.5</ns0:v>
      </ns0:c>
      <ns0:c r="J8" s="4" t="n">
        <ns0:v>1</ns0:v>
      </ns0:c>
      <ns0:c r="K8" s="4" t="inlineStr">
        <ns0:is>
          <ns0:t>01伤害；02状态；04暗器</ns0:t>
        </ns0:is>
      </ns0:c>
      <ns0:c r="L8" s="4" t="inlineStr">
        <ns0:is>
          <ns0:t>候选数值，未试跑</ns0:t>
        </ns0:is>
      </ns0:c>
      <ns0:c r="M8" s="4" t="inlineStr">
        <ns0:is>
          <ns0:t>第1批基础；第2批微调；第3批复查；用户直接更正优先</ns0:t>
        </ns0:is>
      </ns0:c>
      <ns0:c r="N8" s="14" t="inlineStr">
        <ns0:is>
          <ns0:t>H03</ns0:t>
        </ns0:is>
      </ns0:c>
      <ns0:c r="O8" s="14" t="inlineStr">
        <ns0:is>
          <ns0:t>钝击</ns0:t>
        </ns0:is>
      </ns0:c>
      <ns0:c r="P8" s="14" t="n">
        <ns0:v>32</ns0:v>
      </ns0:c>
      <ns0:c r="Q8" s="14" t="n">
        <ns0:v>0</ns0:v>
      </ns0:c>
      <ns0:c r="R8" s="14" t="n">
        <ns0:v>0</ns0:v>
      </ns0:c>
      <ns0:c r="S8" s="14" t="n"/>
      <ns0:c r="T8" s="14" t="n"/>
      <ns0:c r="U8" s="14" t="inlineStr">
        <ns0:is>
          <ns0:t>无</ns0:t>
        </ns0:is>
      </ns0:c>
      <ns0:c r="V8" s="14" t="inlineStr">
        <ns0:is>
          <ns0:t>t01.asset.0113.effect.01</ns0:t>
        </ns0:is>
      </ns0:c>
    </ns0:row>
    <ns0:row r="9" ht="60" customHeight="1">
      <ns0:c r="A9" s="4" t="inlineStr">
        <ns0:is>
          <ns0:t>t01.asset.0114</ns0:t>
        </ns0:is>
      </ns0:c>
      <ns0:c r="B9" s="4" t="inlineStr">
        <ns0:is>
          <ns0:t>毒针</ns0:t>
        </ns0:is>
      </ns0:c>
      <ns0:c r="C9" s="4" t="inlineStr">
        <ns0:is>
          <ns0:t>凡品</ns0:t>
        </ns0:is>
      </ns0:c>
      <ns0:c r="D9" s="4" t="inlineStr">
        <ns0:is>
          <ns0:t>NONE</ns0:t>
        </ns0:is>
      </ns0:c>
      <ns0:c r="E9" s="4" t="inlineStr">
        <ns0:is>
          <ns0:t>1×1，数量消耗；非武器来源</ns0:t>
        </ns0:is>
      </ns0:c>
      <ns0:c r="F9" s="4" t="n">
        <ns0:v>1</ns0:v>
      </ns0:c>
      <ns0:c r="G9" s="4" t="n">
        <ns0:v>1</ns0:v>
      </ns0:c>
      <ns0:c r="H9" s="4" t="inlineStr">
        <ns0:is>
          <ns0:t>命中毒蚀＋3</ns0:t>
        </ns0:is>
      </ns0:c>
      <ns0:c r="I9" s="4" t="n">
        <ns0:v>7.5</ns0:v>
      </ns0:c>
      <ns0:c r="J9" s="4" t="n">
        <ns0:v>1</ns0:v>
      </ns0:c>
      <ns0:c r="K9" s="4" t="inlineStr">
        <ns0:is>
          <ns0:t>01伤害；02状态；04暗器</ns0:t>
        </ns0:is>
      </ns0:c>
      <ns0:c r="L9" s="4" t="inlineStr">
        <ns0:is>
          <ns0:t>候选数值，未试跑</ns0:t>
        </ns0:is>
      </ns0:c>
      <ns0:c r="M9" s="4" t="inlineStr">
        <ns0:is>
          <ns0:t>第1批基础；第2批微调；第3批复查；用户直接更正优先</ns0:t>
        </ns0:is>
      </ns0:c>
      <ns0:c r="N9" s="14" t="inlineStr">
        <ns0:is>
          <ns0:t>H04</ns0:t>
        </ns0:is>
      </ns0:c>
      <ns0:c r="O9" s="14" t="inlineStr">
        <ns0:is>
          <ns0:t>穿刺</ns0:t>
        </ns0:is>
      </ns0:c>
      <ns0:c r="P9" s="14" t="n">
        <ns0:v>12</ns0:v>
      </ns0:c>
      <ns0:c r="Q9" s="14" t="n">
        <ns0:v>0</ns0:v>
      </ns0:c>
      <ns0:c r="R9" s="14" t="n">
        <ns0:v>0</ns0:v>
      </ns0:c>
      <ns0:c r="S9" s="14" t="inlineStr">
        <ns0:is>
          <ns0:t>毒蚀</ns0:t>
        </ns0:is>
      </ns0:c>
      <ns0:c r="T9" s="14" t="n">
        <ns0:v>3</ns0:v>
      </ns0:c>
      <ns0:c r="U9" s="14" t="inlineStr">
        <ns0:is>
          <ns0:t>命中</ns0:t>
        </ns0:is>
      </ns0:c>
      <ns0:c r="V9" s="14" t="inlineStr">
        <ns0:is>
          <ns0:t>t01.asset.0114.effect.01；t01.asset.0114.effect.02</ns0:t>
        </ns0:is>
      </ns0:c>
    </ns0:row>
    <ns0:row r="10" ht="60" customHeight="1">
      <ns0:c r="A10" s="4" t="inlineStr">
        <ns0:is>
          <ns0:t>t01.asset.0115</ns0:t>
        </ns0:is>
      </ns0:c>
      <ns0:c r="B10" s="4" t="inlineStr">
        <ns0:is>
          <ns0:t>火砂</ns0:t>
        </ns0:is>
      </ns0:c>
      <ns0:c r="C10" s="4" t="inlineStr">
        <ns0:is>
          <ns0:t>凡品</ns0:t>
        </ns0:is>
      </ns0:c>
      <ns0:c r="D10" s="4" t="inlineStr">
        <ns0:is>
          <ns0:t>火</ns0:t>
        </ns0:is>
      </ns0:c>
      <ns0:c r="E10" s="4" t="inlineStr">
        <ns0:is>
          <ns0:t>1×1，数量消耗；非武器来源</ns0:t>
        </ns0:is>
      </ns0:c>
      <ns0:c r="F10" s="4" t="n">
        <ns0:v>1</ns0:v>
      </ns0:c>
      <ns0:c r="G10" s="4" t="n">
        <ns0:v>1</ns0:v>
      </ns0:c>
      <ns0:c r="H10" s="4" t="inlineStr">
        <ns0:is>
          <ns0:t>无</ns0:t>
        </ns0:is>
      </ns0:c>
      <ns0:c r="I10" s="4" t="n">
        <ns0:v>9</ns0:v>
      </ns0:c>
      <ns0:c r="J10" s="4" t="n">
        <ns0:v>1</ns0:v>
      </ns0:c>
      <ns0:c r="K10" s="4" t="inlineStr">
        <ns0:is>
          <ns0:t>01伤害；02状态；04暗器</ns0:t>
        </ns0:is>
      </ns0:c>
      <ns0:c r="L10" s="4" t="inlineStr">
        <ns0:is>
          <ns0:t>候选数值，未试跑</ns0:t>
        </ns0:is>
      </ns0:c>
      <ns0:c r="M10" s="4" t="inlineStr">
        <ns0:is>
          <ns0:t>第1批基础；第2批微调；第3批复查；用户直接更正优先</ns0:t>
        </ns0:is>
      </ns0:c>
      <ns0:c r="N10" s="14" t="inlineStr">
        <ns0:is>
          <ns0:t>H05</ns0:t>
        </ns0:is>
      </ns0:c>
      <ns0:c r="O10" s="14" t="inlineStr">
        <ns0:is>
          <ns0:t>法术型</ns0:t>
        </ns0:is>
      </ns0:c>
      <ns0:c r="P10" s="14" t="n">
        <ns0:v>30</ns0:v>
      </ns0:c>
      <ns0:c r="Q10" s="14" t="n">
        <ns0:v>0</ns0:v>
      </ns0:c>
      <ns0:c r="R10" s="14" t="n">
        <ns0:v>0</ns0:v>
      </ns0:c>
      <ns0:c r="S10" s="14" t="n"/>
      <ns0:c r="T10" s="14" t="n"/>
      <ns0:c r="U10" s="14" t="inlineStr">
        <ns0:is>
          <ns0:t>无</ns0:t>
        </ns0:is>
      </ns0:c>
      <ns0:c r="V10" s="14" t="inlineStr">
        <ns0:is>
          <ns0:t>t01.asset.0115.effect.01</ns0:t>
        </ns0:is>
      </ns0:c>
    </ns0:row>
  </ns0:sheetData>
  <ns0:mergeCells count="2">
    <ns0:mergeCell ref="A2:V2"/>
    <ns0:mergeCell ref="A1:V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9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I12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8" customWidth="1" min="1" max="1"/>
    <ns0:col width="13" customWidth="1" min="2" max="2"/>
    <ns0:col width="13" customWidth="1" min="3" max="3"/>
    <ns0:col width="13" customWidth="1" min="4" max="4"/>
    <ns0:col width="13" customWidth="1" min="5" max="5"/>
    <ns0:col width="13" customWidth="1" min="6" max="6"/>
    <ns0:col width="13" customWidth="1" min="7" max="7"/>
    <ns0:col width="13" customWidth="1" min="8" max="8"/>
    <ns0:col width="13" customWidth="1" min="9" max="9"/>
  </ns0:cols>
  <ns0:sheetData>
    <ns0:row r="1" ht="32" customHeight="1">
      <ns0:c r="A1" s="1" t="inlineStr">
        <ns0:is>
          <ns0:t>t01-08｜数量统计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类别</ns0:t>
        </ns0:is>
      </ns0:c>
      <ns0:c r="B5" s="3" t="inlineStr">
        <ns0:is>
          <ns0:t>下品</ns0:t>
        </ns0:is>
      </ns0:c>
      <ns0:c r="C5" s="3" t="inlineStr">
        <ns0:is>
          <ns0:t>凡品</ns0:t>
        </ns0:is>
      </ns0:c>
      <ns0:c r="D5" s="3" t="inlineStr">
        <ns0:is>
          <ns0:t>良品</ns0:t>
        </ns0:is>
      </ns0:c>
      <ns0:c r="E5" s="3" t="inlineStr">
        <ns0:is>
          <ns0:t>上品</ns0:t>
        </ns0:is>
      </ns0:c>
      <ns0:c r="F5" s="3" t="inlineStr">
        <ns0:is>
          <ns0:t>灵品</ns0:t>
        </ns0:is>
      </ns0:c>
      <ns0:c r="G5" s="3" t="inlineStr">
        <ns0:is>
          <ns0:t>玄品</ns0:t>
        </ns0:is>
      </ns0:c>
      <ns0:c r="H5" s="3" t="inlineStr">
        <ns0:is>
          <ns0:t>仙品</ns0:t>
        </ns0:is>
      </ns0:c>
      <ns0:c r="I5" s="3" t="inlineStr">
        <ns0:is>
          <ns0:t>合计</ns0:t>
        </ns0:is>
      </ns0:c>
    </ns0:row>
    <ns0:row r="6" ht="30" customHeight="1">
      <ns0:c r="A6" s="4" t="inlineStr">
        <ns0:is>
          <ns0:t>武器</ns0:t>
        </ns0:is>
      </ns0:c>
      <ns0:c r="B6" s="7">
        <ns0:f>COUNTIF(T08Weapon[品级],B$5)</ns0:f>
        <ns0:v>9</ns0:v>
      </ns0:c>
      <ns0:c r="C6" s="7">
        <ns0:f>COUNTIF(T08Weapon[品级],C$5)</ns0:f>
        <ns0:v>27</ns0:v>
      </ns0:c>
      <ns0:c r="D6" s="7">
        <ns0:f>COUNTIF(T08Weapon[品级],D$5)</ns0:f>
        <ns0:v>0</ns0:v>
      </ns0:c>
      <ns0:c r="E6" s="7">
        <ns0:f>COUNTIF(T08Weapon[品级],E$5)</ns0:f>
        <ns0:v>0</ns0:v>
      </ns0:c>
      <ns0:c r="F6" s="7">
        <ns0:f>COUNTIF(T08Weapon[品级],F$5)</ns0:f>
        <ns0:v>0</ns0:v>
      </ns0:c>
      <ns0:c r="G6" s="7">
        <ns0:f>COUNTIF(T08Weapon[品级],G$5)</ns0:f>
        <ns0:v>0</ns0:v>
      </ns0:c>
      <ns0:c r="H6" s="7">
        <ns0:f>COUNTIF(T08Weapon[品级],H$5)</ns0:f>
        <ns0:v>0</ns0:v>
      </ns0:c>
      <ns0:c r="I6" s="7">
        <ns0:f>SUM(B6:H6)</ns0:f>
        <ns0:v>36</ns0:v>
      </ns0:c>
    </ns0:row>
    <ns0:row r="7" ht="30" customHeight="1">
      <ns0:c r="A7" s="5" t="inlineStr">
        <ns0:is>
          <ns0:t>防具</ns0:t>
        </ns0:is>
      </ns0:c>
      <ns0:c r="B7" s="9">
        <ns0:f>COUNTIF(T08Armor[品级],B$5)</ns0:f>
        <ns0:v>8</ns0:v>
      </ns0:c>
      <ns0:c r="C7" s="9">
        <ns0:f>COUNTIF(T08Armor[品级],C$5)</ns0:f>
        <ns0:v>28</ns0:v>
      </ns0:c>
      <ns0:c r="D7" s="9">
        <ns0:f>COUNTIF(T08Armor[品级],D$5)</ns0:f>
        <ns0:v>0</ns0:v>
      </ns0:c>
      <ns0:c r="E7" s="9">
        <ns0:f>COUNTIF(T08Armor[品级],E$5)</ns0:f>
        <ns0:v>0</ns0:v>
      </ns0:c>
      <ns0:c r="F7" s="9">
        <ns0:f>COUNTIF(T08Armor[品级],F$5)</ns0:f>
        <ns0:v>0</ns0:v>
      </ns0:c>
      <ns0:c r="G7" s="9">
        <ns0:f>COUNTIF(T08Armor[品级],G$5)</ns0:f>
        <ns0:v>0</ns0:v>
      </ns0:c>
      <ns0:c r="H7" s="9">
        <ns0:f>COUNTIF(T08Armor[品级],H$5)</ns0:f>
        <ns0:v>0</ns0:v>
      </ns0:c>
      <ns0:c r="I7" s="9">
        <ns0:f>SUM(B7:H7)</ns0:f>
        <ns0:v>36</ns0:v>
      </ns0:c>
    </ns0:row>
    <ns0:row r="8" ht="30" customHeight="1">
      <ns0:c r="A8" s="4" t="inlineStr">
        <ns0:is>
          <ns0:t>法器</ns0:t>
        </ns0:is>
      </ns0:c>
      <ns0:c r="B8" s="7">
        <ns0:f>COUNTIF(T08Artifact[品级],B$5)</ns0:f>
        <ns0:v>4</ns0:v>
      </ns0:c>
      <ns0:c r="C8" s="7">
        <ns0:f>COUNTIF(T08Artifact[品级],C$5)</ns0:f>
        <ns0:v>18</ns0:v>
      </ns0:c>
      <ns0:c r="D8" s="7">
        <ns0:f>COUNTIF(T08Artifact[品级],D$5)</ns0:f>
        <ns0:v>0</ns0:v>
      </ns0:c>
      <ns0:c r="E8" s="7">
        <ns0:f>COUNTIF(T08Artifact[品级],E$5)</ns0:f>
        <ns0:v>0</ns0:v>
      </ns0:c>
      <ns0:c r="F8" s="7">
        <ns0:f>COUNTIF(T08Artifact[品级],F$5)</ns0:f>
        <ns0:v>0</ns0:v>
      </ns0:c>
      <ns0:c r="G8" s="7">
        <ns0:f>COUNTIF(T08Artifact[品级],G$5)</ns0:f>
        <ns0:v>0</ns0:v>
      </ns0:c>
      <ns0:c r="H8" s="7">
        <ns0:f>COUNTIF(T08Artifact[品级],H$5)</ns0:f>
        <ns0:v>0</ns0:v>
      </ns0:c>
      <ns0:c r="I8" s="7">
        <ns0:f>SUM(B8:H8)</ns0:f>
        <ns0:v>22</ns0:v>
      </ns0:c>
    </ns0:row>
    <ns0:row r="9" ht="30" customHeight="1">
      <ns0:c r="A9" s="5" t="inlineStr">
        <ns0:is>
          <ns0:t>丹药</ns0:t>
        </ns0:is>
      </ns0:c>
      <ns0:c r="B9" s="9">
        <ns0:f>COUNTIF(T08Pill[品级],B$5)</ns0:f>
        <ns0:v>6</ns0:v>
      </ns0:c>
      <ns0:c r="C9" s="9">
        <ns0:f>COUNTIF(T08Pill[品级],C$5)</ns0:f>
        <ns0:v>10</ns0:v>
      </ns0:c>
      <ns0:c r="D9" s="9">
        <ns0:f>COUNTIF(T08Pill[品级],D$5)</ns0:f>
        <ns0:v>0</ns0:v>
      </ns0:c>
      <ns0:c r="E9" s="9">
        <ns0:f>COUNTIF(T08Pill[品级],E$5)</ns0:f>
        <ns0:v>0</ns0:v>
      </ns0:c>
      <ns0:c r="F9" s="9">
        <ns0:f>COUNTIF(T08Pill[品级],F$5)</ns0:f>
        <ns0:v>0</ns0:v>
      </ns0:c>
      <ns0:c r="G9" s="9">
        <ns0:f>COUNTIF(T08Pill[品级],G$5)</ns0:f>
        <ns0:v>0</ns0:v>
      </ns0:c>
      <ns0:c r="H9" s="9">
        <ns0:f>COUNTIF(T08Pill[品级],H$5)</ns0:f>
        <ns0:v>0</ns0:v>
      </ns0:c>
      <ns0:c r="I9" s="9">
        <ns0:f>SUM(B9:H9)</ns0:f>
        <ns0:v>16</ns0:v>
      </ns0:c>
    </ns0:row>
    <ns0:row r="10" ht="30" customHeight="1">
      <ns0:c r="A10" s="4" t="inlineStr">
        <ns0:is>
          <ns0:t>符箓</ns0:t>
        </ns0:is>
      </ns0:c>
      <ns0:c r="B10" s="7">
        <ns0:f>COUNTIF(T08Talisman[品级],B$5)</ns0:f>
        <ns0:v>0</ns0:v>
      </ns0:c>
      <ns0:c r="C10" s="7">
        <ns0:f>COUNTIF(T08Talisman[品级],C$5)</ns0:f>
        <ns0:v>0</ns0:v>
      </ns0:c>
      <ns0:c r="D10" s="7">
        <ns0:f>COUNTIF(T08Talisman[品级],D$5)</ns0:f>
        <ns0:v>0</ns0:v>
      </ns0:c>
      <ns0:c r="E10" s="7">
        <ns0:f>COUNTIF(T08Talisman[品级],E$5)</ns0:f>
        <ns0:v>0</ns0:v>
      </ns0:c>
      <ns0:c r="F10" s="7">
        <ns0:f>COUNTIF(T08Talisman[品级],F$5)</ns0:f>
        <ns0:v>0</ns0:v>
      </ns0:c>
      <ns0:c r="G10" s="7">
        <ns0:f>COUNTIF(T08Talisman[品级],G$5)</ns0:f>
        <ns0:v>0</ns0:v>
      </ns0:c>
      <ns0:c r="H10" s="7">
        <ns0:f>COUNTIF(T08Talisman[品级],H$5)</ns0:f>
        <ns0:v>0</ns0:v>
      </ns0:c>
      <ns0:c r="I10" s="7">
        <ns0:f>SUM(B10:H10)</ns0:f>
        <ns0:v>0</ns0:v>
      </ns0:c>
    </ns0:row>
    <ns0:row r="11" ht="30" customHeight="1">
      <ns0:c r="A11" s="5" t="inlineStr">
        <ns0:is>
          <ns0:t>暗器</ns0:t>
        </ns0:is>
      </ns0:c>
      <ns0:c r="B11" s="9">
        <ns0:f>COUNTIF(T08HiddenWeapon[品级],B$5)</ns0:f>
        <ns0:v>0</ns0:v>
      </ns0:c>
      <ns0:c r="C11" s="9">
        <ns0:f>COUNTIF(T08HiddenWeapon[品级],C$5)</ns0:f>
        <ns0:v>5</ns0:v>
      </ns0:c>
      <ns0:c r="D11" s="9">
        <ns0:f>COUNTIF(T08HiddenWeapon[品级],D$5)</ns0:f>
        <ns0:v>0</ns0:v>
      </ns0:c>
      <ns0:c r="E11" s="9">
        <ns0:f>COUNTIF(T08HiddenWeapon[品级],E$5)</ns0:f>
        <ns0:v>0</ns0:v>
      </ns0:c>
      <ns0:c r="F11" s="9">
        <ns0:f>COUNTIF(T08HiddenWeapon[品级],F$5)</ns0:f>
        <ns0:v>0</ns0:v>
      </ns0:c>
      <ns0:c r="G11" s="9">
        <ns0:f>COUNTIF(T08HiddenWeapon[品级],G$5)</ns0:f>
        <ns0:v>0</ns0:v>
      </ns0:c>
      <ns0:c r="H11" s="9">
        <ns0:f>COUNTIF(T08HiddenWeapon[品级],H$5)</ns0:f>
        <ns0:v>0</ns0:v>
      </ns0:c>
      <ns0:c r="I11" s="9">
        <ns0:f>SUM(B11:H11)</ns0:f>
        <ns0:v>5</ns0:v>
      </ns0:c>
    </ns0:row>
    <ns0:row r="12" ht="30" customHeight="1">
      <ns0:c r="A12" s="4" t="inlineStr">
        <ns0:is>
          <ns0:t>合计</ns0:t>
        </ns0:is>
      </ns0:c>
      <ns0:c r="B12" s="7">
        <ns0:f>SUM(B6:B11)</ns0:f>
        <ns0:v>27</ns0:v>
      </ns0:c>
      <ns0:c r="C12" s="7">
        <ns0:f>SUM(C6:C11)</ns0:f>
        <ns0:v>88</ns0:v>
      </ns0:c>
      <ns0:c r="D12" s="7">
        <ns0:f>SUM(D6:D11)</ns0:f>
        <ns0:v>0</ns0:v>
      </ns0:c>
      <ns0:c r="E12" s="7">
        <ns0:f>SUM(E6:E11)</ns0:f>
        <ns0:v>0</ns0:v>
      </ns0:c>
      <ns0:c r="F12" s="7">
        <ns0:f>SUM(F6:F11)</ns0:f>
        <ns0:v>0</ns0:v>
      </ns0:c>
      <ns0:c r="G12" s="7">
        <ns0:f>SUM(G6:G11)</ns0:f>
        <ns0:v>0</ns0:v>
      </ns0:c>
      <ns0:c r="H12" s="7">
        <ns0:f>SUM(H6:H11)</ns0:f>
        <ns0:v>0</ns0:v>
      </ns0:c>
      <ns0:c r="I12" s="7">
        <ns0:f>SUM(I6:I11)</ns0:f>
        <ns0:v>115</ns0:v>
      </ns0:c>
    </ns0:row>
  </ns0:sheetData>
  <ns0:mergeCells count="2">
    <ns0:mergeCell ref="A1:I1"/>
    <ns0:mergeCell ref="A2:I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0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Q1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8" customWidth="1" min="1" max="1"/>
    <ns0:col width="22" customWidth="1" min="2" max="2"/>
    <ns0:col width="17" customWidth="1" min="3" max="3"/>
    <ns0:col width="17" customWidth="1" min="4" max="4"/>
    <ns0:col width="17" customWidth="1" min="5" max="5"/>
    <ns0:col width="62" customWidth="1" min="6" max="6"/>
    <ns0:col width="36" customWidth="1" min="7" max="7"/>
    <ns0:col width="19" customWidth="1" min="8" max="8"/>
    <ns0:col width="23" customWidth="1" min="9" max="9"/>
    <ns0:col width="20" customWidth="1" min="10" max="10"/>
    <ns0:col width="20" customWidth="1" min="11" max="11"/>
    <ns0:col width="17" customWidth="1" min="12" max="12"/>
    <ns0:col width="15" customWidth="1" min="13" max="13"/>
    <ns0:col width="35" customWidth="1" min="14" max="14"/>
    <ns0:col width="64" customWidth="1" min="15" max="15"/>
    <ns0:col width="49" customWidth="1" min="16" max="16"/>
    <ns0:col width="20" customWidth="1" min="17" max="17"/>
  </ns0:cols>
  <ns0:sheetData>
    <ns0:row r="1" ht="32" customHeight="1">
      <ns0:c r="A1" s="1" t="inlineStr">
        <ns0:is>
          <ns0:t>t01-08｜基础防具联动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联动记录ID</ns0:t>
        </ns0:is>
      </ns0:c>
      <ns0:c r="B5" s="3" t="inlineStr">
        <ns0:is>
          <ns0:t>名称</ns0:t>
        </ns0:is>
      </ns0:c>
      <ns0:c r="C5" s="3" t="inlineStr">
        <ns0:is>
          <ns0:t>主体身甲</ns0:t>
        </ns0:is>
      </ns0:c>
      <ns0:c r="D5" s="3" t="inlineStr">
        <ns0:is>
          <ns0:t>护臂</ns0:t>
        </ns0:is>
      </ns0:c>
      <ns0:c r="E5" s="3" t="inlineStr">
        <ns0:is>
          <ns0:t>护腿</ns0:t>
        </ns0:is>
      </ns0:c>
      <ns0:c r="F5" s="3" t="inlineStr">
        <ns0:is>
          <ns0:t>构型条件</ns0:t>
        </ns0:is>
      </ns0:c>
      <ns0:c r="G5" s="3" t="inlineStr">
        <ns0:is>
          <ns0:t>关系身份</ns0:t>
        </ns0:is>
      </ns0:c>
      <ns0:c r="H5" s="3" t="inlineStr">
        <ns0:is>
          <ns0:t>上限额外贡献</ns0:t>
        </ns0:is>
      </ns0:c>
      <ns0:c r="I5" s="3" t="inlineStr">
        <ns0:is>
          <ns0:t>身甲发动额外回甲</ns0:t>
        </ns0:is>
      </ns0:c>
      <ns0:c r="J5" s="3" t="inlineStr">
        <ns0:is>
          <ns0:t>组合总上限</ns0:t>
        </ns0:is>
      </ns0:c>
      <ns0:c r="K5" s="3" t="inlineStr">
        <ns0:is>
          <ns0:t>身甲单次回甲</ns0:t>
        </ns0:is>
      </ns0:c>
      <ns0:c r="L5" s="3" t="inlineStr">
        <ns0:is>
          <ns0:t>身甲CD_秒</ns0:t>
        </ns0:is>
      </ns0:c>
      <ns0:c r="M5" s="3" t="inlineStr">
        <ns0:is>
          <ns0:t>总占格</ns0:t>
        </ns0:is>
      </ns0:c>
      <ns0:c r="N5" s="3" t="inlineStr">
        <ns0:is>
          <ns0:t>运行节奏</ns0:t>
        </ns0:is>
      </ns0:c>
      <ns0:c r="O5" s="3" t="inlineStr">
        <ns0:is>
          <ns0:t>生命周期边界</ns0:t>
        </ns0:is>
      </ns0:c>
      <ns0:c r="P5" s="3" t="inlineStr">
        <ns0:is>
          <ns0:t>设计状态</ns0:t>
        </ns0:is>
      </ns0:c>
      <ns0:c r="Q5" s="3" t="inlineStr">
        <ns0:is>
          <ns0:t>来源</ns0:t>
        </ns0:is>
      </ns0:c>
    </ns0:row>
    <ns0:row r="6" ht="42" customHeight="1">
      <ns0:c r="A6" s="4" t="inlineStr">
        <ns0:is>
          <ns0:t>t01.link.cloth_basic</ns0:t>
        </ns0:is>
      </ns0:c>
      <ns0:c r="B6" s="4" t="inlineStr">
        <ns0:is>
          <ns0:t>布甲联动</ns0:t>
        </ns0:is>
      </ns0:c>
      <ns0:c r="C6" s="4" t="inlineStr">
        <ns0:is>
          <ns0:t>粗布甲</ns0:t>
        </ns0:is>
      </ns0:c>
      <ns0:c r="D6" s="4" t="inlineStr">
        <ns0:is>
          <ns0:t>布护臂</ns0:t>
        </ns0:is>
      </ns0:c>
      <ns0:c r="E6" s="4" t="inlineStr">
        <ns0:is>
          <ns0:t>布护腿</ns0:t>
        </ns0:is>
      </ns0:c>
      <ns0:c r="F6" s="4" t="inlineStr">
        <ns0:is>
          <ns0:t>两护具各自正交邻接同一身甲；不要求两护具彼此相邻。</ns0:t>
        </ns0:is>
      </ns0:c>
      <ns0:c r="G6" s="4" t="inlineStr">
        <ns0:is>
          <ns0:t>无Set_ID；资料称基础防具联动</ns0:t>
        </ns0:is>
      </ns0:c>
      <ns0:c r="H6" s="4" t="n">
        <ns0:v>2</ns0:v>
      </ns0:c>
      <ns0:c r="I6" s="4" t="n">
        <ns0:v>1</ns0:v>
      </ns0:c>
      <ns0:c r="J6" s="7">
        <ns0:f>SUM('03_防具'!K6,'03_防具'!K10,'03_防具'!K11)+H6</ns0:f>
        <ns0:v>12</ns0:v>
      </ns0:c>
      <ns0:c r="K6" s="7">
        <ns0:f>'03_防具'!L6+I6</ns0:f>
        <ns0:v>4</ns0:v>
      </ns0:c>
      <ns0:c r="L6" s="7">
        <ns0:f>'03_防具'!J6</ns0:f>
        <ns0:v>4</ns0:v>
      </ns0:c>
      <ns0:c r="M6" s="7">
        <ns0:f>SUM('03_防具'!I6,'03_防具'!I10,'03_防具'!I11)</ns0:f>
        <ns0:v>4</ns0:v>
      </ns0:c>
      <ns0:c r="N6" s="4" t="inlineStr">
        <ns0:is>
          <ns0:t>无额外CD；附加回甲随身甲发动</ns0:t>
        </ns0:is>
      </ns0:c>
      <ns0:c r="O6" s="4" t="inlineStr">
        <ns0:is>
          <ns0:t>拆联动只撤本贡献，不补满护甲；控制影响按06／02资格判断</ns0:t>
        </ns0:is>
      </ns0:c>
      <ns0:c r="P6" s="6" t="inlineStr">
        <ns0:is>
          <ns0:t>Q01：本组下品邻接限定许可已确认；收益仍为试玩候选</ns0:t>
        </ns0:is>
      </ns0:c>
      <ns0:c r="Q6" s="4" t="inlineStr">
        <ns0:is>
          <ns0:t>B2；C；Q01用户答复2026-09-28</ns0:t>
        </ns0:is>
      </ns0:c>
    </ns0:row>
    <ns0:row r="7" ht="42" customHeight="1">
      <ns0:c r="A7" s="5" t="inlineStr">
        <ns0:is>
          <ns0:t>t01.link.iron_basic</ns0:t>
        </ns0:is>
      </ns0:c>
      <ns0:c r="B7" s="5" t="inlineStr">
        <ns0:is>
          <ns0:t>铁甲联动</ns0:t>
        </ns0:is>
      </ns0:c>
      <ns0:c r="C7" s="5" t="inlineStr">
        <ns0:is>
          <ns0:t>铁甲</ns0:t>
        </ns0:is>
      </ns0:c>
      <ns0:c r="D7" s="5" t="inlineStr">
        <ns0:is>
          <ns0:t>铁护臂</ns0:t>
        </ns0:is>
      </ns0:c>
      <ns0:c r="E7" s="5" t="inlineStr">
        <ns0:is>
          <ns0:t>铁护腿</ns0:t>
        </ns0:is>
      </ns0:c>
      <ns0:c r="F7" s="5" t="inlineStr">
        <ns0:is>
          <ns0:t>两护具各自正交邻接同一身甲；不要求两护具彼此相邻。</ns0:t>
        </ns0:is>
      </ns0:c>
      <ns0:c r="G7" s="5" t="inlineStr">
        <ns0:is>
          <ns0:t>无Set_ID；资料称基础防具联动</ns0:t>
        </ns0:is>
      </ns0:c>
      <ns0:c r="H7" s="5" t="n">
        <ns0:v>3</ns0:v>
      </ns0:c>
      <ns0:c r="I7" s="5" t="n">
        <ns0:v>2</ns0:v>
      </ns0:c>
      <ns0:c r="J7" s="9">
        <ns0:f>SUM('03_防具'!K7,'03_防具'!K12,'03_防具'!K13)+H7</ns0:f>
        <ns0:v>18</ns0:v>
      </ns0:c>
      <ns0:c r="K7" s="9">
        <ns0:f>'03_防具'!L7+I7</ns0:f>
        <ns0:v>6</ns0:v>
      </ns0:c>
      <ns0:c r="L7" s="9">
        <ns0:f>'03_防具'!J7</ns0:f>
        <ns0:v>6</ns0:v>
      </ns0:c>
      <ns0:c r="M7" s="9">
        <ns0:f>SUM('03_防具'!I7,'03_防具'!I12,'03_防具'!I13)</ns0:f>
        <ns0:v>4</ns0:v>
      </ns0:c>
      <ns0:c r="N7" s="5" t="inlineStr">
        <ns0:is>
          <ns0:t>无额外CD；附加回甲随身甲发动</ns0:t>
        </ns0:is>
      </ns0:c>
      <ns0:c r="O7" s="5" t="inlineStr">
        <ns0:is>
          <ns0:t>拆联动只撤本贡献，不补满护甲；控制影响按06／02资格判断</ns0:t>
        </ns0:is>
      </ns0:c>
      <ns0:c r="P7" s="6" t="inlineStr">
        <ns0:is>
          <ns0:t>Q01：本组下品邻接限定许可已确认；收益仍为试玩候选</ns0:t>
        </ns0:is>
      </ns0:c>
      <ns0:c r="Q7" s="5" t="inlineStr">
        <ns0:is>
          <ns0:t>B2；C；Q01用户答复2026-09-28</ns0:t>
        </ns0:is>
      </ns0:c>
    </ns0:row>
    <ns0:row r="8" ht="60" customHeight="1">
      <ns0:c r="A8" s="4" t="inlineStr">
        <ns0:is>
          <ns0:t>t01.link.fanpin_water</ns0:t>
        </ns0:is>
      </ns0:c>
      <ns0:c r="B8" s="4" t="inlineStr">
        <ns0:is>
          <ns0:t>水纹三件</ns0:t>
        </ns0:is>
      </ns0:c>
      <ns0:c r="C8" s="4" t="inlineStr">
        <ns0:is>
          <ns0:t>水纹衣</ns0:t>
        </ns0:is>
      </ns0:c>
      <ns0:c r="D8" s="4" t="inlineStr">
        <ns0:is>
          <ns0:t>水纹护臂</ns0:t>
        </ns0:is>
      </ns0:c>
      <ns0:c r="E8" s="4" t="inlineStr">
        <ns0:is>
          <ns0:t>水纹护腿</ns0:t>
        </ns0:is>
      </ns0:c>
      <ns0:c r="F8" s="4" t="inlineStr">
        <ns0:is>
          <ns0:t>两护具分别正交邻接同一身甲；碰角不算；无两件奖励</ns0:t>
        </ns0:is>
      </ns0:c>
      <ns0:c r="G8" s="4" t="inlineStr">
        <ns0:is>
          <ns0:t>无Set_ID；仅本批具名基础联动</ns0:t>
        </ns0:is>
      </ns0:c>
      <ns0:c r="H8" s="4" t="n">
        <ns0:v>3</ns0:v>
      </ns0:c>
      <ns0:c r="I8" s="4" t="n">
        <ns0:v>1</ns0:v>
      </ns0:c>
      <ns0:c r="J8" s="7">
        <ns0:f>SUM('03_防具'!K15,'03_防具'!K25,'03_防具'!K29)+H8</ns0:f>
        <ns0:v>22</ns0:v>
      </ns0:c>
      <ns0:c r="K8" s="7">
        <ns0:f>'03_防具'!L15+I8</ns0:f>
        <ns0:v>7</ns0:v>
      </ns0:c>
      <ns0:c r="L8" s="7">
        <ns0:f>'03_防具'!J15</ns0:f>
        <ns0:v>7</ns0:v>
      </ns0:c>
      <ns0:c r="M8" s="7">
        <ns0:f>SUM('03_防具'!I15,'03_防具'!I25,'03_防具'!I29)</ns0:f>
        <ns0:v>4</ns0:v>
      </ns0:c>
      <ns0:c r="N8" s="4" t="inlineStr">
        <ns0:is>
          <ns0:t>附加回甲并入身甲同一次恢复，无额外CD</ns0:t>
        </ns0:is>
      </ns0:c>
      <ns0:c r="O8" s="4" t="inlineStr">
        <ns0:is>
          <ns0:t>缺员／移开撤本组；超上限截除；重组不回满、不重置CD、不触发受击；控制分项查02／06</ns0:t>
        </ns0:is>
      </ns0:c>
      <ns0:c r="P8" s="6" t="inlineStr">
        <ns0:is>
          <ns0:t>候选数值；不授权跨品级替代</ns0:t>
        </ns0:is>
      </ns0:c>
      <ns0:c r="Q8" s="4" t="inlineStr">
        <ns0:is>
          <ns0:t>第1批三组；第2/3批元素修正；铁甲上限按用户调至29</ns0:t>
        </ns0:is>
      </ns0:c>
    </ns0:row>
    <ns0:row r="9" ht="60" customHeight="1">
      <ns0:c r="A9" s="4" t="inlineStr">
        <ns0:is>
          <ns0:t>t01.link.fanpin_iron</ns0:t>
        </ns0:is>
      </ns0:c>
      <ns0:c r="B9" s="4" t="inlineStr">
        <ns0:is>
          <ns0:t>铁甲三件_凡品</ns0:t>
        </ns0:is>
      </ns0:c>
      <ns0:c r="C9" s="4" t="inlineStr">
        <ns0:is>
          <ns0:t>札甲</ns0:t>
        </ns0:is>
      </ns0:c>
      <ns0:c r="D9" s="4" t="inlineStr">
        <ns0:is>
          <ns0:t>铁护腕</ns0:t>
        </ns0:is>
      </ns0:c>
      <ns0:c r="E9" s="4" t="inlineStr">
        <ns0:is>
          <ns0:t>铁胫甲</ns0:t>
        </ns0:is>
      </ns0:c>
      <ns0:c r="F9" s="4" t="inlineStr">
        <ns0:is>
          <ns0:t>两护具分别正交邻接同一身甲；碰角不算；无两件奖励</ns0:t>
        </ns0:is>
      </ns0:c>
      <ns0:c r="G9" s="4" t="inlineStr">
        <ns0:is>
          <ns0:t>无Set_ID；仅本批具名基础联动</ns0:t>
        </ns0:is>
      </ns0:c>
      <ns0:c r="H9" s="4" t="n">
        <ns0:v>4</ns0:v>
      </ns0:c>
      <ns0:c r="I9" s="4" t="n">
        <ns0:v>2</ns0:v>
      </ns0:c>
      <ns0:c r="J9" s="7">
        <ns0:f>SUM('03_防具'!K16,'03_防具'!K24,'03_防具'!K28)+H9</ns0:f>
        <ns0:v>29</ns0:v>
      </ns0:c>
      <ns0:c r="K9" s="7">
        <ns0:f>'03_防具'!L16+I9</ns0:f>
        <ns0:v>10</ns0:v>
      </ns0:c>
      <ns0:c r="L9" s="7">
        <ns0:f>'03_防具'!J16</ns0:f>
        <ns0:v>8.5</ns0:v>
      </ns0:c>
      <ns0:c r="M9" s="7">
        <ns0:f>SUM('03_防具'!I16,'03_防具'!I24,'03_防具'!I28)</ns0:f>
        <ns0:v>4</ns0:v>
      </ns0:c>
      <ns0:c r="N9" s="4" t="inlineStr">
        <ns0:is>
          <ns0:t>附加回甲并入身甲同一次恢复，无额外CD</ns0:t>
        </ns0:is>
      </ns0:c>
      <ns0:c r="O9" s="4" t="inlineStr">
        <ns0:is>
          <ns0:t>缺员／移开撤本组；超上限截除；重组不回满、不重置CD、不触发受击；控制分项查02／06</ns0:t>
        </ns0:is>
      </ns0:c>
      <ns0:c r="P9" s="6" t="inlineStr">
        <ns0:is>
          <ns0:t>候选数值；不授权跨品级替代</ns0:t>
        </ns0:is>
      </ns0:c>
      <ns0:c r="Q9" s="4" t="inlineStr">
        <ns0:is>
          <ns0:t>第1批三组；第2/3批元素修正；铁甲上限按用户调至29</ns0:t>
        </ns0:is>
      </ns0:c>
    </ns0:row>
    <ns0:row r="10" ht="60" customHeight="1">
      <ns0:c r="A10" s="4" t="inlineStr">
        <ns0:is>
          <ns0:t>t01.link.fanpin_thunder</ns0:t>
        </ns0:is>
      </ns0:c>
      <ns0:c r="B10" s="4" t="inlineStr">
        <ns0:is>
          <ns0:t>雷纹三件</ns0:t>
        </ns0:is>
      </ns0:c>
      <ns0:c r="C10" s="4" t="inlineStr">
        <ns0:is>
          <ns0:t>雷纹法袍</ns0:t>
        </ns0:is>
      </ns0:c>
      <ns0:c r="D10" s="4" t="inlineStr">
        <ns0:is>
          <ns0:t>雷纹护腕</ns0:t>
        </ns0:is>
      </ns0:c>
      <ns0:c r="E10" s="4" t="inlineStr">
        <ns0:is>
          <ns0:t>雷纹护腿</ns0:t>
        </ns0:is>
      </ns0:c>
      <ns0:c r="F10" s="4" t="inlineStr">
        <ns0:is>
          <ns0:t>两护具分别正交邻接同一身甲；碰角不算；无两件奖励</ns0:t>
        </ns0:is>
      </ns0:c>
      <ns0:c r="G10" s="4" t="inlineStr">
        <ns0:is>
          <ns0:t>无Set_ID；仅本批具名基础联动</ns0:t>
        </ns0:is>
      </ns0:c>
      <ns0:c r="H10" s="4" t="n">
        <ns0:v>3</ns0:v>
      </ns0:c>
      <ns0:c r="I10" s="4" t="n">
        <ns0:v>1</ns0:v>
      </ns0:c>
      <ns0:c r="J10" s="7">
        <ns0:f>SUM('03_防具'!K18,'03_防具'!K26,'03_防具'!K39)+H10</ns0:f>
        <ns0:v>25</ns0:v>
      </ns0:c>
      <ns0:c r="K10" s="7">
        <ns0:f>'03_防具'!L18+I10</ns0:f>
        <ns0:v>7</ns0:v>
      </ns0:c>
      <ns0:c r="L10" s="7">
        <ns0:f>'03_防具'!J18</ns0:f>
        <ns0:v>9</ns0:v>
      </ns0:c>
      <ns0:c r="M10" s="7">
        <ns0:f>SUM('03_防具'!I18,'03_防具'!I26,'03_防具'!I39)</ns0:f>
        <ns0:v>4</ns0:v>
      </ns0:c>
      <ns0:c r="N10" s="4" t="inlineStr">
        <ns0:is>
          <ns0:t>附加回甲并入身甲同一次恢复，无额外CD</ns0:t>
        </ns0:is>
      </ns0:c>
      <ns0:c r="O10" s="4" t="inlineStr">
        <ns0:is>
          <ns0:t>缺员／移开撤本组；超上限截除；重组不回满、不重置CD、不触发受击；控制分项查02／06</ns0:t>
        </ns0:is>
      </ns0:c>
      <ns0:c r="P10" s="6" t="inlineStr">
        <ns0:is>
          <ns0:t>候选数值；不授权跨品级替代</ns0:t>
        </ns0:is>
      </ns0:c>
      <ns0:c r="Q10" s="4" t="inlineStr">
        <ns0:is>
          <ns0:t>第1批三组；第2/3批元素修正；铁甲上限按用户调至29</ns0:t>
        </ns0:is>
      </ns0:c>
    </ns0:row>
  </ns0:sheetData>
  <ns0:mergeCells count="2">
    <ns0:mergeCell ref="A2:Q2"/>
    <ns0:mergeCell ref="A1:Q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7" customWidth="1" min="1" max="1"/>
    <ns0:col width="76" customWidth="1" min="2" max="2"/>
    <ns0:col width="77" customWidth="1" min="3" max="3"/>
    <ns0:col width="74" customWidth="1" min="4" max="4"/>
    <ns0:col width="31" customWidth="1" min="5" max="5"/>
  </ns0:cols>
  <ns0:sheetData>
    <ns0:row r="1" ht="32" customHeight="1">
      <ns0:c r="A1" s="1" t="inlineStr">
        <ns0:is>
          <ns0:t>t01-08｜甲型规则与部位范围（逐项标记效力）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规则ID</ns0:t>
        </ns0:is>
      </ns0:c>
      <ns0:c r="B5" s="3" t="inlineStr">
        <ns0:is>
          <ns0:t>内容</ns0:t>
        </ns0:is>
      </ns0:c>
      <ns0:c r="C5" s="3" t="inlineStr">
        <ns0:is>
          <ns0:t>本批处理</ns0:t>
        </ns0:is>
      </ns0:c>
      <ns0:c r="D5" s="3" t="inlineStr">
        <ns0:is>
          <ns0:t>与旧词典的关系</ns0:t>
        </ns0:is>
      </ns0:c>
      <ns0:c r="E5" s="3" t="inlineStr">
        <ns0:is>
          <ns0:t>状态</ns0:t>
        </ns0:is>
      </ns0:c>
    </ns0:row>
    <ns0:row r="6" ht="30" customHeight="1">
      <ns0:c r="A6" s="4" t="inlineStr">
        <ns0:is>
          <ns0:t>ARM01</ns0:t>
        </ns0:is>
      </ns0:c>
      <ns0:c r="B6" s="4" t="inlineStr">
        <ns0:is>
          <ns0:t>身甲每实际格×2，其余防具每实际格×1，同甲型加总。</ns0:t>
        </ns0:is>
      </ns0:c>
      <ns0:c r="C6" s="4" t="inlineStr">
        <ns0:is>
          <ns0:t>分类表N/O列现按已确认规则计算甲型权重；适用双方。</ns0:t>
        </ns0:is>
      </ns0:c>
      <ns0:c r="D6" s="4" t="inlineStr">
        <ns0:is>
          <ns0:t>Q02已覆盖04原等权统计，回填字段、正文、案例与汇总。</ns0:t>
        </ns0:is>
      </ns0:c>
      <ns0:c r="E6" s="6" t="inlineStr">
        <ns0:is>
          <ns0:t>Q02已确认；04已回填</ns0:t>
        </ns0:is>
      </ns0:c>
    </ns0:row>
    <ns0:row r="7" ht="30" customHeight="1">
      <ns0:c r="A7" s="5" t="inlineStr">
        <ns0:is>
          <ns0:t>ARM02</ns0:t>
        </ns0:is>
      </ns0:c>
      <ns0:c r="B7" s="5" t="inlineStr">
        <ns0:is>
          <ns0:t>最高并列含身甲甲型时优先身甲。</ns0:t>
        </ns0:is>
      </ns0:c>
      <ns0:c r="C7" s="5" t="inlineStr">
        <ns0:is>
          <ns0:t>铁甲重甲4与盾＋布护臂＋布护腿轻甲4并列，优先身甲，取重甲。</ns0:t>
        </ns0:is>
      </ns0:c>
      <ns0:c r="D7" s="5" t="inlineStr">
        <ns0:is>
          <ns0:t>双方均适用。元素也加权，但元素最高并列使用扫描，不继承甲型身甲优先。</ns0:t>
        </ns0:is>
      </ns0:c>
      <ns0:c r="E7" s="6" t="inlineStr">
        <ns0:is>
          <ns0:t>Q02已确认；04已回填</ns0:t>
        </ns0:is>
      </ns0:c>
    </ns0:row>
    <ns0:row r="8" ht="42" customHeight="1">
      <ns0:c r="A8" s="4" t="inlineStr">
        <ns0:is>
          <ns0:t>ARM03</ns0:t>
        </ns0:is>
      </ns0:c>
      <ns0:c r="B8" s="4" t="inlineStr">
        <ns0:is>
          <ns0:t>无身甲或最高并列不含身甲时：玩家选最高候选；敌方按阵盘从上到下、每行从左到右扫描。</ns0:t>
        </ns0:is>
      </ns0:c>
      <ns0:c r="C8" s="4" t="inlineStr">
        <ns0:is>
          <ns0:t>敌方首遇最高候选胜出，跳过非候选；不随机。</ns0:t>
        </ns0:is>
      </ns0:c>
      <ns0:c r="D8" s="4" t="inlineStr">
        <ns0:is>
          <ns0:t>先判断身甲优先，再使用玩家／敌方的后备规则；04已回填。</ns0:t>
        </ns0:is>
      </ns0:c>
      <ns0:c r="E8" s="6" t="inlineStr">
        <ns0:is>
          <ns0:t>Q02已确认；04已回填</ns0:t>
        </ns0:is>
      </ns0:c>
    </ns0:row>
    <ns0:row r="9" ht="42" customHeight="1">
      <ns0:c r="A9" s="5" t="inlineStr">
        <ns0:is>
          <ns0:t>ARM04</ns0:t>
        </ns0:is>
      </ns0:c>
      <ns0:c r="B9" s="5" t="inlineStr">
        <ns0:is>
          <ns0:t>身甲、头具、护臂、护腿、护肩、腰部同部位各限1；盾可多件，仍占阵盘。</ns0:t>
        </ns0:is>
      </ns0:c>
      <ns0:c r="C9" s="5" t="inlineStr">
        <ns0:is>
          <ns0:t>本批新增肩／腰沿同部位规则；盾例外保持。</ns0:t>
        </ns0:is>
      </ns0:c>
      <ns0:c r="D9" s="5" t="inlineStr">
        <ns0:is>
          <ns0:t>四大防具形态≠部位唯一性：护臂和护腿可各1件。</ns0:t>
        </ns0:is>
      </ns0:c>
      <ns0:c r="E9" s="6" t="inlineStr">
        <ns0:is>
          <ns0:t>Q03已确认；04已回填</ns0:t>
        </ns0:is>
      </ns0:c>
    </ns0:row>
    <ns0:row r="10" ht="40" customHeight="1">
      <ns0:c r="A10" s="4" t="inlineStr">
        <ns0:is>
          <ns0:t>ARM05</ns0:t>
        </ns0:is>
      </ns0:c>
      <ns0:c r="B10" s="4" t="inlineStr">
        <ns0:is>
          <ns0:t>防御元素也按身甲每格2、其他防具每格1；NONE参与统计。</ns0:t>
        </ns0:is>
      </ns0:c>
      <ns0:c r="C10" s="4" t="inlineStr">
        <ns0:is>
          <ns0:t>札甲无属性4、金护腕1、土护腿1，最终NONE。</ns0:t>
        </ns0:is>
      </ns0:c>
      <ns0:c r="D10" s="4" t="inlineStr">
        <ns0:is>
          <ns0:t>覆盖旧等权且排除NONE的元素算法；甲型并列身甲优先与元素并列扫描仍各自独立。</ns0:t>
        </ns0:is>
      </ns0:c>
      <ns0:c r="E10" s="4" t="inlineStr">
        <ns0:is>
          <ns0:t>本次FP02用户确认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L15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9" customWidth="1" min="1" max="1"/>
    <ns0:col width="25" customWidth="1" min="2" max="2"/>
    <ns0:col width="23" customWidth="1" min="3" max="3"/>
    <ns0:col width="22" customWidth="1" min="4" max="4"/>
    <ns0:col width="31" customWidth="1" min="5" max="5"/>
    <ns0:col width="20" customWidth="1" min="6" max="6"/>
    <ns0:col width="23" customWidth="1" min="7" max="7"/>
    <ns0:col width="40" customWidth="1" min="8" max="8"/>
    <ns0:col width="53" customWidth="1" min="9" max="9"/>
    <ns0:col width="62" customWidth="1" min="10" max="10"/>
    <ns0:col width="39" customWidth="1" min="11" max="11"/>
    <ns0:col width="28" customWidth="1" min="12" max="12"/>
  </ns0:cols>
  <ns0:sheetData>
    <ns0:row r="1" ht="32" customHeight="1">
      <ns0:c r="A1" s="1" t="inlineStr">
        <ns0:is>
          <ns0:t>t01-08｜获取规划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规划记录ID</ns0:t>
        </ns0:is>
      </ns0:c>
      <ns0:c r="B5" s="3" t="inlineStr">
        <ns0:is>
          <ns0:t>目标资产ID或类型</ns0:t>
        </ns0:is>
      </ns0:c>
      <ns0:c r="C5" s="3" t="inlineStr">
        <ns0:is>
          <ns0:t>目标名称</ns0:t>
        </ns0:is>
      </ns0:c>
      <ns0:c r="D5" s="3" t="inlineStr">
        <ns0:is>
          <ns0:t>渠道</ns0:t>
        </ns0:is>
      </ns0:c>
      <ns0:c r="E5" s="3" t="inlineStr">
        <ns0:is>
          <ns0:t>具体来源意向</ns0:t>
        </ns0:is>
      </ns0:c>
      <ns0:c r="F5" s="3" t="inlineStr">
        <ns0:is>
          <ns0:t>方法</ns0:t>
        </ns0:is>
      </ns0:c>
      <ns0:c r="G5" s="3" t="inlineStr">
        <ns0:is>
          <ns0:t>交付模式</ns0:t>
        </ns0:is>
      </ns0:c>
      <ns0:c r="H5" s="3" t="inlineStr">
        <ns0:is>
          <ns0:t>目标与成功对象</ns0:t>
        </ns0:is>
      </ns0:c>
      <ns0:c r="I5" s="3" t="inlineStr">
        <ns0:is>
          <ns0:t>缺失配置</ns0:t>
        </ns0:is>
      </ns0:c>
      <ns0:c r="J5" s="3" t="inlineStr">
        <ns0:is>
          <ns0:t>节奏／前提</ns0:t>
        </ns0:is>
      </ns0:c>
      <ns0:c r="K5" s="3" t="inlineStr">
        <ns0:is>
          <ns0:t>状态</ns0:t>
        </ns0:is>
      </ns0:c>
      <ns0:c r="L5" s="3" t="inlineStr">
        <ns0:is>
          <ns0:t>依据</ns0:t>
        </ns0:is>
      </ns0:c>
    </ns0:row>
    <ns0:row r="6" ht="30" customHeight="1">
      <ns0:c r="A6" s="4" t="inlineStr">
        <ns0:is>
          <ns0:t>t01.acquisition.plan.001</ns0:t>
        </ns0:is>
      </ns0:c>
      <ns0:c r="B6" s="4" t="inlineStr">
        <ns0:is>
          <ns0:t>t01.asset.0001</ns0:t>
        </ns0:is>
      </ns0:c>
      <ns0:c r="C6" s="4" t="inlineStr">
        <ns0:is>
          <ns0:t>青石短剑</ns0:t>
        </ns0:is>
      </ns0:c>
      <ns0:c r="D6" s="4" t="inlineStr">
        <ns0:is>
          <ns0:t>SHOP</ns0:t>
        </ns0:is>
      </ns0:c>
      <ns0:c r="E6" s="4" t="inlineStr">
        <ns0:is>
          <ns0:t>青石镇铁匠铺</ns0:t>
        </ns0:is>
      </ns0:c>
      <ns0:c r="F6" s="4" t="inlineStr">
        <ns0:is>
          <ns0:t>PURCHASE</ns0:t>
        </ns0:is>
      </ns0:c>
      <ns0:c r="G6" s="4" t="inlineStr">
        <ns0:is>
          <ns0:t>DIRECT</ns0:t>
        </ns0:is>
      </ns0:c>
      <ns0:c r="H6" s="4" t="inlineStr">
        <ns0:is>
          <ns0:t>固定实物／规格待绝对值</ns0:t>
        </ns0:is>
      </ns0:c>
      <ns0:c r="I6" s="4" t="inlineStr">
        <ns0:is>
          <ns0:t>数量／价格／库存／资格待配</ns0:t>
        </ns0:is>
      </ns0:c>
      <ns0:c r="J6" s="4" t="inlineStr">
        <ns0:is>
          <ns0:t>凡人阶段内逐步接触九器型为建议；不等于都已可买。</ns0:t>
        </ns0:is>
      </ns0:c>
      <ns0:c r="K6" s="4" t="inlineStr">
        <ns0:is>
          <ns0:t>投放建议，非可执行记录</ns0:t>
        </ns0:is>
      </ns0:c>
      <ns0:c r="L6" s="4" t="inlineStr">
        <ns0:is>
          <ns0:t>A；07 D11／R05／Q05</ns0:t>
        </ns0:is>
      </ns0:c>
    </ns0:row>
    <ns0:row r="7" ht="30" customHeight="1">
      <ns0:c r="A7" s="5" t="inlineStr">
        <ns0:is>
          <ns0:t>t01.acquisition.plan.002</ns0:t>
        </ns0:is>
      </ns0:c>
      <ns0:c r="B7" s="5" t="inlineStr">
        <ns0:is>
          <ns0:t>t01.asset.0002</ns0:t>
        </ns0:is>
      </ns0:c>
      <ns0:c r="C7" s="5" t="inlineStr">
        <ns0:is>
          <ns0:t>铁刀</ns0:t>
        </ns0:is>
      </ns0:c>
      <ns0:c r="D7" s="5" t="inlineStr">
        <ns0:is>
          <ns0:t>SHOP</ns0:t>
        </ns0:is>
      </ns0:c>
      <ns0:c r="E7" s="5" t="inlineStr">
        <ns0:is>
          <ns0:t>青石镇铁匠铺</ns0:t>
        </ns0:is>
      </ns0:c>
      <ns0:c r="F7" s="5" t="inlineStr">
        <ns0:is>
          <ns0:t>PURCHASE</ns0:t>
        </ns0:is>
      </ns0:c>
      <ns0:c r="G7" s="5" t="inlineStr">
        <ns0:is>
          <ns0:t>DIRECT</ns0:t>
        </ns0:is>
      </ns0:c>
      <ns0:c r="H7" s="5" t="inlineStr">
        <ns0:is>
          <ns0:t>固定实物／规格待绝对值</ns0:t>
        </ns0:is>
      </ns0:c>
      <ns0:c r="I7" s="5" t="inlineStr">
        <ns0:is>
          <ns0:t>数量／价格／库存／资格待配</ns0:t>
        </ns0:is>
      </ns0:c>
      <ns0:c r="J7" s="5" t="inlineStr">
        <ns0:is>
          <ns0:t>凡人阶段内逐步接触九器型为建议；不等于都已可买。</ns0:t>
        </ns0:is>
      </ns0:c>
      <ns0:c r="K7" s="5" t="inlineStr">
        <ns0:is>
          <ns0:t>投放建议，非可执行记录</ns0:t>
        </ns0:is>
      </ns0:c>
      <ns0:c r="L7" s="5" t="inlineStr">
        <ns0:is>
          <ns0:t>A；07 D11／R05／Q05</ns0:t>
        </ns0:is>
      </ns0:c>
    </ns0:row>
    <ns0:row r="8" ht="30" customHeight="1">
      <ns0:c r="A8" s="4" t="inlineStr">
        <ns0:is>
          <ns0:t>t01.acquisition.plan.003</ns0:t>
        </ns0:is>
      </ns0:c>
      <ns0:c r="B8" s="4" t="inlineStr">
        <ns0:is>
          <ns0:t>t01.asset.0003</ns0:t>
        </ns0:is>
      </ns0:c>
      <ns0:c r="C8" s="4" t="inlineStr">
        <ns0:is>
          <ns0:t>柴斧</ns0:t>
        </ns0:is>
      </ns0:c>
      <ns0:c r="D8" s="4" t="inlineStr">
        <ns0:is>
          <ns0:t>SHOP</ns0:t>
        </ns0:is>
      </ns0:c>
      <ns0:c r="E8" s="4" t="inlineStr">
        <ns0:is>
          <ns0:t>青石镇铁匠铺</ns0:t>
        </ns0:is>
      </ns0:c>
      <ns0:c r="F8" s="4" t="inlineStr">
        <ns0:is>
          <ns0:t>PURCHASE</ns0:t>
        </ns0:is>
      </ns0:c>
      <ns0:c r="G8" s="4" t="inlineStr">
        <ns0:is>
          <ns0:t>DIRECT</ns0:t>
        </ns0:is>
      </ns0:c>
      <ns0:c r="H8" s="4" t="inlineStr">
        <ns0:is>
          <ns0:t>固定实物／规格待绝对值</ns0:t>
        </ns0:is>
      </ns0:c>
      <ns0:c r="I8" s="4" t="inlineStr">
        <ns0:is>
          <ns0:t>数量／价格／库存／资格待配</ns0:t>
        </ns0:is>
      </ns0:c>
      <ns0:c r="J8" s="4" t="inlineStr">
        <ns0:is>
          <ns0:t>凡人阶段内逐步接触九器型为建议；不等于都已可买。</ns0:t>
        </ns0:is>
      </ns0:c>
      <ns0:c r="K8" s="4" t="inlineStr">
        <ns0:is>
          <ns0:t>投放建议，非可执行记录</ns0:t>
        </ns0:is>
      </ns0:c>
      <ns0:c r="L8" s="4" t="inlineStr">
        <ns0:is>
          <ns0:t>A；07 D11／R05／Q05</ns0:t>
        </ns0:is>
      </ns0:c>
    </ns0:row>
    <ns0:row r="9" ht="30" customHeight="1">
      <ns0:c r="A9" s="5" t="inlineStr">
        <ns0:is>
          <ns0:t>t01.acquisition.plan.004</ns0:t>
        </ns0:is>
      </ns0:c>
      <ns0:c r="B9" s="5" t="inlineStr">
        <ns0:is>
          <ns0:t>t01.asset.0004</ns0:t>
        </ns0:is>
      </ns0:c>
      <ns0:c r="C9" s="5" t="inlineStr">
        <ns0:is>
          <ns0:t>猎弓</ns0:t>
        </ns0:is>
      </ns0:c>
      <ns0:c r="D9" s="5" t="inlineStr">
        <ns0:is>
          <ns0:t>SHOP</ns0:t>
        </ns0:is>
      </ns0:c>
      <ns0:c r="E9" s="5" t="inlineStr">
        <ns0:is>
          <ns0:t>青石镇商铺</ns0:t>
        </ns0:is>
      </ns0:c>
      <ns0:c r="F9" s="5" t="inlineStr">
        <ns0:is>
          <ns0:t>PURCHASE</ns0:t>
        </ns0:is>
      </ns0:c>
      <ns0:c r="G9" s="5" t="inlineStr">
        <ns0:is>
          <ns0:t>DIRECT</ns0:t>
        </ns0:is>
      </ns0:c>
      <ns0:c r="H9" s="5" t="inlineStr">
        <ns0:is>
          <ns0:t>固定实物／规格待绝对值</ns0:t>
        </ns0:is>
      </ns0:c>
      <ns0:c r="I9" s="5" t="inlineStr">
        <ns0:is>
          <ns0:t>数量／价格／库存／资格待配</ns0:t>
        </ns0:is>
      </ns0:c>
      <ns0:c r="J9" s="5" t="inlineStr">
        <ns0:is>
          <ns0:t>凡人阶段内逐步接触九器型为建议；不等于都已可买。</ns0:t>
        </ns0:is>
      </ns0:c>
      <ns0:c r="K9" s="5" t="inlineStr">
        <ns0:is>
          <ns0:t>投放建议，非可执行记录</ns0:t>
        </ns0:is>
      </ns0:c>
      <ns0:c r="L9" s="5" t="inlineStr">
        <ns0:is>
          <ns0:t>A；07 D11／R05／Q05</ns0:t>
        </ns0:is>
      </ns0:c>
    </ns0:row>
    <ns0:row r="10" ht="30" customHeight="1">
      <ns0:c r="A10" s="4" t="inlineStr">
        <ns0:is>
          <ns0:t>t01.acquisition.plan.005</ns0:t>
        </ns0:is>
      </ns0:c>
      <ns0:c r="B10" s="4" t="inlineStr">
        <ns0:is>
          <ns0:t>t01.asset.0005</ns0:t>
        </ns0:is>
      </ns0:c>
      <ns0:c r="C10" s="4" t="inlineStr">
        <ns0:is>
          <ns0:t>匕首</ns0:t>
        </ns0:is>
      </ns0:c>
      <ns0:c r="D10" s="4" t="inlineStr">
        <ns0:is>
          <ns0:t>SHOP</ns0:t>
        </ns0:is>
      </ns0:c>
      <ns0:c r="E10" s="4" t="inlineStr">
        <ns0:is>
          <ns0:t>青石镇商铺</ns0:t>
        </ns0:is>
      </ns0:c>
      <ns0:c r="F10" s="4" t="inlineStr">
        <ns0:is>
          <ns0:t>PURCHASE</ns0:t>
        </ns0:is>
      </ns0:c>
      <ns0:c r="G10" s="4" t="inlineStr">
        <ns0:is>
          <ns0:t>DIRECT</ns0:t>
        </ns0:is>
      </ns0:c>
      <ns0:c r="H10" s="4" t="inlineStr">
        <ns0:is>
          <ns0:t>固定实物／规格待绝对值</ns0:t>
        </ns0:is>
      </ns0:c>
      <ns0:c r="I10" s="4" t="inlineStr">
        <ns0:is>
          <ns0:t>数量／价格／库存／资格待配</ns0:t>
        </ns0:is>
      </ns0:c>
      <ns0:c r="J10" s="4" t="inlineStr">
        <ns0:is>
          <ns0:t>凡人阶段内逐步接触九器型为建议；不等于都已可买。</ns0:t>
        </ns0:is>
      </ns0:c>
      <ns0:c r="K10" s="4" t="inlineStr">
        <ns0:is>
          <ns0:t>投放建议，非可执行记录</ns0:t>
        </ns0:is>
      </ns0:c>
      <ns0:c r="L10" s="4" t="inlineStr">
        <ns0:is>
          <ns0:t>A；07 D11／R05／Q05</ns0:t>
        </ns0:is>
      </ns0:c>
    </ns0:row>
    <ns0:row r="11" ht="30" customHeight="1">
      <ns0:c r="A11" s="5" t="inlineStr">
        <ns0:is>
          <ns0:t>t01.acquisition.plan.006</ns0:t>
        </ns0:is>
      </ns0:c>
      <ns0:c r="B11" s="5" t="inlineStr">
        <ns0:is>
          <ns0:t>t01.asset.0006</ns0:t>
        </ns0:is>
      </ns0:c>
      <ns0:c r="C11" s="5" t="inlineStr">
        <ns0:is>
          <ns0:t>长枪</ns0:t>
        </ns0:is>
      </ns0:c>
      <ns0:c r="D11" s="5" t="inlineStr">
        <ns0:is>
          <ns0:t>SHOP</ns0:t>
        </ns0:is>
      </ns0:c>
      <ns0:c r="E11" s="5" t="inlineStr">
        <ns0:is>
          <ns0:t>青石镇铁匠铺</ns0:t>
        </ns0:is>
      </ns0:c>
      <ns0:c r="F11" s="5" t="inlineStr">
        <ns0:is>
          <ns0:t>PURCHASE</ns0:t>
        </ns0:is>
      </ns0:c>
      <ns0:c r="G11" s="5" t="inlineStr">
        <ns0:is>
          <ns0:t>DIRECT</ns0:t>
        </ns0:is>
      </ns0:c>
      <ns0:c r="H11" s="5" t="inlineStr">
        <ns0:is>
          <ns0:t>固定实物／规格待绝对值</ns0:t>
        </ns0:is>
      </ns0:c>
      <ns0:c r="I11" s="5" t="inlineStr">
        <ns0:is>
          <ns0:t>数量／价格／库存／资格待配</ns0:t>
        </ns0:is>
      </ns0:c>
      <ns0:c r="J11" s="5" t="inlineStr">
        <ns0:is>
          <ns0:t>凡人阶段内逐步接触九器型为建议；不等于都已可买。</ns0:t>
        </ns0:is>
      </ns0:c>
      <ns0:c r="K11" s="5" t="inlineStr">
        <ns0:is>
          <ns0:t>投放建议，非可执行记录</ns0:t>
        </ns0:is>
      </ns0:c>
      <ns0:c r="L11" s="5" t="inlineStr">
        <ns0:is>
          <ns0:t>A；07 D11／R05／Q05</ns0:t>
        </ns0:is>
      </ns0:c>
    </ns0:row>
    <ns0:row r="12" ht="30" customHeight="1">
      <ns0:c r="A12" s="4" t="inlineStr">
        <ns0:is>
          <ns0:t>t01.acquisition.plan.007</ns0:t>
        </ns0:is>
      </ns0:c>
      <ns0:c r="B12" s="4" t="inlineStr">
        <ns0:is>
          <ns0:t>t01.asset.0007</ns0:t>
        </ns0:is>
      </ns0:c>
      <ns0:c r="C12" s="4" t="inlineStr">
        <ns0:is>
          <ns0:t>短柄铁锤</ns0:t>
        </ns0:is>
      </ns0:c>
      <ns0:c r="D12" s="4" t="inlineStr">
        <ns0:is>
          <ns0:t>SHOP</ns0:t>
        </ns0:is>
      </ns0:c>
      <ns0:c r="E12" s="4" t="inlineStr">
        <ns0:is>
          <ns0:t>青石镇铁匠铺</ns0:t>
        </ns0:is>
      </ns0:c>
      <ns0:c r="F12" s="4" t="inlineStr">
        <ns0:is>
          <ns0:t>PURCHASE</ns0:t>
        </ns0:is>
      </ns0:c>
      <ns0:c r="G12" s="4" t="inlineStr">
        <ns0:is>
          <ns0:t>DIRECT</ns0:t>
        </ns0:is>
      </ns0:c>
      <ns0:c r="H12" s="4" t="inlineStr">
        <ns0:is>
          <ns0:t>固定实物／规格待绝对值</ns0:t>
        </ns0:is>
      </ns0:c>
      <ns0:c r="I12" s="4" t="inlineStr">
        <ns0:is>
          <ns0:t>数量／价格／库存／资格待配</ns0:t>
        </ns0:is>
      </ns0:c>
      <ns0:c r="J12" s="4" t="inlineStr">
        <ns0:is>
          <ns0:t>凡人阶段内逐步接触九器型为建议；不等于都已可买。</ns0:t>
        </ns0:is>
      </ns0:c>
      <ns0:c r="K12" s="4" t="inlineStr">
        <ns0:is>
          <ns0:t>投放建议，非可执行记录</ns0:t>
        </ns0:is>
      </ns0:c>
      <ns0:c r="L12" s="4" t="inlineStr">
        <ns0:is>
          <ns0:t>A；07 D11／R05／Q05</ns0:t>
        </ns0:is>
      </ns0:c>
    </ns0:row>
    <ns0:row r="13" ht="30" customHeight="1">
      <ns0:c r="A13" s="5" t="inlineStr">
        <ns0:is>
          <ns0:t>t01.acquisition.plan.008</ns0:t>
        </ns0:is>
      </ns0:c>
      <ns0:c r="B13" s="5" t="inlineStr">
        <ns0:is>
          <ns0:t>t01.asset.0008</ns0:t>
        </ns0:is>
      </ns0:c>
      <ns0:c r="C13" s="5" t="inlineStr">
        <ns0:is>
          <ns0:t>石印</ns0:t>
        </ns0:is>
      </ns0:c>
      <ns0:c r="D13" s="5" t="inlineStr">
        <ns0:is>
          <ns0:t>SHOP</ns0:t>
        </ns0:is>
      </ns0:c>
      <ns0:c r="E13" s="5" t="inlineStr">
        <ns0:is>
          <ns0:t>青石镇商铺</ns0:t>
        </ns0:is>
      </ns0:c>
      <ns0:c r="F13" s="5" t="inlineStr">
        <ns0:is>
          <ns0:t>PURCHASE</ns0:t>
        </ns0:is>
      </ns0:c>
      <ns0:c r="G13" s="5" t="inlineStr">
        <ns0:is>
          <ns0:t>DIRECT</ns0:t>
        </ns0:is>
      </ns0:c>
      <ns0:c r="H13" s="5" t="inlineStr">
        <ns0:is>
          <ns0:t>固定实物／规格待绝对值</ns0:t>
        </ns0:is>
      </ns0:c>
      <ns0:c r="I13" s="5" t="inlineStr">
        <ns0:is>
          <ns0:t>数量／价格／库存／资格待配</ns0:t>
        </ns0:is>
      </ns0:c>
      <ns0:c r="J13" s="5" t="inlineStr">
        <ns0:is>
          <ns0:t>凡人阶段内逐步接触九器型为建议；不等于都已可买。</ns0:t>
        </ns0:is>
      </ns0:c>
      <ns0:c r="K13" s="5" t="inlineStr">
        <ns0:is>
          <ns0:t>投放建议，非可执行记录</ns0:t>
        </ns0:is>
      </ns0:c>
      <ns0:c r="L13" s="5" t="inlineStr">
        <ns0:is>
          <ns0:t>A；07 D11／R05／Q05</ns0:t>
        </ns0:is>
      </ns0:c>
    </ns0:row>
    <ns0:row r="14" ht="30" customHeight="1">
      <ns0:c r="A14" s="4" t="inlineStr">
        <ns0:is>
          <ns0:t>t01.acquisition.plan.009</ns0:t>
        </ns0:is>
      </ns0:c>
      <ns0:c r="B14" s="4" t="inlineStr">
        <ns0:is>
          <ns0:t>t01.asset.0009</ns0:t>
        </ns0:is>
      </ns0:c>
      <ns0:c r="C14" s="4" t="inlineStr">
        <ns0:is>
          <ns0:t>皮鞭</ns0:t>
        </ns0:is>
      </ns0:c>
      <ns0:c r="D14" s="4" t="inlineStr">
        <ns0:is>
          <ns0:t>SHOP</ns0:t>
        </ns0:is>
      </ns0:c>
      <ns0:c r="E14" s="4" t="inlineStr">
        <ns0:is>
          <ns0:t>青石镇商铺</ns0:t>
        </ns0:is>
      </ns0:c>
      <ns0:c r="F14" s="4" t="inlineStr">
        <ns0:is>
          <ns0:t>PURCHASE</ns0:t>
        </ns0:is>
      </ns0:c>
      <ns0:c r="G14" s="4" t="inlineStr">
        <ns0:is>
          <ns0:t>DIRECT</ns0:t>
        </ns0:is>
      </ns0:c>
      <ns0:c r="H14" s="4" t="inlineStr">
        <ns0:is>
          <ns0:t>固定实物／规格待绝对值</ns0:t>
        </ns0:is>
      </ns0:c>
      <ns0:c r="I14" s="4" t="inlineStr">
        <ns0:is>
          <ns0:t>数量／价格／库存／资格待配</ns0:t>
        </ns0:is>
      </ns0:c>
      <ns0:c r="J14" s="4" t="inlineStr">
        <ns0:is>
          <ns0:t>凡人阶段内逐步接触九器型为建议；不等于都已可买。</ns0:t>
        </ns0:is>
      </ns0:c>
      <ns0:c r="K14" s="4" t="inlineStr">
        <ns0:is>
          <ns0:t>投放建议，非可执行记录</ns0:t>
        </ns0:is>
      </ns0:c>
      <ns0:c r="L14" s="4" t="inlineStr">
        <ns0:is>
          <ns0:t>A；07 D11／R05／Q05</ns0:t>
        </ns0:is>
      </ns0:c>
    </ns0:row>
    <ns0:row r="15" ht="30" customHeight="1">
      <ns0:c r="A15" s="5" t="inlineStr">
        <ns0:is>
          <ns0:t>t01.acquisition.plan.010</ns0:t>
        </ns0:is>
      </ns0:c>
      <ns0:c r="B15" s="5" t="inlineStr">
        <ns0:is>
          <ns0:t>来源入口</ns0:t>
        </ns0:is>
      </ns0:c>
      <ns0:c r="C15" s="5" t="inlineStr">
        <ns0:is>
          <ns0:t>青石镇商铺</ns0:t>
        </ns0:is>
      </ns0:c>
      <ns0:c r="D15" s="5" t="inlineStr">
        <ns0:is>
          <ns0:t>任务／剧情待配</ns0:t>
        </ns0:is>
      </ns0:c>
      <ns0:c r="E15" s="5" t="inlineStr">
        <ns0:is>
          <ns0:t>救下商人条件待定义</ns0:t>
        </ns0:is>
      </ns0:c>
      <ns0:c r="F15" s="5" t="inlineStr">
        <ns0:is>
          <ns0:t>来源开放</ns0:t>
        </ns0:is>
      </ns0:c>
      <ns0:c r="G15" s="5" t="inlineStr">
        <ns0:is>
          <ns0:t>SOURCE_UNLOCK</ns0:t>
        </ns0:is>
      </ns0:c>
      <ns0:c r="H15" s="5" t="inlineStr">
        <ns0:is>
          <ns0:t>商铺入口及开放状态</ns0:t>
        </ns0:is>
      </ns0:c>
      <ns0:c r="I15" s="5" t="inlineStr">
        <ns0:is>
          <ns0:t>不适用实物数量；具体任务／入口ID待配</ns0:t>
        </ns0:is>
      </ns0:c>
      <ns0:c r="J15" s="5" t="inlineStr">
        <ns0:is>
          <ns0:t>仅建议，不从正文自行创建剧情。</ns0:t>
        </ns0:is>
      </ns0:c>
      <ns0:c r="K15" s="5" t="inlineStr">
        <ns0:is>
          <ns0:t>投放建议，非可执行记录</ns0:t>
        </ns0:is>
      </ns0:c>
      <ns0:c r="L15" s="5" t="inlineStr">
        <ns0:is>
          <ns0:t>A；07 D13</ns0:t>
        </ns0:is>
      </ns0:c>
    </ns0:row>
  </ns0:sheetData>
  <ns0:mergeCells count="2">
    <ns0:mergeCell ref="A2:L2"/>
    <ns0:mergeCell ref="A1:L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O15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49" customWidth="1" min="3" max="3"/>
    <ns0:col width="16" customWidth="1" min="4" max="4"/>
    <ns0:col width="16" customWidth="1" min="5" max="5"/>
    <ns0:col width="17" customWidth="1" min="6" max="6"/>
    <ns0:col width="15" customWidth="1" min="7" max="7"/>
    <ns0:col width="15" customWidth="1" min="8" max="8"/>
    <ns0:col width="20" customWidth="1" min="9" max="9"/>
    <ns0:col width="17" customWidth="1" min="10" max="10"/>
    <ns0:col width="15" customWidth="1" min="11" max="11"/>
    <ns0:col width="94" customWidth="1" min="12" max="12"/>
    <ns0:col width="83" customWidth="1" min="13" max="13"/>
    <ns0:col width="41" customWidth="1" min="14" max="14"/>
    <ns0:col width="43" customWidth="1" min="15" max="15"/>
  </ns0:cols>
  <ns0:sheetData>
    <ns0:row r="1" ht="32" customHeight="1">
      <ns0:c r="A1" s="1" t="inlineStr">
        <ns0:is>
          <ns0:t>t01-08｜现有配置与迁移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现有游戏ID</ns0:t>
        </ns0:is>
      </ns0:c>
      <ns0:c r="D5" s="3" t="inlineStr">
        <ns0:is>
          <ns0:t>现配置品级</ns0:t>
        </ns0:is>
      </ns0:c>
      <ns0:c r="E5" s="3" t="inlineStr">
        <ns0:is>
          <ns0:t>主表品级</ns0:t>
        </ns0:is>
      </ns0:c>
      <ns0:c r="F5" s="3" t="inlineStr">
        <ns0:is>
          <ns0:t>现基础伤害</ns0:t>
        </ns0:is>
      </ns0:c>
      <ns0:c r="G5" s="3" t="inlineStr">
        <ns0:is>
          <ns0:t>现CD_秒</ns0:t>
        </ns0:is>
      </ns0:c>
      <ns0:c r="H5" s="3" t="inlineStr">
        <ns0:is>
          <ns0:t>现体力费</ns0:t>
        </ns0:is>
      </ns0:c>
      <ns0:c r="I5" s="3" t="inlineStr">
        <ns0:is>
          <ns0:t>现甲型字段</ns0:t>
        </ns0:is>
      </ns0:c>
      <ns0:c r="J5" s="3" t="inlineStr">
        <ns0:is>
          <ns0:t>现上限贡献</ns0:t>
        </ns0:is>
      </ns0:c>
      <ns0:c r="K5" s="3" t="inlineStr">
        <ns0:is>
          <ns0:t>现回甲</ns0:t>
        </ns0:is>
      </ns0:c>
      <ns0:c r="L5" s="3" t="inlineStr">
        <ns0:is>
          <ns0:t>现effects原值</ns0:t>
        </ns0:is>
      </ns0:c>
      <ns0:c r="M5" s="3" t="inlineStr">
        <ns0:is>
          <ns0:t>差异与迁移范围</ns0:t>
        </ns0:is>
      </ns0:c>
      <ns0:c r="N5" s="3" t="inlineStr">
        <ns0:is>
          <ns0:t>验证性质</ns0:t>
        </ns0:is>
      </ns0:c>
      <ns0:c r="O5" s="3" t="inlineStr">
        <ns0:is>
          <ns0:t>证据</ns0:t>
        </ns0:is>
      </ns0:c>
    </ns0:row>
    <ns0:row r="6" ht="40" customHeight="1">
      <ns0:c r="A6" s="4" t="inlineStr">
        <ns0:is>
          <ns0:t>t01.asset.0001</ns0:t>
        </ns0:is>
      </ns0:c>
      <ns0:c r="B6" s="4" t="inlineStr">
        <ns0:is>
          <ns0:t>青石短剑</ns0:t>
        </ns0:is>
      </ns0:c>
      <ns0:c r="C6" s="4" t="inlineStr">
        <ns0:is>
          <ns0:t>base.map_item.qingshi_short_sword</ns0:t>
        </ns0:is>
      </ns0:c>
      <ns0:c r="D6" s="4" t="inlineStr">
        <ns0:is>
          <ns0:t>下品</ns0:t>
        </ns0:is>
      </ns0:c>
      <ns0:c r="E6" s="4" t="inlineStr">
        <ns0:is>
          <ns0:t>下品</ns0:t>
        </ns0:is>
      </ns0:c>
      <ns0:c r="F6" s="4" t="n">
        <ns0:v>7</ns0:v>
      </ns0:c>
      <ns0:c r="G6" s="11" t="n">
        <ns0:v>3.5</ns0:v>
      </ns0:c>
      <ns0:c r="H6" s="4" t="n">
        <ns0:v>3</ns0:v>
      </ns0:c>
      <ns0:c r="I6" s="4" t="inlineStr">
        <ns0:is>
          <ns0:t>未声明</ns0:t>
        </ns0:is>
      </ns0:c>
      <ns0:c r="J6" s="4" t="n"/>
      <ns0:c r="K6" s="4" t="n"/>
      <ns0:c r="L6" s="4" t="inlineStr">
        <ns0:is>
          <ns0:t>[]</ns0:t>
        </ns0:is>
      </ns0:c>
      <ns0:c r="M6" s="4" t="inlineStr">
        <ns0:is>
          <ns0:t>主表与现配置均为下品，无品级迁移需求。已有绝对数值仅参考；本批仍以相对档位为设计输入。</ns0:t>
        </ns0:is>
      </ns0:c>
      <ns0:c r="N6" s="4" t="inlineStr">
        <ns0:is>
          <ns0:t>本轮只读配置；未运行游戏</ns0:t>
        </ns0:is>
      </ns0:c>
      <ns0:c r="O6" s="4" t="inlineStr">
        <ns0:is>
          <ns0:t>data/maps/inventory_items.json</ns0:t>
        </ns0:is>
      </ns0:c>
    </ns0:row>
    <ns0:row r="7" ht="40" customHeight="1">
      <ns0:c r="A7" s="5" t="inlineStr">
        <ns0:is>
          <ns0:t>t01.asset.0004</ns0:t>
        </ns0:is>
      </ns0:c>
      <ns0:c r="B7" s="5" t="inlineStr">
        <ns0:is>
          <ns0:t>猎弓</ns0:t>
        </ns0:is>
      </ns0:c>
      <ns0:c r="C7" s="5" t="inlineStr">
        <ns0:is>
          <ns0:t>base.map_item.hunting_bow</ns0:t>
        </ns0:is>
      </ns0:c>
      <ns0:c r="D7" s="5" t="inlineStr">
        <ns0:is>
          <ns0:t>下品</ns0:t>
        </ns0:is>
      </ns0:c>
      <ns0:c r="E7" s="5" t="inlineStr">
        <ns0:is>
          <ns0:t>下品</ns0:t>
        </ns0:is>
      </ns0:c>
      <ns0:c r="F7" s="5" t="n">
        <ns0:v>9</ns0:v>
      </ns0:c>
      <ns0:c r="G7" s="12" t="n">
        <ns0:v>4.5</ns0:v>
      </ns0:c>
      <ns0:c r="H7" s="5" t="n">
        <ns0:v>5</ns0:v>
      </ns0:c>
      <ns0:c r="I7" s="5" t="inlineStr">
        <ns0:is>
          <ns0:t>未声明</ns0:t>
        </ns0:is>
      </ns0:c>
      <ns0:c r="J7" s="5" t="n"/>
      <ns0:c r="K7" s="5" t="n"/>
      <ns0:c r="L7" s="5" t="inlineStr">
        <ns0:is>
          <ns0:t>[]</ns0:t>
        </ns0:is>
      </ns0:c>
      <ns0:c r="M7" s="5" t="inlineStr">
        <ns0:is>
          <ns0:t>主表与现配置均为下品，无品级迁移需求。已有绝对数值仅参考；本批仍以相对档位为设计输入。</ns0:t>
        </ns0:is>
      </ns0:c>
      <ns0:c r="N7" s="5" t="inlineStr">
        <ns0:is>
          <ns0:t>本轮只读配置；未运行游戏</ns0:t>
        </ns0:is>
      </ns0:c>
      <ns0:c r="O7" s="5" t="inlineStr">
        <ns0:is>
          <ns0:t>data/maps/inventory_items.json</ns0:t>
        </ns0:is>
      </ns0:c>
    </ns0:row>
    <ns0:row r="8" ht="40" customHeight="1">
      <ns0:c r="A8" s="4" t="inlineStr">
        <ns0:is>
          <ns0:t>t01.asset.0007</ns0:t>
        </ns0:is>
      </ns0:c>
      <ns0:c r="B8" s="4" t="inlineStr">
        <ns0:is>
          <ns0:t>短柄铁锤</ns0:t>
        </ns0:is>
      </ns0:c>
      <ns0:c r="C8" s="4" t="inlineStr">
        <ns0:is>
          <ns0:t>base.map_item.short_iron_hammer</ns0:t>
        </ns0:is>
      </ns0:c>
      <ns0:c r="D8" s="4" t="inlineStr">
        <ns0:is>
          <ns0:t>下品</ns0:t>
        </ns0:is>
      </ns0:c>
      <ns0:c r="E8" s="4" t="inlineStr">
        <ns0:is>
          <ns0:t>下品</ns0:t>
        </ns0:is>
      </ns0:c>
      <ns0:c r="F8" s="4" t="n">
        <ns0:v>8</ns0:v>
      </ns0:c>
      <ns0:c r="G8" s="11" t="n">
        <ns0:v>4</ns0:v>
      </ns0:c>
      <ns0:c r="H8" s="4" t="n">
        <ns0:v>4</ns0:v>
      </ns0:c>
      <ns0:c r="I8" s="4" t="inlineStr">
        <ns0:is>
          <ns0:t>未声明</ns0:t>
        </ns0:is>
      </ns0:c>
      <ns0:c r="J8" s="4" t="n"/>
      <ns0:c r="K8" s="4" t="n"/>
      <ns0:c r="L8" s="4" t="inlineStr">
        <ns0:is>
          <ns0:t>[]</ns0:t>
        </ns0:is>
      </ns0:c>
      <ns0:c r="M8" s="4" t="inlineStr">
        <ns0:is>
          <ns0:t>主表与现配置均为下品，无品级迁移需求。已有绝对数值仅参考；本批仍以相对档位为设计输入。</ns0:t>
        </ns0:is>
      </ns0:c>
      <ns0:c r="N8" s="4" t="inlineStr">
        <ns0:is>
          <ns0:t>本轮只读配置；未运行游戏</ns0:t>
        </ns0:is>
      </ns0:c>
      <ns0:c r="O8" s="4" t="inlineStr">
        <ns0:is>
          <ns0:t>data/maps/inventory_items.json</ns0:t>
        </ns0:is>
      </ns0:c>
    </ns0:row>
    <ns0:row r="9" ht="30" customHeight="1">
      <ns0:c r="A9" s="5" t="inlineStr">
        <ns0:is>
          <ns0:t>t01.asset.0010</ns0:t>
        </ns0:is>
      </ns0:c>
      <ns0:c r="B9" s="5" t="inlineStr">
        <ns0:is>
          <ns0:t>粗布甲</ns0:t>
        </ns0:is>
      </ns0:c>
      <ns0:c r="C9" s="5" t="inlineStr">
        <ns0:is>
          <ns0:t>base.map_item.coarse_cloth_armor</ns0:t>
        </ns0:is>
      </ns0:c>
      <ns0:c r="D9" s="5" t="inlineStr">
        <ns0:is>
          <ns0:t>下品</ns0:t>
        </ns0:is>
      </ns0:c>
      <ns0:c r="E9" s="5" t="inlineStr">
        <ns0:is>
          <ns0:t>下品</ns0:t>
        </ns0:is>
      </ns0:c>
      <ns0:c r="F9" s="5" t="n"/>
      <ns0:c r="G9" s="12" t="n">
        <ns0:v>4</ns0:v>
      </ns0:c>
      <ns0:c r="H9" s="5" t="n"/>
      <ns0:c r="I9" s="5" t="inlineStr">
        <ns0:is>
          <ns0:t>轻甲</ns0:t>
        </ns0:is>
      </ns0:c>
      <ns0:c r="J9" s="5" t="n">
        <ns0:v>7</ns0:v>
      </ns0:c>
      <ns0:c r="K9" s="5" t="n">
        <ns0:v>3</ns0:v>
      </ns0:c>
      <ns0:c r="L9" s="5" t="inlineStr">
        <ns0:is>
          <ns0:t>[]</ns0:t>
        </ns0:is>
      </ns0:c>
      <ns0:c r="M9" s="5" t="inlineStr">
        <ns0:is>
          <ns0:t>主表与现配置均为下品，无品级迁移需求。</ns0:t>
        </ns0:is>
      </ns0:c>
      <ns0:c r="N9" s="5" t="inlineStr">
        <ns0:is>
          <ns0:t>本轮只读配置；未运行游戏</ns0:t>
        </ns0:is>
      </ns0:c>
      <ns0:c r="O9" s="5" t="inlineStr">
        <ns0:is>
          <ns0:t>data/maps/inventory_items.json</ns0:t>
        </ns0:is>
      </ns0:c>
    </ns0:row>
    <ns0:row r="10" ht="30" customHeight="1">
      <ns0:c r="A10" s="4" t="inlineStr">
        <ns0:is>
          <ns0:t>t01.asset.0012</ns0:t>
        </ns0:is>
      </ns0:c>
      <ns0:c r="B10" s="4" t="inlineStr">
        <ns0:is>
          <ns0:t>旧铁盔</ns0:t>
        </ns0:is>
      </ns0:c>
      <ns0:c r="C10" s="4" t="inlineStr">
        <ns0:is>
          <ns0:t>base.map_item.old_iron_helmet</ns0:t>
        </ns0:is>
      </ns0:c>
      <ns0:c r="D10" s="4" t="inlineStr">
        <ns0:is>
          <ns0:t>下品</ns0:t>
        </ns0:is>
      </ns0:c>
      <ns0:c r="E10" s="4" t="inlineStr">
        <ns0:is>
          <ns0:t>下品</ns0:t>
        </ns0:is>
      </ns0:c>
      <ns0:c r="F10" s="4" t="n"/>
      <ns0:c r="G10" s="11" t="n">
        <ns0:v>5</ns0:v>
      </ns0:c>
      <ns0:c r="H10" s="4" t="n"/>
      <ns0:c r="I10" s="4" t="inlineStr">
        <ns0:is>
          <ns0:t>未声明</ns0:t>
        </ns0:is>
      </ns0:c>
      <ns0:c r="J10" s="4" t="n">
        <ns0:v>2</ns0:v>
      </ns0:c>
      <ns0:c r="K10" s="4" t="n">
        <ns0:v>1</ns0:v>
      </ns0:c>
      <ns0:c r="L10" s="4" t="inlineStr">
        <ns0:is>
          <ns0:t>[]</ns0:t>
        </ns0:is>
      </ns0:c>
      <ns0:c r="M10" s="4" t="inlineStr">
        <ns0:is>
          <ns0:t>主表与现配置均为下品，无品级迁移需求。现配置未声明armor_type；本批明确重甲。</ns0:t>
        </ns0:is>
      </ns0:c>
      <ns0:c r="N10" s="4" t="inlineStr">
        <ns0:is>
          <ns0:t>本轮只读配置；未运行游戏</ns0:t>
        </ns0:is>
      </ns0:c>
      <ns0:c r="O10" s="4" t="inlineStr">
        <ns0:is>
          <ns0:t>data/maps/inventory_items.json</ns0:t>
        </ns0:is>
      </ns0:c>
    </ns0:row>
    <ns0:row r="11" ht="30" customHeight="1">
      <ns0:c r="A11" s="5" t="inlineStr">
        <ns0:is>
          <ns0:t>t01.asset.0013</ns0:t>
        </ns0:is>
      </ns0:c>
      <ns0:c r="B11" s="5" t="inlineStr">
        <ns0:is>
          <ns0:t>木圆盾</ns0:t>
        </ns0:is>
      </ns0:c>
      <ns0:c r="C11" s="5" t="inlineStr">
        <ns0:is>
          <ns0:t>base.map_item.round_wood_shield</ns0:t>
        </ns0:is>
      </ns0:c>
      <ns0:c r="D11" s="5" t="inlineStr">
        <ns0:is>
          <ns0:t>下品</ns0:t>
        </ns0:is>
      </ns0:c>
      <ns0:c r="E11" s="5" t="inlineStr">
        <ns0:is>
          <ns0:t>下品</ns0:t>
        </ns0:is>
      </ns0:c>
      <ns0:c r="F11" s="5" t="n"/>
      <ns0:c r="G11" s="12" t="n">
        <ns0:v>5</ns0:v>
      </ns0:c>
      <ns0:c r="H11" s="5" t="n"/>
      <ns0:c r="I11" s="5" t="inlineStr">
        <ns0:is>
          <ns0:t>未声明</ns0:t>
        </ns0:is>
      </ns0:c>
      <ns0:c r="J11" s="5" t="n">
        <ns0:v>2</ns0:v>
      </ns0:c>
      <ns0:c r="K11" s="5" t="n">
        <ns0:v>3</ns0:v>
      </ns0:c>
      <ns0:c r="L11" s="5" t="inlineStr">
        <ns0:is>
          <ns0:t>[]</ns0:t>
        </ns0:is>
      </ns0:c>
      <ns0:c r="M11" s="5" t="inlineStr">
        <ns0:is>
          <ns0:t>主表与现配置均为下品，无品级迁移需求。现配置未声明armor_type；本批明确轻甲。</ns0:t>
        </ns0:is>
      </ns0:c>
      <ns0:c r="N11" s="5" t="inlineStr">
        <ns0:is>
          <ns0:t>本轮只读配置；未运行游戏</ns0:t>
        </ns0:is>
      </ns0:c>
      <ns0:c r="O11" s="5" t="inlineStr">
        <ns0:is>
          <ns0:t>data/maps/inventory_items.json</ns0:t>
        </ns0:is>
      </ns0:c>
    </ns0:row>
    <ns0:row r="12" ht="55" customHeight="1">
      <ns0:c r="A12" s="4" t="inlineStr">
        <ns0:is>
          <ns0:t>t01.asset.0018</ns0:t>
        </ns0:is>
      </ns0:c>
      <ns0:c r="B12" s="4" t="inlineStr">
        <ns0:is>
          <ns0:t>温玉佩</ns0:t>
        </ns0:is>
      </ns0:c>
      <ns0:c r="C12" s="4" t="inlineStr">
        <ns0:is>
          <ns0:t>base.map_item.warm_jade</ns0:t>
        </ns0:is>
      </ns0:c>
      <ns0:c r="D12" s="4" t="inlineStr">
        <ns0:is>
          <ns0:t>下品</ns0:t>
        </ns0:is>
      </ns0:c>
      <ns0:c r="E12" s="4" t="inlineStr">
        <ns0:is>
          <ns0:t>下品</ns0:t>
        </ns0:is>
      </ns0:c>
      <ns0:c r="F12" s="4" t="n"/>
      <ns0:c r="G12" s="11" t="n">
        <ns0:v>4</ns0:v>
      </ns0:c>
      <ns0:c r="H12" s="4" t="n"/>
      <ns0:c r="I12" s="4" t="inlineStr">
        <ns0:is>
          <ns0:t>未声明</ns0:t>
        </ns0:is>
      </ns0:c>
      <ns0:c r="J12" s="4" t="n"/>
      <ns0:c r="K12" s="4" t="n"/>
      <ns0:c r="L12" s="4" t="inlineStr">
        <ns0:is>
          <ns0:t>[{"cap_numerator": 2, "resource": "hp", "cap_denominator": 3, "effect": "restore_capped", "value": 4, "trigger": "on_activate"}, {"cap_numerator": 2, "resource": "stamina", "cap_denominator": 3, "effect": "restore_capped", "value": 6, "trigger": "on_activate"}]</ns0:t>
        </ns0:is>
      </ns0:c>
      <ns0:c r="M12" s="4" t="inlineStr">
        <ns0:is>
          <ns0:t>主表与现配置均为下品，无品级迁移需求。</ns0:t>
        </ns0:is>
      </ns0:c>
      <ns0:c r="N12" s="4" t="inlineStr">
        <ns0:is>
          <ns0:t>本轮只读配置；未运行游戏</ns0:t>
        </ns0:is>
      </ns0:c>
      <ns0:c r="O12" s="4" t="inlineStr">
        <ns0:is>
          <ns0:t>data/maps/inventory_items.json</ns0:t>
        </ns0:is>
      </ns0:c>
    </ns0:row>
    <ns0:row r="13" ht="40" customHeight="1">
      <ns0:c r="A13" s="5" t="inlineStr">
        <ns0:is>
          <ns0:t>t01.asset.0022</ns0:t>
        </ns0:is>
      </ns0:c>
      <ns0:c r="B13" s="5" t="inlineStr">
        <ns0:is>
          <ns0:t>止血丹</ns0:t>
        </ns0:is>
      </ns0:c>
      <ns0:c r="C13" s="5" t="inlineStr">
        <ns0:is>
          <ns0:t>base.map_item.hemostatic_pill</ns0:t>
        </ns0:is>
      </ns0:c>
      <ns0:c r="D13" s="5" t="inlineStr">
        <ns0:is>
          <ns0:t>下品</ns0:t>
        </ns0:is>
      </ns0:c>
      <ns0:c r="E13" s="5" t="inlineStr">
        <ns0:is>
          <ns0:t>下品</ns0:t>
        </ns0:is>
      </ns0:c>
      <ns0:c r="F13" s="5" t="n"/>
      <ns0:c r="G13" s="12" t="n">
        <ns0:v>6.5</ns0:v>
      </ns0:c>
      <ns0:c r="H13" s="5" t="n"/>
      <ns0:c r="I13" s="5" t="inlineStr">
        <ns0:is>
          <ns0:t>未声明</ns0:t>
        </ns0:is>
      </ns0:c>
      <ns0:c r="J13" s="5" t="n"/>
      <ns0:c r="K13" s="5" t="n"/>
      <ns0:c r="L13" s="5" t="inlineStr">
        <ns0:is>
          <ns0:t>[{"resource": "hp", "interval": 2.0, "effect": "restore_ticks", "value": 2, "ticks": 3, "trigger": "on_activate"}]</ns0:t>
        </ns0:is>
      </ns0:c>
      <ns0:c r="M13" s="5" t="inlineStr">
        <ns0:is>
          <ns0:t>主表与现配置均为下品，无品级迁移需求。</ns0:t>
        </ns0:is>
      </ns0:c>
      <ns0:c r="N13" s="5" t="inlineStr">
        <ns0:is>
          <ns0:t>本轮只读配置；未运行游戏</ns0:t>
        </ns0:is>
      </ns0:c>
      <ns0:c r="O13" s="5" t="inlineStr">
        <ns0:is>
          <ns0:t>data/maps/inventory_items.json</ns0:t>
        </ns0:is>
      </ns0:c>
    </ns0:row>
    <ns0:row r="14" ht="40" customHeight="1">
      <ns0:c r="A14" s="4" t="inlineStr">
        <ns0:is>
          <ns0:t>t01.asset.0023</ns0:t>
        </ns0:is>
      </ns0:c>
      <ns0:c r="B14" s="4" t="inlineStr">
        <ns0:is>
          <ns0:t>强筋丸</ns0:t>
        </ns0:is>
      </ns0:c>
      <ns0:c r="C14" s="4" t="inlineStr">
        <ns0:is>
          <ns0:t>base.map_item.sinew_pill</ns0:t>
        </ns0:is>
      </ns0:c>
      <ns0:c r="D14" s="4" t="inlineStr">
        <ns0:is>
          <ns0:t>下品</ns0:t>
        </ns0:is>
      </ns0:c>
      <ns0:c r="E14" s="4" t="inlineStr">
        <ns0:is>
          <ns0:t>下品</ns0:t>
        </ns0:is>
      </ns0:c>
      <ns0:c r="F14" s="4" t="n"/>
      <ns0:c r="G14" s="11" t="n">
        <ns0:v>7.5</ns0:v>
      </ns0:c>
      <ns0:c r="H14" s="4" t="n"/>
      <ns0:c r="I14" s="4" t="inlineStr">
        <ns0:is>
          <ns0:t>未声明</ns0:t>
        </ns0:is>
      </ns0:c>
      <ns0:c r="J14" s="4" t="n"/>
      <ns0:c r="K14" s="4" t="n"/>
      <ns0:c r="L14" s="4" t="inlineStr">
        <ns0:is>
          <ns0:t>[{"resource": "stamina", "interval": 2.0, "effect": "restore_ticks", "value": 4, "ticks": 3, "trigger": "on_activate"}]</ns0:t>
        </ns0:is>
      </ns0:c>
      <ns0:c r="M14" s="4" t="inlineStr">
        <ns0:is>
          <ns0:t>主表与现配置均为下品，无品级迁移需求。</ns0:t>
        </ns0:is>
      </ns0:c>
      <ns0:c r="N14" s="4" t="inlineStr">
        <ns0:is>
          <ns0:t>本轮只读配置；未运行游戏</ns0:t>
        </ns0:is>
      </ns0:c>
      <ns0:c r="O14" s="4" t="inlineStr">
        <ns0:is>
          <ns0:t>data/maps/inventory_items.json</ns0:t>
        </ns0:is>
      </ns0:c>
    </ns0:row>
    <ns0:row r="15" ht="30" customHeight="1">
      <ns0:c r="A15" s="5" t="inlineStr">
        <ns0:is>
          <ns0:t>t01.asset.0024</ns0:t>
        </ns0:is>
      </ns0:c>
      <ns0:c r="B15" s="5" t="inlineStr">
        <ns0:is>
          <ns0:t>消毒散</ns0:t>
        </ns0:is>
      </ns0:c>
      <ns0:c r="C15" s="5" t="inlineStr">
        <ns0:is>
          <ns0:t>base.map_item.detox_powder</ns0:t>
        </ns0:is>
      </ns0:c>
      <ns0:c r="D15" s="5" t="inlineStr">
        <ns0:is>
          <ns0:t>下品</ns0:t>
        </ns0:is>
      </ns0:c>
      <ns0:c r="E15" s="5" t="inlineStr">
        <ns0:is>
          <ns0:t>下品</ns0:t>
        </ns0:is>
      </ns0:c>
      <ns0:c r="F15" s="5" t="n"/>
      <ns0:c r="G15" s="12" t="n">
        <ns0:v>5.5</ns0:v>
      </ns0:c>
      <ns0:c r="H15" s="5" t="n"/>
      <ns0:c r="I15" s="5" t="inlineStr">
        <ns0:is>
          <ns0:t>未声明</ns0:t>
        </ns0:is>
      </ns0:c>
      <ns0:c r="J15" s="5" t="n"/>
      <ns0:c r="K15" s="5" t="n"/>
      <ns0:c r="L15" s="5" t="inlineStr">
        <ns0:is>
          <ns0:t>[{"effect": "cleanse_toxin", "duration": 15, "trigger": "on_activate"}]</ns0:t>
        </ns0:is>
      </ns0:c>
      <ns0:c r="M15" s="5" t="inlineStr">
        <ns0:is>
          <ns0:t>主表与现配置均为下品，无品级迁移需求。</ns0:t>
        </ns0:is>
      </ns0:c>
      <ns0:c r="N15" s="5" t="inlineStr">
        <ns0:is>
          <ns0:t>本轮只读配置；未运行游戏</ns0:t>
        </ns0:is>
      </ns0:c>
      <ns0:c r="O15" s="5" t="inlineStr">
        <ns0:is>
          <ns0:t>data/maps/inventory_items.json</ns0:t>
        </ns0:is>
      </ns0:c>
    </ns0:row>
  </ns0:sheetData>
  <ns0:mergeCells count="2">
    <ns0:mergeCell ref="A1:O1"/>
    <ns0:mergeCell ref="A2:O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4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2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4" customWidth="1" min="1" max="1"/>
    <ns0:col width="35" customWidth="1" min="2" max="2"/>
    <ns0:col width="83" customWidth="1" min="3" max="3"/>
    <ns0:col width="88" customWidth="1" min="4" max="4"/>
    <ns0:col width="32" customWidth="1" min="5" max="5"/>
  </ns0:cols>
  <ns0:sheetData>
    <ns0:row r="1" ht="32" customHeight="1">
      <ns0:c r="A1" s="1" t="inlineStr">
        <ns0:is>
          <ns0:t>t01-08｜跨词典联系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词典</ns0:t>
        </ns0:is>
      </ns0:c>
      <ns0:c r="B5" s="3" t="inlineStr">
        <ns0:is>
          <ns0:t>接口</ns0:t>
        </ns0:is>
      </ns0:c>
      <ns0:c r="C5" s="3" t="inlineStr">
        <ns0:is>
          <ns0:t>本批关联</ns0:t>
        </ns0:is>
      </ns0:c>
      <ns0:c r="D5" s="3" t="inlineStr">
        <ns0:is>
          <ns0:t>边界／实际动作</ns0:t>
        </ns0:is>
      </ns0:c>
      <ns0:c r="E5" s="3" t="inlineStr">
        <ns0:is>
          <ns0:t>状态</ns0:t>
        </ns0:is>
      </ns0:c>
    </ns0:row>
    <ns0:row r="6" ht="40" customHeight="1">
      <ns0:c r="A6" s="8" t="inlineStr">
        <ns0:is>
          <ns0:t>01</ns0:t>
        </ns0:is>
      </ns0:c>
      <ns0:c r="B6" s="4" t="inlineStr">
        <ns0:is>
          <ns0:t>发动／支付／恢复／上限</ns0:t>
        </ns0:is>
      </ns0:c>
      <ns0:c r="C6" s="4" t="inlineStr">
        <ns0:is>
          <ns0:t>基础攻击、状态施加、恢复、上限及灵障分别引用效果；19表补灵障模板，丹药首瓶开战就绪。</ns0:t>
        </ns0:is>
      </ns0:c>
      <ns0:c r="D6" s="4" t="inlineStr">
        <ns0:is>
          <ns0:t>引用已有词义，不给每件物品建新运行系统。</ns0:t>
        </ns0:is>
      </ns0:c>
      <ns0:c r="E6" s="4" t="inlineStr">
        <ns0:is>
          <ns0:t>参考</ns0:t>
        </ns0:is>
      </ns0:c>
    </ns0:row>
    <ns0:row r="7" ht="30" customHeight="1">
      <ns0:c r="A7" s="10" t="inlineStr">
        <ns0:is>
          <ns0:t>02</ns0:t>
        </ns0:is>
      </ns0:c>
      <ns0:c r="B7" s="5" t="inlineStr">
        <ns0:is>
          <ns0:t>毒蚀清除与免疫／控制</ns0:t>
        </ns0:is>
      </ns0:c>
      <ns0:c r="C7" s="5" t="inlineStr">
        <ns0:is>
          <ns0:t>消毒散专门清毒＋15秒毒蚀免疫；药效和免疫为独立整份实例；Link按控制资格运行。</ns0:t>
        </ns0:is>
      </ns0:c>
      <ns0:c r="D7" s="5" t="inlineStr">
        <ns0:is>
          <ns0:t>不扩全负面净化、不自动免控；具体重复药效策略按资产/既有规则。</ns0:t>
        </ns0:is>
      </ns0:c>
      <ns0:c r="E7" s="5" t="inlineStr">
        <ns0:is>
          <ns0:t>参考</ns0:t>
        </ns0:is>
      </ns0:c>
    </ns0:row>
    <ns0:row r="8" ht="42" customHeight="1">
      <ns0:c r="A8" s="8" t="inlineStr">
        <ns0:is>
          <ns0:t>03</ns0:t>
        </ns0:is>
      </ns0:c>
      <ns0:c r="B8" s="4" t="inlineStr">
        <ns0:is>
          <ns0:t>下品／凡品权限</ns0:t>
        </ns0:is>
      </ns0:c>
      <ns0:c r="C8" s="4" t="inlineStr">
        <ns0:is>
          <ns0:t>下品两组原例外保留；凡品固定单元素＋一种简单状态开放，本批水纹／铁甲／雷纹三组邻接另列具名例外。</ns0:t>
        </ns0:is>
      </ns0:c>
      <ns0:c r="D8" s="4" t="inlineStr">
        <ns0:is>
          <ns0:t>对应03 C010和C030及派生视图；不整体放开凡品邻接、双状态或复杂机制。</ns0:t>
        </ns0:is>
      </ns0:c>
      <ns0:c r="E8" s="6" t="inlineStr">
        <ns0:is>
          <ns0:t>本轮同步03</ns0:t>
        </ns0:is>
      </ns0:c>
    </ns0:row>
    <ns0:row r="9" ht="30" customHeight="1">
      <ns0:c r="A9" s="10" t="inlineStr">
        <ns0:is>
          <ns0:t>04</ns0:t>
        </ns0:is>
      </ns0:c>
      <ns0:c r="B9" s="5" t="inlineStr">
        <ns0:is>
          <ns0:t>器型、甲型、部位</ns0:t>
        </ns0:is>
      </ns0:c>
      <ns0:c r="C9" s="5" t="inlineStr">
        <ns0:is>
          <ns0:t>九器型与固定占格；Q02已定身甲每格2、其他1及最高并列身甲优先。</ns0:t>
        </ns0:is>
      </ns0:c>
      <ns0:c r="D9" s="5" t="inlineStr">
        <ns0:is>
          <ns0:t>防御元素也按身甲2／其他1，含NONE，并列扫描；甲型并列先身甲。各部位限1，盾可多件。</ns0:t>
        </ns0:is>
      </ns0:c>
      <ns0:c r="E9" s="6" t="inlineStr">
        <ns0:is>
          <ns0:t>下品Q02／Q03及本次FP02</ns0:t>
        </ns0:is>
      </ns0:c>
    </ns0:row>
    <ns0:row r="10" ht="30" customHeight="1">
      <ns0:c r="A10" s="8" t="inlineStr">
        <ns0:is>
          <ns0:t>05</ns0:t>
        </ns0:is>
      </ns0:c>
      <ns0:c r="B10" s="4" t="inlineStr">
        <ns0:is>
          <ns0:t>制作方／配方</ns0:t>
        </ns0:is>
      </ns0:c>
      <ns0:c r="C10" s="4" t="inlineStr">
        <ns0:is>
          <ns0:t>当前115件未逐件补齐器方、材料及升品映射；用户明确本次升品稍后考虑。</ns0:t>
        </ns0:is>
      </ns0:c>
      <ns0:c r="D10" s="4" t="inlineStr">
        <ns0:is>
          <ns0:t>不因下品可制作就虚构实际器方；不恢复蓝图学习或归胚。</ns0:t>
        </ns0:is>
      </ns0:c>
      <ns0:c r="E10" s="6" t="inlineStr">
        <ns0:is>
          <ns0:t>待具体生产资产</ns0:t>
        </ns0:is>
      </ns0:c>
    </ns0:row>
    <ns0:row r="11" ht="42" customHeight="1">
      <ns0:c r="A11" s="10" t="inlineStr">
        <ns0:is>
          <ns0:t>06</ns0:t>
        </ns0:is>
      </ns0:c>
      <ns0:c r="B11" s="5" t="inlineStr">
        <ns0:is>
          <ns0:t>基础联动</ns0:t>
        </ns0:is>
      </ns0:c>
      <ns0:c r="C11" s="5" t="inlineStr">
        <ns0:is>
          <ns0:t>下品两组＋凡品三组固定身甲和两护具正交邻接；无Set_ID、无独立CD，不自动跨品级替代。</ns0:t>
        </ns0:is>
      </ns0:c>
      <ns0:c r="D11" s="5" t="inlineStr">
        <ns0:is>
          <ns0:t>仍查Link资格、控制、只撤本贡献及不靠重组成套补甲。</ns0:t>
        </ns0:is>
      </ns0:c>
      <ns0:c r="E11" s="6" t="inlineStr">
        <ns0:is>
          <ns0:t>Q01限定许可已确认；资产运行待补齐</ns0:t>
        </ns0:is>
      </ns0:c>
    </ns0:row>
    <ns0:row r="12" ht="30" customHeight="1">
      <ns0:c r="A12" s="8" t="inlineStr">
        <ns0:is>
          <ns0:t>07</ns0:t>
        </ns0:is>
      </ns0:c>
      <ns0:c r="B12" s="4" t="inlineStr">
        <ns0:is>
          <ns0:t>获取与交付</ns0:t>
        </ns0:is>
      </ns0:c>
      <ns0:c r="C12" s="4" t="inlineStr">
        <ns0:is>
          <ns0:t>旧下品9武器购入方向保留为规划；本批88凡品暂无正式投放记录。</ns0:t>
        </ns0:is>
      </ns0:c>
      <ns0:c r="D12" s="4" t="inlineStr">
        <ns0:is>
          <ns0:t>来源覆盖与实际获取覆盖分开；不虚构商品目录、掉率、器方或炼气可达路径。</ns0:t>
        </ns0:is>
      </ns0:c>
      <ns0:c r="E12" s="6" t="inlineStr">
        <ns0:is>
          <ns0:t>待实际获取链</ns0:t>
        </ns0:is>
      </ns0:c>
    </ns0:row>
  </ns0:sheetData>
  <ns0:mergeCells count="2">
    <ns0:mergeCell ref="A2:E2"/>
    <ns0:mergeCell ref="A1:E1"/>
  </ns0:mergeCells>
  <ns0:hyperlinks>
    <ns0:hyperlink ref="A6" ns1:id="rId1"/>
    <ns0:hyperlink ref="A7" ns1:id="rId2"/>
    <ns0:hyperlink ref="A8" ns1:id="rId3"/>
    <ns0:hyperlink ref="A9" ns1:id="rId4"/>
    <ns0:hyperlink ref="A10" ns1:id="rId5"/>
    <ns0:hyperlink ref="A11" ns1:id="rId6"/>
    <ns0:hyperlink ref="A12" ns1:id="rId7"/>
  </ns0:hyperlinks>
  <ns0:pageMargins left="0.75" right="0.75" top="1" bottom="1" header="0.5" footer="0.5"/>
  <ns0:pageSetup orientation="landscape" paperSize="8" fitToHeight="0" fitToWidth="1"/>
  <ns0:tableParts count="1">
    <ns0:tablePart ns1:id="rId8"/>
  </ns0:tableParts>
</ns0:worksheet>
</file>

<file path=xl/worksheets/sheet15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2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4" customWidth="1" min="1" max="1"/>
    <ns0:col width="25" customWidth="1" min="2" max="2"/>
    <ns0:col width="87" customWidth="1" min="3" max="3"/>
    <ns0:col width="82" customWidth="1" min="4" max="4"/>
    <ns0:col width="35" customWidth="1" min="5" max="5"/>
  </ns0:cols>
  <ns0:sheetData>
    <ns0:row r="1" ht="32" customHeight="1">
      <ns0:c r="A1" s="1" t="inlineStr">
        <ns0:is>
          <ns0:t>t01-08｜确认与后续事项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编号</ns0:t>
        </ns0:is>
      </ns0:c>
      <ns0:c r="B5" s="3" t="inlineStr">
        <ns0:is>
          <ns0:t>主题</ns0:t>
        </ns0:is>
      </ns0:c>
      <ns0:c r="C5" s="3" t="inlineStr">
        <ns0:is>
          <ns0:t>问题／工作</ns0:t>
        </ns0:is>
      </ns0:c>
      <ns0:c r="D5" s="3" t="inlineStr">
        <ns0:is>
          <ns0:t>当前状态</ns0:t>
        </ns0:is>
      </ns0:c>
      <ns0:c r="E5" s="3" t="inlineStr">
        <ns0:is>
          <ns0:t>影响范围</ns0:t>
        </ns0:is>
      </ns0:c>
    </ns0:row>
    <ns0:row r="6" ht="42" customHeight="1">
      <ns0:c r="A6" s="4" t="inlineStr">
        <ns0:is>
          <ns0:t>Q01</ns0:t>
        </ns0:is>
      </ns0:c>
      <ns0:c r="B6" s="4" t="inlineStr">
        <ns0:is>
          <ns0:t>下品邻接权限</ns0:t>
        </ns0:is>
      </ns0:c>
      <ns0:c r="C6" s="4" t="inlineStr">
        <ns0:is>
          <ns0:t>03从良品常规开放正交邻接，本批两组下品联动是否限定例外？</ns0:t>
        </ns0:is>
      </ns0:c>
      <ns0:c r="D6" s="6" t="inlineStr">
        <ns0:is>
          <ns0:t>已确认限定两组联动；用户最新将本批品级更正为下品，例外随这两组改为下品；其他物品仍按03原权限。</ns0:t>
        </ns0:is>
      </ns0:c>
      <ns0:c r="E6" s="4" t="inlineStr">
        <ns0:is>
          <ns0:t>03 C030及两联动许可已同步；数值仍为候选</ns0:t>
        </ns0:is>
      </ns0:c>
    </ns0:row>
    <ns0:row r="7" ht="55" customHeight="1">
      <ns0:c r="A7" s="5" t="inlineStr">
        <ns0:is>
          <ns0:t>Q02</ns0:t>
        </ns0:is>
      </ns0:c>
      <ns0:c r="B7" s="5" t="inlineStr">
        <ns0:is>
          <ns0:t>甲型全局覆盖</ns0:t>
        </ns0:is>
      </ns0:c>
      <ns0:c r="C7" s="5" t="inlineStr">
        <ns0:is>
          <ns0:t>身甲×2／其他×1、并列优先身甲是否全局替换04？</ns0:t>
        </ns0:is>
      </ns0:c>
      <ns0:c r="D7" s="6" t="inlineStr">
        <ns0:is>
          <ns0:t>已确认：采用整套规则，更新04（建议）</ns0:t>
        </ns0:is>
      </ns0:c>
      <ns0:c r="E7" s="5" t="inlineStr">
        <ns0:is>
          <ns0:t>历史Q02只改甲型；后由本次FP02进一步确认元素也加权且含NONE，现按10／19表。</ns0:t>
        </ns0:is>
      </ns0:c>
    </ns0:row>
    <ns0:row r="8" ht="30" customHeight="1">
      <ns0:c r="A8" s="4" t="inlineStr">
        <ns0:is>
          <ns0:t>Q03</ns0:t>
        </ns0:is>
      </ns0:c>
      <ns0:c r="B8" s="4" t="inlineStr">
        <ns0:is>
          <ns0:t>部位限制范围</ns0:t>
        </ns0:is>
      </ns0:c>
      <ns0:c r="C8" s="4" t="inlineStr">
        <ns0:is>
          <ns0:t>盾是否也最多1件；同部位限制与现有阵盘规格需统一。</ns0:t>
        </ns0:is>
      </ns0:c>
      <ns0:c r="D8" s="6" t="inlineStr">
        <ns0:is>
          <ns0:t>已确认：允许多件盾，只受阵盘空间限制</ns0:t>
        </ns0:is>
      </ns0:c>
      <ns0:c r="E8" s="4" t="inlineStr">
        <ns0:is>
          <ns0:t>已回填04及08部位限制</ns0:t>
        </ns0:is>
      </ns0:c>
    </ns0:row>
    <ns0:row r="9" ht="42" customHeight="1">
      <ns0:c r="A9" s="5" t="inlineStr">
        <ns0:is>
          <ns0:t>Q04</ns0:t>
        </ns0:is>
      </ns0:c>
      <ns0:c r="B9" s="5" t="inlineStr">
        <ns0:is>
          <ns0:t>新法器恢复上限</ns0:t>
        </ns0:is>
      </ns0:c>
      <ns0:c r="C9" s="5" t="inlineStr">
        <ns0:is>
          <ns0:t>回春玉、养息珠、聚灵珠是否采用最多至最大值2/3？</ns0:t>
        </ns0:is>
      </ns0:c>
      <ns0:c r="D9" s="5" t="inlineStr">
        <ns0:is>
          <ns0:t>已确认：三件都采用2/3上限（建议）</ns0:t>
        </ns0:is>
      </ns0:c>
      <ns0:c r="E9" s="5" t="inlineStr">
        <ns0:is>
          <ns0:t>已回填回春玉、养息珠、聚灵珠；温玉佩既有规则不变</ns0:t>
        </ns0:is>
      </ns0:c>
    </ns0:row>
    <ns0:row r="10" ht="30" customHeight="1">
      <ns0:c r="A10" s="4" t="inlineStr">
        <ns0:is>
          <ns0:t>A01</ns0:t>
        </ns0:is>
      </ns0:c>
      <ns0:c r="B10" s="4" t="inlineStr">
        <ns0:is>
          <ns0:t>绝对武器数值</ns0:t>
        </ns0:is>
      </ns0:c>
      <ns0:c r="C10" s="4" t="inlineStr">
        <ns0:is>
          <ns0:t>九件之间相对伤害／CD／体力档位，待横向平衡。</ns0:t>
        </ns0:is>
      </ns0:c>
      <ns0:c r="D10" s="6" t="inlineStr">
        <ns0:is>
          <ns0:t>原稿明确后定；保留三已有武器参考值，未擅自代填。</ns0:t>
        </ns0:is>
      </ns0:c>
      <ns0:c r="E10" s="4" t="inlineStr">
        <ns0:is>
          <ns0:t>未来数值设计</ns0:t>
        </ns0:is>
      </ns0:c>
    </ns0:row>
    <ns0:row r="11" ht="30" customHeight="1">
      <ns0:c r="A11" s="5" t="inlineStr">
        <ns0:is>
          <ns0:t>A02</ns0:t>
        </ns0:is>
      </ns0:c>
      <ns0:c r="B11" s="5" t="inlineStr">
        <ns0:is>
          <ns0:t>候选参数与平衡</ns0:t>
        </ns0:is>
      </ns0:c>
      <ns0:c r="C11" s="5" t="inlineStr">
        <ns0:is>
          <ns0:t>新增防具、法器、丹药及两联动收益保留试玩候选。</ns0:t>
        </ns0:is>
      </ns0:c>
      <ns0:c r="D11" s="6" t="inlineStr">
        <ns0:is>
          <ns0:t>未运行战斗；不把新增候选改写为已测试。</ns0:t>
        </ns0:is>
      </ns0:c>
      <ns0:c r="E11" s="5" t="inlineStr">
        <ns0:is>
          <ns0:t>未来确认与验证</ns0:t>
        </ns0:is>
      </ns0:c>
    </ns0:row>
    <ns0:row r="12" ht="30" customHeight="1">
      <ns0:c r="A12" s="4" t="inlineStr">
        <ns0:is>
          <ns0:t>A03</ns0:t>
        </ns0:is>
      </ns0:c>
      <ns0:c r="B12" s="4" t="inlineStr">
        <ns0:is>
          <ns0:t>生产获取与表现</ns0:t>
        </ns0:is>
      </ns0:c>
      <ns0:c r="C12" s="4" t="inlineStr">
        <ns0:is>
          <ns0:t>配方、正式来源、价格库存、图标和运行配置未齐。</ns0:t>
        </ns0:is>
      </ns0:c>
      <ns0:c r="D12" s="6" t="inlineStr">
        <ns0:is>
          <ns0:t>未创建游戏资产；后续按实际选定范围补齐。</ns0:t>
        </ns0:is>
      </ns0:c>
      <ns0:c r="E12" s="4" t="inlineStr">
        <ns0:is>
          <ns0:t>未来资产落地</ns0:t>
        </ns0:is>
      </ns0:c>
    </ns0:row>
    <ns0:row r="13" ht="30" customHeight="1">
      <ns0:c r="A13" s="5" t="inlineStr">
        <ns0:is>
          <ns0:t>A04</ns0:t>
        </ns0:is>
      </ns0:c>
      <ns0:c r="B13" s="5" t="inlineStr">
        <ns0:is>
          <ns0:t>Link具体运行</ns0:t>
        </ns0:is>
      </ns0:c>
      <ns0:c r="C13" s="5" t="inlineStr">
        <ns0:is>
          <ns0:t>固定匹配结构已有，控制时静态上限／发动修正需与02/06实例策略衔接。</ns0:t>
        </ns0:is>
      </ns0:c>
      <ns0:c r="D13" s="5" t="inlineStr">
        <ns0:is>
          <ns0:t>不一律控制就断链、不用重新组合免费恢复护甲。</ns0:t>
        </ns0:is>
      </ns0:c>
      <ns0:c r="E13" s="5" t="inlineStr">
        <ns0:is>
          <ns0:t>未来实际运行模板</ns0:t>
        </ns0:is>
      </ns0:c>
    </ns0:row>
    <ns0:row r="14" ht="60" customHeight="1">
      <ns0:c r="A14" s="4" t="inlineStr">
        <ns0:is>
          <ns0:t>FP01</ns0:t>
        </ns0:is>
      </ns0:c>
      <ns0:c r="B14" s="4" t="inlineStr">
        <ns0:is>
          <ns0:t>丹药缺表</ns0:t>
        </ns0:is>
      </ns0:c>
      <ns0:c r="C14" s="4" t="inlineStr">
        <ns0:is>
          <ns0:t>补齐10种丹药完整数据</ns0:t>
        </ns0:is>
      </ns0:c>
      <ns0:c r="D14" s="6" t="inlineStr">
        <ns0:is>
          <ns0:t>已补齐并入表</ns0:t>
        </ns0:is>
      </ns0:c>
      <ns0:c r="E14" s="4" t="inlineStr">
        <ns0:is>
          <ns0:t>05及18统计</ns0:t>
        </ns0:is>
      </ns0:c>
    </ns0:row>
    <ns0:row r="15" ht="60" customHeight="1">
      <ns0:c r="A15" s="4" t="inlineStr">
        <ns0:is>
          <ns0:t>FP02</ns0:t>
        </ns0:is>
      </ns0:c>
      <ns0:c r="B15" s="4" t="inlineStr">
        <ns0:is>
          <ns0:t>元素权重</ns0:t>
        </ns0:is>
      </ns0:c>
      <ns0:c r="C15" s="4" t="inlineStr">
        <ns0:is>
          <ns0:t>NONE参与，身甲也乘2</ns0:t>
        </ns0:is>
      </ns0:c>
      <ns0:c r="D15" s="6" t="inlineStr">
        <ns0:is>
          <ns0:t>已确认：元素也采用身甲乘2：无属性4、金1、土1</ns0:t>
        </ns0:is>
      </ns0:c>
      <ns0:c r="E15" s="4" t="inlineStr">
        <ns0:is>
          <ns0:t>04及10表</ns0:t>
        </ns0:is>
      </ns0:c>
    </ns0:row>
    <ns0:row r="16" ht="60" customHeight="1">
      <ns0:c r="A16" s="4" t="inlineStr">
        <ns0:is>
          <ns0:t>FP03</ns0:t>
        </ns0:is>
      </ns0:c>
      <ns0:c r="B16" s="4" t="inlineStr">
        <ns0:is>
          <ns0:t>灵障重复生成</ns0:t>
        </ns0:is>
      </ns0:c>
      <ns0:c r="C16" s="4" t="inlineStr">
        <ns0:is>
          <ns0:t>已有10再次生成15</ns0:t>
        </ns0:is>
      </ns0:c>
      <ns0:c r="D16" s="6" t="inlineStr">
        <ns0:is>
          <ns0:t>已确认：容量足够时加进现有池成为25；来源份额保留</ns0:t>
        </ns0:is>
      </ns0:c>
      <ns0:c r="E16" s="4" t="inlineStr">
        <ns0:is>
          <ns0:t>01 M06 C04／F14</ns0:t>
        </ns0:is>
      </ns0:c>
    </ns0:row>
    <ns0:row r="17" ht="60" customHeight="1">
      <ns0:c r="A17" s="4" t="inlineStr">
        <ns0:is>
          <ns0:t>FP04</ns0:t>
        </ns0:is>
      </ns0:c>
      <ns0:c r="B17" s="4" t="inlineStr">
        <ns0:is>
          <ns0:t>灵障容量</ns0:t>
        </ns0:is>
      </ns0:c>
      <ns0:c r="C17" s="4" t="inlineStr">
        <ns0:is>
          <ns0:t>上限及六境界基础值</ns0:t>
        </ns0:is>
      </ns0:c>
      <ns0:c r="D17" s="6" t="inlineStr">
        <ns0:is>
          <ns0:t>当前普通灵障上限＝境界基础上限＋阵盘、法器及其他明确来源的上限加成。凡人10、炼气20、筑基30、结丹40、元婴50、化神60；上限加成暂不设统一封顶。池内存值仍受当前上限约束。</ns0:t>
        </ns0:is>
      </ns0:c>
      <ns0:c r="E17" s="4" t="inlineStr">
        <ns0:is>
          <ns0:t>19表；不套用雷盾上限</ns0:t>
        </ns0:is>
      </ns0:c>
    </ns0:row>
    <ns0:row r="18" ht="60" customHeight="1">
      <ns0:c r="A18" s="4" t="inlineStr">
        <ns0:is>
          <ns0:t>FP05</ns0:t>
        </ns0:is>
      </ns0:c>
      <ns0:c r="B18" s="4" t="inlineStr">
        <ns0:is>
          <ns0:t>灵障战内时限</ns0:t>
        </ns0:is>
      </ns0:c>
      <ns0:c r="C18" s="4" t="inlineStr">
        <ns0:is>
          <ns0:t>是否自然到期／衰减</ns0:t>
        </ns0:is>
      </ns0:c>
      <ns0:c r="D18" s="6" t="inlineStr">
        <ns0:is>
          <ns0:t>战内不自然到期、不随时间衰减；剩余值保留到被消耗或战斗结束，战后清空。</ns0:t>
        </ns0:is>
      </ns0:c>
      <ns0:c r="E18" s="4" t="inlineStr">
        <ns0:is>
          <ns0:t>战后清空保持</ns0:t>
        </ns0:is>
      </ns0:c>
    </ns0:row>
    <ns0:row r="19" ht="60" customHeight="1">
      <ns0:c r="A19" s="4" t="inlineStr">
        <ns0:is>
          <ns0:t>FP06</ns0:t>
        </ns0:is>
      </ns0:c>
      <ns0:c r="B19" s="4" t="inlineStr">
        <ns0:is>
          <ns0:t>灵障珠满值使用</ns0:t>
        </ns0:is>
      </ns0:c>
      <ns0:c r="C19" s="4" t="inlineStr">
        <ns0:is>
          <ns0:t>满灵障是否发动付费</ns0:t>
        </ns0:is>
      </ns0:c>
      <ns0:c r="D19" s="6" t="inlineStr">
        <ns0:is>
          <ns0:t>F14灵障珠满上限仍正常发动，消耗6灵力并重开10.5秒CD，实际增加0；未满时实际增加min(15,容量缺口)，费用仍6。仍检查控制、资源等正常发动资格；费用不足不能发动。此空转支付是F14的已定策略，不自动推广其他资产。</ns0:t>
        </ns0:is>
      </ns0:c>
      <ns0:c r="E19" s="4" t="inlineStr">
        <ns0:is>
          <ns0:t>灵障珠专属策略，不自动推广其他资产</ns0:t>
        </ns0:is>
      </ns0:c>
    </ns0:row>
    <ns0:row r="20" ht="60" customHeight="1">
      <ns0:c r="A20" s="4" t="inlineStr">
        <ns0:is>
          <ns0:t>FP-LATER</ns0:t>
        </ns0:is>
      </ns0:c>
      <ns0:c r="B20" s="4" t="inlineStr">
        <ns0:is>
          <ns0:t>后续实施</ns0:t>
        </ns0:is>
      </ns0:c>
      <ns0:c r="C20" s="4" t="inlineStr">
        <ns0:is>
          <ns0:t>平衡试跑、实际游戏ID、配方和获取；升品稍后</ns0:t>
        </ns0:is>
      </ns0:c>
      <ns0:c r="D20" s="6" t="inlineStr">
        <ns0:is>
          <ns0:t>未实施，不自动猜配方或跨品级承接</ns0:t>
        </ns0:is>
      </ns0:c>
      <ns0:c r="E20" s="4" t="inlineStr">
        <ns0:is>
          <ns0:t>候选资产后续阶段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6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8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4" customWidth="1" min="1" max="1"/>
    <ns0:col width="23" customWidth="1" min="2" max="2"/>
    <ns0:col width="78" customWidth="1" min="3" max="3"/>
    <ns0:col width="94" customWidth="1" min="4" max="4"/>
    <ns0:col width="36" customWidth="1" min="5" max="5"/>
  </ns0:cols>
  <ns0:sheetData>
    <ns0:row r="1" ht="32" customHeight="1">
      <ns0:c r="A1" s="1" t="inlineStr">
        <ns0:is>
          <ns0:t>t01-08｜核对场景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案例ID</ns0:t>
        </ns0:is>
      </ns0:c>
      <ns0:c r="B5" s="3" t="inlineStr">
        <ns0:is>
          <ns0:t>主题</ns0:t>
        </ns0:is>
      </ns0:c>
      <ns0:c r="C5" s="3" t="inlineStr">
        <ns0:is>
          <ns0:t>输入</ns0:t>
        </ns0:is>
      </ns0:c>
      <ns0:c r="D5" s="3" t="inlineStr">
        <ns0:is>
          <ns0:t>预期／边界</ns0:t>
        </ns0:is>
      </ns0:c>
      <ns0:c r="E5" s="3" t="inlineStr">
        <ns0:is>
          <ns0:t>状态</ns0:t>
        </ns0:is>
      </ns0:c>
    </ns0:row>
    <ns0:row r="6" ht="30" customHeight="1">
      <ns0:c r="A6" s="4" t="inlineStr">
        <ns0:is>
          <ns0:t>T01</ns0:t>
        </ns0:is>
      </ns0:c>
      <ns0:c r="B6" s="4" t="inlineStr">
        <ns0:is>
          <ns0:t>总量</ns0:t>
        </ns0:is>
      </ns0:c>
      <ns0:c r="C6" s="4" t="inlineStr">
        <ns0:is>
          <ns0:t>下品27保留＋本批凡品88</ns0:t>
        </ns0:is>
      </ns0:c>
      <ns0:c r="D6" s="4" t="inlineStr">
        <ns0:is>
          <ns0:t>总115＝36武器＋36防具＋22法器＋16丹药＋0符箓＋5暗器</ns0:t>
        </ns0:is>
      </ns0:c>
      <ns0:c r="E6" s="4" t="inlineStr">
        <ns0:is>
          <ns0:t>文本核对</ns0:t>
        </ns0:is>
      </ns0:c>
    </ns0:row>
    <ns0:row r="7" ht="30" customHeight="1">
      <ns0:c r="A7" s="5" t="inlineStr">
        <ns0:is>
          <ns0:t>T02</ns0:t>
        </ns0:is>
      </ns0:c>
      <ns0:c r="B7" s="5" t="inlineStr">
        <ns0:is>
          <ns0:t>品级覆盖</ns0:t>
        </ns0:is>
      </ns0:c>
      <ns0:c r="C7" s="5" t="inlineStr">
        <ns0:is>
          <ns0:t>用户更正：“这一批道具全是下品”；覆盖此前误说。</ns0:t>
        </ns0:is>
      </ns0:c>
      <ns0:c r="D7" s="5" t="inlineStr">
        <ns0:is>
          <ns0:t>更正针对旧27件下品；本次独立新增88件凡品。当前统计下品27、凡品88。</ns0:t>
        </ns0:is>
      </ns0:c>
      <ns0:c r="E7" s="5" t="inlineStr">
        <ns0:is>
          <ns0:t>文本／结构核对</ns0:t>
        </ns0:is>
      </ns0:c>
    </ns0:row>
    <ns0:row r="8" ht="30" customHeight="1">
      <ns0:c r="A8" s="4" t="inlineStr">
        <ns0:is>
          <ns0:t>T03</ns0:t>
        </ns0:is>
      </ns0:c>
      <ns0:c r="B8" s="4" t="inlineStr">
        <ns0:is>
          <ns0:t>武器数值</ns0:t>
        </ns0:is>
      </ns0:c>
      <ns0:c r="C8" s="4" t="inlineStr">
        <ns0:is>
          <ns0:t>猎弓已有9伤／4.5秒／5体力，但新稿体力中低</ns0:t>
        </ns0:is>
      </ns0:c>
      <ns0:c r="D8" s="4" t="inlineStr">
        <ns0:is>
          <ns0:t>保留旧配置证据，不把新相对档位等同旧排序已满足</ns0:t>
        </ns0:is>
      </ns0:c>
      <ns0:c r="E8" s="6" t="inlineStr">
        <ns0:is>
          <ns0:t>待平衡</ns0:t>
        </ns0:is>
      </ns0:c>
    </ns0:row>
    <ns0:row r="9" ht="30" customHeight="1">
      <ns0:c r="A9" s="5" t="inlineStr">
        <ns0:is>
          <ns0:t>T04</ns0:t>
        </ns0:is>
      </ns0:c>
      <ns0:c r="B9" s="5" t="inlineStr">
        <ns0:is>
          <ns0:t>占格方向</ns0:t>
        </ns0:is>
      </ns0:c>
      <ns0:c r="C9" s="5" t="inlineStr">
        <ns0:is>
          <ns0:t>剑1×2、斧2×1；枪鞭3×1</ns0:t>
        </ns0:is>
      </ns0:c>
      <ns0:c r="D9" s="5" t="inlineStr">
        <ns0:is>
          <ns0:t>维持固定方向不可旋转；无射程加成</ns0:t>
        </ns0:is>
      </ns0:c>
      <ns0:c r="E9" s="5" t="inlineStr">
        <ns0:is>
          <ns0:t>文本核对</ns0:t>
        </ns0:is>
      </ns0:c>
    </ns0:row>
    <ns0:row r="10" ht="30" customHeight="1">
      <ns0:c r="A10" s="4" t="inlineStr">
        <ns0:is>
          <ns0:t>T05</ns0:t>
        </ns0:is>
      </ns0:c>
      <ns0:c r="B10" s="4" t="inlineStr">
        <ns0:is>
          <ns0:t>布甲联动</ns0:t>
        </ns0:is>
      </ns0:c>
      <ns0:c r="C10" s="4" t="inlineStr">
        <ns0:is>
          <ns0:t>两护具分别贴粗布甲，互不相邻</ns0:t>
        </ns0:is>
      </ns0:c>
      <ns0:c r="D10" s="4" t="inlineStr">
        <ns0:is>
          <ns0:t>上限12、身甲回甲4／4秒；总4格；Q01已批准本组下品邻接例外。</ns0:t>
        </ns0:is>
      </ns0:c>
      <ns0:c r="E10" s="6" t="inlineStr">
        <ns0:is>
          <ns0:t>候选计算；未运行</ns0:t>
        </ns0:is>
      </ns0:c>
    </ns0:row>
    <ns0:row r="11" ht="30" customHeight="1">
      <ns0:c r="A11" s="5" t="inlineStr">
        <ns0:is>
          <ns0:t>T06</ns0:t>
        </ns0:is>
      </ns0:c>
      <ns0:c r="B11" s="5" t="inlineStr">
        <ns0:is>
          <ns0:t>铁甲联动</ns0:t>
        </ns0:is>
      </ns0:c>
      <ns0:c r="C11" s="5" t="inlineStr">
        <ns0:is>
          <ns0:t>铁甲＋铁护臂＋铁护腿合法构型</ns0:t>
        </ns0:is>
      </ns0:c>
      <ns0:c r="D11" s="5" t="inlineStr">
        <ns0:is>
          <ns0:t>上限18、身甲回甲6／6秒；护臂5秒／腿6秒，非身甲4秒</ns0:t>
        </ns0:is>
      </ns0:c>
      <ns0:c r="E11" s="6" t="inlineStr">
        <ns0:is>
          <ns0:t>候选计算；未运行</ns0:t>
        </ns0:is>
      </ns0:c>
    </ns0:row>
    <ns0:row r="12" ht="30" customHeight="1">
      <ns0:c r="A12" s="4" t="inlineStr">
        <ns0:is>
          <ns0:t>T07</ns0:t>
        </ns0:is>
      </ns0:c>
      <ns0:c r="B12" s="4" t="inlineStr">
        <ns0:is>
          <ns0:t>甲型并列</ns0:t>
        </ns0:is>
      </ns0:c>
      <ns0:c r="C12" s="4" t="inlineStr">
        <ns0:is>
          <ns0:t>铁甲重4，盾＋布臂＋布腿轻4</ns0:t>
        </ns0:is>
      </ns0:c>
      <ns0:c r="D12" s="4" t="inlineStr">
        <ns0:is>
          <ns0:t>权重重4、轻4并列，优先身甲重甲；Q02已定，04已覆盖。</ns0:t>
        </ns0:is>
      </ns0:c>
      <ns0:c r="E12" s="6" t="inlineStr">
        <ns0:is>
          <ns0:t>已确认规则；文本核对，未运行</ns0:t>
        </ns0:is>
      </ns0:c>
    </ns0:row>
    <ns0:row r="13" ht="30" customHeight="1">
      <ns0:c r="A13" s="5" t="inlineStr">
        <ns0:is>
          <ns0:t>T08</ns0:t>
        </ns0:is>
      </ns0:c>
      <ns0:c r="B13" s="5" t="inlineStr">
        <ns0:is>
          <ns0:t>元素权重</ns0:t>
        </ns0:is>
      </ns0:c>
      <ns0:c r="C13" s="5" t="inlineStr">
        <ns0:is>
          <ns0:t>札甲2格NONE＋金护腕1格＋土护腿1格</ns0:t>
        </ns0:is>
      </ns0:c>
      <ns0:c r="D13" s="5" t="inlineStr">
        <ns0:is>
          <ns0:t>本次FP02：身甲乘2，NONE4／金1／土1，最终NONE；元素并列才扫描，不继承甲型身甲优先。</ns0:t>
        </ns0:is>
      </ns0:c>
      <ns0:c r="E13" s="5" t="inlineStr">
        <ns0:is>
          <ns0:t>已确认；覆盖旧NONE不投票</ns0:t>
        </ns0:is>
      </ns0:c>
    </ns0:row>
    <ns0:row r="14" ht="30" customHeight="1">
      <ns0:c r="A14" s="4" t="inlineStr">
        <ns0:is>
          <ns0:t>T09</ns0:t>
        </ns0:is>
      </ns0:c>
      <ns0:c r="B14" s="4" t="inlineStr">
        <ns0:is>
          <ns0:t>解组</ns0:t>
        </ns0:is>
      </ns0:c>
      <ns0:c r="C14" s="4" t="inlineStr">
        <ns0:is>
          <ns0:t>布／铁三件构型失效后再成立</ns0:t>
        </ns0:is>
      </ns0:c>
      <ns0:c r="D14" s="4" t="inlineStr">
        <ns0:is>
          <ns0:t>只撤／恢复对应上限贡献，不凭空补满护甲；控制须查资格</ns0:t>
        </ns0:is>
      </ns0:c>
      <ns0:c r="E14" s="6" t="inlineStr">
        <ns0:is>
          <ns0:t>文本需求；未运行</ns0:t>
        </ns0:is>
      </ns0:c>
    </ns0:row>
    <ns0:row r="15" ht="30" customHeight="1">
      <ns0:c r="A15" s="5" t="inlineStr">
        <ns0:is>
          <ns0:t>T10</ns0:t>
        </ns0:is>
      </ns0:c>
      <ns0:c r="B15" s="5" t="inlineStr">
        <ns0:is>
          <ns0:t>资源法器</ns0:t>
        </ns0:is>
      </ns0:c>
      <ns0:c r="C15" s="5" t="inlineStr">
        <ns0:is>
          <ns0:t>新三件免费回复法器接近资源上限</ns0:t>
        </ns0:is>
      </ns0:c>
      <ns0:c r="D15" s="5" t="inlineStr">
        <ns0:is>
          <ns0:t>Q04已确认2/3上限：对应最大值60时最多恢复至40；已高于40不扣减，也不继续恢复。</ns0:t>
        </ns0:is>
      </ns0:c>
      <ns0:c r="E15" s="6" t="inlineStr">
        <ns0:is>
          <ns0:t>已确认规则；文本核对，未运行</ns0:t>
        </ns0:is>
      </ns0:c>
    </ns0:row>
    <ns0:row r="16" ht="30" customHeight="1">
      <ns0:c r="A16" s="4" t="inlineStr">
        <ns0:is>
          <ns0:t>T11</ns0:t>
        </ns0:is>
      </ns0:c>
      <ns0:c r="B16" s="4" t="inlineStr">
        <ns0:is>
          <ns0:t>分次丹药</ns0:t>
        </ns0:is>
      </ns0:c>
      <ns0:c r="C16" s="4" t="inlineStr">
        <ns0:is>
          <ns0:t>止血／强筋／回灵在发动后2、4、6秒跳</ns0:t>
        </ns0:is>
      </ns0:c>
      <ns0:c r="D16" s="4" t="inlineStr">
        <ns0:is>
          <ns0:t>各总6气血／12体力／9灵力；不能发动即先跳一次</ns0:t>
        </ns0:is>
      </ns0:c>
      <ns0:c r="E16" s="6" t="inlineStr">
        <ns0:is>
          <ns0:t>候选／既有对照；未运行</ns0:t>
        </ns0:is>
      </ns0:c>
    </ns0:row>
    <ns0:row r="17" ht="30" customHeight="1">
      <ns0:c r="A17" s="5" t="inlineStr">
        <ns0:is>
          <ns0:t>T12</ns0:t>
        </ns0:is>
      </ns0:c>
      <ns0:c r="B17" s="5" t="inlineStr">
        <ns0:is>
          <ns0:t>毒蚀专用</ns0:t>
        </ns0:is>
      </ns0:c>
      <ns0:c r="C17" s="5" t="inlineStr">
        <ns0:is>
          <ns0:t>消毒散清毒并免疫15秒</ns0:t>
        </ns0:is>
      </ns0:c>
      <ns0:c r="D17" s="5" t="inlineStr">
        <ns0:is>
          <ns0:t>只针对毒蚀，不扩大净化范围或所有下品的免疫权限</ns0:t>
        </ns0:is>
      </ns0:c>
      <ns0:c r="E17" s="5" t="inlineStr">
        <ns0:is>
          <ns0:t>文本核对</ns0:t>
        </ns0:is>
      </ns0:c>
    </ns0:row>
    <ns0:row r="18" ht="30" customHeight="1">
      <ns0:c r="A18" s="4" t="inlineStr">
        <ns0:is>
          <ns0:t>T13</ns0:t>
        </ns0:is>
      </ns0:c>
      <ns0:c r="B18" s="4" t="inlineStr">
        <ns0:is>
          <ns0:t>非实物开放</ns0:t>
        </ns0:is>
      </ns0:c>
      <ns0:c r="C18" s="4" t="inlineStr">
        <ns0:is>
          <ns0:t>救商人后开放商铺的规划被采纳时</ns0:t>
        </ns0:is>
      </ns0:c>
      <ns0:c r="D18" s="4" t="inlineStr">
        <ns0:is>
          <ns0:t>按07 SOURCE_UNLOCK成功应用入口，不能为填字段虚构物品×1</ns0:t>
        </ns0:is>
      </ns0:c>
      <ns0:c r="E18" s="4" t="inlineStr">
        <ns0:is>
          <ns0:t>后续投放需求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7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2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0" customWidth="1" min="1" max="1"/>
    <ns0:col width="93" customWidth="1" min="2" max="2"/>
    <ns0:col width="42" customWidth="1" min="3" max="3"/>
    <ns0:col width="90" customWidth="1" min="4" max="4"/>
    <ns0:col width="80" customWidth="1" min="5" max="5"/>
  </ns0:cols>
  <ns0:sheetData>
    <ns0:row r="1" ht="32" customHeight="1">
      <ns0:c r="A1" s="1" t="inlineStr">
        <ns0:is>
          <ns0:t>t01-08｜来源与证据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来源ID</ns0:t>
        </ns0:is>
      </ns0:c>
      <ns0:c r="B5" s="3" t="inlineStr">
        <ns0:is>
          <ns0:t>来源位置</ns0:t>
        </ns0:is>
      </ns0:c>
      <ns0:c r="C5" s="3" t="inlineStr">
        <ns0:is>
          <ns0:t>性质</ns0:t>
        </ns0:is>
      </ns0:c>
      <ns0:c r="D5" s="3" t="inlineStr">
        <ns0:is>
          <ns0:t>有效范围</ns0:t>
        </ns0:is>
      </ns0:c>
      <ns0:c r="E5" s="3" t="inlineStr">
        <ns0:is>
          <ns0:t>完整性说明</ns0:t>
        </ns0:is>
      </ns0:c>
    </ns0:row>
    <ns0:row r="6" ht="30" customHeight="1">
      <ns0:c r="A6" s="4" t="inlineStr">
        <ns0:is>
          <ns0:t>U/A/B/C</ns0:t>
        </ns0:is>
      </ns0:c>
      <ns0:c r="B6" s="4" t="inlineStr">
        <ns0:is>
          <ns0:t>docs\sources\t01-08_三段资料结构化摘录_2026-09-28.md</ns0:t>
        </ns0:is>
      </ns0:c>
      <ns0:c r="C6" s="4" t="inlineStr">
        <ns0:is>
          <ns0:t>用户本轮消息的结构化摘录</ns0:t>
        </ns0:is>
      </ns0:c>
      <ns0:c r="D6" s="4" t="inlineStr">
        <ns0:is>
          <ns0:t>用户最新更正全为下品；C修正优先；候选与建议保留原性质</ns0:t>
        </ns0:is>
      </ns0:c>
      <ns0:c r="E6" s="4" t="inlineStr">
        <ns0:is>
          <ns0:t>不是附件原字节／完整逐字转录</ns0:t>
        </ns0:is>
      </ns0:c>
    </ns0:row>
    <ns0:row r="7" ht="30" customHeight="1">
      <ns0:c r="A7" s="5" t="inlineStr">
        <ns0:is>
          <ns0:t>GAME10</ns0:t>
        </ns0:is>
      </ns0:c>
      <ns0:c r="B7" s="5" t="inlineStr">
        <ns0:is>
          <ns0:t>data/maps/inventory_items.json</ns0:t>
        </ns0:is>
      </ns0:c>
      <ns0:c r="C7" s="5" t="inlineStr">
        <ns0:is>
          <ns0:t>现行配置只读快照</ns0:t>
        </ns0:is>
      </ns0:c>
      <ns0:c r="D7" s="5" t="inlineStr">
        <ns0:is>
          <ns0:t>10件同名基准数据；不等于新下品设计已实现</ns0:t>
        </ns0:is>
      </ns0:c>
      <ns0:c r="E7" s="5" t="inlineStr">
        <ns0:is>
          <ns0:t>684c149bf81c83f6034ffbd6a1f12e52a41de4c0ba1b722e8d6899921f84a528</ns0:t>
        </ns0:is>
      </ns0:c>
    </ns0:row>
    <ns0:row r="8" ht="105" customHeight="1">
      <ns0:c r="A8" s="4" t="inlineStr">
        <ns0:is>
          <ns0:t>Q01</ns0:t>
        </ns0:is>
      </ns0:c>
      <ns0:c r="B8" s="4" t="inlineStr">
        <ns0:is>
          <ns0:t>本轮选择题</ns0:t>
        </ns0:is>
      </ns0:c>
      <ns0:c r="C8" s="4" t="inlineStr">
        <ns0:is>
          <ns0:t>用户已答，2026-09-28</ns0:t>
        </ns0:is>
      </ns0:c>
      <ns0:c r="D8" s="4" t="inlineStr">
        <ns0:is>
          <ns0:t>历史Q01原答复：“仅允许这两组凡品防具联动，其他凡品仍按03原权限（建议）”；随后用户更正本批全部下品，现行例外限两组下品。</ns0:t>
        </ns0:is>
      </ns0:c>
      <ns0:c r="E8" s="4" t="inlineStr">
        <ns0:is>
          <ns0:t>原答复留作历史；现行品级按最新更正，两组限定许可不推广其他下品或凡品，候选数值未定案。</ns0:t>
        </ns0:is>
      </ns0:c>
    </ns0:row>
    <ns0:row r="9" ht="30" customHeight="1">
      <ns0:c r="A9" s="5" t="inlineStr">
        <ns0:is>
          <ns0:t>DICT01-07</ns0:t>
        </ns0:is>
      </ns0:c>
      <ns0:c r="B9" s="5" t="inlineStr">
        <ns0:is>
          <ns0:t>output/spreadsheet/t01-01～07正式词典</ns0:t>
        </ns0:is>
      </ns0:c>
      <ns0:c r="C9" s="5" t="inlineStr">
        <ns0:is>
          <ns0:t>既有规则参考</ns0:t>
        </ns0:is>
      </ns0:c>
      <ns0:c r="D9" s="5" t="inlineStr">
        <ns0:is>
          <ns0:t>引用具体接口；新全局规则须明确覆盖范围</ns0:t>
        </ns0:is>
      </ns0:c>
      <ns0:c r="E9" s="5" t="inlineStr">
        <ns0:is>
          <ns0:t>本轮未批准前不改旧词典</ns0:t>
        </ns0:is>
      </ns0:c>
    </ns0:row>
    <ns0:row r="10" ht="60" customHeight="1">
      <ns0:c r="A10" s="4" t="inlineStr">
        <ns0:is>
          <ns0:t>FP-S01</ns0:t>
        </ns0:is>
      </ns0:c>
      <ns0:c r="B10" s="4" t="inlineStr">
        <ns0:is>
          <ns0:t>docs/sources/t01-08_凡品第1批原文_2026-09-28.txt</ns0:t>
        </ns0:is>
      </ns0:c>
      <ns0:c r="C10" s="4" t="inlineStr">
        <ns0:is>
          <ns0:t>附件原字节归档</ns0:t>
        </ns0:is>
      </ns0:c>
      <ns0:c r="D10" s="4" t="inlineStr">
        <ns0:is>
          <ns0:t>78件完整基础数据及三组联动；后续覆盖以第2/3批和用户为准</ns0:t>
        </ns0:is>
      </ns0:c>
      <ns0:c r="E10" s="4" t="inlineStr">
        <ns0:is>
          <ns0:t>已校验附件SHA256</ns0:t>
        </ns0:is>
      </ns0:c>
    </ns0:row>
    <ns0:row r="11" ht="60" customHeight="1">
      <ns0:c r="A11" s="4" t="inlineStr">
        <ns0:is>
          <ns0:t>FP-S02</ns0:t>
        </ns0:is>
      </ns0:c>
      <ns0:c r="B11" s="4" t="inlineStr">
        <ns0:is>
          <ns0:t>本线程第2批＋第3批＋直接说明</ns0:t>
        </ns0:is>
      </ns0:c>
      <ns0:c r="C11" s="4" t="inlineStr">
        <ns0:is>
          <ns0:t>内贴资料结构化整理</ns0:t>
        </ns0:is>
      </ns0:c>
      <ns0:c r="D11" s="4" t="inlineStr">
        <ns0:is>
          <ns0:t>元素13处、2个状态换向、火弓退出／火枪新增；模板、成本、药品首瓶、NONE及铁甲29</ns0:t>
        </ns0:is>
      </ns0:c>
      <ns0:c r="E11" s="4" t="inlineStr">
        <ns0:is>
          <ns0:t>非逐字原文归档；见编制记录</ns0:t>
        </ns0:is>
      </ns0:c>
    </ns0:row>
    <ns0:row r="12" ht="60" customHeight="1">
      <ns0:c r="A12" s="4" t="inlineStr">
        <ns0:is>
          <ns0:t>FP-S03</ns0:t>
        </ns0:is>
      </ns0:c>
      <ns0:c r="B12" s="4" t="inlineStr">
        <ns0:is>
          <ns0:t>本次FP01丹药补表</ns0:t>
        </ns0:is>
      </ns0:c>
      <ns0:c r="C12" s="4" t="inlineStr">
        <ns0:is>
          <ns0:t>用户完整文字答复</ns0:t>
        </ns0:is>
      </ns0:c>
      <ns0:c r="D12" s="4" t="inlineStr">
        <ns0:is>
          <ns0:t>10丹药及自动使用条件、五行直接减伤范围</ns0:t>
        </ns0:is>
      </ns0:c>
      <ns0:c r="E12" s="4" t="inlineStr">
        <ns0:is>
          <ns0:t>录入数据见05；初版附件未展开该表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8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O171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6" customWidth="1" min="1" max="1"/>
    <ns0:col width="23" customWidth="1" min="2" max="2"/>
    <ns0:col width="12" customWidth="1" min="3" max="3"/>
    <ns0:col width="18" customWidth="1" min="4" max="4"/>
    <ns0:col width="18" customWidth="1" min="5" max="5"/>
    <ns0:col width="12" customWidth="1" min="6" max="6"/>
    <ns0:col width="12" customWidth="1" min="7" max="7"/>
    <ns0:col width="30" customWidth="1" min="8" max="8"/>
    <ns0:col width="12" customWidth="1" min="9" max="9"/>
    <ns0:col width="20" customWidth="1" min="10" max="10"/>
    <ns0:col width="14" customWidth="1" min="11" max="11"/>
    <ns0:col width="12" customWidth="1" min="12" max="12"/>
    <ns0:col width="35" customWidth="1" min="13" max="13"/>
    <ns0:col width="85" customWidth="1" min="14" max="14"/>
    <ns0:col width="30" customWidth="1" min="15" max="15"/>
  </ns0:cols>
  <ns0:sheetData>
    <ns0:row r="1" ht="32" customHeight="1">
      <ns0:c r="A1" s="1" t="inlineStr">
        <ns0:is>
          <ns0:t>t01-08｜效果与触发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效果记录ID</ns0:t>
        </ns0:is>
      </ns0:c>
      <ns0:c r="B5" s="3" t="inlineStr">
        <ns0:is>
          <ns0:t>资产ID</ns0:t>
        </ns0:is>
      </ns0:c>
      <ns0:c r="C5" s="3" t="inlineStr">
        <ns0:is>
          <ns0:t>来源编号</ns0:t>
        </ns0:is>
      </ns0:c>
      <ns0:c r="D5" s="3" t="inlineStr">
        <ns0:is>
          <ns0:t>名称</ns0:t>
        </ns0:is>
      </ns0:c>
      <ns0:c r="E5" s="3" t="inlineStr">
        <ns0:is>
          <ns0:t>行为</ns0:t>
        </ns0:is>
      </ns0:c>
      <ns0:c r="F5" s="3" t="inlineStr">
        <ns0:is>
          <ns0:t>数值</ns0:t>
        </ns0:is>
      </ns0:c>
      <ns0:c r="G5" s="3" t="inlineStr">
        <ns0:is>
          <ns0:t>状态</ns0:t>
        </ns0:is>
      </ns0:c>
      <ns0:c r="H5" s="3" t="inlineStr">
        <ns0:is>
          <ns0:t>触发时机</ns0:t>
        </ns0:is>
      </ns0:c>
      <ns0:c r="I5" s="3" t="inlineStr">
        <ns0:is>
          <ns0:t>目标</ns0:t>
        </ns0:is>
      </ns0:c>
      <ns0:c r="J5" s="3" t="inlineStr">
        <ns0:is>
          <ns0:t>来源身份</ns0:t>
        </ns0:is>
      </ns0:c>
      <ns0:c r="K5" s="3" t="inlineStr">
        <ns0:is>
          <ns0:t>攻击类型</ns0:t>
        </ns0:is>
      </ns0:c>
      <ns0:c r="L5" s="3" t="inlineStr">
        <ns0:is>
          <ns0:t>元素</ns0:t>
        </ns0:is>
      </ns0:c>
      <ns0:c r="M5" s="3" t="inlineStr">
        <ns0:is>
          <ns0:t>规则引用</ns0:t>
        </ns0:is>
      </ns0:c>
      <ns0:c r="N5" s="3" t="inlineStr">
        <ns0:is>
          <ns0:t>边界</ns0:t>
        </ns0:is>
      </ns0:c>
      <ns0:c r="O5" s="3" t="inlineStr">
        <ns0:is>
          <ns0:t>效力</ns0:t>
        </ns0:is>
      </ns0:c>
    </ns0:row>
    <ns0:row r="6" ht="40" customHeight="1">
      <ns0:c r="A6" s="4" t="inlineStr">
        <ns0:is>
          <ns0:t>t01.asset.0028.effect.01</ns0:t>
        </ns0:is>
      </ns0:c>
      <ns0:c r="B6" s="4" t="inlineStr">
        <ns0:is>
          <ns0:t>t01.asset.0028</ns0:t>
        </ns0:is>
      </ns0:c>
      <ns0:c r="C6" s="4" t="inlineStr">
        <ns0:is>
          <ns0:t>W01</ns0:t>
        </ns0:is>
      </ns0:c>
      <ns0:c r="D6" s="4" t="inlineStr">
        <ns0:is>
          <ns0:t>铁剑</ns0:t>
        </ns0:is>
      </ns0:c>
      <ns0:c r="E6" s="4" t="inlineStr">
        <ns0:is>
          <ns0:t>直接伤害</ns0:t>
        </ns0:is>
      </ns0:c>
      <ns0:c r="F6" s="4" t="n">
        <ns0:v>18</ns0:v>
      </ns0:c>
      <ns0:c r="G6" s="4" t="inlineStr"/>
      <ns0:c r="H6" s="4" t="inlineStr">
        <ns0:is>
          <ns0:t>合法发动并按命中结算</ns0:t>
        </ns0:is>
      </ns0:c>
      <ns0:c r="I6" s="4" t="inlineStr">
        <ns0:is>
          <ns0:t>敌方</ns0:t>
        </ns0:is>
      </ns0:c>
      <ns0:c r="J6" s="4" t="inlineStr">
        <ns0:is>
          <ns0:t>WEAPON</ns0:t>
        </ns0:is>
      </ns0:c>
      <ns0:c r="K6" s="4" t="inlineStr">
        <ns0:is>
          <ns0:t>斩击</ns0:t>
        </ns0:is>
      </ns0:c>
      <ns0:c r="L6" s="4" t="inlineStr">
        <ns0:is>
          <ns0:t>无属性</ns0:t>
        </ns0:is>
      </ns0:c>
      <ns0:c r="M6" s="4" t="inlineStr">
        <ns0:is>
          <ns0:t>01 M06 A01；04攻击类型</ns0:t>
        </ns0:is>
      </ns0:c>
      <ns0:c r="N6" s="4" t="inlineStr">
        <ns0:is>
          <ns0:t>单一基础伤害，不额外赠送一份元素伤害；来源身份不因SPELL攻击类型改变</ns0:t>
        </ns0:is>
      </ns0:c>
      <ns0:c r="O6" s="4" t="inlineStr">
        <ns0:is>
          <ns0:t>候选设计记录；未注册游戏Effect</ns0:t>
        </ns0:is>
      </ns0:c>
    </ns0:row>
    <ns0:row r="7" ht="40" customHeight="1">
      <ns0:c r="A7" s="15" t="inlineStr">
        <ns0:is>
          <ns0:t>t01.asset.0029.effect.01</ns0:t>
        </ns0:is>
      </ns0:c>
      <ns0:c r="B7" s="15" t="inlineStr">
        <ns0:is>
          <ns0:t>t01.asset.0029</ns0:t>
        </ns0:is>
      </ns0:c>
      <ns0:c r="C7" s="15" t="inlineStr">
        <ns0:is>
          <ns0:t>W02</ns0:t>
        </ns0:is>
      </ns0:c>
      <ns0:c r="D7" s="15" t="inlineStr">
        <ns0:is>
          <ns0:t>赤纹剑</ns0:t>
        </ns0:is>
      </ns0:c>
      <ns0:c r="E7" s="15" t="inlineStr">
        <ns0:is>
          <ns0:t>直接伤害</ns0:t>
        </ns0:is>
      </ns0:c>
      <ns0:c r="F7" s="15" t="n">
        <ns0:v>16</ns0:v>
      </ns0:c>
      <ns0:c r="G7" s="15" t="inlineStr"/>
      <ns0:c r="H7" s="15" t="inlineStr">
        <ns0:is>
          <ns0:t>合法发动并按命中结算</ns0:t>
        </ns0:is>
      </ns0:c>
      <ns0:c r="I7" s="15" t="inlineStr">
        <ns0:is>
          <ns0:t>敌方</ns0:t>
        </ns0:is>
      </ns0:c>
      <ns0:c r="J7" s="15" t="inlineStr">
        <ns0:is>
          <ns0:t>WEAPON</ns0:t>
        </ns0:is>
      </ns0:c>
      <ns0:c r="K7" s="15" t="inlineStr">
        <ns0:is>
          <ns0:t>斩击</ns0:t>
        </ns0:is>
      </ns0:c>
      <ns0:c r="L7" s="15" t="inlineStr">
        <ns0:is>
          <ns0:t>火</ns0:t>
        </ns0:is>
      </ns0:c>
      <ns0:c r="M7" s="15" t="inlineStr">
        <ns0:is>
          <ns0:t>01 M06 A01；04攻击类型</ns0:t>
        </ns0:is>
      </ns0:c>
      <ns0:c r="N7" s="15" t="inlineStr">
        <ns0:is>
          <ns0:t>单一基础伤害，不额外赠送一份元素伤害；来源身份不因SPELL攻击类型改变</ns0:t>
        </ns0:is>
      </ns0:c>
      <ns0:c r="O7" s="15" t="inlineStr">
        <ns0:is>
          <ns0:t>候选设计记录；未注册游戏Effect</ns0:t>
        </ns0:is>
      </ns0:c>
    </ns0:row>
    <ns0:row r="8" ht="40" customHeight="1">
      <ns0:c r="A8" s="4" t="inlineStr">
        <ns0:is>
          <ns0:t>t01.asset.0029.effect.02</ns0:t>
        </ns0:is>
      </ns0:c>
      <ns0:c r="B8" s="4" t="inlineStr">
        <ns0:is>
          <ns0:t>t01.asset.0029</ns0:t>
        </ns0:is>
      </ns0:c>
      <ns0:c r="C8" s="4" t="inlineStr">
        <ns0:is>
          <ns0:t>W02</ns0:t>
        </ns0:is>
      </ns0:c>
      <ns0:c r="D8" s="4" t="inlineStr">
        <ns0:is>
          <ns0:t>赤纹剑</ns0:t>
        </ns0:is>
      </ns0:c>
      <ns0:c r="E8" s="4" t="inlineStr">
        <ns0:is>
          <ns0:t>施加状态</ns0:t>
        </ns0:is>
      </ns0:c>
      <ns0:c r="F8" s="4" t="n">
        <ns0:v>1</ns0:v>
      </ns0:c>
      <ns0:c r="G8" s="4" t="inlineStr">
        <ns0:is>
          <ns0:t>灼烧</ns0:t>
        </ns0:is>
      </ns0:c>
      <ns0:c r="H8" s="4" t="inlineStr">
        <ns0:is>
          <ns0:t>命中</ns0:t>
        </ns0:is>
      </ns0:c>
      <ns0:c r="I8" s="4" t="inlineStr">
        <ns0:is>
          <ns0:t>敌方</ns0:t>
        </ns0:is>
      </ns0:c>
      <ns0:c r="J8" s="4" t="inlineStr">
        <ns0:is>
          <ns0:t>WEAPON</ns0:t>
        </ns0:is>
      </ns0:c>
      <ns0:c r="K8" s="4" t="inlineStr">
        <ns0:is>
          <ns0:t>斩击</ns0:t>
        </ns0:is>
      </ns0:c>
      <ns0:c r="L8" s="4" t="inlineStr">
        <ns0:is>
          <ns0:t>火</ns0:t>
        </ns0:is>
      </ns0:c>
      <ns0:c r="M8" s="4" t="inlineStr">
        <ns0:is>
          <ns0:t>02核心状态／OP_ADD；01 M02/M03/M07</ns0:t>
        </ns0:is>
      </ns0:c>
      <ns0:c r="N8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8" s="4" t="inlineStr">
        <ns0:is>
          <ns0:t>候选设计记录；未注册游戏Effect</ns0:t>
        </ns0:is>
      </ns0:c>
    </ns0:row>
    <ns0:row r="9" ht="40" customHeight="1">
      <ns0:c r="A9" s="15" t="inlineStr">
        <ns0:is>
          <ns0:t>t01.asset.0030.effect.01</ns0:t>
        </ns0:is>
      </ns0:c>
      <ns0:c r="B9" s="15" t="inlineStr">
        <ns0:is>
          <ns0:t>t01.asset.0030</ns0:t>
        </ns0:is>
      </ns0:c>
      <ns0:c r="C9" s="15" t="inlineStr">
        <ns0:is>
          <ns0:t>W03</ns0:t>
        </ns0:is>
      </ns0:c>
      <ns0:c r="D9" s="15" t="inlineStr">
        <ns0:is>
          <ns0:t>寒水剑</ns0:t>
        </ns0:is>
      </ns0:c>
      <ns0:c r="E9" s="15" t="inlineStr">
        <ns0:is>
          <ns0:t>直接伤害</ns0:t>
        </ns0:is>
      </ns0:c>
      <ns0:c r="F9" s="15" t="n">
        <ns0:v>17</ns0:v>
      </ns0:c>
      <ns0:c r="G9" s="15" t="inlineStr"/>
      <ns0:c r="H9" s="15" t="inlineStr">
        <ns0:is>
          <ns0:t>合法发动并按命中结算</ns0:t>
        </ns0:is>
      </ns0:c>
      <ns0:c r="I9" s="15" t="inlineStr">
        <ns0:is>
          <ns0:t>敌方</ns0:t>
        </ns0:is>
      </ns0:c>
      <ns0:c r="J9" s="15" t="inlineStr">
        <ns0:is>
          <ns0:t>WEAPON</ns0:t>
        </ns0:is>
      </ns0:c>
      <ns0:c r="K9" s="15" t="inlineStr">
        <ns0:is>
          <ns0:t>斩击</ns0:t>
        </ns0:is>
      </ns0:c>
      <ns0:c r="L9" s="15" t="inlineStr">
        <ns0:is>
          <ns0:t>水</ns0:t>
        </ns0:is>
      </ns0:c>
      <ns0:c r="M9" s="15" t="inlineStr">
        <ns0:is>
          <ns0:t>01 M06 A01；04攻击类型</ns0:t>
        </ns0:is>
      </ns0:c>
      <ns0:c r="N9" s="15" t="inlineStr">
        <ns0:is>
          <ns0:t>单一基础伤害，不额外赠送一份元素伤害；来源身份不因SPELL攻击类型改变</ns0:t>
        </ns0:is>
      </ns0:c>
      <ns0:c r="O9" s="15" t="inlineStr">
        <ns0:is>
          <ns0:t>候选设计记录；未注册游戏Effect</ns0:t>
        </ns0:is>
      </ns0:c>
    </ns0:row>
    <ns0:row r="10" ht="40" customHeight="1">
      <ns0:c r="A10" s="4" t="inlineStr">
        <ns0:is>
          <ns0:t>t01.asset.0030.effect.02</ns0:t>
        </ns0:is>
      </ns0:c>
      <ns0:c r="B10" s="4" t="inlineStr">
        <ns0:is>
          <ns0:t>t01.asset.0030</ns0:t>
        </ns0:is>
      </ns0:c>
      <ns0:c r="C10" s="4" t="inlineStr">
        <ns0:is>
          <ns0:t>W03</ns0:t>
        </ns0:is>
      </ns0:c>
      <ns0:c r="D10" s="4" t="inlineStr">
        <ns0:is>
          <ns0:t>寒水剑</ns0:t>
        </ns0:is>
      </ns0:c>
      <ns0:c r="E10" s="4" t="inlineStr">
        <ns0:is>
          <ns0:t>施加状态</ns0:t>
        </ns0:is>
      </ns0:c>
      <ns0:c r="F10" s="4" t="n">
        <ns0:v>1</ns0:v>
      </ns0:c>
      <ns0:c r="G10" s="4" t="inlineStr">
        <ns0:is>
          <ns0:t>寒霜</ns0:t>
        </ns0:is>
      </ns0:c>
      <ns0:c r="H10" s="4" t="inlineStr">
        <ns0:is>
          <ns0:t>命中</ns0:t>
        </ns0:is>
      </ns0:c>
      <ns0:c r="I10" s="4" t="inlineStr">
        <ns0:is>
          <ns0:t>敌方</ns0:t>
        </ns0:is>
      </ns0:c>
      <ns0:c r="J10" s="4" t="inlineStr">
        <ns0:is>
          <ns0:t>WEAPON</ns0:t>
        </ns0:is>
      </ns0:c>
      <ns0:c r="K10" s="4" t="inlineStr">
        <ns0:is>
          <ns0:t>斩击</ns0:t>
        </ns0:is>
      </ns0:c>
      <ns0:c r="L10" s="4" t="inlineStr">
        <ns0:is>
          <ns0:t>水</ns0:t>
        </ns0:is>
      </ns0:c>
      <ns0:c r="M10" s="4" t="inlineStr">
        <ns0:is>
          <ns0:t>02核心状态／OP_ADD；01 M02/M03/M07</ns0:t>
        </ns0:is>
      </ns0:c>
      <ns0:c r="N10" s="4" t="inlineStr">
        <ns0:is>
          <ns0:t>施加结果以合法应用返回值判断，不用状态池净增量；即时转盾不抹去成功施加。寒霜正常新层先施加、后由本次合格主动水攻触发；初霜专属额外层例外留后次。</ns0:t>
        </ns0:is>
      </ns0:c>
      <ns0:c r="O10" s="4" t="inlineStr">
        <ns0:is>
          <ns0:t>候选设计记录；未注册游戏Effect</ns0:t>
        </ns0:is>
      </ns0:c>
    </ns0:row>
    <ns0:row r="11" ht="40" customHeight="1">
      <ns0:c r="A11" s="15" t="inlineStr">
        <ns0:is>
          <ns0:t>t01.asset.0031.effect.01</ns0:t>
        </ns0:is>
      </ns0:c>
      <ns0:c r="B11" s="15" t="inlineStr">
        <ns0:is>
          <ns0:t>t01.asset.0031</ns0:t>
        </ns0:is>
      </ns0:c>
      <ns0:c r="C11" s="15" t="inlineStr">
        <ns0:is>
          <ns0:t>W05</ns0:t>
        </ns0:is>
      </ns0:c>
      <ns0:c r="D11" s="15" t="inlineStr">
        <ns0:is>
          <ns0:t>钢刀</ns0:t>
        </ns0:is>
      </ns0:c>
      <ns0:c r="E11" s="15" t="inlineStr">
        <ns0:is>
          <ns0:t>直接伤害</ns0:t>
        </ns0:is>
      </ns0:c>
      <ns0:c r="F11" s="15" t="n">
        <ns0:v>10</ns0:v>
      </ns0:c>
      <ns0:c r="G11" s="15" t="inlineStr"/>
      <ns0:c r="H11" s="15" t="inlineStr">
        <ns0:is>
          <ns0:t>合法发动并按命中结算</ns0:t>
        </ns0:is>
      </ns0:c>
      <ns0:c r="I11" s="15" t="inlineStr">
        <ns0:is>
          <ns0:t>敌方</ns0:t>
        </ns0:is>
      </ns0:c>
      <ns0:c r="J11" s="15" t="inlineStr">
        <ns0:is>
          <ns0:t>WEAPON</ns0:t>
        </ns0:is>
      </ns0:c>
      <ns0:c r="K11" s="15" t="inlineStr">
        <ns0:is>
          <ns0:t>斩击</ns0:t>
        </ns0:is>
      </ns0:c>
      <ns0:c r="L11" s="15" t="inlineStr">
        <ns0:is>
          <ns0:t>金</ns0:t>
        </ns0:is>
      </ns0:c>
      <ns0:c r="M11" s="15" t="inlineStr">
        <ns0:is>
          <ns0:t>01 M06 A01；04攻击类型</ns0:t>
        </ns0:is>
      </ns0:c>
      <ns0:c r="N11" s="15" t="inlineStr">
        <ns0:is>
          <ns0:t>单一基础伤害，不额外赠送一份元素伤害；来源身份不因SPELL攻击类型改变</ns0:t>
        </ns0:is>
      </ns0:c>
      <ns0:c r="O11" s="15" t="inlineStr">
        <ns0:is>
          <ns0:t>候选设计记录；未注册游戏Effect</ns0:t>
        </ns0:is>
      </ns0:c>
    </ns0:row>
    <ns0:row r="12" ht="40" customHeight="1">
      <ns0:c r="A12" s="4" t="inlineStr">
        <ns0:is>
          <ns0:t>t01.asset.0031.effect.02</ns0:t>
        </ns0:is>
      </ns0:c>
      <ns0:c r="B12" s="4" t="inlineStr">
        <ns0:is>
          <ns0:t>t01.asset.0031</ns0:t>
        </ns0:is>
      </ns0:c>
      <ns0:c r="C12" s="4" t="inlineStr">
        <ns0:is>
          <ns0:t>W05</ns0:t>
        </ns0:is>
      </ns0:c>
      <ns0:c r="D12" s="4" t="inlineStr">
        <ns0:is>
          <ns0:t>钢刀</ns0:t>
        </ns0:is>
      </ns0:c>
      <ns0:c r="E12" s="4" t="inlineStr">
        <ns0:is>
          <ns0:t>施加状态</ns0:t>
        </ns0:is>
      </ns0:c>
      <ns0:c r="F12" s="4" t="n">
        <ns0:v>1</ns0:v>
      </ns0:c>
      <ns0:c r="G12" s="4" t="inlineStr">
        <ns0:is>
          <ns0:t>流血</ns0:t>
        </ns0:is>
      </ns0:c>
      <ns0:c r="H12" s="4" t="inlineStr">
        <ns0:is>
          <ns0:t>实际伤到气血</ns0:t>
        </ns0:is>
      </ns0:c>
      <ns0:c r="I12" s="4" t="inlineStr">
        <ns0:is>
          <ns0:t>敌方</ns0:t>
        </ns0:is>
      </ns0:c>
      <ns0:c r="J12" s="4" t="inlineStr">
        <ns0:is>
          <ns0:t>WEAPON</ns0:t>
        </ns0:is>
      </ns0:c>
      <ns0:c r="K12" s="4" t="inlineStr">
        <ns0:is>
          <ns0:t>斩击</ns0:t>
        </ns0:is>
      </ns0:c>
      <ns0:c r="L12" s="4" t="inlineStr">
        <ns0:is>
          <ns0:t>金</ns0:t>
        </ns0:is>
      </ns0:c>
      <ns0:c r="M12" s="4" t="inlineStr">
        <ns0:is>
          <ns0:t>02核心状态／OP_ADD；01 M02/M03/M07</ns0:t>
        </ns0:is>
      </ns0:c>
      <ns0:c r="N12" s="4" t="inlineStr">
        <ns0:is>
          <ns0:t>施加结果以合法应用返回值判断，不用状态池净增量；即时转盾不抹去成功施加。本件流血须本次攻击实际伤及气血；只命中或只扣盾甲不足。</ns0:t>
        </ns0:is>
      </ns0:c>
      <ns0:c r="O12" s="4" t="inlineStr">
        <ns0:is>
          <ns0:t>候选设计记录；未注册游戏Effect</ns0:t>
        </ns0:is>
      </ns0:c>
    </ns0:row>
    <ns0:row r="13" ht="40" customHeight="1">
      <ns0:c r="A13" s="15" t="inlineStr">
        <ns0:is>
          <ns0:t>t01.asset.0032.effect.01</ns0:t>
        </ns0:is>
      </ns0:c>
      <ns0:c r="B13" s="15" t="inlineStr">
        <ns0:is>
          <ns0:t>t01.asset.0032</ns0:t>
        </ns0:is>
      </ns0:c>
      <ns0:c r="C13" s="15" t="inlineStr">
        <ns0:is>
          <ns0:t>W06</ns0:t>
        </ns0:is>
      </ns0:c>
      <ns0:c r="D13" s="15" t="inlineStr">
        <ns0:is>
          <ns0:t>金纹刀</ns0:t>
        </ns0:is>
      </ns0:c>
      <ns0:c r="E13" s="15" t="inlineStr">
        <ns0:is>
          <ns0:t>直接伤害</ns0:t>
        </ns0:is>
      </ns0:c>
      <ns0:c r="F13" s="15" t="n">
        <ns0:v>12</ns0:v>
      </ns0:c>
      <ns0:c r="G13" s="15" t="inlineStr"/>
      <ns0:c r="H13" s="15" t="inlineStr">
        <ns0:is>
          <ns0:t>合法发动并按命中结算</ns0:t>
        </ns0:is>
      </ns0:c>
      <ns0:c r="I13" s="15" t="inlineStr">
        <ns0:is>
          <ns0:t>敌方</ns0:t>
        </ns0:is>
      </ns0:c>
      <ns0:c r="J13" s="15" t="inlineStr">
        <ns0:is>
          <ns0:t>WEAPON</ns0:t>
        </ns0:is>
      </ns0:c>
      <ns0:c r="K13" s="15" t="inlineStr">
        <ns0:is>
          <ns0:t>斩击</ns0:t>
        </ns0:is>
      </ns0:c>
      <ns0:c r="L13" s="15" t="inlineStr">
        <ns0:is>
          <ns0:t>金</ns0:t>
        </ns0:is>
      </ns0:c>
      <ns0:c r="M13" s="15" t="inlineStr">
        <ns0:is>
          <ns0:t>01 M06 A01；04攻击类型</ns0:t>
        </ns0:is>
      </ns0:c>
      <ns0:c r="N13" s="15" t="inlineStr">
        <ns0:is>
          <ns0:t>单一基础伤害，不额外赠送一份元素伤害；来源身份不因SPELL攻击类型改变</ns0:t>
        </ns0:is>
      </ns0:c>
      <ns0:c r="O13" s="15" t="inlineStr">
        <ns0:is>
          <ns0:t>候选设计记录；未注册游戏Effect</ns0:t>
        </ns0:is>
      </ns0:c>
    </ns0:row>
    <ns0:row r="14" ht="40" customHeight="1">
      <ns0:c r="A14" s="4" t="inlineStr">
        <ns0:is>
          <ns0:t>t01.asset.0032.effect.02</ns0:t>
        </ns0:is>
      </ns0:c>
      <ns0:c r="B14" s="4" t="inlineStr">
        <ns0:is>
          <ns0:t>t01.asset.0032</ns0:t>
        </ns0:is>
      </ns0:c>
      <ns0:c r="C14" s="4" t="inlineStr">
        <ns0:is>
          <ns0:t>W06</ns0:t>
        </ns0:is>
      </ns0:c>
      <ns0:c r="D14" s="4" t="inlineStr">
        <ns0:is>
          <ns0:t>金纹刀</ns0:t>
        </ns0:is>
      </ns0:c>
      <ns0:c r="E14" s="4" t="inlineStr">
        <ns0:is>
          <ns0:t>施加状态</ns0:t>
        </ns0:is>
      </ns0:c>
      <ns0:c r="F14" s="4" t="n">
        <ns0:v>1</ns0:v>
      </ns0:c>
      <ns0:c r="G14" s="4" t="inlineStr">
        <ns0:is>
          <ns0:t>锋痕</ns0:t>
        </ns0:is>
      </ns0:c>
      <ns0:c r="H14" s="4" t="inlineStr">
        <ns0:is>
          <ns0:t>命中</ns0:t>
        </ns0:is>
      </ns0:c>
      <ns0:c r="I14" s="4" t="inlineStr">
        <ns0:is>
          <ns0:t>敌方</ns0:t>
        </ns0:is>
      </ns0:c>
      <ns0:c r="J14" s="4" t="inlineStr">
        <ns0:is>
          <ns0:t>WEAPON</ns0:t>
        </ns0:is>
      </ns0:c>
      <ns0:c r="K14" s="4" t="inlineStr">
        <ns0:is>
          <ns0:t>斩击</ns0:t>
        </ns0:is>
      </ns0:c>
      <ns0:c r="L14" s="4" t="inlineStr">
        <ns0:is>
          <ns0:t>金</ns0:t>
        </ns0:is>
      </ns0:c>
      <ns0:c r="M14" s="4" t="inlineStr">
        <ns0:is>
          <ns0:t>02核心状态／OP_ADD；01 M02/M03/M07</ns0:t>
        </ns0:is>
      </ns0:c>
      <ns0:c r="N14" s="4" t="inlineStr">
        <ns0:is>
          <ns0:t>施加结果以合法应用返回值判断，不用状态池净增量；即时转盾不抹去成功施加。锋痕由合格武器攻击兑现；金光镜仍是法器来源，不因金元素或SPELL攻击类型取得武器资格。</ns0:t>
        </ns0:is>
      </ns0:c>
      <ns0:c r="O14" s="4" t="inlineStr">
        <ns0:is>
          <ns0:t>候选设计记录；未注册游戏Effect</ns0:t>
        </ns0:is>
      </ns0:c>
    </ns0:row>
    <ns0:row r="15" ht="40" customHeight="1">
      <ns0:c r="A15" s="15" t="inlineStr">
        <ns0:is>
          <ns0:t>t01.asset.0033.effect.01</ns0:t>
        </ns0:is>
      </ns0:c>
      <ns0:c r="B15" s="15" t="inlineStr">
        <ns0:is>
          <ns0:t>t01.asset.0033</ns0:t>
        </ns0:is>
      </ns0:c>
      <ns0:c r="C15" s="15" t="inlineStr">
        <ns0:is>
          <ns0:t>W07</ns0:t>
        </ns0:is>
      </ns0:c>
      <ns0:c r="D15" s="15" t="inlineStr">
        <ns0:is>
          <ns0:t>赤焰刀</ns0:t>
        </ns0:is>
      </ns0:c>
      <ns0:c r="E15" s="15" t="inlineStr">
        <ns0:is>
          <ns0:t>直接伤害</ns0:t>
        </ns0:is>
      </ns0:c>
      <ns0:c r="F15" s="15" t="n">
        <ns0:v>11</ns0:v>
      </ns0:c>
      <ns0:c r="G15" s="15" t="inlineStr"/>
      <ns0:c r="H15" s="15" t="inlineStr">
        <ns0:is>
          <ns0:t>合法发动并按命中结算</ns0:t>
        </ns0:is>
      </ns0:c>
      <ns0:c r="I15" s="15" t="inlineStr">
        <ns0:is>
          <ns0:t>敌方</ns0:t>
        </ns0:is>
      </ns0:c>
      <ns0:c r="J15" s="15" t="inlineStr">
        <ns0:is>
          <ns0:t>WEAPON</ns0:t>
        </ns0:is>
      </ns0:c>
      <ns0:c r="K15" s="15" t="inlineStr">
        <ns0:is>
          <ns0:t>斩击</ns0:t>
        </ns0:is>
      </ns0:c>
      <ns0:c r="L15" s="15" t="inlineStr">
        <ns0:is>
          <ns0:t>火</ns0:t>
        </ns0:is>
      </ns0:c>
      <ns0:c r="M15" s="15" t="inlineStr">
        <ns0:is>
          <ns0:t>01 M06 A01；04攻击类型</ns0:t>
        </ns0:is>
      </ns0:c>
      <ns0:c r="N15" s="15" t="inlineStr">
        <ns0:is>
          <ns0:t>单一基础伤害，不额外赠送一份元素伤害；来源身份不因SPELL攻击类型改变</ns0:t>
        </ns0:is>
      </ns0:c>
      <ns0:c r="O15" s="15" t="inlineStr">
        <ns0:is>
          <ns0:t>候选设计记录；未注册游戏Effect</ns0:t>
        </ns0:is>
      </ns0:c>
    </ns0:row>
    <ns0:row r="16" ht="40" customHeight="1">
      <ns0:c r="A16" s="4" t="inlineStr">
        <ns0:is>
          <ns0:t>t01.asset.0033.effect.02</ns0:t>
        </ns0:is>
      </ns0:c>
      <ns0:c r="B16" s="4" t="inlineStr">
        <ns0:is>
          <ns0:t>t01.asset.0033</ns0:t>
        </ns0:is>
      </ns0:c>
      <ns0:c r="C16" s="4" t="inlineStr">
        <ns0:is>
          <ns0:t>W07</ns0:t>
        </ns0:is>
      </ns0:c>
      <ns0:c r="D16" s="4" t="inlineStr">
        <ns0:is>
          <ns0:t>赤焰刀</ns0:t>
        </ns0:is>
      </ns0:c>
      <ns0:c r="E16" s="4" t="inlineStr">
        <ns0:is>
          <ns0:t>施加状态</ns0:t>
        </ns0:is>
      </ns0:c>
      <ns0:c r="F16" s="4" t="n">
        <ns0:v>1</ns0:v>
      </ns0:c>
      <ns0:c r="G16" s="4" t="inlineStr">
        <ns0:is>
          <ns0:t>破甲</ns0:t>
        </ns0:is>
      </ns0:c>
      <ns0:c r="H16" s="4" t="inlineStr">
        <ns0:is>
          <ns0:t>命中</ns0:t>
        </ns0:is>
      </ns0:c>
      <ns0:c r="I16" s="4" t="inlineStr">
        <ns0:is>
          <ns0:t>敌方</ns0:t>
        </ns0:is>
      </ns0:c>
      <ns0:c r="J16" s="4" t="inlineStr">
        <ns0:is>
          <ns0:t>WEAPON</ns0:t>
        </ns0:is>
      </ns0:c>
      <ns0:c r="K16" s="4" t="inlineStr">
        <ns0:is>
          <ns0:t>斩击</ns0:t>
        </ns0:is>
      </ns0:c>
      <ns0:c r="L16" s="4" t="inlineStr">
        <ns0:is>
          <ns0:t>火</ns0:t>
        </ns0:is>
      </ns0:c>
      <ns0:c r="M16" s="4" t="inlineStr">
        <ns0:is>
          <ns0:t>02核心状态／OP_ADD；01 M02/M03/M07</ns0:t>
        </ns0:is>
      </ns0:c>
      <ns0:c r="N16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6" s="4" t="inlineStr">
        <ns0:is>
          <ns0:t>候选设计记录；未注册游戏Effect</ns0:t>
        </ns0:is>
      </ns0:c>
    </ns0:row>
    <ns0:row r="17" ht="40" customHeight="1">
      <ns0:c r="A17" s="15" t="inlineStr">
        <ns0:is>
          <ns0:t>t01.asset.0034.effect.01</ns0:t>
        </ns0:is>
      </ns0:c>
      <ns0:c r="B17" s="15" t="inlineStr">
        <ns0:is>
          <ns0:t>t01.asset.0034</ns0:t>
        </ns0:is>
      </ns0:c>
      <ns0:c r="C17" s="15" t="inlineStr">
        <ns0:is>
          <ns0:t>W08</ns0:t>
        </ns0:is>
      </ns0:c>
      <ns0:c r="D17" s="15" t="inlineStr">
        <ns0:is>
          <ns0:t>开山斧</ns0:t>
        </ns0:is>
      </ns0:c>
      <ns0:c r="E17" s="15" t="inlineStr">
        <ns0:is>
          <ns0:t>直接伤害</ns0:t>
        </ns0:is>
      </ns0:c>
      <ns0:c r="F17" s="15" t="n">
        <ns0:v>30</ns0:v>
      </ns0:c>
      <ns0:c r="G17" s="15" t="inlineStr"/>
      <ns0:c r="H17" s="15" t="inlineStr">
        <ns0:is>
          <ns0:t>合法发动并按命中结算</ns0:t>
        </ns0:is>
      </ns0:c>
      <ns0:c r="I17" s="15" t="inlineStr">
        <ns0:is>
          <ns0:t>敌方</ns0:t>
        </ns0:is>
      </ns0:c>
      <ns0:c r="J17" s="15" t="inlineStr">
        <ns0:is>
          <ns0:t>WEAPON</ns0:t>
        </ns0:is>
      </ns0:c>
      <ns0:c r="K17" s="15" t="inlineStr">
        <ns0:is>
          <ns0:t>斩击</ns0:t>
        </ns0:is>
      </ns0:c>
      <ns0:c r="L17" s="15" t="inlineStr">
        <ns0:is>
          <ns0:t>土</ns0:t>
        </ns0:is>
      </ns0:c>
      <ns0:c r="M17" s="15" t="inlineStr">
        <ns0:is>
          <ns0:t>01 M06 A01；04攻击类型</ns0:t>
        </ns0:is>
      </ns0:c>
      <ns0:c r="N17" s="15" t="inlineStr">
        <ns0:is>
          <ns0:t>单一基础伤害，不额外赠送一份元素伤害；来源身份不因SPELL攻击类型改变</ns0:t>
        </ns0:is>
      </ns0:c>
      <ns0:c r="O17" s="15" t="inlineStr">
        <ns0:is>
          <ns0:t>候选设计记录；未注册游戏Effect</ns0:t>
        </ns0:is>
      </ns0:c>
    </ns0:row>
    <ns0:row r="18" ht="40" customHeight="1">
      <ns0:c r="A18" s="4" t="inlineStr">
        <ns0:is>
          <ns0:t>t01.asset.0034.effect.02</ns0:t>
        </ns0:is>
      </ns0:c>
      <ns0:c r="B18" s="4" t="inlineStr">
        <ns0:is>
          <ns0:t>t01.asset.0034</ns0:t>
        </ns0:is>
      </ns0:c>
      <ns0:c r="C18" s="4" t="inlineStr">
        <ns0:is>
          <ns0:t>W08</ns0:t>
        </ns0:is>
      </ns0:c>
      <ns0:c r="D18" s="4" t="inlineStr">
        <ns0:is>
          <ns0:t>开山斧</ns0:t>
        </ns0:is>
      </ns0:c>
      <ns0:c r="E18" s="4" t="inlineStr">
        <ns0:is>
          <ns0:t>施加状态</ns0:t>
        </ns0:is>
      </ns0:c>
      <ns0:c r="F18" s="4" t="n">
        <ns0:v>2</ns0:v>
      </ns0:c>
      <ns0:c r="G18" s="4" t="inlineStr">
        <ns0:is>
          <ns0:t>疲惫</ns0:t>
        </ns0:is>
      </ns0:c>
      <ns0:c r="H18" s="4" t="inlineStr">
        <ns0:is>
          <ns0:t>命中</ns0:t>
        </ns0:is>
      </ns0:c>
      <ns0:c r="I18" s="4" t="inlineStr">
        <ns0:is>
          <ns0:t>敌方</ns0:t>
        </ns0:is>
      </ns0:c>
      <ns0:c r="J18" s="4" t="inlineStr">
        <ns0:is>
          <ns0:t>WEAPON</ns0:t>
        </ns0:is>
      </ns0:c>
      <ns0:c r="K18" s="4" t="inlineStr">
        <ns0:is>
          <ns0:t>斩击</ns0:t>
        </ns0:is>
      </ns0:c>
      <ns0:c r="L18" s="4" t="inlineStr">
        <ns0:is>
          <ns0:t>土</ns0:t>
        </ns0:is>
      </ns0:c>
      <ns0:c r="M18" s="4" t="inlineStr">
        <ns0:is>
          <ns0:t>02核心状态／OP_ADD；01 M02/M03/M07</ns0:t>
        </ns0:is>
      </ns0:c>
      <ns0:c r="N18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8" s="4" t="inlineStr">
        <ns0:is>
          <ns0:t>候选设计记录；未注册游戏Effect</ns0:t>
        </ns0:is>
      </ns0:c>
    </ns0:row>
    <ns0:row r="19" ht="40" customHeight="1">
      <ns0:c r="A19" s="15" t="inlineStr">
        <ns0:is>
          <ns0:t>t01.asset.0035.effect.01</ns0:t>
        </ns0:is>
      </ns0:c>
      <ns0:c r="B19" s="15" t="inlineStr">
        <ns0:is>
          <ns0:t>t01.asset.0035</ns0:t>
        </ns0:is>
      </ns0:c>
      <ns0:c r="C19" s="15" t="inlineStr">
        <ns0:is>
          <ns0:t>W09</ns0:t>
        </ns0:is>
      </ns0:c>
      <ns0:c r="D19" s="15" t="inlineStr">
        <ns0:is>
          <ns0:t>金刚斧</ns0:t>
        </ns0:is>
      </ns0:c>
      <ns0:c r="E19" s="15" t="inlineStr">
        <ns0:is>
          <ns0:t>直接伤害</ns0:t>
        </ns0:is>
      </ns0:c>
      <ns0:c r="F19" s="15" t="n">
        <ns0:v>28</ns0:v>
      </ns0:c>
      <ns0:c r="G19" s="15" t="inlineStr"/>
      <ns0:c r="H19" s="15" t="inlineStr">
        <ns0:is>
          <ns0:t>合法发动并按命中结算</ns0:t>
        </ns0:is>
      </ns0:c>
      <ns0:c r="I19" s="15" t="inlineStr">
        <ns0:is>
          <ns0:t>敌方</ns0:t>
        </ns0:is>
      </ns0:c>
      <ns0:c r="J19" s="15" t="inlineStr">
        <ns0:is>
          <ns0:t>WEAPON</ns0:t>
        </ns0:is>
      </ns0:c>
      <ns0:c r="K19" s="15" t="inlineStr">
        <ns0:is>
          <ns0:t>斩击</ns0:t>
        </ns0:is>
      </ns0:c>
      <ns0:c r="L19" s="15" t="inlineStr">
        <ns0:is>
          <ns0:t>金</ns0:t>
        </ns0:is>
      </ns0:c>
      <ns0:c r="M19" s="15" t="inlineStr">
        <ns0:is>
          <ns0:t>01 M06 A01；04攻击类型</ns0:t>
        </ns0:is>
      </ns0:c>
      <ns0:c r="N19" s="15" t="inlineStr">
        <ns0:is>
          <ns0:t>单一基础伤害，不额外赠送一份元素伤害；来源身份不因SPELL攻击类型改变</ns0:t>
        </ns0:is>
      </ns0:c>
      <ns0:c r="O19" s="15" t="inlineStr">
        <ns0:is>
          <ns0:t>候选设计记录；未注册游戏Effect</ns0:t>
        </ns0:is>
      </ns0:c>
    </ns0:row>
    <ns0:row r="20" ht="40" customHeight="1">
      <ns0:c r="A20" s="4" t="inlineStr">
        <ns0:is>
          <ns0:t>t01.asset.0035.effect.02</ns0:t>
        </ns0:is>
      </ns0:c>
      <ns0:c r="B20" s="4" t="inlineStr">
        <ns0:is>
          <ns0:t>t01.asset.0035</ns0:t>
        </ns0:is>
      </ns0:c>
      <ns0:c r="C20" s="4" t="inlineStr">
        <ns0:is>
          <ns0:t>W09</ns0:t>
        </ns0:is>
      </ns0:c>
      <ns0:c r="D20" s="4" t="inlineStr">
        <ns0:is>
          <ns0:t>金刚斧</ns0:t>
        </ns0:is>
      </ns0:c>
      <ns0:c r="E20" s="4" t="inlineStr">
        <ns0:is>
          <ns0:t>施加状态</ns0:t>
        </ns0:is>
      </ns0:c>
      <ns0:c r="F20" s="4" t="n">
        <ns0:v>2</ns0:v>
      </ns0:c>
      <ns0:c r="G20" s="4" t="inlineStr">
        <ns0:is>
          <ns0:t>锋痕</ns0:t>
        </ns0:is>
      </ns0:c>
      <ns0:c r="H20" s="4" t="inlineStr">
        <ns0:is>
          <ns0:t>命中</ns0:t>
        </ns0:is>
      </ns0:c>
      <ns0:c r="I20" s="4" t="inlineStr">
        <ns0:is>
          <ns0:t>敌方</ns0:t>
        </ns0:is>
      </ns0:c>
      <ns0:c r="J20" s="4" t="inlineStr">
        <ns0:is>
          <ns0:t>WEAPON</ns0:t>
        </ns0:is>
      </ns0:c>
      <ns0:c r="K20" s="4" t="inlineStr">
        <ns0:is>
          <ns0:t>斩击</ns0:t>
        </ns0:is>
      </ns0:c>
      <ns0:c r="L20" s="4" t="inlineStr">
        <ns0:is>
          <ns0:t>金</ns0:t>
        </ns0:is>
      </ns0:c>
      <ns0:c r="M20" s="4" t="inlineStr">
        <ns0:is>
          <ns0:t>02核心状态／OP_ADD；01 M02/M03/M07</ns0:t>
        </ns0:is>
      </ns0:c>
      <ns0:c r="N20" s="4" t="inlineStr">
        <ns0:is>
          <ns0:t>施加结果以合法应用返回值判断，不用状态池净增量；即时转盾不抹去成功施加。锋痕由合格武器攻击兑现；金光镜仍是法器来源，不因金元素或SPELL攻击类型取得武器资格。</ns0:t>
        </ns0:is>
      </ns0:c>
      <ns0:c r="O20" s="4" t="inlineStr">
        <ns0:is>
          <ns0:t>候选设计记录；未注册游戏Effect</ns0:t>
        </ns0:is>
      </ns0:c>
    </ns0:row>
    <ns0:row r="21" ht="40" customHeight="1">
      <ns0:c r="A21" s="15" t="inlineStr">
        <ns0:is>
          <ns0:t>t01.asset.0036.effect.01</ns0:t>
        </ns0:is>
      </ns0:c>
      <ns0:c r="B21" s="15" t="inlineStr">
        <ns0:is>
          <ns0:t>t01.asset.0036</ns0:t>
        </ns0:is>
      </ns0:c>
      <ns0:c r="C21" s="15" t="inlineStr">
        <ns0:is>
          <ns0:t>W10</ns0:t>
        </ns0:is>
      </ns0:c>
      <ns0:c r="D21" s="15" t="inlineStr">
        <ns0:is>
          <ns0:t>厚土斧</ns0:t>
        </ns0:is>
      </ns0:c>
      <ns0:c r="E21" s="15" t="inlineStr">
        <ns0:is>
          <ns0:t>直接伤害</ns0:t>
        </ns0:is>
      </ns0:c>
      <ns0:c r="F21" s="15" t="n">
        <ns0:v>28</ns0:v>
      </ns0:c>
      <ns0:c r="G21" s="15" t="inlineStr"/>
      <ns0:c r="H21" s="15" t="inlineStr">
        <ns0:is>
          <ns0:t>合法发动并按命中结算</ns0:t>
        </ns0:is>
      </ns0:c>
      <ns0:c r="I21" s="15" t="inlineStr">
        <ns0:is>
          <ns0:t>敌方</ns0:t>
        </ns0:is>
      </ns0:c>
      <ns0:c r="J21" s="15" t="inlineStr">
        <ns0:is>
          <ns0:t>WEAPON</ns0:t>
        </ns0:is>
      </ns0:c>
      <ns0:c r="K21" s="15" t="inlineStr">
        <ns0:is>
          <ns0:t>斩击</ns0:t>
        </ns0:is>
      </ns0:c>
      <ns0:c r="L21" s="15" t="inlineStr">
        <ns0:is>
          <ns0:t>土</ns0:t>
        </ns0:is>
      </ns0:c>
      <ns0:c r="M21" s="15" t="inlineStr">
        <ns0:is>
          <ns0:t>01 M06 A01；04攻击类型</ns0:t>
        </ns0:is>
      </ns0:c>
      <ns0:c r="N21" s="15" t="inlineStr">
        <ns0:is>
          <ns0:t>单一基础伤害，不额外赠送一份元素伤害；来源身份不因SPELL攻击类型改变</ns0:t>
        </ns0:is>
      </ns0:c>
      <ns0:c r="O21" s="15" t="inlineStr">
        <ns0:is>
          <ns0:t>候选设计记录；未注册游戏Effect</ns0:t>
        </ns0:is>
      </ns0:c>
    </ns0:row>
    <ns0:row r="22" ht="40" customHeight="1">
      <ns0:c r="A22" s="4" t="inlineStr">
        <ns0:is>
          <ns0:t>t01.asset.0036.effect.02</ns0:t>
        </ns0:is>
      </ns0:c>
      <ns0:c r="B22" s="4" t="inlineStr">
        <ns0:is>
          <ns0:t>t01.asset.0036</ns0:t>
        </ns0:is>
      </ns0:c>
      <ns0:c r="C22" s="4" t="inlineStr">
        <ns0:is>
          <ns0:t>W10</ns0:t>
        </ns0:is>
      </ns0:c>
      <ns0:c r="D22" s="4" t="inlineStr">
        <ns0:is>
          <ns0:t>厚土斧</ns0:t>
        </ns0:is>
      </ns0:c>
      <ns0:c r="E22" s="4" t="inlineStr">
        <ns0:is>
          <ns0:t>施加状态</ns0:t>
        </ns0:is>
      </ns0:c>
      <ns0:c r="F22" s="4" t="n">
        <ns0:v>2</ns0:v>
      </ns0:c>
      <ns0:c r="G22" s="4" t="inlineStr">
        <ns0:is>
          <ns0:t>重伤</ns0:t>
        </ns0:is>
      </ns0:c>
      <ns0:c r="H22" s="4" t="inlineStr">
        <ns0:is>
          <ns0:t>命中</ns0:t>
        </ns0:is>
      </ns0:c>
      <ns0:c r="I22" s="4" t="inlineStr">
        <ns0:is>
          <ns0:t>敌方</ns0:t>
        </ns0:is>
      </ns0:c>
      <ns0:c r="J22" s="4" t="inlineStr">
        <ns0:is>
          <ns0:t>WEAPON</ns0:t>
        </ns0:is>
      </ns0:c>
      <ns0:c r="K22" s="4" t="inlineStr">
        <ns0:is>
          <ns0:t>斩击</ns0:t>
        </ns0:is>
      </ns0:c>
      <ns0:c r="L22" s="4" t="inlineStr">
        <ns0:is>
          <ns0:t>土</ns0:t>
        </ns0:is>
      </ns0:c>
      <ns0:c r="M22" s="4" t="inlineStr">
        <ns0:is>
          <ns0:t>02核心状态／OP_ADD；01 M02/M03/M07</ns0:t>
        </ns0:is>
      </ns0:c>
      <ns0:c r="N2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22" s="4" t="inlineStr">
        <ns0:is>
          <ns0:t>候选设计记录；未注册游戏Effect</ns0:t>
        </ns0:is>
      </ns0:c>
    </ns0:row>
    <ns0:row r="23" ht="40" customHeight="1">
      <ns0:c r="A23" s="15" t="inlineStr">
        <ns0:is>
          <ns0:t>t01.asset.0037.effect.01</ns0:t>
        </ns0:is>
      </ns0:c>
      <ns0:c r="B23" s="15" t="inlineStr">
        <ns0:is>
          <ns0:t>t01.asset.0037</ns0:t>
        </ns0:is>
      </ns0:c>
      <ns0:c r="C23" s="15" t="inlineStr">
        <ns0:is>
          <ns0:t>W11</ns0:t>
        </ns0:is>
      </ns0:c>
      <ns0:c r="D23" s="15" t="inlineStr">
        <ns0:is>
          <ns0:t>桑木弓</ns0:t>
        </ns0:is>
      </ns0:c>
      <ns0:c r="E23" s="15" t="inlineStr">
        <ns0:is>
          <ns0:t>直接伤害</ns0:t>
        </ns0:is>
      </ns0:c>
      <ns0:c r="F23" s="15" t="n">
        <ns0:v>24</ns0:v>
      </ns0:c>
      <ns0:c r="G23" s="15" t="inlineStr"/>
      <ns0:c r="H23" s="15" t="inlineStr">
        <ns0:is>
          <ns0:t>合法发动并按命中结算</ns0:t>
        </ns0:is>
      </ns0:c>
      <ns0:c r="I23" s="15" t="inlineStr">
        <ns0:is>
          <ns0:t>敌方</ns0:t>
        </ns0:is>
      </ns0:c>
      <ns0:c r="J23" s="15" t="inlineStr">
        <ns0:is>
          <ns0:t>WEAPON</ns0:t>
        </ns0:is>
      </ns0:c>
      <ns0:c r="K23" s="15" t="inlineStr">
        <ns0:is>
          <ns0:t>穿刺</ns0:t>
        </ns0:is>
      </ns0:c>
      <ns0:c r="L23" s="15" t="inlineStr">
        <ns0:is>
          <ns0:t>木</ns0:t>
        </ns0:is>
      </ns0:c>
      <ns0:c r="M23" s="15" t="inlineStr">
        <ns0:is>
          <ns0:t>01 M06 A01；04攻击类型</ns0:t>
        </ns0:is>
      </ns0:c>
      <ns0:c r="N23" s="15" t="inlineStr">
        <ns0:is>
          <ns0:t>单一基础伤害，不额外赠送一份元素伤害；来源身份不因SPELL攻击类型改变</ns0:t>
        </ns0:is>
      </ns0:c>
      <ns0:c r="O23" s="15" t="inlineStr">
        <ns0:is>
          <ns0:t>候选设计记录；未注册游戏Effect</ns0:t>
        </ns0:is>
      </ns0:c>
    </ns0:row>
    <ns0:row r="24" ht="40" customHeight="1">
      <ns0:c r="A24" s="4" t="inlineStr">
        <ns0:is>
          <ns0:t>t01.asset.0038.effect.01</ns0:t>
        </ns0:is>
      </ns0:c>
      <ns0:c r="B24" s="4" t="inlineStr">
        <ns0:is>
          <ns0:t>t01.asset.0038</ns0:t>
        </ns0:is>
      </ns0:c>
      <ns0:c r="C24" s="4" t="inlineStr">
        <ns0:is>
          <ns0:t>W12</ns0:t>
        </ns0:is>
      </ns0:c>
      <ns0:c r="D24" s="4" t="inlineStr">
        <ns0:is>
          <ns0:t>水纹弓</ns0:t>
        </ns0:is>
      </ns0:c>
      <ns0:c r="E24" s="4" t="inlineStr">
        <ns0:is>
          <ns0:t>直接伤害</ns0:t>
        </ns0:is>
      </ns0:c>
      <ns0:c r="F24" s="4" t="n">
        <ns0:v>20</ns0:v>
      </ns0:c>
      <ns0:c r="G24" s="4" t="inlineStr"/>
      <ns0:c r="H24" s="4" t="inlineStr">
        <ns0:is>
          <ns0:t>合法发动并按命中结算</ns0:t>
        </ns0:is>
      </ns0:c>
      <ns0:c r="I24" s="4" t="inlineStr">
        <ns0:is>
          <ns0:t>敌方</ns0:t>
        </ns0:is>
      </ns0:c>
      <ns0:c r="J24" s="4" t="inlineStr">
        <ns0:is>
          <ns0:t>WEAPON</ns0:t>
        </ns0:is>
      </ns0:c>
      <ns0:c r="K24" s="4" t="inlineStr">
        <ns0:is>
          <ns0:t>穿刺</ns0:t>
        </ns0:is>
      </ns0:c>
      <ns0:c r="L24" s="4" t="inlineStr">
        <ns0:is>
          <ns0:t>水</ns0:t>
        </ns0:is>
      </ns0:c>
      <ns0:c r="M24" s="4" t="inlineStr">
        <ns0:is>
          <ns0:t>01 M06 A01；04攻击类型</ns0:t>
        </ns0:is>
      </ns0:c>
      <ns0:c r="N24" s="4" t="inlineStr">
        <ns0:is>
          <ns0:t>单一基础伤害，不额外赠送一份元素伤害；来源身份不因SPELL攻击类型改变</ns0:t>
        </ns0:is>
      </ns0:c>
      <ns0:c r="O24" s="4" t="inlineStr">
        <ns0:is>
          <ns0:t>候选设计记录；未注册游戏Effect</ns0:t>
        </ns0:is>
      </ns0:c>
    </ns0:row>
    <ns0:row r="25" ht="40" customHeight="1">
      <ns0:c r="A25" s="15" t="inlineStr">
        <ns0:is>
          <ns0:t>t01.asset.0038.effect.02</ns0:t>
        </ns0:is>
      </ns0:c>
      <ns0:c r="B25" s="15" t="inlineStr">
        <ns0:is>
          <ns0:t>t01.asset.0038</ns0:t>
        </ns0:is>
      </ns0:c>
      <ns0:c r="C25" s="15" t="inlineStr">
        <ns0:is>
          <ns0:t>W12</ns0:t>
        </ns0:is>
      </ns0:c>
      <ns0:c r="D25" s="15" t="inlineStr">
        <ns0:is>
          <ns0:t>水纹弓</ns0:t>
        </ns0:is>
      </ns0:c>
      <ns0:c r="E25" s="15" t="inlineStr">
        <ns0:is>
          <ns0:t>施加状态</ns0:t>
        </ns0:is>
      </ns0:c>
      <ns0:c r="F25" s="15" t="n">
        <ns0:v>1</ns0:v>
      </ns0:c>
      <ns0:c r="G25" s="15" t="inlineStr">
        <ns0:is>
          <ns0:t>枯脉</ns0:t>
        </ns0:is>
      </ns0:c>
      <ns0:c r="H25" s="15" t="inlineStr">
        <ns0:is>
          <ns0:t>命中</ns0:t>
        </ns0:is>
      </ns0:c>
      <ns0:c r="I25" s="15" t="inlineStr">
        <ns0:is>
          <ns0:t>敌方</ns0:t>
        </ns0:is>
      </ns0:c>
      <ns0:c r="J25" s="15" t="inlineStr">
        <ns0:is>
          <ns0:t>WEAPON</ns0:t>
        </ns0:is>
      </ns0:c>
      <ns0:c r="K25" s="15" t="inlineStr">
        <ns0:is>
          <ns0:t>穿刺</ns0:t>
        </ns0:is>
      </ns0:c>
      <ns0:c r="L25" s="15" t="inlineStr">
        <ns0:is>
          <ns0:t>水</ns0:t>
        </ns0:is>
      </ns0:c>
      <ns0:c r="M25" s="15" t="inlineStr">
        <ns0:is>
          <ns0:t>02核心状态／OP_ADD；01 M02/M03/M07</ns0:t>
        </ns0:is>
      </ns0:c>
      <ns0:c r="N2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25" s="15" t="inlineStr">
        <ns0:is>
          <ns0:t>候选设计记录；未注册游戏Effect</ns0:t>
        </ns0:is>
      </ns0:c>
    </ns0:row>
    <ns0:row r="26" ht="40" customHeight="1">
      <ns0:c r="A26" s="4" t="inlineStr">
        <ns0:is>
          <ns0:t>t01.asset.0039.effect.01</ns0:t>
        </ns0:is>
      </ns0:c>
      <ns0:c r="B26" s="4" t="inlineStr">
        <ns0:is>
          <ns0:t>t01.asset.0039</ns0:t>
        </ns0:is>
      </ns0:c>
      <ns0:c r="C26" s="4" t="inlineStr">
        <ns0:is>
          <ns0:t>W14</ns0:t>
        </ns0:is>
      </ns0:c>
      <ns0:c r="D26" s="4" t="inlineStr">
        <ns0:is>
          <ns0:t>雷纹弓</ns0:t>
        </ns0:is>
      </ns0:c>
      <ns0:c r="E26" s="4" t="inlineStr">
        <ns0:is>
          <ns0:t>直接伤害</ns0:t>
        </ns0:is>
      </ns0:c>
      <ns0:c r="F26" s="4" t="n">
        <ns0:v>22</ns0:v>
      </ns0:c>
      <ns0:c r="G26" s="4" t="inlineStr"/>
      <ns0:c r="H26" s="4" t="inlineStr">
        <ns0:is>
          <ns0:t>合法发动并按命中结算</ns0:t>
        </ns0:is>
      </ns0:c>
      <ns0:c r="I26" s="4" t="inlineStr">
        <ns0:is>
          <ns0:t>敌方</ns0:t>
        </ns0:is>
      </ns0:c>
      <ns0:c r="J26" s="4" t="inlineStr">
        <ns0:is>
          <ns0:t>WEAPON</ns0:t>
        </ns0:is>
      </ns0:c>
      <ns0:c r="K26" s="4" t="inlineStr">
        <ns0:is>
          <ns0:t>穿刺</ns0:t>
        </ns0:is>
      </ns0:c>
      <ns0:c r="L26" s="4" t="inlineStr">
        <ns0:is>
          <ns0:t>雷</ns0:t>
        </ns0:is>
      </ns0:c>
      <ns0:c r="M26" s="4" t="inlineStr">
        <ns0:is>
          <ns0:t>01 M06 A01；04攻击类型</ns0:t>
        </ns0:is>
      </ns0:c>
      <ns0:c r="N26" s="4" t="inlineStr">
        <ns0:is>
          <ns0:t>单一基础伤害，不额外赠送一份元素伤害；来源身份不因SPELL攻击类型改变</ns0:t>
        </ns0:is>
      </ns0:c>
      <ns0:c r="O26" s="4" t="inlineStr">
        <ns0:is>
          <ns0:t>候选设计记录；未注册游戏Effect</ns0:t>
        </ns0:is>
      </ns0:c>
    </ns0:row>
    <ns0:row r="27" ht="40" customHeight="1">
      <ns0:c r="A27" s="15" t="inlineStr">
        <ns0:is>
          <ns0:t>t01.asset.0039.effect.02</ns0:t>
        </ns0:is>
      </ns0:c>
      <ns0:c r="B27" s="15" t="inlineStr">
        <ns0:is>
          <ns0:t>t01.asset.0039</ns0:t>
        </ns0:is>
      </ns0:c>
      <ns0:c r="C27" s="15" t="inlineStr">
        <ns0:is>
          <ns0:t>W14</ns0:t>
        </ns0:is>
      </ns0:c>
      <ns0:c r="D27" s="15" t="inlineStr">
        <ns0:is>
          <ns0:t>雷纹弓</ns0:t>
        </ns0:is>
      </ns0:c>
      <ns0:c r="E27" s="15" t="inlineStr">
        <ns0:is>
          <ns0:t>施加状态</ns0:t>
        </ns0:is>
      </ns0:c>
      <ns0:c r="F27" s="15" t="n">
        <ns0:v>1</ns0:v>
      </ns0:c>
      <ns0:c r="G27" s="15" t="inlineStr">
        <ns0:is>
          <ns0:t>连环</ns0:t>
        </ns0:is>
      </ns0:c>
      <ns0:c r="H27" s="15" t="inlineStr">
        <ns0:is>
          <ns0:t>命中</ns0:t>
        </ns0:is>
      </ns0:c>
      <ns0:c r="I27" s="15" t="inlineStr">
        <ns0:is>
          <ns0:t>敌方</ns0:t>
        </ns0:is>
      </ns0:c>
      <ns0:c r="J27" s="15" t="inlineStr">
        <ns0:is>
          <ns0:t>WEAPON</ns0:t>
        </ns0:is>
      </ns0:c>
      <ns0:c r="K27" s="15" t="inlineStr">
        <ns0:is>
          <ns0:t>穿刺</ns0:t>
        </ns0:is>
      </ns0:c>
      <ns0:c r="L27" s="15" t="inlineStr">
        <ns0:is>
          <ns0:t>雷</ns0:t>
        </ns0:is>
      </ns0:c>
      <ns0:c r="M27" s="15" t="inlineStr">
        <ns0:is>
          <ns0:t>02核心状态／OP_ADD；01 M02/M03/M07</ns0:t>
        </ns0:is>
      </ns0:c>
      <ns0:c r="N27" s="15" t="inlineStr">
        <ns0:is>
          <ns0:t>施加结果以合法应用返回值判断，不用状态池净增量；即时转盾不抹去成功施加。连环供后续合格雷攻击利用；锁雷环无本体攻击，不直接制造雷击或闪电。</ns0:t>
        </ns0:is>
      </ns0:c>
      <ns0:c r="O27" s="15" t="inlineStr">
        <ns0:is>
          <ns0:t>候选设计记录；未注册游戏Effect</ns0:t>
        </ns0:is>
      </ns0:c>
    </ns0:row>
    <ns0:row r="28" ht="40" customHeight="1">
      <ns0:c r="A28" s="4" t="inlineStr">
        <ns0:is>
          <ns0:t>t01.asset.0040.effect.01</ns0:t>
        </ns0:is>
      </ns0:c>
      <ns0:c r="B28" s="4" t="inlineStr">
        <ns0:is>
          <ns0:t>t01.asset.0040</ns0:t>
        </ns0:is>
      </ns0:c>
      <ns0:c r="C28" s="4" t="inlineStr">
        <ns0:is>
          <ns0:t>W15</ns0:t>
        </ns0:is>
      </ns0:c>
      <ns0:c r="D28" s="4" t="inlineStr">
        <ns0:is>
          <ns0:t>精铁匕</ns0:t>
        </ns0:is>
      </ns0:c>
      <ns0:c r="E28" s="4" t="inlineStr">
        <ns0:is>
          <ns0:t>直接伤害</ns0:t>
        </ns0:is>
      </ns0:c>
      <ns0:c r="F28" s="4" t="n">
        <ns0:v>8</ns0:v>
      </ns0:c>
      <ns0:c r="G28" s="4" t="inlineStr"/>
      <ns0:c r="H28" s="4" t="inlineStr">
        <ns0:is>
          <ns0:t>合法发动并按命中结算</ns0:t>
        </ns0:is>
      </ns0:c>
      <ns0:c r="I28" s="4" t="inlineStr">
        <ns0:is>
          <ns0:t>敌方</ns0:t>
        </ns0:is>
      </ns0:c>
      <ns0:c r="J28" s="4" t="inlineStr">
        <ns0:is>
          <ns0:t>WEAPON</ns0:t>
        </ns0:is>
      </ns0:c>
      <ns0:c r="K28" s="4" t="inlineStr">
        <ns0:is>
          <ns0:t>穿刺</ns0:t>
        </ns0:is>
      </ns0:c>
      <ns0:c r="L28" s="4" t="inlineStr">
        <ns0:is>
          <ns0:t>金</ns0:t>
        </ns0:is>
      </ns0:c>
      <ns0:c r="M28" s="4" t="inlineStr">
        <ns0:is>
          <ns0:t>01 M06 A01；04攻击类型</ns0:t>
        </ns0:is>
      </ns0:c>
      <ns0:c r="N28" s="4" t="inlineStr">
        <ns0:is>
          <ns0:t>单一基础伤害，不额外赠送一份元素伤害；来源身份不因SPELL攻击类型改变</ns0:t>
        </ns0:is>
      </ns0:c>
      <ns0:c r="O28" s="4" t="inlineStr">
        <ns0:is>
          <ns0:t>候选设计记录；未注册游戏Effect</ns0:t>
        </ns0:is>
      </ns0:c>
    </ns0:row>
    <ns0:row r="29" ht="40" customHeight="1">
      <ns0:c r="A29" s="15" t="inlineStr">
        <ns0:is>
          <ns0:t>t01.asset.0040.effect.02</ns0:t>
        </ns0:is>
      </ns0:c>
      <ns0:c r="B29" s="15" t="inlineStr">
        <ns0:is>
          <ns0:t>t01.asset.0040</ns0:t>
        </ns0:is>
      </ns0:c>
      <ns0:c r="C29" s="15" t="inlineStr">
        <ns0:is>
          <ns0:t>W15</ns0:t>
        </ns0:is>
      </ns0:c>
      <ns0:c r="D29" s="15" t="inlineStr">
        <ns0:is>
          <ns0:t>精铁匕</ns0:t>
        </ns0:is>
      </ns0:c>
      <ns0:c r="E29" s="15" t="inlineStr">
        <ns0:is>
          <ns0:t>施加状态</ns0:t>
        </ns0:is>
      </ns0:c>
      <ns0:c r="F29" s="15" t="n">
        <ns0:v>1</ns0:v>
      </ns0:c>
      <ns0:c r="G29" s="15" t="inlineStr">
        <ns0:is>
          <ns0:t>流血</ns0:t>
        </ns0:is>
      </ns0:c>
      <ns0:c r="H29" s="15" t="inlineStr">
        <ns0:is>
          <ns0:t>实际伤到气血</ns0:t>
        </ns0:is>
      </ns0:c>
      <ns0:c r="I29" s="15" t="inlineStr">
        <ns0:is>
          <ns0:t>敌方</ns0:t>
        </ns0:is>
      </ns0:c>
      <ns0:c r="J29" s="15" t="inlineStr">
        <ns0:is>
          <ns0:t>WEAPON</ns0:t>
        </ns0:is>
      </ns0:c>
      <ns0:c r="K29" s="15" t="inlineStr">
        <ns0:is>
          <ns0:t>穿刺</ns0:t>
        </ns0:is>
      </ns0:c>
      <ns0:c r="L29" s="15" t="inlineStr">
        <ns0:is>
          <ns0:t>金</ns0:t>
        </ns0:is>
      </ns0:c>
      <ns0:c r="M29" s="15" t="inlineStr">
        <ns0:is>
          <ns0:t>02核心状态／OP_ADD；01 M02/M03/M07</ns0:t>
        </ns0:is>
      </ns0:c>
      <ns0:c r="N29" s="15" t="inlineStr">
        <ns0:is>
          <ns0:t>施加结果以合法应用返回值判断，不用状态池净增量；即时转盾不抹去成功施加。本件流血须本次攻击实际伤及气血；只命中或只扣盾甲不足。</ns0:t>
        </ns0:is>
      </ns0:c>
      <ns0:c r="O29" s="15" t="inlineStr">
        <ns0:is>
          <ns0:t>候选设计记录；未注册游戏Effect</ns0:t>
        </ns0:is>
      </ns0:c>
    </ns0:row>
    <ns0:row r="30" ht="40" customHeight="1">
      <ns0:c r="A30" s="4" t="inlineStr">
        <ns0:is>
          <ns0:t>t01.asset.0041.effect.01</ns0:t>
        </ns0:is>
      </ns0:c>
      <ns0:c r="B30" s="4" t="inlineStr">
        <ns0:is>
          <ns0:t>t01.asset.0041</ns0:t>
        </ns0:is>
      </ns0:c>
      <ns0:c r="C30" s="4" t="inlineStr">
        <ns0:is>
          <ns0:t>W16</ns0:t>
        </ns0:is>
      </ns0:c>
      <ns0:c r="D30" s="4" t="inlineStr">
        <ns0:is>
          <ns0:t>风刃匕</ns0:t>
        </ns0:is>
      </ns0:c>
      <ns0:c r="E30" s="4" t="inlineStr">
        <ns0:is>
          <ns0:t>直接伤害</ns0:t>
        </ns0:is>
      </ns0:c>
      <ns0:c r="F30" s="4" t="n">
        <ns0:v>7</ns0:v>
      </ns0:c>
      <ns0:c r="G30" s="4" t="inlineStr"/>
      <ns0:c r="H30" s="4" t="inlineStr">
        <ns0:is>
          <ns0:t>合法发动并按命中结算</ns0:t>
        </ns0:is>
      </ns0:c>
      <ns0:c r="I30" s="4" t="inlineStr">
        <ns0:is>
          <ns0:t>敌方</ns0:t>
        </ns0:is>
      </ns0:c>
      <ns0:c r="J30" s="4" t="inlineStr">
        <ns0:is>
          <ns0:t>WEAPON</ns0:t>
        </ns0:is>
      </ns0:c>
      <ns0:c r="K30" s="4" t="inlineStr">
        <ns0:is>
          <ns0:t>穿刺</ns0:t>
        </ns0:is>
      </ns0:c>
      <ns0:c r="L30" s="4" t="inlineStr">
        <ns0:is>
          <ns0:t>风</ns0:t>
        </ns0:is>
      </ns0:c>
      <ns0:c r="M30" s="4" t="inlineStr">
        <ns0:is>
          <ns0:t>01 M06 A01；04攻击类型</ns0:t>
        </ns0:is>
      </ns0:c>
      <ns0:c r="N30" s="4" t="inlineStr">
        <ns0:is>
          <ns0:t>单一基础伤害，不额外赠送一份元素伤害；来源身份不因SPELL攻击类型改变</ns0:t>
        </ns0:is>
      </ns0:c>
      <ns0:c r="O30" s="4" t="inlineStr">
        <ns0:is>
          <ns0:t>候选设计记录；未注册游戏Effect</ns0:t>
        </ns0:is>
      </ns0:c>
    </ns0:row>
    <ns0:row r="31" ht="40" customHeight="1">
      <ns0:c r="A31" s="15" t="inlineStr">
        <ns0:is>
          <ns0:t>t01.asset.0041.effect.02</ns0:t>
        </ns0:is>
      </ns0:c>
      <ns0:c r="B31" s="15" t="inlineStr">
        <ns0:is>
          <ns0:t>t01.asset.0041</ns0:t>
        </ns0:is>
      </ns0:c>
      <ns0:c r="C31" s="15" t="inlineStr">
        <ns0:is>
          <ns0:t>W16</ns0:t>
        </ns0:is>
      </ns0:c>
      <ns0:c r="D31" s="15" t="inlineStr">
        <ns0:is>
          <ns0:t>风刃匕</ns0:t>
        </ns0:is>
      </ns0:c>
      <ns0:c r="E31" s="15" t="inlineStr">
        <ns0:is>
          <ns0:t>施加状态</ns0:t>
        </ns0:is>
      </ns0:c>
      <ns0:c r="F31" s="15" t="n">
        <ns0:v>1</ns0:v>
      </ns0:c>
      <ns0:c r="G31" s="15" t="inlineStr">
        <ns0:is>
          <ns0:t>失衡</ns0:t>
        </ns0:is>
      </ns0:c>
      <ns0:c r="H31" s="15" t="inlineStr">
        <ns0:is>
          <ns0:t>命中</ns0:t>
        </ns0:is>
      </ns0:c>
      <ns0:c r="I31" s="15" t="inlineStr">
        <ns0:is>
          <ns0:t>敌方</ns0:t>
        </ns0:is>
      </ns0:c>
      <ns0:c r="J31" s="15" t="inlineStr">
        <ns0:is>
          <ns0:t>WEAPON</ns0:t>
        </ns0:is>
      </ns0:c>
      <ns0:c r="K31" s="15" t="inlineStr">
        <ns0:is>
          <ns0:t>穿刺</ns0:t>
        </ns0:is>
      </ns0:c>
      <ns0:c r="L31" s="15" t="inlineStr">
        <ns0:is>
          <ns0:t>风</ns0:t>
        </ns0:is>
      </ns0:c>
      <ns0:c r="M31" s="15" t="inlineStr">
        <ns0:is>
          <ns0:t>02核心状态／OP_ADD；01 M02/M03/M07</ns0:t>
        </ns0:is>
      </ns0:c>
      <ns0:c r="N3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31" s="15" t="inlineStr">
        <ns0:is>
          <ns0:t>候选设计记录；未注册游戏Effect</ns0:t>
        </ns0:is>
      </ns0:c>
    </ns0:row>
    <ns0:row r="32" ht="40" customHeight="1">
      <ns0:c r="A32" s="4" t="inlineStr">
        <ns0:is>
          <ns0:t>t01.asset.0042.effect.01</ns0:t>
        </ns0:is>
      </ns0:c>
      <ns0:c r="B32" s="4" t="inlineStr">
        <ns0:is>
          <ns0:t>t01.asset.0042</ns0:t>
        </ns0:is>
      </ns0:c>
      <ns0:c r="C32" s="4" t="inlineStr">
        <ns0:is>
          <ns0:t>W17</ns0:t>
        </ns0:is>
      </ns0:c>
      <ns0:c r="D32" s="4" t="inlineStr">
        <ns0:is>
          <ns0:t>青木枪</ns0:t>
        </ns0:is>
      </ns0:c>
      <ns0:c r="E32" s="4" t="inlineStr">
        <ns0:is>
          <ns0:t>直接伤害</ns0:t>
        </ns0:is>
      </ns0:c>
      <ns0:c r="F32" s="4" t="n">
        <ns0:v>34</ns0:v>
      </ns0:c>
      <ns0:c r="G32" s="4" t="inlineStr"/>
      <ns0:c r="H32" s="4" t="inlineStr">
        <ns0:is>
          <ns0:t>合法发动并按命中结算</ns0:t>
        </ns0:is>
      </ns0:c>
      <ns0:c r="I32" s="4" t="inlineStr">
        <ns0:is>
          <ns0:t>敌方</ns0:t>
        </ns0:is>
      </ns0:c>
      <ns0:c r="J32" s="4" t="inlineStr">
        <ns0:is>
          <ns0:t>WEAPON</ns0:t>
        </ns0:is>
      </ns0:c>
      <ns0:c r="K32" s="4" t="inlineStr">
        <ns0:is>
          <ns0:t>穿刺</ns0:t>
        </ns0:is>
      </ns0:c>
      <ns0:c r="L32" s="4" t="inlineStr">
        <ns0:is>
          <ns0:t>木</ns0:t>
        </ns0:is>
      </ns0:c>
      <ns0:c r="M32" s="4" t="inlineStr">
        <ns0:is>
          <ns0:t>01 M06 A01；04攻击类型</ns0:t>
        </ns0:is>
      </ns0:c>
      <ns0:c r="N32" s="4" t="inlineStr">
        <ns0:is>
          <ns0:t>单一基础伤害，不额外赠送一份元素伤害；来源身份不因SPELL攻击类型改变</ns0:t>
        </ns0:is>
      </ns0:c>
      <ns0:c r="O32" s="4" t="inlineStr">
        <ns0:is>
          <ns0:t>候选设计记录；未注册游戏Effect</ns0:t>
        </ns0:is>
      </ns0:c>
    </ns0:row>
    <ns0:row r="33" ht="40" customHeight="1">
      <ns0:c r="A33" s="15" t="inlineStr">
        <ns0:is>
          <ns0:t>t01.asset.0042.effect.02</ns0:t>
        </ns0:is>
      </ns0:c>
      <ns0:c r="B33" s="15" t="inlineStr">
        <ns0:is>
          <ns0:t>t01.asset.0042</ns0:t>
        </ns0:is>
      </ns0:c>
      <ns0:c r="C33" s="15" t="inlineStr">
        <ns0:is>
          <ns0:t>W17</ns0:t>
        </ns0:is>
      </ns0:c>
      <ns0:c r="D33" s="15" t="inlineStr">
        <ns0:is>
          <ns0:t>青木枪</ns0:t>
        </ns0:is>
      </ns0:c>
      <ns0:c r="E33" s="15" t="inlineStr">
        <ns0:is>
          <ns0:t>施加状态</ns0:t>
        </ns0:is>
      </ns0:c>
      <ns0:c r="F33" s="15" t="n">
        <ns0:v>2</ns0:v>
      </ns0:c>
      <ns0:c r="G33" s="15" t="inlineStr">
        <ns0:is>
          <ns0:t>缠绕</ns0:t>
        </ns0:is>
      </ns0:c>
      <ns0:c r="H33" s="15" t="inlineStr">
        <ns0:is>
          <ns0:t>命中</ns0:t>
        </ns0:is>
      </ns0:c>
      <ns0:c r="I33" s="15" t="inlineStr">
        <ns0:is>
          <ns0:t>敌方</ns0:t>
        </ns0:is>
      </ns0:c>
      <ns0:c r="J33" s="15" t="inlineStr">
        <ns0:is>
          <ns0:t>WEAPON</ns0:t>
        </ns0:is>
      </ns0:c>
      <ns0:c r="K33" s="15" t="inlineStr">
        <ns0:is>
          <ns0:t>穿刺</ns0:t>
        </ns0:is>
      </ns0:c>
      <ns0:c r="L33" s="15" t="inlineStr">
        <ns0:is>
          <ns0:t>木</ns0:t>
        </ns0:is>
      </ns0:c>
      <ns0:c r="M33" s="15" t="inlineStr">
        <ns0:is>
          <ns0:t>02核心状态／OP_ADD；01 M02/M03/M07</ns0:t>
        </ns0:is>
      </ns0:c>
      <ns0:c r="N33" s="15" t="inlineStr">
        <ns0:is>
          <ns0:t>施加结果以合法应用返回值判断，不用状态池净增量；即时转盾不抹去成功施加。缠绕由后续合格火、雷伤害利用；木攻击本身不因此获得火雷增幅。</ns0:t>
        </ns0:is>
      </ns0:c>
      <ns0:c r="O33" s="15" t="inlineStr">
        <ns0:is>
          <ns0:t>候选设计记录；未注册游戏Effect</ns0:t>
        </ns0:is>
      </ns0:c>
    </ns0:row>
    <ns0:row r="34" ht="40" customHeight="1">
      <ns0:c r="A34" s="4" t="inlineStr">
        <ns0:is>
          <ns0:t>t01.asset.0043.effect.01</ns0:t>
        </ns0:is>
      </ns0:c>
      <ns0:c r="B34" s="4" t="inlineStr">
        <ns0:is>
          <ns0:t>t01.asset.0043</ns0:t>
        </ns0:is>
      </ns0:c>
      <ns0:c r="C34" s="4" t="inlineStr">
        <ns0:is>
          <ns0:t>W19</ns0:t>
        </ns0:is>
      </ns0:c>
      <ns0:c r="D34" s="4" t="inlineStr">
        <ns0:is>
          <ns0:t>雷纹枪</ns0:t>
        </ns0:is>
      </ns0:c>
      <ns0:c r="E34" s="4" t="inlineStr">
        <ns0:is>
          <ns0:t>直接伤害</ns0:t>
        </ns0:is>
      </ns0:c>
      <ns0:c r="F34" s="4" t="n">
        <ns0:v>38</ns0:v>
      </ns0:c>
      <ns0:c r="G34" s="4" t="inlineStr"/>
      <ns0:c r="H34" s="4" t="inlineStr">
        <ns0:is>
          <ns0:t>合法发动并按命中结算</ns0:t>
        </ns0:is>
      </ns0:c>
      <ns0:c r="I34" s="4" t="inlineStr">
        <ns0:is>
          <ns0:t>敌方</ns0:t>
        </ns0:is>
      </ns0:c>
      <ns0:c r="J34" s="4" t="inlineStr">
        <ns0:is>
          <ns0:t>WEAPON</ns0:t>
        </ns0:is>
      </ns0:c>
      <ns0:c r="K34" s="4" t="inlineStr">
        <ns0:is>
          <ns0:t>穿刺</ns0:t>
        </ns0:is>
      </ns0:c>
      <ns0:c r="L34" s="4" t="inlineStr">
        <ns0:is>
          <ns0:t>雷</ns0:t>
        </ns0:is>
      </ns0:c>
      <ns0:c r="M34" s="4" t="inlineStr">
        <ns0:is>
          <ns0:t>01 M06 A01；04攻击类型</ns0:t>
        </ns0:is>
      </ns0:c>
      <ns0:c r="N34" s="4" t="inlineStr">
        <ns0:is>
          <ns0:t>单一基础伤害，不额外赠送一份元素伤害；来源身份不因SPELL攻击类型改变</ns0:t>
        </ns0:is>
      </ns0:c>
      <ns0:c r="O34" s="4" t="inlineStr">
        <ns0:is>
          <ns0:t>候选设计记录；未注册游戏Effect</ns0:t>
        </ns0:is>
      </ns0:c>
    </ns0:row>
    <ns0:row r="35" ht="40" customHeight="1">
      <ns0:c r="A35" s="15" t="inlineStr">
        <ns0:is>
          <ns0:t>t01.asset.0043.effect.02</ns0:t>
        </ns0:is>
      </ns0:c>
      <ns0:c r="B35" s="15" t="inlineStr">
        <ns0:is>
          <ns0:t>t01.asset.0043</ns0:t>
        </ns0:is>
      </ns0:c>
      <ns0:c r="C35" s="15" t="inlineStr">
        <ns0:is>
          <ns0:t>W19</ns0:t>
        </ns0:is>
      </ns0:c>
      <ns0:c r="D35" s="15" t="inlineStr">
        <ns0:is>
          <ns0:t>雷纹枪</ns0:t>
        </ns0:is>
      </ns0:c>
      <ns0:c r="E35" s="15" t="inlineStr">
        <ns0:is>
          <ns0:t>施加状态</ns0:t>
        </ns0:is>
      </ns0:c>
      <ns0:c r="F35" s="15" t="n">
        <ns0:v>2</ns0:v>
      </ns0:c>
      <ns0:c r="G35" s="15" t="inlineStr">
        <ns0:is>
          <ns0:t>雷印</ns0:t>
        </ns0:is>
      </ns0:c>
      <ns0:c r="H35" s="15" t="inlineStr">
        <ns0:is>
          <ns0:t>命中</ns0:t>
        </ns0:is>
      </ns0:c>
      <ns0:c r="I35" s="15" t="inlineStr">
        <ns0:is>
          <ns0:t>敌方</ns0:t>
        </ns0:is>
      </ns0:c>
      <ns0:c r="J35" s="15" t="inlineStr">
        <ns0:is>
          <ns0:t>WEAPON</ns0:t>
        </ns0:is>
      </ns0:c>
      <ns0:c r="K35" s="15" t="inlineStr">
        <ns0:is>
          <ns0:t>穿刺</ns0:t>
        </ns0:is>
      </ns0:c>
      <ns0:c r="L35" s="15" t="inlineStr">
        <ns0:is>
          <ns0:t>雷</ns0:t>
        </ns0:is>
      </ns0:c>
      <ns0:c r="M35" s="15" t="inlineStr">
        <ns0:is>
          <ns0:t>02核心状态／OP_ADD；01 M02/M03/M07</ns0:t>
        </ns0:is>
      </ns0:c>
      <ns0:c r="N35" s="15" t="inlineStr">
        <ns0:is>
          <ns0:t>施加结果以合法应用返回值判断，不用状态池净增量；即时转盾不抹去成功施加。雷印新层在本击伤后加入，供后续合格雷攻；无本体雷攻击的施层器具不直接引雷。</ns0:t>
        </ns0:is>
      </ns0:c>
      <ns0:c r="O35" s="15" t="inlineStr">
        <ns0:is>
          <ns0:t>候选设计记录；未注册游戏Effect</ns0:t>
        </ns0:is>
      </ns0:c>
    </ns0:row>
    <ns0:row r="36" ht="40" customHeight="1">
      <ns0:c r="A36" s="4" t="inlineStr">
        <ns0:is>
          <ns0:t>t01.asset.0044.effect.01</ns0:t>
        </ns0:is>
      </ns0:c>
      <ns0:c r="B36" s="4" t="inlineStr">
        <ns0:is>
          <ns0:t>t01.asset.0044</ns0:t>
        </ns0:is>
      </ns0:c>
      <ns0:c r="C36" s="4" t="inlineStr">
        <ns0:is>
          <ns0:t>W20</ns0:t>
        </ns0:is>
      </ns0:c>
      <ns0:c r="D36" s="4" t="inlineStr">
        <ns0:is>
          <ns0:t>炎纹锤</ns0:t>
        </ns0:is>
      </ns0:c>
      <ns0:c r="E36" s="4" t="inlineStr">
        <ns0:is>
          <ns0:t>直接伤害</ns0:t>
        </ns0:is>
      </ns0:c>
      <ns0:c r="F36" s="4" t="n">
        <ns0:v>20</ns0:v>
      </ns0:c>
      <ns0:c r="G36" s="4" t="inlineStr"/>
      <ns0:c r="H36" s="4" t="inlineStr">
        <ns0:is>
          <ns0:t>合法发动并按命中结算</ns0:t>
        </ns0:is>
      </ns0:c>
      <ns0:c r="I36" s="4" t="inlineStr">
        <ns0:is>
          <ns0:t>敌方</ns0:t>
        </ns0:is>
      </ns0:c>
      <ns0:c r="J36" s="4" t="inlineStr">
        <ns0:is>
          <ns0:t>WEAPON</ns0:t>
        </ns0:is>
      </ns0:c>
      <ns0:c r="K36" s="4" t="inlineStr">
        <ns0:is>
          <ns0:t>钝击</ns0:t>
        </ns0:is>
      </ns0:c>
      <ns0:c r="L36" s="4" t="inlineStr">
        <ns0:is>
          <ns0:t>火</ns0:t>
        </ns0:is>
      </ns0:c>
      <ns0:c r="M36" s="4" t="inlineStr">
        <ns0:is>
          <ns0:t>01 M06 A01；04攻击类型</ns0:t>
        </ns0:is>
      </ns0:c>
      <ns0:c r="N36" s="4" t="inlineStr">
        <ns0:is>
          <ns0:t>单一基础伤害，不额外赠送一份元素伤害；来源身份不因SPELL攻击类型改变</ns0:t>
        </ns0:is>
      </ns0:c>
      <ns0:c r="O36" s="4" t="inlineStr">
        <ns0:is>
          <ns0:t>候选设计记录；未注册游戏Effect</ns0:t>
        </ns0:is>
      </ns0:c>
    </ns0:row>
    <ns0:row r="37" ht="40" customHeight="1">
      <ns0:c r="A37" s="15" t="inlineStr">
        <ns0:is>
          <ns0:t>t01.asset.0044.effect.02</ns0:t>
        </ns0:is>
      </ns0:c>
      <ns0:c r="B37" s="15" t="inlineStr">
        <ns0:is>
          <ns0:t>t01.asset.0044</ns0:t>
        </ns0:is>
      </ns0:c>
      <ns0:c r="C37" s="15" t="inlineStr">
        <ns0:is>
          <ns0:t>W20</ns0:t>
        </ns0:is>
      </ns0:c>
      <ns0:c r="D37" s="15" t="inlineStr">
        <ns0:is>
          <ns0:t>炎纹锤</ns0:t>
        </ns0:is>
      </ns0:c>
      <ns0:c r="E37" s="15" t="inlineStr">
        <ns0:is>
          <ns0:t>施加状态</ns0:t>
        </ns0:is>
      </ns0:c>
      <ns0:c r="F37" s="15" t="n">
        <ns0:v>1</ns0:v>
      </ns0:c>
      <ns0:c r="G37" s="15" t="inlineStr">
        <ns0:is>
          <ns0:t>破甲</ns0:t>
        </ns0:is>
      </ns0:c>
      <ns0:c r="H37" s="15" t="inlineStr">
        <ns0:is>
          <ns0:t>命中</ns0:t>
        </ns0:is>
      </ns0:c>
      <ns0:c r="I37" s="15" t="inlineStr">
        <ns0:is>
          <ns0:t>敌方</ns0:t>
        </ns0:is>
      </ns0:c>
      <ns0:c r="J37" s="15" t="inlineStr">
        <ns0:is>
          <ns0:t>WEAPON</ns0:t>
        </ns0:is>
      </ns0:c>
      <ns0:c r="K37" s="15" t="inlineStr">
        <ns0:is>
          <ns0:t>钝击</ns0:t>
        </ns0:is>
      </ns0:c>
      <ns0:c r="L37" s="15" t="inlineStr">
        <ns0:is>
          <ns0:t>火</ns0:t>
        </ns0:is>
      </ns0:c>
      <ns0:c r="M37" s="15" t="inlineStr">
        <ns0:is>
          <ns0:t>02核心状态／OP_ADD；01 M02/M03/M07</ns0:t>
        </ns0:is>
      </ns0:c>
      <ns0:c r="N37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37" s="15" t="inlineStr">
        <ns0:is>
          <ns0:t>候选设计记录；未注册游戏Effect</ns0:t>
        </ns0:is>
      </ns0:c>
    </ns0:row>
    <ns0:row r="38" ht="40" customHeight="1">
      <ns0:c r="A38" s="4" t="inlineStr">
        <ns0:is>
          <ns0:t>t01.asset.0045.effect.01</ns0:t>
        </ns0:is>
      </ns0:c>
      <ns0:c r="B38" s="4" t="inlineStr">
        <ns0:is>
          <ns0:t>t01.asset.0045</ns0:t>
        </ns0:is>
      </ns0:c>
      <ns0:c r="C38" s="4" t="inlineStr">
        <ns0:is>
          <ns0:t>W21</ns0:t>
        </ns0:is>
      </ns0:c>
      <ns0:c r="D38" s="4" t="inlineStr">
        <ns0:is>
          <ns0:t>石骨锤</ns0:t>
        </ns0:is>
      </ns0:c>
      <ns0:c r="E38" s="4" t="inlineStr">
        <ns0:is>
          <ns0:t>直接伤害</ns0:t>
        </ns0:is>
      </ns0:c>
      <ns0:c r="F38" s="4" t="n">
        <ns0:v>26</ns0:v>
      </ns0:c>
      <ns0:c r="G38" s="4" t="inlineStr"/>
      <ns0:c r="H38" s="4" t="inlineStr">
        <ns0:is>
          <ns0:t>合法发动并按命中结算</ns0:t>
        </ns0:is>
      </ns0:c>
      <ns0:c r="I38" s="4" t="inlineStr">
        <ns0:is>
          <ns0:t>敌方</ns0:t>
        </ns0:is>
      </ns0:c>
      <ns0:c r="J38" s="4" t="inlineStr">
        <ns0:is>
          <ns0:t>WEAPON</ns0:t>
        </ns0:is>
      </ns0:c>
      <ns0:c r="K38" s="4" t="inlineStr">
        <ns0:is>
          <ns0:t>钝击</ns0:t>
        </ns0:is>
      </ns0:c>
      <ns0:c r="L38" s="4" t="inlineStr">
        <ns0:is>
          <ns0:t>土</ns0:t>
        </ns0:is>
      </ns0:c>
      <ns0:c r="M38" s="4" t="inlineStr">
        <ns0:is>
          <ns0:t>01 M06 A01；04攻击类型</ns0:t>
        </ns0:is>
      </ns0:c>
      <ns0:c r="N38" s="4" t="inlineStr">
        <ns0:is>
          <ns0:t>单一基础伤害，不额外赠送一份元素伤害；来源身份不因SPELL攻击类型改变</ns0:t>
        </ns0:is>
      </ns0:c>
      <ns0:c r="O38" s="4" t="inlineStr">
        <ns0:is>
          <ns0:t>候选设计记录；未注册游戏Effect</ns0:t>
        </ns0:is>
      </ns0:c>
    </ns0:row>
    <ns0:row r="39" ht="40" customHeight="1">
      <ns0:c r="A39" s="15" t="inlineStr">
        <ns0:is>
          <ns0:t>t01.asset.0046.effect.01</ns0:t>
        </ns0:is>
      </ns0:c>
      <ns0:c r="B39" s="15" t="inlineStr">
        <ns0:is>
          <ns0:t>t01.asset.0046</ns0:t>
        </ns0:is>
      </ns0:c>
      <ns0:c r="C39" s="15" t="inlineStr">
        <ns0:is>
          <ns0:t>W22</ns0:t>
        </ns0:is>
      </ns0:c>
      <ns0:c r="D39" s="15" t="inlineStr">
        <ns0:is>
          <ns0:t>镇土印</ns0:t>
        </ns0:is>
      </ns0:c>
      <ns0:c r="E39" s="15" t="inlineStr">
        <ns0:is>
          <ns0:t>直接伤害</ns0:t>
        </ns0:is>
      </ns0:c>
      <ns0:c r="F39" s="15" t="n">
        <ns0:v>16</ns0:v>
      </ns0:c>
      <ns0:c r="G39" s="15" t="inlineStr"/>
      <ns0:c r="H39" s="15" t="inlineStr">
        <ns0:is>
          <ns0:t>合法发动并按命中结算</ns0:t>
        </ns0:is>
      </ns0:c>
      <ns0:c r="I39" s="15" t="inlineStr">
        <ns0:is>
          <ns0:t>敌方</ns0:t>
        </ns0:is>
      </ns0:c>
      <ns0:c r="J39" s="15" t="inlineStr">
        <ns0:is>
          <ns0:t>WEAPON</ns0:t>
        </ns0:is>
      </ns0:c>
      <ns0:c r="K39" s="15" t="inlineStr">
        <ns0:is>
          <ns0:t>钝击</ns0:t>
        </ns0:is>
      </ns0:c>
      <ns0:c r="L39" s="15" t="inlineStr">
        <ns0:is>
          <ns0:t>土</ns0:t>
        </ns0:is>
      </ns0:c>
      <ns0:c r="M39" s="15" t="inlineStr">
        <ns0:is>
          <ns0:t>01 M06 A01；04攻击类型</ns0:t>
        </ns0:is>
      </ns0:c>
      <ns0:c r="N39" s="15" t="inlineStr">
        <ns0:is>
          <ns0:t>单一基础伤害，不额外赠送一份元素伤害；来源身份不因SPELL攻击类型改变</ns0:t>
        </ns0:is>
      </ns0:c>
      <ns0:c r="O39" s="15" t="inlineStr">
        <ns0:is>
          <ns0:t>候选设计记录；未注册游戏Effect</ns0:t>
        </ns0:is>
      </ns0:c>
    </ns0:row>
    <ns0:row r="40" ht="40" customHeight="1">
      <ns0:c r="A40" s="4" t="inlineStr">
        <ns0:is>
          <ns0:t>t01.asset.0046.effect.02</ns0:t>
        </ns0:is>
      </ns0:c>
      <ns0:c r="B40" s="4" t="inlineStr">
        <ns0:is>
          <ns0:t>t01.asset.0046</ns0:t>
        </ns0:is>
      </ns0:c>
      <ns0:c r="C40" s="4" t="inlineStr">
        <ns0:is>
          <ns0:t>W22</ns0:t>
        </ns0:is>
      </ns0:c>
      <ns0:c r="D40" s="4" t="inlineStr">
        <ns0:is>
          <ns0:t>镇土印</ns0:t>
        </ns0:is>
      </ns0:c>
      <ns0:c r="E40" s="4" t="inlineStr">
        <ns0:is>
          <ns0:t>施加状态</ns0:t>
        </ns0:is>
      </ns0:c>
      <ns0:c r="F40" s="4" t="n">
        <ns0:v>1</ns0:v>
      </ns0:c>
      <ns0:c r="G40" s="4" t="inlineStr">
        <ns0:is>
          <ns0:t>疲惫</ns0:t>
        </ns0:is>
      </ns0:c>
      <ns0:c r="H40" s="4" t="inlineStr">
        <ns0:is>
          <ns0:t>命中</ns0:t>
        </ns0:is>
      </ns0:c>
      <ns0:c r="I40" s="4" t="inlineStr">
        <ns0:is>
          <ns0:t>敌方</ns0:t>
        </ns0:is>
      </ns0:c>
      <ns0:c r="J40" s="4" t="inlineStr">
        <ns0:is>
          <ns0:t>WEAPON</ns0:t>
        </ns0:is>
      </ns0:c>
      <ns0:c r="K40" s="4" t="inlineStr">
        <ns0:is>
          <ns0:t>钝击</ns0:t>
        </ns0:is>
      </ns0:c>
      <ns0:c r="L40" s="4" t="inlineStr">
        <ns0:is>
          <ns0:t>土</ns0:t>
        </ns0:is>
      </ns0:c>
      <ns0:c r="M40" s="4" t="inlineStr">
        <ns0:is>
          <ns0:t>02核心状态／OP_ADD；01 M02/M03/M07</ns0:t>
        </ns0:is>
      </ns0:c>
      <ns0:c r="N40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40" s="4" t="inlineStr">
        <ns0:is>
          <ns0:t>候选设计记录；未注册游戏Effect</ns0:t>
        </ns0:is>
      </ns0:c>
    </ns0:row>
    <ns0:row r="41" ht="40" customHeight="1">
      <ns0:c r="A41" s="15" t="inlineStr">
        <ns0:is>
          <ns0:t>t01.asset.0047.effect.01</ns0:t>
        </ns0:is>
      </ns0:c>
      <ns0:c r="B41" s="15" t="inlineStr">
        <ns0:is>
          <ns0:t>t01.asset.0047</ns0:t>
        </ns0:is>
      </ns0:c>
      <ns0:c r="C41" s="15" t="inlineStr">
        <ns0:is>
          <ns0:t>W23</ns0:t>
        </ns0:is>
      </ns0:c>
      <ns0:c r="D41" s="15" t="inlineStr">
        <ns0:is>
          <ns0:t>雷纹印</ns0:t>
        </ns0:is>
      </ns0:c>
      <ns0:c r="E41" s="15" t="inlineStr">
        <ns0:is>
          <ns0:t>直接伤害</ns0:t>
        </ns0:is>
      </ns0:c>
      <ns0:c r="F41" s="15" t="n">
        <ns0:v>14</ns0:v>
      </ns0:c>
      <ns0:c r="G41" s="15" t="inlineStr"/>
      <ns0:c r="H41" s="15" t="inlineStr">
        <ns0:is>
          <ns0:t>合法发动并按命中结算</ns0:t>
        </ns0:is>
      </ns0:c>
      <ns0:c r="I41" s="15" t="inlineStr">
        <ns0:is>
          <ns0:t>敌方</ns0:t>
        </ns0:is>
      </ns0:c>
      <ns0:c r="J41" s="15" t="inlineStr">
        <ns0:is>
          <ns0:t>WEAPON</ns0:t>
        </ns0:is>
      </ns0:c>
      <ns0:c r="K41" s="15" t="inlineStr">
        <ns0:is>
          <ns0:t>钝击</ns0:t>
        </ns0:is>
      </ns0:c>
      <ns0:c r="L41" s="15" t="inlineStr">
        <ns0:is>
          <ns0:t>雷</ns0:t>
        </ns0:is>
      </ns0:c>
      <ns0:c r="M41" s="15" t="inlineStr">
        <ns0:is>
          <ns0:t>01 M06 A01；04攻击类型</ns0:t>
        </ns0:is>
      </ns0:c>
      <ns0:c r="N41" s="15" t="inlineStr">
        <ns0:is>
          <ns0:t>单一基础伤害，不额外赠送一份元素伤害；来源身份不因SPELL攻击类型改变</ns0:t>
        </ns0:is>
      </ns0:c>
      <ns0:c r="O41" s="15" t="inlineStr">
        <ns0:is>
          <ns0:t>候选设计记录；未注册游戏Effect</ns0:t>
        </ns0:is>
      </ns0:c>
    </ns0:row>
    <ns0:row r="42" ht="40" customHeight="1">
      <ns0:c r="A42" s="4" t="inlineStr">
        <ns0:is>
          <ns0:t>t01.asset.0047.effect.02</ns0:t>
        </ns0:is>
      </ns0:c>
      <ns0:c r="B42" s="4" t="inlineStr">
        <ns0:is>
          <ns0:t>t01.asset.0047</ns0:t>
        </ns0:is>
      </ns0:c>
      <ns0:c r="C42" s="4" t="inlineStr">
        <ns0:is>
          <ns0:t>W23</ns0:t>
        </ns0:is>
      </ns0:c>
      <ns0:c r="D42" s="4" t="inlineStr">
        <ns0:is>
          <ns0:t>雷纹印</ns0:t>
        </ns0:is>
      </ns0:c>
      <ns0:c r="E42" s="4" t="inlineStr">
        <ns0:is>
          <ns0:t>施加状态</ns0:t>
        </ns0:is>
      </ns0:c>
      <ns0:c r="F42" s="4" t="n">
        <ns0:v>1</ns0:v>
      </ns0:c>
      <ns0:c r="G42" s="4" t="inlineStr">
        <ns0:is>
          <ns0:t>雷蕴</ns0:t>
        </ns0:is>
      </ns0:c>
      <ns0:c r="H42" s="4" t="inlineStr">
        <ns0:is>
          <ns0:t>命中</ns0:t>
        </ns0:is>
      </ns0:c>
      <ns0:c r="I42" s="4" t="inlineStr">
        <ns0:is>
          <ns0:t>自身</ns0:t>
        </ns0:is>
      </ns0:c>
      <ns0:c r="J42" s="4" t="inlineStr">
        <ns0:is>
          <ns0:t>WEAPON</ns0:t>
        </ns0:is>
      </ns0:c>
      <ns0:c r="K42" s="4" t="inlineStr">
        <ns0:is>
          <ns0:t>钝击</ns0:t>
        </ns0:is>
      </ns0:c>
      <ns0:c r="L42" s="4" t="inlineStr">
        <ns0:is>
          <ns0:t>雷</ns0:t>
        </ns0:is>
      </ns0:c>
      <ns0:c r="M42" s="4" t="inlineStr">
        <ns0:is>
          <ns0:t>02核心状态／OP_ADD；01 M02/M03/M07</ns0:t>
        </ns0:is>
      </ns0:c>
      <ns0:c r="N4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42" s="4" t="inlineStr">
        <ns0:is>
          <ns0:t>候选设计记录；未注册游戏Effect</ns0:t>
        </ns0:is>
      </ns0:c>
    </ns0:row>
    <ns0:row r="43" ht="40" customHeight="1">
      <ns0:c r="A43" s="15" t="inlineStr">
        <ns0:is>
          <ns0:t>t01.asset.0048.effect.01</ns0:t>
        </ns0:is>
      </ns0:c>
      <ns0:c r="B43" s="15" t="inlineStr">
        <ns0:is>
          <ns0:t>t01.asset.0048</ns0:t>
        </ns0:is>
      </ns0:c>
      <ns0:c r="C43" s="15" t="inlineStr">
        <ns0:is>
          <ns0:t>W24</ns0:t>
        </ns0:is>
      </ns0:c>
      <ns0:c r="D43" s="15" t="inlineStr">
        <ns0:is>
          <ns0:t>藤鞭</ns0:t>
        </ns0:is>
      </ns0:c>
      <ns0:c r="E43" s="15" t="inlineStr">
        <ns0:is>
          <ns0:t>直接伤害</ns0:t>
        </ns0:is>
      </ns0:c>
      <ns0:c r="F43" s="15" t="n">
        <ns0:v>14</ns0:v>
      </ns0:c>
      <ns0:c r="G43" s="15" t="inlineStr"/>
      <ns0:c r="H43" s="15" t="inlineStr">
        <ns0:is>
          <ns0:t>合法发动并按命中结算</ns0:t>
        </ns0:is>
      </ns0:c>
      <ns0:c r="I43" s="15" t="inlineStr">
        <ns0:is>
          <ns0:t>敌方</ns0:t>
        </ns0:is>
      </ns0:c>
      <ns0:c r="J43" s="15" t="inlineStr">
        <ns0:is>
          <ns0:t>WEAPON</ns0:t>
        </ns0:is>
      </ns0:c>
      <ns0:c r="K43" s="15" t="inlineStr">
        <ns0:is>
          <ns0:t>钝击</ns0:t>
        </ns0:is>
      </ns0:c>
      <ns0:c r="L43" s="15" t="inlineStr">
        <ns0:is>
          <ns0:t>木</ns0:t>
        </ns0:is>
      </ns0:c>
      <ns0:c r="M43" s="15" t="inlineStr">
        <ns0:is>
          <ns0:t>01 M06 A01；04攻击类型</ns0:t>
        </ns0:is>
      </ns0:c>
      <ns0:c r="N43" s="15" t="inlineStr">
        <ns0:is>
          <ns0:t>单一基础伤害，不额外赠送一份元素伤害；来源身份不因SPELL攻击类型改变</ns0:t>
        </ns0:is>
      </ns0:c>
      <ns0:c r="O43" s="15" t="inlineStr">
        <ns0:is>
          <ns0:t>候选设计记录；未注册游戏Effect</ns0:t>
        </ns0:is>
      </ns0:c>
    </ns0:row>
    <ns0:row r="44" ht="40" customHeight="1">
      <ns0:c r="A44" s="4" t="inlineStr">
        <ns0:is>
          <ns0:t>t01.asset.0048.effect.02</ns0:t>
        </ns0:is>
      </ns0:c>
      <ns0:c r="B44" s="4" t="inlineStr">
        <ns0:is>
          <ns0:t>t01.asset.0048</ns0:t>
        </ns0:is>
      </ns0:c>
      <ns0:c r="C44" s="4" t="inlineStr">
        <ns0:is>
          <ns0:t>W24</ns0:t>
        </ns0:is>
      </ns0:c>
      <ns0:c r="D44" s="4" t="inlineStr">
        <ns0:is>
          <ns0:t>藤鞭</ns0:t>
        </ns0:is>
      </ns0:c>
      <ns0:c r="E44" s="4" t="inlineStr">
        <ns0:is>
          <ns0:t>施加状态</ns0:t>
        </ns0:is>
      </ns0:c>
      <ns0:c r="F44" s="4" t="n">
        <ns0:v>1</ns0:v>
      </ns0:c>
      <ns0:c r="G44" s="4" t="inlineStr">
        <ns0:is>
          <ns0:t>毒蚀</ns0:t>
        </ns0:is>
      </ns0:c>
      <ns0:c r="H44" s="4" t="inlineStr">
        <ns0:is>
          <ns0:t>命中</ns0:t>
        </ns0:is>
      </ns0:c>
      <ns0:c r="I44" s="4" t="inlineStr">
        <ns0:is>
          <ns0:t>敌方</ns0:t>
        </ns0:is>
      </ns0:c>
      <ns0:c r="J44" s="4" t="inlineStr">
        <ns0:is>
          <ns0:t>WEAPON</ns0:t>
        </ns0:is>
      </ns0:c>
      <ns0:c r="K44" s="4" t="inlineStr">
        <ns0:is>
          <ns0:t>钝击</ns0:t>
        </ns0:is>
      </ns0:c>
      <ns0:c r="L44" s="4" t="inlineStr">
        <ns0:is>
          <ns0:t>木</ns0:t>
        </ns0:is>
      </ns0:c>
      <ns0:c r="M44" s="4" t="inlineStr">
        <ns0:is>
          <ns0:t>02核心状态／OP_ADD；01 M02/M03/M07</ns0:t>
        </ns0:is>
      </ns0:c>
      <ns0:c r="N44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44" s="4" t="inlineStr">
        <ns0:is>
          <ns0:t>候选设计记录；未注册游戏Effect</ns0:t>
        </ns0:is>
      </ns0:c>
    </ns0:row>
    <ns0:row r="45" ht="40" customHeight="1">
      <ns0:c r="A45" s="15" t="inlineStr">
        <ns0:is>
          <ns0:t>t01.asset.0049.effect.01</ns0:t>
        </ns0:is>
      </ns0:c>
      <ns0:c r="B45" s="15" t="inlineStr">
        <ns0:is>
          <ns0:t>t01.asset.0049</ns0:t>
        </ns0:is>
      </ns0:c>
      <ns0:c r="C45" s="15" t="inlineStr">
        <ns0:is>
          <ns0:t>W25</ns0:t>
        </ns0:is>
      </ns0:c>
      <ns0:c r="D45" s="15" t="inlineStr">
        <ns0:is>
          <ns0:t>雷鞭</ns0:t>
        </ns0:is>
      </ns0:c>
      <ns0:c r="E45" s="15" t="inlineStr">
        <ns0:is>
          <ns0:t>直接伤害</ns0:t>
        </ns0:is>
      </ns0:c>
      <ns0:c r="F45" s="15" t="n">
        <ns0:v>15</ns0:v>
      </ns0:c>
      <ns0:c r="G45" s="15" t="inlineStr"/>
      <ns0:c r="H45" s="15" t="inlineStr">
        <ns0:is>
          <ns0:t>合法发动并按命中结算</ns0:t>
        </ns0:is>
      </ns0:c>
      <ns0:c r="I45" s="15" t="inlineStr">
        <ns0:is>
          <ns0:t>敌方</ns0:t>
        </ns0:is>
      </ns0:c>
      <ns0:c r="J45" s="15" t="inlineStr">
        <ns0:is>
          <ns0:t>WEAPON</ns0:t>
        </ns0:is>
      </ns0:c>
      <ns0:c r="K45" s="15" t="inlineStr">
        <ns0:is>
          <ns0:t>钝击</ns0:t>
        </ns0:is>
      </ns0:c>
      <ns0:c r="L45" s="15" t="inlineStr">
        <ns0:is>
          <ns0:t>雷</ns0:t>
        </ns0:is>
      </ns0:c>
      <ns0:c r="M45" s="15" t="inlineStr">
        <ns0:is>
          <ns0:t>01 M06 A01；04攻击类型</ns0:t>
        </ns0:is>
      </ns0:c>
      <ns0:c r="N45" s="15" t="inlineStr">
        <ns0:is>
          <ns0:t>单一基础伤害，不额外赠送一份元素伤害；来源身份不因SPELL攻击类型改变</ns0:t>
        </ns0:is>
      </ns0:c>
      <ns0:c r="O45" s="15" t="inlineStr">
        <ns0:is>
          <ns0:t>候选设计记录；未注册游戏Effect</ns0:t>
        </ns0:is>
      </ns0:c>
    </ns0:row>
    <ns0:row r="46" ht="40" customHeight="1">
      <ns0:c r="A46" s="4" t="inlineStr">
        <ns0:is>
          <ns0:t>t01.asset.0049.effect.02</ns0:t>
        </ns0:is>
      </ns0:c>
      <ns0:c r="B46" s="4" t="inlineStr">
        <ns0:is>
          <ns0:t>t01.asset.0049</ns0:t>
        </ns0:is>
      </ns0:c>
      <ns0:c r="C46" s="4" t="inlineStr">
        <ns0:is>
          <ns0:t>W25</ns0:t>
        </ns0:is>
      </ns0:c>
      <ns0:c r="D46" s="4" t="inlineStr">
        <ns0:is>
          <ns0:t>雷鞭</ns0:t>
        </ns0:is>
      </ns0:c>
      <ns0:c r="E46" s="4" t="inlineStr">
        <ns0:is>
          <ns0:t>施加状态</ns0:t>
        </ns0:is>
      </ns0:c>
      <ns0:c r="F46" s="4" t="n">
        <ns0:v>1</ns0:v>
      </ns0:c>
      <ns0:c r="G46" s="4" t="inlineStr">
        <ns0:is>
          <ns0:t>雷印</ns0:t>
        </ns0:is>
      </ns0:c>
      <ns0:c r="H46" s="4" t="inlineStr">
        <ns0:is>
          <ns0:t>命中</ns0:t>
        </ns0:is>
      </ns0:c>
      <ns0:c r="I46" s="4" t="inlineStr">
        <ns0:is>
          <ns0:t>敌方</ns0:t>
        </ns0:is>
      </ns0:c>
      <ns0:c r="J46" s="4" t="inlineStr">
        <ns0:is>
          <ns0:t>WEAPON</ns0:t>
        </ns0:is>
      </ns0:c>
      <ns0:c r="K46" s="4" t="inlineStr">
        <ns0:is>
          <ns0:t>钝击</ns0:t>
        </ns0:is>
      </ns0:c>
      <ns0:c r="L46" s="4" t="inlineStr">
        <ns0:is>
          <ns0:t>雷</ns0:t>
        </ns0:is>
      </ns0:c>
      <ns0:c r="M46" s="4" t="inlineStr">
        <ns0:is>
          <ns0:t>02核心状态／OP_ADD；01 M02/M03/M07</ns0:t>
        </ns0:is>
      </ns0:c>
      <ns0:c r="N46" s="4" t="inlineStr">
        <ns0:is>
          <ns0:t>施加结果以合法应用返回值判断，不用状态池净增量；即时转盾不抹去成功施加。雷印新层在本击伤后加入，供后续合格雷攻；无本体雷攻击的施层器具不直接引雷。</ns0:t>
        </ns0:is>
      </ns0:c>
      <ns0:c r="O46" s="4" t="inlineStr">
        <ns0:is>
          <ns0:t>候选设计记录；未注册游戏Effect</ns0:t>
        </ns0:is>
      </ns0:c>
    </ns0:row>
    <ns0:row r="47" ht="40" customHeight="1">
      <ns0:c r="A47" s="15" t="inlineStr">
        <ns0:is>
          <ns0:t>t01.asset.0050.effect.01</ns0:t>
        </ns0:is>
      </ns0:c>
      <ns0:c r="B47" s="15" t="inlineStr">
        <ns0:is>
          <ns0:t>t01.asset.0050</ns0:t>
        </ns0:is>
      </ns0:c>
      <ns0:c r="C47" s="15" t="inlineStr">
        <ns0:is>
          <ns0:t>W28</ns0:t>
        </ns0:is>
      </ns0:c>
      <ns0:c r="D47" s="15" t="inlineStr">
        <ns0:is>
          <ns0:t>刺血匕</ns0:t>
        </ns0:is>
      </ns0:c>
      <ns0:c r="E47" s="15" t="inlineStr">
        <ns0:is>
          <ns0:t>直接伤害</ns0:t>
        </ns0:is>
      </ns0:c>
      <ns0:c r="F47" s="15" t="n">
        <ns0:v>8</ns0:v>
      </ns0:c>
      <ns0:c r="G47" s="15" t="inlineStr"/>
      <ns0:c r="H47" s="15" t="inlineStr">
        <ns0:is>
          <ns0:t>合法发动并按命中结算</ns0:t>
        </ns0:is>
      </ns0:c>
      <ns0:c r="I47" s="15" t="inlineStr">
        <ns0:is>
          <ns0:t>敌方</ns0:t>
        </ns0:is>
      </ns0:c>
      <ns0:c r="J47" s="15" t="inlineStr">
        <ns0:is>
          <ns0:t>WEAPON</ns0:t>
        </ns0:is>
      </ns0:c>
      <ns0:c r="K47" s="15" t="inlineStr">
        <ns0:is>
          <ns0:t>穿刺</ns0:t>
        </ns0:is>
      </ns0:c>
      <ns0:c r="L47" s="15" t="inlineStr">
        <ns0:is>
          <ns0:t>金</ns0:t>
        </ns0:is>
      </ns0:c>
      <ns0:c r="M47" s="15" t="inlineStr">
        <ns0:is>
          <ns0:t>01 M06 A01；04攻击类型</ns0:t>
        </ns0:is>
      </ns0:c>
      <ns0:c r="N47" s="15" t="inlineStr">
        <ns0:is>
          <ns0:t>单一基础伤害，不额外赠送一份元素伤害；来源身份不因SPELL攻击类型改变</ns0:t>
        </ns0:is>
      </ns0:c>
      <ns0:c r="O47" s="15" t="inlineStr">
        <ns0:is>
          <ns0:t>候选设计记录；未注册游戏Effect</ns0:t>
        </ns0:is>
      </ns0:c>
    </ns0:row>
    <ns0:row r="48" ht="40" customHeight="1">
      <ns0:c r="A48" s="4" t="inlineStr">
        <ns0:is>
          <ns0:t>t01.asset.0050.effect.02</ns0:t>
        </ns0:is>
      </ns0:c>
      <ns0:c r="B48" s="4" t="inlineStr">
        <ns0:is>
          <ns0:t>t01.asset.0050</ns0:t>
        </ns0:is>
      </ns0:c>
      <ns0:c r="C48" s="4" t="inlineStr">
        <ns0:is>
          <ns0:t>W28</ns0:t>
        </ns0:is>
      </ns0:c>
      <ns0:c r="D48" s="4" t="inlineStr">
        <ns0:is>
          <ns0:t>刺血匕</ns0:t>
        </ns0:is>
      </ns0:c>
      <ns0:c r="E48" s="4" t="inlineStr">
        <ns0:is>
          <ns0:t>施加状态</ns0:t>
        </ns0:is>
      </ns0:c>
      <ns0:c r="F48" s="4" t="n">
        <ns0:v>2</ns0:v>
      </ns0:c>
      <ns0:c r="G48" s="4" t="inlineStr">
        <ns0:is>
          <ns0:t>流血</ns0:t>
        </ns0:is>
      </ns0:c>
      <ns0:c r="H48" s="4" t="inlineStr">
        <ns0:is>
          <ns0:t>实际伤到气血</ns0:t>
        </ns0:is>
      </ns0:c>
      <ns0:c r="I48" s="4" t="inlineStr">
        <ns0:is>
          <ns0:t>敌方</ns0:t>
        </ns0:is>
      </ns0:c>
      <ns0:c r="J48" s="4" t="inlineStr">
        <ns0:is>
          <ns0:t>WEAPON</ns0:t>
        </ns0:is>
      </ns0:c>
      <ns0:c r="K48" s="4" t="inlineStr">
        <ns0:is>
          <ns0:t>穿刺</ns0:t>
        </ns0:is>
      </ns0:c>
      <ns0:c r="L48" s="4" t="inlineStr">
        <ns0:is>
          <ns0:t>金</ns0:t>
        </ns0:is>
      </ns0:c>
      <ns0:c r="M48" s="4" t="inlineStr">
        <ns0:is>
          <ns0:t>02核心状态／OP_ADD；01 M02/M03/M07</ns0:t>
        </ns0:is>
      </ns0:c>
      <ns0:c r="N48" s="4" t="inlineStr">
        <ns0:is>
          <ns0:t>施加结果以合法应用返回值判断，不用状态池净增量；即时转盾不抹去成功施加。本件流血须本次攻击实际伤及气血；只命中或只扣盾甲不足。</ns0:t>
        </ns0:is>
      </ns0:c>
      <ns0:c r="O48" s="4" t="inlineStr">
        <ns0:is>
          <ns0:t>候选设计记录；未注册游戏Effect</ns0:t>
        </ns0:is>
      </ns0:c>
    </ns0:row>
    <ns0:row r="49" ht="40" customHeight="1">
      <ns0:c r="A49" s="15" t="inlineStr">
        <ns0:is>
          <ns0:t>t01.asset.0051.effect.01</ns0:t>
        </ns0:is>
      </ns0:c>
      <ns0:c r="B49" s="15" t="inlineStr">
        <ns0:is>
          <ns0:t>t01.asset.0051</ns0:t>
        </ns0:is>
      </ns0:c>
      <ns0:c r="C49" s="15" t="inlineStr">
        <ns0:is>
          <ns0:t>W30</ns0:t>
        </ns0:is>
      </ns0:c>
      <ns0:c r="D49" s="15" t="inlineStr">
        <ns0:is>
          <ns0:t>震骨锤</ns0:t>
        </ns0:is>
      </ns0:c>
      <ns0:c r="E49" s="15" t="inlineStr">
        <ns0:is>
          <ns0:t>直接伤害</ns0:t>
        </ns0:is>
      </ns0:c>
      <ns0:c r="F49" s="15" t="n">
        <ns0:v>32</ns0:v>
      </ns0:c>
      <ns0:c r="G49" s="15" t="inlineStr"/>
      <ns0:c r="H49" s="15" t="inlineStr">
        <ns0:is>
          <ns0:t>合法发动并按命中结算</ns0:t>
        </ns0:is>
      </ns0:c>
      <ns0:c r="I49" s="15" t="inlineStr">
        <ns0:is>
          <ns0:t>敌方</ns0:t>
        </ns0:is>
      </ns0:c>
      <ns0:c r="J49" s="15" t="inlineStr">
        <ns0:is>
          <ns0:t>WEAPON</ns0:t>
        </ns0:is>
      </ns0:c>
      <ns0:c r="K49" s="15" t="inlineStr">
        <ns0:is>
          <ns0:t>钝击</ns0:t>
        </ns0:is>
      </ns0:c>
      <ns0:c r="L49" s="15" t="inlineStr">
        <ns0:is>
          <ns0:t>土</ns0:t>
        </ns0:is>
      </ns0:c>
      <ns0:c r="M49" s="15" t="inlineStr">
        <ns0:is>
          <ns0:t>01 M06 A01；04攻击类型</ns0:t>
        </ns0:is>
      </ns0:c>
      <ns0:c r="N49" s="15" t="inlineStr">
        <ns0:is>
          <ns0:t>单一基础伤害，不额外赠送一份元素伤害；来源身份不因SPELL攻击类型改变</ns0:t>
        </ns0:is>
      </ns0:c>
      <ns0:c r="O49" s="15" t="inlineStr">
        <ns0:is>
          <ns0:t>候选设计记录；未注册游戏Effect</ns0:t>
        </ns0:is>
      </ns0:c>
    </ns0:row>
    <ns0:row r="50" ht="40" customHeight="1">
      <ns0:c r="A50" s="4" t="inlineStr">
        <ns0:is>
          <ns0:t>t01.asset.0051.effect.02</ns0:t>
        </ns0:is>
      </ns0:c>
      <ns0:c r="B50" s="4" t="inlineStr">
        <ns0:is>
          <ns0:t>t01.asset.0051</ns0:t>
        </ns0:is>
      </ns0:c>
      <ns0:c r="C50" s="4" t="inlineStr">
        <ns0:is>
          <ns0:t>W30</ns0:t>
        </ns0:is>
      </ns0:c>
      <ns0:c r="D50" s="4" t="inlineStr">
        <ns0:is>
          <ns0:t>震骨锤</ns0:t>
        </ns0:is>
      </ns0:c>
      <ns0:c r="E50" s="4" t="inlineStr">
        <ns0:is>
          <ns0:t>施加状态</ns0:t>
        </ns0:is>
      </ns0:c>
      <ns0:c r="F50" s="4" t="n">
        <ns0:v>2</ns0:v>
      </ns0:c>
      <ns0:c r="G50" s="4" t="inlineStr">
        <ns0:is>
          <ns0:t>重伤</ns0:t>
        </ns0:is>
      </ns0:c>
      <ns0:c r="H50" s="4" t="inlineStr">
        <ns0:is>
          <ns0:t>命中</ns0:t>
        </ns0:is>
      </ns0:c>
      <ns0:c r="I50" s="4" t="inlineStr">
        <ns0:is>
          <ns0:t>敌方</ns0:t>
        </ns0:is>
      </ns0:c>
      <ns0:c r="J50" s="4" t="inlineStr">
        <ns0:is>
          <ns0:t>WEAPON</ns0:t>
        </ns0:is>
      </ns0:c>
      <ns0:c r="K50" s="4" t="inlineStr">
        <ns0:is>
          <ns0:t>钝击</ns0:t>
        </ns0:is>
      </ns0:c>
      <ns0:c r="L50" s="4" t="inlineStr">
        <ns0:is>
          <ns0:t>土</ns0:t>
        </ns0:is>
      </ns0:c>
      <ns0:c r="M50" s="4" t="inlineStr">
        <ns0:is>
          <ns0:t>02核心状态／OP_ADD；01 M02/M03/M07</ns0:t>
        </ns0:is>
      </ns0:c>
      <ns0:c r="N50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50" s="4" t="inlineStr">
        <ns0:is>
          <ns0:t>候选设计记录；未注册游戏Effect</ns0:t>
        </ns0:is>
      </ns0:c>
    </ns0:row>
    <ns0:row r="51" ht="40" customHeight="1">
      <ns0:c r="A51" s="15" t="inlineStr">
        <ns0:is>
          <ns0:t>t01.asset.0052.effect.01</ns0:t>
        </ns0:is>
      </ns0:c>
      <ns0:c r="B51" s="15" t="inlineStr">
        <ns0:is>
          <ns0:t>t01.asset.0052</ns0:t>
        </ns0:is>
      </ns0:c>
      <ns0:c r="C51" s="15" t="inlineStr">
        <ns0:is>
          <ns0:t>W31</ns0:t>
        </ns0:is>
      </ns0:c>
      <ns0:c r="D51" s="15" t="inlineStr">
        <ns0:is>
          <ns0:t>清风印</ns0:t>
        </ns0:is>
      </ns0:c>
      <ns0:c r="E51" s="15" t="inlineStr">
        <ns0:is>
          <ns0:t>直接伤害</ns0:t>
        </ns0:is>
      </ns0:c>
      <ns0:c r="F51" s="15" t="n">
        <ns0:v>13</ns0:v>
      </ns0:c>
      <ns0:c r="G51" s="15" t="inlineStr"/>
      <ns0:c r="H51" s="15" t="inlineStr">
        <ns0:is>
          <ns0:t>合法发动并按命中结算</ns0:t>
        </ns0:is>
      </ns0:c>
      <ns0:c r="I51" s="15" t="inlineStr">
        <ns0:is>
          <ns0:t>敌方</ns0:t>
        </ns0:is>
      </ns0:c>
      <ns0:c r="J51" s="15" t="inlineStr">
        <ns0:is>
          <ns0:t>WEAPON</ns0:t>
        </ns0:is>
      </ns0:c>
      <ns0:c r="K51" s="15" t="inlineStr">
        <ns0:is>
          <ns0:t>钝击</ns0:t>
        </ns0:is>
      </ns0:c>
      <ns0:c r="L51" s="15" t="inlineStr">
        <ns0:is>
          <ns0:t>风</ns0:t>
        </ns0:is>
      </ns0:c>
      <ns0:c r="M51" s="15" t="inlineStr">
        <ns0:is>
          <ns0:t>01 M06 A01；04攻击类型</ns0:t>
        </ns0:is>
      </ns0:c>
      <ns0:c r="N51" s="15" t="inlineStr">
        <ns0:is>
          <ns0:t>单一基础伤害，不额外赠送一份元素伤害；来源身份不因SPELL攻击类型改变</ns0:t>
        </ns0:is>
      </ns0:c>
      <ns0:c r="O51" s="15" t="inlineStr">
        <ns0:is>
          <ns0:t>候选设计记录；未注册游戏Effect</ns0:t>
        </ns0:is>
      </ns0:c>
    </ns0:row>
    <ns0:row r="52" ht="40" customHeight="1">
      <ns0:c r="A52" s="4" t="inlineStr">
        <ns0:is>
          <ns0:t>t01.asset.0052.effect.02</ns0:t>
        </ns0:is>
      </ns0:c>
      <ns0:c r="B52" s="4" t="inlineStr">
        <ns0:is>
          <ns0:t>t01.asset.0052</ns0:t>
        </ns0:is>
      </ns0:c>
      <ns0:c r="C52" s="4" t="inlineStr">
        <ns0:is>
          <ns0:t>W31</ns0:t>
        </ns0:is>
      </ns0:c>
      <ns0:c r="D52" s="4" t="inlineStr">
        <ns0:is>
          <ns0:t>清风印</ns0:t>
        </ns0:is>
      </ns0:c>
      <ns0:c r="E52" s="4" t="inlineStr">
        <ns0:is>
          <ns0:t>施加状态</ns0:t>
        </ns0:is>
      </ns0:c>
      <ns0:c r="F52" s="4" t="n">
        <ns0:v>1</ns0:v>
      </ns0:c>
      <ns0:c r="G52" s="4" t="inlineStr">
        <ns0:is>
          <ns0:t>驱散</ns0:t>
        </ns0:is>
      </ns0:c>
      <ns0:c r="H52" s="4" t="inlineStr">
        <ns0:is>
          <ns0:t>命中</ns0:t>
        </ns0:is>
      </ns0:c>
      <ns0:c r="I52" s="4" t="inlineStr">
        <ns0:is>
          <ns0:t>敌方</ns0:t>
        </ns0:is>
      </ns0:c>
      <ns0:c r="J52" s="4" t="inlineStr">
        <ns0:is>
          <ns0:t>WEAPON</ns0:t>
        </ns0:is>
      </ns0:c>
      <ns0:c r="K52" s="4" t="inlineStr">
        <ns0:is>
          <ns0:t>钝击</ns0:t>
        </ns0:is>
      </ns0:c>
      <ns0:c r="L52" s="4" t="inlineStr">
        <ns0:is>
          <ns0:t>风</ns0:t>
        </ns0:is>
      </ns0:c>
      <ns0:c r="M52" s="4" t="inlineStr">
        <ns0:is>
          <ns0:t>02核心状态／OP_ADD；01 M02/M03/M07</ns0:t>
        </ns0:is>
      </ns0:c>
      <ns0:c r="N5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52" s="4" t="inlineStr">
        <ns0:is>
          <ns0:t>候选设计记录；未注册游戏Effect</ns0:t>
        </ns0:is>
      </ns0:c>
    </ns0:row>
    <ns0:row r="53" ht="40" customHeight="1">
      <ns0:c r="A53" s="15" t="inlineStr">
        <ns0:is>
          <ns0:t>t01.asset.0053.effect.01</ns0:t>
        </ns0:is>
      </ns0:c>
      <ns0:c r="B53" s="15" t="inlineStr">
        <ns0:is>
          <ns0:t>t01.asset.0053</ns0:t>
        </ns0:is>
      </ns0:c>
      <ns0:c r="C53" s="15" t="inlineStr">
        <ns0:is>
          <ns0:t>W32</ns0:t>
        </ns0:is>
      </ns0:c>
      <ns0:c r="D53" s="15" t="inlineStr">
        <ns0:is>
          <ns0:t>荆鞭</ns0:t>
        </ns0:is>
      </ns0:c>
      <ns0:c r="E53" s="15" t="inlineStr">
        <ns0:is>
          <ns0:t>直接伤害</ns0:t>
        </ns0:is>
      </ns0:c>
      <ns0:c r="F53" s="15" t="n">
        <ns0:v>16</ns0:v>
      </ns0:c>
      <ns0:c r="G53" s="15" t="inlineStr"/>
      <ns0:c r="H53" s="15" t="inlineStr">
        <ns0:is>
          <ns0:t>合法发动并按命中结算</ns0:t>
        </ns0:is>
      </ns0:c>
      <ns0:c r="I53" s="15" t="inlineStr">
        <ns0:is>
          <ns0:t>敌方</ns0:t>
        </ns0:is>
      </ns0:c>
      <ns0:c r="J53" s="15" t="inlineStr">
        <ns0:is>
          <ns0:t>WEAPON</ns0:t>
        </ns0:is>
      </ns0:c>
      <ns0:c r="K53" s="15" t="inlineStr">
        <ns0:is>
          <ns0:t>钝击</ns0:t>
        </ns0:is>
      </ns0:c>
      <ns0:c r="L53" s="15" t="inlineStr">
        <ns0:is>
          <ns0:t>木</ns0:t>
        </ns0:is>
      </ns0:c>
      <ns0:c r="M53" s="15" t="inlineStr">
        <ns0:is>
          <ns0:t>01 M06 A01；04攻击类型</ns0:t>
        </ns0:is>
      </ns0:c>
      <ns0:c r="N53" s="15" t="inlineStr">
        <ns0:is>
          <ns0:t>单一基础伤害，不额外赠送一份元素伤害；来源身份不因SPELL攻击类型改变</ns0:t>
        </ns0:is>
      </ns0:c>
      <ns0:c r="O53" s="15" t="inlineStr">
        <ns0:is>
          <ns0:t>候选设计记录；未注册游戏Effect</ns0:t>
        </ns0:is>
      </ns0:c>
    </ns0:row>
    <ns0:row r="54" ht="40" customHeight="1">
      <ns0:c r="A54" s="4" t="inlineStr">
        <ns0:is>
          <ns0:t>t01.asset.0053.effect.02</ns0:t>
        </ns0:is>
      </ns0:c>
      <ns0:c r="B54" s="4" t="inlineStr">
        <ns0:is>
          <ns0:t>t01.asset.0053</ns0:t>
        </ns0:is>
      </ns0:c>
      <ns0:c r="C54" s="4" t="inlineStr">
        <ns0:is>
          <ns0:t>W32</ns0:t>
        </ns0:is>
      </ns0:c>
      <ns0:c r="D54" s="4" t="inlineStr">
        <ns0:is>
          <ns0:t>荆鞭</ns0:t>
        </ns0:is>
      </ns0:c>
      <ns0:c r="E54" s="4" t="inlineStr">
        <ns0:is>
          <ns0:t>施加状态</ns0:t>
        </ns0:is>
      </ns0:c>
      <ns0:c r="F54" s="4" t="n">
        <ns0:v>1</ns0:v>
      </ns0:c>
      <ns0:c r="G54" s="4" t="inlineStr">
        <ns0:is>
          <ns0:t>缠绕</ns0:t>
        </ns0:is>
      </ns0:c>
      <ns0:c r="H54" s="4" t="inlineStr">
        <ns0:is>
          <ns0:t>命中</ns0:t>
        </ns0:is>
      </ns0:c>
      <ns0:c r="I54" s="4" t="inlineStr">
        <ns0:is>
          <ns0:t>敌方</ns0:t>
        </ns0:is>
      </ns0:c>
      <ns0:c r="J54" s="4" t="inlineStr">
        <ns0:is>
          <ns0:t>WEAPON</ns0:t>
        </ns0:is>
      </ns0:c>
      <ns0:c r="K54" s="4" t="inlineStr">
        <ns0:is>
          <ns0:t>钝击</ns0:t>
        </ns0:is>
      </ns0:c>
      <ns0:c r="L54" s="4" t="inlineStr">
        <ns0:is>
          <ns0:t>木</ns0:t>
        </ns0:is>
      </ns0:c>
      <ns0:c r="M54" s="4" t="inlineStr">
        <ns0:is>
          <ns0:t>02核心状态／OP_ADD；01 M02/M03/M07</ns0:t>
        </ns0:is>
      </ns0:c>
      <ns0:c r="N54" s="4" t="inlineStr">
        <ns0:is>
          <ns0:t>施加结果以合法应用返回值判断，不用状态池净增量；即时转盾不抹去成功施加。缠绕由后续合格火、雷伤害利用；木攻击本身不因此获得火雷增幅。</ns0:t>
        </ns0:is>
      </ns0:c>
      <ns0:c r="O54" s="4" t="inlineStr">
        <ns0:is>
          <ns0:t>候选设计记录；未注册游戏Effect</ns0:t>
        </ns0:is>
      </ns0:c>
    </ns0:row>
    <ns0:row r="55" ht="40" customHeight="1">
      <ns0:c r="A55" s="15" t="inlineStr">
        <ns0:is>
          <ns0:t>t01.asset.0054.effect.01</ns0:t>
        </ns0:is>
      </ns0:c>
      <ns0:c r="B55" s="15" t="inlineStr">
        <ns0:is>
          <ns0:t>t01.asset.0054</ns0:t>
        </ns0:is>
      </ns0:c>
      <ns0:c r="C55" s="15" t="inlineStr">
        <ns0:is>
          <ns0:t>W33</ns0:t>
        </ns0:is>
      </ns0:c>
      <ns0:c r="D55" s="15" t="inlineStr">
        <ns0:is>
          <ns0:t>赤焰枪</ns0:t>
        </ns0:is>
      </ns0:c>
      <ns0:c r="E55" s="15" t="inlineStr">
        <ns0:is>
          <ns0:t>直接伤害</ns0:t>
        </ns0:is>
      </ns0:c>
      <ns0:c r="F55" s="15" t="n">
        <ns0:v>36</ns0:v>
      </ns0:c>
      <ns0:c r="G55" s="15" t="inlineStr"/>
      <ns0:c r="H55" s="15" t="inlineStr">
        <ns0:is>
          <ns0:t>合法发动并按命中结算</ns0:t>
        </ns0:is>
      </ns0:c>
      <ns0:c r="I55" s="15" t="inlineStr">
        <ns0:is>
          <ns0:t>敌方</ns0:t>
        </ns0:is>
      </ns0:c>
      <ns0:c r="J55" s="15" t="inlineStr">
        <ns0:is>
          <ns0:t>WEAPON</ns0:t>
        </ns0:is>
      </ns0:c>
      <ns0:c r="K55" s="15" t="inlineStr">
        <ns0:is>
          <ns0:t>穿刺</ns0:t>
        </ns0:is>
      </ns0:c>
      <ns0:c r="L55" s="15" t="inlineStr">
        <ns0:is>
          <ns0:t>火</ns0:t>
        </ns0:is>
      </ns0:c>
      <ns0:c r="M55" s="15" t="inlineStr">
        <ns0:is>
          <ns0:t>01 M06 A01；04攻击类型</ns0:t>
        </ns0:is>
      </ns0:c>
      <ns0:c r="N55" s="15" t="inlineStr">
        <ns0:is>
          <ns0:t>单一基础伤害，不额外赠送一份元素伤害；来源身份不因SPELL攻击类型改变</ns0:t>
        </ns0:is>
      </ns0:c>
      <ns0:c r="O55" s="15" t="inlineStr">
        <ns0:is>
          <ns0:t>候选设计记录；未注册游戏Effect</ns0:t>
        </ns0:is>
      </ns0:c>
    </ns0:row>
    <ns0:row r="56" ht="40" customHeight="1">
      <ns0:c r="A56" s="4" t="inlineStr">
        <ns0:is>
          <ns0:t>t01.asset.0054.effect.02</ns0:t>
        </ns0:is>
      </ns0:c>
      <ns0:c r="B56" s="4" t="inlineStr">
        <ns0:is>
          <ns0:t>t01.asset.0054</ns0:t>
        </ns0:is>
      </ns0:c>
      <ns0:c r="C56" s="4" t="inlineStr">
        <ns0:is>
          <ns0:t>W33</ns0:t>
        </ns0:is>
      </ns0:c>
      <ns0:c r="D56" s="4" t="inlineStr">
        <ns0:is>
          <ns0:t>赤焰枪</ns0:t>
        </ns0:is>
      </ns0:c>
      <ns0:c r="E56" s="4" t="inlineStr">
        <ns0:is>
          <ns0:t>施加状态</ns0:t>
        </ns0:is>
      </ns0:c>
      <ns0:c r="F56" s="4" t="n">
        <ns0:v>2</ns0:v>
      </ns0:c>
      <ns0:c r="G56" s="4" t="inlineStr">
        <ns0:is>
          <ns0:t>灼烧</ns0:t>
        </ns0:is>
      </ns0:c>
      <ns0:c r="H56" s="4" t="inlineStr">
        <ns0:is>
          <ns0:t>命中</ns0:t>
        </ns0:is>
      </ns0:c>
      <ns0:c r="I56" s="4" t="inlineStr">
        <ns0:is>
          <ns0:t>敌方</ns0:t>
        </ns0:is>
      </ns0:c>
      <ns0:c r="J56" s="4" t="inlineStr">
        <ns0:is>
          <ns0:t>WEAPON</ns0:t>
        </ns0:is>
      </ns0:c>
      <ns0:c r="K56" s="4" t="inlineStr">
        <ns0:is>
          <ns0:t>穿刺</ns0:t>
        </ns0:is>
      </ns0:c>
      <ns0:c r="L56" s="4" t="inlineStr">
        <ns0:is>
          <ns0:t>火</ns0:t>
        </ns0:is>
      </ns0:c>
      <ns0:c r="M56" s="4" t="inlineStr">
        <ns0:is>
          <ns0:t>02核心状态／OP_ADD；01 M02/M03/M07</ns0:t>
        </ns0:is>
      </ns0:c>
      <ns0:c r="N56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56" s="4" t="inlineStr">
        <ns0:is>
          <ns0:t>候选设计记录；未注册游戏Effect</ns0:t>
        </ns0:is>
      </ns0:c>
    </ns0:row>
    <ns0:row r="57" ht="40" customHeight="1">
      <ns0:c r="A57" s="15" t="inlineStr">
        <ns0:is>
          <ns0:t>t01.asset.0055.effect.01</ns0:t>
        </ns0:is>
      </ns0:c>
      <ns0:c r="B57" s="15" t="inlineStr">
        <ns0:is>
          <ns0:t>t01.asset.0055</ns0:t>
        </ns0:is>
      </ns0:c>
      <ns0:c r="C57" s="15" t="inlineStr">
        <ns0:is>
          <ns0:t>A01</ns0:t>
        </ns0:is>
      </ns0:c>
      <ns0:c r="D57" s="15" t="inlineStr">
        <ns0:is>
          <ns0:t>细布衣</ns0:t>
        </ns0:is>
      </ns0:c>
      <ns0:c r="E57" s="15" t="inlineStr">
        <ns0:is>
          <ns0:t>护甲上限贡献</ns0:t>
        </ns0:is>
      </ns0:c>
      <ns0:c r="F57" s="15" t="n">
        <ns0:v>13</ns0:v>
      </ns0:c>
      <ns0:c r="G57" s="15" t="inlineStr"/>
      <ns0:c r="H57" s="15" t="inlineStr">
        <ns0:is>
          <ns0:t>上阵静态贡献</ns0:t>
        </ns0:is>
      </ns0:c>
      <ns0:c r="I57" s="15" t="inlineStr">
        <ns0:is>
          <ns0:t>自身</ns0:t>
        </ns0:is>
      </ns0:c>
      <ns0:c r="J57" s="15" t="inlineStr">
        <ns0:is>
          <ns0:t>ARMOR</ns0:t>
        </ns0:is>
      </ns0:c>
      <ns0:c r="K57" s="15" t="inlineStr">
        <ns0:is>
          <ns0:t>无攻击</ns0:t>
        </ns0:is>
      </ns0:c>
      <ns0:c r="L57" s="15" t="inlineStr">
        <ns0:is>
          <ns0:t>无属性</ns0:t>
        </ns0:is>
      </ns0:c>
      <ns0:c r="M57" s="15" t="inlineStr">
        <ns0:is>
          <ns0:t>01 M06 I11；04防具</ns0:t>
        </ns0:is>
      </ns0:c>
      <ns0:c r="N57" s="15" t="inlineStr">
        <ns0:is>
          <ns0:t>只加上限，不立即回满；法器不参加甲型或防御元素投票</ns0:t>
        </ns0:is>
      </ns0:c>
      <ns0:c r="O57" s="15" t="inlineStr">
        <ns0:is>
          <ns0:t>候选设计记录；未注册游戏Effect</ns0:t>
        </ns0:is>
      </ns0:c>
    </ns0:row>
    <ns0:row r="58" ht="40" customHeight="1">
      <ns0:c r="A58" s="4" t="inlineStr">
        <ns0:is>
          <ns0:t>t01.asset.0055.effect.02</ns0:t>
        </ns0:is>
      </ns0:c>
      <ns0:c r="B58" s="4" t="inlineStr">
        <ns0:is>
          <ns0:t>t01.asset.0055</ns0:t>
        </ns0:is>
      </ns0:c>
      <ns0:c r="C58" s="4" t="inlineStr">
        <ns0:is>
          <ns0:t>A01</ns0:t>
        </ns0:is>
      </ns0:c>
      <ns0:c r="D58" s="4" t="inlineStr">
        <ns0:is>
          <ns0:t>细布衣</ns0:t>
        </ns0:is>
      </ns0:c>
      <ns0:c r="E58" s="4" t="inlineStr">
        <ns0:is>
          <ns0:t>恢复当前护甲</ns0:t>
        </ns0:is>
      </ns0:c>
      <ns0:c r="F58" s="4" t="n">
        <ns0:v>7</ns0:v>
      </ns0:c>
      <ns0:c r="G58" s="4" t="inlineStr"/>
      <ns0:c r="H58" s="4" t="inlineStr">
        <ns0:is>
          <ns0:t>自身轮转CD合法发动</ns0:t>
        </ns0:is>
      </ns0:c>
      <ns0:c r="I58" s="4" t="inlineStr">
        <ns0:is>
          <ns0:t>自身</ns0:t>
        </ns0:is>
      </ns0:c>
      <ns0:c r="J58" s="4" t="inlineStr">
        <ns0:is>
          <ns0:t>ARMOR</ns0:t>
        </ns0:is>
      </ns0:c>
      <ns0:c r="K58" s="4" t="inlineStr">
        <ns0:is>
          <ns0:t>无攻击</ns0:t>
        </ns0:is>
      </ns0:c>
      <ns0:c r="L58" s="4" t="inlineStr">
        <ns0:is>
          <ns0:t>无属性</ns0:t>
        </ns0:is>
      </ns0:c>
      <ns0:c r="M58" s="4" t="inlineStr">
        <ns0:is>
          <ns0:t>01 M06 C01</ns0:t>
        </ns0:is>
      </ns0:c>
      <ns0:c r="N58" s="4" t="inlineStr">
        <ns0:is>
          <ns0:t>不增加上限；与受击Buff独立计时</ns0:t>
        </ns0:is>
      </ns0:c>
      <ns0:c r="O58" s="4" t="inlineStr">
        <ns0:is>
          <ns0:t>候选设计记录；未注册游戏Effect</ns0:t>
        </ns0:is>
      </ns0:c>
    </ns0:row>
    <ns0:row r="59" ht="40" customHeight="1">
      <ns0:c r="A59" s="15" t="inlineStr">
        <ns0:is>
          <ns0:t>t01.asset.0056.effect.01</ns0:t>
        </ns0:is>
      </ns0:c>
      <ns0:c r="B59" s="15" t="inlineStr">
        <ns0:is>
          <ns0:t>t01.asset.0056</ns0:t>
        </ns0:is>
      </ns0:c>
      <ns0:c r="C59" s="15" t="inlineStr">
        <ns0:is>
          <ns0:t>A02</ns0:t>
        </ns0:is>
      </ns0:c>
      <ns0:c r="D59" s="15" t="inlineStr">
        <ns0:is>
          <ns0:t>水纹衣</ns0:t>
        </ns0:is>
      </ns0:c>
      <ns0:c r="E59" s="15" t="inlineStr">
        <ns0:is>
          <ns0:t>护甲上限贡献</ns0:t>
        </ns0:is>
      </ns0:c>
      <ns0:c r="F59" s="15" t="n">
        <ns0:v>12</ns0:v>
      </ns0:c>
      <ns0:c r="G59" s="15" t="inlineStr"/>
      <ns0:c r="H59" s="15" t="inlineStr">
        <ns0:is>
          <ns0:t>上阵静态贡献</ns0:t>
        </ns0:is>
      </ns0:c>
      <ns0:c r="I59" s="15" t="inlineStr">
        <ns0:is>
          <ns0:t>自身</ns0:t>
        </ns0:is>
      </ns0:c>
      <ns0:c r="J59" s="15" t="inlineStr">
        <ns0:is>
          <ns0:t>ARMOR</ns0:t>
        </ns0:is>
      </ns0:c>
      <ns0:c r="K59" s="15" t="inlineStr">
        <ns0:is>
          <ns0:t>无攻击</ns0:t>
        </ns0:is>
      </ns0:c>
      <ns0:c r="L59" s="15" t="inlineStr">
        <ns0:is>
          <ns0:t>水</ns0:t>
        </ns0:is>
      </ns0:c>
      <ns0:c r="M59" s="15" t="inlineStr">
        <ns0:is>
          <ns0:t>01 M06 I11；04防具</ns0:t>
        </ns0:is>
      </ns0:c>
      <ns0:c r="N59" s="15" t="inlineStr">
        <ns0:is>
          <ns0:t>只加上限，不立即回满；法器不参加甲型或防御元素投票</ns0:t>
        </ns0:is>
      </ns0:c>
      <ns0:c r="O59" s="15" t="inlineStr">
        <ns0:is>
          <ns0:t>候选设计记录；未注册游戏Effect</ns0:t>
        </ns0:is>
      </ns0:c>
    </ns0:row>
    <ns0:row r="60" ht="40" customHeight="1">
      <ns0:c r="A60" s="4" t="inlineStr">
        <ns0:is>
          <ns0:t>t01.asset.0056.effect.02</ns0:t>
        </ns0:is>
      </ns0:c>
      <ns0:c r="B60" s="4" t="inlineStr">
        <ns0:is>
          <ns0:t>t01.asset.0056</ns0:t>
        </ns0:is>
      </ns0:c>
      <ns0:c r="C60" s="4" t="inlineStr">
        <ns0:is>
          <ns0:t>A02</ns0:t>
        </ns0:is>
      </ns0:c>
      <ns0:c r="D60" s="4" t="inlineStr">
        <ns0:is>
          <ns0:t>水纹衣</ns0:t>
        </ns0:is>
      </ns0:c>
      <ns0:c r="E60" s="4" t="inlineStr">
        <ns0:is>
          <ns0:t>恢复当前护甲</ns0:t>
        </ns0:is>
      </ns0:c>
      <ns0:c r="F60" s="4" t="n">
        <ns0:v>6</ns0:v>
      </ns0:c>
      <ns0:c r="G60" s="4" t="inlineStr"/>
      <ns0:c r="H60" s="4" t="inlineStr">
        <ns0:is>
          <ns0:t>自身轮转CD合法发动</ns0:t>
        </ns0:is>
      </ns0:c>
      <ns0:c r="I60" s="4" t="inlineStr">
        <ns0:is>
          <ns0:t>自身</ns0:t>
        </ns0:is>
      </ns0:c>
      <ns0:c r="J60" s="4" t="inlineStr">
        <ns0:is>
          <ns0:t>ARMOR</ns0:t>
        </ns0:is>
      </ns0:c>
      <ns0:c r="K60" s="4" t="inlineStr">
        <ns0:is>
          <ns0:t>无攻击</ns0:t>
        </ns0:is>
      </ns0:c>
      <ns0:c r="L60" s="4" t="inlineStr">
        <ns0:is>
          <ns0:t>水</ns0:t>
        </ns0:is>
      </ns0:c>
      <ns0:c r="M60" s="4" t="inlineStr">
        <ns0:is>
          <ns0:t>01 M06 C01</ns0:t>
        </ns0:is>
      </ns0:c>
      <ns0:c r="N60" s="4" t="inlineStr">
        <ns0:is>
          <ns0:t>不增加上限；与受击Buff独立计时</ns0:t>
        </ns0:is>
      </ns0:c>
      <ns0:c r="O60" s="4" t="inlineStr">
        <ns0:is>
          <ns0:t>候选设计记录；未注册游戏Effect</ns0:t>
        </ns0:is>
      </ns0:c>
    </ns0:row>
    <ns0:row r="61" ht="40" customHeight="1">
      <ns0:c r="A61" s="15" t="inlineStr">
        <ns0:is>
          <ns0:t>t01.asset.0056.effect.03</ns0:t>
        </ns0:is>
      </ns0:c>
      <ns0:c r="B61" s="15" t="inlineStr">
        <ns0:is>
          <ns0:t>t01.asset.0056</ns0:t>
        </ns0:is>
      </ns0:c>
      <ns0:c r="C61" s="15" t="inlineStr">
        <ns0:is>
          <ns0:t>A02</ns0:t>
        </ns0:is>
      </ns0:c>
      <ns0:c r="D61" s="15" t="inlineStr">
        <ns0:is>
          <ns0:t>水纹衣</ns0:t>
        </ns0:is>
      </ns0:c>
      <ns0:c r="E61" s="15" t="inlineStr">
        <ns0:is>
          <ns0:t>施加状态</ns0:t>
        </ns0:is>
      </ns0:c>
      <ns0:c r="F61" s="15" t="n">
        <ns0:v>1</ns0:v>
      </ns0:c>
      <ns0:c r="G61" s="15" t="inlineStr">
        <ns0:is>
          <ns0:t>润脉</ns0:t>
        </ns0:is>
      </ns0:c>
      <ns0:c r="H61" s="15" t="inlineStr">
        <ns0:is>
          <ns0:t>轮转</ns0:t>
        </ns0:is>
      </ns0:c>
      <ns0:c r="I61" s="15" t="inlineStr">
        <ns0:is>
          <ns0:t>自身</ns0:t>
        </ns0:is>
      </ns0:c>
      <ns0:c r="J61" s="15" t="inlineStr">
        <ns0:is>
          <ns0:t>ARMOR</ns0:t>
        </ns0:is>
      </ns0:c>
      <ns0:c r="K61" s="15" t="inlineStr">
        <ns0:is>
          <ns0:t>无攻击</ns0:t>
        </ns0:is>
      </ns0:c>
      <ns0:c r="L61" s="15" t="inlineStr">
        <ns0:is>
          <ns0:t>水</ns0:t>
        </ns0:is>
      </ns0:c>
      <ns0:c r="M61" s="15" t="inlineStr">
        <ns0:is>
          <ns0:t>02核心状态／OP_ADD；01 M02/M03/M07</ns0:t>
        </ns0:is>
      </ns0:c>
      <ns0:c r="N6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61" s="15" t="inlineStr">
        <ns0:is>
          <ns0:t>候选设计记录；未注册游戏Effect</ns0:t>
        </ns0:is>
      </ns0:c>
    </ns0:row>
    <ns0:row r="62" ht="40" customHeight="1">
      <ns0:c r="A62" s="4" t="inlineStr">
        <ns0:is>
          <ns0:t>t01.asset.0057.effect.01</ns0:t>
        </ns0:is>
      </ns0:c>
      <ns0:c r="B62" s="4" t="inlineStr">
        <ns0:is>
          <ns0:t>t01.asset.0057</ns0:t>
        </ns0:is>
      </ns0:c>
      <ns0:c r="C62" s="4" t="inlineStr">
        <ns0:is>
          <ns0:t>A03</ns0:t>
        </ns0:is>
      </ns0:c>
      <ns0:c r="D62" s="4" t="inlineStr">
        <ns0:is>
          <ns0:t>札甲</ns0:t>
        </ns0:is>
      </ns0:c>
      <ns0:c r="E62" s="4" t="inlineStr">
        <ns0:is>
          <ns0:t>护甲上限贡献</ns0:t>
        </ns0:is>
      </ns0:c>
      <ns0:c r="F62" s="4" t="n">
        <ns0:v>18</ns0:v>
      </ns0:c>
      <ns0:c r="G62" s="4" t="inlineStr"/>
      <ns0:c r="H62" s="4" t="inlineStr">
        <ns0:is>
          <ns0:t>上阵静态贡献</ns0:t>
        </ns0:is>
      </ns0:c>
      <ns0:c r="I62" s="4" t="inlineStr">
        <ns0:is>
          <ns0:t>自身</ns0:t>
        </ns0:is>
      </ns0:c>
      <ns0:c r="J62" s="4" t="inlineStr">
        <ns0:is>
          <ns0:t>ARMOR</ns0:t>
        </ns0:is>
      </ns0:c>
      <ns0:c r="K62" s="4" t="inlineStr">
        <ns0:is>
          <ns0:t>无攻击</ns0:t>
        </ns0:is>
      </ns0:c>
      <ns0:c r="L62" s="4" t="inlineStr">
        <ns0:is>
          <ns0:t>无属性</ns0:t>
        </ns0:is>
      </ns0:c>
      <ns0:c r="M62" s="4" t="inlineStr">
        <ns0:is>
          <ns0:t>01 M06 I11；04防具</ns0:t>
        </ns0:is>
      </ns0:c>
      <ns0:c r="N62" s="4" t="inlineStr">
        <ns0:is>
          <ns0:t>只加上限，不立即回满；法器不参加甲型或防御元素投票</ns0:t>
        </ns0:is>
      </ns0:c>
      <ns0:c r="O62" s="4" t="inlineStr">
        <ns0:is>
          <ns0:t>候选设计记录；未注册游戏Effect</ns0:t>
        </ns0:is>
      </ns0:c>
    </ns0:row>
    <ns0:row r="63" ht="40" customHeight="1">
      <ns0:c r="A63" s="15" t="inlineStr">
        <ns0:is>
          <ns0:t>t01.asset.0057.effect.02</ns0:t>
        </ns0:is>
      </ns0:c>
      <ns0:c r="B63" s="15" t="inlineStr">
        <ns0:is>
          <ns0:t>t01.asset.0057</ns0:t>
        </ns0:is>
      </ns0:c>
      <ns0:c r="C63" s="15" t="inlineStr">
        <ns0:is>
          <ns0:t>A03</ns0:t>
        </ns0:is>
      </ns0:c>
      <ns0:c r="D63" s="15" t="inlineStr">
        <ns0:is>
          <ns0:t>札甲</ns0:t>
        </ns0:is>
      </ns0:c>
      <ns0:c r="E63" s="15" t="inlineStr">
        <ns0:is>
          <ns0:t>恢复当前护甲</ns0:t>
        </ns0:is>
      </ns0:c>
      <ns0:c r="F63" s="15" t="n">
        <ns0:v>8</ns0:v>
      </ns0:c>
      <ns0:c r="G63" s="15" t="inlineStr"/>
      <ns0:c r="H63" s="15" t="inlineStr">
        <ns0:is>
          <ns0:t>自身轮转CD合法发动</ns0:t>
        </ns0:is>
      </ns0:c>
      <ns0:c r="I63" s="15" t="inlineStr">
        <ns0:is>
          <ns0:t>自身</ns0:t>
        </ns0:is>
      </ns0:c>
      <ns0:c r="J63" s="15" t="inlineStr">
        <ns0:is>
          <ns0:t>ARMOR</ns0:t>
        </ns0:is>
      </ns0:c>
      <ns0:c r="K63" s="15" t="inlineStr">
        <ns0:is>
          <ns0:t>无攻击</ns0:t>
        </ns0:is>
      </ns0:c>
      <ns0:c r="L63" s="15" t="inlineStr">
        <ns0:is>
          <ns0:t>无属性</ns0:t>
        </ns0:is>
      </ns0:c>
      <ns0:c r="M63" s="15" t="inlineStr">
        <ns0:is>
          <ns0:t>01 M06 C01</ns0:t>
        </ns0:is>
      </ns0:c>
      <ns0:c r="N63" s="15" t="inlineStr">
        <ns0:is>
          <ns0:t>不增加上限；与受击Buff独立计时</ns0:t>
        </ns0:is>
      </ns0:c>
      <ns0:c r="O63" s="15" t="inlineStr">
        <ns0:is>
          <ns0:t>候选设计记录；未注册游戏Effect</ns0:t>
        </ns0:is>
      </ns0:c>
    </ns0:row>
    <ns0:row r="64" ht="40" customHeight="1">
      <ns0:c r="A64" s="4" t="inlineStr">
        <ns0:is>
          <ns0:t>t01.asset.0058.effect.01</ns0:t>
        </ns0:is>
      </ns0:c>
      <ns0:c r="B64" s="4" t="inlineStr">
        <ns0:is>
          <ns0:t>t01.asset.0058</ns0:t>
        </ns0:is>
      </ns0:c>
      <ns0:c r="C64" s="4" t="inlineStr">
        <ns0:is>
          <ns0:t>A04</ns0:t>
        </ns0:is>
      </ns0:c>
      <ns0:c r="D64" s="4" t="inlineStr">
        <ns0:is>
          <ns0:t>赤铜甲</ns0:t>
        </ns0:is>
      </ns0:c>
      <ns0:c r="E64" s="4" t="inlineStr">
        <ns0:is>
          <ns0:t>护甲上限贡献</ns0:t>
        </ns0:is>
      </ns0:c>
      <ns0:c r="F64" s="4" t="n">
        <ns0:v>16</ns0:v>
      </ns0:c>
      <ns0:c r="G64" s="4" t="inlineStr"/>
      <ns0:c r="H64" s="4" t="inlineStr">
        <ns0:is>
          <ns0:t>上阵静态贡献</ns0:t>
        </ns0:is>
      </ns0:c>
      <ns0:c r="I64" s="4" t="inlineStr">
        <ns0:is>
          <ns0:t>自身</ns0:t>
        </ns0:is>
      </ns0:c>
      <ns0:c r="J64" s="4" t="inlineStr">
        <ns0:is>
          <ns0:t>ARMOR</ns0:t>
        </ns0:is>
      </ns0:c>
      <ns0:c r="K64" s="4" t="inlineStr">
        <ns0:is>
          <ns0:t>无攻击</ns0:t>
        </ns0:is>
      </ns0:c>
      <ns0:c r="L64" s="4" t="inlineStr">
        <ns0:is>
          <ns0:t>火</ns0:t>
        </ns0:is>
      </ns0:c>
      <ns0:c r="M64" s="4" t="inlineStr">
        <ns0:is>
          <ns0:t>01 M06 I11；04防具</ns0:t>
        </ns0:is>
      </ns0:c>
      <ns0:c r="N64" s="4" t="inlineStr">
        <ns0:is>
          <ns0:t>只加上限，不立即回满；法器不参加甲型或防御元素投票</ns0:t>
        </ns0:is>
      </ns0:c>
      <ns0:c r="O64" s="4" t="inlineStr">
        <ns0:is>
          <ns0:t>候选设计记录；未注册游戏Effect</ns0:t>
        </ns0:is>
      </ns0:c>
    </ns0:row>
    <ns0:row r="65" ht="40" customHeight="1">
      <ns0:c r="A65" s="15" t="inlineStr">
        <ns0:is>
          <ns0:t>t01.asset.0058.effect.02</ns0:t>
        </ns0:is>
      </ns0:c>
      <ns0:c r="B65" s="15" t="inlineStr">
        <ns0:is>
          <ns0:t>t01.asset.0058</ns0:t>
        </ns0:is>
      </ns0:c>
      <ns0:c r="C65" s="15" t="inlineStr">
        <ns0:is>
          <ns0:t>A04</ns0:t>
        </ns0:is>
      </ns0:c>
      <ns0:c r="D65" s="15" t="inlineStr">
        <ns0:is>
          <ns0:t>赤铜甲</ns0:t>
        </ns0:is>
      </ns0:c>
      <ns0:c r="E65" s="15" t="inlineStr">
        <ns0:is>
          <ns0:t>恢复当前护甲</ns0:t>
        </ns0:is>
      </ns0:c>
      <ns0:c r="F65" s="15" t="n">
        <ns0:v>6</ns0:v>
      </ns0:c>
      <ns0:c r="G65" s="15" t="inlineStr"/>
      <ns0:c r="H65" s="15" t="inlineStr">
        <ns0:is>
          <ns0:t>自身轮转CD合法发动</ns0:t>
        </ns0:is>
      </ns0:c>
      <ns0:c r="I65" s="15" t="inlineStr">
        <ns0:is>
          <ns0:t>自身</ns0:t>
        </ns0:is>
      </ns0:c>
      <ns0:c r="J65" s="15" t="inlineStr">
        <ns0:is>
          <ns0:t>ARMOR</ns0:t>
        </ns0:is>
      </ns0:c>
      <ns0:c r="K65" s="15" t="inlineStr">
        <ns0:is>
          <ns0:t>无攻击</ns0:t>
        </ns0:is>
      </ns0:c>
      <ns0:c r="L65" s="15" t="inlineStr">
        <ns0:is>
          <ns0:t>火</ns0:t>
        </ns0:is>
      </ns0:c>
      <ns0:c r="M65" s="15" t="inlineStr">
        <ns0:is>
          <ns0:t>01 M06 C01</ns0:t>
        </ns0:is>
      </ns0:c>
      <ns0:c r="N65" s="15" t="inlineStr">
        <ns0:is>
          <ns0:t>不增加上限；与受击Buff独立计时</ns0:t>
        </ns0:is>
      </ns0:c>
      <ns0:c r="O65" s="15" t="inlineStr">
        <ns0:is>
          <ns0:t>候选设计记录；未注册游戏Effect</ns0:t>
        </ns0:is>
      </ns0:c>
    </ns0:row>
    <ns0:row r="66" ht="55" customHeight="1">
      <ns0:c r="A66" s="4" t="inlineStr">
        <ns0:is>
          <ns0:t>t01.asset.0058.effect.03</ns0:t>
        </ns0:is>
      </ns0:c>
      <ns0:c r="B66" s="4" t="inlineStr">
        <ns0:is>
          <ns0:t>t01.asset.0058</ns0:t>
        </ns0:is>
      </ns0:c>
      <ns0:c r="C66" s="4" t="inlineStr">
        <ns0:is>
          <ns0:t>A04</ns0:t>
        </ns0:is>
      </ns0:c>
      <ns0:c r="D66" s="4" t="inlineStr">
        <ns0:is>
          <ns0:t>赤铜甲</ns0:t>
        </ns0:is>
      </ns0:c>
      <ns0:c r="E66" s="4" t="inlineStr">
        <ns0:is>
          <ns0:t>施加状态</ns0:t>
        </ns0:is>
      </ns0:c>
      <ns0:c r="F66" s="4" t="n">
        <ns0:v>2</ns0:v>
      </ns0:c>
      <ns0:c r="G66" s="4" t="inlineStr">
        <ns0:is>
          <ns0:t>附炎</ns0:t>
        </ns0:is>
      </ns0:c>
      <ns0:c r="H66" s="4" t="inlineStr">
        <ns0:is>
          <ns0:t>受击</ns0:t>
        </ns0:is>
      </ns0:c>
      <ns0:c r="I66" s="4" t="inlineStr">
        <ns0:is>
          <ns0:t>自身</ns0:t>
        </ns0:is>
      </ns0:c>
      <ns0:c r="J66" s="4" t="inlineStr">
        <ns0:is>
          <ns0:t>ARMOR</ns0:t>
        </ns0:is>
      </ns0:c>
      <ns0:c r="K66" s="4" t="inlineStr">
        <ns0:is>
          <ns0:t>无攻击</ns0:t>
        </ns0:is>
      </ns0:c>
      <ns0:c r="L66" s="4" t="inlineStr">
        <ns0:is>
          <ns0:t>火</ns0:t>
        </ns0:is>
      </ns0:c>
      <ns0:c r="M66" s="4" t="inlineStr">
        <ns0:is>
          <ns0:t>02核心状态／OP_ADD；01 M02/M03/M07</ns0:t>
        </ns0:is>
      </ns0:c>
      <ns0:c r="N66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66" s="4" t="inlineStr">
        <ns0:is>
          <ns0:t>候选设计记录；未注册游戏Effect</ns0:t>
        </ns0:is>
      </ns0:c>
    </ns0:row>
    <ns0:row r="67" ht="40" customHeight="1">
      <ns0:c r="A67" s="15" t="inlineStr">
        <ns0:is>
          <ns0:t>t01.asset.0059.effect.01</ns0:t>
        </ns0:is>
      </ns0:c>
      <ns0:c r="B67" s="15" t="inlineStr">
        <ns0:is>
          <ns0:t>t01.asset.0059</ns0:t>
        </ns0:is>
      </ns0:c>
      <ns0:c r="C67" s="15" t="inlineStr">
        <ns0:is>
          <ns0:t>A06</ns0:t>
        </ns0:is>
      </ns0:c>
      <ns0:c r="D67" s="15" t="inlineStr">
        <ns0:is>
          <ns0:t>雷纹法袍</ns0:t>
        </ns0:is>
      </ns0:c>
      <ns0:c r="E67" s="15" t="inlineStr">
        <ns0:is>
          <ns0:t>护甲上限贡献</ns0:t>
        </ns0:is>
      </ns0:c>
      <ns0:c r="F67" s="15" t="n">
        <ns0:v>14</ns0:v>
      </ns0:c>
      <ns0:c r="G67" s="15" t="inlineStr"/>
      <ns0:c r="H67" s="15" t="inlineStr">
        <ns0:is>
          <ns0:t>上阵静态贡献</ns0:t>
        </ns0:is>
      </ns0:c>
      <ns0:c r="I67" s="15" t="inlineStr">
        <ns0:is>
          <ns0:t>自身</ns0:t>
        </ns0:is>
      </ns0:c>
      <ns0:c r="J67" s="15" t="inlineStr">
        <ns0:is>
          <ns0:t>ARMOR</ns0:t>
        </ns0:is>
      </ns0:c>
      <ns0:c r="K67" s="15" t="inlineStr">
        <ns0:is>
          <ns0:t>无攻击</ns0:t>
        </ns0:is>
      </ns0:c>
      <ns0:c r="L67" s="15" t="inlineStr">
        <ns0:is>
          <ns0:t>雷</ns0:t>
        </ns0:is>
      </ns0:c>
      <ns0:c r="M67" s="15" t="inlineStr">
        <ns0:is>
          <ns0:t>01 M06 I11；04防具</ns0:t>
        </ns0:is>
      </ns0:c>
      <ns0:c r="N67" s="15" t="inlineStr">
        <ns0:is>
          <ns0:t>只加上限，不立即回满；法器不参加甲型或防御元素投票</ns0:t>
        </ns0:is>
      </ns0:c>
      <ns0:c r="O67" s="15" t="inlineStr">
        <ns0:is>
          <ns0:t>候选设计记录；未注册游戏Effect</ns0:t>
        </ns0:is>
      </ns0:c>
    </ns0:row>
    <ns0:row r="68" ht="40" customHeight="1">
      <ns0:c r="A68" s="4" t="inlineStr">
        <ns0:is>
          <ns0:t>t01.asset.0059.effect.02</ns0:t>
        </ns0:is>
      </ns0:c>
      <ns0:c r="B68" s="4" t="inlineStr">
        <ns0:is>
          <ns0:t>t01.asset.0059</ns0:t>
        </ns0:is>
      </ns0:c>
      <ns0:c r="C68" s="4" t="inlineStr">
        <ns0:is>
          <ns0:t>A06</ns0:t>
        </ns0:is>
      </ns0:c>
      <ns0:c r="D68" s="4" t="inlineStr">
        <ns0:is>
          <ns0:t>雷纹法袍</ns0:t>
        </ns0:is>
      </ns0:c>
      <ns0:c r="E68" s="4" t="inlineStr">
        <ns0:is>
          <ns0:t>恢复当前护甲</ns0:t>
        </ns0:is>
      </ns0:c>
      <ns0:c r="F68" s="4" t="n">
        <ns0:v>6</ns0:v>
      </ns0:c>
      <ns0:c r="G68" s="4" t="inlineStr"/>
      <ns0:c r="H68" s="4" t="inlineStr">
        <ns0:is>
          <ns0:t>自身轮转CD合法发动</ns0:t>
        </ns0:is>
      </ns0:c>
      <ns0:c r="I68" s="4" t="inlineStr">
        <ns0:is>
          <ns0:t>自身</ns0:t>
        </ns0:is>
      </ns0:c>
      <ns0:c r="J68" s="4" t="inlineStr">
        <ns0:is>
          <ns0:t>ARMOR</ns0:t>
        </ns0:is>
      </ns0:c>
      <ns0:c r="K68" s="4" t="inlineStr">
        <ns0:is>
          <ns0:t>无攻击</ns0:t>
        </ns0:is>
      </ns0:c>
      <ns0:c r="L68" s="4" t="inlineStr">
        <ns0:is>
          <ns0:t>雷</ns0:t>
        </ns0:is>
      </ns0:c>
      <ns0:c r="M68" s="4" t="inlineStr">
        <ns0:is>
          <ns0:t>01 M06 C01</ns0:t>
        </ns0:is>
      </ns0:c>
      <ns0:c r="N68" s="4" t="inlineStr">
        <ns0:is>
          <ns0:t>不增加上限；与受击Buff独立计时</ns0:t>
        </ns0:is>
      </ns0:c>
      <ns0:c r="O68" s="4" t="inlineStr">
        <ns0:is>
          <ns0:t>候选设计记录；未注册游戏Effect</ns0:t>
        </ns0:is>
      </ns0:c>
    </ns0:row>
    <ns0:row r="69" ht="40" customHeight="1">
      <ns0:c r="A69" s="15" t="inlineStr">
        <ns0:is>
          <ns0:t>t01.asset.0059.effect.03</ns0:t>
        </ns0:is>
      </ns0:c>
      <ns0:c r="B69" s="15" t="inlineStr">
        <ns0:is>
          <ns0:t>t01.asset.0059</ns0:t>
        </ns0:is>
      </ns0:c>
      <ns0:c r="C69" s="15" t="inlineStr">
        <ns0:is>
          <ns0:t>A06</ns0:t>
        </ns0:is>
      </ns0:c>
      <ns0:c r="D69" s="15" t="inlineStr">
        <ns0:is>
          <ns0:t>雷纹法袍</ns0:t>
        </ns0:is>
      </ns0:c>
      <ns0:c r="E69" s="15" t="inlineStr">
        <ns0:is>
          <ns0:t>施加状态</ns0:t>
        </ns0:is>
      </ns0:c>
      <ns0:c r="F69" s="15" t="n">
        <ns0:v>2</ns0:v>
      </ns0:c>
      <ns0:c r="G69" s="15" t="inlineStr">
        <ns0:is>
          <ns0:t>雷蕴</ns0:t>
        </ns0:is>
      </ns0:c>
      <ns0:c r="H69" s="15" t="inlineStr">
        <ns0:is>
          <ns0:t>轮转</ns0:t>
        </ns0:is>
      </ns0:c>
      <ns0:c r="I69" s="15" t="inlineStr">
        <ns0:is>
          <ns0:t>自身</ns0:t>
        </ns0:is>
      </ns0:c>
      <ns0:c r="J69" s="15" t="inlineStr">
        <ns0:is>
          <ns0:t>ARMOR</ns0:t>
        </ns0:is>
      </ns0:c>
      <ns0:c r="K69" s="15" t="inlineStr">
        <ns0:is>
          <ns0:t>无攻击</ns0:t>
        </ns0:is>
      </ns0:c>
      <ns0:c r="L69" s="15" t="inlineStr">
        <ns0:is>
          <ns0:t>雷</ns0:t>
        </ns0:is>
      </ns0:c>
      <ns0:c r="M69" s="15" t="inlineStr">
        <ns0:is>
          <ns0:t>02核心状态／OP_ADD；01 M02/M03/M07</ns0:t>
        </ns0:is>
      </ns0:c>
      <ns0:c r="N69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69" s="15" t="inlineStr">
        <ns0:is>
          <ns0:t>候选设计记录；未注册游戏Effect</ns0:t>
        </ns0:is>
      </ns0:c>
    </ns0:row>
    <ns0:row r="70" ht="40" customHeight="1">
      <ns0:c r="A70" s="4" t="inlineStr">
        <ns0:is>
          <ns0:t>t01.asset.0060.effect.01</ns0:t>
        </ns0:is>
      </ns0:c>
      <ns0:c r="B70" s="4" t="inlineStr">
        <ns0:is>
          <ns0:t>t01.asset.0060</ns0:t>
        </ns0:is>
      </ns0:c>
      <ns0:c r="C70" s="4" t="inlineStr">
        <ns0:is>
          <ns0:t>A07</ns0:t>
        </ns0:is>
      </ns0:c>
      <ns0:c r="D70" s="4" t="inlineStr">
        <ns0:is>
          <ns0:t>皮帽</ns0:t>
        </ns0:is>
      </ns0:c>
      <ns0:c r="E70" s="4" t="inlineStr">
        <ns0:is>
          <ns0:t>护甲上限贡献</ns0:t>
        </ns0:is>
      </ns0:c>
      <ns0:c r="F70" s="4" t="n">
        <ns0:v>4</ns0:v>
      </ns0:c>
      <ns0:c r="G70" s="4" t="inlineStr"/>
      <ns0:c r="H70" s="4" t="inlineStr">
        <ns0:is>
          <ns0:t>上阵静态贡献</ns0:t>
        </ns0:is>
      </ns0:c>
      <ns0:c r="I70" s="4" t="inlineStr">
        <ns0:is>
          <ns0:t>自身</ns0:t>
        </ns0:is>
      </ns0:c>
      <ns0:c r="J70" s="4" t="inlineStr">
        <ns0:is>
          <ns0:t>ARMOR</ns0:t>
        </ns0:is>
      </ns0:c>
      <ns0:c r="K70" s="4" t="inlineStr">
        <ns0:is>
          <ns0:t>无攻击</ns0:t>
        </ns0:is>
      </ns0:c>
      <ns0:c r="L70" s="4" t="inlineStr">
        <ns0:is>
          <ns0:t>风</ns0:t>
        </ns0:is>
      </ns0:c>
      <ns0:c r="M70" s="4" t="inlineStr">
        <ns0:is>
          <ns0:t>01 M06 I11；04防具</ns0:t>
        </ns0:is>
      </ns0:c>
      <ns0:c r="N70" s="4" t="inlineStr">
        <ns0:is>
          <ns0:t>只加上限，不立即回满；法器不参加甲型或防御元素投票</ns0:t>
        </ns0:is>
      </ns0:c>
      <ns0:c r="O70" s="4" t="inlineStr">
        <ns0:is>
          <ns0:t>候选设计记录；未注册游戏Effect</ns0:t>
        </ns0:is>
      </ns0:c>
    </ns0:row>
    <ns0:row r="71" ht="40" customHeight="1">
      <ns0:c r="A71" s="15" t="inlineStr">
        <ns0:is>
          <ns0:t>t01.asset.0060.effect.02</ns0:t>
        </ns0:is>
      </ns0:c>
      <ns0:c r="B71" s="15" t="inlineStr">
        <ns0:is>
          <ns0:t>t01.asset.0060</ns0:t>
        </ns0:is>
      </ns0:c>
      <ns0:c r="C71" s="15" t="inlineStr">
        <ns0:is>
          <ns0:t>A07</ns0:t>
        </ns0:is>
      </ns0:c>
      <ns0:c r="D71" s="15" t="inlineStr">
        <ns0:is>
          <ns0:t>皮帽</ns0:t>
        </ns0:is>
      </ns0:c>
      <ns0:c r="E71" s="15" t="inlineStr">
        <ns0:is>
          <ns0:t>恢复当前护甲</ns0:t>
        </ns0:is>
      </ns0:c>
      <ns0:c r="F71" s="15" t="n">
        <ns0:v>2</ns0:v>
      </ns0:c>
      <ns0:c r="G71" s="15" t="inlineStr"/>
      <ns0:c r="H71" s="15" t="inlineStr">
        <ns0:is>
          <ns0:t>自身轮转CD合法发动</ns0:t>
        </ns0:is>
      </ns0:c>
      <ns0:c r="I71" s="15" t="inlineStr">
        <ns0:is>
          <ns0:t>自身</ns0:t>
        </ns0:is>
      </ns0:c>
      <ns0:c r="J71" s="15" t="inlineStr">
        <ns0:is>
          <ns0:t>ARMOR</ns0:t>
        </ns0:is>
      </ns0:c>
      <ns0:c r="K71" s="15" t="inlineStr">
        <ns0:is>
          <ns0:t>无攻击</ns0:t>
        </ns0:is>
      </ns0:c>
      <ns0:c r="L71" s="15" t="inlineStr">
        <ns0:is>
          <ns0:t>风</ns0:t>
        </ns0:is>
      </ns0:c>
      <ns0:c r="M71" s="15" t="inlineStr">
        <ns0:is>
          <ns0:t>01 M06 C01</ns0:t>
        </ns0:is>
      </ns0:c>
      <ns0:c r="N71" s="15" t="inlineStr">
        <ns0:is>
          <ns0:t>不增加上限；与受击Buff独立计时</ns0:t>
        </ns0:is>
      </ns0:c>
      <ns0:c r="O71" s="15" t="inlineStr">
        <ns0:is>
          <ns0:t>候选设计记录；未注册游戏Effect</ns0:t>
        </ns0:is>
      </ns0:c>
    </ns0:row>
    <ns0:row r="72" ht="55" customHeight="1">
      <ns0:c r="A72" s="4" t="inlineStr">
        <ns0:is>
          <ns0:t>t01.asset.0060.effect.03</ns0:t>
        </ns0:is>
      </ns0:c>
      <ns0:c r="B72" s="4" t="inlineStr">
        <ns0:is>
          <ns0:t>t01.asset.0060</ns0:t>
        </ns0:is>
      </ns0:c>
      <ns0:c r="C72" s="4" t="inlineStr">
        <ns0:is>
          <ns0:t>A07</ns0:t>
        </ns0:is>
      </ns0:c>
      <ns0:c r="D72" s="4" t="inlineStr">
        <ns0:is>
          <ns0:t>皮帽</ns0:t>
        </ns0:is>
      </ns0:c>
      <ns0:c r="E72" s="4" t="inlineStr">
        <ns0:is>
          <ns0:t>施加状态</ns0:t>
        </ns0:is>
      </ns0:c>
      <ns0:c r="F72" s="4" t="n">
        <ns0:v>1</ns0:v>
      </ns0:c>
      <ns0:c r="G72" s="4" t="inlineStr">
        <ns0:is>
          <ns0:t>轻灵</ns0:t>
        </ns0:is>
      </ns0:c>
      <ns0:c r="H72" s="4" t="inlineStr">
        <ns0:is>
          <ns0:t>受击</ns0:t>
        </ns0:is>
      </ns0:c>
      <ns0:c r="I72" s="4" t="inlineStr">
        <ns0:is>
          <ns0:t>自身</ns0:t>
        </ns0:is>
      </ns0:c>
      <ns0:c r="J72" s="4" t="inlineStr">
        <ns0:is>
          <ns0:t>ARMOR</ns0:t>
        </ns0:is>
      </ns0:c>
      <ns0:c r="K72" s="4" t="inlineStr">
        <ns0:is>
          <ns0:t>无攻击</ns0:t>
        </ns0:is>
      </ns0:c>
      <ns0:c r="L72" s="4" t="inlineStr">
        <ns0:is>
          <ns0:t>风</ns0:t>
        </ns0:is>
      </ns0:c>
      <ns0:c r="M72" s="4" t="inlineStr">
        <ns0:is>
          <ns0:t>02核心状态／OP_ADD；01 M02/M03/M07</ns0:t>
        </ns0:is>
      </ns0:c>
      <ns0:c r="N72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72" s="4" t="inlineStr">
        <ns0:is>
          <ns0:t>候选设计记录；未注册游戏Effect</ns0:t>
        </ns0:is>
      </ns0:c>
    </ns0:row>
    <ns0:row r="73" ht="40" customHeight="1">
      <ns0:c r="A73" s="15" t="inlineStr">
        <ns0:is>
          <ns0:t>t01.asset.0061.effect.01</ns0:t>
        </ns0:is>
      </ns0:c>
      <ns0:c r="B73" s="15" t="inlineStr">
        <ns0:is>
          <ns0:t>t01.asset.0061</ns0:t>
        </ns0:is>
      </ns0:c>
      <ns0:c r="C73" s="15" t="inlineStr">
        <ns0:is>
          <ns0:t>A08</ns0:t>
        </ns0:is>
      </ns0:c>
      <ns0:c r="D73" s="15" t="inlineStr">
        <ns0:is>
          <ns0:t>铁盔</ns0:t>
        </ns0:is>
      </ns0:c>
      <ns0:c r="E73" s="15" t="inlineStr">
        <ns0:is>
          <ns0:t>护甲上限贡献</ns0:t>
        </ns0:is>
      </ns0:c>
      <ns0:c r="F73" s="15" t="n">
        <ns0:v>4</ns0:v>
      </ns0:c>
      <ns0:c r="G73" s="15" t="inlineStr"/>
      <ns0:c r="H73" s="15" t="inlineStr">
        <ns0:is>
          <ns0:t>上阵静态贡献</ns0:t>
        </ns0:is>
      </ns0:c>
      <ns0:c r="I73" s="15" t="inlineStr">
        <ns0:is>
          <ns0:t>自身</ns0:t>
        </ns0:is>
      </ns0:c>
      <ns0:c r="J73" s="15" t="inlineStr">
        <ns0:is>
          <ns0:t>ARMOR</ns0:t>
        </ns0:is>
      </ns0:c>
      <ns0:c r="K73" s="15" t="inlineStr">
        <ns0:is>
          <ns0:t>无攻击</ns0:t>
        </ns0:is>
      </ns0:c>
      <ns0:c r="L73" s="15" t="inlineStr">
        <ns0:is>
          <ns0:t>土</ns0:t>
        </ns0:is>
      </ns0:c>
      <ns0:c r="M73" s="15" t="inlineStr">
        <ns0:is>
          <ns0:t>01 M06 I11；04防具</ns0:t>
        </ns0:is>
      </ns0:c>
      <ns0:c r="N73" s="15" t="inlineStr">
        <ns0:is>
          <ns0:t>只加上限，不立即回满；法器不参加甲型或防御元素投票</ns0:t>
        </ns0:is>
      </ns0:c>
      <ns0:c r="O73" s="15" t="inlineStr">
        <ns0:is>
          <ns0:t>候选设计记录；未注册游戏Effect</ns0:t>
        </ns0:is>
      </ns0:c>
    </ns0:row>
    <ns0:row r="74" ht="40" customHeight="1">
      <ns0:c r="A74" s="4" t="inlineStr">
        <ns0:is>
          <ns0:t>t01.asset.0061.effect.02</ns0:t>
        </ns0:is>
      </ns0:c>
      <ns0:c r="B74" s="4" t="inlineStr">
        <ns0:is>
          <ns0:t>t01.asset.0061</ns0:t>
        </ns0:is>
      </ns0:c>
      <ns0:c r="C74" s="4" t="inlineStr">
        <ns0:is>
          <ns0:t>A08</ns0:t>
        </ns0:is>
      </ns0:c>
      <ns0:c r="D74" s="4" t="inlineStr">
        <ns0:is>
          <ns0:t>铁盔</ns0:t>
        </ns0:is>
      </ns0:c>
      <ns0:c r="E74" s="4" t="inlineStr">
        <ns0:is>
          <ns0:t>恢复当前护甲</ns0:t>
        </ns0:is>
      </ns0:c>
      <ns0:c r="F74" s="4" t="n">
        <ns0:v>3</ns0:v>
      </ns0:c>
      <ns0:c r="G74" s="4" t="inlineStr"/>
      <ns0:c r="H74" s="4" t="inlineStr">
        <ns0:is>
          <ns0:t>自身轮转CD合法发动</ns0:t>
        </ns0:is>
      </ns0:c>
      <ns0:c r="I74" s="4" t="inlineStr">
        <ns0:is>
          <ns0:t>自身</ns0:t>
        </ns0:is>
      </ns0:c>
      <ns0:c r="J74" s="4" t="inlineStr">
        <ns0:is>
          <ns0:t>ARMOR</ns0:t>
        </ns0:is>
      </ns0:c>
      <ns0:c r="K74" s="4" t="inlineStr">
        <ns0:is>
          <ns0:t>无攻击</ns0:t>
        </ns0:is>
      </ns0:c>
      <ns0:c r="L74" s="4" t="inlineStr">
        <ns0:is>
          <ns0:t>土</ns0:t>
        </ns0:is>
      </ns0:c>
      <ns0:c r="M74" s="4" t="inlineStr">
        <ns0:is>
          <ns0:t>01 M06 C01</ns0:t>
        </ns0:is>
      </ns0:c>
      <ns0:c r="N74" s="4" t="inlineStr">
        <ns0:is>
          <ns0:t>不增加上限；与受击Buff独立计时</ns0:t>
        </ns0:is>
      </ns0:c>
      <ns0:c r="O74" s="4" t="inlineStr">
        <ns0:is>
          <ns0:t>候选设计记录；未注册游戏Effect</ns0:t>
        </ns0:is>
      </ns0:c>
    </ns0:row>
    <ns0:row r="75" ht="55" customHeight="1">
      <ns0:c r="A75" s="15" t="inlineStr">
        <ns0:is>
          <ns0:t>t01.asset.0061.effect.03</ns0:t>
        </ns0:is>
      </ns0:c>
      <ns0:c r="B75" s="15" t="inlineStr">
        <ns0:is>
          <ns0:t>t01.asset.0061</ns0:t>
        </ns0:is>
      </ns0:c>
      <ns0:c r="C75" s="15" t="inlineStr">
        <ns0:is>
          <ns0:t>A08</ns0:t>
        </ns0:is>
      </ns0:c>
      <ns0:c r="D75" s="15" t="inlineStr">
        <ns0:is>
          <ns0:t>铁盔</ns0:t>
        </ns0:is>
      </ns0:c>
      <ns0:c r="E75" s="15" t="inlineStr">
        <ns0:is>
          <ns0:t>施加状态</ns0:t>
        </ns0:is>
      </ns0:c>
      <ns0:c r="F75" s="15" t="n">
        <ns0:v>1</ns0:v>
      </ns0:c>
      <ns0:c r="G75" s="15" t="inlineStr">
        <ns0:is>
          <ns0:t>坚韧</ns0:t>
        </ns0:is>
      </ns0:c>
      <ns0:c r="H75" s="15" t="inlineStr">
        <ns0:is>
          <ns0:t>受击</ns0:t>
        </ns0:is>
      </ns0:c>
      <ns0:c r="I75" s="15" t="inlineStr">
        <ns0:is>
          <ns0:t>自身</ns0:t>
        </ns0:is>
      </ns0:c>
      <ns0:c r="J75" s="15" t="inlineStr">
        <ns0:is>
          <ns0:t>ARMOR</ns0:t>
        </ns0:is>
      </ns0:c>
      <ns0:c r="K75" s="15" t="inlineStr">
        <ns0:is>
          <ns0:t>无攻击</ns0:t>
        </ns0:is>
      </ns0:c>
      <ns0:c r="L75" s="15" t="inlineStr">
        <ns0:is>
          <ns0:t>土</ns0:t>
        </ns0:is>
      </ns0:c>
      <ns0:c r="M75" s="15" t="inlineStr">
        <ns0:is>
          <ns0:t>02核心状态／OP_ADD；01 M02/M03/M07</ns0:t>
        </ns0:is>
      </ns0:c>
      <ns0:c r="N75" s="15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75" s="15" t="inlineStr">
        <ns0:is>
          <ns0:t>候选设计记录；未注册游戏Effect</ns0:t>
        </ns0:is>
      </ns0:c>
    </ns0:row>
    <ns0:row r="76" ht="40" customHeight="1">
      <ns0:c r="A76" s="4" t="inlineStr">
        <ns0:is>
          <ns0:t>t01.asset.0062.effect.01</ns0:t>
        </ns0:is>
      </ns0:c>
      <ns0:c r="B76" s="4" t="inlineStr">
        <ns0:is>
          <ns0:t>t01.asset.0062</ns0:t>
        </ns0:is>
      </ns0:c>
      <ns0:c r="C76" s="4" t="inlineStr">
        <ns0:is>
          <ns0:t>A09</ns0:t>
        </ns0:is>
      </ns0:c>
      <ns0:c r="D76" s="4" t="inlineStr">
        <ns0:is>
          <ns0:t>木纹冠</ns0:t>
        </ns0:is>
      </ns0:c>
      <ns0:c r="E76" s="4" t="inlineStr">
        <ns0:is>
          <ns0:t>护甲上限贡献</ns0:t>
        </ns0:is>
      </ns0:c>
      <ns0:c r="F76" s="4" t="n">
        <ns0:v>4</ns0:v>
      </ns0:c>
      <ns0:c r="G76" s="4" t="inlineStr"/>
      <ns0:c r="H76" s="4" t="inlineStr">
        <ns0:is>
          <ns0:t>上阵静态贡献</ns0:t>
        </ns0:is>
      </ns0:c>
      <ns0:c r="I76" s="4" t="inlineStr">
        <ns0:is>
          <ns0:t>自身</ns0:t>
        </ns0:is>
      </ns0:c>
      <ns0:c r="J76" s="4" t="inlineStr">
        <ns0:is>
          <ns0:t>ARMOR</ns0:t>
        </ns0:is>
      </ns0:c>
      <ns0:c r="K76" s="4" t="inlineStr">
        <ns0:is>
          <ns0:t>无攻击</ns0:t>
        </ns0:is>
      </ns0:c>
      <ns0:c r="L76" s="4" t="inlineStr">
        <ns0:is>
          <ns0:t>木</ns0:t>
        </ns0:is>
      </ns0:c>
      <ns0:c r="M76" s="4" t="inlineStr">
        <ns0:is>
          <ns0:t>01 M06 I11；04防具</ns0:t>
        </ns0:is>
      </ns0:c>
      <ns0:c r="N76" s="4" t="inlineStr">
        <ns0:is>
          <ns0:t>只加上限，不立即回满；法器不参加甲型或防御元素投票</ns0:t>
        </ns0:is>
      </ns0:c>
      <ns0:c r="O76" s="4" t="inlineStr">
        <ns0:is>
          <ns0:t>候选设计记录；未注册游戏Effect</ns0:t>
        </ns0:is>
      </ns0:c>
    </ns0:row>
    <ns0:row r="77" ht="40" customHeight="1">
      <ns0:c r="A77" s="15" t="inlineStr">
        <ns0:is>
          <ns0:t>t01.asset.0062.effect.02</ns0:t>
        </ns0:is>
      </ns0:c>
      <ns0:c r="B77" s="15" t="inlineStr">
        <ns0:is>
          <ns0:t>t01.asset.0062</ns0:t>
        </ns0:is>
      </ns0:c>
      <ns0:c r="C77" s="15" t="inlineStr">
        <ns0:is>
          <ns0:t>A09</ns0:t>
        </ns0:is>
      </ns0:c>
      <ns0:c r="D77" s="15" t="inlineStr">
        <ns0:is>
          <ns0:t>木纹冠</ns0:t>
        </ns0:is>
      </ns0:c>
      <ns0:c r="E77" s="15" t="inlineStr">
        <ns0:is>
          <ns0:t>恢复当前护甲</ns0:t>
        </ns0:is>
      </ns0:c>
      <ns0:c r="F77" s="15" t="n">
        <ns0:v>2</ns0:v>
      </ns0:c>
      <ns0:c r="G77" s="15" t="inlineStr"/>
      <ns0:c r="H77" s="15" t="inlineStr">
        <ns0:is>
          <ns0:t>自身轮转CD合法发动</ns0:t>
        </ns0:is>
      </ns0:c>
      <ns0:c r="I77" s="15" t="inlineStr">
        <ns0:is>
          <ns0:t>自身</ns0:t>
        </ns0:is>
      </ns0:c>
      <ns0:c r="J77" s="15" t="inlineStr">
        <ns0:is>
          <ns0:t>ARMOR</ns0:t>
        </ns0:is>
      </ns0:c>
      <ns0:c r="K77" s="15" t="inlineStr">
        <ns0:is>
          <ns0:t>无攻击</ns0:t>
        </ns0:is>
      </ns0:c>
      <ns0:c r="L77" s="15" t="inlineStr">
        <ns0:is>
          <ns0:t>木</ns0:t>
        </ns0:is>
      </ns0:c>
      <ns0:c r="M77" s="15" t="inlineStr">
        <ns0:is>
          <ns0:t>01 M06 C01</ns0:t>
        </ns0:is>
      </ns0:c>
      <ns0:c r="N77" s="15" t="inlineStr">
        <ns0:is>
          <ns0:t>不增加上限；与受击Buff独立计时</ns0:t>
        </ns0:is>
      </ns0:c>
      <ns0:c r="O77" s="15" t="inlineStr">
        <ns0:is>
          <ns0:t>候选设计记录；未注册游戏Effect</ns0:t>
        </ns0:is>
      </ns0:c>
    </ns0:row>
    <ns0:row r="78" ht="40" customHeight="1">
      <ns0:c r="A78" s="4" t="inlineStr">
        <ns0:is>
          <ns0:t>t01.asset.0062.effect.03</ns0:t>
        </ns0:is>
      </ns0:c>
      <ns0:c r="B78" s="4" t="inlineStr">
        <ns0:is>
          <ns0:t>t01.asset.0062</ns0:t>
        </ns0:is>
      </ns0:c>
      <ns0:c r="C78" s="4" t="inlineStr">
        <ns0:is>
          <ns0:t>A09</ns0:t>
        </ns0:is>
      </ns0:c>
      <ns0:c r="D78" s="4" t="inlineStr">
        <ns0:is>
          <ns0:t>木纹冠</ns0:t>
        </ns0:is>
      </ns0:c>
      <ns0:c r="E78" s="4" t="inlineStr">
        <ns0:is>
          <ns0:t>施加状态</ns0:t>
        </ns0:is>
      </ns0:c>
      <ns0:c r="F78" s="4" t="n">
        <ns0:v>1</ns0:v>
      </ns0:c>
      <ns0:c r="G78" s="4" t="inlineStr">
        <ns0:is>
          <ns0:t>生机</ns0:t>
        </ns0:is>
      </ns0:c>
      <ns0:c r="H78" s="4" t="inlineStr">
        <ns0:is>
          <ns0:t>轮转</ns0:t>
        </ns0:is>
      </ns0:c>
      <ns0:c r="I78" s="4" t="inlineStr">
        <ns0:is>
          <ns0:t>自身</ns0:t>
        </ns0:is>
      </ns0:c>
      <ns0:c r="J78" s="4" t="inlineStr">
        <ns0:is>
          <ns0:t>ARMOR</ns0:t>
        </ns0:is>
      </ns0:c>
      <ns0:c r="K78" s="4" t="inlineStr">
        <ns0:is>
          <ns0:t>无攻击</ns0:t>
        </ns0:is>
      </ns0:c>
      <ns0:c r="L78" s="4" t="inlineStr">
        <ns0:is>
          <ns0:t>木</ns0:t>
        </ns0:is>
      </ns0:c>
      <ns0:c r="M78" s="4" t="inlineStr">
        <ns0:is>
          <ns0:t>02核心状态／OP_ADD；01 M02/M03/M07</ns0:t>
        </ns0:is>
      </ns0:c>
      <ns0:c r="N78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78" s="4" t="inlineStr">
        <ns0:is>
          <ns0:t>候选设计记录；未注册游戏Effect</ns0:t>
        </ns0:is>
      </ns0:c>
    </ns0:row>
    <ns0:row r="79" ht="40" customHeight="1">
      <ns0:c r="A79" s="15" t="inlineStr">
        <ns0:is>
          <ns0:t>t01.asset.0063.effect.01</ns0:t>
        </ns0:is>
      </ns0:c>
      <ns0:c r="B79" s="15" t="inlineStr">
        <ns0:is>
          <ns0:t>t01.asset.0063</ns0:t>
        </ns0:is>
      </ns0:c>
      <ns0:c r="C79" s="15" t="inlineStr">
        <ns0:is>
          <ns0:t>A10</ns0:t>
        </ns0:is>
      </ns0:c>
      <ns0:c r="D79" s="15" t="inlineStr">
        <ns0:is>
          <ns0:t>风纹冠</ns0:t>
        </ns0:is>
      </ns0:c>
      <ns0:c r="E79" s="15" t="inlineStr">
        <ns0:is>
          <ns0:t>护甲上限贡献</ns0:t>
        </ns0:is>
      </ns0:c>
      <ns0:c r="F79" s="15" t="n">
        <ns0:v>3</ns0:v>
      </ns0:c>
      <ns0:c r="G79" s="15" t="inlineStr"/>
      <ns0:c r="H79" s="15" t="inlineStr">
        <ns0:is>
          <ns0:t>上阵静态贡献</ns0:t>
        </ns0:is>
      </ns0:c>
      <ns0:c r="I79" s="15" t="inlineStr">
        <ns0:is>
          <ns0:t>自身</ns0:t>
        </ns0:is>
      </ns0:c>
      <ns0:c r="J79" s="15" t="inlineStr">
        <ns0:is>
          <ns0:t>ARMOR</ns0:t>
        </ns0:is>
      </ns0:c>
      <ns0:c r="K79" s="15" t="inlineStr">
        <ns0:is>
          <ns0:t>无攻击</ns0:t>
        </ns0:is>
      </ns0:c>
      <ns0:c r="L79" s="15" t="inlineStr">
        <ns0:is>
          <ns0:t>风</ns0:t>
        </ns0:is>
      </ns0:c>
      <ns0:c r="M79" s="15" t="inlineStr">
        <ns0:is>
          <ns0:t>01 M06 I11；04防具</ns0:t>
        </ns0:is>
      </ns0:c>
      <ns0:c r="N79" s="15" t="inlineStr">
        <ns0:is>
          <ns0:t>只加上限，不立即回满；法器不参加甲型或防御元素投票</ns0:t>
        </ns0:is>
      </ns0:c>
      <ns0:c r="O79" s="15" t="inlineStr">
        <ns0:is>
          <ns0:t>候选设计记录；未注册游戏Effect</ns0:t>
        </ns0:is>
      </ns0:c>
    </ns0:row>
    <ns0:row r="80" ht="40" customHeight="1">
      <ns0:c r="A80" s="4" t="inlineStr">
        <ns0:is>
          <ns0:t>t01.asset.0063.effect.02</ns0:t>
        </ns0:is>
      </ns0:c>
      <ns0:c r="B80" s="4" t="inlineStr">
        <ns0:is>
          <ns0:t>t01.asset.0063</ns0:t>
        </ns0:is>
      </ns0:c>
      <ns0:c r="C80" s="4" t="inlineStr">
        <ns0:is>
          <ns0:t>A10</ns0:t>
        </ns0:is>
      </ns0:c>
      <ns0:c r="D80" s="4" t="inlineStr">
        <ns0:is>
          <ns0:t>风纹冠</ns0:t>
        </ns0:is>
      </ns0:c>
      <ns0:c r="E80" s="4" t="inlineStr">
        <ns0:is>
          <ns0:t>恢复当前护甲</ns0:t>
        </ns0:is>
      </ns0:c>
      <ns0:c r="F80" s="4" t="n">
        <ns0:v>2</ns0:v>
      </ns0:c>
      <ns0:c r="G80" s="4" t="inlineStr"/>
      <ns0:c r="H80" s="4" t="inlineStr">
        <ns0:is>
          <ns0:t>自身轮转CD合法发动</ns0:t>
        </ns0:is>
      </ns0:c>
      <ns0:c r="I80" s="4" t="inlineStr">
        <ns0:is>
          <ns0:t>自身</ns0:t>
        </ns0:is>
      </ns0:c>
      <ns0:c r="J80" s="4" t="inlineStr">
        <ns0:is>
          <ns0:t>ARMOR</ns0:t>
        </ns0:is>
      </ns0:c>
      <ns0:c r="K80" s="4" t="inlineStr">
        <ns0:is>
          <ns0:t>无攻击</ns0:t>
        </ns0:is>
      </ns0:c>
      <ns0:c r="L80" s="4" t="inlineStr">
        <ns0:is>
          <ns0:t>风</ns0:t>
        </ns0:is>
      </ns0:c>
      <ns0:c r="M80" s="4" t="inlineStr">
        <ns0:is>
          <ns0:t>01 M06 C01</ns0:t>
        </ns0:is>
      </ns0:c>
      <ns0:c r="N80" s="4" t="inlineStr">
        <ns0:is>
          <ns0:t>不增加上限；与受击Buff独立计时</ns0:t>
        </ns0:is>
      </ns0:c>
      <ns0:c r="O80" s="4" t="inlineStr">
        <ns0:is>
          <ns0:t>候选设计记录；未注册游戏Effect</ns0:t>
        </ns0:is>
      </ns0:c>
    </ns0:row>
    <ns0:row r="81" ht="40" customHeight="1">
      <ns0:c r="A81" s="15" t="inlineStr">
        <ns0:is>
          <ns0:t>t01.asset.0063.effect.03</ns0:t>
        </ns0:is>
      </ns0:c>
      <ns0:c r="B81" s="15" t="inlineStr">
        <ns0:is>
          <ns0:t>t01.asset.0063</ns0:t>
        </ns0:is>
      </ns0:c>
      <ns0:c r="C81" s="15" t="inlineStr">
        <ns0:is>
          <ns0:t>A10</ns0:t>
        </ns0:is>
      </ns0:c>
      <ns0:c r="D81" s="15" t="inlineStr">
        <ns0:is>
          <ns0:t>风纹冠</ns0:t>
        </ns0:is>
      </ns0:c>
      <ns0:c r="E81" s="15" t="inlineStr">
        <ns0:is>
          <ns0:t>施加状态</ns0:t>
        </ns0:is>
      </ns0:c>
      <ns0:c r="F81" s="15" t="n">
        <ns0:v>1</ns0:v>
      </ns0:c>
      <ns0:c r="G81" s="15" t="inlineStr">
        <ns0:is>
          <ns0:t>轻灵</ns0:t>
        </ns0:is>
      </ns0:c>
      <ns0:c r="H81" s="15" t="inlineStr">
        <ns0:is>
          <ns0:t>轮转</ns0:t>
        </ns0:is>
      </ns0:c>
      <ns0:c r="I81" s="15" t="inlineStr">
        <ns0:is>
          <ns0:t>自身</ns0:t>
        </ns0:is>
      </ns0:c>
      <ns0:c r="J81" s="15" t="inlineStr">
        <ns0:is>
          <ns0:t>ARMOR</ns0:t>
        </ns0:is>
      </ns0:c>
      <ns0:c r="K81" s="15" t="inlineStr">
        <ns0:is>
          <ns0:t>无攻击</ns0:t>
        </ns0:is>
      </ns0:c>
      <ns0:c r="L81" s="15" t="inlineStr">
        <ns0:is>
          <ns0:t>风</ns0:t>
        </ns0:is>
      </ns0:c>
      <ns0:c r="M81" s="15" t="inlineStr">
        <ns0:is>
          <ns0:t>02核心状态／OP_ADD；01 M02/M03/M07</ns0:t>
        </ns0:is>
      </ns0:c>
      <ns0:c r="N8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81" s="15" t="inlineStr">
        <ns0:is>
          <ns0:t>候选设计记录；未注册游戏Effect</ns0:t>
        </ns0:is>
      </ns0:c>
    </ns0:row>
    <ns0:row r="82" ht="40" customHeight="1">
      <ns0:c r="A82" s="4" t="inlineStr">
        <ns0:is>
          <ns0:t>t01.asset.0064.effect.01</ns0:t>
        </ns0:is>
      </ns0:c>
      <ns0:c r="B82" s="4" t="inlineStr">
        <ns0:is>
          <ns0:t>t01.asset.0064</ns0:t>
        </ns0:is>
      </ns0:c>
      <ns0:c r="C82" s="4" t="inlineStr">
        <ns0:is>
          <ns0:t>A11</ns0:t>
        </ns0:is>
      </ns0:c>
      <ns0:c r="D82" s="4" t="inlineStr">
        <ns0:is>
          <ns0:t>皮护臂</ns0:t>
        </ns0:is>
      </ns0:c>
      <ns0:c r="E82" s="4" t="inlineStr">
        <ns0:is>
          <ns0:t>护甲上限贡献</ns0:t>
        </ns0:is>
      </ns0:c>
      <ns0:c r="F82" s="4" t="n">
        <ns0:v>3</ns0:v>
      </ns0:c>
      <ns0:c r="G82" s="4" t="inlineStr"/>
      <ns0:c r="H82" s="4" t="inlineStr">
        <ns0:is>
          <ns0:t>上阵静态贡献</ns0:t>
        </ns0:is>
      </ns0:c>
      <ns0:c r="I82" s="4" t="inlineStr">
        <ns0:is>
          <ns0:t>自身</ns0:t>
        </ns0:is>
      </ns0:c>
      <ns0:c r="J82" s="4" t="inlineStr">
        <ns0:is>
          <ns0:t>ARMOR</ns0:t>
        </ns0:is>
      </ns0:c>
      <ns0:c r="K82" s="4" t="inlineStr">
        <ns0:is>
          <ns0:t>无攻击</ns0:t>
        </ns0:is>
      </ns0:c>
      <ns0:c r="L82" s="4" t="inlineStr">
        <ns0:is>
          <ns0:t>金</ns0:t>
        </ns0:is>
      </ns0:c>
      <ns0:c r="M82" s="4" t="inlineStr">
        <ns0:is>
          <ns0:t>01 M06 I11；04防具</ns0:t>
        </ns0:is>
      </ns0:c>
      <ns0:c r="N82" s="4" t="inlineStr">
        <ns0:is>
          <ns0:t>只加上限，不立即回满；法器不参加甲型或防御元素投票</ns0:t>
        </ns0:is>
      </ns0:c>
      <ns0:c r="O82" s="4" t="inlineStr">
        <ns0:is>
          <ns0:t>候选设计记录；未注册游戏Effect</ns0:t>
        </ns0:is>
      </ns0:c>
    </ns0:row>
    <ns0:row r="83" ht="40" customHeight="1">
      <ns0:c r="A83" s="15" t="inlineStr">
        <ns0:is>
          <ns0:t>t01.asset.0064.effect.02</ns0:t>
        </ns0:is>
      </ns0:c>
      <ns0:c r="B83" s="15" t="inlineStr">
        <ns0:is>
          <ns0:t>t01.asset.0064</ns0:t>
        </ns0:is>
      </ns0:c>
      <ns0:c r="C83" s="15" t="inlineStr">
        <ns0:is>
          <ns0:t>A11</ns0:t>
        </ns0:is>
      </ns0:c>
      <ns0:c r="D83" s="15" t="inlineStr">
        <ns0:is>
          <ns0:t>皮护臂</ns0:t>
        </ns0:is>
      </ns0:c>
      <ns0:c r="E83" s="15" t="inlineStr">
        <ns0:is>
          <ns0:t>恢复当前护甲</ns0:t>
        </ns0:is>
      </ns0:c>
      <ns0:c r="F83" s="15" t="n">
        <ns0:v>2</ns0:v>
      </ns0:c>
      <ns0:c r="G83" s="15" t="inlineStr"/>
      <ns0:c r="H83" s="15" t="inlineStr">
        <ns0:is>
          <ns0:t>自身轮转CD合法发动</ns0:t>
        </ns0:is>
      </ns0:c>
      <ns0:c r="I83" s="15" t="inlineStr">
        <ns0:is>
          <ns0:t>自身</ns0:t>
        </ns0:is>
      </ns0:c>
      <ns0:c r="J83" s="15" t="inlineStr">
        <ns0:is>
          <ns0:t>ARMOR</ns0:t>
        </ns0:is>
      </ns0:c>
      <ns0:c r="K83" s="15" t="inlineStr">
        <ns0:is>
          <ns0:t>无攻击</ns0:t>
        </ns0:is>
      </ns0:c>
      <ns0:c r="L83" s="15" t="inlineStr">
        <ns0:is>
          <ns0:t>金</ns0:t>
        </ns0:is>
      </ns0:c>
      <ns0:c r="M83" s="15" t="inlineStr">
        <ns0:is>
          <ns0:t>01 M06 C01</ns0:t>
        </ns0:is>
      </ns0:c>
      <ns0:c r="N83" s="15" t="inlineStr">
        <ns0:is>
          <ns0:t>不增加上限；与受击Buff独立计时</ns0:t>
        </ns0:is>
      </ns0:c>
      <ns0:c r="O83" s="15" t="inlineStr">
        <ns0:is>
          <ns0:t>候选设计记录；未注册游戏Effect</ns0:t>
        </ns0:is>
      </ns0:c>
    </ns0:row>
    <ns0:row r="84" ht="55" customHeight="1">
      <ns0:c r="A84" s="4" t="inlineStr">
        <ns0:is>
          <ns0:t>t01.asset.0064.effect.03</ns0:t>
        </ns0:is>
      </ns0:c>
      <ns0:c r="B84" s="4" t="inlineStr">
        <ns0:is>
          <ns0:t>t01.asset.0064</ns0:t>
        </ns0:is>
      </ns0:c>
      <ns0:c r="C84" s="4" t="inlineStr">
        <ns0:is>
          <ns0:t>A11</ns0:t>
        </ns0:is>
      </ns0:c>
      <ns0:c r="D84" s="4" t="inlineStr">
        <ns0:is>
          <ns0:t>皮护臂</ns0:t>
        </ns0:is>
      </ns0:c>
      <ns0:c r="E84" s="4" t="inlineStr">
        <ns0:is>
          <ns0:t>施加状态</ns0:t>
        </ns0:is>
      </ns0:c>
      <ns0:c r="F84" s="4" t="n">
        <ns0:v>1</ns0:v>
      </ns0:c>
      <ns0:c r="G84" s="4" t="inlineStr">
        <ns0:is>
          <ns0:t>反锋</ns0:t>
        </ns0:is>
      </ns0:c>
      <ns0:c r="H84" s="4" t="inlineStr">
        <ns0:is>
          <ns0:t>受击</ns0:t>
        </ns0:is>
      </ns0:c>
      <ns0:c r="I84" s="4" t="inlineStr">
        <ns0:is>
          <ns0:t>自身</ns0:t>
        </ns0:is>
      </ns0:c>
      <ns0:c r="J84" s="4" t="inlineStr">
        <ns0:is>
          <ns0:t>ARMOR</ns0:t>
        </ns0:is>
      </ns0:c>
      <ns0:c r="K84" s="4" t="inlineStr">
        <ns0:is>
          <ns0:t>无攻击</ns0:t>
        </ns0:is>
      </ns0:c>
      <ns0:c r="L84" s="4" t="inlineStr">
        <ns0:is>
          <ns0:t>金</ns0:t>
        </ns0:is>
      </ns0:c>
      <ns0:c r="M84" s="4" t="inlineStr">
        <ns0:is>
          <ns0:t>02核心状态／OP_ADD；01 M02/M03/M07</ns0:t>
        </ns0:is>
      </ns0:c>
      <ns0:c r="N84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84" s="4" t="inlineStr">
        <ns0:is>
          <ns0:t>候选设计记录；未注册游戏Effect</ns0:t>
        </ns0:is>
      </ns0:c>
    </ns0:row>
    <ns0:row r="85" ht="40" customHeight="1">
      <ns0:c r="A85" s="15" t="inlineStr">
        <ns0:is>
          <ns0:t>t01.asset.0065.effect.01</ns0:t>
        </ns0:is>
      </ns0:c>
      <ns0:c r="B85" s="15" t="inlineStr">
        <ns0:is>
          <ns0:t>t01.asset.0065</ns0:t>
        </ns0:is>
      </ns0:c>
      <ns0:c r="C85" s="15" t="inlineStr">
        <ns0:is>
          <ns0:t>A12</ns0:t>
        </ns0:is>
      </ns0:c>
      <ns0:c r="D85" s="15" t="inlineStr">
        <ns0:is>
          <ns0:t>铁护腕</ns0:t>
        </ns0:is>
      </ns0:c>
      <ns0:c r="E85" s="15" t="inlineStr">
        <ns0:is>
          <ns0:t>护甲上限贡献</ns0:t>
        </ns0:is>
      </ns0:c>
      <ns0:c r="F85" s="15" t="n">
        <ns0:v>3</ns0:v>
      </ns0:c>
      <ns0:c r="G85" s="15" t="inlineStr"/>
      <ns0:c r="H85" s="15" t="inlineStr">
        <ns0:is>
          <ns0:t>上阵静态贡献</ns0:t>
        </ns0:is>
      </ns0:c>
      <ns0:c r="I85" s="15" t="inlineStr">
        <ns0:is>
          <ns0:t>自身</ns0:t>
        </ns0:is>
      </ns0:c>
      <ns0:c r="J85" s="15" t="inlineStr">
        <ns0:is>
          <ns0:t>ARMOR</ns0:t>
        </ns0:is>
      </ns0:c>
      <ns0:c r="K85" s="15" t="inlineStr">
        <ns0:is>
          <ns0:t>无攻击</ns0:t>
        </ns0:is>
      </ns0:c>
      <ns0:c r="L85" s="15" t="inlineStr">
        <ns0:is>
          <ns0:t>金</ns0:t>
        </ns0:is>
      </ns0:c>
      <ns0:c r="M85" s="15" t="inlineStr">
        <ns0:is>
          <ns0:t>01 M06 I11；04防具</ns0:t>
        </ns0:is>
      </ns0:c>
      <ns0:c r="N85" s="15" t="inlineStr">
        <ns0:is>
          <ns0:t>只加上限，不立即回满；法器不参加甲型或防御元素投票</ns0:t>
        </ns0:is>
      </ns0:c>
      <ns0:c r="O85" s="15" t="inlineStr">
        <ns0:is>
          <ns0:t>候选设计记录；未注册游戏Effect</ns0:t>
        </ns0:is>
      </ns0:c>
    </ns0:row>
    <ns0:row r="86" ht="40" customHeight="1">
      <ns0:c r="A86" s="4" t="inlineStr">
        <ns0:is>
          <ns0:t>t01.asset.0065.effect.02</ns0:t>
        </ns0:is>
      </ns0:c>
      <ns0:c r="B86" s="4" t="inlineStr">
        <ns0:is>
          <ns0:t>t01.asset.0065</ns0:t>
        </ns0:is>
      </ns0:c>
      <ns0:c r="C86" s="4" t="inlineStr">
        <ns0:is>
          <ns0:t>A12</ns0:t>
        </ns0:is>
      </ns0:c>
      <ns0:c r="D86" s="4" t="inlineStr">
        <ns0:is>
          <ns0:t>铁护腕</ns0:t>
        </ns0:is>
      </ns0:c>
      <ns0:c r="E86" s="4" t="inlineStr">
        <ns0:is>
          <ns0:t>恢复当前护甲</ns0:t>
        </ns0:is>
      </ns0:c>
      <ns0:c r="F86" s="4" t="n">
        <ns0:v>4</ns0:v>
      </ns0:c>
      <ns0:c r="G86" s="4" t="inlineStr"/>
      <ns0:c r="H86" s="4" t="inlineStr">
        <ns0:is>
          <ns0:t>自身轮转CD合法发动</ns0:t>
        </ns0:is>
      </ns0:c>
      <ns0:c r="I86" s="4" t="inlineStr">
        <ns0:is>
          <ns0:t>自身</ns0:t>
        </ns0:is>
      </ns0:c>
      <ns0:c r="J86" s="4" t="inlineStr">
        <ns0:is>
          <ns0:t>ARMOR</ns0:t>
        </ns0:is>
      </ns0:c>
      <ns0:c r="K86" s="4" t="inlineStr">
        <ns0:is>
          <ns0:t>无攻击</ns0:t>
        </ns0:is>
      </ns0:c>
      <ns0:c r="L86" s="4" t="inlineStr">
        <ns0:is>
          <ns0:t>金</ns0:t>
        </ns0:is>
      </ns0:c>
      <ns0:c r="M86" s="4" t="inlineStr">
        <ns0:is>
          <ns0:t>01 M06 C01</ns0:t>
        </ns0:is>
      </ns0:c>
      <ns0:c r="N86" s="4" t="inlineStr">
        <ns0:is>
          <ns0:t>不增加上限；与受击Buff独立计时</ns0:t>
        </ns0:is>
      </ns0:c>
      <ns0:c r="O86" s="4" t="inlineStr">
        <ns0:is>
          <ns0:t>候选设计记录；未注册游戏Effect</ns0:t>
        </ns0:is>
      </ns0:c>
    </ns0:row>
    <ns0:row r="87" ht="40" customHeight="1">
      <ns0:c r="A87" s="15" t="inlineStr">
        <ns0:is>
          <ns0:t>t01.asset.0065.effect.03</ns0:t>
        </ns0:is>
      </ns0:c>
      <ns0:c r="B87" s="15" t="inlineStr">
        <ns0:is>
          <ns0:t>t01.asset.0065</ns0:t>
        </ns0:is>
      </ns0:c>
      <ns0:c r="C87" s="15" t="inlineStr">
        <ns0:is>
          <ns0:t>A12</ns0:t>
        </ns0:is>
      </ns0:c>
      <ns0:c r="D87" s="15" t="inlineStr">
        <ns0:is>
          <ns0:t>铁护腕</ns0:t>
        </ns0:is>
      </ns0:c>
      <ns0:c r="E87" s="15" t="inlineStr">
        <ns0:is>
          <ns0:t>施加状态</ns0:t>
        </ns0:is>
      </ns0:c>
      <ns0:c r="F87" s="15" t="n">
        <ns0:v>1</ns0:v>
      </ns0:c>
      <ns0:c r="G87" s="15" t="inlineStr">
        <ns0:is>
          <ns0:t>反锋</ns0:t>
        </ns0:is>
      </ns0:c>
      <ns0:c r="H87" s="15" t="inlineStr">
        <ns0:is>
          <ns0:t>轮转</ns0:t>
        </ns0:is>
      </ns0:c>
      <ns0:c r="I87" s="15" t="inlineStr">
        <ns0:is>
          <ns0:t>自身</ns0:t>
        </ns0:is>
      </ns0:c>
      <ns0:c r="J87" s="15" t="inlineStr">
        <ns0:is>
          <ns0:t>ARMOR</ns0:t>
        </ns0:is>
      </ns0:c>
      <ns0:c r="K87" s="15" t="inlineStr">
        <ns0:is>
          <ns0:t>无攻击</ns0:t>
        </ns0:is>
      </ns0:c>
      <ns0:c r="L87" s="15" t="inlineStr">
        <ns0:is>
          <ns0:t>金</ns0:t>
        </ns0:is>
      </ns0:c>
      <ns0:c r="M87" s="15" t="inlineStr">
        <ns0:is>
          <ns0:t>02核心状态／OP_ADD；01 M02/M03/M07</ns0:t>
        </ns0:is>
      </ns0:c>
      <ns0:c r="N87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87" s="15" t="inlineStr">
        <ns0:is>
          <ns0:t>候选设计记录；未注册游戏Effect</ns0:t>
        </ns0:is>
      </ns0:c>
    </ns0:row>
    <ns0:row r="88" ht="40" customHeight="1">
      <ns0:c r="A88" s="4" t="inlineStr">
        <ns0:is>
          <ns0:t>t01.asset.0066.effect.01</ns0:t>
        </ns0:is>
      </ns0:c>
      <ns0:c r="B88" s="4" t="inlineStr">
        <ns0:is>
          <ns0:t>t01.asset.0066</ns0:t>
        </ns0:is>
      </ns0:c>
      <ns0:c r="C88" s="4" t="inlineStr">
        <ns0:is>
          <ns0:t>A13</ns0:t>
        </ns0:is>
      </ns0:c>
      <ns0:c r="D88" s="4" t="inlineStr">
        <ns0:is>
          <ns0:t>水纹护臂</ns0:t>
        </ns0:is>
      </ns0:c>
      <ns0:c r="E88" s="4" t="inlineStr">
        <ns0:is>
          <ns0:t>护甲上限贡献</ns0:t>
        </ns0:is>
      </ns0:c>
      <ns0:c r="F88" s="4" t="n">
        <ns0:v>3</ns0:v>
      </ns0:c>
      <ns0:c r="G88" s="4" t="inlineStr"/>
      <ns0:c r="H88" s="4" t="inlineStr">
        <ns0:is>
          <ns0:t>上阵静态贡献</ns0:t>
        </ns0:is>
      </ns0:c>
      <ns0:c r="I88" s="4" t="inlineStr">
        <ns0:is>
          <ns0:t>自身</ns0:t>
        </ns0:is>
      </ns0:c>
      <ns0:c r="J88" s="4" t="inlineStr">
        <ns0:is>
          <ns0:t>ARMOR</ns0:t>
        </ns0:is>
      </ns0:c>
      <ns0:c r="K88" s="4" t="inlineStr">
        <ns0:is>
          <ns0:t>无攻击</ns0:t>
        </ns0:is>
      </ns0:c>
      <ns0:c r="L88" s="4" t="inlineStr">
        <ns0:is>
          <ns0:t>水</ns0:t>
        </ns0:is>
      </ns0:c>
      <ns0:c r="M88" s="4" t="inlineStr">
        <ns0:is>
          <ns0:t>01 M06 I11；04防具</ns0:t>
        </ns0:is>
      </ns0:c>
      <ns0:c r="N88" s="4" t="inlineStr">
        <ns0:is>
          <ns0:t>只加上限，不立即回满；法器不参加甲型或防御元素投票</ns0:t>
        </ns0:is>
      </ns0:c>
      <ns0:c r="O88" s="4" t="inlineStr">
        <ns0:is>
          <ns0:t>候选设计记录；未注册游戏Effect</ns0:t>
        </ns0:is>
      </ns0:c>
    </ns0:row>
    <ns0:row r="89" ht="40" customHeight="1">
      <ns0:c r="A89" s="15" t="inlineStr">
        <ns0:is>
          <ns0:t>t01.asset.0066.effect.02</ns0:t>
        </ns0:is>
      </ns0:c>
      <ns0:c r="B89" s="15" t="inlineStr">
        <ns0:is>
          <ns0:t>t01.asset.0066</ns0:t>
        </ns0:is>
      </ns0:c>
      <ns0:c r="C89" s="15" t="inlineStr">
        <ns0:is>
          <ns0:t>A13</ns0:t>
        </ns0:is>
      </ns0:c>
      <ns0:c r="D89" s="15" t="inlineStr">
        <ns0:is>
          <ns0:t>水纹护臂</ns0:t>
        </ns0:is>
      </ns0:c>
      <ns0:c r="E89" s="15" t="inlineStr">
        <ns0:is>
          <ns0:t>恢复当前护甲</ns0:t>
        </ns0:is>
      </ns0:c>
      <ns0:c r="F89" s="15" t="n">
        <ns0:v>2</ns0:v>
      </ns0:c>
      <ns0:c r="G89" s="15" t="inlineStr"/>
      <ns0:c r="H89" s="15" t="inlineStr">
        <ns0:is>
          <ns0:t>自身轮转CD合法发动</ns0:t>
        </ns0:is>
      </ns0:c>
      <ns0:c r="I89" s="15" t="inlineStr">
        <ns0:is>
          <ns0:t>自身</ns0:t>
        </ns0:is>
      </ns0:c>
      <ns0:c r="J89" s="15" t="inlineStr">
        <ns0:is>
          <ns0:t>ARMOR</ns0:t>
        </ns0:is>
      </ns0:c>
      <ns0:c r="K89" s="15" t="inlineStr">
        <ns0:is>
          <ns0:t>无攻击</ns0:t>
        </ns0:is>
      </ns0:c>
      <ns0:c r="L89" s="15" t="inlineStr">
        <ns0:is>
          <ns0:t>水</ns0:t>
        </ns0:is>
      </ns0:c>
      <ns0:c r="M89" s="15" t="inlineStr">
        <ns0:is>
          <ns0:t>01 M06 C01</ns0:t>
        </ns0:is>
      </ns0:c>
      <ns0:c r="N89" s="15" t="inlineStr">
        <ns0:is>
          <ns0:t>不增加上限；与受击Buff独立计时</ns0:t>
        </ns0:is>
      </ns0:c>
      <ns0:c r="O89" s="15" t="inlineStr">
        <ns0:is>
          <ns0:t>候选设计记录；未注册游戏Effect</ns0:t>
        </ns0:is>
      </ns0:c>
    </ns0:row>
    <ns0:row r="90" ht="55" customHeight="1">
      <ns0:c r="A90" s="4" t="inlineStr">
        <ns0:is>
          <ns0:t>t01.asset.0066.effect.03</ns0:t>
        </ns0:is>
      </ns0:c>
      <ns0:c r="B90" s="4" t="inlineStr">
        <ns0:is>
          <ns0:t>t01.asset.0066</ns0:t>
        </ns0:is>
      </ns0:c>
      <ns0:c r="C90" s="4" t="inlineStr">
        <ns0:is>
          <ns0:t>A13</ns0:t>
        </ns0:is>
      </ns0:c>
      <ns0:c r="D90" s="4" t="inlineStr">
        <ns0:is>
          <ns0:t>水纹护臂</ns0:t>
        </ns0:is>
      </ns0:c>
      <ns0:c r="E90" s="4" t="inlineStr">
        <ns0:is>
          <ns0:t>施加状态</ns0:t>
        </ns0:is>
      </ns0:c>
      <ns0:c r="F90" s="4" t="n">
        <ns0:v>1</ns0:v>
      </ns0:c>
      <ns0:c r="G90" s="4" t="inlineStr">
        <ns0:is>
          <ns0:t>润脉</ns0:t>
        </ns0:is>
      </ns0:c>
      <ns0:c r="H90" s="4" t="inlineStr">
        <ns0:is>
          <ns0:t>受击</ns0:t>
        </ns0:is>
      </ns0:c>
      <ns0:c r="I90" s="4" t="inlineStr">
        <ns0:is>
          <ns0:t>自身</ns0:t>
        </ns0:is>
      </ns0:c>
      <ns0:c r="J90" s="4" t="inlineStr">
        <ns0:is>
          <ns0:t>ARMOR</ns0:t>
        </ns0:is>
      </ns0:c>
      <ns0:c r="K90" s="4" t="inlineStr">
        <ns0:is>
          <ns0:t>无攻击</ns0:t>
        </ns0:is>
      </ns0:c>
      <ns0:c r="L90" s="4" t="inlineStr">
        <ns0:is>
          <ns0:t>水</ns0:t>
        </ns0:is>
      </ns0:c>
      <ns0:c r="M90" s="4" t="inlineStr">
        <ns0:is>
          <ns0:t>02核心状态／OP_ADD；01 M02/M03/M07</ns0:t>
        </ns0:is>
      </ns0:c>
      <ns0:c r="N90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90" s="4" t="inlineStr">
        <ns0:is>
          <ns0:t>候选设计记录；未注册游戏Effect</ns0:t>
        </ns0:is>
      </ns0:c>
    </ns0:row>
    <ns0:row r="91" ht="40" customHeight="1">
      <ns0:c r="A91" s="15" t="inlineStr">
        <ns0:is>
          <ns0:t>t01.asset.0067.effect.01</ns0:t>
        </ns0:is>
      </ns0:c>
      <ns0:c r="B91" s="15" t="inlineStr">
        <ns0:is>
          <ns0:t>t01.asset.0067</ns0:t>
        </ns0:is>
      </ns0:c>
      <ns0:c r="C91" s="15" t="inlineStr">
        <ns0:is>
          <ns0:t>A14</ns0:t>
        </ns0:is>
      </ns0:c>
      <ns0:c r="D91" s="15" t="inlineStr">
        <ns0:is>
          <ns0:t>雷纹护腕</ns0:t>
        </ns0:is>
      </ns0:c>
      <ns0:c r="E91" s="15" t="inlineStr">
        <ns0:is>
          <ns0:t>护甲上限贡献</ns0:t>
        </ns0:is>
      </ns0:c>
      <ns0:c r="F91" s="15" t="n">
        <ns0:v>4</ns0:v>
      </ns0:c>
      <ns0:c r="G91" s="15" t="inlineStr"/>
      <ns0:c r="H91" s="15" t="inlineStr">
        <ns0:is>
          <ns0:t>上阵静态贡献</ns0:t>
        </ns0:is>
      </ns0:c>
      <ns0:c r="I91" s="15" t="inlineStr">
        <ns0:is>
          <ns0:t>自身</ns0:t>
        </ns0:is>
      </ns0:c>
      <ns0:c r="J91" s="15" t="inlineStr">
        <ns0:is>
          <ns0:t>ARMOR</ns0:t>
        </ns0:is>
      </ns0:c>
      <ns0:c r="K91" s="15" t="inlineStr">
        <ns0:is>
          <ns0:t>无攻击</ns0:t>
        </ns0:is>
      </ns0:c>
      <ns0:c r="L91" s="15" t="inlineStr">
        <ns0:is>
          <ns0:t>雷</ns0:t>
        </ns0:is>
      </ns0:c>
      <ns0:c r="M91" s="15" t="inlineStr">
        <ns0:is>
          <ns0:t>01 M06 I11；04防具</ns0:t>
        </ns0:is>
      </ns0:c>
      <ns0:c r="N91" s="15" t="inlineStr">
        <ns0:is>
          <ns0:t>只加上限，不立即回满；法器不参加甲型或防御元素投票</ns0:t>
        </ns0:is>
      </ns0:c>
      <ns0:c r="O91" s="15" t="inlineStr">
        <ns0:is>
          <ns0:t>候选设计记录；未注册游戏Effect</ns0:t>
        </ns0:is>
      </ns0:c>
    </ns0:row>
    <ns0:row r="92" ht="40" customHeight="1">
      <ns0:c r="A92" s="4" t="inlineStr">
        <ns0:is>
          <ns0:t>t01.asset.0067.effect.02</ns0:t>
        </ns0:is>
      </ns0:c>
      <ns0:c r="B92" s="4" t="inlineStr">
        <ns0:is>
          <ns0:t>t01.asset.0067</ns0:t>
        </ns0:is>
      </ns0:c>
      <ns0:c r="C92" s="4" t="inlineStr">
        <ns0:is>
          <ns0:t>A14</ns0:t>
        </ns0:is>
      </ns0:c>
      <ns0:c r="D92" s="4" t="inlineStr">
        <ns0:is>
          <ns0:t>雷纹护腕</ns0:t>
        </ns0:is>
      </ns0:c>
      <ns0:c r="E92" s="4" t="inlineStr">
        <ns0:is>
          <ns0:t>恢复当前护甲</ns0:t>
        </ns0:is>
      </ns0:c>
      <ns0:c r="F92" s="4" t="n">
        <ns0:v>3</ns0:v>
      </ns0:c>
      <ns0:c r="G92" s="4" t="inlineStr"/>
      <ns0:c r="H92" s="4" t="inlineStr">
        <ns0:is>
          <ns0:t>自身轮转CD合法发动</ns0:t>
        </ns0:is>
      </ns0:c>
      <ns0:c r="I92" s="4" t="inlineStr">
        <ns0:is>
          <ns0:t>自身</ns0:t>
        </ns0:is>
      </ns0:c>
      <ns0:c r="J92" s="4" t="inlineStr">
        <ns0:is>
          <ns0:t>ARMOR</ns0:t>
        </ns0:is>
      </ns0:c>
      <ns0:c r="K92" s="4" t="inlineStr">
        <ns0:is>
          <ns0:t>无攻击</ns0:t>
        </ns0:is>
      </ns0:c>
      <ns0:c r="L92" s="4" t="inlineStr">
        <ns0:is>
          <ns0:t>雷</ns0:t>
        </ns0:is>
      </ns0:c>
      <ns0:c r="M92" s="4" t="inlineStr">
        <ns0:is>
          <ns0:t>01 M06 C01</ns0:t>
        </ns0:is>
      </ns0:c>
      <ns0:c r="N92" s="4" t="inlineStr">
        <ns0:is>
          <ns0:t>不增加上限；与受击Buff独立计时</ns0:t>
        </ns0:is>
      </ns0:c>
      <ns0:c r="O92" s="4" t="inlineStr">
        <ns0:is>
          <ns0:t>候选设计记录；未注册游戏Effect</ns0:t>
        </ns0:is>
      </ns0:c>
    </ns0:row>
    <ns0:row r="93" ht="55" customHeight="1">
      <ns0:c r="A93" s="15" t="inlineStr">
        <ns0:is>
          <ns0:t>t01.asset.0067.effect.03</ns0:t>
        </ns0:is>
      </ns0:c>
      <ns0:c r="B93" s="15" t="inlineStr">
        <ns0:is>
          <ns0:t>t01.asset.0067</ns0:t>
        </ns0:is>
      </ns0:c>
      <ns0:c r="C93" s="15" t="inlineStr">
        <ns0:is>
          <ns0:t>A14</ns0:t>
        </ns0:is>
      </ns0:c>
      <ns0:c r="D93" s="15" t="inlineStr">
        <ns0:is>
          <ns0:t>雷纹护腕</ns0:t>
        </ns0:is>
      </ns0:c>
      <ns0:c r="E93" s="15" t="inlineStr">
        <ns0:is>
          <ns0:t>施加状态</ns0:t>
        </ns0:is>
      </ns0:c>
      <ns0:c r="F93" s="15" t="n">
        <ns0:v>2</ns0:v>
      </ns0:c>
      <ns0:c r="G93" s="15" t="inlineStr">
        <ns0:is>
          <ns0:t>雷蕴</ns0:t>
        </ns0:is>
      </ns0:c>
      <ns0:c r="H93" s="15" t="inlineStr">
        <ns0:is>
          <ns0:t>受击</ns0:t>
        </ns0:is>
      </ns0:c>
      <ns0:c r="I93" s="15" t="inlineStr">
        <ns0:is>
          <ns0:t>自身</ns0:t>
        </ns0:is>
      </ns0:c>
      <ns0:c r="J93" s="15" t="inlineStr">
        <ns0:is>
          <ns0:t>ARMOR</ns0:t>
        </ns0:is>
      </ns0:c>
      <ns0:c r="K93" s="15" t="inlineStr">
        <ns0:is>
          <ns0:t>无攻击</ns0:t>
        </ns0:is>
      </ns0:c>
      <ns0:c r="L93" s="15" t="inlineStr">
        <ns0:is>
          <ns0:t>雷</ns0:t>
        </ns0:is>
      </ns0:c>
      <ns0:c r="M93" s="15" t="inlineStr">
        <ns0:is>
          <ns0:t>02核心状态／OP_ADD；01 M02/M03/M07</ns0:t>
        </ns0:is>
      </ns0:c>
      <ns0:c r="N93" s="15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93" s="15" t="inlineStr">
        <ns0:is>
          <ns0:t>候选设计记录；未注册游戏Effect</ns0:t>
        </ns0:is>
      </ns0:c>
    </ns0:row>
    <ns0:row r="94" ht="40" customHeight="1">
      <ns0:c r="A94" s="4" t="inlineStr">
        <ns0:is>
          <ns0:t>t01.asset.0068.effect.01</ns0:t>
        </ns0:is>
      </ns0:c>
      <ns0:c r="B94" s="4" t="inlineStr">
        <ns0:is>
          <ns0:t>t01.asset.0068</ns0:t>
        </ns0:is>
      </ns0:c>
      <ns0:c r="C94" s="4" t="inlineStr">
        <ns0:is>
          <ns0:t>A15</ns0:t>
        </ns0:is>
      </ns0:c>
      <ns0:c r="D94" s="4" t="inlineStr">
        <ns0:is>
          <ns0:t>皮护腿</ns0:t>
        </ns0:is>
      </ns0:c>
      <ns0:c r="E94" s="4" t="inlineStr">
        <ns0:is>
          <ns0:t>护甲上限贡献</ns0:t>
        </ns0:is>
      </ns0:c>
      <ns0:c r="F94" s="4" t="n">
        <ns0:v>4</ns0:v>
      </ns0:c>
      <ns0:c r="G94" s="4" t="inlineStr"/>
      <ns0:c r="H94" s="4" t="inlineStr">
        <ns0:is>
          <ns0:t>上阵静态贡献</ns0:t>
        </ns0:is>
      </ns0:c>
      <ns0:c r="I94" s="4" t="inlineStr">
        <ns0:is>
          <ns0:t>自身</ns0:t>
        </ns0:is>
      </ns0:c>
      <ns0:c r="J94" s="4" t="inlineStr">
        <ns0:is>
          <ns0:t>ARMOR</ns0:t>
        </ns0:is>
      </ns0:c>
      <ns0:c r="K94" s="4" t="inlineStr">
        <ns0:is>
          <ns0:t>无攻击</ns0:t>
        </ns0:is>
      </ns0:c>
      <ns0:c r="L94" s="4" t="inlineStr">
        <ns0:is>
          <ns0:t>风</ns0:t>
        </ns0:is>
      </ns0:c>
      <ns0:c r="M94" s="4" t="inlineStr">
        <ns0:is>
          <ns0:t>01 M06 I11；04防具</ns0:t>
        </ns0:is>
      </ns0:c>
      <ns0:c r="N94" s="4" t="inlineStr">
        <ns0:is>
          <ns0:t>只加上限，不立即回满；法器不参加甲型或防御元素投票</ns0:t>
        </ns0:is>
      </ns0:c>
      <ns0:c r="O94" s="4" t="inlineStr">
        <ns0:is>
          <ns0:t>候选设计记录；未注册游戏Effect</ns0:t>
        </ns0:is>
      </ns0:c>
    </ns0:row>
    <ns0:row r="95" ht="40" customHeight="1">
      <ns0:c r="A95" s="15" t="inlineStr">
        <ns0:is>
          <ns0:t>t01.asset.0068.effect.02</ns0:t>
        </ns0:is>
      </ns0:c>
      <ns0:c r="B95" s="15" t="inlineStr">
        <ns0:is>
          <ns0:t>t01.asset.0068</ns0:t>
        </ns0:is>
      </ns0:c>
      <ns0:c r="C95" s="15" t="inlineStr">
        <ns0:is>
          <ns0:t>A15</ns0:t>
        </ns0:is>
      </ns0:c>
      <ns0:c r="D95" s="15" t="inlineStr">
        <ns0:is>
          <ns0:t>皮护腿</ns0:t>
        </ns0:is>
      </ns0:c>
      <ns0:c r="E95" s="15" t="inlineStr">
        <ns0:is>
          <ns0:t>恢复当前护甲</ns0:t>
        </ns0:is>
      </ns0:c>
      <ns0:c r="F95" s="15" t="n">
        <ns0:v>2</ns0:v>
      </ns0:c>
      <ns0:c r="G95" s="15" t="inlineStr"/>
      <ns0:c r="H95" s="15" t="inlineStr">
        <ns0:is>
          <ns0:t>自身轮转CD合法发动</ns0:t>
        </ns0:is>
      </ns0:c>
      <ns0:c r="I95" s="15" t="inlineStr">
        <ns0:is>
          <ns0:t>自身</ns0:t>
        </ns0:is>
      </ns0:c>
      <ns0:c r="J95" s="15" t="inlineStr">
        <ns0:is>
          <ns0:t>ARMOR</ns0:t>
        </ns0:is>
      </ns0:c>
      <ns0:c r="K95" s="15" t="inlineStr">
        <ns0:is>
          <ns0:t>无攻击</ns0:t>
        </ns0:is>
      </ns0:c>
      <ns0:c r="L95" s="15" t="inlineStr">
        <ns0:is>
          <ns0:t>风</ns0:t>
        </ns0:is>
      </ns0:c>
      <ns0:c r="M95" s="15" t="inlineStr">
        <ns0:is>
          <ns0:t>01 M06 C01</ns0:t>
        </ns0:is>
      </ns0:c>
      <ns0:c r="N95" s="15" t="inlineStr">
        <ns0:is>
          <ns0:t>不增加上限；与受击Buff独立计时</ns0:t>
        </ns0:is>
      </ns0:c>
      <ns0:c r="O95" s="15" t="inlineStr">
        <ns0:is>
          <ns0:t>候选设计记录；未注册游戏Effect</ns0:t>
        </ns0:is>
      </ns0:c>
    </ns0:row>
    <ns0:row r="96" ht="40" customHeight="1">
      <ns0:c r="A96" s="4" t="inlineStr">
        <ns0:is>
          <ns0:t>t01.asset.0068.effect.03</ns0:t>
        </ns0:is>
      </ns0:c>
      <ns0:c r="B96" s="4" t="inlineStr">
        <ns0:is>
          <ns0:t>t01.asset.0068</ns0:t>
        </ns0:is>
      </ns0:c>
      <ns0:c r="C96" s="4" t="inlineStr">
        <ns0:is>
          <ns0:t>A15</ns0:t>
        </ns0:is>
      </ns0:c>
      <ns0:c r="D96" s="4" t="inlineStr">
        <ns0:is>
          <ns0:t>皮护腿</ns0:t>
        </ns0:is>
      </ns0:c>
      <ns0:c r="E96" s="4" t="inlineStr">
        <ns0:is>
          <ns0:t>施加状态</ns0:t>
        </ns0:is>
      </ns0:c>
      <ns0:c r="F96" s="4" t="n">
        <ns0:v>1</ns0:v>
      </ns0:c>
      <ns0:c r="G96" s="4" t="inlineStr">
        <ns0:is>
          <ns0:t>轻灵</ns0:t>
        </ns0:is>
      </ns0:c>
      <ns0:c r="H96" s="4" t="inlineStr">
        <ns0:is>
          <ns0:t>轮转</ns0:t>
        </ns0:is>
      </ns0:c>
      <ns0:c r="I96" s="4" t="inlineStr">
        <ns0:is>
          <ns0:t>自身</ns0:t>
        </ns0:is>
      </ns0:c>
      <ns0:c r="J96" s="4" t="inlineStr">
        <ns0:is>
          <ns0:t>ARMOR</ns0:t>
        </ns0:is>
      </ns0:c>
      <ns0:c r="K96" s="4" t="inlineStr">
        <ns0:is>
          <ns0:t>无攻击</ns0:t>
        </ns0:is>
      </ns0:c>
      <ns0:c r="L96" s="4" t="inlineStr">
        <ns0:is>
          <ns0:t>风</ns0:t>
        </ns0:is>
      </ns0:c>
      <ns0:c r="M96" s="4" t="inlineStr">
        <ns0:is>
          <ns0:t>02核心状态／OP_ADD；01 M02/M03/M07</ns0:t>
        </ns0:is>
      </ns0:c>
      <ns0:c r="N96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96" s="4" t="inlineStr">
        <ns0:is>
          <ns0:t>候选设计记录；未注册游戏Effect</ns0:t>
        </ns0:is>
      </ns0:c>
    </ns0:row>
    <ns0:row r="97" ht="40" customHeight="1">
      <ns0:c r="A97" s="15" t="inlineStr">
        <ns0:is>
          <ns0:t>t01.asset.0069.effect.01</ns0:t>
        </ns0:is>
      </ns0:c>
      <ns0:c r="B97" s="15" t="inlineStr">
        <ns0:is>
          <ns0:t>t01.asset.0069</ns0:t>
        </ns0:is>
      </ns0:c>
      <ns0:c r="C97" s="15" t="inlineStr">
        <ns0:is>
          <ns0:t>A16</ns0:t>
        </ns0:is>
      </ns0:c>
      <ns0:c r="D97" s="15" t="inlineStr">
        <ns0:is>
          <ns0:t>铁胫甲</ns0:t>
        </ns0:is>
      </ns0:c>
      <ns0:c r="E97" s="15" t="inlineStr">
        <ns0:is>
          <ns0:t>护甲上限贡献</ns0:t>
        </ns0:is>
      </ns0:c>
      <ns0:c r="F97" s="15" t="n">
        <ns0:v>4</ns0:v>
      </ns0:c>
      <ns0:c r="G97" s="15" t="inlineStr"/>
      <ns0:c r="H97" s="15" t="inlineStr">
        <ns0:is>
          <ns0:t>上阵静态贡献</ns0:t>
        </ns0:is>
      </ns0:c>
      <ns0:c r="I97" s="15" t="inlineStr">
        <ns0:is>
          <ns0:t>自身</ns0:t>
        </ns0:is>
      </ns0:c>
      <ns0:c r="J97" s="15" t="inlineStr">
        <ns0:is>
          <ns0:t>ARMOR</ns0:t>
        </ns0:is>
      </ns0:c>
      <ns0:c r="K97" s="15" t="inlineStr">
        <ns0:is>
          <ns0:t>无攻击</ns0:t>
        </ns0:is>
      </ns0:c>
      <ns0:c r="L97" s="15" t="inlineStr">
        <ns0:is>
          <ns0:t>土</ns0:t>
        </ns0:is>
      </ns0:c>
      <ns0:c r="M97" s="15" t="inlineStr">
        <ns0:is>
          <ns0:t>01 M06 I11；04防具</ns0:t>
        </ns0:is>
      </ns0:c>
      <ns0:c r="N97" s="15" t="inlineStr">
        <ns0:is>
          <ns0:t>只加上限，不立即回满；法器不参加甲型或防御元素投票</ns0:t>
        </ns0:is>
      </ns0:c>
      <ns0:c r="O97" s="15" t="inlineStr">
        <ns0:is>
          <ns0:t>候选设计记录；未注册游戏Effect</ns0:t>
        </ns0:is>
      </ns0:c>
    </ns0:row>
    <ns0:row r="98" ht="40" customHeight="1">
      <ns0:c r="A98" s="4" t="inlineStr">
        <ns0:is>
          <ns0:t>t01.asset.0069.effect.02</ns0:t>
        </ns0:is>
      </ns0:c>
      <ns0:c r="B98" s="4" t="inlineStr">
        <ns0:is>
          <ns0:t>t01.asset.0069</ns0:t>
        </ns0:is>
      </ns0:c>
      <ns0:c r="C98" s="4" t="inlineStr">
        <ns0:is>
          <ns0:t>A16</ns0:t>
        </ns0:is>
      </ns0:c>
      <ns0:c r="D98" s="4" t="inlineStr">
        <ns0:is>
          <ns0:t>铁胫甲</ns0:t>
        </ns0:is>
      </ns0:c>
      <ns0:c r="E98" s="4" t="inlineStr">
        <ns0:is>
          <ns0:t>恢复当前护甲</ns0:t>
        </ns0:is>
      </ns0:c>
      <ns0:c r="F98" s="4" t="n">
        <ns0:v>5</ns0:v>
      </ns0:c>
      <ns0:c r="G98" s="4" t="inlineStr"/>
      <ns0:c r="H98" s="4" t="inlineStr">
        <ns0:is>
          <ns0:t>自身轮转CD合法发动</ns0:t>
        </ns0:is>
      </ns0:c>
      <ns0:c r="I98" s="4" t="inlineStr">
        <ns0:is>
          <ns0:t>自身</ns0:t>
        </ns0:is>
      </ns0:c>
      <ns0:c r="J98" s="4" t="inlineStr">
        <ns0:is>
          <ns0:t>ARMOR</ns0:t>
        </ns0:is>
      </ns0:c>
      <ns0:c r="K98" s="4" t="inlineStr">
        <ns0:is>
          <ns0:t>无攻击</ns0:t>
        </ns0:is>
      </ns0:c>
      <ns0:c r="L98" s="4" t="inlineStr">
        <ns0:is>
          <ns0:t>土</ns0:t>
        </ns0:is>
      </ns0:c>
      <ns0:c r="M98" s="4" t="inlineStr">
        <ns0:is>
          <ns0:t>01 M06 C01</ns0:t>
        </ns0:is>
      </ns0:c>
      <ns0:c r="N98" s="4" t="inlineStr">
        <ns0:is>
          <ns0:t>不增加上限；与受击Buff独立计时</ns0:t>
        </ns0:is>
      </ns0:c>
      <ns0:c r="O98" s="4" t="inlineStr">
        <ns0:is>
          <ns0:t>候选设计记录；未注册游戏Effect</ns0:t>
        </ns0:is>
      </ns0:c>
    </ns0:row>
    <ns0:row r="99" ht="55" customHeight="1">
      <ns0:c r="A99" s="15" t="inlineStr">
        <ns0:is>
          <ns0:t>t01.asset.0069.effect.03</ns0:t>
        </ns0:is>
      </ns0:c>
      <ns0:c r="B99" s="15" t="inlineStr">
        <ns0:is>
          <ns0:t>t01.asset.0069</ns0:t>
        </ns0:is>
      </ns0:c>
      <ns0:c r="C99" s="15" t="inlineStr">
        <ns0:is>
          <ns0:t>A16</ns0:t>
        </ns0:is>
      </ns0:c>
      <ns0:c r="D99" s="15" t="inlineStr">
        <ns0:is>
          <ns0:t>铁胫甲</ns0:t>
        </ns0:is>
      </ns0:c>
      <ns0:c r="E99" s="15" t="inlineStr">
        <ns0:is>
          <ns0:t>施加状态</ns0:t>
        </ns0:is>
      </ns0:c>
      <ns0:c r="F99" s="15" t="n">
        <ns0:v>2</ns0:v>
      </ns0:c>
      <ns0:c r="G99" s="15" t="inlineStr">
        <ns0:is>
          <ns0:t>坚韧</ns0:t>
        </ns0:is>
      </ns0:c>
      <ns0:c r="H99" s="15" t="inlineStr">
        <ns0:is>
          <ns0:t>受击</ns0:t>
        </ns0:is>
      </ns0:c>
      <ns0:c r="I99" s="15" t="inlineStr">
        <ns0:is>
          <ns0:t>自身</ns0:t>
        </ns0:is>
      </ns0:c>
      <ns0:c r="J99" s="15" t="inlineStr">
        <ns0:is>
          <ns0:t>ARMOR</ns0:t>
        </ns0:is>
      </ns0:c>
      <ns0:c r="K99" s="15" t="inlineStr">
        <ns0:is>
          <ns0:t>无攻击</ns0:t>
        </ns0:is>
      </ns0:c>
      <ns0:c r="L99" s="15" t="inlineStr">
        <ns0:is>
          <ns0:t>土</ns0:t>
        </ns0:is>
      </ns0:c>
      <ns0:c r="M99" s="15" t="inlineStr">
        <ns0:is>
          <ns0:t>02核心状态／OP_ADD；01 M02/M03/M07</ns0:t>
        </ns0:is>
      </ns0:c>
      <ns0:c r="N99" s="15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99" s="15" t="inlineStr">
        <ns0:is>
          <ns0:t>候选设计记录；未注册游戏Effect</ns0:t>
        </ns0:is>
      </ns0:c>
    </ns0:row>
    <ns0:row r="100" ht="40" customHeight="1">
      <ns0:c r="A100" s="4" t="inlineStr">
        <ns0:is>
          <ns0:t>t01.asset.0070.effect.01</ns0:t>
        </ns0:is>
      </ns0:c>
      <ns0:c r="B100" s="4" t="inlineStr">
        <ns0:is>
          <ns0:t>t01.asset.0070</ns0:t>
        </ns0:is>
      </ns0:c>
      <ns0:c r="C100" s="4" t="inlineStr">
        <ns0:is>
          <ns0:t>A17</ns0:t>
        </ns0:is>
      </ns0:c>
      <ns0:c r="D100" s="4" t="inlineStr">
        <ns0:is>
          <ns0:t>水纹护腿</ns0:t>
        </ns0:is>
      </ns0:c>
      <ns0:c r="E100" s="4" t="inlineStr">
        <ns0:is>
          <ns0:t>护甲上限贡献</ns0:t>
        </ns0:is>
      </ns0:c>
      <ns0:c r="F100" s="4" t="n">
        <ns0:v>4</ns0:v>
      </ns0:c>
      <ns0:c r="G100" s="4" t="inlineStr"/>
      <ns0:c r="H100" s="4" t="inlineStr">
        <ns0:is>
          <ns0:t>上阵静态贡献</ns0:t>
        </ns0:is>
      </ns0:c>
      <ns0:c r="I100" s="4" t="inlineStr">
        <ns0:is>
          <ns0:t>自身</ns0:t>
        </ns0:is>
      </ns0:c>
      <ns0:c r="J100" s="4" t="inlineStr">
        <ns0:is>
          <ns0:t>ARMOR</ns0:t>
        </ns0:is>
      </ns0:c>
      <ns0:c r="K100" s="4" t="inlineStr">
        <ns0:is>
          <ns0:t>无攻击</ns0:t>
        </ns0:is>
      </ns0:c>
      <ns0:c r="L100" s="4" t="inlineStr">
        <ns0:is>
          <ns0:t>水</ns0:t>
        </ns0:is>
      </ns0:c>
      <ns0:c r="M100" s="4" t="inlineStr">
        <ns0:is>
          <ns0:t>01 M06 I11；04防具</ns0:t>
        </ns0:is>
      </ns0:c>
      <ns0:c r="N100" s="4" t="inlineStr">
        <ns0:is>
          <ns0:t>只加上限，不立即回满；法器不参加甲型或防御元素投票</ns0:t>
        </ns0:is>
      </ns0:c>
      <ns0:c r="O100" s="4" t="inlineStr">
        <ns0:is>
          <ns0:t>候选设计记录；未注册游戏Effect</ns0:t>
        </ns0:is>
      </ns0:c>
    </ns0:row>
    <ns0:row r="101" ht="40" customHeight="1">
      <ns0:c r="A101" s="15" t="inlineStr">
        <ns0:is>
          <ns0:t>t01.asset.0070.effect.02</ns0:t>
        </ns0:is>
      </ns0:c>
      <ns0:c r="B101" s="15" t="inlineStr">
        <ns0:is>
          <ns0:t>t01.asset.0070</ns0:t>
        </ns0:is>
      </ns0:c>
      <ns0:c r="C101" s="15" t="inlineStr">
        <ns0:is>
          <ns0:t>A17</ns0:t>
        </ns0:is>
      </ns0:c>
      <ns0:c r="D101" s="15" t="inlineStr">
        <ns0:is>
          <ns0:t>水纹护腿</ns0:t>
        </ns0:is>
      </ns0:c>
      <ns0:c r="E101" s="15" t="inlineStr">
        <ns0:is>
          <ns0:t>恢复当前护甲</ns0:t>
        </ns0:is>
      </ns0:c>
      <ns0:c r="F101" s="15" t="n">
        <ns0:v>3</ns0:v>
      </ns0:c>
      <ns0:c r="G101" s="15" t="inlineStr"/>
      <ns0:c r="H101" s="15" t="inlineStr">
        <ns0:is>
          <ns0:t>自身轮转CD合法发动</ns0:t>
        </ns0:is>
      </ns0:c>
      <ns0:c r="I101" s="15" t="inlineStr">
        <ns0:is>
          <ns0:t>自身</ns0:t>
        </ns0:is>
      </ns0:c>
      <ns0:c r="J101" s="15" t="inlineStr">
        <ns0:is>
          <ns0:t>ARMOR</ns0:t>
        </ns0:is>
      </ns0:c>
      <ns0:c r="K101" s="15" t="inlineStr">
        <ns0:is>
          <ns0:t>无攻击</ns0:t>
        </ns0:is>
      </ns0:c>
      <ns0:c r="L101" s="15" t="inlineStr">
        <ns0:is>
          <ns0:t>水</ns0:t>
        </ns0:is>
      </ns0:c>
      <ns0:c r="M101" s="15" t="inlineStr">
        <ns0:is>
          <ns0:t>01 M06 C01</ns0:t>
        </ns0:is>
      </ns0:c>
      <ns0:c r="N101" s="15" t="inlineStr">
        <ns0:is>
          <ns0:t>不增加上限；与受击Buff独立计时</ns0:t>
        </ns0:is>
      </ns0:c>
      <ns0:c r="O101" s="15" t="inlineStr">
        <ns0:is>
          <ns0:t>候选设计记录；未注册游戏Effect</ns0:t>
        </ns0:is>
      </ns0:c>
    </ns0:row>
    <ns0:row r="102" ht="40" customHeight="1">
      <ns0:c r="A102" s="4" t="inlineStr">
        <ns0:is>
          <ns0:t>t01.asset.0070.effect.03</ns0:t>
        </ns0:is>
      </ns0:c>
      <ns0:c r="B102" s="4" t="inlineStr">
        <ns0:is>
          <ns0:t>t01.asset.0070</ns0:t>
        </ns0:is>
      </ns0:c>
      <ns0:c r="C102" s="4" t="inlineStr">
        <ns0:is>
          <ns0:t>A17</ns0:t>
        </ns0:is>
      </ns0:c>
      <ns0:c r="D102" s="4" t="inlineStr">
        <ns0:is>
          <ns0:t>水纹护腿</ns0:t>
        </ns0:is>
      </ns0:c>
      <ns0:c r="E102" s="4" t="inlineStr">
        <ns0:is>
          <ns0:t>施加状态</ns0:t>
        </ns0:is>
      </ns0:c>
      <ns0:c r="F102" s="4" t="n">
        <ns0:v>1</ns0:v>
      </ns0:c>
      <ns0:c r="G102" s="4" t="inlineStr">
        <ns0:is>
          <ns0:t>润脉</ns0:t>
        </ns0:is>
      </ns0:c>
      <ns0:c r="H102" s="4" t="inlineStr">
        <ns0:is>
          <ns0:t>轮转</ns0:t>
        </ns0:is>
      </ns0:c>
      <ns0:c r="I102" s="4" t="inlineStr">
        <ns0:is>
          <ns0:t>自身</ns0:t>
        </ns0:is>
      </ns0:c>
      <ns0:c r="J102" s="4" t="inlineStr">
        <ns0:is>
          <ns0:t>ARMOR</ns0:t>
        </ns0:is>
      </ns0:c>
      <ns0:c r="K102" s="4" t="inlineStr">
        <ns0:is>
          <ns0:t>无攻击</ns0:t>
        </ns0:is>
      </ns0:c>
      <ns0:c r="L102" s="4" t="inlineStr">
        <ns0:is>
          <ns0:t>水</ns0:t>
        </ns0:is>
      </ns0:c>
      <ns0:c r="M102" s="4" t="inlineStr">
        <ns0:is>
          <ns0:t>02核心状态／OP_ADD；01 M02/M03/M07</ns0:t>
        </ns0:is>
      </ns0:c>
      <ns0:c r="N10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02" s="4" t="inlineStr">
        <ns0:is>
          <ns0:t>候选设计记录；未注册游戏Effect</ns0:t>
        </ns0:is>
      </ns0:c>
    </ns0:row>
    <ns0:row r="103" ht="40" customHeight="1">
      <ns0:c r="A103" s="15" t="inlineStr">
        <ns0:is>
          <ns0:t>t01.asset.0071.effect.01</ns0:t>
        </ns0:is>
      </ns0:c>
      <ns0:c r="B103" s="15" t="inlineStr">
        <ns0:is>
          <ns0:t>t01.asset.0071</ns0:t>
        </ns0:is>
      </ns0:c>
      <ns0:c r="C103" s="15" t="inlineStr">
        <ns0:is>
          <ns0:t>A18</ns0:t>
        </ns0:is>
      </ns0:c>
      <ns0:c r="D103" s="15" t="inlineStr">
        <ns0:is>
          <ns0:t>藤甲护腿</ns0:t>
        </ns0:is>
      </ns0:c>
      <ns0:c r="E103" s="15" t="inlineStr">
        <ns0:is>
          <ns0:t>护甲上限贡献</ns0:t>
        </ns0:is>
      </ns0:c>
      <ns0:c r="F103" s="15" t="n">
        <ns0:v>5</ns0:v>
      </ns0:c>
      <ns0:c r="G103" s="15" t="inlineStr"/>
      <ns0:c r="H103" s="15" t="inlineStr">
        <ns0:is>
          <ns0:t>上阵静态贡献</ns0:t>
        </ns0:is>
      </ns0:c>
      <ns0:c r="I103" s="15" t="inlineStr">
        <ns0:is>
          <ns0:t>自身</ns0:t>
        </ns0:is>
      </ns0:c>
      <ns0:c r="J103" s="15" t="inlineStr">
        <ns0:is>
          <ns0:t>ARMOR</ns0:t>
        </ns0:is>
      </ns0:c>
      <ns0:c r="K103" s="15" t="inlineStr">
        <ns0:is>
          <ns0:t>无攻击</ns0:t>
        </ns0:is>
      </ns0:c>
      <ns0:c r="L103" s="15" t="inlineStr">
        <ns0:is>
          <ns0:t>木</ns0:t>
        </ns0:is>
      </ns0:c>
      <ns0:c r="M103" s="15" t="inlineStr">
        <ns0:is>
          <ns0:t>01 M06 I11；04防具</ns0:t>
        </ns0:is>
      </ns0:c>
      <ns0:c r="N103" s="15" t="inlineStr">
        <ns0:is>
          <ns0:t>只加上限，不立即回满；法器不参加甲型或防御元素投票</ns0:t>
        </ns0:is>
      </ns0:c>
      <ns0:c r="O103" s="15" t="inlineStr">
        <ns0:is>
          <ns0:t>候选设计记录；未注册游戏Effect</ns0:t>
        </ns0:is>
      </ns0:c>
    </ns0:row>
    <ns0:row r="104" ht="40" customHeight="1">
      <ns0:c r="A104" s="4" t="inlineStr">
        <ns0:is>
          <ns0:t>t01.asset.0071.effect.02</ns0:t>
        </ns0:is>
      </ns0:c>
      <ns0:c r="B104" s="4" t="inlineStr">
        <ns0:is>
          <ns0:t>t01.asset.0071</ns0:t>
        </ns0:is>
      </ns0:c>
      <ns0:c r="C104" s="4" t="inlineStr">
        <ns0:is>
          <ns0:t>A18</ns0:t>
        </ns0:is>
      </ns0:c>
      <ns0:c r="D104" s="4" t="inlineStr">
        <ns0:is>
          <ns0:t>藤甲护腿</ns0:t>
        </ns0:is>
      </ns0:c>
      <ns0:c r="E104" s="4" t="inlineStr">
        <ns0:is>
          <ns0:t>恢复当前护甲</ns0:t>
        </ns0:is>
      </ns0:c>
      <ns0:c r="F104" s="4" t="n">
        <ns0:v>4</ns0:v>
      </ns0:c>
      <ns0:c r="G104" s="4" t="inlineStr"/>
      <ns0:c r="H104" s="4" t="inlineStr">
        <ns0:is>
          <ns0:t>自身轮转CD合法发动</ns0:t>
        </ns0:is>
      </ns0:c>
      <ns0:c r="I104" s="4" t="inlineStr">
        <ns0:is>
          <ns0:t>自身</ns0:t>
        </ns0:is>
      </ns0:c>
      <ns0:c r="J104" s="4" t="inlineStr">
        <ns0:is>
          <ns0:t>ARMOR</ns0:t>
        </ns0:is>
      </ns0:c>
      <ns0:c r="K104" s="4" t="inlineStr">
        <ns0:is>
          <ns0:t>无攻击</ns0:t>
        </ns0:is>
      </ns0:c>
      <ns0:c r="L104" s="4" t="inlineStr">
        <ns0:is>
          <ns0:t>木</ns0:t>
        </ns0:is>
      </ns0:c>
      <ns0:c r="M104" s="4" t="inlineStr">
        <ns0:is>
          <ns0:t>01 M06 C01</ns0:t>
        </ns0:is>
      </ns0:c>
      <ns0:c r="N104" s="4" t="inlineStr">
        <ns0:is>
          <ns0:t>不增加上限；与受击Buff独立计时</ns0:t>
        </ns0:is>
      </ns0:c>
      <ns0:c r="O104" s="4" t="inlineStr">
        <ns0:is>
          <ns0:t>候选设计记录；未注册游戏Effect</ns0:t>
        </ns0:is>
      </ns0:c>
    </ns0:row>
    <ns0:row r="105" ht="40" customHeight="1">
      <ns0:c r="A105" s="15" t="inlineStr">
        <ns0:is>
          <ns0:t>t01.asset.0071.effect.03</ns0:t>
        </ns0:is>
      </ns0:c>
      <ns0:c r="B105" s="15" t="inlineStr">
        <ns0:is>
          <ns0:t>t01.asset.0071</ns0:t>
        </ns0:is>
      </ns0:c>
      <ns0:c r="C105" s="15" t="inlineStr">
        <ns0:is>
          <ns0:t>A18</ns0:t>
        </ns0:is>
      </ns0:c>
      <ns0:c r="D105" s="15" t="inlineStr">
        <ns0:is>
          <ns0:t>藤甲护腿</ns0:t>
        </ns0:is>
      </ns0:c>
      <ns0:c r="E105" s="15" t="inlineStr">
        <ns0:is>
          <ns0:t>施加状态</ns0:t>
        </ns0:is>
      </ns0:c>
      <ns0:c r="F105" s="15" t="n">
        <ns0:v>2</ns0:v>
      </ns0:c>
      <ns0:c r="G105" s="15" t="inlineStr">
        <ns0:is>
          <ns0:t>生机</ns0:t>
        </ns0:is>
      </ns0:c>
      <ns0:c r="H105" s="15" t="inlineStr">
        <ns0:is>
          <ns0:t>轮转</ns0:t>
        </ns0:is>
      </ns0:c>
      <ns0:c r="I105" s="15" t="inlineStr">
        <ns0:is>
          <ns0:t>自身</ns0:t>
        </ns0:is>
      </ns0:c>
      <ns0:c r="J105" s="15" t="inlineStr">
        <ns0:is>
          <ns0:t>ARMOR</ns0:t>
        </ns0:is>
      </ns0:c>
      <ns0:c r="K105" s="15" t="inlineStr">
        <ns0:is>
          <ns0:t>无攻击</ns0:t>
        </ns0:is>
      </ns0:c>
      <ns0:c r="L105" s="15" t="inlineStr">
        <ns0:is>
          <ns0:t>木</ns0:t>
        </ns0:is>
      </ns0:c>
      <ns0:c r="M105" s="15" t="inlineStr">
        <ns0:is>
          <ns0:t>02核心状态／OP_ADD；01 M02/M03/M07</ns0:t>
        </ns0:is>
      </ns0:c>
      <ns0:c r="N10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05" s="15" t="inlineStr">
        <ns0:is>
          <ns0:t>候选设计记录；未注册游戏Effect</ns0:t>
        </ns0:is>
      </ns0:c>
    </ns0:row>
    <ns0:row r="106" ht="40" customHeight="1">
      <ns0:c r="A106" s="4" t="inlineStr">
        <ns0:is>
          <ns0:t>t01.asset.0072.effect.01</ns0:t>
        </ns0:is>
      </ns0:c>
      <ns0:c r="B106" s="4" t="inlineStr">
        <ns0:is>
          <ns0:t>t01.asset.0072</ns0:t>
        </ns0:is>
      </ns0:c>
      <ns0:c r="C106" s="4" t="inlineStr">
        <ns0:is>
          <ns0:t>A19</ns0:t>
        </ns0:is>
      </ns0:c>
      <ns0:c r="D106" s="4" t="inlineStr">
        <ns0:is>
          <ns0:t>皮护肩</ns0:t>
        </ns0:is>
      </ns0:c>
      <ns0:c r="E106" s="4" t="inlineStr">
        <ns0:is>
          <ns0:t>护甲上限贡献</ns0:t>
        </ns0:is>
      </ns0:c>
      <ns0:c r="F106" s="4" t="n">
        <ns0:v>8</ns0:v>
      </ns0:c>
      <ns0:c r="G106" s="4" t="inlineStr"/>
      <ns0:c r="H106" s="4" t="inlineStr">
        <ns0:is>
          <ns0:t>上阵静态贡献</ns0:t>
        </ns0:is>
      </ns0:c>
      <ns0:c r="I106" s="4" t="inlineStr">
        <ns0:is>
          <ns0:t>自身</ns0:t>
        </ns0:is>
      </ns0:c>
      <ns0:c r="J106" s="4" t="inlineStr">
        <ns0:is>
          <ns0:t>ARMOR</ns0:t>
        </ns0:is>
      </ns0:c>
      <ns0:c r="K106" s="4" t="inlineStr">
        <ns0:is>
          <ns0:t>无攻击</ns0:t>
        </ns0:is>
      </ns0:c>
      <ns0:c r="L106" s="4" t="inlineStr">
        <ns0:is>
          <ns0:t>土</ns0:t>
        </ns0:is>
      </ns0:c>
      <ns0:c r="M106" s="4" t="inlineStr">
        <ns0:is>
          <ns0:t>01 M06 I11；04防具</ns0:t>
        </ns0:is>
      </ns0:c>
      <ns0:c r="N106" s="4" t="inlineStr">
        <ns0:is>
          <ns0:t>只加上限，不立即回满；法器不参加甲型或防御元素投票</ns0:t>
        </ns0:is>
      </ns0:c>
      <ns0:c r="O106" s="4" t="inlineStr">
        <ns0:is>
          <ns0:t>候选设计记录；未注册游戏Effect</ns0:t>
        </ns0:is>
      </ns0:c>
    </ns0:row>
    <ns0:row r="107" ht="55" customHeight="1">
      <ns0:c r="A107" s="15" t="inlineStr">
        <ns0:is>
          <ns0:t>t01.asset.0072.effect.02</ns0:t>
        </ns0:is>
      </ns0:c>
      <ns0:c r="B107" s="15" t="inlineStr">
        <ns0:is>
          <ns0:t>t01.asset.0072</ns0:t>
        </ns0:is>
      </ns0:c>
      <ns0:c r="C107" s="15" t="inlineStr">
        <ns0:is>
          <ns0:t>A19</ns0:t>
        </ns0:is>
      </ns0:c>
      <ns0:c r="D107" s="15" t="inlineStr">
        <ns0:is>
          <ns0:t>皮护肩</ns0:t>
        </ns0:is>
      </ns0:c>
      <ns0:c r="E107" s="15" t="inlineStr">
        <ns0:is>
          <ns0:t>施加状态</ns0:t>
        </ns0:is>
      </ns0:c>
      <ns0:c r="F107" s="15" t="n">
        <ns0:v>1</ns0:v>
      </ns0:c>
      <ns0:c r="G107" s="15" t="inlineStr">
        <ns0:is>
          <ns0:t>坚韧</ns0:t>
        </ns0:is>
      </ns0:c>
      <ns0:c r="H107" s="15" t="inlineStr">
        <ns0:is>
          <ns0:t>受击</ns0:t>
        </ns0:is>
      </ns0:c>
      <ns0:c r="I107" s="15" t="inlineStr">
        <ns0:is>
          <ns0:t>自身</ns0:t>
        </ns0:is>
      </ns0:c>
      <ns0:c r="J107" s="15" t="inlineStr">
        <ns0:is>
          <ns0:t>ARMOR</ns0:t>
        </ns0:is>
      </ns0:c>
      <ns0:c r="K107" s="15" t="inlineStr">
        <ns0:is>
          <ns0:t>无攻击</ns0:t>
        </ns0:is>
      </ns0:c>
      <ns0:c r="L107" s="15" t="inlineStr">
        <ns0:is>
          <ns0:t>土</ns0:t>
        </ns0:is>
      </ns0:c>
      <ns0:c r="M107" s="15" t="inlineStr">
        <ns0:is>
          <ns0:t>02核心状态／OP_ADD；01 M02/M03/M07</ns0:t>
        </ns0:is>
      </ns0:c>
      <ns0:c r="N107" s="15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107" s="15" t="inlineStr">
        <ns0:is>
          <ns0:t>候选设计记录；未注册游戏Effect</ns0:t>
        </ns0:is>
      </ns0:c>
    </ns0:row>
    <ns0:row r="108" ht="40" customHeight="1">
      <ns0:c r="A108" s="4" t="inlineStr">
        <ns0:is>
          <ns0:t>t01.asset.0073.effect.01</ns0:t>
        </ns0:is>
      </ns0:c>
      <ns0:c r="B108" s="4" t="inlineStr">
        <ns0:is>
          <ns0:t>t01.asset.0073</ns0:t>
        </ns0:is>
      </ns0:c>
      <ns0:c r="C108" s="4" t="inlineStr">
        <ns0:is>
          <ns0:t>A20</ns0:t>
        </ns0:is>
      </ns0:c>
      <ns0:c r="D108" s="4" t="inlineStr">
        <ns0:is>
          <ns0:t>金纹护肩</ns0:t>
        </ns0:is>
      </ns0:c>
      <ns0:c r="E108" s="4" t="inlineStr">
        <ns0:is>
          <ns0:t>护甲上限贡献</ns0:t>
        </ns0:is>
      </ns0:c>
      <ns0:c r="F108" s="4" t="n">
        <ns0:v>6</ns0:v>
      </ns0:c>
      <ns0:c r="G108" s="4" t="inlineStr"/>
      <ns0:c r="H108" s="4" t="inlineStr">
        <ns0:is>
          <ns0:t>上阵静态贡献</ns0:t>
        </ns0:is>
      </ns0:c>
      <ns0:c r="I108" s="4" t="inlineStr">
        <ns0:is>
          <ns0:t>自身</ns0:t>
        </ns0:is>
      </ns0:c>
      <ns0:c r="J108" s="4" t="inlineStr">
        <ns0:is>
          <ns0:t>ARMOR</ns0:t>
        </ns0:is>
      </ns0:c>
      <ns0:c r="K108" s="4" t="inlineStr">
        <ns0:is>
          <ns0:t>无攻击</ns0:t>
        </ns0:is>
      </ns0:c>
      <ns0:c r="L108" s="4" t="inlineStr">
        <ns0:is>
          <ns0:t>金</ns0:t>
        </ns0:is>
      </ns0:c>
      <ns0:c r="M108" s="4" t="inlineStr">
        <ns0:is>
          <ns0:t>01 M06 I11；04防具</ns0:t>
        </ns0:is>
      </ns0:c>
      <ns0:c r="N108" s="4" t="inlineStr">
        <ns0:is>
          <ns0:t>只加上限，不立即回满；法器不参加甲型或防御元素投票</ns0:t>
        </ns0:is>
      </ns0:c>
      <ns0:c r="O108" s="4" t="inlineStr">
        <ns0:is>
          <ns0:t>候选设计记录；未注册游戏Effect</ns0:t>
        </ns0:is>
      </ns0:c>
    </ns0:row>
    <ns0:row r="109" ht="40" customHeight="1">
      <ns0:c r="A109" s="15" t="inlineStr">
        <ns0:is>
          <ns0:t>t01.asset.0073.effect.02</ns0:t>
        </ns0:is>
      </ns0:c>
      <ns0:c r="B109" s="15" t="inlineStr">
        <ns0:is>
          <ns0:t>t01.asset.0073</ns0:t>
        </ns0:is>
      </ns0:c>
      <ns0:c r="C109" s="15" t="inlineStr">
        <ns0:is>
          <ns0:t>A20</ns0:t>
        </ns0:is>
      </ns0:c>
      <ns0:c r="D109" s="15" t="inlineStr">
        <ns0:is>
          <ns0:t>金纹护肩</ns0:t>
        </ns0:is>
      </ns0:c>
      <ns0:c r="E109" s="15" t="inlineStr">
        <ns0:is>
          <ns0:t>恢复当前护甲</ns0:t>
        </ns0:is>
      </ns0:c>
      <ns0:c r="F109" s="15" t="n">
        <ns0:v>3</ns0:v>
      </ns0:c>
      <ns0:c r="G109" s="15" t="inlineStr"/>
      <ns0:c r="H109" s="15" t="inlineStr">
        <ns0:is>
          <ns0:t>自身轮转CD合法发动</ns0:t>
        </ns0:is>
      </ns0:c>
      <ns0:c r="I109" s="15" t="inlineStr">
        <ns0:is>
          <ns0:t>自身</ns0:t>
        </ns0:is>
      </ns0:c>
      <ns0:c r="J109" s="15" t="inlineStr">
        <ns0:is>
          <ns0:t>ARMOR</ns0:t>
        </ns0:is>
      </ns0:c>
      <ns0:c r="K109" s="15" t="inlineStr">
        <ns0:is>
          <ns0:t>无攻击</ns0:t>
        </ns0:is>
      </ns0:c>
      <ns0:c r="L109" s="15" t="inlineStr">
        <ns0:is>
          <ns0:t>金</ns0:t>
        </ns0:is>
      </ns0:c>
      <ns0:c r="M109" s="15" t="inlineStr">
        <ns0:is>
          <ns0:t>01 M06 C01</ns0:t>
        </ns0:is>
      </ns0:c>
      <ns0:c r="N109" s="15" t="inlineStr">
        <ns0:is>
          <ns0:t>不增加上限；与受击Buff独立计时</ns0:t>
        </ns0:is>
      </ns0:c>
      <ns0:c r="O109" s="15" t="inlineStr">
        <ns0:is>
          <ns0:t>候选设计记录；未注册游戏Effect</ns0:t>
        </ns0:is>
      </ns0:c>
    </ns0:row>
    <ns0:row r="110" ht="55" customHeight="1">
      <ns0:c r="A110" s="4" t="inlineStr">
        <ns0:is>
          <ns0:t>t01.asset.0073.effect.03</ns0:t>
        </ns0:is>
      </ns0:c>
      <ns0:c r="B110" s="4" t="inlineStr">
        <ns0:is>
          <ns0:t>t01.asset.0073</ns0:t>
        </ns0:is>
      </ns0:c>
      <ns0:c r="C110" s="4" t="inlineStr">
        <ns0:is>
          <ns0:t>A20</ns0:t>
        </ns0:is>
      </ns0:c>
      <ns0:c r="D110" s="4" t="inlineStr">
        <ns0:is>
          <ns0:t>金纹护肩</ns0:t>
        </ns0:is>
      </ns0:c>
      <ns0:c r="E110" s="4" t="inlineStr">
        <ns0:is>
          <ns0:t>施加状态</ns0:t>
        </ns0:is>
      </ns0:c>
      <ns0:c r="F110" s="4" t="n">
        <ns0:v>2</ns0:v>
      </ns0:c>
      <ns0:c r="G110" s="4" t="inlineStr">
        <ns0:is>
          <ns0:t>反锋</ns0:t>
        </ns0:is>
      </ns0:c>
      <ns0:c r="H110" s="4" t="inlineStr">
        <ns0:is>
          <ns0:t>受击</ns0:t>
        </ns0:is>
      </ns0:c>
      <ns0:c r="I110" s="4" t="inlineStr">
        <ns0:is>
          <ns0:t>自身</ns0:t>
        </ns0:is>
      </ns0:c>
      <ns0:c r="J110" s="4" t="inlineStr">
        <ns0:is>
          <ns0:t>ARMOR</ns0:t>
        </ns0:is>
      </ns0:c>
      <ns0:c r="K110" s="4" t="inlineStr">
        <ns0:is>
          <ns0:t>无攻击</ns0:t>
        </ns0:is>
      </ns0:c>
      <ns0:c r="L110" s="4" t="inlineStr">
        <ns0:is>
          <ns0:t>金</ns0:t>
        </ns0:is>
      </ns0:c>
      <ns0:c r="M110" s="4" t="inlineStr">
        <ns0:is>
          <ns0:t>02核心状态／OP_ADD；01 M02/M03/M07</ns0:t>
        </ns0:is>
      </ns0:c>
      <ns0:c r="N110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110" s="4" t="inlineStr">
        <ns0:is>
          <ns0:t>候选设计记录；未注册游戏Effect</ns0:t>
        </ns0:is>
      </ns0:c>
    </ns0:row>
    <ns0:row r="111" ht="40" customHeight="1">
      <ns0:c r="A111" s="15" t="inlineStr">
        <ns0:is>
          <ns0:t>t01.asset.0074.effect.01</ns0:t>
        </ns0:is>
      </ns0:c>
      <ns0:c r="B111" s="15" t="inlineStr">
        <ns0:is>
          <ns0:t>t01.asset.0074</ns0:t>
        </ns0:is>
      </ns0:c>
      <ns0:c r="C111" s="15" t="inlineStr">
        <ns0:is>
          <ns0:t>A21</ns0:t>
        </ns0:is>
      </ns0:c>
      <ns0:c r="D111" s="15" t="inlineStr">
        <ns0:is>
          <ns0:t>灵丝腰带</ns0:t>
        </ns0:is>
      </ns0:c>
      <ns0:c r="E111" s="15" t="inlineStr">
        <ns0:is>
          <ns0:t>护甲上限贡献</ns0:t>
        </ns0:is>
      </ns0:c>
      <ns0:c r="F111" s="15" t="n">
        <ns0:v>3</ns0:v>
      </ns0:c>
      <ns0:c r="G111" s="15" t="inlineStr"/>
      <ns0:c r="H111" s="15" t="inlineStr">
        <ns0:is>
          <ns0:t>上阵静态贡献</ns0:t>
        </ns0:is>
      </ns0:c>
      <ns0:c r="I111" s="15" t="inlineStr">
        <ns0:is>
          <ns0:t>自身</ns0:t>
        </ns0:is>
      </ns0:c>
      <ns0:c r="J111" s="15" t="inlineStr">
        <ns0:is>
          <ns0:t>ARMOR</ns0:t>
        </ns0:is>
      </ns0:c>
      <ns0:c r="K111" s="15" t="inlineStr">
        <ns0:is>
          <ns0:t>无攻击</ns0:t>
        </ns0:is>
      </ns0:c>
      <ns0:c r="L111" s="15" t="inlineStr">
        <ns0:is>
          <ns0:t>风</ns0:t>
        </ns0:is>
      </ns0:c>
      <ns0:c r="M111" s="15" t="inlineStr">
        <ns0:is>
          <ns0:t>01 M06 I11；04防具</ns0:t>
        </ns0:is>
      </ns0:c>
      <ns0:c r="N111" s="15" t="inlineStr">
        <ns0:is>
          <ns0:t>只加上限，不立即回满；法器不参加甲型或防御元素投票</ns0:t>
        </ns0:is>
      </ns0:c>
      <ns0:c r="O111" s="15" t="inlineStr">
        <ns0:is>
          <ns0:t>候选设计记录；未注册游戏Effect</ns0:t>
        </ns0:is>
      </ns0:c>
    </ns0:row>
    <ns0:row r="112" ht="40" customHeight="1">
      <ns0:c r="A112" s="4" t="inlineStr">
        <ns0:is>
          <ns0:t>t01.asset.0074.effect.02</ns0:t>
        </ns0:is>
      </ns0:c>
      <ns0:c r="B112" s="4" t="inlineStr">
        <ns0:is>
          <ns0:t>t01.asset.0074</ns0:t>
        </ns0:is>
      </ns0:c>
      <ns0:c r="C112" s="4" t="inlineStr">
        <ns0:is>
          <ns0:t>A21</ns0:t>
        </ns0:is>
      </ns0:c>
      <ns0:c r="D112" s="4" t="inlineStr">
        <ns0:is>
          <ns0:t>灵丝腰带</ns0:t>
        </ns0:is>
      </ns0:c>
      <ns0:c r="E112" s="4" t="inlineStr">
        <ns0:is>
          <ns0:t>施加状态</ns0:t>
        </ns0:is>
      </ns0:c>
      <ns0:c r="F112" s="4" t="n">
        <ns0:v>2</ns0:v>
      </ns0:c>
      <ns0:c r="G112" s="4" t="inlineStr">
        <ns0:is>
          <ns0:t>轻灵</ns0:t>
        </ns0:is>
      </ns0:c>
      <ns0:c r="H112" s="4" t="inlineStr">
        <ns0:is>
          <ns0:t>轮转</ns0:t>
        </ns0:is>
      </ns0:c>
      <ns0:c r="I112" s="4" t="inlineStr">
        <ns0:is>
          <ns0:t>自身</ns0:t>
        </ns0:is>
      </ns0:c>
      <ns0:c r="J112" s="4" t="inlineStr">
        <ns0:is>
          <ns0:t>ARMOR</ns0:t>
        </ns0:is>
      </ns0:c>
      <ns0:c r="K112" s="4" t="inlineStr">
        <ns0:is>
          <ns0:t>无攻击</ns0:t>
        </ns0:is>
      </ns0:c>
      <ns0:c r="L112" s="4" t="inlineStr">
        <ns0:is>
          <ns0:t>风</ns0:t>
        </ns0:is>
      </ns0:c>
      <ns0:c r="M112" s="4" t="inlineStr">
        <ns0:is>
          <ns0:t>02核心状态／OP_ADD；01 M02/M03/M07</ns0:t>
        </ns0:is>
      </ns0:c>
      <ns0:c r="N11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12" s="4" t="inlineStr">
        <ns0:is>
          <ns0:t>候选设计记录；未注册游戏Effect</ns0:t>
        </ns0:is>
      </ns0:c>
    </ns0:row>
    <ns0:row r="113" ht="40" customHeight="1">
      <ns0:c r="A113" s="15" t="inlineStr">
        <ns0:is>
          <ns0:t>t01.asset.0075.effect.01</ns0:t>
        </ns0:is>
      </ns0:c>
      <ns0:c r="B113" s="15" t="inlineStr">
        <ns0:is>
          <ns0:t>t01.asset.0075</ns0:t>
        </ns0:is>
      </ns0:c>
      <ns0:c r="C113" s="15" t="inlineStr">
        <ns0:is>
          <ns0:t>A22</ns0:t>
        </ns0:is>
      </ns0:c>
      <ns0:c r="D113" s="15" t="inlineStr">
        <ns0:is>
          <ns0:t>包铁木盾</ns0:t>
        </ns0:is>
      </ns0:c>
      <ns0:c r="E113" s="15" t="inlineStr">
        <ns0:is>
          <ns0:t>护甲上限贡献</ns0:t>
        </ns0:is>
      </ns0:c>
      <ns0:c r="F113" s="15" t="n">
        <ns0:v>5</ns0:v>
      </ns0:c>
      <ns0:c r="G113" s="15" t="inlineStr"/>
      <ns0:c r="H113" s="15" t="inlineStr">
        <ns0:is>
          <ns0:t>上阵静态贡献</ns0:t>
        </ns0:is>
      </ns0:c>
      <ns0:c r="I113" s="15" t="inlineStr">
        <ns0:is>
          <ns0:t>自身</ns0:t>
        </ns0:is>
      </ns0:c>
      <ns0:c r="J113" s="15" t="inlineStr">
        <ns0:is>
          <ns0:t>ARMOR</ns0:t>
        </ns0:is>
      </ns0:c>
      <ns0:c r="K113" s="15" t="inlineStr">
        <ns0:is>
          <ns0:t>无攻击</ns0:t>
        </ns0:is>
      </ns0:c>
      <ns0:c r="L113" s="15" t="inlineStr">
        <ns0:is>
          <ns0:t>木</ns0:t>
        </ns0:is>
      </ns0:c>
      <ns0:c r="M113" s="15" t="inlineStr">
        <ns0:is>
          <ns0:t>01 M06 I11；04防具</ns0:t>
        </ns0:is>
      </ns0:c>
      <ns0:c r="N113" s="15" t="inlineStr">
        <ns0:is>
          <ns0:t>只加上限，不立即回满；法器不参加甲型或防御元素投票</ns0:t>
        </ns0:is>
      </ns0:c>
      <ns0:c r="O113" s="15" t="inlineStr">
        <ns0:is>
          <ns0:t>候选设计记录；未注册游戏Effect</ns0:t>
        </ns0:is>
      </ns0:c>
    </ns0:row>
    <ns0:row r="114" ht="40" customHeight="1">
      <ns0:c r="A114" s="4" t="inlineStr">
        <ns0:is>
          <ns0:t>t01.asset.0075.effect.02</ns0:t>
        </ns0:is>
      </ns0:c>
      <ns0:c r="B114" s="4" t="inlineStr">
        <ns0:is>
          <ns0:t>t01.asset.0075</ns0:t>
        </ns0:is>
      </ns0:c>
      <ns0:c r="C114" s="4" t="inlineStr">
        <ns0:is>
          <ns0:t>A22</ns0:t>
        </ns0:is>
      </ns0:c>
      <ns0:c r="D114" s="4" t="inlineStr">
        <ns0:is>
          <ns0:t>包铁木盾</ns0:t>
        </ns0:is>
      </ns0:c>
      <ns0:c r="E114" s="4" t="inlineStr">
        <ns0:is>
          <ns0:t>恢复当前护甲</ns0:t>
        </ns0:is>
      </ns0:c>
      <ns0:c r="F114" s="4" t="n">
        <ns0:v>6</ns0:v>
      </ns0:c>
      <ns0:c r="G114" s="4" t="inlineStr"/>
      <ns0:c r="H114" s="4" t="inlineStr">
        <ns0:is>
          <ns0:t>自身轮转CD合法发动</ns0:t>
        </ns0:is>
      </ns0:c>
      <ns0:c r="I114" s="4" t="inlineStr">
        <ns0:is>
          <ns0:t>自身</ns0:t>
        </ns0:is>
      </ns0:c>
      <ns0:c r="J114" s="4" t="inlineStr">
        <ns0:is>
          <ns0:t>ARMOR</ns0:t>
        </ns0:is>
      </ns0:c>
      <ns0:c r="K114" s="4" t="inlineStr">
        <ns0:is>
          <ns0:t>无攻击</ns0:t>
        </ns0:is>
      </ns0:c>
      <ns0:c r="L114" s="4" t="inlineStr">
        <ns0:is>
          <ns0:t>木</ns0:t>
        </ns0:is>
      </ns0:c>
      <ns0:c r="M114" s="4" t="inlineStr">
        <ns0:is>
          <ns0:t>01 M06 C01</ns0:t>
        </ns0:is>
      </ns0:c>
      <ns0:c r="N114" s="4" t="inlineStr">
        <ns0:is>
          <ns0:t>不增加上限；与受击Buff独立计时</ns0:t>
        </ns0:is>
      </ns0:c>
      <ns0:c r="O114" s="4" t="inlineStr">
        <ns0:is>
          <ns0:t>候选设计记录；未注册游戏Effect</ns0:t>
        </ns0:is>
      </ns0:c>
    </ns0:row>
    <ns0:row r="115" ht="40" customHeight="1">
      <ns0:c r="A115" s="15" t="inlineStr">
        <ns0:is>
          <ns0:t>t01.asset.0075.effect.03</ns0:t>
        </ns0:is>
      </ns0:c>
      <ns0:c r="B115" s="15" t="inlineStr">
        <ns0:is>
          <ns0:t>t01.asset.0075</ns0:t>
        </ns0:is>
      </ns0:c>
      <ns0:c r="C115" s="15" t="inlineStr">
        <ns0:is>
          <ns0:t>A22</ns0:t>
        </ns0:is>
      </ns0:c>
      <ns0:c r="D115" s="15" t="inlineStr">
        <ns0:is>
          <ns0:t>包铁木盾</ns0:t>
        </ns0:is>
      </ns0:c>
      <ns0:c r="E115" s="15" t="inlineStr">
        <ns0:is>
          <ns0:t>施加状态</ns0:t>
        </ns0:is>
      </ns0:c>
      <ns0:c r="F115" s="15" t="n">
        <ns0:v>1</ns0:v>
      </ns0:c>
      <ns0:c r="G115" s="15" t="inlineStr">
        <ns0:is>
          <ns0:t>生机</ns0:t>
        </ns0:is>
      </ns0:c>
      <ns0:c r="H115" s="15" t="inlineStr">
        <ns0:is>
          <ns0:t>轮转</ns0:t>
        </ns0:is>
      </ns0:c>
      <ns0:c r="I115" s="15" t="inlineStr">
        <ns0:is>
          <ns0:t>自身</ns0:t>
        </ns0:is>
      </ns0:c>
      <ns0:c r="J115" s="15" t="inlineStr">
        <ns0:is>
          <ns0:t>ARMOR</ns0:t>
        </ns0:is>
      </ns0:c>
      <ns0:c r="K115" s="15" t="inlineStr">
        <ns0:is>
          <ns0:t>无攻击</ns0:t>
        </ns0:is>
      </ns0:c>
      <ns0:c r="L115" s="15" t="inlineStr">
        <ns0:is>
          <ns0:t>木</ns0:t>
        </ns0:is>
      </ns0:c>
      <ns0:c r="M115" s="15" t="inlineStr">
        <ns0:is>
          <ns0:t>02核心状态／OP_ADD；01 M02/M03/M07</ns0:t>
        </ns0:is>
      </ns0:c>
      <ns0:c r="N11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15" s="15" t="inlineStr">
        <ns0:is>
          <ns0:t>候选设计记录；未注册游戏Effect</ns0:t>
        </ns0:is>
      </ns0:c>
    </ns0:row>
    <ns0:row r="116" ht="40" customHeight="1">
      <ns0:c r="A116" s="4" t="inlineStr">
        <ns0:is>
          <ns0:t>t01.asset.0076.effect.01</ns0:t>
        </ns0:is>
      </ns0:c>
      <ns0:c r="B116" s="4" t="inlineStr">
        <ns0:is>
          <ns0:t>t01.asset.0076</ns0:t>
        </ns0:is>
      </ns0:c>
      <ns0:c r="C116" s="4" t="inlineStr">
        <ns0:is>
          <ns0:t>A23</ns0:t>
        </ns0:is>
      </ns0:c>
      <ns0:c r="D116" s="4" t="inlineStr">
        <ns0:is>
          <ns0:t>铁盾</ns0:t>
        </ns0:is>
      </ns0:c>
      <ns0:c r="E116" s="4" t="inlineStr">
        <ns0:is>
          <ns0:t>护甲上限贡献</ns0:t>
        </ns0:is>
      </ns0:c>
      <ns0:c r="F116" s="4" t="n">
        <ns0:v>8</ns0:v>
      </ns0:c>
      <ns0:c r="G116" s="4" t="inlineStr"/>
      <ns0:c r="H116" s="4" t="inlineStr">
        <ns0:is>
          <ns0:t>上阵静态贡献</ns0:t>
        </ns0:is>
      </ns0:c>
      <ns0:c r="I116" s="4" t="inlineStr">
        <ns0:is>
          <ns0:t>自身</ns0:t>
        </ns0:is>
      </ns0:c>
      <ns0:c r="J116" s="4" t="inlineStr">
        <ns0:is>
          <ns0:t>ARMOR</ns0:t>
        </ns0:is>
      </ns0:c>
      <ns0:c r="K116" s="4" t="inlineStr">
        <ns0:is>
          <ns0:t>无攻击</ns0:t>
        </ns0:is>
      </ns0:c>
      <ns0:c r="L116" s="4" t="inlineStr">
        <ns0:is>
          <ns0:t>金</ns0:t>
        </ns0:is>
      </ns0:c>
      <ns0:c r="M116" s="4" t="inlineStr">
        <ns0:is>
          <ns0:t>01 M06 I11；04防具</ns0:t>
        </ns0:is>
      </ns0:c>
      <ns0:c r="N116" s="4" t="inlineStr">
        <ns0:is>
          <ns0:t>只加上限，不立即回满；法器不参加甲型或防御元素投票</ns0:t>
        </ns0:is>
      </ns0:c>
      <ns0:c r="O116" s="4" t="inlineStr">
        <ns0:is>
          <ns0:t>候选设计记录；未注册游戏Effect</ns0:t>
        </ns0:is>
      </ns0:c>
    </ns0:row>
    <ns0:row r="117" ht="40" customHeight="1">
      <ns0:c r="A117" s="15" t="inlineStr">
        <ns0:is>
          <ns0:t>t01.asset.0076.effect.02</ns0:t>
        </ns0:is>
      </ns0:c>
      <ns0:c r="B117" s="15" t="inlineStr">
        <ns0:is>
          <ns0:t>t01.asset.0076</ns0:t>
        </ns0:is>
      </ns0:c>
      <ns0:c r="C117" s="15" t="inlineStr">
        <ns0:is>
          <ns0:t>A23</ns0:t>
        </ns0:is>
      </ns0:c>
      <ns0:c r="D117" s="15" t="inlineStr">
        <ns0:is>
          <ns0:t>铁盾</ns0:t>
        </ns0:is>
      </ns0:c>
      <ns0:c r="E117" s="15" t="inlineStr">
        <ns0:is>
          <ns0:t>恢复当前护甲</ns0:t>
        </ns0:is>
      </ns0:c>
      <ns0:c r="F117" s="15" t="n">
        <ns0:v>5</ns0:v>
      </ns0:c>
      <ns0:c r="G117" s="15" t="inlineStr"/>
      <ns0:c r="H117" s="15" t="inlineStr">
        <ns0:is>
          <ns0:t>自身轮转CD合法发动</ns0:t>
        </ns0:is>
      </ns0:c>
      <ns0:c r="I117" s="15" t="inlineStr">
        <ns0:is>
          <ns0:t>自身</ns0:t>
        </ns0:is>
      </ns0:c>
      <ns0:c r="J117" s="15" t="inlineStr">
        <ns0:is>
          <ns0:t>ARMOR</ns0:t>
        </ns0:is>
      </ns0:c>
      <ns0:c r="K117" s="15" t="inlineStr">
        <ns0:is>
          <ns0:t>无攻击</ns0:t>
        </ns0:is>
      </ns0:c>
      <ns0:c r="L117" s="15" t="inlineStr">
        <ns0:is>
          <ns0:t>金</ns0:t>
        </ns0:is>
      </ns0:c>
      <ns0:c r="M117" s="15" t="inlineStr">
        <ns0:is>
          <ns0:t>01 M06 C01</ns0:t>
        </ns0:is>
      </ns0:c>
      <ns0:c r="N117" s="15" t="inlineStr">
        <ns0:is>
          <ns0:t>不增加上限；与受击Buff独立计时</ns0:t>
        </ns0:is>
      </ns0:c>
      <ns0:c r="O117" s="15" t="inlineStr">
        <ns0:is>
          <ns0:t>候选设计记录；未注册游戏Effect</ns0:t>
        </ns0:is>
      </ns0:c>
    </ns0:row>
    <ns0:row r="118" ht="55" customHeight="1">
      <ns0:c r="A118" s="4" t="inlineStr">
        <ns0:is>
          <ns0:t>t01.asset.0076.effect.03</ns0:t>
        </ns0:is>
      </ns0:c>
      <ns0:c r="B118" s="4" t="inlineStr">
        <ns0:is>
          <ns0:t>t01.asset.0076</ns0:t>
        </ns0:is>
      </ns0:c>
      <ns0:c r="C118" s="4" t="inlineStr">
        <ns0:is>
          <ns0:t>A23</ns0:t>
        </ns0:is>
      </ns0:c>
      <ns0:c r="D118" s="4" t="inlineStr">
        <ns0:is>
          <ns0:t>铁盾</ns0:t>
        </ns0:is>
      </ns0:c>
      <ns0:c r="E118" s="4" t="inlineStr">
        <ns0:is>
          <ns0:t>施加状态</ns0:t>
        </ns0:is>
      </ns0:c>
      <ns0:c r="F118" s="4" t="n">
        <ns0:v>2</ns0:v>
      </ns0:c>
      <ns0:c r="G118" s="4" t="inlineStr">
        <ns0:is>
          <ns0:t>反锋</ns0:t>
        </ns0:is>
      </ns0:c>
      <ns0:c r="H118" s="4" t="inlineStr">
        <ns0:is>
          <ns0:t>受击</ns0:t>
        </ns0:is>
      </ns0:c>
      <ns0:c r="I118" s="4" t="inlineStr">
        <ns0:is>
          <ns0:t>自身</ns0:t>
        </ns0:is>
      </ns0:c>
      <ns0:c r="J118" s="4" t="inlineStr">
        <ns0:is>
          <ns0:t>ARMOR</ns0:t>
        </ns0:is>
      </ns0:c>
      <ns0:c r="K118" s="4" t="inlineStr">
        <ns0:is>
          <ns0:t>无攻击</ns0:t>
        </ns0:is>
      </ns0:c>
      <ns0:c r="L118" s="4" t="inlineStr">
        <ns0:is>
          <ns0:t>金</ns0:t>
        </ns0:is>
      </ns0:c>
      <ns0:c r="M118" s="4" t="inlineStr">
        <ns0:is>
          <ns0:t>02核心状态／OP_ADD；01 M02/M03/M07</ns0:t>
        </ns0:is>
      </ns0:c>
      <ns0:c r="N118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118" s="4" t="inlineStr">
        <ns0:is>
          <ns0:t>候选设计记录；未注册游戏Effect</ns0:t>
        </ns0:is>
      </ns0:c>
    </ns0:row>
    <ns0:row r="119" ht="40" customHeight="1">
      <ns0:c r="A119" s="15" t="inlineStr">
        <ns0:is>
          <ns0:t>t01.asset.0077.effect.01</ns0:t>
        </ns0:is>
      </ns0:c>
      <ns0:c r="B119" s="15" t="inlineStr">
        <ns0:is>
          <ns0:t>t01.asset.0077</ns0:t>
        </ns0:is>
      </ns0:c>
      <ns0:c r="C119" s="15" t="inlineStr">
        <ns0:is>
          <ns0:t>A24</ns0:t>
        </ns0:is>
      </ns0:c>
      <ns0:c r="D119" s="15" t="inlineStr">
        <ns0:is>
          <ns0:t>水纹盾</ns0:t>
        </ns0:is>
      </ns0:c>
      <ns0:c r="E119" s="15" t="inlineStr">
        <ns0:is>
          <ns0:t>护甲上限贡献</ns0:t>
        </ns0:is>
      </ns0:c>
      <ns0:c r="F119" s="15" t="n">
        <ns0:v>6</ns0:v>
      </ns0:c>
      <ns0:c r="G119" s="15" t="inlineStr"/>
      <ns0:c r="H119" s="15" t="inlineStr">
        <ns0:is>
          <ns0:t>上阵静态贡献</ns0:t>
        </ns0:is>
      </ns0:c>
      <ns0:c r="I119" s="15" t="inlineStr">
        <ns0:is>
          <ns0:t>自身</ns0:t>
        </ns0:is>
      </ns0:c>
      <ns0:c r="J119" s="15" t="inlineStr">
        <ns0:is>
          <ns0:t>ARMOR</ns0:t>
        </ns0:is>
      </ns0:c>
      <ns0:c r="K119" s="15" t="inlineStr">
        <ns0:is>
          <ns0:t>无攻击</ns0:t>
        </ns0:is>
      </ns0:c>
      <ns0:c r="L119" s="15" t="inlineStr">
        <ns0:is>
          <ns0:t>水</ns0:t>
        </ns0:is>
      </ns0:c>
      <ns0:c r="M119" s="15" t="inlineStr">
        <ns0:is>
          <ns0:t>01 M06 I11；04防具</ns0:t>
        </ns0:is>
      </ns0:c>
      <ns0:c r="N119" s="15" t="inlineStr">
        <ns0:is>
          <ns0:t>只加上限，不立即回满；法器不参加甲型或防御元素投票</ns0:t>
        </ns0:is>
      </ns0:c>
      <ns0:c r="O119" s="15" t="inlineStr">
        <ns0:is>
          <ns0:t>候选设计记录；未注册游戏Effect</ns0:t>
        </ns0:is>
      </ns0:c>
    </ns0:row>
    <ns0:row r="120" ht="40" customHeight="1">
      <ns0:c r="A120" s="4" t="inlineStr">
        <ns0:is>
          <ns0:t>t01.asset.0077.effect.02</ns0:t>
        </ns0:is>
      </ns0:c>
      <ns0:c r="B120" s="4" t="inlineStr">
        <ns0:is>
          <ns0:t>t01.asset.0077</ns0:t>
        </ns0:is>
      </ns0:c>
      <ns0:c r="C120" s="4" t="inlineStr">
        <ns0:is>
          <ns0:t>A24</ns0:t>
        </ns0:is>
      </ns0:c>
      <ns0:c r="D120" s="4" t="inlineStr">
        <ns0:is>
          <ns0:t>水纹盾</ns0:t>
        </ns0:is>
      </ns0:c>
      <ns0:c r="E120" s="4" t="inlineStr">
        <ns0:is>
          <ns0:t>恢复当前护甲</ns0:t>
        </ns0:is>
      </ns0:c>
      <ns0:c r="F120" s="4" t="n">
        <ns0:v>5</ns0:v>
      </ns0:c>
      <ns0:c r="G120" s="4" t="inlineStr"/>
      <ns0:c r="H120" s="4" t="inlineStr">
        <ns0:is>
          <ns0:t>自身轮转CD合法发动</ns0:t>
        </ns0:is>
      </ns0:c>
      <ns0:c r="I120" s="4" t="inlineStr">
        <ns0:is>
          <ns0:t>自身</ns0:t>
        </ns0:is>
      </ns0:c>
      <ns0:c r="J120" s="4" t="inlineStr">
        <ns0:is>
          <ns0:t>ARMOR</ns0:t>
        </ns0:is>
      </ns0:c>
      <ns0:c r="K120" s="4" t="inlineStr">
        <ns0:is>
          <ns0:t>无攻击</ns0:t>
        </ns0:is>
      </ns0:c>
      <ns0:c r="L120" s="4" t="inlineStr">
        <ns0:is>
          <ns0:t>水</ns0:t>
        </ns0:is>
      </ns0:c>
      <ns0:c r="M120" s="4" t="inlineStr">
        <ns0:is>
          <ns0:t>01 M06 C01</ns0:t>
        </ns0:is>
      </ns0:c>
      <ns0:c r="N120" s="4" t="inlineStr">
        <ns0:is>
          <ns0:t>不增加上限；与受击Buff独立计时</ns0:t>
        </ns0:is>
      </ns0:c>
      <ns0:c r="O120" s="4" t="inlineStr">
        <ns0:is>
          <ns0:t>候选设计记录；未注册游戏Effect</ns0:t>
        </ns0:is>
      </ns0:c>
    </ns0:row>
    <ns0:row r="121" ht="40" customHeight="1">
      <ns0:c r="A121" s="15" t="inlineStr">
        <ns0:is>
          <ns0:t>t01.asset.0077.effect.03</ns0:t>
        </ns0:is>
      </ns0:c>
      <ns0:c r="B121" s="15" t="inlineStr">
        <ns0:is>
          <ns0:t>t01.asset.0077</ns0:t>
        </ns0:is>
      </ns0:c>
      <ns0:c r="C121" s="15" t="inlineStr">
        <ns0:is>
          <ns0:t>A24</ns0:t>
        </ns0:is>
      </ns0:c>
      <ns0:c r="D121" s="15" t="inlineStr">
        <ns0:is>
          <ns0:t>水纹盾</ns0:t>
        </ns0:is>
      </ns0:c>
      <ns0:c r="E121" s="15" t="inlineStr">
        <ns0:is>
          <ns0:t>施加状态</ns0:t>
        </ns0:is>
      </ns0:c>
      <ns0:c r="F121" s="15" t="n">
        <ns0:v>1</ns0:v>
      </ns0:c>
      <ns0:c r="G121" s="15" t="inlineStr">
        <ns0:is>
          <ns0:t>润脉</ns0:t>
        </ns0:is>
      </ns0:c>
      <ns0:c r="H121" s="15" t="inlineStr">
        <ns0:is>
          <ns0:t>轮转</ns0:t>
        </ns0:is>
      </ns0:c>
      <ns0:c r="I121" s="15" t="inlineStr">
        <ns0:is>
          <ns0:t>自身</ns0:t>
        </ns0:is>
      </ns0:c>
      <ns0:c r="J121" s="15" t="inlineStr">
        <ns0:is>
          <ns0:t>ARMOR</ns0:t>
        </ns0:is>
      </ns0:c>
      <ns0:c r="K121" s="15" t="inlineStr">
        <ns0:is>
          <ns0:t>无攻击</ns0:t>
        </ns0:is>
      </ns0:c>
      <ns0:c r="L121" s="15" t="inlineStr">
        <ns0:is>
          <ns0:t>水</ns0:t>
        </ns0:is>
      </ns0:c>
      <ns0:c r="M121" s="15" t="inlineStr">
        <ns0:is>
          <ns0:t>02核心状态／OP_ADD；01 M02/M03/M07</ns0:t>
        </ns0:is>
      </ns0:c>
      <ns0:c r="N12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21" s="15" t="inlineStr">
        <ns0:is>
          <ns0:t>候选设计记录；未注册游戏Effect</ns0:t>
        </ns0:is>
      </ns0:c>
    </ns0:row>
    <ns0:row r="122" ht="40" customHeight="1">
      <ns0:c r="A122" s="4" t="inlineStr">
        <ns0:is>
          <ns0:t>t01.asset.0078.effect.01</ns0:t>
        </ns0:is>
      </ns0:c>
      <ns0:c r="B122" s="4" t="inlineStr">
        <ns0:is>
          <ns0:t>t01.asset.0078</ns0:t>
        </ns0:is>
      </ns0:c>
      <ns0:c r="C122" s="4" t="inlineStr">
        <ns0:is>
          <ns0:t>A26</ns0:t>
        </ns0:is>
      </ns0:c>
      <ns0:c r="D122" s="4" t="inlineStr">
        <ns0:is>
          <ns0:t>束甲带</ns0:t>
        </ns0:is>
      </ns0:c>
      <ns0:c r="E122" s="4" t="inlineStr">
        <ns0:is>
          <ns0:t>护甲上限贡献</ns0:t>
        </ns0:is>
      </ns0:c>
      <ns0:c r="F122" s="4" t="n">
        <ns0:v>12</ns0:v>
      </ns0:c>
      <ns0:c r="G122" s="4" t="inlineStr"/>
      <ns0:c r="H122" s="4" t="inlineStr">
        <ns0:is>
          <ns0:t>上阵静态贡献</ns0:t>
        </ns0:is>
      </ns0:c>
      <ns0:c r="I122" s="4" t="inlineStr">
        <ns0:is>
          <ns0:t>自身</ns0:t>
        </ns0:is>
      </ns0:c>
      <ns0:c r="J122" s="4" t="inlineStr">
        <ns0:is>
          <ns0:t>ARMOR</ns0:t>
        </ns0:is>
      </ns0:c>
      <ns0:c r="K122" s="4" t="inlineStr">
        <ns0:is>
          <ns0:t>无攻击</ns0:t>
        </ns0:is>
      </ns0:c>
      <ns0:c r="L122" s="4" t="inlineStr">
        <ns0:is>
          <ns0:t>无属性</ns0:t>
        </ns0:is>
      </ns0:c>
      <ns0:c r="M122" s="4" t="inlineStr">
        <ns0:is>
          <ns0:t>01 M06 I11；04防具</ns0:t>
        </ns0:is>
      </ns0:c>
      <ns0:c r="N122" s="4" t="inlineStr">
        <ns0:is>
          <ns0:t>只加上限，不立即回满；法器不参加甲型或防御元素投票</ns0:t>
        </ns0:is>
      </ns0:c>
      <ns0:c r="O122" s="4" t="inlineStr">
        <ns0:is>
          <ns0:t>候选设计记录；未注册游戏Effect</ns0:t>
        </ns0:is>
      </ns0:c>
    </ns0:row>
    <ns0:row r="123" ht="40" customHeight="1">
      <ns0:c r="A123" s="15" t="inlineStr">
        <ns0:is>
          <ns0:t>t01.asset.0079.effect.01</ns0:t>
        </ns0:is>
      </ns0:c>
      <ns0:c r="B123" s="15" t="inlineStr">
        <ns0:is>
          <ns0:t>t01.asset.0079</ns0:t>
        </ns0:is>
      </ns0:c>
      <ns0:c r="C123" s="15" t="inlineStr">
        <ns0:is>
          <ns0:t>A28</ns0:t>
        </ns0:is>
      </ns0:c>
      <ns0:c r="D123" s="15" t="inlineStr">
        <ns0:is>
          <ns0:t>燎火护臂</ns0:t>
        </ns0:is>
      </ns0:c>
      <ns0:c r="E123" s="15" t="inlineStr">
        <ns0:is>
          <ns0:t>护甲上限贡献</ns0:t>
        </ns0:is>
      </ns0:c>
      <ns0:c r="F123" s="15" t="n">
        <ns0:v>4</ns0:v>
      </ns0:c>
      <ns0:c r="G123" s="15" t="inlineStr"/>
      <ns0:c r="H123" s="15" t="inlineStr">
        <ns0:is>
          <ns0:t>上阵静态贡献</ns0:t>
        </ns0:is>
      </ns0:c>
      <ns0:c r="I123" s="15" t="inlineStr">
        <ns0:is>
          <ns0:t>自身</ns0:t>
        </ns0:is>
      </ns0:c>
      <ns0:c r="J123" s="15" t="inlineStr">
        <ns0:is>
          <ns0:t>ARMOR</ns0:t>
        </ns0:is>
      </ns0:c>
      <ns0:c r="K123" s="15" t="inlineStr">
        <ns0:is>
          <ns0:t>无攻击</ns0:t>
        </ns0:is>
      </ns0:c>
      <ns0:c r="L123" s="15" t="inlineStr">
        <ns0:is>
          <ns0:t>火</ns0:t>
        </ns0:is>
      </ns0:c>
      <ns0:c r="M123" s="15" t="inlineStr">
        <ns0:is>
          <ns0:t>01 M06 I11；04防具</ns0:t>
        </ns0:is>
      </ns0:c>
      <ns0:c r="N123" s="15" t="inlineStr">
        <ns0:is>
          <ns0:t>只加上限，不立即回满；法器不参加甲型或防御元素投票</ns0:t>
        </ns0:is>
      </ns0:c>
      <ns0:c r="O123" s="15" t="inlineStr">
        <ns0:is>
          <ns0:t>候选设计记录；未注册游戏Effect</ns0:t>
        </ns0:is>
      </ns0:c>
    </ns0:row>
    <ns0:row r="124" ht="40" customHeight="1">
      <ns0:c r="A124" s="4" t="inlineStr">
        <ns0:is>
          <ns0:t>t01.asset.0079.effect.02</ns0:t>
        </ns0:is>
      </ns0:c>
      <ns0:c r="B124" s="4" t="inlineStr">
        <ns0:is>
          <ns0:t>t01.asset.0079</ns0:t>
        </ns0:is>
      </ns0:c>
      <ns0:c r="C124" s="4" t="inlineStr">
        <ns0:is>
          <ns0:t>A28</ns0:t>
        </ns0:is>
      </ns0:c>
      <ns0:c r="D124" s="4" t="inlineStr">
        <ns0:is>
          <ns0:t>燎火护臂</ns0:t>
        </ns0:is>
      </ns0:c>
      <ns0:c r="E124" s="4" t="inlineStr">
        <ns0:is>
          <ns0:t>恢复当前护甲</ns0:t>
        </ns0:is>
      </ns0:c>
      <ns0:c r="F124" s="4" t="n">
        <ns0:v>2</ns0:v>
      </ns0:c>
      <ns0:c r="G124" s="4" t="inlineStr"/>
      <ns0:c r="H124" s="4" t="inlineStr">
        <ns0:is>
          <ns0:t>自身轮转CD合法发动</ns0:t>
        </ns0:is>
      </ns0:c>
      <ns0:c r="I124" s="4" t="inlineStr">
        <ns0:is>
          <ns0:t>自身</ns0:t>
        </ns0:is>
      </ns0:c>
      <ns0:c r="J124" s="4" t="inlineStr">
        <ns0:is>
          <ns0:t>ARMOR</ns0:t>
        </ns0:is>
      </ns0:c>
      <ns0:c r="K124" s="4" t="inlineStr">
        <ns0:is>
          <ns0:t>无攻击</ns0:t>
        </ns0:is>
      </ns0:c>
      <ns0:c r="L124" s="4" t="inlineStr">
        <ns0:is>
          <ns0:t>火</ns0:t>
        </ns0:is>
      </ns0:c>
      <ns0:c r="M124" s="4" t="inlineStr">
        <ns0:is>
          <ns0:t>01 M06 C01</ns0:t>
        </ns0:is>
      </ns0:c>
      <ns0:c r="N124" s="4" t="inlineStr">
        <ns0:is>
          <ns0:t>不增加上限；与受击Buff独立计时</ns0:t>
        </ns0:is>
      </ns0:c>
      <ns0:c r="O124" s="4" t="inlineStr">
        <ns0:is>
          <ns0:t>候选设计记录；未注册游戏Effect</ns0:t>
        </ns0:is>
      </ns0:c>
    </ns0:row>
    <ns0:row r="125" ht="40" customHeight="1">
      <ns0:c r="A125" s="15" t="inlineStr">
        <ns0:is>
          <ns0:t>t01.asset.0079.effect.03</ns0:t>
        </ns0:is>
      </ns0:c>
      <ns0:c r="B125" s="15" t="inlineStr">
        <ns0:is>
          <ns0:t>t01.asset.0079</ns0:t>
        </ns0:is>
      </ns0:c>
      <ns0:c r="C125" s="15" t="inlineStr">
        <ns0:is>
          <ns0:t>A28</ns0:t>
        </ns0:is>
      </ns0:c>
      <ns0:c r="D125" s="15" t="inlineStr">
        <ns0:is>
          <ns0:t>燎火护臂</ns0:t>
        </ns0:is>
      </ns0:c>
      <ns0:c r="E125" s="15" t="inlineStr">
        <ns0:is>
          <ns0:t>施加状态</ns0:t>
        </ns0:is>
      </ns0:c>
      <ns0:c r="F125" s="15" t="n">
        <ns0:v>1</ns0:v>
      </ns0:c>
      <ns0:c r="G125" s="15" t="inlineStr">
        <ns0:is>
          <ns0:t>附炎</ns0:t>
        </ns0:is>
      </ns0:c>
      <ns0:c r="H125" s="15" t="inlineStr">
        <ns0:is>
          <ns0:t>轮转</ns0:t>
        </ns0:is>
      </ns0:c>
      <ns0:c r="I125" s="15" t="inlineStr">
        <ns0:is>
          <ns0:t>自身</ns0:t>
        </ns0:is>
      </ns0:c>
      <ns0:c r="J125" s="15" t="inlineStr">
        <ns0:is>
          <ns0:t>ARMOR</ns0:t>
        </ns0:is>
      </ns0:c>
      <ns0:c r="K125" s="15" t="inlineStr">
        <ns0:is>
          <ns0:t>无攻击</ns0:t>
        </ns0:is>
      </ns0:c>
      <ns0:c r="L125" s="15" t="inlineStr">
        <ns0:is>
          <ns0:t>火</ns0:t>
        </ns0:is>
      </ns0:c>
      <ns0:c r="M125" s="15" t="inlineStr">
        <ns0:is>
          <ns0:t>02核心状态／OP_ADD；01 M02/M03/M07</ns0:t>
        </ns0:is>
      </ns0:c>
      <ns0:c r="N12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25" s="15" t="inlineStr">
        <ns0:is>
          <ns0:t>候选设计记录；未注册游戏Effect</ns0:t>
        </ns0:is>
      </ns0:c>
    </ns0:row>
    <ns0:row r="126" ht="40" customHeight="1">
      <ns0:c r="A126" s="4" t="inlineStr">
        <ns0:is>
          <ns0:t>t01.asset.0080.effect.01</ns0:t>
        </ns0:is>
      </ns0:c>
      <ns0:c r="B126" s="4" t="inlineStr">
        <ns0:is>
          <ns0:t>t01.asset.0080</ns0:t>
        </ns0:is>
      </ns0:c>
      <ns0:c r="C126" s="4" t="inlineStr">
        <ns0:is>
          <ns0:t>A29</ns0:t>
        </ns0:is>
      </ns0:c>
      <ns0:c r="D126" s="4" t="inlineStr">
        <ns0:is>
          <ns0:t>雷纹护腿</ns0:t>
        </ns0:is>
      </ns0:c>
      <ns0:c r="E126" s="4" t="inlineStr">
        <ns0:is>
          <ns0:t>护甲上限贡献</ns0:t>
        </ns0:is>
      </ns0:c>
      <ns0:c r="F126" s="4" t="n">
        <ns0:v>4</ns0:v>
      </ns0:c>
      <ns0:c r="G126" s="4" t="inlineStr"/>
      <ns0:c r="H126" s="4" t="inlineStr">
        <ns0:is>
          <ns0:t>上阵静态贡献</ns0:t>
        </ns0:is>
      </ns0:c>
      <ns0:c r="I126" s="4" t="inlineStr">
        <ns0:is>
          <ns0:t>自身</ns0:t>
        </ns0:is>
      </ns0:c>
      <ns0:c r="J126" s="4" t="inlineStr">
        <ns0:is>
          <ns0:t>ARMOR</ns0:t>
        </ns0:is>
      </ns0:c>
      <ns0:c r="K126" s="4" t="inlineStr">
        <ns0:is>
          <ns0:t>无攻击</ns0:t>
        </ns0:is>
      </ns0:c>
      <ns0:c r="L126" s="4" t="inlineStr">
        <ns0:is>
          <ns0:t>雷</ns0:t>
        </ns0:is>
      </ns0:c>
      <ns0:c r="M126" s="4" t="inlineStr">
        <ns0:is>
          <ns0:t>01 M06 I11；04防具</ns0:t>
        </ns0:is>
      </ns0:c>
      <ns0:c r="N126" s="4" t="inlineStr">
        <ns0:is>
          <ns0:t>只加上限，不立即回满；法器不参加甲型或防御元素投票</ns0:t>
        </ns0:is>
      </ns0:c>
      <ns0:c r="O126" s="4" t="inlineStr">
        <ns0:is>
          <ns0:t>候选设计记录；未注册游戏Effect</ns0:t>
        </ns0:is>
      </ns0:c>
    </ns0:row>
    <ns0:row r="127" ht="40" customHeight="1">
      <ns0:c r="A127" s="15" t="inlineStr">
        <ns0:is>
          <ns0:t>t01.asset.0080.effect.02</ns0:t>
        </ns0:is>
      </ns0:c>
      <ns0:c r="B127" s="15" t="inlineStr">
        <ns0:is>
          <ns0:t>t01.asset.0080</ns0:t>
        </ns0:is>
      </ns0:c>
      <ns0:c r="C127" s="15" t="inlineStr">
        <ns0:is>
          <ns0:t>A29</ns0:t>
        </ns0:is>
      </ns0:c>
      <ns0:c r="D127" s="15" t="inlineStr">
        <ns0:is>
          <ns0:t>雷纹护腿</ns0:t>
        </ns0:is>
      </ns0:c>
      <ns0:c r="E127" s="15" t="inlineStr">
        <ns0:is>
          <ns0:t>恢复当前护甲</ns0:t>
        </ns0:is>
      </ns0:c>
      <ns0:c r="F127" s="15" t="n">
        <ns0:v>2</ns0:v>
      </ns0:c>
      <ns0:c r="G127" s="15" t="inlineStr"/>
      <ns0:c r="H127" s="15" t="inlineStr">
        <ns0:is>
          <ns0:t>自身轮转CD合法发动</ns0:t>
        </ns0:is>
      </ns0:c>
      <ns0:c r="I127" s="15" t="inlineStr">
        <ns0:is>
          <ns0:t>自身</ns0:t>
        </ns0:is>
      </ns0:c>
      <ns0:c r="J127" s="15" t="inlineStr">
        <ns0:is>
          <ns0:t>ARMOR</ns0:t>
        </ns0:is>
      </ns0:c>
      <ns0:c r="K127" s="15" t="inlineStr">
        <ns0:is>
          <ns0:t>无攻击</ns0:t>
        </ns0:is>
      </ns0:c>
      <ns0:c r="L127" s="15" t="inlineStr">
        <ns0:is>
          <ns0:t>雷</ns0:t>
        </ns0:is>
      </ns0:c>
      <ns0:c r="M127" s="15" t="inlineStr">
        <ns0:is>
          <ns0:t>01 M06 C01</ns0:t>
        </ns0:is>
      </ns0:c>
      <ns0:c r="N127" s="15" t="inlineStr">
        <ns0:is>
          <ns0:t>不增加上限；与受击Buff独立计时</ns0:t>
        </ns0:is>
      </ns0:c>
      <ns0:c r="O127" s="15" t="inlineStr">
        <ns0:is>
          <ns0:t>候选设计记录；未注册游戏Effect</ns0:t>
        </ns0:is>
      </ns0:c>
    </ns0:row>
    <ns0:row r="128" ht="40" customHeight="1">
      <ns0:c r="A128" s="4" t="inlineStr">
        <ns0:is>
          <ns0:t>t01.asset.0080.effect.03</ns0:t>
        </ns0:is>
      </ns0:c>
      <ns0:c r="B128" s="4" t="inlineStr">
        <ns0:is>
          <ns0:t>t01.asset.0080</ns0:t>
        </ns0:is>
      </ns0:c>
      <ns0:c r="C128" s="4" t="inlineStr">
        <ns0:is>
          <ns0:t>A29</ns0:t>
        </ns0:is>
      </ns0:c>
      <ns0:c r="D128" s="4" t="inlineStr">
        <ns0:is>
          <ns0:t>雷纹护腿</ns0:t>
        </ns0:is>
      </ns0:c>
      <ns0:c r="E128" s="4" t="inlineStr">
        <ns0:is>
          <ns0:t>施加状态</ns0:t>
        </ns0:is>
      </ns0:c>
      <ns0:c r="F128" s="4" t="n">
        <ns0:v>1</ns0:v>
      </ns0:c>
      <ns0:c r="G128" s="4" t="inlineStr">
        <ns0:is>
          <ns0:t>雷蕴</ns0:t>
        </ns0:is>
      </ns0:c>
      <ns0:c r="H128" s="4" t="inlineStr">
        <ns0:is>
          <ns0:t>轮转</ns0:t>
        </ns0:is>
      </ns0:c>
      <ns0:c r="I128" s="4" t="inlineStr">
        <ns0:is>
          <ns0:t>自身</ns0:t>
        </ns0:is>
      </ns0:c>
      <ns0:c r="J128" s="4" t="inlineStr">
        <ns0:is>
          <ns0:t>ARMOR</ns0:t>
        </ns0:is>
      </ns0:c>
      <ns0:c r="K128" s="4" t="inlineStr">
        <ns0:is>
          <ns0:t>无攻击</ns0:t>
        </ns0:is>
      </ns0:c>
      <ns0:c r="L128" s="4" t="inlineStr">
        <ns0:is>
          <ns0:t>雷</ns0:t>
        </ns0:is>
      </ns0:c>
      <ns0:c r="M128" s="4" t="inlineStr">
        <ns0:is>
          <ns0:t>02核心状态／OP_ADD；01 M02/M03/M07</ns0:t>
        </ns0:is>
      </ns0:c>
      <ns0:c r="N128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28" s="4" t="inlineStr">
        <ns0:is>
          <ns0:t>候选设计记录；未注册游戏Effect</ns0:t>
        </ns0:is>
      </ns0:c>
    </ns0:row>
    <ns0:row r="129" ht="40" customHeight="1">
      <ns0:c r="A129" s="15" t="inlineStr">
        <ns0:is>
          <ns0:t>t01.asset.0081.effect.01</ns0:t>
        </ns0:is>
      </ns0:c>
      <ns0:c r="B129" s="15" t="inlineStr">
        <ns0:is>
          <ns0:t>t01.asset.0081</ns0:t>
        </ns0:is>
      </ns0:c>
      <ns0:c r="C129" s="15" t="inlineStr">
        <ns0:is>
          <ns0:t>A30</ns0:t>
        </ns0:is>
      </ns0:c>
      <ns0:c r="D129" s="15" t="inlineStr">
        <ns0:is>
          <ns0:t>炎纹护肩</ns0:t>
        </ns0:is>
      </ns0:c>
      <ns0:c r="E129" s="15" t="inlineStr">
        <ns0:is>
          <ns0:t>护甲上限贡献</ns0:t>
        </ns0:is>
      </ns0:c>
      <ns0:c r="F129" s="15" t="n">
        <ns0:v>6</ns0:v>
      </ns0:c>
      <ns0:c r="G129" s="15" t="inlineStr"/>
      <ns0:c r="H129" s="15" t="inlineStr">
        <ns0:is>
          <ns0:t>上阵静态贡献</ns0:t>
        </ns0:is>
      </ns0:c>
      <ns0:c r="I129" s="15" t="inlineStr">
        <ns0:is>
          <ns0:t>自身</ns0:t>
        </ns0:is>
      </ns0:c>
      <ns0:c r="J129" s="15" t="inlineStr">
        <ns0:is>
          <ns0:t>ARMOR</ns0:t>
        </ns0:is>
      </ns0:c>
      <ns0:c r="K129" s="15" t="inlineStr">
        <ns0:is>
          <ns0:t>无攻击</ns0:t>
        </ns0:is>
      </ns0:c>
      <ns0:c r="L129" s="15" t="inlineStr">
        <ns0:is>
          <ns0:t>火</ns0:t>
        </ns0:is>
      </ns0:c>
      <ns0:c r="M129" s="15" t="inlineStr">
        <ns0:is>
          <ns0:t>01 M06 I11；04防具</ns0:t>
        </ns0:is>
      </ns0:c>
      <ns0:c r="N129" s="15" t="inlineStr">
        <ns0:is>
          <ns0:t>只加上限，不立即回满；法器不参加甲型或防御元素投票</ns0:t>
        </ns0:is>
      </ns0:c>
      <ns0:c r="O129" s="15" t="inlineStr">
        <ns0:is>
          <ns0:t>候选设计记录；未注册游戏Effect</ns0:t>
        </ns0:is>
      </ns0:c>
    </ns0:row>
    <ns0:row r="130" ht="40" customHeight="1">
      <ns0:c r="A130" s="4" t="inlineStr">
        <ns0:is>
          <ns0:t>t01.asset.0081.effect.02</ns0:t>
        </ns0:is>
      </ns0:c>
      <ns0:c r="B130" s="4" t="inlineStr">
        <ns0:is>
          <ns0:t>t01.asset.0081</ns0:t>
        </ns0:is>
      </ns0:c>
      <ns0:c r="C130" s="4" t="inlineStr">
        <ns0:is>
          <ns0:t>A30</ns0:t>
        </ns0:is>
      </ns0:c>
      <ns0:c r="D130" s="4" t="inlineStr">
        <ns0:is>
          <ns0:t>炎纹护肩</ns0:t>
        </ns0:is>
      </ns0:c>
      <ns0:c r="E130" s="4" t="inlineStr">
        <ns0:is>
          <ns0:t>恢复当前护甲</ns0:t>
        </ns0:is>
      </ns0:c>
      <ns0:c r="F130" s="4" t="n">
        <ns0:v>2</ns0:v>
      </ns0:c>
      <ns0:c r="G130" s="4" t="inlineStr"/>
      <ns0:c r="H130" s="4" t="inlineStr">
        <ns0:is>
          <ns0:t>自身轮转CD合法发动</ns0:t>
        </ns0:is>
      </ns0:c>
      <ns0:c r="I130" s="4" t="inlineStr">
        <ns0:is>
          <ns0:t>自身</ns0:t>
        </ns0:is>
      </ns0:c>
      <ns0:c r="J130" s="4" t="inlineStr">
        <ns0:is>
          <ns0:t>ARMOR</ns0:t>
        </ns0:is>
      </ns0:c>
      <ns0:c r="K130" s="4" t="inlineStr">
        <ns0:is>
          <ns0:t>无攻击</ns0:t>
        </ns0:is>
      </ns0:c>
      <ns0:c r="L130" s="4" t="inlineStr">
        <ns0:is>
          <ns0:t>火</ns0:t>
        </ns0:is>
      </ns0:c>
      <ns0:c r="M130" s="4" t="inlineStr">
        <ns0:is>
          <ns0:t>01 M06 C01</ns0:t>
        </ns0:is>
      </ns0:c>
      <ns0:c r="N130" s="4" t="inlineStr">
        <ns0:is>
          <ns0:t>不增加上限；与受击Buff独立计时</ns0:t>
        </ns0:is>
      </ns0:c>
      <ns0:c r="O130" s="4" t="inlineStr">
        <ns0:is>
          <ns0:t>候选设计记录；未注册游戏Effect</ns0:t>
        </ns0:is>
      </ns0:c>
    </ns0:row>
    <ns0:row r="131" ht="40" customHeight="1">
      <ns0:c r="A131" s="15" t="inlineStr">
        <ns0:is>
          <ns0:t>t01.asset.0081.effect.03</ns0:t>
        </ns0:is>
      </ns0:c>
      <ns0:c r="B131" s="15" t="inlineStr">
        <ns0:is>
          <ns0:t>t01.asset.0081</ns0:t>
        </ns0:is>
      </ns0:c>
      <ns0:c r="C131" s="15" t="inlineStr">
        <ns0:is>
          <ns0:t>A30</ns0:t>
        </ns0:is>
      </ns0:c>
      <ns0:c r="D131" s="15" t="inlineStr">
        <ns0:is>
          <ns0:t>炎纹护肩</ns0:t>
        </ns0:is>
      </ns0:c>
      <ns0:c r="E131" s="15" t="inlineStr">
        <ns0:is>
          <ns0:t>施加状态</ns0:t>
        </ns0:is>
      </ns0:c>
      <ns0:c r="F131" s="15" t="n">
        <ns0:v>2</ns0:v>
      </ns0:c>
      <ns0:c r="G131" s="15" t="inlineStr">
        <ns0:is>
          <ns0:t>附炎</ns0:t>
        </ns0:is>
      </ns0:c>
      <ns0:c r="H131" s="15" t="inlineStr">
        <ns0:is>
          <ns0:t>轮转</ns0:t>
        </ns0:is>
      </ns0:c>
      <ns0:c r="I131" s="15" t="inlineStr">
        <ns0:is>
          <ns0:t>自身</ns0:t>
        </ns0:is>
      </ns0:c>
      <ns0:c r="J131" s="15" t="inlineStr">
        <ns0:is>
          <ns0:t>ARMOR</ns0:t>
        </ns0:is>
      </ns0:c>
      <ns0:c r="K131" s="15" t="inlineStr">
        <ns0:is>
          <ns0:t>无攻击</ns0:t>
        </ns0:is>
      </ns0:c>
      <ns0:c r="L131" s="15" t="inlineStr">
        <ns0:is>
          <ns0:t>火</ns0:t>
        </ns0:is>
      </ns0:c>
      <ns0:c r="M131" s="15" t="inlineStr">
        <ns0:is>
          <ns0:t>02核心状态／OP_ADD；01 M02/M03/M07</ns0:t>
        </ns0:is>
      </ns0:c>
      <ns0:c r="N13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31" s="15" t="inlineStr">
        <ns0:is>
          <ns0:t>候选设计记录；未注册游戏Effect</ns0:t>
        </ns0:is>
      </ns0:c>
    </ns0:row>
    <ns0:row r="132" ht="40" customHeight="1">
      <ns0:c r="A132" s="4" t="inlineStr">
        <ns0:is>
          <ns0:t>t01.asset.0082.effect.01</ns0:t>
        </ns0:is>
      </ns0:c>
      <ns0:c r="B132" s="4" t="inlineStr">
        <ns0:is>
          <ns0:t>t01.asset.0082</ns0:t>
        </ns0:is>
      </ns0:c>
      <ns0:c r="C132" s="4" t="inlineStr">
        <ns0:is>
          <ns0:t>A31</ns0:t>
        </ns0:is>
      </ns0:c>
      <ns0:c r="D132" s="4" t="inlineStr">
        <ns0:is>
          <ns0:t>润脉腰带</ns0:t>
        </ns0:is>
      </ns0:c>
      <ns0:c r="E132" s="4" t="inlineStr">
        <ns0:is>
          <ns0:t>护甲上限贡献</ns0:t>
        </ns0:is>
      </ns0:c>
      <ns0:c r="F132" s="4" t="n">
        <ns0:v>4</ns0:v>
      </ns0:c>
      <ns0:c r="G132" s="4" t="inlineStr"/>
      <ns0:c r="H132" s="4" t="inlineStr">
        <ns0:is>
          <ns0:t>上阵静态贡献</ns0:t>
        </ns0:is>
      </ns0:c>
      <ns0:c r="I132" s="4" t="inlineStr">
        <ns0:is>
          <ns0:t>自身</ns0:t>
        </ns0:is>
      </ns0:c>
      <ns0:c r="J132" s="4" t="inlineStr">
        <ns0:is>
          <ns0:t>ARMOR</ns0:t>
        </ns0:is>
      </ns0:c>
      <ns0:c r="K132" s="4" t="inlineStr">
        <ns0:is>
          <ns0:t>无攻击</ns0:t>
        </ns0:is>
      </ns0:c>
      <ns0:c r="L132" s="4" t="inlineStr">
        <ns0:is>
          <ns0:t>水</ns0:t>
        </ns0:is>
      </ns0:c>
      <ns0:c r="M132" s="4" t="inlineStr">
        <ns0:is>
          <ns0:t>01 M06 I11；04防具</ns0:t>
        </ns0:is>
      </ns0:c>
      <ns0:c r="N132" s="4" t="inlineStr">
        <ns0:is>
          <ns0:t>只加上限，不立即回满；法器不参加甲型或防御元素投票</ns0:t>
        </ns0:is>
      </ns0:c>
      <ns0:c r="O132" s="4" t="inlineStr">
        <ns0:is>
          <ns0:t>候选设计记录；未注册游戏Effect</ns0:t>
        </ns0:is>
      </ns0:c>
    </ns0:row>
    <ns0:row r="133" ht="40" customHeight="1">
      <ns0:c r="A133" s="15" t="inlineStr">
        <ns0:is>
          <ns0:t>t01.asset.0082.effect.02</ns0:t>
        </ns0:is>
      </ns0:c>
      <ns0:c r="B133" s="15" t="inlineStr">
        <ns0:is>
          <ns0:t>t01.asset.0082</ns0:t>
        </ns0:is>
      </ns0:c>
      <ns0:c r="C133" s="15" t="inlineStr">
        <ns0:is>
          <ns0:t>A31</ns0:t>
        </ns0:is>
      </ns0:c>
      <ns0:c r="D133" s="15" t="inlineStr">
        <ns0:is>
          <ns0:t>润脉腰带</ns0:t>
        </ns0:is>
      </ns0:c>
      <ns0:c r="E133" s="15" t="inlineStr">
        <ns0:is>
          <ns0:t>施加状态</ns0:t>
        </ns0:is>
      </ns0:c>
      <ns0:c r="F133" s="15" t="n">
        <ns0:v>2</ns0:v>
      </ns0:c>
      <ns0:c r="G133" s="15" t="inlineStr">
        <ns0:is>
          <ns0:t>润脉</ns0:t>
        </ns0:is>
      </ns0:c>
      <ns0:c r="H133" s="15" t="inlineStr">
        <ns0:is>
          <ns0:t>轮转</ns0:t>
        </ns0:is>
      </ns0:c>
      <ns0:c r="I133" s="15" t="inlineStr">
        <ns0:is>
          <ns0:t>自身</ns0:t>
        </ns0:is>
      </ns0:c>
      <ns0:c r="J133" s="15" t="inlineStr">
        <ns0:is>
          <ns0:t>ARMOR</ns0:t>
        </ns0:is>
      </ns0:c>
      <ns0:c r="K133" s="15" t="inlineStr">
        <ns0:is>
          <ns0:t>无攻击</ns0:t>
        </ns0:is>
      </ns0:c>
      <ns0:c r="L133" s="15" t="inlineStr">
        <ns0:is>
          <ns0:t>水</ns0:t>
        </ns0:is>
      </ns0:c>
      <ns0:c r="M133" s="15" t="inlineStr">
        <ns0:is>
          <ns0:t>02核心状态／OP_ADD；01 M02/M03/M07</ns0:t>
        </ns0:is>
      </ns0:c>
      <ns0:c r="N133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33" s="15" t="inlineStr">
        <ns0:is>
          <ns0:t>候选设计记录；未注册游戏Effect</ns0:t>
        </ns0:is>
      </ns0:c>
    </ns0:row>
    <ns0:row r="134" ht="40" customHeight="1">
      <ns0:c r="A134" s="4" t="inlineStr">
        <ns0:is>
          <ns0:t>t01.asset.0083.effect.01</ns0:t>
        </ns0:is>
      </ns0:c>
      <ns0:c r="B134" s="4" t="inlineStr">
        <ns0:is>
          <ns0:t>t01.asset.0083</ns0:t>
        </ns0:is>
      </ns0:c>
      <ns0:c r="C134" s="4" t="inlineStr">
        <ns0:is>
          <ns0:t>F01</ns0:t>
        </ns0:is>
      </ns0:c>
      <ns0:c r="D134" s="4" t="inlineStr">
        <ns0:is>
          <ns0:t>回春佩</ns0:t>
        </ns0:is>
      </ns0:c>
      <ns0:c r="E134" s="4" t="inlineStr">
        <ns0:is>
          <ns0:t>恢复气血</ns0:t>
        </ns0:is>
      </ns0:c>
      <ns0:c r="F134" s="4" t="n">
        <ns0:v>13</ns0:v>
      </ns0:c>
      <ns0:c r="G134" s="4" t="inlineStr"/>
      <ns0:c r="H134" s="4" t="inlineStr">
        <ns0:is>
          <ns0:t>发动时</ns0:t>
        </ns0:is>
      </ns0:c>
      <ns0:c r="I134" s="4" t="inlineStr">
        <ns0:is>
          <ns0:t>自身</ns0:t>
        </ns0:is>
      </ns0:c>
      <ns0:c r="J134" s="4" t="inlineStr">
        <ns0:is>
          <ns0:t>ARTIFACT</ns0:t>
        </ns0:is>
      </ns0:c>
      <ns0:c r="K134" s="4" t="inlineStr">
        <ns0:is>
          <ns0:t>无攻击</ns0:t>
        </ns0:is>
      </ns0:c>
      <ns0:c r="L134" s="4" t="inlineStr">
        <ns0:is>
          <ns0:t>无属性</ns0:t>
        </ns0:is>
      </ns0:c>
      <ns0:c r="M134" s="4" t="inlineStr">
        <ns0:is>
          <ns0:t>01 M06 B01/B02/B03；M07</ns0:t>
        </ns0:is>
      </ns0:c>
      <ns0:c r="N134" s="4" t="inlineStr">
        <ns0:is>
          <ns0:t>正常上限；</ns0:t>
        </ns0:is>
      </ns0:c>
      <ns0:c r="O134" s="4" t="inlineStr">
        <ns0:is>
          <ns0:t>候选设计记录；未注册游戏Effect</ns0:t>
        </ns0:is>
      </ns0:c>
    </ns0:row>
    <ns0:row r="135" ht="40" customHeight="1">
      <ns0:c r="A135" s="15" t="inlineStr">
        <ns0:is>
          <ns0:t>t01.asset.0084.effect.01</ns0:t>
        </ns0:is>
      </ns0:c>
      <ns0:c r="B135" s="15" t="inlineStr">
        <ns0:is>
          <ns0:t>t01.asset.0084</ns0:t>
        </ns0:is>
      </ns0:c>
      <ns0:c r="C135" s="15" t="inlineStr">
        <ns0:is>
          <ns0:t>F02</ns0:t>
        </ns0:is>
      </ns0:c>
      <ns0:c r="D135" s="15" t="inlineStr">
        <ns0:is>
          <ns0:t>行气珠</ns0:t>
        </ns0:is>
      </ns0:c>
      <ns0:c r="E135" s="15" t="inlineStr">
        <ns0:is>
          <ns0:t>恢复体力</ns0:t>
        </ns0:is>
      </ns0:c>
      <ns0:c r="F135" s="15" t="n">
        <ns0:v>18</ns0:v>
      </ns0:c>
      <ns0:c r="G135" s="15" t="inlineStr"/>
      <ns0:c r="H135" s="15" t="inlineStr">
        <ns0:is>
          <ns0:t>发动时</ns0:t>
        </ns0:is>
      </ns0:c>
      <ns0:c r="I135" s="15" t="inlineStr">
        <ns0:is>
          <ns0:t>自身</ns0:t>
        </ns0:is>
      </ns0:c>
      <ns0:c r="J135" s="15" t="inlineStr">
        <ns0:is>
          <ns0:t>ARTIFACT</ns0:t>
        </ns0:is>
      </ns0:c>
      <ns0:c r="K135" s="15" t="inlineStr">
        <ns0:is>
          <ns0:t>无攻击</ns0:t>
        </ns0:is>
      </ns0:c>
      <ns0:c r="L135" s="15" t="inlineStr">
        <ns0:is>
          <ns0:t>无属性</ns0:t>
        </ns0:is>
      </ns0:c>
      <ns0:c r="M135" s="15" t="inlineStr">
        <ns0:is>
          <ns0:t>01 M06 B01/B02/B03；M07</ns0:t>
        </ns0:is>
      </ns0:c>
      <ns0:c r="N135" s="15" t="inlineStr">
        <ns0:is>
          <ns0:t>2/3向下取整；</ns0:t>
        </ns0:is>
      </ns0:c>
      <ns0:c r="O135" s="15" t="inlineStr">
        <ns0:is>
          <ns0:t>候选设计记录；未注册游戏Effect</ns0:t>
        </ns0:is>
      </ns0:c>
    </ns0:row>
    <ns0:row r="136" ht="40" customHeight="1">
      <ns0:c r="A136" s="4" t="inlineStr">
        <ns0:is>
          <ns0:t>t01.asset.0085.effect.01</ns0:t>
        </ns0:is>
      </ns0:c>
      <ns0:c r="B136" s="4" t="inlineStr">
        <ns0:is>
          <ns0:t>t01.asset.0085</ns0:t>
        </ns0:is>
      </ns0:c>
      <ns0:c r="C136" s="4" t="inlineStr">
        <ns0:is>
          <ns0:t>F03</ns0:t>
        </ns0:is>
      </ns0:c>
      <ns0:c r="D136" s="4" t="inlineStr">
        <ns0:is>
          <ns0:t>聚元环</ns0:t>
        </ns0:is>
      </ns0:c>
      <ns0:c r="E136" s="4" t="inlineStr">
        <ns0:is>
          <ns0:t>恢复灵力</ns0:t>
        </ns0:is>
      </ns0:c>
      <ns0:c r="F136" s="4" t="n">
        <ns0:v>13</ns0:v>
      </ns0:c>
      <ns0:c r="G136" s="4" t="inlineStr"/>
      <ns0:c r="H136" s="4" t="inlineStr">
        <ns0:is>
          <ns0:t>发动时</ns0:t>
        </ns0:is>
      </ns0:c>
      <ns0:c r="I136" s="4" t="inlineStr">
        <ns0:is>
          <ns0:t>自身</ns0:t>
        </ns0:is>
      </ns0:c>
      <ns0:c r="J136" s="4" t="inlineStr">
        <ns0:is>
          <ns0:t>ARTIFACT</ns0:t>
        </ns0:is>
      </ns0:c>
      <ns0:c r="K136" s="4" t="inlineStr">
        <ns0:is>
          <ns0:t>无攻击</ns0:t>
        </ns0:is>
      </ns0:c>
      <ns0:c r="L136" s="4" t="inlineStr">
        <ns0:is>
          <ns0:t>无属性</ns0:t>
        </ns0:is>
      </ns0:c>
      <ns0:c r="M136" s="4" t="inlineStr">
        <ns0:is>
          <ns0:t>01 M06 B01/B02/B03；M07</ns0:t>
        </ns0:is>
      </ns0:c>
      <ns0:c r="N136" s="4" t="inlineStr">
        <ns0:is>
          <ns0:t>2/3向下取整；</ns0:t>
        </ns0:is>
      </ns0:c>
      <ns0:c r="O136" s="4" t="inlineStr">
        <ns0:is>
          <ns0:t>候选设计记录；未注册游戏Effect</ns0:t>
        </ns0:is>
      </ns0:c>
    </ns0:row>
    <ns0:row r="137" ht="40" customHeight="1">
      <ns0:c r="A137" s="15" t="inlineStr">
        <ns0:is>
          <ns0:t>t01.asset.0086.effect.01</ns0:t>
        </ns0:is>
      </ns0:c>
      <ns0:c r="B137" s="15" t="inlineStr">
        <ns0:is>
          <ns0:t>t01.asset.0086</ns0:t>
        </ns0:is>
      </ns0:c>
      <ns0:c r="C137" s="15" t="inlineStr">
        <ns0:is>
          <ns0:t>F04</ns0:t>
        </ns0:is>
      </ns0:c>
      <ns0:c r="D137" s="15" t="inlineStr">
        <ns0:is>
          <ns0:t>调息玉</ns0:t>
        </ns0:is>
      </ns0:c>
      <ns0:c r="E137" s="15" t="inlineStr">
        <ns0:is>
          <ns0:t>恢复气血</ns0:t>
        </ns0:is>
      </ns0:c>
      <ns0:c r="F137" s="15" t="n">
        <ns0:v>7</ns0:v>
      </ns0:c>
      <ns0:c r="G137" s="15" t="inlineStr"/>
      <ns0:c r="H137" s="15" t="inlineStr">
        <ns0:is>
          <ns0:t>发动时</ns0:t>
        </ns0:is>
      </ns0:c>
      <ns0:c r="I137" s="15" t="inlineStr">
        <ns0:is>
          <ns0:t>自身</ns0:t>
        </ns0:is>
      </ns0:c>
      <ns0:c r="J137" s="15" t="inlineStr">
        <ns0:is>
          <ns0:t>ARTIFACT</ns0:t>
        </ns0:is>
      </ns0:c>
      <ns0:c r="K137" s="15" t="inlineStr">
        <ns0:is>
          <ns0:t>无攻击</ns0:t>
        </ns0:is>
      </ns0:c>
      <ns0:c r="L137" s="15" t="inlineStr">
        <ns0:is>
          <ns0:t>无属性</ns0:t>
        </ns0:is>
      </ns0:c>
      <ns0:c r="M137" s="15" t="inlineStr">
        <ns0:is>
          <ns0:t>01 M06 B01/B02/B03；M07</ns0:t>
        </ns0:is>
      </ns0:c>
      <ns0:c r="N137" s="15" t="inlineStr">
        <ns0:is>
          <ns0:t>2/3向下取整；</ns0:t>
        </ns0:is>
      </ns0:c>
      <ns0:c r="O137" s="15" t="inlineStr">
        <ns0:is>
          <ns0:t>候选设计记录；未注册游戏Effect</ns0:t>
        </ns0:is>
      </ns0:c>
    </ns0:row>
    <ns0:row r="138" ht="40" customHeight="1">
      <ns0:c r="A138" s="4" t="inlineStr">
        <ns0:is>
          <ns0:t>t01.asset.0086.effect.02</ns0:t>
        </ns0:is>
      </ns0:c>
      <ns0:c r="B138" s="4" t="inlineStr">
        <ns0:is>
          <ns0:t>t01.asset.0086</ns0:t>
        </ns0:is>
      </ns0:c>
      <ns0:c r="C138" s="4" t="inlineStr">
        <ns0:is>
          <ns0:t>F04</ns0:t>
        </ns0:is>
      </ns0:c>
      <ns0:c r="D138" s="4" t="inlineStr">
        <ns0:is>
          <ns0:t>调息玉</ns0:t>
        </ns0:is>
      </ns0:c>
      <ns0:c r="E138" s="4" t="inlineStr">
        <ns0:is>
          <ns0:t>恢复灵力</ns0:t>
        </ns0:is>
      </ns0:c>
      <ns0:c r="F138" s="4" t="n">
        <ns0:v>10</ns0:v>
      </ns0:c>
      <ns0:c r="G138" s="4" t="inlineStr"/>
      <ns0:c r="H138" s="4" t="inlineStr">
        <ns0:is>
          <ns0:t>发动时</ns0:t>
        </ns0:is>
      </ns0:c>
      <ns0:c r="I138" s="4" t="inlineStr">
        <ns0:is>
          <ns0:t>自身</ns0:t>
        </ns0:is>
      </ns0:c>
      <ns0:c r="J138" s="4" t="inlineStr">
        <ns0:is>
          <ns0:t>ARTIFACT</ns0:t>
        </ns0:is>
      </ns0:c>
      <ns0:c r="K138" s="4" t="inlineStr">
        <ns0:is>
          <ns0:t>无攻击</ns0:t>
        </ns0:is>
      </ns0:c>
      <ns0:c r="L138" s="4" t="inlineStr">
        <ns0:is>
          <ns0:t>无属性</ns0:t>
        </ns0:is>
      </ns0:c>
      <ns0:c r="M138" s="4" t="inlineStr">
        <ns0:is>
          <ns0:t>01 M06 B01/B02/B03；M07</ns0:t>
        </ns0:is>
      </ns0:c>
      <ns0:c r="N138" s="4" t="inlineStr">
        <ns0:is>
          <ns0:t>2/3向下取整；</ns0:t>
        </ns0:is>
      </ns0:c>
      <ns0:c r="O138" s="4" t="inlineStr">
        <ns0:is>
          <ns0:t>候选设计记录；未注册游戏Effect</ns0:t>
        </ns0:is>
      </ns0:c>
    </ns0:row>
    <ns0:row r="139" ht="40" customHeight="1">
      <ns0:c r="A139" s="15" t="inlineStr">
        <ns0:is>
          <ns0:t>t01.asset.0087.effect.01</ns0:t>
        </ns0:is>
      </ns0:c>
      <ns0:c r="B139" s="15" t="inlineStr">
        <ns0:is>
          <ns0:t>t01.asset.0087</ns0:t>
        </ns0:is>
      </ns0:c>
      <ns0:c r="C139" s="15" t="inlineStr">
        <ns0:is>
          <ns0:t>F05</ns0:t>
        </ns0:is>
      </ns0:c>
      <ns0:c r="D139" s="15" t="inlineStr">
        <ns0:is>
          <ns0:t>金光镜</ns0:t>
        </ns0:is>
      </ns0:c>
      <ns0:c r="E139" s="15" t="inlineStr">
        <ns0:is>
          <ns0:t>直接伤害</ns0:t>
        </ns0:is>
      </ns0:c>
      <ns0:c r="F139" s="15" t="n">
        <ns0:v>22</ns0:v>
      </ns0:c>
      <ns0:c r="G139" s="15" t="inlineStr"/>
      <ns0:c r="H139" s="15" t="inlineStr">
        <ns0:is>
          <ns0:t>合法发动并按命中结算</ns0:t>
        </ns0:is>
      </ns0:c>
      <ns0:c r="I139" s="15" t="inlineStr">
        <ns0:is>
          <ns0:t>敌方</ns0:t>
        </ns0:is>
      </ns0:c>
      <ns0:c r="J139" s="15" t="inlineStr">
        <ns0:is>
          <ns0:t>ARTIFACT</ns0:t>
        </ns0:is>
      </ns0:c>
      <ns0:c r="K139" s="15" t="inlineStr">
        <ns0:is>
          <ns0:t>法术型</ns0:t>
        </ns0:is>
      </ns0:c>
      <ns0:c r="L139" s="15" t="inlineStr">
        <ns0:is>
          <ns0:t>金</ns0:t>
        </ns0:is>
      </ns0:c>
      <ns0:c r="M139" s="15" t="inlineStr">
        <ns0:is>
          <ns0:t>01 M06 A01；04攻击类型</ns0:t>
        </ns0:is>
      </ns0:c>
      <ns0:c r="N139" s="15" t="inlineStr">
        <ns0:is>
          <ns0:t>单一基础伤害，不额外赠送一份元素伤害；来源身份不因SPELL攻击类型改变</ns0:t>
        </ns0:is>
      </ns0:c>
      <ns0:c r="O139" s="15" t="inlineStr">
        <ns0:is>
          <ns0:t>候选设计记录；未注册游戏Effect</ns0:t>
        </ns0:is>
      </ns0:c>
    </ns0:row>
    <ns0:row r="140" ht="40" customHeight="1">
      <ns0:c r="A140" s="4" t="inlineStr">
        <ns0:is>
          <ns0:t>t01.asset.0087.effect.02</ns0:t>
        </ns0:is>
      </ns0:c>
      <ns0:c r="B140" s="4" t="inlineStr">
        <ns0:is>
          <ns0:t>t01.asset.0087</ns0:t>
        </ns0:is>
      </ns0:c>
      <ns0:c r="C140" s="4" t="inlineStr">
        <ns0:is>
          <ns0:t>F05</ns0:t>
        </ns0:is>
      </ns0:c>
      <ns0:c r="D140" s="4" t="inlineStr">
        <ns0:is>
          <ns0:t>金光镜</ns0:t>
        </ns0:is>
      </ns0:c>
      <ns0:c r="E140" s="4" t="inlineStr">
        <ns0:is>
          <ns0:t>施加状态</ns0:t>
        </ns0:is>
      </ns0:c>
      <ns0:c r="F140" s="4" t="n">
        <ns0:v>1</ns0:v>
      </ns0:c>
      <ns0:c r="G140" s="4" t="inlineStr">
        <ns0:is>
          <ns0:t>锋痕</ns0:t>
        </ns0:is>
      </ns0:c>
      <ns0:c r="H140" s="4" t="inlineStr">
        <ns0:is>
          <ns0:t>命中</ns0:t>
        </ns0:is>
      </ns0:c>
      <ns0:c r="I140" s="4" t="inlineStr">
        <ns0:is>
          <ns0:t>敌方</ns0:t>
        </ns0:is>
      </ns0:c>
      <ns0:c r="J140" s="4" t="inlineStr">
        <ns0:is>
          <ns0:t>ARTIFACT</ns0:t>
        </ns0:is>
      </ns0:c>
      <ns0:c r="K140" s="4" t="inlineStr">
        <ns0:is>
          <ns0:t>法术型</ns0:t>
        </ns0:is>
      </ns0:c>
      <ns0:c r="L140" s="4" t="inlineStr">
        <ns0:is>
          <ns0:t>金</ns0:t>
        </ns0:is>
      </ns0:c>
      <ns0:c r="M140" s="4" t="inlineStr">
        <ns0:is>
          <ns0:t>02核心状态／OP_ADD；01 M02/M03/M07</ns0:t>
        </ns0:is>
      </ns0:c>
      <ns0:c r="N140" s="4" t="inlineStr">
        <ns0:is>
          <ns0:t>施加结果以合法应用返回值判断，不用状态池净增量；即时转盾不抹去成功施加。锋痕由合格武器攻击兑现；金光镜仍是法器来源，不因金元素或SPELL攻击类型取得武器资格。</ns0:t>
        </ns0:is>
      </ns0:c>
      <ns0:c r="O140" s="4" t="inlineStr">
        <ns0:is>
          <ns0:t>候选设计记录；未注册游戏Effect</ns0:t>
        </ns0:is>
      </ns0:c>
    </ns0:row>
    <ns0:row r="141" ht="40" customHeight="1">
      <ns0:c r="A141" s="15" t="inlineStr">
        <ns0:is>
          <ns0:t>t01.asset.0088.effect.01</ns0:t>
        </ns0:is>
      </ns0:c>
      <ns0:c r="B141" s="15" t="inlineStr">
        <ns0:is>
          <ns0:t>t01.asset.0088</ns0:t>
        </ns0:is>
      </ns0:c>
      <ns0:c r="C141" s="15" t="inlineStr">
        <ns0:is>
          <ns0:t>F06</ns0:t>
        </ns0:is>
      </ns0:c>
      <ns0:c r="D141" s="15" t="inlineStr">
        <ns0:is>
          <ns0:t>青木铃</ns0:t>
        </ns0:is>
      </ns0:c>
      <ns0:c r="E141" s="15" t="inlineStr">
        <ns0:is>
          <ns0:t>施加状态</ns0:t>
        </ns0:is>
      </ns0:c>
      <ns0:c r="F141" s="15" t="n">
        <ns0:v>3</ns0:v>
      </ns0:c>
      <ns0:c r="G141" s="15" t="inlineStr">
        <ns0:is>
          <ns0:t>生机</ns0:t>
        </ns0:is>
      </ns0:c>
      <ns0:c r="H141" s="15" t="inlineStr">
        <ns0:is>
          <ns0:t>轮转</ns0:t>
        </ns0:is>
      </ns0:c>
      <ns0:c r="I141" s="15" t="inlineStr">
        <ns0:is>
          <ns0:t>自身</ns0:t>
        </ns0:is>
      </ns0:c>
      <ns0:c r="J141" s="15" t="inlineStr">
        <ns0:is>
          <ns0:t>ARTIFACT</ns0:t>
        </ns0:is>
      </ns0:c>
      <ns0:c r="K141" s="15" t="inlineStr">
        <ns0:is>
          <ns0:t>无攻击</ns0:t>
        </ns0:is>
      </ns0:c>
      <ns0:c r="L141" s="15" t="inlineStr">
        <ns0:is>
          <ns0:t>木</ns0:t>
        </ns0:is>
      </ns0:c>
      <ns0:c r="M141" s="15" t="inlineStr">
        <ns0:is>
          <ns0:t>02核心状态／OP_ADD；01 M02/M03/M07</ns0:t>
        </ns0:is>
      </ns0:c>
      <ns0:c r="N14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41" s="15" t="inlineStr">
        <ns0:is>
          <ns0:t>候选设计记录；未注册游戏Effect</ns0:t>
        </ns0:is>
      </ns0:c>
    </ns0:row>
    <ns0:row r="142" ht="40" customHeight="1">
      <ns0:c r="A142" s="4" t="inlineStr">
        <ns0:is>
          <ns0:t>t01.asset.0089.effect.01</ns0:t>
        </ns0:is>
      </ns0:c>
      <ns0:c r="B142" s="4" t="inlineStr">
        <ns0:is>
          <ns0:t>t01.asset.0089</ns0:t>
        </ns0:is>
      </ns0:c>
      <ns0:c r="C142" s="4" t="inlineStr">
        <ns0:is>
          <ns0:t>F07</ns0:t>
        </ns0:is>
      </ns0:c>
      <ns0:c r="D142" s="4" t="inlineStr">
        <ns0:is>
          <ns0:t>寒水珠</ns0:t>
        </ns0:is>
      </ns0:c>
      <ns0:c r="E142" s="4" t="inlineStr">
        <ns0:is>
          <ns0:t>直接伤害</ns0:t>
        </ns0:is>
      </ns0:c>
      <ns0:c r="F142" s="4" t="n">
        <ns0:v>23</ns0:v>
      </ns0:c>
      <ns0:c r="G142" s="4" t="inlineStr"/>
      <ns0:c r="H142" s="4" t="inlineStr">
        <ns0:is>
          <ns0:t>合法发动并按命中结算</ns0:t>
        </ns0:is>
      </ns0:c>
      <ns0:c r="I142" s="4" t="inlineStr">
        <ns0:is>
          <ns0:t>敌方</ns0:t>
        </ns0:is>
      </ns0:c>
      <ns0:c r="J142" s="4" t="inlineStr">
        <ns0:is>
          <ns0:t>ARTIFACT</ns0:t>
        </ns0:is>
      </ns0:c>
      <ns0:c r="K142" s="4" t="inlineStr">
        <ns0:is>
          <ns0:t>法术型</ns0:t>
        </ns0:is>
      </ns0:c>
      <ns0:c r="L142" s="4" t="inlineStr">
        <ns0:is>
          <ns0:t>水</ns0:t>
        </ns0:is>
      </ns0:c>
      <ns0:c r="M142" s="4" t="inlineStr">
        <ns0:is>
          <ns0:t>01 M06 A01；04攻击类型</ns0:t>
        </ns0:is>
      </ns0:c>
      <ns0:c r="N142" s="4" t="inlineStr">
        <ns0:is>
          <ns0:t>单一基础伤害，不额外赠送一份元素伤害；来源身份不因SPELL攻击类型改变</ns0:t>
        </ns0:is>
      </ns0:c>
      <ns0:c r="O142" s="4" t="inlineStr">
        <ns0:is>
          <ns0:t>候选设计记录；未注册游戏Effect</ns0:t>
        </ns0:is>
      </ns0:c>
    </ns0:row>
    <ns0:row r="143" ht="40" customHeight="1">
      <ns0:c r="A143" s="15" t="inlineStr">
        <ns0:is>
          <ns0:t>t01.asset.0089.effect.02</ns0:t>
        </ns0:is>
      </ns0:c>
      <ns0:c r="B143" s="15" t="inlineStr">
        <ns0:is>
          <ns0:t>t01.asset.0089</ns0:t>
        </ns0:is>
      </ns0:c>
      <ns0:c r="C143" s="15" t="inlineStr">
        <ns0:is>
          <ns0:t>F07</ns0:t>
        </ns0:is>
      </ns0:c>
      <ns0:c r="D143" s="15" t="inlineStr">
        <ns0:is>
          <ns0:t>寒水珠</ns0:t>
        </ns0:is>
      </ns0:c>
      <ns0:c r="E143" s="15" t="inlineStr">
        <ns0:is>
          <ns0:t>施加状态</ns0:t>
        </ns0:is>
      </ns0:c>
      <ns0:c r="F143" s="15" t="n">
        <ns0:v>1</ns0:v>
      </ns0:c>
      <ns0:c r="G143" s="15" t="inlineStr">
        <ns0:is>
          <ns0:t>寒霜</ns0:t>
        </ns0:is>
      </ns0:c>
      <ns0:c r="H143" s="15" t="inlineStr">
        <ns0:is>
          <ns0:t>命中</ns0:t>
        </ns0:is>
      </ns0:c>
      <ns0:c r="I143" s="15" t="inlineStr">
        <ns0:is>
          <ns0:t>敌方</ns0:t>
        </ns0:is>
      </ns0:c>
      <ns0:c r="J143" s="15" t="inlineStr">
        <ns0:is>
          <ns0:t>ARTIFACT</ns0:t>
        </ns0:is>
      </ns0:c>
      <ns0:c r="K143" s="15" t="inlineStr">
        <ns0:is>
          <ns0:t>法术型</ns0:t>
        </ns0:is>
      </ns0:c>
      <ns0:c r="L143" s="15" t="inlineStr">
        <ns0:is>
          <ns0:t>水</ns0:t>
        </ns0:is>
      </ns0:c>
      <ns0:c r="M143" s="15" t="inlineStr">
        <ns0:is>
          <ns0:t>02核心状态／OP_ADD；01 M02/M03/M07</ns0:t>
        </ns0:is>
      </ns0:c>
      <ns0:c r="N143" s="15" t="inlineStr">
        <ns0:is>
          <ns0:t>施加结果以合法应用返回值判断，不用状态池净增量；即时转盾不抹去成功施加。寒霜正常新层先施加、后由本次合格主动水攻触发；初霜专属额外层例外留后次。</ns0:t>
        </ns0:is>
      </ns0:c>
      <ns0:c r="O143" s="15" t="inlineStr">
        <ns0:is>
          <ns0:t>候选设计记录；未注册游戏Effect</ns0:t>
        </ns0:is>
      </ns0:c>
    </ns0:row>
    <ns0:row r="144" ht="40" customHeight="1">
      <ns0:c r="A144" s="4" t="inlineStr">
        <ns0:is>
          <ns0:t>t01.asset.0090.effect.01</ns0:t>
        </ns0:is>
      </ns0:c>
      <ns0:c r="B144" s="4" t="inlineStr">
        <ns0:is>
          <ns0:t>t01.asset.0090</ns0:t>
        </ns0:is>
      </ns0:c>
      <ns0:c r="C144" s="4" t="inlineStr">
        <ns0:is>
          <ns0:t>F08</ns0:t>
        </ns0:is>
      </ns0:c>
      <ns0:c r="D144" s="4" t="inlineStr">
        <ns0:is>
          <ns0:t>火灵珠</ns0:t>
        </ns0:is>
      </ns0:c>
      <ns0:c r="E144" s="4" t="inlineStr">
        <ns0:is>
          <ns0:t>施加状态</ns0:t>
        </ns0:is>
      </ns0:c>
      <ns0:c r="F144" s="4" t="n">
        <ns0:v>3</ns0:v>
      </ns0:c>
      <ns0:c r="G144" s="4" t="inlineStr">
        <ns0:is>
          <ns0:t>附炎</ns0:t>
        </ns0:is>
      </ns0:c>
      <ns0:c r="H144" s="4" t="inlineStr">
        <ns0:is>
          <ns0:t>轮转</ns0:t>
        </ns0:is>
      </ns0:c>
      <ns0:c r="I144" s="4" t="inlineStr">
        <ns0:is>
          <ns0:t>自身</ns0:t>
        </ns0:is>
      </ns0:c>
      <ns0:c r="J144" s="4" t="inlineStr">
        <ns0:is>
          <ns0:t>ARTIFACT</ns0:t>
        </ns0:is>
      </ns0:c>
      <ns0:c r="K144" s="4" t="inlineStr">
        <ns0:is>
          <ns0:t>无攻击</ns0:t>
        </ns0:is>
      </ns0:c>
      <ns0:c r="L144" s="4" t="inlineStr">
        <ns0:is>
          <ns0:t>火</ns0:t>
        </ns0:is>
      </ns0:c>
      <ns0:c r="M144" s="4" t="inlineStr">
        <ns0:is>
          <ns0:t>02核心状态／OP_ADD；01 M02/M03/M07</ns0:t>
        </ns0:is>
      </ns0:c>
      <ns0:c r="N144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44" s="4" t="inlineStr">
        <ns0:is>
          <ns0:t>候选设计记录；未注册游戏Effect</ns0:t>
        </ns0:is>
      </ns0:c>
    </ns0:row>
    <ns0:row r="145" ht="40" customHeight="1">
      <ns0:c r="A145" s="15" t="inlineStr">
        <ns0:is>
          <ns0:t>t01.asset.0091.effect.01</ns0:t>
        </ns0:is>
      </ns0:c>
      <ns0:c r="B145" s="15" t="inlineStr">
        <ns0:is>
          <ns0:t>t01.asset.0091</ns0:t>
        </ns0:is>
      </ns0:c>
      <ns0:c r="C145" s="15" t="inlineStr">
        <ns0:is>
          <ns0:t>F09</ns0:t>
        </ns0:is>
      </ns0:c>
      <ns0:c r="D145" s="15" t="inlineStr">
        <ns0:is>
          <ns0:t>坤土珠</ns0:t>
        </ns0:is>
      </ns0:c>
      <ns0:c r="E145" s="15" t="inlineStr">
        <ns0:is>
          <ns0:t>施加状态</ns0:t>
        </ns0:is>
      </ns0:c>
      <ns0:c r="F145" s="15" t="n">
        <ns0:v>3</ns0:v>
      </ns0:c>
      <ns0:c r="G145" s="15" t="inlineStr">
        <ns0:is>
          <ns0:t>坚韧</ns0:t>
        </ns0:is>
      </ns0:c>
      <ns0:c r="H145" s="15" t="inlineStr">
        <ns0:is>
          <ns0:t>轮转</ns0:t>
        </ns0:is>
      </ns0:c>
      <ns0:c r="I145" s="15" t="inlineStr">
        <ns0:is>
          <ns0:t>自身</ns0:t>
        </ns0:is>
      </ns0:c>
      <ns0:c r="J145" s="15" t="inlineStr">
        <ns0:is>
          <ns0:t>ARTIFACT</ns0:t>
        </ns0:is>
      </ns0:c>
      <ns0:c r="K145" s="15" t="inlineStr">
        <ns0:is>
          <ns0:t>无攻击</ns0:t>
        </ns0:is>
      </ns0:c>
      <ns0:c r="L145" s="15" t="inlineStr">
        <ns0:is>
          <ns0:t>土</ns0:t>
        </ns0:is>
      </ns0:c>
      <ns0:c r="M145" s="15" t="inlineStr">
        <ns0:is>
          <ns0:t>02核心状态／OP_ADD；01 M02/M03/M07</ns0:t>
        </ns0:is>
      </ns0:c>
      <ns0:c r="N14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45" s="15" t="inlineStr">
        <ns0:is>
          <ns0:t>候选设计记录；未注册游戏Effect</ns0:t>
        </ns0:is>
      </ns0:c>
    </ns0:row>
    <ns0:row r="146" ht="40" customHeight="1">
      <ns0:c r="A146" s="4" t="inlineStr">
        <ns0:is>
          <ns0:t>t01.asset.0092.effect.01</ns0:t>
        </ns0:is>
      </ns0:c>
      <ns0:c r="B146" s="4" t="inlineStr">
        <ns0:is>
          <ns0:t>t01.asset.0092</ns0:t>
        </ns0:is>
      </ns0:c>
      <ns0:c r="C146" s="4" t="inlineStr">
        <ns0:is>
          <ns0:t>F10</ns0:t>
        </ns0:is>
      </ns0:c>
      <ns0:c r="D146" s="4" t="inlineStr">
        <ns0:is>
          <ns0:t>逐风旗</ns0:t>
        </ns0:is>
      </ns0:c>
      <ns0:c r="E146" s="4" t="inlineStr">
        <ns0:is>
          <ns0:t>施加状态</ns0:t>
        </ns0:is>
      </ns0:c>
      <ns0:c r="F146" s="4" t="n">
        <ns0:v>4</ns0:v>
      </ns0:c>
      <ns0:c r="G146" s="4" t="inlineStr">
        <ns0:is>
          <ns0:t>失衡</ns0:t>
        </ns0:is>
      </ns0:c>
      <ns0:c r="H146" s="4" t="inlineStr">
        <ns0:is>
          <ns0:t>轮转</ns0:t>
        </ns0:is>
      </ns0:c>
      <ns0:c r="I146" s="4" t="inlineStr">
        <ns0:is>
          <ns0:t>敌方</ns0:t>
        </ns0:is>
      </ns0:c>
      <ns0:c r="J146" s="4" t="inlineStr">
        <ns0:is>
          <ns0:t>ARTIFACT</ns0:t>
        </ns0:is>
      </ns0:c>
      <ns0:c r="K146" s="4" t="inlineStr">
        <ns0:is>
          <ns0:t>无攻击</ns0:t>
        </ns0:is>
      </ns0:c>
      <ns0:c r="L146" s="4" t="inlineStr">
        <ns0:is>
          <ns0:t>风</ns0:t>
        </ns0:is>
      </ns0:c>
      <ns0:c r="M146" s="4" t="inlineStr">
        <ns0:is>
          <ns0:t>02核心状态／OP_ADD；01 M02/M03/M07</ns0:t>
        </ns0:is>
      </ns0:c>
      <ns0:c r="N146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46" s="4" t="inlineStr">
        <ns0:is>
          <ns0:t>候选设计记录；未注册游戏Effect</ns0:t>
        </ns0:is>
      </ns0:c>
    </ns0:row>
    <ns0:row r="147" ht="40" customHeight="1">
      <ns0:c r="A147" s="15" t="inlineStr">
        <ns0:is>
          <ns0:t>t01.asset.0093.effect.01</ns0:t>
        </ns0:is>
      </ns0:c>
      <ns0:c r="B147" s="15" t="inlineStr">
        <ns0:is>
          <ns0:t>t01.asset.0093</ns0:t>
        </ns0:is>
      </ns0:c>
      <ns0:c r="C147" s="15" t="inlineStr">
        <ns0:is>
          <ns0:t>F11</ns0:t>
        </ns0:is>
      </ns0:c>
      <ns0:c r="D147" s="15" t="inlineStr">
        <ns0:is>
          <ns0:t>引雷珠</ns0:t>
        </ns0:is>
      </ns0:c>
      <ns0:c r="E147" s="15" t="inlineStr">
        <ns0:is>
          <ns0:t>施加状态</ns0:t>
        </ns0:is>
      </ns0:c>
      <ns0:c r="F147" s="15" t="n">
        <ns0:v>4</ns0:v>
      </ns0:c>
      <ns0:c r="G147" s="15" t="inlineStr">
        <ns0:is>
          <ns0:t>雷印</ns0:t>
        </ns0:is>
      </ns0:c>
      <ns0:c r="H147" s="15" t="inlineStr">
        <ns0:is>
          <ns0:t>轮转</ns0:t>
        </ns0:is>
      </ns0:c>
      <ns0:c r="I147" s="15" t="inlineStr">
        <ns0:is>
          <ns0:t>敌方</ns0:t>
        </ns0:is>
      </ns0:c>
      <ns0:c r="J147" s="15" t="inlineStr">
        <ns0:is>
          <ns0:t>ARTIFACT</ns0:t>
        </ns0:is>
      </ns0:c>
      <ns0:c r="K147" s="15" t="inlineStr">
        <ns0:is>
          <ns0:t>无攻击</ns0:t>
        </ns0:is>
      </ns0:c>
      <ns0:c r="L147" s="15" t="inlineStr">
        <ns0:is>
          <ns0:t>雷</ns0:t>
        </ns0:is>
      </ns0:c>
      <ns0:c r="M147" s="15" t="inlineStr">
        <ns0:is>
          <ns0:t>02核心状态／OP_ADD；01 M02/M03/M07</ns0:t>
        </ns0:is>
      </ns0:c>
      <ns0:c r="N147" s="15" t="inlineStr">
        <ns0:is>
          <ns0:t>施加结果以合法应用返回值判断，不用状态池净增量；即时转盾不抹去成功施加。雷印新层在本击伤后加入，供后续合格雷攻；无本体雷攻击的施层器具不直接引雷。</ns0:t>
        </ns0:is>
      </ns0:c>
      <ns0:c r="O147" s="15" t="inlineStr">
        <ns0:is>
          <ns0:t>候选设计记录；未注册游戏Effect</ns0:t>
        </ns0:is>
      </ns0:c>
    </ns0:row>
    <ns0:row r="148" ht="40" customHeight="1">
      <ns0:c r="A148" s="4" t="inlineStr">
        <ns0:is>
          <ns0:t>t01.asset.0094.effect.01</ns0:t>
        </ns0:is>
      </ns0:c>
      <ns0:c r="B148" s="4" t="inlineStr">
        <ns0:is>
          <ns0:t>t01.asset.0094</ns0:t>
        </ns0:is>
      </ns0:c>
      <ns0:c r="C148" s="4" t="inlineStr">
        <ns0:is>
          <ns0:t>F12</ns0:t>
        </ns0:is>
      </ns0:c>
      <ns0:c r="D148" s="4" t="inlineStr">
        <ns0:is>
          <ns0:t>护心镜</ns0:t>
        </ns0:is>
      </ns0:c>
      <ns0:c r="E148" s="4" t="inlineStr">
        <ns0:is>
          <ns0:t>护甲上限贡献</ns0:t>
        </ns0:is>
      </ns0:c>
      <ns0:c r="F148" s="4" t="n">
        <ns0:v>10</ns0:v>
      </ns0:c>
      <ns0:c r="G148" s="4" t="inlineStr"/>
      <ns0:c r="H148" s="4" t="inlineStr">
        <ns0:is>
          <ns0:t>上阵静态贡献</ns0:t>
        </ns0:is>
      </ns0:c>
      <ns0:c r="I148" s="4" t="inlineStr">
        <ns0:is>
          <ns0:t>自身</ns0:t>
        </ns0:is>
      </ns0:c>
      <ns0:c r="J148" s="4" t="inlineStr">
        <ns0:is>
          <ns0:t>ARTIFACT</ns0:t>
        </ns0:is>
      </ns0:c>
      <ns0:c r="K148" s="4" t="inlineStr">
        <ns0:is>
          <ns0:t>无攻击</ns0:t>
        </ns0:is>
      </ns0:c>
      <ns0:c r="L148" s="4" t="inlineStr">
        <ns0:is>
          <ns0:t>无属性</ns0:t>
        </ns0:is>
      </ns0:c>
      <ns0:c r="M148" s="4" t="inlineStr">
        <ns0:is>
          <ns0:t>01 M06 I11；04防具</ns0:t>
        </ns0:is>
      </ns0:c>
      <ns0:c r="N148" s="4" t="inlineStr">
        <ns0:is>
          <ns0:t>只加上限，不立即回满；法器不参加甲型或防御元素投票</ns0:t>
        </ns0:is>
      </ns0:c>
      <ns0:c r="O148" s="4" t="inlineStr">
        <ns0:is>
          <ns0:t>候选设计记录；未注册游戏Effect</ns0:t>
        </ns0:is>
      </ns0:c>
    </ns0:row>
    <ns0:row r="149" ht="40" customHeight="1">
      <ns0:c r="A149" s="15" t="inlineStr">
        <ns0:is>
          <ns0:t>t01.asset.0095.effect.01</ns0:t>
        </ns0:is>
      </ns0:c>
      <ns0:c r="B149" s="15" t="inlineStr">
        <ns0:is>
          <ns0:t>t01.asset.0095</ns0:t>
        </ns0:is>
      </ns0:c>
      <ns0:c r="C149" s="15" t="inlineStr">
        <ns0:is>
          <ns0:t>F13</ns0:t>
        </ns0:is>
      </ns0:c>
      <ns0:c r="D149" s="15" t="inlineStr">
        <ns0:is>
          <ns0:t>复甲环</ns0:t>
        </ns0:is>
      </ns0:c>
      <ns0:c r="E149" s="15" t="inlineStr">
        <ns0:is>
          <ns0:t>恢复当前护甲</ns0:t>
        </ns0:is>
      </ns0:c>
      <ns0:c r="F149" s="15" t="n">
        <ns0:v>7</ns0:v>
      </ns0:c>
      <ns0:c r="G149" s="15" t="inlineStr"/>
      <ns0:c r="H149" s="15" t="inlineStr">
        <ns0:is>
          <ns0:t>自身轮转CD合法发动</ns0:t>
        </ns0:is>
      </ns0:c>
      <ns0:c r="I149" s="15" t="inlineStr">
        <ns0:is>
          <ns0:t>自身</ns0:t>
        </ns0:is>
      </ns0:c>
      <ns0:c r="J149" s="15" t="inlineStr">
        <ns0:is>
          <ns0:t>ARTIFACT</ns0:t>
        </ns0:is>
      </ns0:c>
      <ns0:c r="K149" s="15" t="inlineStr">
        <ns0:is>
          <ns0:t>无攻击</ns0:t>
        </ns0:is>
      </ns0:c>
      <ns0:c r="L149" s="15" t="inlineStr">
        <ns0:is>
          <ns0:t>无属性</ns0:t>
        </ns0:is>
      </ns0:c>
      <ns0:c r="M149" s="15" t="inlineStr">
        <ns0:is>
          <ns0:t>01 M06 C01</ns0:t>
        </ns0:is>
      </ns0:c>
      <ns0:c r="N149" s="15" t="inlineStr">
        <ns0:is>
          <ns0:t>不增加上限；与受击Buff独立计时</ns0:t>
        </ns0:is>
      </ns0:c>
      <ns0:c r="O149" s="15" t="inlineStr">
        <ns0:is>
          <ns0:t>候选设计记录；未注册游戏Effect</ns0:t>
        </ns0:is>
      </ns0:c>
    </ns0:row>
    <ns0:row r="150" ht="85" customHeight="1">
      <ns0:c r="A150" s="4" t="inlineStr">
        <ns0:is>
          <ns0:t>t01.asset.0096.effect.01</ns0:t>
        </ns0:is>
      </ns0:c>
      <ns0:c r="B150" s="4" t="inlineStr">
        <ns0:is>
          <ns0:t>t01.asset.0096</ns0:t>
        </ns0:is>
      </ns0:c>
      <ns0:c r="C150" s="4" t="inlineStr">
        <ns0:is>
          <ns0:t>F14</ns0:t>
        </ns0:is>
      </ns0:c>
      <ns0:c r="D150" s="4" t="inlineStr">
        <ns0:is>
          <ns0:t>灵障珠</ns0:t>
        </ns0:is>
      </ns0:c>
      <ns0:c r="E150" s="4" t="inlineStr">
        <ns0:is>
          <ns0:t>生成普通灵障</ns0:t>
        </ns0:is>
      </ns0:c>
      <ns0:c r="F150" s="4" t="n">
        <ns0:v>15</ns0:v>
      </ns0:c>
      <ns0:c r="G150" s="4" t="inlineStr"/>
      <ns0:c r="H150" s="4" t="inlineStr">
        <ns0:is>
          <ns0:t>轮转CD合法发动</ns0:t>
        </ns0:is>
      </ns0:c>
      <ns0:c r="I150" s="4" t="inlineStr">
        <ns0:is>
          <ns0:t>自身</ns0:t>
        </ns0:is>
      </ns0:c>
      <ns0:c r="J150" s="4" t="inlineStr">
        <ns0:is>
          <ns0:t>ARTIFACT</ns0:t>
        </ns0:is>
      </ns0:c>
      <ns0:c r="K150" s="4" t="inlineStr">
        <ns0:is>
          <ns0:t>无攻击</ns0:t>
        </ns0:is>
      </ns0:c>
      <ns0:c r="L150" s="4" t="inlineStr">
        <ns0:is>
          <ns0:t>无属性</ns0:t>
        </ns0:is>
      </ns0:c>
      <ns0:c r="M150" s="4" t="inlineStr">
        <ns0:is>
          <ns0:t>01 M06 C04；19表灵障模板</ns0:t>
        </ns0:is>
      </ns0:c>
      <ns0:c r="N150" s="4" t="inlineStr">
        <ns0:is>
          <ns0:t>CD10.5秒／灵力6；再次生成加进现有普通灵障池，实际增加不超过当前容量缺口；容量足够时10＋15＝25，溢出不存入。；战内不自然到期、不随时间衰减；剩余值保留到被消耗或战斗结束，战后清空。；F14灵障珠满上限仍正常发动，消耗6灵力并重开10.5秒CD，实际增加0；未满时实际增加min(15,容量缺口)，费用仍6。仍检查控制、资源等正常发动资格；费用不足不能发动。此空转支付是F14的已定策略，不自动推广其他资产。</ns0:t>
        </ns0:is>
      </ns0:c>
      <ns0:c r="O150" s="4" t="inlineStr">
        <ns0:is>
          <ns0:t>候选设计记录；未注册游戏Effect</ns0:t>
        </ns0:is>
      </ns0:c>
    </ns0:row>
    <ns0:row r="151" ht="40" customHeight="1">
      <ns0:c r="A151" s="15" t="inlineStr">
        <ns0:is>
          <ns0:t>t01.asset.0097.effect.01</ns0:t>
        </ns0:is>
      </ns0:c>
      <ns0:c r="B151" s="15" t="inlineStr">
        <ns0:is>
          <ns0:t>t01.asset.0097</ns0:t>
        </ns0:is>
      </ns0:c>
      <ns0:c r="C151" s="15" t="inlineStr">
        <ns0:is>
          <ns0:t>F15</ns0:t>
        </ns0:is>
      </ns0:c>
      <ns0:c r="D151" s="15" t="inlineStr">
        <ns0:is>
          <ns0:t>枯脉瓶</ns0:t>
        </ns0:is>
      </ns0:c>
      <ns0:c r="E151" s="15" t="inlineStr">
        <ns0:is>
          <ns0:t>施加状态</ns0:t>
        </ns0:is>
      </ns0:c>
      <ns0:c r="F151" s="15" t="n">
        <ns0:v>3</ns0:v>
      </ns0:c>
      <ns0:c r="G151" s="15" t="inlineStr">
        <ns0:is>
          <ns0:t>枯脉</ns0:t>
        </ns0:is>
      </ns0:c>
      <ns0:c r="H151" s="15" t="inlineStr">
        <ns0:is>
          <ns0:t>轮转</ns0:t>
        </ns0:is>
      </ns0:c>
      <ns0:c r="I151" s="15" t="inlineStr">
        <ns0:is>
          <ns0:t>敌方</ns0:t>
        </ns0:is>
      </ns0:c>
      <ns0:c r="J151" s="15" t="inlineStr">
        <ns0:is>
          <ns0:t>ARTIFACT</ns0:t>
        </ns0:is>
      </ns0:c>
      <ns0:c r="K151" s="15" t="inlineStr">
        <ns0:is>
          <ns0:t>无攻击</ns0:t>
        </ns0:is>
      </ns0:c>
      <ns0:c r="L151" s="15" t="inlineStr">
        <ns0:is>
          <ns0:t>水</ns0:t>
        </ns0:is>
      </ns0:c>
      <ns0:c r="M151" s="15" t="inlineStr">
        <ns0:is>
          <ns0:t>02核心状态／OP_ADD；01 M02/M03/M07</ns0:t>
        </ns0:is>
      </ns0:c>
      <ns0:c r="N15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51" s="15" t="inlineStr">
        <ns0:is>
          <ns0:t>候选设计记录；未注册游戏Effect</ns0:t>
        </ns0:is>
      </ns0:c>
    </ns0:row>
    <ns0:row r="152" ht="40" customHeight="1">
      <ns0:c r="A152" s="4" t="inlineStr">
        <ns0:is>
          <ns0:t>t01.asset.0098.effect.01</ns0:t>
        </ns0:is>
      </ns0:c>
      <ns0:c r="B152" s="4" t="inlineStr">
        <ns0:is>
          <ns0:t>t01.asset.0098</ns0:t>
        </ns0:is>
      </ns0:c>
      <ns0:c r="C152" s="4" t="inlineStr">
        <ns0:is>
          <ns0:t>F16</ns0:t>
        </ns0:is>
      </ns0:c>
      <ns0:c r="D152" s="4" t="inlineStr">
        <ns0:is>
          <ns0:t>清风拂</ns0:t>
        </ns0:is>
      </ns0:c>
      <ns0:c r="E152" s="4" t="inlineStr">
        <ns0:is>
          <ns0:t>施加状态</ns0:t>
        </ns0:is>
      </ns0:c>
      <ns0:c r="F152" s="4" t="n">
        <ns0:v>2</ns0:v>
      </ns0:c>
      <ns0:c r="G152" s="4" t="inlineStr">
        <ns0:is>
          <ns0:t>驱散</ns0:t>
        </ns0:is>
      </ns0:c>
      <ns0:c r="H152" s="4" t="inlineStr">
        <ns0:is>
          <ns0:t>轮转</ns0:t>
        </ns0:is>
      </ns0:c>
      <ns0:c r="I152" s="4" t="inlineStr">
        <ns0:is>
          <ns0:t>敌方</ns0:t>
        </ns0:is>
      </ns0:c>
      <ns0:c r="J152" s="4" t="inlineStr">
        <ns0:is>
          <ns0:t>ARTIFACT</ns0:t>
        </ns0:is>
      </ns0:c>
      <ns0:c r="K152" s="4" t="inlineStr">
        <ns0:is>
          <ns0:t>无攻击</ns0:t>
        </ns0:is>
      </ns0:c>
      <ns0:c r="L152" s="4" t="inlineStr">
        <ns0:is>
          <ns0:t>风</ns0:t>
        </ns0:is>
      </ns0:c>
      <ns0:c r="M152" s="4" t="inlineStr">
        <ns0:is>
          <ns0:t>02核心状态／OP_ADD；01 M02/M03/M07</ns0:t>
        </ns0:is>
      </ns0:c>
      <ns0:c r="N15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52" s="4" t="inlineStr">
        <ns0:is>
          <ns0:t>候选设计记录；未注册游戏Effect</ns0:t>
        </ns0:is>
      </ns0:c>
    </ns0:row>
    <ns0:row r="153" ht="40" customHeight="1">
      <ns0:c r="A153" s="15" t="inlineStr">
        <ns0:is>
          <ns0:t>t01.asset.0099.effect.01</ns0:t>
        </ns0:is>
      </ns0:c>
      <ns0:c r="B153" s="15" t="inlineStr">
        <ns0:is>
          <ns0:t>t01.asset.0099</ns0:t>
        </ns0:is>
      </ns0:c>
      <ns0:c r="C153" s="15" t="inlineStr">
        <ns0:is>
          <ns0:t>F17</ns0:t>
        </ns0:is>
      </ns0:c>
      <ns0:c r="D153" s="15" t="inlineStr">
        <ns0:is>
          <ns0:t>锁雷环</ns0:t>
        </ns0:is>
      </ns0:c>
      <ns0:c r="E153" s="15" t="inlineStr">
        <ns0:is>
          <ns0:t>施加状态</ns0:t>
        </ns0:is>
      </ns0:c>
      <ns0:c r="F153" s="15" t="n">
        <ns0:v>2</ns0:v>
      </ns0:c>
      <ns0:c r="G153" s="15" t="inlineStr">
        <ns0:is>
          <ns0:t>连环</ns0:t>
        </ns0:is>
      </ns0:c>
      <ns0:c r="H153" s="15" t="inlineStr">
        <ns0:is>
          <ns0:t>轮转</ns0:t>
        </ns0:is>
      </ns0:c>
      <ns0:c r="I153" s="15" t="inlineStr">
        <ns0:is>
          <ns0:t>敌方</ns0:t>
        </ns0:is>
      </ns0:c>
      <ns0:c r="J153" s="15" t="inlineStr">
        <ns0:is>
          <ns0:t>ARTIFACT</ns0:t>
        </ns0:is>
      </ns0:c>
      <ns0:c r="K153" s="15" t="inlineStr">
        <ns0:is>
          <ns0:t>无攻击</ns0:t>
        </ns0:is>
      </ns0:c>
      <ns0:c r="L153" s="15" t="inlineStr">
        <ns0:is>
          <ns0:t>雷</ns0:t>
        </ns0:is>
      </ns0:c>
      <ns0:c r="M153" s="15" t="inlineStr">
        <ns0:is>
          <ns0:t>02核心状态／OP_ADD；01 M02/M03/M07</ns0:t>
        </ns0:is>
      </ns0:c>
      <ns0:c r="N153" s="15" t="inlineStr">
        <ns0:is>
          <ns0:t>施加结果以合法应用返回值判断，不用状态池净增量；即时转盾不抹去成功施加。连环供后续合格雷攻击利用；锁雷环无本体攻击，不直接制造雷击或闪电。</ns0:t>
        </ns0:is>
      </ns0:c>
      <ns0:c r="O153" s="15" t="inlineStr">
        <ns0:is>
          <ns0:t>候选设计记录；未注册游戏Effect</ns0:t>
        </ns0:is>
      </ns0:c>
    </ns0:row>
    <ns0:row r="154" ht="40" customHeight="1">
      <ns0:c r="A154" s="4" t="inlineStr">
        <ns0:is>
          <ns0:t>t01.asset.0100.effect.01</ns0:t>
        </ns0:is>
      </ns0:c>
      <ns0:c r="B154" s="4" t="inlineStr">
        <ns0:is>
          <ns0:t>t01.asset.0100</ns0:t>
        </ns0:is>
      </ns0:c>
      <ns0:c r="C154" s="4" t="inlineStr">
        <ns0:is>
          <ns0:t>F18</ns0:t>
        </ns0:is>
      </ns0:c>
      <ns0:c r="D154" s="4" t="inlineStr">
        <ns0:is>
          <ns0:t>蕴雷铃</ns0:t>
        </ns0:is>
      </ns0:c>
      <ns0:c r="E154" s="4" t="inlineStr">
        <ns0:is>
          <ns0:t>施加状态</ns0:t>
        </ns0:is>
      </ns0:c>
      <ns0:c r="F154" s="4" t="n">
        <ns0:v>3</ns0:v>
      </ns0:c>
      <ns0:c r="G154" s="4" t="inlineStr">
        <ns0:is>
          <ns0:t>雷蕴</ns0:t>
        </ns0:is>
      </ns0:c>
      <ns0:c r="H154" s="4" t="inlineStr">
        <ns0:is>
          <ns0:t>轮转</ns0:t>
        </ns0:is>
      </ns0:c>
      <ns0:c r="I154" s="4" t="inlineStr">
        <ns0:is>
          <ns0:t>自身</ns0:t>
        </ns0:is>
      </ns0:c>
      <ns0:c r="J154" s="4" t="inlineStr">
        <ns0:is>
          <ns0:t>ARTIFACT</ns0:t>
        </ns0:is>
      </ns0:c>
      <ns0:c r="K154" s="4" t="inlineStr">
        <ns0:is>
          <ns0:t>无攻击</ns0:t>
        </ns0:is>
      </ns0:c>
      <ns0:c r="L154" s="4" t="inlineStr">
        <ns0:is>
          <ns0:t>雷</ns0:t>
        </ns0:is>
      </ns0:c>
      <ns0:c r="M154" s="4" t="inlineStr">
        <ns0:is>
          <ns0:t>02核心状态／OP_ADD；01 M02/M03/M07</ns0:t>
        </ns0:is>
      </ns0:c>
      <ns0:c r="N154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54" s="4" t="inlineStr">
        <ns0:is>
          <ns0:t>候选设计记录；未注册游戏Effect</ns0:t>
        </ns0:is>
      </ns0:c>
    </ns0:row>
    <ns0:row r="155" ht="40" customHeight="1">
      <ns0:c r="A155" s="15" t="inlineStr">
        <ns0:is>
          <ns0:t>t01.asset.0101.effect.01</ns0:t>
        </ns0:is>
      </ns0:c>
      <ns0:c r="B155" s="15" t="inlineStr">
        <ns0:is>
          <ns0:t>t01.asset.0101</ns0:t>
        </ns0:is>
      </ns0:c>
      <ns0:c r="C155" s="15" t="inlineStr">
        <ns0:is>
          <ns0:t>P01</ns0:t>
        </ns0:is>
      </ns0:c>
      <ns0:c r="D155" s="15" t="inlineStr">
        <ns0:is>
          <ns0:t>回春丹</ns0:t>
        </ns0:is>
      </ns0:c>
      <ns0:c r="E155" s="15" t="inlineStr">
        <ns0:is>
          <ns0:t>恢复气血</ns0:t>
        </ns0:is>
      </ns0:c>
      <ns0:c r="F155" s="15" t="n">
        <ns0:v>7</ns0:v>
      </ns0:c>
      <ns0:c r="G155" s="15" t="inlineStr"/>
      <ns0:c r="H155" s="15" t="inlineStr">
        <ns0:is>
          <ns0:t>发动后第2/4/6秒</ns0:t>
        </ns0:is>
      </ns0:c>
      <ns0:c r="I155" s="15" t="inlineStr">
        <ns0:is>
          <ns0:t>自身</ns0:t>
        </ns0:is>
      </ns0:c>
      <ns0:c r="J155" s="15" t="inlineStr">
        <ns0:is>
          <ns0:t>PILL</ns0:t>
        </ns0:is>
      </ns0:c>
      <ns0:c r="K155" s="15" t="inlineStr">
        <ns0:is>
          <ns0:t>无攻击</ns0:t>
        </ns0:is>
      </ns0:c>
      <ns0:c r="L155" s="15" t="inlineStr">
        <ns0:is>
          <ns0:t>NONE</ns0:t>
        </ns0:is>
      </ns0:c>
      <ns0:c r="M155" s="15" t="inlineStr">
        <ns0:is>
          <ns0:t>01 M06 B01/B02/B03；M07</ns0:t>
        </ns0:is>
      </ns0:c>
      <ns0:c r="N155" s="15" t="inlineStr">
        <ns0:is>
          <ns0:t>正常资源上限；对应资源未缺不自动消耗；同款持续恢复未结束不再自动服用</ns0:t>
        </ns0:is>
      </ns0:c>
      <ns0:c r="O155" s="15" t="inlineStr">
        <ns0:is>
          <ns0:t>候选设计记录；未注册游戏Effect</ns0:t>
        </ns0:is>
      </ns0:c>
    </ns0:row>
    <ns0:row r="156" ht="40" customHeight="1">
      <ns0:c r="A156" s="4" t="inlineStr">
        <ns0:is>
          <ns0:t>t01.asset.0102.effect.01</ns0:t>
        </ns0:is>
      </ns0:c>
      <ns0:c r="B156" s="4" t="inlineStr">
        <ns0:is>
          <ns0:t>t01.asset.0102</ns0:t>
        </ns0:is>
      </ns0:c>
      <ns0:c r="C156" s="4" t="inlineStr">
        <ns0:is>
          <ns0:t>P02</ns0:t>
        </ns0:is>
      </ns0:c>
      <ns0:c r="D156" s="4" t="inlineStr">
        <ns0:is>
          <ns0:t>益气丹</ns0:t>
        </ns0:is>
      </ns0:c>
      <ns0:c r="E156" s="4" t="inlineStr">
        <ns0:is>
          <ns0:t>恢复体力</ns0:t>
        </ns0:is>
      </ns0:c>
      <ns0:c r="F156" s="4" t="n">
        <ns0:v>10</ns0:v>
      </ns0:c>
      <ns0:c r="G156" s="4" t="inlineStr"/>
      <ns0:c r="H156" s="4" t="inlineStr">
        <ns0:is>
          <ns0:t>发动后第2/4/6秒</ns0:t>
        </ns0:is>
      </ns0:c>
      <ns0:c r="I156" s="4" t="inlineStr">
        <ns0:is>
          <ns0:t>自身</ns0:t>
        </ns0:is>
      </ns0:c>
      <ns0:c r="J156" s="4" t="inlineStr">
        <ns0:is>
          <ns0:t>PILL</ns0:t>
        </ns0:is>
      </ns0:c>
      <ns0:c r="K156" s="4" t="inlineStr">
        <ns0:is>
          <ns0:t>无攻击</ns0:t>
        </ns0:is>
      </ns0:c>
      <ns0:c r="L156" s="4" t="inlineStr">
        <ns0:is>
          <ns0:t>NONE</ns0:t>
        </ns0:is>
      </ns0:c>
      <ns0:c r="M156" s="4" t="inlineStr">
        <ns0:is>
          <ns0:t>01 M06 B01/B02/B03；M07</ns0:t>
        </ns0:is>
      </ns0:c>
      <ns0:c r="N156" s="4" t="inlineStr">
        <ns0:is>
          <ns0:t>正常资源上限；对应资源未缺不自动消耗；同款持续恢复未结束不再自动服用</ns0:t>
        </ns0:is>
      </ns0:c>
      <ns0:c r="O156" s="4" t="inlineStr">
        <ns0:is>
          <ns0:t>候选设计记录；未注册游戏Effect</ns0:t>
        </ns0:is>
      </ns0:c>
    </ns0:row>
    <ns0:row r="157" ht="40" customHeight="1">
      <ns0:c r="A157" s="15" t="inlineStr">
        <ns0:is>
          <ns0:t>t01.asset.0103.effect.01</ns0:t>
        </ns0:is>
      </ns0:c>
      <ns0:c r="B157" s="15" t="inlineStr">
        <ns0:is>
          <ns0:t>t01.asset.0103</ns0:t>
        </ns0:is>
      </ns0:c>
      <ns0:c r="C157" s="15" t="inlineStr">
        <ns0:is>
          <ns0:t>P03</ns0:t>
        </ns0:is>
      </ns0:c>
      <ns0:c r="D157" s="15" t="inlineStr">
        <ns0:is>
          <ns0:t>聚灵丹</ns0:t>
        </ns0:is>
      </ns0:c>
      <ns0:c r="E157" s="15" t="inlineStr">
        <ns0:is>
          <ns0:t>恢复灵力</ns0:t>
        </ns0:is>
      </ns0:c>
      <ns0:c r="F157" s="15" t="n">
        <ns0:v>9</ns0:v>
      </ns0:c>
      <ns0:c r="G157" s="15" t="inlineStr"/>
      <ns0:c r="H157" s="15" t="inlineStr">
        <ns0:is>
          <ns0:t>发动后第2/4/6秒</ns0:t>
        </ns0:is>
      </ns0:c>
      <ns0:c r="I157" s="15" t="inlineStr">
        <ns0:is>
          <ns0:t>自身</ns0:t>
        </ns0:is>
      </ns0:c>
      <ns0:c r="J157" s="15" t="inlineStr">
        <ns0:is>
          <ns0:t>PILL</ns0:t>
        </ns0:is>
      </ns0:c>
      <ns0:c r="K157" s="15" t="inlineStr">
        <ns0:is>
          <ns0:t>无攻击</ns0:t>
        </ns0:is>
      </ns0:c>
      <ns0:c r="L157" s="15" t="inlineStr">
        <ns0:is>
          <ns0:t>NONE</ns0:t>
        </ns0:is>
      </ns0:c>
      <ns0:c r="M157" s="15" t="inlineStr">
        <ns0:is>
          <ns0:t>01 M06 B01/B02/B03；M07</ns0:t>
        </ns0:is>
      </ns0:c>
      <ns0:c r="N157" s="15" t="inlineStr">
        <ns0:is>
          <ns0:t>正常资源上限；对应资源未缺不自动消耗；同款持续恢复未结束不再自动服用</ns0:t>
        </ns0:is>
      </ns0:c>
      <ns0:c r="O157" s="15" t="inlineStr">
        <ns0:is>
          <ns0:t>候选设计记录；未注册游戏Effect</ns0:t>
        </ns0:is>
      </ns0:c>
    </ns0:row>
    <ns0:row r="158" ht="40" customHeight="1">
      <ns0:c r="A158" s="4" t="inlineStr">
        <ns0:is>
          <ns0:t>t01.asset.0104.effect.01</ns0:t>
        </ns0:is>
      </ns0:c>
      <ns0:c r="B158" s="4" t="inlineStr">
        <ns0:is>
          <ns0:t>t01.asset.0104</ns0:t>
        </ns0:is>
      </ns0:c>
      <ns0:c r="C158" s="4" t="inlineStr">
        <ns0:is>
          <ns0:t>P04</ns0:t>
        </ns0:is>
      </ns0:c>
      <ns0:c r="D158" s="4" t="inlineStr">
        <ns0:is>
          <ns0:t>培元丹</ns0:t>
        </ns0:is>
      </ns0:c>
      <ns0:c r="E158" s="4" t="inlineStr">
        <ns0:is>
          <ns0:t>恢复气血</ns0:t>
        </ns0:is>
      </ns0:c>
      <ns0:c r="F158" s="4" t="n">
        <ns0:v>12</ns0:v>
      </ns0:c>
      <ns0:c r="G158" s="4" t="inlineStr"/>
      <ns0:c r="H158" s="4" t="inlineStr">
        <ns0:is>
          <ns0:t>发动时</ns0:t>
        </ns0:is>
      </ns0:c>
      <ns0:c r="I158" s="4" t="inlineStr">
        <ns0:is>
          <ns0:t>自身</ns0:t>
        </ns0:is>
      </ns0:c>
      <ns0:c r="J158" s="4" t="inlineStr">
        <ns0:is>
          <ns0:t>PILL</ns0:t>
        </ns0:is>
      </ns0:c>
      <ns0:c r="K158" s="4" t="inlineStr">
        <ns0:is>
          <ns0:t>无攻击</ns0:t>
        </ns0:is>
      </ns0:c>
      <ns0:c r="L158" s="4" t="inlineStr">
        <ns0:is>
          <ns0:t>NONE</ns0:t>
        </ns0:is>
      </ns0:c>
      <ns0:c r="M158" s="4" t="inlineStr">
        <ns0:is>
          <ns0:t>01 M06 B01/B02/B03；M07</ns0:t>
        </ns0:is>
      </ns0:c>
      <ns0:c r="N158" s="4" t="inlineStr">
        <ns0:is>
          <ns0:t>正常资源上限；对应资源未缺不自动消耗；同款持续恢复未结束不再自动服用</ns0:t>
        </ns0:is>
      </ns0:c>
      <ns0:c r="O158" s="4" t="inlineStr">
        <ns0:is>
          <ns0:t>候选设计记录；未注册游戏Effect</ns0:t>
        </ns0:is>
      </ns0:c>
    </ns0:row>
    <ns0:row r="159" ht="40" customHeight="1">
      <ns0:c r="A159" s="15" t="inlineStr">
        <ns0:is>
          <ns0:t>t01.asset.0104.effect.02</ns0:t>
        </ns0:is>
      </ns0:c>
      <ns0:c r="B159" s="15" t="inlineStr">
        <ns0:is>
          <ns0:t>t01.asset.0104</ns0:t>
        </ns0:is>
      </ns0:c>
      <ns0:c r="C159" s="15" t="inlineStr">
        <ns0:is>
          <ns0:t>P04</ns0:t>
        </ns0:is>
      </ns0:c>
      <ns0:c r="D159" s="15" t="inlineStr">
        <ns0:is>
          <ns0:t>培元丹</ns0:t>
        </ns0:is>
      </ns0:c>
      <ns0:c r="E159" s="15" t="inlineStr">
        <ns0:is>
          <ns0:t>恢复体力</ns0:t>
        </ns0:is>
      </ns0:c>
      <ns0:c r="F159" s="15" t="n">
        <ns0:v>18</ns0:v>
      </ns0:c>
      <ns0:c r="G159" s="15" t="inlineStr"/>
      <ns0:c r="H159" s="15" t="inlineStr">
        <ns0:is>
          <ns0:t>发动时</ns0:t>
        </ns0:is>
      </ns0:c>
      <ns0:c r="I159" s="15" t="inlineStr">
        <ns0:is>
          <ns0:t>自身</ns0:t>
        </ns0:is>
      </ns0:c>
      <ns0:c r="J159" s="15" t="inlineStr">
        <ns0:is>
          <ns0:t>PILL</ns0:t>
        </ns0:is>
      </ns0:c>
      <ns0:c r="K159" s="15" t="inlineStr">
        <ns0:is>
          <ns0:t>无攻击</ns0:t>
        </ns0:is>
      </ns0:c>
      <ns0:c r="L159" s="15" t="inlineStr">
        <ns0:is>
          <ns0:t>NONE</ns0:t>
        </ns0:is>
      </ns0:c>
      <ns0:c r="M159" s="15" t="inlineStr">
        <ns0:is>
          <ns0:t>01 M06 B01/B02/B03；M07</ns0:t>
        </ns0:is>
      </ns0:c>
      <ns0:c r="N159" s="15" t="inlineStr">
        <ns0:is>
          <ns0:t>正常资源上限；对应资源未缺不自动消耗；同款持续恢复未结束不再自动服用</ns0:t>
        </ns0:is>
      </ns0:c>
      <ns0:c r="O159" s="15" t="inlineStr">
        <ns0:is>
          <ns0:t>候选设计记录；未注册游戏Effect</ns0:t>
        </ns0:is>
      </ns0:c>
    </ns0:row>
    <ns0:row r="160" ht="40" customHeight="1">
      <ns0:c r="A160" s="4" t="inlineStr">
        <ns0:is>
          <ns0:t>t01.asset.0105.effect.01</ns0:t>
        </ns0:is>
      </ns0:c>
      <ns0:c r="B160" s="4" t="inlineStr">
        <ns0:is>
          <ns0:t>t01.asset.0105</ns0:t>
        </ns0:is>
      </ns0:c>
      <ns0:c r="C160" s="4" t="inlineStr">
        <ns0:is>
          <ns0:t>P05</ns0:t>
        </ns0:is>
      </ns0:c>
      <ns0:c r="D160" s="4" t="inlineStr">
        <ns0:is>
          <ns0:t>铁骨丸</ns0:t>
        </ns0:is>
      </ns0:c>
      <ns0:c r="E160" s="4" t="inlineStr">
        <ns0:is>
          <ns0:t>施加状态</ns0:t>
        </ns0:is>
      </ns0:c>
      <ns0:c r="F160" s="4" t="n">
        <ns0:v>4</ns0:v>
      </ns0:c>
      <ns0:c r="G160" s="4" t="inlineStr">
        <ns0:is>
          <ns0:t>坚韧</ns0:t>
        </ns0:is>
      </ns0:c>
      <ns0:c r="H160" s="4" t="inlineStr">
        <ns0:is>
          <ns0:t>使用</ns0:t>
        </ns0:is>
      </ns0:c>
      <ns0:c r="I160" s="4" t="inlineStr">
        <ns0:is>
          <ns0:t>自身</ns0:t>
        </ns0:is>
      </ns0:c>
      <ns0:c r="J160" s="4" t="inlineStr">
        <ns0:is>
          <ns0:t>PILL</ns0:t>
        </ns0:is>
      </ns0:c>
      <ns0:c r="K160" s="4" t="inlineStr">
        <ns0:is>
          <ns0:t>无攻击</ns0:t>
        </ns0:is>
      </ns0:c>
      <ns0:c r="L160" s="4" t="inlineStr">
        <ns0:is>
          <ns0:t>NONE</ns0:t>
        </ns0:is>
      </ns0:c>
      <ns0:c r="M160" s="4" t="inlineStr">
        <ns0:is>
          <ns0:t>02核心状态／OP_ADD；01 M02/M03/M07</ns0:t>
        </ns0:is>
      </ns0:c>
      <ns0:c r="N160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60" s="4" t="inlineStr">
        <ns0:is>
          <ns0:t>候选设计记录；未注册游戏Effect</ns0:t>
        </ns0:is>
      </ns0:c>
    </ns0:row>
    <ns0:row r="161" ht="40" customHeight="1">
      <ns0:c r="A161" s="15" t="inlineStr">
        <ns0:is>
          <ns0:t>t01.asset.0106.effect.01</ns0:t>
        </ns0:is>
      </ns0:c>
      <ns0:c r="B161" s="15" t="inlineStr">
        <ns0:is>
          <ns0:t>t01.asset.0106</ns0:t>
        </ns0:is>
      </ns0:c>
      <ns0:c r="C161" s="15" t="inlineStr">
        <ns0:is>
          <ns0:t>P06</ns0:t>
        </ns0:is>
      </ns0:c>
      <ns0:c r="D161" s="15" t="inlineStr">
        <ns0:is>
          <ns0:t>避火丹</ns0:t>
        </ns0:is>
      </ns0:c>
      <ns0:c r="E161" s="15" t="inlineStr">
        <ns0:is>
          <ns0:t>元素直接伤害修正</ns0:t>
        </ns0:is>
      </ns0:c>
      <ns0:c r="F161" s="15" t="n">
        <ns0:v>-0.1</ns0:v>
      </ns0:c>
      <ns0:c r="G161" s="15" t="inlineStr"/>
      <ns0:c r="H161" s="15" t="inlineStr">
        <ns0:is>
          <ns0:t>使用后持续12秒</ns0:t>
        </ns0:is>
      </ns0:c>
      <ns0:c r="I161" s="15" t="inlineStr">
        <ns0:is>
          <ns0:t>自身</ns0:t>
        </ns0:is>
      </ns0:c>
      <ns0:c r="J161" s="15" t="inlineStr">
        <ns0:is>
          <ns0:t>PILL</ns0:t>
        </ns0:is>
      </ns0:c>
      <ns0:c r="K161" s="15" t="inlineStr">
        <ns0:is>
          <ns0:t>无攻击</ns0:t>
        </ns0:is>
      </ns0:c>
      <ns0:c r="L161" s="15" t="inlineStr">
        <ns0:is>
          <ns0:t>NONE</ns0:t>
        </ns0:is>
      </ns0:c>
      <ns0:c r="M161" s="15" t="inlineStr">
        <ns0:is>
          <ns0:t>01伤害修正；02 S3；同基础加算</ns0:t>
        </ns0:is>
      </ns0:c>
      <ns0:c r="N161" s="15" t="inlineStr">
        <ns0:is>
          <ns0:t>火伤分量－10%；不改甲型／防御元素，不减持续跳伤；同款不叠幅，不同款并存</ns0:t>
        </ns0:is>
      </ns0:c>
      <ns0:c r="O161" s="15" t="inlineStr">
        <ns0:is>
          <ns0:t>候选设计记录；未注册游戏Effect</ns0:t>
        </ns0:is>
      </ns0:c>
    </ns0:row>
    <ns0:row r="162" ht="40" customHeight="1">
      <ns0:c r="A162" s="4" t="inlineStr">
        <ns0:is>
          <ns0:t>t01.asset.0107.effect.01</ns0:t>
        </ns0:is>
      </ns0:c>
      <ns0:c r="B162" s="4" t="inlineStr">
        <ns0:is>
          <ns0:t>t01.asset.0107</ns0:t>
        </ns0:is>
      </ns0:c>
      <ns0:c r="C162" s="4" t="inlineStr">
        <ns0:is>
          <ns0:t>P07</ns0:t>
        </ns0:is>
      </ns0:c>
      <ns0:c r="D162" s="4" t="inlineStr">
        <ns0:is>
          <ns0:t>辟寒丹</ns0:t>
        </ns0:is>
      </ns0:c>
      <ns0:c r="E162" s="4" t="inlineStr">
        <ns0:is>
          <ns0:t>元素直接伤害修正</ns0:t>
        </ns0:is>
      </ns0:c>
      <ns0:c r="F162" s="4" t="n">
        <ns0:v>-0.1</ns0:v>
      </ns0:c>
      <ns0:c r="G162" s="4" t="inlineStr"/>
      <ns0:c r="H162" s="4" t="inlineStr">
        <ns0:is>
          <ns0:t>使用后持续12秒</ns0:t>
        </ns0:is>
      </ns0:c>
      <ns0:c r="I162" s="4" t="inlineStr">
        <ns0:is>
          <ns0:t>自身</ns0:t>
        </ns0:is>
      </ns0:c>
      <ns0:c r="J162" s="4" t="inlineStr">
        <ns0:is>
          <ns0:t>PILL</ns0:t>
        </ns0:is>
      </ns0:c>
      <ns0:c r="K162" s="4" t="inlineStr">
        <ns0:is>
          <ns0:t>无攻击</ns0:t>
        </ns0:is>
      </ns0:c>
      <ns0:c r="L162" s="4" t="inlineStr">
        <ns0:is>
          <ns0:t>NONE</ns0:t>
        </ns0:is>
      </ns0:c>
      <ns0:c r="M162" s="4" t="inlineStr">
        <ns0:is>
          <ns0:t>01伤害修正；02 S3；同基础加算</ns0:t>
        </ns0:is>
      </ns0:c>
      <ns0:c r="N162" s="4" t="inlineStr">
        <ns0:is>
          <ns0:t>水伤分量－10%；不改甲型／防御元素，不减持续跳伤；同款不叠幅，不同款并存</ns0:t>
        </ns0:is>
      </ns0:c>
      <ns0:c r="O162" s="4" t="inlineStr">
        <ns0:is>
          <ns0:t>候选设计记录；未注册游戏Effect</ns0:t>
        </ns0:is>
      </ns0:c>
    </ns0:row>
    <ns0:row r="163" ht="40" customHeight="1">
      <ns0:c r="A163" s="15" t="inlineStr">
        <ns0:is>
          <ns0:t>t01.asset.0108.effect.01</ns0:t>
        </ns0:is>
      </ns0:c>
      <ns0:c r="B163" s="15" t="inlineStr">
        <ns0:is>
          <ns0:t>t01.asset.0108</ns0:t>
        </ns0:is>
      </ns0:c>
      <ns0:c r="C163" s="15" t="inlineStr">
        <ns0:is>
          <ns0:t>P08</ns0:t>
        </ns0:is>
      </ns0:c>
      <ns0:c r="D163" s="15" t="inlineStr">
        <ns0:is>
          <ns0:t>辟金丹</ns0:t>
        </ns0:is>
      </ns0:c>
      <ns0:c r="E163" s="15" t="inlineStr">
        <ns0:is>
          <ns0:t>元素直接伤害修正</ns0:t>
        </ns0:is>
      </ns0:c>
      <ns0:c r="F163" s="15" t="n">
        <ns0:v>-0.1</ns0:v>
      </ns0:c>
      <ns0:c r="G163" s="15" t="inlineStr"/>
      <ns0:c r="H163" s="15" t="inlineStr">
        <ns0:is>
          <ns0:t>使用后持续12秒</ns0:t>
        </ns0:is>
      </ns0:c>
      <ns0:c r="I163" s="15" t="inlineStr">
        <ns0:is>
          <ns0:t>自身</ns0:t>
        </ns0:is>
      </ns0:c>
      <ns0:c r="J163" s="15" t="inlineStr">
        <ns0:is>
          <ns0:t>PILL</ns0:t>
        </ns0:is>
      </ns0:c>
      <ns0:c r="K163" s="15" t="inlineStr">
        <ns0:is>
          <ns0:t>无攻击</ns0:t>
        </ns0:is>
      </ns0:c>
      <ns0:c r="L163" s="15" t="inlineStr">
        <ns0:is>
          <ns0:t>NONE</ns0:t>
        </ns0:is>
      </ns0:c>
      <ns0:c r="M163" s="15" t="inlineStr">
        <ns0:is>
          <ns0:t>01伤害修正；02 S3；同基础加算</ns0:t>
        </ns0:is>
      </ns0:c>
      <ns0:c r="N163" s="15" t="inlineStr">
        <ns0:is>
          <ns0:t>金伤分量－10%；不改甲型／防御元素，不减持续跳伤；同款不叠幅，不同款并存</ns0:t>
        </ns0:is>
      </ns0:c>
      <ns0:c r="O163" s="15" t="inlineStr">
        <ns0:is>
          <ns0:t>候选设计记录；未注册游戏Effect</ns0:t>
        </ns0:is>
      </ns0:c>
    </ns0:row>
    <ns0:row r="164" ht="40" customHeight="1">
      <ns0:c r="A164" s="4" t="inlineStr">
        <ns0:is>
          <ns0:t>t01.asset.0109.effect.01</ns0:t>
        </ns0:is>
      </ns0:c>
      <ns0:c r="B164" s="4" t="inlineStr">
        <ns0:is>
          <ns0:t>t01.asset.0109</ns0:t>
        </ns0:is>
      </ns0:c>
      <ns0:c r="C164" s="4" t="inlineStr">
        <ns0:is>
          <ns0:t>P09</ns0:t>
        </ns0:is>
      </ns0:c>
      <ns0:c r="D164" s="4" t="inlineStr">
        <ns0:is>
          <ns0:t>御木丹</ns0:t>
        </ns0:is>
      </ns0:c>
      <ns0:c r="E164" s="4" t="inlineStr">
        <ns0:is>
          <ns0:t>元素直接伤害修正</ns0:t>
        </ns0:is>
      </ns0:c>
      <ns0:c r="F164" s="4" t="n">
        <ns0:v>-0.1</ns0:v>
      </ns0:c>
      <ns0:c r="G164" s="4" t="inlineStr"/>
      <ns0:c r="H164" s="4" t="inlineStr">
        <ns0:is>
          <ns0:t>使用后持续12秒</ns0:t>
        </ns0:is>
      </ns0:c>
      <ns0:c r="I164" s="4" t="inlineStr">
        <ns0:is>
          <ns0:t>自身</ns0:t>
        </ns0:is>
      </ns0:c>
      <ns0:c r="J164" s="4" t="inlineStr">
        <ns0:is>
          <ns0:t>PILL</ns0:t>
        </ns0:is>
      </ns0:c>
      <ns0:c r="K164" s="4" t="inlineStr">
        <ns0:is>
          <ns0:t>无攻击</ns0:t>
        </ns0:is>
      </ns0:c>
      <ns0:c r="L164" s="4" t="inlineStr">
        <ns0:is>
          <ns0:t>NONE</ns0:t>
        </ns0:is>
      </ns0:c>
      <ns0:c r="M164" s="4" t="inlineStr">
        <ns0:is>
          <ns0:t>01伤害修正；02 S3；同基础加算</ns0:t>
        </ns0:is>
      </ns0:c>
      <ns0:c r="N164" s="4" t="inlineStr">
        <ns0:is>
          <ns0:t>木伤分量－10%；不改甲型／防御元素，不减持续跳伤；同款不叠幅，不同款并存</ns0:t>
        </ns0:is>
      </ns0:c>
      <ns0:c r="O164" s="4" t="inlineStr">
        <ns0:is>
          <ns0:t>候选设计记录；未注册游戏Effect</ns0:t>
        </ns0:is>
      </ns0:c>
    </ns0:row>
    <ns0:row r="165" ht="40" customHeight="1">
      <ns0:c r="A165" s="15" t="inlineStr">
        <ns0:is>
          <ns0:t>t01.asset.0110.effect.01</ns0:t>
        </ns0:is>
      </ns0:c>
      <ns0:c r="B165" s="15" t="inlineStr">
        <ns0:is>
          <ns0:t>t01.asset.0110</ns0:t>
        </ns0:is>
      </ns0:c>
      <ns0:c r="C165" s="15" t="inlineStr">
        <ns0:is>
          <ns0:t>P10</ns0:t>
        </ns0:is>
      </ns0:c>
      <ns0:c r="D165" s="15" t="inlineStr">
        <ns0:is>
          <ns0:t>镇土丹</ns0:t>
        </ns0:is>
      </ns0:c>
      <ns0:c r="E165" s="15" t="inlineStr">
        <ns0:is>
          <ns0:t>元素直接伤害修正</ns0:t>
        </ns0:is>
      </ns0:c>
      <ns0:c r="F165" s="15" t="n">
        <ns0:v>-0.1</ns0:v>
      </ns0:c>
      <ns0:c r="G165" s="15" t="inlineStr"/>
      <ns0:c r="H165" s="15" t="inlineStr">
        <ns0:is>
          <ns0:t>使用后持续12秒</ns0:t>
        </ns0:is>
      </ns0:c>
      <ns0:c r="I165" s="15" t="inlineStr">
        <ns0:is>
          <ns0:t>自身</ns0:t>
        </ns0:is>
      </ns0:c>
      <ns0:c r="J165" s="15" t="inlineStr">
        <ns0:is>
          <ns0:t>PILL</ns0:t>
        </ns0:is>
      </ns0:c>
      <ns0:c r="K165" s="15" t="inlineStr">
        <ns0:is>
          <ns0:t>无攻击</ns0:t>
        </ns0:is>
      </ns0:c>
      <ns0:c r="L165" s="15" t="inlineStr">
        <ns0:is>
          <ns0:t>NONE</ns0:t>
        </ns0:is>
      </ns0:c>
      <ns0:c r="M165" s="15" t="inlineStr">
        <ns0:is>
          <ns0:t>01伤害修正；02 S3；同基础加算</ns0:t>
        </ns0:is>
      </ns0:c>
      <ns0:c r="N165" s="15" t="inlineStr">
        <ns0:is>
          <ns0:t>土伤分量－10%；不改甲型／防御元素，不减持续跳伤；同款不叠幅，不同款并存</ns0:t>
        </ns0:is>
      </ns0:c>
      <ns0:c r="O165" s="15" t="inlineStr">
        <ns0:is>
          <ns0:t>候选设计记录；未注册游戏Effect</ns0:t>
        </ns0:is>
      </ns0:c>
    </ns0:row>
    <ns0:row r="166" ht="40" customHeight="1">
      <ns0:c r="A166" s="4" t="inlineStr">
        <ns0:is>
          <ns0:t>t01.asset.0111.effect.01</ns0:t>
        </ns0:is>
      </ns0:c>
      <ns0:c r="B166" s="4" t="inlineStr">
        <ns0:is>
          <ns0:t>t01.asset.0111</ns0:t>
        </ns0:is>
      </ns0:c>
      <ns0:c r="C166" s="4" t="inlineStr">
        <ns0:is>
          <ns0:t>H01</ns0:t>
        </ns0:is>
      </ns0:c>
      <ns0:c r="D166" s="4" t="inlineStr">
        <ns0:is>
          <ns0:t>飞针</ns0:t>
        </ns0:is>
      </ns0:c>
      <ns0:c r="E166" s="4" t="inlineStr">
        <ns0:is>
          <ns0:t>直接伤害</ns0:t>
        </ns0:is>
      </ns0:c>
      <ns0:c r="F166" s="4" t="n">
        <ns0:v>18</ns0:v>
      </ns0:c>
      <ns0:c r="G166" s="4" t="inlineStr"/>
      <ns0:c r="H166" s="4" t="inlineStr">
        <ns0:is>
          <ns0:t>合法发动并按命中结算</ns0:t>
        </ns0:is>
      </ns0:c>
      <ns0:c r="I166" s="4" t="inlineStr">
        <ns0:is>
          <ns0:t>敌方</ns0:t>
        </ns0:is>
      </ns0:c>
      <ns0:c r="J166" s="4" t="inlineStr">
        <ns0:is>
          <ns0:t>HIDDEN_WEAPON</ns0:t>
        </ns0:is>
      </ns0:c>
      <ns0:c r="K166" s="4" t="inlineStr">
        <ns0:is>
          <ns0:t>穿刺</ns0:t>
        </ns0:is>
      </ns0:c>
      <ns0:c r="L166" s="4" t="inlineStr">
        <ns0:is>
          <ns0:t>无属性</ns0:t>
        </ns0:is>
      </ns0:c>
      <ns0:c r="M166" s="4" t="inlineStr">
        <ns0:is>
          <ns0:t>01 M06 A01；04攻击类型</ns0:t>
        </ns0:is>
      </ns0:c>
      <ns0:c r="N166" s="4" t="inlineStr">
        <ns0:is>
          <ns0:t>单一基础伤害，不额外赠送一份元素伤害；来源身份不因SPELL攻击类型改变</ns0:t>
        </ns0:is>
      </ns0:c>
      <ns0:c r="O166" s="4" t="inlineStr">
        <ns0:is>
          <ns0:t>候选设计记录；未注册游戏Effect</ns0:t>
        </ns0:is>
      </ns0:c>
    </ns0:row>
    <ns0:row r="167" ht="40" customHeight="1">
      <ns0:c r="A167" s="15" t="inlineStr">
        <ns0:is>
          <ns0:t>t01.asset.0112.effect.01</ns0:t>
        </ns0:is>
      </ns0:c>
      <ns0:c r="B167" s="15" t="inlineStr">
        <ns0:is>
          <ns0:t>t01.asset.0112</ns0:t>
        </ns0:is>
      </ns0:c>
      <ns0:c r="C167" s="15" t="inlineStr">
        <ns0:is>
          <ns0:t>H02</ns0:t>
        </ns0:is>
      </ns0:c>
      <ns0:c r="D167" s="15" t="inlineStr">
        <ns0:is>
          <ns0:t>柳叶镖</ns0:t>
        </ns0:is>
      </ns0:c>
      <ns0:c r="E167" s="15" t="inlineStr">
        <ns0:is>
          <ns0:t>直接伤害</ns0:t>
        </ns0:is>
      </ns0:c>
      <ns0:c r="F167" s="15" t="n">
        <ns0:v>26</ns0:v>
      </ns0:c>
      <ns0:c r="G167" s="15" t="inlineStr"/>
      <ns0:c r="H167" s="15" t="inlineStr">
        <ns0:is>
          <ns0:t>合法发动并按命中结算</ns0:t>
        </ns0:is>
      </ns0:c>
      <ns0:c r="I167" s="15" t="inlineStr">
        <ns0:is>
          <ns0:t>敌方</ns0:t>
        </ns0:is>
      </ns0:c>
      <ns0:c r="J167" s="15" t="inlineStr">
        <ns0:is>
          <ns0:t>HIDDEN_WEAPON</ns0:t>
        </ns0:is>
      </ns0:c>
      <ns0:c r="K167" s="15" t="inlineStr">
        <ns0:is>
          <ns0:t>斩击</ns0:t>
        </ns0:is>
      </ns0:c>
      <ns0:c r="L167" s="15" t="inlineStr">
        <ns0:is>
          <ns0:t>无属性</ns0:t>
        </ns0:is>
      </ns0:c>
      <ns0:c r="M167" s="15" t="inlineStr">
        <ns0:is>
          <ns0:t>01 M06 A01；04攻击类型</ns0:t>
        </ns0:is>
      </ns0:c>
      <ns0:c r="N167" s="15" t="inlineStr">
        <ns0:is>
          <ns0:t>单一基础伤害，不额外赠送一份元素伤害；来源身份不因SPELL攻击类型改变</ns0:t>
        </ns0:is>
      </ns0:c>
      <ns0:c r="O167" s="15" t="inlineStr">
        <ns0:is>
          <ns0:t>候选设计记录；未注册游戏Effect</ns0:t>
        </ns0:is>
      </ns0:c>
    </ns0:row>
    <ns0:row r="168" ht="40" customHeight="1">
      <ns0:c r="A168" s="4" t="inlineStr">
        <ns0:is>
          <ns0:t>t01.asset.0113.effect.01</ns0:t>
        </ns0:is>
      </ns0:c>
      <ns0:c r="B168" s="4" t="inlineStr">
        <ns0:is>
          <ns0:t>t01.asset.0113</ns0:t>
        </ns0:is>
      </ns0:c>
      <ns0:c r="C168" s="4" t="inlineStr">
        <ns0:is>
          <ns0:t>H03</ns0:t>
        </ns0:is>
      </ns0:c>
      <ns0:c r="D168" s="4" t="inlineStr">
        <ns0:is>
          <ns0:t>铁丸</ns0:t>
        </ns0:is>
      </ns0:c>
      <ns0:c r="E168" s="4" t="inlineStr">
        <ns0:is>
          <ns0:t>直接伤害</ns0:t>
        </ns0:is>
      </ns0:c>
      <ns0:c r="F168" s="4" t="n">
        <ns0:v>32</ns0:v>
      </ns0:c>
      <ns0:c r="G168" s="4" t="inlineStr"/>
      <ns0:c r="H168" s="4" t="inlineStr">
        <ns0:is>
          <ns0:t>合法发动并按命中结算</ns0:t>
        </ns0:is>
      </ns0:c>
      <ns0:c r="I168" s="4" t="inlineStr">
        <ns0:is>
          <ns0:t>敌方</ns0:t>
        </ns0:is>
      </ns0:c>
      <ns0:c r="J168" s="4" t="inlineStr">
        <ns0:is>
          <ns0:t>HIDDEN_WEAPON</ns0:t>
        </ns0:is>
      </ns0:c>
      <ns0:c r="K168" s="4" t="inlineStr">
        <ns0:is>
          <ns0:t>钝击</ns0:t>
        </ns0:is>
      </ns0:c>
      <ns0:c r="L168" s="4" t="inlineStr">
        <ns0:is>
          <ns0:t>无属性</ns0:t>
        </ns0:is>
      </ns0:c>
      <ns0:c r="M168" s="4" t="inlineStr">
        <ns0:is>
          <ns0:t>01 M06 A01；04攻击类型</ns0:t>
        </ns0:is>
      </ns0:c>
      <ns0:c r="N168" s="4" t="inlineStr">
        <ns0:is>
          <ns0:t>单一基础伤害，不额外赠送一份元素伤害；来源身份不因SPELL攻击类型改变</ns0:t>
        </ns0:is>
      </ns0:c>
      <ns0:c r="O168" s="4" t="inlineStr">
        <ns0:is>
          <ns0:t>候选设计记录；未注册游戏Effect</ns0:t>
        </ns0:is>
      </ns0:c>
    </ns0:row>
    <ns0:row r="169" ht="40" customHeight="1">
      <ns0:c r="A169" s="15" t="inlineStr">
        <ns0:is>
          <ns0:t>t01.asset.0114.effect.01</ns0:t>
        </ns0:is>
      </ns0:c>
      <ns0:c r="B169" s="15" t="inlineStr">
        <ns0:is>
          <ns0:t>t01.asset.0114</ns0:t>
        </ns0:is>
      </ns0:c>
      <ns0:c r="C169" s="15" t="inlineStr">
        <ns0:is>
          <ns0:t>H04</ns0:t>
        </ns0:is>
      </ns0:c>
      <ns0:c r="D169" s="15" t="inlineStr">
        <ns0:is>
          <ns0:t>毒针</ns0:t>
        </ns0:is>
      </ns0:c>
      <ns0:c r="E169" s="15" t="inlineStr">
        <ns0:is>
          <ns0:t>直接伤害</ns0:t>
        </ns0:is>
      </ns0:c>
      <ns0:c r="F169" s="15" t="n">
        <ns0:v>12</ns0:v>
      </ns0:c>
      <ns0:c r="G169" s="15" t="inlineStr"/>
      <ns0:c r="H169" s="15" t="inlineStr">
        <ns0:is>
          <ns0:t>合法发动并按命中结算</ns0:t>
        </ns0:is>
      </ns0:c>
      <ns0:c r="I169" s="15" t="inlineStr">
        <ns0:is>
          <ns0:t>敌方</ns0:t>
        </ns0:is>
      </ns0:c>
      <ns0:c r="J169" s="15" t="inlineStr">
        <ns0:is>
          <ns0:t>HIDDEN_WEAPON</ns0:t>
        </ns0:is>
      </ns0:c>
      <ns0:c r="K169" s="15" t="inlineStr">
        <ns0:is>
          <ns0:t>穿刺</ns0:t>
        </ns0:is>
      </ns0:c>
      <ns0:c r="L169" s="15" t="inlineStr">
        <ns0:is>
          <ns0:t>无属性</ns0:t>
        </ns0:is>
      </ns0:c>
      <ns0:c r="M169" s="15" t="inlineStr">
        <ns0:is>
          <ns0:t>01 M06 A01；04攻击类型</ns0:t>
        </ns0:is>
      </ns0:c>
      <ns0:c r="N169" s="15" t="inlineStr">
        <ns0:is>
          <ns0:t>单一基础伤害，不额外赠送一份元素伤害；来源身份不因SPELL攻击类型改变</ns0:t>
        </ns0:is>
      </ns0:c>
      <ns0:c r="O169" s="15" t="inlineStr">
        <ns0:is>
          <ns0:t>候选设计记录；未注册游戏Effect</ns0:t>
        </ns0:is>
      </ns0:c>
    </ns0:row>
    <ns0:row r="170" ht="40" customHeight="1">
      <ns0:c r="A170" s="4" t="inlineStr">
        <ns0:is>
          <ns0:t>t01.asset.0114.effect.02</ns0:t>
        </ns0:is>
      </ns0:c>
      <ns0:c r="B170" s="4" t="inlineStr">
        <ns0:is>
          <ns0:t>t01.asset.0114</ns0:t>
        </ns0:is>
      </ns0:c>
      <ns0:c r="C170" s="4" t="inlineStr">
        <ns0:is>
          <ns0:t>H04</ns0:t>
        </ns0:is>
      </ns0:c>
      <ns0:c r="D170" s="4" t="inlineStr">
        <ns0:is>
          <ns0:t>毒针</ns0:t>
        </ns0:is>
      </ns0:c>
      <ns0:c r="E170" s="4" t="inlineStr">
        <ns0:is>
          <ns0:t>施加状态</ns0:t>
        </ns0:is>
      </ns0:c>
      <ns0:c r="F170" s="4" t="n">
        <ns0:v>3</ns0:v>
      </ns0:c>
      <ns0:c r="G170" s="4" t="inlineStr">
        <ns0:is>
          <ns0:t>毒蚀</ns0:t>
        </ns0:is>
      </ns0:c>
      <ns0:c r="H170" s="4" t="inlineStr">
        <ns0:is>
          <ns0:t>命中</ns0:t>
        </ns0:is>
      </ns0:c>
      <ns0:c r="I170" s="4" t="inlineStr">
        <ns0:is>
          <ns0:t>敌方</ns0:t>
        </ns0:is>
      </ns0:c>
      <ns0:c r="J170" s="4" t="inlineStr">
        <ns0:is>
          <ns0:t>HIDDEN_WEAPON</ns0:t>
        </ns0:is>
      </ns0:c>
      <ns0:c r="K170" s="4" t="inlineStr">
        <ns0:is>
          <ns0:t>穿刺</ns0:t>
        </ns0:is>
      </ns0:c>
      <ns0:c r="L170" s="4" t="inlineStr">
        <ns0:is>
          <ns0:t>无属性</ns0:t>
        </ns0:is>
      </ns0:c>
      <ns0:c r="M170" s="4" t="inlineStr">
        <ns0:is>
          <ns0:t>02核心状态／OP_ADD；01 M02/M03/M07</ns0:t>
        </ns0:is>
      </ns0:c>
      <ns0:c r="N170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70" s="4" t="inlineStr">
        <ns0:is>
          <ns0:t>候选设计记录；未注册游戏Effect</ns0:t>
        </ns0:is>
      </ns0:c>
    </ns0:row>
    <ns0:row r="171" ht="40" customHeight="1">
      <ns0:c r="A171" s="15" t="inlineStr">
        <ns0:is>
          <ns0:t>t01.asset.0115.effect.01</ns0:t>
        </ns0:is>
      </ns0:c>
      <ns0:c r="B171" s="15" t="inlineStr">
        <ns0:is>
          <ns0:t>t01.asset.0115</ns0:t>
        </ns0:is>
      </ns0:c>
      <ns0:c r="C171" s="15" t="inlineStr">
        <ns0:is>
          <ns0:t>H05</ns0:t>
        </ns0:is>
      </ns0:c>
      <ns0:c r="D171" s="15" t="inlineStr">
        <ns0:is>
          <ns0:t>火砂</ns0:t>
        </ns0:is>
      </ns0:c>
      <ns0:c r="E171" s="15" t="inlineStr">
        <ns0:is>
          <ns0:t>直接伤害</ns0:t>
        </ns0:is>
      </ns0:c>
      <ns0:c r="F171" s="15" t="n">
        <ns0:v>30</ns0:v>
      </ns0:c>
      <ns0:c r="G171" s="15" t="inlineStr"/>
      <ns0:c r="H171" s="15" t="inlineStr">
        <ns0:is>
          <ns0:t>合法发动并按命中结算</ns0:t>
        </ns0:is>
      </ns0:c>
      <ns0:c r="I171" s="15" t="inlineStr">
        <ns0:is>
          <ns0:t>敌方</ns0:t>
        </ns0:is>
      </ns0:c>
      <ns0:c r="J171" s="15" t="inlineStr">
        <ns0:is>
          <ns0:t>HIDDEN_WEAPON</ns0:t>
        </ns0:is>
      </ns0:c>
      <ns0:c r="K171" s="15" t="inlineStr">
        <ns0:is>
          <ns0:t>法术型</ns0:t>
        </ns0:is>
      </ns0:c>
      <ns0:c r="L171" s="15" t="inlineStr">
        <ns0:is>
          <ns0:t>火</ns0:t>
        </ns0:is>
      </ns0:c>
      <ns0:c r="M171" s="15" t="inlineStr">
        <ns0:is>
          <ns0:t>01 M06 A01；04攻击类型</ns0:t>
        </ns0:is>
      </ns0:c>
      <ns0:c r="N171" s="15" t="inlineStr">
        <ns0:is>
          <ns0:t>单一基础伤害，不额外赠送一份元素伤害；来源身份不因SPELL攻击类型改变</ns0:t>
        </ns0:is>
      </ns0:c>
      <ns0:c r="O171" s="15" t="inlineStr">
        <ns0:is>
          <ns0:t>候选设计记录；未注册游戏Effect</ns0:t>
        </ns0:is>
      </ns0:c>
    </ns0:row>
  </ns0:sheetData>
  <ns0:mergeCells count="2">
    <ns0:mergeCell ref="A1:O1"/>
    <ns0:mergeCell ref="A2:O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9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F26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2" customWidth="1" min="1" max="1"/>
    <ns0:col width="14" customWidth="1" min="2" max="2"/>
    <ns0:col width="16" customWidth="1" min="3" max="3"/>
    <ns0:col width="94" customWidth="1" min="4" max="4"/>
    <ns0:col width="65" customWidth="1" min="5" max="5"/>
    <ns0:col width="20" customWidth="1" min="6" max="6"/>
  </ns0:cols>
  <ns0:sheetData>
    <ns0:row r="1" ht="32" customHeight="1">
      <ns0:c r="A1" s="1" t="inlineStr">
        <ns0:is>
          <ns0:t>t01-08｜状态来源统计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系别</ns0:t>
        </ns0:is>
      </ns0:c>
      <ns0:c r="B5" s="3" t="inlineStr">
        <ns0:is>
          <ns0:t>状态</ns0:t>
        </ns0:is>
      </ns0:c>
      <ns0:c r="C5" s="3" t="inlineStr">
        <ns0:is>
          <ns0:t>独立来源数</ns0:t>
        </ns0:is>
      </ns0:c>
      <ns0:c r="D5" s="3" t="inlineStr">
        <ns0:is>
          <ns0:t>具体来源</ns0:t>
        </ns0:is>
      </ns0:c>
      <ns0:c r="E5" s="3" t="inlineStr">
        <ns0:is>
          <ns0:t>计数口径</ns0:t>
        </ns0:is>
      </ns0:c>
      <ns0:c r="F5" s="3" t="inlineStr">
        <ns0:is>
          <ns0:t>要求</ns0:t>
        </ns0:is>
      </ns0:c>
    </ns0:row>
    <ns0:row r="6" ht="30" customHeight="1">
      <ns0:c r="A6" s="4" t="inlineStr">
        <ns0:is>
          <ns0:t>金</ns0:t>
        </ns0:is>
      </ns0:c>
      <ns0:c r="B6" s="4" t="inlineStr">
        <ns0:is>
          <ns0:t>反锋</ns0:t>
        </ns0:is>
      </ns0:c>
      <ns0:c r="C6" s="4">
        <ns0:f>COUNTIF('17_效果与触发'!$G$6:$G$171,B6)</ns0:f>
        <ns0:v>4</ns0:v>
      </ns0:c>
      <ns0:c r="D6" s="4" t="inlineStr">
        <ns0:is>
          <ns0:t>A11 皮护臂；A12 铁护腕；A20 金纹护肩；A23 铁盾</ns0:t>
        </ns0:is>
      </ns0:c>
      <ns0:c r="E6" s="4" t="inlineStr">
        <ns0:is>
          <ns0:t>独立物品计数，不按重复发动或状态层数计；仅本批凡品</ns0:t>
        </ns0:is>
      </ns0:c>
      <ns0:c r="F6" s="4" t="inlineStr">
        <ns0:is>
          <ns0:t>至少2个来源</ns0:t>
        </ns0:is>
      </ns0:c>
    </ns0:row>
    <ns0:row r="7" ht="30" customHeight="1">
      <ns0:c r="A7" s="15" t="inlineStr">
        <ns0:is>
          <ns0:t>金</ns0:t>
        </ns0:is>
      </ns0:c>
      <ns0:c r="B7" s="15" t="inlineStr">
        <ns0:is>
          <ns0:t>锋痕</ns0:t>
        </ns0:is>
      </ns0:c>
      <ns0:c r="C7" s="15">
        <ns0:f>COUNTIF('17_效果与触发'!$G$6:$G$171,B7)</ns0:f>
        <ns0:v>3</ns0:v>
      </ns0:c>
      <ns0:c r="D7" s="15" t="inlineStr">
        <ns0:is>
          <ns0:t>W06 金纹刀；W09 金刚斧；F05 金光镜</ns0:t>
        </ns0:is>
      </ns0:c>
      <ns0:c r="E7" s="15" t="inlineStr">
        <ns0:is>
          <ns0:t>独立物品计数，不按重复发动或状态层数计；仅本批凡品</ns0:t>
        </ns0:is>
      </ns0:c>
      <ns0:c r="F7" s="15" t="inlineStr">
        <ns0:is>
          <ns0:t>至少2个来源</ns0:t>
        </ns0:is>
      </ns0:c>
    </ns0:row>
    <ns0:row r="8" ht="30" customHeight="1">
      <ns0:c r="A8" s="4" t="inlineStr">
        <ns0:is>
          <ns0:t>金</ns0:t>
        </ns0:is>
      </ns0:c>
      <ns0:c r="B8" s="4" t="inlineStr">
        <ns0:is>
          <ns0:t>流血</ns0:t>
        </ns0:is>
      </ns0:c>
      <ns0:c r="C8" s="4">
        <ns0:f>COUNTIF('17_效果与触发'!$G$6:$G$171,B8)</ns0:f>
        <ns0:v>3</ns0:v>
      </ns0:c>
      <ns0:c r="D8" s="4" t="inlineStr">
        <ns0:is>
          <ns0:t>W05 钢刀；W15 精铁匕；W28 刺血匕</ns0:t>
        </ns0:is>
      </ns0:c>
      <ns0:c r="E8" s="4" t="inlineStr">
        <ns0:is>
          <ns0:t>独立物品计数，不按重复发动或状态层数计；仅本批凡品</ns0:t>
        </ns0:is>
      </ns0:c>
      <ns0:c r="F8" s="4" t="inlineStr">
        <ns0:is>
          <ns0:t>至少2个来源</ns0:t>
        </ns0:is>
      </ns0:c>
    </ns0:row>
    <ns0:row r="9" ht="30" customHeight="1">
      <ns0:c r="A9" s="15" t="inlineStr">
        <ns0:is>
          <ns0:t>木</ns0:t>
        </ns0:is>
      </ns0:c>
      <ns0:c r="B9" s="15" t="inlineStr">
        <ns0:is>
          <ns0:t>生机</ns0:t>
        </ns0:is>
      </ns0:c>
      <ns0:c r="C9" s="15">
        <ns0:f>COUNTIF('17_效果与触发'!$G$6:$G$171,B9)</ns0:f>
        <ns0:v>4</ns0:v>
      </ns0:c>
      <ns0:c r="D9" s="15" t="inlineStr">
        <ns0:is>
          <ns0:t>A09 木纹冠；A18 藤甲护腿；A22 包铁木盾；F06 青木铃</ns0:t>
        </ns0:is>
      </ns0:c>
      <ns0:c r="E9" s="15" t="inlineStr">
        <ns0:is>
          <ns0:t>独立物品计数，不按重复发动或状态层数计；仅本批凡品</ns0:t>
        </ns0:is>
      </ns0:c>
      <ns0:c r="F9" s="15" t="inlineStr">
        <ns0:is>
          <ns0:t>至少2个来源</ns0:t>
        </ns0:is>
      </ns0:c>
    </ns0:row>
    <ns0:row r="10" ht="30" customHeight="1">
      <ns0:c r="A10" s="4" t="inlineStr">
        <ns0:is>
          <ns0:t>木</ns0:t>
        </ns0:is>
      </ns0:c>
      <ns0:c r="B10" s="4" t="inlineStr">
        <ns0:is>
          <ns0:t>毒蚀</ns0:t>
        </ns0:is>
      </ns0:c>
      <ns0:c r="C10" s="4">
        <ns0:f>COUNTIF('17_效果与触发'!$G$6:$G$171,B10)</ns0:f>
        <ns0:v>2</ns0:v>
      </ns0:c>
      <ns0:c r="D10" s="4" t="inlineStr">
        <ns0:is>
          <ns0:t>W24 藤鞭；H04 毒针</ns0:t>
        </ns0:is>
      </ns0:c>
      <ns0:c r="E10" s="4" t="inlineStr">
        <ns0:is>
          <ns0:t>独立物品计数，不按重复发动或状态层数计；仅本批凡品</ns0:t>
        </ns0:is>
      </ns0:c>
      <ns0:c r="F10" s="4" t="inlineStr">
        <ns0:is>
          <ns0:t>至少2个来源</ns0:t>
        </ns0:is>
      </ns0:c>
    </ns0:row>
    <ns0:row r="11" ht="30" customHeight="1">
      <ns0:c r="A11" s="15" t="inlineStr">
        <ns0:is>
          <ns0:t>木</ns0:t>
        </ns0:is>
      </ns0:c>
      <ns0:c r="B11" s="15" t="inlineStr">
        <ns0:is>
          <ns0:t>缠绕</ns0:t>
        </ns0:is>
      </ns0:c>
      <ns0:c r="C11" s="15">
        <ns0:f>COUNTIF('17_效果与触发'!$G$6:$G$171,B11)</ns0:f>
        <ns0:v>2</ns0:v>
      </ns0:c>
      <ns0:c r="D11" s="15" t="inlineStr">
        <ns0:is>
          <ns0:t>W17 青木枪；W32 荆鞭</ns0:t>
        </ns0:is>
      </ns0:c>
      <ns0:c r="E11" s="15" t="inlineStr">
        <ns0:is>
          <ns0:t>独立物品计数，不按重复发动或状态层数计；仅本批凡品</ns0:t>
        </ns0:is>
      </ns0:c>
      <ns0:c r="F11" s="15" t="inlineStr">
        <ns0:is>
          <ns0:t>至少2个来源</ns0:t>
        </ns0:is>
      </ns0:c>
    </ns0:row>
    <ns0:row r="12" ht="30" customHeight="1">
      <ns0:c r="A12" s="4" t="inlineStr">
        <ns0:is>
          <ns0:t>水</ns0:t>
        </ns0:is>
      </ns0:c>
      <ns0:c r="B12" s="4" t="inlineStr">
        <ns0:is>
          <ns0:t>润脉</ns0:t>
        </ns0:is>
      </ns0:c>
      <ns0:c r="C12" s="4">
        <ns0:f>COUNTIF('17_效果与触发'!$G$6:$G$171,B12)</ns0:f>
        <ns0:v>5</ns0:v>
      </ns0:c>
      <ns0:c r="D12" s="4" t="inlineStr">
        <ns0:is>
          <ns0:t>A02 水纹衣；A13 水纹护臂；A17 水纹护腿；A24 水纹盾；A31 润脉腰带</ns0:t>
        </ns0:is>
      </ns0:c>
      <ns0:c r="E12" s="4" t="inlineStr">
        <ns0:is>
          <ns0:t>独立物品计数，不按重复发动或状态层数计；仅本批凡品</ns0:t>
        </ns0:is>
      </ns0:c>
      <ns0:c r="F12" s="4" t="inlineStr">
        <ns0:is>
          <ns0:t>至少2个来源</ns0:t>
        </ns0:is>
      </ns0:c>
    </ns0:row>
    <ns0:row r="13" ht="30" customHeight="1">
      <ns0:c r="A13" s="15" t="inlineStr">
        <ns0:is>
          <ns0:t>水</ns0:t>
        </ns0:is>
      </ns0:c>
      <ns0:c r="B13" s="15" t="inlineStr">
        <ns0:is>
          <ns0:t>枯脉</ns0:t>
        </ns0:is>
      </ns0:c>
      <ns0:c r="C13" s="15">
        <ns0:f>COUNTIF('17_效果与触发'!$G$6:$G$171,B13)</ns0:f>
        <ns0:v>2</ns0:v>
      </ns0:c>
      <ns0:c r="D13" s="15" t="inlineStr">
        <ns0:is>
          <ns0:t>W12 水纹弓；F15 枯脉瓶</ns0:t>
        </ns0:is>
      </ns0:c>
      <ns0:c r="E13" s="15" t="inlineStr">
        <ns0:is>
          <ns0:t>独立物品计数，不按重复发动或状态层数计；仅本批凡品</ns0:t>
        </ns0:is>
      </ns0:c>
      <ns0:c r="F13" s="15" t="inlineStr">
        <ns0:is>
          <ns0:t>至少2个来源</ns0:t>
        </ns0:is>
      </ns0:c>
    </ns0:row>
    <ns0:row r="14" ht="30" customHeight="1">
      <ns0:c r="A14" s="4" t="inlineStr">
        <ns0:is>
          <ns0:t>水</ns0:t>
        </ns0:is>
      </ns0:c>
      <ns0:c r="B14" s="4" t="inlineStr">
        <ns0:is>
          <ns0:t>寒霜</ns0:t>
        </ns0:is>
      </ns0:c>
      <ns0:c r="C14" s="4">
        <ns0:f>COUNTIF('17_效果与触发'!$G$6:$G$171,B14)</ns0:f>
        <ns0:v>2</ns0:v>
      </ns0:c>
      <ns0:c r="D14" s="4" t="inlineStr">
        <ns0:is>
          <ns0:t>W03 寒水剑；F07 寒水珠</ns0:t>
        </ns0:is>
      </ns0:c>
      <ns0:c r="E14" s="4" t="inlineStr">
        <ns0:is>
          <ns0:t>独立物品计数，不按重复发动或状态层数计；仅本批凡品</ns0:t>
        </ns0:is>
      </ns0:c>
      <ns0:c r="F14" s="4" t="inlineStr">
        <ns0:is>
          <ns0:t>至少2个来源</ns0:t>
        </ns0:is>
      </ns0:c>
    </ns0:row>
    <ns0:row r="15" ht="30" customHeight="1">
      <ns0:c r="A15" s="15" t="inlineStr">
        <ns0:is>
          <ns0:t>火</ns0:t>
        </ns0:is>
      </ns0:c>
      <ns0:c r="B15" s="15" t="inlineStr">
        <ns0:is>
          <ns0:t>附炎</ns0:t>
        </ns0:is>
      </ns0:c>
      <ns0:c r="C15" s="15">
        <ns0:f>COUNTIF('17_效果与触发'!$G$6:$G$171,B15)</ns0:f>
        <ns0:v>4</ns0:v>
      </ns0:c>
      <ns0:c r="D15" s="15" t="inlineStr">
        <ns0:is>
          <ns0:t>A04 赤铜甲；A28 燎火护臂；A30 炎纹护肩；F08 火灵珠</ns0:t>
        </ns0:is>
      </ns0:c>
      <ns0:c r="E15" s="15" t="inlineStr">
        <ns0:is>
          <ns0:t>独立物品计数，不按重复发动或状态层数计；仅本批凡品</ns0:t>
        </ns0:is>
      </ns0:c>
      <ns0:c r="F15" s="15" t="inlineStr">
        <ns0:is>
          <ns0:t>至少2个来源</ns0:t>
        </ns0:is>
      </ns0:c>
    </ns0:row>
    <ns0:row r="16" ht="30" customHeight="1">
      <ns0:c r="A16" s="4" t="inlineStr">
        <ns0:is>
          <ns0:t>火</ns0:t>
        </ns0:is>
      </ns0:c>
      <ns0:c r="B16" s="4" t="inlineStr">
        <ns0:is>
          <ns0:t>灼烧</ns0:t>
        </ns0:is>
      </ns0:c>
      <ns0:c r="C16" s="4">
        <ns0:f>COUNTIF('17_效果与触发'!$G$6:$G$171,B16)</ns0:f>
        <ns0:v>2</ns0:v>
      </ns0:c>
      <ns0:c r="D16" s="4" t="inlineStr">
        <ns0:is>
          <ns0:t>W02 赤纹剑；W33 赤焰枪</ns0:t>
        </ns0:is>
      </ns0:c>
      <ns0:c r="E16" s="4" t="inlineStr">
        <ns0:is>
          <ns0:t>独立物品计数，不按重复发动或状态层数计；仅本批凡品</ns0:t>
        </ns0:is>
      </ns0:c>
      <ns0:c r="F16" s="4" t="inlineStr">
        <ns0:is>
          <ns0:t>至少2个来源</ns0:t>
        </ns0:is>
      </ns0:c>
    </ns0:row>
    <ns0:row r="17" ht="30" customHeight="1">
      <ns0:c r="A17" s="15" t="inlineStr">
        <ns0:is>
          <ns0:t>火</ns0:t>
        </ns0:is>
      </ns0:c>
      <ns0:c r="B17" s="15" t="inlineStr">
        <ns0:is>
          <ns0:t>破甲</ns0:t>
        </ns0:is>
      </ns0:c>
      <ns0:c r="C17" s="15">
        <ns0:f>COUNTIF('17_效果与触发'!$G$6:$G$171,B17)</ns0:f>
        <ns0:v>2</ns0:v>
      </ns0:c>
      <ns0:c r="D17" s="15" t="inlineStr">
        <ns0:is>
          <ns0:t>W07 赤焰刀；W20 炎纹锤</ns0:t>
        </ns0:is>
      </ns0:c>
      <ns0:c r="E17" s="15" t="inlineStr">
        <ns0:is>
          <ns0:t>独立物品计数，不按重复发动或状态层数计；仅本批凡品</ns0:t>
        </ns0:is>
      </ns0:c>
      <ns0:c r="F17" s="15" t="inlineStr">
        <ns0:is>
          <ns0:t>至少2个来源</ns0:t>
        </ns0:is>
      </ns0:c>
    </ns0:row>
    <ns0:row r="18" ht="30" customHeight="1">
      <ns0:c r="A18" s="4" t="inlineStr">
        <ns0:is>
          <ns0:t>土</ns0:t>
        </ns0:is>
      </ns0:c>
      <ns0:c r="B18" s="4" t="inlineStr">
        <ns0:is>
          <ns0:t>坚韧</ns0:t>
        </ns0:is>
      </ns0:c>
      <ns0:c r="C18" s="4">
        <ns0:f>COUNTIF('17_效果与触发'!$G$6:$G$171,B18)</ns0:f>
        <ns0:v>5</ns0:v>
      </ns0:c>
      <ns0:c r="D18" s="4" t="inlineStr">
        <ns0:is>
          <ns0:t>A08 铁盔；A16 铁胫甲；A19 皮护肩；F09 坤土珠；P05 铁骨丸</ns0:t>
        </ns0:is>
      </ns0:c>
      <ns0:c r="E18" s="4" t="inlineStr">
        <ns0:is>
          <ns0:t>独立物品计数，不按重复发动或状态层数计；仅本批凡品</ns0:t>
        </ns0:is>
      </ns0:c>
      <ns0:c r="F18" s="4" t="inlineStr">
        <ns0:is>
          <ns0:t>至少2个来源</ns0:t>
        </ns0:is>
      </ns0:c>
    </ns0:row>
    <ns0:row r="19" ht="30" customHeight="1">
      <ns0:c r="A19" s="15" t="inlineStr">
        <ns0:is>
          <ns0:t>土</ns0:t>
        </ns0:is>
      </ns0:c>
      <ns0:c r="B19" s="15" t="inlineStr">
        <ns0:is>
          <ns0:t>疲惫</ns0:t>
        </ns0:is>
      </ns0:c>
      <ns0:c r="C19" s="15">
        <ns0:f>COUNTIF('17_效果与触发'!$G$6:$G$171,B19)</ns0:f>
        <ns0:v>2</ns0:v>
      </ns0:c>
      <ns0:c r="D19" s="15" t="inlineStr">
        <ns0:is>
          <ns0:t>W08 开山斧；W22 镇土印</ns0:t>
        </ns0:is>
      </ns0:c>
      <ns0:c r="E19" s="15" t="inlineStr">
        <ns0:is>
          <ns0:t>独立物品计数，不按重复发动或状态层数计；仅本批凡品</ns0:t>
        </ns0:is>
      </ns0:c>
      <ns0:c r="F19" s="15" t="inlineStr">
        <ns0:is>
          <ns0:t>至少2个来源</ns0:t>
        </ns0:is>
      </ns0:c>
    </ns0:row>
    <ns0:row r="20" ht="30" customHeight="1">
      <ns0:c r="A20" s="4" t="inlineStr">
        <ns0:is>
          <ns0:t>土</ns0:t>
        </ns0:is>
      </ns0:c>
      <ns0:c r="B20" s="4" t="inlineStr">
        <ns0:is>
          <ns0:t>重伤</ns0:t>
        </ns0:is>
      </ns0:c>
      <ns0:c r="C20" s="4">
        <ns0:f>COUNTIF('17_效果与触发'!$G$6:$G$171,B20)</ns0:f>
        <ns0:v>2</ns0:v>
      </ns0:c>
      <ns0:c r="D20" s="4" t="inlineStr">
        <ns0:is>
          <ns0:t>W10 厚土斧；W30 震骨锤</ns0:t>
        </ns0:is>
      </ns0:c>
      <ns0:c r="E20" s="4" t="inlineStr">
        <ns0:is>
          <ns0:t>独立物品计数，不按重复发动或状态层数计；仅本批凡品</ns0:t>
        </ns0:is>
      </ns0:c>
      <ns0:c r="F20" s="4" t="inlineStr">
        <ns0:is>
          <ns0:t>至少2个来源</ns0:t>
        </ns0:is>
      </ns0:c>
    </ns0:row>
    <ns0:row r="21" ht="30" customHeight="1">
      <ns0:c r="A21" s="15" t="inlineStr">
        <ns0:is>
          <ns0:t>风</ns0:t>
        </ns0:is>
      </ns0:c>
      <ns0:c r="B21" s="15" t="inlineStr">
        <ns0:is>
          <ns0:t>轻灵</ns0:t>
        </ns0:is>
      </ns0:c>
      <ns0:c r="C21" s="15">
        <ns0:f>COUNTIF('17_效果与触发'!$G$6:$G$171,B21)</ns0:f>
        <ns0:v>4</ns0:v>
      </ns0:c>
      <ns0:c r="D21" s="15" t="inlineStr">
        <ns0:is>
          <ns0:t>A07 皮帽；A10 风纹冠；A15 皮护腿；A21 灵丝腰带</ns0:t>
        </ns0:is>
      </ns0:c>
      <ns0:c r="E21" s="15" t="inlineStr">
        <ns0:is>
          <ns0:t>独立物品计数，不按重复发动或状态层数计；仅本批凡品</ns0:t>
        </ns0:is>
      </ns0:c>
      <ns0:c r="F21" s="15" t="inlineStr">
        <ns0:is>
          <ns0:t>至少2个来源</ns0:t>
        </ns0:is>
      </ns0:c>
    </ns0:row>
    <ns0:row r="22" ht="30" customHeight="1">
      <ns0:c r="A22" s="4" t="inlineStr">
        <ns0:is>
          <ns0:t>风</ns0:t>
        </ns0:is>
      </ns0:c>
      <ns0:c r="B22" s="4" t="inlineStr">
        <ns0:is>
          <ns0:t>失衡</ns0:t>
        </ns0:is>
      </ns0:c>
      <ns0:c r="C22" s="4">
        <ns0:f>COUNTIF('17_效果与触发'!$G$6:$G$171,B22)</ns0:f>
        <ns0:v>2</ns0:v>
      </ns0:c>
      <ns0:c r="D22" s="4" t="inlineStr">
        <ns0:is>
          <ns0:t>W16 风刃匕；F10 逐风旗</ns0:t>
        </ns0:is>
      </ns0:c>
      <ns0:c r="E22" s="4" t="inlineStr">
        <ns0:is>
          <ns0:t>独立物品计数，不按重复发动或状态层数计；仅本批凡品</ns0:t>
        </ns0:is>
      </ns0:c>
      <ns0:c r="F22" s="4" t="inlineStr">
        <ns0:is>
          <ns0:t>至少2个来源</ns0:t>
        </ns0:is>
      </ns0:c>
    </ns0:row>
    <ns0:row r="23" ht="30" customHeight="1">
      <ns0:c r="A23" s="15" t="inlineStr">
        <ns0:is>
          <ns0:t>风</ns0:t>
        </ns0:is>
      </ns0:c>
      <ns0:c r="B23" s="15" t="inlineStr">
        <ns0:is>
          <ns0:t>驱散</ns0:t>
        </ns0:is>
      </ns0:c>
      <ns0:c r="C23" s="15">
        <ns0:f>COUNTIF('17_效果与触发'!$G$6:$G$171,B23)</ns0:f>
        <ns0:v>2</ns0:v>
      </ns0:c>
      <ns0:c r="D23" s="15" t="inlineStr">
        <ns0:is>
          <ns0:t>W31 清风印；F16 清风拂</ns0:t>
        </ns0:is>
      </ns0:c>
      <ns0:c r="E23" s="15" t="inlineStr">
        <ns0:is>
          <ns0:t>独立物品计数，不按重复发动或状态层数计；仅本批凡品</ns0:t>
        </ns0:is>
      </ns0:c>
      <ns0:c r="F23" s="15" t="inlineStr">
        <ns0:is>
          <ns0:t>至少2个来源</ns0:t>
        </ns0:is>
      </ns0:c>
    </ns0:row>
    <ns0:row r="24" ht="30" customHeight="1">
      <ns0:c r="A24" s="4" t="inlineStr">
        <ns0:is>
          <ns0:t>雷</ns0:t>
        </ns0:is>
      </ns0:c>
      <ns0:c r="B24" s="4" t="inlineStr">
        <ns0:is>
          <ns0:t>雷蕴</ns0:t>
        </ns0:is>
      </ns0:c>
      <ns0:c r="C24" s="4">
        <ns0:f>COUNTIF('17_效果与触发'!$G$6:$G$171,B24)</ns0:f>
        <ns0:v>5</ns0:v>
      </ns0:c>
      <ns0:c r="D24" s="4" t="inlineStr">
        <ns0:is>
          <ns0:t>W23 雷纹印；A06 雷纹法袍；A14 雷纹护腕；A29 雷纹护腿；F18 蕴雷铃</ns0:t>
        </ns0:is>
      </ns0:c>
      <ns0:c r="E24" s="4" t="inlineStr">
        <ns0:is>
          <ns0:t>独立物品计数，不按重复发动或状态层数计；仅本批凡品</ns0:t>
        </ns0:is>
      </ns0:c>
      <ns0:c r="F24" s="4" t="inlineStr">
        <ns0:is>
          <ns0:t>至少2个来源</ns0:t>
        </ns0:is>
      </ns0:c>
    </ns0:row>
    <ns0:row r="25" ht="30" customHeight="1">
      <ns0:c r="A25" s="15" t="inlineStr">
        <ns0:is>
          <ns0:t>雷</ns0:t>
        </ns0:is>
      </ns0:c>
      <ns0:c r="B25" s="15" t="inlineStr">
        <ns0:is>
          <ns0:t>雷印</ns0:t>
        </ns0:is>
      </ns0:c>
      <ns0:c r="C25" s="15">
        <ns0:f>COUNTIF('17_效果与触发'!$G$6:$G$171,B25)</ns0:f>
        <ns0:v>3</ns0:v>
      </ns0:c>
      <ns0:c r="D25" s="15" t="inlineStr">
        <ns0:is>
          <ns0:t>W19 雷纹枪；W25 雷鞭；F11 引雷珠</ns0:t>
        </ns0:is>
      </ns0:c>
      <ns0:c r="E25" s="15" t="inlineStr">
        <ns0:is>
          <ns0:t>独立物品计数，不按重复发动或状态层数计；仅本批凡品</ns0:t>
        </ns0:is>
      </ns0:c>
      <ns0:c r="F25" s="15" t="inlineStr">
        <ns0:is>
          <ns0:t>至少2个来源</ns0:t>
        </ns0:is>
      </ns0:c>
    </ns0:row>
    <ns0:row r="26" ht="30" customHeight="1">
      <ns0:c r="A26" s="4" t="inlineStr">
        <ns0:is>
          <ns0:t>雷</ns0:t>
        </ns0:is>
      </ns0:c>
      <ns0:c r="B26" s="4" t="inlineStr">
        <ns0:is>
          <ns0:t>连环</ns0:t>
        </ns0:is>
      </ns0:c>
      <ns0:c r="C26" s="4">
        <ns0:f>COUNTIF('17_效果与触发'!$G$6:$G$171,B26)</ns0:f>
        <ns0:v>2</ns0:v>
      </ns0:c>
      <ns0:c r="D26" s="4" t="inlineStr">
        <ns0:is>
          <ns0:t>W14 雷纹弓；F17 锁雷环</ns0:t>
        </ns0:is>
      </ns0:c>
      <ns0:c r="E26" s="4" t="inlineStr">
        <ns0:is>
          <ns0:t>独立物品计数，不按重复发动或状态层数计；仅本批凡品</ns0:t>
        </ns0:is>
      </ns0:c>
      <ns0:c r="F26" s="4" t="inlineStr">
        <ns0:is>
          <ns0:t>至少2个来源</ns0:t>
        </ns0:is>
      </ns0:c>
    </ns0:row>
  </ns0:sheetData>
  <ns0:mergeCells count="2">
    <ns0:mergeCell ref="A2:F2"/>
    <ns0:mergeCell ref="A1:F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0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E19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6" customWidth="1" min="1" max="1"/>
    <ns0:col width="24" customWidth="1" min="2" max="2"/>
    <ns0:col width="91" customWidth="1" min="3" max="3"/>
    <ns0:col width="95" customWidth="1" min="4" max="4"/>
    <ns0:col width="47" customWidth="1" min="5" max="5"/>
  </ns0:cols>
  <ns0:sheetData>
    <ns0:row r="1" ht="32" customHeight="1">
      <ns0:c r="A1" s="1" t="inlineStr">
        <ns0:is>
          <ns0:t>t01-08｜凡品规则与模板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规则ID</ns0:t>
        </ns0:is>
      </ns0:c>
      <ns0:c r="B5" s="3" t="inlineStr">
        <ns0:is>
          <ns0:t>主题</ns0:t>
        </ns0:is>
      </ns0:c>
      <ns0:c r="C5" s="3" t="inlineStr">
        <ns0:is>
          <ns0:t>现行内容</ns0:t>
        </ns0:is>
      </ns0:c>
      <ns0:c r="D5" s="3" t="inlineStr">
        <ns0:is>
          <ns0:t>边界</ns0:t>
        </ns0:is>
      </ns0:c>
      <ns0:c r="E5" s="3" t="inlineStr">
        <ns0:is>
          <ns0:t>状态／依据</ns0:t>
        </ns0:is>
      </ns0:c>
    </ns0:row>
    <ns0:row r="6" ht="30" customHeight="1">
      <ns0:c r="A6" s="4" t="inlineStr">
        <ns0:is>
          <ns0:t>FP-R01</ns0:t>
        </ns0:is>
      </ns0:c>
      <ns0:c r="B6" s="4" t="inlineStr">
        <ns0:is>
          <ns0:t>字段含义</ns0:t>
        </ns0:is>
      </ns0:c>
      <ns0:c r="C6" s="4" t="inlineStr">
        <ns0:is>
          <ns0:t>武器／暗器元素为攻击元素；防具为防御元素；法器为明确效果归类。</ns0:t>
        </ns0:is>
      </ns0:c>
      <ns0:c r="D6" s="4" t="inlineStr">
        <ns0:is>
          <ns0:t>标签不赠第二份伤害；仅金光镜／寒水珠有法器本体攻击。</ns0:t>
        </ns0:is>
      </ns0:c>
      <ns0:c r="E6" s="4" t="inlineStr">
        <ns0:is>
          <ns0:t>已按第2／3批合并</ns0:t>
        </ns0:is>
      </ns0:c>
    </ns0:row>
    <ns0:row r="7" ht="30" customHeight="1">
      <ns0:c r="A7" s="15" t="inlineStr">
        <ns0:is>
          <ns0:t>FP-R02</ns0:t>
        </ns0:is>
      </ns0:c>
      <ns0:c r="B7" s="15" t="inlineStr">
        <ns0:is>
          <ns0:t>元素与单状态</ns0:t>
        </ns0:is>
      </ns0:c>
      <ns0:c r="C7" s="15" t="inlineStr">
        <ns0:is>
          <ns0:t>本批武器、防具、法器固定元素与其七系单状态匹配；无状态可有元素。</ns0:t>
        </ns0:is>
      </ns0:c>
      <ns0:c r="D7" s="15" t="inlineStr">
        <ns0:is>
          <ns0:t>不扩展到暗器；毒针仍无属性；丹药状态／减伤类别不作为防御投票。</ns0:t>
        </ns0:is>
      </ns0:c>
      <ns0:c r="E7" s="15" t="inlineStr">
        <ns0:is>
          <ns0:t>本批资产设计原则</ns0:t>
        </ns0:is>
      </ns0:c>
    </ns0:row>
    <ns0:row r="8" ht="30" customHeight="1">
      <ns0:c r="A8" s="4" t="inlineStr">
        <ns0:is>
          <ns0:t>FP-R03</ns0:t>
        </ns0:is>
      </ns0:c>
      <ns0:c r="B8" s="4" t="inlineStr">
        <ns0:is>
          <ns0:t>品级权限</ns0:t>
        </ns0:is>
      </ns0:c>
      <ns0:c r="C8" s="4" t="inlineStr">
        <ns0:is>
          <ns0:t>凡品固定单元素＋一种简单状态按本批口径开放；三组具名基础联动单列。</ns0:t>
        </ns0:is>
      </ns0:c>
      <ns0:c r="D8" s="4" t="inlineStr">
        <ns0:is>
          <ns0:t>不扩双状态、复杂监听、来源改写、自由功能槽或凡品正式套装。</ns0:t>
        </ns0:is>
      </ns0:c>
      <ns0:c r="E8" s="4" t="inlineStr">
        <ns0:is>
          <ns0:t>须同步03 C010／C030</ns0:t>
        </ns0:is>
      </ns0:c>
    </ns0:row>
    <ns0:row r="9" ht="30" customHeight="1">
      <ns0:c r="A9" s="15" t="inlineStr">
        <ns0:is>
          <ns0:t>FP-R04</ns0:t>
        </ns0:is>
      </ns0:c>
      <ns0:c r="B9" s="15" t="inlineStr">
        <ns0:is>
          <ns0:t>防御元素</ns0:t>
        </ns0:is>
      </ns0:c>
      <ns0:c r="C9" s="15" t="inlineStr">
        <ns0:is>
          <ns0:t>身甲每格2、其他防具每格1；NONE纳入最高候选，最高并列仍逐行扫描。</ns0:t>
        </ns0:is>
      </ns0:c>
      <ns0:c r="D9" s="15" t="inlineStr">
        <ns0:is>
          <ns0:t>无防具NONE；只有防具投票；不对元素决胜新增身甲优先。</ns0:t>
        </ns0:is>
      </ns0:c>
      <ns0:c r="E9" s="15" t="inlineStr">
        <ns0:is>
          <ns0:t>FP02已确认</ns0:t>
        </ns0:is>
      </ns0:c>
    </ns0:row>
    <ns0:row r="10" ht="30" customHeight="1">
      <ns0:c r="A10" s="4" t="inlineStr">
        <ns0:is>
          <ns0:t>FP-R05</ns0:t>
        </ns0:is>
      </ns0:c>
      <ns0:c r="B10" s="4" t="inlineStr">
        <ns0:is>
          <ns0:t>武器体力负担</ns0:t>
        </ns0:is>
      </ns0:c>
      <ns0:c r="C10" s="4" t="inlineStr">
        <ns0:is>
          <ns0:t>1把100%；2把所有体力成本＋25%；3把所有体力成本＋50%，按基础加算。</ns0:t>
        </ns0:is>
      </ns0:c>
      <ns0:c r="D10" s="4" t="inlineStr">
        <ns0:is>
          <ns0:t>本批比较按三把×1.5；具体影响留后测；不混用旧按占格＋5%口径。</ns0:t>
        </ns0:is>
      </ns0:c>
      <ns0:c r="E10" s="4" t="inlineStr">
        <ns0:is>
          <ns0:t>用户直接明确；更多把数不外推</ns0:t>
        </ns0:is>
      </ns0:c>
    </ns0:row>
    <ns0:row r="11" ht="30" customHeight="1">
      <ns0:c r="A11" s="15" t="inlineStr">
        <ns0:is>
          <ns0:t>FP-R06</ns0:t>
        </ns0:is>
      </ns0:c>
      <ns0:c r="B11" s="15" t="inlineStr">
        <ns0:is>
          <ns0:t>首瓶丹药</ns0:t>
        </ns0:is>
      </ns0:c>
      <ns0:c r="C11" s="15" t="inlineStr">
        <ns0:is>
          <ns0:t>首瓶开局具备使用资格；只要未使用就不进CD；实际使用后进入完整CD。</ns0:t>
        </ns0:is>
      </ns0:c>
      <ns0:c r="D11" s="15" t="inlineStr">
        <ns0:is>
          <ns0:t>仍检查资源缺口／持续药效／容量等使用条件；不把首瓶就绪写成强制服用。</ns0:t>
        </ns0:is>
      </ns0:c>
      <ns0:c r="E11" s="15" t="inlineStr">
        <ns0:is>
          <ns0:t>用户直接明确；下品丹药同步</ns0:t>
        </ns0:is>
      </ns0:c>
    </ns0:row>
    <ns0:row r="12" ht="30" customHeight="1">
      <ns0:c r="A12" s="4" t="inlineStr">
        <ns0:is>
          <ns0:t>FP-R07</ns0:t>
        </ns0:is>
      </ns0:c>
      <ns0:c r="B12" s="4" t="inlineStr">
        <ns0:is>
          <ns0:t>受击状态计时</ns0:t>
        </ns0:is>
      </ns0:c>
      <ns0:c r="C12" s="4" t="inlineStr">
        <ns0:is>
          <ns0:t>独立9秒；开战先走9秒，归零等待合格受击，成功施加后重开。</ns0:t>
        </ns0:is>
      </ns0:c>
      <ns0:c r="D12" s="4" t="inlineStr">
        <ns0:is>
          <ns0:t>普通回甲CD独立；施加成功读应用结果，不能以池净增量判断。</ns0:t>
        </ns0:is>
      </ns0:c>
      <ns0:c r="E12" s="4" t="inlineStr">
        <ns0:is>
          <ns0:t>复查明确，接01／02接口</ns0:t>
        </ns0:is>
      </ns0:c>
    </ns0:row>
    <ns0:row r="13" ht="30" customHeight="1">
      <ns0:c r="A13" s="15" t="inlineStr">
        <ns0:is>
          <ns0:t>FP-R08</ns0:t>
        </ns0:is>
      </ns0:c>
      <ns0:c r="B13" s="15" t="inlineStr">
        <ns0:is>
          <ns0:t>普通灵障吸收</ns0:t>
        </ns0:is>
      </ns0:c>
      <ns0:c r="C13" s="15" t="inlineStr">
        <ns0:is>
          <ns0:t>符合普通防御路线的伤害按30%，实际扣值min(现灵障,进入阶段伤害×30%)。</ns0:t>
        </ns0:is>
      </ns0:c>
      <ns0:c r="D13" s="15" t="inlineStr">
        <ns0:is>
          <ns0:t>明确绕过该层的伤害不吸收；雷盾耗尽的同轮不接灵障；同轮原已启用灵障可继续承伤。</ns0:t>
        </ns0:is>
      </ns0:c>
      <ns0:c r="E13" s="15" t="inlineStr">
        <ns0:is>
          <ns0:t>核心01 §1.3／5.52～53／5.114～117</ns0:t>
        </ns0:is>
      </ns0:c>
    </ns0:row>
    <ns0:row r="14" ht="40" customHeight="1">
      <ns0:c r="A14" s="4" t="inlineStr">
        <ns0:is>
          <ns0:t>FP-R09</ns0:t>
        </ns0:is>
      </ns0:c>
      <ns0:c r="B14" s="4" t="inlineStr">
        <ns0:is>
          <ns0:t>普通灵障再生成</ns0:t>
        </ns0:is>
      </ns0:c>
      <ns0:c r="C14" s="4" t="inlineStr">
        <ns0:is>
          <ns0:t>再次生成加进现有普通灵障池，实际增加不超过当前容量缺口；容量足够时10＋15＝25，溢出不存入。</ns0:t>
        </ns0:is>
      </ns0:c>
      <ns0:c r="D14" s="4" t="inlineStr">
        <ns0:is>
          <ns0:t>仅普通灵障；来源份额为返锋等合格效果保留，不能抹去来源。</ns0:t>
        </ns0:is>
      </ns0:c>
      <ns0:c r="E14" s="4" t="inlineStr">
        <ns0:is>
          <ns0:t>已确认</ns0:t>
        </ns0:is>
      </ns0:c>
    </ns0:row>
    <ns0:row r="15" ht="40" customHeight="1">
      <ns0:c r="A15" s="15" t="inlineStr">
        <ns0:is>
          <ns0:t>FP-R10</ns0:t>
        </ns0:is>
      </ns0:c>
      <ns0:c r="B15" s="15" t="inlineStr">
        <ns0:is>
          <ns0:t>普通灵障容量</ns0:t>
        </ns0:is>
      </ns0:c>
      <ns0:c r="C15" s="15" t="inlineStr">
        <ns0:is>
          <ns0:t>当前普通灵障上限＝境界基础上限＋阵盘、法器及其他明确来源的上限加成。凡人10、炼气20、筑基30、结丹40、元婴50、化神60；上限加成暂不设统一封顶。池内存值仍受当前上限约束。</ns0:t>
        </ns0:is>
      </ns0:c>
      <ns0:c r="D15" s="15" t="inlineStr">
        <ns0:is>
          <ns0:t>不套用雷盾层数上限；不擅造境界上限。</ns0:t>
        </ns0:is>
      </ns0:c>
      <ns0:c r="E15" s="15" t="inlineStr">
        <ns0:is>
          <ns0:t>已确认</ns0:t>
        </ns0:is>
      </ns0:c>
    </ns0:row>
    <ns0:row r="16" ht="30" customHeight="1">
      <ns0:c r="A16" s="4" t="inlineStr">
        <ns0:is>
          <ns0:t>FP-R11</ns0:t>
        </ns0:is>
      </ns0:c>
      <ns0:c r="B16" s="4" t="inlineStr">
        <ns0:is>
          <ns0:t>普通灵障生命周期</ns0:t>
        </ns0:is>
      </ns0:c>
      <ns0:c r="C16" s="4" t="inlineStr">
        <ns0:is>
          <ns0:t>战内不自然到期、不随时间衰减；剩余值保留到被消耗或战斗结束，战后清空。</ns0:t>
        </ns0:is>
      </ns0:c>
      <ns0:c r="D16" s="4" t="inlineStr">
        <ns0:is>
          <ns0:t>普通灵障与特殊盾分别保存；不把雷盾生层／替换当普通灵障到期。</ns0:t>
        </ns0:is>
      </ns0:c>
      <ns0:c r="E16" s="4" t="inlineStr">
        <ns0:is>
          <ns0:t>本次模板已补齐</ns0:t>
        </ns0:is>
      </ns0:c>
    </ns0:row>
    <ns0:row r="17" ht="30" customHeight="1">
      <ns0:c r="A17" s="15" t="inlineStr">
        <ns0:is>
          <ns0:t>FP-R12</ns0:t>
        </ns0:is>
      </ns0:c>
      <ns0:c r="B17" s="15" t="inlineStr">
        <ns0:is>
          <ns0:t>五行减伤药</ns0:t>
        </ns0:is>
      </ns0:c>
      <ns0:c r="C17" s="15" t="inlineStr">
        <ns0:is>
          <ns0:t>金木水火土各1，直接对应元素分量－10%／12秒，同基础加算。</ns0:t>
        </ns0:is>
      </ns0:c>
      <ns0:c r="D17" s="15" t="inlineStr">
        <ns0:is>
          <ns0:t>同款不叠幅，不同款并存；不改主甲型／防御元素，不减跳伤、不免疫状态或控制。</ns0:t>
        </ns0:is>
      </ns0:c>
      <ns0:c r="E17" s="15" t="inlineStr">
        <ns0:is>
          <ns0:t>本次FP01丹药补表</ns0:t>
        </ns0:is>
      </ns0:c>
    </ns0:row>
    <ns0:row r="18" ht="30" customHeight="1">
      <ns0:c r="A18" s="4" t="inlineStr">
        <ns0:is>
          <ns0:t>FP-R13</ns0:t>
        </ns0:is>
      </ns0:c>
      <ns0:c r="B18" s="4" t="inlineStr">
        <ns0:is>
          <ns0:t>升品与获取</ns0:t>
        </ns0:is>
      </ns0:c>
      <ns0:c r="C18" s="4" t="inlineStr">
        <ns0:is>
          <ns0:t>升品承接明确延后；不按名字猜谱系、跨品级替代或自动拆联动。</ns0:t>
        </ns0:is>
      </ns0:c>
      <ns0:c r="D18" s="4" t="inlineStr">
        <ns0:is>
          <ns0:t>本轮无具体器方、商店、概率或供给量，不虚构07投放。</ns0:t>
        </ns0:is>
      </ns0:c>
      <ns0:c r="E18" s="4" t="inlineStr">
        <ns0:is>
          <ns0:t>用户明确稍后考虑</ns0:t>
        </ns0:is>
      </ns0:c>
    </ns0:row>
    <ns0:row r="19" ht="55" customHeight="1">
      <ns0:c r="A19" s="15" t="inlineStr">
        <ns0:is>
          <ns0:t>FP-R14</ns0:t>
        </ns0:is>
      </ns0:c>
      <ns0:c r="B19" s="15" t="inlineStr">
        <ns0:is>
          <ns0:t>灵障珠发动与付费</ns0:t>
        </ns0:is>
      </ns0:c>
      <ns0:c r="C19" s="15" t="inlineStr">
        <ns0:is>
          <ns0:t>F14灵障珠满上限仍正常发动，消耗6灵力并重开10.5秒CD，实际增加0；未满时实际增加min(15,容量缺口)，费用仍6。仍检查控制、资源等正常发动资格；费用不足不能发动。此空转支付是F14的已定策略，不自动推广其他资产。</ns0:t>
        </ns0:is>
      </ns0:c>
      <ns0:c r="D19" s="15" t="inlineStr">
        <ns0:is>
          <ns0:t>普通灵障生成接口与具体资产的发动门槛分开；满值不收费的建议未采用。</ns0:t>
        </ns0:is>
      </ns0:c>
      <ns0:c r="E19" s="15" t="inlineStr">
        <ns0:is>
          <ns0:t>FP06已确认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J11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16" customWidth="1" min="2" max="2"/>
    <ns0:col width="20" customWidth="1" min="3" max="3"/>
    <ns0:col width="16" customWidth="1" min="4" max="4"/>
    <ns0:col width="24" customWidth="1" min="5" max="5"/>
    <ns0:col width="25" customWidth="1" min="6" max="6"/>
    <ns0:col width="80" customWidth="1" min="7" max="7"/>
    <ns0:col width="20" customWidth="1" min="8" max="8"/>
    <ns0:col width="20" customWidth="1" min="9" max="9"/>
    <ns0:col width="45" customWidth="1" min="10" max="10"/>
  </ns0:cols>
  <ns0:sheetData>
    <ns0:row r="1" ht="32" customHeight="1">
      <ns0:c r="A1" s="1" t="inlineStr">
        <ns0:is>
          <ns0:t>t01-08｜平衡核对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组合</ns0:t>
        </ns0:is>
      </ns0:c>
      <ns0:c r="B5" s="3" t="inlineStr">
        <ns0:is>
          <ns0:t>组合占格</ns0:t>
        </ns0:is>
      </ns0:c>
      <ns0:c r="C5" s="3" t="inlineStr">
        <ns0:is>
          <ns0:t>名义直伤每秒</ns0:t>
        </ns0:is>
      </ns0:c>
      <ns0:c r="D5" s="3" t="inlineStr">
        <ns0:is>
          <ns0:t>体力倍率</ns0:t>
        </ns0:is>
      </ns0:c>
      <ns0:c r="E5" s="3" t="inlineStr">
        <ns0:is>
          <ns0:t>修正后体力每秒</ns0:t>
        </ns0:is>
      </ns0:c>
      <ns0:c r="F5" s="3" t="inlineStr">
        <ns0:is>
          <ns0:t>行气珠理想供给每秒</ns0:t>
        </ns0:is>
      </ns0:c>
      <ns0:c r="G5" s="3" t="inlineStr">
        <ns0:is>
          <ns0:t>局限</ns0:t>
        </ns0:is>
      </ns0:c>
      <ns0:c r="H5" s="3" t="inlineStr">
        <ns0:is>
          <ns0:t>组合护甲上限</ns0:t>
        </ns0:is>
      </ns0:c>
      <ns0:c r="I5" s="3" t="inlineStr">
        <ns0:is>
          <ns0:t>名义回甲每秒</ns0:t>
        </ns0:is>
      </ns0:c>
      <ns0:c r="J5" s="3" t="inlineStr">
        <ns0:is>
          <ns0:t>首次药效时点</ns0:t>
        </ns0:is>
      </ns0:c>
    </ns0:row>
    <ns0:row r="6" ht="30" customHeight="1">
      <ns0:c r="A6" s="4" t="inlineStr">
        <ns0:is>
          <ns0:t>三把短刃</ns0:t>
        </ns0:is>
      </ns0:c>
      <ns0:c r="B6" s="4" t="n">
        <ns0:v>3</ns0:v>
      </ns0:c>
      <ns0:c r="C6" s="4">
        <ns0:f>'02_武器'!J27/'02_武器'!K27+'02_武器'!J28/'02_武器'!K28+'02_武器'!J37/'02_武器'!K37</ns0:f>
        <ns0:v>6.396825396825397</ns0:v>
      </ns0:c>
      <ns0:c r="D6" s="4" t="n">
        <ns0:v>1.5</ns0:v>
      </ns0:c>
      <ns0:c r="E6" s="4">
        <ns0:f>('02_武器'!L27/'02_武器'!K27+'02_武器'!L28/'02_武器'!K28+'02_武器'!L37/'02_武器'!K37)*D6</ns0:f>
        <ns0:v>2.5238095238095237</ns0:v>
      </ns0:c>
      <ns0:c r="F6" s="4">
        <ns0:f>'04_法器'!L11/'04_法器'!J11</ns0:f>
        <ns0:v>2.4</ns0:v>
      </ns0:c>
      <ns0:c r="G6" s="4" t="inlineStr">
        <ns0:is>
          <ns0:t>命中／暴击／状态／防御／首轮／资源不足均未计；仅名义比值，不是模拟</ns0:t>
        </ns0:is>
      </ns0:c>
      <ns0:c r="H6" s="4" t="n"/>
      <ns0:c r="I6" s="4" t="n"/>
      <ns0:c r="J6" s="4" t="n"/>
    </ns0:row>
    <ns0:row r="7" ht="30" customHeight="1">
      <ns0:c r="A7" s="15" t="inlineStr">
        <ns0:is>
          <ns0:t>赤焰枪</ns0:t>
        </ns0:is>
      </ns0:c>
      <ns0:c r="B7" s="15" t="n">
        <ns0:v>3</ns0:v>
      </ns0:c>
      <ns0:c r="C7" s="15">
        <ns0:f>'02_武器'!J41/'02_武器'!K41</ns0:f>
        <ns0:v>4.0</ns0:v>
      </ns0:c>
      <ns0:c r="D7" s="15" t="n">
        <ns0:v>1</ns0:v>
      </ns0:c>
      <ns0:c r="E7" s="15">
        <ns0:f>('02_武器'!L41/'02_武器'!K41)*D7</ns0:f>
        <ns0:v>0.8888888888888888</ns0:v>
      </ns0:c>
      <ns0:c r="F7" s="15">
        <ns0:f>'04_法器'!L11/'04_法器'!J11</ns0:f>
        <ns0:v>2.4</ns0:v>
      </ns0:c>
      <ns0:c r="G7" s="15" t="inlineStr">
        <ns0:is>
          <ns0:t>命中／暴击／状态／防御／首轮／资源不足均未计；仅名义比值，不是模拟</ns0:t>
        </ns0:is>
      </ns0:c>
      <ns0:c r="H7" s="15" t="n"/>
      <ns0:c r="I7" s="15" t="n"/>
      <ns0:c r="J7" s="15" t="n"/>
    </ns0:row>
    <ns0:row r="8" ht="60" customHeight="1">
      <ns0:c r="A8" s="4" t="inlineStr">
        <ns0:is>
          <ns0:t>水纹三件</ns0:t>
        </ns0:is>
      </ns0:c>
      <ns0:c r="B8" s="4" t="n">
        <ns0:v>4</ns0:v>
      </ns0:c>
      <ns0:c r="C8" s="4" t="n"/>
      <ns0:c r="D8" s="4" t="n"/>
      <ns0:c r="E8" s="4" t="n"/>
      <ns0:c r="F8" s="4" t="n"/>
      <ns0:c r="G8" s="4" t="inlineStr">
        <ns0:is>
          <ns0:t>状态收益／满甲溢出／首轮及控制均未计；候选参数比值，不是平衡结论</ns0:t>
        </ns0:is>
      </ns0:c>
      <ns0:c r="H8" s="4">
        <ns0:f>'09_基础防具联动'!J8</ns0:f>
        <ns0:v>22</ns0:v>
      </ns0:c>
      <ns0:c r="I8" s="4">
        <ns0:f>'09_基础防具联动'!K8/'09_基础防具联动'!L8+'03_防具'!L25/'03_防具'!J25+'03_防具'!L29/'03_防具'!J29</ns0:f>
        <ns0:v>1.5882352941176472</ns0:v>
      </ns0:c>
      <ns0:c r="J8" s="4" t="n"/>
    </ns0:row>
    <ns0:row r="9" ht="60" customHeight="1">
      <ns0:c r="A9" s="4" t="inlineStr">
        <ns0:is>
          <ns0:t>铁甲三件</ns0:t>
        </ns0:is>
      </ns0:c>
      <ns0:c r="B9" s="4" t="n">
        <ns0:v>4</ns0:v>
      </ns0:c>
      <ns0:c r="C9" s="4" t="n"/>
      <ns0:c r="D9" s="4" t="n"/>
      <ns0:c r="E9" s="4" t="n"/>
      <ns0:c r="F9" s="4" t="n"/>
      <ns0:c r="G9" s="4" t="inlineStr">
        <ns0:is>
          <ns0:t>状态收益／满甲溢出／首轮及控制均未计；候选参数比值，不是平衡结论</ns0:t>
        </ns0:is>
      </ns0:c>
      <ns0:c r="H9" s="4">
        <ns0:f>'09_基础防具联动'!J9</ns0:f>
        <ns0:v>29</ns0:v>
      </ns0:c>
      <ns0:c r="I9" s="4">
        <ns0:f>'09_基础防具联动'!K9/'09_基础防具联动'!L9+'03_防具'!L24/'03_防具'!J24+'03_防具'!L28/'03_防具'!J28</ns0:f>
        <ns0:v>2.265359477124183</ns0:v>
      </ns0:c>
      <ns0:c r="J9" s="4" t="n"/>
    </ns0:row>
    <ns0:row r="10" ht="60" customHeight="1">
      <ns0:c r="A10" s="4" t="inlineStr">
        <ns0:is>
          <ns0:t>雷纹三件</ns0:t>
        </ns0:is>
      </ns0:c>
      <ns0:c r="B10" s="4" t="n">
        <ns0:v>4</ns0:v>
      </ns0:c>
      <ns0:c r="C10" s="4" t="n"/>
      <ns0:c r="D10" s="4" t="n"/>
      <ns0:c r="E10" s="4" t="n"/>
      <ns0:c r="F10" s="4" t="n"/>
      <ns0:c r="G10" s="4" t="inlineStr">
        <ns0:is>
          <ns0:t>状态收益／满甲溢出／首轮及控制均未计；候选参数比值，不是平衡结论</ns0:t>
        </ns0:is>
      </ns0:c>
      <ns0:c r="H10" s="4">
        <ns0:f>'09_基础防具联动'!J10</ns0:f>
        <ns0:v>25</ns0:v>
      </ns0:c>
      <ns0:c r="I10" s="4">
        <ns0:f>'09_基础防具联动'!K10/'09_基础防具联动'!L10+'03_防具'!L26/'03_防具'!J26+'03_防具'!L39/'03_防具'!J39</ns0:f>
        <ns0:v>1.3333333333333335</ns0:v>
      </ns0:c>
      <ns0:c r="J10" s="4" t="n"/>
    </ns0:row>
    <ns0:row r="11" ht="60" customHeight="1">
      <ns0:c r="A11" s="4" t="inlineStr">
        <ns0:is>
          <ns0:t>丹药开局</ns0:t>
        </ns0:is>
      </ns0:c>
      <ns0:c r="B11" s="4" t="n"/>
      <ns0:c r="C11" s="4" t="n"/>
      <ns0:c r="D11" s="4" t="n"/>
      <ns0:c r="E11" s="4" t="n"/>
      <ns0:c r="F11" s="4" t="n"/>
      <ns0:c r="G11" s="4" t="inlineStr">
        <ns0:is>
          <ns0:t>使用资格不等于强制服药；仍检查资源缺口等条件</ns0:t>
        </ns0:is>
      </ns0:c>
      <ns0:c r="H11" s="4" t="n"/>
      <ns0:c r="I11" s="4" t="n"/>
      <ns0:c r="J11" s="4" t="inlineStr">
        <ns0:is>
          <ns0:t>回春丹最早t0用、第2/4/6秒跳；五行药t0可生效12秒，使用后CD22.5秒。</ns0:t>
        </ns0:is>
      </ns0:c>
    </ns0:row>
  </ns0:sheetData>
  <ns0:mergeCells count="2">
    <ns0:mergeCell ref="A1:J1"/>
    <ns0:mergeCell ref="A2:J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F37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5" customWidth="1" min="1" max="1"/>
    <ns0:col width="23" customWidth="1" min="2" max="2"/>
    <ns0:col width="47" customWidth="1" min="3" max="3"/>
    <ns0:col width="77" customWidth="1" min="4" max="4"/>
    <ns0:col width="30" customWidth="1" min="5" max="5"/>
    <ns0:col width="33" customWidth="1" min="6" max="6"/>
  </ns0:cols>
  <ns0:sheetData>
    <ns0:row r="1" ht="32" customHeight="1">
      <ns0:c r="A1" s="1" t="inlineStr">
        <ns0:is>
          <ns0:t>t01-08｜修订与停列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编号</ns0:t>
        </ns0:is>
      </ns0:c>
      <ns0:c r="B5" s="3" t="inlineStr">
        <ns0:is>
          <ns0:t>修改项</ns0:t>
        </ns0:is>
      </ns0:c>
      <ns0:c r="C5" s="3" t="inlineStr">
        <ns0:is>
          <ns0:t>旧值</ns0:t>
        </ns0:is>
      </ns0:c>
      <ns0:c r="D5" s="3" t="inlineStr">
        <ns0:is>
          <ns0:t>现值</ns0:t>
        </ns0:is>
      </ns0:c>
      <ns0:c r="E5" s="3" t="inlineStr">
        <ns0:is>
          <ns0:t>依据</ns0:t>
        </ns0:is>
      </ns0:c>
      <ns0:c r="F5" s="3" t="inlineStr">
        <ns0:is>
          <ns0:t>处理</ns0:t>
        </ns0:is>
      </ns0:c>
    </ns0:row>
    <ns0:row r="6" ht="30" customHeight="1">
      <ns0:c r="A6" s="4" t="inlineStr">
        <ns0:is>
          <ns0:t>W05</ns0:t>
        </ns0:is>
      </ns0:c>
      <ns0:c r="B6" s="4" t="inlineStr">
        <ns0:is>
          <ns0:t>element</ns0:t>
        </ns0:is>
      </ns0:c>
      <ns0:c r="C6" s="4" t="inlineStr">
        <ns0:is>
          <ns0:t>无属性</ns0:t>
        </ns0:is>
      </ns0:c>
      <ns0:c r="D6" s="4" t="inlineStr">
        <ns0:is>
          <ns0:t>金</ns0:t>
        </ns0:is>
      </ns0:c>
      <ns0:c r="E6" s="4" t="inlineStr">
        <ns0:is>
          <ns0:t>第2／3批覆盖</ns0:t>
        </ns0:is>
      </ns0:c>
      <ns0:c r="F6" s="4" t="inlineStr">
        <ns0:is>
          <ns0:t>已合入分类正文</ns0:t>
        </ns0:is>
      </ns0:c>
    </ns0:row>
    <ns0:row r="7" ht="30" customHeight="1">
      <ns0:c r="A7" s="15" t="inlineStr">
        <ns0:is>
          <ns0:t>W08</ns0:t>
        </ns0:is>
      </ns0:c>
      <ns0:c r="B7" s="15" t="inlineStr">
        <ns0:is>
          <ns0:t>element</ns0:t>
        </ns0:is>
      </ns0:c>
      <ns0:c r="C7" s="15" t="inlineStr">
        <ns0:is>
          <ns0:t>无属性</ns0:t>
        </ns0:is>
      </ns0:c>
      <ns0:c r="D7" s="15" t="inlineStr">
        <ns0:is>
          <ns0:t>土</ns0:t>
        </ns0:is>
      </ns0:c>
      <ns0:c r="E7" s="15" t="inlineStr">
        <ns0:is>
          <ns0:t>第2／3批覆盖</ns0:t>
        </ns0:is>
      </ns0:c>
      <ns0:c r="F7" s="15" t="inlineStr">
        <ns0:is>
          <ns0:t>已合入分类正文</ns0:t>
        </ns0:is>
      </ns0:c>
    </ns0:row>
    <ns0:row r="8" ht="30" customHeight="1">
      <ns0:c r="A8" s="4" t="inlineStr">
        <ns0:is>
          <ns0:t>W28</ns0:t>
        </ns0:is>
      </ns0:c>
      <ns0:c r="B8" s="4" t="inlineStr">
        <ns0:is>
          <ns0:t>element</ns0:t>
        </ns0:is>
      </ns0:c>
      <ns0:c r="C8" s="4" t="inlineStr">
        <ns0:is>
          <ns0:t>无属性</ns0:t>
        </ns0:is>
      </ns0:c>
      <ns0:c r="D8" s="4" t="inlineStr">
        <ns0:is>
          <ns0:t>金</ns0:t>
        </ns0:is>
      </ns0:c>
      <ns0:c r="E8" s="4" t="inlineStr">
        <ns0:is>
          <ns0:t>第2／3批覆盖</ns0:t>
        </ns0:is>
      </ns0:c>
      <ns0:c r="F8" s="4" t="inlineStr">
        <ns0:is>
          <ns0:t>已合入分类正文</ns0:t>
        </ns0:is>
      </ns0:c>
    </ns0:row>
    <ns0:row r="9" ht="30" customHeight="1">
      <ns0:c r="A9" s="15" t="inlineStr">
        <ns0:is>
          <ns0:t>A07</ns0:t>
        </ns0:is>
      </ns0:c>
      <ns0:c r="B9" s="15" t="inlineStr">
        <ns0:is>
          <ns0:t>element</ns0:t>
        </ns0:is>
      </ns0:c>
      <ns0:c r="C9" s="15" t="inlineStr">
        <ns0:is>
          <ns0:t>无属性</ns0:t>
        </ns0:is>
      </ns0:c>
      <ns0:c r="D9" s="15" t="inlineStr">
        <ns0:is>
          <ns0:t>风</ns0:t>
        </ns0:is>
      </ns0:c>
      <ns0:c r="E9" s="15" t="inlineStr">
        <ns0:is>
          <ns0:t>第2／3批覆盖</ns0:t>
        </ns0:is>
      </ns0:c>
      <ns0:c r="F9" s="15" t="inlineStr">
        <ns0:is>
          <ns0:t>已合入分类正文</ns0:t>
        </ns0:is>
      </ns0:c>
    </ns0:row>
    <ns0:row r="10" ht="30" customHeight="1">
      <ns0:c r="A10" s="4" t="inlineStr">
        <ns0:is>
          <ns0:t>A15</ns0:t>
        </ns0:is>
      </ns0:c>
      <ns0:c r="B10" s="4" t="inlineStr">
        <ns0:is>
          <ns0:t>element</ns0:t>
        </ns0:is>
      </ns0:c>
      <ns0:c r="C10" s="4" t="inlineStr">
        <ns0:is>
          <ns0:t>无属性</ns0:t>
        </ns0:is>
      </ns0:c>
      <ns0:c r="D10" s="4" t="inlineStr">
        <ns0:is>
          <ns0:t>风</ns0:t>
        </ns0:is>
      </ns0:c>
      <ns0:c r="E10" s="4" t="inlineStr">
        <ns0:is>
          <ns0:t>第2／3批覆盖</ns0:t>
        </ns0:is>
      </ns0:c>
      <ns0:c r="F10" s="4" t="inlineStr">
        <ns0:is>
          <ns0:t>已合入分类正文</ns0:t>
        </ns0:is>
      </ns0:c>
    </ns0:row>
    <ns0:row r="11" ht="30" customHeight="1">
      <ns0:c r="A11" s="15" t="inlineStr">
        <ns0:is>
          <ns0:t>A21</ns0:t>
        </ns0:is>
      </ns0:c>
      <ns0:c r="B11" s="15" t="inlineStr">
        <ns0:is>
          <ns0:t>element</ns0:t>
        </ns0:is>
      </ns0:c>
      <ns0:c r="C11" s="15" t="inlineStr">
        <ns0:is>
          <ns0:t>无属性</ns0:t>
        </ns0:is>
      </ns0:c>
      <ns0:c r="D11" s="15" t="inlineStr">
        <ns0:is>
          <ns0:t>风</ns0:t>
        </ns0:is>
      </ns0:c>
      <ns0:c r="E11" s="15" t="inlineStr">
        <ns0:is>
          <ns0:t>第2／3批覆盖</ns0:t>
        </ns0:is>
      </ns0:c>
      <ns0:c r="F11" s="15" t="inlineStr">
        <ns0:is>
          <ns0:t>已合入分类正文</ns0:t>
        </ns0:is>
      </ns0:c>
    </ns0:row>
    <ns0:row r="12" ht="30" customHeight="1">
      <ns0:c r="A12" s="4" t="inlineStr">
        <ns0:is>
          <ns0:t>A08</ns0:t>
        </ns0:is>
      </ns0:c>
      <ns0:c r="B12" s="4" t="inlineStr">
        <ns0:is>
          <ns0:t>element</ns0:t>
        </ns0:is>
      </ns0:c>
      <ns0:c r="C12" s="4" t="inlineStr">
        <ns0:is>
          <ns0:t>无属性</ns0:t>
        </ns0:is>
      </ns0:c>
      <ns0:c r="D12" s="4" t="inlineStr">
        <ns0:is>
          <ns0:t>土</ns0:t>
        </ns0:is>
      </ns0:c>
      <ns0:c r="E12" s="4" t="inlineStr">
        <ns0:is>
          <ns0:t>第2／3批覆盖</ns0:t>
        </ns0:is>
      </ns0:c>
      <ns0:c r="F12" s="4" t="inlineStr">
        <ns0:is>
          <ns0:t>已合入分类正文</ns0:t>
        </ns0:is>
      </ns0:c>
    </ns0:row>
    <ns0:row r="13" ht="30" customHeight="1">
      <ns0:c r="A13" s="15" t="inlineStr">
        <ns0:is>
          <ns0:t>A16</ns0:t>
        </ns0:is>
      </ns0:c>
      <ns0:c r="B13" s="15" t="inlineStr">
        <ns0:is>
          <ns0:t>element</ns0:t>
        </ns0:is>
      </ns0:c>
      <ns0:c r="C13" s="15" t="inlineStr">
        <ns0:is>
          <ns0:t>无属性</ns0:t>
        </ns0:is>
      </ns0:c>
      <ns0:c r="D13" s="15" t="inlineStr">
        <ns0:is>
          <ns0:t>土</ns0:t>
        </ns0:is>
      </ns0:c>
      <ns0:c r="E13" s="15" t="inlineStr">
        <ns0:is>
          <ns0:t>第2／3批覆盖</ns0:t>
        </ns0:is>
      </ns0:c>
      <ns0:c r="F13" s="15" t="inlineStr">
        <ns0:is>
          <ns0:t>已合入分类正文</ns0:t>
        </ns0:is>
      </ns0:c>
    </ns0:row>
    <ns0:row r="14" ht="30" customHeight="1">
      <ns0:c r="A14" s="4" t="inlineStr">
        <ns0:is>
          <ns0:t>A19</ns0:t>
        </ns0:is>
      </ns0:c>
      <ns0:c r="B14" s="4" t="inlineStr">
        <ns0:is>
          <ns0:t>element</ns0:t>
        </ns0:is>
      </ns0:c>
      <ns0:c r="C14" s="4" t="inlineStr">
        <ns0:is>
          <ns0:t>无属性</ns0:t>
        </ns0:is>
      </ns0:c>
      <ns0:c r="D14" s="4" t="inlineStr">
        <ns0:is>
          <ns0:t>土</ns0:t>
        </ns0:is>
      </ns0:c>
      <ns0:c r="E14" s="4" t="inlineStr">
        <ns0:is>
          <ns0:t>第2／3批覆盖</ns0:t>
        </ns0:is>
      </ns0:c>
      <ns0:c r="F14" s="4" t="inlineStr">
        <ns0:is>
          <ns0:t>已合入分类正文</ns0:t>
        </ns0:is>
      </ns0:c>
    </ns0:row>
    <ns0:row r="15" ht="30" customHeight="1">
      <ns0:c r="A15" s="15" t="inlineStr">
        <ns0:is>
          <ns0:t>A11</ns0:t>
        </ns0:is>
      </ns0:c>
      <ns0:c r="B15" s="15" t="inlineStr">
        <ns0:is>
          <ns0:t>element</ns0:t>
        </ns0:is>
      </ns0:c>
      <ns0:c r="C15" s="15" t="inlineStr">
        <ns0:is>
          <ns0:t>无属性</ns0:t>
        </ns0:is>
      </ns0:c>
      <ns0:c r="D15" s="15" t="inlineStr">
        <ns0:is>
          <ns0:t>金</ns0:t>
        </ns0:is>
      </ns0:c>
      <ns0:c r="E15" s="15" t="inlineStr">
        <ns0:is>
          <ns0:t>第2／3批覆盖</ns0:t>
        </ns0:is>
      </ns0:c>
      <ns0:c r="F15" s="15" t="inlineStr">
        <ns0:is>
          <ns0:t>已合入分类正文</ns0:t>
        </ns0:is>
      </ns0:c>
    </ns0:row>
    <ns0:row r="16" ht="30" customHeight="1">
      <ns0:c r="A16" s="4" t="inlineStr">
        <ns0:is>
          <ns0:t>A12</ns0:t>
        </ns0:is>
      </ns0:c>
      <ns0:c r="B16" s="4" t="inlineStr">
        <ns0:is>
          <ns0:t>element</ns0:t>
        </ns0:is>
      </ns0:c>
      <ns0:c r="C16" s="4" t="inlineStr">
        <ns0:is>
          <ns0:t>无属性</ns0:t>
        </ns0:is>
      </ns0:c>
      <ns0:c r="D16" s="4" t="inlineStr">
        <ns0:is>
          <ns0:t>金</ns0:t>
        </ns0:is>
      </ns0:c>
      <ns0:c r="E16" s="4" t="inlineStr">
        <ns0:is>
          <ns0:t>第2／3批覆盖</ns0:t>
        </ns0:is>
      </ns0:c>
      <ns0:c r="F16" s="4" t="inlineStr">
        <ns0:is>
          <ns0:t>已合入分类正文</ns0:t>
        </ns0:is>
      </ns0:c>
    </ns0:row>
    <ns0:row r="17" ht="30" customHeight="1">
      <ns0:c r="A17" s="15" t="inlineStr">
        <ns0:is>
          <ns0:t>A23</ns0:t>
        </ns0:is>
      </ns0:c>
      <ns0:c r="B17" s="15" t="inlineStr">
        <ns0:is>
          <ns0:t>element</ns0:t>
        </ns0:is>
      </ns0:c>
      <ns0:c r="C17" s="15" t="inlineStr">
        <ns0:is>
          <ns0:t>无属性</ns0:t>
        </ns0:is>
      </ns0:c>
      <ns0:c r="D17" s="15" t="inlineStr">
        <ns0:is>
          <ns0:t>金</ns0:t>
        </ns0:is>
      </ns0:c>
      <ns0:c r="E17" s="15" t="inlineStr">
        <ns0:is>
          <ns0:t>第2／3批覆盖</ns0:t>
        </ns0:is>
      </ns0:c>
      <ns0:c r="F17" s="15" t="inlineStr">
        <ns0:is>
          <ns0:t>已合入分类正文</ns0:t>
        </ns0:is>
      </ns0:c>
    </ns0:row>
    <ns0:row r="18" ht="30" customHeight="1">
      <ns0:c r="A18" s="4" t="inlineStr">
        <ns0:is>
          <ns0:t>A22</ns0:t>
        </ns0:is>
      </ns0:c>
      <ns0:c r="B18" s="4" t="inlineStr">
        <ns0:is>
          <ns0:t>element</ns0:t>
        </ns0:is>
      </ns0:c>
      <ns0:c r="C18" s="4" t="inlineStr">
        <ns0:is>
          <ns0:t>无属性</ns0:t>
        </ns0:is>
      </ns0:c>
      <ns0:c r="D18" s="4" t="inlineStr">
        <ns0:is>
          <ns0:t>木</ns0:t>
        </ns0:is>
      </ns0:c>
      <ns0:c r="E18" s="4" t="inlineStr">
        <ns0:is>
          <ns0:t>第2／3批覆盖</ns0:t>
        </ns0:is>
      </ns0:c>
      <ns0:c r="F18" s="4" t="inlineStr">
        <ns0:is>
          <ns0:t>已合入分类正文</ns0:t>
        </ns0:is>
      </ns0:c>
    </ns0:row>
    <ns0:row r="19" ht="30" customHeight="1">
      <ns0:c r="A19" s="15" t="inlineStr">
        <ns0:is>
          <ns0:t>A18</ns0:t>
        </ns0:is>
      </ns0:c>
      <ns0:c r="B19" s="15" t="inlineStr">
        <ns0:is>
          <ns0:t>name</ns0:t>
        </ns0:is>
      </ns0:c>
      <ns0:c r="C19" s="15" t="inlineStr">
        <ns0:is>
          <ns0:t>土纹腿甲</ns0:t>
        </ns0:is>
      </ns0:c>
      <ns0:c r="D19" s="15" t="inlineStr">
        <ns0:is>
          <ns0:t>藤甲护腿</ns0:t>
        </ns0:is>
      </ns0:c>
      <ns0:c r="E19" s="15" t="inlineStr">
        <ns0:is>
          <ns0:t>第2／3批覆盖</ns0:t>
        </ns0:is>
      </ns0:c>
      <ns0:c r="F19" s="15" t="inlineStr">
        <ns0:is>
          <ns0:t>已合入分类正文</ns0:t>
        </ns0:is>
      </ns0:c>
    </ns0:row>
    <ns0:row r="20" ht="30" customHeight="1">
      <ns0:c r="A20" s="4" t="inlineStr">
        <ns0:is>
          <ns0:t>A18</ns0:t>
        </ns0:is>
      </ns0:c>
      <ns0:c r="B20" s="4" t="inlineStr">
        <ns0:is>
          <ns0:t>element</ns0:t>
        </ns0:is>
      </ns0:c>
      <ns0:c r="C20" s="4" t="inlineStr">
        <ns0:is>
          <ns0:t>土</ns0:t>
        </ns0:is>
      </ns0:c>
      <ns0:c r="D20" s="4" t="inlineStr">
        <ns0:is>
          <ns0:t>木</ns0:t>
        </ns0:is>
      </ns0:c>
      <ns0:c r="E20" s="4" t="inlineStr">
        <ns0:is>
          <ns0:t>第2／3批覆盖</ns0:t>
        </ns0:is>
      </ns0:c>
      <ns0:c r="F20" s="4" t="inlineStr">
        <ns0:is>
          <ns0:t>已合入分类正文</ns0:t>
        </ns0:is>
      </ns0:c>
    </ns0:row>
    <ns0:row r="21" ht="30" customHeight="1">
      <ns0:c r="A21" s="15" t="inlineStr">
        <ns0:is>
          <ns0:t>A18</ns0:t>
        </ns0:is>
      </ns0:c>
      <ns0:c r="B21" s="15" t="inlineStr">
        <ns0:is>
          <ns0:t>effect</ns0:t>
        </ns0:is>
      </ns0:c>
      <ns0:c r="C21" s="15" t="inlineStr">
        <ns0:is>
          <ns0:t>轮转：坚韧＋2</ns0:t>
        </ns0:is>
      </ns0:c>
      <ns0:c r="D21" s="15" t="inlineStr">
        <ns0:is>
          <ns0:t>轮转：生机＋2</ns0:t>
        </ns0:is>
      </ns0:c>
      <ns0:c r="E21" s="15" t="inlineStr">
        <ns0:is>
          <ns0:t>第2／3批覆盖</ns0:t>
        </ns0:is>
      </ns0:c>
      <ns0:c r="F21" s="15" t="inlineStr">
        <ns0:is>
          <ns0:t>已合入分类正文</ns0:t>
        </ns0:is>
      </ns0:c>
    </ns0:row>
    <ns0:row r="22" ht="30" customHeight="1">
      <ns0:c r="A22" s="4" t="inlineStr">
        <ns0:is>
          <ns0:t>A18</ns0:t>
        </ns0:is>
      </ns0:c>
      <ns0:c r="B22" s="4" t="inlineStr">
        <ns0:is>
          <ns0:t>state</ns0:t>
        </ns0:is>
      </ns0:c>
      <ns0:c r="C22" s="4" t="inlineStr">
        <ns0:is>
          <ns0:t>坚韧</ns0:t>
        </ns0:is>
      </ns0:c>
      <ns0:c r="D22" s="4" t="inlineStr">
        <ns0:is>
          <ns0:t>生机</ns0:t>
        </ns0:is>
      </ns0:c>
      <ns0:c r="E22" s="4" t="inlineStr">
        <ns0:is>
          <ns0:t>第2／3批覆盖</ns0:t>
        </ns0:is>
      </ns0:c>
      <ns0:c r="F22" s="4" t="inlineStr">
        <ns0:is>
          <ns0:t>已合入分类正文</ns0:t>
        </ns0:is>
      </ns0:c>
    </ns0:row>
    <ns0:row r="23" ht="30" customHeight="1">
      <ns0:c r="A23" s="15" t="inlineStr">
        <ns0:is>
          <ns0:t>A18</ns0:t>
        </ns0:is>
      </ns0:c>
      <ns0:c r="B23" s="15" t="inlineStr">
        <ns0:is>
          <ns0:t>state_qty</ns0:t>
        </ns0:is>
      </ns0:c>
      <ns0:c r="C23" s="15" t="inlineStr">
        <ns0:is>
          <ns0:t>2</ns0:t>
        </ns0:is>
      </ns0:c>
      <ns0:c r="D23" s="15" t="inlineStr">
        <ns0:is>
          <ns0:t>2</ns0:t>
        </ns0:is>
      </ns0:c>
      <ns0:c r="E23" s="15" t="inlineStr">
        <ns0:is>
          <ns0:t>第2／3批覆盖</ns0:t>
        </ns0:is>
      </ns0:c>
      <ns0:c r="F23" s="15" t="inlineStr">
        <ns0:is>
          <ns0:t>已合入分类正文</ns0:t>
        </ns0:is>
      </ns0:c>
    </ns0:row>
    <ns0:row r="24" ht="30" customHeight="1">
      <ns0:c r="A24" s="4" t="inlineStr">
        <ns0:is>
          <ns0:t>A30</ns0:t>
        </ns0:is>
      </ns0:c>
      <ns0:c r="B24" s="4" t="inlineStr">
        <ns0:is>
          <ns0:t>name</ns0:t>
        </ns0:is>
      </ns0:c>
      <ns0:c r="C24" s="4" t="inlineStr">
        <ns0:is>
          <ns0:t>震雷护肩</ns0:t>
        </ns0:is>
      </ns0:c>
      <ns0:c r="D24" s="4" t="inlineStr">
        <ns0:is>
          <ns0:t>炎纹护肩</ns0:t>
        </ns0:is>
      </ns0:c>
      <ns0:c r="E24" s="4" t="inlineStr">
        <ns0:is>
          <ns0:t>第2／3批覆盖</ns0:t>
        </ns0:is>
      </ns0:c>
      <ns0:c r="F24" s="4" t="inlineStr">
        <ns0:is>
          <ns0:t>已合入分类正文</ns0:t>
        </ns0:is>
      </ns0:c>
    </ns0:row>
    <ns0:row r="25" ht="30" customHeight="1">
      <ns0:c r="A25" s="15" t="inlineStr">
        <ns0:is>
          <ns0:t>A30</ns0:t>
        </ns0:is>
      </ns0:c>
      <ns0:c r="B25" s="15" t="inlineStr">
        <ns0:is>
          <ns0:t>element</ns0:t>
        </ns0:is>
      </ns0:c>
      <ns0:c r="C25" s="15" t="inlineStr">
        <ns0:is>
          <ns0:t>雷</ns0:t>
        </ns0:is>
      </ns0:c>
      <ns0:c r="D25" s="15" t="inlineStr">
        <ns0:is>
          <ns0:t>火</ns0:t>
        </ns0:is>
      </ns0:c>
      <ns0:c r="E25" s="15" t="inlineStr">
        <ns0:is>
          <ns0:t>第2／3批覆盖</ns0:t>
        </ns0:is>
      </ns0:c>
      <ns0:c r="F25" s="15" t="inlineStr">
        <ns0:is>
          <ns0:t>已合入分类正文</ns0:t>
        </ns0:is>
      </ns0:c>
    </ns0:row>
    <ns0:row r="26" ht="30" customHeight="1">
      <ns0:c r="A26" s="4" t="inlineStr">
        <ns0:is>
          <ns0:t>A30</ns0:t>
        </ns0:is>
      </ns0:c>
      <ns0:c r="B26" s="4" t="inlineStr">
        <ns0:is>
          <ns0:t>effect</ns0:t>
        </ns0:is>
      </ns0:c>
      <ns0:c r="C26" s="4" t="inlineStr">
        <ns0:is>
          <ns0:t>轮转：雷蕴＋2</ns0:t>
        </ns0:is>
      </ns0:c>
      <ns0:c r="D26" s="4" t="inlineStr">
        <ns0:is>
          <ns0:t>轮转：附炎＋2</ns0:t>
        </ns0:is>
      </ns0:c>
      <ns0:c r="E26" s="4" t="inlineStr">
        <ns0:is>
          <ns0:t>第2／3批覆盖</ns0:t>
        </ns0:is>
      </ns0:c>
      <ns0:c r="F26" s="4" t="inlineStr">
        <ns0:is>
          <ns0:t>已合入分类正文</ns0:t>
        </ns0:is>
      </ns0:c>
    </ns0:row>
    <ns0:row r="27" ht="30" customHeight="1">
      <ns0:c r="A27" s="15" t="inlineStr">
        <ns0:is>
          <ns0:t>A30</ns0:t>
        </ns0:is>
      </ns0:c>
      <ns0:c r="B27" s="15" t="inlineStr">
        <ns0:is>
          <ns0:t>state</ns0:t>
        </ns0:is>
      </ns0:c>
      <ns0:c r="C27" s="15" t="inlineStr">
        <ns0:is>
          <ns0:t>雷蕴</ns0:t>
        </ns0:is>
      </ns0:c>
      <ns0:c r="D27" s="15" t="inlineStr">
        <ns0:is>
          <ns0:t>附炎</ns0:t>
        </ns0:is>
      </ns0:c>
      <ns0:c r="E27" s="15" t="inlineStr">
        <ns0:is>
          <ns0:t>第2／3批覆盖</ns0:t>
        </ns0:is>
      </ns0:c>
      <ns0:c r="F27" s="15" t="inlineStr">
        <ns0:is>
          <ns0:t>已合入分类正文</ns0:t>
        </ns0:is>
      </ns0:c>
    </ns0:row>
    <ns0:row r="28" ht="30" customHeight="1">
      <ns0:c r="A28" s="4" t="inlineStr">
        <ns0:is>
          <ns0:t>A30</ns0:t>
        </ns0:is>
      </ns0:c>
      <ns0:c r="B28" s="4" t="inlineStr">
        <ns0:is>
          <ns0:t>state_qty</ns0:t>
        </ns0:is>
      </ns0:c>
      <ns0:c r="C28" s="4" t="inlineStr">
        <ns0:is>
          <ns0:t>2</ns0:t>
        </ns0:is>
      </ns0:c>
      <ns0:c r="D28" s="4" t="inlineStr">
        <ns0:is>
          <ns0:t>2</ns0:t>
        </ns0:is>
      </ns0:c>
      <ns0:c r="E28" s="4" t="inlineStr">
        <ns0:is>
          <ns0:t>第2／3批覆盖</ns0:t>
        </ns0:is>
      </ns0:c>
      <ns0:c r="F28" s="4" t="inlineStr">
        <ns0:is>
          <ns0:t>已合入分类正文</ns0:t>
        </ns0:is>
      </ns0:c>
    </ns0:row>
    <ns0:row r="29" ht="30" customHeight="1">
      <ns0:c r="A29" s="15" t="inlineStr">
        <ns0:is>
          <ns0:t>W13→W33</ns0:t>
        </ns0:is>
      </ns0:c>
      <ns0:c r="B29" s="15" t="inlineStr">
        <ns0:is>
          <ns0:t>退出与新增</ns0:t>
        </ns0:is>
      </ns0:c>
      <ns0:c r="C29" s="15" t="inlineStr">
        <ns0:is>
          <ns0:t>火羽弓</ns0:t>
        </ns0:is>
      </ns0:c>
      <ns0:c r="D29" s="15" t="inlineStr">
        <ns0:is>
          <ns0:t>赤焰枪；不复用W13</ns0:t>
        </ns0:is>
      </ns0:c>
      <ns0:c r="E29" s="15" t="inlineStr">
        <ns0:is>
          <ns0:t>第2／3批覆盖</ns0:t>
        </ns0:is>
      </ns0:c>
      <ns0:c r="F29" s="15" t="inlineStr">
        <ns0:is>
          <ns0:t>已合入分类正文</ns0:t>
        </ns0:is>
      </ns0:c>
    </ns0:row>
    <ns0:row r="30" ht="30" customHeight="1">
      <ns0:c r="A30" s="4" t="inlineStr">
        <ns0:is>
          <ns0:t>A12</ns0:t>
        </ns0:is>
      </ns0:c>
      <ns0:c r="B30" s="4" t="inlineStr">
        <ns0:is>
          <ns0:t>armor_cap</ns0:t>
        </ns0:is>
      </ns0:c>
      <ns0:c r="C30" s="4" t="inlineStr">
        <ns0:is>
          <ns0:t>4</ns0:t>
        </ns0:is>
      </ns0:c>
      <ns0:c r="D30" s="4" t="inlineStr">
        <ns0:is>
          <ns0:t>3</ns0:t>
        </ns0:is>
      </ns0:c>
      <ns0:c r="E30" s="4" t="inlineStr">
        <ns0:is>
          <ns0:t>用户直接更正</ns0:t>
        </ns0:is>
      </ns0:c>
      <ns0:c r="F30" s="4" t="inlineStr">
        <ns0:is>
          <ns0:t>已合入分类正文</ns0:t>
        </ns0:is>
      </ns0:c>
    </ns0:row>
    <ns0:row r="31" ht="30" customHeight="1">
      <ns0:c r="A31" s="15" t="inlineStr">
        <ns0:is>
          <ns0:t>A16</ns0:t>
        </ns0:is>
      </ns0:c>
      <ns0:c r="B31" s="15" t="inlineStr">
        <ns0:is>
          <ns0:t>armor_cap</ns0:t>
        </ns0:is>
      </ns0:c>
      <ns0:c r="C31" s="15" t="inlineStr">
        <ns0:is>
          <ns0:t>5</ns0:t>
        </ns0:is>
      </ns0:c>
      <ns0:c r="D31" s="15" t="inlineStr">
        <ns0:is>
          <ns0:t>4</ns0:t>
        </ns0:is>
      </ns0:c>
      <ns0:c r="E31" s="15" t="inlineStr">
        <ns0:is>
          <ns0:t>用户直接更正</ns0:t>
        </ns0:is>
      </ns0:c>
      <ns0:c r="F31" s="15" t="inlineStr">
        <ns0:is>
          <ns0:t>已合入分类正文</ns0:t>
        </ns0:is>
      </ns0:c>
    </ns0:row>
    <ns0:row r="32" ht="30" customHeight="1">
      <ns0:c r="A32" s="4" t="inlineStr">
        <ns0:is>
          <ns0:t>W04</ns0:t>
        </ns0:is>
      </ns0:c>
      <ns0:c r="B32" s="4" t="inlineStr">
        <ns0:is>
          <ns0:t>停列</ns0:t>
        </ns0:is>
      </ns0:c>
      <ns0:c r="C32" s="4" t="inlineStr">
        <ns0:is>
          <ns0:t>历史候选编号</ns0:t>
        </ns0:is>
      </ns0:c>
      <ns0:c r="D32" s="4" t="inlineStr">
        <ns0:is>
          <ns0:t>不参与本批88计数；不复用编号</ns0:t>
        </ns0:is>
      </ns0:c>
      <ns0:c r="E32" s="4" t="inlineStr">
        <ns0:is>
          <ns0:t>第1／2批</ns0:t>
        </ns0:is>
      </ns0:c>
      <ns0:c r="F32" s="4" t="inlineStr">
        <ns0:is>
          <ns0:t>保留停列索引</ns0:t>
        </ns0:is>
      </ns0:c>
    </ns0:row>
    <ns0:row r="33" ht="30" customHeight="1">
      <ns0:c r="A33" s="15" t="inlineStr">
        <ns0:is>
          <ns0:t>W13</ns0:t>
        </ns0:is>
      </ns0:c>
      <ns0:c r="B33" s="15" t="inlineStr">
        <ns0:is>
          <ns0:t>停列</ns0:t>
        </ns0:is>
      </ns0:c>
      <ns0:c r="C33" s="15" t="inlineStr">
        <ns0:is>
          <ns0:t>历史候选编号</ns0:t>
        </ns0:is>
      </ns0:c>
      <ns0:c r="D33" s="15" t="inlineStr">
        <ns0:is>
          <ns0:t>不参与本批88计数；不复用编号</ns0:t>
        </ns0:is>
      </ns0:c>
      <ns0:c r="E33" s="15" t="inlineStr">
        <ns0:is>
          <ns0:t>第1／2批</ns0:t>
        </ns0:is>
      </ns0:c>
      <ns0:c r="F33" s="15" t="inlineStr">
        <ns0:is>
          <ns0:t>保留停列索引</ns0:t>
        </ns0:is>
      </ns0:c>
    </ns0:row>
    <ns0:row r="34" ht="30" customHeight="1">
      <ns0:c r="A34" s="4" t="inlineStr">
        <ns0:is>
          <ns0:t>W18</ns0:t>
        </ns0:is>
      </ns0:c>
      <ns0:c r="B34" s="4" t="inlineStr">
        <ns0:is>
          <ns0:t>停列</ns0:t>
        </ns0:is>
      </ns0:c>
      <ns0:c r="C34" s="4" t="inlineStr">
        <ns0:is>
          <ns0:t>历史候选编号</ns0:t>
        </ns0:is>
      </ns0:c>
      <ns0:c r="D34" s="4" t="inlineStr">
        <ns0:is>
          <ns0:t>不参与本批88计数；不复用编号</ns0:t>
        </ns0:is>
      </ns0:c>
      <ns0:c r="E34" s="4" t="inlineStr">
        <ns0:is>
          <ns0:t>第1／2批</ns0:t>
        </ns0:is>
      </ns0:c>
      <ns0:c r="F34" s="4" t="inlineStr">
        <ns0:is>
          <ns0:t>保留停列索引</ns0:t>
        </ns0:is>
      </ns0:c>
    </ns0:row>
    <ns0:row r="35" ht="30" customHeight="1">
      <ns0:c r="A35" s="15" t="inlineStr">
        <ns0:is>
          <ns0:t>W29</ns0:t>
        </ns0:is>
      </ns0:c>
      <ns0:c r="B35" s="15" t="inlineStr">
        <ns0:is>
          <ns0:t>停列</ns0:t>
        </ns0:is>
      </ns0:c>
      <ns0:c r="C35" s="15" t="inlineStr">
        <ns0:is>
          <ns0:t>历史候选编号</ns0:t>
        </ns0:is>
      </ns0:c>
      <ns0:c r="D35" s="15" t="inlineStr">
        <ns0:is>
          <ns0:t>不参与本批88计数；不复用编号</ns0:t>
        </ns0:is>
      </ns0:c>
      <ns0:c r="E35" s="15" t="inlineStr">
        <ns0:is>
          <ns0:t>第1／2批</ns0:t>
        </ns0:is>
      </ns0:c>
      <ns0:c r="F35" s="15" t="inlineStr">
        <ns0:is>
          <ns0:t>保留停列索引</ns0:t>
        </ns0:is>
      </ns0:c>
    </ns0:row>
    <ns0:row r="36" ht="30" customHeight="1">
      <ns0:c r="A36" s="4" t="inlineStr">
        <ns0:is>
          <ns0:t>A05</ns0:t>
        </ns0:is>
      </ns0:c>
      <ns0:c r="B36" s="4" t="inlineStr">
        <ns0:is>
          <ns0:t>停列</ns0:t>
        </ns0:is>
      </ns0:c>
      <ns0:c r="C36" s="4" t="inlineStr">
        <ns0:is>
          <ns0:t>历史候选编号</ns0:t>
        </ns0:is>
      </ns0:c>
      <ns0:c r="D36" s="4" t="inlineStr">
        <ns0:is>
          <ns0:t>不参与本批88计数；不复用编号</ns0:t>
        </ns0:is>
      </ns0:c>
      <ns0:c r="E36" s="4" t="inlineStr">
        <ns0:is>
          <ns0:t>第1／2批</ns0:t>
        </ns0:is>
      </ns0:c>
      <ns0:c r="F36" s="4" t="inlineStr">
        <ns0:is>
          <ns0:t>保留停列索引</ns0:t>
        </ns0:is>
      </ns0:c>
    </ns0:row>
    <ns0:row r="37" ht="30" customHeight="1">
      <ns0:c r="A37" s="15" t="inlineStr">
        <ns0:is>
          <ns0:t>A27</ns0:t>
        </ns0:is>
      </ns0:c>
      <ns0:c r="B37" s="15" t="inlineStr">
        <ns0:is>
          <ns0:t>停列</ns0:t>
        </ns0:is>
      </ns0:c>
      <ns0:c r="C37" s="15" t="inlineStr">
        <ns0:is>
          <ns0:t>历史候选编号</ns0:t>
        </ns0:is>
      </ns0:c>
      <ns0:c r="D37" s="15" t="inlineStr">
        <ns0:is>
          <ns0:t>不参与本批88计数；不复用编号</ns0:t>
        </ns0:is>
      </ns0:c>
      <ns0:c r="E37" s="15" t="inlineStr">
        <ns0:is>
          <ns0:t>第1／2批</ns0:t>
        </ns0:is>
      </ns0:c>
      <ns0:c r="F37" s="15" t="inlineStr">
        <ns0:is>
          <ns0:t>保留停列索引</ns0:t>
        </ns0:is>
      </ns0:c>
    </ns0:row>
  </ns0:sheetData>
  <ns0:mergeCells count="2">
    <ns0:mergeCell ref="A2:F2"/>
    <ns0:mergeCell ref="A1:F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M12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5" customWidth="1" min="1" max="1"/>
    <ns0:col width="12" customWidth="1" min="2" max="2"/>
    <ns0:col width="12" customWidth="1" min="3" max="3"/>
    <ns0:col width="12" customWidth="1" min="4" max="4"/>
    <ns0:col width="12" customWidth="1" min="5" max="5"/>
    <ns0:col width="12" customWidth="1" min="6" max="6"/>
    <ns0:col width="12" customWidth="1" min="7" max="7"/>
    <ns0:col width="12" customWidth="1" min="8" max="8"/>
    <ns0:col width="12" customWidth="1" min="9" max="9"/>
    <ns0:col width="12" customWidth="1" min="10" max="10"/>
    <ns0:col width="18" customWidth="1" min="11" max="11"/>
    <ns0:col width="26" customWidth="1" min="12" max="12"/>
    <ns0:col width="78" customWidth="1" min="13" max="13"/>
  </ns0:cols>
  <ns0:sheetData>
    <ns0:row r="1" ht="32" customHeight="1">
      <ns0:c r="A1" s="1" t="inlineStr">
        <ns0:is>
          <ns0:t>t01-08｜元素与状态核对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类别</ns0:t>
        </ns0:is>
      </ns0:c>
      <ns0:c r="B5" s="3" t="inlineStr">
        <ns0:is>
          <ns0:t>NONE</ns0:t>
        </ns0:is>
      </ns0:c>
      <ns0:c r="C5" s="3" t="inlineStr">
        <ns0:is>
          <ns0:t>金</ns0:t>
        </ns0:is>
      </ns0:c>
      <ns0:c r="D5" s="3" t="inlineStr">
        <ns0:is>
          <ns0:t>木</ns0:t>
        </ns0:is>
      </ns0:c>
      <ns0:c r="E5" s="3" t="inlineStr">
        <ns0:is>
          <ns0:t>水</ns0:t>
        </ns0:is>
      </ns0:c>
      <ns0:c r="F5" s="3" t="inlineStr">
        <ns0:is>
          <ns0:t>火</ns0:t>
        </ns0:is>
      </ns0:c>
      <ns0:c r="G5" s="3" t="inlineStr">
        <ns0:is>
          <ns0:t>土</ns0:t>
        </ns0:is>
      </ns0:c>
      <ns0:c r="H5" s="3" t="inlineStr">
        <ns0:is>
          <ns0:t>风</ns0:t>
        </ns0:is>
      </ns0:c>
      <ns0:c r="I5" s="3" t="inlineStr">
        <ns0:is>
          <ns0:t>雷</ns0:t>
        </ns0:is>
      </ns0:c>
      <ns0:c r="J5" s="3" t="inlineStr">
        <ns0:is>
          <ns0:t>合计</ns0:t>
        </ns0:is>
      </ns0:c>
      <ns0:c r="K5" s="3" t="inlineStr">
        <ns0:is>
          <ns0:t>无核心状态</ns0:t>
        </ns0:is>
      </ns0:c>
      <ns0:c r="L5" s="3" t="inlineStr">
        <ns0:is>
          <ns0:t>无核心状态但有元素</ns0:t>
        </ns0:is>
      </ns0:c>
      <ns0:c r="M5" s="3" t="inlineStr">
        <ns0:is>
          <ns0:t>口径</ns0:t>
        </ns0:is>
      </ns0:c>
    </ns0:row>
    <ns0:row r="6" ht="40" customHeight="1">
      <ns0:c r="A6" s="4" t="inlineStr">
        <ns0:is>
          <ns0:t>武器</ns0:t>
        </ns0:is>
      </ns0:c>
      <ns0:c r="B6" s="4">
        <ns0:f>COUNTIFS('02_武器'!$C$6:$C$41,"凡品",'02_武器'!$D$6:$D$41,B$5)</ns0:f>
        <ns0:v>1</ns0:v>
      </ns0:c>
      <ns0:c r="C6" s="4">
        <ns0:f>COUNTIFS('02_武器'!$C$6:$C$41,"凡品",'02_武器'!$D$6:$D$41,C$5)</ns0:f>
        <ns0:v>5</ns0:v>
      </ns0:c>
      <ns0:c r="D6" s="4">
        <ns0:f>COUNTIFS('02_武器'!$C$6:$C$41,"凡品",'02_武器'!$D$6:$D$41,D$5)</ns0:f>
        <ns0:v>4</ns0:v>
      </ns0:c>
      <ns0:c r="E6" s="4">
        <ns0:f>COUNTIFS('02_武器'!$C$6:$C$41,"凡品",'02_武器'!$D$6:$D$41,E$5)</ns0:f>
        <ns0:v>2</ns0:v>
      </ns0:c>
      <ns0:c r="F6" s="4">
        <ns0:f>COUNTIFS('02_武器'!$C$6:$C$41,"凡品",'02_武器'!$D$6:$D$41,F$5)</ns0:f>
        <ns0:v>4</ns0:v>
      </ns0:c>
      <ns0:c r="G6" s="4">
        <ns0:f>COUNTIFS('02_武器'!$C$6:$C$41,"凡品",'02_武器'!$D$6:$D$41,G$5)</ns0:f>
        <ns0:v>5</ns0:v>
      </ns0:c>
      <ns0:c r="H6" s="4">
        <ns0:f>COUNTIFS('02_武器'!$C$6:$C$41,"凡品",'02_武器'!$D$6:$D$41,H$5)</ns0:f>
        <ns0:v>2</ns0:v>
      </ns0:c>
      <ns0:c r="I6" s="4">
        <ns0:f>COUNTIFS('02_武器'!$C$6:$C$41,"凡品",'02_武器'!$D$6:$D$41,I$5)</ns0:f>
        <ns0:v>4</ns0:v>
      </ns0:c>
      <ns0:c r="J6" s="4">
        <ns0:f>SUM(B6:I6)</ns0:f>
        <ns0:v>27</ns0:v>
      </ns0:c>
      <ns0:c r="K6" s="4">
        <ns0:f>COUNTIFS('02_武器'!$C$6:$C$41,"凡品",'02_武器'!$X$6:$X$41,"")</ns0:f>
        <ns0:v>3</ns0:v>
      </ns0:c>
      <ns0:c r="L6" s="4">
        <ns0:f>COUNTIFS('02_武器'!$C$6:$C$41,"凡品",'02_武器'!$X$6:$X$41,"",'02_武器'!$D$6:$D$41,"&lt;&gt;NONE")</ns0:f>
        <ns0:v>2</ns0:v>
      </ns0:c>
      <ns0:c r="M6" s="4" t="inlineStr">
        <ns0:is>
          <ns0:t>仅本批凡品及21核心状态；不施加核心状态可有元素。丹药减伤属S3，另按减伤字段登记，不作防御投票。</ns0:t>
        </ns0:is>
      </ns0:c>
    </ns0:row>
    <ns0:row r="7" ht="40" customHeight="1">
      <ns0:c r="A7" s="15" t="inlineStr">
        <ns0:is>
          <ns0:t>防具</ns0:t>
        </ns0:is>
      </ns0:c>
      <ns0:c r="B7" s="15">
        <ns0:f>COUNTIFS('03_防具'!$C$6:$C$41,"凡品",'03_防具'!$D$6:$D$41,B$5)</ns0:f>
        <ns0:v>3</ns0:v>
      </ns0:c>
      <ns0:c r="C7" s="15">
        <ns0:f>COUNTIFS('03_防具'!$C$6:$C$41,"凡品",'03_防具'!$D$6:$D$41,C$5)</ns0:f>
        <ns0:v>4</ns0:v>
      </ns0:c>
      <ns0:c r="D7" s="15">
        <ns0:f>COUNTIFS('03_防具'!$C$6:$C$41,"凡品",'03_防具'!$D$6:$D$41,D$5)</ns0:f>
        <ns0:v>3</ns0:v>
      </ns0:c>
      <ns0:c r="E7" s="15">
        <ns0:f>COUNTIFS('03_防具'!$C$6:$C$41,"凡品",'03_防具'!$D$6:$D$41,E$5)</ns0:f>
        <ns0:v>5</ns0:v>
      </ns0:c>
      <ns0:c r="F7" s="15">
        <ns0:f>COUNTIFS('03_防具'!$C$6:$C$41,"凡品",'03_防具'!$D$6:$D$41,F$5)</ns0:f>
        <ns0:v>3</ns0:v>
      </ns0:c>
      <ns0:c r="G7" s="15">
        <ns0:f>COUNTIFS('03_防具'!$C$6:$C$41,"凡品",'03_防具'!$D$6:$D$41,G$5)</ns0:f>
        <ns0:v>3</ns0:v>
      </ns0:c>
      <ns0:c r="H7" s="15">
        <ns0:f>COUNTIFS('03_防具'!$C$6:$C$41,"凡品",'03_防具'!$D$6:$D$41,H$5)</ns0:f>
        <ns0:v>4</ns0:v>
      </ns0:c>
      <ns0:c r="I7" s="15">
        <ns0:f>COUNTIFS('03_防具'!$C$6:$C$41,"凡品",'03_防具'!$D$6:$D$41,I$5)</ns0:f>
        <ns0:v>3</ns0:v>
      </ns0:c>
      <ns0:c r="J7" s="15">
        <ns0:f>SUM(B7:I7)</ns0:f>
        <ns0:v>28</ns0:v>
      </ns0:c>
      <ns0:c r="K7" s="15">
        <ns0:f>COUNTIFS('03_防具'!$C$6:$C$41,"凡品",'03_防具'!$X$6:$X$41,"")</ns0:f>
        <ns0:v>3</ns0:v>
      </ns0:c>
      <ns0:c r="L7" s="15">
        <ns0:f>COUNTIFS('03_防具'!$C$6:$C$41,"凡品",'03_防具'!$X$6:$X$41,"",'03_防具'!$D$6:$D$41,"&lt;&gt;NONE")</ns0:f>
        <ns0:v>0</ns0:v>
      </ns0:c>
      <ns0:c r="M7" s="15" t="inlineStr">
        <ns0:is>
          <ns0:t>仅本批凡品及21核心状态；不施加核心状态可有元素。丹药减伤属S3，另按减伤字段登记，不作防御投票。</ns0:t>
        </ns0:is>
      </ns0:c>
    </ns0:row>
    <ns0:row r="8" ht="40" customHeight="1">
      <ns0:c r="A8" s="4" t="inlineStr">
        <ns0:is>
          <ns0:t>法器</ns0:t>
        </ns0:is>
      </ns0:c>
      <ns0:c r="B8" s="4">
        <ns0:f>COUNTIFS('04_法器'!$C$6:$C$27,"凡品",'04_法器'!$D$6:$D$27,B$5)</ns0:f>
        <ns0:v>7</ns0:v>
      </ns0:c>
      <ns0:c r="C8" s="4">
        <ns0:f>COUNTIFS('04_法器'!$C$6:$C$27,"凡品",'04_法器'!$D$6:$D$27,C$5)</ns0:f>
        <ns0:v>1</ns0:v>
      </ns0:c>
      <ns0:c r="D8" s="4">
        <ns0:f>COUNTIFS('04_法器'!$C$6:$C$27,"凡品",'04_法器'!$D$6:$D$27,D$5)</ns0:f>
        <ns0:v>1</ns0:v>
      </ns0:c>
      <ns0:c r="E8" s="4">
        <ns0:f>COUNTIFS('04_法器'!$C$6:$C$27,"凡品",'04_法器'!$D$6:$D$27,E$5)</ns0:f>
        <ns0:v>2</ns0:v>
      </ns0:c>
      <ns0:c r="F8" s="4">
        <ns0:f>COUNTIFS('04_法器'!$C$6:$C$27,"凡品",'04_法器'!$D$6:$D$27,F$5)</ns0:f>
        <ns0:v>1</ns0:v>
      </ns0:c>
      <ns0:c r="G8" s="4">
        <ns0:f>COUNTIFS('04_法器'!$C$6:$C$27,"凡品",'04_法器'!$D$6:$D$27,G$5)</ns0:f>
        <ns0:v>1</ns0:v>
      </ns0:c>
      <ns0:c r="H8" s="4">
        <ns0:f>COUNTIFS('04_法器'!$C$6:$C$27,"凡品",'04_法器'!$D$6:$D$27,H$5)</ns0:f>
        <ns0:v>2</ns0:v>
      </ns0:c>
      <ns0:c r="I8" s="4">
        <ns0:f>COUNTIFS('04_法器'!$C$6:$C$27,"凡品",'04_法器'!$D$6:$D$27,I$5)</ns0:f>
        <ns0:v>3</ns0:v>
      </ns0:c>
      <ns0:c r="J8" s="4">
        <ns0:f>SUM(B8:I8)</ns0:f>
        <ns0:v>18</ns0:v>
      </ns0:c>
      <ns0:c r="K8" s="4">
        <ns0:f>COUNTIFS('04_法器'!$C$6:$C$27,"凡品",'04_法器'!$AC$6:$AC$27,"")</ns0:f>
        <ns0:v>7</ns0:v>
      </ns0:c>
      <ns0:c r="L8" s="4">
        <ns0:f>COUNTIFS('04_法器'!$C$6:$C$27,"凡品",'04_法器'!$AC$6:$AC$27,"",'04_法器'!$D$6:$D$27,"&lt;&gt;NONE")</ns0:f>
        <ns0:v>0</ns0:v>
      </ns0:c>
      <ns0:c r="M8" s="4" t="inlineStr">
        <ns0:is>
          <ns0:t>仅本批凡品及21核心状态；不施加核心状态可有元素。丹药减伤属S3，另按减伤字段登记，不作防御投票。</ns0:t>
        </ns0:is>
      </ns0:c>
    </ns0:row>
    <ns0:row r="9" ht="40" customHeight="1">
      <ns0:c r="A9" s="15" t="inlineStr">
        <ns0:is>
          <ns0:t>丹药</ns0:t>
        </ns0:is>
      </ns0:c>
      <ns0:c r="B9" s="15">
        <ns0:f>COUNTIFS('05_丹药'!$C$6:$C$21,"凡品",'05_丹药'!$D$6:$D$21,B$5)</ns0:f>
        <ns0:v>10</ns0:v>
      </ns0:c>
      <ns0:c r="C9" s="15">
        <ns0:f>COUNTIFS('05_丹药'!$C$6:$C$21,"凡品",'05_丹药'!$D$6:$D$21,C$5)</ns0:f>
        <ns0:v>0</ns0:v>
      </ns0:c>
      <ns0:c r="D9" s="15">
        <ns0:f>COUNTIFS('05_丹药'!$C$6:$C$21,"凡品",'05_丹药'!$D$6:$D$21,D$5)</ns0:f>
        <ns0:v>0</ns0:v>
      </ns0:c>
      <ns0:c r="E9" s="15">
        <ns0:f>COUNTIFS('05_丹药'!$C$6:$C$21,"凡品",'05_丹药'!$D$6:$D$21,E$5)</ns0:f>
        <ns0:v>0</ns0:v>
      </ns0:c>
      <ns0:c r="F9" s="15">
        <ns0:f>COUNTIFS('05_丹药'!$C$6:$C$21,"凡品",'05_丹药'!$D$6:$D$21,F$5)</ns0:f>
        <ns0:v>0</ns0:v>
      </ns0:c>
      <ns0:c r="G9" s="15">
        <ns0:f>COUNTIFS('05_丹药'!$C$6:$C$21,"凡品",'05_丹药'!$D$6:$D$21,G$5)</ns0:f>
        <ns0:v>0</ns0:v>
      </ns0:c>
      <ns0:c r="H9" s="15">
        <ns0:f>COUNTIFS('05_丹药'!$C$6:$C$21,"凡品",'05_丹药'!$D$6:$D$21,H$5)</ns0:f>
        <ns0:v>0</ns0:v>
      </ns0:c>
      <ns0:c r="I9" s="15">
        <ns0:f>COUNTIFS('05_丹药'!$C$6:$C$21,"凡品",'05_丹药'!$D$6:$D$21,I$5)</ns0:f>
        <ns0:v>0</ns0:v>
      </ns0:c>
      <ns0:c r="J9" s="15">
        <ns0:f>SUM(B9:I9)</ns0:f>
        <ns0:v>10</ns0:v>
      </ns0:c>
      <ns0:c r="K9" s="15">
        <ns0:f>COUNTIFS('05_丹药'!$C$6:$C$21,"凡品",'05_丹药'!$AB$6:$AB$21,"")</ns0:f>
        <ns0:v>9</ns0:v>
      </ns0:c>
      <ns0:c r="L9" s="15">
        <ns0:f>COUNTIFS('05_丹药'!$C$6:$C$21,"凡品",'05_丹药'!$AB$6:$AB$21,"",'05_丹药'!$D$6:$D$21,"&lt;&gt;NONE")</ns0:f>
        <ns0:v>0</ns0:v>
      </ns0:c>
      <ns0:c r="M9" s="15" t="inlineStr">
        <ns0:is>
          <ns0:t>仅本批凡品及21核心状态；不施加核心状态可有元素。丹药减伤属S3，另按减伤字段登记，不作防御投票。</ns0:t>
        </ns0:is>
      </ns0:c>
    </ns0:row>
    <ns0:row r="10" ht="40" customHeight="1">
      <ns0:c r="A10" s="4" t="inlineStr">
        <ns0:is>
          <ns0:t>符箓</ns0:t>
        </ns0:is>
      </ns0:c>
      <ns0:c r="B10" s="4">
        <ns0:f>COUNTIFS('06_符箓'!$C$6:$C$6,"凡品",'06_符箓'!$D$6:$D$6,B$5)</ns0:f>
        <ns0:v>0</ns0:v>
      </ns0:c>
      <ns0:c r="C10" s="4">
        <ns0:f>COUNTIFS('06_符箓'!$C$6:$C$6,"凡品",'06_符箓'!$D$6:$D$6,C$5)</ns0:f>
        <ns0:v>0</ns0:v>
      </ns0:c>
      <ns0:c r="D10" s="4">
        <ns0:f>COUNTIFS('06_符箓'!$C$6:$C$6,"凡品",'06_符箓'!$D$6:$D$6,D$5)</ns0:f>
        <ns0:v>0</ns0:v>
      </ns0:c>
      <ns0:c r="E10" s="4">
        <ns0:f>COUNTIFS('06_符箓'!$C$6:$C$6,"凡品",'06_符箓'!$D$6:$D$6,E$5)</ns0:f>
        <ns0:v>0</ns0:v>
      </ns0:c>
      <ns0:c r="F10" s="4">
        <ns0:f>COUNTIFS('06_符箓'!$C$6:$C$6,"凡品",'06_符箓'!$D$6:$D$6,F$5)</ns0:f>
        <ns0:v>0</ns0:v>
      </ns0:c>
      <ns0:c r="G10" s="4">
        <ns0:f>COUNTIFS('06_符箓'!$C$6:$C$6,"凡品",'06_符箓'!$D$6:$D$6,G$5)</ns0:f>
        <ns0:v>0</ns0:v>
      </ns0:c>
      <ns0:c r="H10" s="4">
        <ns0:f>COUNTIFS('06_符箓'!$C$6:$C$6,"凡品",'06_符箓'!$D$6:$D$6,H$5)</ns0:f>
        <ns0:v>0</ns0:v>
      </ns0:c>
      <ns0:c r="I10" s="4">
        <ns0:f>COUNTIFS('06_符箓'!$C$6:$C$6,"凡品",'06_符箓'!$D$6:$D$6,I$5)</ns0:f>
        <ns0:v>0</ns0:v>
      </ns0:c>
      <ns0:c r="J10" s="4">
        <ns0:f>SUM(B10:I10)</ns0:f>
        <ns0:v>0</ns0:v>
      </ns0:c>
      <ns0:c r="K10" s="4" t="n">
        <ns0:v>0</ns0:v>
      </ns0:c>
      <ns0:c r="L10" s="4" t="n">
        <ns0:v>0</ns0:v>
      </ns0:c>
      <ns0:c r="M10" s="4" t="inlineStr">
        <ns0:is>
          <ns0:t>仅本批凡品及21核心状态；不施加核心状态可有元素。丹药减伤属S3，另按减伤字段登记，不作防御投票。</ns0:t>
        </ns0:is>
      </ns0:c>
    </ns0:row>
    <ns0:row r="11" ht="40" customHeight="1">
      <ns0:c r="A11" s="15" t="inlineStr">
        <ns0:is>
          <ns0:t>暗器</ns0:t>
        </ns0:is>
      </ns0:c>
      <ns0:c r="B11" s="15">
        <ns0:f>COUNTIFS('07_暗器'!$C$6:$C$10,"凡品",'07_暗器'!$D$6:$D$10,B$5)</ns0:f>
        <ns0:v>4</ns0:v>
      </ns0:c>
      <ns0:c r="C11" s="15">
        <ns0:f>COUNTIFS('07_暗器'!$C$6:$C$10,"凡品",'07_暗器'!$D$6:$D$10,C$5)</ns0:f>
        <ns0:v>0</ns0:v>
      </ns0:c>
      <ns0:c r="D11" s="15">
        <ns0:f>COUNTIFS('07_暗器'!$C$6:$C$10,"凡品",'07_暗器'!$D$6:$D$10,D$5)</ns0:f>
        <ns0:v>0</ns0:v>
      </ns0:c>
      <ns0:c r="E11" s="15">
        <ns0:f>COUNTIFS('07_暗器'!$C$6:$C$10,"凡品",'07_暗器'!$D$6:$D$10,E$5)</ns0:f>
        <ns0:v>0</ns0:v>
      </ns0:c>
      <ns0:c r="F11" s="15">
        <ns0:f>COUNTIFS('07_暗器'!$C$6:$C$10,"凡品",'07_暗器'!$D$6:$D$10,F$5)</ns0:f>
        <ns0:v>1</ns0:v>
      </ns0:c>
      <ns0:c r="G11" s="15">
        <ns0:f>COUNTIFS('07_暗器'!$C$6:$C$10,"凡品",'07_暗器'!$D$6:$D$10,G$5)</ns0:f>
        <ns0:v>0</ns0:v>
      </ns0:c>
      <ns0:c r="H11" s="15">
        <ns0:f>COUNTIFS('07_暗器'!$C$6:$C$10,"凡品",'07_暗器'!$D$6:$D$10,H$5)</ns0:f>
        <ns0:v>0</ns0:v>
      </ns0:c>
      <ns0:c r="I11" s="15">
        <ns0:f>COUNTIFS('07_暗器'!$C$6:$C$10,"凡品",'07_暗器'!$D$6:$D$10,I$5)</ns0:f>
        <ns0:v>0</ns0:v>
      </ns0:c>
      <ns0:c r="J11" s="15">
        <ns0:f>SUM(B11:I11)</ns0:f>
        <ns0:v>5</ns0:v>
      </ns0:c>
      <ns0:c r="K11" s="15">
        <ns0:f>COUNTIFS('07_暗器'!$C$6:$C$10,"凡品",'07_暗器'!$S$6:$S$10,"")</ns0:f>
        <ns0:v>4</ns0:v>
      </ns0:c>
      <ns0:c r="L11" s="15">
        <ns0:f>COUNTIFS('07_暗器'!$C$6:$C$10,"凡品",'07_暗器'!$S$6:$S$10,"",'07_暗器'!$D$6:$D$10,"&lt;&gt;NONE")</ns0:f>
        <ns0:v>1</ns0:v>
      </ns0:c>
      <ns0:c r="M11" s="15" t="inlineStr">
        <ns0:is>
          <ns0:t>仅本批凡品及21核心状态；不施加核心状态可有元素。丹药减伤属S3，另按减伤字段登记，不作防御投票。</ns0:t>
        </ns0:is>
      </ns0:c>
    </ns0:row>
    <ns0:row r="12" ht="60" customHeight="1">
      <ns0:c r="A12" s="4" t="inlineStr">
        <ns0:is>
          <ns0:t>合计</ns0:t>
        </ns0:is>
      </ns0:c>
      <ns0:c r="B12" s="4">
        <ns0:f>SUM(B6:B11)</ns0:f>
        <ns0:v>25</ns0:v>
      </ns0:c>
      <ns0:c r="C12" s="4">
        <ns0:f>SUM(C6:C11)</ns0:f>
        <ns0:v>10</ns0:v>
      </ns0:c>
      <ns0:c r="D12" s="4">
        <ns0:f>SUM(D6:D11)</ns0:f>
        <ns0:v>8</ns0:v>
      </ns0:c>
      <ns0:c r="E12" s="4">
        <ns0:f>SUM(E6:E11)</ns0:f>
        <ns0:v>9</ns0:v>
      </ns0:c>
      <ns0:c r="F12" s="4">
        <ns0:f>SUM(F6:F11)</ns0:f>
        <ns0:v>9</ns0:v>
      </ns0:c>
      <ns0:c r="G12" s="4">
        <ns0:f>SUM(G6:G11)</ns0:f>
        <ns0:v>9</ns0:v>
      </ns0:c>
      <ns0:c r="H12" s="4">
        <ns0:f>SUM(H6:H11)</ns0:f>
        <ns0:v>8</ns0:v>
      </ns0:c>
      <ns0:c r="I12" s="4">
        <ns0:f>SUM(I6:I11)</ns0:f>
        <ns0:v>10</ns0:v>
      </ns0:c>
      <ns0:c r="J12" s="4">
        <ns0:f>SUM(J6:J11)</ns0:f>
        <ns0:v>88</ns0:v>
      </ns0:c>
      <ns0:c r="K12" s="4">
        <ns0:f>SUM(K6:K11)</ns0:f>
        <ns0:v>26</ns0:v>
      </ns0:c>
      <ns0:c r="L12" s="4">
        <ns0:f>SUM(L6:L11)</ns0:f>
        <ns0:v>3</ns0:v>
      </ns0:c>
      <ns0:c r="M12" s="4" t="inlineStr">
        <ns0:is>
          <ns0:t>本批88件；基础数值及有无状态均不反推运行时元素。</ns0:t>
        </ns0:is>
      </ns0:c>
    </ns0:row>
  </ns0:sheetData>
  <ns0:mergeCells count="2">
    <ns0:mergeCell ref="A2:M2"/>
    <ns0:mergeCell ref="A1:M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2026-09-28T09:15:40Z</dcterms:created>
  <dcterms:modified xmlns:dcterms="http://purl.org/dc/terms/" xmlns:xsi="http://www.w3.org/2001/XMLSchema-instance" xsi:type="dcterms:W3CDTF">2026-09-28T15:15:41Z</dcterms:modified>
</cp:coreProperties>
</file>